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eshsunilthakare/Desktop/AW/CLEANED_DATA/"/>
    </mc:Choice>
  </mc:AlternateContent>
  <xr:revisionPtr revIDLastSave="0" documentId="13_ncr:1_{EE72EDD5-BAE1-0947-8D75-78EDF6854916}" xr6:coauthVersionLast="47" xr6:coauthVersionMax="47" xr10:uidLastSave="{00000000-0000-0000-0000-000000000000}"/>
  <bookViews>
    <workbookView xWindow="0" yWindow="600" windowWidth="28800" windowHeight="17400" activeTab="6" xr2:uid="{3BA568F0-B825-4C4D-AC94-5AD3816C23FE}"/>
  </bookViews>
  <sheets>
    <sheet name="Fact_Sales" sheetId="10" r:id="rId1"/>
    <sheet name="Fact_Return" sheetId="15" r:id="rId2"/>
    <sheet name="Fact_Daily_Sales" sheetId="18" r:id="rId3"/>
    <sheet name="Fact_Weekly_Sales" sheetId="19" r:id="rId4"/>
    <sheet name="Fact_Monthly_Sales" sheetId="20" r:id="rId5"/>
    <sheet name="DAILY_REPORT" sheetId="22" r:id="rId6"/>
    <sheet name="YEAR_2015_MIS_Report" sheetId="16" r:id="rId7"/>
  </sheets>
  <definedNames>
    <definedName name="ExternalData_1" localSheetId="2" hidden="1">Fact_Daily_Sales!$A$1:$AI$8</definedName>
    <definedName name="ExternalData_10" localSheetId="1" hidden="1">Fact_Return!$A$1:$L$1810</definedName>
    <definedName name="ExternalData_2" localSheetId="3" hidden="1">Fact_Weekly_Sales!$A$1:$AK$39</definedName>
    <definedName name="ExternalData_3" localSheetId="4" hidden="1">Fact_Monthly_Sales!$A$1:$AL$327</definedName>
    <definedName name="ExternalData_9" localSheetId="0" hidden="1">Fact_Sales!$A$1:$AI$2631</definedName>
  </definedNames>
  <calcPr calcId="191029"/>
  <pivotCaches>
    <pivotCache cacheId="15" r:id="rId8"/>
    <pivotCache cacheId="1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8" i="16" l="1"/>
  <c r="M17" i="16"/>
  <c r="M16" i="16"/>
  <c r="M15" i="16"/>
  <c r="Q10" i="16"/>
  <c r="Q4" i="16"/>
  <c r="P18" i="22"/>
  <c r="P17" i="22"/>
  <c r="P16" i="22"/>
  <c r="P15" i="22"/>
  <c r="F8" i="22"/>
  <c r="F7" i="22"/>
  <c r="R10" i="22" s="1"/>
  <c r="F6" i="22"/>
  <c r="Q10" i="22" s="1"/>
  <c r="F5" i="22"/>
  <c r="F4" i="22"/>
  <c r="P10" i="22" s="1"/>
  <c r="F3" i="22"/>
  <c r="O10" i="22" s="1"/>
  <c r="E15" i="16"/>
  <c r="E14" i="16"/>
  <c r="E11" i="16"/>
  <c r="E9" i="16"/>
  <c r="N10" i="16" s="1"/>
  <c r="E10" i="16"/>
  <c r="O10" i="16" s="1"/>
  <c r="E8" i="16"/>
  <c r="E7" i="16"/>
  <c r="M10" i="16" s="1"/>
  <c r="E6" i="16"/>
  <c r="L10" i="16" s="1"/>
  <c r="F9" i="22" l="1"/>
  <c r="P19" i="22" s="1"/>
  <c r="F10" i="22"/>
  <c r="S10" i="22" s="1"/>
  <c r="E13" i="16"/>
  <c r="P10" i="16" s="1"/>
  <c r="E12" i="16"/>
  <c r="M19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0CA55F-FE1F-664B-B5FB-CA4C7934BCC5}" keepAlive="1" name="Query - AW_Calendar" description="Connection to the 'AW_Calendar' query in the workbook." type="5" refreshedVersion="8" background="1" saveData="1">
    <dbPr connection="Provider=Microsoft.Mashup.OleDb.1;Data Source=$Workbook$;Location=AW_Calendar;Extended Properties=&quot;&quot;" command="SELECT * FROM [AW_Calendar]"/>
  </connection>
  <connection id="2" xr16:uid="{F2973863-3E65-9B41-A0DF-F7DE1F628B27}" keepAlive="1" name="Query - AW_Customers" description="Connection to the 'AW_Customers' query in the workbook." type="5" refreshedVersion="8" background="1" saveData="1">
    <dbPr connection="Provider=Microsoft.Mashup.OleDb.1;Data Source=$Workbook$;Location=AW_Customers;Extended Properties=&quot;&quot;" command="SELECT * FROM [AW_Customers]"/>
  </connection>
  <connection id="3" xr16:uid="{D573D7AF-3427-C94D-9CB9-B176B87D6E59}" keepAlive="1" name="Query - AW_Product_Categories" description="Connection to the 'AW_Product_Categories' query in the workbook." type="5" refreshedVersion="8" background="1" saveData="1">
    <dbPr connection="Provider=Microsoft.Mashup.OleDb.1;Data Source=$Workbook$;Location=AW_Product_Categories;Extended Properties=&quot;&quot;" command="SELECT * FROM [AW_Product_Categories]"/>
  </connection>
  <connection id="4" xr16:uid="{73C5F495-B42B-584B-987C-B870A1823224}" keepAlive="1" name="Query - AW_Product_Subcategories" description="Connection to the 'AW_Product_Subcategories' query in the workbook." type="5" refreshedVersion="8" background="1" saveData="1">
    <dbPr connection="Provider=Microsoft.Mashup.OleDb.1;Data Source=$Workbook$;Location=AW_Product_Subcategories;Extended Properties=&quot;&quot;" command="SELECT * FROM [AW_Product_Subcategories]"/>
  </connection>
  <connection id="5" xr16:uid="{C3B2BE1C-2F4C-D64B-9FC1-E15EB52A748D}" keepAlive="1" name="Query - AW_Products" description="Connection to the 'AW_Products' query in the workbook." type="5" refreshedVersion="8" background="1" saveData="1">
    <dbPr connection="Provider=Microsoft.Mashup.OleDb.1;Data Source=$Workbook$;Location=AW_Products;Extended Properties=&quot;&quot;" command="SELECT * FROM [AW_Products]"/>
  </connection>
  <connection id="6" xr16:uid="{A24E41C5-F5CB-084D-9B5D-CD8490C07CE0}" keepAlive="1" name="Query - AW_Returns" description="Connection to the 'AW_Returns' query in the workbook." type="5" refreshedVersion="8" background="1" saveData="1">
    <dbPr connection="Provider=Microsoft.Mashup.OleDb.1;Data Source=$Workbook$;Location=AW_Returns;Extended Properties=&quot;&quot;" command="SELECT * FROM [AW_Returns]"/>
  </connection>
  <connection id="7" xr16:uid="{C7BB2ECA-B97D-B240-8E26-5A57F1848389}" keepAlive="1" name="Query - AW_Sales_2015" description="Connection to the 'AW_Sales_2015' query in the workbook." type="5" refreshedVersion="8" background="1" saveData="1">
    <dbPr connection="Provider=Microsoft.Mashup.OleDb.1;Data Source=$Workbook$;Location=AW_Sales_2015;Extended Properties=&quot;&quot;" command="SELECT * FROM [AW_Sales_2015]"/>
  </connection>
  <connection id="8" xr16:uid="{07FF2EC9-514F-2541-93A5-5CCAEEAF048C}" keepAlive="1" name="Query - AW_Territories" description="Connection to the 'AW_Territories' query in the workbook." type="5" refreshedVersion="8" background="1" saveData="1">
    <dbPr connection="Provider=Microsoft.Mashup.OleDb.1;Data Source=$Workbook$;Location=AW_Territories;Extended Properties=&quot;&quot;" command="SELECT * FROM [AW_Territories]"/>
  </connection>
  <connection id="9" xr16:uid="{701B7E80-1015-E944-A528-84230C7F278A}" keepAlive="1" name="Query - Fact_Daily_Sales" description="Connection to the 'Fact_Daily_Sales' query in the workbook." type="5" refreshedVersion="8" background="1" saveData="1">
    <dbPr connection="Provider=Microsoft.Mashup.OleDb.1;Data Source=$Workbook$;Location=Fact_Daily_Sales;Extended Properties=&quot;&quot;" command="SELECT * FROM [Fact_Daily_Sales]"/>
  </connection>
  <connection id="10" xr16:uid="{596632AA-D612-2A48-981F-7570588A073B}" keepAlive="1" name="Query - Fact_Monthly_Sales" description="Connection to the 'Fact_Monthly_Sales' query in the workbook." type="5" refreshedVersion="8" background="1" saveData="1">
    <dbPr connection="Provider=Microsoft.Mashup.OleDb.1;Data Source=$Workbook$;Location=Fact_Monthly_Sales;Extended Properties=&quot;&quot;" command="SELECT * FROM [Fact_Monthly_Sales]"/>
  </connection>
  <connection id="11" xr16:uid="{BB6CBFFF-BAA3-2442-A230-C3DA3CE18C18}" keepAlive="1" name="Query - Fact_Return" description="Connection to the 'Fact_Return' query in the workbook." type="5" refreshedVersion="8" background="1" saveData="1">
    <dbPr connection="Provider=Microsoft.Mashup.OleDb.1;Data Source=$Workbook$;Location=Fact_Return;Extended Properties=&quot;&quot;" command="SELECT * FROM [Fact_Return]"/>
  </connection>
  <connection id="12" xr16:uid="{C8CCCBF7-FF34-E446-A5E7-4C54E4EC80A1}" keepAlive="1" name="Query - Fact_Returns1" description="Connection to the 'Fact_Returns' query in the workbook." type="5" refreshedVersion="0" background="1">
    <dbPr connection="Provider=Microsoft.Mashup.OleDb.1;Data Source=$Workbook$;Location=Fact_Returns;Extended Properties=&quot;&quot;" command="SELECT * FROM [Fact_Returns]"/>
  </connection>
  <connection id="13" xr16:uid="{69881E97-EFE4-AE41-8C31-2DD3886B2D7A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14" xr16:uid="{3028DFAB-9963-1443-B791-B4596105D35E}" keepAlive="1" name="Query - Fact_Weekly_Sales" description="Connection to the 'Fact_Weekly_Sales' query in the workbook." type="5" refreshedVersion="8" background="1" saveData="1">
    <dbPr connection="Provider=Microsoft.Mashup.OleDb.1;Data Source=$Workbook$;Location=Fact_Weekly_Sales;Extended Properties=&quot;&quot;" command="SELECT * FROM [Fact_Weekly_Sales]"/>
  </connection>
</connections>
</file>

<file path=xl/sharedStrings.xml><?xml version="1.0" encoding="utf-8"?>
<sst xmlns="http://schemas.openxmlformats.org/spreadsheetml/2006/main" count="65496" uniqueCount="9019">
  <si>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</si>
  <si>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</si>
  <si>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</si>
  <si>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</si>
  <si>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</si>
  <si>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</si>
  <si>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</si>
  <si>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</si>
  <si>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</si>
  <si>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</si>
  <si>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</si>
  <si>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</si>
  <si>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</si>
  <si>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</si>
  <si>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</si>
  <si>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</si>
  <si>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</si>
  <si>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Bachelors</t>
  </si>
  <si>
    <t>Professional</t>
  </si>
  <si>
    <t>Y</t>
  </si>
  <si>
    <t>EUGENE</t>
  </si>
  <si>
    <t>HUANG</t>
  </si>
  <si>
    <t>S</t>
  </si>
  <si>
    <t>N</t>
  </si>
  <si>
    <t>RUBEN</t>
  </si>
  <si>
    <t>TORRES</t>
  </si>
  <si>
    <t>MS.</t>
  </si>
  <si>
    <t>CHRISTY</t>
  </si>
  <si>
    <t>ZHU</t>
  </si>
  <si>
    <t>F</t>
  </si>
  <si>
    <t>MRS.</t>
  </si>
  <si>
    <t>ELIZABETH</t>
  </si>
  <si>
    <t>JOHNSON</t>
  </si>
  <si>
    <t>JULIO</t>
  </si>
  <si>
    <t>RUIZ</t>
  </si>
  <si>
    <t>MEHTA</t>
  </si>
  <si>
    <t>ROBIN</t>
  </si>
  <si>
    <t>SHANNON</t>
  </si>
  <si>
    <t>CARLSON</t>
  </si>
  <si>
    <t>JACQUELYN</t>
  </si>
  <si>
    <t>SUAREZ</t>
  </si>
  <si>
    <t>CURTIS</t>
  </si>
  <si>
    <t>LU</t>
  </si>
  <si>
    <t>LAUREN</t>
  </si>
  <si>
    <t>WALKER</t>
  </si>
  <si>
    <t>Management</t>
  </si>
  <si>
    <t>IAN</t>
  </si>
  <si>
    <t>JENKINS</t>
  </si>
  <si>
    <t>SYDNEY</t>
  </si>
  <si>
    <t>BENNETT</t>
  </si>
  <si>
    <t>CHLOE</t>
  </si>
  <si>
    <t>YOUNG</t>
  </si>
  <si>
    <t>Partial College</t>
  </si>
  <si>
    <t>Skilled Manual</t>
  </si>
  <si>
    <t>WYATT</t>
  </si>
  <si>
    <t>HILL</t>
  </si>
  <si>
    <t>WANG</t>
  </si>
  <si>
    <t>High School</t>
  </si>
  <si>
    <t>CLARENCE</t>
  </si>
  <si>
    <t>RAI</t>
  </si>
  <si>
    <t>Clerical</t>
  </si>
  <si>
    <t>LUKE</t>
  </si>
  <si>
    <t>LAL</t>
  </si>
  <si>
    <t>JORDAN</t>
  </si>
  <si>
    <t>KING</t>
  </si>
  <si>
    <t>DESTINY</t>
  </si>
  <si>
    <t>WILSON</t>
  </si>
  <si>
    <t>ETHAN</t>
  </si>
  <si>
    <t>ZHANG</t>
  </si>
  <si>
    <t>SETH</t>
  </si>
  <si>
    <t>EDWARDS</t>
  </si>
  <si>
    <t>RUSSELL</t>
  </si>
  <si>
    <t>XIE</t>
  </si>
  <si>
    <t/>
  </si>
  <si>
    <t>ALEJANDRO</t>
  </si>
  <si>
    <t>BECK</t>
  </si>
  <si>
    <t>NA</t>
  </si>
  <si>
    <t>Partial High School</t>
  </si>
  <si>
    <t>HAROLD</t>
  </si>
  <si>
    <t>SAI</t>
  </si>
  <si>
    <t>JESSIE</t>
  </si>
  <si>
    <t>ZHAO</t>
  </si>
  <si>
    <t>JILL</t>
  </si>
  <si>
    <t>JIMENEZ</t>
  </si>
  <si>
    <t>JIMMY</t>
  </si>
  <si>
    <t>MORENO</t>
  </si>
  <si>
    <t>BETHANY</t>
  </si>
  <si>
    <t>YUAN</t>
  </si>
  <si>
    <t>THERESA</t>
  </si>
  <si>
    <t>RAMOS</t>
  </si>
  <si>
    <t>DENISE</t>
  </si>
  <si>
    <t>STONE</t>
  </si>
  <si>
    <t>JAIME</t>
  </si>
  <si>
    <t>NATH</t>
  </si>
  <si>
    <t>EBONY</t>
  </si>
  <si>
    <t>GONZALEZ</t>
  </si>
  <si>
    <t>WENDY</t>
  </si>
  <si>
    <t>DOMINGUEZ</t>
  </si>
  <si>
    <t>JENNIFER</t>
  </si>
  <si>
    <t>GARCIA</t>
  </si>
  <si>
    <t>DIANA</t>
  </si>
  <si>
    <t>HERNANDEZ</t>
  </si>
  <si>
    <t>MARC</t>
  </si>
  <si>
    <t>MARTIN</t>
  </si>
  <si>
    <t>JESSE</t>
  </si>
  <si>
    <t>MURPHY</t>
  </si>
  <si>
    <t>AMANDA</t>
  </si>
  <si>
    <t>CARTER</t>
  </si>
  <si>
    <t>MEGAN</t>
  </si>
  <si>
    <t>SANCHEZ</t>
  </si>
  <si>
    <t>NATHAN</t>
  </si>
  <si>
    <t>SIMMONS</t>
  </si>
  <si>
    <t>ADAM</t>
  </si>
  <si>
    <t>FLORES</t>
  </si>
  <si>
    <t>LEONARD</t>
  </si>
  <si>
    <t>NARA</t>
  </si>
  <si>
    <t>CHRISTINE</t>
  </si>
  <si>
    <t>JACLYN</t>
  </si>
  <si>
    <t>JEREMY</t>
  </si>
  <si>
    <t>POWELL</t>
  </si>
  <si>
    <t>CAROL</t>
  </si>
  <si>
    <t>ALAN</t>
  </si>
  <si>
    <t>ZHENG</t>
  </si>
  <si>
    <t>DANIEL</t>
  </si>
  <si>
    <t>HEIDI</t>
  </si>
  <si>
    <t>LOPEZ</t>
  </si>
  <si>
    <t>ANA</t>
  </si>
  <si>
    <t>PRICE</t>
  </si>
  <si>
    <t>DEANNA</t>
  </si>
  <si>
    <t>MUNOZ</t>
  </si>
  <si>
    <t>GILBERT</t>
  </si>
  <si>
    <t>RAJE</t>
  </si>
  <si>
    <t>MICHELE</t>
  </si>
  <si>
    <t>CARL</t>
  </si>
  <si>
    <t>ANDERSEN</t>
  </si>
  <si>
    <t>Graduate Degree</t>
  </si>
  <si>
    <t>DIAZ</t>
  </si>
  <si>
    <t>ASHLEE</t>
  </si>
  <si>
    <t>ZHOU</t>
  </si>
  <si>
    <t>TODD</t>
  </si>
  <si>
    <t>GAO</t>
  </si>
  <si>
    <t>NOAH</t>
  </si>
  <si>
    <t>ANGELA</t>
  </si>
  <si>
    <t>CHASE</t>
  </si>
  <si>
    <t>REED</t>
  </si>
  <si>
    <t>JESSICA</t>
  </si>
  <si>
    <t>HENDERSON</t>
  </si>
  <si>
    <t>GRACE</t>
  </si>
  <si>
    <t>BUTLER</t>
  </si>
  <si>
    <t>CALEB</t>
  </si>
  <si>
    <t>TIFFANY</t>
  </si>
  <si>
    <t>LIANG</t>
  </si>
  <si>
    <t>CAROLYN</t>
  </si>
  <si>
    <t>NAVARRO</t>
  </si>
  <si>
    <t>WILLIE</t>
  </si>
  <si>
    <t>RAJI</t>
  </si>
  <si>
    <t>LINDA</t>
  </si>
  <si>
    <t>SERRANO</t>
  </si>
  <si>
    <t>CASEY</t>
  </si>
  <si>
    <t>LUO</t>
  </si>
  <si>
    <t>AMY</t>
  </si>
  <si>
    <t>YE</t>
  </si>
  <si>
    <t>LEVI</t>
  </si>
  <si>
    <t>ARUN</t>
  </si>
  <si>
    <t>FELICIA</t>
  </si>
  <si>
    <t>BLAKE</t>
  </si>
  <si>
    <t>ANDERSON</t>
  </si>
  <si>
    <t>LEAH</t>
  </si>
  <si>
    <t>GINA</t>
  </si>
  <si>
    <t>DONALD</t>
  </si>
  <si>
    <t>DAMIEN</t>
  </si>
  <si>
    <t>CHANDER</t>
  </si>
  <si>
    <t>SAVANNAH</t>
  </si>
  <si>
    <t>BAKER</t>
  </si>
  <si>
    <t>ALYSSA</t>
  </si>
  <si>
    <t>COX</t>
  </si>
  <si>
    <t>LUCAS</t>
  </si>
  <si>
    <t>PHILLIPS</t>
  </si>
  <si>
    <t>EMILY</t>
  </si>
  <si>
    <t>RYAN</t>
  </si>
  <si>
    <t>BROWN</t>
  </si>
  <si>
    <t>TAMARA</t>
  </si>
  <si>
    <t>ABIGAIL</t>
  </si>
  <si>
    <t>TREVOR</t>
  </si>
  <si>
    <t>BRYANT</t>
  </si>
  <si>
    <t>trevor18@adventure-works.com</t>
  </si>
  <si>
    <t>DALTON</t>
  </si>
  <si>
    <t>PEREZ</t>
  </si>
  <si>
    <t>CHERYL</t>
  </si>
  <si>
    <t>AIMEE</t>
  </si>
  <si>
    <t>HE</t>
  </si>
  <si>
    <t>CEDRIC</t>
  </si>
  <si>
    <t>MA</t>
  </si>
  <si>
    <t>CHAD</t>
  </si>
  <si>
    <t>KUMAR</t>
  </si>
  <si>
    <t>ANAND</t>
  </si>
  <si>
    <t>EDWIN</t>
  </si>
  <si>
    <t>MALLORY</t>
  </si>
  <si>
    <t>RUBIO</t>
  </si>
  <si>
    <t>ROSS</t>
  </si>
  <si>
    <t>LATASHA</t>
  </si>
  <si>
    <t>ABBY</t>
  </si>
  <si>
    <t>JULIA</t>
  </si>
  <si>
    <t>NELSON</t>
  </si>
  <si>
    <t>CASSIE</t>
  </si>
  <si>
    <t>CHANDE</t>
  </si>
  <si>
    <t>EDGAR</t>
  </si>
  <si>
    <t>SARA</t>
  </si>
  <si>
    <t>CANDACE</t>
  </si>
  <si>
    <t>FERNANDEZ</t>
  </si>
  <si>
    <t>LIU</t>
  </si>
  <si>
    <t>BIANCA</t>
  </si>
  <si>
    <t>LIN</t>
  </si>
  <si>
    <t>KARI</t>
  </si>
  <si>
    <t>ALVAREZ</t>
  </si>
  <si>
    <t>KAPOOR</t>
  </si>
  <si>
    <t>MEREDITH</t>
  </si>
  <si>
    <t>GUTIERREZ</t>
  </si>
  <si>
    <t>CRYSTAL</t>
  </si>
  <si>
    <t>MICHEAL</t>
  </si>
  <si>
    <t>BLANCO</t>
  </si>
  <si>
    <t>LESLIE</t>
  </si>
  <si>
    <t>ALVIN</t>
  </si>
  <si>
    <t>CAI</t>
  </si>
  <si>
    <t>CLINTON</t>
  </si>
  <si>
    <t>APRIL</t>
  </si>
  <si>
    <t>DENG</t>
  </si>
  <si>
    <t>ZENG</t>
  </si>
  <si>
    <t>EVAN</t>
  </si>
  <si>
    <t>JAMES</t>
  </si>
  <si>
    <t>ORLANDO</t>
  </si>
  <si>
    <t>BYRON</t>
  </si>
  <si>
    <t>VAZQUEZ</t>
  </si>
  <si>
    <t>PHILIP</t>
  </si>
  <si>
    <t>DANA</t>
  </si>
  <si>
    <t>SHAUN</t>
  </si>
  <si>
    <t>CARSON</t>
  </si>
  <si>
    <t>JAN</t>
  </si>
  <si>
    <t>SAMANTHA</t>
  </si>
  <si>
    <t>LONG</t>
  </si>
  <si>
    <t>WRIGHT</t>
  </si>
  <si>
    <t>julia17@adventure-works.com</t>
  </si>
  <si>
    <t>CAROLINE</t>
  </si>
  <si>
    <t>RIVERA</t>
  </si>
  <si>
    <t>MELISSA</t>
  </si>
  <si>
    <t>RICHARDSON</t>
  </si>
  <si>
    <t>GRIFFIN</t>
  </si>
  <si>
    <t>LARRY</t>
  </si>
  <si>
    <t>TOWNSEND</t>
  </si>
  <si>
    <t>MARCUS</t>
  </si>
  <si>
    <t>HARRIS</t>
  </si>
  <si>
    <t>BRIANNA</t>
  </si>
  <si>
    <t>MORGAN</t>
  </si>
  <si>
    <t>JASMINE</t>
  </si>
  <si>
    <t>TAYLOR</t>
  </si>
  <si>
    <t>DAVIS</t>
  </si>
  <si>
    <t>TANYA</t>
  </si>
  <si>
    <t>JAVIER</t>
  </si>
  <si>
    <t>NICOLE</t>
  </si>
  <si>
    <t>RAMIREZ</t>
  </si>
  <si>
    <t>EDUARDO</t>
  </si>
  <si>
    <t>PATTERSON</t>
  </si>
  <si>
    <t>JONATHAN</t>
  </si>
  <si>
    <t>EDWARD</t>
  </si>
  <si>
    <t>COLEMAN</t>
  </si>
  <si>
    <t>KARLA</t>
  </si>
  <si>
    <t>GOEL</t>
  </si>
  <si>
    <t>ERNEST</t>
  </si>
  <si>
    <t>WU</t>
  </si>
  <si>
    <t>THEODORE</t>
  </si>
  <si>
    <t>GILL</t>
  </si>
  <si>
    <t>SHEN</t>
  </si>
  <si>
    <t>MELINDA</t>
  </si>
  <si>
    <t>WILLIAMS</t>
  </si>
  <si>
    <t>HUNTER</t>
  </si>
  <si>
    <t>ROBINSON</t>
  </si>
  <si>
    <t>MARIA</t>
  </si>
  <si>
    <t>ROBERTS</t>
  </si>
  <si>
    <t>HANNAH</t>
  </si>
  <si>
    <t>JASON</t>
  </si>
  <si>
    <t>HUGHES</t>
  </si>
  <si>
    <t>MAURICE</t>
  </si>
  <si>
    <t>TANG</t>
  </si>
  <si>
    <t>WOOD</t>
  </si>
  <si>
    <t>GABRIEL</t>
  </si>
  <si>
    <t>DEVIN</t>
  </si>
  <si>
    <t>BROOKS</t>
  </si>
  <si>
    <t>JOCELYN</t>
  </si>
  <si>
    <t>ALEXANDER</t>
  </si>
  <si>
    <t>ASHLEY</t>
  </si>
  <si>
    <t>MARTINEZ</t>
  </si>
  <si>
    <t>BARNES</t>
  </si>
  <si>
    <t>DAVID</t>
  </si>
  <si>
    <t>RODRIGUEZ</t>
  </si>
  <si>
    <t>HOWARD</t>
  </si>
  <si>
    <t>jonathan43@adventure-works.com</t>
  </si>
  <si>
    <t>GABRIELLE</t>
  </si>
  <si>
    <t>ADAMS</t>
  </si>
  <si>
    <t>SARAH</t>
  </si>
  <si>
    <t>THOMAS</t>
  </si>
  <si>
    <t>NICHOLAS</t>
  </si>
  <si>
    <t>LUIS</t>
  </si>
  <si>
    <t>luis24@adventure-works.com</t>
  </si>
  <si>
    <t>MASON</t>
  </si>
  <si>
    <t>JOSE</t>
  </si>
  <si>
    <t>MOLLY</t>
  </si>
  <si>
    <t>STEPHANIE</t>
  </si>
  <si>
    <t>LEE</t>
  </si>
  <si>
    <t>MEGHAN</t>
  </si>
  <si>
    <t>COOPER</t>
  </si>
  <si>
    <t>CATHERINE</t>
  </si>
  <si>
    <t>MORRIS</t>
  </si>
  <si>
    <t>KRISTI</t>
  </si>
  <si>
    <t>kristi39@adventure-works.com</t>
  </si>
  <si>
    <t>GRAY</t>
  </si>
  <si>
    <t>JACQUELINE</t>
  </si>
  <si>
    <t>ALFREDO</t>
  </si>
  <si>
    <t>ROMERO</t>
  </si>
  <si>
    <t>ANDREA</t>
  </si>
  <si>
    <t>BROOKE</t>
  </si>
  <si>
    <t>SANDERS</t>
  </si>
  <si>
    <t>FOSTER</t>
  </si>
  <si>
    <t>ALEXIA</t>
  </si>
  <si>
    <t>DANIELLE</t>
  </si>
  <si>
    <t>ALLISON</t>
  </si>
  <si>
    <t>EVANS</t>
  </si>
  <si>
    <t>CAMPBELL</t>
  </si>
  <si>
    <t>CHARLES</t>
  </si>
  <si>
    <t>MILLER</t>
  </si>
  <si>
    <t>PERRY</t>
  </si>
  <si>
    <t>jasmine32@adventure-works.com</t>
  </si>
  <si>
    <t>NATALIE</t>
  </si>
  <si>
    <t>natalie58@adventure-works.com</t>
  </si>
  <si>
    <t>OLIVIA</t>
  </si>
  <si>
    <t>COOK</t>
  </si>
  <si>
    <t>ERICA</t>
  </si>
  <si>
    <t>ALEXANDRA</t>
  </si>
  <si>
    <t>HAILEY</t>
  </si>
  <si>
    <t>LI</t>
  </si>
  <si>
    <t>tiffany3@adventure-works.com</t>
  </si>
  <si>
    <t>MARSHALL</t>
  </si>
  <si>
    <t>CHAVEZ</t>
  </si>
  <si>
    <t>marshall35@adventure-works.com</t>
  </si>
  <si>
    <t>JONES</t>
  </si>
  <si>
    <t>ADRIAN</t>
  </si>
  <si>
    <t>STEWART</t>
  </si>
  <si>
    <t>AMBER</t>
  </si>
  <si>
    <t>TURNER</t>
  </si>
  <si>
    <t>DENNIS</t>
  </si>
  <si>
    <t>ANNA</t>
  </si>
  <si>
    <t>ANGEL</t>
  </si>
  <si>
    <t>clarence36@adventure-works.com</t>
  </si>
  <si>
    <t>MAYRA</t>
  </si>
  <si>
    <t>PRASAD</t>
  </si>
  <si>
    <t>LATOYA</t>
  </si>
  <si>
    <t>ANNE</t>
  </si>
  <si>
    <t>LISA</t>
  </si>
  <si>
    <t>ALEXIS</t>
  </si>
  <si>
    <t>RICKY</t>
  </si>
  <si>
    <t>ricky15@adventure-works.com</t>
  </si>
  <si>
    <t>CLAUDIA</t>
  </si>
  <si>
    <t>TRISTAN</t>
  </si>
  <si>
    <t>CINDY</t>
  </si>
  <si>
    <t>PATEL</t>
  </si>
  <si>
    <t>cindy3@adventure-works.com</t>
  </si>
  <si>
    <t>XAVIER</t>
  </si>
  <si>
    <t>THOMPSON</t>
  </si>
  <si>
    <t>nicholas16@adventure-works.com</t>
  </si>
  <si>
    <t>JOS�</t>
  </si>
  <si>
    <t>JOHNATHAN</t>
  </si>
  <si>
    <t>VANCE</t>
  </si>
  <si>
    <t>COLIN</t>
  </si>
  <si>
    <t>KATELYN</t>
  </si>
  <si>
    <t>jacqueline9@adventure-works.com</t>
  </si>
  <si>
    <t>VICTORIA</t>
  </si>
  <si>
    <t>victoria24@adventure-works.com</t>
  </si>
  <si>
    <t>KELLY</t>
  </si>
  <si>
    <t>COLLINS</t>
  </si>
  <si>
    <t>stephanie52@adventure-works.com</t>
  </si>
  <si>
    <t>TRINITY</t>
  </si>
  <si>
    <t>trinity9@adventure-works.com</t>
  </si>
  <si>
    <t>taylor14@adventure-works.com</t>
  </si>
  <si>
    <t>david55@adventure-works.com</t>
  </si>
  <si>
    <t>ROBERT</t>
  </si>
  <si>
    <t>robert82@adventure-works.com</t>
  </si>
  <si>
    <t>danielle23@adventure-works.com</t>
  </si>
  <si>
    <t>lauren35@adventure-works.com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</si>
  <si>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</si>
  <si>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</si>
  <si>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</si>
  <si>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</si>
  <si>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</si>
  <si>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</si>
  <si>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JACKSON</t>
  </si>
  <si>
    <t>jonathan35@adventure-works.com</t>
  </si>
  <si>
    <t>megan53@adventure-works.com</t>
  </si>
  <si>
    <t>CHRISTIAN</t>
  </si>
  <si>
    <t>christian46@adventure-works.com</t>
  </si>
  <si>
    <t>ARTURO</t>
  </si>
  <si>
    <t>hunter16@adventure-works.com</t>
  </si>
  <si>
    <t>HENRY</t>
  </si>
  <si>
    <t>maria53@adventure-works.com</t>
  </si>
  <si>
    <t>katelyn26@adventure-works.com</t>
  </si>
  <si>
    <t>JENNA</t>
  </si>
  <si>
    <t>jenna19@adventure-works.com</t>
  </si>
  <si>
    <t>seth42@adventure-works.com</t>
  </si>
  <si>
    <t>CLARK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</si>
  <si>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</si>
  <si>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</si>
  <si>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</si>
  <si>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</si>
  <si>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</si>
  <si>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</si>
  <si>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</si>
  <si>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</si>
  <si>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CAMERON</t>
  </si>
  <si>
    <t>SPENCER</t>
  </si>
  <si>
    <t>spencer22@adventure-works.com</t>
  </si>
  <si>
    <t>julia72@adventure-works.com</t>
  </si>
  <si>
    <t>SEAN</t>
  </si>
  <si>
    <t>MICAH</t>
  </si>
  <si>
    <t>hunter53@adventure-works.com</t>
  </si>
  <si>
    <t>GONZALES</t>
  </si>
  <si>
    <t>ERIN</t>
  </si>
  <si>
    <t>WARD</t>
  </si>
  <si>
    <t>ALLEN</t>
  </si>
  <si>
    <t>victoria66@adventure-works.com</t>
  </si>
  <si>
    <t>JADE</t>
  </si>
  <si>
    <t>BAILEY</t>
  </si>
  <si>
    <t>jade13@adventure-works.com</t>
  </si>
  <si>
    <t>TERRANCE</t>
  </si>
  <si>
    <t>RAMAN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</si>
  <si>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</si>
  <si>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</si>
  <si>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</si>
  <si>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</si>
  <si>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</si>
  <si>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</si>
  <si>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</si>
  <si>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</si>
  <si>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</si>
  <si>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ANDY</t>
  </si>
  <si>
    <t>andy9@adventure-works.com</t>
  </si>
  <si>
    <t>deanna44@adventure-works.com</t>
  </si>
  <si>
    <t>Manual</t>
  </si>
  <si>
    <t>CARLA</t>
  </si>
  <si>
    <t>carla14@adventure-works.com</t>
  </si>
  <si>
    <t>JEROME</t>
  </si>
  <si>
    <t>FRANK</t>
  </si>
  <si>
    <t>frank17@adventure-works.com</t>
  </si>
  <si>
    <t>SHE</t>
  </si>
  <si>
    <t>MELODY</t>
  </si>
  <si>
    <t>RANDY</t>
  </si>
  <si>
    <t>ARTHUR</t>
  </si>
  <si>
    <t>ROY</t>
  </si>
  <si>
    <t>SHAWN</t>
  </si>
  <si>
    <t>MINDY</t>
  </si>
  <si>
    <t>CARA</t>
  </si>
  <si>
    <t>RAYMOND</t>
  </si>
  <si>
    <t>CARRIE</t>
  </si>
  <si>
    <t>ORTEGA</t>
  </si>
  <si>
    <t>ROBERTO</t>
  </si>
  <si>
    <t>TERRENCE</t>
  </si>
  <si>
    <t>RAMON</t>
  </si>
  <si>
    <t>CYNTHIA</t>
  </si>
  <si>
    <t>MALHOTRA</t>
  </si>
  <si>
    <t>JARROD</t>
  </si>
  <si>
    <t>TYRONE</t>
  </si>
  <si>
    <t>SHAN</t>
  </si>
  <si>
    <t>BRITTNEY</t>
  </si>
  <si>
    <t>SUN</t>
  </si>
  <si>
    <t>VIRGINIA</t>
  </si>
  <si>
    <t>CALVIN</t>
  </si>
  <si>
    <t>ALICIA</t>
  </si>
  <si>
    <t>XU</t>
  </si>
  <si>
    <t>LACEY</t>
  </si>
  <si>
    <t>JAI</t>
  </si>
  <si>
    <t>CARLY</t>
  </si>
  <si>
    <t>FRANCISCO</t>
  </si>
  <si>
    <t>LANCE</t>
  </si>
  <si>
    <t>GARY</t>
  </si>
  <si>
    <t>MITCHELL</t>
  </si>
  <si>
    <t>mitchell7@adventure-works.com</t>
  </si>
  <si>
    <t>MIGUEL</t>
  </si>
  <si>
    <t>megan44@adventure-works.com</t>
  </si>
  <si>
    <t>JOSEPH</t>
  </si>
  <si>
    <t>joseph21@adventure-works.com</t>
  </si>
  <si>
    <t>KARL</t>
  </si>
  <si>
    <t>LINDSAY</t>
  </si>
  <si>
    <t>KURT</t>
  </si>
  <si>
    <t>PAL</t>
  </si>
  <si>
    <t>GEORGE</t>
  </si>
  <si>
    <t>MCDONALD</t>
  </si>
  <si>
    <t>george13@adventure-works.com</t>
  </si>
  <si>
    <t>BETH</t>
  </si>
  <si>
    <t>beth13@adventure-works.com</t>
  </si>
  <si>
    <t>colin41@adventure-works.com</t>
  </si>
  <si>
    <t>BRENDA</t>
  </si>
  <si>
    <t>FRANKLIN</t>
  </si>
  <si>
    <t>franklin38@adventure-works.com</t>
  </si>
  <si>
    <t>KELLI</t>
  </si>
  <si>
    <t>SCHMIDT</t>
  </si>
  <si>
    <t>BONNIE</t>
  </si>
  <si>
    <t>MARIO</t>
  </si>
  <si>
    <t>DARREN</t>
  </si>
  <si>
    <t>HAYES</t>
  </si>
  <si>
    <t>sydney40@adventure-works.com</t>
  </si>
  <si>
    <t>megan27@adventure-works.com</t>
  </si>
  <si>
    <t>ian76@adventure-works.com</t>
  </si>
  <si>
    <t>KATRINA</t>
  </si>
  <si>
    <t>BECKER</t>
  </si>
  <si>
    <t>HU</t>
  </si>
  <si>
    <t>SCOTT</t>
  </si>
  <si>
    <t>amy19@adventure-works.com</t>
  </si>
  <si>
    <t>DUSTIN</t>
  </si>
  <si>
    <t>dustin1@adventure-works.com</t>
  </si>
  <si>
    <t>jasmine22@adventure-works.com</t>
  </si>
  <si>
    <t>PAMELA</t>
  </si>
  <si>
    <t>ARIANA</t>
  </si>
  <si>
    <t>KRISTOPHER</t>
  </si>
  <si>
    <t>DESIREE</t>
  </si>
  <si>
    <t>desiree9@adventure-works.com</t>
  </si>
  <si>
    <t>deanna24@adventure-works.com</t>
  </si>
  <si>
    <t>bryant14@adventure-works.com</t>
  </si>
  <si>
    <t>DOMINIQUE</t>
  </si>
  <si>
    <t>ANDRE</t>
  </si>
  <si>
    <t>JANET</t>
  </si>
  <si>
    <t>SERGIO</t>
  </si>
  <si>
    <t>ERIKA</t>
  </si>
  <si>
    <t>GOMEZ</t>
  </si>
  <si>
    <t>TINA</t>
  </si>
  <si>
    <t>BRETT</t>
  </si>
  <si>
    <t>MU�OZ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</si>
  <si>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</si>
  <si>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</si>
  <si>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</si>
  <si>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</si>
  <si>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</si>
  <si>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</si>
  <si>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</si>
  <si>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</si>
  <si>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</si>
  <si>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</si>
  <si>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</si>
  <si>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</si>
  <si>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</si>
  <si>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</si>
  <si>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</si>
  <si>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</si>
  <si>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</si>
  <si>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</si>
  <si>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alejandro8@adventure-works.com</t>
  </si>
  <si>
    <t>LOUIS</t>
  </si>
  <si>
    <t>louis23@adventure-works.com</t>
  </si>
  <si>
    <t>GRANT</t>
  </si>
  <si>
    <t>jaclyn37@adventure-works.com</t>
  </si>
  <si>
    <t>JAY</t>
  </si>
  <si>
    <t>jay49@adventure-works.com</t>
  </si>
  <si>
    <t>KENNETH</t>
  </si>
  <si>
    <t>kenneth7@adventure-works.com</t>
  </si>
  <si>
    <t>CESAR</t>
  </si>
  <si>
    <t>SUBRAM</t>
  </si>
  <si>
    <t>BILLY</t>
  </si>
  <si>
    <t>DARRYL</t>
  </si>
  <si>
    <t>COLLEEN</t>
  </si>
  <si>
    <t>erica19@adventure-works.com</t>
  </si>
  <si>
    <t>ADRIENNE</t>
  </si>
  <si>
    <t>adrienne8@adventure-works.com</t>
  </si>
  <si>
    <t>ERICK</t>
  </si>
  <si>
    <t>erick5@adventure-works.com</t>
  </si>
  <si>
    <t>CHANDRA</t>
  </si>
  <si>
    <t>donald4@adventure-works.com</t>
  </si>
  <si>
    <t>ROGERS</t>
  </si>
  <si>
    <t>JERMAINE</t>
  </si>
  <si>
    <t>jermaine15@adventure-works.com</t>
  </si>
  <si>
    <t>DEBORAH</t>
  </si>
  <si>
    <t>deborah21@adventure-works.com</t>
  </si>
  <si>
    <t>DANNY</t>
  </si>
  <si>
    <t>andre20@adventure-works.com</t>
  </si>
  <si>
    <t>terrence16@adventure-works.com</t>
  </si>
  <si>
    <t>DAWN</t>
  </si>
  <si>
    <t>dawn8@adventure-works.com</t>
  </si>
  <si>
    <t>FRANCIS</t>
  </si>
  <si>
    <t>gary31@adventure-works.com</t>
  </si>
  <si>
    <t>PEDRO</t>
  </si>
  <si>
    <t>BRANDY</t>
  </si>
  <si>
    <t>JARED</t>
  </si>
  <si>
    <t>PETERSON</t>
  </si>
  <si>
    <t>ISABELLA</t>
  </si>
  <si>
    <t>ROGER</t>
  </si>
  <si>
    <t>shannon6@adventure-works.com</t>
  </si>
  <si>
    <t>MYA</t>
  </si>
  <si>
    <t>mya17@adventure-works.com</t>
  </si>
  <si>
    <t>KATHERINE</t>
  </si>
  <si>
    <t>WASHINGTON</t>
  </si>
  <si>
    <t>JADA</t>
  </si>
  <si>
    <t>christian26@adventure-works.com</t>
  </si>
  <si>
    <t>ariana19@adventure-works.com</t>
  </si>
  <si>
    <t>GREEN</t>
  </si>
  <si>
    <t>JOAN</t>
  </si>
  <si>
    <t>joan7@adventure-works.com</t>
  </si>
  <si>
    <t>AUSTIN</t>
  </si>
  <si>
    <t>austin14@adventure-works.com</t>
  </si>
  <si>
    <t>ANDREW</t>
  </si>
  <si>
    <t>NINA</t>
  </si>
  <si>
    <t>nina7@adventure-works.com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</si>
  <si>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</si>
  <si>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</si>
  <si>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</si>
  <si>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</si>
  <si>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</si>
  <si>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</si>
  <si>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</si>
  <si>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</si>
  <si>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</si>
  <si>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</si>
  <si>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</si>
  <si>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</si>
  <si>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</si>
  <si>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</si>
  <si>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SHEENA</t>
  </si>
  <si>
    <t>JOEL</t>
  </si>
  <si>
    <t>REGINALD</t>
  </si>
  <si>
    <t>crystal17@adventure-works.com</t>
  </si>
  <si>
    <t>DEB</t>
  </si>
  <si>
    <t>deb4@adventure-works.com</t>
  </si>
  <si>
    <t>EDDIE</t>
  </si>
  <si>
    <t>SHARON</t>
  </si>
  <si>
    <t>ALEXANDRIA</t>
  </si>
  <si>
    <t>IVAN</t>
  </si>
  <si>
    <t>FREDERICK</t>
  </si>
  <si>
    <t>WHITNEY</t>
  </si>
  <si>
    <t>SRINI</t>
  </si>
  <si>
    <t>BRIANA</t>
  </si>
  <si>
    <t>briana12@adventure-works.com</t>
  </si>
  <si>
    <t>JORGE</t>
  </si>
  <si>
    <t>jorge19@adventure-works.com</t>
  </si>
  <si>
    <t>ERIK</t>
  </si>
  <si>
    <t>alexia13@adventure-works.com</t>
  </si>
  <si>
    <t>TROY</t>
  </si>
  <si>
    <t>KRISTIN</t>
  </si>
  <si>
    <t>kristin14@adventure-works.com</t>
  </si>
  <si>
    <t>MEAGAN</t>
  </si>
  <si>
    <t>jackson37@adventure-works.com</t>
  </si>
  <si>
    <t>TRISHA</t>
  </si>
  <si>
    <t>CLAYTON</t>
  </si>
  <si>
    <t>KEVIN</t>
  </si>
  <si>
    <t>STACEY</t>
  </si>
  <si>
    <t>DARRELL</t>
  </si>
  <si>
    <t>ARMANDO</t>
  </si>
  <si>
    <t>COREY</t>
  </si>
  <si>
    <t>SEBASTIAN</t>
  </si>
  <si>
    <t>JANELLE</t>
  </si>
  <si>
    <t>meredith24@adventure-works.com</t>
  </si>
  <si>
    <t>GEOFFREY</t>
  </si>
  <si>
    <t>geoffrey16@adventure-works.com</t>
  </si>
  <si>
    <t>edgar21@adventure-works.com</t>
  </si>
  <si>
    <t>heidi15@adventure-works.com</t>
  </si>
  <si>
    <t>MADAN</t>
  </si>
  <si>
    <t>eugene13@adventure-works.com</t>
  </si>
  <si>
    <t>blake47@adventure-works.com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</si>
  <si>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</si>
  <si>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</si>
  <si>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</si>
  <si>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</si>
  <si>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</si>
  <si>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</si>
  <si>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</si>
  <si>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</si>
  <si>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</si>
  <si>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SIERRA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</si>
  <si>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</si>
  <si>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</si>
  <si>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</si>
  <si>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</si>
  <si>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</si>
  <si>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</si>
  <si>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</si>
  <si>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</si>
  <si>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</si>
  <si>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</si>
  <si>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</si>
  <si>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</si>
  <si>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SAMUEL</t>
  </si>
  <si>
    <t>KIMBERLY</t>
  </si>
  <si>
    <t>ANGELICA</t>
  </si>
  <si>
    <t>CHEN</t>
  </si>
  <si>
    <t>GABRIELLA</t>
  </si>
  <si>
    <t>WHITE</t>
  </si>
  <si>
    <t>PATRICIA</t>
  </si>
  <si>
    <t>ariana22@adventure-works.com</t>
  </si>
  <si>
    <t>MIRANDA</t>
  </si>
  <si>
    <t>JEREMIAH</t>
  </si>
  <si>
    <t>seth2@adventure-works.com</t>
  </si>
  <si>
    <t>alyssa30@adventure-works.com</t>
  </si>
  <si>
    <t>janet18@adventure-works.com</t>
  </si>
  <si>
    <t>angel30@adventure-works.com</t>
  </si>
  <si>
    <t>jessica51@adventure-works.com</t>
  </si>
  <si>
    <t>SUSAN</t>
  </si>
  <si>
    <t>devin16@adventure-works.com</t>
  </si>
  <si>
    <t>JOHNNY</t>
  </si>
  <si>
    <t>johnny16@adventure-works.com</t>
  </si>
  <si>
    <t>KAYLEE</t>
  </si>
  <si>
    <t>KAITLYN</t>
  </si>
  <si>
    <t>HALL</t>
  </si>
  <si>
    <t>GREG</t>
  </si>
  <si>
    <t>greg10@adventure-works.com</t>
  </si>
  <si>
    <t>PARKER</t>
  </si>
  <si>
    <t>CODY</t>
  </si>
  <si>
    <t>victoria26@adventure-works.com</t>
  </si>
  <si>
    <t>caroline15@adventure-works.com</t>
  </si>
  <si>
    <t>JONATHON</t>
  </si>
  <si>
    <t>MACKENZIE</t>
  </si>
  <si>
    <t>mackenzie29@adventure-works.com</t>
  </si>
  <si>
    <t>brooke9@adventure-works.com</t>
  </si>
  <si>
    <t>natalie5@adventure-works.com</t>
  </si>
  <si>
    <t>WEISMAN</t>
  </si>
  <si>
    <t>elizabeth6@adventure-works.com</t>
  </si>
  <si>
    <t>SHELBY</t>
  </si>
  <si>
    <t>BENJAMIN</t>
  </si>
  <si>
    <t>benjamin43@adventure-works.com</t>
  </si>
  <si>
    <t>EMMA</t>
  </si>
  <si>
    <t>OMAR</t>
  </si>
  <si>
    <t>AARON</t>
  </si>
  <si>
    <t>tamara27@adventure-works.com</t>
  </si>
  <si>
    <t>edward43@adventure-works.com</t>
  </si>
  <si>
    <t>chase3@adventure-works.com</t>
  </si>
  <si>
    <t>allison31@adventure-works.com</t>
  </si>
  <si>
    <t>latoya0@adventure-works.com</t>
  </si>
  <si>
    <t>victoria63@adventure-works.com</t>
  </si>
  <si>
    <t>janet27@adventure-works.com</t>
  </si>
  <si>
    <t>linda37@adventure-works.com</t>
  </si>
  <si>
    <t>VINCENT</t>
  </si>
  <si>
    <t>dawn42@adventure-works.com</t>
  </si>
  <si>
    <t>edgar15@adventure-works.com</t>
  </si>
  <si>
    <t>RANDALL</t>
  </si>
  <si>
    <t>randall2@adventure-works.com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</si>
  <si>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</si>
  <si>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</si>
  <si>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</si>
  <si>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</si>
  <si>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</si>
  <si>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PETER</t>
  </si>
  <si>
    <t>ISAAC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</si>
  <si>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</si>
  <si>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</si>
  <si>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</si>
  <si>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</si>
  <si>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</si>
  <si>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</si>
  <si>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</si>
  <si>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</si>
  <si>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</si>
  <si>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</si>
  <si>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</si>
  <si>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BARBARA</t>
  </si>
  <si>
    <t>JERRY</t>
  </si>
  <si>
    <t>TIMOTHY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</si>
  <si>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</si>
  <si>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</si>
  <si>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</si>
  <si>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</si>
  <si>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</si>
  <si>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</si>
  <si>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MADISON</t>
  </si>
  <si>
    <t>RICHARD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</si>
  <si>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</si>
  <si>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</si>
  <si>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</si>
  <si>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</si>
  <si>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</si>
  <si>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</si>
  <si>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</si>
  <si>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</si>
  <si>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</si>
  <si>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</si>
  <si>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</si>
  <si>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</si>
  <si>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aimee17@adventure-works.com</t>
  </si>
  <si>
    <t>ALONSO</t>
  </si>
  <si>
    <t>jessie6@adventure-works.com</t>
  </si>
  <si>
    <t>SOPHIA</t>
  </si>
  <si>
    <t>taylor63@adventure-works.com</t>
  </si>
  <si>
    <t>christian18@adventure-works.com</t>
  </si>
  <si>
    <t>OSCAR</t>
  </si>
  <si>
    <t>fernando55@adventure-works.com</t>
  </si>
  <si>
    <t>GARRETT</t>
  </si>
  <si>
    <t>TRAVERS</t>
  </si>
  <si>
    <t>haley38@adventure-works.com</t>
  </si>
  <si>
    <t>TYLER</t>
  </si>
  <si>
    <t>tyler9@adventure-works.com</t>
  </si>
  <si>
    <t>CASSIDY</t>
  </si>
  <si>
    <t>JOSHUA</t>
  </si>
  <si>
    <t>FAITH</t>
  </si>
  <si>
    <t>jason40@adventure-works.com</t>
  </si>
  <si>
    <t>NATHANIEL</t>
  </si>
  <si>
    <t>faith9@adventure-works.com</t>
  </si>
  <si>
    <t>ryan27@adventure-works.com</t>
  </si>
  <si>
    <t>BELL</t>
  </si>
  <si>
    <t>PATRICK</t>
  </si>
  <si>
    <t>kurt9@adventure-works.com</t>
  </si>
  <si>
    <t>katelyn30@adventure-works.com</t>
  </si>
  <si>
    <t>JAMIE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</si>
  <si>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</si>
  <si>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</si>
  <si>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</si>
  <si>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</si>
  <si>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</si>
  <si>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</si>
  <si>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</si>
  <si>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</si>
  <si>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</si>
  <si>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</si>
  <si>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</si>
  <si>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</si>
  <si>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</si>
  <si>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</si>
  <si>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</si>
  <si>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</si>
  <si>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</si>
  <si>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</si>
  <si>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</si>
  <si>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</si>
  <si>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</si>
  <si>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</si>
  <si>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</si>
  <si>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</si>
  <si>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</si>
  <si>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rachael5@adventure-works.com</t>
  </si>
  <si>
    <t>REBECCA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</si>
  <si>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</si>
  <si>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</si>
  <si>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</si>
  <si>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</si>
  <si>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</si>
  <si>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</si>
  <si>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</si>
  <si>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</si>
  <si>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</si>
  <si>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ian50@adventure-works.com</t>
  </si>
  <si>
    <t>ashlee18@adventure-works.com</t>
  </si>
  <si>
    <t>virginia21@adventure-works.com</t>
  </si>
  <si>
    <t>jaclyn40@adventure-works.com</t>
  </si>
  <si>
    <t>MATHEW</t>
  </si>
  <si>
    <t>mathew17@adventure-works.com</t>
  </si>
  <si>
    <t>justin27@adventure-works.com</t>
  </si>
  <si>
    <t>devin35@adventure-works.com</t>
  </si>
  <si>
    <t>kevin16@adventure-works.com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</si>
  <si>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</si>
  <si>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</si>
  <si>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</si>
  <si>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</si>
  <si>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</si>
  <si>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</si>
  <si>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</si>
  <si>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DOROTHY</t>
  </si>
  <si>
    <t>dorothy3@adventure-works.com</t>
  </si>
  <si>
    <t>COURTNEY</t>
  </si>
  <si>
    <t>joseph23@adventure-works.com</t>
  </si>
  <si>
    <t>gabriel45@adventure-works.com</t>
  </si>
  <si>
    <t>SANDBERG</t>
  </si>
  <si>
    <t>alexandria27@adventure-works.com</t>
  </si>
  <si>
    <t>DYLAN</t>
  </si>
  <si>
    <t>SALAVARIA</t>
  </si>
  <si>
    <t>sharon4@adventure-works.com</t>
  </si>
  <si>
    <t>KATIE</t>
  </si>
  <si>
    <t>BLACK</t>
  </si>
  <si>
    <t>latasha7@adventure-works.com</t>
  </si>
  <si>
    <t>KELSEY</t>
  </si>
  <si>
    <t>kelsey19@adventure-works.com</t>
  </si>
  <si>
    <t>randy14@adventure-works.com</t>
  </si>
  <si>
    <t>AUDREY</t>
  </si>
  <si>
    <t>audrey19@adventure-works.com</t>
  </si>
  <si>
    <t>bonnie17@adventure-works.com</t>
  </si>
  <si>
    <t>CHRISTOPHER</t>
  </si>
  <si>
    <t>cheryl24@adventure-works.com</t>
  </si>
  <si>
    <t>ALEX</t>
  </si>
  <si>
    <t>MELANIE</t>
  </si>
  <si>
    <t>MAX</t>
  </si>
  <si>
    <t>max5@adventure-works.com</t>
  </si>
  <si>
    <t>DIANE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</si>
  <si>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</si>
  <si>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</si>
  <si>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</si>
  <si>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</si>
  <si>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</si>
  <si>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</si>
  <si>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</si>
  <si>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</si>
  <si>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</si>
  <si>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</si>
  <si>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</si>
  <si>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</si>
  <si>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</si>
  <si>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</si>
  <si>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</si>
  <si>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</si>
  <si>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</si>
  <si>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</si>
  <si>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</si>
  <si>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</si>
  <si>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</si>
  <si>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</si>
  <si>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</si>
  <si>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</si>
  <si>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</si>
  <si>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</si>
  <si>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</si>
  <si>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</si>
  <si>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</si>
  <si>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</si>
  <si>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shannon12@adventure-works.com</t>
  </si>
  <si>
    <t>ann22@adventure-works.com</t>
  </si>
  <si>
    <t>max16@adventure-works.com</t>
  </si>
  <si>
    <t>morgan24@adventure-works.com</t>
  </si>
  <si>
    <t>MONICA</t>
  </si>
  <si>
    <t>KAYLA</t>
  </si>
  <si>
    <t>kayla20@adventure-works.com</t>
  </si>
  <si>
    <t>devin65@adventure-works.com</t>
  </si>
  <si>
    <t>JACOB</t>
  </si>
  <si>
    <t>meredith40@adventure-works.com</t>
  </si>
  <si>
    <t>devin43@adventure-works.com</t>
  </si>
  <si>
    <t>deborah11@adventure-works.com</t>
  </si>
  <si>
    <t>fernando2@adventure-works.com</t>
  </si>
  <si>
    <t>logan22@adventure-works.com</t>
  </si>
  <si>
    <t>lucas60@adventure-works.com</t>
  </si>
  <si>
    <t>haley21@adventure-works.com</t>
  </si>
  <si>
    <t>ana12@adventure-works.com</t>
  </si>
  <si>
    <t>KRISTEN</t>
  </si>
  <si>
    <t>GUO</t>
  </si>
  <si>
    <t>kristen15@adventure-works.com</t>
  </si>
  <si>
    <t>GERALD</t>
  </si>
  <si>
    <t>SUMMER</t>
  </si>
  <si>
    <t>patricia7@adventure-works.com</t>
  </si>
  <si>
    <t>RICARDO</t>
  </si>
  <si>
    <t>ricardo17@adventure-works.com</t>
  </si>
  <si>
    <t>seth15@adventure-works.com</t>
  </si>
  <si>
    <t>alex39@adventure-works.com</t>
  </si>
  <si>
    <t>MADELINE</t>
  </si>
  <si>
    <t>ALEXA</t>
  </si>
  <si>
    <t>aaron49@adventure-works.com</t>
  </si>
  <si>
    <t>MAKAYLA</t>
  </si>
  <si>
    <t>makayla11@adventure-works.com</t>
  </si>
  <si>
    <t>cedric14@adventure-works.com</t>
  </si>
  <si>
    <t>ARIANNA</t>
  </si>
  <si>
    <t>chloe6@adventure-works.com</t>
  </si>
  <si>
    <t>jason4@adventure-works.com</t>
  </si>
  <si>
    <t>JOHN</t>
  </si>
  <si>
    <t>garrett6@adventure-works.com</t>
  </si>
  <si>
    <t>robert78@adventure-works.com</t>
  </si>
  <si>
    <t>tristan4@adventure-works.com</t>
  </si>
  <si>
    <t>cameron16@adventure-works.com</t>
  </si>
  <si>
    <t>chloe80@adventure-works.com</t>
  </si>
  <si>
    <t>jose39@adventure-works.com</t>
  </si>
  <si>
    <t>nathaniel9@adventure-works.com</t>
  </si>
  <si>
    <t>lauren0@adventure-works.com</t>
  </si>
  <si>
    <t>kayla43@adventure-works.com</t>
  </si>
  <si>
    <t>aidan8@adventure-works.com</t>
  </si>
  <si>
    <t>bailey13@adventure-works.com</t>
  </si>
  <si>
    <t>CAITLIN</t>
  </si>
  <si>
    <t>caitlin1@adventure-works.com</t>
  </si>
  <si>
    <t>devin53@adventure-works.com</t>
  </si>
  <si>
    <t>chloe45@adventure-works.com</t>
  </si>
  <si>
    <t>mariah8@adventure-works.com</t>
  </si>
  <si>
    <t>abigail68@adventure-works.com</t>
  </si>
  <si>
    <t>james96@adventure-works.com</t>
  </si>
  <si>
    <t>morgan85@adventure-works.com</t>
  </si>
  <si>
    <t>bianca14@adventure-works.com</t>
  </si>
  <si>
    <t>arianna5@adventure-works.com</t>
  </si>
  <si>
    <t>amanda15@adventure-works.com</t>
  </si>
  <si>
    <t>miguel72@adventure-works.com</t>
  </si>
  <si>
    <t>xavier55@adventure-works.com</t>
  </si>
  <si>
    <t>logan58@adventure-works.com</t>
  </si>
  <si>
    <t>WESLEY</t>
  </si>
  <si>
    <t>wesley16@adventure-works.com</t>
  </si>
  <si>
    <t>BRANDI</t>
  </si>
  <si>
    <t>diana21@adventure-works.com</t>
  </si>
  <si>
    <t>TAMMY</t>
  </si>
  <si>
    <t>KRISTY</t>
  </si>
  <si>
    <t>kristy7@adventure-works.com</t>
  </si>
  <si>
    <t>wendy5@adventure-works.com</t>
  </si>
  <si>
    <t>SUZANNE</t>
  </si>
  <si>
    <t>suzanne10@adventure-works.com</t>
  </si>
  <si>
    <t>colleen27@adventure-works.com</t>
  </si>
  <si>
    <t>HECTOR</t>
  </si>
  <si>
    <t>JACK</t>
  </si>
  <si>
    <t>kaitlyn45@adventure-works.com</t>
  </si>
  <si>
    <t>gabriella11@adventure-works.com</t>
  </si>
  <si>
    <t>logan31@adventure-works.com</t>
  </si>
  <si>
    <t>BRANDON</t>
  </si>
  <si>
    <t>STEVEN</t>
  </si>
  <si>
    <t>steven12@adventure-works.com</t>
  </si>
  <si>
    <t>adrian9@adventure-works.com</t>
  </si>
  <si>
    <t>kaitlyn54@adventure-works.com</t>
  </si>
  <si>
    <t>gabriella44@adventure-works.com</t>
  </si>
  <si>
    <t>bonnie27@adventure-works.com</t>
  </si>
  <si>
    <t>jaclyn0@adventure-works.com</t>
  </si>
  <si>
    <t>luke43@adventure-works.com</t>
  </si>
  <si>
    <t>aaron24@adventure-works.com</t>
  </si>
  <si>
    <t>noah11@adventure-works.com</t>
  </si>
  <si>
    <t>sebastian21@adventure-works.com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</si>
  <si>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</si>
  <si>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</si>
  <si>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</si>
  <si>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</si>
  <si>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</si>
  <si>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</si>
  <si>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</si>
  <si>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</si>
  <si>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</si>
  <si>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</si>
  <si>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</si>
  <si>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isaiah26@adventure-works.com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</si>
  <si>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</si>
  <si>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</si>
  <si>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</si>
  <si>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</si>
  <si>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</si>
  <si>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noah42@adventure-works.com</t>
  </si>
  <si>
    <t>CHRISTINA</t>
  </si>
  <si>
    <t>rafael33@adventure-works.com</t>
  </si>
  <si>
    <t>BRADLEY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</si>
  <si>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</si>
  <si>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</si>
  <si>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</si>
  <si>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</si>
  <si>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</si>
  <si>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SHAWNA</t>
  </si>
  <si>
    <t>alejandro35@adventure-works.com</t>
  </si>
  <si>
    <t>JULIE</t>
  </si>
  <si>
    <t>julie19@adventure-works.com</t>
  </si>
  <si>
    <t>karla0@adventure-works.com</t>
  </si>
  <si>
    <t>gerald5@adventure-works.com</t>
  </si>
  <si>
    <t>mitchell4@adventure-works.com</t>
  </si>
  <si>
    <t>jenny14@adventure-works.com</t>
  </si>
  <si>
    <t>KATHLEEN</t>
  </si>
  <si>
    <t>kathleen21@adventure-works.com</t>
  </si>
  <si>
    <t>faith31@adventure-works.com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</si>
  <si>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</si>
  <si>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</si>
  <si>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</si>
  <si>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</si>
  <si>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</si>
  <si>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KENDRA</t>
  </si>
  <si>
    <t>RUTH</t>
  </si>
  <si>
    <t>ruth12@adventure-works.com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</si>
  <si>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</si>
  <si>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</si>
  <si>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</si>
  <si>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</si>
  <si>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</si>
  <si>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</si>
  <si>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francisco20@adventure-works.com</t>
  </si>
  <si>
    <t>shawn8@adventure-works.com</t>
  </si>
  <si>
    <t>devin7@adventure-works.com</t>
  </si>
  <si>
    <t>andrea26@adventure-works.com</t>
  </si>
  <si>
    <t>troy0@adventure-works.com</t>
  </si>
  <si>
    <t>omar4@adventure-works.com</t>
  </si>
  <si>
    <t>jenny15@adventure-works.com</t>
  </si>
  <si>
    <t>ROBYN</t>
  </si>
  <si>
    <t>KAITLIN</t>
  </si>
  <si>
    <t>EMMANUEL</t>
  </si>
  <si>
    <t>emmanuel13@adventure-works.com</t>
  </si>
  <si>
    <t>BRUCE</t>
  </si>
  <si>
    <t>bruce27@adventure-works.com</t>
  </si>
  <si>
    <t>tiffany7@adventure-works.com</t>
  </si>
  <si>
    <t>CLIFFORD</t>
  </si>
  <si>
    <t>ebony38@adventure-works.com</t>
  </si>
  <si>
    <t>tyrone3@adventure-works.com</t>
  </si>
  <si>
    <t>justin16@adventure-works.com</t>
  </si>
  <si>
    <t>beth24@adventure-works.com</t>
  </si>
  <si>
    <t>JOHNSEN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</si>
  <si>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</si>
  <si>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</si>
  <si>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</si>
  <si>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</si>
  <si>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</si>
  <si>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</si>
  <si>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nathan2@adventure-works.com</t>
  </si>
  <si>
    <t>andre6@adventure-works.com</t>
  </si>
  <si>
    <t>joseph15@adventure-works.com</t>
  </si>
  <si>
    <t>nicolas5@adventure-works.com</t>
  </si>
  <si>
    <t>SHANE</t>
  </si>
  <si>
    <t>KOVAR</t>
  </si>
  <si>
    <t>WALTER</t>
  </si>
  <si>
    <t>walter9@adventure-works.com</t>
  </si>
  <si>
    <t>xavier83@adventure-works.com</t>
  </si>
  <si>
    <t>BRAD</t>
  </si>
  <si>
    <t>MARGARET</t>
  </si>
  <si>
    <t>JAKE</t>
  </si>
  <si>
    <t>ann24@adventure-works.com</t>
  </si>
  <si>
    <t>alejandro32@adventure-works.com</t>
  </si>
  <si>
    <t>carl0@adventure-works.com</t>
  </si>
  <si>
    <t>kristina10@adventure-works.com</t>
  </si>
  <si>
    <t>LAWRENCE</t>
  </si>
  <si>
    <t>DALE</t>
  </si>
  <si>
    <t>GLORIA</t>
  </si>
  <si>
    <t>GLENN</t>
  </si>
  <si>
    <t>eugene14@adventure-works.com</t>
  </si>
  <si>
    <t>PRESTON</t>
  </si>
  <si>
    <t>ANDRES</t>
  </si>
  <si>
    <t>francisco7@adventure-works.com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</si>
  <si>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</si>
  <si>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</si>
  <si>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</si>
  <si>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</si>
  <si>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</si>
  <si>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</si>
  <si>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</si>
  <si>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</si>
  <si>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ALISON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</si>
  <si>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</si>
  <si>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</si>
  <si>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</si>
  <si>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</si>
  <si>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</si>
  <si>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</si>
  <si>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</si>
  <si>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</si>
  <si>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</si>
  <si>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</si>
  <si>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lacey4@adventure-works.com</t>
  </si>
  <si>
    <t>HARRISON</t>
  </si>
  <si>
    <t>thomas25@adventure-works.com</t>
  </si>
  <si>
    <t>erin23@adventure-works.com</t>
  </si>
  <si>
    <t>RODNEY</t>
  </si>
  <si>
    <t>STEFANIE</t>
  </si>
  <si>
    <t>MARIE</t>
  </si>
  <si>
    <t>BRIDGET</t>
  </si>
  <si>
    <t>omar26@adventure-works.com</t>
  </si>
  <si>
    <t>johnny9@adventure-works.com</t>
  </si>
  <si>
    <t>tamara33@adventure-works.com</t>
  </si>
  <si>
    <t>ALBERT</t>
  </si>
  <si>
    <t>TARA</t>
  </si>
  <si>
    <t>tara22@adventure-works.com</t>
  </si>
  <si>
    <t>JIM�NEZ</t>
  </si>
  <si>
    <t>olivia46@adventure-works.com</t>
  </si>
  <si>
    <t>erika14@adventure-works.com</t>
  </si>
  <si>
    <t>KRYSTAL</t>
  </si>
  <si>
    <t>COLE</t>
  </si>
  <si>
    <t>robert60@adventure-works.com</t>
  </si>
  <si>
    <t>sarah17@adventure-works.com</t>
  </si>
  <si>
    <t>christy8@adventure-works.com</t>
  </si>
  <si>
    <t>jeremy8@adventure-works.com</t>
  </si>
  <si>
    <t>bailey17@adventure-works.com</t>
  </si>
  <si>
    <t>francisco3@adventure-works.com</t>
  </si>
  <si>
    <t>trevor15@adventure-works.com</t>
  </si>
  <si>
    <t>allison8@adventure-works.com</t>
  </si>
  <si>
    <t>jasmine21@adventure-works.com</t>
  </si>
  <si>
    <t>hailey11@adventure-works.com</t>
  </si>
  <si>
    <t>cody21@adventure-works.com</t>
  </si>
  <si>
    <t>sean25@adventure-works.com</t>
  </si>
  <si>
    <t>MISTY</t>
  </si>
  <si>
    <t>jared23@adventure-works.com</t>
  </si>
  <si>
    <t>CASSANDRA</t>
  </si>
  <si>
    <t>WAYNE</t>
  </si>
  <si>
    <t>wayne21@adventure-works.com</t>
  </si>
  <si>
    <t>JEFFERY</t>
  </si>
  <si>
    <t>tammy2@adventure-works.com</t>
  </si>
  <si>
    <t>PRISCILLA</t>
  </si>
  <si>
    <t>meredith27@adventure-works.com</t>
  </si>
  <si>
    <t>BROWNING</t>
  </si>
  <si>
    <t>amanda55@adventure-works.com</t>
  </si>
  <si>
    <t>LORI</t>
  </si>
  <si>
    <t>veronica14@adventure-works.com</t>
  </si>
  <si>
    <t>HEATHER</t>
  </si>
  <si>
    <t>CORY</t>
  </si>
  <si>
    <t>FERRIER</t>
  </si>
  <si>
    <t>roberto18@adventure-works.com</t>
  </si>
  <si>
    <t>WATSON</t>
  </si>
  <si>
    <t>seth12@adventure-works.com</t>
  </si>
  <si>
    <t>brandy16@adventure-works.com</t>
  </si>
  <si>
    <t>STEVE</t>
  </si>
  <si>
    <t>WAGNER</t>
  </si>
  <si>
    <t>steve5@adventure-works.com</t>
  </si>
  <si>
    <t>CHELSEA</t>
  </si>
  <si>
    <t>PAULA</t>
  </si>
  <si>
    <t>bradley19@adventure-works.com</t>
  </si>
  <si>
    <t>donna3@adventure-works.com</t>
  </si>
  <si>
    <t>TONI</t>
  </si>
  <si>
    <t>BARRY</t>
  </si>
  <si>
    <t>MANUEL</t>
  </si>
  <si>
    <t>PHILLIP</t>
  </si>
  <si>
    <t>trisha2@adventure-works.com</t>
  </si>
  <si>
    <t>CARMEN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</si>
  <si>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</si>
  <si>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</si>
  <si>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</si>
  <si>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</si>
  <si>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</si>
  <si>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</si>
  <si>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</si>
  <si>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</si>
  <si>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</si>
  <si>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</si>
  <si>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</si>
  <si>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</si>
  <si>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</si>
  <si>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</si>
  <si>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</si>
  <si>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</si>
  <si>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</si>
  <si>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</si>
  <si>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</si>
  <si>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TRACY</t>
  </si>
  <si>
    <t>tracy14@adventure-works.com</t>
  </si>
  <si>
    <t>ruben20@adventure-works.com</t>
  </si>
  <si>
    <t>SANDRA</t>
  </si>
  <si>
    <t>VAN</t>
  </si>
  <si>
    <t>tamara3@adventure-works.com</t>
  </si>
  <si>
    <t>joel8@adventure-works.com</t>
  </si>
  <si>
    <t>lance13@adventure-works.com</t>
  </si>
  <si>
    <t>dawn32@adventure-works.com</t>
  </si>
  <si>
    <t>maurice9@adventure-works.com</t>
  </si>
  <si>
    <t>barry18@adventure-works.com</t>
  </si>
  <si>
    <t>clarence8@adventure-works.com</t>
  </si>
  <si>
    <t>bonnie24@adventure-works.com</t>
  </si>
  <si>
    <t>DERRICK</t>
  </si>
  <si>
    <t>RACHEL</t>
  </si>
  <si>
    <t>aaron52@adventure-works.com</t>
  </si>
  <si>
    <t>larry17@adventure-works.com</t>
  </si>
  <si>
    <t>JOY</t>
  </si>
  <si>
    <t>KRISTA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</si>
  <si>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</si>
  <si>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</si>
  <si>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</si>
  <si>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</si>
  <si>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</si>
  <si>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</si>
  <si>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</si>
  <si>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</si>
  <si>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</si>
  <si>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</si>
  <si>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</si>
  <si>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george27@adventure-works.com</t>
  </si>
  <si>
    <t>christy2@adventure-works.com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</si>
  <si>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</si>
  <si>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</si>
  <si>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</si>
  <si>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</si>
  <si>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</si>
  <si>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</si>
  <si>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</si>
  <si>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ruth22@adventure-works.com</t>
  </si>
  <si>
    <t>jay13@adventure-works.com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</si>
  <si>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</si>
  <si>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</si>
  <si>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</si>
  <si>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</si>
  <si>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</si>
  <si>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</si>
  <si>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</si>
  <si>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</si>
  <si>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</si>
  <si>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andre15@adventure-works.com</t>
  </si>
  <si>
    <t>louis11@adventure-works.com</t>
  </si>
  <si>
    <t>ian19@adventure-works.com</t>
  </si>
  <si>
    <t>ian18@adventure-works.com</t>
  </si>
  <si>
    <t>heather18@adventure-works.com</t>
  </si>
  <si>
    <t>hannah25@adventure-works.com</t>
  </si>
  <si>
    <t>REBEKAH</t>
  </si>
  <si>
    <t>SAM</t>
  </si>
  <si>
    <t>miguel22@adventure-works.com</t>
  </si>
  <si>
    <t>TERESA</t>
  </si>
  <si>
    <t>teresa15@adventure-works.com</t>
  </si>
  <si>
    <t>LINDSEY</t>
  </si>
  <si>
    <t>lindsey1@adventure-works.com</t>
  </si>
  <si>
    <t>chloe78@adventure-works.com</t>
  </si>
  <si>
    <t>antonio14@adventure-works.com</t>
  </si>
  <si>
    <t>alexandra13@adventure-works.com</t>
  </si>
  <si>
    <t>jonathan60@adventure-works.com</t>
  </si>
  <si>
    <t>alexandra77@adventure-works.com</t>
  </si>
  <si>
    <t>JORDYN</t>
  </si>
  <si>
    <t>jordyn17@adventure-works.com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</si>
  <si>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</si>
  <si>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</si>
  <si>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</si>
  <si>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</si>
  <si>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</si>
  <si>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</si>
  <si>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</si>
  <si>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</si>
  <si>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joseph16@adventure-works.com</t>
  </si>
  <si>
    <t>mason18@adventure-works.com</t>
  </si>
  <si>
    <t>jeremy39@adventure-works.com</t>
  </si>
  <si>
    <t>jonathan36@adventure-works.com</t>
  </si>
  <si>
    <t>jamie26@adventure-works.com</t>
  </si>
  <si>
    <t>jaclyn39@adventure-works.com</t>
  </si>
  <si>
    <t>MARVIN</t>
  </si>
  <si>
    <t>marvin7@adventure-works.com</t>
  </si>
  <si>
    <t>RONNIE</t>
  </si>
  <si>
    <t>theodore20@adventure-works.com</t>
  </si>
  <si>
    <t>nicolas14@adventure-works.com</t>
  </si>
  <si>
    <t>derek4@adventure-works.com</t>
  </si>
  <si>
    <t>russell16@adventure-works.com</t>
  </si>
  <si>
    <t>DOUGLAS</t>
  </si>
  <si>
    <t>kelsey2@adventure-works.com</t>
  </si>
  <si>
    <t>yolanda3@adventure-works.com</t>
  </si>
  <si>
    <t>summer7@adventure-works.com</t>
  </si>
  <si>
    <t>adam38@adventure-works.com</t>
  </si>
  <si>
    <t>EVELYN</t>
  </si>
  <si>
    <t>RAUL</t>
  </si>
  <si>
    <t>janelle12@adventure-works.com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</si>
  <si>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</si>
  <si>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</si>
  <si>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</si>
  <si>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</si>
  <si>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</si>
  <si>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</si>
  <si>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madeline6@adventure-works.com</t>
  </si>
  <si>
    <t>robert57@adventure-works.com</t>
  </si>
  <si>
    <t>thomas35@adventure-works.com</t>
  </si>
  <si>
    <t>brianna26@adventure-works.com</t>
  </si>
  <si>
    <t>benjamin42@adventure-works.com</t>
  </si>
  <si>
    <t>kaitlyn86@adventure-works.com</t>
  </si>
  <si>
    <t>VANESSA</t>
  </si>
  <si>
    <t>vanessa20@adventure-works.com</t>
  </si>
  <si>
    <t>brooke13@adventure-works.com</t>
  </si>
  <si>
    <t>wyatt23@adventure-works.com</t>
  </si>
  <si>
    <t>fernando26@adventure-works.com</t>
  </si>
  <si>
    <t>DEVON</t>
  </si>
  <si>
    <t>sara16@adventure-works.com</t>
  </si>
  <si>
    <t>vanessa19@adventure-works.com</t>
  </si>
  <si>
    <t>grace13@adventure-works.com</t>
  </si>
  <si>
    <t>jason13@adventure-works.com</t>
  </si>
  <si>
    <t>robert54@adventure-works.com</t>
  </si>
  <si>
    <t>maria6@adventure-works.com</t>
  </si>
  <si>
    <t>morgan35@adventure-works.com</t>
  </si>
  <si>
    <t>isaiah17@adventure-works.com</t>
  </si>
  <si>
    <t>morgan55@adventure-works.com</t>
  </si>
  <si>
    <t>mary29@adventure-works.com</t>
  </si>
  <si>
    <t>PAIGE</t>
  </si>
  <si>
    <t>marcus7@adventure-works.com</t>
  </si>
  <si>
    <t>MOYER</t>
  </si>
  <si>
    <t>max10@adventure-works.com</t>
  </si>
  <si>
    <t>joe43@adventure-works.com</t>
  </si>
  <si>
    <t>felicia5@adventure-works.com</t>
  </si>
  <si>
    <t>barbara47@adventure-works.com</t>
  </si>
  <si>
    <t>carly17@adventure-works.com</t>
  </si>
  <si>
    <t>leslie4@adventure-works.com</t>
  </si>
  <si>
    <t>J�SUS</t>
  </si>
  <si>
    <t>j�sus15@adventure-works.com</t>
  </si>
  <si>
    <t>anna55@adventure-works.com</t>
  </si>
  <si>
    <t>grant18@adventure-works.com</t>
  </si>
  <si>
    <t>jaclyn4@adventure-works.com</t>
  </si>
  <si>
    <t>mayra14@adventure-works.com</t>
  </si>
  <si>
    <t>nichole2@adventure-works.com</t>
  </si>
  <si>
    <t>rafael38@adventure-works.com</t>
  </si>
  <si>
    <t>clarence37@adventure-works.com</t>
  </si>
  <si>
    <t>whitney10@adventure-works.com</t>
  </si>
  <si>
    <t>brooke11@adventure-works.com</t>
  </si>
  <si>
    <t>erica9@adventure-works.com</t>
  </si>
  <si>
    <t>anne22@adventure-works.com</t>
  </si>
  <si>
    <t>krystal20@adventure-works.com</t>
  </si>
  <si>
    <t>antonio18@adventure-works.com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</si>
  <si>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</si>
  <si>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</si>
  <si>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</si>
  <si>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</si>
  <si>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</si>
  <si>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</si>
  <si>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marc10@adventure-works.com</t>
  </si>
  <si>
    <t>reginald2@adventure-works.com</t>
  </si>
  <si>
    <t>jennifer89@adventure-works.com</t>
  </si>
  <si>
    <t>kevin45@adventure-works.com</t>
  </si>
  <si>
    <t>kristy11@adventure-works.com</t>
  </si>
  <si>
    <t>virginia15@adventure-works.com</t>
  </si>
  <si>
    <t>PAIS</t>
  </si>
  <si>
    <t>wilson0@adventure-works.com</t>
  </si>
  <si>
    <t>trisha10@adventure-works.com</t>
  </si>
  <si>
    <t>AUTUMN</t>
  </si>
  <si>
    <t>autumn1@adventure-works.com</t>
  </si>
  <si>
    <t>dennis24@adventure-works.com</t>
  </si>
  <si>
    <t>ethan33@adventure-works.com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</si>
  <si>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</si>
  <si>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</si>
  <si>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</si>
  <si>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</si>
  <si>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</si>
  <si>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</si>
  <si>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eduardo2@adventure-works.com</t>
  </si>
  <si>
    <t>jessica48@adventure-works.com</t>
  </si>
  <si>
    <t>dalton42@adventure-works.com</t>
  </si>
  <si>
    <t>carson6@adventure-works.com</t>
  </si>
  <si>
    <t>olivia15@adventure-works.com</t>
  </si>
  <si>
    <t>alexandria39@adventure-works.com</t>
  </si>
  <si>
    <t>adam45@adventure-works.com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</si>
  <si>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</si>
  <si>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</si>
  <si>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</si>
  <si>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</si>
  <si>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</si>
  <si>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</si>
  <si>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</si>
  <si>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</si>
  <si>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</si>
  <si>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</si>
  <si>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</si>
  <si>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</si>
  <si>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</si>
  <si>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</si>
  <si>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</si>
  <si>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</si>
  <si>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</si>
  <si>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</si>
  <si>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MICHELLE</t>
  </si>
  <si>
    <t>michelle9@adventure-works.com</t>
  </si>
  <si>
    <t>brendan19@adventure-works.com</t>
  </si>
  <si>
    <t>GREGORY</t>
  </si>
  <si>
    <t>gregory24@adventure-works.com</t>
  </si>
  <si>
    <t>KOV�R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</si>
  <si>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</si>
  <si>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</si>
  <si>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</si>
  <si>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</si>
  <si>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</si>
  <si>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</si>
  <si>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</si>
  <si>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</si>
  <si>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</si>
  <si>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</si>
  <si>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evelyn20@adventure-works.com</t>
  </si>
  <si>
    <t>sydney5@adventure-works.com</t>
  </si>
  <si>
    <t>jaclyn19@adventure-works.com</t>
  </si>
  <si>
    <t>catherine9@adventure-works.com</t>
  </si>
  <si>
    <t>kelli44@adventure-works.com</t>
  </si>
  <si>
    <t>lydia0@adventure-works.com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</si>
  <si>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</si>
  <si>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</si>
  <si>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</si>
  <si>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</si>
  <si>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</si>
  <si>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</si>
  <si>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</si>
  <si>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</si>
  <si>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</si>
  <si>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</si>
  <si>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carmen3@adventure-works.com</t>
  </si>
  <si>
    <t>xavier6@adventure-works.com</t>
  </si>
  <si>
    <t>gabrielle36@adventure-works.com</t>
  </si>
  <si>
    <t>bradley11@adventure-works.com</t>
  </si>
  <si>
    <t>willie24@adventure-works.com</t>
  </si>
  <si>
    <t>jose68@adventure-works.com</t>
  </si>
  <si>
    <t>wyatt24@adventure-works.com</t>
  </si>
  <si>
    <t>dalton71@adventure-works.com</t>
  </si>
  <si>
    <t>gabriella17@adventure-works.com</t>
  </si>
  <si>
    <t>kurt16@adventure-works.com</t>
  </si>
  <si>
    <t>taylor3@adventure-works.com</t>
  </si>
  <si>
    <t>megan43@adventure-works.com</t>
  </si>
  <si>
    <t>ANTHONY</t>
  </si>
  <si>
    <t>gloria9@adventure-works.com</t>
  </si>
  <si>
    <t>jonathan21@adventure-works.com</t>
  </si>
  <si>
    <t>NATASHA</t>
  </si>
  <si>
    <t>natasha8@adventure-works.com</t>
  </si>
  <si>
    <t>bailey11@adventure-works.com</t>
  </si>
  <si>
    <t>jerome10@adventure-works.com</t>
  </si>
  <si>
    <t>cassidy19@adventure-works.com</t>
  </si>
  <si>
    <t>ethan11@adventure-works.com</t>
  </si>
  <si>
    <t>logan32@adventure-works.com</t>
  </si>
  <si>
    <t>elijah43@adventure-works.com</t>
  </si>
  <si>
    <t>isabella49@adventure-works.com</t>
  </si>
  <si>
    <t>madeline20@adventure-works.com</t>
  </si>
  <si>
    <t>amanda19@adventure-works.com</t>
  </si>
  <si>
    <t>j�sus18@adventure-works.com</t>
  </si>
  <si>
    <t>jenna10@adventure-works.com</t>
  </si>
  <si>
    <t>chloe83@adventure-works.com</t>
  </si>
  <si>
    <t>richard61@adventure-works.com</t>
  </si>
  <si>
    <t>devin86@adventure-works.com</t>
  </si>
  <si>
    <t>john39@adventure-works.com</t>
  </si>
  <si>
    <t>MATTHEW</t>
  </si>
  <si>
    <t>alyssa4@adventure-works.com</t>
  </si>
  <si>
    <t>hailey53@adventure-works.com</t>
  </si>
  <si>
    <t>zachary24@adventure-works.com</t>
  </si>
  <si>
    <t>isabella73@adventure-works.com</t>
  </si>
  <si>
    <t>jordan48@adventure-works.com</t>
  </si>
  <si>
    <t>kate19@adventure-works.com</t>
  </si>
  <si>
    <t>rachel17@adventure-works.com</t>
  </si>
  <si>
    <t>elizabeth26@adventure-works.com</t>
  </si>
  <si>
    <t>joshua24@adventure-works.com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</si>
  <si>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</si>
  <si>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</si>
  <si>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</si>
  <si>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</si>
  <si>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</si>
  <si>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dakota17@adventure-works.com</t>
  </si>
  <si>
    <t>hannah18@adventure-works.com</t>
  </si>
  <si>
    <t>brandon50@adventure-works.com</t>
  </si>
  <si>
    <t>jackson42@adventure-works.com</t>
  </si>
  <si>
    <t>paula20@adventure-works.com</t>
  </si>
  <si>
    <t>anna51@adventure-works.com</t>
  </si>
  <si>
    <t>vanessa4@adventure-works.com</t>
  </si>
  <si>
    <t>sara5@adventure-works.com</t>
  </si>
  <si>
    <t>jordan71@adventure-works.com</t>
  </si>
  <si>
    <t>lucas24@adventure-works.com</t>
  </si>
  <si>
    <t>angel16@adventure-works.com</t>
  </si>
  <si>
    <t>charles60@adventure-works.com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</si>
  <si>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</si>
  <si>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</si>
  <si>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</si>
  <si>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</si>
  <si>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</si>
  <si>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</si>
  <si>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jake1@adventure-works.com</t>
  </si>
  <si>
    <t>natalie45@adventure-works.com</t>
  </si>
  <si>
    <t>gregory18@adventure-works.com</t>
  </si>
  <si>
    <t>noah44@adventure-works.com</t>
  </si>
  <si>
    <t>mariah35@adventure-works.com</t>
  </si>
  <si>
    <t>jordyn5@adventure-works.com</t>
  </si>
  <si>
    <t>ERIC</t>
  </si>
  <si>
    <t>eric49@adventure-works.com</t>
  </si>
  <si>
    <t>jackson5@adventure-works.com</t>
  </si>
  <si>
    <t>blake65@adventure-works.com</t>
  </si>
  <si>
    <t>ian42@adventure-works.com</t>
  </si>
  <si>
    <t>cameron28@adventure-works.com</t>
  </si>
  <si>
    <t>destiny29@adventure-works.com</t>
  </si>
  <si>
    <t>savannah22@adventure-works.com</t>
  </si>
  <si>
    <t>mariah9@adventure-works.com</t>
  </si>
  <si>
    <t>katherine61@adventure-works.com</t>
  </si>
  <si>
    <t>richard100@adventure-works.com</t>
  </si>
  <si>
    <t>natalie63@adventure-works.com</t>
  </si>
  <si>
    <t>mario21@adventure-works.com</t>
  </si>
  <si>
    <t>danielle24@adventure-works.com</t>
  </si>
  <si>
    <t>julia33@adventure-works.com</t>
  </si>
  <si>
    <t>erin18@adventure-works.com</t>
  </si>
  <si>
    <t>gabriel35@adventure-works.com</t>
  </si>
  <si>
    <t>jennifer40@adventure-works.com</t>
  </si>
  <si>
    <t>ethan14@adventure-works.com</t>
  </si>
  <si>
    <t>lauren53@adventure-works.com</t>
  </si>
  <si>
    <t>jordan33@adventure-works.com</t>
  </si>
  <si>
    <t>jasmine9@adventure-works.com</t>
  </si>
  <si>
    <t>jose78@adventure-works.com</t>
  </si>
  <si>
    <t>taylor49@adventure-works.com</t>
  </si>
  <si>
    <t>gabrielle35@adventure-works.com</t>
  </si>
  <si>
    <t>BRYAN</t>
  </si>
  <si>
    <t>bryan4@adventure-works.com</t>
  </si>
  <si>
    <t>jessie33@adventure-works.com</t>
  </si>
  <si>
    <t>tracy11@adventure-works.com</t>
  </si>
  <si>
    <t>GAIL</t>
  </si>
  <si>
    <t>gail7@adventure-works.com</t>
  </si>
  <si>
    <t>chloe86@adventure-works.com</t>
  </si>
  <si>
    <t>paula17@adventure-works.com</t>
  </si>
  <si>
    <t>jasmine11@adventure-works.com</t>
  </si>
  <si>
    <t>katelyn37@adventure-works.com</t>
  </si>
  <si>
    <t>destiny36@adventure-works.com</t>
  </si>
  <si>
    <t>jerome3@adventure-works.com</t>
  </si>
  <si>
    <t>victoria4@adventure-works.com</t>
  </si>
  <si>
    <t>kaitlyn0@adventure-works.com</t>
  </si>
  <si>
    <t>amanda11@adventure-works.com</t>
  </si>
  <si>
    <t>sydney59@adventure-works.com</t>
  </si>
  <si>
    <t>anthony12@adventure-works.com</t>
  </si>
  <si>
    <t>jay17@adventure-works.com</t>
  </si>
  <si>
    <t>MARTHA</t>
  </si>
  <si>
    <t>martha20@adventure-works.com</t>
  </si>
  <si>
    <t>mariah3@adventure-works.com</t>
  </si>
  <si>
    <t>SIMON</t>
  </si>
  <si>
    <t>katherine27@adventure-works.com</t>
  </si>
  <si>
    <t>alexia6@adventure-works.com</t>
  </si>
  <si>
    <t>haley37@adventure-works.com</t>
  </si>
  <si>
    <t>marcus18@adventure-works.com</t>
  </si>
  <si>
    <t>emily15@adventure-works.com</t>
  </si>
  <si>
    <t>jennifer50@adventure-works.com</t>
  </si>
  <si>
    <t>christian3@adventure-works.com</t>
  </si>
  <si>
    <t>beth10@adventure-works.com</t>
  </si>
  <si>
    <t>ernest4@adventure-works.com</t>
  </si>
  <si>
    <t>RAY</t>
  </si>
  <si>
    <t>brendan17@adventure-works.com</t>
  </si>
  <si>
    <t>lucas64@adventure-works.com</t>
  </si>
  <si>
    <t>carol13@adventure-works.com</t>
  </si>
  <si>
    <t>sandra18@adventure-works.com</t>
  </si>
  <si>
    <t>cheryl18@adventure-works.com</t>
  </si>
  <si>
    <t>cassandra4@adventure-works.com</t>
  </si>
  <si>
    <t>arianna34@adventure-works.com</t>
  </si>
  <si>
    <t>jill14@adventure-works.com</t>
  </si>
  <si>
    <t>trevor11@adventure-works.com</t>
  </si>
  <si>
    <t>tammy9@adventure-works.com</t>
  </si>
  <si>
    <t>alisha43@adventure-works.com</t>
  </si>
  <si>
    <t>KAREN</t>
  </si>
  <si>
    <t>karen21@adventure-works.com</t>
  </si>
  <si>
    <t>SABRINA</t>
  </si>
  <si>
    <t>sabrina9@adventure-works.com</t>
  </si>
  <si>
    <t>tiffany10@adventure-works.com</t>
  </si>
  <si>
    <t>alicia1@adventure-works.com</t>
  </si>
  <si>
    <t>theodore12@adventure-works.com</t>
  </si>
  <si>
    <t>gabriella23@adventure-works.com</t>
  </si>
  <si>
    <t>cole23@adventure-works.com</t>
  </si>
  <si>
    <t>VALERIE</t>
  </si>
  <si>
    <t>GERRIT</t>
  </si>
  <si>
    <t>STRAATSMA</t>
  </si>
  <si>
    <t>gerrit0@adventure-works.com</t>
  </si>
  <si>
    <t>RONALD</t>
  </si>
  <si>
    <t>TERRY</t>
  </si>
  <si>
    <t>TONY</t>
  </si>
  <si>
    <t>tony18@adventure-works.com</t>
  </si>
  <si>
    <t>kaylee22@adventure-works.com</t>
  </si>
  <si>
    <t>wyatt53@adventure-works.com</t>
  </si>
  <si>
    <t>miguel39@adventure-works.com</t>
  </si>
  <si>
    <t>andres0@adventure-works.com</t>
  </si>
  <si>
    <t>SHEILA</t>
  </si>
  <si>
    <t>DOMINIC</t>
  </si>
  <si>
    <t>evan12@adventure-works.com</t>
  </si>
  <si>
    <t>jessie38@adventure-works.com</t>
  </si>
  <si>
    <t>victoria6@adventure-works.com</t>
  </si>
  <si>
    <t>blake38@adventure-works.com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</si>
  <si>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</si>
  <si>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</si>
  <si>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</si>
  <si>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</si>
  <si>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</si>
  <si>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marcus52@adventure-works.com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</si>
  <si>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</si>
  <si>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</si>
  <si>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</si>
  <si>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</si>
  <si>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</si>
  <si>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taylor1@adventure-works.com</t>
  </si>
  <si>
    <t>jason24@adventure-works.com</t>
  </si>
  <si>
    <t>walter12@adventure-works.com</t>
  </si>
  <si>
    <t>sydney46@adventure-works.com</t>
  </si>
  <si>
    <t>kristi36@adventure-works.com</t>
  </si>
  <si>
    <t>dennis19@adventure-works.com</t>
  </si>
  <si>
    <t>cole17@adventure-works.com</t>
  </si>
  <si>
    <t>haley4@adventure-works.com</t>
  </si>
  <si>
    <t>joe37@adventure-works.com</t>
  </si>
  <si>
    <t>ross27@adventure-works.com</t>
  </si>
  <si>
    <t>brendan6@adventure-works.com</t>
  </si>
  <si>
    <t>manuel13@adventure-works.com</t>
  </si>
  <si>
    <t>jason14@adventure-works.com</t>
  </si>
  <si>
    <t>bryan16@adventure-works.com</t>
  </si>
  <si>
    <t>logan26@adventure-works.com</t>
  </si>
  <si>
    <t>colleen36@adventure-works.com</t>
  </si>
  <si>
    <t>bryant13@adventure-works.com</t>
  </si>
  <si>
    <t>sandra8@adventure-works.com</t>
  </si>
  <si>
    <t>joanna6@adventure-works.com</t>
  </si>
  <si>
    <t>MARISSA</t>
  </si>
  <si>
    <t>margaret26@adventure-works.com</t>
  </si>
  <si>
    <t>CANDICE</t>
  </si>
  <si>
    <t>manuel6@adventure-works.com</t>
  </si>
  <si>
    <t>TOMMY</t>
  </si>
  <si>
    <t>tommy9@adventure-works.com</t>
  </si>
  <si>
    <t>RILEY</t>
  </si>
  <si>
    <t>WARE</t>
  </si>
  <si>
    <t>chloe43@adventure-works.com</t>
  </si>
  <si>
    <t>stephanie29@adventure-works.com</t>
  </si>
  <si>
    <t>gregory7@adventure-works.com</t>
  </si>
  <si>
    <t>zachary9@adventure-works.com</t>
  </si>
  <si>
    <t>elijah19@adventure-works.com</t>
  </si>
  <si>
    <t>angel6@adventure-works.com</t>
  </si>
  <si>
    <t>noah8@adventure-works.com</t>
  </si>
  <si>
    <t>brianna22@adventure-works.com</t>
  </si>
  <si>
    <t>chloe30@adventure-works.com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</si>
  <si>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</si>
  <si>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</si>
  <si>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</si>
  <si>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</si>
  <si>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</si>
  <si>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amanda13@adventure-works.com</t>
  </si>
  <si>
    <t>lydia9@adventure-works.com</t>
  </si>
  <si>
    <t>thomas56@adventure-works.com</t>
  </si>
  <si>
    <t>cynthia13@adventure-works.com</t>
  </si>
  <si>
    <t>nicole63@adventure-works.com</t>
  </si>
  <si>
    <t>nathan49@adventure-works.com</t>
  </si>
  <si>
    <t>alexandra62@adventure-works.com</t>
  </si>
  <si>
    <t>kaitlyn62@adventure-works.com</t>
  </si>
  <si>
    <t>paige20@adventure-works.com</t>
  </si>
  <si>
    <t>allison44@adventure-works.com</t>
  </si>
  <si>
    <t>jackson25@adventure-works.com</t>
  </si>
  <si>
    <t>melissa6@adventure-works.com</t>
  </si>
  <si>
    <t>aidan18@adventure-works.com</t>
  </si>
  <si>
    <t>MICHAEL</t>
  </si>
  <si>
    <t>charles65@adventure-works.com</t>
  </si>
  <si>
    <t>samantha39@adventure-works.com</t>
  </si>
  <si>
    <t>brianna40@adventure-works.com</t>
  </si>
  <si>
    <t>emma29@adventure-works.com</t>
  </si>
  <si>
    <t>gabrielle9@adventure-works.com</t>
  </si>
  <si>
    <t>devon16@adventure-works.com</t>
  </si>
  <si>
    <t>ana16@adventure-works.com</t>
  </si>
  <si>
    <t>marcus83@adventure-works.com</t>
  </si>
  <si>
    <t>shaun10@adventure-works.com</t>
  </si>
  <si>
    <t>donald10@adventure-works.com</t>
  </si>
  <si>
    <t>willie13@adventure-works.com</t>
  </si>
  <si>
    <t>brittney19@adventure-works.com</t>
  </si>
  <si>
    <t>claudia2@adventure-works.com</t>
  </si>
  <si>
    <t>brett14@adventure-works.com</t>
  </si>
  <si>
    <t>ebony15@adventure-works.com</t>
  </si>
  <si>
    <t>pamela16@adventure-works.com</t>
  </si>
  <si>
    <t>carmen2@adventure-works.com</t>
  </si>
  <si>
    <t>rebekah26@adventure-works.com</t>
  </si>
  <si>
    <t>michele9@adventure-works.com</t>
  </si>
  <si>
    <t>adriana2@adventure-works.com</t>
  </si>
  <si>
    <t>frank22@adventure-works.com</t>
  </si>
  <si>
    <t>katrina3@adventure-works.com</t>
  </si>
  <si>
    <t>krista0@adventure-works.com</t>
  </si>
  <si>
    <t>ronald3@adventure-works.com</t>
  </si>
  <si>
    <t>DAISY</t>
  </si>
  <si>
    <t>daisy5@adventure-works.com</t>
  </si>
  <si>
    <t>colleen42@adventure-works.com</t>
  </si>
  <si>
    <t>seth19@adventure-works.com</t>
  </si>
  <si>
    <t>SARAIVA</t>
  </si>
  <si>
    <t>jos�5@adventure-works.com</t>
  </si>
  <si>
    <t>maria17@adventure-works.com</t>
  </si>
  <si>
    <t>caroline17@adventure-works.com</t>
  </si>
  <si>
    <t>rafael10@adventure-works.com</t>
  </si>
  <si>
    <t>eduardo29@adventure-works.com</t>
  </si>
  <si>
    <t>TABITHA</t>
  </si>
  <si>
    <t>jonathan65@adventure-works.com</t>
  </si>
  <si>
    <t>elizabeth22@adventure-works.com</t>
  </si>
  <si>
    <t>lauren49@adventure-works.com</t>
  </si>
  <si>
    <t>isabella43@adventure-works.com</t>
  </si>
  <si>
    <t>james19@adventure-works.com</t>
  </si>
  <si>
    <t>sydney13@adventure-works.com</t>
  </si>
  <si>
    <t>seth63@adventure-works.com</t>
  </si>
  <si>
    <t>wyatt10@adventure-works.com</t>
  </si>
  <si>
    <t>taylor36@adventure-works.com</t>
  </si>
  <si>
    <t>christina5@adventure-works.com</t>
  </si>
  <si>
    <t>jessica65@adventure-works.com</t>
  </si>
  <si>
    <t>stefanie9@adventure-works.com</t>
  </si>
  <si>
    <t>victor18@adventure-works.com</t>
  </si>
  <si>
    <t>madison47@adventure-works.com</t>
  </si>
  <si>
    <t>cassie11@adventure-works.com</t>
  </si>
  <si>
    <t>carla12@adventure-works.com</t>
  </si>
  <si>
    <t>katherine75@adventure-works.com</t>
  </si>
  <si>
    <t>carrie8@adventure-works.com</t>
  </si>
  <si>
    <t>douglas5@adventure-works.com</t>
  </si>
  <si>
    <t>JODI</t>
  </si>
  <si>
    <t>jodi7@adventure-works.com</t>
  </si>
  <si>
    <t>troy17@adventure-works.com</t>
  </si>
  <si>
    <t>bryant15@adventure-works.com</t>
  </si>
  <si>
    <t>john48@adventure-works.com</t>
  </si>
  <si>
    <t>gabrielle11@adventure-works.com</t>
  </si>
  <si>
    <t>jack4@adventure-works.com</t>
  </si>
  <si>
    <t>kayla28@adventure-works.com</t>
  </si>
  <si>
    <t>MAURIZIO</t>
  </si>
  <si>
    <t>MACAGNO</t>
  </si>
  <si>
    <t>maurizio0@adventure-works.com</t>
  </si>
  <si>
    <t>ZIMMERMAN</t>
  </si>
  <si>
    <t>evelyn1@adventure-works.com</t>
  </si>
  <si>
    <t>ian14@adventure-works.com</t>
  </si>
  <si>
    <t>jon29@adventure-works.com</t>
  </si>
  <si>
    <t>meghan2@adventure-works.com</t>
  </si>
  <si>
    <t>shannon9@adventure-works.com</t>
  </si>
  <si>
    <t>ronnie16@adventure-works.com</t>
  </si>
  <si>
    <t>sharon20@adventure-works.com</t>
  </si>
  <si>
    <t>zachary25@adventure-works.com</t>
  </si>
  <si>
    <t>anna43@adventure-works.com</t>
  </si>
  <si>
    <t>elizabeth34@adventure-works.com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</si>
  <si>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</si>
  <si>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</si>
  <si>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</si>
  <si>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</si>
  <si>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</si>
  <si>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</si>
  <si>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dominic8@adventure-works.com</t>
  </si>
  <si>
    <t>ethan52@adventure-works.com</t>
  </si>
  <si>
    <t>charles37@adventure-works.com</t>
  </si>
  <si>
    <t>emma35@adventure-works.com</t>
  </si>
  <si>
    <t>elijah1@adventure-works.com</t>
  </si>
  <si>
    <t>courtney7@adventure-works.com</t>
  </si>
  <si>
    <t>aidan2@adventure-works.com</t>
  </si>
  <si>
    <t>mary28@adventure-works.com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</si>
  <si>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</si>
  <si>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</si>
  <si>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</si>
  <si>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</si>
  <si>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</si>
  <si>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</si>
  <si>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jessica33@adventure-works.com</t>
  </si>
  <si>
    <t>stacy12@adventure-works.com</t>
  </si>
  <si>
    <t>noah0@adventure-works.com</t>
  </si>
  <si>
    <t>max8@adventure-works.com</t>
  </si>
  <si>
    <t>bonnie8@adventure-works.com</t>
  </si>
  <si>
    <t>henry17@adventure-works.com</t>
  </si>
  <si>
    <t>rosa0@adventure-works.com</t>
  </si>
  <si>
    <t>terry7@adventure-works.com</t>
  </si>
  <si>
    <t>ashlee8@adventure-works.com</t>
  </si>
  <si>
    <t>crystal16@adventure-works.com</t>
  </si>
  <si>
    <t>michael38@adventure-works.com</t>
  </si>
  <si>
    <t>steve17@adventure-works.com</t>
  </si>
  <si>
    <t>colleen39@adventure-works.com</t>
  </si>
  <si>
    <t>abby5@adventure-works.com</t>
  </si>
  <si>
    <t>riley13@adventure-works.com</t>
  </si>
  <si>
    <t>audrey7@adventure-works.com</t>
  </si>
  <si>
    <t>stacy1@adventure-works.com</t>
  </si>
  <si>
    <t>madison34@adventure-works.com</t>
  </si>
  <si>
    <t>diane7@adventure-works.com</t>
  </si>
  <si>
    <t>dana18@adventure-works.com</t>
  </si>
  <si>
    <t>jessica62@adventure-works.com</t>
  </si>
  <si>
    <t>nelson9@adventure-works.com</t>
  </si>
  <si>
    <t>miguel33@adventure-works.com</t>
  </si>
  <si>
    <t>ernest12@adventure-works.com</t>
  </si>
  <si>
    <t>isabella2@adventure-works.com</t>
  </si>
  <si>
    <t>darren26@adventure-works.com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</si>
  <si>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</si>
  <si>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</si>
  <si>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</si>
  <si>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</si>
  <si>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</si>
  <si>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</si>
  <si>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adam39@adventure-works.com</t>
  </si>
  <si>
    <t>misty2@adventure-works.com</t>
  </si>
  <si>
    <t>ariana20@adventure-works.com</t>
  </si>
  <si>
    <t>andrea10@adventure-works.com</t>
  </si>
  <si>
    <t>jessica28@adventure-works.com</t>
  </si>
  <si>
    <t>kathryn15@adventure-works.com</t>
  </si>
  <si>
    <t>kristi7@adventure-works.com</t>
  </si>
  <si>
    <t>kyle18@adventure-works.com</t>
  </si>
  <si>
    <t>savannah2@adventure-works.com</t>
  </si>
  <si>
    <t>james65@adventure-works.com</t>
  </si>
  <si>
    <t>connor45@adventure-works.com</t>
  </si>
  <si>
    <t>alexia10@adventure-works.com</t>
  </si>
  <si>
    <t>arianna19@adventure-works.com</t>
  </si>
  <si>
    <t>emma8@adventure-works.com</t>
  </si>
  <si>
    <t>chloe10@adventure-works.com</t>
  </si>
  <si>
    <t>arianna27@adventure-works.com</t>
  </si>
  <si>
    <t>katherine15@adventure-works.com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</si>
  <si>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</si>
  <si>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</si>
  <si>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</si>
  <si>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</si>
  <si>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</si>
  <si>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</si>
  <si>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</si>
  <si>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brendan4@adventure-works.com</t>
  </si>
  <si>
    <t>cory19@adventure-works.com</t>
  </si>
  <si>
    <t>carmen14@adventure-works.com</t>
  </si>
  <si>
    <t>emma56@adventure-works.com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</si>
  <si>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</si>
  <si>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</si>
  <si>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</si>
  <si>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</si>
  <si>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</si>
  <si>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</si>
  <si>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</si>
  <si>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</si>
  <si>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</si>
  <si>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krista10@adventure-works.com</t>
  </si>
  <si>
    <t>lacey0@adventure-works.com</t>
  </si>
  <si>
    <t>leonard13@adventure-works.com</t>
  </si>
  <si>
    <t>edwin9@adventure-works.com</t>
  </si>
  <si>
    <t>derrick13@adventure-works.com</t>
  </si>
  <si>
    <t>bridget6@adventure-works.com</t>
  </si>
  <si>
    <t>julio15@adventure-works.com</t>
  </si>
  <si>
    <t>dalton29@adventure-works.com</t>
  </si>
  <si>
    <t>randy23@adventure-works.com</t>
  </si>
  <si>
    <t>jamie44@adventure-works.com</t>
  </si>
  <si>
    <t>rodney12@adventure-works.com</t>
  </si>
  <si>
    <t>REGINA</t>
  </si>
  <si>
    <t>regina3@adventure-works.com</t>
  </si>
  <si>
    <t>nelson16@adventure-works.com</t>
  </si>
  <si>
    <t>edwin11@adventure-works.com</t>
  </si>
  <si>
    <t>stefanie4@adventure-works.com</t>
  </si>
  <si>
    <t>angel8@adventure-works.com</t>
  </si>
  <si>
    <t>robert80@adventure-works.com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</si>
  <si>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</si>
  <si>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</si>
  <si>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</si>
  <si>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</si>
  <si>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</si>
  <si>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daniel9@adventure-works.com</t>
  </si>
  <si>
    <t>amanda16@adventure-works.com</t>
  </si>
  <si>
    <t>juan10@adventure-works.com</t>
  </si>
  <si>
    <t>casey4@adventure-works.com</t>
  </si>
  <si>
    <t>meghan14@adventure-works.com</t>
  </si>
  <si>
    <t>bonnie12@adventure-works.com</t>
  </si>
  <si>
    <t>joshua8@adventure-works.com</t>
  </si>
  <si>
    <t>harold11@adventure-works.com</t>
  </si>
  <si>
    <t>roger50@adventure-works.com</t>
  </si>
  <si>
    <t>patrick10@adventure-works.com</t>
  </si>
  <si>
    <t>jaime21@adventure-works.com</t>
  </si>
  <si>
    <t>julio20@adventure-works.com</t>
  </si>
  <si>
    <t>lisa17@adventure-works.com</t>
  </si>
  <si>
    <t>margaret22@adventure-works.com</t>
  </si>
  <si>
    <t>jaime9@adventure-works.com</t>
  </si>
  <si>
    <t>kari6@adventure-works.com</t>
  </si>
  <si>
    <t>erik21@adventure-works.com</t>
  </si>
  <si>
    <t>dana20@adventure-works.com</t>
  </si>
  <si>
    <t>alfredo11@adventure-works.com</t>
  </si>
  <si>
    <t>krista11@adventure-works.com</t>
  </si>
  <si>
    <t>whitney12@adventure-works.com</t>
  </si>
  <si>
    <t>tasha16@adventure-works.com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</si>
  <si>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</si>
  <si>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</si>
  <si>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</si>
  <si>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</si>
  <si>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</si>
  <si>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</si>
  <si>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</si>
  <si>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</si>
  <si>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robin15@adventure-works.com</t>
  </si>
  <si>
    <t>colleen22@adventure-works.com</t>
  </si>
  <si>
    <t>martin14@adventure-works.com</t>
  </si>
  <si>
    <t>morgan71@adventure-works.com</t>
  </si>
  <si>
    <t>brenda6@adventure-works.com</t>
  </si>
  <si>
    <t>shawn12@adventure-works.com</t>
  </si>
  <si>
    <t>shannon31@adventure-works.com</t>
  </si>
  <si>
    <t>erika5@adventure-works.com</t>
  </si>
  <si>
    <t>mackenzie5@adventure-works.com</t>
  </si>
  <si>
    <t>dana5@adventure-works.com</t>
  </si>
  <si>
    <t>nelson21@adventure-works.com</t>
  </si>
  <si>
    <t>jamie22@adventure-works.com</t>
  </si>
  <si>
    <t>nina19@adventure-works.com</t>
  </si>
  <si>
    <t>sara45@adventure-works.com</t>
  </si>
  <si>
    <t>isaac0@adventure-works.com</t>
  </si>
  <si>
    <t>kayla44@adventure-works.com</t>
  </si>
  <si>
    <t>andres4@adventure-works.com</t>
  </si>
  <si>
    <t>samuel48@adventure-works.com</t>
  </si>
  <si>
    <t>erik19@adventure-works.com</t>
  </si>
  <si>
    <t>edwin6@adventure-works.com</t>
  </si>
  <si>
    <t>isaiah20@adventure-works.com</t>
  </si>
  <si>
    <t>joe5@adventure-works.com</t>
  </si>
  <si>
    <t>SIMPSON</t>
  </si>
  <si>
    <t>mindy6@adventure-works.com</t>
  </si>
  <si>
    <t>david84@adventure-works.com</t>
  </si>
  <si>
    <t>jada6@adventure-works.com</t>
  </si>
  <si>
    <t>carla5@adventure-works.com</t>
  </si>
  <si>
    <t>evan26@adventure-works.com</t>
  </si>
  <si>
    <t>dalton77@adventure-works.com</t>
  </si>
  <si>
    <t>megan26@adventure-works.com</t>
  </si>
  <si>
    <t>mya21@adventure-works.com</t>
  </si>
  <si>
    <t>jay16@adventure-works.com</t>
  </si>
  <si>
    <t>stephanie61@adventure-works.com</t>
  </si>
  <si>
    <t>logan10@adventure-works.com</t>
  </si>
  <si>
    <t>katelyn4@adventure-works.com</t>
  </si>
  <si>
    <t>edward38@adventure-works.com</t>
  </si>
  <si>
    <t>brianna9@adventure-works.com</t>
  </si>
  <si>
    <t>haley29@adventure-works.com</t>
  </si>
  <si>
    <t>christy26@adventure-works.com</t>
  </si>
  <si>
    <t>dylan34@adventure-works.com</t>
  </si>
  <si>
    <t>brandon36@adventure-works.com</t>
  </si>
  <si>
    <t>alexandria17@adventure-works.com</t>
  </si>
  <si>
    <t>eduardo72@adventure-works.com</t>
  </si>
  <si>
    <t>eduardo68@adventure-works.com</t>
  </si>
  <si>
    <t>blake42@adventure-works.com</t>
  </si>
  <si>
    <t>evan41@adventure-works.com</t>
  </si>
  <si>
    <t>elijah24@adventure-works.com</t>
  </si>
  <si>
    <t>fernando11@adventure-works.com</t>
  </si>
  <si>
    <t>brianna37@adventure-works.com</t>
  </si>
  <si>
    <t>marie27@adventure-works.com</t>
  </si>
  <si>
    <t>rachel65@adventure-works.com</t>
  </si>
  <si>
    <t>marie33@adventure-works.com</t>
  </si>
  <si>
    <t>noah21@adventure-works.com</t>
  </si>
  <si>
    <t>lacey37@adventure-works.com</t>
  </si>
  <si>
    <t>ashlee5@adventure-works.com</t>
  </si>
  <si>
    <t>carson2@adventure-works.com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</si>
  <si>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</si>
  <si>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</si>
  <si>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</si>
  <si>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</si>
  <si>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</si>
  <si>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</si>
  <si>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corey7@adventure-works.com</t>
  </si>
  <si>
    <t>craig11@adventure-works.com</t>
  </si>
  <si>
    <t>aidan19@adventure-works.com</t>
  </si>
  <si>
    <t>victoria42@adventure-works.com</t>
  </si>
  <si>
    <t>alyssa12@adventure-works.com</t>
  </si>
  <si>
    <t>connor32@adventure-works.com</t>
  </si>
  <si>
    <t>cameron13@adventure-works.com</t>
  </si>
  <si>
    <t>miguel65@adventure-works.com</t>
  </si>
  <si>
    <t>donna7@adventure-works.com</t>
  </si>
  <si>
    <t>amanda42@adventure-works.com</t>
  </si>
  <si>
    <t>nathan52@adventure-works.com</t>
  </si>
  <si>
    <t>victoria1@adventure-works.com</t>
  </si>
  <si>
    <t>joan14@adventure-works.com</t>
  </si>
  <si>
    <t>natalie74@adventure-works.com</t>
  </si>
  <si>
    <t>julia29@adventure-works.com</t>
  </si>
  <si>
    <t>jose19@adventure-works.com</t>
  </si>
  <si>
    <t>mackenzie13@adventure-works.com</t>
  </si>
  <si>
    <t>sydney80@adventure-works.com</t>
  </si>
  <si>
    <t>eduardo77@adventure-works.com</t>
  </si>
  <si>
    <t>katherine84@adventure-works.com</t>
  </si>
  <si>
    <t>jay8@adventure-works.com</t>
  </si>
  <si>
    <t>alvin11@adventure-works.com</t>
  </si>
  <si>
    <t>carlos35@adventure-works.com</t>
  </si>
  <si>
    <t>kelly25@adventure-works.com</t>
  </si>
  <si>
    <t>jade12@adventure-works.com</t>
  </si>
  <si>
    <t>richard93@adventure-works.com</t>
  </si>
  <si>
    <t>aaron26@adventure-works.com</t>
  </si>
  <si>
    <t>alvin30@adventure-works.com</t>
  </si>
  <si>
    <t>adam26@adventure-works.com</t>
  </si>
  <si>
    <t>jon8@adventure-works.com</t>
  </si>
  <si>
    <t>isabelle3@adventure-works.com</t>
  </si>
  <si>
    <t>ian41@adventure-works.com</t>
  </si>
  <si>
    <t>donald2@adventure-works.com</t>
  </si>
  <si>
    <t>adriana18@adventure-works.com</t>
  </si>
  <si>
    <t>bethany20@adventure-works.com</t>
  </si>
  <si>
    <t>elijah32@adventure-works.com</t>
  </si>
  <si>
    <t>caleb27@adventure-works.com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</si>
  <si>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</si>
  <si>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</si>
  <si>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</si>
  <si>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</si>
  <si>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</si>
  <si>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faith14@adventure-works.com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</si>
  <si>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</si>
  <si>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</si>
  <si>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</si>
  <si>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</si>
  <si>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</si>
  <si>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</si>
  <si>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clinton1@adventure-works.com</t>
  </si>
  <si>
    <t>eduardo11@adventure-works.com</t>
  </si>
  <si>
    <t>troy9@adventure-works.com</t>
  </si>
  <si>
    <t>nichole4@adventure-works.com</t>
  </si>
  <si>
    <t>clayton31@adventure-works.com</t>
  </si>
  <si>
    <t>gloria19@adventure-works.com</t>
  </si>
  <si>
    <t>melinda2@adventure-works.com</t>
  </si>
  <si>
    <t>barbara11@adventure-works.com</t>
  </si>
  <si>
    <t>gerald37@adventure-works.com</t>
  </si>
  <si>
    <t>deanna26@adventure-works.com</t>
  </si>
  <si>
    <t>darryl10@adventure-works.com</t>
  </si>
  <si>
    <t>marcus72@adventure-works.com</t>
  </si>
  <si>
    <t>angela43@adventure-works.com</t>
  </si>
  <si>
    <t>april9@adventure-works.com</t>
  </si>
  <si>
    <t>brandon48@adventure-works.com</t>
  </si>
  <si>
    <t>megan38@adventure-works.com</t>
  </si>
  <si>
    <t>jill22@adventure-works.com</t>
  </si>
  <si>
    <t>hector15@adventure-works.com</t>
  </si>
  <si>
    <t>erick15@adventure-works.com</t>
  </si>
  <si>
    <t>PAUL</t>
  </si>
  <si>
    <t>SUURS</t>
  </si>
  <si>
    <t>paul8@adventure-works.com</t>
  </si>
  <si>
    <t>RAHEEM</t>
  </si>
  <si>
    <t>tommy14@adventure-works.com</t>
  </si>
  <si>
    <t>jay37@adventure-works.com</t>
  </si>
  <si>
    <t>tyrone18@adventure-works.com</t>
  </si>
  <si>
    <t>robin11@adventure-works.com</t>
  </si>
  <si>
    <t>julian6@adventure-works.com</t>
  </si>
  <si>
    <t>ryan52@adventure-works.com</t>
  </si>
  <si>
    <t>isabel3@adventure-works.com</t>
  </si>
  <si>
    <t>bruce23@adventure-works.com</t>
  </si>
  <si>
    <t>julia48@adventure-works.com</t>
  </si>
  <si>
    <t>jonathon0@adventure-works.com</t>
  </si>
  <si>
    <t>ruth18@adventure-works.com</t>
  </si>
  <si>
    <t>donna2@adventure-works.com</t>
  </si>
  <si>
    <t>gilbert5@adventure-works.com</t>
  </si>
  <si>
    <t>priscilla10@adventure-works.com</t>
  </si>
  <si>
    <t>karla22@adventure-works.com</t>
  </si>
  <si>
    <t>tabitha25@adventure-works.com</t>
  </si>
  <si>
    <t>clinton9@adventure-works.com</t>
  </si>
  <si>
    <t>erica7@adventure-works.com</t>
  </si>
  <si>
    <t>evelyn11@adventure-works.com</t>
  </si>
  <si>
    <t>robyn0@adventure-works.com</t>
  </si>
  <si>
    <t>frederick18@adventure-works.com</t>
  </si>
  <si>
    <t>hector19@adventure-works.com</t>
  </si>
  <si>
    <t>kurt18@adventure-works.com</t>
  </si>
  <si>
    <t>heidi11@adventure-works.com</t>
  </si>
  <si>
    <t>terrence3@adventure-works.com</t>
  </si>
  <si>
    <t>ross21@adventure-works.com</t>
  </si>
  <si>
    <t>cindy21@adventure-works.com</t>
  </si>
  <si>
    <t>jordan27@adventure-works.com</t>
  </si>
  <si>
    <t>brendan12@adventure-works.com</t>
  </si>
  <si>
    <t>danny6@adventure-works.com</t>
  </si>
  <si>
    <t>bethany12@adventure-works.com</t>
  </si>
  <si>
    <t>gina20@adventure-works.com</t>
  </si>
  <si>
    <t>eduardo17@adventure-works.com</t>
  </si>
  <si>
    <t>edwin2@adventure-works.com</t>
  </si>
  <si>
    <t>tara19@adventure-works.com</t>
  </si>
  <si>
    <t>jerome4@adventure-works.com</t>
  </si>
  <si>
    <t>michele44@adventure-works.com</t>
  </si>
  <si>
    <t>raul2@adventure-works.com</t>
  </si>
  <si>
    <t>deborah10@adventure-works.com</t>
  </si>
  <si>
    <t>christy24@adventure-works.com</t>
  </si>
  <si>
    <t>angel27@adventure-works.com</t>
  </si>
  <si>
    <t>laura18@adventure-works.com</t>
  </si>
  <si>
    <t>russell21@adventure-works.com</t>
  </si>
  <si>
    <t>deanna18@adventure-works.com</t>
  </si>
  <si>
    <t>adrienne16@adventure-works.com</t>
  </si>
  <si>
    <t>stanley20@adventure-works.com</t>
  </si>
  <si>
    <t>kelli14@adventure-works.com</t>
  </si>
  <si>
    <t>sheena14@adventure-works.com</t>
  </si>
  <si>
    <t>desiree18@adventure-works.com</t>
  </si>
  <si>
    <t>carl19@adventure-works.com</t>
  </si>
  <si>
    <t>hailey40@adventure-works.com</t>
  </si>
  <si>
    <t>kelli20@adventure-works.com</t>
  </si>
  <si>
    <t>joel11@adventure-works.com</t>
  </si>
  <si>
    <t>kellie5@adventure-works.com</t>
  </si>
  <si>
    <t>juan1@adventure-works.com</t>
  </si>
  <si>
    <t>darren24@adventure-works.com</t>
  </si>
  <si>
    <t>maurice18@adventure-works.com</t>
  </si>
  <si>
    <t>jamie12@adventure-works.com</t>
  </si>
  <si>
    <t>arturo26@adventure-works.com</t>
  </si>
  <si>
    <t>mario17@adventure-works.com</t>
  </si>
  <si>
    <t>adriana6@adventure-works.com</t>
  </si>
  <si>
    <t>dakota4@adventure-works.com</t>
  </si>
  <si>
    <t>ebony29@adventure-works.com</t>
  </si>
  <si>
    <t>joy11@adventure-works.com</t>
  </si>
  <si>
    <t>stanley22@adventure-works.com</t>
  </si>
  <si>
    <t>kelly17@adventure-works.com</t>
  </si>
  <si>
    <t>noah15@adventure-works.com</t>
  </si>
  <si>
    <t>eddie8@adventure-works.com</t>
  </si>
  <si>
    <t>kurt4@adventure-works.com</t>
  </si>
  <si>
    <t>kendra8@adventure-works.com</t>
  </si>
  <si>
    <t>ryan6@adventure-works.com</t>
  </si>
  <si>
    <t>jaclyn29@adventure-works.com</t>
  </si>
  <si>
    <t>luke40@adventure-works.com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</si>
  <si>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</si>
  <si>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</si>
  <si>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</si>
  <si>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</si>
  <si>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</si>
  <si>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karl0@adventure-works.com</t>
  </si>
  <si>
    <t>rosa7@adventure-works.com</t>
  </si>
  <si>
    <t>kara17@adventure-works.com</t>
  </si>
  <si>
    <t>alisha32@adventure-works.com</t>
  </si>
  <si>
    <t>wesley17@adventure-works.com</t>
  </si>
  <si>
    <t>kurt21@adventure-works.com</t>
  </si>
  <si>
    <t>veronica6@adventure-works.com</t>
  </si>
  <si>
    <t>ricardo9@adventure-works.com</t>
  </si>
  <si>
    <t>HOLT</t>
  </si>
  <si>
    <t>priscilla14@adventure-works.com</t>
  </si>
  <si>
    <t>lacey27@adventure-works.com</t>
  </si>
  <si>
    <t>claudia18@adventure-works.com</t>
  </si>
  <si>
    <t>micah8@adventure-works.com</t>
  </si>
  <si>
    <t>terrance1@adventure-works.com</t>
  </si>
  <si>
    <t>frederick6@adventure-works.com</t>
  </si>
  <si>
    <t>gabriella26@adventure-works.com</t>
  </si>
  <si>
    <t>casey17@adventure-works.com</t>
  </si>
  <si>
    <t>kurt6@adventure-works.com</t>
  </si>
  <si>
    <t>colleen0@adventure-works.com</t>
  </si>
  <si>
    <t>ruben36@adventure-works.com</t>
  </si>
  <si>
    <t>veronica4@adventure-works.com</t>
  </si>
  <si>
    <t>vincent12@adventure-works.com</t>
  </si>
  <si>
    <t>andre17@adventure-works.com</t>
  </si>
  <si>
    <t>martin6@adventure-works.com</t>
  </si>
  <si>
    <t>andrew12@adventure-works.com</t>
  </si>
  <si>
    <t>cameron50@adventure-works.com</t>
  </si>
  <si>
    <t>kate14@adventure-works.com</t>
  </si>
  <si>
    <t>SUTTON</t>
  </si>
  <si>
    <t>marshall7@adventure-works.com</t>
  </si>
  <si>
    <t>stacy3@adventure-works.com</t>
  </si>
  <si>
    <t>logan37@adventure-works.com</t>
  </si>
  <si>
    <t>wayne10@adventure-works.com</t>
  </si>
  <si>
    <t>theodore15@adventure-works.com</t>
  </si>
  <si>
    <t>SULLIVAN</t>
  </si>
  <si>
    <t>abigail49@adventure-works.com</t>
  </si>
  <si>
    <t>kaitlyn69@adventure-works.com</t>
  </si>
  <si>
    <t>brianna46@adventure-works.com</t>
  </si>
  <si>
    <t>teresa4@adventure-works.com</t>
  </si>
  <si>
    <t>katelyn3@adventure-works.com</t>
  </si>
  <si>
    <t>edwin23@adventure-works.com</t>
  </si>
  <si>
    <t>julio13@adventure-works.com</t>
  </si>
  <si>
    <t>logan68@adventure-works.com</t>
  </si>
  <si>
    <t>deanna4@adventure-works.com</t>
  </si>
  <si>
    <t>willie29@adventure-works.com</t>
  </si>
  <si>
    <t>joel15@adventure-works.com</t>
  </si>
  <si>
    <t>sydney71@adventure-works.com</t>
  </si>
  <si>
    <t>karen22@adventure-works.com</t>
  </si>
  <si>
    <t>jessica35@adventure-works.com</t>
  </si>
  <si>
    <t>karla23@adventure-works.com</t>
  </si>
  <si>
    <t>alejandro19@adventure-works.com</t>
  </si>
  <si>
    <t>alexa4@adventure-works.com</t>
  </si>
  <si>
    <t>warren31@adventure-works.com</t>
  </si>
  <si>
    <t>franklin27@adventure-works.com</t>
  </si>
  <si>
    <t>douglas20@adventure-works.com</t>
  </si>
  <si>
    <t>deanna21@adventure-works.com</t>
  </si>
  <si>
    <t>christine9@adventure-works.com</t>
  </si>
  <si>
    <t>spencer19@adventure-works.com</t>
  </si>
  <si>
    <t>ian70@adventure-works.com</t>
  </si>
  <si>
    <t>damien3@adventure-works.com</t>
  </si>
  <si>
    <t>kathleen18@adventure-works.com</t>
  </si>
  <si>
    <t>craig17@adventure-works.com</t>
  </si>
  <si>
    <t>lawrence11@adventure-works.com</t>
  </si>
  <si>
    <t>alfredo16@adventure-works.com</t>
  </si>
  <si>
    <t>dennis3@adventure-works.com</t>
  </si>
  <si>
    <t>gary23@adventure-works.com</t>
  </si>
  <si>
    <t>kaitlin11@adventure-works.com</t>
  </si>
  <si>
    <t>LORRIN</t>
  </si>
  <si>
    <t>SMITH-BATES</t>
  </si>
  <si>
    <t>lorrin0@adventure-works.com</t>
  </si>
  <si>
    <t>leah9@adventure-works.com</t>
  </si>
  <si>
    <t>molly15@adventure-works.com</t>
  </si>
  <si>
    <t>gilbert30@adventure-works.com</t>
  </si>
  <si>
    <t>ethan10@adventure-works.com</t>
  </si>
  <si>
    <t>deanna9@adventure-works.com</t>
  </si>
  <si>
    <t>deanna13@adventure-works.com</t>
  </si>
  <si>
    <t>clarence26@adventure-works.com</t>
  </si>
  <si>
    <t>frank31@adventure-works.com</t>
  </si>
  <si>
    <t>kelli30@adventure-works.com</t>
  </si>
  <si>
    <t>logan71@adventure-works.com</t>
  </si>
  <si>
    <t>terry14@adventure-works.com</t>
  </si>
  <si>
    <t>latasha4@adventure-works.com</t>
  </si>
  <si>
    <t>leah17@adventure-works.com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</si>
  <si>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</si>
  <si>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</si>
  <si>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</si>
  <si>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</si>
  <si>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</si>
  <si>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gabriel25@adventure-works.com</t>
  </si>
  <si>
    <t>jennifer86@adventure-works.com</t>
  </si>
  <si>
    <t>anthony20@adventure-works.com</t>
  </si>
  <si>
    <t>chad3@adventure-works.com</t>
  </si>
  <si>
    <t>jaclyn6@adventure-works.com</t>
  </si>
  <si>
    <t>isabella80@adventure-works.com</t>
  </si>
  <si>
    <t>gabriel20@adventure-works.com</t>
  </si>
  <si>
    <t>alisha1@adventure-works.com</t>
  </si>
  <si>
    <t>raul13@adventure-works.com</t>
  </si>
  <si>
    <t>alejandro25@adventure-works.com</t>
  </si>
  <si>
    <t>carrie3@adventure-works.com</t>
  </si>
  <si>
    <t>bradley10@adventure-works.com</t>
  </si>
  <si>
    <t>meagan10@adventure-works.com</t>
  </si>
  <si>
    <t>laura12@adventure-works.com</t>
  </si>
  <si>
    <t>tony15@adventure-works.com</t>
  </si>
  <si>
    <t>veronica7@adventure-works.com</t>
  </si>
  <si>
    <t>darryl19@adventure-works.com</t>
  </si>
  <si>
    <t>darren25@adventure-works.com</t>
  </si>
  <si>
    <t>ricardo3@adventure-works.com</t>
  </si>
  <si>
    <t>seth43@adventure-works.com</t>
  </si>
  <si>
    <t>susan13@adventure-works.com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</si>
  <si>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</si>
  <si>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</si>
  <si>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</si>
  <si>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</si>
  <si>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</si>
  <si>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</si>
  <si>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evan23@adventure-works.com</t>
  </si>
  <si>
    <t>brett4@adventure-works.com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</si>
  <si>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</si>
  <si>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</si>
  <si>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</si>
  <si>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</si>
  <si>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</si>
  <si>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</si>
  <si>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reginald12@adventure-works.com</t>
  </si>
  <si>
    <t>jacquelyn3@adventure-works.com</t>
  </si>
  <si>
    <t>francisco6@adventure-works.com</t>
  </si>
  <si>
    <t>gary19@adventure-works.com</t>
  </si>
  <si>
    <t>dalton15@adventure-works.com</t>
  </si>
  <si>
    <t>theresa9@adventure-works.com</t>
  </si>
  <si>
    <t>glenn5@adventure-works.com</t>
  </si>
  <si>
    <t>mathew7@adventure-works.com</t>
  </si>
  <si>
    <t>steve6@adventure-works.com</t>
  </si>
  <si>
    <t>louis16@adventure-works.com</t>
  </si>
  <si>
    <t>adrienne7@adventure-works.com</t>
  </si>
  <si>
    <t>priscilla15@adventure-works.com</t>
  </si>
  <si>
    <t>krystal13@adventure-works.com</t>
  </si>
  <si>
    <t>jodi15@adventure-works.com</t>
  </si>
  <si>
    <t>carmen12@adventure-works.com</t>
  </si>
  <si>
    <t>donald16@adventure-works.com</t>
  </si>
  <si>
    <t>katelyn8@adventure-works.com</t>
  </si>
  <si>
    <t>rosa23@adventure-works.com</t>
  </si>
  <si>
    <t>mayra7@adventure-works.com</t>
  </si>
  <si>
    <t>cedric1@adventure-works.com</t>
  </si>
  <si>
    <t>alicia11@adventure-works.com</t>
  </si>
  <si>
    <t>omar7@adventure-works.com</t>
  </si>
  <si>
    <t>autumn19@adventure-works.com</t>
  </si>
  <si>
    <t>taylor30@adventure-works.com</t>
  </si>
  <si>
    <t>kristi17@adventure-works.com</t>
  </si>
  <si>
    <t>thomas84@adventure-works.com</t>
  </si>
  <si>
    <t>jaclyn36@adventure-works.com</t>
  </si>
  <si>
    <t>steven26@adventure-works.com</t>
  </si>
  <si>
    <t>colleen37@adventure-works.com</t>
  </si>
  <si>
    <t>regina6@adventure-works.com</t>
  </si>
  <si>
    <t>tara23@adventure-works.com</t>
  </si>
  <si>
    <t>todd6@adventure-works.com</t>
  </si>
  <si>
    <t>meredith17@adventure-works.com</t>
  </si>
  <si>
    <t>douglas4@adventure-works.com</t>
  </si>
  <si>
    <t>sheena1@adventure-works.com</t>
  </si>
  <si>
    <t>claudia8@adventure-works.com</t>
  </si>
  <si>
    <t>stacy13@adventure-works.com</t>
  </si>
  <si>
    <t>calvin6@adventure-works.com</t>
  </si>
  <si>
    <t>kelli31@adventure-works.com</t>
  </si>
  <si>
    <t>katelyn10@adventure-works.com</t>
  </si>
  <si>
    <t>chad14@adventure-works.com</t>
  </si>
  <si>
    <t>erika1@adventure-works.com</t>
  </si>
  <si>
    <t>omar28@adventure-works.com</t>
  </si>
  <si>
    <t>cesar14@adventure-works.com</t>
  </si>
  <si>
    <t>darren31@adventure-works.com</t>
  </si>
  <si>
    <t>gabrielle26@adventure-works.com</t>
  </si>
  <si>
    <t>terrance7@adventure-works.com</t>
  </si>
  <si>
    <t>abigail46@adventure-works.com</t>
  </si>
  <si>
    <t>douglas18@adventure-works.com</t>
  </si>
  <si>
    <t>latoya8@adventure-works.com</t>
  </si>
  <si>
    <t>nina15@adventure-works.com</t>
  </si>
  <si>
    <t>kristopher17@adventure-works.com</t>
  </si>
  <si>
    <t>kathleen12@adventure-works.com</t>
  </si>
  <si>
    <t>shawn4@adventure-works.com</t>
  </si>
  <si>
    <t>kristopher14@adventure-works.com</t>
  </si>
  <si>
    <t>ruben6@adventure-works.com</t>
  </si>
  <si>
    <t>willie11@adventure-works.com</t>
  </si>
  <si>
    <t>darrell2@adventure-works.com</t>
  </si>
  <si>
    <t>hailey23@adventure-works.com</t>
  </si>
  <si>
    <t>shane6@adventure-works.com</t>
  </si>
  <si>
    <t>sergio10@adventure-works.com</t>
  </si>
  <si>
    <t>micah18@adventure-works.com</t>
  </si>
  <si>
    <t>chloe62@adventure-works.com</t>
  </si>
  <si>
    <t>katelyn38@adventure-works.com</t>
  </si>
  <si>
    <t>jake17@adventure-works.com</t>
  </si>
  <si>
    <t>cedric25@adventure-works.com</t>
  </si>
  <si>
    <t>carrie14@adventure-works.com</t>
  </si>
  <si>
    <t>jamie6@adventure-works.com</t>
  </si>
  <si>
    <t>brad3@adventure-works.com</t>
  </si>
  <si>
    <t>gabriella41@adventure-works.com</t>
  </si>
  <si>
    <t>casey19@adventure-works.com</t>
  </si>
  <si>
    <t>frank27@adventure-works.com</t>
  </si>
  <si>
    <t>evelyn13@adventure-works.com</t>
  </si>
  <si>
    <t>valerie21@adventure-works.com</t>
  </si>
  <si>
    <t>charles36@adventure-works.com</t>
  </si>
  <si>
    <t>devon7@adventure-works.com</t>
  </si>
  <si>
    <t>gerald17@adventure-works.com</t>
  </si>
  <si>
    <t>bonnie11@adventure-works.com</t>
  </si>
  <si>
    <t>clarence1@adventure-works.com</t>
  </si>
  <si>
    <t>roberto12@adventure-works.com</t>
  </si>
  <si>
    <t>joanna2@adventure-works.com</t>
  </si>
  <si>
    <t>stacey14@adventure-works.com</t>
  </si>
  <si>
    <t>karl15@adventure-works.com</t>
  </si>
  <si>
    <t>paula14@adventure-works.com</t>
  </si>
  <si>
    <t>eric47@adventure-works.com</t>
  </si>
  <si>
    <t>jared4@adventure-works.com</t>
  </si>
  <si>
    <t>armando13@adventure-works.com</t>
  </si>
  <si>
    <t>shannon19@adventure-works.com</t>
  </si>
  <si>
    <t>franklin11@adventure-works.com</t>
  </si>
  <si>
    <t>dominic12@adventure-works.com</t>
  </si>
  <si>
    <t>keith11@adventure-works.com</t>
  </si>
  <si>
    <t>pedro10@adventure-works.com</t>
  </si>
  <si>
    <t>veronica12@adventure-works.com</t>
  </si>
  <si>
    <t>roger37@adventure-works.com</t>
  </si>
  <si>
    <t>heidi12@adventure-works.com</t>
  </si>
  <si>
    <t>sarah12@adventure-works.com</t>
  </si>
  <si>
    <t>andy25@adventure-works.com</t>
  </si>
  <si>
    <t>edgar14@adventure-works.com</t>
  </si>
  <si>
    <t>clifford7@adventure-works.com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</si>
  <si>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</si>
  <si>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</si>
  <si>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</si>
  <si>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</si>
  <si>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</si>
  <si>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</si>
  <si>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</si>
  <si>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</si>
  <si>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</si>
  <si>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</si>
  <si>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</si>
  <si>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candice19@adventure-works.com</t>
  </si>
  <si>
    <t>mackenzie33@adventure-works.com</t>
  </si>
  <si>
    <t>martin5@adventure-works.com</t>
  </si>
  <si>
    <t>alvin32@adventure-works.com</t>
  </si>
  <si>
    <t>raymond14@adventure-works.com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</si>
  <si>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</si>
  <si>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</si>
  <si>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</si>
  <si>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</si>
  <si>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</si>
  <si>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alvin33@adventure-works.com</t>
  </si>
  <si>
    <t>alfredo20@adventure-works.com</t>
  </si>
  <si>
    <t>stanley8@adventure-works.com</t>
  </si>
  <si>
    <t>brad10@adventure-works.com</t>
  </si>
  <si>
    <t>troy14@adventure-works.com</t>
  </si>
  <si>
    <t>kari18@adventure-works.com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</si>
  <si>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</si>
  <si>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</si>
  <si>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</si>
  <si>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</si>
  <si>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</si>
  <si>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</si>
  <si>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andy19@adventure-works.com</t>
  </si>
  <si>
    <t>mariah7@adventure-works.com</t>
  </si>
  <si>
    <t>holly17@adventure-works.com</t>
  </si>
  <si>
    <t>timothy37@adventure-works.com</t>
  </si>
  <si>
    <t>douglas23@adventure-works.com</t>
  </si>
  <si>
    <t>tina20@adventure-works.com</t>
  </si>
  <si>
    <t>roger16@adventure-works.com</t>
  </si>
  <si>
    <t>ruben3@adventure-works.com</t>
  </si>
  <si>
    <t>edwin8@adventure-works.com</t>
  </si>
  <si>
    <t>rosa16@adventure-works.com</t>
  </si>
  <si>
    <t>tasha12@adventure-works.com</t>
  </si>
  <si>
    <t>hector12@adventure-works.com</t>
  </si>
  <si>
    <t>ricky11@adventure-works.com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</si>
  <si>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</si>
  <si>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</si>
  <si>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</si>
  <si>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</si>
  <si>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</si>
  <si>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</si>
  <si>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</si>
  <si>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</si>
  <si>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</si>
  <si>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</si>
  <si>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</si>
  <si>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</si>
  <si>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</si>
  <si>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</si>
  <si>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clarence40@adventure-works.com</t>
  </si>
  <si>
    <t>james31@adventure-works.com</t>
  </si>
  <si>
    <t>ronald12@adventure-works.com</t>
  </si>
  <si>
    <t>jasmine34@adventure-works.com</t>
  </si>
  <si>
    <t>orlando21@adventure-works.com</t>
  </si>
  <si>
    <t>douglas25@adventure-works.com</t>
  </si>
  <si>
    <t>tony7@adventure-works.com</t>
  </si>
  <si>
    <t>darryl12@adventure-works.com</t>
  </si>
  <si>
    <t>jonathon15@adventure-works.com</t>
  </si>
  <si>
    <t>darryl4@adventure-works.com</t>
  </si>
  <si>
    <t>lacey33@adventure-works.com</t>
  </si>
  <si>
    <t>NI�IA</t>
  </si>
  <si>
    <t>ni�ia0@adventure-works.com</t>
  </si>
  <si>
    <t>ronnie9@adventure-works.com</t>
  </si>
  <si>
    <t>roy27@adventure-works.com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</si>
  <si>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</si>
  <si>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</si>
  <si>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</si>
  <si>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</si>
  <si>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</si>
  <si>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</si>
  <si>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</si>
  <si>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</si>
  <si>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</si>
  <si>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</si>
  <si>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</si>
  <si>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</si>
  <si>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tanya1@adventure-works.com</t>
  </si>
  <si>
    <t>jeffery12@adventure-works.com</t>
  </si>
  <si>
    <t>george22@adventure-works.com</t>
  </si>
  <si>
    <t>brittney0@adventure-works.com</t>
  </si>
  <si>
    <t>kristine14@adventure-works.com</t>
  </si>
  <si>
    <t>marshall28@adventure-works.com</t>
  </si>
  <si>
    <t>janet21@adventure-works.com</t>
  </si>
  <si>
    <t>taylor55@adventure-works.com</t>
  </si>
  <si>
    <t>jordan6@adventure-works.com</t>
  </si>
  <si>
    <t>ethan49@adventure-works.com</t>
  </si>
  <si>
    <t>beth16@adventure-works.com</t>
  </si>
  <si>
    <t>elijah23@adventure-works.com</t>
  </si>
  <si>
    <t>ashley46@adventure-works.com</t>
  </si>
  <si>
    <t>edward60@adventure-works.com</t>
  </si>
  <si>
    <t>wyatt43@adventure-works.com</t>
  </si>
  <si>
    <t>cesar15@adventure-works.com</t>
  </si>
  <si>
    <t>linda28@adventure-works.com</t>
  </si>
  <si>
    <t>russell17@adventure-works.com</t>
  </si>
  <si>
    <t>aaron55@adventure-works.com</t>
  </si>
  <si>
    <t>jamie21@adventure-works.com</t>
  </si>
  <si>
    <t>rafael23@adventure-works.com</t>
  </si>
  <si>
    <t>raul6@adventure-works.com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</si>
  <si>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</si>
  <si>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</si>
  <si>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</si>
  <si>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</si>
  <si>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</si>
  <si>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kelsey17@adventure-works.com</t>
  </si>
  <si>
    <t>krystal0@adventure-works.com</t>
  </si>
  <si>
    <t>bailey39@adventure-works.com</t>
  </si>
  <si>
    <t>isabelle0@adventure-works.com</t>
  </si>
  <si>
    <t>connor21@adventure-works.com</t>
  </si>
  <si>
    <t>kimberly3@adventure-works.com</t>
  </si>
  <si>
    <t>olivia31@adventure-works.com</t>
  </si>
  <si>
    <t>austin19@adventure-works.com</t>
  </si>
  <si>
    <t>andrea30@adventure-works.com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</si>
  <si>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</si>
  <si>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</si>
  <si>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</si>
  <si>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</si>
  <si>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</si>
  <si>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</si>
  <si>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</si>
  <si>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</si>
  <si>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colleen19@adventure-works.com</t>
  </si>
  <si>
    <t>wendy17@adventure-works.com</t>
  </si>
  <si>
    <t>kaylee2@adventure-works.com</t>
  </si>
  <si>
    <t>sharon23@adventure-works.com</t>
  </si>
  <si>
    <t>valerie25@adventure-works.com</t>
  </si>
  <si>
    <t>louis38@adventure-works.com</t>
  </si>
  <si>
    <t>raymond8@adventure-works.com</t>
  </si>
  <si>
    <t>cesar2@adventure-works.com</t>
  </si>
  <si>
    <t>anna22@adventure-works.com</t>
  </si>
  <si>
    <t>jill30@adventure-works.com</t>
  </si>
  <si>
    <t>cesar13@adventure-works.com</t>
  </si>
  <si>
    <t>christopher11@adventure-works.com</t>
  </si>
  <si>
    <t>dawn45@adventure-works.com</t>
  </si>
  <si>
    <t>darren7@adventure-works.com</t>
  </si>
  <si>
    <t>mindy9@adventure-works.com</t>
  </si>
  <si>
    <t>kristina17@adventure-works.com</t>
  </si>
  <si>
    <t>tasha8@adventure-works.com</t>
  </si>
  <si>
    <t>veronica1@adventure-works.com</t>
  </si>
  <si>
    <t>javier11@adventure-works.com</t>
  </si>
  <si>
    <t>katelyn11@adventure-works.com</t>
  </si>
  <si>
    <t>jenny35@adventure-works.com</t>
  </si>
  <si>
    <t>ethan31@adventure-works.com</t>
  </si>
  <si>
    <t>mariah41@adventure-works.com</t>
  </si>
  <si>
    <t>jay48@adventure-works.com</t>
  </si>
  <si>
    <t>katie5@adventure-works.com</t>
  </si>
  <si>
    <t>deanna10@adventure-works.com</t>
  </si>
  <si>
    <t>amanda48@adventure-works.com</t>
  </si>
  <si>
    <t>isabella37@adventure-works.com</t>
  </si>
  <si>
    <t>morgan25@adventure-works.com</t>
  </si>
  <si>
    <t>olivia53@adventure-works.com</t>
  </si>
  <si>
    <t>dale17@adventure-works.com</t>
  </si>
  <si>
    <t>joe38@adventure-works.com</t>
  </si>
  <si>
    <t>evelyn15@adventure-works.com</t>
  </si>
  <si>
    <t>alicia15@adventure-works.com</t>
  </si>
  <si>
    <t>sabrina7@adventure-works.com</t>
  </si>
  <si>
    <t>johnathan20@adventure-works.com</t>
  </si>
  <si>
    <t>mario12@adventure-works.com</t>
  </si>
  <si>
    <t>curtis11@adventure-works.com</t>
  </si>
  <si>
    <t>maurice23@adventure-works.com</t>
  </si>
  <si>
    <t>cara18@adventure-works.com</t>
  </si>
  <si>
    <t>barbara32@adventure-works.com</t>
  </si>
  <si>
    <t>clayton35@adventure-works.com</t>
  </si>
  <si>
    <t>jodi20@adventure-works.com</t>
  </si>
  <si>
    <t>j�sus14@adventure-works.com</t>
  </si>
  <si>
    <t>edwin26@adventure-works.com</t>
  </si>
  <si>
    <t>kelli45@adventure-works.com</t>
  </si>
  <si>
    <t>kelli26@adventure-works.com</t>
  </si>
  <si>
    <t>alfredo18@adventure-works.com</t>
  </si>
  <si>
    <t>olivia35@adventure-works.com</t>
  </si>
  <si>
    <t>melissa12@adventure-works.com</t>
  </si>
  <si>
    <t>austin25@adventure-works.com</t>
  </si>
  <si>
    <t>ruth20@adventure-works.com</t>
  </si>
  <si>
    <t>phillip21@adventure-works.com</t>
  </si>
  <si>
    <t>jennifer54@adventure-works.com</t>
  </si>
  <si>
    <t>kelvin10@adventure-works.com</t>
  </si>
  <si>
    <t>glenn14@adventure-works.com</t>
  </si>
  <si>
    <t>brianna24@adventure-works.com</t>
  </si>
  <si>
    <t>mindy26@adventure-works.com</t>
  </si>
  <si>
    <t>willie4@adventure-works.com</t>
  </si>
  <si>
    <t>JIM</t>
  </si>
  <si>
    <t>RODMAN</t>
  </si>
  <si>
    <t>jim4@adventure-works.com</t>
  </si>
  <si>
    <t>jessie19@adventure-works.com</t>
  </si>
  <si>
    <t>patricia8@adventure-works.com</t>
  </si>
  <si>
    <t>stacey22@adventure-works.com</t>
  </si>
  <si>
    <t>johnathan2@adventure-works.com</t>
  </si>
  <si>
    <t>sheila9@adventure-works.com</t>
  </si>
  <si>
    <t>molly10@adventure-works.com</t>
  </si>
  <si>
    <t>todd2@adventure-works.com</t>
  </si>
  <si>
    <t>jorge5@adventure-works.com</t>
  </si>
  <si>
    <t>jackson11@adventure-works.com</t>
  </si>
  <si>
    <t>dennis22@adventure-works.com</t>
  </si>
  <si>
    <t>jocelyn6@adventure-works.com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</si>
  <si>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</si>
  <si>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</si>
  <si>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</si>
  <si>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</si>
  <si>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</si>
  <si>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</si>
  <si>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</si>
  <si>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</si>
  <si>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</si>
  <si>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</si>
  <si>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</si>
  <si>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</si>
  <si>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</si>
  <si>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</si>
  <si>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</si>
  <si>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</si>
  <si>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</si>
  <si>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</si>
  <si>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</si>
  <si>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</si>
  <si>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timothy10@adventure-works.com</t>
  </si>
  <si>
    <t>marcus57@adventure-works.com</t>
  </si>
  <si>
    <t>james50@adventure-works.com</t>
  </si>
  <si>
    <t>rachel51@adventure-works.com</t>
  </si>
  <si>
    <t>julia55@adventure-works.com</t>
  </si>
  <si>
    <t>ashley10@adventure-works.com</t>
  </si>
  <si>
    <t>andres11@adventure-works.com</t>
  </si>
  <si>
    <t>ebony41@adventure-works.com</t>
  </si>
  <si>
    <t>colin6@adventure-works.com</t>
  </si>
  <si>
    <t>kathleen15@adventure-works.com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</si>
  <si>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</si>
  <si>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</si>
  <si>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</si>
  <si>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</si>
  <si>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</si>
  <si>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kellie15@adventure-works.com</t>
  </si>
  <si>
    <t>beth11@adventure-works.com</t>
  </si>
  <si>
    <t>jordan13@adventure-works.com</t>
  </si>
  <si>
    <t>julie16@adventure-works.com</t>
  </si>
  <si>
    <t>calvin10@adventure-works.com</t>
  </si>
  <si>
    <t>preston8@adventure-works.com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</si>
  <si>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</si>
  <si>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</si>
  <si>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</si>
  <si>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</si>
  <si>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</si>
  <si>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</si>
  <si>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</si>
  <si>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</si>
  <si>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</si>
  <si>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</si>
  <si>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</si>
  <si>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</si>
  <si>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</si>
  <si>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</si>
  <si>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</si>
  <si>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</si>
  <si>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</si>
  <si>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</si>
  <si>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</si>
  <si>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</si>
  <si>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</si>
  <si>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jimmy25@adventure-works.com</t>
  </si>
  <si>
    <t>chloe37@adventure-works.com</t>
  </si>
  <si>
    <t>courtney17@adventure-works.com</t>
  </si>
  <si>
    <t>vincent4@adventure-works.com</t>
  </si>
  <si>
    <t>frank28@adventure-works.com</t>
  </si>
  <si>
    <t>yolanda13@adventure-works.com</t>
  </si>
  <si>
    <t>tiffany21@adventure-works.com</t>
  </si>
  <si>
    <t>roy29@adventure-works.com</t>
  </si>
  <si>
    <t>marshall25@adventure-works.com</t>
  </si>
  <si>
    <t>erica12@adventure-works.com</t>
  </si>
  <si>
    <t>grace37@adventure-works.com</t>
  </si>
  <si>
    <t>david76@adventure-works.com</t>
  </si>
  <si>
    <t>david80@adventure-works.com</t>
  </si>
  <si>
    <t>theodore7@adventure-works.com</t>
  </si>
  <si>
    <t>julia79@adventure-works.com</t>
  </si>
  <si>
    <t>pamela23@adventure-works.com</t>
  </si>
  <si>
    <t>meredith2@adventure-works.com</t>
  </si>
  <si>
    <t>sabrina15@adventure-works.com</t>
  </si>
  <si>
    <t>autumn4@adventure-works.com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</si>
  <si>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</si>
  <si>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</si>
  <si>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</si>
  <si>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</si>
  <si>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</si>
  <si>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</si>
  <si>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</si>
  <si>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</si>
  <si>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</si>
  <si>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</si>
  <si>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</si>
  <si>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</si>
  <si>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</si>
  <si>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</si>
  <si>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</si>
  <si>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</si>
  <si>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</si>
  <si>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</si>
  <si>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</si>
  <si>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</si>
  <si>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</si>
  <si>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chad8@adventure-works.com</t>
  </si>
  <si>
    <t>jaclyn9@adventure-works.com</t>
  </si>
  <si>
    <t>katherine38@adventure-works.com</t>
  </si>
  <si>
    <t>hector4@adventure-works.com</t>
  </si>
  <si>
    <t>desiree17@adventure-works.com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</si>
  <si>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</si>
  <si>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</si>
  <si>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</si>
  <si>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</si>
  <si>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</si>
  <si>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sheena10@adventure-works.com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</si>
  <si>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</si>
  <si>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</si>
  <si>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</si>
  <si>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</si>
  <si>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</si>
  <si>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denise6@adventure-works.com</t>
  </si>
  <si>
    <t>roberto6@adventure-works.com</t>
  </si>
  <si>
    <t>louis13@adventure-works.com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</si>
  <si>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</si>
  <si>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</si>
  <si>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</si>
  <si>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</si>
  <si>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</si>
  <si>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</si>
  <si>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kelvin2@adventure-works.com</t>
  </si>
  <si>
    <t>michele11@adventure-works.com</t>
  </si>
  <si>
    <t>dale14@adventure-works.com</t>
  </si>
  <si>
    <t>cassidy5@adventure-works.com</t>
  </si>
  <si>
    <t>latoya10@adventure-works.com</t>
  </si>
  <si>
    <t>carla22@adventure-works.com</t>
  </si>
  <si>
    <t>christine14@adventure-works.com</t>
  </si>
  <si>
    <t>meghan11@adventure-works.com</t>
  </si>
  <si>
    <t>evelyn14@adventure-works.com</t>
  </si>
  <si>
    <t>alfredo17@adventure-works.com</t>
  </si>
  <si>
    <t>curtis18@adventure-works.com</t>
  </si>
  <si>
    <t>johnny6@adventure-works.com</t>
  </si>
  <si>
    <t>ricky9@adventure-works.com</t>
  </si>
  <si>
    <t>colleen6@adventure-works.com</t>
  </si>
  <si>
    <t>candace10@adventure-works.com</t>
  </si>
  <si>
    <t>ronnie7@adventure-works.com</t>
  </si>
  <si>
    <t>nelson3@adventure-works.com</t>
  </si>
  <si>
    <t>jamie16@adventure-works.com</t>
  </si>
  <si>
    <t>candace6@adventure-works.com</t>
  </si>
  <si>
    <t>gabriella30@adventure-works.com</t>
  </si>
  <si>
    <t>kevin57@adventure-works.com</t>
  </si>
  <si>
    <t>lisa0@adventure-works.com</t>
  </si>
  <si>
    <t>julio21@adventure-works.com</t>
  </si>
  <si>
    <t>autumn2@adventure-works.com</t>
  </si>
  <si>
    <t>alicia13@adventure-works.com</t>
  </si>
  <si>
    <t>francis2@adventure-works.com</t>
  </si>
  <si>
    <t>allen0@adventure-works.com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</si>
  <si>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</si>
  <si>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</si>
  <si>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</si>
  <si>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</si>
  <si>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</si>
  <si>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</si>
  <si>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</si>
  <si>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</si>
  <si>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</si>
  <si>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</si>
  <si>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</si>
  <si>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</si>
  <si>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</si>
  <si>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</si>
  <si>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</si>
  <si>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</si>
  <si>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</si>
  <si>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</si>
  <si>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</si>
  <si>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</si>
  <si>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jay47@adventure-works.com</t>
  </si>
  <si>
    <t>rafael13@adventure-works.com</t>
  </si>
  <si>
    <t>jill26@adventure-works.com</t>
  </si>
  <si>
    <t>evan25@adventure-works.com</t>
  </si>
  <si>
    <t>sheila10@adventure-works.com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</si>
  <si>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</si>
  <si>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</si>
  <si>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</si>
  <si>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</si>
  <si>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</si>
  <si>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francisco14@adventure-works.com</t>
  </si>
  <si>
    <t>marie38@adventure-works.com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</si>
  <si>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</si>
  <si>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</si>
  <si>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</si>
  <si>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</si>
  <si>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</si>
  <si>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</si>
  <si>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</si>
  <si>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</si>
  <si>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</si>
  <si>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</si>
  <si>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</si>
  <si>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</si>
  <si>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</si>
  <si>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</si>
  <si>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</si>
  <si>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</si>
  <si>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ross5@adventure-works.com</t>
  </si>
  <si>
    <t>jaime25@adventure-works.com</t>
  </si>
  <si>
    <t>latoya1@adventure-works.com</t>
  </si>
  <si>
    <t>whitney0@adventure-works.com</t>
  </si>
  <si>
    <t>jacqueline28@adventure-works.com</t>
  </si>
  <si>
    <t>philip11@adventure-works.com</t>
  </si>
  <si>
    <t>beth9@adventure-works.com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</si>
  <si>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</si>
  <si>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</si>
  <si>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</si>
  <si>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</si>
  <si>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</si>
  <si>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</si>
  <si>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natasha2@adventure-works.com</t>
  </si>
  <si>
    <t>amy21@adventure-works.com</t>
  </si>
  <si>
    <t>julia69@adventure-works.com</t>
  </si>
  <si>
    <t>cynthia6@adventure-works.com</t>
  </si>
  <si>
    <t>meghan21@adventure-works.com</t>
  </si>
  <si>
    <t>jorge24@adventure-works.com</t>
  </si>
  <si>
    <t>ivan12@adventure-works.com</t>
  </si>
  <si>
    <t>marshall9@adventure-works.com</t>
  </si>
  <si>
    <t>erica1@adventure-works.com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</si>
  <si>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</si>
  <si>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</si>
  <si>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</si>
  <si>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</si>
  <si>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</si>
  <si>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</si>
  <si>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jessica7@adventure-works.com</t>
  </si>
  <si>
    <t>joe11@adventure-works.com</t>
  </si>
  <si>
    <t>gary20@adventure-works.com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</si>
  <si>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</si>
  <si>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</si>
  <si>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</si>
  <si>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</si>
  <si>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</si>
  <si>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</si>
  <si>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</si>
  <si>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</si>
  <si>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</si>
  <si>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</si>
  <si>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</si>
  <si>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nancy23@adventure-works.com</t>
  </si>
  <si>
    <t>arthur18@adventure-works.com</t>
  </si>
  <si>
    <t>ruben23@adventure-works.com</t>
  </si>
  <si>
    <t>ian40@adventure-works.com</t>
  </si>
  <si>
    <t>clarence18@adventure-works.com</t>
  </si>
  <si>
    <t>margaret18@adventure-works.com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</si>
  <si>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</si>
  <si>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</si>
  <si>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</si>
  <si>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</si>
  <si>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</si>
  <si>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</si>
  <si>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</si>
  <si>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armando15@adventure-works.com</t>
  </si>
  <si>
    <t>karen30@adventure-works.com</t>
  </si>
  <si>
    <t>lance20@adventure-works.com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</si>
  <si>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</si>
  <si>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</si>
  <si>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</si>
  <si>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</si>
  <si>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</si>
  <si>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</si>
  <si>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</si>
  <si>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</si>
  <si>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</si>
  <si>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adam36@adventure-works.com</t>
  </si>
  <si>
    <t>luis35@adventure-works.com</t>
  </si>
  <si>
    <t>oscar16@adventure-works.com</t>
  </si>
  <si>
    <t>jake2@adventure-works.com</t>
  </si>
  <si>
    <t>devon4@adventure-works.com</t>
  </si>
  <si>
    <t>kaylee21@adventure-works.com</t>
  </si>
  <si>
    <t>ebony14@adventure-works.com</t>
  </si>
  <si>
    <t>julio9@adventure-works.com</t>
  </si>
  <si>
    <t>cedric29@adventure-works.com</t>
  </si>
  <si>
    <t>xavier61@adventure-works.com</t>
  </si>
  <si>
    <t>wyatt18@adventure-works.com</t>
  </si>
  <si>
    <t>julia75@adventure-works.com</t>
  </si>
  <si>
    <t>chloe39@adventure-works.com</t>
  </si>
  <si>
    <t>eduardo36@adventure-works.com</t>
  </si>
  <si>
    <t>katherine2@adventure-works.com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</si>
  <si>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</si>
  <si>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</si>
  <si>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</si>
  <si>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</si>
  <si>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</si>
  <si>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</si>
  <si>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</si>
  <si>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</si>
  <si>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mallory14@adventure-works.com</t>
  </si>
  <si>
    <t>valerie13@adventure-works.com</t>
  </si>
  <si>
    <t>kelsey1@adventure-works.com</t>
  </si>
  <si>
    <t>keith9@adventure-works.com</t>
  </si>
  <si>
    <t>jon38@adventure-works.com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</si>
  <si>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</si>
  <si>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</si>
  <si>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</si>
  <si>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</si>
  <si>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</si>
  <si>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</si>
  <si>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</si>
  <si>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</si>
  <si>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</si>
  <si>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</si>
  <si>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</si>
  <si>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</si>
  <si>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brittney22@adventure-works.com</t>
  </si>
  <si>
    <t>timothy24@adventure-works.com</t>
  </si>
  <si>
    <t>bryant1@adventure-works.com</t>
  </si>
  <si>
    <t>nicole37@adventure-works.com</t>
  </si>
  <si>
    <t>chelsea15@adventure-works.com</t>
  </si>
  <si>
    <t>barbara26@adventure-works.com</t>
  </si>
  <si>
    <t>justin43@adventure-works.com</t>
  </si>
  <si>
    <t>brandy12@adventure-works.com</t>
  </si>
  <si>
    <t>nina0@adventure-works.com</t>
  </si>
  <si>
    <t>jodi16@adventure-works.com</t>
  </si>
  <si>
    <t>morgan59@adventure-works.com</t>
  </si>
  <si>
    <t>courtney2@adventure-works.com</t>
  </si>
  <si>
    <t>eric23@adventure-works.com</t>
  </si>
  <si>
    <t>carly11@adventure-works.com</t>
  </si>
  <si>
    <t>jerome11@adventure-works.com</t>
  </si>
  <si>
    <t>patricia11@adventure-works.com</t>
  </si>
  <si>
    <t>isabella28@adventure-works.com</t>
  </si>
  <si>
    <t>jordan1@adventure-works.com</t>
  </si>
  <si>
    <t>lauren60@adventure-works.com</t>
  </si>
  <si>
    <t>caitlin7@adventure-works.com</t>
  </si>
  <si>
    <t>megan61@adventure-works.com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</si>
  <si>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</si>
  <si>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</si>
  <si>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</si>
  <si>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</si>
  <si>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</si>
  <si>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</si>
  <si>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</si>
  <si>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isabelle8@adventure-works.com</t>
  </si>
  <si>
    <t>karl14@adventure-works.com</t>
  </si>
  <si>
    <t>kathryn6@adventure-works.com</t>
  </si>
  <si>
    <t>michele8@adventure-works.com</t>
  </si>
  <si>
    <t>elijah12@adventure-works.com</t>
  </si>
  <si>
    <t>chloe65@adventure-works.com</t>
  </si>
  <si>
    <t>kyle13@adventure-works.com</t>
  </si>
  <si>
    <t>alexandra74@adventure-works.com</t>
  </si>
  <si>
    <t>lucas35@adventure-works.com</t>
  </si>
  <si>
    <t>juan9@adventure-works.com</t>
  </si>
  <si>
    <t>megan16@adventure-works.com</t>
  </si>
  <si>
    <t>haley14@adventure-works.com</t>
  </si>
  <si>
    <t>byron16@adventure-works.com</t>
  </si>
  <si>
    <t>lucas88@adventure-works.com</t>
  </si>
  <si>
    <t>zachary11@adventure-works.com</t>
  </si>
  <si>
    <t>jackson36@adventure-works.com</t>
  </si>
  <si>
    <t>isaac1@adventure-works.com</t>
  </si>
  <si>
    <t>kaitlyn76@adventure-works.com</t>
  </si>
  <si>
    <t>isabelle16@adventure-works.com</t>
  </si>
  <si>
    <t>benjamin7@adventure-works.com</t>
  </si>
  <si>
    <t>joshua22@adventure-works.com</t>
  </si>
  <si>
    <t>benjamin33@adventure-works.com</t>
  </si>
  <si>
    <t>brianna13@adventure-works.com</t>
  </si>
  <si>
    <t>joseph18@adventure-works.com</t>
  </si>
  <si>
    <t>dennis0@adventure-works.com</t>
  </si>
  <si>
    <t>morgan41@adventure-works.com</t>
  </si>
  <si>
    <t>jose77@adventure-works.com</t>
  </si>
  <si>
    <t>olivia61@adventure-works.com</t>
  </si>
  <si>
    <t>vanessa14@adventure-works.com</t>
  </si>
  <si>
    <t>anthony6@adventure-works.com</t>
  </si>
  <si>
    <t>cameron31@adventure-works.com</t>
  </si>
  <si>
    <t>connor12@adventure-works.com</t>
  </si>
  <si>
    <t>aidan23@adventure-works.com</t>
  </si>
  <si>
    <t>jonathan8@adventure-works.com</t>
  </si>
  <si>
    <t>megan13@adventure-works.com</t>
  </si>
  <si>
    <t>lori20@adventure-works.com</t>
  </si>
  <si>
    <t>xavier52@adventure-works.com</t>
  </si>
  <si>
    <t>sarah30@adventure-works.com</t>
  </si>
  <si>
    <t>abigail74@adventure-works.com</t>
  </si>
  <si>
    <t>jill7@adventure-works.com</t>
  </si>
  <si>
    <t>melissa26@adventure-works.com</t>
  </si>
  <si>
    <t>ethan32@adventure-works.com</t>
  </si>
  <si>
    <t>gabrielle14@adventure-works.com</t>
  </si>
  <si>
    <t>abigail56@adventure-works.com</t>
  </si>
  <si>
    <t>evan31@adventure-works.com</t>
  </si>
  <si>
    <t>wayne18@adventure-works.com</t>
  </si>
  <si>
    <t>isabella79@adventure-works.com</t>
  </si>
  <si>
    <t>molly9@adventure-works.com</t>
  </si>
  <si>
    <t>brandon39@adventure-works.com</t>
  </si>
  <si>
    <t>abigail8@adventure-works.com</t>
  </si>
  <si>
    <t>kaitlyn87@adventure-works.com</t>
  </si>
  <si>
    <t>seth49@adventure-works.com</t>
  </si>
  <si>
    <t>katelyn34@adventure-works.com</t>
  </si>
  <si>
    <t>victoria17@adventure-works.com</t>
  </si>
  <si>
    <t>cassie17@adventure-works.com</t>
  </si>
  <si>
    <t>katrina15@adventure-works.com</t>
  </si>
  <si>
    <t>jenny2@adventure-works.com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</si>
  <si>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</si>
  <si>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</si>
  <si>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</si>
  <si>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</si>
  <si>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</si>
  <si>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juan25@adventure-works.com</t>
  </si>
  <si>
    <t>madison3@adventure-works.com</t>
  </si>
  <si>
    <t>ian54@adventure-works.com</t>
  </si>
  <si>
    <t>hannah15@adventure-works.com</t>
  </si>
  <si>
    <t>christian22@adventure-works.com</t>
  </si>
  <si>
    <t>alisha24@adventure-works.com</t>
  </si>
  <si>
    <t>brooke21@adventure-works.com</t>
  </si>
  <si>
    <t>sean39@adventure-works.com</t>
  </si>
  <si>
    <t>carmen0@adventure-works.com</t>
  </si>
  <si>
    <t>haley52@adventure-works.com</t>
  </si>
  <si>
    <t>victoria36@adventure-works.com</t>
  </si>
  <si>
    <t>alexandria2@adventure-works.com</t>
  </si>
  <si>
    <t>morgan36@adventure-works.com</t>
  </si>
  <si>
    <t>micah0@adventure-works.com</t>
  </si>
  <si>
    <t>roy9@adventure-works.com</t>
  </si>
  <si>
    <t>kelli23@adventure-works.com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</si>
  <si>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</si>
  <si>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</si>
  <si>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</si>
  <si>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</si>
  <si>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</si>
  <si>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</si>
  <si>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megan50@adventure-works.com</t>
  </si>
  <si>
    <t>marc19@adventure-works.com</t>
  </si>
  <si>
    <t>grant8@adventure-works.com</t>
  </si>
  <si>
    <t>terrance5@adventure-works.com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</si>
  <si>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</si>
  <si>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</si>
  <si>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</si>
  <si>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</si>
  <si>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</si>
  <si>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</si>
  <si>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</si>
  <si>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</si>
  <si>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</si>
  <si>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brianna42@adventure-works.com</t>
  </si>
  <si>
    <t>stephanie14@adventure-works.com</t>
  </si>
  <si>
    <t>sophia14@adventure-works.com</t>
  </si>
  <si>
    <t>caleb6@adventure-works.com</t>
  </si>
  <si>
    <t>yolanda8@adventure-works.com</t>
  </si>
  <si>
    <t>julia77@adventure-works.com</t>
  </si>
  <si>
    <t>madison33@adventure-works.com</t>
  </si>
  <si>
    <t>charles14@adventure-works.com</t>
  </si>
  <si>
    <t>adam28@adventure-works.com</t>
  </si>
  <si>
    <t>kristen5@adventure-works.com</t>
  </si>
  <si>
    <t>natalie51@adventure-works.com</t>
  </si>
  <si>
    <t>paige26@adventure-works.com</t>
  </si>
  <si>
    <t>jordyn12@adventure-works.com</t>
  </si>
  <si>
    <t>haley23@adventure-works.com</t>
  </si>
  <si>
    <t>alexandria29@adventure-works.com</t>
  </si>
  <si>
    <t>renee1@adventure-works.com</t>
  </si>
  <si>
    <t>lucas82@adventure-works.com</t>
  </si>
  <si>
    <t>karen20@adventure-works.com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</si>
  <si>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</si>
  <si>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</si>
  <si>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</si>
  <si>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</si>
  <si>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</si>
  <si>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</si>
  <si>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</si>
  <si>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</si>
  <si>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carlos15@adventure-works.com</t>
  </si>
  <si>
    <t>krystal15@adventure-works.com</t>
  </si>
  <si>
    <t>jaime27@adventure-works.com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</si>
  <si>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</si>
  <si>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</si>
  <si>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</si>
  <si>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</si>
  <si>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</si>
  <si>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</si>
  <si>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</si>
  <si>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PETR</t>
  </si>
  <si>
    <t>LAZECKY</t>
  </si>
  <si>
    <t>petr0@adventure-works.com</t>
  </si>
  <si>
    <t>jocelyn0@adventure-works.com</t>
  </si>
  <si>
    <t>luis43@adventure-works.com</t>
  </si>
  <si>
    <t>stephanie28@adventure-works.com</t>
  </si>
  <si>
    <t>alexandra22@adventure-works.com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</si>
  <si>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</si>
  <si>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</si>
  <si>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</si>
  <si>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</si>
  <si>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</si>
  <si>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larry13@adventure-works.com</t>
  </si>
  <si>
    <t>tiffany18@adventure-works.com</t>
  </si>
  <si>
    <t>mario7@adventure-works.com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</si>
  <si>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</si>
  <si>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</si>
  <si>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</si>
  <si>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</si>
  <si>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</si>
  <si>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</si>
  <si>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</si>
  <si>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</si>
  <si>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</si>
  <si>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</si>
  <si>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</si>
  <si>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</si>
  <si>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</si>
  <si>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</si>
  <si>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alfredo23@adventure-works.com</t>
  </si>
  <si>
    <t>willie19@adventure-works.com</t>
  </si>
  <si>
    <t>ricardo18@adventure-works.com</t>
  </si>
  <si>
    <t>savannah40@adventure-works.com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</si>
  <si>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</si>
  <si>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</si>
  <si>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</si>
  <si>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</si>
  <si>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</si>
  <si>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</si>
  <si>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isabella51@adventure-works.com</t>
  </si>
  <si>
    <t>justin41@adventure-works.com</t>
  </si>
  <si>
    <t>isabel17@adventure-works.com</t>
  </si>
  <si>
    <t>hunter23@adventure-works.com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</si>
  <si>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</si>
  <si>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</si>
  <si>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</si>
  <si>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</si>
  <si>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</si>
  <si>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</si>
  <si>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</si>
  <si>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</si>
  <si>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</si>
  <si>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</si>
  <si>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</si>
  <si>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</si>
  <si>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</si>
  <si>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</si>
  <si>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</si>
  <si>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</si>
  <si>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</si>
  <si>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</si>
  <si>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</si>
  <si>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</si>
  <si>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</si>
  <si>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</si>
  <si>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olivia39@adventure-works.com</t>
  </si>
  <si>
    <t>gabriel22@adventure-works.com</t>
  </si>
  <si>
    <t>fernando25@adventure-works.com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</si>
  <si>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</si>
  <si>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</si>
  <si>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</si>
  <si>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</si>
  <si>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</si>
  <si>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</si>
  <si>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</si>
  <si>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</si>
  <si>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michele6@adventure-works.com</t>
  </si>
  <si>
    <t>brandy11@adventure-works.com</t>
  </si>
  <si>
    <t>roy34@adventure-works.com</t>
  </si>
  <si>
    <t>danny15@adventure-works.com</t>
  </si>
  <si>
    <t>gloria12@adventure-works.com</t>
  </si>
  <si>
    <t>devin58@adventure-works.com</t>
  </si>
  <si>
    <t>clarence5@adventure-works.com</t>
  </si>
  <si>
    <t>ethan12@adventure-works.com</t>
  </si>
  <si>
    <t>karen31@adventure-works.com</t>
  </si>
  <si>
    <t>barry14@adventure-works.com</t>
  </si>
  <si>
    <t>faith38@adventure-works.com</t>
  </si>
  <si>
    <t>kyle31@adventure-works.com</t>
  </si>
  <si>
    <t>connor9@adventure-works.com</t>
  </si>
  <si>
    <t>elizabeth21@adventure-works.com</t>
  </si>
  <si>
    <t>elijah14@adventure-works.com</t>
  </si>
  <si>
    <t>jessica71@adventure-works.com</t>
  </si>
  <si>
    <t>christian31@adventure-works.com</t>
  </si>
  <si>
    <t>alyssa0@adventure-works.com</t>
  </si>
  <si>
    <t>luke25@adventure-works.com</t>
  </si>
  <si>
    <t>terry20@adventure-works.com</t>
  </si>
  <si>
    <t>mathew2@adventure-works.com</t>
  </si>
  <si>
    <t>chloe67@adventure-works.com</t>
  </si>
  <si>
    <t>nicole62@adventure-works.com</t>
  </si>
  <si>
    <t>sarah39@adventure-works.com</t>
  </si>
  <si>
    <t>kevin55@adventure-works.com</t>
  </si>
  <si>
    <t>robert25@adventure-works.com</t>
  </si>
  <si>
    <t>daniel13@adventure-works.com</t>
  </si>
  <si>
    <t>connor47@adventure-works.com</t>
  </si>
  <si>
    <t>alexis10@adventure-works.com</t>
  </si>
  <si>
    <t>james34@adventure-works.com</t>
  </si>
  <si>
    <t>sarah31@adventure-works.com</t>
  </si>
  <si>
    <t>luke26@adventure-works.com</t>
  </si>
  <si>
    <t>isaac4@adventure-works.com</t>
  </si>
  <si>
    <t>ashley15@adventure-works.com</t>
  </si>
  <si>
    <t>miguel21@adventure-works.com</t>
  </si>
  <si>
    <t>madeline9@adventure-works.com</t>
  </si>
  <si>
    <t>terry18@adventure-works.com</t>
  </si>
  <si>
    <t>lawrence18@adventure-works.com</t>
  </si>
  <si>
    <t>jesse46@adventure-works.com</t>
  </si>
  <si>
    <t>bridget21@adventure-works.com</t>
  </si>
  <si>
    <t>erica13@adventure-works.com</t>
  </si>
  <si>
    <t>latoya14@adventure-works.com</t>
  </si>
  <si>
    <t>emily34@adventure-works.com</t>
  </si>
  <si>
    <t>micheal8@adventure-works.com</t>
  </si>
  <si>
    <t>michael47@adventure-works.com</t>
  </si>
  <si>
    <t>nancy14@adventure-works.com</t>
  </si>
  <si>
    <t>jaime15@adventure-works.com</t>
  </si>
  <si>
    <t>rebecca5@adventure-works.com</t>
  </si>
  <si>
    <t>cory6@adventure-works.com</t>
  </si>
  <si>
    <t>leonard10@adventure-works.com</t>
  </si>
  <si>
    <t>wayne23@adventure-works.com</t>
  </si>
  <si>
    <t>alexandra35@adventure-works.com</t>
  </si>
  <si>
    <t>jaclyn11@adventure-works.com</t>
  </si>
  <si>
    <t>isaac36@adventure-works.com</t>
  </si>
  <si>
    <t>allen6@adventure-works.com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</si>
  <si>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</si>
  <si>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</si>
  <si>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</si>
  <si>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</si>
  <si>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</si>
  <si>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</si>
  <si>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dalton70@adventure-works.com</t>
  </si>
  <si>
    <t>christy13@adventure-works.com</t>
  </si>
  <si>
    <t>antonio7@adventure-works.com</t>
  </si>
  <si>
    <t>julia82@adventure-works.com</t>
  </si>
  <si>
    <t>james45@adventure-works.com</t>
  </si>
  <si>
    <t>devin82@adventure-works.com</t>
  </si>
  <si>
    <t>sophia3@adventure-works.com</t>
  </si>
  <si>
    <t>morgan38@adventure-works.com</t>
  </si>
  <si>
    <t>heather5@adventure-works.com</t>
  </si>
  <si>
    <t>jacqueline12@adventure-works.com</t>
  </si>
  <si>
    <t>jackson9@adventure-works.com</t>
  </si>
  <si>
    <t>ian59@adventure-works.com</t>
  </si>
  <si>
    <t>kayla47@adventure-works.com</t>
  </si>
  <si>
    <t>evan30@adventure-works.com</t>
  </si>
  <si>
    <t>noah22@adventure-works.com</t>
  </si>
  <si>
    <t>MARTY</t>
  </si>
  <si>
    <t>marty0@adventure-works.com</t>
  </si>
  <si>
    <t>casey42@adventure-works.com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</si>
  <si>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</si>
  <si>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</si>
  <si>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</si>
  <si>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</si>
  <si>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</si>
  <si>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</si>
  <si>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</si>
  <si>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</si>
  <si>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</si>
  <si>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</si>
  <si>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</si>
  <si>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</si>
  <si>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</si>
  <si>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</si>
  <si>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</si>
  <si>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</si>
  <si>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</si>
  <si>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brenda23@adventure-works.com</t>
  </si>
  <si>
    <t>elizabeth31@adventure-works.com</t>
  </si>
  <si>
    <t>dalton61@adventure-works.com</t>
  </si>
  <si>
    <t>taylor17@adventure-works.com</t>
  </si>
  <si>
    <t>stephanie38@adventure-works.com</t>
  </si>
  <si>
    <t>amanda63@adventure-works.com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</si>
  <si>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</si>
  <si>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</si>
  <si>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</si>
  <si>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</si>
  <si>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</si>
  <si>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</si>
  <si>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</si>
  <si>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</si>
  <si>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</si>
  <si>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</si>
  <si>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</si>
  <si>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</si>
  <si>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anna30@adventure-works.com</t>
  </si>
  <si>
    <t>cindy26@adventure-works.com</t>
  </si>
  <si>
    <t>eduardo64@adventure-works.com</t>
  </si>
  <si>
    <t>mariah18@adventure-works.com</t>
  </si>
  <si>
    <t>natalie34@adventure-works.com</t>
  </si>
  <si>
    <t>emma7@adventure-works.com</t>
  </si>
  <si>
    <t>mariah43@adventure-works.com</t>
  </si>
  <si>
    <t>shannon41@adventure-works.com</t>
  </si>
  <si>
    <t>pedro0@adventure-works.com</t>
  </si>
  <si>
    <t>hector9@adventure-works.com</t>
  </si>
  <si>
    <t>reginald7@adventure-works.com</t>
  </si>
  <si>
    <t>nelson20@adventure-works.com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</si>
  <si>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</si>
  <si>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</si>
  <si>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</si>
  <si>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</si>
  <si>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</si>
  <si>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</si>
  <si>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barbara15@adventure-works.com</t>
  </si>
  <si>
    <t>kathryn0@adventure-works.com</t>
  </si>
  <si>
    <t>pamela20@adventure-works.com</t>
  </si>
  <si>
    <t>aidan17@adventure-works.com</t>
  </si>
  <si>
    <t>noah17@adventure-works.com</t>
  </si>
  <si>
    <t>luke48@adventure-works.com</t>
  </si>
  <si>
    <t>sydney63@adventure-works.com</t>
  </si>
  <si>
    <t>fernando53@adventure-works.com</t>
  </si>
  <si>
    <t>jason15@adventure-works.com</t>
  </si>
  <si>
    <t>andrea21@adventure-works.com</t>
  </si>
  <si>
    <t>vincent15@adventure-works.com</t>
  </si>
  <si>
    <t>antonio15@adventure-works.com</t>
  </si>
  <si>
    <t>riley37@adventure-works.com</t>
  </si>
  <si>
    <t>cassidy22@adventure-works.com</t>
  </si>
  <si>
    <t>renee2@adventure-works.com</t>
  </si>
  <si>
    <t>jeremiah41@adventure-works.com</t>
  </si>
  <si>
    <t>jennifer45@adventure-works.com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</si>
  <si>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</si>
  <si>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</si>
  <si>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</si>
  <si>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</si>
  <si>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</si>
  <si>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chloe61@adventure-works.com</t>
  </si>
  <si>
    <t>nathan67@adventure-works.com</t>
  </si>
  <si>
    <t>riley33@adventure-works.com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</si>
  <si>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</si>
  <si>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</si>
  <si>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</si>
  <si>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</si>
  <si>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</si>
  <si>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</si>
  <si>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</si>
  <si>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</si>
  <si>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</si>
  <si>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</si>
  <si>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</si>
  <si>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</si>
  <si>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lindsey2@adventure-works.com</t>
  </si>
  <si>
    <t>hannah19@adventure-works.com</t>
  </si>
  <si>
    <t>edward29@adventure-works.com</t>
  </si>
  <si>
    <t>keith2@adventure-works.com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</si>
  <si>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</si>
  <si>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</si>
  <si>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</si>
  <si>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</si>
  <si>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</si>
  <si>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</si>
  <si>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toni19@adventure-works.com</t>
  </si>
  <si>
    <t>hunter18@adventure-works.com</t>
  </si>
  <si>
    <t>mariah15@adventure-works.com</t>
  </si>
  <si>
    <t>alejandro15@adventure-works.com</t>
  </si>
  <si>
    <t>mario9@adventure-works.com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</si>
  <si>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</si>
  <si>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</si>
  <si>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</si>
  <si>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</si>
  <si>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</si>
  <si>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</si>
  <si>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</si>
  <si>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</si>
  <si>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</si>
  <si>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</si>
  <si>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</si>
  <si>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richard12@adventure-works.com</t>
  </si>
  <si>
    <t>colin42@adventure-works.com</t>
  </si>
  <si>
    <t>isaiah4@adventure-works.com</t>
  </si>
  <si>
    <t>amanda1@adventure-works.com</t>
  </si>
  <si>
    <t>thomas49@adventure-works.com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</si>
  <si>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</si>
  <si>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</si>
  <si>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</si>
  <si>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</si>
  <si>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</si>
  <si>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</si>
  <si>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</si>
  <si>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</si>
  <si>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</si>
  <si>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</si>
  <si>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</si>
  <si>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olivia58@adventure-works.com</t>
  </si>
  <si>
    <t>arturo27@adventure-works.com</t>
  </si>
  <si>
    <t>gabrielle45@adventure-works.com</t>
  </si>
  <si>
    <t>jenna17@adventure-works.com</t>
  </si>
  <si>
    <t>morgan57@adventure-works.com</t>
  </si>
  <si>
    <t>jordyn7@adventure-works.com</t>
  </si>
  <si>
    <t>jasmine54@adventure-works.com</t>
  </si>
  <si>
    <t>emily32@adventure-works.com</t>
  </si>
  <si>
    <t>kevin39@adventure-works.com</t>
  </si>
  <si>
    <t>emily31@adventure-works.com</t>
  </si>
  <si>
    <t>zachary42@adventure-works.com</t>
  </si>
  <si>
    <t>dustin13@adventure-works.com</t>
  </si>
  <si>
    <t>seth20@adventure-works.com</t>
  </si>
  <si>
    <t>chase19@adventure-works.com</t>
  </si>
  <si>
    <t>luke30@adventure-works.com</t>
  </si>
  <si>
    <t>jonathan7@adventure-works.com</t>
  </si>
  <si>
    <t>jennifer41@adventure-works.com</t>
  </si>
  <si>
    <t>dalton86@adventure-works.com</t>
  </si>
  <si>
    <t>steven31@adventure-works.com</t>
  </si>
  <si>
    <t>lucas55@adventure-works.com</t>
  </si>
  <si>
    <t>edward36@adventure-works.com</t>
  </si>
  <si>
    <t>anthony5@adventure-works.com</t>
  </si>
  <si>
    <t>jackson27@adventure-works.com</t>
  </si>
  <si>
    <t>zachary38@adventure-works.com</t>
  </si>
  <si>
    <t>fernando61@adventure-works.com</t>
  </si>
  <si>
    <t>christian37@adventure-works.com</t>
  </si>
  <si>
    <t>zachary32@adventure-works.com</t>
  </si>
  <si>
    <t>eduardo81@adventure-works.com</t>
  </si>
  <si>
    <t>katherine76@adventure-works.com</t>
  </si>
  <si>
    <t>hunter17@adventure-works.com</t>
  </si>
  <si>
    <t>andrea27@adventure-works.com</t>
  </si>
  <si>
    <t>connor27@adventure-works.com</t>
  </si>
  <si>
    <t>angela24@adventure-works.com</t>
  </si>
  <si>
    <t>isabella66@adventure-works.com</t>
  </si>
  <si>
    <t>justin35@adventure-works.com</t>
  </si>
  <si>
    <t>christian29@adventure-works.com</t>
  </si>
  <si>
    <t>JARRED</t>
  </si>
  <si>
    <t>james81@adventure-works.com</t>
  </si>
  <si>
    <t>jonathan16@adventure-works.com</t>
  </si>
  <si>
    <t>thomas53@adventure-works.com</t>
  </si>
  <si>
    <t>morgan20@adventure-works.com</t>
  </si>
  <si>
    <t>justin18@adventure-works.com</t>
  </si>
  <si>
    <t>joshua10@adventure-works.com</t>
  </si>
  <si>
    <t>jessica32@adventure-works.com</t>
  </si>
  <si>
    <t>alexa15@adventure-works.com</t>
  </si>
  <si>
    <t>lucas85@adventure-works.com</t>
  </si>
  <si>
    <t>timothy42@adventure-works.com</t>
  </si>
  <si>
    <t>natalie47@adventure-works.com</t>
  </si>
  <si>
    <t>cameron0@adventure-works.com</t>
  </si>
  <si>
    <t>katherine20@adventure-works.com</t>
  </si>
  <si>
    <t>kayla19@adventure-works.com</t>
  </si>
  <si>
    <t>jared16@adventure-works.com</t>
  </si>
  <si>
    <t>ian8@adventure-works.com</t>
  </si>
  <si>
    <t>savannah12@adventure-works.com</t>
  </si>
  <si>
    <t>cheryl22@adventure-works.com</t>
  </si>
  <si>
    <t>tracy15@adventure-works.com</t>
  </si>
  <si>
    <t>alfredo14@adventure-works.com</t>
  </si>
  <si>
    <t>jarred1@adventure-works.com</t>
  </si>
  <si>
    <t>casey0@adventure-works.com</t>
  </si>
  <si>
    <t>tamara15@adventure-works.com</t>
  </si>
  <si>
    <t>phillip14@adventure-works.com</t>
  </si>
  <si>
    <t>riley7@adventure-works.com</t>
  </si>
  <si>
    <t>cassie10@adventure-works.com</t>
  </si>
  <si>
    <t>bethany7@adventure-works.com</t>
  </si>
  <si>
    <t>reginald9@adventure-works.com</t>
  </si>
  <si>
    <t>gregory16@adventure-works.com</t>
  </si>
  <si>
    <t>dwayne7@adventure-works.com</t>
  </si>
  <si>
    <t>j�sus16@adventure-works.com</t>
  </si>
  <si>
    <t>susan27@adventure-works.com</t>
  </si>
  <si>
    <t>tara15@adventure-works.com</t>
  </si>
  <si>
    <t>tony6@adventure-works.com</t>
  </si>
  <si>
    <t>leah0@adventure-works.com</t>
  </si>
  <si>
    <t>isabella42@adventure-works.com</t>
  </si>
  <si>
    <t>april2@adventure-works.com</t>
  </si>
  <si>
    <t>sabrina10@adventure-works.com</t>
  </si>
  <si>
    <t>billy12@adventure-works.com</t>
  </si>
  <si>
    <t>PEGGY</t>
  </si>
  <si>
    <t>peggy1@adventure-works.com</t>
  </si>
  <si>
    <t>phillip19@adventure-works.com</t>
  </si>
  <si>
    <t>dustin11@adventure-works.com</t>
  </si>
  <si>
    <t>kayla36@adventure-works.com</t>
  </si>
  <si>
    <t>cole11@adventure-works.com</t>
  </si>
  <si>
    <t>carson5@adventure-works.com</t>
  </si>
  <si>
    <t>bailey38@adventure-works.com</t>
  </si>
  <si>
    <t>jack24@adventure-works.com</t>
  </si>
  <si>
    <t>alexis7@adventure-works.com</t>
  </si>
  <si>
    <t>hannah37@adventure-works.com</t>
  </si>
  <si>
    <t>mariah39@adventure-works.com</t>
  </si>
  <si>
    <t>lucas86@adventure-works.com</t>
  </si>
  <si>
    <t>vanessa16@adventure-works.com</t>
  </si>
  <si>
    <t>jordan64@adventure-works.com</t>
  </si>
  <si>
    <t>mallory15@adventure-works.com</t>
  </si>
  <si>
    <t>marshall13@adventure-works.com</t>
  </si>
  <si>
    <t>kelvin20@adventure-works.com</t>
  </si>
  <si>
    <t>cory20@adventure-works.com</t>
  </si>
  <si>
    <t>sharon19@adventure-works.com</t>
  </si>
  <si>
    <t>darryl13@adventure-works.com</t>
  </si>
  <si>
    <t>rebekah32@adventure-works.com</t>
  </si>
  <si>
    <t>marvin10@adventure-works.com</t>
  </si>
  <si>
    <t>brett7@adventure-works.com</t>
  </si>
  <si>
    <t>dylan8@adventure-works.com</t>
  </si>
  <si>
    <t>paula13@adventure-works.com</t>
  </si>
  <si>
    <t>mya10@adventure-works.com</t>
  </si>
  <si>
    <t>alisha47@adventure-works.com</t>
  </si>
  <si>
    <t>franklin8@adventure-works.com</t>
  </si>
  <si>
    <t>andy13@adventure-works.com</t>
  </si>
  <si>
    <t>BELSON</t>
  </si>
  <si>
    <t>joe18@adventure-works.com</t>
  </si>
  <si>
    <t>HEE</t>
  </si>
  <si>
    <t>stacey20@adventure-works.com</t>
  </si>
  <si>
    <t>ronald22@adventure-works.com</t>
  </si>
  <si>
    <t>troy21@adventure-works.com</t>
  </si>
  <si>
    <t>joe31@adventure-works.com</t>
  </si>
  <si>
    <t>maurice10@adventure-works.com</t>
  </si>
  <si>
    <t>timothy31@adventure-works.com</t>
  </si>
  <si>
    <t>allison32@adventure-works.com</t>
  </si>
  <si>
    <t>dwayne3@adventure-works.com</t>
  </si>
  <si>
    <t>grace48@adventure-works.com</t>
  </si>
  <si>
    <t>joseph27@adventure-works.com</t>
  </si>
  <si>
    <t>natalie65@adventure-works.com</t>
  </si>
  <si>
    <t>lauren3@adventure-works.com</t>
  </si>
  <si>
    <t>victoria19@adventure-works.com</t>
  </si>
  <si>
    <t>justin11@adventure-works.com</t>
  </si>
  <si>
    <t>nelson4@adventure-works.com</t>
  </si>
  <si>
    <t>emma23@adventure-works.com</t>
  </si>
  <si>
    <t>adam52@adventure-works.com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</si>
  <si>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</si>
  <si>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</si>
  <si>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</si>
  <si>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</si>
  <si>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</si>
  <si>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</si>
  <si>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</si>
  <si>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</si>
  <si>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</si>
  <si>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</si>
  <si>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</si>
  <si>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</si>
  <si>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</si>
  <si>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</si>
  <si>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</si>
  <si>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</si>
  <si>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</si>
  <si>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</si>
  <si>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</si>
  <si>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mason14@adventure-works.com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</si>
  <si>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</si>
  <si>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</si>
  <si>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</si>
  <si>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</si>
  <si>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</si>
  <si>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richard36@adventure-works.com</t>
  </si>
  <si>
    <t>sean24@adventure-works.com</t>
  </si>
  <si>
    <t>faith28@adventure-works.com</t>
  </si>
  <si>
    <t>kara10@adventure-works.com</t>
  </si>
  <si>
    <t>jerry8@adventure-works.com</t>
  </si>
  <si>
    <t>laura26@adventure-works.com</t>
  </si>
  <si>
    <t>austin27@adventure-works.com</t>
  </si>
  <si>
    <t>katelyn6@adventure-works.com</t>
  </si>
  <si>
    <t>amber21@adventure-works.com</t>
  </si>
  <si>
    <t>kelly5@adventure-works.com</t>
  </si>
  <si>
    <t>evan28@adventure-works.com</t>
  </si>
  <si>
    <t>angel28@adventure-works.com</t>
  </si>
  <si>
    <t>matthew26@adventure-works.com</t>
  </si>
  <si>
    <t>eric58@adventure-works.com</t>
  </si>
  <si>
    <t>jennifer81@adventure-works.com</t>
  </si>
  <si>
    <t>xavier50@adventure-works.com</t>
  </si>
  <si>
    <t>samantha7@adventure-works.com</t>
  </si>
  <si>
    <t>alex26@adventure-works.com</t>
  </si>
  <si>
    <t>erin27@adventure-works.com</t>
  </si>
  <si>
    <t>kyle8@adventure-works.com</t>
  </si>
  <si>
    <t>makayla8@adventure-works.com</t>
  </si>
  <si>
    <t>robert48@adventure-works.com</t>
  </si>
  <si>
    <t>riley21@adventure-works.com</t>
  </si>
  <si>
    <t>marissa17@adventure-works.com</t>
  </si>
  <si>
    <t>miguel31@adventure-works.com</t>
  </si>
  <si>
    <t>taylor58@adventure-works.com</t>
  </si>
  <si>
    <t>sydney34@adventure-works.com</t>
  </si>
  <si>
    <t>janet33@adventure-works.com</t>
  </si>
  <si>
    <t>hailey47@adventure-works.com</t>
  </si>
  <si>
    <t>erin25@adventure-works.com</t>
  </si>
  <si>
    <t>charles13@adventure-works.com</t>
  </si>
  <si>
    <t>thomas51@adventure-works.com</t>
  </si>
  <si>
    <t>victoria68@adventure-works.com</t>
  </si>
  <si>
    <t>paige35@adventure-works.com</t>
  </si>
  <si>
    <t>justin15@adventure-works.com</t>
  </si>
  <si>
    <t>nathaniel17@adventure-works.com</t>
  </si>
  <si>
    <t>rachel39@adventure-works.com</t>
  </si>
  <si>
    <t>julia37@adventure-works.com</t>
  </si>
  <si>
    <t>lydia17@adventure-works.com</t>
  </si>
  <si>
    <t>isaiah23@adventure-works.com</t>
  </si>
  <si>
    <t>elizabeth30@adventure-works.com</t>
  </si>
  <si>
    <t>ivan0@adventure-works.com</t>
  </si>
  <si>
    <t>CategoryName</t>
  </si>
  <si>
    <t>Bikes</t>
  </si>
  <si>
    <t>ProductSubcategoryKey</t>
  </si>
  <si>
    <t>SubcategoryName</t>
  </si>
  <si>
    <t>Mountain Bikes</t>
  </si>
  <si>
    <t>Road Bikes</t>
  </si>
  <si>
    <t>ProductKey</t>
  </si>
  <si>
    <t>ProductSKU</t>
  </si>
  <si>
    <t>ProductName</t>
  </si>
  <si>
    <t>ProductCost</t>
  </si>
  <si>
    <t>ProductPrice</t>
  </si>
  <si>
    <t>BK-R93R-62</t>
  </si>
  <si>
    <t>Road-150 Red, 62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</si>
  <si>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</si>
  <si>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</si>
  <si>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</si>
  <si>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</si>
  <si>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</si>
  <si>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</si>
  <si>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</si>
  <si>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</si>
  <si>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BK-R50R-58</t>
  </si>
  <si>
    <t>Road-650 Red, 58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</si>
  <si>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</si>
  <si>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</si>
  <si>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</si>
  <si>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</si>
  <si>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</si>
  <si>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</si>
  <si>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</si>
  <si>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</si>
  <si>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</si>
  <si>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</si>
  <si>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</si>
  <si>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</si>
  <si>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</si>
  <si>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</si>
  <si>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</si>
  <si>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</si>
  <si>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</si>
  <si>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</si>
  <si>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</si>
  <si>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</si>
  <si>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</si>
  <si>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</si>
  <si>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</si>
  <si>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</si>
  <si>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</si>
  <si>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</si>
  <si>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</si>
  <si>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</si>
  <si>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</si>
  <si>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</si>
  <si>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</si>
  <si>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</si>
  <si>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</si>
  <si>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</si>
  <si>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</si>
  <si>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</si>
  <si>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</si>
  <si>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</si>
  <si>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</si>
  <si>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</si>
  <si>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</si>
  <si>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</si>
  <si>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</si>
  <si>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</si>
  <si>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</si>
  <si>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</si>
  <si>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</si>
  <si>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</si>
  <si>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</si>
  <si>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</si>
  <si>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BK-R89R-44</t>
  </si>
  <si>
    <t>Road-250 Red, 44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</si>
  <si>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</si>
  <si>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</si>
  <si>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</si>
  <si>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</si>
  <si>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</si>
  <si>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</si>
  <si>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</si>
  <si>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</si>
  <si>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</si>
  <si>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</si>
  <si>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</si>
  <si>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</si>
  <si>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</si>
  <si>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</si>
  <si>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</si>
  <si>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</si>
  <si>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</si>
  <si>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</si>
  <si>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</si>
  <si>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</si>
  <si>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</si>
  <si>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</si>
  <si>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</si>
  <si>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</si>
  <si>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TerritoryKey</t>
  </si>
  <si>
    <t>Region</t>
  </si>
  <si>
    <t>Country</t>
  </si>
  <si>
    <t>Continent</t>
  </si>
  <si>
    <t>Northwest</t>
  </si>
  <si>
    <t>United States</t>
  </si>
  <si>
    <t>North America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</si>
  <si>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</si>
  <si>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</si>
  <si>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</si>
  <si>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</si>
  <si>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</si>
  <si>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</si>
  <si>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</si>
  <si>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</si>
  <si>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</si>
  <si>
    <t>OrderDate</t>
  </si>
  <si>
    <t>StockDate</t>
  </si>
  <si>
    <t>OrderNumber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</si>
  <si>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</si>
  <si>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</si>
  <si>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</si>
  <si>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</si>
  <si>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</si>
  <si>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</si>
  <si>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</si>
  <si>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</si>
  <si>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</si>
  <si>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</si>
  <si>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</si>
  <si>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</si>
  <si>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</si>
  <si>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</si>
  <si>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</si>
  <si>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</si>
  <si>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</si>
  <si>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</si>
  <si>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</si>
  <si>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</si>
  <si>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</si>
  <si>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</si>
  <si>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</si>
  <si>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</si>
  <si>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</si>
  <si>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</si>
  <si>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</si>
  <si>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</si>
  <si>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</si>
  <si>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</si>
  <si>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</si>
  <si>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</si>
  <si>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</si>
  <si>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</si>
  <si>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</si>
  <si>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</si>
  <si>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</si>
  <si>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</si>
  <si>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</si>
  <si>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</si>
  <si>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</si>
  <si>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</si>
  <si>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</si>
  <si>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</si>
  <si>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</si>
  <si>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</si>
  <si>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</si>
  <si>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</si>
  <si>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</si>
  <si>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</si>
  <si>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</si>
  <si>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</si>
  <si>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</si>
  <si>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</si>
  <si>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</si>
  <si>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</si>
  <si>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</si>
  <si>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</si>
  <si>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</si>
  <si>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</si>
  <si>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</si>
  <si>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</si>
  <si>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</si>
  <si>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</si>
  <si>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</si>
  <si>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</si>
  <si>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</si>
  <si>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</si>
  <si>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</si>
  <si>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</si>
  <si>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</si>
  <si>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</si>
  <si>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</si>
  <si>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</si>
  <si>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</si>
  <si>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</si>
  <si>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</si>
  <si>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</si>
  <si>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</si>
  <si>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</si>
  <si>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</si>
  <si>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</si>
  <si>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</si>
  <si>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</si>
  <si>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</si>
  <si>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</si>
  <si>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</si>
  <si>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</si>
  <si>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</si>
  <si>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</si>
  <si>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</si>
  <si>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</si>
  <si>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</si>
  <si>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</si>
  <si>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</si>
  <si>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</si>
  <si>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</si>
  <si>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</si>
  <si>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</si>
  <si>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</si>
  <si>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</si>
  <si>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</si>
  <si>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</si>
  <si>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</si>
  <si>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</si>
  <si>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</si>
  <si>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</si>
  <si>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</si>
  <si>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</si>
  <si>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</si>
  <si>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</si>
  <si>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</si>
  <si>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</si>
  <si>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</si>
  <si>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</si>
  <si>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</si>
  <si>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</si>
  <si>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</si>
  <si>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</si>
  <si>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</si>
  <si>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</si>
  <si>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</si>
  <si>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</si>
  <si>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</si>
  <si>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</si>
  <si>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</si>
  <si>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</si>
  <si>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</si>
  <si>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</si>
  <si>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</si>
  <si>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</si>
  <si>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</si>
  <si>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</si>
  <si>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</si>
  <si>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</si>
  <si>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</si>
  <si>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</si>
  <si>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</si>
  <si>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</si>
  <si>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</si>
  <si>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</si>
  <si>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</si>
  <si>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</si>
  <si>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</si>
  <si>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</si>
  <si>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</si>
  <si>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</si>
  <si>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</si>
  <si>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</si>
  <si>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</si>
  <si>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</si>
  <si>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</si>
  <si>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</si>
  <si>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</si>
  <si>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</si>
  <si>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</si>
  <si>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</si>
  <si>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</si>
  <si>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</si>
  <si>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</si>
  <si>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</si>
  <si>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</si>
  <si>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</si>
  <si>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</si>
  <si>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</si>
  <si>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</si>
  <si>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</si>
  <si>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</si>
  <si>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</si>
  <si>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</si>
  <si>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</si>
  <si>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</si>
  <si>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</si>
  <si>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</si>
  <si>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</si>
  <si>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</si>
  <si>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</si>
  <si>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</si>
  <si>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</si>
  <si>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</si>
  <si>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</si>
  <si>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</si>
  <si>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</si>
  <si>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</si>
  <si>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</si>
  <si>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</si>
  <si>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</si>
  <si>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</si>
  <si>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</si>
  <si>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</si>
  <si>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</si>
  <si>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</si>
  <si>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</si>
  <si>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</si>
  <si>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</si>
  <si>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</si>
  <si>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</si>
  <si>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</si>
  <si>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</si>
  <si>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</si>
  <si>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</si>
  <si>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</si>
  <si>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</si>
  <si>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</si>
  <si>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</si>
  <si>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</si>
  <si>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</si>
  <si>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</si>
  <si>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</si>
  <si>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</si>
  <si>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</si>
  <si>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</si>
  <si>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</si>
  <si>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</si>
  <si>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</si>
  <si>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</si>
  <si>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</si>
  <si>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</si>
  <si>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</si>
  <si>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</si>
  <si>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</si>
  <si>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</si>
  <si>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</si>
  <si>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</si>
  <si>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</si>
  <si>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</si>
  <si>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</si>
  <si>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</si>
  <si>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</si>
  <si>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</si>
  <si>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</si>
  <si>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</si>
  <si>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</si>
  <si>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</si>
  <si>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</si>
  <si>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</si>
  <si>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</si>
  <si>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</si>
  <si>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</si>
  <si>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</si>
  <si>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</si>
  <si>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</si>
  <si>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</si>
  <si>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</si>
  <si>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</si>
  <si>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</si>
  <si>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</si>
  <si>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</si>
  <si>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</si>
  <si>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</si>
  <si>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</si>
  <si>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</si>
  <si>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</si>
  <si>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</si>
  <si>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</si>
  <si>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</si>
  <si>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</si>
  <si>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</si>
  <si>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</si>
  <si>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</si>
  <si>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</si>
  <si>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</si>
  <si>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</si>
  <si>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</si>
  <si>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</si>
  <si>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</si>
  <si>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</si>
  <si>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</si>
  <si>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</si>
  <si>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</si>
  <si>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</si>
  <si>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</si>
  <si>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</si>
  <si>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</si>
  <si>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</si>
  <si>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</si>
  <si>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</si>
  <si>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</si>
  <si>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</si>
  <si>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</si>
  <si>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</si>
  <si>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</si>
  <si>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</si>
  <si>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</si>
  <si>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</si>
  <si>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</si>
  <si>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</si>
  <si>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</si>
  <si>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</si>
  <si>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</si>
  <si>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</si>
  <si>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</si>
  <si>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</si>
  <si>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</si>
  <si>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</si>
  <si>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</si>
  <si>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</si>
  <si>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</si>
  <si>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</si>
  <si>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</si>
  <si>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</si>
  <si>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</si>
  <si>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</si>
  <si>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</si>
  <si>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</si>
  <si>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</si>
  <si>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</si>
  <si>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</si>
  <si>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</si>
  <si>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</si>
  <si>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</si>
  <si>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</si>
  <si>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</si>
  <si>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</si>
  <si>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</si>
  <si>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</si>
  <si>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</si>
  <si>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</si>
  <si>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</si>
  <si>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</si>
  <si>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</si>
  <si>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</si>
  <si>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</si>
  <si>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</si>
  <si>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</si>
  <si>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</si>
  <si>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</si>
  <si>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</si>
  <si>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</si>
  <si>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</si>
  <si>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</si>
  <si>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</si>
  <si>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</si>
  <si>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</si>
  <si>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</si>
  <si>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</si>
  <si>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</si>
  <si>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</si>
  <si>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</si>
  <si>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</si>
  <si>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</si>
  <si>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</si>
  <si>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</si>
  <si>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</si>
  <si>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</si>
  <si>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</si>
  <si>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</si>
  <si>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</si>
  <si>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</si>
  <si>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</si>
  <si>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</si>
  <si>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</si>
  <si>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</si>
  <si>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</si>
  <si>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</si>
  <si>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</si>
  <si>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</si>
  <si>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</si>
  <si>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</si>
  <si>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</si>
  <si>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</si>
  <si>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</si>
  <si>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</si>
  <si>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</si>
  <si>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</si>
  <si>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</si>
  <si>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</si>
  <si>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</si>
  <si>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</si>
  <si>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</si>
  <si>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</si>
  <si>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</si>
  <si>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</si>
  <si>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</si>
  <si>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</si>
  <si>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</si>
  <si>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</si>
  <si>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</si>
  <si>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</si>
  <si>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</si>
  <si>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</si>
  <si>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</si>
  <si>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</si>
  <si>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</si>
  <si>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</si>
  <si>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</si>
  <si>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</si>
  <si>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</si>
  <si>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</si>
  <si>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</si>
  <si>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</si>
  <si>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</si>
  <si>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</si>
  <si>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</si>
  <si>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</si>
  <si>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</si>
  <si>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</si>
  <si>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</si>
  <si>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</si>
  <si>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</si>
  <si>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</si>
  <si>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</si>
  <si>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</si>
  <si>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</si>
  <si>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</si>
  <si>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</si>
  <si>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</si>
  <si>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</si>
  <si>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</si>
  <si>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</si>
  <si>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</si>
  <si>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</si>
  <si>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</si>
  <si>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</si>
  <si>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</si>
  <si>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</si>
  <si>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</si>
  <si>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</si>
  <si>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</si>
  <si>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</si>
  <si>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</si>
  <si>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</si>
  <si>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</si>
  <si>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</si>
  <si>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</si>
  <si>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</si>
  <si>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</si>
  <si>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</si>
  <si>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</si>
  <si>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</si>
  <si>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</si>
  <si>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</si>
  <si>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</si>
  <si>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</si>
  <si>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</si>
  <si>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</si>
  <si>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</si>
  <si>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</si>
  <si>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</si>
  <si>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</si>
  <si>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</si>
  <si>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</si>
  <si>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</si>
  <si>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</si>
  <si>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</si>
  <si>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</si>
  <si>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</si>
  <si>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</si>
  <si>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</si>
  <si>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</si>
  <si>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</si>
  <si>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</si>
  <si>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</si>
  <si>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</si>
  <si>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</si>
  <si>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</si>
  <si>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</si>
  <si>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</si>
  <si>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</si>
  <si>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</si>
  <si>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</si>
  <si>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</si>
  <si>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</si>
  <si>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</si>
  <si>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</si>
  <si>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</si>
  <si>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</si>
  <si>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</si>
  <si>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</si>
  <si>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</si>
  <si>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</si>
  <si>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</si>
  <si>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</si>
  <si>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</si>
  <si>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</si>
  <si>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</si>
  <si>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</si>
  <si>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</si>
  <si>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</si>
  <si>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</si>
  <si>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</si>
  <si>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</si>
  <si>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</si>
  <si>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</si>
  <si>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</si>
  <si>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</si>
  <si>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</si>
  <si>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</si>
  <si>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</si>
  <si>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</si>
  <si>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</si>
  <si>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</si>
  <si>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</si>
  <si>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</si>
  <si>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</si>
  <si>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</si>
  <si>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</si>
  <si>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</si>
  <si>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</si>
  <si>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</si>
  <si>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</si>
  <si>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</si>
  <si>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</si>
  <si>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</si>
  <si>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</si>
  <si>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</si>
  <si>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</si>
  <si>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</si>
  <si>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</si>
  <si>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</si>
  <si>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</si>
  <si>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</si>
  <si>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</si>
  <si>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</si>
  <si>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</si>
  <si>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</si>
  <si>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</si>
  <si>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</si>
  <si>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</si>
  <si>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</si>
  <si>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</si>
  <si>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</si>
  <si>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</si>
  <si>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</si>
  <si>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</si>
  <si>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</si>
  <si>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</si>
  <si>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</si>
  <si>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</si>
  <si>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</si>
  <si>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</si>
  <si>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</si>
  <si>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</si>
  <si>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</si>
  <si>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</si>
  <si>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</si>
  <si>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</si>
  <si>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</si>
  <si>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</si>
  <si>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</si>
  <si>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</si>
  <si>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</si>
  <si>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</si>
  <si>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</si>
  <si>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</si>
  <si>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</si>
  <si>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</si>
  <si>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</si>
  <si>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</si>
  <si>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</si>
  <si>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</si>
  <si>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</si>
  <si>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</si>
  <si>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</si>
  <si>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</si>
  <si>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</si>
  <si>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</si>
  <si>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</si>
  <si>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</si>
  <si>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</si>
  <si>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</si>
  <si>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</si>
  <si>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</si>
  <si>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</si>
  <si>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</si>
  <si>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</si>
  <si>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</si>
  <si>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</si>
  <si>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</si>
  <si>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</si>
  <si>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</si>
  <si>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</si>
  <si>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</si>
  <si>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</si>
  <si>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</si>
  <si>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</si>
  <si>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</si>
  <si>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</si>
  <si>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</si>
  <si>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</si>
  <si>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</si>
  <si>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</si>
  <si>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</si>
  <si>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</si>
  <si>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</si>
  <si>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</si>
  <si>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</si>
  <si>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</si>
  <si>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</si>
  <si>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</si>
  <si>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</si>
  <si>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</si>
  <si>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</si>
  <si>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</si>
  <si>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</si>
  <si>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</si>
  <si>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</si>
  <si>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</si>
  <si>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</si>
  <si>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</si>
  <si>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</si>
  <si>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</si>
  <si>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</si>
  <si>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</si>
  <si>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</si>
  <si>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</si>
  <si>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</si>
  <si>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</si>
  <si>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</si>
  <si>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</si>
  <si>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</si>
  <si>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</si>
  <si>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</si>
  <si>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</si>
  <si>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</si>
  <si>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</si>
  <si>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</si>
  <si>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</si>
  <si>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</si>
  <si>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</si>
  <si>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</si>
  <si>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</si>
  <si>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</si>
  <si>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</si>
  <si>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</si>
  <si>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</si>
  <si>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</si>
  <si>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</si>
  <si>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</si>
  <si>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</si>
  <si>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</si>
  <si>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</si>
  <si>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</si>
  <si>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</si>
  <si>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</si>
  <si>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</si>
  <si>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</si>
  <si>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</si>
  <si>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</si>
  <si>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</si>
  <si>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</si>
  <si>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</si>
  <si>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</si>
  <si>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</si>
  <si>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</si>
  <si>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</si>
  <si>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</si>
  <si>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</si>
  <si>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</si>
  <si>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</si>
  <si>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</si>
  <si>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</si>
  <si>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</si>
  <si>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</si>
  <si>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</si>
  <si>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</si>
  <si>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</si>
  <si>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</si>
  <si>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</si>
  <si>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</si>
  <si>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</si>
  <si>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</si>
  <si>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</si>
  <si>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</si>
  <si>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</si>
  <si>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</si>
  <si>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</si>
  <si>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</si>
  <si>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</si>
  <si>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</si>
  <si>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</si>
  <si>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</si>
  <si>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</si>
  <si>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</si>
  <si>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</si>
  <si>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</si>
  <si>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</si>
  <si>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</si>
  <si>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</si>
  <si>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</si>
  <si>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</si>
  <si>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</si>
  <si>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</si>
  <si>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</si>
  <si>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</si>
  <si>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</si>
  <si>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</si>
  <si>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</si>
  <si>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</si>
  <si>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</si>
  <si>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</si>
  <si>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</si>
  <si>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</si>
  <si>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</si>
  <si>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</si>
  <si>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</si>
  <si>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</si>
  <si>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</si>
  <si>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</si>
  <si>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</si>
  <si>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</si>
  <si>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</si>
  <si>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</si>
  <si>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</si>
  <si>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</si>
  <si>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</si>
  <si>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</si>
  <si>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</si>
  <si>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</si>
  <si>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</si>
  <si>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</si>
  <si>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</si>
  <si>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</si>
  <si>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</si>
  <si>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</si>
  <si>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</si>
  <si>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</si>
  <si>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</si>
  <si>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</si>
  <si>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</si>
  <si>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</si>
  <si>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</si>
  <si>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</si>
  <si>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</si>
  <si>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</si>
  <si>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</si>
  <si>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</si>
  <si>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</si>
  <si>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</si>
  <si>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</si>
  <si>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</si>
  <si>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</si>
  <si>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</si>
  <si>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</si>
  <si>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</si>
  <si>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</si>
  <si>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</si>
  <si>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</si>
  <si>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</si>
  <si>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</si>
  <si>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</si>
  <si>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</si>
  <si>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</si>
  <si>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</si>
  <si>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</si>
  <si>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</si>
  <si>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</si>
  <si>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</si>
  <si>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</si>
  <si>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</si>
  <si>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</si>
  <si>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</si>
  <si>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</si>
  <si>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</si>
  <si>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</si>
  <si>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</si>
  <si>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</si>
  <si>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</si>
  <si>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</si>
  <si>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</si>
  <si>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</si>
  <si>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</si>
  <si>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</si>
  <si>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</si>
  <si>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</si>
  <si>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</si>
  <si>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</si>
  <si>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</si>
  <si>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</si>
  <si>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</si>
  <si>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</si>
  <si>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</si>
  <si>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</si>
  <si>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</si>
  <si>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</si>
  <si>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</si>
  <si>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</si>
  <si>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</si>
  <si>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</si>
  <si>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</si>
  <si>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</si>
  <si>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</si>
  <si>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</si>
  <si>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</si>
  <si>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</si>
  <si>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</si>
  <si>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</si>
  <si>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</si>
  <si>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</si>
  <si>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</si>
  <si>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</si>
  <si>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</si>
  <si>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</si>
  <si>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</si>
  <si>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</si>
  <si>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</si>
  <si>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</si>
  <si>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</si>
  <si>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</si>
  <si>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</si>
  <si>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</si>
  <si>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</si>
  <si>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</si>
  <si>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</si>
  <si>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</si>
  <si>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</si>
  <si>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</si>
  <si>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</si>
  <si>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</si>
  <si>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</si>
  <si>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</si>
  <si>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</si>
  <si>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</si>
  <si>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</si>
  <si>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</si>
  <si>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</si>
  <si>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</si>
  <si>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</si>
  <si>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</si>
  <si>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</si>
  <si>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</si>
  <si>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</si>
  <si>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</si>
  <si>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</si>
  <si>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</si>
  <si>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</si>
  <si>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</si>
  <si>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</si>
  <si>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</si>
  <si>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</si>
  <si>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</si>
  <si>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</si>
  <si>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</si>
  <si>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</si>
  <si>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</si>
  <si>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</si>
  <si>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</si>
  <si>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</si>
  <si>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</si>
  <si>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</si>
  <si>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</si>
  <si>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</si>
  <si>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</si>
  <si>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</si>
  <si>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</si>
  <si>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</si>
  <si>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</si>
  <si>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</si>
  <si>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</si>
  <si>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</si>
  <si>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</si>
  <si>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</si>
  <si>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</si>
  <si>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</si>
  <si>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</si>
  <si>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</si>
  <si>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</si>
  <si>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</si>
  <si>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</si>
  <si>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</si>
  <si>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</si>
  <si>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</si>
  <si>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</si>
  <si>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</si>
  <si>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</si>
  <si>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</si>
  <si>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</si>
  <si>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</si>
  <si>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</si>
  <si>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</si>
  <si>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</si>
  <si>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</si>
  <si>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</si>
  <si>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</si>
  <si>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</si>
  <si>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</si>
  <si>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</si>
  <si>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</si>
  <si>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</si>
  <si>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</si>
  <si>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</si>
  <si>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</si>
  <si>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</si>
  <si>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</si>
  <si>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</si>
  <si>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</si>
  <si>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</si>
  <si>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</si>
  <si>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</si>
  <si>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</si>
  <si>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</si>
  <si>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</si>
  <si>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</si>
  <si>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</si>
  <si>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</si>
  <si>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</si>
  <si>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</si>
  <si>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</si>
  <si>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</si>
  <si>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</si>
  <si>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</si>
  <si>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</si>
  <si>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</si>
  <si>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</si>
  <si>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</si>
  <si>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</si>
  <si>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</si>
  <si>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</si>
  <si>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</si>
  <si>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</si>
  <si>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</si>
  <si>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</si>
  <si>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</si>
  <si>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</si>
  <si>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</si>
  <si>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</si>
  <si>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</si>
  <si>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</si>
  <si>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</si>
  <si>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</si>
  <si>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</si>
  <si>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</si>
  <si>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</si>
  <si>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</si>
  <si>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</si>
  <si>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</si>
  <si>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</si>
  <si>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</si>
  <si>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</si>
  <si>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</si>
  <si>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</si>
  <si>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</si>
  <si>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</si>
  <si>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</si>
  <si>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</si>
  <si>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</si>
  <si>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</si>
  <si>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</si>
  <si>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</si>
  <si>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</si>
  <si>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</si>
  <si>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</si>
  <si>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</si>
  <si>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</si>
  <si>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</si>
  <si>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</si>
  <si>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</si>
  <si>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</si>
  <si>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</si>
  <si>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</si>
  <si>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</si>
  <si>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</si>
  <si>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</si>
  <si>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</si>
  <si>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</si>
  <si>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</si>
  <si>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</si>
  <si>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</si>
  <si>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</si>
  <si>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</si>
  <si>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</si>
  <si>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</si>
  <si>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</si>
  <si>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</si>
  <si>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</si>
  <si>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</si>
  <si>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</si>
  <si>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</si>
  <si>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</si>
  <si>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</si>
  <si>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</si>
  <si>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</si>
  <si>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</si>
  <si>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</si>
  <si>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</si>
  <si>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</si>
  <si>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</si>
  <si>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</si>
  <si>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</si>
  <si>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</si>
  <si>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</si>
  <si>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</si>
  <si>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</si>
  <si>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</si>
  <si>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</si>
  <si>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</si>
  <si>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</si>
  <si>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</si>
  <si>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</si>
  <si>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</si>
  <si>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</si>
  <si>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</si>
  <si>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</si>
  <si>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</si>
  <si>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</si>
  <si>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</si>
  <si>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</si>
  <si>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</si>
  <si>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</si>
  <si>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</si>
  <si>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</si>
  <si>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</si>
  <si>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</si>
  <si>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</si>
  <si>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</si>
  <si>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</si>
  <si>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</si>
  <si>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</si>
  <si>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</si>
  <si>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</si>
  <si>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</si>
  <si>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</si>
  <si>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</si>
  <si>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</si>
  <si>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</si>
  <si>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</si>
  <si>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</si>
  <si>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</si>
  <si>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</si>
  <si>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</si>
  <si>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</si>
  <si>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</si>
  <si>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</si>
  <si>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</si>
  <si>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</si>
  <si>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</si>
  <si>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</si>
  <si>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</si>
  <si>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</si>
  <si>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</si>
  <si>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</si>
  <si>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</si>
  <si>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</si>
  <si>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</si>
  <si>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</si>
  <si>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</si>
  <si>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</si>
  <si>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</si>
  <si>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</si>
  <si>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</si>
  <si>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</si>
  <si>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</si>
  <si>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</si>
  <si>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</si>
  <si>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</si>
  <si>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</si>
  <si>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</si>
  <si>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</si>
  <si>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</si>
  <si>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</si>
  <si>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</si>
  <si>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</si>
  <si>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</si>
  <si>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</si>
  <si>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</si>
  <si>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</si>
  <si>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</si>
  <si>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</si>
  <si>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</si>
  <si>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</si>
  <si>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</si>
  <si>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</si>
  <si>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</si>
  <si>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</si>
  <si>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</si>
  <si>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</si>
  <si>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</si>
  <si>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</si>
  <si>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</si>
  <si>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</si>
  <si>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</si>
  <si>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</si>
  <si>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</si>
  <si>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</si>
  <si>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</si>
  <si>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</si>
  <si>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</si>
  <si>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</si>
  <si>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</si>
  <si>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</si>
  <si>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</si>
  <si>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</si>
  <si>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</si>
  <si>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</si>
  <si>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</si>
  <si>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</si>
  <si>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</si>
  <si>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</si>
  <si>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</si>
  <si>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</si>
  <si>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</si>
  <si>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</si>
  <si>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</si>
  <si>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</si>
  <si>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</si>
  <si>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</si>
  <si>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</si>
  <si>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</si>
  <si>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</si>
  <si>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</si>
  <si>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</si>
  <si>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</si>
  <si>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</si>
  <si>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</si>
  <si>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</si>
  <si>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</si>
  <si>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</si>
  <si>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</si>
  <si>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</si>
  <si>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</si>
  <si>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</si>
  <si>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</si>
  <si>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</si>
  <si>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</si>
  <si>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</si>
  <si>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</si>
  <si>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</si>
  <si>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</si>
  <si>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</si>
  <si>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</si>
  <si>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</si>
  <si>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</si>
  <si>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</si>
  <si>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</si>
  <si>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</si>
  <si>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</si>
  <si>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</si>
  <si>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</si>
  <si>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</si>
  <si>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</si>
  <si>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</si>
  <si>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</si>
  <si>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</si>
  <si>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</si>
  <si>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</si>
  <si>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</si>
  <si>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</si>
  <si>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</si>
  <si>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</si>
  <si>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</si>
  <si>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</si>
  <si>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</si>
  <si>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</si>
  <si>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</si>
  <si>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</si>
  <si>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</si>
  <si>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</si>
  <si>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</si>
  <si>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</si>
  <si>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</si>
  <si>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</si>
  <si>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</si>
  <si>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</si>
  <si>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</si>
  <si>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</si>
  <si>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</si>
  <si>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</si>
  <si>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</si>
  <si>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</si>
  <si>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</si>
  <si>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</si>
  <si>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</si>
  <si>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</si>
  <si>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</si>
  <si>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</si>
  <si>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</si>
  <si>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</si>
  <si>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</si>
  <si>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</si>
  <si>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</si>
  <si>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</si>
  <si>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</si>
  <si>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</si>
  <si>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</si>
  <si>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</si>
  <si>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</si>
  <si>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</si>
  <si>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</si>
  <si>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</si>
  <si>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</si>
  <si>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</si>
  <si>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</si>
  <si>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</si>
  <si>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</si>
  <si>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</si>
  <si>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</si>
  <si>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</si>
  <si>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</si>
  <si>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</si>
  <si>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</si>
  <si>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</si>
  <si>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</si>
  <si>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</si>
  <si>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</si>
  <si>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</si>
  <si>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</si>
  <si>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</si>
  <si>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</si>
  <si>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</si>
  <si>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</si>
  <si>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</si>
  <si>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</si>
  <si>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</si>
  <si>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</si>
  <si>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</si>
  <si>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</si>
  <si>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</si>
  <si>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</si>
  <si>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</si>
  <si>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</si>
  <si>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</si>
  <si>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</si>
  <si>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</si>
  <si>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</si>
  <si>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</si>
  <si>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</si>
  <si>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</si>
  <si>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</si>
  <si>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</si>
  <si>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</si>
  <si>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</si>
  <si>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</si>
  <si>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</si>
  <si>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</si>
  <si>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</si>
  <si>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</si>
  <si>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</si>
  <si>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</si>
  <si>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</si>
  <si>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</si>
  <si>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</si>
  <si>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</si>
  <si>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</si>
  <si>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</si>
  <si>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</si>
  <si>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</si>
  <si>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</si>
  <si>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</si>
  <si>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</si>
  <si>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</si>
  <si>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</si>
  <si>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</si>
  <si>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</si>
  <si>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</si>
  <si>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</si>
  <si>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</si>
  <si>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</si>
  <si>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</si>
  <si>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</si>
  <si>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</si>
  <si>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</si>
  <si>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</si>
  <si>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</si>
  <si>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</si>
  <si>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</si>
  <si>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</si>
  <si>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</si>
  <si>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</si>
  <si>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</si>
  <si>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</si>
  <si>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</si>
  <si>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</si>
  <si>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</si>
  <si>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</si>
  <si>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</si>
  <si>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</si>
  <si>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</si>
  <si>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</si>
  <si>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</si>
  <si>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</si>
  <si>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</si>
  <si>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</si>
  <si>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</si>
  <si>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</si>
  <si>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</si>
  <si>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</si>
  <si>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</si>
  <si>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</si>
  <si>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</si>
  <si>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</si>
  <si>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</si>
  <si>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</si>
  <si>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</si>
  <si>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</si>
  <si>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</si>
  <si>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</si>
  <si>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</si>
  <si>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</si>
  <si>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</si>
  <si>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</si>
  <si>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</si>
  <si>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</si>
  <si>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</si>
  <si>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</si>
  <si>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</si>
  <si>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</si>
  <si>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</si>
  <si>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</si>
  <si>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</si>
  <si>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</si>
  <si>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</si>
  <si>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</si>
  <si>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</si>
  <si>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</si>
  <si>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</si>
  <si>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</si>
  <si>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</si>
  <si>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</si>
  <si>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</si>
  <si>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</si>
  <si>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</si>
  <si>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</si>
  <si>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</si>
  <si>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</si>
  <si>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</si>
  <si>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</si>
  <si>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</si>
  <si>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</si>
  <si>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</si>
  <si>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</si>
  <si>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</si>
  <si>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</si>
  <si>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</si>
  <si>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</si>
  <si>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</si>
  <si>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</si>
  <si>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</si>
  <si>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</si>
  <si>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</si>
  <si>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</si>
  <si>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</si>
  <si>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</si>
  <si>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</si>
  <si>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</si>
  <si>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</si>
  <si>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</si>
  <si>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</si>
  <si>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</si>
  <si>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</si>
  <si>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</si>
  <si>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</si>
  <si>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</si>
  <si>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</si>
  <si>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</si>
  <si>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</si>
  <si>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</si>
  <si>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</si>
  <si>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</si>
  <si>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</si>
  <si>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</si>
  <si>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</si>
  <si>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</si>
  <si>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</si>
  <si>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</si>
  <si>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</si>
  <si>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</si>
  <si>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</si>
  <si>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</si>
  <si>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</si>
  <si>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</si>
  <si>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</si>
  <si>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</si>
  <si>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</si>
  <si>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</si>
  <si>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</si>
  <si>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</si>
  <si>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</si>
  <si>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</si>
  <si>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</si>
  <si>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</si>
  <si>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</si>
  <si>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</si>
  <si>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</si>
  <si>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</si>
  <si>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</si>
  <si>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</si>
  <si>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</si>
  <si>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</si>
  <si>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</si>
  <si>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</si>
  <si>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</si>
  <si>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</si>
  <si>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</si>
  <si>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</si>
  <si>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</si>
  <si>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</si>
  <si>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</si>
  <si>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</si>
  <si>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</si>
  <si>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</si>
  <si>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</si>
  <si>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</si>
  <si>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</si>
  <si>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</si>
  <si>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</si>
  <si>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</si>
  <si>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</si>
  <si>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</si>
  <si>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</si>
  <si>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</si>
  <si>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</si>
  <si>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</si>
  <si>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</si>
  <si>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</si>
  <si>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</si>
  <si>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</si>
  <si>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</si>
  <si>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</si>
  <si>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</si>
  <si>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</si>
  <si>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</si>
  <si>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</si>
  <si>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</si>
  <si>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</si>
  <si>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</si>
  <si>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</si>
  <si>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</si>
  <si>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</si>
  <si>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</si>
  <si>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</si>
  <si>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</si>
  <si>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</si>
  <si>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</si>
  <si>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</si>
  <si>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</si>
  <si>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</si>
  <si>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</si>
  <si>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</si>
  <si>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</si>
  <si>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</si>
  <si>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</si>
  <si>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</si>
  <si>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</si>
  <si>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</si>
  <si>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</si>
  <si>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</si>
  <si>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</si>
  <si>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</si>
  <si>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</si>
  <si>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</si>
  <si>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</si>
  <si>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</si>
  <si>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</si>
  <si>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</si>
  <si>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</si>
  <si>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</si>
  <si>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</si>
  <si>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</si>
  <si>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</si>
  <si>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</si>
  <si>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</si>
  <si>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</si>
  <si>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</si>
  <si>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</si>
  <si>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</si>
  <si>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</si>
  <si>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</si>
  <si>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</si>
  <si>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</si>
  <si>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</si>
  <si>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</si>
  <si>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</si>
  <si>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</si>
  <si>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</si>
  <si>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</si>
  <si>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</si>
  <si>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</si>
  <si>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</si>
  <si>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</si>
  <si>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</si>
  <si>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</si>
  <si>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</si>
  <si>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</si>
  <si>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</si>
  <si>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</si>
  <si>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</si>
  <si>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</si>
  <si>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</si>
  <si>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</si>
  <si>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</si>
  <si>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</si>
  <si>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</si>
  <si>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</si>
  <si>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</si>
  <si>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</si>
  <si>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</si>
  <si>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</si>
  <si>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</si>
  <si>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</si>
  <si>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</si>
  <si>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</si>
  <si>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</si>
  <si>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</si>
  <si>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</si>
  <si>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</si>
  <si>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</si>
  <si>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</si>
  <si>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</si>
  <si>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</si>
  <si>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</si>
  <si>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</si>
  <si>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</si>
  <si>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</si>
  <si>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</si>
  <si>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</si>
  <si>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</si>
  <si>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</si>
  <si>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</si>
  <si>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</si>
  <si>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</si>
  <si>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</si>
  <si>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</si>
  <si>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</si>
  <si>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</si>
  <si>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</si>
  <si>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</si>
  <si>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</si>
  <si>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</si>
  <si>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</si>
  <si>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</si>
  <si>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</si>
  <si>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</si>
  <si>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</si>
  <si>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</si>
  <si>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</si>
  <si>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</si>
  <si>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</si>
  <si>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</si>
  <si>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</si>
  <si>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</si>
  <si>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</si>
  <si>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</si>
  <si>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</si>
  <si>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</si>
  <si>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</si>
  <si>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</si>
  <si>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</si>
  <si>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</si>
  <si>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</si>
  <si>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</si>
  <si>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</si>
  <si>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</si>
  <si>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</si>
  <si>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</si>
  <si>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</si>
  <si>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</si>
  <si>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</si>
  <si>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</si>
  <si>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</si>
  <si>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</si>
  <si>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</si>
  <si>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</si>
  <si>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</si>
  <si>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</si>
  <si>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</si>
  <si>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</si>
  <si>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</si>
  <si>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</si>
  <si>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</si>
  <si>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</si>
  <si>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</si>
  <si>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</si>
  <si>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</si>
  <si>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</si>
  <si>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</si>
  <si>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</si>
  <si>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</si>
  <si>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</si>
  <si>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</si>
  <si>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</si>
  <si>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</si>
  <si>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</si>
  <si>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</si>
  <si>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</si>
  <si>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</si>
  <si>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</si>
  <si>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</si>
  <si>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</si>
  <si>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</si>
  <si>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</si>
  <si>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</si>
  <si>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</si>
  <si>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</si>
  <si>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</si>
  <si>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</si>
  <si>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</si>
  <si>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</si>
  <si>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</si>
  <si>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</si>
  <si>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</si>
  <si>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</si>
  <si>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</si>
  <si>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</si>
  <si>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</si>
  <si>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</si>
  <si>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</si>
  <si>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</si>
  <si>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</si>
  <si>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</si>
  <si>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</si>
  <si>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</si>
  <si>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</si>
  <si>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</si>
  <si>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</si>
  <si>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</si>
  <si>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</si>
  <si>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</si>
  <si>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</si>
  <si>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</si>
  <si>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</si>
  <si>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</si>
  <si>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</si>
  <si>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</si>
  <si>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</si>
  <si>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</si>
  <si>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</si>
  <si>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</si>
  <si>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</si>
  <si>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</si>
  <si>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</si>
  <si>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</si>
  <si>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</si>
  <si>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</si>
  <si>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</si>
  <si>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</si>
  <si>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</si>
  <si>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</si>
  <si>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</si>
  <si>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</si>
  <si>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</si>
  <si>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</si>
  <si>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</si>
  <si>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</si>
  <si>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</si>
  <si>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</si>
  <si>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</si>
  <si>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</si>
  <si>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</si>
  <si>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</si>
  <si>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</si>
  <si>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</si>
  <si>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</si>
  <si>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</si>
  <si>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</si>
  <si>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</si>
  <si>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</si>
  <si>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</si>
  <si>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</si>
  <si>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</si>
  <si>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</si>
  <si>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</si>
  <si>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</si>
  <si>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</si>
  <si>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</si>
  <si>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</si>
  <si>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</si>
  <si>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</si>
  <si>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</si>
  <si>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</si>
  <si>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</si>
  <si>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</si>
  <si>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</si>
  <si>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</si>
  <si>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</si>
  <si>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</si>
  <si>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</si>
  <si>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</si>
  <si>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</si>
  <si>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</si>
  <si>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</si>
  <si>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</si>
  <si>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</si>
  <si>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</si>
  <si>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</si>
  <si>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</si>
  <si>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</si>
  <si>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</si>
  <si>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</si>
  <si>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</si>
  <si>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</si>
  <si>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</si>
  <si>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</si>
  <si>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</si>
  <si>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</si>
  <si>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</si>
  <si>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</si>
  <si>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</si>
  <si>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</si>
  <si>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</si>
  <si>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</si>
  <si>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</si>
  <si>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</si>
  <si>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</si>
  <si>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</si>
  <si>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</si>
  <si>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</si>
  <si>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</si>
  <si>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</si>
  <si>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</si>
  <si>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</si>
  <si>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</si>
  <si>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</si>
  <si>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</si>
  <si>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</si>
  <si>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</si>
  <si>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</si>
  <si>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</si>
  <si>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</si>
  <si>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</si>
  <si>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</si>
  <si>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</si>
  <si>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</si>
  <si>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</si>
  <si>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</si>
  <si>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</si>
  <si>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</si>
  <si>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</si>
  <si>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</si>
  <si>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</si>
  <si>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</si>
  <si>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</si>
  <si>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</si>
  <si>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</si>
  <si>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</si>
  <si>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</si>
  <si>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</si>
  <si>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</si>
  <si>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</si>
  <si>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</si>
  <si>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</si>
  <si>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</si>
  <si>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</si>
  <si>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</si>
  <si>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</si>
  <si>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</si>
  <si>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</si>
  <si>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</si>
  <si>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</si>
  <si>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</si>
  <si>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</si>
  <si>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</si>
  <si>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</si>
  <si>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</si>
  <si>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</si>
  <si>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</si>
  <si>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</si>
  <si>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</si>
  <si>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</si>
  <si>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</si>
  <si>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</si>
  <si>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</si>
  <si>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</si>
  <si>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</si>
  <si>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</si>
  <si>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</si>
  <si>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</si>
  <si>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</si>
  <si>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</si>
  <si>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</si>
  <si>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</si>
  <si>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</si>
  <si>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</si>
  <si>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</si>
  <si>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</si>
  <si>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</si>
  <si>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</si>
  <si>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</si>
  <si>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</si>
  <si>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</si>
  <si>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</si>
  <si>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</si>
  <si>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</si>
  <si>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</si>
  <si>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</si>
  <si>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</si>
  <si>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</si>
  <si>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</si>
  <si>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</si>
  <si>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</si>
  <si>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</si>
  <si>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</si>
  <si>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</si>
  <si>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</si>
  <si>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</si>
  <si>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</si>
  <si>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</si>
  <si>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</si>
  <si>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</si>
  <si>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</si>
  <si>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</si>
  <si>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</si>
  <si>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</si>
  <si>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</si>
  <si>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</si>
  <si>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</si>
  <si>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</si>
  <si>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</si>
  <si>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</si>
  <si>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</si>
  <si>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</si>
  <si>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</si>
  <si>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</si>
  <si>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</si>
  <si>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</si>
  <si>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</si>
  <si>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</si>
  <si>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</si>
  <si>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</si>
  <si>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</si>
  <si>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</si>
  <si>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</si>
  <si>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</si>
  <si>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</si>
  <si>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</si>
  <si>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</si>
  <si>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</si>
  <si>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</si>
  <si>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</si>
  <si>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</si>
  <si>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</si>
  <si>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</si>
  <si>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</si>
  <si>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</si>
  <si>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</si>
  <si>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</si>
  <si>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</si>
  <si>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</si>
  <si>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</si>
  <si>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</si>
  <si>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</si>
  <si>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</si>
  <si>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</si>
  <si>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</si>
  <si>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</si>
  <si>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</si>
  <si>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</si>
  <si>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</si>
  <si>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</si>
  <si>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</si>
  <si>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</si>
  <si>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</si>
  <si>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</si>
  <si>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</si>
  <si>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</si>
  <si>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</si>
  <si>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</si>
  <si>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</si>
  <si>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</si>
  <si>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</si>
  <si>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</si>
  <si>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</si>
  <si>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</si>
  <si>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</si>
  <si>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</si>
  <si>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</si>
  <si>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</si>
  <si>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</si>
  <si>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</si>
  <si>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</si>
  <si>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</si>
  <si>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</si>
  <si>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</si>
  <si>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</si>
  <si>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</si>
  <si>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</si>
  <si>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</si>
  <si>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</si>
  <si>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</si>
  <si>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</si>
  <si>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</si>
  <si>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</si>
  <si>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</si>
  <si>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</si>
  <si>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</si>
  <si>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</si>
  <si>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</si>
  <si>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</si>
  <si>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</si>
  <si>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</si>
  <si>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</si>
  <si>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</si>
  <si>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</si>
  <si>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</si>
  <si>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</si>
  <si>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</si>
  <si>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</si>
  <si>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</si>
  <si>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</si>
  <si>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</si>
  <si>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</si>
  <si>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</si>
  <si>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</si>
  <si>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</si>
  <si>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</si>
  <si>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</si>
  <si>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</si>
  <si>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</si>
  <si>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</si>
  <si>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</si>
  <si>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</si>
  <si>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</si>
  <si>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</si>
  <si>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</si>
  <si>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</si>
  <si>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</si>
  <si>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</si>
  <si>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</si>
  <si>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</si>
  <si>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</si>
  <si>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</si>
  <si>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</si>
  <si>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</si>
  <si>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</si>
  <si>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</si>
  <si>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</si>
  <si>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</si>
  <si>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</si>
  <si>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</si>
  <si>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</si>
  <si>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</si>
  <si>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</si>
  <si>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</si>
  <si>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</si>
  <si>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</si>
  <si>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</si>
  <si>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</si>
  <si>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</si>
  <si>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</si>
  <si>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</si>
  <si>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</si>
  <si>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</si>
  <si>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</si>
  <si>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</si>
  <si>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</si>
  <si>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</si>
  <si>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</si>
  <si>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</si>
  <si>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</si>
  <si>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</si>
  <si>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</si>
  <si>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</si>
  <si>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</si>
  <si>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</si>
  <si>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</si>
  <si>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</si>
  <si>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</si>
  <si>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</si>
  <si>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</si>
  <si>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</si>
  <si>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</si>
  <si>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</si>
  <si>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</si>
  <si>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</si>
  <si>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</si>
  <si>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</si>
  <si>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</si>
  <si>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</si>
  <si>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</si>
  <si>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</si>
  <si>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</si>
  <si>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</si>
  <si>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</si>
  <si>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</si>
  <si>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</si>
  <si>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</si>
  <si>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</si>
  <si>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</si>
  <si>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</si>
  <si>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</si>
  <si>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</si>
  <si>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</si>
  <si>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</si>
  <si>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</si>
  <si>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</si>
  <si>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</si>
  <si>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</si>
  <si>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</si>
  <si>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</si>
  <si>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</si>
  <si>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</si>
  <si>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</si>
  <si>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</si>
  <si>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</si>
  <si>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</si>
  <si>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</si>
  <si>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</si>
  <si>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</si>
  <si>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</si>
  <si>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</si>
  <si>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</si>
  <si>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</si>
  <si>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</si>
  <si>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</si>
  <si>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</si>
  <si>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</si>
  <si>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</si>
  <si>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</si>
  <si>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</si>
  <si>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</si>
  <si>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</si>
  <si>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</si>
  <si>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</si>
  <si>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</si>
  <si>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</si>
  <si>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</si>
  <si>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</si>
  <si>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</si>
  <si>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</si>
  <si>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</si>
  <si>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</si>
  <si>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</si>
  <si>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</si>
  <si>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</si>
  <si>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</si>
  <si>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</si>
  <si>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</si>
  <si>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</si>
  <si>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</si>
  <si>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</si>
  <si>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</si>
  <si>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</si>
  <si>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</si>
  <si>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</si>
  <si>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</si>
  <si>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</si>
  <si>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</si>
  <si>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</si>
  <si>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</si>
  <si>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</si>
  <si>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</si>
  <si>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</si>
  <si>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</si>
  <si>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</si>
  <si>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</si>
  <si>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</si>
  <si>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</si>
  <si>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</si>
  <si>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</si>
  <si>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</si>
  <si>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</si>
  <si>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</si>
  <si>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</si>
  <si>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</si>
  <si>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</si>
  <si>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</si>
  <si>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</si>
  <si>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</si>
  <si>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</si>
  <si>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</si>
  <si>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</si>
  <si>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</si>
  <si>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</si>
  <si>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</si>
  <si>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</si>
  <si>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</si>
  <si>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</si>
  <si>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</si>
  <si>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</si>
  <si>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</si>
  <si>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</si>
  <si>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</si>
  <si>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</si>
  <si>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</si>
  <si>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</si>
  <si>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</si>
  <si>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</si>
  <si>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</si>
  <si>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</si>
  <si>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</si>
  <si>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</si>
  <si>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</si>
  <si>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</si>
  <si>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</si>
  <si>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</si>
  <si>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</si>
  <si>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</si>
  <si>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</si>
  <si>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</si>
  <si>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</si>
  <si>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</si>
  <si>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</si>
  <si>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</si>
  <si>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</si>
  <si>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</si>
  <si>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</si>
  <si>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</si>
  <si>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</si>
  <si>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</si>
  <si>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</si>
  <si>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</si>
  <si>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</si>
  <si>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</si>
  <si>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</si>
  <si>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</si>
  <si>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</si>
  <si>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</si>
  <si>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</si>
  <si>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</si>
  <si>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</si>
  <si>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</si>
  <si>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</si>
  <si>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</si>
  <si>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</si>
  <si>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</si>
  <si>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</si>
  <si>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</si>
  <si>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</si>
  <si>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</si>
  <si>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</si>
  <si>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</si>
  <si>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</si>
  <si>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</si>
  <si>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</si>
  <si>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</si>
  <si>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</si>
  <si>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</si>
  <si>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</si>
  <si>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</si>
  <si>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</si>
  <si>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</si>
  <si>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</si>
  <si>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</si>
  <si>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</si>
  <si>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</si>
  <si>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</si>
  <si>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</si>
  <si>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</si>
  <si>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</si>
  <si>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</si>
  <si>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</si>
  <si>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</si>
  <si>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</si>
  <si>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</si>
  <si>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</si>
  <si>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</si>
  <si>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</si>
  <si>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</si>
  <si>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</si>
  <si>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</si>
  <si>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</si>
  <si>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</si>
  <si>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</si>
  <si>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</si>
  <si>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</si>
  <si>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</si>
  <si>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</si>
  <si>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</si>
  <si>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</si>
  <si>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</si>
  <si>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</si>
  <si>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</si>
  <si>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</si>
  <si>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</si>
  <si>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</si>
  <si>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</si>
  <si>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</si>
  <si>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</si>
  <si>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</si>
  <si>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</si>
  <si>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</si>
  <si>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</si>
  <si>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</si>
  <si>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</si>
  <si>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</si>
  <si>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</si>
  <si>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</si>
  <si>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</si>
  <si>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</si>
  <si>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</si>
  <si>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</si>
  <si>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</si>
  <si>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</si>
  <si>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</si>
  <si>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</si>
  <si>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</si>
  <si>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</si>
  <si>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</si>
  <si>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</si>
  <si>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</si>
  <si>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</si>
  <si>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</si>
  <si>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</si>
  <si>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</si>
  <si>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</si>
  <si>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</si>
  <si>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</si>
  <si>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</si>
  <si>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</si>
  <si>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</si>
  <si>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</si>
  <si>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</si>
  <si>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</si>
  <si>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</si>
  <si>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</si>
  <si>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</si>
  <si>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</si>
  <si>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</si>
  <si>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</si>
  <si>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</si>
  <si>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</si>
  <si>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</si>
  <si>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</si>
  <si>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</si>
  <si>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</si>
  <si>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</si>
  <si>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</si>
  <si>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</si>
  <si>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</si>
  <si>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</si>
  <si>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</si>
  <si>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</si>
  <si>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</si>
  <si>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</si>
  <si>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</si>
  <si>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</si>
  <si>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</si>
  <si>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</si>
  <si>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</si>
  <si>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</si>
  <si>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</si>
  <si>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</si>
  <si>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</si>
  <si>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</si>
  <si>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</si>
  <si>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</si>
  <si>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</si>
  <si>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</si>
  <si>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</si>
  <si>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</si>
  <si>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</si>
  <si>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</si>
  <si>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</si>
  <si>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</si>
  <si>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</si>
  <si>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</si>
  <si>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</si>
  <si>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</si>
  <si>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</si>
  <si>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</si>
  <si>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</si>
  <si>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</si>
  <si>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</si>
  <si>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</si>
  <si>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</si>
  <si>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</si>
  <si>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</si>
  <si>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</si>
  <si>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</si>
  <si>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</si>
  <si>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</si>
  <si>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</si>
  <si>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</si>
  <si>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</si>
  <si>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</si>
  <si>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</si>
  <si>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</si>
  <si>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</si>
  <si>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</si>
  <si>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</si>
  <si>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</si>
  <si>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</si>
  <si>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</si>
  <si>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</si>
  <si>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</si>
  <si>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</si>
  <si>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</si>
  <si>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</si>
  <si>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</si>
  <si>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</si>
  <si>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</si>
  <si>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</si>
  <si>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</si>
  <si>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</si>
  <si>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</si>
  <si>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</si>
  <si>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</si>
  <si>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</si>
  <si>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</si>
  <si>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</si>
  <si>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</si>
  <si>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</si>
  <si>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</si>
  <si>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</si>
  <si>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</si>
  <si>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</si>
  <si>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</si>
  <si>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</si>
  <si>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</si>
  <si>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</si>
  <si>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</si>
  <si>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</si>
  <si>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</si>
  <si>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</si>
  <si>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</si>
  <si>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</si>
  <si>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</si>
  <si>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</si>
  <si>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</si>
  <si>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</si>
  <si>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</si>
  <si>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</si>
  <si>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</si>
  <si>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</si>
  <si>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</si>
  <si>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</si>
  <si>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</si>
  <si>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</si>
  <si>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</si>
  <si>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</si>
  <si>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</si>
  <si>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</si>
  <si>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</si>
  <si>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</si>
  <si>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</si>
  <si>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</si>
  <si>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</si>
  <si>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</si>
  <si>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</si>
  <si>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</si>
  <si>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</si>
  <si>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</si>
  <si>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</si>
  <si>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</si>
  <si>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</si>
  <si>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</si>
  <si>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</si>
  <si>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</si>
  <si>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</si>
  <si>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</si>
  <si>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</si>
  <si>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</si>
  <si>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</si>
  <si>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</si>
  <si>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</si>
  <si>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</si>
  <si>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</si>
  <si>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</si>
  <si>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</si>
  <si>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</si>
  <si>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</si>
  <si>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</si>
  <si>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</si>
  <si>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</si>
  <si>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</si>
  <si>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</si>
  <si>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</si>
  <si>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</si>
  <si>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</si>
  <si>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</si>
  <si>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</si>
  <si>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</si>
  <si>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</si>
  <si>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</si>
  <si>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</si>
  <si>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</si>
  <si>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</si>
  <si>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</si>
  <si>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</si>
  <si>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</si>
  <si>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</si>
  <si>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</si>
  <si>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</si>
  <si>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</si>
  <si>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</si>
  <si>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</si>
  <si>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</si>
  <si>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</si>
  <si>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</si>
  <si>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</si>
  <si>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</si>
  <si>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</si>
  <si>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</si>
  <si>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</si>
  <si>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</si>
  <si>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</si>
  <si>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</si>
  <si>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</si>
  <si>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</si>
  <si>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</si>
  <si>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</si>
  <si>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</si>
  <si>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</si>
  <si>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</si>
  <si>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</si>
  <si>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</si>
  <si>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</si>
  <si>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</si>
  <si>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</si>
  <si>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</si>
  <si>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</si>
  <si>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</si>
  <si>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</si>
  <si>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</si>
  <si>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</si>
  <si>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</si>
  <si>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</si>
  <si>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</si>
  <si>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</si>
  <si>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</si>
  <si>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</si>
  <si>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</si>
  <si>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</si>
  <si>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</si>
  <si>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</si>
  <si>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</si>
  <si>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</si>
  <si>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</si>
  <si>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</si>
  <si>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</si>
  <si>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</si>
  <si>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</si>
  <si>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</si>
  <si>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</si>
  <si>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</si>
  <si>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</si>
  <si>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</si>
  <si>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</si>
  <si>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</si>
  <si>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</si>
  <si>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</si>
  <si>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</si>
  <si>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</si>
  <si>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</si>
  <si>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</si>
  <si>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</si>
  <si>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</si>
  <si>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</si>
  <si>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</si>
  <si>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</si>
  <si>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</si>
  <si>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</si>
  <si>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</si>
  <si>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</si>
  <si>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</si>
  <si>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</si>
  <si>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</si>
  <si>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</si>
  <si>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</si>
  <si>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</si>
  <si>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</si>
  <si>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</si>
  <si>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</si>
  <si>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</si>
  <si>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</si>
  <si>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</si>
  <si>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</si>
  <si>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</si>
  <si>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</si>
  <si>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</si>
  <si>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</si>
  <si>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</si>
  <si>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</si>
  <si>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</si>
  <si>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</si>
  <si>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</si>
  <si>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</si>
  <si>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</si>
  <si>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</si>
  <si>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</si>
  <si>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</si>
  <si>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</si>
  <si>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</si>
  <si>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</si>
  <si>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</si>
  <si>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</si>
  <si>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</si>
  <si>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</si>
  <si>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</si>
  <si>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</si>
  <si>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</si>
  <si>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</si>
  <si>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</si>
  <si>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</si>
  <si>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</si>
  <si>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</si>
  <si>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</si>
  <si>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</si>
  <si>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</si>
  <si>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</si>
  <si>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</si>
  <si>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</si>
  <si>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</si>
  <si>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</si>
  <si>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</si>
  <si>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</si>
  <si>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</si>
  <si>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</si>
  <si>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</si>
  <si>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</si>
  <si>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</si>
  <si>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</si>
  <si>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</si>
  <si>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</si>
  <si>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</si>
  <si>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</si>
  <si>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</si>
  <si>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</si>
  <si>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</si>
  <si>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</si>
  <si>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</si>
  <si>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</si>
  <si>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</si>
  <si>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</si>
  <si>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</si>
  <si>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</si>
  <si>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</si>
  <si>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</si>
  <si>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</si>
  <si>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</si>
  <si>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</si>
  <si>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</si>
  <si>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</si>
  <si>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</si>
  <si>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</si>
  <si>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</si>
  <si>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</si>
  <si>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</si>
  <si>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</si>
  <si>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</si>
  <si>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</si>
  <si>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</si>
  <si>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</si>
  <si>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</si>
  <si>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</si>
  <si>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</si>
  <si>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</si>
  <si>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</si>
  <si>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</si>
  <si>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</si>
  <si>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</si>
  <si>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</si>
  <si>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</si>
  <si>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</si>
  <si>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</si>
  <si>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</si>
  <si>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</si>
  <si>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</si>
  <si>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</si>
  <si>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</si>
  <si>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</si>
  <si>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</si>
  <si>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</si>
  <si>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</si>
  <si>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</si>
  <si>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</si>
  <si>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</si>
  <si>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</si>
  <si>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</si>
  <si>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</si>
  <si>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</si>
  <si>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</si>
  <si>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</si>
  <si>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</si>
  <si>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</si>
  <si>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</si>
  <si>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</si>
  <si>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</si>
  <si>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</si>
  <si>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</si>
  <si>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</si>
  <si>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</si>
  <si>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</si>
  <si>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</si>
  <si>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</si>
  <si>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</si>
  <si>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</si>
  <si>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</si>
  <si>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</si>
  <si>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</si>
  <si>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</si>
  <si>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</si>
  <si>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</si>
  <si>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</si>
  <si>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</si>
  <si>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</si>
  <si>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</si>
  <si>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</si>
  <si>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</si>
  <si>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</si>
  <si>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</si>
  <si>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</si>
  <si>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</si>
  <si>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</si>
  <si>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</si>
  <si>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</si>
  <si>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</si>
  <si>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</si>
  <si>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</si>
  <si>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</si>
  <si>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</si>
  <si>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</si>
  <si>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</si>
  <si>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</si>
  <si>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</si>
  <si>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</si>
  <si>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</si>
  <si>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</si>
  <si>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</si>
  <si>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</si>
  <si>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</si>
  <si>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</si>
  <si>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</si>
  <si>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</si>
  <si>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</si>
  <si>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</si>
  <si>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</si>
  <si>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</si>
  <si>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</si>
  <si>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</si>
  <si>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</si>
  <si>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</si>
  <si>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</si>
  <si>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</si>
  <si>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</si>
  <si>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</si>
  <si>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</si>
  <si>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</si>
  <si>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</si>
  <si>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</si>
  <si>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</si>
  <si>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</si>
  <si>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</si>
  <si>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</si>
  <si>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</si>
  <si>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</si>
  <si>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</si>
  <si>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</si>
  <si>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</si>
  <si>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</si>
  <si>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</si>
  <si>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</si>
  <si>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</si>
  <si>
    <t>ReturnDate</t>
  </si>
  <si>
    <t>ReturnQuantity</t>
  </si>
  <si>
    <t>Sport-100 Helmet, Red</t>
  </si>
  <si>
    <t>Helmets</t>
  </si>
  <si>
    <t>Accessories</t>
  </si>
  <si>
    <t>Sport-100 Helmet, Black</t>
  </si>
  <si>
    <t>Sport-100 Helmet, Blue</t>
  </si>
  <si>
    <t>AWC Logo Cap</t>
  </si>
  <si>
    <t>Caps</t>
  </si>
  <si>
    <t>Clothing</t>
  </si>
  <si>
    <t>Long-Sleeve Logo Jersey, S</t>
  </si>
  <si>
    <t>Jerseys</t>
  </si>
  <si>
    <t>Long-Sleeve Logo Jersey, M</t>
  </si>
  <si>
    <t>Long-Sleeve Logo Jersey, L</t>
  </si>
  <si>
    <t>Long-Sleeve Logo Jersey, XL</t>
  </si>
  <si>
    <t>Water Bottle - 30 oz.</t>
  </si>
  <si>
    <t>Bottles and Cages</t>
  </si>
  <si>
    <t>Road Bottle Cage</t>
  </si>
  <si>
    <t>Mountain Tire Tube</t>
  </si>
  <si>
    <t>Tires and Tubes</t>
  </si>
  <si>
    <t>Mountain Bottle Cage</t>
  </si>
  <si>
    <t>Patch Kit/8 Patches</t>
  </si>
  <si>
    <t>Hydration Pack - 70 oz.</t>
  </si>
  <si>
    <t>Hydration Packs</t>
  </si>
  <si>
    <t>Fender Set - Mountain</t>
  </si>
  <si>
    <t>Fenders</t>
  </si>
  <si>
    <t>Half-Finger Gloves, S</t>
  </si>
  <si>
    <t>Gloves</t>
  </si>
  <si>
    <t>Road-750 Black, 48</t>
  </si>
  <si>
    <t>Half-Finger Gloves, M</t>
  </si>
  <si>
    <t>HL Road Tire</t>
  </si>
  <si>
    <t>Half-Finger Gloves, L</t>
  </si>
  <si>
    <t>Hitch Rack - 4-Bike</t>
  </si>
  <si>
    <t>Bike Racks</t>
  </si>
  <si>
    <t>Bike Wash - Dissolver</t>
  </si>
  <si>
    <t>Cleaners</t>
  </si>
  <si>
    <t>HL Mountain Tire</t>
  </si>
  <si>
    <t>Women's Mountain Shorts, L</t>
  </si>
  <si>
    <t>Shorts</t>
  </si>
  <si>
    <t>Racing Socks, L</t>
  </si>
  <si>
    <t>Socks</t>
  </si>
  <si>
    <t>All-Purpose Bike Stand</t>
  </si>
  <si>
    <t>Bike Stands</t>
  </si>
  <si>
    <t>Road-750 Black, 44</t>
  </si>
  <si>
    <t>Short-Sleeve Classic Jersey, M</t>
  </si>
  <si>
    <t>ML Road Tire</t>
  </si>
  <si>
    <t>Road Tire Tube</t>
  </si>
  <si>
    <t>ML Mountain Tire</t>
  </si>
  <si>
    <t>LL Mountain Tire</t>
  </si>
  <si>
    <t>Touring-3000 Blue, 54</t>
  </si>
  <si>
    <t>Touring Bikes</t>
  </si>
  <si>
    <t>Mountain-400-W Silver, 46</t>
  </si>
  <si>
    <t>Touring Tire Tube</t>
  </si>
  <si>
    <t>LL Road Tire</t>
  </si>
  <si>
    <t>Touring-3000 Yellow, 44</t>
  </si>
  <si>
    <t>Touring-1000 Blue, 54</t>
  </si>
  <si>
    <t>Touring-1000 Blue, 50</t>
  </si>
  <si>
    <t>Touring-1000 Yellow, 46</t>
  </si>
  <si>
    <t>Touring Tire</t>
  </si>
  <si>
    <t>Touring-1000 Yellow, 50</t>
  </si>
  <si>
    <t>Women's Mountain Shorts, M</t>
  </si>
  <si>
    <t>Women's Mountain Shorts, S</t>
  </si>
  <si>
    <t>Touring-1000 Blue, 60</t>
  </si>
  <si>
    <t>Road-350-W Yellow, 42</t>
  </si>
  <si>
    <t>Short-Sleeve Classic Jersey, XL</t>
  </si>
  <si>
    <t>Mountain-500 Silver, 44</t>
  </si>
  <si>
    <t>Road-350-W Yellow, 44</t>
  </si>
  <si>
    <t>Short-Sleeve Classic Jersey, S</t>
  </si>
  <si>
    <t>Classic Vest, S</t>
  </si>
  <si>
    <t>Vests</t>
  </si>
  <si>
    <t>Road-350-W Yellow, 40</t>
  </si>
  <si>
    <t>Mountain-500 Black, 52</t>
  </si>
  <si>
    <t>Mountain-400-W Silver, 42</t>
  </si>
  <si>
    <t>Road-750 Black, 52</t>
  </si>
  <si>
    <t>Racing Socks, M</t>
  </si>
  <si>
    <t>Touring-2000 Blue, 46</t>
  </si>
  <si>
    <t>Mountain-500 Black, 40</t>
  </si>
  <si>
    <t>Road-750 Black, 58</t>
  </si>
  <si>
    <t>Classic Vest, M</t>
  </si>
  <si>
    <t>Mountain-500 Silver, 42</t>
  </si>
  <si>
    <t>Touring-2000 Blue, 60</t>
  </si>
  <si>
    <t>Road-350-W Yellow, 48</t>
  </si>
  <si>
    <t>Touring-3000 Blue, 50</t>
  </si>
  <si>
    <t>Touring-1000 Yellow, 54</t>
  </si>
  <si>
    <t>Mountain-500 Silver, 52</t>
  </si>
  <si>
    <t>Touring-1000 Yellow, 60</t>
  </si>
  <si>
    <t>Mountain-500 Black, 44</t>
  </si>
  <si>
    <t>Short-Sleeve Classic Jersey, L</t>
  </si>
  <si>
    <t>Touring-3000 Yellow, 62</t>
  </si>
  <si>
    <t>Mountain-400-W Silver, 40</t>
  </si>
  <si>
    <t>Classic Vest, L</t>
  </si>
  <si>
    <t>Touring-1000 Blue, 46</t>
  </si>
  <si>
    <t>Mountain-500 Black, 48</t>
  </si>
  <si>
    <t>Touring-3000 Yellow, 58</t>
  </si>
  <si>
    <t>Mountain-400-W Silver, 38</t>
  </si>
  <si>
    <t>Touring-3000 Blue, 58</t>
  </si>
  <si>
    <t>Touring-3000 Blue, 62</t>
  </si>
  <si>
    <t>Touring-2000 Blue, 50</t>
  </si>
  <si>
    <t>Touring-3000 Yellow, 50</t>
  </si>
  <si>
    <t>Touring-2000 Blue, 54</t>
  </si>
  <si>
    <t>Mountain-500 Black, 42</t>
  </si>
  <si>
    <t>Mountain-500 Silver, 40</t>
  </si>
  <si>
    <t>Full Name</t>
  </si>
  <si>
    <t>Revenue</t>
  </si>
  <si>
    <t>Cost</t>
  </si>
  <si>
    <t>Profit</t>
  </si>
  <si>
    <t>Profit %</t>
  </si>
  <si>
    <t>AMANDA PEREZ</t>
  </si>
  <si>
    <t>VERONICA SUBRAM</t>
  </si>
  <si>
    <t>JARED COOK</t>
  </si>
  <si>
    <t>JASMINE TORRES</t>
  </si>
  <si>
    <t>KRISTI PEREZ</t>
  </si>
  <si>
    <t>TREVOR BRYANT</t>
  </si>
  <si>
    <t>TIFFANY LI</t>
  </si>
  <si>
    <t>NATALIE ADAMS</t>
  </si>
  <si>
    <t>BRADLEY NARA</t>
  </si>
  <si>
    <t>WAYNE NATH</t>
  </si>
  <si>
    <t>JULIA WRIGHT</t>
  </si>
  <si>
    <t>JONATHAN HILL</t>
  </si>
  <si>
    <t>TAMMY CHANDRA</t>
  </si>
  <si>
    <t>LUIS WANG</t>
  </si>
  <si>
    <t>SETH JACKSON</t>
  </si>
  <si>
    <t>MARSHALL CHAVEZ</t>
  </si>
  <si>
    <t>MEREDITH ALVAREZ</t>
  </si>
  <si>
    <t>ROSS SANZ</t>
  </si>
  <si>
    <t>DAWN NATH</t>
  </si>
  <si>
    <t>LINDA ORTEGA</t>
  </si>
  <si>
    <t>VICTOR JIMENEZ</t>
  </si>
  <si>
    <t>JOSEPH MARTIN</t>
  </si>
  <si>
    <t>COLIN NATH</t>
  </si>
  <si>
    <t>JANET ORTEGA</t>
  </si>
  <si>
    <t>MELVIN CHANDE</t>
  </si>
  <si>
    <t>LAURA LIN</t>
  </si>
  <si>
    <t>JAIME GUTIERREZ</t>
  </si>
  <si>
    <t>GEORGE MCDONALD</t>
  </si>
  <si>
    <t>VICTORIA GONZALES</t>
  </si>
  <si>
    <t>LATOYA SHE</t>
  </si>
  <si>
    <t>LOUIS LUO</t>
  </si>
  <si>
    <t>KENNETH KUMAR</t>
  </si>
  <si>
    <t>RUBEN MU�OZ</t>
  </si>
  <si>
    <t>EDGAR MEHTA</t>
  </si>
  <si>
    <t>RANDALL GOMEZ</t>
  </si>
  <si>
    <t>MEGAN STEWART</t>
  </si>
  <si>
    <t>JACLYN ANDERSEN</t>
  </si>
  <si>
    <t>CLARENCE ANAND</t>
  </si>
  <si>
    <t>RICKY VAZQUEZ</t>
  </si>
  <si>
    <t>CINDY PATEL</t>
  </si>
  <si>
    <t>NICHOLAS THOMPSON</t>
  </si>
  <si>
    <t>DONNA XIE</t>
  </si>
  <si>
    <t>JACQUELINE POWELL</t>
  </si>
  <si>
    <t>VICTORIA STEWART</t>
  </si>
  <si>
    <t>STEPHANIE COLLINS</t>
  </si>
  <si>
    <t>TRINITY RICHARDSON</t>
  </si>
  <si>
    <t>TAYLOR HOWARD</t>
  </si>
  <si>
    <t>ERIKA RUBIO</t>
  </si>
  <si>
    <t>DAVID DIAZ</t>
  </si>
  <si>
    <t>FRANKLIN RAJI</t>
  </si>
  <si>
    <t>STANLEY MALHOTRA</t>
  </si>
  <si>
    <t>ROBERT LEE</t>
  </si>
  <si>
    <t>ALEJANDRO HUANG</t>
  </si>
  <si>
    <t>DANIELLE REED</t>
  </si>
  <si>
    <t>MEGAN RAMIREZ</t>
  </si>
  <si>
    <t>LAUREN MARTINEZ</t>
  </si>
  <si>
    <t>MELINDA NAVARRO</t>
  </si>
  <si>
    <t>KYLE FOSTER</t>
  </si>
  <si>
    <t>JENNY RAI</t>
  </si>
  <si>
    <t>JONATHAN PHILLIPS</t>
  </si>
  <si>
    <t>MEGAN BARNES</t>
  </si>
  <si>
    <t>CHRISTIAN THOMAS</t>
  </si>
  <si>
    <t>HUNTER GRIFFIN</t>
  </si>
  <si>
    <t>MARIA CARTER</t>
  </si>
  <si>
    <t>KATELYN SANCHEZ</t>
  </si>
  <si>
    <t>JENNA WRIGHT</t>
  </si>
  <si>
    <t>SETH PHILLIPS</t>
  </si>
  <si>
    <t>TAYLOR LEWIS</t>
  </si>
  <si>
    <t>HALEY RICHARDSON</t>
  </si>
  <si>
    <t>NOAH COLEMAN</t>
  </si>
  <si>
    <t>TASHA DENG</t>
  </si>
  <si>
    <t>JON LUO</t>
  </si>
  <si>
    <t>IAN RICHARDSON</t>
  </si>
  <si>
    <t>ORLANDO VAZQUEZ</t>
  </si>
  <si>
    <t>JON GAO</t>
  </si>
  <si>
    <t>SPENCER RUSSELL</t>
  </si>
  <si>
    <t>JULIA COLEMAN</t>
  </si>
  <si>
    <t>HUNTER RODRIGUEZ</t>
  </si>
  <si>
    <t>DUSTIN DENG</t>
  </si>
  <si>
    <t>VICTORIA RUSSELL</t>
  </si>
  <si>
    <t>JADE BAILEY</t>
  </si>
  <si>
    <t>JOSE PATTERSON</t>
  </si>
  <si>
    <t>ZACHARY ANDERSON</t>
  </si>
  <si>
    <t>BRANDY SANCHEZ</t>
  </si>
  <si>
    <t>ELIJAH ROSS</t>
  </si>
  <si>
    <t>RAFAEL XIE</t>
  </si>
  <si>
    <t>JAIME MORENO</t>
  </si>
  <si>
    <t>ANDY ALVAREZ</t>
  </si>
  <si>
    <t>DEANNA RAMOS</t>
  </si>
  <si>
    <t>CARLA RAMAN</t>
  </si>
  <si>
    <t>FRANK NAVARRO</t>
  </si>
  <si>
    <t>ROBERTO SANZ</t>
  </si>
  <si>
    <t>STEVE WAGNER</t>
  </si>
  <si>
    <t>ISAIAH RAMIREZ</t>
  </si>
  <si>
    <t>JOEL PRASAD</t>
  </si>
  <si>
    <t>NINA YUAN</t>
  </si>
  <si>
    <t>ORLANDO ASHE</t>
  </si>
  <si>
    <t>ORLANDO CARLSON</t>
  </si>
  <si>
    <t>SHANNON HUANG</t>
  </si>
  <si>
    <t>DESTINY ROGERS</t>
  </si>
  <si>
    <t>MITCHELL KUMAR</t>
  </si>
  <si>
    <t>FRANK CARLSON</t>
  </si>
  <si>
    <t>TAMARA ZHU</t>
  </si>
  <si>
    <t>DEVIN NELSON</t>
  </si>
  <si>
    <t>CHRISTIAN HUGHES</t>
  </si>
  <si>
    <t>CLAYTON NARA</t>
  </si>
  <si>
    <t>BETH GUTIERREZ</t>
  </si>
  <si>
    <t>DAWN LAL</t>
  </si>
  <si>
    <t>BRENDA PEREZ</t>
  </si>
  <si>
    <t>JULIO ORTEGA</t>
  </si>
  <si>
    <t>SYDNEY BRYANT</t>
  </si>
  <si>
    <t>ARIANA COOK</t>
  </si>
  <si>
    <t>ANGELA PERRY</t>
  </si>
  <si>
    <t>AMY SUN</t>
  </si>
  <si>
    <t>ADRIENNE TORRES</t>
  </si>
  <si>
    <t>JASMINE STEWART</t>
  </si>
  <si>
    <t>DESIREE DOMINGUEZ</t>
  </si>
  <si>
    <t>DEANNA PEREZ</t>
  </si>
  <si>
    <t>JESSIE RAMOS</t>
  </si>
  <si>
    <t>BRYANT GARCIA</t>
  </si>
  <si>
    <t>GABRIELLA SANDERS</t>
  </si>
  <si>
    <t>SEAN BROOKS</t>
  </si>
  <si>
    <t>STACY ALVAREZ</t>
  </si>
  <si>
    <t>AIDAN ROSS</t>
  </si>
  <si>
    <t>DUSTIN CHANDER</t>
  </si>
  <si>
    <t>JOAN WASHINGTON</t>
  </si>
  <si>
    <t>MARC TORRES</t>
  </si>
  <si>
    <t>MARIAH WOOD</t>
  </si>
  <si>
    <t>ALBERTO NAVARRO</t>
  </si>
  <si>
    <t>ANGELA HENDERSON</t>
  </si>
  <si>
    <t>DONALD CHANDRA</t>
  </si>
  <si>
    <t>JAY SUAREZ</t>
  </si>
  <si>
    <t>MYA GONZALES</t>
  </si>
  <si>
    <t>ERICA HU</t>
  </si>
  <si>
    <t>NICOLE TAYLOR</t>
  </si>
  <si>
    <t>ERICK SAI</t>
  </si>
  <si>
    <t>KAYLEE COOK</t>
  </si>
  <si>
    <t>MEAGAN MADAN</t>
  </si>
  <si>
    <t>JERMAINE LOPEZ</t>
  </si>
  <si>
    <t>DEBORAH GOEL</t>
  </si>
  <si>
    <t>ANDRE PEREZ</t>
  </si>
  <si>
    <t>CAMERON LEWIS</t>
  </si>
  <si>
    <t>TERRENCE CHANDER</t>
  </si>
  <si>
    <t>DAWN WU</t>
  </si>
  <si>
    <t>GARY ORTEGA</t>
  </si>
  <si>
    <t>CANDACE RAMAN</t>
  </si>
  <si>
    <t>RAFAEL TANG</t>
  </si>
  <si>
    <t>LANCE GILL</t>
  </si>
  <si>
    <t>MAURICE LAL</t>
  </si>
  <si>
    <t>NICHOLE SHE</t>
  </si>
  <si>
    <t>BYRON CARLSON</t>
  </si>
  <si>
    <t>DAKOTA ROSS</t>
  </si>
  <si>
    <t>HALEY POWELL</t>
  </si>
  <si>
    <t>KATE RAJI</t>
  </si>
  <si>
    <t>RYAN SMITH</t>
  </si>
  <si>
    <t>ANN GONZALEZ</t>
  </si>
  <si>
    <t>AUSTIN BRYANT</t>
  </si>
  <si>
    <t>JUSTIN WASHINGTON</t>
  </si>
  <si>
    <t>LOGAN CHOW</t>
  </si>
  <si>
    <t>ZACHARY MOORE</t>
  </si>
  <si>
    <t>BARRY MARTINEZ</t>
  </si>
  <si>
    <t>ISAIAH WRIGHT</t>
  </si>
  <si>
    <t>TRISHA LIN</t>
  </si>
  <si>
    <t>CRYSTAL LIANG</t>
  </si>
  <si>
    <t>DEB TORRES</t>
  </si>
  <si>
    <t>SARAH GARCIA</t>
  </si>
  <si>
    <t>BRIANA DOMINGUEZ</t>
  </si>
  <si>
    <t>JORGE LIANG</t>
  </si>
  <si>
    <t>TAYLOR GARCIA</t>
  </si>
  <si>
    <t>ALEXIA FOSTER</t>
  </si>
  <si>
    <t>KRISTIN ANDERSEN</t>
  </si>
  <si>
    <t>JOE RANA</t>
  </si>
  <si>
    <t>JACKSON CAMPBELL</t>
  </si>
  <si>
    <t>MACKENZIE CAMPBELL</t>
  </si>
  <si>
    <t>HANNAH PATTERSON</t>
  </si>
  <si>
    <t>JOE TORRES</t>
  </si>
  <si>
    <t>PHILIP CARLSON</t>
  </si>
  <si>
    <t>VICTORIA MORRIS</t>
  </si>
  <si>
    <t>ANDREW RODRIGUEZ</t>
  </si>
  <si>
    <t>EDWARD LEWIS</t>
  </si>
  <si>
    <t>JACLYN CHANDER</t>
  </si>
  <si>
    <t>SIERRA ROBERTS</t>
  </si>
  <si>
    <t>DOROTHY ROBINSON</t>
  </si>
  <si>
    <t>MEREDITH RUIZ</t>
  </si>
  <si>
    <t>GREG TAYLOR</t>
  </si>
  <si>
    <t>SETH MITCHELL</t>
  </si>
  <si>
    <t>WARREN ANDERSEN</t>
  </si>
  <si>
    <t>GEOFFREY GONZALEZ</t>
  </si>
  <si>
    <t>AARON WRIGHT</t>
  </si>
  <si>
    <t>EDGAR SANCHEZ</t>
  </si>
  <si>
    <t>HEIDI SUBRAM</t>
  </si>
  <si>
    <t>LINDSEY DENG</t>
  </si>
  <si>
    <t>EUGENE YE</t>
  </si>
  <si>
    <t>BLAKE COLLINS</t>
  </si>
  <si>
    <t>RYAN ZHANG</t>
  </si>
  <si>
    <t>CAMERON MOORE</t>
  </si>
  <si>
    <t>KEITH ANDERSEN</t>
  </si>
  <si>
    <t>MEREDITH PRASAD</t>
  </si>
  <si>
    <t>KATRINA SHARMA</t>
  </si>
  <si>
    <t>DWAYNE NAVARRO</t>
  </si>
  <si>
    <t>CASEY NATH</t>
  </si>
  <si>
    <t>ASHLEE JAI</t>
  </si>
  <si>
    <t>JACLYN ZHENG</t>
  </si>
  <si>
    <t>ADRIENNE GOMEZ</t>
  </si>
  <si>
    <t>ALLISON GONZALEZ</t>
  </si>
  <si>
    <t>JESSIE WANG</t>
  </si>
  <si>
    <t>JOHNNY CHAVEZ</t>
  </si>
  <si>
    <t>LARRY VAZQUEZ</t>
  </si>
  <si>
    <t>NATALIE COOK</t>
  </si>
  <si>
    <t>TERESA VAZQUEZ</t>
  </si>
  <si>
    <t>BENJAMIN TAYLOR</t>
  </si>
  <si>
    <t>BONNIE NATH</t>
  </si>
  <si>
    <t>HALEY ALEXANDER</t>
  </si>
  <si>
    <t>JANET DOMINGUEZ</t>
  </si>
  <si>
    <t>JENNY ZHENG</t>
  </si>
  <si>
    <t>KAYLEE HILL</t>
  </si>
  <si>
    <t>MATHEW RUBIO</t>
  </si>
  <si>
    <t>MORGAN MILLER</t>
  </si>
  <si>
    <t>ARIANA SANCHEZ</t>
  </si>
  <si>
    <t>DEVIN COLEMAN</t>
  </si>
  <si>
    <t>JACLYN NARA</t>
  </si>
  <si>
    <t>MIRANDA LONG</t>
  </si>
  <si>
    <t>SHARON SALAVARIA</t>
  </si>
  <si>
    <t>VIRGINIA GONZALEZ</t>
  </si>
  <si>
    <t>ABIGAIL BROOKS</t>
  </si>
  <si>
    <t>BRENDAN CHANDE</t>
  </si>
  <si>
    <t>SETH WILLIAMS</t>
  </si>
  <si>
    <t>ALYSSA MORGAN</t>
  </si>
  <si>
    <t>GEORGE GONZALEZ</t>
  </si>
  <si>
    <t>JESSICA ALEXANDER</t>
  </si>
  <si>
    <t>ANGEL BAKER</t>
  </si>
  <si>
    <t>TAMARA CHANDER</t>
  </si>
  <si>
    <t>AIMEE SHE</t>
  </si>
  <si>
    <t>JESSICA BROWN</t>
  </si>
  <si>
    <t>ISABEL JENKINS</t>
  </si>
  <si>
    <t>MARY PATTERSON</t>
  </si>
  <si>
    <t>DEVIN MARTINEZ</t>
  </si>
  <si>
    <t>SARAH JACKSON</t>
  </si>
  <si>
    <t>DAWN HUANG</t>
  </si>
  <si>
    <t>MEAGAN RANA</t>
  </si>
  <si>
    <t>CAROLINE BUTLER</t>
  </si>
  <si>
    <t>RACHAEL RODRIGUEZ</t>
  </si>
  <si>
    <t>RANDY XU</t>
  </si>
  <si>
    <t>ANTONIO WASHINGTON</t>
  </si>
  <si>
    <t>BRANDY SAUNDERS</t>
  </si>
  <si>
    <t>BROOKE RICHARDSON</t>
  </si>
  <si>
    <t>DANIEL GARCIA</t>
  </si>
  <si>
    <t>FAITH PATTERSON</t>
  </si>
  <si>
    <t>ELIZABETH WEISMAN</t>
  </si>
  <si>
    <t>HANNAH WOOD</t>
  </si>
  <si>
    <t>JUAN GRAY</t>
  </si>
  <si>
    <t>FERNANDO FLORES</t>
  </si>
  <si>
    <t>GAVIN DIAZ</t>
  </si>
  <si>
    <t>LATASHA MUNOZ</t>
  </si>
  <si>
    <t>MARVIN MORENO</t>
  </si>
  <si>
    <t>AUDREY RAMOS</t>
  </si>
  <si>
    <t>CHASE KELLY</t>
  </si>
  <si>
    <t>CLARENCE GAO</t>
  </si>
  <si>
    <t>HEATHER ZHENG</t>
  </si>
  <si>
    <t>JASON MITCHELL</t>
  </si>
  <si>
    <t>EMMA SANCHEZ</t>
  </si>
  <si>
    <t>IAN LONG</t>
  </si>
  <si>
    <t>TYLER BROWN</t>
  </si>
  <si>
    <t>CHRISTIAN ROSS</t>
  </si>
  <si>
    <t>HALEY HENDERSON</t>
  </si>
  <si>
    <t>JESSIE ALONSO</t>
  </si>
  <si>
    <t>MIGUEL LEE</t>
  </si>
  <si>
    <t>RACHAEL SAI</t>
  </si>
  <si>
    <t>ROY SANZ</t>
  </si>
  <si>
    <t>KATELYN PARKER</t>
  </si>
  <si>
    <t>KELSEY BECKER</t>
  </si>
  <si>
    <t>KURT SHARMA</t>
  </si>
  <si>
    <t>ABIGAIL HOWARD</t>
  </si>
  <si>
    <t>CEDRIC GAO</t>
  </si>
  <si>
    <t>DENNIS HUANG</t>
  </si>
  <si>
    <t>DEVIN HENDERSON</t>
  </si>
  <si>
    <t>DEVIN PEREZ</t>
  </si>
  <si>
    <t>GABRIEL GREEN</t>
  </si>
  <si>
    <t>MARIAH ROSS</t>
  </si>
  <si>
    <t>SEBASTIAN STEWART</t>
  </si>
  <si>
    <t>ADRIAN RAMIREZ</t>
  </si>
  <si>
    <t>FERNANDO JOHNSON</t>
  </si>
  <si>
    <t>GARRETT KELLY</t>
  </si>
  <si>
    <t>ALEXANDRIA SANDBERG</t>
  </si>
  <si>
    <t>ABIGAIL FOSTER</t>
  </si>
  <si>
    <t>ALYSSA COOPER</t>
  </si>
  <si>
    <t>BONNIE JAI</t>
  </si>
  <si>
    <t>ETHAN BRYANT</t>
  </si>
  <si>
    <t>FREDERICK MARTINEZ</t>
  </si>
  <si>
    <t>JOSEPH GARCIA</t>
  </si>
  <si>
    <t>KARA ANAND</t>
  </si>
  <si>
    <t>MAKAYLA WARD</t>
  </si>
  <si>
    <t>XAVIER SIMMONS</t>
  </si>
  <si>
    <t>CHLOE WASHINGTON</t>
  </si>
  <si>
    <t>MIGUEL SANCHEZ</t>
  </si>
  <si>
    <t>VERONICA SRINI</t>
  </si>
  <si>
    <t>AARON WANG</t>
  </si>
  <si>
    <t>ALEX CARTER</t>
  </si>
  <si>
    <t>BAILEY BAILEY</t>
  </si>
  <si>
    <t>KAITLYN LEE</t>
  </si>
  <si>
    <t>KRISTINA KAPOOR</t>
  </si>
  <si>
    <t>NATHANIEL COOPER</t>
  </si>
  <si>
    <t>NICOLAS CHANDER</t>
  </si>
  <si>
    <t>ANA WASHINGTON</t>
  </si>
  <si>
    <t>AUDREY MUNOZ</t>
  </si>
  <si>
    <t>BONNIE RAJI</t>
  </si>
  <si>
    <t>DEVIN SIMMONS</t>
  </si>
  <si>
    <t>AIDAN PERRY</t>
  </si>
  <si>
    <t>CHERYL ORTEGA</t>
  </si>
  <si>
    <t>JARROD SURI</t>
  </si>
  <si>
    <t>KELVIN CARSON</t>
  </si>
  <si>
    <t>SETH MARTIN</t>
  </si>
  <si>
    <t>HALEY WOOD</t>
  </si>
  <si>
    <t>JOHNNY SHAN</t>
  </si>
  <si>
    <t>KATHRYN CHAPMAN</t>
  </si>
  <si>
    <t>KEVIN WASHINGTON</t>
  </si>
  <si>
    <t>MORGAN FOSTER</t>
  </si>
  <si>
    <t>RUSSELL RAJE</t>
  </si>
  <si>
    <t>ADAM BAKER</t>
  </si>
  <si>
    <t>JANELLE FERNANDEZ</t>
  </si>
  <si>
    <t>LUKE MITCHELL</t>
  </si>
  <si>
    <t>AARON YOUNG</t>
  </si>
  <si>
    <t>DALTON EDWARDS</t>
  </si>
  <si>
    <t>TRISTAN ROSS</t>
  </si>
  <si>
    <t>DEREK TANG</t>
  </si>
  <si>
    <t>JOANNA VAZQUEZ</t>
  </si>
  <si>
    <t>KATE ANAND</t>
  </si>
  <si>
    <t>ROSA WANG</t>
  </si>
  <si>
    <t>BIANCA GUO</t>
  </si>
  <si>
    <t>CHLOE NELSON</t>
  </si>
  <si>
    <t>MEREDITH SERRANO</t>
  </si>
  <si>
    <t>SHANNON YANG</t>
  </si>
  <si>
    <t>STEVEN KELLY</t>
  </si>
  <si>
    <t>SUMMER SMITH</t>
  </si>
  <si>
    <t>BETH ALONSO</t>
  </si>
  <si>
    <t>ASHLEY RUSSELL</t>
  </si>
  <si>
    <t>DONNA SHARMA</t>
  </si>
  <si>
    <t>LOGAN TURNER</t>
  </si>
  <si>
    <t>CAITLIN BROOKS</t>
  </si>
  <si>
    <t>LAUREN SANCHEZ</t>
  </si>
  <si>
    <t>TONYA CHANDE</t>
  </si>
  <si>
    <t>JACLYN ZHANG</t>
  </si>
  <si>
    <t>JAMES WALKER</t>
  </si>
  <si>
    <t>KELSEY XIE</t>
  </si>
  <si>
    <t>LOGAN DIAZ</t>
  </si>
  <si>
    <t>JUSTIN SHAN</t>
  </si>
  <si>
    <t>AMANDA GRAY</t>
  </si>
  <si>
    <t>EDUARDO ALEXANDER</t>
  </si>
  <si>
    <t>GABRIELLA LOPEZ</t>
  </si>
  <si>
    <t>GILBERT SHEN</t>
  </si>
  <si>
    <t>LOGAN WILSON</t>
  </si>
  <si>
    <t>CAMERON GRIFFIN</t>
  </si>
  <si>
    <t>JASON JENKINS</t>
  </si>
  <si>
    <t>LUCAS FLORES</t>
  </si>
  <si>
    <t>MAX ALVAREZ</t>
  </si>
  <si>
    <t>KRISTEN GUO</t>
  </si>
  <si>
    <t>ROBERT ROBINSON</t>
  </si>
  <si>
    <t>SARA REED</t>
  </si>
  <si>
    <t>ADRIANA LOPEZ</t>
  </si>
  <si>
    <t>KAYLA ALEXANDER</t>
  </si>
  <si>
    <t>THEODORE SUAREZ</t>
  </si>
  <si>
    <t>LEAH HU</t>
  </si>
  <si>
    <t>NOAH BUTLER</t>
  </si>
  <si>
    <t>YOLANDA XIE</t>
  </si>
  <si>
    <t>ARIANNA HENDERSON</t>
  </si>
  <si>
    <t>GABRIELLA TORRES</t>
  </si>
  <si>
    <t>JOSE EDWARDS</t>
  </si>
  <si>
    <t>KAITLYN BAILEY</t>
  </si>
  <si>
    <t>CHLOE WHITE</t>
  </si>
  <si>
    <t>FRANCISCO CHANDRA</t>
  </si>
  <si>
    <t>JILL MORENO</t>
  </si>
  <si>
    <t>ALLISON RICHARDSON</t>
  </si>
  <si>
    <t>MASON ROGERS</t>
  </si>
  <si>
    <t>MORGAN JOHNSON</t>
  </si>
  <si>
    <t>DEBORAH YUAN</t>
  </si>
  <si>
    <t>ERNEST LIU</t>
  </si>
  <si>
    <t>KATELYN SANDERS</t>
  </si>
  <si>
    <t>SHANNON SUN</t>
  </si>
  <si>
    <t>TREVOR SIMMONS</t>
  </si>
  <si>
    <t>ANN MARTINEZ</t>
  </si>
  <si>
    <t>MAX SERRANO</t>
  </si>
  <si>
    <t>CHRISTY ZHOU</t>
  </si>
  <si>
    <t>KAYLA LEWIS</t>
  </si>
  <si>
    <t>MEGAN WILLIAMS</t>
  </si>
  <si>
    <t>DEVIN SANDERS</t>
  </si>
  <si>
    <t>THOMAS HARRISON</t>
  </si>
  <si>
    <t>DUSTIN GOLDSTEIN</t>
  </si>
  <si>
    <t>ROBERT ADAMS</t>
  </si>
  <si>
    <t>SABRINA BLANCO</t>
  </si>
  <si>
    <t>TROY SURI</t>
  </si>
  <si>
    <t>CHARLES PHILLIPS</t>
  </si>
  <si>
    <t>SHAWN LUO</t>
  </si>
  <si>
    <t>ABIGAIL CLARK</t>
  </si>
  <si>
    <t>ANDREA COLLINS</t>
  </si>
  <si>
    <t>JOSEPH ANDERSON</t>
  </si>
  <si>
    <t>PATRICIA CHAPMAN</t>
  </si>
  <si>
    <t>IAN RODRIGUEZ</t>
  </si>
  <si>
    <t>RICARDO NATH</t>
  </si>
  <si>
    <t>JASMINE HALL</t>
  </si>
  <si>
    <t>BAILEY ROGERS</t>
  </si>
  <si>
    <t>JUSTIN GONZALES</t>
  </si>
  <si>
    <t>MORGAN THOMAS</t>
  </si>
  <si>
    <t>DEVIN TAYLOR</t>
  </si>
  <si>
    <t>HOLLY MEHTA</t>
  </si>
  <si>
    <t>JONATHAN ANDERSON</t>
  </si>
  <si>
    <t>KAITLYN ALEXANDER</t>
  </si>
  <si>
    <t>MADELINE CAMPBELL</t>
  </si>
  <si>
    <t>FRANCISCO GONZALEZ</t>
  </si>
  <si>
    <t>JOHNATHAN CHAPMAN</t>
  </si>
  <si>
    <t>CHLOE HUGHES</t>
  </si>
  <si>
    <t>JEREMY YOUNG</t>
  </si>
  <si>
    <t>STEPHANIE BAILEY</t>
  </si>
  <si>
    <t>SOPHIA WRIGHT</t>
  </si>
  <si>
    <t>NOAH SCOTT</t>
  </si>
  <si>
    <t>ALEXANDRA HARRIS</t>
  </si>
  <si>
    <t>ALEXIS JONES</t>
  </si>
  <si>
    <t>DOMINIQUE SANCHEZ</t>
  </si>
  <si>
    <t>GILBERT LIANG</t>
  </si>
  <si>
    <t>ISABELLA EDWARDS</t>
  </si>
  <si>
    <t>KAREN LU</t>
  </si>
  <si>
    <t>KRISTINE SANDBERG</t>
  </si>
  <si>
    <t>JOCELYN LONG</t>
  </si>
  <si>
    <t>MINDY JAI</t>
  </si>
  <si>
    <t>ANTONIO BUTLER</t>
  </si>
  <si>
    <t>CHARLES EVANS</t>
  </si>
  <si>
    <t>EDUARDO ALLEN</t>
  </si>
  <si>
    <t>JENNY SUN</t>
  </si>
  <si>
    <t>ALISHA NATH</t>
  </si>
  <si>
    <t>JONATHAN CAMPBELL</t>
  </si>
  <si>
    <t>SARAH THOMPSON</t>
  </si>
  <si>
    <t>WESLEY LIANG</t>
  </si>
  <si>
    <t>DIANA ORTEGA</t>
  </si>
  <si>
    <t>KRISTEN GAO</t>
  </si>
  <si>
    <t>RAFAEL SHARMA</t>
  </si>
  <si>
    <t>KRISTY MUNOZ</t>
  </si>
  <si>
    <t>WENDY ALVAREZ</t>
  </si>
  <si>
    <t>SUZANNE ZHOU</t>
  </si>
  <si>
    <t>COLLEEN XIE</t>
  </si>
  <si>
    <t>JEREMY RICHARDSON</t>
  </si>
  <si>
    <t>JORDYN BRYANT</t>
  </si>
  <si>
    <t>ROBERT HERNANDEZ</t>
  </si>
  <si>
    <t>SEAN SANCHEZ</t>
  </si>
  <si>
    <t>VANESSA RUSSELL</t>
  </si>
  <si>
    <t>ISAIAH PEREZ</t>
  </si>
  <si>
    <t>JONATHAN SMITH</t>
  </si>
  <si>
    <t>THOMAS JAI</t>
  </si>
  <si>
    <t>ALEXANDRA RICHARDSON</t>
  </si>
  <si>
    <t>IAN LEWIS</t>
  </si>
  <si>
    <t>JAMIE ZENG</t>
  </si>
  <si>
    <t>THOMAS ZHANG</t>
  </si>
  <si>
    <t>ARIANNA WARD</t>
  </si>
  <si>
    <t>CODY COOK</t>
  </si>
  <si>
    <t>KRISTY RUBIO</t>
  </si>
  <si>
    <t>MONICA VANCE</t>
  </si>
  <si>
    <t>TAMMY SMITH</t>
  </si>
  <si>
    <t>TREVOR HUGHES</t>
  </si>
  <si>
    <t>ASHLEY THOMAS</t>
  </si>
  <si>
    <t>BENJAMIN MOORE</t>
  </si>
  <si>
    <t>BRYANT SRINI</t>
  </si>
  <si>
    <t>ETHAN SHAN</t>
  </si>
  <si>
    <t>OMAR LIU</t>
  </si>
  <si>
    <t>RUBEN SUBRAM</t>
  </si>
  <si>
    <t>SAMUEL HILL</t>
  </si>
  <si>
    <t>ERIN ROGERS</t>
  </si>
  <si>
    <t>HAILEY COX</t>
  </si>
  <si>
    <t>BRIANNA MORRIS</t>
  </si>
  <si>
    <t>SAMANTHA TAYLOR</t>
  </si>
  <si>
    <t>CLAYTON SHARMA</t>
  </si>
  <si>
    <t>SIERRA PARKER</t>
  </si>
  <si>
    <t>EDUARDO WILLIAMS</t>
  </si>
  <si>
    <t>JENNIFER GREEN</t>
  </si>
  <si>
    <t>LACEY YUAN</t>
  </si>
  <si>
    <t>MONIQUE ORTEGA</t>
  </si>
  <si>
    <t>ISAIAH SANCHEZ</t>
  </si>
  <si>
    <t>CASSIDY BRYANT</t>
  </si>
  <si>
    <t>ETHAN SIMMONS</t>
  </si>
  <si>
    <t>ISABELLA HERNANDEZ</t>
  </si>
  <si>
    <t>KEVIN BAKER</t>
  </si>
  <si>
    <t>ALAN HE</t>
  </si>
  <si>
    <t>TRISHA MA</t>
  </si>
  <si>
    <t>VANESSA BRYANT</t>
  </si>
  <si>
    <t>XAVIER MOORE</t>
  </si>
  <si>
    <t>ALEJANDRO LAL</t>
  </si>
  <si>
    <t>JULIE RAJE</t>
  </si>
  <si>
    <t>KARLA SHE</t>
  </si>
  <si>
    <t>DANIEL HARRIS</t>
  </si>
  <si>
    <t>GERALD RODRIGUEZ</t>
  </si>
  <si>
    <t>MITCHELL XU</t>
  </si>
  <si>
    <t>KEITH DENG</t>
  </si>
  <si>
    <t>JENNY XU</t>
  </si>
  <si>
    <t>CASEY MUNOZ</t>
  </si>
  <si>
    <t>KATHLEEN ORTEGA</t>
  </si>
  <si>
    <t>FAITH WARD</t>
  </si>
  <si>
    <t>GABRIELLA COLLINS</t>
  </si>
  <si>
    <t>KARI GOMEZ</t>
  </si>
  <si>
    <t>MICHELLE JAMES</t>
  </si>
  <si>
    <t>WESLEY ZHENG</t>
  </si>
  <si>
    <t>ISABELLE PATTERSON</t>
  </si>
  <si>
    <t>SEAN HERNANDEZ</t>
  </si>
  <si>
    <t>ANDRES DENG</t>
  </si>
  <si>
    <t>BROOKE MURPHY</t>
  </si>
  <si>
    <t>RUTH MADAN</t>
  </si>
  <si>
    <t>LANCE ORTEGA</t>
  </si>
  <si>
    <t>ALBERTO RAMOS</t>
  </si>
  <si>
    <t>EUGENE ZHU</t>
  </si>
  <si>
    <t>JENNA MITCHELL</t>
  </si>
  <si>
    <t>KATIE KUMAR</t>
  </si>
  <si>
    <t>WALTER DOMINGUEZ</t>
  </si>
  <si>
    <t>WESLEY GAO</t>
  </si>
  <si>
    <t>MAX MOYER</t>
  </si>
  <si>
    <t>DESTINY POWELL</t>
  </si>
  <si>
    <t>LOGAN HERNANDEZ</t>
  </si>
  <si>
    <t>MORGAN BLUE</t>
  </si>
  <si>
    <t>EMMANUEL GARCIA</t>
  </si>
  <si>
    <t>BRUCE ASHE</t>
  </si>
  <si>
    <t>TIFFANY LIN</t>
  </si>
  <si>
    <t>JASON FOSTER</t>
  </si>
  <si>
    <t>EBONY RAMOS</t>
  </si>
  <si>
    <t>TYRONE HERNANDEZ</t>
  </si>
  <si>
    <t>JUSTIN ALEXANDER</t>
  </si>
  <si>
    <t>GRANT RAI</t>
  </si>
  <si>
    <t>BETH ORTEGA</t>
  </si>
  <si>
    <t>JESSICA JOHNSON</t>
  </si>
  <si>
    <t>JANELLE SANCHEZ</t>
  </si>
  <si>
    <t>NATASHA ROMERO</t>
  </si>
  <si>
    <t>NICOLAS TANG</t>
  </si>
  <si>
    <t>ALEXANDRIA MORRIS</t>
  </si>
  <si>
    <t>TODD ZENG</t>
  </si>
  <si>
    <t>CRISTINA BECK</t>
  </si>
  <si>
    <t>DALTON BROOKS</t>
  </si>
  <si>
    <t>J�SUS SUAREZ</t>
  </si>
  <si>
    <t>NATHAN JENKINS</t>
  </si>
  <si>
    <t>JOSE MOORE</t>
  </si>
  <si>
    <t>ANDRE ARUN</t>
  </si>
  <si>
    <t>JULIA WOOD</t>
  </si>
  <si>
    <t>JOSEPH TAYLOR</t>
  </si>
  <si>
    <t>NICOLAS KUMAR</t>
  </si>
  <si>
    <t>JONATHAN DIAZ</t>
  </si>
  <si>
    <t>MARCUS WILSON</t>
  </si>
  <si>
    <t>MEGAN GRAY</t>
  </si>
  <si>
    <t>MORGAN HARRIS</t>
  </si>
  <si>
    <t>MORGAN RIVERA</t>
  </si>
  <si>
    <t>WALTER SERRANO</t>
  </si>
  <si>
    <t>MORGAN YOUNG</t>
  </si>
  <si>
    <t>ANTONIO BRYANT</t>
  </si>
  <si>
    <t>ELIJAH ADAMS</t>
  </si>
  <si>
    <t>XAVIER BAILEY</t>
  </si>
  <si>
    <t>GRACE HARRIS</t>
  </si>
  <si>
    <t>JORDYN BUTLER</t>
  </si>
  <si>
    <t>DESTINY MURPHY</t>
  </si>
  <si>
    <t>MIGUEL ROBERTS</t>
  </si>
  <si>
    <t>CLAYTON JAI</t>
  </si>
  <si>
    <t>ANN RODRIGUEZ</t>
  </si>
  <si>
    <t>COLE STEWART</t>
  </si>
  <si>
    <t>ALEJANDRO LUO</t>
  </si>
  <si>
    <t>CARL SHE</t>
  </si>
  <si>
    <t>PATRICK GRAY</t>
  </si>
  <si>
    <t>KRISTINA SCHMIDT</t>
  </si>
  <si>
    <t>SUMMER MADAN</t>
  </si>
  <si>
    <t>ADAM GREEN</t>
  </si>
  <si>
    <t>CHLOE BRYANT</t>
  </si>
  <si>
    <t>GABRIELLE BUTLER</t>
  </si>
  <si>
    <t>EUGENE ZHAO</t>
  </si>
  <si>
    <t>MARIA MORGAN</t>
  </si>
  <si>
    <t>WYATT WALKER</t>
  </si>
  <si>
    <t>DEREK RAJE</t>
  </si>
  <si>
    <t>JACLYN SHEN</t>
  </si>
  <si>
    <t>FRANCISCO ASHE</t>
  </si>
  <si>
    <t>CARSON PERRY</t>
  </si>
  <si>
    <t>STACY DIAZ</t>
  </si>
  <si>
    <t>FERNANDO WRIGHT</t>
  </si>
  <si>
    <t>GLORIA RUIZ</t>
  </si>
  <si>
    <t>JIMMY VAZQUEZ</t>
  </si>
  <si>
    <t>GABRIELLA MORRIS</t>
  </si>
  <si>
    <t>RAMON HUANG</t>
  </si>
  <si>
    <t>JOE RAMOS</t>
  </si>
  <si>
    <t>ALICIA SHEN</t>
  </si>
  <si>
    <t>LACEY RAJE</t>
  </si>
  <si>
    <t>MADELINE HALL</t>
  </si>
  <si>
    <t>DALTON PARKER</t>
  </si>
  <si>
    <t>JEROME TORRES</t>
  </si>
  <si>
    <t>OLIVIA GARCIA</t>
  </si>
  <si>
    <t>ROBERT HILL</t>
  </si>
  <si>
    <t>GLORIA ROMERO</t>
  </si>
  <si>
    <t>JENNIFER FOSTER</t>
  </si>
  <si>
    <t>JOE SANZ</t>
  </si>
  <si>
    <t>OMAR YUAN</t>
  </si>
  <si>
    <t>GERRIT STRAATSMA</t>
  </si>
  <si>
    <t>JOHNNY LAL</t>
  </si>
  <si>
    <t>TAMARA CHEN</t>
  </si>
  <si>
    <t>THEODORE TORRES</t>
  </si>
  <si>
    <t>TARA RAJI</t>
  </si>
  <si>
    <t>ALISHA CHANDER</t>
  </si>
  <si>
    <t>AMANDA BROOKS</t>
  </si>
  <si>
    <t>SARA MURPHY</t>
  </si>
  <si>
    <t>OLIVIA KELLY</t>
  </si>
  <si>
    <t>ERIKA SERRANO</t>
  </si>
  <si>
    <t>TIFFANY ZHAO</t>
  </si>
  <si>
    <t>BLAKE NELSON</t>
  </si>
  <si>
    <t>WYATT LEE</t>
  </si>
  <si>
    <t>JEREMY COLLINS</t>
  </si>
  <si>
    <t>MARY ADAMS</t>
  </si>
  <si>
    <t>LOGAN PHILLIPS</t>
  </si>
  <si>
    <t>TAYLOR ROGERS</t>
  </si>
  <si>
    <t>BAILEY BELL</t>
  </si>
  <si>
    <t>KURT CHANDER</t>
  </si>
  <si>
    <t>MEGAN POWELL</t>
  </si>
  <si>
    <t>HAILEY PEREZ</t>
  </si>
  <si>
    <t>JACLYN XU</t>
  </si>
  <si>
    <t>TRACY CHANDE</t>
  </si>
  <si>
    <t>IAN WOOD</t>
  </si>
  <si>
    <t>ISABELLA MARTINEZ</t>
  </si>
  <si>
    <t>JOSHUA LEE</t>
  </si>
  <si>
    <t>NATALIE WRIGHT</t>
  </si>
  <si>
    <t>KATHERINE SCOTT</t>
  </si>
  <si>
    <t>MARIA WOOD</t>
  </si>
  <si>
    <t>CHARLES HOWARD</t>
  </si>
  <si>
    <t>JASMINE THOMAS</t>
  </si>
  <si>
    <t>MARIAH HENDERSON</t>
  </si>
  <si>
    <t>RACHEL HOWARD</t>
  </si>
  <si>
    <t>KELLIE HERNANDEZ</t>
  </si>
  <si>
    <t>BOB FERNANDEZ</t>
  </si>
  <si>
    <t>CEDRIC LIU</t>
  </si>
  <si>
    <t>DESTINY MORGAN</t>
  </si>
  <si>
    <t>MARCUS WRIGHT</t>
  </si>
  <si>
    <t>MARIO ASHE</t>
  </si>
  <si>
    <t>ALYSSA DAVIS</t>
  </si>
  <si>
    <t>BLAKE GONZALES</t>
  </si>
  <si>
    <t>DAKOTA GRIFFIN</t>
  </si>
  <si>
    <t>NOAH YOUNG</t>
  </si>
  <si>
    <t>JOHN WILLIAMS</t>
  </si>
  <si>
    <t>SHAUN SHEN</t>
  </si>
  <si>
    <t>FLORIAN STILLER</t>
  </si>
  <si>
    <t>IRVING SCHMIDT</t>
  </si>
  <si>
    <t>ALAN HUANG</t>
  </si>
  <si>
    <t>BRITTNEY MA</t>
  </si>
  <si>
    <t>HANNAH RODRIGUEZ</t>
  </si>
  <si>
    <t>HOLLY FERNANDEZ</t>
  </si>
  <si>
    <t>LAUREN COLEMAN</t>
  </si>
  <si>
    <t>MELISSA PATTERSON</t>
  </si>
  <si>
    <t>BRANDON RODRIGUEZ</t>
  </si>
  <si>
    <t>JAKE WANG</t>
  </si>
  <si>
    <t>JACKSON JAI</t>
  </si>
  <si>
    <t>RACHEL MARTIN</t>
  </si>
  <si>
    <t>RICHARD ROGERS</t>
  </si>
  <si>
    <t>ZACHARY CHEN</t>
  </si>
  <si>
    <t>CEDRIC SHE</t>
  </si>
  <si>
    <t>FRANCIS SANZ</t>
  </si>
  <si>
    <t>GAVIN PERRY</t>
  </si>
  <si>
    <t>LYDIA SANCHEZ</t>
  </si>
  <si>
    <t>KRISTINA FERNANDEZ</t>
  </si>
  <si>
    <t>TYRONE ORTEGA</t>
  </si>
  <si>
    <t>IAN MARTINEZ</t>
  </si>
  <si>
    <t>RUBEN RODRIGUEZ</t>
  </si>
  <si>
    <t>DEVIN STEWART</t>
  </si>
  <si>
    <t>JORDAN HERNANDEZ</t>
  </si>
  <si>
    <t>NATHAN BROWN</t>
  </si>
  <si>
    <t>GREGORY CHANDE</t>
  </si>
  <si>
    <t>LAURA ZHOU</t>
  </si>
  <si>
    <t>MICHELE MADAN</t>
  </si>
  <si>
    <t>NATALIE EDWARDS</t>
  </si>
  <si>
    <t>PAULA CARLSON</t>
  </si>
  <si>
    <t>ANNA HARRIS</t>
  </si>
  <si>
    <t>MARIAH COX</t>
  </si>
  <si>
    <t>RICHARD COLEMAN</t>
  </si>
  <si>
    <t>JIMMY TRAVERS</t>
  </si>
  <si>
    <t>JORDAN KING</t>
  </si>
  <si>
    <t>GEORGE SANCHEZ</t>
  </si>
  <si>
    <t>JORDAN TURNER</t>
  </si>
  <si>
    <t>BAILEY ADAMS</t>
  </si>
  <si>
    <t>GABRIEL TURNER</t>
  </si>
  <si>
    <t>JORDYN COLEMAN</t>
  </si>
  <si>
    <t>DANIELLE COOK</t>
  </si>
  <si>
    <t>JENNIFER JACKSON</t>
  </si>
  <si>
    <t>SARAH MARTINEZ</t>
  </si>
  <si>
    <t>JOSE GARCIA</t>
  </si>
  <si>
    <t>COLIN STONE</t>
  </si>
  <si>
    <t>ANGEL RIVERA</t>
  </si>
  <si>
    <t>CHRISTY CHOW</t>
  </si>
  <si>
    <t>TRISHA ZHOU</t>
  </si>
  <si>
    <t>MARSHALL LI</t>
  </si>
  <si>
    <t>STACY NAVARRO</t>
  </si>
  <si>
    <t>CAMERON JAI</t>
  </si>
  <si>
    <t>TAMARA PAL</t>
  </si>
  <si>
    <t>ELIZABETH LEE</t>
  </si>
  <si>
    <t>ERIC CAMPBELL</t>
  </si>
  <si>
    <t>LUCAS THOMAS</t>
  </si>
  <si>
    <t>RUTH GONZALEZ</t>
  </si>
  <si>
    <t>JAY ARTHUR</t>
  </si>
  <si>
    <t>VANESSA ROSS</t>
  </si>
  <si>
    <t>JACKSON LOPEZ</t>
  </si>
  <si>
    <t>MOHAMED PAL</t>
  </si>
  <si>
    <t>JORGE HU</t>
  </si>
  <si>
    <t>AMY CHOW</t>
  </si>
  <si>
    <t>JULIA THOMAS</t>
  </si>
  <si>
    <t>MINDY KUMAR</t>
  </si>
  <si>
    <t>SARA PETERSON</t>
  </si>
  <si>
    <t>GARY GUTIERREZ</t>
  </si>
  <si>
    <t>YOLANDA SHAN</t>
  </si>
  <si>
    <t>RENEE SUAREZ</t>
  </si>
  <si>
    <t>ANDRE GARCIA</t>
  </si>
  <si>
    <t>LOUIS LIANG</t>
  </si>
  <si>
    <t>SAVANNAH EDWARDS</t>
  </si>
  <si>
    <t>ERIN BRADLEY</t>
  </si>
  <si>
    <t>KATELYN SCOTT</t>
  </si>
  <si>
    <t>CHLOE GRIFFIN</t>
  </si>
  <si>
    <t>TAYLOR WILLIAMS</t>
  </si>
  <si>
    <t>JASMINE WHITE</t>
  </si>
  <si>
    <t>GABRIELLE WASHINGTON</t>
  </si>
  <si>
    <t>GAIL GRIFFIN</t>
  </si>
  <si>
    <t>JEROME DIAZ</t>
  </si>
  <si>
    <t>BRYAN JAMES</t>
  </si>
  <si>
    <t>TRACY PAL</t>
  </si>
  <si>
    <t>JESSIE VAZQUEZ</t>
  </si>
  <si>
    <t>PAULA VAZQUEZ</t>
  </si>
  <si>
    <t>DESTINY COX</t>
  </si>
  <si>
    <t>ANTHONY JONES</t>
  </si>
  <si>
    <t>BRENDAN XIE</t>
  </si>
  <si>
    <t>KAITLYN EVANS</t>
  </si>
  <si>
    <t>BARBARA GOEL</t>
  </si>
  <si>
    <t>CARLY GOEL</t>
  </si>
  <si>
    <t>MAYRA MEHTA</t>
  </si>
  <si>
    <t>RAFAEL MA</t>
  </si>
  <si>
    <t>MADALENA SANCHEZ</t>
  </si>
  <si>
    <t>HALEY BRYANT</t>
  </si>
  <si>
    <t>BROOKE WARD</t>
  </si>
  <si>
    <t>MICHELE CHANDE</t>
  </si>
  <si>
    <t>AMANDA HOWARD</t>
  </si>
  <si>
    <t>VIRGINIA SUBRAM</t>
  </si>
  <si>
    <t>FELICIA MORENO</t>
  </si>
  <si>
    <t>LESLIE HERNANDEZ</t>
  </si>
  <si>
    <t>RAFAEL RAJE</t>
  </si>
  <si>
    <t>J�SUS SERRANO</t>
  </si>
  <si>
    <t>ANNA MARTINEZ</t>
  </si>
  <si>
    <t>GRANT NARA</t>
  </si>
  <si>
    <t>JACLYN LIU</t>
  </si>
  <si>
    <t>NICHOLE SHEN</t>
  </si>
  <si>
    <t>CLARENCE ZHANG</t>
  </si>
  <si>
    <t>WHITNEY RANA</t>
  </si>
  <si>
    <t>ETHAN JONES</t>
  </si>
  <si>
    <t>ERICA YE</t>
  </si>
  <si>
    <t>ANNE ORTEGA</t>
  </si>
  <si>
    <t>KRYSTAL HU</t>
  </si>
  <si>
    <t>REGINALD SERRANO</t>
  </si>
  <si>
    <t>WILSON PAIS</t>
  </si>
  <si>
    <t>KENDRA DIAZ</t>
  </si>
  <si>
    <t>ALEXIA COLEMAN</t>
  </si>
  <si>
    <t>MARC MORENO</t>
  </si>
  <si>
    <t>KRISTY TORRES</t>
  </si>
  <si>
    <t>SYDNEY HERNANDEZ</t>
  </si>
  <si>
    <t>AUTUMN WANG</t>
  </si>
  <si>
    <t>DENNIS ZENG</t>
  </si>
  <si>
    <t>JAY SARA</t>
  </si>
  <si>
    <t>KELVIN LIN</t>
  </si>
  <si>
    <t>CRAIG MUNOZ</t>
  </si>
  <si>
    <t>ALEJANDRO GOEL</t>
  </si>
  <si>
    <t>MARTHA HU</t>
  </si>
  <si>
    <t>EDWIN BHAT</t>
  </si>
  <si>
    <t>DENISE MEHTA</t>
  </si>
  <si>
    <t>KRISTA RUIZ</t>
  </si>
  <si>
    <t>JUAN PETERSON</t>
  </si>
  <si>
    <t>ELIZABETH ALEXANDER</t>
  </si>
  <si>
    <t>WAYNE TANG</t>
  </si>
  <si>
    <t>DEANNA MARTIN</t>
  </si>
  <si>
    <t>BRENDAN RAJI</t>
  </si>
  <si>
    <t>GREGORY BECKER</t>
  </si>
  <si>
    <t>WHITNEY KOV�R</t>
  </si>
  <si>
    <t>EBONY MUNOZ</t>
  </si>
  <si>
    <t>MARY NELSON</t>
  </si>
  <si>
    <t>CURTIS WANG</t>
  </si>
  <si>
    <t>CHERYL NAVARRO</t>
  </si>
  <si>
    <t>HANNAH BUTLER</t>
  </si>
  <si>
    <t>BIANCA GAO</t>
  </si>
  <si>
    <t>BRYANT SANCHEZ</t>
  </si>
  <si>
    <t>CLAUDIA ZHANG</t>
  </si>
  <si>
    <t>MARIAH SANDERS</t>
  </si>
  <si>
    <t>CLARENCE WU</t>
  </si>
  <si>
    <t>EVELYN RODRIGUEZ</t>
  </si>
  <si>
    <t>SYDNEY COOK</t>
  </si>
  <si>
    <t>JACLYN GUO</t>
  </si>
  <si>
    <t>CATHERINE COX</t>
  </si>
  <si>
    <t>KELLI RAJI</t>
  </si>
  <si>
    <t>LYDIA SURI</t>
  </si>
  <si>
    <t>COLLEEN WEST</t>
  </si>
  <si>
    <t>JOY RAMOS</t>
  </si>
  <si>
    <t>DALTON MILLER</t>
  </si>
  <si>
    <t>BRIANA DIAZ</t>
  </si>
  <si>
    <t>CASEY VAZQUEZ</t>
  </si>
  <si>
    <t>DEVON KENNEDY</t>
  </si>
  <si>
    <t>SARA MORGAN</t>
  </si>
  <si>
    <t>JOHNNY RAI</t>
  </si>
  <si>
    <t>CARMEN PEREZ</t>
  </si>
  <si>
    <t>KATHERINE WOOD</t>
  </si>
  <si>
    <t>VICTORIA JONES</t>
  </si>
  <si>
    <t>KAYLEE COLLINS</t>
  </si>
  <si>
    <t>BRADLEY LAL</t>
  </si>
  <si>
    <t>WILLIE XU</t>
  </si>
  <si>
    <t>JENNIFER WALKER</t>
  </si>
  <si>
    <t>MARCUS MARTINEZ</t>
  </si>
  <si>
    <t>TONY CHANDER</t>
  </si>
  <si>
    <t>WYATT BENNETT</t>
  </si>
  <si>
    <t>CHRISTIAN FOSTER</t>
  </si>
  <si>
    <t>EMILY MARTIN</t>
  </si>
  <si>
    <t>CASSANDRA VAN</t>
  </si>
  <si>
    <t>BRENDAN GOLDSTEIN</t>
  </si>
  <si>
    <t>LUCAS FOSTER</t>
  </si>
  <si>
    <t>CAROL NELSON</t>
  </si>
  <si>
    <t>SANDRA LU</t>
  </si>
  <si>
    <t>CHERYL BLANCO</t>
  </si>
  <si>
    <t>EVAN HOWARD</t>
  </si>
  <si>
    <t>JESSIE SUAREZ</t>
  </si>
  <si>
    <t>VICTORIA DAVIS</t>
  </si>
  <si>
    <t>BLAKE MITCHELL</t>
  </si>
  <si>
    <t>NANCY MARTINEZ</t>
  </si>
  <si>
    <t>ALEXANDER WALKER</t>
  </si>
  <si>
    <t>AMANDA WARD</t>
  </si>
  <si>
    <t>EDUARDO SANCHEZ</t>
  </si>
  <si>
    <t>BRANDON JAI</t>
  </si>
  <si>
    <t>MARCUS BARNES</t>
  </si>
  <si>
    <t>LUCAS HOWARD</t>
  </si>
  <si>
    <t>LUKE CAMPBELL</t>
  </si>
  <si>
    <t>CHARLES THOMPSON</t>
  </si>
  <si>
    <t>NATHAN HENDERSON</t>
  </si>
  <si>
    <t>AUSTIN LEWIS</t>
  </si>
  <si>
    <t>TAYLOR STEWART</t>
  </si>
  <si>
    <t>JASON LI</t>
  </si>
  <si>
    <t>WALTER SUAREZ</t>
  </si>
  <si>
    <t>SYDNEY COLLINS</t>
  </si>
  <si>
    <t>KRISTI GONZALEZ</t>
  </si>
  <si>
    <t>DENNIS GUO</t>
  </si>
  <si>
    <t>COLE RIVERA</t>
  </si>
  <si>
    <t>HALEY MORGAN</t>
  </si>
  <si>
    <t>JOE GILL</t>
  </si>
  <si>
    <t>ROSS MUNOZ</t>
  </si>
  <si>
    <t>BRENDAN KUMAR</t>
  </si>
  <si>
    <t>MANUEL GARCIA</t>
  </si>
  <si>
    <t>JASON GONZALES</t>
  </si>
  <si>
    <t>BRYAN BAILEY</t>
  </si>
  <si>
    <t>LOGAN LI</t>
  </si>
  <si>
    <t>COLLEEN ANDERSEN</t>
  </si>
  <si>
    <t>BRYANT MEHTA</t>
  </si>
  <si>
    <t>SANDRA CHEN</t>
  </si>
  <si>
    <t>JOANNA MUNOZ</t>
  </si>
  <si>
    <t>MARGARET ZHENG</t>
  </si>
  <si>
    <t>MANUEL MADAN</t>
  </si>
  <si>
    <t>TOMMY PAL</t>
  </si>
  <si>
    <t>CHLOE ANDERSON</t>
  </si>
  <si>
    <t>STEPHANIE WOOD</t>
  </si>
  <si>
    <t>GREGORY XIE</t>
  </si>
  <si>
    <t>ZACHARY PATTERSON</t>
  </si>
  <si>
    <t>ELIJAH GONZALES</t>
  </si>
  <si>
    <t>ANGEL RAMIREZ</t>
  </si>
  <si>
    <t>NOAH HUGHES</t>
  </si>
  <si>
    <t>BRIANNA WALKER</t>
  </si>
  <si>
    <t>CHLOE RODRIGUEZ</t>
  </si>
  <si>
    <t>TAYLOR LEE</t>
  </si>
  <si>
    <t>BETH CARLSON</t>
  </si>
  <si>
    <t>HANNAH MOORE</t>
  </si>
  <si>
    <t>ROBERT ALEXANDER</t>
  </si>
  <si>
    <t>CHLOE BUTLER</t>
  </si>
  <si>
    <t>AMANDA TORRES</t>
  </si>
  <si>
    <t>LYDIA SARA</t>
  </si>
  <si>
    <t>THOMAS WRIGHT</t>
  </si>
  <si>
    <t>CYNTHIA SRINI</t>
  </si>
  <si>
    <t>NICOLE BUTLER</t>
  </si>
  <si>
    <t>NATHAN LOPEZ</t>
  </si>
  <si>
    <t>ALEXANDRA LOPEZ</t>
  </si>
  <si>
    <t>KAITLYN GRAY</t>
  </si>
  <si>
    <t>PAIGE GRIFFIN</t>
  </si>
  <si>
    <t>ALLISON LOPEZ</t>
  </si>
  <si>
    <t>JACKSON ZHANG</t>
  </si>
  <si>
    <t>MELISSA HUGHES</t>
  </si>
  <si>
    <t>AIDAN GONZALES</t>
  </si>
  <si>
    <t>CHARLES SANCHEZ</t>
  </si>
  <si>
    <t>SAMANTHA GONZALES</t>
  </si>
  <si>
    <t>BRIANNA TORRES</t>
  </si>
  <si>
    <t>EMMA COOK</t>
  </si>
  <si>
    <t>GABRIELLE COOPER</t>
  </si>
  <si>
    <t>DEVON GOEL</t>
  </si>
  <si>
    <t>ANA BRYANT</t>
  </si>
  <si>
    <t>MARCUS RIVERA</t>
  </si>
  <si>
    <t>SHAUN SHARMA</t>
  </si>
  <si>
    <t>DONALD SRINI</t>
  </si>
  <si>
    <t>WILLIE GAO</t>
  </si>
  <si>
    <t>BRITTNEY HU</t>
  </si>
  <si>
    <t>CLAUDIA LI</t>
  </si>
  <si>
    <t>BRETT GARCIA</t>
  </si>
  <si>
    <t>EBONY GARCIA</t>
  </si>
  <si>
    <t>PAMELA SUBRAM</t>
  </si>
  <si>
    <t>CARMEN MARTINEZ</t>
  </si>
  <si>
    <t>REBEKAH MORENO</t>
  </si>
  <si>
    <t>MICHELE LAL</t>
  </si>
  <si>
    <t>ADRIANA CHANDRA</t>
  </si>
  <si>
    <t>FRANK VAZQUEZ</t>
  </si>
  <si>
    <t>KATRINA TANG</t>
  </si>
  <si>
    <t>KRISTA MARTIN</t>
  </si>
  <si>
    <t>RONALD KAPOOR</t>
  </si>
  <si>
    <t>DAISY ROMERO</t>
  </si>
  <si>
    <t>COLLEEN GOEL</t>
  </si>
  <si>
    <t>SETH RODRIGUEZ</t>
  </si>
  <si>
    <t>JOS� SARAIVA</t>
  </si>
  <si>
    <t>MARIA PETERSON</t>
  </si>
  <si>
    <t>CAROLINE FOSTER</t>
  </si>
  <si>
    <t>RAFAEL YE</t>
  </si>
  <si>
    <t>EDUARDO SCOTT</t>
  </si>
  <si>
    <t>JONATHAN JACKSON</t>
  </si>
  <si>
    <t>ELIZABETH ROBINSON</t>
  </si>
  <si>
    <t>LAUREN WOOD</t>
  </si>
  <si>
    <t>ISABELLA ROBERTS</t>
  </si>
  <si>
    <t>JAMES ROSS</t>
  </si>
  <si>
    <t>SYDNEY WARD</t>
  </si>
  <si>
    <t>SETH SIMMONS</t>
  </si>
  <si>
    <t>WYATT ANDERSON</t>
  </si>
  <si>
    <t>TAYLOR HUGHES</t>
  </si>
  <si>
    <t>CHRISTINA RAMIREZ</t>
  </si>
  <si>
    <t>JESSICA MARTINEZ</t>
  </si>
  <si>
    <t>STEFANIE RAMAN</t>
  </si>
  <si>
    <t>VICTOR CARLSON</t>
  </si>
  <si>
    <t>MADISON HUGHES</t>
  </si>
  <si>
    <t>CASSIE ANDERSEN</t>
  </si>
  <si>
    <t>CARLA PRASAD</t>
  </si>
  <si>
    <t>KATHERINE BROWN</t>
  </si>
  <si>
    <t>CARRIE ALONSO</t>
  </si>
  <si>
    <t>DOUGLAS KAPOOR</t>
  </si>
  <si>
    <t>JODI KUMAR</t>
  </si>
  <si>
    <t>TROY FERNANDEZ</t>
  </si>
  <si>
    <t>BRYANT FERNANDEZ</t>
  </si>
  <si>
    <t>JOHN THOMAS</t>
  </si>
  <si>
    <t>GABRIELLE HOWARD</t>
  </si>
  <si>
    <t>JACK ROSS</t>
  </si>
  <si>
    <t>KAYLA ROSS</t>
  </si>
  <si>
    <t>MAURIZIO MACAGNO</t>
  </si>
  <si>
    <t>EVELYN KAPOOR</t>
  </si>
  <si>
    <t>IAN MARTIN</t>
  </si>
  <si>
    <t>JON YE</t>
  </si>
  <si>
    <t>MEGHAN DIAZ</t>
  </si>
  <si>
    <t>SHANNON ZHOU</t>
  </si>
  <si>
    <t>RONNIE HE</t>
  </si>
  <si>
    <t>SHARON CARSON</t>
  </si>
  <si>
    <t>ZACHARY YANG</t>
  </si>
  <si>
    <t>ANNA BRYANT</t>
  </si>
  <si>
    <t>ELIZABETH HENDERSON</t>
  </si>
  <si>
    <t>JERRY FERRIER</t>
  </si>
  <si>
    <t>SETH BROWN</t>
  </si>
  <si>
    <t>TRINITY COOK</t>
  </si>
  <si>
    <t>CLARENCE RAJI</t>
  </si>
  <si>
    <t>KEVIN EDWARDS</t>
  </si>
  <si>
    <t>MARIA ROGERS</t>
  </si>
  <si>
    <t>DOMINIC SRINI</t>
  </si>
  <si>
    <t>ETHAN GARCIA</t>
  </si>
  <si>
    <t>CHARLES GONZALEZ</t>
  </si>
  <si>
    <t>EMMA COOPER</t>
  </si>
  <si>
    <t>ELIJAH YANG</t>
  </si>
  <si>
    <t>COURTNEY NELSON</t>
  </si>
  <si>
    <t>AIDAN WOOD</t>
  </si>
  <si>
    <t>MARY GREEN</t>
  </si>
  <si>
    <t>SETH TURNER</t>
  </si>
  <si>
    <t>AUSTIN FOSTER</t>
  </si>
  <si>
    <t>GRANT PAL</t>
  </si>
  <si>
    <t>ROBERT DAVIS</t>
  </si>
  <si>
    <t>CHARLES REED</t>
  </si>
  <si>
    <t>ELIZABETH GARCIA</t>
  </si>
  <si>
    <t>JESSICA POWELL</t>
  </si>
  <si>
    <t>STACY TORRES</t>
  </si>
  <si>
    <t>NOAH ROSS</t>
  </si>
  <si>
    <t>MAX FERRIER</t>
  </si>
  <si>
    <t>BONNIE XIE</t>
  </si>
  <si>
    <t>HENRY FERNANDEZ</t>
  </si>
  <si>
    <t>ROSA ZHANG</t>
  </si>
  <si>
    <t>TERRY TANG</t>
  </si>
  <si>
    <t>ASHLEE DENG</t>
  </si>
  <si>
    <t>CRYSTAL GAO</t>
  </si>
  <si>
    <t>MICHAEL MILLER</t>
  </si>
  <si>
    <t>STEVE GAO</t>
  </si>
  <si>
    <t>COLLEEN NARA</t>
  </si>
  <si>
    <t>ABBY ARTHUR</t>
  </si>
  <si>
    <t>RILEY SIMMONS</t>
  </si>
  <si>
    <t>AUDREY MORENO</t>
  </si>
  <si>
    <t>STACY MARTIN</t>
  </si>
  <si>
    <t>MADISON HAYES</t>
  </si>
  <si>
    <t>DIANE RUIZ</t>
  </si>
  <si>
    <t>DANA RUIZ</t>
  </si>
  <si>
    <t>JESSICA MARTIN</t>
  </si>
  <si>
    <t>NELSON HARRISON</t>
  </si>
  <si>
    <t>MIGUEL BAKER</t>
  </si>
  <si>
    <t>ERNEST XU</t>
  </si>
  <si>
    <t>ISABELLA WARD</t>
  </si>
  <si>
    <t>DARREN ALVAREZ</t>
  </si>
  <si>
    <t>KELSEY CHANDE</t>
  </si>
  <si>
    <t>VADIM SAZANOVICH</t>
  </si>
  <si>
    <t>GEORGE LOUVERDIS</t>
  </si>
  <si>
    <t>ADAM GONZALEZ</t>
  </si>
  <si>
    <t>MISTY DENG</t>
  </si>
  <si>
    <t>ARIANA MORGAN</t>
  </si>
  <si>
    <t>ANDREA RICHARDSON</t>
  </si>
  <si>
    <t>JESSICA ROSS</t>
  </si>
  <si>
    <t>KATHRYN NARA</t>
  </si>
  <si>
    <t>KRISTI TORRES</t>
  </si>
  <si>
    <t>KYLE HAYES</t>
  </si>
  <si>
    <t>SAVANNAH SANDERS</t>
  </si>
  <si>
    <t>JAMES BAKER</t>
  </si>
  <si>
    <t>CONNOR HERNANDEZ</t>
  </si>
  <si>
    <t>ALEXIA FLORES</t>
  </si>
  <si>
    <t>ARIANNA DIAZ</t>
  </si>
  <si>
    <t>EMMA TAYLOR</t>
  </si>
  <si>
    <t>CHLOE ROBERTS</t>
  </si>
  <si>
    <t>ARIANNA GRAY</t>
  </si>
  <si>
    <t>KATHERINE HOWARD</t>
  </si>
  <si>
    <t>ASHLEY HUGHES</t>
  </si>
  <si>
    <t>JUAN ROGERS</t>
  </si>
  <si>
    <t>CHELSEA MARTINEZ</t>
  </si>
  <si>
    <t>ROY PATEL</t>
  </si>
  <si>
    <t>PETER ANAND</t>
  </si>
  <si>
    <t>CINDY SARA</t>
  </si>
  <si>
    <t>ANDRES PAL</t>
  </si>
  <si>
    <t>BRENDAN XU</t>
  </si>
  <si>
    <t>CORY KAPOOR</t>
  </si>
  <si>
    <t>CARMEN RANA</t>
  </si>
  <si>
    <t>EMMA PATTERSON</t>
  </si>
  <si>
    <t>SEBASTIAN WATSON</t>
  </si>
  <si>
    <t>SAMANTHA LEWIS</t>
  </si>
  <si>
    <t>FREDERICK VANCE</t>
  </si>
  <si>
    <t>ALEJANDRO CHEN</t>
  </si>
  <si>
    <t>DAMIEN LAL</t>
  </si>
  <si>
    <t>STEVE WU</t>
  </si>
  <si>
    <t>MARIA HERNANDEZ</t>
  </si>
  <si>
    <t>KATIE RAI</t>
  </si>
  <si>
    <t>HOLLY SRINI</t>
  </si>
  <si>
    <t>KRISTA ROMERO</t>
  </si>
  <si>
    <t>LACEY SHAN</t>
  </si>
  <si>
    <t>LEONARD PAL</t>
  </si>
  <si>
    <t>EDWIN ZHOU</t>
  </si>
  <si>
    <t>DERRICK VAZQUEZ</t>
  </si>
  <si>
    <t>BRIDGET XU</t>
  </si>
  <si>
    <t>JULIO VAZQUEZ</t>
  </si>
  <si>
    <t>DALTON SCOTT</t>
  </si>
  <si>
    <t>RANDY HU</t>
  </si>
  <si>
    <t>JAMIE ORTEGA</t>
  </si>
  <si>
    <t>RODNEY SERRANO</t>
  </si>
  <si>
    <t>REGINA VANCE</t>
  </si>
  <si>
    <t>NELSON RAMOS</t>
  </si>
  <si>
    <t>EDWIN ZHAO</t>
  </si>
  <si>
    <t>STEFANIE MALHOTRA</t>
  </si>
  <si>
    <t>ANGEL COOPER</t>
  </si>
  <si>
    <t>ROBERT RODRIGUEZ</t>
  </si>
  <si>
    <t>JENNY LIN</t>
  </si>
  <si>
    <t>DENNIS YANG</t>
  </si>
  <si>
    <t>SUZANNE HU</t>
  </si>
  <si>
    <t>ADRIAN COOPER</t>
  </si>
  <si>
    <t>GRACE JACKSON</t>
  </si>
  <si>
    <t>DANIEL CLARK</t>
  </si>
  <si>
    <t>AMANDA RAMIREZ</t>
  </si>
  <si>
    <t>JUAN WATSON</t>
  </si>
  <si>
    <t>CASEY TANG</t>
  </si>
  <si>
    <t>MEGHAN VAZQUEZ</t>
  </si>
  <si>
    <t>BONNIE YUAN</t>
  </si>
  <si>
    <t>JOSHUA MILLER</t>
  </si>
  <si>
    <t>HAROLD MCDONALD</t>
  </si>
  <si>
    <t>ROGER ANAND</t>
  </si>
  <si>
    <t>PATRICK TORRES</t>
  </si>
  <si>
    <t>JAIME SUAREZ</t>
  </si>
  <si>
    <t>JULIO SUAREZ</t>
  </si>
  <si>
    <t>LISA ZHU</t>
  </si>
  <si>
    <t>MARGARET MA</t>
  </si>
  <si>
    <t>JAIME ALONSO</t>
  </si>
  <si>
    <t>KARI MALHOTRA</t>
  </si>
  <si>
    <t>ERIK RUBIO</t>
  </si>
  <si>
    <t>DANA ALVAREZ</t>
  </si>
  <si>
    <t>ALFREDO NAVARRO</t>
  </si>
  <si>
    <t>KRISTA GUTIERREZ</t>
  </si>
  <si>
    <t>WHITNEY SUBRAM</t>
  </si>
  <si>
    <t>TASHA CHANDER</t>
  </si>
  <si>
    <t>DOMINIQUE LOPEZ</t>
  </si>
  <si>
    <t>JACOB WILSON</t>
  </si>
  <si>
    <t>JOSE MARTIN</t>
  </si>
  <si>
    <t>EVELYN CHANDRA</t>
  </si>
  <si>
    <t>DAISY MUNOZ</t>
  </si>
  <si>
    <t>KELVIN LAL</t>
  </si>
  <si>
    <t>TERESA GUTIERREZ</t>
  </si>
  <si>
    <t>ADRIENNE SERRANO</t>
  </si>
  <si>
    <t>ROBIN SANZ</t>
  </si>
  <si>
    <t>COLLEEN CAI</t>
  </si>
  <si>
    <t>MARTIN PRASAD</t>
  </si>
  <si>
    <t>MORGAN BENNETT</t>
  </si>
  <si>
    <t>BRENDA CHANDRA</t>
  </si>
  <si>
    <t>SHAWN SHAN</t>
  </si>
  <si>
    <t>SHANNON NAVARRO</t>
  </si>
  <si>
    <t>ERIKA MUNOZ</t>
  </si>
  <si>
    <t>MACKENZIE RAMIREZ</t>
  </si>
  <si>
    <t>DANA DOMINGUEZ</t>
  </si>
  <si>
    <t>NELSON ORTEGA</t>
  </si>
  <si>
    <t>JAMIE HARRISON</t>
  </si>
  <si>
    <t>NINA GOEL</t>
  </si>
  <si>
    <t>SARA HERNANDEZ</t>
  </si>
  <si>
    <t>ISAAC WATSON</t>
  </si>
  <si>
    <t>KAYLA RUSSELL</t>
  </si>
  <si>
    <t>ANDRES KUMAR</t>
  </si>
  <si>
    <t>SAMUEL KING</t>
  </si>
  <si>
    <t>ERIK SUAREZ</t>
  </si>
  <si>
    <t>EDWIN HUANG</t>
  </si>
  <si>
    <t>ISAIAH REED</t>
  </si>
  <si>
    <t>JOE JORDAN</t>
  </si>
  <si>
    <t>MINDY SIMPSON</t>
  </si>
  <si>
    <t>DAVID LEWIS</t>
  </si>
  <si>
    <t>JADA MURPHY</t>
  </si>
  <si>
    <t>CARLA CHAPMAN</t>
  </si>
  <si>
    <t>EVAN COLLINS</t>
  </si>
  <si>
    <t>DALTON RAMIREZ</t>
  </si>
  <si>
    <t>MEGAN HALL</t>
  </si>
  <si>
    <t>MYA GRIFFIN</t>
  </si>
  <si>
    <t>JAY PRASAD</t>
  </si>
  <si>
    <t>STEPHANIE BAKER</t>
  </si>
  <si>
    <t>LOGAN PERRY</t>
  </si>
  <si>
    <t>KATELYN GRAY</t>
  </si>
  <si>
    <t>EDWARD THOMPSON</t>
  </si>
  <si>
    <t>BRIANNA THOMAS</t>
  </si>
  <si>
    <t>HALEY PATTERSON</t>
  </si>
  <si>
    <t>CHRISTY LAL</t>
  </si>
  <si>
    <t>DYLAN WILSON</t>
  </si>
  <si>
    <t>BRANDON THOMPSON</t>
  </si>
  <si>
    <t>ALEXANDRIA GONZALES</t>
  </si>
  <si>
    <t>EDUARDO TORRES</t>
  </si>
  <si>
    <t>EDUARDO BROOKS</t>
  </si>
  <si>
    <t>BLAKE PHILLIPS</t>
  </si>
  <si>
    <t>EVAN GREEN</t>
  </si>
  <si>
    <t>ELIJAH HAYES</t>
  </si>
  <si>
    <t>FERNANDO JACKSON</t>
  </si>
  <si>
    <t>BRIANNA COX</t>
  </si>
  <si>
    <t>MARIE DIAZ</t>
  </si>
  <si>
    <t>RACHEL GONZALES</t>
  </si>
  <si>
    <t>MARIE NAVARRO</t>
  </si>
  <si>
    <t>NOAH ZHANG</t>
  </si>
  <si>
    <t>LACEY DENG</t>
  </si>
  <si>
    <t>ASHLEE RAJI</t>
  </si>
  <si>
    <t>CARSON BARNES</t>
  </si>
  <si>
    <t>ASHLEY PERRY</t>
  </si>
  <si>
    <t>CHARLES RODRIGUEZ</t>
  </si>
  <si>
    <t>DEANNA ALONSO</t>
  </si>
  <si>
    <t>GREG CARTER</t>
  </si>
  <si>
    <t>STEPHANIE GONZALEZ</t>
  </si>
  <si>
    <t>KATHLEEN SERRANO</t>
  </si>
  <si>
    <t>COREY KUMAR</t>
  </si>
  <si>
    <t>CRAIG NAVARRO</t>
  </si>
  <si>
    <t>AIDAN BRYANT</t>
  </si>
  <si>
    <t>VICTORIA GRAY</t>
  </si>
  <si>
    <t>ALYSSA WHITE</t>
  </si>
  <si>
    <t>CONNOR PEREZ</t>
  </si>
  <si>
    <t>CAMERON BRYANT</t>
  </si>
  <si>
    <t>MIGUEL ALEXANDER</t>
  </si>
  <si>
    <t>DONNA KUMAR</t>
  </si>
  <si>
    <t>AMANDA GRIFFIN</t>
  </si>
  <si>
    <t>NATHAN ROBINSON</t>
  </si>
  <si>
    <t>VICTORIA SMITH</t>
  </si>
  <si>
    <t>JOAN KING</t>
  </si>
  <si>
    <t>NATALIE WILSON</t>
  </si>
  <si>
    <t>JULIA WILSON</t>
  </si>
  <si>
    <t>JOSE WANG</t>
  </si>
  <si>
    <t>MACKENZIE MURPHY</t>
  </si>
  <si>
    <t>SYDNEY ROBINSON</t>
  </si>
  <si>
    <t>EDUARDO COOPER</t>
  </si>
  <si>
    <t>KATHERINE HARRIS</t>
  </si>
  <si>
    <t>JAY CHANDRA</t>
  </si>
  <si>
    <t>ALVIN LU</t>
  </si>
  <si>
    <t>CARLOS BAKER</t>
  </si>
  <si>
    <t>KELLY GRIFFIN</t>
  </si>
  <si>
    <t>JADE MURPHY</t>
  </si>
  <si>
    <t>RICHARD HOWARD</t>
  </si>
  <si>
    <t>AARON LI</t>
  </si>
  <si>
    <t>ALVIN KUMAR</t>
  </si>
  <si>
    <t>ADAM SHARMA</t>
  </si>
  <si>
    <t>JON PAL</t>
  </si>
  <si>
    <t>ISABELLE BARNES</t>
  </si>
  <si>
    <t>IAN BENNETT</t>
  </si>
  <si>
    <t>DONALD SURI</t>
  </si>
  <si>
    <t>ADRIANA MARTINEZ</t>
  </si>
  <si>
    <t>BETHANY NARA</t>
  </si>
  <si>
    <t>ELIJAH PEREZ</t>
  </si>
  <si>
    <t>CALEB SHAN</t>
  </si>
  <si>
    <t>DESTINY WHITE</t>
  </si>
  <si>
    <t>JENNIFER TORRES</t>
  </si>
  <si>
    <t>ABIGAIL JENKINS</t>
  </si>
  <si>
    <t>CAMERON LAL</t>
  </si>
  <si>
    <t>KAITLYN BROOKS</t>
  </si>
  <si>
    <t>FAITH SIMMONS</t>
  </si>
  <si>
    <t>LEVI SUBRAM</t>
  </si>
  <si>
    <t>DOMINIQUE SUBRAM</t>
  </si>
  <si>
    <t>KELLI WU</t>
  </si>
  <si>
    <t>YVONNE SCHLEGER</t>
  </si>
  <si>
    <t>CLINTON ALVAREZ</t>
  </si>
  <si>
    <t>EDUARDO WHITE</t>
  </si>
  <si>
    <t>TROY SRINI</t>
  </si>
  <si>
    <t>NICHOLE TANG</t>
  </si>
  <si>
    <t>CLAYTON ANDERSEN</t>
  </si>
  <si>
    <t>GLORIA CARLSON</t>
  </si>
  <si>
    <t>MELINDA JIMENEZ</t>
  </si>
  <si>
    <t>BARBARA WANG</t>
  </si>
  <si>
    <t>GERALD MADAN</t>
  </si>
  <si>
    <t>DEANNA GOMEZ</t>
  </si>
  <si>
    <t>DARRYL ZHAO</t>
  </si>
  <si>
    <t>MARCUS HAYES</t>
  </si>
  <si>
    <t>ANGELA RIVERA</t>
  </si>
  <si>
    <t>APRIL JAI</t>
  </si>
  <si>
    <t>BRANDON ROBINSON</t>
  </si>
  <si>
    <t>MEGAN RICHARDSON</t>
  </si>
  <si>
    <t>JILL VAZQUEZ</t>
  </si>
  <si>
    <t>HECTOR RAMOS</t>
  </si>
  <si>
    <t>ERICK FERNANDEZ</t>
  </si>
  <si>
    <t>PAUL SUURS</t>
  </si>
  <si>
    <t>TOMMY RAHEEM</t>
  </si>
  <si>
    <t>JAY ALONSO</t>
  </si>
  <si>
    <t>TYRONE SUAREZ</t>
  </si>
  <si>
    <t>ROBIN VAZQUEZ</t>
  </si>
  <si>
    <t>JULIAN HENDERSON</t>
  </si>
  <si>
    <t>RYAN GARCIA</t>
  </si>
  <si>
    <t>ISABEL BARNES</t>
  </si>
  <si>
    <t>BRUCE GOMEZ</t>
  </si>
  <si>
    <t>JULIA MORRIS</t>
  </si>
  <si>
    <t>JONATHON HERNANDEZ</t>
  </si>
  <si>
    <t>RUTH MEHTA</t>
  </si>
  <si>
    <t>DONNA DENG</t>
  </si>
  <si>
    <t>GILBERT HUANG</t>
  </si>
  <si>
    <t>PRISCILLA PAL</t>
  </si>
  <si>
    <t>KARLA RAJI</t>
  </si>
  <si>
    <t>TABITHA JIMENEZ</t>
  </si>
  <si>
    <t>CLINTON DOMINGUEZ</t>
  </si>
  <si>
    <t>ERICA LIN</t>
  </si>
  <si>
    <t>EVELYN SARA</t>
  </si>
  <si>
    <t>ROBYN GOMEZ</t>
  </si>
  <si>
    <t>FREDERICK PEREZ</t>
  </si>
  <si>
    <t>HECTOR ORTEGA</t>
  </si>
  <si>
    <t>KURT RAHEEM</t>
  </si>
  <si>
    <t>HEIDI PRASAD</t>
  </si>
  <si>
    <t>TERRENCE XIE</t>
  </si>
  <si>
    <t>ROSS MARTIN</t>
  </si>
  <si>
    <t>CINDY LEWIS</t>
  </si>
  <si>
    <t>JORDAN SHAN</t>
  </si>
  <si>
    <t>BRENDAN RAJE</t>
  </si>
  <si>
    <t>DANNY JIM�NEZ</t>
  </si>
  <si>
    <t>BETHANY LAL</t>
  </si>
  <si>
    <t>GINA SCHMIDT</t>
  </si>
  <si>
    <t>EDUARDO ROBINSON</t>
  </si>
  <si>
    <t>EDWIN CHEN</t>
  </si>
  <si>
    <t>TARA NATH</t>
  </si>
  <si>
    <t>JEROME HERNANDEZ</t>
  </si>
  <si>
    <t>MICHELE GUTIERREZ</t>
  </si>
  <si>
    <t>RAUL DENG</t>
  </si>
  <si>
    <t>DEBORAH MCDONALD</t>
  </si>
  <si>
    <t>CHRISTY LUO</t>
  </si>
  <si>
    <t>ANGEL TURNER</t>
  </si>
  <si>
    <t>LAURA XU</t>
  </si>
  <si>
    <t>RUSSELL NATH</t>
  </si>
  <si>
    <t>DEANNA GARCIA</t>
  </si>
  <si>
    <t>ADRIENNE SANZ</t>
  </si>
  <si>
    <t>STANLEY GONZALEZ</t>
  </si>
  <si>
    <t>KELLI SUN</t>
  </si>
  <si>
    <t>SHEENA CHANDER</t>
  </si>
  <si>
    <t>DESIREE ORTEGA</t>
  </si>
  <si>
    <t>CARL BECK</t>
  </si>
  <si>
    <t>HAILEY RUSSELL</t>
  </si>
  <si>
    <t>KELLI HU</t>
  </si>
  <si>
    <t>JOEL RAMAN</t>
  </si>
  <si>
    <t>KELLIE MORENO</t>
  </si>
  <si>
    <t>JUAN ROMERO</t>
  </si>
  <si>
    <t>DARREN DIAZ</t>
  </si>
  <si>
    <t>MAURICE RAI</t>
  </si>
  <si>
    <t>JAMIE YE</t>
  </si>
  <si>
    <t>ARTURO SHEN</t>
  </si>
  <si>
    <t>MARIO NATH</t>
  </si>
  <si>
    <t>ADRIANA SAI</t>
  </si>
  <si>
    <t>DAKOTA HENDERSON</t>
  </si>
  <si>
    <t>EBONY MORENO</t>
  </si>
  <si>
    <t>JOY NAVARRO</t>
  </si>
  <si>
    <t>STANLEY SANCHEZ</t>
  </si>
  <si>
    <t>KELLY FLORES</t>
  </si>
  <si>
    <t>NOAH BRYANT</t>
  </si>
  <si>
    <t>EDDIE ALONSO</t>
  </si>
  <si>
    <t>KURT XU</t>
  </si>
  <si>
    <t>KENDRA ALONSO</t>
  </si>
  <si>
    <t>RYAN ROSS</t>
  </si>
  <si>
    <t>JACLYN LUO</t>
  </si>
  <si>
    <t>LUKE GONZALEZ</t>
  </si>
  <si>
    <t>ERIKA CARLSON</t>
  </si>
  <si>
    <t>CAITLIN WARD</t>
  </si>
  <si>
    <t>KRISTINE MUNOZ</t>
  </si>
  <si>
    <t>KATE BECKER</t>
  </si>
  <si>
    <t>CHERYL MARTIN</t>
  </si>
  <si>
    <t>KARL STONE</t>
  </si>
  <si>
    <t>ROSA WU</t>
  </si>
  <si>
    <t>KARA GOEL</t>
  </si>
  <si>
    <t>ALISHA KUMAR</t>
  </si>
  <si>
    <t>WESLEY GUO</t>
  </si>
  <si>
    <t>KURT ANAND</t>
  </si>
  <si>
    <t>VERONICA SAI</t>
  </si>
  <si>
    <t>RICARDO SHARMA</t>
  </si>
  <si>
    <t>PRISCILLA CHANDER</t>
  </si>
  <si>
    <t>LACEY GAO</t>
  </si>
  <si>
    <t>CLAUDIA HOLT</t>
  </si>
  <si>
    <t>MICAH HU</t>
  </si>
  <si>
    <t>TERRANCE JORDAN</t>
  </si>
  <si>
    <t>FREDERICK MADAN</t>
  </si>
  <si>
    <t>GABRIELLA ROBERTS</t>
  </si>
  <si>
    <t>CASEY CHANDER</t>
  </si>
  <si>
    <t>KURT YUAN</t>
  </si>
  <si>
    <t>COLLEEN ZHANG</t>
  </si>
  <si>
    <t>RUBEN DOMINGUEZ</t>
  </si>
  <si>
    <t>VERONICA VANCE</t>
  </si>
  <si>
    <t>VINCENT SUN</t>
  </si>
  <si>
    <t>ANDRE MARTINEZ</t>
  </si>
  <si>
    <t>MARTIN SURI</t>
  </si>
  <si>
    <t>ANDREW JONES</t>
  </si>
  <si>
    <t>CAMERON ANDERSON</t>
  </si>
  <si>
    <t>KATE RAI</t>
  </si>
  <si>
    <t>MARSHALL LIN</t>
  </si>
  <si>
    <t>STACY RUIZ</t>
  </si>
  <si>
    <t>LOGAN MITCHELL</t>
  </si>
  <si>
    <t>WAYNE LAL</t>
  </si>
  <si>
    <t>THEODORE VAZQUEZ</t>
  </si>
  <si>
    <t>ABIGAIL WILLIAMS</t>
  </si>
  <si>
    <t>KAITLYN BENNETT</t>
  </si>
  <si>
    <t>BRIANNA KELLY</t>
  </si>
  <si>
    <t>TERESA DIAZ</t>
  </si>
  <si>
    <t>KATELYN PETERSON</t>
  </si>
  <si>
    <t>EDWIN DENG</t>
  </si>
  <si>
    <t>JULIO DOMINGUEZ</t>
  </si>
  <si>
    <t>LOGAN GARCIA</t>
  </si>
  <si>
    <t>DEANNA KAPOOR</t>
  </si>
  <si>
    <t>WILLIE SHAN</t>
  </si>
  <si>
    <t>JOEL FERNANDEZ</t>
  </si>
  <si>
    <t>SYDNEY WILSON</t>
  </si>
  <si>
    <t>KAREN XU</t>
  </si>
  <si>
    <t>JESSICA PATTERSON</t>
  </si>
  <si>
    <t>KARLA ANAND</t>
  </si>
  <si>
    <t>ALEJANDRO MA</t>
  </si>
  <si>
    <t>ALEXA PETERSON</t>
  </si>
  <si>
    <t>WARREN HE</t>
  </si>
  <si>
    <t>FRANKLIN SHARMA</t>
  </si>
  <si>
    <t>DOUGLAS FERNANDEZ</t>
  </si>
  <si>
    <t>DEANNA MARTINEZ</t>
  </si>
  <si>
    <t>CHRISTINE RAJE</t>
  </si>
  <si>
    <t>SPENCER GONZALES</t>
  </si>
  <si>
    <t>IAN TORRES</t>
  </si>
  <si>
    <t>DAMIEN LIU</t>
  </si>
  <si>
    <t>KATHLEEN RAMOS</t>
  </si>
  <si>
    <t>CRAIG CARLSON</t>
  </si>
  <si>
    <t>LAWRENCE DOMINGUEZ</t>
  </si>
  <si>
    <t>ALFREDO BLANCO</t>
  </si>
  <si>
    <t>DENNIS CHEN</t>
  </si>
  <si>
    <t>GARY DOMINGUEZ</t>
  </si>
  <si>
    <t>KAITLIN RANA</t>
  </si>
  <si>
    <t>LORRIN SMITH-BATES</t>
  </si>
  <si>
    <t>LEAH XU</t>
  </si>
  <si>
    <t>MOLLY LOPEZ</t>
  </si>
  <si>
    <t>GILBERT SHARMA</t>
  </si>
  <si>
    <t>ETHAN BUTLER</t>
  </si>
  <si>
    <t>DEANNA SAI</t>
  </si>
  <si>
    <t>DEANNA PRASAD</t>
  </si>
  <si>
    <t>CLARENCE JAI</t>
  </si>
  <si>
    <t>FRANK GOMEZ</t>
  </si>
  <si>
    <t>KELLI KUMAR</t>
  </si>
  <si>
    <t>LOGAN CLARK</t>
  </si>
  <si>
    <t>TERRY JAI</t>
  </si>
  <si>
    <t>LATASHA ALVAREZ</t>
  </si>
  <si>
    <t>LEAH CAI</t>
  </si>
  <si>
    <t>KAITLYN MITCHELL</t>
  </si>
  <si>
    <t>ANN MALHOTRA</t>
  </si>
  <si>
    <t>ADRIENNE BLANCO</t>
  </si>
  <si>
    <t>KAREN SMITH</t>
  </si>
  <si>
    <t>MELODY ROMERO</t>
  </si>
  <si>
    <t>GABRIEL KUMAR</t>
  </si>
  <si>
    <t>JENNIFER WASHINGTON</t>
  </si>
  <si>
    <t>ANTHONY WHITE</t>
  </si>
  <si>
    <t>CHAD SHEN</t>
  </si>
  <si>
    <t>JACLYN HUANG</t>
  </si>
  <si>
    <t>ISABELLA HALL</t>
  </si>
  <si>
    <t>GABRIEL ZHANG</t>
  </si>
  <si>
    <t>ALISHA WANG</t>
  </si>
  <si>
    <t>RAUL CHANDER</t>
  </si>
  <si>
    <t>ALEJANDRO ZENG</t>
  </si>
  <si>
    <t>CARRIE HERNANDEZ</t>
  </si>
  <si>
    <t>BRADLEY KUMAR</t>
  </si>
  <si>
    <t>MEAGAN SCHMIDT</t>
  </si>
  <si>
    <t>LAURA HUANG</t>
  </si>
  <si>
    <t>TONY PAL</t>
  </si>
  <si>
    <t>VERONICA ARUN</t>
  </si>
  <si>
    <t>DARRYL ZHENG</t>
  </si>
  <si>
    <t>DARREN HERNANDEZ</t>
  </si>
  <si>
    <t>RICARDO XIE</t>
  </si>
  <si>
    <t>SETH CAMPBELL</t>
  </si>
  <si>
    <t>SUSAN LIU</t>
  </si>
  <si>
    <t>ANDY GOMEZ</t>
  </si>
  <si>
    <t>JONATHON NAVARRO</t>
  </si>
  <si>
    <t>LACEY MA</t>
  </si>
  <si>
    <t>DENISE FERNANDEZ</t>
  </si>
  <si>
    <t>DENISE KAPOOR</t>
  </si>
  <si>
    <t>KATRINA ANAND</t>
  </si>
  <si>
    <t>EVAN PARKER</t>
  </si>
  <si>
    <t>BRETT MALHOTRA</t>
  </si>
  <si>
    <t>LATASHA MORENO</t>
  </si>
  <si>
    <t>ASHLEY PATTERSON</t>
  </si>
  <si>
    <t>RICKY GOMEZ</t>
  </si>
  <si>
    <t>TAMARA LUO</t>
  </si>
  <si>
    <t>CHRISTY PAL</t>
  </si>
  <si>
    <t>ADAM HILL</t>
  </si>
  <si>
    <t>REGINALD ALVAREZ</t>
  </si>
  <si>
    <t>JACQUELYN DIAZ</t>
  </si>
  <si>
    <t>FRANCISCO SAI</t>
  </si>
  <si>
    <t>GARY ALONSO</t>
  </si>
  <si>
    <t>DALTON GARCIA</t>
  </si>
  <si>
    <t>THERESA DOMINGUEZ</t>
  </si>
  <si>
    <t>GLENN LIU</t>
  </si>
  <si>
    <t>MATHEW TORRES</t>
  </si>
  <si>
    <t>STEVE CHEN</t>
  </si>
  <si>
    <t>LOUIS ZENG</t>
  </si>
  <si>
    <t>ADRIENNE GUTIERREZ</t>
  </si>
  <si>
    <t>PRISCILLA NARA</t>
  </si>
  <si>
    <t>KRYSTAL SUN</t>
  </si>
  <si>
    <t>JODI CHAVEZ</t>
  </si>
  <si>
    <t>CARMEN PRASAD</t>
  </si>
  <si>
    <t>DONALD GARCIA</t>
  </si>
  <si>
    <t>KATELYN RICHARDSON</t>
  </si>
  <si>
    <t>ROSA SHE</t>
  </si>
  <si>
    <t>MAYRA MADAN</t>
  </si>
  <si>
    <t>CEDRIC WANG</t>
  </si>
  <si>
    <t>ALICIA ANDERSEN</t>
  </si>
  <si>
    <t>OMAR LIN</t>
  </si>
  <si>
    <t>AUTUMN ZHENG</t>
  </si>
  <si>
    <t>TAYLOR HENDERSON</t>
  </si>
  <si>
    <t>KRISTI KAPOOR</t>
  </si>
  <si>
    <t>THOMAS HALL</t>
  </si>
  <si>
    <t>JACLYN PAL</t>
  </si>
  <si>
    <t>STEVEN RIVERA</t>
  </si>
  <si>
    <t>COLLEEN RAJE</t>
  </si>
  <si>
    <t>REGINA ARTHUR</t>
  </si>
  <si>
    <t>TARA ASHE</t>
  </si>
  <si>
    <t>TODD YANG</t>
  </si>
  <si>
    <t>MEREDITH MARTINEZ</t>
  </si>
  <si>
    <t>DOUGLAS SURI</t>
  </si>
  <si>
    <t>SHEENA DENG</t>
  </si>
  <si>
    <t>CLAUDIA YE</t>
  </si>
  <si>
    <t>STACY DOMINGUEZ</t>
  </si>
  <si>
    <t>CALVIN LUO</t>
  </si>
  <si>
    <t>KELLI LAL</t>
  </si>
  <si>
    <t>KATELYN HOWARD</t>
  </si>
  <si>
    <t>CHAD PAL</t>
  </si>
  <si>
    <t>ERIKA RUIZ</t>
  </si>
  <si>
    <t>OMAR LAL</t>
  </si>
  <si>
    <t>CESAR GARCIA</t>
  </si>
  <si>
    <t>DARREN ROMERO</t>
  </si>
  <si>
    <t>GABRIELLE ROSS</t>
  </si>
  <si>
    <t>TERRANCE SARA</t>
  </si>
  <si>
    <t>ABIGAIL GRIFFIN</t>
  </si>
  <si>
    <t>DOUGLAS MEHTA</t>
  </si>
  <si>
    <t>LATOYA SHARMA</t>
  </si>
  <si>
    <t>NINA CHANDE</t>
  </si>
  <si>
    <t>KRISTOPHER GONZALEZ</t>
  </si>
  <si>
    <t>KATHLEEN NAVARRO</t>
  </si>
  <si>
    <t>SHAWN SHEN</t>
  </si>
  <si>
    <t>KRISTOPHER FERNANDEZ</t>
  </si>
  <si>
    <t>RUBEN SAI</t>
  </si>
  <si>
    <t>WILLIE SUN</t>
  </si>
  <si>
    <t>DARRELL ANDERSEN</t>
  </si>
  <si>
    <t>HAILEY WOOD</t>
  </si>
  <si>
    <t>SHANE CHANDRA</t>
  </si>
  <si>
    <t>SERGIO PRASAD</t>
  </si>
  <si>
    <t>MICAH LIN</t>
  </si>
  <si>
    <t>CHLOE WATSON</t>
  </si>
  <si>
    <t>KATELYN GREEN</t>
  </si>
  <si>
    <t>JAKE ZHENG</t>
  </si>
  <si>
    <t>CEDRIC XIE</t>
  </si>
  <si>
    <t>CARRIE BROWNING</t>
  </si>
  <si>
    <t>JAMIE LIU</t>
  </si>
  <si>
    <t>BRAD XIE</t>
  </si>
  <si>
    <t>GABRIELLA YOUNG</t>
  </si>
  <si>
    <t>CASEY RAI</t>
  </si>
  <si>
    <t>FRANK SUAREZ</t>
  </si>
  <si>
    <t>EVELYN RAMAN</t>
  </si>
  <si>
    <t>VALERIE ZHENG</t>
  </si>
  <si>
    <t>CHARLES BAKER</t>
  </si>
  <si>
    <t>DEVON SHARMA</t>
  </si>
  <si>
    <t>GERALD ROMERO</t>
  </si>
  <si>
    <t>BONNIE LUO</t>
  </si>
  <si>
    <t>CLARENCE HUANG</t>
  </si>
  <si>
    <t>ROBERTO TOWNSEND</t>
  </si>
  <si>
    <t>JOANNA HERNANDEZ</t>
  </si>
  <si>
    <t>STACEY SUN</t>
  </si>
  <si>
    <t>KARL RAJE</t>
  </si>
  <si>
    <t>PAULA GUTIERREZ</t>
  </si>
  <si>
    <t>ERIC TURNER</t>
  </si>
  <si>
    <t>JARED KELLY</t>
  </si>
  <si>
    <t>ARMANDO DOMINGUEZ</t>
  </si>
  <si>
    <t>SHANNON HU</t>
  </si>
  <si>
    <t>FRANKLIN XU</t>
  </si>
  <si>
    <t>DOMINIC RAMAN</t>
  </si>
  <si>
    <t>KEITH LAL</t>
  </si>
  <si>
    <t>PEDRO SARA</t>
  </si>
  <si>
    <t>VERONICA RANA</t>
  </si>
  <si>
    <t>ROGER SHARMA</t>
  </si>
  <si>
    <t>HEIDI SARA</t>
  </si>
  <si>
    <t>SARAH ANDERSON</t>
  </si>
  <si>
    <t>ANDY ORTEGA</t>
  </si>
  <si>
    <t>EDGAR SUBRAM</t>
  </si>
  <si>
    <t>CLIFFORD ARUN</t>
  </si>
  <si>
    <t>ALEJANDRO LIU</t>
  </si>
  <si>
    <t>SHAWNA ANDERSEN</t>
  </si>
  <si>
    <t>BRIDGET SHE</t>
  </si>
  <si>
    <t>GLORIA ORTEGA</t>
  </si>
  <si>
    <t>CEDRIC CAI</t>
  </si>
  <si>
    <t>RANDALL MARTIN</t>
  </si>
  <si>
    <t>ORLANDO SERRANO</t>
  </si>
  <si>
    <t>LEAH GUO</t>
  </si>
  <si>
    <t>ROBIN MORENO</t>
  </si>
  <si>
    <t>LAWRENCE GUTIERREZ</t>
  </si>
  <si>
    <t>PATRICIA SAUNDERS</t>
  </si>
  <si>
    <t>CANDICE SUN</t>
  </si>
  <si>
    <t>MACKENZIE HILL</t>
  </si>
  <si>
    <t>MARTIN PEREZ</t>
  </si>
  <si>
    <t>ALVIN SHARMA</t>
  </si>
  <si>
    <t>RAYMOND RAMAN</t>
  </si>
  <si>
    <t>TARA XU</t>
  </si>
  <si>
    <t>CARLA RANA</t>
  </si>
  <si>
    <t>SUZANNE LIU</t>
  </si>
  <si>
    <t>CARL RAJI</t>
  </si>
  <si>
    <t>ALLEN FERNANDEZ</t>
  </si>
  <si>
    <t>ALVIN JAI</t>
  </si>
  <si>
    <t>ALFREDO SUAREZ</t>
  </si>
  <si>
    <t>STANLEY MADAN</t>
  </si>
  <si>
    <t>BRAD SHAN</t>
  </si>
  <si>
    <t>TROY SUBRAM</t>
  </si>
  <si>
    <t>KARI MARTINEZ</t>
  </si>
  <si>
    <t>MEAGAN PRASAD</t>
  </si>
  <si>
    <t>MARVIN SANZ</t>
  </si>
  <si>
    <t>RUBEN GARCIA</t>
  </si>
  <si>
    <t>WYATT WILLIAMS</t>
  </si>
  <si>
    <t>FRANKLIN SUN</t>
  </si>
  <si>
    <t>STEFANIE RANA</t>
  </si>
  <si>
    <t>ANDY VAZQUEZ</t>
  </si>
  <si>
    <t>MARIAH BARNES</t>
  </si>
  <si>
    <t>HOLLY MARTINEZ</t>
  </si>
  <si>
    <t>TIMOTHY SCOTT</t>
  </si>
  <si>
    <t>DOUGLAS RODRIGUEZ</t>
  </si>
  <si>
    <t>TINA GONZALEZ</t>
  </si>
  <si>
    <t>ROGER LU</t>
  </si>
  <si>
    <t>RUBEN PATEL</t>
  </si>
  <si>
    <t>EDWIN LIN</t>
  </si>
  <si>
    <t>ROSA LIANG</t>
  </si>
  <si>
    <t>TASHA JAI</t>
  </si>
  <si>
    <t>HECTOR VAZQUEZ</t>
  </si>
  <si>
    <t>RICKY GUTIERREZ</t>
  </si>
  <si>
    <t>DEREK SHAN</t>
  </si>
  <si>
    <t>TONY KUMAR</t>
  </si>
  <si>
    <t>CHRISTY LIU</t>
  </si>
  <si>
    <t>OLIVIA RAMIREZ</t>
  </si>
  <si>
    <t>ROBIN CARLSON</t>
  </si>
  <si>
    <t>ALEX HILL</t>
  </si>
  <si>
    <t>KRISTEN HU</t>
  </si>
  <si>
    <t>GLORIA MUNOZ</t>
  </si>
  <si>
    <t>AMY WU</t>
  </si>
  <si>
    <t>WARREN ZHOU</t>
  </si>
  <si>
    <t>CRISTINA NARA</t>
  </si>
  <si>
    <t>TINA SMITH</t>
  </si>
  <si>
    <t>DANNY ORTEGA</t>
  </si>
  <si>
    <t>CASEY NAVARRO</t>
  </si>
  <si>
    <t>CLARENCE LIU</t>
  </si>
  <si>
    <t>JAMES SIMMONS</t>
  </si>
  <si>
    <t>RONALD SARA</t>
  </si>
  <si>
    <t>JASMINE GRAY</t>
  </si>
  <si>
    <t>ORLANDO RUBIO</t>
  </si>
  <si>
    <t>DOUGLAS PEREZ</t>
  </si>
  <si>
    <t>TONY TANG</t>
  </si>
  <si>
    <t>DARRYL XU</t>
  </si>
  <si>
    <t>JONATHON SUAREZ</t>
  </si>
  <si>
    <t>DARRYL LIU</t>
  </si>
  <si>
    <t>LACEY HU</t>
  </si>
  <si>
    <t>NI�IA ANAND</t>
  </si>
  <si>
    <t>RONNIE LU</t>
  </si>
  <si>
    <t>ROY MORENO</t>
  </si>
  <si>
    <t>SUSAN SHE</t>
  </si>
  <si>
    <t>ARTHUR MEHTA</t>
  </si>
  <si>
    <t>ERIKA ROMERO</t>
  </si>
  <si>
    <t>TABITHA MORENO</t>
  </si>
  <si>
    <t>PHIL SPENCER</t>
  </si>
  <si>
    <t>GEOFFREY FERNANDEZ</t>
  </si>
  <si>
    <t>GLORIA ALONSO</t>
  </si>
  <si>
    <t>JAY LOPEZ</t>
  </si>
  <si>
    <t>ABBY SANCHEZ</t>
  </si>
  <si>
    <t>DEVON DENG</t>
  </si>
  <si>
    <t>KATRINA CHANDE</t>
  </si>
  <si>
    <t>TANYA JIMENEZ</t>
  </si>
  <si>
    <t>JEFFERY LU</t>
  </si>
  <si>
    <t>GEORGE FERNANDEZ</t>
  </si>
  <si>
    <t>BRITTNEY ZHANG</t>
  </si>
  <si>
    <t>KRISTINE GILL</t>
  </si>
  <si>
    <t>MARSHALL YUAN</t>
  </si>
  <si>
    <t>JANET BROWNING</t>
  </si>
  <si>
    <t>TAYLOR MOORE</t>
  </si>
  <si>
    <t>JORDAN LONG</t>
  </si>
  <si>
    <t>ETHAN THOMPSON</t>
  </si>
  <si>
    <t>BETH GILL</t>
  </si>
  <si>
    <t>ELIJAH DIAZ</t>
  </si>
  <si>
    <t>ASHLEY ALEXANDER</t>
  </si>
  <si>
    <t>EDWARD HUGHES</t>
  </si>
  <si>
    <t>WYATT TURNER</t>
  </si>
  <si>
    <t>CESAR FERNANDEZ</t>
  </si>
  <si>
    <t>LINDA DOMINGUEZ</t>
  </si>
  <si>
    <t>RUSSELL CARSON</t>
  </si>
  <si>
    <t>AARON ALLEN</t>
  </si>
  <si>
    <t>JAMIE GUO</t>
  </si>
  <si>
    <t>RAFAEL SHE</t>
  </si>
  <si>
    <t>RAUL LUO</t>
  </si>
  <si>
    <t>JAY MADAN</t>
  </si>
  <si>
    <t>RILEY REED</t>
  </si>
  <si>
    <t>RODNEY BLANCO</t>
  </si>
  <si>
    <t>ERNEST ZHU</t>
  </si>
  <si>
    <t>GEORGE GARCIA</t>
  </si>
  <si>
    <t>KELSEY NATH</t>
  </si>
  <si>
    <t>KRYSTAL ZHANG</t>
  </si>
  <si>
    <t>BAILEY KING</t>
  </si>
  <si>
    <t>ISABELLE PRICE</t>
  </si>
  <si>
    <t>CONNOR LI</t>
  </si>
  <si>
    <t>KIMBERLY WATSON</t>
  </si>
  <si>
    <t>OLIVIA MURPHY</t>
  </si>
  <si>
    <t>AUSTIN HAYES</t>
  </si>
  <si>
    <t>ANDREA TURNER</t>
  </si>
  <si>
    <t>SCOTT RODGERS</t>
  </si>
  <si>
    <t>GINA DOMINGUEZ</t>
  </si>
  <si>
    <t>TRISHA LIU</t>
  </si>
  <si>
    <t>IOANNIS XYLARAS</t>
  </si>
  <si>
    <t>SHAWN CHANDER</t>
  </si>
  <si>
    <t>COLLEEN HARRISON</t>
  </si>
  <si>
    <t>WENDY CARLSON</t>
  </si>
  <si>
    <t>KAYLEE SANDERS</t>
  </si>
  <si>
    <t>SHARON RAI</t>
  </si>
  <si>
    <t>VALERIE SHE</t>
  </si>
  <si>
    <t>LOUIS ZHANG</t>
  </si>
  <si>
    <t>RAYMOND ARTHUR</t>
  </si>
  <si>
    <t>CESAR CHANDRA</t>
  </si>
  <si>
    <t>ANNA WATSON</t>
  </si>
  <si>
    <t>JILL ORTEGA</t>
  </si>
  <si>
    <t>CESAR MEHTA</t>
  </si>
  <si>
    <t>CHRISTOPHER THOMAS</t>
  </si>
  <si>
    <t>DAWN RAJI</t>
  </si>
  <si>
    <t>DARREN MALHOTRA</t>
  </si>
  <si>
    <t>MINDY XU</t>
  </si>
  <si>
    <t>KRISTINA LOPEZ</t>
  </si>
  <si>
    <t>TASHA KUMAR</t>
  </si>
  <si>
    <t>VERONICA KAPOOR</t>
  </si>
  <si>
    <t>JAVIER SERRANO</t>
  </si>
  <si>
    <t>KATELYN WARD</t>
  </si>
  <si>
    <t>JENNY ANDERSEN</t>
  </si>
  <si>
    <t>ETHAN MARTINEZ</t>
  </si>
  <si>
    <t>MARIAH RIVERA</t>
  </si>
  <si>
    <t>JAY CARLSON</t>
  </si>
  <si>
    <t>KATIE SHEN</t>
  </si>
  <si>
    <t>DEANNA ASHE</t>
  </si>
  <si>
    <t>AMANDA TURNER</t>
  </si>
  <si>
    <t>ISABELLA CAMPBELL</t>
  </si>
  <si>
    <t>MORGAN WILLIAMS</t>
  </si>
  <si>
    <t>OLIVIA PERRY</t>
  </si>
  <si>
    <t>DALE GOEL</t>
  </si>
  <si>
    <t>JOE VAZQUEZ</t>
  </si>
  <si>
    <t>EVELYN MEHTA</t>
  </si>
  <si>
    <t>ALICIA GOEL</t>
  </si>
  <si>
    <t>SABRINA TORRES</t>
  </si>
  <si>
    <t>JOHNATHAN PEREZ</t>
  </si>
  <si>
    <t>MARIO RAJE</t>
  </si>
  <si>
    <t>CURTIS GAO</t>
  </si>
  <si>
    <t>MAURICE ASHE</t>
  </si>
  <si>
    <t>CARA ZENG</t>
  </si>
  <si>
    <t>BARBARA DENG</t>
  </si>
  <si>
    <t>CLAYTON RAI</t>
  </si>
  <si>
    <t>JODI GOEL</t>
  </si>
  <si>
    <t>J�SUS BLANCO</t>
  </si>
  <si>
    <t>EDWIN TANG</t>
  </si>
  <si>
    <t>KELLI ANAND</t>
  </si>
  <si>
    <t>KELLI XIE</t>
  </si>
  <si>
    <t>ALFREDO RAMOS</t>
  </si>
  <si>
    <t>OLIVIA RICHARDSON</t>
  </si>
  <si>
    <t>MELISSA GONZALES</t>
  </si>
  <si>
    <t>AUSTIN KUMAR</t>
  </si>
  <si>
    <t>RUTH FERNANDEZ</t>
  </si>
  <si>
    <t>PHILLIP RODRIGUEZ</t>
  </si>
  <si>
    <t>JENNIFER MORRIS</t>
  </si>
  <si>
    <t>KELVIN RAJE</t>
  </si>
  <si>
    <t>GLENN SUN</t>
  </si>
  <si>
    <t>BRIANNA STEWART</t>
  </si>
  <si>
    <t>MINDY RAJI</t>
  </si>
  <si>
    <t>WILLIE LIU</t>
  </si>
  <si>
    <t>JIM RODMAN</t>
  </si>
  <si>
    <t>JESSIE GAO</t>
  </si>
  <si>
    <t>PATRICIA PATEL</t>
  </si>
  <si>
    <t>STACEY CAI</t>
  </si>
  <si>
    <t>JOHNATHAN KAPOOR</t>
  </si>
  <si>
    <t>SHEILA ROMERO</t>
  </si>
  <si>
    <t>MOLLY SCHMIDT</t>
  </si>
  <si>
    <t>TODD ZHANG</t>
  </si>
  <si>
    <t>JORGE LIU</t>
  </si>
  <si>
    <t>JACKSON POWELL</t>
  </si>
  <si>
    <t>DENNIS HU</t>
  </si>
  <si>
    <t>JOCELYN COLEMAN</t>
  </si>
  <si>
    <t>CARA HU</t>
  </si>
  <si>
    <t>FERNANDO BRYANT</t>
  </si>
  <si>
    <t>JESSIE ZHOU</t>
  </si>
  <si>
    <t>CARLA SULLIVAN</t>
  </si>
  <si>
    <t>COLIN YANG</t>
  </si>
  <si>
    <t>LINDSAY RAJE</t>
  </si>
  <si>
    <t>GREGORY SHAN</t>
  </si>
  <si>
    <t>LAURA WU</t>
  </si>
  <si>
    <t>KRISTI SERRANO</t>
  </si>
  <si>
    <t>CHLOE JOHNSON</t>
  </si>
  <si>
    <t>VICTORIA COOK</t>
  </si>
  <si>
    <t>MEREDITH ALONSO</t>
  </si>
  <si>
    <t>JEROME SUAREZ</t>
  </si>
  <si>
    <t>RUTH GARCIA</t>
  </si>
  <si>
    <t>DEBORAH SHAN</t>
  </si>
  <si>
    <t>RAFAEL YUAN</t>
  </si>
  <si>
    <t>JARROD SARA</t>
  </si>
  <si>
    <t>THERESA NAVARRO</t>
  </si>
  <si>
    <t>RODNEY GUTIERREZ</t>
  </si>
  <si>
    <t>BONNIE RAJE</t>
  </si>
  <si>
    <t>TIMOTHY COOPER</t>
  </si>
  <si>
    <t>MARCUS PERRY</t>
  </si>
  <si>
    <t>JAMES EVANS</t>
  </si>
  <si>
    <t>RACHEL ROSS</t>
  </si>
  <si>
    <t>JULIA COX</t>
  </si>
  <si>
    <t>ASHLEY ANDERSON</t>
  </si>
  <si>
    <t>ANDRES RAJE</t>
  </si>
  <si>
    <t>EBONY SANZ</t>
  </si>
  <si>
    <t>COLIN HUANG</t>
  </si>
  <si>
    <t>KATHLEEN GILL</t>
  </si>
  <si>
    <t>KRISTINA ARUN</t>
  </si>
  <si>
    <t>CHELSEA RAY</t>
  </si>
  <si>
    <t>RICKY RUIZ</t>
  </si>
  <si>
    <t>LAWRENCE ALVAREZ</t>
  </si>
  <si>
    <t>REGINA SUBRAM</t>
  </si>
  <si>
    <t>KELLIE SERRANO</t>
  </si>
  <si>
    <t>BETH ROMERO</t>
  </si>
  <si>
    <t>JORDAN FOSTER</t>
  </si>
  <si>
    <t>JULIE JAI</t>
  </si>
  <si>
    <t>CALVIN SHAN</t>
  </si>
  <si>
    <t>PRESTON PRASAD</t>
  </si>
  <si>
    <t>MARGARET LU</t>
  </si>
  <si>
    <t>TRACY ANDERSEN</t>
  </si>
  <si>
    <t>CONNOR ROSS</t>
  </si>
  <si>
    <t>GEOFFREY RODRIGUEZ</t>
  </si>
  <si>
    <t>RACHEL POWELL</t>
  </si>
  <si>
    <t>RAYMOND MADAN</t>
  </si>
  <si>
    <t>KATHLEEN RUBIO</t>
  </si>
  <si>
    <t>HANY MORCOS</t>
  </si>
  <si>
    <t>SHANNON RUIZ</t>
  </si>
  <si>
    <t>TROY MARTINEZ</t>
  </si>
  <si>
    <t>DEREK XU</t>
  </si>
  <si>
    <t>PAMELA KAPOOR</t>
  </si>
  <si>
    <t>JACLYN SHAN</t>
  </si>
  <si>
    <t>ANDY DIAZ</t>
  </si>
  <si>
    <t>WHITNEY MARTINEZ</t>
  </si>
  <si>
    <t>DREW XU</t>
  </si>
  <si>
    <t>KELVIN TANG</t>
  </si>
  <si>
    <t>DOUGLAS SAI</t>
  </si>
  <si>
    <t>BRENDA KAPOOR</t>
  </si>
  <si>
    <t>JIMMY RUBIO</t>
  </si>
  <si>
    <t>CHLOE JONES</t>
  </si>
  <si>
    <t>COURTNEY LOPEZ</t>
  </si>
  <si>
    <t>VINCENT LIU</t>
  </si>
  <si>
    <t>FRANK SANZ</t>
  </si>
  <si>
    <t>YOLANDA RAJE</t>
  </si>
  <si>
    <t>TIFFANY HU</t>
  </si>
  <si>
    <t>ROY ROMERO</t>
  </si>
  <si>
    <t>MARSHALL SUTTON</t>
  </si>
  <si>
    <t>ERICA XU</t>
  </si>
  <si>
    <t>GRACE HOWARD</t>
  </si>
  <si>
    <t>DAVID JONES</t>
  </si>
  <si>
    <t>DAVID MARTINEZ</t>
  </si>
  <si>
    <t>THEODORE MORENO</t>
  </si>
  <si>
    <t>JULIA WASHINGTON</t>
  </si>
  <si>
    <t>PAMELA SANCHEZ</t>
  </si>
  <si>
    <t>MEREDITH VANCE</t>
  </si>
  <si>
    <t>SABRINA RUBIO</t>
  </si>
  <si>
    <t>AUTUMN LIU</t>
  </si>
  <si>
    <t>MARSHALL ZENG</t>
  </si>
  <si>
    <t>ANNA MARTIN</t>
  </si>
  <si>
    <t>CASSANDRA SARA</t>
  </si>
  <si>
    <t>MAYRA RAMAN</t>
  </si>
  <si>
    <t>FREDERICK SAI</t>
  </si>
  <si>
    <t>JULIO SERRANO</t>
  </si>
  <si>
    <t>MITCHELL XIE</t>
  </si>
  <si>
    <t>AUTUMN MA</t>
  </si>
  <si>
    <t>DANNY SUAREZ</t>
  </si>
  <si>
    <t>KEITH SHAN</t>
  </si>
  <si>
    <t>JOANNA ASHE</t>
  </si>
  <si>
    <t>EUGENE SHE</t>
  </si>
  <si>
    <t>CAROLYN GARCIA</t>
  </si>
  <si>
    <t>GEOFFREY PEREZ</t>
  </si>
  <si>
    <t>CLINTON GUTIERREZ</t>
  </si>
  <si>
    <t>CAROLYN RODRIGUEZ</t>
  </si>
  <si>
    <t>SHEILA GOMEZ</t>
  </si>
  <si>
    <t>TAMARA YUAN</t>
  </si>
  <si>
    <t>KARA BECKER</t>
  </si>
  <si>
    <t>CLIFFORD CHAPMAN</t>
  </si>
  <si>
    <t>NANCY ARUN</t>
  </si>
  <si>
    <t>CHAD YUAN</t>
  </si>
  <si>
    <t>JACLYN ZHOU</t>
  </si>
  <si>
    <t>KATHERINE FLORES</t>
  </si>
  <si>
    <t>HECTOR MORENO</t>
  </si>
  <si>
    <t>DESIREE RUBIO</t>
  </si>
  <si>
    <t>WILLIE LU</t>
  </si>
  <si>
    <t>REGINA SAI</t>
  </si>
  <si>
    <t>PHILIP HERNANDEZ</t>
  </si>
  <si>
    <t>TARA NARA</t>
  </si>
  <si>
    <t>RAFAEL XU</t>
  </si>
  <si>
    <t>SHEENA PAL</t>
  </si>
  <si>
    <t>RUTH RAMAN</t>
  </si>
  <si>
    <t>ALISON KUMAR</t>
  </si>
  <si>
    <t>ANNA ROGERS</t>
  </si>
  <si>
    <t>THERESA TORRES</t>
  </si>
  <si>
    <t>MARY ALLEN</t>
  </si>
  <si>
    <t>DENISE VANCE</t>
  </si>
  <si>
    <t>ROBERTO MORENO</t>
  </si>
  <si>
    <t>LOUIS HE</t>
  </si>
  <si>
    <t>COREY SHE</t>
  </si>
  <si>
    <t>TIFFANY YANG</t>
  </si>
  <si>
    <t>LARRY BLANCO</t>
  </si>
  <si>
    <t>CASEY XIE</t>
  </si>
  <si>
    <t>WYATT RODRIGUEZ</t>
  </si>
  <si>
    <t>CANDICE ZHU</t>
  </si>
  <si>
    <t>KELVIN XU</t>
  </si>
  <si>
    <t>MICHELE JAI</t>
  </si>
  <si>
    <t>DALE NARA</t>
  </si>
  <si>
    <t>CASSIDY HENDERSON</t>
  </si>
  <si>
    <t>LATOYA JAI</t>
  </si>
  <si>
    <t>CARLA RODRIGUEZ</t>
  </si>
  <si>
    <t>CHRISTINE GOEL</t>
  </si>
  <si>
    <t>MEGHAN TORRES</t>
  </si>
  <si>
    <t>EVELYN SUBRAM</t>
  </si>
  <si>
    <t>ALFREDO SERRANO</t>
  </si>
  <si>
    <t>CURTIS CAI</t>
  </si>
  <si>
    <t>JOHNNY LUO</t>
  </si>
  <si>
    <t>RICKY ROMERO</t>
  </si>
  <si>
    <t>COLLEEN HUANG</t>
  </si>
  <si>
    <t>CANDACE SARA</t>
  </si>
  <si>
    <t>RONNIE LIN</t>
  </si>
  <si>
    <t>NELSON DIAZ</t>
  </si>
  <si>
    <t>JAMIE SUN</t>
  </si>
  <si>
    <t>CANDACE ARUN</t>
  </si>
  <si>
    <t>GABRIELLA PARKER</t>
  </si>
  <si>
    <t>KEVIN KING</t>
  </si>
  <si>
    <t>LISA ROY</t>
  </si>
  <si>
    <t>JULIO SANZ</t>
  </si>
  <si>
    <t>AUTUMN CHEN</t>
  </si>
  <si>
    <t>ALICIA CHAPMAN</t>
  </si>
  <si>
    <t>FRANCIS ALVAREZ</t>
  </si>
  <si>
    <t>ALLEN SURI</t>
  </si>
  <si>
    <t>JARROD MADAN</t>
  </si>
  <si>
    <t>GLORIA SERRANO</t>
  </si>
  <si>
    <t>KATE LAL</t>
  </si>
  <si>
    <t>NICOLE COLEMAN</t>
  </si>
  <si>
    <t>PEDRO MALHOTRA</t>
  </si>
  <si>
    <t>KRISTOPHER LOPEZ</t>
  </si>
  <si>
    <t>ALBERT NAVARRO</t>
  </si>
  <si>
    <t>DREW JAI</t>
  </si>
  <si>
    <t>CANDACE SANCHEZ</t>
  </si>
  <si>
    <t>JACQUELYN HERNANDEZ</t>
  </si>
  <si>
    <t>BRENDAN RAI</t>
  </si>
  <si>
    <t>BARRY KOV�R</t>
  </si>
  <si>
    <t>DARRYL YANG</t>
  </si>
  <si>
    <t>RANDALL RAMOS</t>
  </si>
  <si>
    <t>KELLIE NAVARRO</t>
  </si>
  <si>
    <t>BRANDI SUAREZ</t>
  </si>
  <si>
    <t>CEDRIC NARA</t>
  </si>
  <si>
    <t>PHILIP RUBIO</t>
  </si>
  <si>
    <t>CLARENCE XU</t>
  </si>
  <si>
    <t>BRYANT RANA</t>
  </si>
  <si>
    <t>JAY RAMOS</t>
  </si>
  <si>
    <t>JILL CARLSON</t>
  </si>
  <si>
    <t>EVAN EDWARDS</t>
  </si>
  <si>
    <t>SHEILA NAVARRO</t>
  </si>
  <si>
    <t>DAWN NARA</t>
  </si>
  <si>
    <t>JOAN HERNANDEZ</t>
  </si>
  <si>
    <t>BRANDI HERNANDEZ</t>
  </si>
  <si>
    <t>DAVID LI</t>
  </si>
  <si>
    <t>KAYLEE GONZALEZ</t>
  </si>
  <si>
    <t>FRANCISCO SUBRAM</t>
  </si>
  <si>
    <t>MARIE VAZQUEZ</t>
  </si>
  <si>
    <t>CINDY MEHTA</t>
  </si>
  <si>
    <t>DAISY JIM�NEZ</t>
  </si>
  <si>
    <t>PEARLIE RUSEK</t>
  </si>
  <si>
    <t>MICHELE DENG</t>
  </si>
  <si>
    <t>DIANE ROMERO</t>
  </si>
  <si>
    <t>ANN MADAN</t>
  </si>
  <si>
    <t>CLAYTON CHAVEZ</t>
  </si>
  <si>
    <t>ARMANDO HERNANDEZ</t>
  </si>
  <si>
    <t>ORLANDO HERNANDEZ</t>
  </si>
  <si>
    <t>JENNY FERRIER</t>
  </si>
  <si>
    <t>JAY KAPOOR</t>
  </si>
  <si>
    <t>KATHRYN SHEN</t>
  </si>
  <si>
    <t>MALLORY BLANCO</t>
  </si>
  <si>
    <t>JIMMY DOMINGUEZ</t>
  </si>
  <si>
    <t>ROSS SAI</t>
  </si>
  <si>
    <t>JAIME DENG</t>
  </si>
  <si>
    <t>LATOYA DENG</t>
  </si>
  <si>
    <t>WHITNEY SURI</t>
  </si>
  <si>
    <t>JACQUELINE TORRES</t>
  </si>
  <si>
    <t>PHILIP GUTIERREZ</t>
  </si>
  <si>
    <t>BETH MORENO</t>
  </si>
  <si>
    <t>DEBORAH LAL</t>
  </si>
  <si>
    <t>GLENN LIANG</t>
  </si>
  <si>
    <t>KRISTY SUAREZ</t>
  </si>
  <si>
    <t>EDDIE TORRES</t>
  </si>
  <si>
    <t>KRISTI CHAPMAN</t>
  </si>
  <si>
    <t>THEODORE DOMINGUEZ</t>
  </si>
  <si>
    <t>NATASHA RUIZ</t>
  </si>
  <si>
    <t>AMY GAO</t>
  </si>
  <si>
    <t>JULIA BARNES</t>
  </si>
  <si>
    <t>CYNTHIA CHANDRA</t>
  </si>
  <si>
    <t>MEGHAN ORTEGA</t>
  </si>
  <si>
    <t>JORGE CAI</t>
  </si>
  <si>
    <t>IVAN FERNANDEZ</t>
  </si>
  <si>
    <t>MARSHALL ZHAO</t>
  </si>
  <si>
    <t>ERICA WANG</t>
  </si>
  <si>
    <t>CYNTHIA MARTINEZ</t>
  </si>
  <si>
    <t>MEREDITH GONZALEZ</t>
  </si>
  <si>
    <t>CESAR SARA</t>
  </si>
  <si>
    <t>BIANCA CAI</t>
  </si>
  <si>
    <t>MICAH LU</t>
  </si>
  <si>
    <t>JOY DOMINGUEZ</t>
  </si>
  <si>
    <t>JESSICA BELL</t>
  </si>
  <si>
    <t>JOE SRINI</t>
  </si>
  <si>
    <t>GARY ROMERO</t>
  </si>
  <si>
    <t>TONI GARCIA</t>
  </si>
  <si>
    <t>BRUCE SAI</t>
  </si>
  <si>
    <t>PHILIP ROMERO</t>
  </si>
  <si>
    <t>FRANCIS ROMERO</t>
  </si>
  <si>
    <t>LARRY DOMINGUEZ</t>
  </si>
  <si>
    <t>FRANK HERNANDEZ</t>
  </si>
  <si>
    <t>DAVID LEE</t>
  </si>
  <si>
    <t>MARTHA YE</t>
  </si>
  <si>
    <t>LINDSEY LUO</t>
  </si>
  <si>
    <t>ROBERTO DIAZ</t>
  </si>
  <si>
    <t>ALISHA ZHENG</t>
  </si>
  <si>
    <t>NANCY SANCHEZ</t>
  </si>
  <si>
    <t>ARTHUR FERNANDEZ</t>
  </si>
  <si>
    <t>RUBEN MARTIN</t>
  </si>
  <si>
    <t>IAN PRICE</t>
  </si>
  <si>
    <t>CLARENCE XIE</t>
  </si>
  <si>
    <t>MARGARET XU</t>
  </si>
  <si>
    <t>KELVIN SHEN</t>
  </si>
  <si>
    <t>CAROLYN GONZALEZ</t>
  </si>
  <si>
    <t>CLARENCE SHAN</t>
  </si>
  <si>
    <t>CANDACE MADAN</t>
  </si>
  <si>
    <t>CASSANDRA ARTHUR</t>
  </si>
  <si>
    <t>AMY HE</t>
  </si>
  <si>
    <t>DREW ANDERSEN</t>
  </si>
  <si>
    <t>ARMANDO VAZQUEZ</t>
  </si>
  <si>
    <t>KAREN CAI</t>
  </si>
  <si>
    <t>LANCE SANZ</t>
  </si>
  <si>
    <t>ORLANDO BLANCO</t>
  </si>
  <si>
    <t>TONY XU</t>
  </si>
  <si>
    <t>BRYANT SAI</t>
  </si>
  <si>
    <t>JUAN VAZQUEZ</t>
  </si>
  <si>
    <t>KARA LAL</t>
  </si>
  <si>
    <t>ALEXIS LONG</t>
  </si>
  <si>
    <t>THERESA VAZQUEZ</t>
  </si>
  <si>
    <t>EVELYN MADAN</t>
  </si>
  <si>
    <t>TROY SARA</t>
  </si>
  <si>
    <t>ADAM PHILLIPS</t>
  </si>
  <si>
    <t>LUIS COLLINS</t>
  </si>
  <si>
    <t>OSCAR PERRY</t>
  </si>
  <si>
    <t>JAKE CHEN</t>
  </si>
  <si>
    <t>DEVON LUO</t>
  </si>
  <si>
    <t>KAYLEE EDWARDS</t>
  </si>
  <si>
    <t>EBONY MEHTA</t>
  </si>
  <si>
    <t>JULIO ROMERO</t>
  </si>
  <si>
    <t>CEDRIC KUMAR</t>
  </si>
  <si>
    <t>XAVIER GRIFFIN</t>
  </si>
  <si>
    <t>WYATT MARTINEZ</t>
  </si>
  <si>
    <t>JULIA LONG</t>
  </si>
  <si>
    <t>CHLOE MILLER</t>
  </si>
  <si>
    <t>EDUARDO PEREZ</t>
  </si>
  <si>
    <t>KATHERINE STEWART</t>
  </si>
  <si>
    <t>HAILEY STEWART</t>
  </si>
  <si>
    <t>MITCHELL SHEN</t>
  </si>
  <si>
    <t>JOE SCHMIDT</t>
  </si>
  <si>
    <t>JESSIE MORENO</t>
  </si>
  <si>
    <t>BARRY SAI</t>
  </si>
  <si>
    <t>EDDIE ORTEGA</t>
  </si>
  <si>
    <t>TOMMY GOEL</t>
  </si>
  <si>
    <t>LATOYA TANG</t>
  </si>
  <si>
    <t>MALLORY MORENO</t>
  </si>
  <si>
    <t>VALERIE LU</t>
  </si>
  <si>
    <t>KELSEY SHEN</t>
  </si>
  <si>
    <t>KEITH YUAN</t>
  </si>
  <si>
    <t>JON GUO</t>
  </si>
  <si>
    <t>ISABELLA DAVIS</t>
  </si>
  <si>
    <t>BRETT RAMAN</t>
  </si>
  <si>
    <t>LOGAN JOHNSON</t>
  </si>
  <si>
    <t>MAURICE JAI</t>
  </si>
  <si>
    <t>KELLI CHANDE</t>
  </si>
  <si>
    <t>TONYA KUMAR</t>
  </si>
  <si>
    <t>TAMARA SHEN</t>
  </si>
  <si>
    <t>JILL DIAZ</t>
  </si>
  <si>
    <t>JOSE BAKER</t>
  </si>
  <si>
    <t>HECTOR BLANCO</t>
  </si>
  <si>
    <t>REBEKAH ARTHUR</t>
  </si>
  <si>
    <t>BRIANA ASHE</t>
  </si>
  <si>
    <t>BRITTNEY SHE</t>
  </si>
  <si>
    <t>TIMOTHY PARKER</t>
  </si>
  <si>
    <t>BRYANT KAPOOR</t>
  </si>
  <si>
    <t>NICOLE COX</t>
  </si>
  <si>
    <t>CHELSEA MEHTA</t>
  </si>
  <si>
    <t>BARBARA LIANG</t>
  </si>
  <si>
    <t>JUSTIN THOMPSON</t>
  </si>
  <si>
    <t>BRANDY FERNANDEZ</t>
  </si>
  <si>
    <t>NINA SHE</t>
  </si>
  <si>
    <t>JODI CHAPMAN</t>
  </si>
  <si>
    <t>MORGAN HOWARD</t>
  </si>
  <si>
    <t>COURTNEY TURNER</t>
  </si>
  <si>
    <t>ERIC FOSTER</t>
  </si>
  <si>
    <t>CARLY JAI</t>
  </si>
  <si>
    <t>JEROME DOMINGUEZ</t>
  </si>
  <si>
    <t>PATRICIA MADAN</t>
  </si>
  <si>
    <t>ISABELLA BRYANT</t>
  </si>
  <si>
    <t>JORDAN HENDERSON</t>
  </si>
  <si>
    <t>LAUREN WASHINGTON</t>
  </si>
  <si>
    <t>CAITLIN RICHARDSON</t>
  </si>
  <si>
    <t>MEGAN FLORES</t>
  </si>
  <si>
    <t>TONY NATSUHARA</t>
  </si>
  <si>
    <t>PEDRO RUBIO</t>
  </si>
  <si>
    <t>KRISTI SUAREZ</t>
  </si>
  <si>
    <t>CHRISTY RAJE</t>
  </si>
  <si>
    <t>BARBARA LAL</t>
  </si>
  <si>
    <t>BARBARA ZENG</t>
  </si>
  <si>
    <t>ISABELLE LONG</t>
  </si>
  <si>
    <t>KARL ANDERSEN</t>
  </si>
  <si>
    <t>KATHRYN YUAN</t>
  </si>
  <si>
    <t>MICHELE KUMAR</t>
  </si>
  <si>
    <t>ELIJAH POWELL</t>
  </si>
  <si>
    <t>CHLOE SANDERS</t>
  </si>
  <si>
    <t>KYLE BRYANT</t>
  </si>
  <si>
    <t>ALEXANDRA THOMAS</t>
  </si>
  <si>
    <t>LUCAS LEWIS</t>
  </si>
  <si>
    <t>JUAN JAMES</t>
  </si>
  <si>
    <t>MEGAN HARRIS</t>
  </si>
  <si>
    <t>HALEY TORRES</t>
  </si>
  <si>
    <t>BYRON ORTEGA</t>
  </si>
  <si>
    <t>LUCAS SANCHEZ</t>
  </si>
  <si>
    <t>ZACHARY FLORES</t>
  </si>
  <si>
    <t>JACKSON PHILLIPS</t>
  </si>
  <si>
    <t>ISAAC BROOKS</t>
  </si>
  <si>
    <t>KAITLYN LONG</t>
  </si>
  <si>
    <t>ISABELLE BRYANT</t>
  </si>
  <si>
    <t>BENJAMIN COLEMAN</t>
  </si>
  <si>
    <t>JOSHUA RODRIGUEZ</t>
  </si>
  <si>
    <t>BENJAMIN SHAN</t>
  </si>
  <si>
    <t>BRIANNA MARTIN</t>
  </si>
  <si>
    <t>JOSEPH JACKSON</t>
  </si>
  <si>
    <t>DENNIS WARE</t>
  </si>
  <si>
    <t>MORGAN RODRIGUEZ</t>
  </si>
  <si>
    <t>JOSE THOMPSON</t>
  </si>
  <si>
    <t>OLIVIA FOSTER</t>
  </si>
  <si>
    <t>VANESSA WASHINGTON</t>
  </si>
  <si>
    <t>ANTHONY RODRIGUEZ</t>
  </si>
  <si>
    <t>CAMERON WHITE</t>
  </si>
  <si>
    <t>CONNOR BRYANT</t>
  </si>
  <si>
    <t>AIDAN DIAZ</t>
  </si>
  <si>
    <t>JONATHAN POWELL</t>
  </si>
  <si>
    <t>MEGAN ANDERSON</t>
  </si>
  <si>
    <t>LORI SANZ</t>
  </si>
  <si>
    <t>XAVIER FLORES</t>
  </si>
  <si>
    <t>SARAH HENDERSON</t>
  </si>
  <si>
    <t>ABIGAIL COLEMAN</t>
  </si>
  <si>
    <t>JILL MARTINEZ</t>
  </si>
  <si>
    <t>MELISSA SANDERS</t>
  </si>
  <si>
    <t>ETHAN WILLIAMS</t>
  </si>
  <si>
    <t>GABRIELLE PETERSON</t>
  </si>
  <si>
    <t>ABIGAIL THOMPSON</t>
  </si>
  <si>
    <t>EVAN CAMPBELL</t>
  </si>
  <si>
    <t>WAYNE CHANDER</t>
  </si>
  <si>
    <t>ISABELLA WALKER</t>
  </si>
  <si>
    <t>MOLLY PRASAD</t>
  </si>
  <si>
    <t>BRANDON GARCIA</t>
  </si>
  <si>
    <t>ABIGAIL MORGAN</t>
  </si>
  <si>
    <t>KAITLYN RUSSELL</t>
  </si>
  <si>
    <t>SETH BENNETT</t>
  </si>
  <si>
    <t>KATELYN MITCHELL</t>
  </si>
  <si>
    <t>VICTORIA GARCIA</t>
  </si>
  <si>
    <t>CASSIE NATH</t>
  </si>
  <si>
    <t>KATRINA NARA</t>
  </si>
  <si>
    <t>JENNY ZHANG</t>
  </si>
  <si>
    <t>PEDRO SUAREZ</t>
  </si>
  <si>
    <t>DEVON CHANDER</t>
  </si>
  <si>
    <t>STACY SERRANO</t>
  </si>
  <si>
    <t>LINDSEY RAJE</t>
  </si>
  <si>
    <t>DWAYNE ORTEGA</t>
  </si>
  <si>
    <t>JUAN MURPHY</t>
  </si>
  <si>
    <t>MADISON JONES</t>
  </si>
  <si>
    <t>IAN WASHINGTON</t>
  </si>
  <si>
    <t>HANNAH MARTINEZ</t>
  </si>
  <si>
    <t>CHRISTIAN PERRY</t>
  </si>
  <si>
    <t>ALISHA SHE</t>
  </si>
  <si>
    <t>BROOKE STEWART</t>
  </si>
  <si>
    <t>SEAN BAKER</t>
  </si>
  <si>
    <t>CARMEN GARCIA</t>
  </si>
  <si>
    <t>HALEY ADAMS</t>
  </si>
  <si>
    <t>VICTORIA RICHARDSON</t>
  </si>
  <si>
    <t>ALEXANDRIA WOOD</t>
  </si>
  <si>
    <t>MORGAN MARTIN</t>
  </si>
  <si>
    <t>MICAH SUN</t>
  </si>
  <si>
    <t>ROY SRINI</t>
  </si>
  <si>
    <t>KELLI SHE</t>
  </si>
  <si>
    <t>EBONY PEREZ</t>
  </si>
  <si>
    <t>CLARENCE SHE</t>
  </si>
  <si>
    <t>JILL MURPHY</t>
  </si>
  <si>
    <t>TRACY BLACK</t>
  </si>
  <si>
    <t>JACLYN YUAN</t>
  </si>
  <si>
    <t>KELSEY NARA</t>
  </si>
  <si>
    <t>MEGAN PRICE</t>
  </si>
  <si>
    <t>MARC BLANCO</t>
  </si>
  <si>
    <t>GRANT YUAN</t>
  </si>
  <si>
    <t>TERRANCE MADAN</t>
  </si>
  <si>
    <t>KRYSTAL LI</t>
  </si>
  <si>
    <t>KELSEY LAL</t>
  </si>
  <si>
    <t>HEATHER ZHOU</t>
  </si>
  <si>
    <t>STANLEY PATEL</t>
  </si>
  <si>
    <t>KARA PAL</t>
  </si>
  <si>
    <t>ARTHUR GOMEZ</t>
  </si>
  <si>
    <t>WARREN CAI</t>
  </si>
  <si>
    <t>CARL SHAN</t>
  </si>
  <si>
    <t>AMY CAI</t>
  </si>
  <si>
    <t>BRIANNA GRAY</t>
  </si>
  <si>
    <t>STEPHANIE COOPER</t>
  </si>
  <si>
    <t>SOPHIA GREEN</t>
  </si>
  <si>
    <t>CALEB LONG</t>
  </si>
  <si>
    <t>YOLANDA SHARMA</t>
  </si>
  <si>
    <t>JULIA HUGHES</t>
  </si>
  <si>
    <t>MADISON GRIFFIN</t>
  </si>
  <si>
    <t>CHARLES THOMAS</t>
  </si>
  <si>
    <t>ADAM JAI</t>
  </si>
  <si>
    <t>KRISTEN HUANG</t>
  </si>
  <si>
    <t>NATALIE PARKER</t>
  </si>
  <si>
    <t>PAIGE SANDERS</t>
  </si>
  <si>
    <t>JORDYN FLORES</t>
  </si>
  <si>
    <t>HALEY ROSS</t>
  </si>
  <si>
    <t>ALEXANDRIA GRAY</t>
  </si>
  <si>
    <t>RENEE GOMEZ</t>
  </si>
  <si>
    <t>LUCAS COX</t>
  </si>
  <si>
    <t>KAREN ZHAO</t>
  </si>
  <si>
    <t>MARIO LUO</t>
  </si>
  <si>
    <t>BRENT HE</t>
  </si>
  <si>
    <t>LATASHA GILL</t>
  </si>
  <si>
    <t>DARREN GUTIERREZ</t>
  </si>
  <si>
    <t>TABITHA SARA</t>
  </si>
  <si>
    <t>EDWIN GAO</t>
  </si>
  <si>
    <t>ERNEST GUO</t>
  </si>
  <si>
    <t>TERRANCE MARTINEZ</t>
  </si>
  <si>
    <t>CARLOS MORGAN</t>
  </si>
  <si>
    <t>KRYSTAL GAO</t>
  </si>
  <si>
    <t>JAIME XIE</t>
  </si>
  <si>
    <t>NATHANIEL WATSON</t>
  </si>
  <si>
    <t>KARLA NARA</t>
  </si>
  <si>
    <t>RONALD MADAN</t>
  </si>
  <si>
    <t>TONI PATEL</t>
  </si>
  <si>
    <t>LOUIS NATH</t>
  </si>
  <si>
    <t>SEBASTIAN TORRES</t>
  </si>
  <si>
    <t>SHAWN TANG</t>
  </si>
  <si>
    <t>PETR LAZECKY</t>
  </si>
  <si>
    <t>JOCELYN PRICE</t>
  </si>
  <si>
    <t>LUIS CARTER</t>
  </si>
  <si>
    <t>STEPHANIE PRICE</t>
  </si>
  <si>
    <t>ALEXANDRA SANDERS</t>
  </si>
  <si>
    <t>CARLY ANAND</t>
  </si>
  <si>
    <t>DANA RAMOS</t>
  </si>
  <si>
    <t>ORLANDO GUTIERREZ</t>
  </si>
  <si>
    <t>COLIN SHAN</t>
  </si>
  <si>
    <t>VERONICA MALHOTRA</t>
  </si>
  <si>
    <t>LARRY GUTIERREZ</t>
  </si>
  <si>
    <t>TIFFANY GUO</t>
  </si>
  <si>
    <t>MARIO SHARMA</t>
  </si>
  <si>
    <t>APRIL TANG</t>
  </si>
  <si>
    <t>DEANNA SCHMIDT</t>
  </si>
  <si>
    <t>JON YUAN</t>
  </si>
  <si>
    <t>MARVIN GUTIERREZ</t>
  </si>
  <si>
    <t>WILLIE TANG</t>
  </si>
  <si>
    <t>GERALD ARUN</t>
  </si>
  <si>
    <t>MOLLY PEREZ</t>
  </si>
  <si>
    <t>RONALD PEREZ</t>
  </si>
  <si>
    <t>BRENT GUO</t>
  </si>
  <si>
    <t>BRITTA SIMON</t>
  </si>
  <si>
    <t>SAM WILSON</t>
  </si>
  <si>
    <t>CHRISTINE STONE</t>
  </si>
  <si>
    <t>SUMMER RAMAN</t>
  </si>
  <si>
    <t>ALFREDO ORTEGA</t>
  </si>
  <si>
    <t>WILLIE CAI</t>
  </si>
  <si>
    <t>RICARDO GOEL</t>
  </si>
  <si>
    <t>SAVANNAH YOUNG</t>
  </si>
  <si>
    <t>JENNA LOPEZ</t>
  </si>
  <si>
    <t>MORGAN PEREZ</t>
  </si>
  <si>
    <t>MIGUEL EDWARDS</t>
  </si>
  <si>
    <t>JULIA JONES</t>
  </si>
  <si>
    <t>ISAIAH HOWARD</t>
  </si>
  <si>
    <t>REBECCA PHILLIPS</t>
  </si>
  <si>
    <t>ISABELLA WRIGHT</t>
  </si>
  <si>
    <t>JUSTIN HARRIS</t>
  </si>
  <si>
    <t>ISABEL BRYANT</t>
  </si>
  <si>
    <t>HUNTER KUMAR</t>
  </si>
  <si>
    <t>JEREMY PRICE</t>
  </si>
  <si>
    <t>JENNA PARKER</t>
  </si>
  <si>
    <t>ARIANNA HAYES</t>
  </si>
  <si>
    <t>STEPHANIE FLORES</t>
  </si>
  <si>
    <t>HEIDI CHANDRA</t>
  </si>
  <si>
    <t>RICHARD GARCIA</t>
  </si>
  <si>
    <t>JACK PHILLIPS</t>
  </si>
  <si>
    <t>FAITH MURPHY</t>
  </si>
  <si>
    <t>KATHERINE WRIGHT</t>
  </si>
  <si>
    <t>RICHARD RIVERA</t>
  </si>
  <si>
    <t>JOSHUA THOMPSON</t>
  </si>
  <si>
    <t>NICHOLAS LEE</t>
  </si>
  <si>
    <t>SAMUEL WALKER</t>
  </si>
  <si>
    <t>DENISE SUBRAM</t>
  </si>
  <si>
    <t>ARTHUR WASHINGTON</t>
  </si>
  <si>
    <t>ELIZABETH CLARK</t>
  </si>
  <si>
    <t>DAISUKE YANAGISHIMA</t>
  </si>
  <si>
    <t>MARK BEBBINGTON</t>
  </si>
  <si>
    <t>OLIVIA TORRES</t>
  </si>
  <si>
    <t>GABRIEL CHOW</t>
  </si>
  <si>
    <t>FERNANDO KING</t>
  </si>
  <si>
    <t>ZACHARY THOMPSON</t>
  </si>
  <si>
    <t>LUIS ALLEN</t>
  </si>
  <si>
    <t>BARRY LOPEZ</t>
  </si>
  <si>
    <t>MEGHAN GUTIERREZ</t>
  </si>
  <si>
    <t>JAMIE GAO</t>
  </si>
  <si>
    <t>CRYSTAL HUANG</t>
  </si>
  <si>
    <t>JILL GUTIERREZ</t>
  </si>
  <si>
    <t>AIMEE ZHANG</t>
  </si>
  <si>
    <t>MICHELE LUO</t>
  </si>
  <si>
    <t>BRANDY GARCIA</t>
  </si>
  <si>
    <t>ROY VAZQUEZ</t>
  </si>
  <si>
    <t>DANNY VAZQUEZ</t>
  </si>
  <si>
    <t>GLORIA TORRES</t>
  </si>
  <si>
    <t>DEVIN GRIFFIN</t>
  </si>
  <si>
    <t>CLARENCE YE</t>
  </si>
  <si>
    <t>ETHAN FOSTER</t>
  </si>
  <si>
    <t>KAREN ZENG</t>
  </si>
  <si>
    <t>BARRY SUBRAM</t>
  </si>
  <si>
    <t>FAITH STEWART</t>
  </si>
  <si>
    <t>KYLE EDWARDS</t>
  </si>
  <si>
    <t>CONNOR BUTLER</t>
  </si>
  <si>
    <t>ELIZABETH MARTINEZ</t>
  </si>
  <si>
    <t>ELIJAH PATTERSON</t>
  </si>
  <si>
    <t>JESSICA WALKER</t>
  </si>
  <si>
    <t>CHRISTIAN JOHNSON</t>
  </si>
  <si>
    <t>ALYSSA SMITH</t>
  </si>
  <si>
    <t>LUKE JENKINS</t>
  </si>
  <si>
    <t>TERRY RAI</t>
  </si>
  <si>
    <t>MATHEW MORENO</t>
  </si>
  <si>
    <t>CHLOE BENNETT</t>
  </si>
  <si>
    <t>NICOLE WASHINGTON</t>
  </si>
  <si>
    <t>SARAH BUTLER</t>
  </si>
  <si>
    <t>KEVIN WRIGHT</t>
  </si>
  <si>
    <t>ROBERT FLORES</t>
  </si>
  <si>
    <t>DANIEL LEE</t>
  </si>
  <si>
    <t>CONNOR KING</t>
  </si>
  <si>
    <t>ALEXIS THOMAS</t>
  </si>
  <si>
    <t>JAMES ALEXANDER</t>
  </si>
  <si>
    <t>SARAH COLEMAN</t>
  </si>
  <si>
    <t>LUKE PERRY</t>
  </si>
  <si>
    <t>ISAAC PETERSON</t>
  </si>
  <si>
    <t>ASHLEY MARTIN</t>
  </si>
  <si>
    <t>MIGUEL LEWIS</t>
  </si>
  <si>
    <t>MADELINE NELSON</t>
  </si>
  <si>
    <t>TERRY CHANDER</t>
  </si>
  <si>
    <t>LAWRENCE SUAREZ</t>
  </si>
  <si>
    <t>JESSE HALL</t>
  </si>
  <si>
    <t>BRIDGET GOEL</t>
  </si>
  <si>
    <t>ERICA SUN</t>
  </si>
  <si>
    <t>LATOYA CHANDER</t>
  </si>
  <si>
    <t>EMILY LONG</t>
  </si>
  <si>
    <t>MICHEAL DOMINGUEZ</t>
  </si>
  <si>
    <t>MICHAEL THOMPSON</t>
  </si>
  <si>
    <t>NANCY RANA</t>
  </si>
  <si>
    <t>JAIME GILL</t>
  </si>
  <si>
    <t>REBECCA COLLINS</t>
  </si>
  <si>
    <t>CORY MADAN</t>
  </si>
  <si>
    <t>LEONARD LAL</t>
  </si>
  <si>
    <t>WAYNE RAJI</t>
  </si>
  <si>
    <t>ALEXANDRA FLORES</t>
  </si>
  <si>
    <t>JACLYN ZHAO</t>
  </si>
  <si>
    <t>ISAAC ADAMS</t>
  </si>
  <si>
    <t>ALLEN ARTHUR</t>
  </si>
  <si>
    <t>HECTOR GILL</t>
  </si>
  <si>
    <t>GEOFFREY SARA</t>
  </si>
  <si>
    <t>PEDRO SERRANO</t>
  </si>
  <si>
    <t>ARTHUR SURI</t>
  </si>
  <si>
    <t>JON WANG</t>
  </si>
  <si>
    <t>NOAH HILL</t>
  </si>
  <si>
    <t>DALTON WATSON</t>
  </si>
  <si>
    <t>CHRISTY GAO</t>
  </si>
  <si>
    <t>ANTONIO PERRY</t>
  </si>
  <si>
    <t>JULIA FOSTER</t>
  </si>
  <si>
    <t>JAMES LAL</t>
  </si>
  <si>
    <t>DEVIN MURPHY</t>
  </si>
  <si>
    <t>SOPHIA TURNER</t>
  </si>
  <si>
    <t>MORGAN GARCIA</t>
  </si>
  <si>
    <t>HEATHER HUANG</t>
  </si>
  <si>
    <t>JACQUELINE HUGHES</t>
  </si>
  <si>
    <t>JACKSON JENKINS</t>
  </si>
  <si>
    <t>IAN ALEXANDER</t>
  </si>
  <si>
    <t>KAYLA HAYES</t>
  </si>
  <si>
    <t>EVAN PHILLIPS</t>
  </si>
  <si>
    <t>NOAH CHEN</t>
  </si>
  <si>
    <t>MARTY SIMPSON</t>
  </si>
  <si>
    <t>CASEY CARLSON</t>
  </si>
  <si>
    <t>TONI KAPOOR</t>
  </si>
  <si>
    <t>GRACE SIMMONS</t>
  </si>
  <si>
    <t>JEREMIAH LOPEZ</t>
  </si>
  <si>
    <t>JASMINE PETERSON</t>
  </si>
  <si>
    <t>Y. YONG</t>
  </si>
  <si>
    <t>AUDREY ORTEGA</t>
  </si>
  <si>
    <t>ISAIAH HALL</t>
  </si>
  <si>
    <t>JAMES JACKSON</t>
  </si>
  <si>
    <t>DEVON PAL</t>
  </si>
  <si>
    <t>ANNA LEWIS</t>
  </si>
  <si>
    <t>JULIA ROGERS</t>
  </si>
  <si>
    <t>KYLE HOLT</t>
  </si>
  <si>
    <t>ALEXANDER MILLER</t>
  </si>
  <si>
    <t>SARA KELLY</t>
  </si>
  <si>
    <t>JULIAN POWELL</t>
  </si>
  <si>
    <t>BRENDA RODRIGUEZ</t>
  </si>
  <si>
    <t>ELIZABETH WOOD</t>
  </si>
  <si>
    <t>DALTON SIMMONS</t>
  </si>
  <si>
    <t>TAYLOR PETERSON</t>
  </si>
  <si>
    <t>STEPHANIE HUGHES</t>
  </si>
  <si>
    <t>AMANDA WRIGHT</t>
  </si>
  <si>
    <t>DYLAN MARTINEZ</t>
  </si>
  <si>
    <t>BRIANNA DIAZ</t>
  </si>
  <si>
    <t>RANDALL BLANCO</t>
  </si>
  <si>
    <t>JUSTIN ZHANG</t>
  </si>
  <si>
    <t>FAITH BROOKS</t>
  </si>
  <si>
    <t>TYLER ROBINSON</t>
  </si>
  <si>
    <t>TREVOR WASHINGTON</t>
  </si>
  <si>
    <t>JACK JAI</t>
  </si>
  <si>
    <t>EDWARD ANDERSON</t>
  </si>
  <si>
    <t>ANGELICA BRYANT</t>
  </si>
  <si>
    <t>MARCUS DIAZ</t>
  </si>
  <si>
    <t>MELANIE POWELL</t>
  </si>
  <si>
    <t>ANNA COLEMAN</t>
  </si>
  <si>
    <t>CINDY JAMES</t>
  </si>
  <si>
    <t>EDUARDO GRIFFIN</t>
  </si>
  <si>
    <t>MARIAH WASHINGTON</t>
  </si>
  <si>
    <t>NATALIE HUGHES</t>
  </si>
  <si>
    <t>EMMA MOORE</t>
  </si>
  <si>
    <t>MARIAH REED</t>
  </si>
  <si>
    <t>SHANNON ORTEGA</t>
  </si>
  <si>
    <t>PEDRO SURI</t>
  </si>
  <si>
    <t>HECTOR GUTIERREZ</t>
  </si>
  <si>
    <t>REGINALD ORTEGA</t>
  </si>
  <si>
    <t>NELSON RUBIO</t>
  </si>
  <si>
    <t>YOLANDA GOEL</t>
  </si>
  <si>
    <t>BRIANA CARLSON</t>
  </si>
  <si>
    <t>TIFFANY ZHU</t>
  </si>
  <si>
    <t>ALISHA SHEN</t>
  </si>
  <si>
    <t>ISAAC MORRIS</t>
  </si>
  <si>
    <t>DEVIN GREEN</t>
  </si>
  <si>
    <t>BARBARA HUANG</t>
  </si>
  <si>
    <t>KATHRYN SHE</t>
  </si>
  <si>
    <t>PAMELA LOPEZ</t>
  </si>
  <si>
    <t>AIDAN FOSTER</t>
  </si>
  <si>
    <t>NOAH RUSSELL</t>
  </si>
  <si>
    <t>LUKE YOUNG</t>
  </si>
  <si>
    <t>SYDNEY HILL</t>
  </si>
  <si>
    <t>FERNANDO PATTERSON</t>
  </si>
  <si>
    <t>JASON BRYANT</t>
  </si>
  <si>
    <t>ANDREA COOK</t>
  </si>
  <si>
    <t>VINCENT MA</t>
  </si>
  <si>
    <t>ANTONIO SIMMONS</t>
  </si>
  <si>
    <t>RILEY SANCHEZ</t>
  </si>
  <si>
    <t>CASSIDY GRIFFIN</t>
  </si>
  <si>
    <t>RENEE RUIZ</t>
  </si>
  <si>
    <t>JEREMIAH TOWNSEND</t>
  </si>
  <si>
    <t>JENNIFER ROBINSON</t>
  </si>
  <si>
    <t>SETH TAYLOR</t>
  </si>
  <si>
    <t>JACK SCOTT</t>
  </si>
  <si>
    <t>CHARLES WEISMAN</t>
  </si>
  <si>
    <t>CHRISTINA COOPER</t>
  </si>
  <si>
    <t>STACY MORENO</t>
  </si>
  <si>
    <t>CHLOE RAMIREZ</t>
  </si>
  <si>
    <t>NATHAN TAYLOR</t>
  </si>
  <si>
    <t>RILEY MORGAN</t>
  </si>
  <si>
    <t>ANGELA BARNES</t>
  </si>
  <si>
    <t>FERNANDO SMITH</t>
  </si>
  <si>
    <t>KATHERINE THOMAS</t>
  </si>
  <si>
    <t>WYATT PEREZ</t>
  </si>
  <si>
    <t>WARREN BLACK</t>
  </si>
  <si>
    <t>FAITH HAYES</t>
  </si>
  <si>
    <t>JADA SANCHEZ</t>
  </si>
  <si>
    <t>TAYLOR ROSS</t>
  </si>
  <si>
    <t>MIGUEL BENNETT</t>
  </si>
  <si>
    <t>BARBARA BECK</t>
  </si>
  <si>
    <t>CASEY SUAREZ</t>
  </si>
  <si>
    <t>JAMIE SANZ</t>
  </si>
  <si>
    <t>LINDSEY SHEN</t>
  </si>
  <si>
    <t>HANNAH LEWIS</t>
  </si>
  <si>
    <t>EDWARD WILSON</t>
  </si>
  <si>
    <t>KEITH SHE</t>
  </si>
  <si>
    <t>CRYSTAL CHEN</t>
  </si>
  <si>
    <t>MICHELE RAI</t>
  </si>
  <si>
    <t>NANCY KOVAR</t>
  </si>
  <si>
    <t>MICHELLE SANCHEZ</t>
  </si>
  <si>
    <t>HUNTER GONZALES</t>
  </si>
  <si>
    <t>LACEY PAL</t>
  </si>
  <si>
    <t>TONI GONZALEZ</t>
  </si>
  <si>
    <t>HUNTER HAYES</t>
  </si>
  <si>
    <t>MARIAH PATTERSON</t>
  </si>
  <si>
    <t>ALEJANDRO XU</t>
  </si>
  <si>
    <t>MARIO JOHNSEN</t>
  </si>
  <si>
    <t>MICHELLE GRAY</t>
  </si>
  <si>
    <t>KYLE GONZALEZ</t>
  </si>
  <si>
    <t>NOAH YANG</t>
  </si>
  <si>
    <t>SHEILA RUIZ</t>
  </si>
  <si>
    <t>ELIZABETH WEST</t>
  </si>
  <si>
    <t>HANNAH HARRIS</t>
  </si>
  <si>
    <t>NATALIE POWELL</t>
  </si>
  <si>
    <t>AARON NELSON</t>
  </si>
  <si>
    <t>ABIGAIL KELLY</t>
  </si>
  <si>
    <t>MARY PEREZ</t>
  </si>
  <si>
    <t>KAYLA HENDERSON</t>
  </si>
  <si>
    <t>RICHARD ROBINSON</t>
  </si>
  <si>
    <t>COLIN GOEL</t>
  </si>
  <si>
    <t>ISAIAH PETERSON</t>
  </si>
  <si>
    <t>AMANDA MORRIS</t>
  </si>
  <si>
    <t>THOMAS HILL</t>
  </si>
  <si>
    <t>JAN HOWARD</t>
  </si>
  <si>
    <t>ALEXANDRA ROSS</t>
  </si>
  <si>
    <t>ELIZABETH RUSSELL</t>
  </si>
  <si>
    <t>LAUREN BARNES</t>
  </si>
  <si>
    <t>DALTON TAYLOR</t>
  </si>
  <si>
    <t>JOSE ALEXANDER</t>
  </si>
  <si>
    <t>ISAIAH STEWART</t>
  </si>
  <si>
    <t>ISABELLA MOORE</t>
  </si>
  <si>
    <t>GABRIELLE WARD</t>
  </si>
  <si>
    <t>DEVIN WALKER</t>
  </si>
  <si>
    <t>JASMINE HARRIS</t>
  </si>
  <si>
    <t>OLIVIA FLORES</t>
  </si>
  <si>
    <t>ARTURO XIE</t>
  </si>
  <si>
    <t>GABRIELLE EVANS</t>
  </si>
  <si>
    <t>JENNA HERNANDEZ</t>
  </si>
  <si>
    <t>MORGAN RICHARDSON</t>
  </si>
  <si>
    <t>JORDYN PERRY</t>
  </si>
  <si>
    <t>JASMINE SIMMONS</t>
  </si>
  <si>
    <t>EMILY PERRY</t>
  </si>
  <si>
    <t>KEVIN COLLINS</t>
  </si>
  <si>
    <t>EMILY JENKINS</t>
  </si>
  <si>
    <t>ZACHARY JACKSON</t>
  </si>
  <si>
    <t>DUSTIN ANDERSEN</t>
  </si>
  <si>
    <t>SETH LEWIS</t>
  </si>
  <si>
    <t>CHASE MORRIS</t>
  </si>
  <si>
    <t>LUKE HUGHES</t>
  </si>
  <si>
    <t>JONATHAN PERRY</t>
  </si>
  <si>
    <t>JENNIFER WHITE</t>
  </si>
  <si>
    <t>DALTON MURPHY</t>
  </si>
  <si>
    <t>STEVEN COOK</t>
  </si>
  <si>
    <t>LUCAS COLEMAN</t>
  </si>
  <si>
    <t>EDWARD HARRIS</t>
  </si>
  <si>
    <t>ANTHONY CLARK</t>
  </si>
  <si>
    <t>JACKSON CHEN</t>
  </si>
  <si>
    <t>ZACHARY TAYLOR</t>
  </si>
  <si>
    <t>FERNANDO RUSSELL</t>
  </si>
  <si>
    <t>CHRISTIAN WILSON</t>
  </si>
  <si>
    <t>ZACHARY WILLIAMS</t>
  </si>
  <si>
    <t>EDUARDO BELL</t>
  </si>
  <si>
    <t>KATHERINE MILLER</t>
  </si>
  <si>
    <t>HUNTER DIAZ</t>
  </si>
  <si>
    <t>ANDREA STEWART</t>
  </si>
  <si>
    <t>CONNOR JAI</t>
  </si>
  <si>
    <t>ANGELA DIAZ</t>
  </si>
  <si>
    <t>ISABELLA THOMAS</t>
  </si>
  <si>
    <t>JUSTIN BROWN</t>
  </si>
  <si>
    <t>CHRISTIAN BUTLER</t>
  </si>
  <si>
    <t>JAMES MILLER</t>
  </si>
  <si>
    <t>JONATHAN GONZALES</t>
  </si>
  <si>
    <t>THOMAS YOUNG</t>
  </si>
  <si>
    <t>MORGAN HALL</t>
  </si>
  <si>
    <t>JUSTIN GRIFFIN</t>
  </si>
  <si>
    <t>JOSHUA TAYLOR</t>
  </si>
  <si>
    <t>JESSICA PERRY</t>
  </si>
  <si>
    <t>ALEXA RIVERA</t>
  </si>
  <si>
    <t>LUCAS BLUE</t>
  </si>
  <si>
    <t>TIMOTHY YOUNG</t>
  </si>
  <si>
    <t>NATALIE ROBERTS</t>
  </si>
  <si>
    <t>CAMERON HENDERSON</t>
  </si>
  <si>
    <t>KATHERINE JAMES</t>
  </si>
  <si>
    <t>KAYLA RODRIGUEZ</t>
  </si>
  <si>
    <t>JARED MOYER</t>
  </si>
  <si>
    <t>IAN WILSON</t>
  </si>
  <si>
    <t>SAVANNAH TRAVERS</t>
  </si>
  <si>
    <t>CHERYL SUAREZ</t>
  </si>
  <si>
    <t>TRACY CHAPMAN</t>
  </si>
  <si>
    <t>ALFREDO DOMINGUEZ</t>
  </si>
  <si>
    <t>JARRED GILL</t>
  </si>
  <si>
    <t>CASEY SHE</t>
  </si>
  <si>
    <t>TAMARA TANG</t>
  </si>
  <si>
    <t>PHILLIP SULLIVAN</t>
  </si>
  <si>
    <t>RILEY LONG</t>
  </si>
  <si>
    <t>CASSIE JAI</t>
  </si>
  <si>
    <t>BETHANY TANG</t>
  </si>
  <si>
    <t>REGINALD GOMEZ</t>
  </si>
  <si>
    <t>GREGORY ANDERSEN</t>
  </si>
  <si>
    <t>DWAYNE ALONSO</t>
  </si>
  <si>
    <t>J�SUS RAMOS</t>
  </si>
  <si>
    <t>SUSAN LIANG</t>
  </si>
  <si>
    <t>TARA CHANDE</t>
  </si>
  <si>
    <t>TONY XIE</t>
  </si>
  <si>
    <t>LEAH ZHANG</t>
  </si>
  <si>
    <t>ISABELLA PEREZ</t>
  </si>
  <si>
    <t>APRIL SHEN</t>
  </si>
  <si>
    <t>SABRINA SERRANO</t>
  </si>
  <si>
    <t>BILLY GUTIERREZ</t>
  </si>
  <si>
    <t>PEGGY SMITH</t>
  </si>
  <si>
    <t>PHILLIP MARTINEZ</t>
  </si>
  <si>
    <t>DUSTIN JAI</t>
  </si>
  <si>
    <t>KAYLA FLORES</t>
  </si>
  <si>
    <t>COLE RICHARDSON</t>
  </si>
  <si>
    <t>CARSON JENKINS</t>
  </si>
  <si>
    <t>BAILEY HERNANDEZ</t>
  </si>
  <si>
    <t>JACK ZIMMERMAN</t>
  </si>
  <si>
    <t>ALEXIS MOORE</t>
  </si>
  <si>
    <t>HANNAH FOSTER</t>
  </si>
  <si>
    <t>MARIAH MURPHY</t>
  </si>
  <si>
    <t>LUCAS MURPHY</t>
  </si>
  <si>
    <t>VANESSA SIMMONS</t>
  </si>
  <si>
    <t>JORDAN CARTER</t>
  </si>
  <si>
    <t>MALLORY MUNOZ</t>
  </si>
  <si>
    <t>MARSHALL ZHU</t>
  </si>
  <si>
    <t>KELVIN ZHANG</t>
  </si>
  <si>
    <t>CORY CHANDRA</t>
  </si>
  <si>
    <t>SHARON RAJE</t>
  </si>
  <si>
    <t>DARRYL SUN</t>
  </si>
  <si>
    <t>REBEKAH TORRES</t>
  </si>
  <si>
    <t>MARVIN NAVARRO</t>
  </si>
  <si>
    <t>BRETT MADAN</t>
  </si>
  <si>
    <t>DYLAN LONG</t>
  </si>
  <si>
    <t>PAULA NAVARRO</t>
  </si>
  <si>
    <t>MYA PERRY</t>
  </si>
  <si>
    <t>ALISHA ALAN</t>
  </si>
  <si>
    <t>FRANKLIN ZHOU</t>
  </si>
  <si>
    <t>ANDY ROMERO</t>
  </si>
  <si>
    <t>JOE BELSON</t>
  </si>
  <si>
    <t>STACEY HEE</t>
  </si>
  <si>
    <t>RONALD RODRIGUEZ</t>
  </si>
  <si>
    <t>TROY RODRIGUEZ</t>
  </si>
  <si>
    <t>JOE ALONSO</t>
  </si>
  <si>
    <t>MAURICE SHARMA</t>
  </si>
  <si>
    <t>TIMOTHY PHILLIPS</t>
  </si>
  <si>
    <t>ALLISON NELSON</t>
  </si>
  <si>
    <t>DWAYNE HERNANDEZ</t>
  </si>
  <si>
    <t>GRACE BENNETT</t>
  </si>
  <si>
    <t>JOSEPH RODRIGUEZ</t>
  </si>
  <si>
    <t>NATALIE HILL</t>
  </si>
  <si>
    <t>LAUREN COOK</t>
  </si>
  <si>
    <t>VICTORIA RODRIGUEZ</t>
  </si>
  <si>
    <t>JUSTIN BUTLER</t>
  </si>
  <si>
    <t>NELSON HERNANDEZ</t>
  </si>
  <si>
    <t>EMMA HALL</t>
  </si>
  <si>
    <t>ADAM ALLEN</t>
  </si>
  <si>
    <t>RICHARD WARD</t>
  </si>
  <si>
    <t>SUZANNE WANG</t>
  </si>
  <si>
    <t>ASHLEY SMITH</t>
  </si>
  <si>
    <t>GRACE JENKINS</t>
  </si>
  <si>
    <t>BRANDON ZHANG</t>
  </si>
  <si>
    <t>SHELBY GRAY</t>
  </si>
  <si>
    <t>IAN HENDERSON</t>
  </si>
  <si>
    <t>MARY ROBERTS</t>
  </si>
  <si>
    <t>GABRIELLA MURPHY</t>
  </si>
  <si>
    <t>ARIANA BELL</t>
  </si>
  <si>
    <t>WYATT GRIFFIN</t>
  </si>
  <si>
    <t>CAROLINE LONG</t>
  </si>
  <si>
    <t>STEVEN SANDERS</t>
  </si>
  <si>
    <t>EDUARDO BENNETT</t>
  </si>
  <si>
    <t>GABRIELLA KELLY</t>
  </si>
  <si>
    <t>ASHLEY BARNES</t>
  </si>
  <si>
    <t>SETH POWELL</t>
  </si>
  <si>
    <t>IAN EDWARDS</t>
  </si>
  <si>
    <t>EMMA MORGAN</t>
  </si>
  <si>
    <t>MASON MURPHY</t>
  </si>
  <si>
    <t>JAIME HERNANDEZ</t>
  </si>
  <si>
    <t>DAWN SHEN</t>
  </si>
  <si>
    <t>DERRICK ROMERO</t>
  </si>
  <si>
    <t>VICTORIA BAILEY</t>
  </si>
  <si>
    <t>ALEXANDRA ADAMS</t>
  </si>
  <si>
    <t>RICHARD PARKER</t>
  </si>
  <si>
    <t>SEAN RIVERA</t>
  </si>
  <si>
    <t>FAITH RAMIREZ</t>
  </si>
  <si>
    <t>KARA JAI</t>
  </si>
  <si>
    <t>JERRY KUMAR</t>
  </si>
  <si>
    <t>LAURA HU</t>
  </si>
  <si>
    <t>AUSTIN SHARMA</t>
  </si>
  <si>
    <t>KATELYN JAMES</t>
  </si>
  <si>
    <t>AMBER LOPEZ</t>
  </si>
  <si>
    <t>KELLY BENNETT</t>
  </si>
  <si>
    <t>EVAN PEREZ</t>
  </si>
  <si>
    <t>ANGEL PHILLIPS</t>
  </si>
  <si>
    <t>MATTHEW LEE</t>
  </si>
  <si>
    <t>ERIC YOUNG</t>
  </si>
  <si>
    <t>JENNIFER JENKINS</t>
  </si>
  <si>
    <t>XAVIER POWELL</t>
  </si>
  <si>
    <t>SAMANTHA MILLER</t>
  </si>
  <si>
    <t>ALEX PARKER</t>
  </si>
  <si>
    <t>ERIN SANCHEZ</t>
  </si>
  <si>
    <t>KYLE WASHINGTON</t>
  </si>
  <si>
    <t>MAKAYLA JAMES</t>
  </si>
  <si>
    <t>ROBERT TURNER</t>
  </si>
  <si>
    <t>RILEY BROOKS</t>
  </si>
  <si>
    <t>MARISSA DIAZ</t>
  </si>
  <si>
    <t>MIGUEL GREEN</t>
  </si>
  <si>
    <t>TAYLOR THOMAS</t>
  </si>
  <si>
    <t>SYDNEY FLORES</t>
  </si>
  <si>
    <t>JANET SCOTT</t>
  </si>
  <si>
    <t>HAILEY TURNER</t>
  </si>
  <si>
    <t>ERIN COOK</t>
  </si>
  <si>
    <t>CHARLES ANDERSON</t>
  </si>
  <si>
    <t>THOMAS ADAMS</t>
  </si>
  <si>
    <t>VICTORIA DIAZ</t>
  </si>
  <si>
    <t>PAIGE HOWARD</t>
  </si>
  <si>
    <t>JUSTIN BRYANT</t>
  </si>
  <si>
    <t>NATHANIEL BAILEY</t>
  </si>
  <si>
    <t>RACHEL COX</t>
  </si>
  <si>
    <t>JULIA THOMPSON</t>
  </si>
  <si>
    <t>LYDIA GONZALEZ</t>
  </si>
  <si>
    <t>ISAIAH EDWARDS</t>
  </si>
  <si>
    <t>ELIZABETH BRADLEY</t>
  </si>
  <si>
    <t>IVAN SURI</t>
  </si>
  <si>
    <t>Return_value</t>
  </si>
  <si>
    <t>Return_cost</t>
  </si>
  <si>
    <t>KPI</t>
  </si>
  <si>
    <t>Total Revenue</t>
  </si>
  <si>
    <t>Total Profit</t>
  </si>
  <si>
    <t>Total Cost</t>
  </si>
  <si>
    <t>Total Orders</t>
  </si>
  <si>
    <t>Total Quantity Sold</t>
  </si>
  <si>
    <t>Total Customers</t>
  </si>
  <si>
    <t>Average Order Value</t>
  </si>
  <si>
    <t>Profit Margin %</t>
  </si>
  <si>
    <t>Total Return Quantity</t>
  </si>
  <si>
    <t>Total Return Value</t>
  </si>
  <si>
    <t>Sum of Revenue</t>
  </si>
  <si>
    <t>Row Labels</t>
  </si>
  <si>
    <t>Grand Total</t>
  </si>
  <si>
    <t>Sum of Profit</t>
  </si>
  <si>
    <t>Count of OrderNumber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</si>
  <si>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</si>
  <si>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</si>
  <si>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</si>
  <si>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</si>
  <si>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</si>
  <si>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</si>
  <si>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</si>
  <si>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</si>
  <si>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</si>
  <si>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</si>
  <si>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</si>
  <si>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</si>
  <si>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Week</t>
  </si>
  <si>
    <t>Year</t>
  </si>
  <si>
    <t>MonthNo</t>
  </si>
  <si>
    <t>Month</t>
  </si>
  <si>
    <t>December</t>
  </si>
  <si>
    <t>ADVENTURE WORKS</t>
  </si>
  <si>
    <t>DAILY MIS SALES REPORT</t>
  </si>
  <si>
    <t>Report Date:</t>
  </si>
  <si>
    <r>
      <t>Prepared By:</t>
    </r>
    <r>
      <rPr>
        <sz val="12"/>
        <color theme="1"/>
        <rFont val="SegoeUISymbol"/>
        <family val="2"/>
      </rPr>
      <t xml:space="preserve"> Raj Thakare</t>
    </r>
  </si>
  <si>
    <r>
      <t>Department:</t>
    </r>
    <r>
      <rPr>
        <sz val="12"/>
        <color theme="1"/>
        <rFont val="SegoeUISymbol"/>
        <family val="2"/>
      </rPr>
      <t xml:space="preserve"> Business Intelligence</t>
    </r>
  </si>
  <si>
    <t>Orders</t>
  </si>
  <si>
    <t>Units Sold</t>
  </si>
  <si>
    <t>Profit Margin</t>
  </si>
  <si>
    <t>Metric</t>
  </si>
  <si>
    <t>Value</t>
  </si>
  <si>
    <t>Highest Revenue Category</t>
  </si>
  <si>
    <t>Highest Revenue Country</t>
  </si>
  <si>
    <t>Best Selling Product</t>
  </si>
  <si>
    <t>Lowest Selling Product</t>
  </si>
  <si>
    <t xml:space="preserve"> Executive KPI Summary</t>
  </si>
  <si>
    <t>Performance Summary</t>
  </si>
  <si>
    <t>Executive Insights</t>
  </si>
  <si>
    <t>YEARLY  MIS SALES REPORT</t>
  </si>
  <si>
    <t>Return Rate Value</t>
  </si>
  <si>
    <t>• Total Revenue generated for the reporting period was ₹64,04,933.58.
• The business achieved a Profit Margin of 40.62%, indicating healthy profitability.
• Road Bikes emerged as the highest revenue-generating product category.
• Australia recorded the highest sales revenue among all countries.
• Road-150 Red, 48 was the best-selling product, while Road-250 Black, 48 contributed the lowest revenue.
• The Average Order Value stood at ₹2,435.34, reflecting the average revenue generated per order.</t>
  </si>
  <si>
    <t>RECOMMENDATIONS</t>
  </si>
  <si>
    <t>• Maintain sufficient inventory for Road Bikes to meet customer demand.
• Continue strengthening sales and marketing efforts in Australia to sustain revenue growth.
• Promote high-performing Road-150 bicycle models through targeted campaigns.
• Review the performance of Road-250 Black, 48 to identify opportunities for improving sales.
• Monitor product returns regularly and investigate products with higher return values to reduce revenue loss.
• Continue tracking daily sales performance through automated Power Query refreshes for timely business reporting.</t>
  </si>
  <si>
    <t>• Total Revenue generated for the day was ₹11,144.06.
• The business achieved a Profit Margin of 41.72%, indicating healthy profitability.
• Road Bikes was the highest revenue-generating product category for the day.
• Australia recorded the highest sales revenue among all regions.
• Road-250 Red, 48 was the best-selling product during the reporting period.
• The Average Order Value was ₹1,592.01, reflecting the average revenue earned per order.</t>
  </si>
  <si>
    <t>• Maintain adequate inventory levels for Road Bikes to meet customer demand.
• Continue focusing sales efforts in Australia to maximize revenue opportunities.
• Promote high-performing Road-250 bicycle models to sustain sales growth.
• Review the performance of Road-650 Black, 48 and identify opportunities to improve sales.
• Monitor daily sales trends through automated Power Query refreshes to support timely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</si>
</sst>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4" formatCode="&quot;₹&quot;#,##0.00"/>
    <numFmt numFmtId="167" formatCode="[$-F800]dddd\,\ mmmm\ dd\,\ yyyy"/>
  </numFmts>
  <fonts count="10">
    <font>
      <sz val="12"/>
      <color theme="1"/>
      <name val="SegoeUISymbol"/>
      <family val="2"/>
    </font>
    <font>
      <sz val="12"/>
      <color theme="1"/>
      <name val="SegoeUISymbol"/>
      <family val="2"/>
    </font>
    <font>
      <b/>
      <sz val="12"/>
      <color theme="1"/>
      <name val="SegoeUISymbol"/>
      <family val="2"/>
    </font>
    <font>
      <sz val="8"/>
      <name val="SegoeUISymbol"/>
      <family val="2"/>
    </font>
    <font>
      <b/>
      <sz val="12"/>
      <color theme="0"/>
      <name val="SegoeUISymbol"/>
      <family val="2"/>
    </font>
    <font>
      <b/>
      <sz val="26"/>
      <color theme="0"/>
      <name val="SegoeUISymbol"/>
      <family val="2"/>
    </font>
    <font>
      <b/>
      <sz val="16"/>
      <color theme="1"/>
      <name val="SegoeUISymbol"/>
      <family val="2"/>
    </font>
    <font>
      <b/>
      <sz val="16"/>
      <color theme="0"/>
      <name val="SegoeUISymbol"/>
      <family val="2"/>
    </font>
    <font>
      <sz val="16"/>
      <color theme="1"/>
      <name val="SegoeUISymbol"/>
      <family val="2"/>
    </font>
    <font>
      <sz val="12"/>
      <color theme="1"/>
      <name val="SegoeUISymbol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2" applyNumberFormat="1" applyFont="1"/>
    <xf numFmtId="44" fontId="0" fillId="0" borderId="0" xfId="1" applyFont="1"/>
    <xf numFmtId="0" fontId="2" fillId="0" borderId="0" xfId="0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vertical="top" wrapText="1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4" fillId="6" borderId="0" xfId="0" applyFont="1" applyFill="1" applyAlignment="1">
      <alignment horizontal="center"/>
    </xf>
    <xf numFmtId="44" fontId="8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center"/>
    </xf>
    <xf numFmtId="0" fontId="2" fillId="0" borderId="0" xfId="0" applyFont="1" applyAlignment="1">
      <alignment horizontal="left" vertical="top" wrapText="1"/>
    </xf>
    <xf numFmtId="0" fontId="1" fillId="2" borderId="0" xfId="3" applyAlignment="1">
      <alignment horizontal="center"/>
    </xf>
    <xf numFmtId="0" fontId="7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" fillId="2" borderId="0" xfId="3" applyAlignment="1">
      <alignment horizontal="center" vertical="center"/>
    </xf>
    <xf numFmtId="0" fontId="9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7" fontId="0" fillId="0" borderId="0" xfId="0" applyNumberFormat="1"/>
  </cellXfs>
  <cellStyles count="4">
    <cellStyle name="40% - Accent1" xfId="3" builtinId="31"/>
    <cellStyle name="Currency" xfId="1" builtinId="4"/>
    <cellStyle name="Normal" xfId="0" builtinId="0"/>
    <cellStyle name="Per cent" xfId="2" builtinId="5"/>
  </cellStyles>
  <dxfs count="10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UISymbo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UISymbol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UISymbo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UISymbol"/>
        <family val="2"/>
        <scheme val="none"/>
      </font>
    </dxf>
    <dxf>
      <numFmt numFmtId="0" formatCode="General"/>
    </dxf>
    <dxf>
      <numFmt numFmtId="19" formatCode="dd/mm/yy"/>
    </dxf>
    <dxf>
      <numFmt numFmtId="14" formatCode="0.00%"/>
    </dxf>
    <dxf>
      <numFmt numFmtId="164" formatCode="&quot;₹&quot;#,##0.00"/>
    </dxf>
    <dxf>
      <numFmt numFmtId="164" formatCode="&quot;₹&quot;#,##0.00"/>
    </dxf>
    <dxf>
      <numFmt numFmtId="164" formatCode="&quot;₹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#,##0.00"/>
    </dxf>
    <dxf>
      <numFmt numFmtId="164" formatCode="&quot;₹&quot;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7.757458564818" createdVersion="8" refreshedVersion="8" minRefreshableVersion="3" recordCount="2630" xr:uid="{BF5EB1EF-7ECA-5246-9C72-C5DE8B4D8B3A}">
  <cacheSource type="worksheet">
    <worksheetSource name="FS"/>
  </cacheSource>
  <cacheFields count="37">
    <cacheField name="OrderDate" numFmtId="14">
      <sharedItems containsSemiMixedTypes="0" containsNonDate="0" containsDate="1" containsString="0" minDate="2015-01-01T00:00:00" maxDate="2016-01-01T00:00:00" count="365">
        <d v="2015-01-04T00:00:00"/>
        <d v="2015-01-12T00:00:00"/>
        <d v="2015-01-23T00:00:00"/>
        <d v="2015-02-15T00:00:00"/>
        <d v="2015-02-11T00:00:00"/>
        <d v="2015-02-07T00:00:00"/>
        <d v="2015-02-10T00:00:00"/>
        <d v="2015-02-14T00:00:00"/>
        <d v="2015-02-06T00:00:00"/>
        <d v="2015-02-20T00:00:00"/>
        <d v="2015-01-22T00:00:00"/>
        <d v="2015-02-28T00:00:00"/>
        <d v="2015-02-02T00:00:00"/>
        <d v="2015-02-03T00:00:00"/>
        <d v="2015-01-10T00:00:00"/>
        <d v="2015-01-01T00:00:00"/>
        <d v="2015-01-28T00:00:00"/>
        <d v="2015-01-31T00:00:00"/>
        <d v="2015-01-03T00:00:00"/>
        <d v="2015-01-16T00:00:00"/>
        <d v="2015-01-21T00:00:00"/>
        <d v="2015-01-17T00:00:00"/>
        <d v="2015-01-08T00:00:00"/>
        <d v="2015-01-14T00:00:00"/>
        <d v="2015-01-26T00:00:00"/>
        <d v="2015-01-29T00:00:00"/>
        <d v="2015-02-05T00:00:00"/>
        <d v="2015-02-08T00:00:00"/>
        <d v="2015-03-08T00:00:00"/>
        <d v="2015-03-29T00:00:00"/>
        <d v="2015-04-11T00:00:00"/>
        <d v="2015-02-18T00:00:00"/>
        <d v="2015-02-24T00:00:00"/>
        <d v="2015-03-07T00:00:00"/>
        <d v="2015-03-30T00:00:00"/>
        <d v="2015-03-01T00:00:00"/>
        <d v="2015-03-13T00:00:00"/>
        <d v="2015-01-11T00:00:00"/>
        <d v="2015-03-20T00:00:00"/>
        <d v="2015-01-15T00:00:00"/>
        <d v="2015-03-22T00:00:00"/>
        <d v="2015-03-02T00:00:00"/>
        <d v="2015-03-19T00:00:00"/>
        <d v="2015-03-16T00:00:00"/>
        <d v="2015-03-03T00:00:00"/>
        <d v="2015-03-24T00:00:00"/>
        <d v="2015-03-11T00:00:00"/>
        <d v="2015-03-23T00:00:00"/>
        <d v="2015-03-18T00:00:00"/>
        <d v="2015-03-28T00:00:00"/>
        <d v="2015-03-04T00:00:00"/>
        <d v="2015-01-27T00:00:00"/>
        <d v="2015-03-15T00:00:00"/>
        <d v="2015-02-13T00:00:00"/>
        <d v="2015-03-09T00:00:00"/>
        <d v="2015-03-05T00:00:00"/>
        <d v="2015-02-22T00:00:00"/>
        <d v="2015-03-12T00:00:00"/>
        <d v="2015-04-17T00:00:00"/>
        <d v="2015-04-25T00:00:00"/>
        <d v="2015-04-13T00:00:00"/>
        <d v="2015-02-27T00:00:00"/>
        <d v="2015-03-06T00:00:00"/>
        <d v="2015-05-17T00:00:00"/>
        <d v="2015-05-08T00:00:00"/>
        <d v="2015-03-10T00:00:00"/>
        <d v="2015-05-06T00:00:00"/>
        <d v="2015-06-12T00:00:00"/>
        <d v="2015-06-22T00:00:00"/>
        <d v="2015-06-07T00:00:00"/>
        <d v="2015-06-23T00:00:00"/>
        <d v="2015-03-17T00:00:00"/>
        <d v="2015-07-25T00:00:00"/>
        <d v="2015-07-30T00:00:00"/>
        <d v="2015-07-05T00:00:00"/>
        <d v="2015-04-30T00:00:00"/>
        <d v="2015-05-10T00:00:00"/>
        <d v="2015-03-21T00:00:00"/>
        <d v="2015-08-14T00:00:00"/>
        <d v="2015-06-02T00:00:00"/>
        <d v="2015-03-25T00:00:00"/>
        <d v="2015-03-27T00:00:00"/>
        <d v="2015-03-26T00:00:00"/>
        <d v="2015-07-23T00:00:00"/>
        <d v="2015-03-31T00:00:00"/>
        <d v="2015-08-22T00:00:00"/>
        <d v="2015-08-19T00:00:00"/>
        <d v="2015-04-01T00:00:00"/>
        <d v="2015-07-13T00:00:00"/>
        <d v="2015-09-26T00:00:00"/>
        <d v="2015-04-03T00:00:00"/>
        <d v="2015-04-04T00:00:00"/>
        <d v="2015-04-05T00:00:00"/>
        <d v="2015-04-07T00:00:00"/>
        <d v="2015-09-12T00:00:00"/>
        <d v="2015-07-21T00:00:00"/>
        <d v="2015-04-08T00:00:00"/>
        <d v="2015-07-06T00:00:00"/>
        <d v="2015-09-09T00:00:00"/>
        <d v="2015-07-31T00:00:00"/>
        <d v="2015-04-09T00:00:00"/>
        <d v="2015-04-10T00:00:00"/>
        <d v="2015-08-05T00:00:00"/>
        <d v="2015-11-14T00:00:00"/>
        <d v="2015-11-11T00:00:00"/>
        <d v="2015-08-25T00:00:00"/>
        <d v="2015-08-06T00:00:00"/>
        <d v="2015-04-12T00:00:00"/>
        <d v="2015-04-14T00:00:00"/>
        <d v="2015-04-15T00:00:00"/>
        <d v="2015-04-20T00:00:00"/>
        <d v="2015-04-16T00:00:00"/>
        <d v="2015-04-29T00:00:00"/>
        <d v="2015-04-19T00:00:00"/>
        <d v="2015-04-18T00:00:00"/>
        <d v="2015-04-23T00:00:00"/>
        <d v="2015-04-27T00:00:00"/>
        <d v="2015-04-21T00:00:00"/>
        <d v="2015-04-22T00:00:00"/>
        <d v="2015-04-24T00:00:00"/>
        <d v="2015-04-26T00:00:00"/>
        <d v="2015-04-28T00:00:00"/>
        <d v="2015-05-01T00:00:00"/>
        <d v="2015-05-02T00:00:00"/>
        <d v="2015-05-03T00:00:00"/>
        <d v="2015-05-04T00:00:00"/>
        <d v="2015-05-07T00:00:00"/>
        <d v="2015-05-09T00:00:00"/>
        <d v="2015-05-11T00:00:00"/>
        <d v="2015-05-12T00:00:00"/>
        <d v="2015-05-13T00:00:00"/>
        <d v="2015-05-14T00:00:00"/>
        <d v="2015-05-15T00:00:00"/>
        <d v="2015-05-16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3T00:00:00"/>
        <d v="2015-06-05T00:00:00"/>
        <d v="2015-06-09T00:00:00"/>
        <d v="2015-06-13T00:00:00"/>
        <d v="2015-06-06T00:00:00"/>
        <d v="2015-06-11T00:00:00"/>
        <d v="2015-06-10T00:00:00"/>
        <d v="2015-06-08T00:00:00"/>
        <d v="2015-06-29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8-13T00:00:00"/>
        <d v="2015-11-16T00:00:00"/>
        <d v="2015-11-02T00:00:00"/>
        <d v="2015-11-26T00:00:00"/>
        <d v="2015-11-09T00:00:00"/>
        <d v="2015-06-24T00:00:00"/>
        <d v="2015-06-25T00:00:00"/>
        <d v="2015-06-26T00:00:00"/>
        <d v="2015-06-27T00:00:00"/>
        <d v="2015-06-28T00:00:00"/>
        <d v="2015-06-30T00:00:00"/>
        <d v="2015-07-01T00:00:00"/>
        <d v="2015-07-02T00:00:00"/>
        <d v="2015-07-03T00:00:00"/>
        <d v="2015-09-16T00:00:00"/>
        <d v="2015-11-10T00:00:00"/>
        <d v="2015-09-08T00:00:00"/>
        <d v="2015-09-11T00:00:00"/>
        <d v="2015-07-04T00:00:00"/>
        <d v="2015-09-14T00:00:00"/>
        <d v="2015-11-20T00:00:00"/>
        <d v="2015-12-09T00:00:00"/>
        <d v="2015-12-22T00:00:00"/>
        <d v="2015-12-17T00:00:00"/>
        <d v="2015-12-05T00:00:00"/>
        <d v="2015-12-19T00:00:00"/>
        <d v="2015-09-24T00:00:00"/>
        <d v="2015-07-07T00:00:00"/>
        <d v="2015-07-08T00:00:00"/>
        <d v="2015-07-09T00:00:00"/>
        <d v="2015-09-29T00:00:00"/>
        <d v="2015-10-12T00:00:00"/>
        <d v="2015-12-18T00:00:00"/>
        <d v="2015-07-10T00:00:00"/>
        <d v="2015-12-25T00:00:00"/>
        <d v="2015-10-13T00:00:00"/>
        <d v="2015-10-04T00:00:00"/>
        <d v="2015-07-11T00:00:00"/>
        <d v="2015-10-16T00:00:00"/>
        <d v="2015-10-15T00:00:00"/>
        <d v="2015-10-26T00:00:00"/>
        <d v="2015-07-12T00:00:00"/>
        <d v="2015-10-01T00:00:00"/>
        <d v="2015-10-08T00:00:00"/>
        <d v="2015-11-17T00:00:00"/>
        <d v="2015-11-30T00:00:00"/>
        <d v="2015-11-21T00:00:00"/>
        <d v="2015-07-14T00:00:00"/>
        <d v="2015-12-29T00:00:00"/>
        <d v="2015-07-15T00:00:00"/>
        <d v="2015-07-16T00:00:00"/>
        <d v="2015-12-28T00:00:00"/>
        <d v="2015-12-01T00:00:00"/>
        <d v="2015-12-27T00:00:00"/>
        <d v="2015-12-13T00:00:00"/>
        <d v="2015-07-17T00:00:00"/>
        <d v="2015-12-06T00:00:00"/>
        <d v="2015-07-18T00:00:00"/>
        <d v="2015-07-19T00:00:00"/>
        <d v="2015-07-26T00:00:00"/>
        <d v="2015-07-20T00:00:00"/>
        <d v="2015-07-28T00:00:00"/>
        <d v="2015-07-22T00:00:00"/>
        <d v="2015-07-24T00:00:00"/>
        <d v="2015-12-21T00:00:00"/>
        <d v="2015-12-30T00:00:00"/>
        <d v="2015-12-03T00:00:00"/>
        <d v="2015-12-26T00:00:00"/>
        <d v="2015-07-27T00:00:00"/>
        <d v="2015-07-29T00:00:00"/>
        <d v="2015-08-01T00:00:00"/>
        <d v="2015-08-02T00:00:00"/>
        <d v="2015-08-03T00:00:00"/>
        <d v="2015-08-04T00:00:00"/>
        <d v="2015-08-07T00:00:00"/>
        <d v="2015-08-08T00:00:00"/>
        <d v="2015-08-09T00:00:00"/>
        <d v="2015-08-10T00:00:00"/>
        <d v="2015-08-12T00:00:00"/>
        <d v="2015-08-15T00:00:00"/>
        <d v="2015-08-16T00:00:00"/>
        <d v="2015-08-17T00:00:00"/>
        <d v="2015-08-18T00:00:00"/>
        <d v="2015-08-30T00:00:00"/>
        <d v="2015-08-31T00:00:00"/>
        <d v="2015-08-21T00:00:00"/>
        <d v="2015-08-23T00:00:00"/>
        <d v="2015-08-24T00:00:00"/>
        <d v="2015-08-26T00:00:00"/>
        <d v="2015-08-27T00:00:00"/>
        <d v="2015-08-29T00:00:00"/>
        <d v="2015-09-18T00:00:00"/>
        <d v="2015-08-28T00:00:00"/>
        <d v="2015-09-03T00:00:00"/>
        <d v="2015-09-13T00:00:00"/>
        <d v="2015-09-15T00:00:00"/>
        <d v="2015-10-30T00:00:00"/>
        <d v="2015-10-19T00:00:00"/>
        <d v="2015-10-20T00:00:00"/>
        <d v="2015-10-06T00:00:00"/>
        <d v="2015-10-14T00:00:00"/>
        <d v="2015-09-02T00:00:00"/>
        <d v="2015-09-06T00:00:00"/>
        <d v="2015-09-19T00:00:00"/>
        <d v="2015-09-27T00:00:00"/>
        <d v="2015-10-02T00:00:00"/>
        <d v="2015-10-03T00:00:00"/>
        <d v="2015-10-07T00:00:00"/>
        <d v="2015-10-10T00:00:00"/>
        <d v="2015-10-18T00:00:00"/>
        <d v="2015-10-11T00:00:00"/>
        <d v="2015-10-29T00:00:00"/>
        <d v="2015-10-23T00:00:00"/>
        <d v="2015-10-24T00:00:00"/>
        <d v="2015-10-25T00:00:00"/>
        <d v="2015-10-21T00:00:00"/>
        <d v="2015-11-06T00:00:00"/>
        <d v="2015-11-28T00:00:00"/>
        <d v="2015-11-08T00:00:00"/>
        <d v="2015-12-24T00:00:00"/>
        <d v="2015-12-12T00:00:00"/>
        <d v="2015-12-20T00:00:00"/>
        <d v="2015-12-31T00:00:00"/>
        <d v="2015-12-02T00:00:00"/>
        <d v="2015-12-04T00:00:00"/>
        <d v="2015-12-14T00:00:00"/>
        <d v="2015-12-16T00:00:00"/>
        <d v="2015-12-10T00:00:00"/>
        <d v="2015-12-11T00:00:00"/>
        <d v="2015-11-01T00:00:00"/>
        <d v="2015-11-04T00:00:00"/>
        <d v="2015-11-13T00:00:00"/>
        <d v="2015-12-08T00:00:00"/>
        <d v="2015-11-25T00:00:00"/>
        <d v="2015-11-18T00:00:00"/>
        <d v="2015-11-05T00:00:00"/>
        <d v="2015-11-12T00:00:00"/>
        <d v="2015-12-23T00:00:00"/>
        <d v="2015-12-07T00:00:00"/>
        <d v="2015-08-20T00:00:00"/>
        <d v="2015-09-20T00:00:00"/>
        <d v="2015-09-25T00:00:00"/>
        <d v="2015-09-23T00:00:00"/>
        <d v="2015-10-31T00:00:00"/>
        <d v="2015-10-28T00:00:00"/>
        <d v="2015-11-07T00:00:00"/>
        <d v="2015-11-23T00:00:00"/>
        <d v="2015-11-27T00:00:00"/>
        <d v="2015-01-30T00:00:00"/>
        <d v="2015-02-23T00:00:00"/>
        <d v="2015-02-04T00:00:00"/>
        <d v="2015-02-19T00:00:00"/>
        <d v="2015-09-21T00:00:00"/>
        <d v="2015-02-17T00:00:00"/>
        <d v="2015-09-22T00:00:00"/>
        <d v="2015-09-10T00:00:00"/>
        <d v="2015-09-05T00:00:00"/>
        <d v="2015-01-25T00:00:00"/>
        <d v="2015-01-13T00:00:00"/>
        <d v="2015-01-19T00:00:00"/>
        <d v="2015-03-14T00:00:00"/>
        <d v="2015-10-09T00:00:00"/>
        <d v="2015-01-24T00:00:00"/>
        <d v="2015-02-26T00:00:00"/>
        <d v="2015-02-25T00:00:00"/>
        <d v="2015-02-01T00:00:00"/>
        <d v="2015-10-17T00:00:00"/>
        <d v="2015-11-24T00:00:00"/>
        <d v="2015-01-20T00:00:00"/>
        <d v="2015-04-06T00:00:00"/>
        <d v="2015-01-18T00:00:00"/>
        <d v="2015-11-29T00:00:00"/>
        <d v="2015-01-07T00:00:00"/>
        <d v="2015-01-02T00:00:00"/>
        <d v="2015-06-04T00:00:00"/>
        <d v="2015-02-09T00:00:00"/>
        <d v="2015-10-22T00:00:00"/>
        <d v="2015-11-22T00:00:00"/>
        <d v="2015-11-15T00:00:00"/>
        <d v="2015-08-11T00:00:00"/>
        <d v="2015-09-17T00:00:00"/>
        <d v="2015-09-07T00:00:00"/>
        <d v="2015-11-03T00:00:00"/>
        <d v="2015-09-30T00:00:00"/>
        <d v="2015-11-19T00:00:00"/>
        <d v="2015-12-15T00:00:00"/>
        <d v="2015-01-09T00:00:00"/>
        <d v="2015-09-01T00:00:00"/>
        <d v="2015-01-05T00:00:00"/>
        <d v="2015-02-16T00:00:00"/>
        <d v="2015-02-21T00:00:00"/>
        <d v="2015-01-06T00:00:00"/>
        <d v="2015-02-12T00:00:00"/>
        <d v="2015-04-02T00:00:00"/>
        <d v="2015-10-05T00:00:00"/>
        <d v="2015-09-04T00:00:00"/>
        <d v="2015-10-27T00:00:00"/>
        <d v="2015-05-05T00:00:00"/>
        <d v="2015-09-28T00:00:00"/>
      </sharedItems>
      <fieldGroup par="36"/>
    </cacheField>
    <cacheField name="StockDate" numFmtId="14">
      <sharedItems containsSemiMixedTypes="0" containsNonDate="0" containsDate="1" containsString="0" minDate="2001-09-11T00:00:00" maxDate="2002-12-15T00:00:00"/>
    </cacheField>
    <cacheField name="OrderNumber" numFmtId="0">
      <sharedItems/>
    </cacheField>
    <cacheField name="ProductKey" numFmtId="0">
      <sharedItems containsSemiMixedTypes="0" containsString="0" containsNumber="1" containsInteger="1" minValue="310" maxValue="389"/>
    </cacheField>
    <cacheField name="CustomerKey" numFmtId="0">
      <sharedItems containsSemiMixedTypes="0" containsString="0" containsNumber="1" containsInteger="1" minValue="11090" maxValue="29481"/>
    </cacheField>
    <cacheField name="TerritoryKey" numFmtId="0">
      <sharedItems containsSemiMixedTypes="0" containsString="0" containsNumber="1" containsInteger="1" minValue="1" maxValue="10"/>
    </cacheField>
    <cacheField name="OrderLineItem" numFmtId="0">
      <sharedItems containsSemiMixedTypes="0" containsString="0" containsNumber="1" containsInteger="1" minValue="1" maxValue="1"/>
    </cacheField>
    <cacheField name="OrderQuantity" numFmtId="0">
      <sharedItems containsSemiMixedTypes="0" containsString="0" containsNumber="1" containsInteger="1" minValue="1" maxValue="1"/>
    </cacheField>
    <cacheField name="ProductSubcategoryKey" numFmtId="0">
      <sharedItems containsSemiMixedTypes="0" containsString="0" containsNumber="1" containsInteger="1" minValue="1" maxValue="2"/>
    </cacheField>
    <cacheField name="ProductSKU" numFmtId="0">
      <sharedItems/>
    </cacheField>
    <cacheField name="ProductName" numFmtId="0">
      <sharedItems count="44">
        <s v="Road-150 Red, 48"/>
        <s v="Road-150 Red, 62"/>
        <s v="Road-150 Red, 56"/>
        <s v="Road-150 Red, 52"/>
        <s v="Road-150 Red, 44"/>
        <s v="Mountain-100 Black, 44"/>
        <s v="Mountain-100 Silver, 42"/>
        <s v="Mountain-100 Black, 48"/>
        <s v="Mountain-100 Silver, 38"/>
        <s v="Mountain-100 Black, 38"/>
        <s v="Mountain-100 Silver, 48"/>
        <s v="Mountain-100 Black, 42"/>
        <s v="Mountain-100 Silver, 44"/>
        <s v="Mountain-200 Black, 46"/>
        <s v="Mountain-200 Silver, 46"/>
        <s v="Mountain-200 Black, 38"/>
        <s v="Mountain-200 Silver, 38"/>
        <s v="Mountain-200 Black, 42"/>
        <s v="Mountain-200 Silver, 42"/>
        <s v="Road-250 Black, 44"/>
        <s v="Road-250 Black, 52"/>
        <s v="Road-250 Red, 48"/>
        <s v="Road-250 Red, 44"/>
        <s v="Road-250 Red, 52"/>
        <s v="Road-250 Red, 58"/>
        <s v="Road-250 Black, 48"/>
        <s v="Road-250 Black, 58"/>
        <s v="Road-550-W Yellow, 44"/>
        <s v="Road-550-W Yellow, 42"/>
        <s v="Road-550-W Yellow, 40"/>
        <s v="Road-550-W Yellow, 38"/>
        <s v="Road-550-W Yellow, 48"/>
        <s v="Road-650 Black, 44"/>
        <s v="Road-650 Black, 52"/>
        <s v="Road-650 Black, 58"/>
        <s v="Road-650 Red, 48"/>
        <s v="Road-650 Black, 62"/>
        <s v="Road-650 Black, 48"/>
        <s v="Road-650 Red, 60"/>
        <s v="Road-650 Red, 52"/>
        <s v="Road-650 Red, 58"/>
        <s v="Road-650 Black, 60"/>
        <s v="Road-650 Red, 62"/>
        <s v="Road-650 Red, 44"/>
      </sharedItems>
    </cacheField>
    <cacheField name="ProductCost" numFmtId="164">
      <sharedItems containsSemiMixedTypes="0" containsString="0" containsNumber="1" minValue="413.1463" maxValue="2171.2941999999998"/>
    </cacheField>
    <cacheField name="ProductPrice" numFmtId="164">
      <sharedItems containsSemiMixedTypes="0" containsString="0" containsNumber="1" minValue="699.09820000000002" maxValue="3578.27"/>
    </cacheField>
    <cacheField name="Prefix" numFmtId="0">
      <sharedItems/>
    </cacheField>
    <cacheField name="FirstName" numFmtId="0">
      <sharedItems/>
    </cacheField>
    <cacheField name="LastName" numFmtId="0">
      <sharedItems/>
    </cacheField>
    <cacheField name="Full Name" numFmtId="0">
      <sharedItems/>
    </cacheField>
    <cacheField name="BirthDate" numFmtId="14">
      <sharedItems containsSemiMixedTypes="0" containsNonDate="0" containsDate="1" containsString="0" minDate="1922-06-03T00:00:00" maxDate="1980-12-25T00:00:00"/>
    </cacheField>
    <cacheField name="MaritalStatus" numFmtId="0">
      <sharedItems/>
    </cacheField>
    <cacheField name="Gender" numFmtId="0">
      <sharedItems/>
    </cacheField>
    <cacheField name="EmailAddress" numFmtId="0">
      <sharedItems/>
    </cacheField>
    <cacheField name="AnnualIncome" numFmtId="0">
      <sharedItems containsSemiMixedTypes="0" containsString="0" containsNumber="1" containsInteger="1" minValue="10000" maxValue="170000"/>
    </cacheField>
    <cacheField name="TotalChildren" numFmtId="0">
      <sharedItems containsSemiMixedTypes="0" containsString="0" containsNumber="1" containsInteger="1" minValue="0" maxValue="5"/>
    </cacheField>
    <cacheField name="EducationLevel" numFmtId="0">
      <sharedItems/>
    </cacheField>
    <cacheField name="Occupation" numFmtId="0">
      <sharedItems/>
    </cacheField>
    <cacheField name="HomeOwner" numFmtId="0">
      <sharedItems/>
    </cacheField>
    <cacheField name="Region" numFmtId="0">
      <sharedItems/>
    </cacheField>
    <cacheField name="Country" numFmtId="0">
      <sharedItems count="6">
        <s v="France"/>
        <s v="United States"/>
        <s v="Australia"/>
        <s v="United Kingdom"/>
        <s v="Germany"/>
        <s v="Canada"/>
      </sharedItems>
    </cacheField>
    <cacheField name="Continent" numFmtId="0">
      <sharedItems/>
    </cacheField>
    <cacheField name="SubcategoryName" numFmtId="0">
      <sharedItems count="2">
        <s v="Road Bikes"/>
        <s v="Mountain Bikes"/>
      </sharedItems>
    </cacheField>
    <cacheField name="CategoryName" numFmtId="0">
      <sharedItems/>
    </cacheField>
    <cacheField name="Revenue" numFmtId="164">
      <sharedItems containsSemiMixedTypes="0" containsString="0" containsNumber="1" minValue="699.09820000000002" maxValue="3578.27"/>
    </cacheField>
    <cacheField name="Cost" numFmtId="164">
      <sharedItems containsSemiMixedTypes="0" containsString="0" containsNumber="1" minValue="413.1463" maxValue="2171.2941999999998"/>
    </cacheField>
    <cacheField name="Profit" numFmtId="164">
      <sharedItems containsSemiMixedTypes="0" containsString="0" containsNumber="1" minValue="285.95190000000002" maxValue="1487.8356000000001"/>
    </cacheField>
    <cacheField name="Profit %" numFmtId="10">
      <sharedItems containsSemiMixedTypes="0" containsString="0" containsNumber="1" minValue="0.37839998362903399" maxValue="0.46034309141455498"/>
    </cacheField>
    <cacheField name="Days (OrderDate)" numFmtId="0" databaseField="0">
      <fieldGroup base="0">
        <rangePr groupBy="days" startDate="2015-01-01T00:00:00" endDate="2016-01-01T00:00:00"/>
        <groupItems count="368">
          <s v="&lt;01/01/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16"/>
        </groupItems>
      </fieldGroup>
    </cacheField>
    <cacheField name="Months (OrderDate)" numFmtId="0" databaseField="0">
      <fieldGroup base="0">
        <rangePr groupBy="months" startDate="2015-01-01T00:00:00" endDate="2016-01-01T00:00:00"/>
        <groupItems count="14">
          <s v="&lt;01/01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7.819268749998" createdVersion="8" refreshedVersion="8" minRefreshableVersion="3" recordCount="7" xr:uid="{C4EE803E-11CC-314B-A5B0-540B6832B29B}">
  <cacheSource type="worksheet">
    <worksheetSource name="FD"/>
  </cacheSource>
  <cacheFields count="37">
    <cacheField name="OrderDate" numFmtId="14">
      <sharedItems containsSemiMixedTypes="0" containsNonDate="0" containsDate="1" containsString="0" minDate="2015-12-31T00:00:00" maxDate="2016-01-01T00:00:00" count="1">
        <d v="2015-12-31T00:00:00"/>
      </sharedItems>
      <fieldGroup par="36"/>
    </cacheField>
    <cacheField name="StockDate" numFmtId="14">
      <sharedItems containsSemiMixedTypes="0" containsNonDate="0" containsDate="1" containsString="0" minDate="2002-10-09T00:00:00" maxDate="2002-12-15T00:00:00"/>
    </cacheField>
    <cacheField name="OrderNumber" numFmtId="0">
      <sharedItems/>
    </cacheField>
    <cacheField name="ProductKey" numFmtId="0">
      <sharedItems containsSemiMixedTypes="0" containsString="0" containsNumber="1" containsInteger="1" minValue="324" maxValue="383"/>
    </cacheField>
    <cacheField name="CustomerKey" numFmtId="0">
      <sharedItems containsSemiMixedTypes="0" containsString="0" containsNumber="1" containsInteger="1" minValue="13111" maxValue="26563"/>
    </cacheField>
    <cacheField name="TerritoryKey" numFmtId="0">
      <sharedItems containsSemiMixedTypes="0" containsString="0" containsNumber="1" containsInteger="1" minValue="7" maxValue="10"/>
    </cacheField>
    <cacheField name="OrderLineItem" numFmtId="0">
      <sharedItems containsSemiMixedTypes="0" containsString="0" containsNumber="1" containsInteger="1" minValue="1" maxValue="1"/>
    </cacheField>
    <cacheField name="OrderQuantity" numFmtId="0">
      <sharedItems containsSemiMixedTypes="0" containsString="0" containsNumber="1" containsInteger="1" minValue="1" maxValue="1"/>
    </cacheField>
    <cacheField name="ProductSubcategoryKey" numFmtId="0">
      <sharedItems containsSemiMixedTypes="0" containsString="0" containsNumber="1" containsInteger="1" minValue="1" maxValue="2"/>
    </cacheField>
    <cacheField name="ProductSKU" numFmtId="0">
      <sharedItems/>
    </cacheField>
    <cacheField name="ProductName" numFmtId="0">
      <sharedItems count="7">
        <s v="Road-250 Red, 48"/>
        <s v="Road-650 Black, 48"/>
        <s v="Road-550-W Yellow, 40"/>
        <s v="Road-650 Red, 62"/>
        <s v="Road-250 Black, 52"/>
        <s v="Mountain-200 Silver, 42"/>
        <s v="Mountain-200 Black, 42"/>
      </sharedItems>
    </cacheField>
    <cacheField name="ProductCost" numFmtId="0">
      <sharedItems containsSemiMixedTypes="0" containsString="0" containsNumber="1" minValue="413.1463" maxValue="1518.7864"/>
    </cacheField>
    <cacheField name="ProductPrice" numFmtId="0">
      <sharedItems containsSemiMixedTypes="0" containsString="0" containsNumber="1" minValue="699.09820000000002" maxValue="2443.35"/>
    </cacheField>
    <cacheField name="Prefix" numFmtId="0">
      <sharedItems/>
    </cacheField>
    <cacheField name="FirstName" numFmtId="0">
      <sharedItems/>
    </cacheField>
    <cacheField name="LastName" numFmtId="0">
      <sharedItems/>
    </cacheField>
    <cacheField name="Full Name" numFmtId="0">
      <sharedItems/>
    </cacheField>
    <cacheField name="BirthDate" numFmtId="14">
      <sharedItems containsSemiMixedTypes="0" containsNonDate="0" containsDate="1" containsString="0" minDate="1945-04-17T00:00:00" maxDate="1972-04-25T00:00:00"/>
    </cacheField>
    <cacheField name="MaritalStatus" numFmtId="0">
      <sharedItems/>
    </cacheField>
    <cacheField name="Gender" numFmtId="0">
      <sharedItems/>
    </cacheField>
    <cacheField name="EmailAddress" numFmtId="0">
      <sharedItems/>
    </cacheField>
    <cacheField name="AnnualIncome" numFmtId="0">
      <sharedItems containsSemiMixedTypes="0" containsString="0" containsNumber="1" containsInteger="1" minValue="10000" maxValue="110000"/>
    </cacheField>
    <cacheField name="TotalChildren" numFmtId="0">
      <sharedItems containsSemiMixedTypes="0" containsString="0" containsNumber="1" containsInteger="1" minValue="0" maxValue="5"/>
    </cacheField>
    <cacheField name="EducationLevel" numFmtId="0">
      <sharedItems/>
    </cacheField>
    <cacheField name="Occupation" numFmtId="0">
      <sharedItems/>
    </cacheField>
    <cacheField name="HomeOwner" numFmtId="0">
      <sharedItems/>
    </cacheField>
    <cacheField name="Region" numFmtId="0">
      <sharedItems/>
    </cacheField>
    <cacheField name="Country" numFmtId="0">
      <sharedItems count="4">
        <s v="France"/>
        <s v="Germany"/>
        <s v="Australia"/>
        <s v="United Kingdom"/>
      </sharedItems>
    </cacheField>
    <cacheField name="Continent" numFmtId="0">
      <sharedItems/>
    </cacheField>
    <cacheField name="SubcategoryName" numFmtId="0">
      <sharedItems count="2">
        <s v="Road Bikes"/>
        <s v="Mountain Bikes"/>
      </sharedItems>
    </cacheField>
    <cacheField name="CategoryName" numFmtId="0">
      <sharedItems/>
    </cacheField>
    <cacheField name="Revenue" numFmtId="0">
      <sharedItems containsSemiMixedTypes="0" containsString="0" containsNumber="1" minValue="699.09820000000002" maxValue="2443.35"/>
    </cacheField>
    <cacheField name="Cost" numFmtId="0">
      <sharedItems containsSemiMixedTypes="0" containsString="0" containsNumber="1" minValue="413.1463" maxValue="1518.7864"/>
    </cacheField>
    <cacheField name="Profit" numFmtId="0">
      <sharedItems containsSemiMixedTypes="0" containsString="0" containsNumber="1" minValue="285.95190000000002" maxValue="953.56370000000004"/>
    </cacheField>
    <cacheField name="Profit %" numFmtId="0">
      <sharedItems containsSemiMixedTypes="0" containsString="0" containsNumber="1" minValue="0.37839998362903399" maxValue="0.46034309141455498"/>
    </cacheField>
    <cacheField name="Days (OrderDate)" numFmtId="0" databaseField="0">
      <fieldGroup base="0">
        <rangePr groupBy="days" startDate="2015-12-31T00:00:00" endDate="2016-01-01T00:00:00"/>
        <groupItems count="368">
          <s v="&lt;31/12/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16"/>
        </groupItems>
      </fieldGroup>
    </cacheField>
    <cacheField name="Months (OrderDate)" numFmtId="0" databaseField="0">
      <fieldGroup base="0">
        <rangePr groupBy="months" startDate="2015-12-31T00:00:00" endDate="2016-01-01T00:00:00"/>
        <groupItems count="14">
          <s v="&lt;31/12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0">
  <r>
    <x v="0"/>
    <d v="2001-10-30T00:00:00"/>
    <s v="SO45096"/>
    <n v="312"/>
    <n v="12483"/>
    <n v="7"/>
    <n v="1"/>
    <n v="1"/>
    <n v="2"/>
    <s v="BK-R93R-48"/>
    <x v="0"/>
    <n v="2171.2941999999998"/>
    <n v="3578.27"/>
    <s v="MRS."/>
    <s v="AMANDA"/>
    <s v="PEREZ"/>
    <s v="AMANDA PEREZ"/>
    <d v="1964-04-04T00:00:00"/>
    <s v="S"/>
    <s v="F"/>
    <s v="amanda55@adventure-works.com"/>
    <n v="20000"/>
    <n v="2"/>
    <s v="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1"/>
    <d v="2001-11-17T00:00:00"/>
    <s v="SO45140"/>
    <n v="312"/>
    <n v="12485"/>
    <n v="7"/>
    <n v="1"/>
    <n v="1"/>
    <n v="2"/>
    <s v="BK-R93R-48"/>
    <x v="0"/>
    <n v="2171.2941999999998"/>
    <n v="3578.27"/>
    <s v="MRS."/>
    <s v="VERONICA"/>
    <s v="SUBRAM"/>
    <s v="VERONICA SUBRAM"/>
    <d v="1964-03-25T00:00:00"/>
    <s v="S"/>
    <s v="F"/>
    <s v="veronica14@adventure-works.com"/>
    <n v="20000"/>
    <n v="3"/>
    <s v="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2"/>
    <d v="2001-10-06T00:00:00"/>
    <s v="SO45214"/>
    <n v="310"/>
    <n v="12464"/>
    <n v="7"/>
    <n v="1"/>
    <n v="1"/>
    <n v="2"/>
    <s v="BK-R93R-62"/>
    <x v="1"/>
    <n v="2171.2941999999998"/>
    <n v="3578.27"/>
    <s v="MR."/>
    <s v="JARED"/>
    <s v="COOK"/>
    <s v="JARED COOK"/>
    <d v="1967-10-15T00:00:00"/>
    <s v="S"/>
    <s v="M"/>
    <s v="jared23@adventure-works.com"/>
    <n v="10000"/>
    <n v="3"/>
    <s v="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3"/>
    <d v="2002-01-22T00:00:00"/>
    <s v="SO45441"/>
    <n v="312"/>
    <n v="11216"/>
    <n v="1"/>
    <n v="1"/>
    <n v="1"/>
    <n v="2"/>
    <s v="BK-R93R-48"/>
    <x v="0"/>
    <n v="2171.2941999999998"/>
    <n v="3578.27"/>
    <s v="MRS."/>
    <s v="JASMINE"/>
    <s v="TORRES"/>
    <s v="JASMINE TORRES"/>
    <d v="1950-05-20T00:00:00"/>
    <s v="S"/>
    <s v="F"/>
    <s v="jasmine32@adventure-works.com"/>
    <n v="60000"/>
    <n v="2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4"/>
    <d v="2001-10-22T00:00:00"/>
    <s v="SO45413"/>
    <n v="312"/>
    <n v="11191"/>
    <n v="4"/>
    <n v="1"/>
    <n v="1"/>
    <n v="2"/>
    <s v="BK-R93R-48"/>
    <x v="0"/>
    <n v="2171.2941999999998"/>
    <n v="3578.27"/>
    <s v="MRS."/>
    <s v="KRISTI"/>
    <s v="PEREZ"/>
    <s v="KRISTI PEREZ"/>
    <d v="1945-12-18T00:00:00"/>
    <s v="S"/>
    <s v="F"/>
    <s v="kristi39@adventure-works.com"/>
    <n v="70000"/>
    <n v="5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5"/>
    <d v="2002-01-08T00:00:00"/>
    <s v="SO45389"/>
    <n v="310"/>
    <n v="11090"/>
    <n v="4"/>
    <n v="1"/>
    <n v="1"/>
    <n v="2"/>
    <s v="BK-R93R-62"/>
    <x v="1"/>
    <n v="2171.2941999999998"/>
    <n v="3578.27"/>
    <s v="MR."/>
    <s v="TREVOR"/>
    <s v="BRYANT"/>
    <s v="TREVOR BRYANT"/>
    <d v="1957-12-17T00:00:00"/>
    <s v="S"/>
    <s v="M"/>
    <s v="trevor18@adventure-works.com"/>
    <n v="90000"/>
    <n v="2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5"/>
    <d v="2001-12-19T00:00:00"/>
    <s v="SO45387"/>
    <n v="310"/>
    <n v="11224"/>
    <n v="1"/>
    <n v="1"/>
    <n v="1"/>
    <n v="2"/>
    <s v="BK-R93R-62"/>
    <x v="1"/>
    <n v="2171.2941999999998"/>
    <n v="3578.27"/>
    <s v="MRS."/>
    <s v="TIFFANY"/>
    <s v="LI"/>
    <s v="TIFFANY LI"/>
    <d v="1951-09-06T00:00:00"/>
    <s v="S"/>
    <s v="F"/>
    <s v="tiffany3@adventure-works.com"/>
    <n v="70000"/>
    <n v="2"/>
    <s v="High School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6"/>
    <d v="2001-11-30T00:00:00"/>
    <s v="SO45404"/>
    <n v="310"/>
    <n v="11217"/>
    <n v="1"/>
    <n v="1"/>
    <n v="1"/>
    <n v="2"/>
    <s v="BK-R93R-62"/>
    <x v="1"/>
    <n v="2171.2941999999998"/>
    <n v="3578.27"/>
    <s v="MRS."/>
    <s v="NATALIE"/>
    <s v="ADAMS"/>
    <s v="NATALIE ADAMS"/>
    <d v="1950-02-11T00:00:00"/>
    <s v="S"/>
    <s v="F"/>
    <s v="natalie58@adventure-works.com"/>
    <n v="60000"/>
    <n v="2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7"/>
    <d v="2002-01-25T00:00:00"/>
    <s v="SO45433"/>
    <n v="310"/>
    <n v="12547"/>
    <n v="7"/>
    <n v="1"/>
    <n v="1"/>
    <n v="2"/>
    <s v="BK-R93R-62"/>
    <x v="1"/>
    <n v="2171.2941999999998"/>
    <n v="3578.27"/>
    <s v="MR."/>
    <s v="BRADLEY"/>
    <s v="NARA"/>
    <s v="BRADLEY NARA"/>
    <d v="1956-10-28T00:00:00"/>
    <s v="M"/>
    <s v="M"/>
    <s v="bradley19@adventure-works.com"/>
    <n v="20000"/>
    <n v="1"/>
    <s v="Bachelors"/>
    <s v="Clerical"/>
    <s v="Y"/>
    <s v="France"/>
    <x v="0"/>
    <s v="Europe"/>
    <x v="0"/>
    <s v="Bikes"/>
    <n v="3578.27"/>
    <n v="2171.2941999999998"/>
    <n v="1406.9757999999999"/>
    <n v="0.39320001006072802"/>
  </r>
  <r>
    <x v="1"/>
    <d v="2001-09-25T00:00:00"/>
    <s v="SO45139"/>
    <n v="314"/>
    <n v="12468"/>
    <n v="7"/>
    <n v="1"/>
    <n v="1"/>
    <n v="2"/>
    <s v="BK-R93R-56"/>
    <x v="2"/>
    <n v="2171.2941999999998"/>
    <n v="3578.27"/>
    <s v="MR."/>
    <s v="WAYNE"/>
    <s v="NATH"/>
    <s v="WAYNE NATH"/>
    <d v="1967-10-25T00:00:00"/>
    <s v="M"/>
    <s v="M"/>
    <s v="wayne21@adventure-works.com"/>
    <n v="30000"/>
    <n v="1"/>
    <s v="Bachelors"/>
    <s v="Clerical"/>
    <s v="Y"/>
    <s v="France"/>
    <x v="0"/>
    <s v="Europe"/>
    <x v="0"/>
    <s v="Bikes"/>
    <n v="3578.27"/>
    <n v="2171.2941999999998"/>
    <n v="1406.9757999999999"/>
    <n v="0.39320001006072802"/>
  </r>
  <r>
    <x v="8"/>
    <d v="2002-01-17T00:00:00"/>
    <s v="SO45382"/>
    <n v="313"/>
    <n v="11129"/>
    <n v="1"/>
    <n v="1"/>
    <n v="1"/>
    <n v="2"/>
    <s v="BK-R93R-52"/>
    <x v="3"/>
    <n v="2171.2941999999998"/>
    <n v="3578.27"/>
    <s v="MS."/>
    <s v="JULIA"/>
    <s v="WRIGHT"/>
    <s v="JULIA WRIGHT"/>
    <d v="1975-08-05T00:00:00"/>
    <s v="S"/>
    <s v="F"/>
    <s v="julia17@adventure-works.com"/>
    <n v="40000"/>
    <n v="0"/>
    <s v="High School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9"/>
    <d v="2002-01-30T00:00:00"/>
    <s v="SO45463"/>
    <n v="312"/>
    <n v="11171"/>
    <n v="4"/>
    <n v="1"/>
    <n v="1"/>
    <n v="2"/>
    <s v="BK-R93R-48"/>
    <x v="0"/>
    <n v="2171.2941999999998"/>
    <n v="3578.27"/>
    <s v="MR."/>
    <s v="JONATHAN"/>
    <s v="HILL"/>
    <s v="JONATHAN HILL"/>
    <d v="1967-10-09T00:00:00"/>
    <s v="S"/>
    <s v="M"/>
    <s v="jonathan43@adventure-works.com"/>
    <n v="100000"/>
    <n v="1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0"/>
    <d v="2002-01-06T00:00:00"/>
    <s v="SO45206"/>
    <n v="313"/>
    <n v="12474"/>
    <n v="7"/>
    <n v="1"/>
    <n v="1"/>
    <n v="2"/>
    <s v="BK-R93R-52"/>
    <x v="3"/>
    <n v="2171.2941999999998"/>
    <n v="3578.27"/>
    <s v="MRS."/>
    <s v="TAMMY"/>
    <s v="CHANDRA"/>
    <s v="TAMMY CHANDRA"/>
    <d v="1966-12-22T00:00:00"/>
    <s v="M"/>
    <s v="F"/>
    <s v="tammy2@adventure-works.com"/>
    <n v="30000"/>
    <n v="1"/>
    <s v="Bachelors"/>
    <s v="Skilled Manual"/>
    <s v="Y"/>
    <s v="France"/>
    <x v="0"/>
    <s v="Europe"/>
    <x v="0"/>
    <s v="Bikes"/>
    <n v="3578.27"/>
    <n v="2171.2941999999998"/>
    <n v="1406.9757999999999"/>
    <n v="0.39320001006072802"/>
  </r>
  <r>
    <x v="11"/>
    <d v="2001-12-29T00:00:00"/>
    <s v="SO45512"/>
    <n v="312"/>
    <n v="11175"/>
    <n v="4"/>
    <n v="1"/>
    <n v="1"/>
    <n v="2"/>
    <s v="BK-R93R-48"/>
    <x v="0"/>
    <n v="2171.2941999999998"/>
    <n v="3578.27"/>
    <s v="MR."/>
    <s v="LUIS"/>
    <s v="WANG"/>
    <s v="LUIS WANG"/>
    <d v="1963-03-05T00:00:00"/>
    <s v="S"/>
    <s v="M"/>
    <s v="luis24@adventure-works.com"/>
    <n v="70000"/>
    <n v="0"/>
    <s v="Partial Colleg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2"/>
    <d v="2001-12-14T00:00:00"/>
    <s v="SO45351"/>
    <n v="313"/>
    <n v="12520"/>
    <n v="7"/>
    <n v="1"/>
    <n v="1"/>
    <n v="2"/>
    <s v="BK-R93R-52"/>
    <x v="3"/>
    <n v="2171.2941999999998"/>
    <n v="3578.27"/>
    <s v="MR."/>
    <s v="SETH"/>
    <s v="JACKSON"/>
    <s v="SETH JACKSON"/>
    <d v="1976-11-25T00:00:00"/>
    <s v="S"/>
    <s v="M"/>
    <s v="seth12@adventure-works.com"/>
    <n v="20000"/>
    <n v="0"/>
    <s v="High School"/>
    <s v="Manual"/>
    <s v="N"/>
    <s v="France"/>
    <x v="0"/>
    <s v="Europe"/>
    <x v="0"/>
    <s v="Bikes"/>
    <n v="3578.27"/>
    <n v="2171.2941999999998"/>
    <n v="1406.9757999999999"/>
    <n v="0.39320001006072802"/>
  </r>
  <r>
    <x v="13"/>
    <d v="2001-12-21T00:00:00"/>
    <s v="SO45359"/>
    <n v="313"/>
    <n v="11227"/>
    <n v="4"/>
    <n v="1"/>
    <n v="1"/>
    <n v="2"/>
    <s v="BK-R93R-52"/>
    <x v="3"/>
    <n v="2171.2941999999998"/>
    <n v="3578.27"/>
    <s v="MR."/>
    <s v="MARSHALL"/>
    <s v="CHAVEZ"/>
    <s v="MARSHALL CHAVEZ"/>
    <d v="1951-08-12T00:00:00"/>
    <s v="S"/>
    <s v="M"/>
    <s v="marshall35@adventure-works.com"/>
    <n v="60000"/>
    <n v="2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4"/>
    <d v="2001-12-26T00:00:00"/>
    <s v="SO45126"/>
    <n v="311"/>
    <n v="12480"/>
    <n v="7"/>
    <n v="1"/>
    <n v="1"/>
    <n v="2"/>
    <s v="BK-R93R-44"/>
    <x v="4"/>
    <n v="2171.2941999999998"/>
    <n v="3578.27"/>
    <s v="MRS."/>
    <s v="MEREDITH"/>
    <s v="ALVAREZ"/>
    <s v="MEREDITH ALVAREZ"/>
    <d v="1964-04-16T00:00:00"/>
    <s v="S"/>
    <s v="F"/>
    <s v="meredith27@adventure-works.com"/>
    <n v="10000"/>
    <n v="5"/>
    <s v="Partial 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15"/>
    <d v="2001-10-29T00:00:00"/>
    <s v="SO45082"/>
    <n v="350"/>
    <n v="11455"/>
    <n v="9"/>
    <n v="1"/>
    <n v="1"/>
    <n v="1"/>
    <s v="BK-M82B-44"/>
    <x v="5"/>
    <n v="1898.0944"/>
    <n v="3374.99"/>
    <s v="MR."/>
    <s v="ROSS"/>
    <s v="SANZ"/>
    <s v="ROSS SANZ"/>
    <d v="1974-04-21T00:00:00"/>
    <s v="M"/>
    <s v="M"/>
    <s v="ross38@adventure-works.com"/>
    <n v="100000"/>
    <n v="0"/>
    <s v="High School"/>
    <s v="Management"/>
    <s v="Y"/>
    <s v="Australia"/>
    <x v="2"/>
    <s v="Pacific"/>
    <x v="1"/>
    <s v="Bikes"/>
    <n v="3374.99"/>
    <n v="1898.0944"/>
    <n v="1476.8956000000001"/>
    <n v="0.43759999288886797"/>
  </r>
  <r>
    <x v="14"/>
    <d v="2001-11-20T00:00:00"/>
    <s v="SO45129"/>
    <n v="350"/>
    <n v="11759"/>
    <n v="9"/>
    <n v="1"/>
    <n v="1"/>
    <n v="1"/>
    <s v="BK-M82B-44"/>
    <x v="5"/>
    <n v="1898.0944"/>
    <n v="3374.99"/>
    <s v="MRS."/>
    <s v="DAWN"/>
    <s v="NATH"/>
    <s v="DAWN NATH"/>
    <d v="1969-11-22T00:00:00"/>
    <s v="M"/>
    <s v="F"/>
    <s v="dawn42@adventure-works.com"/>
    <n v="110000"/>
    <n v="1"/>
    <s v="Graduate Degree"/>
    <s v="Management"/>
    <s v="N"/>
    <s v="Australia"/>
    <x v="2"/>
    <s v="Pacific"/>
    <x v="1"/>
    <s v="Bikes"/>
    <n v="3374.99"/>
    <n v="1898.0944"/>
    <n v="1476.8956000000001"/>
    <n v="0.43759999288886797"/>
  </r>
  <r>
    <x v="16"/>
    <d v="2001-11-16T00:00:00"/>
    <s v="SO45244"/>
    <n v="350"/>
    <n v="11756"/>
    <n v="9"/>
    <n v="1"/>
    <n v="1"/>
    <n v="1"/>
    <s v="BK-M82B-44"/>
    <x v="5"/>
    <n v="1898.0944"/>
    <n v="3374.99"/>
    <s v="MRS."/>
    <s v="LINDA"/>
    <s v="ORTEGA"/>
    <s v="LINDA ORTEGA"/>
    <d v="1968-09-13T00:00:00"/>
    <s v="S"/>
    <s v="F"/>
    <s v="linda37@adventure-works.com"/>
    <n v="60000"/>
    <n v="2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17"/>
    <d v="2001-10-08T00:00:00"/>
    <s v="SO45265"/>
    <n v="350"/>
    <n v="11461"/>
    <n v="9"/>
    <n v="1"/>
    <n v="1"/>
    <n v="1"/>
    <s v="BK-M82B-44"/>
    <x v="5"/>
    <n v="1898.0944"/>
    <n v="3374.99"/>
    <s v="MR."/>
    <s v="VICTOR"/>
    <s v="JIMENEZ"/>
    <s v="VICTOR JIMENEZ"/>
    <d v="1972-03-25T00:00:00"/>
    <s v="S"/>
    <s v="M"/>
    <s v="victor7@adventure-works.com"/>
    <n v="90000"/>
    <n v="0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18"/>
    <d v="2001-09-11T00:00:00"/>
    <s v="SO45087"/>
    <n v="350"/>
    <n v="11388"/>
    <n v="10"/>
    <n v="1"/>
    <n v="1"/>
    <n v="1"/>
    <s v="BK-M82B-44"/>
    <x v="5"/>
    <n v="1898.0944"/>
    <n v="3374.99"/>
    <s v="MR."/>
    <s v="JOSEPH"/>
    <s v="MARTIN"/>
    <s v="JOSEPH MARTIN"/>
    <d v="1959-07-24T00:00:00"/>
    <s v="M"/>
    <s v="M"/>
    <s v="joseph21@adventure-works.com"/>
    <n v="40000"/>
    <n v="3"/>
    <s v="Graduate Degree"/>
    <s v="Clerical"/>
    <s v="Y"/>
    <s v="United Kingdom"/>
    <x v="3"/>
    <s v="Europe"/>
    <x v="1"/>
    <s v="Bikes"/>
    <n v="3374.99"/>
    <n v="1898.0944"/>
    <n v="1476.8956000000001"/>
    <n v="0.43759999288886797"/>
  </r>
  <r>
    <x v="18"/>
    <d v="2001-12-11T00:00:00"/>
    <s v="SO45088"/>
    <n v="345"/>
    <n v="11398"/>
    <n v="10"/>
    <n v="1"/>
    <n v="1"/>
    <n v="1"/>
    <s v="BK-M82S-42"/>
    <x v="6"/>
    <n v="1912.1543999999999"/>
    <n v="3399.99"/>
    <s v="MR."/>
    <s v="COLIN"/>
    <s v="NATH"/>
    <s v="COLIN NATH"/>
    <d v="1969-09-09T00:00:00"/>
    <s v="S"/>
    <s v="M"/>
    <s v="colin41@adventure-works.com"/>
    <n v="30000"/>
    <n v="0"/>
    <s v="Bachelors"/>
    <s v="Clerical"/>
    <s v="Y"/>
    <s v="United Kingdom"/>
    <x v="3"/>
    <s v="Europe"/>
    <x v="1"/>
    <s v="Bikes"/>
    <n v="3399.99"/>
    <n v="1912.1543999999999"/>
    <n v="1487.8356000000001"/>
    <n v="0.43759999294115598"/>
  </r>
  <r>
    <x v="19"/>
    <d v="2001-12-23T00:00:00"/>
    <s v="SO45171"/>
    <n v="345"/>
    <n v="11754"/>
    <n v="9"/>
    <n v="1"/>
    <n v="1"/>
    <n v="1"/>
    <s v="BK-M82S-42"/>
    <x v="6"/>
    <n v="1912.1543999999999"/>
    <n v="3399.99"/>
    <s v="MRS."/>
    <s v="JANET"/>
    <s v="ORTEGA"/>
    <s v="JANET ORTEGA"/>
    <d v="1970-07-08T00:00:00"/>
    <s v="M"/>
    <s v="F"/>
    <s v="janet27@adventure-works.com"/>
    <n v="90000"/>
    <n v="2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20"/>
    <d v="2001-11-17T00:00:00"/>
    <s v="SO45204"/>
    <n v="345"/>
    <n v="11460"/>
    <n v="9"/>
    <n v="1"/>
    <n v="1"/>
    <n v="1"/>
    <s v="BK-M82S-42"/>
    <x v="6"/>
    <n v="1912.1543999999999"/>
    <n v="3399.99"/>
    <s v="MR."/>
    <s v="MELVIN"/>
    <s v="CHANDE"/>
    <s v="MELVIN CHANDE"/>
    <d v="1972-10-07T00:00:00"/>
    <s v="S"/>
    <s v="M"/>
    <s v="melvin13@adventure-works.com"/>
    <n v="90000"/>
    <n v="0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19"/>
    <d v="2001-09-30T00:00:00"/>
    <s v="SO45170"/>
    <n v="351"/>
    <n v="11462"/>
    <n v="9"/>
    <n v="1"/>
    <n v="1"/>
    <n v="1"/>
    <s v="BK-M82B-48"/>
    <x v="7"/>
    <n v="1898.0944"/>
    <n v="3374.99"/>
    <s v="MS."/>
    <s v="LAURA"/>
    <s v="LIN"/>
    <s v="LAURA LIN"/>
    <d v="1972-01-19T00:00:00"/>
    <s v="M"/>
    <s v="F"/>
    <s v="laura14@adventure-works.com"/>
    <n v="110000"/>
    <n v="0"/>
    <s v="High School"/>
    <s v="Management"/>
    <s v="Y"/>
    <s v="Australia"/>
    <x v="2"/>
    <s v="Pacific"/>
    <x v="1"/>
    <s v="Bikes"/>
    <n v="3374.99"/>
    <n v="1898.0944"/>
    <n v="1476.8956000000001"/>
    <n v="0.43759999288886797"/>
  </r>
  <r>
    <x v="21"/>
    <d v="2001-10-30T00:00:00"/>
    <s v="SO45179"/>
    <n v="351"/>
    <n v="11457"/>
    <n v="9"/>
    <n v="1"/>
    <n v="1"/>
    <n v="1"/>
    <s v="BK-M82B-48"/>
    <x v="7"/>
    <n v="1898.0944"/>
    <n v="3374.99"/>
    <s v="MS."/>
    <s v="JAIME"/>
    <s v="GUTIERREZ"/>
    <s v="JAIME GUTIERREZ"/>
    <d v="1973-05-21T00:00:00"/>
    <s v="M"/>
    <s v="F"/>
    <s v="jaime12@adventure-works.com"/>
    <n v="90000"/>
    <n v="0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0"/>
    <d v="2001-12-07T00:00:00"/>
    <s v="SO45095"/>
    <n v="344"/>
    <n v="11394"/>
    <n v="10"/>
    <n v="1"/>
    <n v="1"/>
    <n v="1"/>
    <s v="BK-M82S-38"/>
    <x v="8"/>
    <n v="1912.1543999999999"/>
    <n v="3399.99"/>
    <s v="MR."/>
    <s v="GEORGE"/>
    <s v="MCDONALD"/>
    <s v="GEORGE MCDONALD"/>
    <d v="1969-10-23T00:00:00"/>
    <s v="S"/>
    <s v="M"/>
    <s v="george13@adventure-works.com"/>
    <n v="10000"/>
    <n v="2"/>
    <s v="High School"/>
    <s v="Manual"/>
    <s v="Y"/>
    <s v="United Kingdom"/>
    <x v="3"/>
    <s v="Europe"/>
    <x v="1"/>
    <s v="Bikes"/>
    <n v="3399.99"/>
    <n v="1912.1543999999999"/>
    <n v="1487.8356000000001"/>
    <n v="0.43759999294115598"/>
  </r>
  <r>
    <x v="22"/>
    <d v="2001-11-25T00:00:00"/>
    <s v="SO45120"/>
    <n v="344"/>
    <n v="11751"/>
    <n v="9"/>
    <n v="1"/>
    <n v="1"/>
    <n v="1"/>
    <s v="BK-M82S-38"/>
    <x v="8"/>
    <n v="1912.1543999999999"/>
    <n v="3399.99"/>
    <s v="MRS."/>
    <s v="VICTORIA"/>
    <s v="GONZALES"/>
    <s v="VICTORIA GONZALES"/>
    <d v="1970-07-17T00:00:00"/>
    <s v="M"/>
    <s v="F"/>
    <s v="victoria63@adventure-works.com"/>
    <n v="80000"/>
    <n v="4"/>
    <s v="Graduate Degree"/>
    <s v="Management"/>
    <s v="Y"/>
    <s v="Australia"/>
    <x v="2"/>
    <s v="Pacific"/>
    <x v="1"/>
    <s v="Bikes"/>
    <n v="3399.99"/>
    <n v="1912.1543999999999"/>
    <n v="1487.8356000000001"/>
    <n v="0.43759999294115598"/>
  </r>
  <r>
    <x v="23"/>
    <d v="2001-12-30T00:00:00"/>
    <s v="SO45157"/>
    <n v="344"/>
    <n v="11750"/>
    <n v="9"/>
    <n v="1"/>
    <n v="1"/>
    <n v="1"/>
    <s v="BK-M82S-38"/>
    <x v="8"/>
    <n v="1912.1543999999999"/>
    <n v="3399.99"/>
    <s v="MRS."/>
    <s v="LATOYA"/>
    <s v="SHE"/>
    <s v="LATOYA SHE"/>
    <d v="1968-03-24T00:00:00"/>
    <s v="M"/>
    <s v="F"/>
    <s v="latoya0@adventure-works.com"/>
    <n v="60000"/>
    <n v="2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23"/>
    <d v="2001-10-13T00:00:00"/>
    <s v="SO45156"/>
    <n v="344"/>
    <n v="11465"/>
    <n v="9"/>
    <n v="1"/>
    <n v="1"/>
    <n v="1"/>
    <s v="BK-M82S-38"/>
    <x v="8"/>
    <n v="1912.1543999999999"/>
    <n v="3399.99"/>
    <s v="MR."/>
    <s v="LOUIS"/>
    <s v="LUO"/>
    <s v="LOUIS LUO"/>
    <d v="1971-02-19T00:00:00"/>
    <s v="M"/>
    <s v="M"/>
    <s v="louis23@adventure-works.com"/>
    <n v="90000"/>
    <n v="0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24"/>
    <d v="2001-12-13T00:00:00"/>
    <s v="SO45233"/>
    <n v="344"/>
    <n v="11472"/>
    <n v="9"/>
    <n v="1"/>
    <n v="1"/>
    <n v="1"/>
    <s v="BK-M82S-38"/>
    <x v="8"/>
    <n v="1912.1543999999999"/>
    <n v="3399.99"/>
    <s v="MR."/>
    <s v="KENNETH"/>
    <s v="KUMAR"/>
    <s v="KENNETH KUMAR"/>
    <d v="1963-04-03T00:00:00"/>
    <s v="S"/>
    <s v="M"/>
    <s v="kenneth7@adventure-works.com"/>
    <n v="60000"/>
    <n v="3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25"/>
    <d v="2002-01-07T00:00:00"/>
    <s v="SO45248"/>
    <n v="344"/>
    <n v="11451"/>
    <n v="9"/>
    <n v="1"/>
    <n v="1"/>
    <n v="1"/>
    <s v="BK-M82S-38"/>
    <x v="8"/>
    <n v="1912.1543999999999"/>
    <n v="3399.99"/>
    <s v="MR."/>
    <s v="RUBEN"/>
    <s v="MU�OZ"/>
    <s v="RUBEN MU�OZ"/>
    <d v="1974-11-09T00:00:00"/>
    <s v="S"/>
    <s v="M"/>
    <s v="ruben30@adventure-works.com"/>
    <n v="70000"/>
    <n v="0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26"/>
    <d v="2001-12-16T00:00:00"/>
    <s v="SO45376"/>
    <n v="344"/>
    <n v="11761"/>
    <n v="9"/>
    <n v="1"/>
    <n v="1"/>
    <n v="1"/>
    <s v="BK-M82S-38"/>
    <x v="8"/>
    <n v="1912.1543999999999"/>
    <n v="3399.99"/>
    <s v="MR."/>
    <s v="EDGAR"/>
    <s v="MEHTA"/>
    <s v="EDGAR MEHTA"/>
    <d v="1967-04-19T00:00:00"/>
    <s v="S"/>
    <s v="M"/>
    <s v="edgar15@adventure-works.com"/>
    <n v="70000"/>
    <n v="5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5"/>
    <d v="2002-01-14T00:00:00"/>
    <s v="SO45392"/>
    <n v="344"/>
    <n v="11762"/>
    <n v="9"/>
    <n v="1"/>
    <n v="1"/>
    <n v="1"/>
    <s v="BK-M82S-38"/>
    <x v="8"/>
    <n v="1912.1543999999999"/>
    <n v="3399.99"/>
    <s v="MR."/>
    <s v="RANDALL"/>
    <s v="GOMEZ"/>
    <s v="RANDALL GOMEZ"/>
    <d v="1967-08-24T00:00:00"/>
    <s v="M"/>
    <s v="M"/>
    <s v="randall2@adventure-works.com"/>
    <n v="70000"/>
    <n v="5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6"/>
    <d v="2001-12-10T00:00:00"/>
    <s v="SO45402"/>
    <n v="344"/>
    <n v="11413"/>
    <n v="10"/>
    <n v="1"/>
    <n v="1"/>
    <n v="1"/>
    <s v="BK-M82S-38"/>
    <x v="8"/>
    <n v="1912.1543999999999"/>
    <n v="3399.99"/>
    <s v="MRS."/>
    <s v="MEGAN"/>
    <s v="STEWART"/>
    <s v="MEGAN STEWART"/>
    <d v="1954-04-15T00:00:00"/>
    <s v="M"/>
    <s v="F"/>
    <s v="megan27@adventure-works.com"/>
    <n v="80000"/>
    <n v="4"/>
    <s v="Partial College"/>
    <s v="Professional"/>
    <s v="N"/>
    <s v="United Kingdom"/>
    <x v="3"/>
    <s v="Europe"/>
    <x v="1"/>
    <s v="Bikes"/>
    <n v="3399.99"/>
    <n v="1912.1543999999999"/>
    <n v="1487.8356000000001"/>
    <n v="0.43759999294115598"/>
  </r>
  <r>
    <x v="27"/>
    <d v="2002-01-20T00:00:00"/>
    <s v="SO45394"/>
    <n v="348"/>
    <n v="11468"/>
    <n v="10"/>
    <n v="1"/>
    <n v="1"/>
    <n v="1"/>
    <s v="BK-M82B-38"/>
    <x v="9"/>
    <n v="1898.0944"/>
    <n v="3374.99"/>
    <s v="MRS."/>
    <s v="JACLYN"/>
    <s v="ANDERSEN"/>
    <s v="JACLYN ANDERSEN"/>
    <d v="1975-06-18T00:00:00"/>
    <s v="M"/>
    <s v="F"/>
    <s v="jaclyn37@adventure-works.com"/>
    <n v="40000"/>
    <n v="1"/>
    <s v="Bachelors"/>
    <s v="Skilled Manual"/>
    <s v="Y"/>
    <s v="United Kingdom"/>
    <x v="3"/>
    <s v="Europe"/>
    <x v="1"/>
    <s v="Bikes"/>
    <n v="3374.99"/>
    <n v="1898.0944"/>
    <n v="1476.8956000000001"/>
    <n v="0.43759999288886797"/>
  </r>
  <r>
    <x v="28"/>
    <d v="2002-02-15T00:00:00"/>
    <s v="SO45631"/>
    <n v="350"/>
    <n v="11237"/>
    <n v="8"/>
    <n v="1"/>
    <n v="1"/>
    <n v="1"/>
    <s v="BK-M82B-44"/>
    <x v="5"/>
    <n v="1898.0944"/>
    <n v="3374.99"/>
    <s v="MR."/>
    <s v="CLARENCE"/>
    <s v="ANAND"/>
    <s v="CLARENCE ANAND"/>
    <d v="1958-09-23T00:00:00"/>
    <s v="S"/>
    <s v="M"/>
    <s v="clarence36@adventure-works.com"/>
    <n v="130000"/>
    <n v="2"/>
    <s v="Bachelors"/>
    <s v="Management"/>
    <s v="N"/>
    <s v="Germany"/>
    <x v="4"/>
    <s v="Europe"/>
    <x v="1"/>
    <s v="Bikes"/>
    <n v="3374.99"/>
    <n v="1898.0944"/>
    <n v="1476.8956000000001"/>
    <n v="0.43759999288886797"/>
  </r>
  <r>
    <x v="29"/>
    <d v="2002-01-05T00:00:00"/>
    <s v="SO45765"/>
    <n v="350"/>
    <n v="11245"/>
    <n v="8"/>
    <n v="1"/>
    <n v="1"/>
    <n v="1"/>
    <s v="BK-M82B-44"/>
    <x v="5"/>
    <n v="1898.0944"/>
    <n v="3374.99"/>
    <s v="MR."/>
    <s v="RICKY"/>
    <s v="VAZQUEZ"/>
    <s v="RICKY VAZQUEZ"/>
    <d v="1956-10-27T00:00:00"/>
    <s v="M"/>
    <s v="M"/>
    <s v="ricky15@adventure-works.com"/>
    <n v="120000"/>
    <n v="3"/>
    <s v="High School"/>
    <s v="Professional"/>
    <s v="N"/>
    <s v="Germany"/>
    <x v="4"/>
    <s v="Europe"/>
    <x v="1"/>
    <s v="Bikes"/>
    <n v="3374.99"/>
    <n v="1898.0944"/>
    <n v="1476.8956000000001"/>
    <n v="0.43759999288886797"/>
  </r>
  <r>
    <x v="30"/>
    <d v="2002-01-21T00:00:00"/>
    <s v="SO45872"/>
    <n v="347"/>
    <n v="11249"/>
    <n v="8"/>
    <n v="1"/>
    <n v="1"/>
    <n v="1"/>
    <s v="BK-M82S-48"/>
    <x v="10"/>
    <n v="1912.1543999999999"/>
    <n v="3399.99"/>
    <s v="MRS."/>
    <s v="CINDY"/>
    <s v="PATEL"/>
    <s v="CINDY PATEL"/>
    <d v="1955-07-13T00:00:00"/>
    <s v="M"/>
    <s v="F"/>
    <s v="cindy3@adventure-works.com"/>
    <n v="130000"/>
    <n v="3"/>
    <s v="Partial College"/>
    <s v="Professional"/>
    <s v="Y"/>
    <s v="Germany"/>
    <x v="4"/>
    <s v="Europe"/>
    <x v="1"/>
    <s v="Bikes"/>
    <n v="3399.99"/>
    <n v="1912.1543999999999"/>
    <n v="1487.8356000000001"/>
    <n v="0.43759999294115598"/>
  </r>
  <r>
    <x v="7"/>
    <d v="2002-01-16T00:00:00"/>
    <s v="SO45434"/>
    <n v="311"/>
    <n v="11252"/>
    <n v="4"/>
    <n v="1"/>
    <n v="1"/>
    <n v="2"/>
    <s v="BK-R93R-44"/>
    <x v="4"/>
    <n v="2171.2941999999998"/>
    <n v="3578.27"/>
    <s v="MR."/>
    <s v="NICHOLAS"/>
    <s v="THOMPSON"/>
    <s v="NICHOLAS THOMPSON"/>
    <d v="1932-06-07T00:00:00"/>
    <s v="S"/>
    <s v="M"/>
    <s v="nicholas16@adventure-works.com"/>
    <n v="90000"/>
    <n v="3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31"/>
    <d v="2001-10-24T00:00:00"/>
    <s v="SO45453"/>
    <n v="311"/>
    <n v="12549"/>
    <n v="7"/>
    <n v="1"/>
    <n v="1"/>
    <n v="2"/>
    <s v="BK-R93R-44"/>
    <x v="4"/>
    <n v="2171.2941999999998"/>
    <n v="3578.27"/>
    <s v="MRS."/>
    <s v="DONNA"/>
    <s v="XIE"/>
    <s v="DONNA XIE"/>
    <d v="1955-02-07T00:00:00"/>
    <s v="S"/>
    <s v="F"/>
    <s v="donna3@adventure-works.com"/>
    <n v="10000"/>
    <n v="2"/>
    <s v="Partial College"/>
    <s v="Manual"/>
    <s v="Y"/>
    <s v="France"/>
    <x v="0"/>
    <s v="Europe"/>
    <x v="0"/>
    <s v="Bikes"/>
    <n v="3578.27"/>
    <n v="2171.2941999999998"/>
    <n v="1406.9757999999999"/>
    <n v="0.39320001006072802"/>
  </r>
  <r>
    <x v="32"/>
    <d v="2001-12-15T00:00:00"/>
    <s v="SO45485"/>
    <n v="312"/>
    <n v="11257"/>
    <n v="4"/>
    <n v="1"/>
    <n v="1"/>
    <n v="2"/>
    <s v="BK-R93R-48"/>
    <x v="0"/>
    <n v="2171.2941999999998"/>
    <n v="3578.27"/>
    <s v="MRS."/>
    <s v="JACQUELINE"/>
    <s v="POWELL"/>
    <s v="JACQUELINE POWELL"/>
    <d v="1933-01-06T00:00:00"/>
    <s v="S"/>
    <s v="F"/>
    <s v="jacqueline9@adventure-works.com"/>
    <n v="120000"/>
    <n v="1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33"/>
    <d v="2002-01-18T00:00:00"/>
    <s v="SO45626"/>
    <n v="310"/>
    <n v="11259"/>
    <n v="1"/>
    <n v="1"/>
    <n v="1"/>
    <n v="2"/>
    <s v="BK-R93R-62"/>
    <x v="1"/>
    <n v="2171.2941999999998"/>
    <n v="3578.27"/>
    <s v="MRS."/>
    <s v="VICTORIA"/>
    <s v="STEWART"/>
    <s v="VICTORIA STEWART"/>
    <d v="1965-03-27T00:00:00"/>
    <s v="M"/>
    <s v="F"/>
    <s v="victoria24@adventure-works.com"/>
    <n v="100000"/>
    <n v="4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34"/>
    <d v="2001-12-16T00:00:00"/>
    <s v="SO45774"/>
    <n v="312"/>
    <n v="11261"/>
    <n v="4"/>
    <n v="1"/>
    <n v="1"/>
    <n v="2"/>
    <s v="BK-R93R-48"/>
    <x v="0"/>
    <n v="2171.2941999999998"/>
    <n v="3578.27"/>
    <s v="MRS."/>
    <s v="STEPHANIE"/>
    <s v="COLLINS"/>
    <s v="STEPHANIE COLLINS"/>
    <d v="1965-04-24T00:00:00"/>
    <s v="M"/>
    <s v="F"/>
    <s v="stephanie52@adventure-works.com"/>
    <n v="130000"/>
    <n v="1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35"/>
    <d v="2002-01-09T00:00:00"/>
    <s v="SO45581"/>
    <n v="313"/>
    <n v="11263"/>
    <n v="1"/>
    <n v="1"/>
    <n v="1"/>
    <n v="2"/>
    <s v="BK-R93R-52"/>
    <x v="3"/>
    <n v="2171.2941999999998"/>
    <n v="3578.27"/>
    <s v="MRS."/>
    <s v="TRINITY"/>
    <s v="RICHARDSON"/>
    <s v="TRINITY RICHARDSON"/>
    <d v="1964-09-11T00:00:00"/>
    <s v="M"/>
    <s v="F"/>
    <s v="trinity9@adventure-works.com"/>
    <n v="90000"/>
    <n v="5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36"/>
    <d v="2001-11-20T00:00:00"/>
    <s v="SO45657"/>
    <n v="311"/>
    <n v="11266"/>
    <n v="1"/>
    <n v="1"/>
    <n v="1"/>
    <n v="2"/>
    <s v="BK-R93R-44"/>
    <x v="4"/>
    <n v="2171.2941999999998"/>
    <n v="3578.27"/>
    <s v="MS."/>
    <s v="TAYLOR"/>
    <s v="HOWARD"/>
    <s v="TAYLOR HOWARD"/>
    <d v="1964-05-05T00:00:00"/>
    <s v="S"/>
    <s v="F"/>
    <s v="taylor14@adventure-works.com"/>
    <n v="90000"/>
    <n v="0"/>
    <s v="Partial Colleg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37"/>
    <d v="2001-11-13T00:00:00"/>
    <s v="SO45138"/>
    <n v="349"/>
    <n v="11452"/>
    <n v="9"/>
    <n v="1"/>
    <n v="1"/>
    <n v="1"/>
    <s v="BK-M82B-42"/>
    <x v="11"/>
    <n v="1898.0944"/>
    <n v="3374.99"/>
    <s v="MS."/>
    <s v="ERIKA"/>
    <s v="RUBIO"/>
    <s v="ERIKA RUBIO"/>
    <d v="1973-11-05T00:00:00"/>
    <s v="S"/>
    <s v="F"/>
    <s v="erika18@adventure-works.com"/>
    <n v="80000"/>
    <n v="0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38"/>
    <d v="2002-02-09T00:00:00"/>
    <s v="SO45706"/>
    <n v="313"/>
    <n v="11267"/>
    <n v="4"/>
    <n v="1"/>
    <n v="1"/>
    <n v="2"/>
    <s v="BK-R93R-52"/>
    <x v="3"/>
    <n v="2171.2941999999998"/>
    <n v="3578.27"/>
    <s v="MR."/>
    <s v="DAVID"/>
    <s v="DIAZ"/>
    <s v="DAVID DIAZ"/>
    <d v="1964-10-02T00:00:00"/>
    <s v="S"/>
    <s v="M"/>
    <s v="david55@adventure-works.com"/>
    <n v="12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39"/>
    <d v="2001-10-26T00:00:00"/>
    <s v="SO45159"/>
    <n v="349"/>
    <n v="11400"/>
    <n v="10"/>
    <n v="1"/>
    <n v="1"/>
    <n v="1"/>
    <s v="BK-M82B-42"/>
    <x v="11"/>
    <n v="1898.0944"/>
    <n v="3374.99"/>
    <s v="MR."/>
    <s v="FRANKLIN"/>
    <s v="RAJI"/>
    <s v="FRANKLIN RAJI"/>
    <d v="1969-04-19T00:00:00"/>
    <s v="S"/>
    <s v="M"/>
    <s v="franklin38@adventure-works.com"/>
    <n v="40000"/>
    <n v="0"/>
    <s v="Graduate Degree"/>
    <s v="Clerical"/>
    <s v="Y"/>
    <s v="United Kingdom"/>
    <x v="3"/>
    <s v="Europe"/>
    <x v="1"/>
    <s v="Bikes"/>
    <n v="3374.99"/>
    <n v="1898.0944"/>
    <n v="1476.8956000000001"/>
    <n v="0.43759999288886797"/>
  </r>
  <r>
    <x v="39"/>
    <d v="2001-10-04T00:00:00"/>
    <s v="SO45164"/>
    <n v="349"/>
    <n v="11453"/>
    <n v="9"/>
    <n v="1"/>
    <n v="1"/>
    <n v="1"/>
    <s v="BK-M82B-42"/>
    <x v="11"/>
    <n v="1898.0944"/>
    <n v="3374.99"/>
    <s v="MR."/>
    <s v="STANLEY"/>
    <s v="MALHOTRA"/>
    <s v="STANLEY MALHOTRA"/>
    <d v="1973-08-21T00:00:00"/>
    <s v="S"/>
    <s v="M"/>
    <s v="stanley5@adventure-works.com"/>
    <n v="80000"/>
    <n v="0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36"/>
    <d v="2002-02-24T00:00:00"/>
    <s v="SO45658"/>
    <n v="312"/>
    <n v="11270"/>
    <n v="4"/>
    <n v="1"/>
    <n v="1"/>
    <n v="2"/>
    <s v="BK-R93R-48"/>
    <x v="0"/>
    <n v="2171.2941999999998"/>
    <n v="3578.27"/>
    <s v="MR."/>
    <s v="ROBERT"/>
    <s v="LEE"/>
    <s v="ROBERT LEE"/>
    <d v="1964-05-04T00:00:00"/>
    <s v="M"/>
    <s v="M"/>
    <s v="robert82@adventure-works.com"/>
    <n v="130000"/>
    <n v="2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0"/>
    <d v="2001-12-10T00:00:00"/>
    <s v="SO45213"/>
    <n v="349"/>
    <n v="11464"/>
    <n v="9"/>
    <n v="1"/>
    <n v="1"/>
    <n v="1"/>
    <s v="BK-M82B-42"/>
    <x v="11"/>
    <n v="1898.0944"/>
    <n v="3374.99"/>
    <s v="MR."/>
    <s v="ALEJANDRO"/>
    <s v="HUANG"/>
    <s v="ALEJANDRO HUANG"/>
    <d v="1971-11-16T00:00:00"/>
    <s v="M"/>
    <s v="M"/>
    <s v="alejandro8@adventure-works.com"/>
    <n v="90000"/>
    <n v="0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34"/>
    <d v="2002-03-07T00:00:00"/>
    <s v="SO45771"/>
    <n v="314"/>
    <n v="11271"/>
    <n v="4"/>
    <n v="1"/>
    <n v="1"/>
    <n v="2"/>
    <s v="BK-R93R-56"/>
    <x v="2"/>
    <n v="2171.2941999999998"/>
    <n v="3578.27"/>
    <s v="MRS."/>
    <s v="DANIELLE"/>
    <s v="REED"/>
    <s v="DANIELLE REED"/>
    <d v="1964-06-05T00:00:00"/>
    <s v="S"/>
    <s v="F"/>
    <s v="danielle23@adventure-works.com"/>
    <n v="150000"/>
    <n v="2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24"/>
    <d v="2001-11-09T00:00:00"/>
    <s v="SO45229"/>
    <n v="349"/>
    <n v="11387"/>
    <n v="10"/>
    <n v="1"/>
    <n v="1"/>
    <n v="1"/>
    <s v="BK-M82B-42"/>
    <x v="11"/>
    <n v="1898.0944"/>
    <n v="3374.99"/>
    <s v="MRS."/>
    <s v="MEGAN"/>
    <s v="RAMIREZ"/>
    <s v="MEGAN RAMIREZ"/>
    <d v="1959-06-02T00:00:00"/>
    <s v="S"/>
    <s v="F"/>
    <s v="megan44@adventure-works.com"/>
    <n v="40000"/>
    <n v="3"/>
    <s v="Graduate Degree"/>
    <s v="Clerical"/>
    <s v="Y"/>
    <s v="United Kingdom"/>
    <x v="3"/>
    <s v="Europe"/>
    <x v="1"/>
    <s v="Bikes"/>
    <n v="3374.99"/>
    <n v="1898.0944"/>
    <n v="1476.8956000000001"/>
    <n v="0.43759999288886797"/>
  </r>
  <r>
    <x v="40"/>
    <d v="2002-02-08T00:00:00"/>
    <s v="SO45718"/>
    <n v="311"/>
    <n v="11272"/>
    <n v="4"/>
    <n v="1"/>
    <n v="1"/>
    <n v="2"/>
    <s v="BK-R93R-44"/>
    <x v="4"/>
    <n v="2171.2941999999998"/>
    <n v="3578.27"/>
    <s v="MRS."/>
    <s v="LAUREN"/>
    <s v="MARTINEZ"/>
    <s v="LAUREN MARTINEZ"/>
    <d v="1956-11-10T00:00:00"/>
    <s v="S"/>
    <s v="F"/>
    <s v="lauren35@adventure-works.com"/>
    <n v="7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7"/>
    <d v="2001-10-18T00:00:00"/>
    <s v="SO45264"/>
    <n v="349"/>
    <n v="11454"/>
    <n v="9"/>
    <n v="1"/>
    <n v="1"/>
    <n v="1"/>
    <s v="BK-M82B-42"/>
    <x v="11"/>
    <n v="1898.0944"/>
    <n v="3374.99"/>
    <s v="MS."/>
    <s v="MELINDA"/>
    <s v="NAVARRO"/>
    <s v="MELINDA NAVARRO"/>
    <d v="1974-04-22T00:00:00"/>
    <s v="S"/>
    <s v="F"/>
    <s v="melinda5@adventure-works.com"/>
    <n v="80000"/>
    <n v="0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35"/>
    <d v="2001-11-16T00:00:00"/>
    <s v="SO45583"/>
    <n v="311"/>
    <n v="11274"/>
    <n v="1"/>
    <n v="1"/>
    <n v="1"/>
    <n v="2"/>
    <s v="BK-R93R-44"/>
    <x v="4"/>
    <n v="2171.2941999999998"/>
    <n v="3578.27"/>
    <s v="MR."/>
    <s v="KYLE"/>
    <s v="FOSTER"/>
    <s v="KYLE FOSTER"/>
    <d v="1934-04-12T00:00:00"/>
    <s v="M"/>
    <s v="M"/>
    <s v="kyle11@adventure-works.com"/>
    <n v="50000"/>
    <n v="2"/>
    <s v="Graduate Degree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41"/>
    <d v="2001-12-10T00:00:00"/>
    <s v="SO45588"/>
    <n v="313"/>
    <n v="11275"/>
    <n v="4"/>
    <n v="1"/>
    <n v="1"/>
    <n v="2"/>
    <s v="BK-R93R-52"/>
    <x v="3"/>
    <n v="2171.2941999999998"/>
    <n v="3578.27"/>
    <s v="MRS."/>
    <s v="JENNY"/>
    <s v="RAI"/>
    <s v="JENNY RAI"/>
    <d v="1934-01-18T00:00:00"/>
    <s v="M"/>
    <s v="F"/>
    <s v="jenny40@adventure-works.com"/>
    <n v="80000"/>
    <n v="4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42"/>
    <d v="2001-11-26T00:00:00"/>
    <s v="SO45700"/>
    <n v="310"/>
    <n v="11278"/>
    <n v="1"/>
    <n v="1"/>
    <n v="1"/>
    <n v="2"/>
    <s v="BK-R93R-62"/>
    <x v="1"/>
    <n v="2171.2941999999998"/>
    <n v="3578.27"/>
    <s v="MR."/>
    <s v="JONATHAN"/>
    <s v="PHILLIPS"/>
    <s v="JONATHAN PHILLIPS"/>
    <d v="1963-08-20T00:00:00"/>
    <s v="S"/>
    <s v="M"/>
    <s v="jonathan35@adventure-works.com"/>
    <n v="90000"/>
    <n v="0"/>
    <s v="Partial Colleg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43"/>
    <d v="2001-12-18T00:00:00"/>
    <s v="SO45678"/>
    <n v="313"/>
    <n v="11281"/>
    <n v="4"/>
    <n v="1"/>
    <n v="1"/>
    <n v="2"/>
    <s v="BK-R93R-52"/>
    <x v="3"/>
    <n v="2171.2941999999998"/>
    <n v="3578.27"/>
    <s v="MRS."/>
    <s v="MEGAN"/>
    <s v="BARNES"/>
    <s v="MEGAN BARNES"/>
    <d v="1963-10-10T00:00:00"/>
    <s v="S"/>
    <s v="F"/>
    <s v="megan53@adventure-works.com"/>
    <n v="110000"/>
    <n v="4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44"/>
    <d v="2001-12-22T00:00:00"/>
    <s v="SO45594"/>
    <n v="312"/>
    <n v="11282"/>
    <n v="1"/>
    <n v="1"/>
    <n v="1"/>
    <n v="2"/>
    <s v="BK-R93R-48"/>
    <x v="0"/>
    <n v="2171.2941999999998"/>
    <n v="3578.27"/>
    <s v="MR."/>
    <s v="CHRISTIAN"/>
    <s v="THOMAS"/>
    <s v="CHRISTIAN THOMAS"/>
    <d v="1962-01-16T00:00:00"/>
    <s v="M"/>
    <s v="M"/>
    <s v="christian46@adventure-works.com"/>
    <n v="90000"/>
    <n v="5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45"/>
    <d v="2001-12-29T00:00:00"/>
    <s v="SO45731"/>
    <n v="310"/>
    <n v="11286"/>
    <n v="4"/>
    <n v="1"/>
    <n v="1"/>
    <n v="2"/>
    <s v="BK-R93R-62"/>
    <x v="1"/>
    <n v="2171.2941999999998"/>
    <n v="3578.27"/>
    <s v="MR."/>
    <s v="HUNTER"/>
    <s v="GRIFFIN"/>
    <s v="HUNTER GRIFFIN"/>
    <d v="1962-03-03T00:00:00"/>
    <s v="M"/>
    <s v="M"/>
    <s v="hunter16@adventure-works.com"/>
    <n v="170000"/>
    <n v="0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46"/>
    <d v="2002-01-07T00:00:00"/>
    <s v="SO45646"/>
    <n v="312"/>
    <n v="11289"/>
    <n v="4"/>
    <n v="1"/>
    <n v="1"/>
    <n v="2"/>
    <s v="BK-R93R-48"/>
    <x v="0"/>
    <n v="2171.2941999999998"/>
    <n v="3578.27"/>
    <s v="MRS."/>
    <s v="MARIA"/>
    <s v="CARTER"/>
    <s v="MARIA CARTER"/>
    <d v="1961-03-07T00:00:00"/>
    <s v="M"/>
    <s v="F"/>
    <s v="maria53@adventure-works.com"/>
    <n v="130000"/>
    <n v="1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47"/>
    <d v="2002-01-14T00:00:00"/>
    <s v="SO45723"/>
    <n v="311"/>
    <n v="11290"/>
    <n v="4"/>
    <n v="1"/>
    <n v="1"/>
    <n v="2"/>
    <s v="BK-R93R-44"/>
    <x v="4"/>
    <n v="2171.2941999999998"/>
    <n v="3578.27"/>
    <s v="MRS."/>
    <s v="KATELYN"/>
    <s v="SANCHEZ"/>
    <s v="KATELYN SANCHEZ"/>
    <d v="1961-08-18T00:00:00"/>
    <s v="M"/>
    <s v="F"/>
    <s v="katelyn26@adventure-works.com"/>
    <n v="130000"/>
    <n v="1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33"/>
    <d v="2001-12-26T00:00:00"/>
    <s v="SO45624"/>
    <n v="313"/>
    <n v="11291"/>
    <n v="4"/>
    <n v="1"/>
    <n v="1"/>
    <n v="2"/>
    <s v="BK-R93R-52"/>
    <x v="3"/>
    <n v="2171.2941999999998"/>
    <n v="3578.27"/>
    <s v="MRS."/>
    <s v="JENNA"/>
    <s v="WRIGHT"/>
    <s v="JENNA WRIGHT"/>
    <d v="1961-05-05T00:00:00"/>
    <s v="M"/>
    <s v="F"/>
    <s v="jenna19@adventure-works.com"/>
    <n v="130000"/>
    <n v="1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48"/>
    <d v="2002-01-16T00:00:00"/>
    <s v="SO45695"/>
    <n v="311"/>
    <n v="11292"/>
    <n v="4"/>
    <n v="1"/>
    <n v="1"/>
    <n v="2"/>
    <s v="BK-R93R-44"/>
    <x v="4"/>
    <n v="2171.2941999999998"/>
    <n v="3578.27"/>
    <s v="MR."/>
    <s v="SETH"/>
    <s v="PHILLIPS"/>
    <s v="SETH PHILLIPS"/>
    <d v="1961-11-05T00:00:00"/>
    <s v="S"/>
    <s v="M"/>
    <s v="seth42@adventure-works.com"/>
    <n v="150000"/>
    <n v="1"/>
    <s v="Partial Colleg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49"/>
    <d v="2002-02-02T00:00:00"/>
    <s v="SO45759"/>
    <n v="313"/>
    <n v="11295"/>
    <n v="4"/>
    <n v="1"/>
    <n v="1"/>
    <n v="2"/>
    <s v="BK-R93R-52"/>
    <x v="3"/>
    <n v="2171.2941999999998"/>
    <n v="3578.27"/>
    <s v="MRS."/>
    <s v="TAYLOR"/>
    <s v="LEWIS"/>
    <s v="TAYLOR LEWIS"/>
    <d v="1954-05-16T00:00:00"/>
    <s v="S"/>
    <s v="F"/>
    <s v="taylor67@adventure-works.com"/>
    <n v="80000"/>
    <n v="2"/>
    <s v="Partial High School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50"/>
    <d v="2001-12-21T00:00:00"/>
    <s v="SO45603"/>
    <n v="312"/>
    <n v="11296"/>
    <n v="1"/>
    <n v="1"/>
    <n v="1"/>
    <n v="2"/>
    <s v="BK-R93R-48"/>
    <x v="0"/>
    <n v="2171.2941999999998"/>
    <n v="3578.27"/>
    <s v="MRS."/>
    <s v="HALEY"/>
    <s v="RICHARDSON"/>
    <s v="HALEY RICHARDSON"/>
    <d v="1935-10-07T00:00:00"/>
    <s v="S"/>
    <s v="F"/>
    <s v="haley10@adventure-works.com"/>
    <n v="50000"/>
    <n v="2"/>
    <s v="Graduate Degree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29"/>
    <d v="2002-02-04T00:00:00"/>
    <s v="SO45766"/>
    <n v="312"/>
    <n v="11297"/>
    <n v="4"/>
    <n v="1"/>
    <n v="1"/>
    <n v="2"/>
    <s v="BK-R93R-48"/>
    <x v="0"/>
    <n v="2171.2941999999998"/>
    <n v="3578.27"/>
    <s v="MR."/>
    <s v="NOAH"/>
    <s v="COLEMAN"/>
    <s v="NOAH COLEMAN"/>
    <d v="1935-02-02T00:00:00"/>
    <s v="S"/>
    <s v="M"/>
    <s v="noah2@adventure-works.com"/>
    <n v="70000"/>
    <n v="4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51"/>
    <d v="2001-11-15T00:00:00"/>
    <s v="SO45238"/>
    <n v="346"/>
    <n v="11459"/>
    <n v="9"/>
    <n v="1"/>
    <n v="1"/>
    <n v="1"/>
    <s v="BK-M82S-44"/>
    <x v="12"/>
    <n v="1912.1543999999999"/>
    <n v="3399.99"/>
    <s v="MS."/>
    <s v="TASHA"/>
    <s v="DENG"/>
    <s v="TASHA DENG"/>
    <d v="1972-10-13T00:00:00"/>
    <s v="S"/>
    <s v="F"/>
    <s v="tasha1@adventure-works.com"/>
    <n v="80000"/>
    <n v="0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52"/>
    <d v="2002-02-20T00:00:00"/>
    <s v="SO45668"/>
    <n v="312"/>
    <n v="11298"/>
    <n v="4"/>
    <n v="1"/>
    <n v="1"/>
    <n v="2"/>
    <s v="BK-R93R-48"/>
    <x v="0"/>
    <n v="2171.2941999999998"/>
    <n v="3578.27"/>
    <s v="MR."/>
    <s v="JON"/>
    <s v="LUO"/>
    <s v="JON LUO"/>
    <d v="1935-03-03T00:00:00"/>
    <s v="M"/>
    <s v="M"/>
    <s v="jon46@adventure-works.com"/>
    <n v="70000"/>
    <n v="4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53"/>
    <d v="2002-01-07T00:00:00"/>
    <s v="SO45428"/>
    <n v="346"/>
    <n v="11414"/>
    <n v="10"/>
    <n v="1"/>
    <n v="1"/>
    <n v="1"/>
    <s v="BK-M82S-44"/>
    <x v="12"/>
    <n v="1912.1543999999999"/>
    <n v="3399.99"/>
    <s v="MR."/>
    <s v="IAN"/>
    <s v="RICHARDSON"/>
    <s v="IAN RICHARDSON"/>
    <d v="1954-03-18T00:00:00"/>
    <s v="S"/>
    <s v="M"/>
    <s v="ian76@adventure-works.com"/>
    <n v="80000"/>
    <n v="4"/>
    <s v="Partial College"/>
    <s v="Professional"/>
    <s v="Y"/>
    <s v="United Kingdom"/>
    <x v="3"/>
    <s v="Europe"/>
    <x v="1"/>
    <s v="Bikes"/>
    <n v="3399.99"/>
    <n v="1912.1543999999999"/>
    <n v="1487.8356000000001"/>
    <n v="0.43759999294115598"/>
  </r>
  <r>
    <x v="29"/>
    <d v="2002-01-19T00:00:00"/>
    <s v="SO45767"/>
    <n v="310"/>
    <n v="11299"/>
    <n v="4"/>
    <n v="1"/>
    <n v="1"/>
    <n v="2"/>
    <s v="BK-R93R-62"/>
    <x v="1"/>
    <n v="2171.2941999999998"/>
    <n v="3578.27"/>
    <s v="MR."/>
    <s v="ORLANDO"/>
    <s v="VAZQUEZ"/>
    <s v="ORLANDO VAZQUEZ"/>
    <d v="1936-04-01T00:00:00"/>
    <s v="M"/>
    <s v="M"/>
    <s v="orlando14@adventure-works.com"/>
    <n v="70000"/>
    <n v="4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21"/>
    <d v="2001-12-17T00:00:00"/>
    <s v="SO45178"/>
    <n v="347"/>
    <n v="11456"/>
    <n v="9"/>
    <n v="1"/>
    <n v="1"/>
    <n v="1"/>
    <s v="BK-M82S-48"/>
    <x v="10"/>
    <n v="1912.1543999999999"/>
    <n v="3399.99"/>
    <s v="MR."/>
    <s v="JON"/>
    <s v="GAO"/>
    <s v="JON GAO"/>
    <d v="1974-07-08T00:00:00"/>
    <s v="M"/>
    <s v="M"/>
    <s v="jon35@adventure-works.com"/>
    <n v="120000"/>
    <n v="5"/>
    <s v="Partial High School"/>
    <s v="Professional"/>
    <s v="Y"/>
    <s v="Australia"/>
    <x v="2"/>
    <s v="Pacific"/>
    <x v="1"/>
    <s v="Bikes"/>
    <n v="3399.99"/>
    <n v="1912.1543999999999"/>
    <n v="1487.8356000000001"/>
    <n v="0.43759999294115598"/>
  </r>
  <r>
    <x v="54"/>
    <d v="2002-01-07T00:00:00"/>
    <s v="SO45636"/>
    <n v="311"/>
    <n v="11302"/>
    <n v="1"/>
    <n v="1"/>
    <n v="1"/>
    <n v="2"/>
    <s v="BK-R93R-44"/>
    <x v="4"/>
    <n v="2171.2941999999998"/>
    <n v="3578.27"/>
    <s v="MR."/>
    <s v="SPENCER"/>
    <s v="RUSSELL"/>
    <s v="SPENCER RUSSELL"/>
    <d v="1960-12-12T00:00:00"/>
    <s v="S"/>
    <s v="M"/>
    <s v="spencer22@adventure-works.com"/>
    <n v="90000"/>
    <n v="4"/>
    <s v="High School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55"/>
    <d v="2001-11-14T00:00:00"/>
    <s v="SO45610"/>
    <n v="310"/>
    <n v="11303"/>
    <n v="1"/>
    <n v="1"/>
    <n v="1"/>
    <n v="2"/>
    <s v="BK-R93R-62"/>
    <x v="1"/>
    <n v="2171.2941999999998"/>
    <n v="3578.27"/>
    <s v="MRS."/>
    <s v="JULIA"/>
    <s v="COLEMAN"/>
    <s v="JULIA COLEMAN"/>
    <d v="1960-10-11T00:00:00"/>
    <s v="S"/>
    <s v="F"/>
    <s v="julia72@adventure-works.com"/>
    <n v="90000"/>
    <n v="4"/>
    <s v="High School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33"/>
    <d v="2001-12-09T00:00:00"/>
    <s v="SO45625"/>
    <n v="314"/>
    <n v="11307"/>
    <n v="4"/>
    <n v="1"/>
    <n v="1"/>
    <n v="2"/>
    <s v="BK-R93R-56"/>
    <x v="2"/>
    <n v="2171.2941999999998"/>
    <n v="3578.27"/>
    <s v="MR."/>
    <s v="HUNTER"/>
    <s v="RODRIGUEZ"/>
    <s v="HUNTER RODRIGUEZ"/>
    <d v="1954-11-04T00:00:00"/>
    <s v="M"/>
    <s v="M"/>
    <s v="hunter53@adventure-works.com"/>
    <n v="80000"/>
    <n v="2"/>
    <s v="Partial High School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56"/>
    <d v="2001-11-27T00:00:00"/>
    <s v="SO45467"/>
    <n v="345"/>
    <n v="11422"/>
    <n v="10"/>
    <n v="1"/>
    <n v="1"/>
    <n v="1"/>
    <s v="BK-M82S-42"/>
    <x v="6"/>
    <n v="1912.1543999999999"/>
    <n v="3399.99"/>
    <s v="MR."/>
    <s v="DUSTIN"/>
    <s v="DENG"/>
    <s v="DUSTIN DENG"/>
    <d v="1946-09-01T00:00:00"/>
    <s v="M"/>
    <s v="M"/>
    <s v="dustin1@adventure-works.com"/>
    <n v="170000"/>
    <n v="4"/>
    <s v="Bachelors"/>
    <s v="Management"/>
    <s v="Y"/>
    <s v="United Kingdom"/>
    <x v="3"/>
    <s v="Europe"/>
    <x v="1"/>
    <s v="Bikes"/>
    <n v="3399.99"/>
    <n v="1912.1543999999999"/>
    <n v="1487.8356000000001"/>
    <n v="0.43759999294115598"/>
  </r>
  <r>
    <x v="50"/>
    <d v="2001-12-19T00:00:00"/>
    <s v="SO45604"/>
    <n v="314"/>
    <n v="11317"/>
    <n v="1"/>
    <n v="1"/>
    <n v="1"/>
    <n v="2"/>
    <s v="BK-R93R-56"/>
    <x v="2"/>
    <n v="2171.2941999999998"/>
    <n v="3578.27"/>
    <s v="MRS."/>
    <s v="VICTORIA"/>
    <s v="RUSSELL"/>
    <s v="VICTORIA RUSSELL"/>
    <d v="1952-09-17T00:00:00"/>
    <s v="S"/>
    <s v="F"/>
    <s v="victoria66@adventure-works.com"/>
    <n v="40000"/>
    <n v="3"/>
    <s v="Partial Colleg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57"/>
    <d v="2002-01-15T00:00:00"/>
    <s v="SO45649"/>
    <n v="310"/>
    <n v="11319"/>
    <n v="4"/>
    <n v="1"/>
    <n v="1"/>
    <n v="2"/>
    <s v="BK-R93R-62"/>
    <x v="1"/>
    <n v="2171.2941999999998"/>
    <n v="3578.27"/>
    <s v="MRS."/>
    <s v="JADE"/>
    <s v="BAILEY"/>
    <s v="JADE BAILEY"/>
    <d v="1937-04-27T00:00:00"/>
    <s v="M"/>
    <s v="F"/>
    <s v="jade13@adventure-works.com"/>
    <n v="70000"/>
    <n v="4"/>
    <s v="Graduate Degree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36"/>
    <d v="2002-02-11T00:00:00"/>
    <s v="SO45655"/>
    <n v="312"/>
    <n v="11323"/>
    <n v="4"/>
    <n v="1"/>
    <n v="1"/>
    <n v="2"/>
    <s v="BK-R93R-48"/>
    <x v="0"/>
    <n v="2171.2941999999998"/>
    <n v="3578.27"/>
    <s v="MR."/>
    <s v="JOSE"/>
    <s v="PATTERSON"/>
    <s v="JOSE PATTERSON"/>
    <d v="1938-06-20T00:00:00"/>
    <s v="S"/>
    <s v="M"/>
    <s v="jose33@adventure-works.com"/>
    <n v="120000"/>
    <n v="2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29"/>
    <d v="2001-12-09T00:00:00"/>
    <s v="SO45768"/>
    <n v="310"/>
    <n v="11324"/>
    <n v="4"/>
    <n v="1"/>
    <n v="1"/>
    <n v="2"/>
    <s v="BK-R93R-62"/>
    <x v="1"/>
    <n v="2171.2941999999998"/>
    <n v="3578.27"/>
    <s v="MR."/>
    <s v="ZACHARY"/>
    <s v="ANDERSON"/>
    <s v="ZACHARY ANDERSON"/>
    <d v="1939-05-14T00:00:00"/>
    <s v="M"/>
    <s v="M"/>
    <s v="zachary39@adventure-works.com"/>
    <n v="90000"/>
    <n v="5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32"/>
    <d v="2001-11-17T00:00:00"/>
    <s v="SO45482"/>
    <n v="310"/>
    <n v="12522"/>
    <n v="7"/>
    <n v="1"/>
    <n v="1"/>
    <n v="2"/>
    <s v="BK-R93R-62"/>
    <x v="1"/>
    <n v="2171.2941999999998"/>
    <n v="3578.27"/>
    <s v="MS."/>
    <s v="BRANDY"/>
    <s v="SANCHEZ"/>
    <s v="BRANDY SANCHEZ"/>
    <d v="1976-09-07T00:00:00"/>
    <s v="S"/>
    <s v="F"/>
    <s v="brandy16@adventure-works.com"/>
    <n v="20000"/>
    <n v="0"/>
    <s v="High School"/>
    <s v="Manual"/>
    <s v="N"/>
    <s v="France"/>
    <x v="0"/>
    <s v="Europe"/>
    <x v="0"/>
    <s v="Bikes"/>
    <n v="3578.27"/>
    <n v="2171.2941999999998"/>
    <n v="1406.9757999999999"/>
    <n v="0.39320001006072802"/>
  </r>
  <r>
    <x v="40"/>
    <d v="2001-11-27T00:00:00"/>
    <s v="SO45717"/>
    <n v="310"/>
    <n v="11325"/>
    <n v="1"/>
    <n v="1"/>
    <n v="1"/>
    <n v="2"/>
    <s v="BK-R93R-62"/>
    <x v="1"/>
    <n v="2171.2941999999998"/>
    <n v="3578.27"/>
    <s v="MR."/>
    <s v="ELIJAH"/>
    <s v="ROSS"/>
    <s v="ELIJAH ROSS"/>
    <d v="1939-07-02T00:00:00"/>
    <s v="S"/>
    <s v="M"/>
    <s v="elijah7@adventure-works.com"/>
    <n v="90000"/>
    <n v="5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48"/>
    <d v="2002-01-29T00:00:00"/>
    <s v="SO45696"/>
    <n v="314"/>
    <n v="11326"/>
    <n v="4"/>
    <n v="1"/>
    <n v="1"/>
    <n v="2"/>
    <s v="BK-R93R-56"/>
    <x v="2"/>
    <n v="2171.2941999999998"/>
    <n v="3578.27"/>
    <s v="MR."/>
    <s v="RAFAEL"/>
    <s v="XIE"/>
    <s v="RAFAEL XIE"/>
    <d v="1939-06-26T00:00:00"/>
    <s v="M"/>
    <s v="M"/>
    <s v="rafael26@adventure-works.com"/>
    <n v="130000"/>
    <n v="2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29"/>
    <d v="2002-01-20T00:00:00"/>
    <s v="SO45769"/>
    <n v="314"/>
    <n v="11327"/>
    <n v="4"/>
    <n v="1"/>
    <n v="1"/>
    <n v="2"/>
    <s v="BK-R93R-56"/>
    <x v="2"/>
    <n v="2171.2941999999998"/>
    <n v="3578.27"/>
    <s v="MR."/>
    <s v="JAIME"/>
    <s v="MORENO"/>
    <s v="JAIME MORENO"/>
    <d v="1940-03-04T00:00:00"/>
    <s v="M"/>
    <s v="M"/>
    <s v="jaime48@adventure-works.com"/>
    <n v="90000"/>
    <n v="5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49"/>
    <d v="2001-12-12T00:00:00"/>
    <s v="SO45760"/>
    <n v="311"/>
    <n v="11329"/>
    <n v="4"/>
    <n v="1"/>
    <n v="1"/>
    <n v="2"/>
    <s v="BK-R93R-44"/>
    <x v="4"/>
    <n v="2171.2941999999998"/>
    <n v="3578.27"/>
    <s v="MR."/>
    <s v="ANDY"/>
    <s v="ALVAREZ"/>
    <s v="ANDY ALVAREZ"/>
    <d v="1940-07-25T00:00:00"/>
    <s v="S"/>
    <s v="M"/>
    <s v="andy9@adventure-works.com"/>
    <n v="90000"/>
    <n v="5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58"/>
    <d v="2001-12-24T00:00:00"/>
    <s v="SO45917"/>
    <n v="346"/>
    <n v="11332"/>
    <n v="8"/>
    <n v="1"/>
    <n v="1"/>
    <n v="1"/>
    <s v="BK-M82S-44"/>
    <x v="12"/>
    <n v="1912.1543999999999"/>
    <n v="3399.99"/>
    <s v="MRS."/>
    <s v="DEANNA"/>
    <s v="RAMOS"/>
    <s v="DEANNA RAMOS"/>
    <d v="1962-10-04T00:00:00"/>
    <s v="S"/>
    <s v="F"/>
    <s v="deanna44@adventure-works.com"/>
    <n v="10000"/>
    <n v="1"/>
    <s v="Graduate Degree"/>
    <s v="Manual"/>
    <s v="Y"/>
    <s v="Germany"/>
    <x v="4"/>
    <s v="Europe"/>
    <x v="1"/>
    <s v="Bikes"/>
    <n v="3399.99"/>
    <n v="1912.1543999999999"/>
    <n v="1487.8356000000001"/>
    <n v="0.43759999294115598"/>
  </r>
  <r>
    <x v="59"/>
    <d v="2002-03-22T00:00:00"/>
    <s v="SO45971"/>
    <n v="345"/>
    <n v="11335"/>
    <n v="8"/>
    <n v="1"/>
    <n v="1"/>
    <n v="1"/>
    <s v="BK-M82S-42"/>
    <x v="6"/>
    <n v="1912.1543999999999"/>
    <n v="3399.99"/>
    <s v="MRS."/>
    <s v="CARLA"/>
    <s v="RAMAN"/>
    <s v="CARLA RAMAN"/>
    <d v="1961-06-24T00:00:00"/>
    <s v="M"/>
    <s v="F"/>
    <s v="carla14@adventure-works.com"/>
    <n v="10000"/>
    <n v="1"/>
    <s v="Bachelors"/>
    <s v="Manual"/>
    <s v="Y"/>
    <s v="Germany"/>
    <x v="4"/>
    <s v="Europe"/>
    <x v="1"/>
    <s v="Bikes"/>
    <n v="3399.99"/>
    <n v="1912.1543999999999"/>
    <n v="1487.8356000000001"/>
    <n v="0.43759999294115598"/>
  </r>
  <r>
    <x v="60"/>
    <d v="2002-03-02T00:00:00"/>
    <s v="SO45890"/>
    <n v="349"/>
    <n v="11338"/>
    <n v="8"/>
    <n v="1"/>
    <n v="1"/>
    <n v="1"/>
    <s v="BK-M82B-42"/>
    <x v="11"/>
    <n v="1898.0944"/>
    <n v="3374.99"/>
    <s v="MR."/>
    <s v="FRANK"/>
    <s v="NAVARRO"/>
    <s v="FRANK NAVARRO"/>
    <d v="1961-08-10T00:00:00"/>
    <s v="M"/>
    <s v="M"/>
    <s v="frank17@adventure-works.com"/>
    <n v="20000"/>
    <n v="1"/>
    <s v="Graduate Degree"/>
    <s v="Clerical"/>
    <s v="Y"/>
    <s v="Germany"/>
    <x v="4"/>
    <s v="Europe"/>
    <x v="1"/>
    <s v="Bikes"/>
    <n v="3374.99"/>
    <n v="1898.0944"/>
    <n v="1476.8956000000001"/>
    <n v="0.43759999288886797"/>
  </r>
  <r>
    <x v="61"/>
    <d v="2001-12-18T00:00:00"/>
    <s v="SO45508"/>
    <n v="310"/>
    <n v="12510"/>
    <n v="7"/>
    <n v="1"/>
    <n v="1"/>
    <n v="2"/>
    <s v="BK-R93R-62"/>
    <x v="1"/>
    <n v="2171.2941999999998"/>
    <n v="3578.27"/>
    <s v="MR."/>
    <s v="ROBERTO"/>
    <s v="SANZ"/>
    <s v="ROBERTO SANZ"/>
    <d v="1962-11-20T00:00:00"/>
    <s v="M"/>
    <s v="M"/>
    <s v="roberto18@adventure-works.com"/>
    <n v="40000"/>
    <n v="1"/>
    <s v="Bachelors"/>
    <s v="Skilled Manual"/>
    <s v="Y"/>
    <s v="France"/>
    <x v="0"/>
    <s v="Europe"/>
    <x v="0"/>
    <s v="Bikes"/>
    <n v="3578.27"/>
    <n v="2171.2941999999998"/>
    <n v="1406.9757999999999"/>
    <n v="0.39320001006072802"/>
  </r>
  <r>
    <x v="11"/>
    <d v="2002-01-15T00:00:00"/>
    <s v="SO45511"/>
    <n v="311"/>
    <n v="12523"/>
    <n v="7"/>
    <n v="1"/>
    <n v="1"/>
    <n v="2"/>
    <s v="BK-R93R-44"/>
    <x v="4"/>
    <n v="2171.2941999999998"/>
    <n v="3578.27"/>
    <s v="MR."/>
    <s v="STEVE"/>
    <s v="WAGNER"/>
    <s v="STEVE WAGNER"/>
    <d v="1976-12-03T00:00:00"/>
    <s v="S"/>
    <s v="M"/>
    <s v="steve5@adventure-works.com"/>
    <n v="20000"/>
    <n v="0"/>
    <s v="High School"/>
    <s v="Manual"/>
    <s v="N"/>
    <s v="France"/>
    <x v="0"/>
    <s v="Europe"/>
    <x v="0"/>
    <s v="Bikes"/>
    <n v="3578.27"/>
    <n v="2171.2941999999998"/>
    <n v="1406.9757999999999"/>
    <n v="0.39320001006072802"/>
  </r>
  <r>
    <x v="35"/>
    <d v="2001-12-20T00:00:00"/>
    <s v="SO45585"/>
    <n v="351"/>
    <n v="11905"/>
    <n v="9"/>
    <n v="1"/>
    <n v="1"/>
    <n v="1"/>
    <s v="BK-M82B-48"/>
    <x v="7"/>
    <n v="1898.0944"/>
    <n v="3374.99"/>
    <s v="MR."/>
    <s v="ISAIAH"/>
    <s v="RAMIREZ"/>
    <s v="ISAIAH RAMIREZ"/>
    <d v="1969-06-16T00:00:00"/>
    <s v="S"/>
    <s v="M"/>
    <s v="isaiah6@adventure-works.com"/>
    <n v="110000"/>
    <n v="1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41"/>
    <d v="2002-01-03T00:00:00"/>
    <s v="SO45586"/>
    <n v="311"/>
    <n v="12613"/>
    <n v="7"/>
    <n v="1"/>
    <n v="1"/>
    <n v="2"/>
    <s v="BK-R93R-44"/>
    <x v="4"/>
    <n v="2171.2941999999998"/>
    <n v="3578.27"/>
    <s v="MR."/>
    <s v="JOEL"/>
    <s v="PRASAD"/>
    <s v="JOEL PRASAD"/>
    <d v="1970-09-03T00:00:00"/>
    <s v="M"/>
    <s v="M"/>
    <s v="joel8@adventure-works.com"/>
    <n v="30000"/>
    <n v="0"/>
    <s v="Bachelors"/>
    <s v="Clerical"/>
    <s v="Y"/>
    <s v="France"/>
    <x v="0"/>
    <s v="Europe"/>
    <x v="0"/>
    <s v="Bikes"/>
    <n v="3578.27"/>
    <n v="2171.2941999999998"/>
    <n v="1406.9757999999999"/>
    <n v="0.39320001006072802"/>
  </r>
  <r>
    <x v="41"/>
    <d v="2001-11-28T00:00:00"/>
    <s v="SO45587"/>
    <n v="310"/>
    <n v="11531"/>
    <n v="4"/>
    <n v="1"/>
    <n v="1"/>
    <n v="2"/>
    <s v="BK-R93R-62"/>
    <x v="1"/>
    <n v="2171.2941999999998"/>
    <n v="3578.27"/>
    <s v="MRS."/>
    <s v="NINA"/>
    <s v="YUAN"/>
    <s v="NINA YUAN"/>
    <d v="1957-01-07T00:00:00"/>
    <s v="M"/>
    <s v="F"/>
    <s v="nina7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41"/>
    <d v="2001-11-28T00:00:00"/>
    <s v="SO45592"/>
    <n v="345"/>
    <n v="11897"/>
    <n v="9"/>
    <n v="1"/>
    <n v="1"/>
    <n v="1"/>
    <s v="BK-M82S-42"/>
    <x v="6"/>
    <n v="1912.1543999999999"/>
    <n v="3399.99"/>
    <s v="MR."/>
    <s v="ORLANDO"/>
    <s v="ASHE"/>
    <s v="ORLANDO ASHE"/>
    <d v="1968-11-28T00:00:00"/>
    <s v="S"/>
    <s v="M"/>
    <s v="orlando5@adventure-works.com"/>
    <n v="60000"/>
    <n v="2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44"/>
    <d v="2002-02-01T00:00:00"/>
    <s v="SO45601"/>
    <n v="348"/>
    <n v="11893"/>
    <n v="9"/>
    <n v="1"/>
    <n v="1"/>
    <n v="1"/>
    <s v="BK-M82B-38"/>
    <x v="9"/>
    <n v="1898.0944"/>
    <n v="3374.99"/>
    <s v="MR."/>
    <s v="ORLANDO"/>
    <s v="CARLSON"/>
    <s v="ORLANDO CARLSON"/>
    <d v="1969-02-09T00:00:00"/>
    <s v="M"/>
    <s v="M"/>
    <s v="orlando18@adventure-works.com"/>
    <n v="90000"/>
    <n v="2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44"/>
    <d v="2002-01-20T00:00:00"/>
    <s v="SO45595"/>
    <n v="314"/>
    <n v="11515"/>
    <n v="4"/>
    <n v="1"/>
    <n v="1"/>
    <n v="2"/>
    <s v="BK-R93R-56"/>
    <x v="2"/>
    <n v="2171.2941999999998"/>
    <n v="3578.27"/>
    <s v="MRS."/>
    <s v="SHANNON"/>
    <s v="HUANG"/>
    <s v="SHANNON HUANG"/>
    <d v="1954-02-25T00:00:00"/>
    <s v="M"/>
    <s v="F"/>
    <s v="shannon6@adventure-works.com"/>
    <n v="30000"/>
    <n v="1"/>
    <s v="High School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50"/>
    <d v="2001-12-16T00:00:00"/>
    <s v="SO45605"/>
    <n v="311"/>
    <n v="11626"/>
    <n v="4"/>
    <n v="1"/>
    <n v="1"/>
    <n v="2"/>
    <s v="BK-R93R-44"/>
    <x v="4"/>
    <n v="2171.2941999999998"/>
    <n v="3578.27"/>
    <s v="MRS."/>
    <s v="DESTINY"/>
    <s v="ROGERS"/>
    <s v="DESTINY ROGERS"/>
    <d v="1973-06-14T00:00:00"/>
    <s v="M"/>
    <s v="F"/>
    <s v="destiny26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60"/>
    <d v="2002-01-02T00:00:00"/>
    <s v="SO45891"/>
    <n v="346"/>
    <n v="11380"/>
    <n v="8"/>
    <n v="1"/>
    <n v="1"/>
    <n v="1"/>
    <s v="BK-M82S-44"/>
    <x v="12"/>
    <n v="1912.1543999999999"/>
    <n v="3399.99"/>
    <s v="MR."/>
    <s v="MITCHELL"/>
    <s v="KUMAR"/>
    <s v="MITCHELL KUMAR"/>
    <d v="1959-03-02T00:00:00"/>
    <s v="S"/>
    <s v="M"/>
    <s v="mitchell7@adventure-works.com"/>
    <n v="20000"/>
    <n v="2"/>
    <s v="Partial College"/>
    <s v="Manual"/>
    <s v="Y"/>
    <s v="Germany"/>
    <x v="4"/>
    <s v="Europe"/>
    <x v="1"/>
    <s v="Bikes"/>
    <n v="3399.99"/>
    <n v="1912.1543999999999"/>
    <n v="1487.8356000000001"/>
    <n v="0.43759999294115598"/>
  </r>
  <r>
    <x v="50"/>
    <d v="2002-01-28T00:00:00"/>
    <s v="SO45608"/>
    <n v="349"/>
    <n v="11896"/>
    <n v="9"/>
    <n v="1"/>
    <n v="1"/>
    <n v="1"/>
    <s v="BK-M82B-42"/>
    <x v="11"/>
    <n v="1898.0944"/>
    <n v="3374.99"/>
    <s v="MR."/>
    <s v="FRANK"/>
    <s v="CARLSON"/>
    <s v="FRANK CARLSON"/>
    <d v="1969-11-18T00:00:00"/>
    <s v="M"/>
    <s v="M"/>
    <s v="frank26@adventure-works.com"/>
    <n v="100000"/>
    <n v="1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50"/>
    <d v="2001-11-12T00:00:00"/>
    <s v="SO45602"/>
    <n v="312"/>
    <n v="12607"/>
    <n v="7"/>
    <n v="1"/>
    <n v="1"/>
    <n v="2"/>
    <s v="BK-R93R-48"/>
    <x v="0"/>
    <n v="2171.2941999999998"/>
    <n v="3578.27"/>
    <s v="MRS."/>
    <s v="TAMARA"/>
    <s v="ZHU"/>
    <s v="TAMARA ZHU"/>
    <d v="1960-09-22T00:00:00"/>
    <s v="M"/>
    <s v="F"/>
    <s v="tamara3@adventure-works.com"/>
    <n v="40000"/>
    <n v="3"/>
    <s v="Graduate Degree"/>
    <s v="Clerical"/>
    <s v="Y"/>
    <s v="France"/>
    <x v="0"/>
    <s v="Europe"/>
    <x v="0"/>
    <s v="Bikes"/>
    <n v="3578.27"/>
    <n v="2171.2941999999998"/>
    <n v="1406.9757999999999"/>
    <n v="0.39320001006072802"/>
  </r>
  <r>
    <x v="55"/>
    <d v="2002-02-11T00:00:00"/>
    <s v="SO45611"/>
    <n v="310"/>
    <n v="11535"/>
    <n v="1"/>
    <n v="1"/>
    <n v="1"/>
    <n v="2"/>
    <s v="BK-R93R-62"/>
    <x v="1"/>
    <n v="2171.2941999999998"/>
    <n v="3578.27"/>
    <s v="MR."/>
    <s v="DEVIN"/>
    <s v="NELSON"/>
    <s v="DEVIN NELSON"/>
    <d v="1958-07-03T00:00:00"/>
    <s v="M"/>
    <s v="M"/>
    <s v="devin32@adventure-works.com"/>
    <n v="60000"/>
    <n v="4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62"/>
    <d v="2002-02-19T00:00:00"/>
    <s v="SO45613"/>
    <n v="314"/>
    <n v="11522"/>
    <n v="1"/>
    <n v="1"/>
    <n v="1"/>
    <n v="2"/>
    <s v="BK-R93R-56"/>
    <x v="2"/>
    <n v="2171.2941999999998"/>
    <n v="3578.27"/>
    <s v="MR."/>
    <s v="CHRISTIAN"/>
    <s v="HUGHES"/>
    <s v="CHRISTIAN HUGHES"/>
    <d v="1955-12-23T00:00:00"/>
    <s v="M"/>
    <s v="M"/>
    <s v="christian26@adventure-works.com"/>
    <n v="80000"/>
    <n v="5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62"/>
    <d v="2002-02-01T00:00:00"/>
    <s v="SO45621"/>
    <n v="346"/>
    <n v="11768"/>
    <n v="9"/>
    <n v="1"/>
    <n v="1"/>
    <n v="1"/>
    <s v="BK-M82S-44"/>
    <x v="12"/>
    <n v="1912.1543999999999"/>
    <n v="3399.99"/>
    <s v="MR."/>
    <s v="CLAYTON"/>
    <s v="NARA"/>
    <s v="CLAYTON NARA"/>
    <d v="1966-10-08T00:00:00"/>
    <s v="M"/>
    <s v="M"/>
    <s v="clayton34@adventure-works.com"/>
    <n v="90000"/>
    <n v="2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63"/>
    <d v="2002-03-05T00:00:00"/>
    <s v="SO46229"/>
    <n v="344"/>
    <n v="11395"/>
    <n v="8"/>
    <n v="1"/>
    <n v="1"/>
    <n v="1"/>
    <s v="BK-M82S-38"/>
    <x v="8"/>
    <n v="1912.1543999999999"/>
    <n v="3399.99"/>
    <s v="MS."/>
    <s v="BETH"/>
    <s v="GUTIERREZ"/>
    <s v="BETH GUTIERREZ"/>
    <d v="1970-10-18T00:00:00"/>
    <s v="S"/>
    <s v="F"/>
    <s v="beth13@adventure-works.com"/>
    <n v="30000"/>
    <n v="0"/>
    <s v="Bachelors"/>
    <s v="Clerical"/>
    <s v="Y"/>
    <s v="Germany"/>
    <x v="4"/>
    <s v="Europe"/>
    <x v="1"/>
    <s v="Bikes"/>
    <n v="3399.99"/>
    <n v="1912.1543999999999"/>
    <n v="1487.8356000000001"/>
    <n v="0.43759999294115598"/>
  </r>
  <r>
    <x v="62"/>
    <d v="2001-12-02T00:00:00"/>
    <s v="SO45618"/>
    <n v="311"/>
    <n v="12618"/>
    <n v="7"/>
    <n v="1"/>
    <n v="1"/>
    <n v="2"/>
    <s v="BK-R93R-44"/>
    <x v="4"/>
    <n v="2171.2941999999998"/>
    <n v="3578.27"/>
    <s v="MS."/>
    <s v="DAWN"/>
    <s v="LAL"/>
    <s v="DAWN LAL"/>
    <d v="1969-06-23T00:00:00"/>
    <s v="M"/>
    <s v="F"/>
    <s v="dawn32@adventure-works.com"/>
    <n v="30000"/>
    <n v="0"/>
    <s v="Bachelors"/>
    <s v="Clerical"/>
    <s v="Y"/>
    <s v="France"/>
    <x v="0"/>
    <s v="Europe"/>
    <x v="0"/>
    <s v="Bikes"/>
    <n v="3578.27"/>
    <n v="2171.2941999999998"/>
    <n v="1406.9757999999999"/>
    <n v="0.39320001006072802"/>
  </r>
  <r>
    <x v="33"/>
    <d v="2001-11-12T00:00:00"/>
    <s v="SO45630"/>
    <n v="351"/>
    <n v="11899"/>
    <n v="9"/>
    <n v="1"/>
    <n v="1"/>
    <n v="1"/>
    <s v="BK-M82B-48"/>
    <x v="7"/>
    <n v="1898.0944"/>
    <n v="3374.99"/>
    <s v="MRS."/>
    <s v="BRENDA"/>
    <s v="PEREZ"/>
    <s v="BRENDA PEREZ"/>
    <d v="1970-09-16T00:00:00"/>
    <s v="S"/>
    <s v="F"/>
    <s v="brenda25@adventure-works.com"/>
    <n v="80000"/>
    <n v="4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33"/>
    <d v="2002-01-01T00:00:00"/>
    <s v="SO45629"/>
    <n v="347"/>
    <n v="11892"/>
    <n v="9"/>
    <n v="1"/>
    <n v="1"/>
    <n v="1"/>
    <s v="BK-M82S-48"/>
    <x v="10"/>
    <n v="1912.1543999999999"/>
    <n v="3399.99"/>
    <s v="MR."/>
    <s v="JULIO"/>
    <s v="ORTEGA"/>
    <s v="JULIO ORTEGA"/>
    <d v="1969-10-08T00:00:00"/>
    <s v="M"/>
    <s v="M"/>
    <s v="julio23@adventure-works.com"/>
    <n v="90000"/>
    <n v="1"/>
    <s v="Graduate Degree"/>
    <s v="Management"/>
    <s v="Y"/>
    <s v="Australia"/>
    <x v="2"/>
    <s v="Pacific"/>
    <x v="1"/>
    <s v="Bikes"/>
    <n v="3399.99"/>
    <n v="1912.1543999999999"/>
    <n v="1487.8356000000001"/>
    <n v="0.43759999294115598"/>
  </r>
  <r>
    <x v="64"/>
    <d v="2002-03-27T00:00:00"/>
    <s v="SO46160"/>
    <n v="351"/>
    <n v="11412"/>
    <n v="8"/>
    <n v="1"/>
    <n v="1"/>
    <n v="1"/>
    <s v="BK-M82B-48"/>
    <x v="7"/>
    <n v="1898.0944"/>
    <n v="3374.99"/>
    <s v="MRS."/>
    <s v="SYDNEY"/>
    <s v="BRYANT"/>
    <s v="SYDNEY BRYANT"/>
    <d v="1954-04-09T00:00:00"/>
    <s v="S"/>
    <s v="F"/>
    <s v="sydney40@adventure-works.com"/>
    <n v="80000"/>
    <n v="4"/>
    <s v="Partial College"/>
    <s v="Professional"/>
    <s v="Y"/>
    <s v="Germany"/>
    <x v="4"/>
    <s v="Europe"/>
    <x v="1"/>
    <s v="Bikes"/>
    <n v="3374.99"/>
    <n v="1898.0944"/>
    <n v="1476.8956000000001"/>
    <n v="0.43759999288886797"/>
  </r>
  <r>
    <x v="54"/>
    <d v="2002-01-19T00:00:00"/>
    <s v="SO45637"/>
    <n v="314"/>
    <n v="11525"/>
    <n v="1"/>
    <n v="1"/>
    <n v="1"/>
    <n v="2"/>
    <s v="BK-R93R-56"/>
    <x v="2"/>
    <n v="2171.2941999999998"/>
    <n v="3578.27"/>
    <s v="MRS."/>
    <s v="ARIANA"/>
    <s v="COOK"/>
    <s v="ARIANA COOK"/>
    <d v="1956-01-09T00:00:00"/>
    <s v="M"/>
    <s v="F"/>
    <s v="ariana19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65"/>
    <d v="2001-12-30T00:00:00"/>
    <s v="SO45642"/>
    <n v="313"/>
    <n v="11623"/>
    <n v="4"/>
    <n v="1"/>
    <n v="1"/>
    <n v="2"/>
    <s v="BK-R93R-52"/>
    <x v="3"/>
    <n v="2171.2941999999998"/>
    <n v="3578.27"/>
    <s v=""/>
    <s v="ANGELA"/>
    <s v="PERRY"/>
    <s v="ANGELA PERRY"/>
    <d v="1973-06-27T00:00:00"/>
    <s v="S"/>
    <s v="NA"/>
    <s v="angela10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66"/>
    <d v="2002-01-13T00:00:00"/>
    <s v="SO46146"/>
    <n v="345"/>
    <n v="11421"/>
    <n v="8"/>
    <n v="1"/>
    <n v="1"/>
    <n v="1"/>
    <s v="BK-M82S-42"/>
    <x v="6"/>
    <n v="1912.1543999999999"/>
    <n v="3399.99"/>
    <s v="MRS."/>
    <s v="AMY"/>
    <s v="SUN"/>
    <s v="AMY SUN"/>
    <d v="1946-07-19T00:00:00"/>
    <s v="M"/>
    <s v="F"/>
    <s v="amy19@adventure-works.com"/>
    <n v="110000"/>
    <n v="3"/>
    <s v="Bachelors"/>
    <s v="Management"/>
    <s v="Y"/>
    <s v="Germany"/>
    <x v="4"/>
    <s v="Europe"/>
    <x v="1"/>
    <s v="Bikes"/>
    <n v="3399.99"/>
    <n v="1912.1543999999999"/>
    <n v="1487.8356000000001"/>
    <n v="0.43759999294115598"/>
  </r>
  <r>
    <x v="46"/>
    <d v="2002-01-13T00:00:00"/>
    <s v="SO45645"/>
    <n v="351"/>
    <n v="11482"/>
    <n v="10"/>
    <n v="1"/>
    <n v="1"/>
    <n v="1"/>
    <s v="BK-M82B-48"/>
    <x v="7"/>
    <n v="1898.0944"/>
    <n v="3374.99"/>
    <s v="MS."/>
    <s v="ADRIENNE"/>
    <s v="TORRES"/>
    <s v="ADRIENNE TORRES"/>
    <d v="1972-07-19T00:00:00"/>
    <s v="S"/>
    <s v="F"/>
    <s v="adrienne8@adventure-works.com"/>
    <n v="30000"/>
    <n v="0"/>
    <s v="High School"/>
    <s v="Manual"/>
    <s v="N"/>
    <s v="United Kingdom"/>
    <x v="3"/>
    <s v="Europe"/>
    <x v="1"/>
    <s v="Bikes"/>
    <n v="3374.99"/>
    <n v="1898.0944"/>
    <n v="1476.8956000000001"/>
    <n v="0.43759999288886797"/>
  </r>
  <r>
    <x v="67"/>
    <d v="2002-03-09T00:00:00"/>
    <s v="SO46463"/>
    <n v="348"/>
    <n v="11423"/>
    <n v="8"/>
    <n v="1"/>
    <n v="1"/>
    <n v="1"/>
    <s v="BK-M82B-38"/>
    <x v="9"/>
    <n v="1898.0944"/>
    <n v="3374.99"/>
    <s v="MRS."/>
    <s v="JASMINE"/>
    <s v="STEWART"/>
    <s v="JASMINE STEWART"/>
    <d v="1954-11-05T00:00:00"/>
    <s v="M"/>
    <s v="F"/>
    <s v="jasmine22@adventure-works.com"/>
    <n v="80000"/>
    <n v="4"/>
    <s v="Partial College"/>
    <s v="Professional"/>
    <s v="N"/>
    <s v="Germany"/>
    <x v="4"/>
    <s v="Europe"/>
    <x v="1"/>
    <s v="Bikes"/>
    <n v="3374.99"/>
    <n v="1898.0944"/>
    <n v="1476.8956000000001"/>
    <n v="0.43759999288886797"/>
  </r>
  <r>
    <x v="68"/>
    <d v="2002-05-19T00:00:00"/>
    <s v="SO46537"/>
    <n v="344"/>
    <n v="11427"/>
    <n v="8"/>
    <n v="1"/>
    <n v="1"/>
    <n v="1"/>
    <s v="BK-M82S-38"/>
    <x v="8"/>
    <n v="1912.1543999999999"/>
    <n v="3399.99"/>
    <s v="MRS."/>
    <s v="DESIREE"/>
    <s v="DOMINGUEZ"/>
    <s v="DESIREE DOMINGUEZ"/>
    <d v="1953-12-18T00:00:00"/>
    <s v="M"/>
    <s v="F"/>
    <s v="desiree9@adventure-works.com"/>
    <n v="110000"/>
    <n v="2"/>
    <s v="Partial College"/>
    <s v="Professional"/>
    <s v="Y"/>
    <s v="Germany"/>
    <x v="4"/>
    <s v="Europe"/>
    <x v="1"/>
    <s v="Bikes"/>
    <n v="3399.99"/>
    <n v="1912.1543999999999"/>
    <n v="1487.8356000000001"/>
    <n v="0.43759999294115598"/>
  </r>
  <r>
    <x v="69"/>
    <d v="2002-03-19T00:00:00"/>
    <s v="SO46429"/>
    <n v="345"/>
    <n v="11428"/>
    <n v="8"/>
    <n v="1"/>
    <n v="1"/>
    <n v="1"/>
    <s v="BK-M82S-42"/>
    <x v="6"/>
    <n v="1912.1543999999999"/>
    <n v="3399.99"/>
    <s v="MRS."/>
    <s v="DEANNA"/>
    <s v="PEREZ"/>
    <s v="DEANNA PEREZ"/>
    <d v="1953-08-22T00:00:00"/>
    <s v="S"/>
    <s v="F"/>
    <s v="deanna24@adventure-works.com"/>
    <n v="120000"/>
    <n v="2"/>
    <s v="Bachelors"/>
    <s v="Management"/>
    <s v="Y"/>
    <s v="Germany"/>
    <x v="4"/>
    <s v="Europe"/>
    <x v="1"/>
    <s v="Bikes"/>
    <n v="3399.99"/>
    <n v="1912.1543999999999"/>
    <n v="1487.8356000000001"/>
    <n v="0.43759999294115598"/>
  </r>
  <r>
    <x v="57"/>
    <d v="2001-12-31T00:00:00"/>
    <s v="SO45653"/>
    <n v="347"/>
    <n v="11764"/>
    <n v="9"/>
    <n v="1"/>
    <n v="1"/>
    <n v="1"/>
    <s v="BK-M82S-48"/>
    <x v="10"/>
    <n v="1912.1543999999999"/>
    <n v="3399.99"/>
    <s v="MRS."/>
    <s v="JESSIE"/>
    <s v="RAMOS"/>
    <s v="JESSIE RAMOS"/>
    <d v="1967-07-17T00:00:00"/>
    <s v="S"/>
    <s v="F"/>
    <s v="jessie36@adventure-works.com"/>
    <n v="80000"/>
    <n v="5"/>
    <s v="Graduate Degree"/>
    <s v="Management"/>
    <s v="Y"/>
    <s v="Australia"/>
    <x v="2"/>
    <s v="Pacific"/>
    <x v="1"/>
    <s v="Bikes"/>
    <n v="3399.99"/>
    <n v="1912.1543999999999"/>
    <n v="1487.8356000000001"/>
    <n v="0.43759999294115598"/>
  </r>
  <r>
    <x v="70"/>
    <d v="2002-05-12T00:00:00"/>
    <s v="SO46542"/>
    <n v="347"/>
    <n v="11431"/>
    <n v="8"/>
    <n v="1"/>
    <n v="1"/>
    <n v="1"/>
    <s v="BK-M82S-48"/>
    <x v="10"/>
    <n v="1912.1543999999999"/>
    <n v="3399.99"/>
    <s v="MR."/>
    <s v="BRYANT"/>
    <s v="GARCIA"/>
    <s v="BRYANT GARCIA"/>
    <d v="1952-10-27T00:00:00"/>
    <s v="M"/>
    <s v="M"/>
    <s v="bryant14@adventure-works.com"/>
    <n v="110000"/>
    <n v="4"/>
    <s v="Partial College"/>
    <s v="Professional"/>
    <s v="Y"/>
    <s v="Germany"/>
    <x v="4"/>
    <s v="Europe"/>
    <x v="1"/>
    <s v="Bikes"/>
    <n v="3399.99"/>
    <n v="1912.1543999999999"/>
    <n v="1487.8356000000001"/>
    <n v="0.43759999294115598"/>
  </r>
  <r>
    <x v="36"/>
    <d v="2002-02-18T00:00:00"/>
    <s v="SO45662"/>
    <n v="350"/>
    <n v="11906"/>
    <n v="9"/>
    <n v="1"/>
    <n v="1"/>
    <n v="1"/>
    <s v="BK-M82B-44"/>
    <x v="5"/>
    <n v="1898.0944"/>
    <n v="3374.99"/>
    <s v="MRS."/>
    <s v="GABRIELLA"/>
    <s v="SANDERS"/>
    <s v="GABRIELLA SANDERS"/>
    <d v="1967-02-18T00:00:00"/>
    <s v="M"/>
    <s v="F"/>
    <s v="gabriella1@adventure-works.com"/>
    <n v="80000"/>
    <n v="5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36"/>
    <d v="2001-12-05T00:00:00"/>
    <s v="SO45656"/>
    <n v="313"/>
    <n v="11617"/>
    <n v="4"/>
    <n v="1"/>
    <n v="1"/>
    <n v="2"/>
    <s v="BK-R93R-52"/>
    <x v="3"/>
    <n v="2171.2941999999998"/>
    <n v="3578.27"/>
    <s v="MR."/>
    <s v="SEAN"/>
    <s v="BROOKS"/>
    <s v="SEAN BROOKS"/>
    <d v="1959-04-04T00:00:00"/>
    <s v="S"/>
    <s v="M"/>
    <s v="sean8@adventure-works.com"/>
    <n v="60000"/>
    <n v="4"/>
    <s v="Graduate Degree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36"/>
    <d v="2001-12-22T00:00:00"/>
    <s v="SO45663"/>
    <n v="347"/>
    <n v="11901"/>
    <n v="9"/>
    <n v="1"/>
    <n v="1"/>
    <n v="1"/>
    <s v="BK-M82S-48"/>
    <x v="10"/>
    <n v="1912.1543999999999"/>
    <n v="3399.99"/>
    <s v="MRS."/>
    <s v="STACY"/>
    <s v="ALVAREZ"/>
    <s v="STACY ALVAREZ"/>
    <d v="1968-02-19T00:00:00"/>
    <s v="S"/>
    <s v="F"/>
    <s v="stacy6@adventure-works.com"/>
    <n v="60000"/>
    <n v="2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52"/>
    <d v="2002-02-17T00:00:00"/>
    <s v="SO45670"/>
    <n v="310"/>
    <n v="11541"/>
    <n v="1"/>
    <n v="1"/>
    <n v="1"/>
    <n v="2"/>
    <s v="BK-R93R-62"/>
    <x v="1"/>
    <n v="2171.2941999999998"/>
    <n v="3578.27"/>
    <s v="MR."/>
    <s v="AIDAN"/>
    <s v="ROSS"/>
    <s v="AIDAN ROSS"/>
    <d v="1959-04-12T00:00:00"/>
    <s v="S"/>
    <s v="M"/>
    <s v="aidan4@adventure-works.com"/>
    <n v="60000"/>
    <n v="4"/>
    <s v="Graduate Degree"/>
    <s v="Skilled Manual"/>
    <s v="N"/>
    <s v="Northwest"/>
    <x v="1"/>
    <s v="North America"/>
    <x v="0"/>
    <s v="Bikes"/>
    <n v="3578.27"/>
    <n v="2171.2941999999998"/>
    <n v="1406.9757999999999"/>
    <n v="0.39320001006072802"/>
  </r>
  <r>
    <x v="52"/>
    <d v="2001-11-28T00:00:00"/>
    <s v="SO45677"/>
    <n v="348"/>
    <n v="11895"/>
    <n v="9"/>
    <n v="1"/>
    <n v="1"/>
    <n v="1"/>
    <s v="BK-M82B-38"/>
    <x v="9"/>
    <n v="1898.0944"/>
    <n v="3374.99"/>
    <s v="MR."/>
    <s v="DUSTIN"/>
    <s v="CHANDER"/>
    <s v="DUSTIN CHANDER"/>
    <d v="1969-07-21T00:00:00"/>
    <s v="M"/>
    <s v="M"/>
    <s v="dustin16@adventure-works.com"/>
    <n v="100000"/>
    <n v="1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52"/>
    <d v="2002-02-08T00:00:00"/>
    <s v="SO45669"/>
    <n v="314"/>
    <n v="11528"/>
    <n v="4"/>
    <n v="1"/>
    <n v="1"/>
    <n v="2"/>
    <s v="BK-R93R-56"/>
    <x v="2"/>
    <n v="2171.2941999999998"/>
    <n v="3578.27"/>
    <s v="MRS."/>
    <s v="JOAN"/>
    <s v="WASHINGTON"/>
    <s v="JOAN WASHINGTON"/>
    <d v="1957-08-19T00:00:00"/>
    <s v="M"/>
    <s v="F"/>
    <s v="joan7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52"/>
    <d v="2001-12-06T00:00:00"/>
    <s v="SO45676"/>
    <n v="349"/>
    <n v="11765"/>
    <n v="9"/>
    <n v="1"/>
    <n v="1"/>
    <n v="1"/>
    <s v="BK-M82B-42"/>
    <x v="11"/>
    <n v="1898.0944"/>
    <n v="3374.99"/>
    <s v="MR."/>
    <s v="MARC"/>
    <s v="TORRES"/>
    <s v="MARC TORRES"/>
    <d v="1966-10-11T00:00:00"/>
    <s v="M"/>
    <s v="M"/>
    <s v="marc15@adventure-works.com"/>
    <n v="80000"/>
    <n v="5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52"/>
    <d v="2002-02-25T00:00:00"/>
    <s v="SO45671"/>
    <n v="312"/>
    <n v="11628"/>
    <n v="4"/>
    <n v="1"/>
    <n v="1"/>
    <n v="2"/>
    <s v="BK-R93R-48"/>
    <x v="0"/>
    <n v="2171.2941999999998"/>
    <n v="3578.27"/>
    <s v="MRS."/>
    <s v="MARIAH"/>
    <s v="WOOD"/>
    <s v="MARIAH WOOD"/>
    <d v="1972-05-17T00:00:00"/>
    <s v="S"/>
    <s v="F"/>
    <s v="mariah6@adventure-works.com"/>
    <n v="4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43"/>
    <d v="2002-01-09T00:00:00"/>
    <s v="SO45679"/>
    <n v="314"/>
    <n v="11540"/>
    <n v="4"/>
    <n v="1"/>
    <n v="1"/>
    <n v="2"/>
    <s v="BK-R93R-56"/>
    <x v="2"/>
    <n v="2171.2941999999998"/>
    <n v="3578.27"/>
    <s v="MR."/>
    <s v="ALBERTO"/>
    <s v="NAVARRO"/>
    <s v="ALBERTO NAVARRO"/>
    <d v="1959-01-28T00:00:00"/>
    <s v="S"/>
    <s v="M"/>
    <s v="alberto11@adventure-works.com"/>
    <n v="60000"/>
    <n v="4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71"/>
    <d v="2002-01-31T00:00:00"/>
    <s v="SO45691"/>
    <n v="344"/>
    <n v="11898"/>
    <n v="9"/>
    <n v="1"/>
    <n v="1"/>
    <n v="1"/>
    <s v="BK-M82S-38"/>
    <x v="8"/>
    <n v="1912.1543999999999"/>
    <n v="3399.99"/>
    <s v="MRS."/>
    <s v="ANGELA"/>
    <s v="HENDERSON"/>
    <s v="ANGELA HENDERSON"/>
    <d v="1970-07-03T00:00:00"/>
    <s v="M"/>
    <s v="F"/>
    <s v="angela7@adventure-works.com"/>
    <n v="80000"/>
    <n v="4"/>
    <s v="Graduate Degree"/>
    <s v="Management"/>
    <s v="Y"/>
    <s v="Australia"/>
    <x v="2"/>
    <s v="Pacific"/>
    <x v="1"/>
    <s v="Bikes"/>
    <n v="3399.99"/>
    <n v="1912.1543999999999"/>
    <n v="1487.8356000000001"/>
    <n v="0.43759999294115598"/>
  </r>
  <r>
    <x v="71"/>
    <d v="2002-01-17T00:00:00"/>
    <s v="SO45684"/>
    <n v="345"/>
    <n v="11485"/>
    <n v="10"/>
    <n v="1"/>
    <n v="1"/>
    <n v="1"/>
    <s v="BK-M82S-42"/>
    <x v="6"/>
    <n v="1912.1543999999999"/>
    <n v="3399.99"/>
    <s v="MR."/>
    <s v="DONALD"/>
    <s v="CHANDRA"/>
    <s v="DONALD CHANDRA"/>
    <d v="1972-08-07T00:00:00"/>
    <s v="M"/>
    <s v="M"/>
    <s v="donald4@adventure-works.com"/>
    <n v="40000"/>
    <n v="2"/>
    <s v="Partial College"/>
    <s v="Clerical"/>
    <s v="N"/>
    <s v="United Kingdom"/>
    <x v="3"/>
    <s v="Europe"/>
    <x v="1"/>
    <s v="Bikes"/>
    <n v="3399.99"/>
    <n v="1912.1543999999999"/>
    <n v="1487.8356000000001"/>
    <n v="0.43759999294115598"/>
  </r>
  <r>
    <x v="72"/>
    <d v="2002-07-03T00:00:00"/>
    <s v="SO46875"/>
    <n v="362"/>
    <n v="11470"/>
    <n v="8"/>
    <n v="1"/>
    <n v="1"/>
    <n v="1"/>
    <s v="BK-M68B-46"/>
    <x v="13"/>
    <n v="1105.81"/>
    <n v="2049.0981999999999"/>
    <s v="MR."/>
    <s v="JAY"/>
    <s v="SUAREZ"/>
    <s v="JAY SUAREZ"/>
    <d v="1973-09-25T00:00:00"/>
    <s v="S"/>
    <s v="M"/>
    <s v="jay49@adventure-works.com"/>
    <n v="20000"/>
    <n v="0"/>
    <s v="Partial High School"/>
    <s v="Manual"/>
    <s v="N"/>
    <s v="Germany"/>
    <x v="4"/>
    <s v="Europe"/>
    <x v="1"/>
    <s v="Bikes"/>
    <n v="2049.0981999999999"/>
    <n v="1105.81"/>
    <n v="943.28819999999996"/>
    <n v="0.46034309141455498"/>
  </r>
  <r>
    <x v="48"/>
    <d v="2002-02-10T00:00:00"/>
    <s v="SO45697"/>
    <n v="314"/>
    <n v="11516"/>
    <n v="4"/>
    <n v="1"/>
    <n v="1"/>
    <n v="2"/>
    <s v="BK-R93R-56"/>
    <x v="2"/>
    <n v="2171.2941999999998"/>
    <n v="3578.27"/>
    <s v="MRS."/>
    <s v="MYA"/>
    <s v="GONZALES"/>
    <s v="MYA GONZALES"/>
    <d v="1954-10-21T00:00:00"/>
    <s v="M"/>
    <s v="F"/>
    <s v="mya17@adventure-works.com"/>
    <n v="30000"/>
    <n v="1"/>
    <s v="High School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73"/>
    <d v="2002-07-05T00:00:00"/>
    <s v="SO46919"/>
    <n v="362"/>
    <n v="11481"/>
    <n v="8"/>
    <n v="1"/>
    <n v="1"/>
    <n v="1"/>
    <s v="BK-M68B-46"/>
    <x v="13"/>
    <n v="1105.81"/>
    <n v="2049.0981999999999"/>
    <s v="MRS."/>
    <s v="ERICA"/>
    <s v="HU"/>
    <s v="ERICA HU"/>
    <d v="1973-05-23T00:00:00"/>
    <s v="M"/>
    <s v="F"/>
    <s v="erica19@adventure-works.com"/>
    <n v="40000"/>
    <n v="1"/>
    <s v="Bachelors"/>
    <s v="Skilled Manual"/>
    <s v="Y"/>
    <s v="Germany"/>
    <x v="4"/>
    <s v="Europe"/>
    <x v="1"/>
    <s v="Bikes"/>
    <n v="2049.0981999999999"/>
    <n v="1105.81"/>
    <n v="943.28819999999996"/>
    <n v="0.46034309141455498"/>
  </r>
  <r>
    <x v="42"/>
    <d v="2002-03-01T00:00:00"/>
    <s v="SO45701"/>
    <n v="311"/>
    <n v="11538"/>
    <n v="4"/>
    <n v="1"/>
    <n v="1"/>
    <n v="2"/>
    <s v="BK-R93R-44"/>
    <x v="4"/>
    <n v="2171.2941999999998"/>
    <n v="3578.27"/>
    <s v="MRS."/>
    <s v="NICOLE"/>
    <s v="TAYLOR"/>
    <s v="NICOLE TAYLOR"/>
    <d v="1959-08-28T00:00:00"/>
    <s v="S"/>
    <s v="F"/>
    <s v="nicole9@adventure-works.com"/>
    <n v="60000"/>
    <n v="4"/>
    <s v="Graduate Degree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74"/>
    <d v="2002-03-16T00:00:00"/>
    <s v="SO46710"/>
    <n v="356"/>
    <n v="11484"/>
    <n v="8"/>
    <n v="1"/>
    <n v="1"/>
    <n v="1"/>
    <s v="BK-M68S-46"/>
    <x v="14"/>
    <n v="1117.8559"/>
    <n v="2071.4196000000002"/>
    <s v="MR."/>
    <s v="ERICK"/>
    <s v="SAI"/>
    <s v="ERICK SAI"/>
    <d v="1972-03-06T00:00:00"/>
    <s v="S"/>
    <s v="M"/>
    <s v="erick5@adventure-works.com"/>
    <n v="40000"/>
    <n v="2"/>
    <s v="Partial College"/>
    <s v="Clerical"/>
    <s v="Y"/>
    <s v="Germany"/>
    <x v="4"/>
    <s v="Europe"/>
    <x v="1"/>
    <s v="Bikes"/>
    <n v="2071.4196000000002"/>
    <n v="1117.8559"/>
    <n v="953.56370000000004"/>
    <n v="0.460343090313522"/>
  </r>
  <r>
    <x v="38"/>
    <d v="2001-12-10T00:00:00"/>
    <s v="SO45707"/>
    <n v="345"/>
    <n v="11904"/>
    <n v="9"/>
    <n v="1"/>
    <n v="1"/>
    <n v="1"/>
    <s v="BK-M82S-42"/>
    <x v="6"/>
    <n v="1912.1543999999999"/>
    <n v="3399.99"/>
    <s v="MRS."/>
    <s v="KAYLEE"/>
    <s v="COOK"/>
    <s v="KAYLEE COOK"/>
    <d v="1969-11-09T00:00:00"/>
    <s v="S"/>
    <s v="F"/>
    <s v="kaylee18@adventure-works.com"/>
    <n v="110000"/>
    <n v="1"/>
    <s v="Graduate Degree"/>
    <s v="Management"/>
    <s v="Y"/>
    <s v="Australia"/>
    <x v="2"/>
    <s v="Pacific"/>
    <x v="1"/>
    <s v="Bikes"/>
    <n v="3399.99"/>
    <n v="1912.1543999999999"/>
    <n v="1487.8356000000001"/>
    <n v="0.43759999294115598"/>
  </r>
  <r>
    <x v="38"/>
    <d v="2002-01-30T00:00:00"/>
    <s v="SO45712"/>
    <n v="346"/>
    <n v="11767"/>
    <n v="9"/>
    <n v="1"/>
    <n v="1"/>
    <n v="1"/>
    <s v="BK-M82S-44"/>
    <x v="12"/>
    <n v="1912.1543999999999"/>
    <n v="3399.99"/>
    <s v="MS."/>
    <s v="MEAGAN"/>
    <s v="MADAN"/>
    <s v="MEAGAN MADAN"/>
    <d v="1966-05-24T00:00:00"/>
    <s v="S"/>
    <s v="F"/>
    <s v="meagan8@adventure-works.com"/>
    <n v="90000"/>
    <n v="0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75"/>
    <d v="2002-03-19T00:00:00"/>
    <s v="SO46010"/>
    <n v="348"/>
    <n v="11488"/>
    <n v="10"/>
    <n v="1"/>
    <n v="1"/>
    <n v="1"/>
    <s v="BK-M82B-38"/>
    <x v="9"/>
    <n v="1898.0944"/>
    <n v="3374.99"/>
    <s v="MR."/>
    <s v="JERMAINE"/>
    <s v="LOPEZ"/>
    <s v="JERMAINE LOPEZ"/>
    <d v="1971-09-21T00:00:00"/>
    <s v="S"/>
    <s v="M"/>
    <s v="jermaine15@adventure-works.com"/>
    <n v="20000"/>
    <n v="0"/>
    <s v="Partial High School"/>
    <s v="Manual"/>
    <s v="Y"/>
    <s v="United Kingdom"/>
    <x v="3"/>
    <s v="Europe"/>
    <x v="1"/>
    <s v="Bikes"/>
    <n v="3374.99"/>
    <n v="1898.0944"/>
    <n v="1476.8956000000001"/>
    <n v="0.43759999288886797"/>
  </r>
  <r>
    <x v="75"/>
    <d v="2002-03-01T00:00:00"/>
    <s v="SO46011"/>
    <n v="351"/>
    <n v="11489"/>
    <n v="10"/>
    <n v="1"/>
    <n v="1"/>
    <n v="1"/>
    <s v="BK-M82B-48"/>
    <x v="7"/>
    <n v="1898.0944"/>
    <n v="3374.99"/>
    <s v="MS."/>
    <s v="DEBORAH"/>
    <s v="GOEL"/>
    <s v="DEBORAH GOEL"/>
    <d v="1971-03-07T00:00:00"/>
    <s v="S"/>
    <s v="F"/>
    <s v="deborah21@adventure-works.com"/>
    <n v="20000"/>
    <n v="0"/>
    <s v="Partial High School"/>
    <s v="Manual"/>
    <s v="N"/>
    <s v="United Kingdom"/>
    <x v="3"/>
    <s v="Europe"/>
    <x v="1"/>
    <s v="Bikes"/>
    <n v="3374.99"/>
    <n v="1898.0944"/>
    <n v="1476.8956000000001"/>
    <n v="0.43759999288886797"/>
  </r>
  <r>
    <x v="76"/>
    <d v="2002-03-14T00:00:00"/>
    <s v="SO46176"/>
    <n v="349"/>
    <n v="11491"/>
    <n v="10"/>
    <n v="1"/>
    <n v="1"/>
    <n v="1"/>
    <s v="BK-M82B-42"/>
    <x v="11"/>
    <n v="1898.0944"/>
    <n v="3374.99"/>
    <s v="MR."/>
    <s v="ANDRE"/>
    <s v="PEREZ"/>
    <s v="ANDRE PEREZ"/>
    <d v="1971-04-06T00:00:00"/>
    <s v="M"/>
    <s v="M"/>
    <s v="andre20@adventure-works.com"/>
    <n v="20000"/>
    <n v="0"/>
    <s v="Partial High School"/>
    <s v="Manual"/>
    <s v="N"/>
    <s v="United Kingdom"/>
    <x v="3"/>
    <s v="Europe"/>
    <x v="1"/>
    <s v="Bikes"/>
    <n v="3374.99"/>
    <n v="1898.0944"/>
    <n v="1476.8956000000001"/>
    <n v="0.43759999288886797"/>
  </r>
  <r>
    <x v="77"/>
    <d v="2002-03-05T00:00:00"/>
    <s v="SO45714"/>
    <n v="312"/>
    <n v="11534"/>
    <n v="4"/>
    <n v="1"/>
    <n v="1"/>
    <n v="2"/>
    <s v="BK-R93R-48"/>
    <x v="0"/>
    <n v="2171.2941999999998"/>
    <n v="3578.27"/>
    <s v="MR."/>
    <s v="CAMERON"/>
    <s v="LEWIS"/>
    <s v="CAMERON LEWIS"/>
    <d v="1958-11-13T00:00:00"/>
    <s v="S"/>
    <s v="M"/>
    <s v="cameron39@adventure-works.com"/>
    <n v="60000"/>
    <n v="4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78"/>
    <d v="2002-06-23T00:00:00"/>
    <s v="SO47176"/>
    <n v="358"/>
    <n v="11492"/>
    <n v="8"/>
    <n v="1"/>
    <n v="1"/>
    <n v="1"/>
    <s v="BK-M68B-38"/>
    <x v="15"/>
    <n v="1105.81"/>
    <n v="2049.0981999999999"/>
    <s v="MR."/>
    <s v="TERRENCE"/>
    <s v="CHANDER"/>
    <s v="TERRENCE CHANDER"/>
    <d v="1971-11-19T00:00:00"/>
    <s v="S"/>
    <s v="M"/>
    <s v="terrence16@adventure-works.com"/>
    <n v="30000"/>
    <n v="0"/>
    <s v="High School"/>
    <s v="Manual"/>
    <s v="N"/>
    <s v="Germany"/>
    <x v="4"/>
    <s v="Europe"/>
    <x v="1"/>
    <s v="Bikes"/>
    <n v="2049.0981999999999"/>
    <n v="1105.81"/>
    <n v="943.28819999999996"/>
    <n v="0.46034309141455498"/>
  </r>
  <r>
    <x v="63"/>
    <d v="2002-01-23T00:00:00"/>
    <s v="SO46230"/>
    <n v="344"/>
    <n v="11493"/>
    <n v="10"/>
    <n v="1"/>
    <n v="1"/>
    <n v="1"/>
    <s v="BK-M82S-38"/>
    <x v="8"/>
    <n v="1912.1543999999999"/>
    <n v="3399.99"/>
    <s v="MRS."/>
    <s v="DAWN"/>
    <s v="WU"/>
    <s v="DAWN WU"/>
    <d v="1970-12-02T00:00:00"/>
    <s v="S"/>
    <s v="F"/>
    <s v="dawn8@adventure-works.com"/>
    <n v="40000"/>
    <n v="2"/>
    <s v="Partial College"/>
    <s v="Clerical"/>
    <s v="Y"/>
    <s v="United Kingdom"/>
    <x v="3"/>
    <s v="Europe"/>
    <x v="1"/>
    <s v="Bikes"/>
    <n v="3399.99"/>
    <n v="1912.1543999999999"/>
    <n v="1487.8356000000001"/>
    <n v="0.43759999294115598"/>
  </r>
  <r>
    <x v="79"/>
    <d v="2002-03-24T00:00:00"/>
    <s v="SO46395"/>
    <n v="346"/>
    <n v="11496"/>
    <n v="10"/>
    <n v="1"/>
    <n v="1"/>
    <n v="1"/>
    <s v="BK-M82S-44"/>
    <x v="12"/>
    <n v="1912.1543999999999"/>
    <n v="3399.99"/>
    <s v="MR."/>
    <s v="GARY"/>
    <s v="ORTEGA"/>
    <s v="GARY ORTEGA"/>
    <d v="1970-10-17T00:00:00"/>
    <s v="S"/>
    <s v="M"/>
    <s v="gary31@adventure-works.com"/>
    <n v="40000"/>
    <n v="2"/>
    <s v="Partial College"/>
    <s v="Clerical"/>
    <s v="Y"/>
    <s v="United Kingdom"/>
    <x v="3"/>
    <s v="Europe"/>
    <x v="1"/>
    <s v="Bikes"/>
    <n v="3399.99"/>
    <n v="1912.1543999999999"/>
    <n v="1487.8356000000001"/>
    <n v="0.43759999294115598"/>
  </r>
  <r>
    <x v="40"/>
    <d v="2002-03-02T00:00:00"/>
    <s v="SO45721"/>
    <n v="345"/>
    <n v="11766"/>
    <n v="9"/>
    <n v="1"/>
    <n v="1"/>
    <n v="1"/>
    <s v="BK-M82S-42"/>
    <x v="6"/>
    <n v="1912.1543999999999"/>
    <n v="3399.99"/>
    <s v="MS."/>
    <s v="CANDACE"/>
    <s v="RAMAN"/>
    <s v="CANDACE RAMAN"/>
    <d v="1966-07-04T00:00:00"/>
    <s v="S"/>
    <s v="F"/>
    <s v="candace12@adventure-works.com"/>
    <n v="90000"/>
    <n v="0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40"/>
    <d v="2002-03-06T00:00:00"/>
    <s v="SO45722"/>
    <n v="351"/>
    <n v="11908"/>
    <n v="9"/>
    <n v="1"/>
    <n v="1"/>
    <n v="1"/>
    <s v="BK-M82B-48"/>
    <x v="7"/>
    <n v="1898.0944"/>
    <n v="3374.99"/>
    <s v="MR."/>
    <s v="RAFAEL"/>
    <s v="TANG"/>
    <s v="RAFAEL TANG"/>
    <d v="1966-07-11T00:00:00"/>
    <s v="S"/>
    <s v="M"/>
    <s v="rafael27@adventure-works.com"/>
    <n v="80000"/>
    <n v="5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47"/>
    <d v="2002-01-15T00:00:00"/>
    <s v="SO45726"/>
    <n v="313"/>
    <n v="12614"/>
    <n v="7"/>
    <n v="1"/>
    <n v="1"/>
    <n v="2"/>
    <s v="BK-R93R-52"/>
    <x v="3"/>
    <n v="2171.2941999999998"/>
    <n v="3578.27"/>
    <s v="MR."/>
    <s v="LANCE"/>
    <s v="GILL"/>
    <s v="LANCE GILL"/>
    <d v="1970-06-14T00:00:00"/>
    <s v="S"/>
    <s v="M"/>
    <s v="lance13@adventure-works.com"/>
    <n v="30000"/>
    <n v="0"/>
    <s v="Bachelors"/>
    <s v="Clerical"/>
    <s v="Y"/>
    <s v="France"/>
    <x v="0"/>
    <s v="Europe"/>
    <x v="0"/>
    <s v="Bikes"/>
    <n v="3578.27"/>
    <n v="2171.2941999999998"/>
    <n v="1406.9757999999999"/>
    <n v="0.39320001006072802"/>
  </r>
  <r>
    <x v="47"/>
    <d v="2002-01-18T00:00:00"/>
    <s v="SO45724"/>
    <n v="312"/>
    <n v="12620"/>
    <n v="7"/>
    <n v="1"/>
    <n v="1"/>
    <n v="2"/>
    <s v="BK-R93R-48"/>
    <x v="0"/>
    <n v="2171.2941999999998"/>
    <n v="3578.27"/>
    <s v="MR."/>
    <s v="MAURICE"/>
    <s v="LAL"/>
    <s v="MAURICE LAL"/>
    <d v="1969-04-17T00:00:00"/>
    <s v="M"/>
    <s v="M"/>
    <s v="maurice9@adventure-works.com"/>
    <n v="40000"/>
    <n v="0"/>
    <s v="Graduate Degree"/>
    <s v="Clerical"/>
    <s v="Y"/>
    <s v="France"/>
    <x v="0"/>
    <s v="Europe"/>
    <x v="0"/>
    <s v="Bikes"/>
    <n v="3578.27"/>
    <n v="2171.2941999999998"/>
    <n v="1406.9757999999999"/>
    <n v="0.39320001006072802"/>
  </r>
  <r>
    <x v="47"/>
    <d v="2002-01-13T00:00:00"/>
    <s v="SO45727"/>
    <n v="350"/>
    <n v="11909"/>
    <n v="9"/>
    <n v="1"/>
    <n v="1"/>
    <n v="1"/>
    <s v="BK-M82B-44"/>
    <x v="5"/>
    <n v="1898.0944"/>
    <n v="3374.99"/>
    <s v="MRS."/>
    <s v="NICHOLE"/>
    <s v="SHE"/>
    <s v="NICHOLE SHE"/>
    <d v="1966-02-10T00:00:00"/>
    <s v="M"/>
    <s v="F"/>
    <s v="nichole0@adventure-works.com"/>
    <n v="80000"/>
    <n v="5"/>
    <s v="Graduate Degree"/>
    <s v="Management"/>
    <s v="N"/>
    <s v="Australia"/>
    <x v="2"/>
    <s v="Pacific"/>
    <x v="1"/>
    <s v="Bikes"/>
    <n v="3374.99"/>
    <n v="1898.0944"/>
    <n v="1476.8956000000001"/>
    <n v="0.43759999288886797"/>
  </r>
  <r>
    <x v="45"/>
    <d v="2001-12-11T00:00:00"/>
    <s v="SO45738"/>
    <n v="346"/>
    <n v="11900"/>
    <n v="9"/>
    <n v="1"/>
    <n v="1"/>
    <n v="1"/>
    <s v="BK-M82S-44"/>
    <x v="12"/>
    <n v="1912.1543999999999"/>
    <n v="3399.99"/>
    <s v="MR."/>
    <s v="BYRON"/>
    <s v="CARLSON"/>
    <s v="BYRON CARLSON"/>
    <d v="1970-03-07T00:00:00"/>
    <s v="S"/>
    <s v="M"/>
    <s v="byron12@adventure-works.com"/>
    <n v="90000"/>
    <n v="2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45"/>
    <d v="2002-03-09T00:00:00"/>
    <s v="SO45732"/>
    <n v="311"/>
    <n v="11537"/>
    <n v="4"/>
    <n v="1"/>
    <n v="1"/>
    <n v="2"/>
    <s v="BK-R93R-44"/>
    <x v="4"/>
    <n v="2171.2941999999998"/>
    <n v="3578.27"/>
    <s v="MR."/>
    <s v="DAKOTA"/>
    <s v="ROSS"/>
    <s v="DAKOTA ROSS"/>
    <d v="1958-03-24T00:00:00"/>
    <s v="M"/>
    <s v="M"/>
    <s v="dakota3@adventure-works.com"/>
    <n v="60000"/>
    <n v="4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45"/>
    <d v="2001-12-24T00:00:00"/>
    <s v="SO45734"/>
    <n v="314"/>
    <n v="11630"/>
    <n v="1"/>
    <n v="1"/>
    <n v="1"/>
    <n v="2"/>
    <s v="BK-R93R-56"/>
    <x v="2"/>
    <n v="2171.2941999999998"/>
    <n v="3578.27"/>
    <s v="MRS."/>
    <s v="HALEY"/>
    <s v="POWELL"/>
    <s v="HALEY POWELL"/>
    <d v="1971-12-25T00:00:00"/>
    <s v="M"/>
    <s v="F"/>
    <s v="haley27@adventure-works.com"/>
    <n v="60000"/>
    <n v="1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45"/>
    <d v="2002-03-01T00:00:00"/>
    <s v="SO45739"/>
    <n v="348"/>
    <n v="11903"/>
    <n v="9"/>
    <n v="1"/>
    <n v="1"/>
    <n v="1"/>
    <s v="BK-M82B-38"/>
    <x v="9"/>
    <n v="1898.0944"/>
    <n v="3374.99"/>
    <s v="MRS."/>
    <s v="KATE"/>
    <s v="RAJI"/>
    <s v="KATE RAJI"/>
    <d v="1969-04-27T00:00:00"/>
    <s v="S"/>
    <s v="F"/>
    <s v="kate18@adventure-works.com"/>
    <n v="110000"/>
    <n v="1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45"/>
    <d v="2001-12-21T00:00:00"/>
    <s v="SO45733"/>
    <n v="311"/>
    <n v="11624"/>
    <n v="4"/>
    <n v="1"/>
    <n v="1"/>
    <n v="2"/>
    <s v="BK-R93R-44"/>
    <x v="4"/>
    <n v="2171.2941999999998"/>
    <n v="3578.27"/>
    <s v="MR."/>
    <s v="RYAN"/>
    <s v="SMITH"/>
    <s v="RYAN SMITH"/>
    <d v="1973-03-23T00:00:00"/>
    <s v="S"/>
    <s v="M"/>
    <s v="ryan39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80"/>
    <d v="2001-11-26T00:00:00"/>
    <s v="SO45744"/>
    <n v="351"/>
    <n v="11894"/>
    <n v="9"/>
    <n v="1"/>
    <n v="1"/>
    <n v="1"/>
    <s v="BK-M82B-48"/>
    <x v="7"/>
    <n v="1898.0944"/>
    <n v="3374.99"/>
    <s v="MRS."/>
    <s v="ANN"/>
    <s v="GONZALEZ"/>
    <s v="ANN GONZALEZ"/>
    <d v="1969-05-04T00:00:00"/>
    <s v="M"/>
    <s v="F"/>
    <s v="ann23@adventure-works.com"/>
    <n v="100000"/>
    <n v="1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81"/>
    <d v="2002-02-02T00:00:00"/>
    <s v="SO45754"/>
    <n v="311"/>
    <n v="11529"/>
    <n v="1"/>
    <n v="1"/>
    <n v="1"/>
    <n v="2"/>
    <s v="BK-R93R-44"/>
    <x v="4"/>
    <n v="2171.2941999999998"/>
    <n v="3578.27"/>
    <s v="MR."/>
    <s v="AUSTIN"/>
    <s v="BRYANT"/>
    <s v="AUSTIN BRYANT"/>
    <d v="1957-11-16T00:00:00"/>
    <s v="M"/>
    <s v="M"/>
    <s v="austin14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82"/>
    <d v="2001-12-04T00:00:00"/>
    <s v="SO45747"/>
    <n v="314"/>
    <n v="11539"/>
    <n v="4"/>
    <n v="1"/>
    <n v="1"/>
    <n v="2"/>
    <s v="BK-R93R-56"/>
    <x v="2"/>
    <n v="2171.2941999999998"/>
    <n v="3578.27"/>
    <s v="MR."/>
    <s v="JUSTIN"/>
    <s v="WASHINGTON"/>
    <s v="JUSTIN WASHINGTON"/>
    <d v="1959-08-22T00:00:00"/>
    <s v="M"/>
    <s v="M"/>
    <s v="justin10@adventure-works.com"/>
    <n v="60000"/>
    <n v="4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81"/>
    <d v="2002-01-31T00:00:00"/>
    <s v="SO45755"/>
    <n v="314"/>
    <n v="11536"/>
    <n v="4"/>
    <n v="1"/>
    <n v="1"/>
    <n v="2"/>
    <s v="BK-R93R-56"/>
    <x v="2"/>
    <n v="2171.2941999999998"/>
    <n v="3578.27"/>
    <s v="MR."/>
    <s v="LOGAN"/>
    <s v="CHOW"/>
    <s v="LOGAN CHOW"/>
    <d v="1958-04-17T00:00:00"/>
    <s v="M"/>
    <s v="M"/>
    <s v="logan25@adventure-works.com"/>
    <n v="60000"/>
    <n v="4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81"/>
    <d v="2002-02-27T00:00:00"/>
    <s v="SO45756"/>
    <n v="313"/>
    <n v="11625"/>
    <n v="4"/>
    <n v="1"/>
    <n v="1"/>
    <n v="2"/>
    <s v="BK-R93R-52"/>
    <x v="3"/>
    <n v="2171.2941999999998"/>
    <n v="3578.27"/>
    <s v="MR."/>
    <s v="ZACHARY"/>
    <s v="MOORE"/>
    <s v="ZACHARY MOORE"/>
    <d v="1973-01-19T00:00:00"/>
    <s v="M"/>
    <s v="M"/>
    <s v="zachary37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49"/>
    <d v="2002-03-08T00:00:00"/>
    <s v="SO45762"/>
    <n v="312"/>
    <n v="12621"/>
    <n v="7"/>
    <n v="1"/>
    <n v="1"/>
    <n v="2"/>
    <s v="BK-R93R-48"/>
    <x v="0"/>
    <n v="2171.2941999999998"/>
    <n v="3578.27"/>
    <s v="MR."/>
    <s v="BARRY"/>
    <s v="MARTINEZ"/>
    <s v="BARRY MARTINEZ"/>
    <d v="1969-12-12T00:00:00"/>
    <s v="M"/>
    <s v="M"/>
    <s v="barry18@adventure-works.com"/>
    <n v="40000"/>
    <n v="0"/>
    <s v="Graduate Degree"/>
    <s v="Clerical"/>
    <s v="Y"/>
    <s v="France"/>
    <x v="0"/>
    <s v="Europe"/>
    <x v="0"/>
    <s v="Bikes"/>
    <n v="3578.27"/>
    <n v="2171.2941999999998"/>
    <n v="1406.9757999999999"/>
    <n v="0.39320001006072802"/>
  </r>
  <r>
    <x v="49"/>
    <d v="2002-02-24T00:00:00"/>
    <s v="SO45761"/>
    <n v="314"/>
    <n v="11629"/>
    <n v="4"/>
    <n v="1"/>
    <n v="1"/>
    <n v="2"/>
    <s v="BK-R93R-56"/>
    <x v="2"/>
    <n v="2171.2941999999998"/>
    <n v="3578.27"/>
    <s v="MR."/>
    <s v="ISAIAH"/>
    <s v="WRIGHT"/>
    <s v="ISAIAH WRIGHT"/>
    <d v="1971-02-08T00:00:00"/>
    <s v="S"/>
    <s v="M"/>
    <s v="isaiah45@adventure-works.com"/>
    <n v="40000"/>
    <n v="4"/>
    <s v="High School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49"/>
    <d v="2002-02-23T00:00:00"/>
    <s v="SO45757"/>
    <n v="312"/>
    <n v="12561"/>
    <n v="7"/>
    <n v="1"/>
    <n v="1"/>
    <n v="2"/>
    <s v="BK-R93R-48"/>
    <x v="0"/>
    <n v="2171.2941999999998"/>
    <n v="3578.27"/>
    <s v="MRS."/>
    <s v="TRISHA"/>
    <s v="LIN"/>
    <s v="TRISHA LIN"/>
    <d v="1941-07-19T00:00:00"/>
    <s v="S"/>
    <s v="F"/>
    <s v="trisha2@adventure-works.com"/>
    <n v="10000"/>
    <n v="2"/>
    <s v="Partial College"/>
    <s v="Manual"/>
    <s v="Y"/>
    <s v="France"/>
    <x v="0"/>
    <s v="Europe"/>
    <x v="0"/>
    <s v="Bikes"/>
    <n v="3578.27"/>
    <n v="2171.2941999999998"/>
    <n v="1406.9757999999999"/>
    <n v="0.39320001006072802"/>
  </r>
  <r>
    <x v="70"/>
    <d v="2002-05-07T00:00:00"/>
    <s v="SO46543"/>
    <n v="345"/>
    <n v="11549"/>
    <n v="10"/>
    <n v="1"/>
    <n v="1"/>
    <n v="1"/>
    <s v="BK-M82S-42"/>
    <x v="6"/>
    <n v="1912.1543999999999"/>
    <n v="3399.99"/>
    <s v="MS."/>
    <s v="CRYSTAL"/>
    <s v="LIANG"/>
    <s v="CRYSTAL LIANG"/>
    <d v="1968-09-06T00:00:00"/>
    <s v="M"/>
    <s v="F"/>
    <s v="crystal17@adventure-works.com"/>
    <n v="40000"/>
    <n v="0"/>
    <s v="Bachelors"/>
    <s v="Clerical"/>
    <s v="Y"/>
    <s v="United Kingdom"/>
    <x v="3"/>
    <s v="Europe"/>
    <x v="1"/>
    <s v="Bikes"/>
    <n v="3399.99"/>
    <n v="1912.1543999999999"/>
    <n v="1487.8356000000001"/>
    <n v="0.43759999294115598"/>
  </r>
  <r>
    <x v="83"/>
    <d v="2002-05-10T00:00:00"/>
    <s v="SO46862"/>
    <n v="362"/>
    <n v="11550"/>
    <n v="10"/>
    <n v="1"/>
    <n v="1"/>
    <n v="1"/>
    <s v="BK-M68B-46"/>
    <x v="13"/>
    <n v="1105.81"/>
    <n v="2049.0981999999999"/>
    <s v="MS."/>
    <s v="DEB"/>
    <s v="TORRES"/>
    <s v="DEB TORRES"/>
    <d v="1968-08-08T00:00:00"/>
    <s v="S"/>
    <s v="F"/>
    <s v="deb4@adventure-works.com"/>
    <n v="40000"/>
    <n v="0"/>
    <s v="Bachelors"/>
    <s v="Clerical"/>
    <s v="Y"/>
    <s v="United Kingdom"/>
    <x v="3"/>
    <s v="Europe"/>
    <x v="1"/>
    <s v="Bikes"/>
    <n v="2049.0981999999999"/>
    <n v="1105.81"/>
    <n v="943.28819999999996"/>
    <n v="0.46034309141455498"/>
  </r>
  <r>
    <x v="84"/>
    <d v="2001-12-22T00:00:00"/>
    <s v="SO45777"/>
    <n v="346"/>
    <n v="11907"/>
    <n v="9"/>
    <n v="1"/>
    <n v="1"/>
    <n v="1"/>
    <s v="BK-M82S-44"/>
    <x v="12"/>
    <n v="1912.1543999999999"/>
    <n v="3399.99"/>
    <s v="MRS."/>
    <s v="SARAH"/>
    <s v="GARCIA"/>
    <s v="SARAH GARCIA"/>
    <d v="1967-09-08T00:00:00"/>
    <s v="S"/>
    <s v="F"/>
    <s v="sarah18@adventure-works.com"/>
    <n v="80000"/>
    <n v="5"/>
    <s v="Graduate Degree"/>
    <s v="Management"/>
    <s v="Y"/>
    <s v="Australia"/>
    <x v="2"/>
    <s v="Pacific"/>
    <x v="1"/>
    <s v="Bikes"/>
    <n v="3399.99"/>
    <n v="1912.1543999999999"/>
    <n v="1487.8356000000001"/>
    <n v="0.43759999294115598"/>
  </r>
  <r>
    <x v="85"/>
    <d v="2002-06-20T00:00:00"/>
    <s v="SO47255"/>
    <n v="358"/>
    <n v="11561"/>
    <n v="8"/>
    <n v="1"/>
    <n v="1"/>
    <n v="1"/>
    <s v="BK-M68B-38"/>
    <x v="15"/>
    <n v="1105.81"/>
    <n v="2049.0981999999999"/>
    <s v="MRS."/>
    <s v="BRIANA"/>
    <s v="DOMINGUEZ"/>
    <s v="BRIANA DOMINGUEZ"/>
    <d v="1966-07-24T00:00:00"/>
    <s v="S"/>
    <s v="F"/>
    <s v="briana12@adventure-works.com"/>
    <n v="10000"/>
    <n v="5"/>
    <s v="Partial High School"/>
    <s v="Manual"/>
    <s v="Y"/>
    <s v="Germany"/>
    <x v="4"/>
    <s v="Europe"/>
    <x v="1"/>
    <s v="Bikes"/>
    <n v="2049.0981999999999"/>
    <n v="1105.81"/>
    <n v="943.28819999999996"/>
    <n v="0.46034309141455498"/>
  </r>
  <r>
    <x v="86"/>
    <d v="2002-07-05T00:00:00"/>
    <s v="SO47231"/>
    <n v="362"/>
    <n v="11564"/>
    <n v="8"/>
    <n v="1"/>
    <n v="1"/>
    <n v="1"/>
    <s v="BK-M68B-46"/>
    <x v="13"/>
    <n v="1105.81"/>
    <n v="2049.0981999999999"/>
    <s v="MR."/>
    <s v="JORGE"/>
    <s v="LIANG"/>
    <s v="JORGE LIANG"/>
    <d v="1966-07-12T00:00:00"/>
    <s v="S"/>
    <s v="M"/>
    <s v="jorge19@adventure-works.com"/>
    <n v="20000"/>
    <n v="1"/>
    <s v="High School"/>
    <s v="Manual"/>
    <s v="N"/>
    <s v="Germany"/>
    <x v="4"/>
    <s v="Europe"/>
    <x v="1"/>
    <s v="Bikes"/>
    <n v="2049.0981999999999"/>
    <n v="1105.81"/>
    <n v="943.28819999999996"/>
    <n v="0.46034309141455498"/>
  </r>
  <r>
    <x v="87"/>
    <d v="2001-12-20T00:00:00"/>
    <s v="SO45816"/>
    <n v="313"/>
    <n v="11830"/>
    <n v="4"/>
    <n v="1"/>
    <n v="1"/>
    <n v="2"/>
    <s v="BK-R93R-52"/>
    <x v="3"/>
    <n v="2171.2941999999998"/>
    <n v="3578.27"/>
    <s v="MRS."/>
    <s v="TAYLOR"/>
    <s v="GARCIA"/>
    <s v="TAYLOR GARCIA"/>
    <d v="1969-01-15T00:00:00"/>
    <s v="M"/>
    <s v="F"/>
    <s v="taylor63@adventure-works.com"/>
    <n v="80000"/>
    <n v="3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88"/>
    <d v="2002-06-16T00:00:00"/>
    <s v="SO46777"/>
    <n v="356"/>
    <n v="11568"/>
    <n v="10"/>
    <n v="1"/>
    <n v="1"/>
    <n v="1"/>
    <s v="BK-M68S-46"/>
    <x v="14"/>
    <n v="1117.8559"/>
    <n v="2071.4196000000002"/>
    <s v="MRS."/>
    <s v="ALEXIA"/>
    <s v="FOSTER"/>
    <s v="ALEXIA FOSTER"/>
    <d v="1966-10-23T00:00:00"/>
    <s v="S"/>
    <s v="F"/>
    <s v="alexia13@adventure-works.com"/>
    <n v="20000"/>
    <n v="2"/>
    <s v="High School"/>
    <s v="Manual"/>
    <s v="Y"/>
    <s v="United Kingdom"/>
    <x v="3"/>
    <s v="Europe"/>
    <x v="1"/>
    <s v="Bikes"/>
    <n v="2071.4196000000002"/>
    <n v="1117.8559"/>
    <n v="953.56370000000004"/>
    <n v="0.460343090313522"/>
  </r>
  <r>
    <x v="89"/>
    <d v="2002-08-14T00:00:00"/>
    <s v="SO47634"/>
    <n v="356"/>
    <n v="11570"/>
    <n v="8"/>
    <n v="1"/>
    <n v="1"/>
    <n v="1"/>
    <s v="BK-M68S-46"/>
    <x v="14"/>
    <n v="1117.8559"/>
    <n v="2071.4196000000002"/>
    <s v="MRS."/>
    <s v="KRISTIN"/>
    <s v="ANDERSEN"/>
    <s v="KRISTIN ANDERSEN"/>
    <d v="1966-01-22T00:00:00"/>
    <s v="M"/>
    <s v="F"/>
    <s v="kristin14@adventure-works.com"/>
    <n v="30000"/>
    <n v="1"/>
    <s v="Bachelors"/>
    <s v="Skilled Manual"/>
    <s v="Y"/>
    <s v="Germany"/>
    <x v="4"/>
    <s v="Europe"/>
    <x v="1"/>
    <s v="Bikes"/>
    <n v="2071.4196000000002"/>
    <n v="1117.8559"/>
    <n v="953.56370000000004"/>
    <n v="0.460343090313522"/>
  </r>
  <r>
    <x v="90"/>
    <d v="2002-03-12T00:00:00"/>
    <s v="SO45832"/>
    <n v="351"/>
    <n v="11916"/>
    <n v="9"/>
    <n v="1"/>
    <n v="1"/>
    <n v="1"/>
    <s v="BK-M82B-48"/>
    <x v="7"/>
    <n v="1898.0944"/>
    <n v="3374.99"/>
    <s v="MR."/>
    <s v="JOE"/>
    <s v="RANA"/>
    <s v="JOE RANA"/>
    <d v="1965-09-07T00:00:00"/>
    <s v="S"/>
    <s v="M"/>
    <s v="joe14@adventure-works.com"/>
    <n v="70000"/>
    <n v="0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83"/>
    <d v="2002-06-16T00:00:00"/>
    <s v="SO46863"/>
    <n v="362"/>
    <n v="11575"/>
    <n v="10"/>
    <n v="1"/>
    <n v="1"/>
    <n v="1"/>
    <s v="BK-M68B-46"/>
    <x v="13"/>
    <n v="1105.81"/>
    <n v="2049.0981999999999"/>
    <s v="MR."/>
    <s v="JACKSON"/>
    <s v="CAMPBELL"/>
    <s v="JACKSON CAMPBELL"/>
    <d v="1965-04-21T00:00:00"/>
    <s v="S"/>
    <s v="M"/>
    <s v="jackson37@adventure-works.com"/>
    <n v="20000"/>
    <n v="2"/>
    <s v="High School"/>
    <s v="Manual"/>
    <s v="Y"/>
    <s v="United Kingdom"/>
    <x v="3"/>
    <s v="Europe"/>
    <x v="1"/>
    <s v="Bikes"/>
    <n v="2049.0981999999999"/>
    <n v="1105.81"/>
    <n v="943.28819999999996"/>
    <n v="0.46034309141455498"/>
  </r>
  <r>
    <x v="90"/>
    <d v="2001-12-09T00:00:00"/>
    <s v="SO45824"/>
    <n v="312"/>
    <n v="11696"/>
    <n v="1"/>
    <n v="1"/>
    <n v="1"/>
    <n v="2"/>
    <s v="BK-R93R-48"/>
    <x v="0"/>
    <n v="2171.2941999999998"/>
    <n v="3578.27"/>
    <s v="MRS."/>
    <s v="MACKENZIE"/>
    <s v="CAMPBELL"/>
    <s v="MACKENZIE CAMPBELL"/>
    <d v="1964-04-05T00:00:00"/>
    <s v="S"/>
    <s v="F"/>
    <s v="mackenzie29@adventure-works.com"/>
    <n v="50000"/>
    <n v="5"/>
    <s v="Bachelors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91"/>
    <d v="2002-02-09T00:00:00"/>
    <s v="SO45833"/>
    <n v="313"/>
    <n v="11815"/>
    <n v="1"/>
    <n v="1"/>
    <n v="1"/>
    <n v="2"/>
    <s v="BK-R93R-52"/>
    <x v="3"/>
    <n v="2171.2941999999998"/>
    <n v="3578.27"/>
    <s v="MRS."/>
    <s v="HANNAH"/>
    <s v="PATTERSON"/>
    <s v="HANNAH PATTERSON"/>
    <d v="1970-04-24T00:00:00"/>
    <s v="M"/>
    <s v="F"/>
    <s v="hannah33@adventure-works.com"/>
    <n v="70000"/>
    <n v="3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91"/>
    <d v="2001-12-23T00:00:00"/>
    <s v="SO45834"/>
    <n v="312"/>
    <n v="11816"/>
    <n v="4"/>
    <n v="1"/>
    <n v="1"/>
    <n v="2"/>
    <s v="BK-R93R-48"/>
    <x v="0"/>
    <n v="2171.2941999999998"/>
    <n v="3578.27"/>
    <s v="MR."/>
    <s v="JOE"/>
    <s v="TORRES"/>
    <s v="JOE TORRES"/>
    <d v="1970-10-23T00:00:00"/>
    <s v="M"/>
    <s v="M"/>
    <s v="joe35@adventure-works.com"/>
    <n v="70000"/>
    <n v="4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91"/>
    <d v="2002-03-11T00:00:00"/>
    <s v="SO45839"/>
    <n v="349"/>
    <n v="11915"/>
    <n v="9"/>
    <n v="1"/>
    <n v="1"/>
    <n v="1"/>
    <s v="BK-M82B-42"/>
    <x v="11"/>
    <n v="1898.0944"/>
    <n v="3374.99"/>
    <s v="MR."/>
    <s v="PHILIP"/>
    <s v="CARLSON"/>
    <s v="PHILIP CARLSON"/>
    <d v="1968-03-16T00:00:00"/>
    <s v="S"/>
    <s v="M"/>
    <s v="philip17@adventure-works.com"/>
    <n v="70000"/>
    <n v="0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91"/>
    <d v="2002-01-13T00:00:00"/>
    <s v="SO45835"/>
    <n v="313"/>
    <n v="11688"/>
    <n v="1"/>
    <n v="1"/>
    <n v="1"/>
    <n v="2"/>
    <s v="BK-R93R-52"/>
    <x v="3"/>
    <n v="2171.2941999999998"/>
    <n v="3578.27"/>
    <s v="MRS."/>
    <s v="VICTORIA"/>
    <s v="MORRIS"/>
    <s v="VICTORIA MORRIS"/>
    <d v="1965-12-25T00:00:00"/>
    <s v="S"/>
    <s v="F"/>
    <s v="victoria26@adventure-works.com"/>
    <n v="80000"/>
    <n v="3"/>
    <s v="Bachelors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92"/>
    <d v="2002-01-14T00:00:00"/>
    <s v="SO45844"/>
    <n v="312"/>
    <n v="11812"/>
    <n v="1"/>
    <n v="1"/>
    <n v="1"/>
    <n v="2"/>
    <s v="BK-R93R-48"/>
    <x v="0"/>
    <n v="2171.2941999999998"/>
    <n v="3578.27"/>
    <s v="MR."/>
    <s v="ANDREW"/>
    <s v="RODRIGUEZ"/>
    <s v="ANDREW RODRIGUEZ"/>
    <d v="1967-09-22T00:00:00"/>
    <s v="M"/>
    <s v="M"/>
    <s v="andrew27@adventure-works.com"/>
    <n v="40000"/>
    <n v="0"/>
    <s v="Bachelors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92"/>
    <d v="2002-03-14T00:00:00"/>
    <s v="SO45842"/>
    <n v="314"/>
    <n v="11742"/>
    <n v="4"/>
    <n v="1"/>
    <n v="1"/>
    <n v="2"/>
    <s v="BK-R93R-56"/>
    <x v="2"/>
    <n v="2171.2941999999998"/>
    <n v="3578.27"/>
    <s v="MR."/>
    <s v="EDWARD"/>
    <s v="LEWIS"/>
    <s v="EDWARD LEWIS"/>
    <d v="1958-11-02T00:00:00"/>
    <s v="S"/>
    <s v="M"/>
    <s v="edward43@adventure-works.com"/>
    <n v="60000"/>
    <n v="3"/>
    <s v="Bachelors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92"/>
    <d v="2002-01-18T00:00:00"/>
    <s v="SO45841"/>
    <n v="311"/>
    <n v="12804"/>
    <n v="7"/>
    <n v="1"/>
    <n v="1"/>
    <n v="2"/>
    <s v="BK-R93R-44"/>
    <x v="4"/>
    <n v="2171.2941999999998"/>
    <n v="3578.27"/>
    <s v="MRS."/>
    <s v="JACLYN"/>
    <s v="CHANDER"/>
    <s v="JACLYN CHANDER"/>
    <d v="1968-06-04T00:00:00"/>
    <s v="S"/>
    <s v="F"/>
    <s v="jaclyn39@adventure-works.com"/>
    <n v="30000"/>
    <n v="1"/>
    <s v="Bachelors"/>
    <s v="Clerical"/>
    <s v="N"/>
    <s v="France"/>
    <x v="0"/>
    <s v="Europe"/>
    <x v="0"/>
    <s v="Bikes"/>
    <n v="3578.27"/>
    <n v="2171.2941999999998"/>
    <n v="1406.9757999999999"/>
    <n v="0.39320001006072802"/>
  </r>
  <r>
    <x v="92"/>
    <d v="2002-01-31T00:00:00"/>
    <s v="SO45843"/>
    <n v="312"/>
    <n v="11775"/>
    <n v="4"/>
    <n v="1"/>
    <n v="1"/>
    <n v="2"/>
    <s v="BK-R93R-48"/>
    <x v="0"/>
    <n v="2171.2941999999998"/>
    <n v="3578.27"/>
    <s v="MRS."/>
    <s v="SIERRA"/>
    <s v="ROBERTS"/>
    <s v="SIERRA ROBERTS"/>
    <d v="1973-05-25T00:00:00"/>
    <s v="S"/>
    <s v="F"/>
    <s v="sierra3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93"/>
    <d v="2001-12-26T00:00:00"/>
    <s v="SO45858"/>
    <n v="350"/>
    <n v="11952"/>
    <n v="9"/>
    <n v="1"/>
    <n v="1"/>
    <n v="1"/>
    <s v="BK-M82B-44"/>
    <x v="5"/>
    <n v="1898.0944"/>
    <n v="3374.99"/>
    <s v="MR."/>
    <s v="DOROTHY"/>
    <s v="ROBINSON"/>
    <s v="DOROTHY ROBINSON"/>
    <d v="1954-09-23T00:00:00"/>
    <s v="S"/>
    <s v="M"/>
    <s v="dorothy3@adventure-works.com"/>
    <n v="80000"/>
    <n v="2"/>
    <s v="Partial College"/>
    <s v="Skilled Manual"/>
    <s v="N"/>
    <s v="Australia"/>
    <x v="2"/>
    <s v="Pacific"/>
    <x v="1"/>
    <s v="Bikes"/>
    <n v="3374.99"/>
    <n v="1898.0944"/>
    <n v="1476.8956000000001"/>
    <n v="0.43759999288886797"/>
  </r>
  <r>
    <x v="94"/>
    <d v="2002-08-26T00:00:00"/>
    <s v="SO47528"/>
    <n v="352"/>
    <n v="11598"/>
    <n v="8"/>
    <n v="1"/>
    <n v="1"/>
    <n v="1"/>
    <s v="BK-M68S-38"/>
    <x v="16"/>
    <n v="1117.8559"/>
    <n v="2071.4196000000002"/>
    <s v="MRS."/>
    <s v="MEREDITH"/>
    <s v="RUIZ"/>
    <s v="MEREDITH RUIZ"/>
    <d v="1978-07-02T00:00:00"/>
    <s v="S"/>
    <s v="F"/>
    <s v="meredith24@adventure-works.com"/>
    <n v="30000"/>
    <n v="3"/>
    <s v="Partial College"/>
    <s v="Clerical"/>
    <s v="Y"/>
    <s v="Germany"/>
    <x v="4"/>
    <s v="Europe"/>
    <x v="1"/>
    <s v="Bikes"/>
    <n v="2071.4196000000002"/>
    <n v="1117.8559"/>
    <n v="953.56370000000004"/>
    <n v="0.460343090313522"/>
  </r>
  <r>
    <x v="93"/>
    <d v="2001-12-15T00:00:00"/>
    <s v="SO45851"/>
    <n v="312"/>
    <n v="11683"/>
    <n v="4"/>
    <n v="1"/>
    <n v="1"/>
    <n v="2"/>
    <s v="BK-R93R-48"/>
    <x v="0"/>
    <n v="2171.2941999999998"/>
    <n v="3578.27"/>
    <s v="MR."/>
    <s v="GREG"/>
    <s v="TAYLOR"/>
    <s v="GREG TAYLOR"/>
    <d v="1969-01-05T00:00:00"/>
    <s v="M"/>
    <s v="M"/>
    <s v="greg10@adventure-works.com"/>
    <n v="80000"/>
    <n v="2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93"/>
    <d v="2001-12-26T00:00:00"/>
    <s v="SO45850"/>
    <n v="310"/>
    <n v="11776"/>
    <n v="4"/>
    <n v="1"/>
    <n v="1"/>
    <n v="2"/>
    <s v="BK-R93R-62"/>
    <x v="1"/>
    <n v="2171.2941999999998"/>
    <n v="3578.27"/>
    <s v="MR."/>
    <s v="SETH"/>
    <s v="MITCHELL"/>
    <s v="SETH MITCHELL"/>
    <d v="1973-07-03T00:00:00"/>
    <s v="M"/>
    <s v="M"/>
    <s v="seth38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93"/>
    <d v="2002-01-03T00:00:00"/>
    <s v="SO45857"/>
    <n v="351"/>
    <n v="11919"/>
    <n v="9"/>
    <n v="1"/>
    <n v="1"/>
    <n v="1"/>
    <s v="BK-M82B-48"/>
    <x v="7"/>
    <n v="1898.0944"/>
    <n v="3374.99"/>
    <s v="MR."/>
    <s v="WARREN"/>
    <s v="ANDERSEN"/>
    <s v="WARREN ANDERSEN"/>
    <d v="1964-02-18T00:00:00"/>
    <s v="M"/>
    <s v="M"/>
    <s v="warren2@adventure-works.com"/>
    <n v="60000"/>
    <n v="4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95"/>
    <d v="2002-05-25T00:00:00"/>
    <s v="SO46845"/>
    <n v="358"/>
    <n v="11603"/>
    <n v="10"/>
    <n v="1"/>
    <n v="1"/>
    <n v="1"/>
    <s v="BK-M68B-38"/>
    <x v="15"/>
    <n v="1105.81"/>
    <n v="2049.0981999999999"/>
    <s v="MR."/>
    <s v="GEOFFREY"/>
    <s v="GONZALEZ"/>
    <s v="GEOFFREY GONZALEZ"/>
    <d v="1977-02-06T00:00:00"/>
    <s v="S"/>
    <s v="M"/>
    <s v="geoffrey16@adventure-works.com"/>
    <n v="30000"/>
    <n v="0"/>
    <s v="Partial College"/>
    <s v="Clerical"/>
    <s v="N"/>
    <s v="United Kingdom"/>
    <x v="3"/>
    <s v="Europe"/>
    <x v="1"/>
    <s v="Bikes"/>
    <n v="2049.0981999999999"/>
    <n v="1105.81"/>
    <n v="943.28819999999996"/>
    <n v="0.46034309141455498"/>
  </r>
  <r>
    <x v="96"/>
    <d v="2002-01-08T00:00:00"/>
    <s v="SO45861"/>
    <n v="311"/>
    <n v="12650"/>
    <n v="7"/>
    <n v="1"/>
    <n v="1"/>
    <n v="2"/>
    <s v="BK-R93R-44"/>
    <x v="4"/>
    <n v="2171.2941999999998"/>
    <n v="3578.27"/>
    <s v="MR."/>
    <s v="AARON"/>
    <s v="WRIGHT"/>
    <s v="AARON WRIGHT"/>
    <d v="1950-03-06T00:00:00"/>
    <s v="M"/>
    <s v="M"/>
    <s v="aaron52@adventure-works.com"/>
    <n v="90000"/>
    <n v="4"/>
    <s v="High School"/>
    <s v="Management"/>
    <s v="Y"/>
    <s v="France"/>
    <x v="0"/>
    <s v="Europe"/>
    <x v="0"/>
    <s v="Bikes"/>
    <n v="3578.27"/>
    <n v="2171.2941999999998"/>
    <n v="1406.9757999999999"/>
    <n v="0.39320001006072802"/>
  </r>
  <r>
    <x v="97"/>
    <d v="2002-03-30T00:00:00"/>
    <s v="SO46719"/>
    <n v="362"/>
    <n v="11604"/>
    <n v="10"/>
    <n v="1"/>
    <n v="1"/>
    <n v="1"/>
    <s v="BK-M68B-46"/>
    <x v="13"/>
    <n v="1105.81"/>
    <n v="2049.0981999999999"/>
    <s v="MR."/>
    <s v="EDGAR"/>
    <s v="SANCHEZ"/>
    <s v="EDGAR SANCHEZ"/>
    <d v="1977-06-03T00:00:00"/>
    <s v="S"/>
    <s v="M"/>
    <s v="edgar21@adventure-works.com"/>
    <n v="30000"/>
    <n v="0"/>
    <s v="Partial College"/>
    <s v="Clerical"/>
    <s v="Y"/>
    <s v="United Kingdom"/>
    <x v="3"/>
    <s v="Europe"/>
    <x v="1"/>
    <s v="Bikes"/>
    <n v="2049.0981999999999"/>
    <n v="1105.81"/>
    <n v="943.28819999999996"/>
    <n v="0.46034309141455498"/>
  </r>
  <r>
    <x v="98"/>
    <d v="2002-07-06T00:00:00"/>
    <s v="SO47504"/>
    <n v="360"/>
    <n v="11605"/>
    <n v="8"/>
    <n v="1"/>
    <n v="1"/>
    <n v="1"/>
    <s v="BK-M68B-42"/>
    <x v="17"/>
    <n v="1105.81"/>
    <n v="2049.0981999999999"/>
    <s v="MS."/>
    <s v="HEIDI"/>
    <s v="SUBRAM"/>
    <s v="HEIDI SUBRAM"/>
    <d v="1976-11-20T00:00:00"/>
    <s v="S"/>
    <s v="F"/>
    <s v="heidi15@adventure-works.com"/>
    <n v="20000"/>
    <n v="0"/>
    <s v="High School"/>
    <s v="Manual"/>
    <s v="N"/>
    <s v="Germany"/>
    <x v="4"/>
    <s v="Europe"/>
    <x v="1"/>
    <s v="Bikes"/>
    <n v="2049.0981999999999"/>
    <n v="1105.81"/>
    <n v="943.28819999999996"/>
    <n v="0.46034309141455498"/>
  </r>
  <r>
    <x v="96"/>
    <d v="2002-01-18T00:00:00"/>
    <s v="SO45859"/>
    <n v="314"/>
    <n v="12754"/>
    <n v="7"/>
    <n v="1"/>
    <n v="1"/>
    <n v="2"/>
    <s v="BK-R93R-56"/>
    <x v="2"/>
    <n v="2171.2941999999998"/>
    <n v="3578.27"/>
    <s v="MRS."/>
    <s v="LINDSEY"/>
    <s v="DENG"/>
    <s v="LINDSEY DENG"/>
    <d v="1970-06-20T00:00:00"/>
    <s v="M"/>
    <s v="F"/>
    <s v="lindsey1@adventure-works.com"/>
    <n v="40000"/>
    <n v="2"/>
    <s v="Partial College"/>
    <s v="Clerical"/>
    <s v="N"/>
    <s v="France"/>
    <x v="0"/>
    <s v="Europe"/>
    <x v="0"/>
    <s v="Bikes"/>
    <n v="3578.27"/>
    <n v="2171.2941999999998"/>
    <n v="1406.9757999999999"/>
    <n v="0.39320001006072802"/>
  </r>
  <r>
    <x v="99"/>
    <d v="2002-06-30T00:00:00"/>
    <s v="SO46920"/>
    <n v="362"/>
    <n v="11609"/>
    <n v="10"/>
    <n v="1"/>
    <n v="1"/>
    <n v="1"/>
    <s v="BK-M68B-46"/>
    <x v="13"/>
    <n v="1105.81"/>
    <n v="2049.0981999999999"/>
    <s v="MR."/>
    <s v="EUGENE"/>
    <s v="YE"/>
    <s v="EUGENE YE"/>
    <d v="1976-06-26T00:00:00"/>
    <s v="S"/>
    <s v="M"/>
    <s v="eugene13@adventure-works.com"/>
    <n v="30000"/>
    <n v="0"/>
    <s v="Partial College"/>
    <s v="Clerical"/>
    <s v="N"/>
    <s v="United Kingdom"/>
    <x v="3"/>
    <s v="Europe"/>
    <x v="1"/>
    <s v="Bikes"/>
    <n v="2049.0981999999999"/>
    <n v="1105.81"/>
    <n v="943.28819999999996"/>
    <n v="0.46034309141455498"/>
  </r>
  <r>
    <x v="88"/>
    <d v="2002-06-25T00:00:00"/>
    <s v="SO46778"/>
    <n v="352"/>
    <n v="11610"/>
    <n v="10"/>
    <n v="1"/>
    <n v="1"/>
    <n v="1"/>
    <s v="BK-M68S-38"/>
    <x v="16"/>
    <n v="1117.8559"/>
    <n v="2071.4196000000002"/>
    <s v="MR."/>
    <s v="BLAKE"/>
    <s v="COLLINS"/>
    <s v="BLAKE COLLINS"/>
    <d v="1975-04-23T00:00:00"/>
    <s v="S"/>
    <s v="M"/>
    <s v="blake47@adventure-works.com"/>
    <n v="30000"/>
    <n v="0"/>
    <s v="Partial College"/>
    <s v="Clerical"/>
    <s v="N"/>
    <s v="United Kingdom"/>
    <x v="3"/>
    <s v="Europe"/>
    <x v="1"/>
    <s v="Bikes"/>
    <n v="2071.4196000000002"/>
    <n v="1117.8559"/>
    <n v="953.56370000000004"/>
    <n v="0.460343090313522"/>
  </r>
  <r>
    <x v="100"/>
    <d v="2002-01-01T00:00:00"/>
    <s v="SO45863"/>
    <n v="314"/>
    <n v="11873"/>
    <n v="4"/>
    <n v="1"/>
    <n v="1"/>
    <n v="2"/>
    <s v="BK-R93R-56"/>
    <x v="2"/>
    <n v="2171.2941999999998"/>
    <n v="3578.27"/>
    <s v="MR."/>
    <s v="RYAN"/>
    <s v="ZHANG"/>
    <s v="RYAN ZHANG"/>
    <d v="1967-04-12T00:00:00"/>
    <s v="M"/>
    <s v="M"/>
    <s v="ryan27@adventure-works.com"/>
    <n v="60000"/>
    <n v="0"/>
    <s v="Graduate Degre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101"/>
    <d v="2002-02-19T00:00:00"/>
    <s v="SO45867"/>
    <n v="312"/>
    <n v="11772"/>
    <n v="1"/>
    <n v="1"/>
    <n v="1"/>
    <n v="2"/>
    <s v="BK-R93R-48"/>
    <x v="0"/>
    <n v="2171.2941999999998"/>
    <n v="3578.27"/>
    <s v="MR."/>
    <s v="CAMERON"/>
    <s v="MOORE"/>
    <s v="CAMERON MOORE"/>
    <d v="1973-01-24T00:00:00"/>
    <s v="M"/>
    <s v="M"/>
    <s v="cameron48@adventure-works.com"/>
    <n v="50000"/>
    <n v="1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02"/>
    <d v="2002-04-12T00:00:00"/>
    <s v="SO47100"/>
    <n v="360"/>
    <n v="11612"/>
    <n v="10"/>
    <n v="1"/>
    <n v="1"/>
    <n v="1"/>
    <s v="BK-M68B-42"/>
    <x v="17"/>
    <n v="1105.81"/>
    <n v="2049.0981999999999"/>
    <s v="MR."/>
    <s v="KEITH"/>
    <s v="ANDERSEN"/>
    <s v="KEITH ANDERSEN"/>
    <d v="1974-10-11T00:00:00"/>
    <s v="S"/>
    <s v="M"/>
    <s v="keith16@adventure-works.com"/>
    <n v="20000"/>
    <n v="0"/>
    <s v="Partial High School"/>
    <s v="Manual"/>
    <s v="N"/>
    <s v="United Kingdom"/>
    <x v="3"/>
    <s v="Europe"/>
    <x v="1"/>
    <s v="Bikes"/>
    <n v="2049.0981999999999"/>
    <n v="1105.81"/>
    <n v="943.28819999999996"/>
    <n v="0.46034309141455498"/>
  </r>
  <r>
    <x v="103"/>
    <d v="2002-10-22T00:00:00"/>
    <s v="SO48170"/>
    <n v="354"/>
    <n v="11613"/>
    <n v="8"/>
    <n v="1"/>
    <n v="1"/>
    <n v="1"/>
    <s v="BK-M68S-42"/>
    <x v="18"/>
    <n v="1117.8559"/>
    <n v="2071.4196000000002"/>
    <s v="MS."/>
    <s v="MEREDITH"/>
    <s v="PRASAD"/>
    <s v="MEREDITH PRASAD"/>
    <d v="1975-11-03T00:00:00"/>
    <s v="S"/>
    <s v="F"/>
    <s v="meredith8@adventure-works.com"/>
    <n v="30000"/>
    <n v="0"/>
    <s v="Partial College"/>
    <s v="Clerical"/>
    <s v="N"/>
    <s v="Germany"/>
    <x v="4"/>
    <s v="Europe"/>
    <x v="1"/>
    <s v="Bikes"/>
    <n v="2071.4196000000002"/>
    <n v="1117.8559"/>
    <n v="953.56370000000004"/>
    <n v="0.460343090313522"/>
  </r>
  <r>
    <x v="104"/>
    <d v="2002-09-15T00:00:00"/>
    <s v="SO48148"/>
    <n v="362"/>
    <n v="11614"/>
    <n v="8"/>
    <n v="1"/>
    <n v="1"/>
    <n v="1"/>
    <s v="BK-M68B-46"/>
    <x v="13"/>
    <n v="1105.81"/>
    <n v="2049.0981999999999"/>
    <s v="MS."/>
    <s v="KATRINA"/>
    <s v="SHARMA"/>
    <s v="KATRINA SHARMA"/>
    <d v="1975-08-17T00:00:00"/>
    <s v="S"/>
    <s v="F"/>
    <s v="katrina8@adventure-works.com"/>
    <n v="30000"/>
    <n v="0"/>
    <s v="Partial College"/>
    <s v="Clerical"/>
    <s v="N"/>
    <s v="Germany"/>
    <x v="4"/>
    <s v="Europe"/>
    <x v="1"/>
    <s v="Bikes"/>
    <n v="2049.0981999999999"/>
    <n v="1105.81"/>
    <n v="943.28819999999996"/>
    <n v="0.46034309141455498"/>
  </r>
  <r>
    <x v="105"/>
    <d v="2002-07-24T00:00:00"/>
    <s v="SO47280"/>
    <n v="352"/>
    <n v="11615"/>
    <n v="10"/>
    <n v="1"/>
    <n v="1"/>
    <n v="1"/>
    <s v="BK-M68S-38"/>
    <x v="16"/>
    <n v="1117.8559"/>
    <n v="2071.4196000000002"/>
    <s v="MR."/>
    <s v="DWAYNE"/>
    <s v="NAVARRO"/>
    <s v="DWAYNE NAVARRO"/>
    <d v="1975-11-21T00:00:00"/>
    <s v="M"/>
    <s v="M"/>
    <s v="dwayne9@adventure-works.com"/>
    <n v="40000"/>
    <n v="1"/>
    <s v="Bachelors"/>
    <s v="Skilled Manual"/>
    <s v="Y"/>
    <s v="United Kingdom"/>
    <x v="3"/>
    <s v="Europe"/>
    <x v="1"/>
    <s v="Bikes"/>
    <n v="2071.4196000000002"/>
    <n v="1117.8559"/>
    <n v="953.56370000000004"/>
    <n v="0.460343090313522"/>
  </r>
  <r>
    <x v="106"/>
    <d v="2002-07-07T00:00:00"/>
    <s v="SO47107"/>
    <n v="352"/>
    <n v="11616"/>
    <n v="10"/>
    <n v="1"/>
    <n v="1"/>
    <n v="1"/>
    <s v="BK-M68S-38"/>
    <x v="16"/>
    <n v="1117.8559"/>
    <n v="2071.4196000000002"/>
    <s v="MRS."/>
    <s v="CASEY"/>
    <s v="NATH"/>
    <s v="CASEY NATH"/>
    <d v="1975-03-09T00:00:00"/>
    <s v="M"/>
    <s v="F"/>
    <s v="casey20@adventure-works.com"/>
    <n v="40000"/>
    <n v="1"/>
    <s v="Bachelors"/>
    <s v="Skilled Manual"/>
    <s v="Y"/>
    <s v="United Kingdom"/>
    <x v="3"/>
    <s v="Europe"/>
    <x v="1"/>
    <s v="Bikes"/>
    <n v="2071.4196000000002"/>
    <n v="1117.8559"/>
    <n v="953.56370000000004"/>
    <n v="0.460343090313522"/>
  </r>
  <r>
    <x v="30"/>
    <d v="2001-12-19T00:00:00"/>
    <s v="SO45873"/>
    <n v="314"/>
    <n v="11925"/>
    <n v="1"/>
    <n v="1"/>
    <n v="1"/>
    <n v="2"/>
    <s v="BK-R93R-56"/>
    <x v="2"/>
    <n v="2171.2941999999998"/>
    <n v="3578.27"/>
    <s v="MS."/>
    <s v="ASHLEE"/>
    <s v="JAI"/>
    <s v="ASHLEE JAI"/>
    <d v="1978-11-06T00:00:00"/>
    <s v="S"/>
    <s v="F"/>
    <s v="ashlee18@adventure-works.com"/>
    <n v="40000"/>
    <n v="0"/>
    <s v="Partial Colleg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30"/>
    <d v="2002-01-05T00:00:00"/>
    <s v="SO45877"/>
    <n v="351"/>
    <n v="11910"/>
    <n v="9"/>
    <n v="1"/>
    <n v="1"/>
    <n v="1"/>
    <s v="BK-M82B-48"/>
    <x v="7"/>
    <n v="1898.0944"/>
    <n v="3374.99"/>
    <s v="MRS."/>
    <s v="JACLYN"/>
    <s v="ZHENG"/>
    <s v="JACLYN ZHENG"/>
    <d v="1966-06-12T00:00:00"/>
    <s v="M"/>
    <s v="F"/>
    <s v="jaclyn21@adventure-works.com"/>
    <n v="80000"/>
    <n v="5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107"/>
    <d v="2002-01-22T00:00:00"/>
    <s v="SO45889"/>
    <n v="350"/>
    <n v="11920"/>
    <n v="9"/>
    <n v="1"/>
    <n v="1"/>
    <n v="1"/>
    <s v="BK-M82B-44"/>
    <x v="5"/>
    <n v="1898.0944"/>
    <n v="3374.99"/>
    <s v="MRS."/>
    <s v="ADRIENNE"/>
    <s v="GOMEZ"/>
    <s v="ADRIENNE GOMEZ"/>
    <d v="1964-02-28T00:00:00"/>
    <s v="S"/>
    <s v="F"/>
    <s v="adrienne1@adventure-works.com"/>
    <n v="60000"/>
    <n v="4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107"/>
    <d v="2002-02-16T00:00:00"/>
    <s v="SO45882"/>
    <n v="312"/>
    <n v="11745"/>
    <n v="1"/>
    <n v="1"/>
    <n v="1"/>
    <n v="2"/>
    <s v="BK-R93R-48"/>
    <x v="0"/>
    <n v="2171.2941999999998"/>
    <n v="3578.27"/>
    <s v="MRS."/>
    <s v="ALLISON"/>
    <s v="GONZALEZ"/>
    <s v="ALLISON GONZALEZ"/>
    <d v="1958-10-13T00:00:00"/>
    <s v="M"/>
    <s v="F"/>
    <s v="allison31@adventure-works.com"/>
    <n v="60000"/>
    <n v="1"/>
    <s v="Bachelors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07"/>
    <d v="2002-01-03T00:00:00"/>
    <s v="SO45883"/>
    <n v="313"/>
    <n v="11799"/>
    <n v="1"/>
    <n v="1"/>
    <n v="1"/>
    <n v="2"/>
    <s v="BK-R93R-52"/>
    <x v="3"/>
    <n v="2171.2941999999998"/>
    <n v="3578.27"/>
    <s v="MR."/>
    <s v="JESSIE"/>
    <s v="WANG"/>
    <s v="JESSIE WANG"/>
    <d v="1969-09-13T00:00:00"/>
    <s v="M"/>
    <s v="M"/>
    <s v="jessie7@adventure-works.com"/>
    <n v="40000"/>
    <n v="2"/>
    <s v="Bachelors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07"/>
    <d v="2002-03-04T00:00:00"/>
    <s v="SO45884"/>
    <n v="313"/>
    <n v="11678"/>
    <n v="1"/>
    <n v="1"/>
    <n v="1"/>
    <n v="2"/>
    <s v="BK-R93R-52"/>
    <x v="3"/>
    <n v="2171.2941999999998"/>
    <n v="3578.27"/>
    <s v="MR."/>
    <s v="JOHNNY"/>
    <s v="CHAVEZ"/>
    <s v="JOHNNY CHAVEZ"/>
    <d v="1969-01-28T00:00:00"/>
    <s v="M"/>
    <s v="M"/>
    <s v="johnny16@adventure-works.com"/>
    <n v="70000"/>
    <n v="5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07"/>
    <d v="2002-01-19T00:00:00"/>
    <s v="SO45885"/>
    <n v="313"/>
    <n v="12655"/>
    <n v="7"/>
    <n v="1"/>
    <n v="1"/>
    <n v="2"/>
    <s v="BK-R93R-52"/>
    <x v="3"/>
    <n v="2171.2941999999998"/>
    <n v="3578.27"/>
    <s v="MR."/>
    <s v="LARRY"/>
    <s v="VAZQUEZ"/>
    <s v="LARRY VAZQUEZ"/>
    <d v="1949-02-20T00:00:00"/>
    <s v="M"/>
    <s v="M"/>
    <s v="larry17@adventure-works.com"/>
    <n v="80000"/>
    <n v="5"/>
    <s v="High School"/>
    <s v="Management"/>
    <s v="Y"/>
    <s v="France"/>
    <x v="0"/>
    <s v="Europe"/>
    <x v="0"/>
    <s v="Bikes"/>
    <n v="3578.27"/>
    <n v="2171.2941999999998"/>
    <n v="1406.9757999999999"/>
    <n v="0.39320001006072802"/>
  </r>
  <r>
    <x v="107"/>
    <d v="2002-01-31T00:00:00"/>
    <s v="SO45880"/>
    <n v="313"/>
    <n v="11707"/>
    <n v="4"/>
    <n v="1"/>
    <n v="1"/>
    <n v="2"/>
    <s v="BK-R93R-52"/>
    <x v="3"/>
    <n v="2171.2941999999998"/>
    <n v="3578.27"/>
    <s v="MRS."/>
    <s v="NATALIE"/>
    <s v="COOK"/>
    <s v="NATALIE COOK"/>
    <d v="1963-12-22T00:00:00"/>
    <s v="S"/>
    <s v="F"/>
    <s v="natalie5@adventure-works.com"/>
    <n v="60000"/>
    <n v="4"/>
    <s v="Bachelors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07"/>
    <d v="2001-12-29T00:00:00"/>
    <s v="SO45878"/>
    <n v="310"/>
    <n v="12750"/>
    <n v="7"/>
    <n v="1"/>
    <n v="1"/>
    <n v="2"/>
    <s v="BK-R93R-62"/>
    <x v="1"/>
    <n v="2171.2941999999998"/>
    <n v="3578.27"/>
    <s v="MRS."/>
    <s v="TERESA"/>
    <s v="VAZQUEZ"/>
    <s v="TERESA VAZQUEZ"/>
    <d v="1970-08-11T00:00:00"/>
    <s v="S"/>
    <s v="F"/>
    <s v="teresa15@adventure-works.com"/>
    <n v="40000"/>
    <n v="2"/>
    <s v="Partial College"/>
    <s v="Clerical"/>
    <s v="Y"/>
    <s v="France"/>
    <x v="0"/>
    <s v="Europe"/>
    <x v="0"/>
    <s v="Bikes"/>
    <n v="3578.27"/>
    <n v="2171.2941999999998"/>
    <n v="1406.9757999999999"/>
    <n v="0.39320001006072802"/>
  </r>
  <r>
    <x v="108"/>
    <d v="2001-12-23T00:00:00"/>
    <s v="SO45895"/>
    <n v="311"/>
    <n v="11727"/>
    <n v="4"/>
    <n v="1"/>
    <n v="1"/>
    <n v="2"/>
    <s v="BK-R93R-44"/>
    <x v="4"/>
    <n v="2171.2941999999998"/>
    <n v="3578.27"/>
    <s v="MR."/>
    <s v="BENJAMIN"/>
    <s v="TAYLOR"/>
    <s v="BENJAMIN TAYLOR"/>
    <d v="1967-07-09T00:00:00"/>
    <s v="S"/>
    <s v="M"/>
    <s v="benjamin43@adventure-works.com"/>
    <n v="60000"/>
    <n v="0"/>
    <s v="Graduate Degre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108"/>
    <d v="2002-02-26T00:00:00"/>
    <s v="SO45896"/>
    <n v="311"/>
    <n v="12632"/>
    <n v="7"/>
    <n v="1"/>
    <n v="1"/>
    <n v="2"/>
    <s v="BK-R93R-44"/>
    <x v="4"/>
    <n v="2171.2941999999998"/>
    <n v="3578.27"/>
    <s v="MRS."/>
    <s v="BONNIE"/>
    <s v="NATH"/>
    <s v="BONNIE NATH"/>
    <d v="1944-08-18T00:00:00"/>
    <s v="M"/>
    <s v="F"/>
    <s v="bonnie24@adventure-works.com"/>
    <n v="80000"/>
    <n v="5"/>
    <s v="Bachelors"/>
    <s v="Management"/>
    <s v="Y"/>
    <s v="France"/>
    <x v="0"/>
    <s v="Europe"/>
    <x v="0"/>
    <s v="Bikes"/>
    <n v="3578.27"/>
    <n v="2171.2941999999998"/>
    <n v="1406.9757999999999"/>
    <n v="0.39320001006072802"/>
  </r>
  <r>
    <x v="109"/>
    <d v="2002-02-28T00:00:00"/>
    <s v="SO45900"/>
    <n v="312"/>
    <n v="11837"/>
    <n v="4"/>
    <n v="1"/>
    <n v="1"/>
    <n v="2"/>
    <s v="BK-R93R-48"/>
    <x v="0"/>
    <n v="2171.2941999999998"/>
    <n v="3578.27"/>
    <s v="MRS."/>
    <s v="HALEY"/>
    <s v="ALEXANDER"/>
    <s v="HALEY ALEXANDER"/>
    <d v="1965-08-09T00:00:00"/>
    <s v="S"/>
    <s v="F"/>
    <s v="haley38@adventure-works.com"/>
    <n v="80000"/>
    <n v="3"/>
    <s v="Bachelors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09"/>
    <d v="2002-01-06T00:00:00"/>
    <s v="SO45901"/>
    <n v="312"/>
    <n v="11665"/>
    <n v="4"/>
    <n v="1"/>
    <n v="1"/>
    <n v="2"/>
    <s v="BK-R93R-48"/>
    <x v="0"/>
    <n v="2171.2941999999998"/>
    <n v="3578.27"/>
    <s v="MRS."/>
    <s v="JANET"/>
    <s v="DOMINGUEZ"/>
    <s v="JANET DOMINGUEZ"/>
    <d v="1970-12-13T00:00:00"/>
    <s v="M"/>
    <s v="F"/>
    <s v="janet18@adventure-works.com"/>
    <n v="70000"/>
    <n v="4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09"/>
    <d v="2002-03-19T00:00:00"/>
    <s v="SO45909"/>
    <n v="349"/>
    <n v="11947"/>
    <n v="9"/>
    <n v="1"/>
    <n v="1"/>
    <n v="1"/>
    <s v="BK-M82B-42"/>
    <x v="11"/>
    <n v="1898.0944"/>
    <n v="3374.99"/>
    <s v="MRS."/>
    <s v="JENNY"/>
    <s v="ZHENG"/>
    <s v="JENNY ZHENG"/>
    <d v="1951-10-22T00:00:00"/>
    <s v="S"/>
    <s v="F"/>
    <s v="jenny21@adventure-works.com"/>
    <n v="30000"/>
    <n v="3"/>
    <s v="High School"/>
    <s v="Skilled Manual"/>
    <s v="N"/>
    <s v="Australia"/>
    <x v="2"/>
    <s v="Pacific"/>
    <x v="1"/>
    <s v="Bikes"/>
    <n v="3374.99"/>
    <n v="1898.0944"/>
    <n v="1476.8956000000001"/>
    <n v="0.43759999288886797"/>
  </r>
  <r>
    <x v="109"/>
    <d v="2001-12-16T00:00:00"/>
    <s v="SO45908"/>
    <n v="347"/>
    <n v="11918"/>
    <n v="9"/>
    <n v="1"/>
    <n v="1"/>
    <n v="1"/>
    <s v="BK-M82S-48"/>
    <x v="10"/>
    <n v="1912.1543999999999"/>
    <n v="3399.99"/>
    <s v="MRS."/>
    <s v="KAYLEE"/>
    <s v="HILL"/>
    <s v="KAYLEE HILL"/>
    <d v="1964-03-03T00:00:00"/>
    <s v="M"/>
    <s v="F"/>
    <s v="kaylee35@adventure-works.com"/>
    <n v="60000"/>
    <n v="3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109"/>
    <d v="2002-03-11T00:00:00"/>
    <s v="SO45897"/>
    <n v="313"/>
    <n v="11933"/>
    <n v="1"/>
    <n v="1"/>
    <n v="1"/>
    <n v="2"/>
    <s v="BK-R93R-52"/>
    <x v="3"/>
    <n v="2171.2941999999998"/>
    <n v="3578.27"/>
    <s v="MR."/>
    <s v="MATHEW"/>
    <s v="RUBIO"/>
    <s v="MATHEW RUBIO"/>
    <d v="1977-03-04T00:00:00"/>
    <s v="S"/>
    <s v="M"/>
    <s v="mathew17@adventure-works.com"/>
    <n v="40000"/>
    <n v="0"/>
    <s v="Partial High School"/>
    <s v="Clerical"/>
    <s v="N"/>
    <s v="Northwest"/>
    <x v="1"/>
    <s v="North America"/>
    <x v="0"/>
    <s v="Bikes"/>
    <n v="3578.27"/>
    <n v="2171.2941999999998"/>
    <n v="1406.9757999999999"/>
    <n v="0.39320001006072802"/>
  </r>
  <r>
    <x v="109"/>
    <d v="2001-12-22T00:00:00"/>
    <s v="SO45899"/>
    <n v="310"/>
    <n v="11817"/>
    <n v="4"/>
    <n v="1"/>
    <n v="1"/>
    <n v="2"/>
    <s v="BK-R93R-62"/>
    <x v="1"/>
    <n v="2171.2941999999998"/>
    <n v="3578.27"/>
    <s v="MRS."/>
    <s v="MORGAN"/>
    <s v="MILLER"/>
    <s v="MORGAN MILLER"/>
    <d v="1970-11-27T00:00:00"/>
    <s v="S"/>
    <s v="F"/>
    <s v="morgan29@adventure-works.com"/>
    <n v="70000"/>
    <n v="4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0"/>
    <d v="2001-12-21T00:00:00"/>
    <s v="SO45938"/>
    <n v="311"/>
    <n v="11654"/>
    <n v="4"/>
    <n v="1"/>
    <n v="1"/>
    <n v="2"/>
    <s v="BK-R93R-44"/>
    <x v="4"/>
    <n v="2171.2941999999998"/>
    <n v="3578.27"/>
    <s v="MRS."/>
    <s v="ARIANA"/>
    <s v="SANCHEZ"/>
    <s v="ARIANA SANCHEZ"/>
    <d v="1971-09-19T00:00:00"/>
    <s v="M"/>
    <s v="F"/>
    <s v="ariana22@adventure-works.com"/>
    <n v="60000"/>
    <n v="1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1"/>
    <d v="2002-02-11T00:00:00"/>
    <s v="SO45911"/>
    <n v="314"/>
    <n v="11797"/>
    <n v="4"/>
    <n v="1"/>
    <n v="1"/>
    <n v="2"/>
    <s v="BK-R93R-56"/>
    <x v="2"/>
    <n v="2171.2941999999998"/>
    <n v="3578.27"/>
    <s v="MR."/>
    <s v="DEVIN"/>
    <s v="COLEMAN"/>
    <s v="DEVIN COLEMAN"/>
    <d v="1969-03-07T00:00:00"/>
    <s v="S"/>
    <s v="M"/>
    <s v="devin44@adventure-works.com"/>
    <n v="40000"/>
    <n v="2"/>
    <s v="Bachelors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11"/>
    <d v="2002-02-17T00:00:00"/>
    <s v="SO45915"/>
    <n v="347"/>
    <n v="11930"/>
    <n v="9"/>
    <n v="1"/>
    <n v="1"/>
    <n v="1"/>
    <s v="BK-M82S-48"/>
    <x v="10"/>
    <n v="1912.1543999999999"/>
    <n v="3399.99"/>
    <s v="MRS."/>
    <s v="JACLYN"/>
    <s v="NARA"/>
    <s v="JACLYN NARA"/>
    <d v="1947-05-04T00:00:00"/>
    <s v="M"/>
    <s v="F"/>
    <s v="jaclyn40@adventure-works.com"/>
    <n v="20000"/>
    <n v="4"/>
    <s v="High School"/>
    <s v="Skilled Manual"/>
    <s v="N"/>
    <s v="Australia"/>
    <x v="2"/>
    <s v="Pacific"/>
    <x v="1"/>
    <s v="Bikes"/>
    <n v="3399.99"/>
    <n v="1912.1543999999999"/>
    <n v="1487.8356000000001"/>
    <n v="0.43759999294115598"/>
  </r>
  <r>
    <x v="111"/>
    <d v="2002-03-10T00:00:00"/>
    <s v="SO45910"/>
    <n v="311"/>
    <n v="11777"/>
    <n v="4"/>
    <n v="1"/>
    <n v="1"/>
    <n v="2"/>
    <s v="BK-R93R-44"/>
    <x v="4"/>
    <n v="2171.2941999999998"/>
    <n v="3578.27"/>
    <s v="MRS."/>
    <s v="MIRANDA"/>
    <s v="LONG"/>
    <s v="MIRANDA LONG"/>
    <d v="1972-07-24T00:00:00"/>
    <s v="S"/>
    <s v="F"/>
    <s v="miranda9@adventure-works.com"/>
    <n v="4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11"/>
    <d v="2001-12-22T00:00:00"/>
    <s v="SO45916"/>
    <n v="346"/>
    <n v="11964"/>
    <n v="9"/>
    <n v="1"/>
    <n v="1"/>
    <n v="1"/>
    <s v="BK-M82S-44"/>
    <x v="12"/>
    <n v="1912.1543999999999"/>
    <n v="3399.99"/>
    <s v="MR."/>
    <s v="SHARON"/>
    <s v="SALAVARIA"/>
    <s v="SHARON SALAVARIA"/>
    <d v="1956-02-17T00:00:00"/>
    <s v="S"/>
    <s v="M"/>
    <s v="sharon4@adventure-works.com"/>
    <n v="70000"/>
    <n v="2"/>
    <s v="High School"/>
    <s v="Skilled Manual"/>
    <s v="N"/>
    <s v="Australia"/>
    <x v="2"/>
    <s v="Pacific"/>
    <x v="1"/>
    <s v="Bikes"/>
    <n v="3399.99"/>
    <n v="1912.1543999999999"/>
    <n v="1487.8356000000001"/>
    <n v="0.43759999294115598"/>
  </r>
  <r>
    <x v="111"/>
    <d v="2002-01-10T00:00:00"/>
    <s v="SO45914"/>
    <n v="349"/>
    <n v="11929"/>
    <n v="9"/>
    <n v="1"/>
    <n v="1"/>
    <n v="1"/>
    <s v="BK-M82B-42"/>
    <x v="11"/>
    <n v="1898.0944"/>
    <n v="3374.99"/>
    <s v="MRS."/>
    <s v="VIRGINIA"/>
    <s v="GONZALEZ"/>
    <s v="VIRGINIA GONZALEZ"/>
    <d v="1946-02-12T00:00:00"/>
    <s v="S"/>
    <s v="F"/>
    <s v="virginia21@adventure-works.com"/>
    <n v="30000"/>
    <n v="2"/>
    <s v="Partial College"/>
    <s v="Clerical"/>
    <s v="Y"/>
    <s v="Australia"/>
    <x v="2"/>
    <s v="Pacific"/>
    <x v="1"/>
    <s v="Bikes"/>
    <n v="3374.99"/>
    <n v="1898.0944"/>
    <n v="1476.8956000000001"/>
    <n v="0.43759999288886797"/>
  </r>
  <r>
    <x v="58"/>
    <d v="2001-12-19T00:00:00"/>
    <s v="SO45923"/>
    <n v="313"/>
    <n v="11811"/>
    <n v="4"/>
    <n v="1"/>
    <n v="1"/>
    <n v="2"/>
    <s v="BK-R93R-52"/>
    <x v="3"/>
    <n v="2171.2941999999998"/>
    <n v="3578.27"/>
    <s v="MS."/>
    <s v="ABIGAIL"/>
    <s v="BROOKS"/>
    <s v="ABIGAIL BROOKS"/>
    <d v="1967-06-15T00:00:00"/>
    <s v="S"/>
    <s v="F"/>
    <s v="abigail22@adventure-works.com"/>
    <n v="40000"/>
    <n v="0"/>
    <s v="Bachelors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58"/>
    <d v="2002-03-18T00:00:00"/>
    <s v="SO45921"/>
    <n v="312"/>
    <n v="11798"/>
    <n v="1"/>
    <n v="1"/>
    <n v="1"/>
    <n v="2"/>
    <s v="BK-R93R-48"/>
    <x v="0"/>
    <n v="2171.2941999999998"/>
    <n v="3578.27"/>
    <s v="MR."/>
    <s v="BRENDAN"/>
    <s v="CHANDE"/>
    <s v="BRENDAN CHANDE"/>
    <d v="1969-02-12T00:00:00"/>
    <s v="M"/>
    <s v="M"/>
    <s v="brendan13@adventure-works.com"/>
    <n v="40000"/>
    <n v="2"/>
    <s v="Bachelors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75"/>
    <d v="2002-03-01T00:00:00"/>
    <s v="SO46018"/>
    <n v="312"/>
    <n v="11663"/>
    <n v="1"/>
    <n v="1"/>
    <n v="1"/>
    <n v="2"/>
    <s v="BK-R93R-48"/>
    <x v="0"/>
    <n v="2171.2941999999998"/>
    <n v="3578.27"/>
    <s v="MR."/>
    <s v="SETH"/>
    <s v="WILLIAMS"/>
    <s v="SETH WILLIAMS"/>
    <d v="1970-02-25T00:00:00"/>
    <s v="M"/>
    <s v="M"/>
    <s v="seth2@adventure-works.com"/>
    <n v="70000"/>
    <n v="4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12"/>
    <d v="2002-04-05T00:00:00"/>
    <s v="SO46004"/>
    <n v="311"/>
    <n v="11664"/>
    <n v="4"/>
    <n v="1"/>
    <n v="1"/>
    <n v="2"/>
    <s v="BK-R93R-44"/>
    <x v="4"/>
    <n v="2171.2941999999998"/>
    <n v="3578.27"/>
    <s v="MRS."/>
    <s v="ALYSSA"/>
    <s v="MORGAN"/>
    <s v="ALYSSA MORGAN"/>
    <d v="1970-02-09T00:00:00"/>
    <s v="S"/>
    <s v="F"/>
    <s v="alyssa30@adventure-works.com"/>
    <n v="70000"/>
    <n v="4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58"/>
    <d v="2002-01-24T00:00:00"/>
    <s v="SO45925"/>
    <n v="347"/>
    <n v="11942"/>
    <n v="9"/>
    <n v="1"/>
    <n v="1"/>
    <n v="1"/>
    <s v="BK-M82S-48"/>
    <x v="10"/>
    <n v="1912.1543999999999"/>
    <n v="3399.99"/>
    <s v="MR."/>
    <s v="GEORGE"/>
    <s v="GONZALEZ"/>
    <s v="GEORGE GONZALEZ"/>
    <d v="1949-06-13T00:00:00"/>
    <s v="M"/>
    <s v="M"/>
    <s v="george25@adventure-works.com"/>
    <n v="20000"/>
    <n v="2"/>
    <s v="Partial High School"/>
    <s v="Clerical"/>
    <s v="Y"/>
    <s v="Australia"/>
    <x v="2"/>
    <s v="Pacific"/>
    <x v="1"/>
    <s v="Bikes"/>
    <n v="3399.99"/>
    <n v="1912.1543999999999"/>
    <n v="1487.8356000000001"/>
    <n v="0.43759999294115598"/>
  </r>
  <r>
    <x v="58"/>
    <d v="2002-03-15T00:00:00"/>
    <s v="SO45919"/>
    <n v="312"/>
    <n v="11780"/>
    <n v="1"/>
    <n v="1"/>
    <n v="1"/>
    <n v="2"/>
    <s v="BK-R93R-48"/>
    <x v="0"/>
    <n v="2171.2941999999998"/>
    <n v="3578.27"/>
    <s v="MRS."/>
    <s v="JESSICA"/>
    <s v="ALEXANDER"/>
    <s v="JESSICA ALEXANDER"/>
    <d v="1971-11-20T00:00:00"/>
    <s v="S"/>
    <s v="F"/>
    <s v="jessica43@adventure-works.com"/>
    <n v="60000"/>
    <n v="1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13"/>
    <d v="2002-03-08T00:00:00"/>
    <s v="SO45934"/>
    <n v="313"/>
    <n v="11666"/>
    <n v="4"/>
    <n v="1"/>
    <n v="1"/>
    <n v="2"/>
    <s v="BK-R93R-52"/>
    <x v="3"/>
    <n v="2171.2941999999998"/>
    <n v="3578.27"/>
    <s v="MR."/>
    <s v="ANGEL"/>
    <s v="BAKER"/>
    <s v="ANGEL BAKER"/>
    <d v="1970-12-17T00:00:00"/>
    <s v="M"/>
    <s v="M"/>
    <s v="angel30@adventure-works.com"/>
    <n v="80000"/>
    <n v="2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58"/>
    <d v="2002-03-08T00:00:00"/>
    <s v="SO45918"/>
    <n v="313"/>
    <n v="11741"/>
    <n v="4"/>
    <n v="1"/>
    <n v="1"/>
    <n v="2"/>
    <s v="BK-R93R-52"/>
    <x v="3"/>
    <n v="2171.2941999999998"/>
    <n v="3578.27"/>
    <s v="MRS."/>
    <s v="TAMARA"/>
    <s v="CHANDER"/>
    <s v="TAMARA CHANDER"/>
    <d v="1959-07-26T00:00:00"/>
    <s v="M"/>
    <s v="F"/>
    <s v="tamara27@adventure-works.com"/>
    <n v="80000"/>
    <n v="4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4"/>
    <d v="2002-03-31T00:00:00"/>
    <s v="SO45929"/>
    <n v="310"/>
    <n v="11825"/>
    <n v="4"/>
    <n v="1"/>
    <n v="1"/>
    <n v="2"/>
    <s v="BK-R93R-62"/>
    <x v="1"/>
    <n v="2171.2941999999998"/>
    <n v="3578.27"/>
    <s v="MRS."/>
    <s v="AIMEE"/>
    <s v="SHE"/>
    <s v="AIMEE SHE"/>
    <d v="1966-05-18T00:00:00"/>
    <s v="S"/>
    <s v="F"/>
    <s v="aimee17@adventure-works.com"/>
    <n v="70000"/>
    <n v="5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5"/>
    <d v="2002-03-19T00:00:00"/>
    <s v="SO45960"/>
    <n v="314"/>
    <n v="11671"/>
    <n v="4"/>
    <n v="1"/>
    <n v="1"/>
    <n v="2"/>
    <s v="BK-R93R-56"/>
    <x v="2"/>
    <n v="2171.2941999999998"/>
    <n v="3578.27"/>
    <s v="MRS."/>
    <s v="JESSICA"/>
    <s v="BROWN"/>
    <s v="JESSICA BROWN"/>
    <d v="1966-05-18T00:00:00"/>
    <s v="S"/>
    <s v="F"/>
    <s v="jessica51@adventure-works.com"/>
    <n v="60000"/>
    <n v="3"/>
    <s v="Bachelors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114"/>
    <d v="2002-03-16T00:00:00"/>
    <s v="SO45927"/>
    <n v="312"/>
    <n v="11796"/>
    <n v="4"/>
    <n v="1"/>
    <n v="1"/>
    <n v="2"/>
    <s v="BK-R93R-48"/>
    <x v="0"/>
    <n v="2171.2941999999998"/>
    <n v="3578.27"/>
    <s v="MRS."/>
    <s v="ISABEL"/>
    <s v="JENKINS"/>
    <s v="ISABEL JENKINS"/>
    <d v="1969-02-07T00:00:00"/>
    <s v="S"/>
    <s v="F"/>
    <s v="isabel7@adventure-works.com"/>
    <n v="40000"/>
    <n v="2"/>
    <s v="Bachelors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114"/>
    <d v="2002-01-09T00:00:00"/>
    <s v="SO45928"/>
    <n v="313"/>
    <n v="11813"/>
    <n v="1"/>
    <n v="1"/>
    <n v="1"/>
    <n v="2"/>
    <s v="BK-R93R-52"/>
    <x v="3"/>
    <n v="2171.2941999999998"/>
    <n v="3578.27"/>
    <s v="MS."/>
    <s v="MARY"/>
    <s v="PATTERSON"/>
    <s v="MARY PATTERSON"/>
    <d v="1967-11-12T00:00:00"/>
    <s v="M"/>
    <s v="F"/>
    <s v="mary40@adventure-works.com"/>
    <n v="40000"/>
    <n v="0"/>
    <s v="Bachelors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116"/>
    <d v="2002-02-27T00:00:00"/>
    <s v="SO45988"/>
    <n v="314"/>
    <n v="11675"/>
    <n v="1"/>
    <n v="1"/>
    <n v="1"/>
    <n v="2"/>
    <s v="BK-R93R-56"/>
    <x v="2"/>
    <n v="2171.2941999999998"/>
    <n v="3578.27"/>
    <s v="MR."/>
    <s v="DEVIN"/>
    <s v="MARTINEZ"/>
    <s v="DEVIN MARTINEZ"/>
    <d v="1966-02-02T00:00:00"/>
    <s v="S"/>
    <s v="M"/>
    <s v="devin16@adventure-works.com"/>
    <n v="70000"/>
    <n v="4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13"/>
    <d v="2002-03-02T00:00:00"/>
    <s v="SO45933"/>
    <n v="313"/>
    <n v="11779"/>
    <n v="1"/>
    <n v="1"/>
    <n v="1"/>
    <n v="2"/>
    <s v="BK-R93R-52"/>
    <x v="3"/>
    <n v="2171.2941999999998"/>
    <n v="3578.27"/>
    <s v="MRS."/>
    <s v="SARAH"/>
    <s v="JACKSON"/>
    <s v="SARAH JACKSON"/>
    <d v="1971-07-19T00:00:00"/>
    <s v="S"/>
    <s v="F"/>
    <s v="sarah14@adventure-works.com"/>
    <n v="60000"/>
    <n v="1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10"/>
    <d v="2002-02-09T00:00:00"/>
    <s v="SO45947"/>
    <n v="351"/>
    <n v="11943"/>
    <n v="9"/>
    <n v="1"/>
    <n v="1"/>
    <n v="1"/>
    <s v="BK-M82B-48"/>
    <x v="7"/>
    <n v="1898.0944"/>
    <n v="3374.99"/>
    <s v="MRS."/>
    <s v="DAWN"/>
    <s v="HUANG"/>
    <s v="DAWN HUANG"/>
    <d v="1949-02-27T00:00:00"/>
    <s v="M"/>
    <s v="F"/>
    <s v="dawn7@adventure-works.com"/>
    <n v="20000"/>
    <n v="2"/>
    <s v="Partial High School"/>
    <s v="Clerical"/>
    <s v="Y"/>
    <s v="Australia"/>
    <x v="2"/>
    <s v="Pacific"/>
    <x v="1"/>
    <s v="Bikes"/>
    <n v="3374.99"/>
    <n v="1898.0944"/>
    <n v="1476.8956000000001"/>
    <n v="0.43759999288886797"/>
  </r>
  <r>
    <x v="110"/>
    <d v="2002-02-25T00:00:00"/>
    <s v="SO45946"/>
    <n v="350"/>
    <n v="11914"/>
    <n v="9"/>
    <n v="1"/>
    <n v="1"/>
    <n v="1"/>
    <s v="BK-M82B-44"/>
    <x v="5"/>
    <n v="1898.0944"/>
    <n v="3374.99"/>
    <s v="MS."/>
    <s v="MEAGAN"/>
    <s v="RANA"/>
    <s v="MEAGAN RANA"/>
    <d v="1968-05-08T00:00:00"/>
    <s v="S"/>
    <s v="F"/>
    <s v="meagan11@adventure-works.com"/>
    <n v="70000"/>
    <n v="0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116"/>
    <d v="2002-03-01T00:00:00"/>
    <s v="SO45984"/>
    <n v="313"/>
    <n v="11690"/>
    <n v="1"/>
    <n v="1"/>
    <n v="1"/>
    <n v="2"/>
    <s v="BK-R93R-52"/>
    <x v="3"/>
    <n v="2171.2941999999998"/>
    <n v="3578.27"/>
    <s v="MS."/>
    <s v="CAROLINE"/>
    <s v="BUTLER"/>
    <s v="CAROLINE BUTLER"/>
    <d v="1965-01-13T00:00:00"/>
    <s v="M"/>
    <s v="F"/>
    <s v="caroline15@adventure-works.com"/>
    <n v="60000"/>
    <n v="0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17"/>
    <d v="2002-03-06T00:00:00"/>
    <s v="SO45951"/>
    <n v="348"/>
    <n v="11944"/>
    <n v="9"/>
    <n v="1"/>
    <n v="1"/>
    <n v="1"/>
    <s v="BK-M82B-38"/>
    <x v="9"/>
    <n v="1898.0944"/>
    <n v="3374.99"/>
    <s v="MRS."/>
    <s v="RACHAEL"/>
    <s v="RODRIGUEZ"/>
    <s v="RACHAEL RODRIGUEZ"/>
    <d v="1950-10-15T00:00:00"/>
    <s v="S"/>
    <s v="F"/>
    <s v="rachael18@adventure-works.com"/>
    <n v="30000"/>
    <n v="3"/>
    <s v="Partial College"/>
    <s v="Clerical"/>
    <s v="N"/>
    <s v="Australia"/>
    <x v="2"/>
    <s v="Pacific"/>
    <x v="1"/>
    <s v="Bikes"/>
    <n v="3374.99"/>
    <n v="1898.0944"/>
    <n v="1476.8956000000001"/>
    <n v="0.43759999288886797"/>
  </r>
  <r>
    <x v="117"/>
    <d v="2002-03-22T00:00:00"/>
    <s v="SO45952"/>
    <n v="347"/>
    <n v="11969"/>
    <n v="9"/>
    <n v="1"/>
    <n v="1"/>
    <n v="1"/>
    <s v="BK-M82S-48"/>
    <x v="10"/>
    <n v="1912.1543999999999"/>
    <n v="3399.99"/>
    <s v="MR."/>
    <s v="RANDY"/>
    <s v="XU"/>
    <s v="RANDY XU"/>
    <d v="1958-07-25T00:00:00"/>
    <s v="S"/>
    <s v="M"/>
    <s v="randy14@adventure-works.com"/>
    <n v="130000"/>
    <n v="0"/>
    <s v="Graduate Degree"/>
    <s v="Management"/>
    <s v="N"/>
    <s v="Australia"/>
    <x v="2"/>
    <s v="Pacific"/>
    <x v="1"/>
    <s v="Bikes"/>
    <n v="3399.99"/>
    <n v="1912.1543999999999"/>
    <n v="1487.8356000000001"/>
    <n v="0.43759999294115598"/>
  </r>
  <r>
    <x v="118"/>
    <d v="2002-01-04T00:00:00"/>
    <s v="SO45954"/>
    <n v="314"/>
    <n v="11810"/>
    <n v="1"/>
    <n v="1"/>
    <n v="1"/>
    <n v="2"/>
    <s v="BK-R93R-56"/>
    <x v="2"/>
    <n v="2171.2941999999998"/>
    <n v="3578.27"/>
    <s v="MR."/>
    <s v="ANTONIO"/>
    <s v="WASHINGTON"/>
    <s v="ANTONIO WASHINGTON"/>
    <d v="1967-01-07T00:00:00"/>
    <s v="S"/>
    <s v="M"/>
    <s v="antonio13@adventure-works.com"/>
    <n v="40000"/>
    <n v="0"/>
    <s v="Bachelors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115"/>
    <d v="2002-01-15T00:00:00"/>
    <s v="SO45966"/>
    <n v="345"/>
    <n v="11946"/>
    <n v="9"/>
    <n v="1"/>
    <n v="1"/>
    <n v="1"/>
    <s v="BK-M82S-42"/>
    <x v="6"/>
    <n v="1912.1543999999999"/>
    <n v="3399.99"/>
    <s v="MRS."/>
    <s v="BRANDY"/>
    <s v="SAUNDERS"/>
    <s v="BRANDY SAUNDERS"/>
    <d v="1951-01-03T00:00:00"/>
    <s v="S"/>
    <s v="F"/>
    <s v="brandy6@adventure-works.com"/>
    <n v="30000"/>
    <n v="3"/>
    <s v="High School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75"/>
    <d v="2002-01-01T00:00:00"/>
    <s v="SO46013"/>
    <n v="311"/>
    <n v="11705"/>
    <n v="4"/>
    <n v="1"/>
    <n v="1"/>
    <n v="2"/>
    <s v="BK-R93R-44"/>
    <x v="4"/>
    <n v="2171.2941999999998"/>
    <n v="3578.27"/>
    <s v="MRS."/>
    <s v="BROOKE"/>
    <s v="RICHARDSON"/>
    <s v="BROOKE RICHARDSON"/>
    <d v="1968-05-21T00:00:00"/>
    <s v="S"/>
    <s v="F"/>
    <s v="brooke9@adventure-works.com"/>
    <n v="60000"/>
    <n v="2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5"/>
    <d v="2002-04-04T00:00:00"/>
    <s v="SO45958"/>
    <n v="311"/>
    <n v="11818"/>
    <n v="4"/>
    <n v="1"/>
    <n v="1"/>
    <n v="2"/>
    <s v="BK-R93R-44"/>
    <x v="4"/>
    <n v="2171.2941999999998"/>
    <n v="3578.27"/>
    <s v="MR."/>
    <s v="DANIEL"/>
    <s v="GARCIA"/>
    <s v="DANIEL GARCIA"/>
    <d v="1970-04-22T00:00:00"/>
    <s v="M"/>
    <s v="M"/>
    <s v="daniel8@adventure-works.com"/>
    <n v="70000"/>
    <n v="4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5"/>
    <d v="2002-01-08T00:00:00"/>
    <s v="SO45959"/>
    <n v="311"/>
    <n v="11872"/>
    <n v="4"/>
    <n v="1"/>
    <n v="1"/>
    <n v="2"/>
    <s v="BK-R93R-44"/>
    <x v="4"/>
    <n v="2171.2941999999998"/>
    <n v="3578.27"/>
    <s v="MS."/>
    <s v="FAITH"/>
    <s v="PATTERSON"/>
    <s v="FAITH PATTERSON"/>
    <d v="1967-07-21T00:00:00"/>
    <s v="S"/>
    <s v="F"/>
    <s v="faith9@adventure-works.com"/>
    <n v="60000"/>
    <n v="0"/>
    <s v="Graduate Degre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116"/>
    <d v="2002-02-26T00:00:00"/>
    <s v="SO45985"/>
    <n v="314"/>
    <n v="11708"/>
    <n v="4"/>
    <n v="1"/>
    <n v="1"/>
    <n v="2"/>
    <s v="BK-R93R-56"/>
    <x v="2"/>
    <n v="2171.2941999999998"/>
    <n v="3578.27"/>
    <s v="MRS."/>
    <s v="ELIZABETH"/>
    <s v="WEISMAN"/>
    <s v="ELIZABETH WEISMAN"/>
    <d v="1963-09-19T00:00:00"/>
    <s v="S"/>
    <s v="F"/>
    <s v="elizabeth6@adventure-works.com"/>
    <n v="60000"/>
    <n v="4"/>
    <s v="Bachelors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5"/>
    <d v="2002-01-12T00:00:00"/>
    <s v="SO45961"/>
    <n v="312"/>
    <n v="12717"/>
    <n v="7"/>
    <n v="1"/>
    <n v="1"/>
    <n v="2"/>
    <s v="BK-R93R-48"/>
    <x v="0"/>
    <n v="2171.2941999999998"/>
    <n v="3578.27"/>
    <s v="MS."/>
    <s v="HANNAH"/>
    <s v="WOOD"/>
    <s v="HANNAH WOOD"/>
    <d v="1974-06-07T00:00:00"/>
    <s v="M"/>
    <s v="F"/>
    <s v="hannah25@adventure-works.com"/>
    <n v="30000"/>
    <n v="0"/>
    <s v="Partial College"/>
    <s v="Clerical"/>
    <s v="N"/>
    <s v="France"/>
    <x v="0"/>
    <s v="Europe"/>
    <x v="0"/>
    <s v="Bikes"/>
    <n v="3578.27"/>
    <n v="2171.2941999999998"/>
    <n v="1406.9757999999999"/>
    <n v="0.39320001006072802"/>
  </r>
  <r>
    <x v="115"/>
    <d v="2002-01-07T00:00:00"/>
    <s v="SO45957"/>
    <n v="312"/>
    <n v="11809"/>
    <n v="4"/>
    <n v="1"/>
    <n v="1"/>
    <n v="2"/>
    <s v="BK-R93R-48"/>
    <x v="0"/>
    <n v="2171.2941999999998"/>
    <n v="3578.27"/>
    <s v="MR."/>
    <s v="JUAN"/>
    <s v="GRAY"/>
    <s v="JUAN GRAY"/>
    <d v="1968-01-02T00:00:00"/>
    <s v="M"/>
    <s v="M"/>
    <s v="juan16@adventure-works.com"/>
    <n v="60000"/>
    <n v="2"/>
    <s v="Bachelors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19"/>
    <d v="2002-04-08T00:00:00"/>
    <s v="SO45968"/>
    <n v="311"/>
    <n v="11834"/>
    <n v="4"/>
    <n v="1"/>
    <n v="1"/>
    <n v="2"/>
    <s v="BK-R93R-44"/>
    <x v="4"/>
    <n v="2171.2941999999998"/>
    <n v="3578.27"/>
    <s v="MR."/>
    <s v="FERNANDO"/>
    <s v="FLORES"/>
    <s v="FERNANDO FLORES"/>
    <d v="1965-10-25T00:00:00"/>
    <s v="S"/>
    <s v="M"/>
    <s v="fernando55@adventure-works.com"/>
    <n v="80000"/>
    <n v="3"/>
    <s v="Bachelors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59"/>
    <d v="2002-04-05T00:00:00"/>
    <s v="SO45973"/>
    <n v="313"/>
    <n v="11773"/>
    <n v="4"/>
    <n v="1"/>
    <n v="1"/>
    <n v="2"/>
    <s v="BK-R93R-52"/>
    <x v="3"/>
    <n v="2171.2941999999998"/>
    <n v="3578.27"/>
    <s v="MR."/>
    <s v="GAVIN"/>
    <s v="DIAZ"/>
    <s v="GAVIN DIAZ"/>
    <d v="1973-07-06T00:00:00"/>
    <s v="S"/>
    <s v="M"/>
    <s v="gavin20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59"/>
    <d v="2002-01-27T00:00:00"/>
    <s v="SO45978"/>
    <n v="350"/>
    <n v="11967"/>
    <n v="9"/>
    <n v="1"/>
    <n v="1"/>
    <n v="1"/>
    <s v="BK-M82B-44"/>
    <x v="5"/>
    <n v="1898.0944"/>
    <n v="3374.99"/>
    <s v="MRS."/>
    <s v="LATASHA"/>
    <s v="MUNOZ"/>
    <s v="LATASHA MUNOZ"/>
    <d v="1957-02-10T00:00:00"/>
    <s v="S"/>
    <s v="F"/>
    <s v="latasha7@adventure-works.com"/>
    <n v="80000"/>
    <n v="2"/>
    <s v="High School"/>
    <s v="Professional"/>
    <s v="Y"/>
    <s v="Australia"/>
    <x v="2"/>
    <s v="Pacific"/>
    <x v="1"/>
    <s v="Bikes"/>
    <n v="3374.99"/>
    <n v="1898.0944"/>
    <n v="1476.8956000000001"/>
    <n v="0.43759999288886797"/>
  </r>
  <r>
    <x v="120"/>
    <d v="2002-01-10T00:00:00"/>
    <s v="SO45981"/>
    <n v="310"/>
    <n v="12805"/>
    <n v="7"/>
    <n v="1"/>
    <n v="1"/>
    <n v="2"/>
    <s v="BK-R93R-62"/>
    <x v="1"/>
    <n v="2171.2941999999998"/>
    <n v="3578.27"/>
    <s v="MR."/>
    <s v="MARVIN"/>
    <s v="MORENO"/>
    <s v="MARVIN MORENO"/>
    <d v="1968-06-13T00:00:00"/>
    <s v="M"/>
    <s v="M"/>
    <s v="marvin7@adventure-works.com"/>
    <n v="40000"/>
    <n v="0"/>
    <s v="Graduate Degree"/>
    <s v="Clerical"/>
    <s v="Y"/>
    <s v="France"/>
    <x v="0"/>
    <s v="Europe"/>
    <x v="0"/>
    <s v="Bikes"/>
    <n v="3578.27"/>
    <n v="2171.2941999999998"/>
    <n v="1406.9757999999999"/>
    <n v="0.39320001006072802"/>
  </r>
  <r>
    <x v="116"/>
    <d v="2002-01-09T00:00:00"/>
    <s v="SO45991"/>
    <n v="351"/>
    <n v="11976"/>
    <n v="9"/>
    <n v="1"/>
    <n v="1"/>
    <n v="1"/>
    <s v="BK-M82B-48"/>
    <x v="7"/>
    <n v="1898.0944"/>
    <n v="3374.99"/>
    <s v="MRS."/>
    <s v="AUDREY"/>
    <s v="RAMOS"/>
    <s v="AUDREY RAMOS"/>
    <d v="1959-05-26T00:00:00"/>
    <s v="S"/>
    <s v="F"/>
    <s v="audrey19@adventure-works.com"/>
    <n v="120000"/>
    <n v="1"/>
    <s v="Bachelors"/>
    <s v="Management"/>
    <s v="N"/>
    <s v="Australia"/>
    <x v="2"/>
    <s v="Pacific"/>
    <x v="1"/>
    <s v="Bikes"/>
    <n v="3374.99"/>
    <n v="1898.0944"/>
    <n v="1476.8956000000001"/>
    <n v="0.43759999288886797"/>
  </r>
  <r>
    <x v="116"/>
    <d v="2002-03-23T00:00:00"/>
    <s v="SO45986"/>
    <n v="314"/>
    <n v="11743"/>
    <n v="4"/>
    <n v="1"/>
    <n v="1"/>
    <n v="2"/>
    <s v="BK-R93R-56"/>
    <x v="2"/>
    <n v="2171.2941999999998"/>
    <n v="3578.27"/>
    <s v="MR."/>
    <s v="CHASE"/>
    <s v="KELLY"/>
    <s v="CHASE KELLY"/>
    <d v="1958-03-16T00:00:00"/>
    <s v="M"/>
    <s v="M"/>
    <s v="chase3@adventure-works.com"/>
    <n v="60000"/>
    <n v="1"/>
    <s v="Bachelors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6"/>
    <d v="2001-12-30T00:00:00"/>
    <s v="SO45989"/>
    <n v="311"/>
    <n v="12631"/>
    <n v="7"/>
    <n v="1"/>
    <n v="1"/>
    <n v="2"/>
    <s v="BK-R93R-44"/>
    <x v="4"/>
    <n v="2171.2941999999998"/>
    <n v="3578.27"/>
    <s v="MR."/>
    <s v="CLARENCE"/>
    <s v="GAO"/>
    <s v="CLARENCE GAO"/>
    <d v="1944-05-17T00:00:00"/>
    <s v="S"/>
    <s v="M"/>
    <s v="clarence8@adventure-works.com"/>
    <n v="70000"/>
    <n v="5"/>
    <s v="High School"/>
    <s v="Professional"/>
    <s v="Y"/>
    <s v="France"/>
    <x v="0"/>
    <s v="Europe"/>
    <x v="0"/>
    <s v="Bikes"/>
    <n v="3578.27"/>
    <n v="2171.2941999999998"/>
    <n v="1406.9757999999999"/>
    <n v="0.39320001006072802"/>
  </r>
  <r>
    <x v="116"/>
    <d v="2002-03-31T00:00:00"/>
    <s v="SO45990"/>
    <n v="314"/>
    <n v="12711"/>
    <n v="7"/>
    <n v="1"/>
    <n v="1"/>
    <n v="2"/>
    <s v="BK-R93R-56"/>
    <x v="2"/>
    <n v="2171.2941999999998"/>
    <n v="3578.27"/>
    <s v="MS."/>
    <s v="HEATHER"/>
    <s v="ZHENG"/>
    <s v="HEATHER ZHENG"/>
    <d v="1973-04-20T00:00:00"/>
    <s v="S"/>
    <s v="F"/>
    <s v="heather18@adventure-works.com"/>
    <n v="20000"/>
    <n v="0"/>
    <s v="Partial High School"/>
    <s v="Manual"/>
    <s v="N"/>
    <s v="France"/>
    <x v="0"/>
    <s v="Europe"/>
    <x v="0"/>
    <s v="Bikes"/>
    <n v="3578.27"/>
    <n v="2171.2941999999998"/>
    <n v="1406.9757999999999"/>
    <n v="0.39320001006072802"/>
  </r>
  <r>
    <x v="116"/>
    <d v="2001-12-28T00:00:00"/>
    <s v="SO45987"/>
    <n v="310"/>
    <n v="11854"/>
    <n v="4"/>
    <n v="1"/>
    <n v="1"/>
    <n v="2"/>
    <s v="BK-R93R-62"/>
    <x v="1"/>
    <n v="2171.2941999999998"/>
    <n v="3578.27"/>
    <s v="MR."/>
    <s v="JASON"/>
    <s v="MITCHELL"/>
    <s v="JASON MITCHELL"/>
    <d v="1968-04-18T00:00:00"/>
    <s v="S"/>
    <s v="M"/>
    <s v="jason40@adventure-works.com"/>
    <n v="60000"/>
    <n v="2"/>
    <s v="Graduate Degre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121"/>
    <d v="2002-02-19T00:00:00"/>
    <s v="SO45994"/>
    <n v="311"/>
    <n v="11774"/>
    <n v="4"/>
    <n v="1"/>
    <n v="1"/>
    <n v="2"/>
    <s v="BK-R93R-44"/>
    <x v="4"/>
    <n v="2171.2941999999998"/>
    <n v="3578.27"/>
    <s v="MRS."/>
    <s v="EMMA"/>
    <s v="SANCHEZ"/>
    <s v="EMMA SANCHEZ"/>
    <d v="1973-04-12T00:00:00"/>
    <s v="M"/>
    <s v="F"/>
    <s v="emma25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21"/>
    <d v="2002-01-28T00:00:00"/>
    <s v="SO45993"/>
    <n v="313"/>
    <n v="11924"/>
    <n v="4"/>
    <n v="1"/>
    <n v="1"/>
    <n v="2"/>
    <s v="BK-R93R-52"/>
    <x v="3"/>
    <n v="2171.2941999999998"/>
    <n v="3578.27"/>
    <s v="MR."/>
    <s v="IAN"/>
    <s v="LONG"/>
    <s v="IAN LONG"/>
    <d v="1979-10-25T00:00:00"/>
    <s v="S"/>
    <s v="M"/>
    <s v="ian50@adventure-works.com"/>
    <n v="60000"/>
    <n v="0"/>
    <s v="Partial College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121"/>
    <d v="2002-02-16T00:00:00"/>
    <s v="SO45996"/>
    <n v="312"/>
    <n v="11839"/>
    <n v="4"/>
    <n v="1"/>
    <n v="1"/>
    <n v="2"/>
    <s v="BK-R93R-48"/>
    <x v="0"/>
    <n v="2171.2941999999998"/>
    <n v="3578.27"/>
    <s v="MR."/>
    <s v="TYLER"/>
    <s v="BROWN"/>
    <s v="TYLER BROWN"/>
    <d v="1965-07-25T00:00:00"/>
    <s v="S"/>
    <s v="M"/>
    <s v="tyler9@adventure-works.com"/>
    <n v="60000"/>
    <n v="0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2"/>
    <d v="2001-12-30T00:00:00"/>
    <s v="SO46003"/>
    <n v="312"/>
    <n v="11831"/>
    <n v="4"/>
    <n v="1"/>
    <n v="1"/>
    <n v="2"/>
    <s v="BK-R93R-48"/>
    <x v="0"/>
    <n v="2171.2941999999998"/>
    <n v="3578.27"/>
    <s v="MR."/>
    <s v="CHRISTIAN"/>
    <s v="ROSS"/>
    <s v="CHRISTIAN ROSS"/>
    <d v="1969-11-24T00:00:00"/>
    <s v="M"/>
    <s v="M"/>
    <s v="christian18@adventure-works.com"/>
    <n v="80000"/>
    <n v="3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2"/>
    <d v="2002-01-18T00:00:00"/>
    <s v="SO46000"/>
    <n v="310"/>
    <n v="11778"/>
    <n v="1"/>
    <n v="1"/>
    <n v="1"/>
    <n v="2"/>
    <s v="BK-R93R-62"/>
    <x v="1"/>
    <n v="2171.2941999999998"/>
    <n v="3578.27"/>
    <s v="MRS."/>
    <s v="HALEY"/>
    <s v="HENDERSON"/>
    <s v="HALEY HENDERSON"/>
    <d v="1971-03-21T00:00:00"/>
    <s v="S"/>
    <s v="F"/>
    <s v="haley24@adventure-works.com"/>
    <n v="60000"/>
    <n v="1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12"/>
    <d v="2002-04-14T00:00:00"/>
    <s v="SO46002"/>
    <n v="310"/>
    <n v="11826"/>
    <n v="4"/>
    <n v="1"/>
    <n v="1"/>
    <n v="2"/>
    <s v="BK-R93R-62"/>
    <x v="1"/>
    <n v="2171.2941999999998"/>
    <n v="3578.27"/>
    <s v="MRS."/>
    <s v="JESSIE"/>
    <s v="ALONSO"/>
    <s v="JESSIE ALONSO"/>
    <d v="1966-02-15T00:00:00"/>
    <s v="M"/>
    <s v="F"/>
    <s v="jessie6@adventure-works.com"/>
    <n v="70000"/>
    <n v="5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12"/>
    <d v="2002-01-29T00:00:00"/>
    <s v="SO46005"/>
    <n v="312"/>
    <n v="12749"/>
    <n v="7"/>
    <n v="1"/>
    <n v="1"/>
    <n v="2"/>
    <s v="BK-R93R-48"/>
    <x v="0"/>
    <n v="2171.2941999999998"/>
    <n v="3578.27"/>
    <s v="MR."/>
    <s v="MIGUEL"/>
    <s v="LEE"/>
    <s v="MIGUEL LEE"/>
    <d v="1971-03-02T00:00:00"/>
    <s v="S"/>
    <s v="M"/>
    <s v="miguel22@adventure-works.com"/>
    <n v="30000"/>
    <n v="0"/>
    <s v="High School"/>
    <s v="Manual"/>
    <s v="N"/>
    <s v="France"/>
    <x v="0"/>
    <s v="Europe"/>
    <x v="0"/>
    <s v="Bikes"/>
    <n v="3578.27"/>
    <n v="2171.2941999999998"/>
    <n v="1406.9757999999999"/>
    <n v="0.39320001006072802"/>
  </r>
  <r>
    <x v="112"/>
    <d v="2002-03-06T00:00:00"/>
    <s v="SO46008"/>
    <n v="348"/>
    <n v="11912"/>
    <n v="9"/>
    <n v="1"/>
    <n v="1"/>
    <n v="1"/>
    <s v="BK-M82B-38"/>
    <x v="9"/>
    <n v="1898.0944"/>
    <n v="3374.99"/>
    <s v="MRS."/>
    <s v="RACHAEL"/>
    <s v="SAI"/>
    <s v="RACHAEL SAI"/>
    <d v="1965-12-17T00:00:00"/>
    <s v="S"/>
    <s v="F"/>
    <s v="rachael5@adventure-works.com"/>
    <n v="60000"/>
    <n v="3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112"/>
    <d v="2002-03-28T00:00:00"/>
    <s v="SO46009"/>
    <n v="344"/>
    <n v="11917"/>
    <n v="9"/>
    <n v="1"/>
    <n v="1"/>
    <n v="1"/>
    <s v="BK-M82S-38"/>
    <x v="8"/>
    <n v="1912.1543999999999"/>
    <n v="3399.99"/>
    <s v="MR."/>
    <s v="ROY"/>
    <s v="SANZ"/>
    <s v="ROY SANZ"/>
    <d v="1965-10-22T00:00:00"/>
    <s v="S"/>
    <s v="M"/>
    <s v="roy40@adventure-works.com"/>
    <n v="70000"/>
    <n v="0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75"/>
    <d v="2002-01-14T00:00:00"/>
    <s v="SO46017"/>
    <n v="314"/>
    <n v="11886"/>
    <n v="4"/>
    <n v="1"/>
    <n v="1"/>
    <n v="2"/>
    <s v="BK-R93R-56"/>
    <x v="2"/>
    <n v="2171.2941999999998"/>
    <n v="3578.27"/>
    <s v="MRS."/>
    <s v="KATELYN"/>
    <s v="PARKER"/>
    <s v="KATELYN PARKER"/>
    <d v="1958-01-20T00:00:00"/>
    <s v="M"/>
    <s v="F"/>
    <s v="katelyn30@adventure-works.com"/>
    <n v="60000"/>
    <n v="3"/>
    <s v="Bachelors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75"/>
    <d v="2002-02-26T00:00:00"/>
    <s v="SO46022"/>
    <n v="346"/>
    <n v="11968"/>
    <n v="9"/>
    <n v="1"/>
    <n v="1"/>
    <n v="1"/>
    <s v="BK-M82S-44"/>
    <x v="12"/>
    <n v="1912.1543999999999"/>
    <n v="3399.99"/>
    <s v="MS."/>
    <s v="KELSEY"/>
    <s v="BECKER"/>
    <s v="KELSEY BECKER"/>
    <d v="1958-10-21T00:00:00"/>
    <s v="S"/>
    <s v="F"/>
    <s v="kelsey19@adventure-works.com"/>
    <n v="130000"/>
    <n v="0"/>
    <s v="Graduate Degree"/>
    <s v="Management"/>
    <s v="N"/>
    <s v="Australia"/>
    <x v="2"/>
    <s v="Pacific"/>
    <x v="1"/>
    <s v="Bikes"/>
    <n v="3399.99"/>
    <n v="1912.1543999999999"/>
    <n v="1487.8356000000001"/>
    <n v="0.43759999294115598"/>
  </r>
  <r>
    <x v="75"/>
    <d v="2002-02-26T00:00:00"/>
    <s v="SO46016"/>
    <n v="312"/>
    <n v="11885"/>
    <n v="4"/>
    <n v="1"/>
    <n v="1"/>
    <n v="2"/>
    <s v="BK-R93R-48"/>
    <x v="0"/>
    <n v="2171.2941999999998"/>
    <n v="3578.27"/>
    <s v="MR."/>
    <s v="KURT"/>
    <s v="SHARMA"/>
    <s v="KURT SHARMA"/>
    <d v="1959-09-25T00:00:00"/>
    <s v="M"/>
    <s v="M"/>
    <s v="kurt9@adventure-works.com"/>
    <n v="80000"/>
    <n v="2"/>
    <s v="Graduate Degre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22"/>
    <d v="2002-01-01T00:00:00"/>
    <s v="SO46110"/>
    <n v="311"/>
    <n v="12169"/>
    <n v="4"/>
    <n v="1"/>
    <n v="1"/>
    <n v="2"/>
    <s v="BK-R93R-44"/>
    <x v="4"/>
    <n v="2171.2941999999998"/>
    <n v="3578.27"/>
    <s v="MRS."/>
    <s v="ABIGAIL"/>
    <s v="HOWARD"/>
    <s v="ABIGAIL HOWARD"/>
    <d v="1961-11-16T00:00:00"/>
    <s v="S"/>
    <s v="F"/>
    <s v="abigail16@adventure-works.com"/>
    <n v="120000"/>
    <n v="1"/>
    <s v="High School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22"/>
    <d v="2002-04-12T00:00:00"/>
    <s v="SO46114"/>
    <n v="313"/>
    <n v="12053"/>
    <n v="4"/>
    <n v="1"/>
    <n v="1"/>
    <n v="2"/>
    <s v="BK-R93R-52"/>
    <x v="3"/>
    <n v="2171.2941999999998"/>
    <n v="3578.27"/>
    <s v="MR."/>
    <s v="CEDRIC"/>
    <s v="GAO"/>
    <s v="CEDRIC GAO"/>
    <d v="1967-05-15T00:00:00"/>
    <s v="S"/>
    <s v="M"/>
    <s v="cedric14@adventure-works.com"/>
    <n v="130000"/>
    <n v="0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22"/>
    <d v="2002-02-16T00:00:00"/>
    <s v="SO46112"/>
    <n v="312"/>
    <n v="11945"/>
    <n v="4"/>
    <n v="1"/>
    <n v="1"/>
    <n v="2"/>
    <s v="BK-R93R-48"/>
    <x v="0"/>
    <n v="2171.2941999999998"/>
    <n v="3578.27"/>
    <s v="MR."/>
    <s v="DENNIS"/>
    <s v="HUANG"/>
    <s v="DENNIS HUANG"/>
    <d v="1980-09-11T00:00:00"/>
    <s v="M"/>
    <s v="M"/>
    <s v="dennis7@adventure-works.com"/>
    <n v="20000"/>
    <n v="0"/>
    <s v="Partial College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122"/>
    <d v="2002-03-23T00:00:00"/>
    <s v="SO46108"/>
    <n v="310"/>
    <n v="12018"/>
    <n v="4"/>
    <n v="1"/>
    <n v="1"/>
    <n v="2"/>
    <s v="BK-R93R-62"/>
    <x v="1"/>
    <n v="2171.2941999999998"/>
    <n v="3578.27"/>
    <s v="MR."/>
    <s v="DEVIN"/>
    <s v="HENDERSON"/>
    <s v="DEVIN HENDERSON"/>
    <d v="1980-08-02T00:00:00"/>
    <s v="M"/>
    <s v="M"/>
    <s v="devin43@adventure-works.com"/>
    <n v="30000"/>
    <n v="0"/>
    <s v="High School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22"/>
    <d v="2002-01-20T00:00:00"/>
    <s v="SO46111"/>
    <n v="311"/>
    <n v="11937"/>
    <n v="1"/>
    <n v="1"/>
    <n v="1"/>
    <n v="2"/>
    <s v="BK-R93R-44"/>
    <x v="4"/>
    <n v="2171.2941999999998"/>
    <n v="3578.27"/>
    <s v="MR."/>
    <s v="DEVIN"/>
    <s v="PEREZ"/>
    <s v="DEVIN PEREZ"/>
    <d v="1977-06-05T00:00:00"/>
    <s v="M"/>
    <s v="M"/>
    <s v="devin35@adventure-works.com"/>
    <n v="30000"/>
    <n v="0"/>
    <s v="Partial College"/>
    <s v="Skilled Manual"/>
    <s v="N"/>
    <s v="Northwest"/>
    <x v="1"/>
    <s v="North America"/>
    <x v="0"/>
    <s v="Bikes"/>
    <n v="3578.27"/>
    <n v="2171.2941999999998"/>
    <n v="1406.9757999999999"/>
    <n v="0.39320001006072802"/>
  </r>
  <r>
    <x v="122"/>
    <d v="2002-01-04T00:00:00"/>
    <s v="SO46113"/>
    <n v="310"/>
    <n v="11955"/>
    <n v="4"/>
    <n v="1"/>
    <n v="1"/>
    <n v="2"/>
    <s v="BK-R93R-62"/>
    <x v="1"/>
    <n v="2171.2941999999998"/>
    <n v="3578.27"/>
    <s v="MR."/>
    <s v="GABRIEL"/>
    <s v="GREEN"/>
    <s v="GABRIEL GREEN"/>
    <d v="1975-04-05T00:00:00"/>
    <s v="S"/>
    <s v="M"/>
    <s v="gabriel45@adventure-works.com"/>
    <n v="60000"/>
    <n v="0"/>
    <s v="Partial Colleg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22"/>
    <d v="2002-02-13T00:00:00"/>
    <s v="SO46115"/>
    <n v="312"/>
    <n v="12104"/>
    <n v="4"/>
    <n v="1"/>
    <n v="1"/>
    <n v="2"/>
    <s v="BK-R93R-48"/>
    <x v="0"/>
    <n v="2171.2941999999998"/>
    <n v="3578.27"/>
    <s v="MRS."/>
    <s v="MARIAH"/>
    <s v="ROSS"/>
    <s v="MARIAH ROSS"/>
    <d v="1949-01-11T00:00:00"/>
    <s v="M"/>
    <s v="F"/>
    <s v="mariah8@adventure-works.com"/>
    <n v="7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22"/>
    <d v="2002-03-04T00:00:00"/>
    <s v="SO46109"/>
    <n v="312"/>
    <n v="12167"/>
    <n v="1"/>
    <n v="1"/>
    <n v="1"/>
    <n v="2"/>
    <s v="BK-R93R-48"/>
    <x v="0"/>
    <n v="2171.2941999999998"/>
    <n v="3578.27"/>
    <s v="MR."/>
    <s v="SEBASTIAN"/>
    <s v="STEWART"/>
    <s v="SEBASTIAN STEWART"/>
    <d v="1962-09-21T00:00:00"/>
    <s v="S"/>
    <s v="M"/>
    <s v="sebastian21@adventure-works.com"/>
    <n v="100000"/>
    <n v="1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23"/>
    <d v="2002-01-08T00:00:00"/>
    <s v="SO46123"/>
    <n v="312"/>
    <n v="12152"/>
    <n v="4"/>
    <n v="1"/>
    <n v="1"/>
    <n v="2"/>
    <s v="BK-R93R-48"/>
    <x v="0"/>
    <n v="2171.2941999999998"/>
    <n v="3578.27"/>
    <s v="MR."/>
    <s v="ADRIAN"/>
    <s v="RAMIREZ"/>
    <s v="ADRIAN RAMIREZ"/>
    <d v="1964-03-26T00:00:00"/>
    <s v="M"/>
    <s v="M"/>
    <s v="adrian9@adventure-works.com"/>
    <n v="130000"/>
    <n v="2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23"/>
    <d v="2002-01-05T00:00:00"/>
    <s v="SO46120"/>
    <n v="313"/>
    <n v="12023"/>
    <n v="4"/>
    <n v="1"/>
    <n v="1"/>
    <n v="2"/>
    <s v="BK-R93R-52"/>
    <x v="3"/>
    <n v="2171.2941999999998"/>
    <n v="3578.27"/>
    <s v="MR."/>
    <s v="FERNANDO"/>
    <s v="JOHNSON"/>
    <s v="FERNANDO JOHNSON"/>
    <d v="1978-07-08T00:00:00"/>
    <s v="S"/>
    <s v="M"/>
    <s v="fernando2@adventure-works.com"/>
    <n v="30000"/>
    <n v="0"/>
    <s v="Partial High School"/>
    <s v="Clerical"/>
    <s v="N"/>
    <s v="Southwest"/>
    <x v="1"/>
    <s v="North America"/>
    <x v="0"/>
    <s v="Bikes"/>
    <n v="3578.27"/>
    <n v="2171.2941999999998"/>
    <n v="1406.9757999999999"/>
    <n v="0.39320001006072802"/>
  </r>
  <r>
    <x v="123"/>
    <d v="2002-01-27T00:00:00"/>
    <s v="SO46121"/>
    <n v="312"/>
    <n v="12069"/>
    <n v="4"/>
    <n v="1"/>
    <n v="1"/>
    <n v="2"/>
    <s v="BK-R93R-48"/>
    <x v="0"/>
    <n v="2171.2941999999998"/>
    <n v="3578.27"/>
    <s v="MR."/>
    <s v="GARRETT"/>
    <s v="KELLY"/>
    <s v="GARRETT KELLY"/>
    <d v="1944-11-01T00:00:00"/>
    <s v="M"/>
    <s v="M"/>
    <s v="garrett6@adventure-works.com"/>
    <n v="70000"/>
    <n v="4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24"/>
    <d v="2002-01-12T00:00:00"/>
    <s v="SO46125"/>
    <n v="310"/>
    <n v="11956"/>
    <n v="4"/>
    <n v="1"/>
    <n v="1"/>
    <n v="2"/>
    <s v="BK-R93R-62"/>
    <x v="1"/>
    <n v="2171.2941999999998"/>
    <n v="3578.27"/>
    <s v="MS."/>
    <s v="ALEXANDRIA"/>
    <s v="SANDBERG"/>
    <s v="ALEXANDRIA SANDBERG"/>
    <d v="1974-09-03T00:00:00"/>
    <s v="S"/>
    <s v="F"/>
    <s v="alexandria27@adventure-works.com"/>
    <n v="40000"/>
    <n v="0"/>
    <s v="High School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25"/>
    <d v="2002-04-03T00:00:00"/>
    <s v="SO46133"/>
    <n v="312"/>
    <n v="12105"/>
    <n v="4"/>
    <n v="1"/>
    <n v="1"/>
    <n v="2"/>
    <s v="BK-R93R-48"/>
    <x v="0"/>
    <n v="2171.2941999999998"/>
    <n v="3578.27"/>
    <s v="MRS."/>
    <s v="ABIGAIL"/>
    <s v="FOSTER"/>
    <s v="ABIGAIL FOSTER"/>
    <d v="1949-05-16T00:00:00"/>
    <s v="S"/>
    <s v="F"/>
    <s v="abigail68@adventure-works.com"/>
    <n v="70000"/>
    <n v="5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25"/>
    <d v="2002-03-08T00:00:00"/>
    <s v="SO46130"/>
    <n v="311"/>
    <n v="12171"/>
    <n v="4"/>
    <n v="1"/>
    <n v="1"/>
    <n v="2"/>
    <s v="BK-R93R-44"/>
    <x v="4"/>
    <n v="2171.2941999999998"/>
    <n v="3578.27"/>
    <s v="MRS."/>
    <s v="ALYSSA"/>
    <s v="COOPER"/>
    <s v="ALYSSA COOPER"/>
    <d v="1961-02-03T00:00:00"/>
    <s v="S"/>
    <s v="F"/>
    <s v="alyssa35@adventure-works.com"/>
    <n v="130000"/>
    <n v="1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25"/>
    <d v="2002-02-05T00:00:00"/>
    <s v="SO46139"/>
    <n v="347"/>
    <n v="11977"/>
    <n v="9"/>
    <n v="1"/>
    <n v="1"/>
    <n v="1"/>
    <s v="BK-M82S-48"/>
    <x v="10"/>
    <n v="1912.1543999999999"/>
    <n v="3399.99"/>
    <s v="MS."/>
    <s v="BONNIE"/>
    <s v="JAI"/>
    <s v="BONNIE JAI"/>
    <d v="1959-05-23T00:00:00"/>
    <s v="M"/>
    <s v="F"/>
    <s v="bonnie17@adventure-works.com"/>
    <n v="130000"/>
    <n v="0"/>
    <s v="Graduate Degree"/>
    <s v="Management"/>
    <s v="Y"/>
    <s v="Australia"/>
    <x v="2"/>
    <s v="Pacific"/>
    <x v="1"/>
    <s v="Bikes"/>
    <n v="3399.99"/>
    <n v="1912.1543999999999"/>
    <n v="1487.8356000000001"/>
    <n v="0.43759999294115598"/>
  </r>
  <r>
    <x v="125"/>
    <d v="2002-04-07T00:00:00"/>
    <s v="SO46138"/>
    <n v="311"/>
    <n v="13405"/>
    <n v="7"/>
    <n v="1"/>
    <n v="1"/>
    <n v="2"/>
    <s v="BK-R93R-44"/>
    <x v="4"/>
    <n v="2171.2941999999998"/>
    <n v="3578.27"/>
    <s v="MR."/>
    <s v="ETHAN"/>
    <s v="BRYANT"/>
    <s v="ETHAN BRYANT"/>
    <d v="1957-10-05T00:00:00"/>
    <s v="M"/>
    <s v="M"/>
    <s v="ethan14@adventure-works.com"/>
    <n v="110000"/>
    <n v="2"/>
    <s v="Partial College"/>
    <s v="Professional"/>
    <s v="Y"/>
    <s v="France"/>
    <x v="0"/>
    <s v="Europe"/>
    <x v="0"/>
    <s v="Bikes"/>
    <n v="3578.27"/>
    <n v="2171.2941999999998"/>
    <n v="1406.9757999999999"/>
    <n v="0.39320001006072802"/>
  </r>
  <r>
    <x v="125"/>
    <d v="2002-01-19T00:00:00"/>
    <s v="SO46140"/>
    <n v="350"/>
    <n v="11991"/>
    <n v="9"/>
    <n v="1"/>
    <n v="1"/>
    <n v="1"/>
    <s v="BK-M82B-44"/>
    <x v="5"/>
    <n v="1898.0944"/>
    <n v="3374.99"/>
    <s v="MR."/>
    <s v="FREDERICK"/>
    <s v="MARTINEZ"/>
    <s v="FREDERICK MARTINEZ"/>
    <d v="1962-08-10T00:00:00"/>
    <s v="M"/>
    <s v="M"/>
    <s v="frederick14@adventure-works.com"/>
    <n v="60000"/>
    <n v="1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125"/>
    <d v="2002-01-08T00:00:00"/>
    <s v="SO46131"/>
    <n v="312"/>
    <n v="11954"/>
    <n v="4"/>
    <n v="1"/>
    <n v="1"/>
    <n v="2"/>
    <s v="BK-R93R-48"/>
    <x v="0"/>
    <n v="2171.2941999999998"/>
    <n v="3578.27"/>
    <s v="MR."/>
    <s v="JOSEPH"/>
    <s v="GARCIA"/>
    <s v="JOSEPH GARCIA"/>
    <d v="1975-08-17T00:00:00"/>
    <s v="M"/>
    <s v="M"/>
    <s v="joseph23@adventure-works.com"/>
    <n v="60000"/>
    <n v="0"/>
    <s v="Partial Colleg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66"/>
    <d v="2002-02-20T00:00:00"/>
    <s v="SO46154"/>
    <n v="349"/>
    <n v="11989"/>
    <n v="9"/>
    <n v="1"/>
    <n v="1"/>
    <n v="1"/>
    <s v="BK-M82B-42"/>
    <x v="11"/>
    <n v="1898.0944"/>
    <n v="3374.99"/>
    <s v="MRS."/>
    <s v="KARA"/>
    <s v="ANAND"/>
    <s v="KARA ANAND"/>
    <d v="1962-03-28T00:00:00"/>
    <s v="S"/>
    <s v="F"/>
    <s v="kara20@adventure-works.com"/>
    <n v="70000"/>
    <n v="1"/>
    <s v="Partial College"/>
    <s v="Skilled Manual"/>
    <s v="Y"/>
    <s v="Australia"/>
    <x v="2"/>
    <s v="Pacific"/>
    <x v="1"/>
    <s v="Bikes"/>
    <n v="3374.99"/>
    <n v="1898.0944"/>
    <n v="1476.8956000000001"/>
    <n v="0.43759999288886797"/>
  </r>
  <r>
    <x v="66"/>
    <d v="2002-04-11T00:00:00"/>
    <s v="SO46148"/>
    <n v="310"/>
    <n v="12052"/>
    <n v="4"/>
    <n v="1"/>
    <n v="1"/>
    <n v="2"/>
    <s v="BK-R93R-62"/>
    <x v="1"/>
    <n v="2171.2941999999998"/>
    <n v="3578.27"/>
    <s v="MS."/>
    <s v="MAKAYLA"/>
    <s v="WARD"/>
    <s v="MAKAYLA WARD"/>
    <d v="1967-05-27T00:00:00"/>
    <s v="S"/>
    <s v="F"/>
    <s v="makayla11@adventure-works.com"/>
    <n v="120000"/>
    <n v="0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66"/>
    <d v="2002-03-20T00:00:00"/>
    <s v="SO46149"/>
    <n v="311"/>
    <n v="12120"/>
    <n v="1"/>
    <n v="1"/>
    <n v="1"/>
    <n v="2"/>
    <s v="BK-R93R-44"/>
    <x v="4"/>
    <n v="2171.2941999999998"/>
    <n v="3578.27"/>
    <s v="MR."/>
    <s v="XAVIER"/>
    <s v="SIMMONS"/>
    <s v="XAVIER SIMMONS"/>
    <d v="1952-07-11T00:00:00"/>
    <s v="M"/>
    <s v="M"/>
    <s v="xavier55@adventure-works.com"/>
    <n v="60000"/>
    <n v="3"/>
    <s v="High School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26"/>
    <d v="2002-03-08T00:00:00"/>
    <s v="SO46155"/>
    <n v="310"/>
    <n v="12076"/>
    <n v="4"/>
    <n v="1"/>
    <n v="1"/>
    <n v="2"/>
    <s v="BK-R93R-62"/>
    <x v="1"/>
    <n v="2171.2941999999998"/>
    <n v="3578.27"/>
    <s v="MRS."/>
    <s v="CHLOE"/>
    <s v="WASHINGTON"/>
    <s v="CHLOE WASHINGTON"/>
    <d v="1944-02-26T00:00:00"/>
    <s v="M"/>
    <s v="F"/>
    <s v="chloe80@adventure-works.com"/>
    <n v="70000"/>
    <n v="5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26"/>
    <d v="2002-04-06T00:00:00"/>
    <s v="SO46156"/>
    <n v="314"/>
    <n v="12118"/>
    <n v="4"/>
    <n v="1"/>
    <n v="1"/>
    <n v="2"/>
    <s v="BK-R93R-56"/>
    <x v="2"/>
    <n v="2171.2941999999998"/>
    <n v="3578.27"/>
    <s v="MRS."/>
    <s v="MIGUEL"/>
    <s v="SANCHEZ"/>
    <s v="MIGUEL SANCHEZ"/>
    <d v="1951-01-27T00:00:00"/>
    <s v="M"/>
    <s v="F"/>
    <s v="miguel72@adventure-works.com"/>
    <n v="60000"/>
    <n v="2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26"/>
    <d v="2002-04-05T00:00:00"/>
    <s v="SO46159"/>
    <n v="351"/>
    <n v="11996"/>
    <n v="9"/>
    <n v="1"/>
    <n v="1"/>
    <n v="1"/>
    <s v="BK-M82B-48"/>
    <x v="7"/>
    <n v="1898.0944"/>
    <n v="3374.99"/>
    <s v="MRS."/>
    <s v="VERONICA"/>
    <s v="SRINI"/>
    <s v="VERONICA SRINI"/>
    <d v="1960-08-02T00:00:00"/>
    <s v="S"/>
    <s v="F"/>
    <s v="veronica9@adventure-works.com"/>
    <n v="60000"/>
    <n v="1"/>
    <s v="Partial College"/>
    <s v="Skilled Manual"/>
    <s v="Y"/>
    <s v="Australia"/>
    <x v="2"/>
    <s v="Pacific"/>
    <x v="1"/>
    <s v="Bikes"/>
    <n v="3374.99"/>
    <n v="1898.0944"/>
    <n v="1476.8956000000001"/>
    <n v="0.43759999288886797"/>
  </r>
  <r>
    <x v="64"/>
    <d v="2002-03-02T00:00:00"/>
    <s v="SO46162"/>
    <n v="313"/>
    <n v="12163"/>
    <n v="4"/>
    <n v="1"/>
    <n v="1"/>
    <n v="2"/>
    <s v="BK-R93R-52"/>
    <x v="3"/>
    <n v="2171.2941999999998"/>
    <n v="3578.27"/>
    <s v="MR."/>
    <s v="AARON"/>
    <s v="WANG"/>
    <s v="AARON WANG"/>
    <d v="1963-09-05T00:00:00"/>
    <s v="S"/>
    <s v="M"/>
    <s v="aaron24@adventure-works.com"/>
    <n v="150000"/>
    <n v="2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64"/>
    <d v="2002-04-02T00:00:00"/>
    <s v="SO46163"/>
    <n v="312"/>
    <n v="12042"/>
    <n v="1"/>
    <n v="1"/>
    <n v="1"/>
    <n v="2"/>
    <s v="BK-R93R-48"/>
    <x v="0"/>
    <n v="2171.2941999999998"/>
    <n v="3578.27"/>
    <s v="MR."/>
    <s v="ALEX"/>
    <s v="CARTER"/>
    <s v="ALEX CARTER"/>
    <d v="1975-09-27T00:00:00"/>
    <s v="M"/>
    <s v="M"/>
    <s v="alex39@adventure-works.com"/>
    <n v="40000"/>
    <n v="0"/>
    <s v="High School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64"/>
    <d v="2002-03-18T00:00:00"/>
    <s v="SO46169"/>
    <n v="313"/>
    <n v="12094"/>
    <n v="4"/>
    <n v="1"/>
    <n v="1"/>
    <n v="2"/>
    <s v="BK-R93R-52"/>
    <x v="3"/>
    <n v="2171.2941999999998"/>
    <n v="3578.27"/>
    <s v="MRS."/>
    <s v="BAILEY"/>
    <s v="BAILEY"/>
    <s v="BAILEY BAILEY"/>
    <d v="1948-09-19T00:00:00"/>
    <s v="M"/>
    <s v="F"/>
    <s v="bailey13@adventure-works.com"/>
    <n v="60000"/>
    <n v="2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64"/>
    <d v="2002-01-30T00:00:00"/>
    <s v="SO46165"/>
    <n v="310"/>
    <n v="12141"/>
    <n v="1"/>
    <n v="1"/>
    <n v="1"/>
    <n v="2"/>
    <s v="BK-R93R-62"/>
    <x v="1"/>
    <n v="2171.2941999999998"/>
    <n v="3578.27"/>
    <s v="MRS."/>
    <s v="KAITLYN"/>
    <s v="LEE"/>
    <s v="KAITLYN LEE"/>
    <d v="1965-09-20T00:00:00"/>
    <s v="S"/>
    <s v="F"/>
    <s v="kaitlyn45@adventure-works.com"/>
    <n v="90000"/>
    <n v="4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64"/>
    <d v="2002-01-14T00:00:00"/>
    <s v="SO46167"/>
    <n v="347"/>
    <n v="11997"/>
    <n v="9"/>
    <n v="1"/>
    <n v="1"/>
    <n v="1"/>
    <s v="BK-M82S-48"/>
    <x v="10"/>
    <n v="1912.1543999999999"/>
    <n v="3399.99"/>
    <s v="MRS."/>
    <s v="KRISTINA"/>
    <s v="KAPOOR"/>
    <s v="KRISTINA KAPOOR"/>
    <d v="1960-04-07T00:00:00"/>
    <s v="M"/>
    <s v="F"/>
    <s v="kristina1@adventure-works.com"/>
    <n v="60000"/>
    <n v="1"/>
    <s v="Partial College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64"/>
    <d v="2002-04-10T00:00:00"/>
    <s v="SO46164"/>
    <n v="312"/>
    <n v="12079"/>
    <n v="4"/>
    <n v="1"/>
    <n v="1"/>
    <n v="2"/>
    <s v="BK-R93R-48"/>
    <x v="0"/>
    <n v="2171.2941999999998"/>
    <n v="3578.27"/>
    <s v="MR."/>
    <s v="NATHANIEL"/>
    <s v="COOPER"/>
    <s v="NATHANIEL COOPER"/>
    <d v="1945-10-13T00:00:00"/>
    <s v="M"/>
    <s v="M"/>
    <s v="nathaniel9@adventure-works.com"/>
    <n v="60000"/>
    <n v="4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64"/>
    <d v="2002-02-18T00:00:00"/>
    <s v="SO46161"/>
    <n v="311"/>
    <n v="12819"/>
    <n v="7"/>
    <n v="1"/>
    <n v="1"/>
    <n v="2"/>
    <s v="BK-R93R-44"/>
    <x v="4"/>
    <n v="2171.2941999999998"/>
    <n v="3578.27"/>
    <s v="MR."/>
    <s v="NICOLAS"/>
    <s v="CHANDER"/>
    <s v="NICOLAS CHANDER"/>
    <d v="1966-04-23T00:00:00"/>
    <s v="S"/>
    <s v="M"/>
    <s v="nicolas14@adventure-works.com"/>
    <n v="20000"/>
    <n v="2"/>
    <s v="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127"/>
    <d v="2002-01-27T00:00:00"/>
    <s v="SO46172"/>
    <n v="310"/>
    <n v="12030"/>
    <n v="1"/>
    <n v="1"/>
    <n v="1"/>
    <n v="2"/>
    <s v="BK-R93R-62"/>
    <x v="1"/>
    <n v="2171.2941999999998"/>
    <n v="3578.27"/>
    <s v="MS."/>
    <s v="ANA"/>
    <s v="WASHINGTON"/>
    <s v="ANA WASHINGTON"/>
    <d v="1977-02-05T00:00:00"/>
    <s v="S"/>
    <s v="F"/>
    <s v="ana12@adventure-works.com"/>
    <n v="40000"/>
    <n v="0"/>
    <s v="High School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27"/>
    <d v="2002-02-08T00:00:00"/>
    <s v="SO46175"/>
    <n v="349"/>
    <n v="12003"/>
    <n v="9"/>
    <n v="1"/>
    <n v="1"/>
    <n v="1"/>
    <s v="BK-M82B-42"/>
    <x v="11"/>
    <n v="1898.0944"/>
    <n v="3374.99"/>
    <s v="MS."/>
    <s v="AUDREY"/>
    <s v="MUNOZ"/>
    <s v="AUDREY MUNOZ"/>
    <d v="1963-03-11T00:00:00"/>
    <s v="S"/>
    <s v="F"/>
    <s v="audrey8@adventure-works.com"/>
    <n v="70000"/>
    <n v="0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127"/>
    <d v="2002-04-15T00:00:00"/>
    <s v="SO46170"/>
    <n v="312"/>
    <n v="12156"/>
    <n v="4"/>
    <n v="1"/>
    <n v="1"/>
    <n v="2"/>
    <s v="BK-R93R-48"/>
    <x v="0"/>
    <n v="2171.2941999999998"/>
    <n v="3578.27"/>
    <s v="MRS."/>
    <s v="BONNIE"/>
    <s v="RAJI"/>
    <s v="BONNIE RAJI"/>
    <d v="1934-01-12T00:00:00"/>
    <s v="M"/>
    <s v="F"/>
    <s v="bonnie27@adventure-works.com"/>
    <n v="70000"/>
    <n v="4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76"/>
    <d v="2002-04-18T00:00:00"/>
    <s v="SO46177"/>
    <n v="312"/>
    <n v="12102"/>
    <n v="4"/>
    <n v="1"/>
    <n v="1"/>
    <n v="2"/>
    <s v="BK-R93R-48"/>
    <x v="0"/>
    <n v="2171.2941999999998"/>
    <n v="3578.27"/>
    <s v="MR."/>
    <s v="DEVIN"/>
    <s v="SIMMONS"/>
    <s v="DEVIN SIMMONS"/>
    <d v="1949-06-04T00:00:00"/>
    <s v="M"/>
    <s v="M"/>
    <s v="devin53@adventure-works.com"/>
    <n v="7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28"/>
    <d v="2002-02-21T00:00:00"/>
    <s v="SO46180"/>
    <n v="310"/>
    <n v="12084"/>
    <n v="1"/>
    <n v="1"/>
    <n v="1"/>
    <n v="2"/>
    <s v="BK-R93R-62"/>
    <x v="1"/>
    <n v="2171.2941999999998"/>
    <n v="3578.27"/>
    <s v="MR."/>
    <s v="AIDAN"/>
    <s v="PERRY"/>
    <s v="AIDAN PERRY"/>
    <d v="1947-08-07T00:00:00"/>
    <s v="M"/>
    <s v="M"/>
    <s v="aidan8@adventure-works.com"/>
    <n v="60000"/>
    <n v="5"/>
    <s v="Bachelors"/>
    <s v="Management"/>
    <s v="N"/>
    <s v="Northwest"/>
    <x v="1"/>
    <s v="North America"/>
    <x v="0"/>
    <s v="Bikes"/>
    <n v="3578.27"/>
    <n v="2171.2941999999998"/>
    <n v="1406.9757999999999"/>
    <n v="0.39320001006072802"/>
  </r>
  <r>
    <x v="128"/>
    <d v="2002-03-28T00:00:00"/>
    <s v="SO46179"/>
    <n v="313"/>
    <n v="11983"/>
    <n v="4"/>
    <n v="1"/>
    <n v="1"/>
    <n v="2"/>
    <s v="BK-R93R-52"/>
    <x v="3"/>
    <n v="2171.2941999999998"/>
    <n v="3578.27"/>
    <s v="MRS."/>
    <s v="CHERYL"/>
    <s v="ORTEGA"/>
    <s v="CHERYL ORTEGA"/>
    <d v="1957-02-27T00:00:00"/>
    <s v="M"/>
    <s v="F"/>
    <s v="cheryl24@adventure-works.com"/>
    <n v="70000"/>
    <n v="3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28"/>
    <d v="2002-03-28T00:00:00"/>
    <s v="SO46181"/>
    <n v="348"/>
    <n v="12004"/>
    <n v="9"/>
    <n v="1"/>
    <n v="1"/>
    <n v="1"/>
    <s v="BK-M82B-38"/>
    <x v="9"/>
    <n v="1898.0944"/>
    <n v="3374.99"/>
    <s v="MR."/>
    <s v="JARROD"/>
    <s v="SURI"/>
    <s v="JARROD SURI"/>
    <d v="1963-12-20T00:00:00"/>
    <s v="S"/>
    <s v="M"/>
    <s v="jarrod0@adventure-works.com"/>
    <n v="70000"/>
    <n v="0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128"/>
    <d v="2002-02-04T00:00:00"/>
    <s v="SO46182"/>
    <n v="346"/>
    <n v="11995"/>
    <n v="9"/>
    <n v="1"/>
    <n v="1"/>
    <n v="1"/>
    <s v="BK-M82S-44"/>
    <x v="12"/>
    <n v="1912.1543999999999"/>
    <n v="3399.99"/>
    <s v="MR."/>
    <s v="KELVIN"/>
    <s v="CARSON"/>
    <s v="KELVIN CARSON"/>
    <d v="1960-06-14T00:00:00"/>
    <s v="M"/>
    <s v="M"/>
    <s v="kelvin11@adventure-works.com"/>
    <n v="60000"/>
    <n v="1"/>
    <s v="Partial College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129"/>
    <d v="2002-01-24T00:00:00"/>
    <s v="SO46186"/>
    <n v="310"/>
    <n v="12041"/>
    <n v="1"/>
    <n v="1"/>
    <n v="1"/>
    <n v="2"/>
    <s v="BK-R93R-62"/>
    <x v="1"/>
    <n v="2171.2941999999998"/>
    <n v="3578.27"/>
    <s v="MR."/>
    <s v="SETH"/>
    <s v="MARTIN"/>
    <s v="SETH MARTIN"/>
    <d v="1975-06-07T00:00:00"/>
    <s v="M"/>
    <s v="M"/>
    <s v="seth15@adventure-works.com"/>
    <n v="40000"/>
    <n v="0"/>
    <s v="High School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30"/>
    <d v="2002-04-19T00:00:00"/>
    <s v="SO46195"/>
    <n v="314"/>
    <n v="12027"/>
    <n v="1"/>
    <n v="1"/>
    <n v="1"/>
    <n v="2"/>
    <s v="BK-R93R-56"/>
    <x v="2"/>
    <n v="2171.2941999999998"/>
    <n v="3578.27"/>
    <s v="MS."/>
    <s v="HALEY"/>
    <s v="WOOD"/>
    <s v="HALEY WOOD"/>
    <d v="1978-10-26T00:00:00"/>
    <s v="M"/>
    <s v="F"/>
    <s v="haley21@adventure-works.com"/>
    <n v="40000"/>
    <n v="0"/>
    <s v="High School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30"/>
    <d v="2002-04-17T00:00:00"/>
    <s v="SO46203"/>
    <n v="346"/>
    <n v="11999"/>
    <n v="9"/>
    <n v="1"/>
    <n v="1"/>
    <n v="1"/>
    <s v="BK-M82S-44"/>
    <x v="12"/>
    <n v="1912.1543999999999"/>
    <n v="3399.99"/>
    <s v="MR."/>
    <s v="JOHNNY"/>
    <s v="SHAN"/>
    <s v="JOHNNY SHAN"/>
    <d v="1960-06-05T00:00:00"/>
    <s v="M"/>
    <s v="M"/>
    <s v="johnny11@adventure-works.com"/>
    <n v="60000"/>
    <n v="1"/>
    <s v="Partial College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130"/>
    <d v="2002-04-03T00:00:00"/>
    <s v="SO46204"/>
    <n v="348"/>
    <n v="11988"/>
    <n v="9"/>
    <n v="1"/>
    <n v="1"/>
    <n v="1"/>
    <s v="BK-M82B-38"/>
    <x v="9"/>
    <n v="1898.0944"/>
    <n v="3374.99"/>
    <s v="MRS."/>
    <s v="KATHRYN"/>
    <s v="CHAPMAN"/>
    <s v="KATHRYN CHAPMAN"/>
    <d v="1962-08-20T00:00:00"/>
    <s v="S"/>
    <s v="F"/>
    <s v="kathryn14@adventure-works.com"/>
    <n v="70000"/>
    <n v="1"/>
    <s v="Partial College"/>
    <s v="Skilled Manual"/>
    <s v="Y"/>
    <s v="Australia"/>
    <x v="2"/>
    <s v="Pacific"/>
    <x v="1"/>
    <s v="Bikes"/>
    <n v="3374.99"/>
    <n v="1898.0944"/>
    <n v="1476.8956000000001"/>
    <n v="0.43759999288886797"/>
  </r>
  <r>
    <x v="130"/>
    <d v="2002-03-19T00:00:00"/>
    <s v="SO46194"/>
    <n v="313"/>
    <n v="11939"/>
    <n v="4"/>
    <n v="1"/>
    <n v="1"/>
    <n v="2"/>
    <s v="BK-R93R-52"/>
    <x v="3"/>
    <n v="2171.2941999999998"/>
    <n v="3578.27"/>
    <s v="MR."/>
    <s v="KEVIN"/>
    <s v="WASHINGTON"/>
    <s v="KEVIN WASHINGTON"/>
    <d v="1977-06-22T00:00:00"/>
    <s v="S"/>
    <s v="M"/>
    <s v="kevin16@adventure-works.com"/>
    <n v="60000"/>
    <n v="0"/>
    <s v="Partial College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130"/>
    <d v="2002-03-18T00:00:00"/>
    <s v="SO46196"/>
    <n v="310"/>
    <n v="12109"/>
    <n v="1"/>
    <n v="1"/>
    <n v="1"/>
    <n v="2"/>
    <s v="BK-R93R-62"/>
    <x v="1"/>
    <n v="2171.2941999999998"/>
    <n v="3578.27"/>
    <s v="MRS."/>
    <s v="MORGAN"/>
    <s v="FOSTER"/>
    <s v="MORGAN FOSTER"/>
    <d v="1950-03-20T00:00:00"/>
    <s v="S"/>
    <s v="F"/>
    <s v="morgan85@adventure-works.com"/>
    <n v="60000"/>
    <n v="2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30"/>
    <d v="2002-01-20T00:00:00"/>
    <s v="SO46192"/>
    <n v="314"/>
    <n v="12830"/>
    <n v="7"/>
    <n v="1"/>
    <n v="1"/>
    <n v="2"/>
    <s v="BK-R93R-56"/>
    <x v="2"/>
    <n v="2171.2941999999998"/>
    <n v="3578.27"/>
    <s v="MR."/>
    <s v="RUSSELL"/>
    <s v="RAJE"/>
    <s v="RUSSELL RAJE"/>
    <d v="1964-12-24T00:00:00"/>
    <s v="S"/>
    <s v="M"/>
    <s v="russell16@adventure-works.com"/>
    <n v="20000"/>
    <n v="3"/>
    <s v="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131"/>
    <d v="2002-04-19T00:00:00"/>
    <s v="SO46209"/>
    <n v="312"/>
    <n v="12849"/>
    <n v="7"/>
    <n v="1"/>
    <n v="1"/>
    <n v="2"/>
    <s v="BK-R93R-48"/>
    <x v="0"/>
    <n v="2171.2941999999998"/>
    <n v="3578.27"/>
    <s v="MR."/>
    <s v="ADAM"/>
    <s v="BAKER"/>
    <s v="ADAM BAKER"/>
    <d v="1963-02-26T00:00:00"/>
    <s v="S"/>
    <s v="M"/>
    <s v="adam38@adventure-works.com"/>
    <n v="30000"/>
    <n v="2"/>
    <s v="Partial College"/>
    <s v="Clerical"/>
    <s v="Y"/>
    <s v="France"/>
    <x v="0"/>
    <s v="Europe"/>
    <x v="0"/>
    <s v="Bikes"/>
    <n v="3578.27"/>
    <n v="2171.2941999999998"/>
    <n v="1406.9757999999999"/>
    <n v="0.39320001006072802"/>
  </r>
  <r>
    <x v="131"/>
    <d v="2002-03-02T00:00:00"/>
    <s v="SO46210"/>
    <n v="313"/>
    <n v="12866"/>
    <n v="7"/>
    <n v="1"/>
    <n v="1"/>
    <n v="2"/>
    <s v="BK-R93R-52"/>
    <x v="3"/>
    <n v="2171.2941999999998"/>
    <n v="3578.27"/>
    <s v="MS."/>
    <s v="JANELLE"/>
    <s v="FERNANDEZ"/>
    <s v="JANELLE FERNANDEZ"/>
    <d v="1975-06-18T00:00:00"/>
    <s v="S"/>
    <s v="F"/>
    <s v="janelle12@adventure-works.com"/>
    <n v="10000"/>
    <n v="0"/>
    <s v="Partial 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131"/>
    <d v="2002-03-04T00:00:00"/>
    <s v="SO46205"/>
    <n v="313"/>
    <n v="12162"/>
    <n v="4"/>
    <n v="1"/>
    <n v="1"/>
    <n v="2"/>
    <s v="BK-R93R-52"/>
    <x v="3"/>
    <n v="2171.2941999999998"/>
    <n v="3578.27"/>
    <s v="MR."/>
    <s v="LUKE"/>
    <s v="MITCHELL"/>
    <s v="LUKE MITCHELL"/>
    <d v="1963-12-20T00:00:00"/>
    <s v="S"/>
    <s v="M"/>
    <s v="luke43@adventure-works.com"/>
    <n v="12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32"/>
    <d v="2002-02-17T00:00:00"/>
    <s v="SO46213"/>
    <n v="314"/>
    <n v="12050"/>
    <n v="4"/>
    <n v="1"/>
    <n v="1"/>
    <n v="2"/>
    <s v="BK-R93R-56"/>
    <x v="2"/>
    <n v="2171.2941999999998"/>
    <n v="3578.27"/>
    <s v="MR."/>
    <s v="AARON"/>
    <s v="YOUNG"/>
    <s v="AARON YOUNG"/>
    <d v="1967-09-14T00:00:00"/>
    <s v="S"/>
    <s v="M"/>
    <s v="aaron49@adventure-works.com"/>
    <n v="110000"/>
    <n v="0"/>
    <s v="Graduate Degree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32"/>
    <d v="2002-01-25T00:00:00"/>
    <s v="SO46212"/>
    <n v="312"/>
    <n v="12173"/>
    <n v="4"/>
    <n v="1"/>
    <n v="1"/>
    <n v="2"/>
    <s v="BK-R93R-48"/>
    <x v="0"/>
    <n v="2171.2941999999998"/>
    <n v="3578.27"/>
    <s v="MR."/>
    <s v="DALTON"/>
    <s v="EDWARDS"/>
    <s v="DALTON EDWARDS"/>
    <d v="1961-09-12T00:00:00"/>
    <s v="M"/>
    <s v="M"/>
    <s v="dalton44@adventure-works.com"/>
    <n v="130000"/>
    <n v="1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32"/>
    <d v="2002-01-21T00:00:00"/>
    <s v="SO46214"/>
    <n v="311"/>
    <n v="12072"/>
    <n v="4"/>
    <n v="1"/>
    <n v="1"/>
    <n v="2"/>
    <s v="BK-R93R-44"/>
    <x v="4"/>
    <n v="2171.2941999999998"/>
    <n v="3578.27"/>
    <s v="MR."/>
    <s v="TRISTAN"/>
    <s v="ROSS"/>
    <s v="TRISTAN ROSS"/>
    <d v="1944-08-24T00:00:00"/>
    <s v="M"/>
    <s v="M"/>
    <s v="tristan4@adventure-works.com"/>
    <n v="70000"/>
    <n v="4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33"/>
    <d v="2002-01-31T00:00:00"/>
    <s v="SO46218"/>
    <n v="313"/>
    <n v="12820"/>
    <n v="7"/>
    <n v="1"/>
    <n v="1"/>
    <n v="2"/>
    <s v="BK-R93R-52"/>
    <x v="3"/>
    <n v="2171.2941999999998"/>
    <n v="3578.27"/>
    <s v="MR."/>
    <s v="DEREK"/>
    <s v="TANG"/>
    <s v="DEREK TANG"/>
    <d v="1966-02-09T00:00:00"/>
    <s v="S"/>
    <s v="M"/>
    <s v="derek4@adventure-works.com"/>
    <n v="20000"/>
    <n v="2"/>
    <s v="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133"/>
    <d v="2002-04-27T00:00:00"/>
    <s v="SO46227"/>
    <n v="351"/>
    <n v="11990"/>
    <n v="9"/>
    <n v="1"/>
    <n v="1"/>
    <n v="1"/>
    <s v="BK-M82B-48"/>
    <x v="7"/>
    <n v="1898.0944"/>
    <n v="3374.99"/>
    <s v="MRS."/>
    <s v="JOANNA"/>
    <s v="VAZQUEZ"/>
    <s v="JOANNA VAZQUEZ"/>
    <d v="1962-07-15T00:00:00"/>
    <s v="S"/>
    <s v="F"/>
    <s v="joanna13@adventure-works.com"/>
    <n v="70000"/>
    <n v="1"/>
    <s v="Partial College"/>
    <s v="Skilled Manual"/>
    <s v="Y"/>
    <s v="Australia"/>
    <x v="2"/>
    <s v="Pacific"/>
    <x v="1"/>
    <s v="Bikes"/>
    <n v="3374.99"/>
    <n v="1898.0944"/>
    <n v="1476.8956000000001"/>
    <n v="0.43759999288886797"/>
  </r>
  <r>
    <x v="133"/>
    <d v="2002-03-28T00:00:00"/>
    <s v="SO46226"/>
    <n v="313"/>
    <n v="13263"/>
    <n v="7"/>
    <n v="1"/>
    <n v="1"/>
    <n v="2"/>
    <s v="BK-R93R-52"/>
    <x v="3"/>
    <n v="2171.2941999999998"/>
    <n v="3578.27"/>
    <s v="MRS."/>
    <s v="KATE"/>
    <s v="ANAND"/>
    <s v="KATE ANAND"/>
    <d v="1956-04-24T00:00:00"/>
    <s v="S"/>
    <s v="F"/>
    <s v="kate19@adventure-works.com"/>
    <n v="110000"/>
    <n v="2"/>
    <s v="Partial College"/>
    <s v="Professional"/>
    <s v="Y"/>
    <s v="France"/>
    <x v="0"/>
    <s v="Europe"/>
    <x v="0"/>
    <s v="Bikes"/>
    <n v="3578.27"/>
    <n v="2171.2941999999998"/>
    <n v="1406.9757999999999"/>
    <n v="0.39320001006072802"/>
  </r>
  <r>
    <x v="133"/>
    <d v="2002-04-09T00:00:00"/>
    <s v="SO46228"/>
    <n v="349"/>
    <n v="11993"/>
    <n v="9"/>
    <n v="1"/>
    <n v="1"/>
    <n v="1"/>
    <s v="BK-M82B-42"/>
    <x v="11"/>
    <n v="1898.0944"/>
    <n v="3374.99"/>
    <s v="MRS."/>
    <s v="ROSA"/>
    <s v="WANG"/>
    <s v="ROSA WANG"/>
    <d v="1961-03-19T00:00:00"/>
    <s v="S"/>
    <s v="F"/>
    <s v="rosa1@adventure-works.com"/>
    <n v="60000"/>
    <n v="1"/>
    <s v="Partial College"/>
    <s v="Skilled Manual"/>
    <s v="N"/>
    <s v="Australia"/>
    <x v="2"/>
    <s v="Pacific"/>
    <x v="1"/>
    <s v="Bikes"/>
    <n v="3374.99"/>
    <n v="1898.0944"/>
    <n v="1476.8956000000001"/>
    <n v="0.43759999288886797"/>
  </r>
  <r>
    <x v="63"/>
    <d v="2002-01-17T00:00:00"/>
    <s v="SO46234"/>
    <n v="312"/>
    <n v="12110"/>
    <n v="4"/>
    <n v="1"/>
    <n v="1"/>
    <n v="2"/>
    <s v="BK-R93R-48"/>
    <x v="0"/>
    <n v="2171.2941999999998"/>
    <n v="3578.27"/>
    <s v="MRS."/>
    <s v="BIANCA"/>
    <s v="GUO"/>
    <s v="BIANCA GUO"/>
    <d v="1950-02-03T00:00:00"/>
    <s v="M"/>
    <s v="F"/>
    <s v="bianca14@adventure-works.com"/>
    <n v="60000"/>
    <n v="2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63"/>
    <d v="2002-02-21T00:00:00"/>
    <s v="SO46232"/>
    <n v="311"/>
    <n v="12058"/>
    <n v="4"/>
    <n v="1"/>
    <n v="1"/>
    <n v="2"/>
    <s v="BK-R93R-44"/>
    <x v="4"/>
    <n v="2171.2941999999998"/>
    <n v="3578.27"/>
    <s v="MRS."/>
    <s v="CHLOE"/>
    <s v="NELSON"/>
    <s v="CHLOE NELSON"/>
    <d v="1943-07-03T00:00:00"/>
    <s v="M"/>
    <s v="F"/>
    <s v="chloe6@adventure-works.com"/>
    <n v="130000"/>
    <n v="2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63"/>
    <d v="2002-04-10T00:00:00"/>
    <s v="SO46231"/>
    <n v="310"/>
    <n v="12016"/>
    <n v="4"/>
    <n v="1"/>
    <n v="1"/>
    <n v="2"/>
    <s v="BK-R93R-62"/>
    <x v="1"/>
    <n v="2171.2941999999998"/>
    <n v="3578.27"/>
    <s v="MS."/>
    <s v="MEREDITH"/>
    <s v="SERRANO"/>
    <s v="MEREDITH SERRANO"/>
    <d v="1975-12-13T00:00:00"/>
    <s v="S"/>
    <s v="F"/>
    <s v="meredith40@adventure-works.com"/>
    <n v="40000"/>
    <n v="0"/>
    <s v="High School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63"/>
    <d v="2002-03-20T00:00:00"/>
    <s v="SO46236"/>
    <n v="350"/>
    <n v="12001"/>
    <n v="9"/>
    <n v="1"/>
    <n v="1"/>
    <n v="1"/>
    <s v="BK-M82B-44"/>
    <x v="5"/>
    <n v="1898.0944"/>
    <n v="3374.99"/>
    <s v="MRS."/>
    <s v="SHANNON"/>
    <s v="YANG"/>
    <s v="SHANNON YANG"/>
    <d v="1965-07-06T00:00:00"/>
    <s v="S"/>
    <s v="F"/>
    <s v="shannon5@adventure-works.com"/>
    <n v="80000"/>
    <n v="5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63"/>
    <d v="2002-02-24T00:00:00"/>
    <s v="SO46235"/>
    <n v="312"/>
    <n v="12151"/>
    <n v="4"/>
    <n v="1"/>
    <n v="1"/>
    <n v="2"/>
    <s v="BK-R93R-48"/>
    <x v="0"/>
    <n v="2171.2941999999998"/>
    <n v="3578.27"/>
    <s v="MR."/>
    <s v="STEVEN"/>
    <s v="KELLY"/>
    <s v="STEVEN KELLY"/>
    <d v="1964-05-12T00:00:00"/>
    <s v="M"/>
    <s v="M"/>
    <s v="steven12@adventure-works.com"/>
    <n v="130000"/>
    <n v="2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63"/>
    <d v="2002-03-18T00:00:00"/>
    <s v="SO46237"/>
    <n v="312"/>
    <n v="12843"/>
    <n v="7"/>
    <n v="1"/>
    <n v="1"/>
    <n v="2"/>
    <s v="BK-R93R-48"/>
    <x v="0"/>
    <n v="2171.2941999999998"/>
    <n v="3578.27"/>
    <s v="MRS."/>
    <s v="SUMMER"/>
    <s v="SMITH"/>
    <s v="SUMMER SMITH"/>
    <d v="1965-08-02T00:00:00"/>
    <s v="S"/>
    <s v="F"/>
    <s v="summer7@adventure-works.com"/>
    <n v="30000"/>
    <n v="2"/>
    <s v="Partial College"/>
    <s v="Clerical"/>
    <s v="Y"/>
    <s v="France"/>
    <x v="0"/>
    <s v="Europe"/>
    <x v="0"/>
    <s v="Bikes"/>
    <n v="3578.27"/>
    <n v="2171.2941999999998"/>
    <n v="1406.9757999999999"/>
    <n v="0.39320001006072802"/>
  </r>
  <r>
    <x v="134"/>
    <d v="2002-02-24T00:00:00"/>
    <s v="SO46244"/>
    <n v="310"/>
    <n v="13504"/>
    <n v="7"/>
    <n v="1"/>
    <n v="1"/>
    <n v="2"/>
    <s v="BK-R93R-62"/>
    <x v="1"/>
    <n v="2171.2941999999998"/>
    <n v="3578.27"/>
    <s v="MRS."/>
    <s v="BETH"/>
    <s v="ALONSO"/>
    <s v="BETH ALONSO"/>
    <d v="1956-03-17T00:00:00"/>
    <s v="M"/>
    <s v="F"/>
    <s v="beth10@adventure-works.com"/>
    <n v="10000"/>
    <n v="2"/>
    <s v="Partial College"/>
    <s v="Manual"/>
    <s v="Y"/>
    <s v="France"/>
    <x v="0"/>
    <s v="Europe"/>
    <x v="0"/>
    <s v="Bikes"/>
    <n v="3578.27"/>
    <n v="2171.2941999999998"/>
    <n v="1406.9757999999999"/>
    <n v="0.39320001006072802"/>
  </r>
  <r>
    <x v="135"/>
    <d v="2002-03-29T00:00:00"/>
    <s v="SO46249"/>
    <n v="347"/>
    <n v="12000"/>
    <n v="9"/>
    <n v="1"/>
    <n v="1"/>
    <n v="1"/>
    <s v="BK-M82S-48"/>
    <x v="10"/>
    <n v="1912.1543999999999"/>
    <n v="3399.99"/>
    <s v="MS."/>
    <s v="ASHLEY"/>
    <s v="RUSSELL"/>
    <s v="ASHLEY RUSSELL"/>
    <d v="1965-03-12T00:00:00"/>
    <s v="S"/>
    <s v="F"/>
    <s v="ashley47@adventure-works.com"/>
    <n v="70000"/>
    <n v="0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135"/>
    <d v="2002-04-17T00:00:00"/>
    <s v="SO46251"/>
    <n v="350"/>
    <n v="11998"/>
    <n v="9"/>
    <n v="1"/>
    <n v="1"/>
    <n v="1"/>
    <s v="BK-M82B-44"/>
    <x v="5"/>
    <n v="1898.0944"/>
    <n v="3374.99"/>
    <s v="MRS."/>
    <s v="DONNA"/>
    <s v="SHARMA"/>
    <s v="DONNA SHARMA"/>
    <d v="1960-08-10T00:00:00"/>
    <s v="M"/>
    <s v="F"/>
    <s v="donna9@adventure-works.com"/>
    <n v="60000"/>
    <n v="1"/>
    <s v="Partial College"/>
    <s v="Skilled Manual"/>
    <s v="Y"/>
    <s v="Australia"/>
    <x v="2"/>
    <s v="Pacific"/>
    <x v="1"/>
    <s v="Bikes"/>
    <n v="3374.99"/>
    <n v="1898.0944"/>
    <n v="1476.8956000000001"/>
    <n v="0.43759999288886797"/>
  </r>
  <r>
    <x v="135"/>
    <d v="2002-04-19T00:00:00"/>
    <s v="SO46246"/>
    <n v="314"/>
    <n v="12143"/>
    <n v="1"/>
    <n v="1"/>
    <n v="1"/>
    <n v="2"/>
    <s v="BK-R93R-56"/>
    <x v="2"/>
    <n v="2171.2941999999998"/>
    <n v="3578.27"/>
    <s v="MR."/>
    <s v="LOGAN"/>
    <s v="TURNER"/>
    <s v="LOGAN TURNER"/>
    <d v="1965-11-13T00:00:00"/>
    <s v="M"/>
    <s v="M"/>
    <s v="logan31@adventure-works.com"/>
    <n v="100000"/>
    <n v="4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36"/>
    <d v="2002-04-29T00:00:00"/>
    <s v="SO46254"/>
    <n v="310"/>
    <n v="12096"/>
    <n v="4"/>
    <n v="1"/>
    <n v="1"/>
    <n v="2"/>
    <s v="BK-R93R-62"/>
    <x v="1"/>
    <n v="2171.2941999999998"/>
    <n v="3578.27"/>
    <s v="MRS."/>
    <s v="CAITLIN"/>
    <s v="BROOKS"/>
    <s v="CAITLIN BROOKS"/>
    <d v="1948-02-27T00:00:00"/>
    <s v="M"/>
    <s v="F"/>
    <s v="caitlin1@adventure-works.com"/>
    <n v="60000"/>
    <n v="2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36"/>
    <d v="2002-03-23T00:00:00"/>
    <s v="SO46253"/>
    <n v="311"/>
    <n v="12082"/>
    <n v="4"/>
    <n v="1"/>
    <n v="1"/>
    <n v="2"/>
    <s v="BK-R93R-44"/>
    <x v="4"/>
    <n v="2171.2941999999998"/>
    <n v="3578.27"/>
    <s v="MRS."/>
    <s v="LAUREN"/>
    <s v="SANCHEZ"/>
    <s v="LAUREN SANCHEZ"/>
    <d v="1946-10-12T00:00:00"/>
    <s v="M"/>
    <s v="F"/>
    <s v="lauren0@adventure-works.com"/>
    <n v="70000"/>
    <n v="5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36"/>
    <d v="2002-04-15T00:00:00"/>
    <s v="SO46257"/>
    <n v="346"/>
    <n v="11992"/>
    <n v="9"/>
    <n v="1"/>
    <n v="1"/>
    <n v="1"/>
    <s v="BK-M82S-44"/>
    <x v="12"/>
    <n v="1912.1543999999999"/>
    <n v="3399.99"/>
    <s v="MRS."/>
    <s v="TONYA"/>
    <s v="CHANDE"/>
    <s v="TONYA CHANDE"/>
    <d v="1961-06-13T00:00:00"/>
    <s v="S"/>
    <s v="F"/>
    <s v="tonya14@adventure-works.com"/>
    <n v="60000"/>
    <n v="1"/>
    <s v="Partial College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137"/>
    <d v="2002-04-28T00:00:00"/>
    <s v="SO46258"/>
    <n v="313"/>
    <n v="12160"/>
    <n v="1"/>
    <n v="1"/>
    <n v="1"/>
    <n v="2"/>
    <s v="BK-R93R-52"/>
    <x v="3"/>
    <n v="2171.2941999999998"/>
    <n v="3578.27"/>
    <s v="MS."/>
    <s v="JACLYN"/>
    <s v="ZHANG"/>
    <s v="JACLYN ZHANG"/>
    <d v="1963-11-24T00:00:00"/>
    <s v="S"/>
    <s v="F"/>
    <s v="jaclyn0@adventure-works.com"/>
    <n v="90000"/>
    <n v="0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37"/>
    <d v="2002-04-14T00:00:00"/>
    <s v="SO46260"/>
    <n v="310"/>
    <n v="12108"/>
    <n v="1"/>
    <n v="1"/>
    <n v="1"/>
    <n v="2"/>
    <s v="BK-R93R-62"/>
    <x v="1"/>
    <n v="2171.2941999999998"/>
    <n v="3578.27"/>
    <s v="MR."/>
    <s v="JAMES"/>
    <s v="WALKER"/>
    <s v="JAMES WALKER"/>
    <d v="1950-02-23T00:00:00"/>
    <s v="M"/>
    <s v="M"/>
    <s v="james96@adventure-works.com"/>
    <n v="60000"/>
    <n v="2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37"/>
    <d v="2002-03-18T00:00:00"/>
    <s v="SO46263"/>
    <n v="310"/>
    <n v="12834"/>
    <n v="7"/>
    <n v="1"/>
    <n v="1"/>
    <n v="2"/>
    <s v="BK-R93R-62"/>
    <x v="1"/>
    <n v="2171.2941999999998"/>
    <n v="3578.27"/>
    <s v="MRS."/>
    <s v="KELSEY"/>
    <s v="XIE"/>
    <s v="KELSEY XIE"/>
    <d v="1964-03-13T00:00:00"/>
    <s v="M"/>
    <s v="F"/>
    <s v="kelsey2@adventure-works.com"/>
    <n v="30000"/>
    <n v="1"/>
    <s v="Bachelors"/>
    <s v="Skilled Manual"/>
    <s v="Y"/>
    <s v="France"/>
    <x v="0"/>
    <s v="Europe"/>
    <x v="0"/>
    <s v="Bikes"/>
    <n v="3578.27"/>
    <n v="2171.2941999999998"/>
    <n v="1406.9757999999999"/>
    <n v="0.39320001006072802"/>
  </r>
  <r>
    <x v="137"/>
    <d v="2002-04-03T00:00:00"/>
    <s v="SO46259"/>
    <n v="313"/>
    <n v="12025"/>
    <n v="1"/>
    <n v="1"/>
    <n v="1"/>
    <n v="2"/>
    <s v="BK-R93R-52"/>
    <x v="3"/>
    <n v="2171.2941999999998"/>
    <n v="3578.27"/>
    <s v="MR."/>
    <s v="LOGAN"/>
    <s v="DIAZ"/>
    <s v="LOGAN DIAZ"/>
    <d v="1978-06-18T00:00:00"/>
    <s v="M"/>
    <s v="M"/>
    <s v="logan22@adventure-works.com"/>
    <n v="40000"/>
    <n v="0"/>
    <s v="High School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38"/>
    <d v="2002-01-25T00:00:00"/>
    <s v="SO46265"/>
    <n v="312"/>
    <n v="11934"/>
    <n v="1"/>
    <n v="1"/>
    <n v="1"/>
    <n v="2"/>
    <s v="BK-R93R-48"/>
    <x v="0"/>
    <n v="2171.2941999999998"/>
    <n v="3578.27"/>
    <s v="MR."/>
    <s v="JUSTIN"/>
    <s v="SHAN"/>
    <s v="JUSTIN SHAN"/>
    <d v="1977-10-14T00:00:00"/>
    <s v="S"/>
    <s v="M"/>
    <s v="justin27@adventure-works.com"/>
    <n v="40000"/>
    <n v="0"/>
    <s v="Partial High School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39"/>
    <d v="2002-02-26T00:00:00"/>
    <s v="SO46272"/>
    <n v="311"/>
    <n v="12116"/>
    <n v="1"/>
    <n v="1"/>
    <n v="1"/>
    <n v="2"/>
    <s v="BK-R93R-44"/>
    <x v="4"/>
    <n v="2171.2941999999998"/>
    <n v="3578.27"/>
    <s v="MRS."/>
    <s v="AMANDA"/>
    <s v="GRAY"/>
    <s v="AMANDA GRAY"/>
    <d v="1951-02-22T00:00:00"/>
    <s v="S"/>
    <s v="F"/>
    <s v="amanda15@adventure-works.com"/>
    <n v="70000"/>
    <n v="2"/>
    <s v="High School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39"/>
    <d v="2002-03-09T00:00:00"/>
    <s v="SO46271"/>
    <n v="313"/>
    <n v="12172"/>
    <n v="4"/>
    <n v="1"/>
    <n v="1"/>
    <n v="2"/>
    <s v="BK-R93R-52"/>
    <x v="3"/>
    <n v="2171.2941999999998"/>
    <n v="3578.27"/>
    <s v="MR."/>
    <s v="EDUARDO"/>
    <s v="ALEXANDER"/>
    <s v="EDUARDO ALEXANDER"/>
    <d v="1961-03-05T00:00:00"/>
    <s v="S"/>
    <s v="M"/>
    <s v="eduardo62@adventure-works.com"/>
    <n v="130000"/>
    <n v="1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40"/>
    <d v="2002-03-04T00:00:00"/>
    <s v="SO46279"/>
    <n v="312"/>
    <n v="12155"/>
    <n v="1"/>
    <n v="1"/>
    <n v="1"/>
    <n v="2"/>
    <s v="BK-R93R-48"/>
    <x v="0"/>
    <n v="2171.2941999999998"/>
    <n v="3578.27"/>
    <s v="MRS."/>
    <s v="GABRIELLA"/>
    <s v="LOPEZ"/>
    <s v="GABRIELLA LOPEZ"/>
    <d v="1956-10-15T00:00:00"/>
    <s v="S"/>
    <s v="F"/>
    <s v="gabriella44@adventure-works.com"/>
    <n v="80000"/>
    <n v="3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40"/>
    <d v="2002-02-05T00:00:00"/>
    <s v="SO46285"/>
    <n v="346"/>
    <n v="12005"/>
    <n v="9"/>
    <n v="1"/>
    <n v="1"/>
    <n v="1"/>
    <s v="BK-M82S-44"/>
    <x v="12"/>
    <n v="1912.1543999999999"/>
    <n v="3399.99"/>
    <s v="MR."/>
    <s v="GILBERT"/>
    <s v="SHEN"/>
    <s v="GILBERT SHEN"/>
    <d v="1962-07-17T00:00:00"/>
    <s v="M"/>
    <s v="M"/>
    <s v="gilbert23@adventure-works.com"/>
    <n v="60000"/>
    <n v="1"/>
    <s v="Partial College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140"/>
    <d v="2002-03-31T00:00:00"/>
    <s v="SO46280"/>
    <n v="311"/>
    <n v="12121"/>
    <n v="1"/>
    <n v="1"/>
    <n v="1"/>
    <n v="2"/>
    <s v="BK-R93R-44"/>
    <x v="4"/>
    <n v="2171.2941999999998"/>
    <n v="3578.27"/>
    <s v="MR."/>
    <s v="LOGAN"/>
    <s v="WILSON"/>
    <s v="LOGAN WILSON"/>
    <d v="1952-09-25T00:00:00"/>
    <s v="S"/>
    <s v="M"/>
    <s v="logan58@adventure-works.com"/>
    <n v="60000"/>
    <n v="3"/>
    <s v="High School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41"/>
    <d v="2002-03-16T00:00:00"/>
    <s v="SO46289"/>
    <n v="313"/>
    <n v="12075"/>
    <n v="1"/>
    <n v="1"/>
    <n v="1"/>
    <n v="2"/>
    <s v="BK-R93R-52"/>
    <x v="3"/>
    <n v="2171.2941999999998"/>
    <n v="3578.27"/>
    <s v="MR."/>
    <s v="CAMERON"/>
    <s v="GRIFFIN"/>
    <s v="CAMERON GRIFFIN"/>
    <d v="1944-06-26T00:00:00"/>
    <s v="S"/>
    <s v="M"/>
    <s v="cameron16@adventure-works.com"/>
    <n v="60000"/>
    <n v="4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41"/>
    <d v="2002-03-03T00:00:00"/>
    <s v="SO46288"/>
    <n v="311"/>
    <n v="12059"/>
    <n v="1"/>
    <n v="1"/>
    <n v="1"/>
    <n v="2"/>
    <s v="BK-R93R-44"/>
    <x v="4"/>
    <n v="2171.2941999999998"/>
    <n v="3578.27"/>
    <s v="MR."/>
    <s v="JASON"/>
    <s v="JENKINS"/>
    <s v="JASON JENKINS"/>
    <d v="1943-06-02T00:00:00"/>
    <s v="M"/>
    <s v="M"/>
    <s v="jason4@adventure-works.com"/>
    <n v="130000"/>
    <n v="2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41"/>
    <d v="2002-03-13T00:00:00"/>
    <s v="SO46287"/>
    <n v="312"/>
    <n v="12026"/>
    <n v="4"/>
    <n v="1"/>
    <n v="1"/>
    <n v="2"/>
    <s v="BK-R93R-48"/>
    <x v="0"/>
    <n v="2171.2941999999998"/>
    <n v="3578.27"/>
    <s v="MR."/>
    <s v="LUCAS"/>
    <s v="FLORES"/>
    <s v="LUCAS FLORES"/>
    <d v="1978-07-17T00:00:00"/>
    <s v="M"/>
    <s v="M"/>
    <s v="lucas60@adventure-works.com"/>
    <n v="40000"/>
    <n v="0"/>
    <s v="High School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141"/>
    <d v="2002-03-08T00:00:00"/>
    <s v="SO46294"/>
    <n v="345"/>
    <n v="11986"/>
    <n v="9"/>
    <n v="1"/>
    <n v="1"/>
    <n v="1"/>
    <s v="BK-M82S-42"/>
    <x v="6"/>
    <n v="1912.1543999999999"/>
    <n v="3399.99"/>
    <s v="MR."/>
    <s v="MAX"/>
    <s v="ALVAREZ"/>
    <s v="MAX ALVAREZ"/>
    <d v="1963-07-24T00:00:00"/>
    <s v="S"/>
    <s v="M"/>
    <s v="max5@adventure-works.com"/>
    <n v="70000"/>
    <n v="0"/>
    <s v="Bachelors"/>
    <s v="Professional"/>
    <s v="Y"/>
    <s v="Australia"/>
    <x v="2"/>
    <s v="Pacific"/>
    <x v="1"/>
    <s v="Bikes"/>
    <n v="3399.99"/>
    <n v="1912.1543999999999"/>
    <n v="1487.8356000000001"/>
    <n v="0.43759999294115598"/>
  </r>
  <r>
    <x v="142"/>
    <d v="2002-04-28T00:00:00"/>
    <s v="SO46297"/>
    <n v="313"/>
    <n v="12033"/>
    <n v="1"/>
    <n v="1"/>
    <n v="1"/>
    <n v="2"/>
    <s v="BK-R93R-52"/>
    <x v="3"/>
    <n v="2171.2941999999998"/>
    <n v="3578.27"/>
    <s v="MS."/>
    <s v="KRISTEN"/>
    <s v="GUO"/>
    <s v="KRISTEN GUO"/>
    <d v="1979-05-02T00:00:00"/>
    <s v="S"/>
    <s v="F"/>
    <s v="kristen15@adventure-works.com"/>
    <n v="40000"/>
    <n v="0"/>
    <s v="High School"/>
    <s v="Skilled Manual"/>
    <s v="N"/>
    <s v="Northwest"/>
    <x v="1"/>
    <s v="North America"/>
    <x v="0"/>
    <s v="Bikes"/>
    <n v="3578.27"/>
    <n v="2171.2941999999998"/>
    <n v="1406.9757999999999"/>
    <n v="0.39320001006072802"/>
  </r>
  <r>
    <x v="142"/>
    <d v="2002-03-11T00:00:00"/>
    <s v="SO46298"/>
    <n v="314"/>
    <n v="12071"/>
    <n v="4"/>
    <n v="1"/>
    <n v="1"/>
    <n v="2"/>
    <s v="BK-R93R-56"/>
    <x v="2"/>
    <n v="2171.2941999999998"/>
    <n v="3578.27"/>
    <s v="MR."/>
    <s v="ROBERT"/>
    <s v="ROBINSON"/>
    <s v="ROBERT ROBINSON"/>
    <d v="1944-04-02T00:00:00"/>
    <s v="M"/>
    <s v="M"/>
    <s v="robert78@adventure-works.com"/>
    <n v="70000"/>
    <n v="4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42"/>
    <d v="2002-02-21T00:00:00"/>
    <s v="SO46296"/>
    <n v="314"/>
    <n v="12170"/>
    <n v="4"/>
    <n v="1"/>
    <n v="1"/>
    <n v="2"/>
    <s v="BK-R93R-56"/>
    <x v="2"/>
    <n v="2171.2941999999998"/>
    <n v="3578.27"/>
    <s v="MRS."/>
    <s v="SARA"/>
    <s v="REED"/>
    <s v="SARA REED"/>
    <d v="1961-01-07T00:00:00"/>
    <s v="M"/>
    <s v="F"/>
    <s v="sara22@adventure-works.com"/>
    <n v="130000"/>
    <n v="1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43"/>
    <d v="2002-05-10T00:00:00"/>
    <s v="SO46304"/>
    <n v="350"/>
    <n v="12002"/>
    <n v="9"/>
    <n v="1"/>
    <n v="1"/>
    <n v="1"/>
    <s v="BK-M82B-44"/>
    <x v="5"/>
    <n v="1898.0944"/>
    <n v="3374.99"/>
    <s v="MS."/>
    <s v="ADRIANA"/>
    <s v="LOPEZ"/>
    <s v="ADRIANA LOPEZ"/>
    <d v="1964-02-06T00:00:00"/>
    <s v="S"/>
    <s v="F"/>
    <s v="adriana17@adventure-works.com"/>
    <n v="70000"/>
    <n v="0"/>
    <s v="Bachelors"/>
    <s v="Professional"/>
    <s v="Y"/>
    <s v="Australia"/>
    <x v="2"/>
    <s v="Pacific"/>
    <x v="1"/>
    <s v="Bikes"/>
    <n v="3374.99"/>
    <n v="1898.0944"/>
    <n v="1476.8956000000001"/>
    <n v="0.43759999288886797"/>
  </r>
  <r>
    <x v="143"/>
    <d v="2002-03-16T00:00:00"/>
    <s v="SO46302"/>
    <n v="310"/>
    <n v="12083"/>
    <n v="1"/>
    <n v="1"/>
    <n v="1"/>
    <n v="2"/>
    <s v="BK-R93R-62"/>
    <x v="1"/>
    <n v="2171.2941999999998"/>
    <n v="3578.27"/>
    <s v="MRS."/>
    <s v="KAYLA"/>
    <s v="ALEXANDER"/>
    <s v="KAYLA ALEXANDER"/>
    <d v="1946-02-28T00:00:00"/>
    <s v="M"/>
    <s v="F"/>
    <s v="kayla43@adventure-works.com"/>
    <n v="70000"/>
    <n v="4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43"/>
    <d v="2002-02-08T00:00:00"/>
    <s v="SO46301"/>
    <n v="313"/>
    <n v="12817"/>
    <n v="7"/>
    <n v="1"/>
    <n v="1"/>
    <n v="2"/>
    <s v="BK-R93R-52"/>
    <x v="3"/>
    <n v="2171.2941999999998"/>
    <n v="3578.27"/>
    <s v="MR."/>
    <s v="THEODORE"/>
    <s v="SUAREZ"/>
    <s v="THEODORE SUAREZ"/>
    <d v="1966-02-09T00:00:00"/>
    <s v="S"/>
    <s v="M"/>
    <s v="theodore20@adventure-works.com"/>
    <n v="10000"/>
    <n v="5"/>
    <s v="Partial High School"/>
    <s v="Manual"/>
    <s v="Y"/>
    <s v="France"/>
    <x v="0"/>
    <s v="Europe"/>
    <x v="0"/>
    <s v="Bikes"/>
    <n v="3578.27"/>
    <n v="2171.2941999999998"/>
    <n v="1406.9757999999999"/>
    <n v="0.39320001006072802"/>
  </r>
  <r>
    <x v="144"/>
    <d v="2002-05-02T00:00:00"/>
    <s v="SO46309"/>
    <n v="350"/>
    <n v="11994"/>
    <n v="9"/>
    <n v="1"/>
    <n v="1"/>
    <n v="1"/>
    <s v="BK-M82B-44"/>
    <x v="5"/>
    <n v="1898.0944"/>
    <n v="3374.99"/>
    <s v="MS."/>
    <s v="LEAH"/>
    <s v="HU"/>
    <s v="LEAH HU"/>
    <d v="1966-10-22T00:00:00"/>
    <s v="S"/>
    <s v="F"/>
    <s v="leah16@adventure-works.com"/>
    <n v="110000"/>
    <n v="0"/>
    <s v="Graduate Degree"/>
    <s v="Management"/>
    <s v="N"/>
    <s v="Australia"/>
    <x v="2"/>
    <s v="Pacific"/>
    <x v="1"/>
    <s v="Bikes"/>
    <n v="3374.99"/>
    <n v="1898.0944"/>
    <n v="1476.8956000000001"/>
    <n v="0.43759999288886797"/>
  </r>
  <r>
    <x v="144"/>
    <d v="2002-04-24T00:00:00"/>
    <s v="SO46306"/>
    <n v="311"/>
    <n v="12164"/>
    <n v="4"/>
    <n v="1"/>
    <n v="1"/>
    <n v="2"/>
    <s v="BK-R93R-44"/>
    <x v="4"/>
    <n v="2171.2941999999998"/>
    <n v="3578.27"/>
    <s v="MR."/>
    <s v="NOAH"/>
    <s v="BUTLER"/>
    <s v="NOAH BUTLER"/>
    <d v="1963-04-13T00:00:00"/>
    <s v="M"/>
    <s v="M"/>
    <s v="noah11@adventure-works.com"/>
    <n v="150000"/>
    <n v="3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45"/>
    <d v="2002-04-07T00:00:00"/>
    <s v="SO46311"/>
    <n v="314"/>
    <n v="12841"/>
    <n v="7"/>
    <n v="1"/>
    <n v="1"/>
    <n v="2"/>
    <s v="BK-R93R-56"/>
    <x v="2"/>
    <n v="2171.2941999999998"/>
    <n v="3578.27"/>
    <s v="MRS."/>
    <s v="YOLANDA"/>
    <s v="XIE"/>
    <s v="YOLANDA XIE"/>
    <d v="1965-08-24T00:00:00"/>
    <s v="S"/>
    <s v="F"/>
    <s v="yolanda3@adventure-works.com"/>
    <n v="30000"/>
    <n v="2"/>
    <s v="Partial College"/>
    <s v="Clerical"/>
    <s v="Y"/>
    <s v="France"/>
    <x v="0"/>
    <s v="Europe"/>
    <x v="0"/>
    <s v="Bikes"/>
    <n v="3578.27"/>
    <n v="2171.2941999999998"/>
    <n v="1406.9757999999999"/>
    <n v="0.39320001006072802"/>
  </r>
  <r>
    <x v="146"/>
    <d v="2002-02-09T00:00:00"/>
    <s v="SO46314"/>
    <n v="312"/>
    <n v="12112"/>
    <n v="4"/>
    <n v="1"/>
    <n v="1"/>
    <n v="2"/>
    <s v="BK-R93R-48"/>
    <x v="0"/>
    <n v="2171.2941999999998"/>
    <n v="3578.27"/>
    <s v="MRS."/>
    <s v="ARIANNA"/>
    <s v="HENDERSON"/>
    <s v="ARIANNA HENDERSON"/>
    <d v="1950-06-09T00:00:00"/>
    <s v="M"/>
    <s v="F"/>
    <s v="arianna5@adventure-works.com"/>
    <n v="7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46"/>
    <d v="2002-03-03T00:00:00"/>
    <s v="SO46315"/>
    <n v="311"/>
    <n v="12142"/>
    <n v="1"/>
    <n v="1"/>
    <n v="1"/>
    <n v="2"/>
    <s v="BK-R93R-44"/>
    <x v="4"/>
    <n v="2171.2941999999998"/>
    <n v="3578.27"/>
    <s v="MRS."/>
    <s v="GABRIELLA"/>
    <s v="TORRES"/>
    <s v="GABRIELLA TORRES"/>
    <d v="1965-01-06T00:00:00"/>
    <s v="S"/>
    <s v="F"/>
    <s v="gabriella11@adventure-works.com"/>
    <n v="100000"/>
    <n v="4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46"/>
    <d v="2002-05-05T00:00:00"/>
    <s v="SO46313"/>
    <n v="313"/>
    <n v="12078"/>
    <n v="1"/>
    <n v="1"/>
    <n v="1"/>
    <n v="2"/>
    <s v="BK-R93R-52"/>
    <x v="3"/>
    <n v="2171.2941999999998"/>
    <n v="3578.27"/>
    <s v="MR."/>
    <s v="JOSE"/>
    <s v="EDWARDS"/>
    <s v="JOSE EDWARDS"/>
    <d v="1945-02-18T00:00:00"/>
    <s v="M"/>
    <s v="M"/>
    <s v="jose39@adventure-works.com"/>
    <n v="60000"/>
    <n v="4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46"/>
    <d v="2002-03-27T00:00:00"/>
    <s v="SO46312"/>
    <n v="314"/>
    <n v="12153"/>
    <n v="4"/>
    <n v="1"/>
    <n v="1"/>
    <n v="2"/>
    <s v="BK-R93R-56"/>
    <x v="2"/>
    <n v="2171.2941999999998"/>
    <n v="3578.27"/>
    <s v="MRS."/>
    <s v="KAITLYN"/>
    <s v="BAILEY"/>
    <s v="KAITLYN BAILEY"/>
    <d v="1956-09-15T00:00:00"/>
    <s v="S"/>
    <s v="F"/>
    <s v="kaitlyn54@adventure-works.com"/>
    <n v="70000"/>
    <n v="3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47"/>
    <d v="2002-05-09T00:00:00"/>
    <s v="SO46319"/>
    <n v="311"/>
    <n v="12103"/>
    <n v="4"/>
    <n v="1"/>
    <n v="1"/>
    <n v="2"/>
    <s v="BK-R93R-44"/>
    <x v="4"/>
    <n v="2171.2941999999998"/>
    <n v="3578.27"/>
    <s v="MRS."/>
    <s v="CHLOE"/>
    <s v="WHITE"/>
    <s v="CHLOE WHITE"/>
    <d v="1949-10-12T00:00:00"/>
    <s v="M"/>
    <s v="F"/>
    <s v="chloe45@adventure-works.com"/>
    <n v="7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48"/>
    <d v="2002-04-02T00:00:00"/>
    <s v="SO46390"/>
    <n v="313"/>
    <n v="12440"/>
    <n v="4"/>
    <n v="1"/>
    <n v="1"/>
    <n v="2"/>
    <s v="BK-R93R-52"/>
    <x v="3"/>
    <n v="2171.2941999999998"/>
    <n v="3578.27"/>
    <s v="MR."/>
    <s v="FRANCISCO"/>
    <s v="CHANDRA"/>
    <s v="FRANCISCO CHANDRA"/>
    <d v="1956-10-12T00:00:00"/>
    <s v="M"/>
    <s v="M"/>
    <s v="francisco3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48"/>
    <d v="2002-05-14T00:00:00"/>
    <s v="SO46392"/>
    <n v="313"/>
    <n v="13537"/>
    <n v="7"/>
    <n v="1"/>
    <n v="1"/>
    <n v="2"/>
    <s v="BK-R93R-52"/>
    <x v="3"/>
    <n v="2171.2941999999998"/>
    <n v="3578.27"/>
    <s v="MRS."/>
    <s v="JILL"/>
    <s v="MORENO"/>
    <s v="JILL MORENO"/>
    <d v="1959-10-10T00:00:00"/>
    <s v="S"/>
    <s v="F"/>
    <s v="jill14@adventure-works.com"/>
    <n v="10000"/>
    <n v="1"/>
    <s v="High School"/>
    <s v="Manual"/>
    <s v="N"/>
    <s v="France"/>
    <x v="0"/>
    <s v="Europe"/>
    <x v="0"/>
    <s v="Bikes"/>
    <n v="3578.27"/>
    <n v="2171.2941999999998"/>
    <n v="1406.9757999999999"/>
    <n v="0.39320001006072802"/>
  </r>
  <r>
    <x v="79"/>
    <d v="2002-03-05T00:00:00"/>
    <s v="SO46396"/>
    <n v="311"/>
    <n v="12442"/>
    <n v="4"/>
    <n v="1"/>
    <n v="1"/>
    <n v="2"/>
    <s v="BK-R93R-44"/>
    <x v="4"/>
    <n v="2171.2941999999998"/>
    <n v="3578.27"/>
    <s v="MRS."/>
    <s v="ALLISON"/>
    <s v="RICHARDSON"/>
    <s v="ALLISON RICHARDSON"/>
    <d v="1957-08-04T00:00:00"/>
    <s v="M"/>
    <s v="F"/>
    <s v="allison8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49"/>
    <d v="2002-05-10T00:00:00"/>
    <s v="SO46406"/>
    <n v="312"/>
    <n v="12779"/>
    <n v="1"/>
    <n v="1"/>
    <n v="1"/>
    <n v="2"/>
    <s v="BK-R93R-48"/>
    <x v="0"/>
    <n v="2171.2941999999998"/>
    <n v="3578.27"/>
    <s v="MR."/>
    <s v="MASON"/>
    <s v="ROGERS"/>
    <s v="MASON ROGERS"/>
    <d v="1956-08-03T00:00:00"/>
    <s v="M"/>
    <s v="M"/>
    <s v="mason18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49"/>
    <d v="2002-05-14T00:00:00"/>
    <s v="SO46408"/>
    <n v="351"/>
    <n v="12011"/>
    <n v="9"/>
    <n v="1"/>
    <n v="1"/>
    <n v="1"/>
    <s v="BK-M82B-48"/>
    <x v="7"/>
    <n v="1898.0944"/>
    <n v="3374.99"/>
    <s v="MRS."/>
    <s v="MORGAN"/>
    <s v="JOHNSON"/>
    <s v="MORGAN JOHNSON"/>
    <d v="1935-02-17T00:00:00"/>
    <s v="S"/>
    <s v="F"/>
    <s v="morgan24@adventure-works.com"/>
    <n v="30000"/>
    <n v="2"/>
    <s v="Partial College"/>
    <s v="Clerical"/>
    <s v="N"/>
    <s v="Australia"/>
    <x v="2"/>
    <s v="Pacific"/>
    <x v="1"/>
    <s v="Bikes"/>
    <n v="3374.99"/>
    <n v="1898.0944"/>
    <n v="1476.8956000000001"/>
    <n v="0.43759999288886797"/>
  </r>
  <r>
    <x v="150"/>
    <d v="2002-04-24T00:00:00"/>
    <s v="SO46419"/>
    <n v="344"/>
    <n v="12021"/>
    <n v="9"/>
    <n v="1"/>
    <n v="1"/>
    <n v="1"/>
    <s v="BK-M82S-38"/>
    <x v="8"/>
    <n v="1912.1543999999999"/>
    <n v="3399.99"/>
    <s v="MRS."/>
    <s v="DEBORAH"/>
    <s v="YUAN"/>
    <s v="DEBORAH YUAN"/>
    <d v="1946-02-13T00:00:00"/>
    <s v="S"/>
    <s v="F"/>
    <s v="deborah11@adventure-works.com"/>
    <n v="10000"/>
    <n v="5"/>
    <s v="High School"/>
    <s v="Skilled Manual"/>
    <s v="N"/>
    <s v="Australia"/>
    <x v="2"/>
    <s v="Pacific"/>
    <x v="1"/>
    <s v="Bikes"/>
    <n v="3399.99"/>
    <n v="1912.1543999999999"/>
    <n v="1487.8356000000001"/>
    <n v="0.43759999294115598"/>
  </r>
  <r>
    <x v="150"/>
    <d v="2002-02-24T00:00:00"/>
    <s v="SO46420"/>
    <n v="313"/>
    <n v="13511"/>
    <n v="7"/>
    <n v="1"/>
    <n v="1"/>
    <n v="2"/>
    <s v="BK-R93R-52"/>
    <x v="3"/>
    <n v="2171.2941999999998"/>
    <n v="3578.27"/>
    <s v="MR."/>
    <s v="ERNEST"/>
    <s v="LIU"/>
    <s v="ERNEST LIU"/>
    <d v="1941-05-04T00:00:00"/>
    <s v="S"/>
    <s v="M"/>
    <s v="ernest4@adventure-works.com"/>
    <n v="10000"/>
    <n v="2"/>
    <s v="Partial College"/>
    <s v="Manual"/>
    <s v="Y"/>
    <s v="France"/>
    <x v="0"/>
    <s v="Europe"/>
    <x v="0"/>
    <s v="Bikes"/>
    <n v="3578.27"/>
    <n v="2171.2941999999998"/>
    <n v="1406.9757999999999"/>
    <n v="0.39320001006072802"/>
  </r>
  <r>
    <x v="150"/>
    <d v="2002-03-31T00:00:00"/>
    <s v="SO46416"/>
    <n v="313"/>
    <n v="12181"/>
    <n v="4"/>
    <n v="1"/>
    <n v="1"/>
    <n v="2"/>
    <s v="BK-R93R-52"/>
    <x v="3"/>
    <n v="2171.2941999999998"/>
    <n v="3578.27"/>
    <s v="MRS."/>
    <s v="KATELYN"/>
    <s v="SANDERS"/>
    <s v="KATELYN SANDERS"/>
    <d v="1936-08-21T00:00:00"/>
    <s v="M"/>
    <s v="F"/>
    <s v="katelyn2@adventure-works.com"/>
    <n v="130000"/>
    <n v="2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51"/>
    <d v="2002-02-12T00:00:00"/>
    <s v="SO46449"/>
    <n v="345"/>
    <n v="12007"/>
    <n v="9"/>
    <n v="1"/>
    <n v="1"/>
    <n v="1"/>
    <s v="BK-M82S-42"/>
    <x v="6"/>
    <n v="1912.1543999999999"/>
    <n v="3399.99"/>
    <s v="MRS."/>
    <s v="SHANNON"/>
    <s v="SUN"/>
    <s v="SHANNON SUN"/>
    <d v="1961-07-26T00:00:00"/>
    <s v="M"/>
    <s v="F"/>
    <s v="shannon12@adventure-works.com"/>
    <n v="60000"/>
    <n v="1"/>
    <s v="Partial College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150"/>
    <d v="2002-04-18T00:00:00"/>
    <s v="SO46417"/>
    <n v="314"/>
    <n v="12441"/>
    <n v="4"/>
    <n v="1"/>
    <n v="1"/>
    <n v="2"/>
    <s v="BK-R93R-56"/>
    <x v="2"/>
    <n v="2171.2941999999998"/>
    <n v="3578.27"/>
    <s v="MR."/>
    <s v="TREVOR"/>
    <s v="SIMMONS"/>
    <s v="TREVOR SIMMONS"/>
    <d v="1957-11-21T00:00:00"/>
    <s v="M"/>
    <s v="M"/>
    <s v="trevor15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52"/>
    <d v="2002-05-25T00:00:00"/>
    <s v="SO46477"/>
    <n v="346"/>
    <n v="12009"/>
    <n v="9"/>
    <n v="1"/>
    <n v="1"/>
    <n v="1"/>
    <s v="BK-M82S-44"/>
    <x v="12"/>
    <n v="1912.1543999999999"/>
    <n v="3399.99"/>
    <s v="MRS."/>
    <s v="ANN"/>
    <s v="MARTINEZ"/>
    <s v="ANN MARTINEZ"/>
    <d v="1957-08-03T00:00:00"/>
    <s v="S"/>
    <s v="F"/>
    <s v="ann22@adventure-works.com"/>
    <n v="80000"/>
    <n v="1"/>
    <s v="Partial College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70"/>
    <d v="2002-03-02T00:00:00"/>
    <s v="SO46555"/>
    <n v="351"/>
    <n v="12010"/>
    <n v="9"/>
    <n v="1"/>
    <n v="1"/>
    <n v="1"/>
    <s v="BK-M82B-48"/>
    <x v="7"/>
    <n v="1898.0944"/>
    <n v="3374.99"/>
    <s v="MR."/>
    <s v="MAX"/>
    <s v="SERRANO"/>
    <s v="MAX SERRANO"/>
    <d v="1957-02-26T00:00:00"/>
    <s v="M"/>
    <s v="M"/>
    <s v="max16@adventure-works.com"/>
    <n v="80000"/>
    <n v="1"/>
    <s v="Partial College"/>
    <s v="Skilled Manual"/>
    <s v="Y"/>
    <s v="Australia"/>
    <x v="2"/>
    <s v="Pacific"/>
    <x v="1"/>
    <s v="Bikes"/>
    <n v="3374.99"/>
    <n v="1898.0944"/>
    <n v="1476.8956000000001"/>
    <n v="0.43759999288886797"/>
  </r>
  <r>
    <x v="153"/>
    <d v="2002-05-02T00:00:00"/>
    <s v="SO46424"/>
    <n v="312"/>
    <n v="12435"/>
    <n v="4"/>
    <n v="1"/>
    <n v="1"/>
    <n v="2"/>
    <s v="BK-R93R-48"/>
    <x v="0"/>
    <n v="2171.2941999999998"/>
    <n v="3578.27"/>
    <s v="MRS."/>
    <s v="CHRISTY"/>
    <s v="ZHOU"/>
    <s v="CHRISTY ZHOU"/>
    <d v="1955-10-10T00:00:00"/>
    <s v="M"/>
    <s v="F"/>
    <s v="christy8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54"/>
    <d v="2002-03-22T00:00:00"/>
    <s v="SO46462"/>
    <n v="345"/>
    <n v="12013"/>
    <n v="9"/>
    <n v="1"/>
    <n v="1"/>
    <n v="1"/>
    <s v="BK-M82S-42"/>
    <x v="6"/>
    <n v="1912.1543999999999"/>
    <n v="3399.99"/>
    <s v="MRS."/>
    <s v="KAYLA"/>
    <s v="LEWIS"/>
    <s v="KAYLA LEWIS"/>
    <d v="1953-03-07T00:00:00"/>
    <s v="S"/>
    <s v="F"/>
    <s v="kayla20@adventure-works.com"/>
    <n v="30000"/>
    <n v="2"/>
    <s v="Partial College"/>
    <s v="Clerical"/>
    <s v="Y"/>
    <s v="Australia"/>
    <x v="2"/>
    <s v="Pacific"/>
    <x v="1"/>
    <s v="Bikes"/>
    <n v="3399.99"/>
    <n v="1912.1543999999999"/>
    <n v="1487.8356000000001"/>
    <n v="0.43759999294115598"/>
  </r>
  <r>
    <x v="153"/>
    <d v="2002-03-27T00:00:00"/>
    <s v="SO46422"/>
    <n v="311"/>
    <n v="12884"/>
    <n v="4"/>
    <n v="1"/>
    <n v="1"/>
    <n v="2"/>
    <s v="BK-R93R-44"/>
    <x v="4"/>
    <n v="2171.2941999999998"/>
    <n v="3578.27"/>
    <s v="MRS."/>
    <s v="MEGAN"/>
    <s v="WILLIAMS"/>
    <s v="MEGAN WILLIAMS"/>
    <d v="1971-05-12T00:00:00"/>
    <s v="S"/>
    <s v="F"/>
    <s v="megan5@adventure-works.com"/>
    <n v="6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55"/>
    <d v="2002-02-16T00:00:00"/>
    <s v="SO46456"/>
    <n v="346"/>
    <n v="12014"/>
    <n v="9"/>
    <n v="1"/>
    <n v="1"/>
    <n v="1"/>
    <s v="BK-M82S-44"/>
    <x v="12"/>
    <n v="1912.1543999999999"/>
    <n v="3399.99"/>
    <s v="MR."/>
    <s v="DEVIN"/>
    <s v="SANDERS"/>
    <s v="DEVIN SANDERS"/>
    <d v="1949-02-09T00:00:00"/>
    <s v="M"/>
    <s v="M"/>
    <s v="devin65@adventure-works.com"/>
    <n v="10000"/>
    <n v="2"/>
    <s v="High School"/>
    <s v="Skilled Manual"/>
    <s v="Y"/>
    <s v="Australia"/>
    <x v="2"/>
    <s v="Pacific"/>
    <x v="1"/>
    <s v="Bikes"/>
    <n v="3399.99"/>
    <n v="1912.1543999999999"/>
    <n v="1487.8356000000001"/>
    <n v="0.43759999294115598"/>
  </r>
  <r>
    <x v="153"/>
    <d v="2002-04-29T00:00:00"/>
    <s v="SO46423"/>
    <n v="313"/>
    <n v="12362"/>
    <n v="4"/>
    <n v="1"/>
    <n v="1"/>
    <n v="2"/>
    <s v="BK-R93R-52"/>
    <x v="3"/>
    <n v="2171.2941999999998"/>
    <n v="3578.27"/>
    <s v="MR."/>
    <s v="THOMAS"/>
    <s v="HARRISON"/>
    <s v="THOMAS HARRISON"/>
    <d v="1941-07-06T00:00:00"/>
    <s v="S"/>
    <s v="M"/>
    <s v="thomas25@adventure-works.com"/>
    <n v="90000"/>
    <n v="5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69"/>
    <d v="2002-03-18T00:00:00"/>
    <s v="SO46436"/>
    <n v="347"/>
    <n v="12337"/>
    <n v="9"/>
    <n v="1"/>
    <n v="1"/>
    <n v="1"/>
    <s v="BK-M82S-48"/>
    <x v="10"/>
    <n v="1912.1543999999999"/>
    <n v="3399.99"/>
    <s v="MR."/>
    <s v="DUSTIN"/>
    <s v="GOLDSTEIN"/>
    <s v="DUSTIN GOLDSTEIN"/>
    <d v="1975-10-09T00:00:00"/>
    <s v="S"/>
    <s v="M"/>
    <s v="dustin20@adventure-works.com"/>
    <n v="70000"/>
    <n v="0"/>
    <s v="Bachelors"/>
    <s v="Professional"/>
    <s v="N"/>
    <s v="Australia"/>
    <x v="2"/>
    <s v="Pacific"/>
    <x v="1"/>
    <s v="Bikes"/>
    <n v="3399.99"/>
    <n v="1912.1543999999999"/>
    <n v="1487.8356000000001"/>
    <n v="0.43759999294115598"/>
  </r>
  <r>
    <x v="69"/>
    <d v="2002-02-09T00:00:00"/>
    <s v="SO46431"/>
    <n v="310"/>
    <n v="12901"/>
    <n v="1"/>
    <n v="1"/>
    <n v="1"/>
    <n v="2"/>
    <s v="BK-R93R-62"/>
    <x v="1"/>
    <n v="2171.2941999999998"/>
    <n v="3578.27"/>
    <s v="MR."/>
    <s v="ROBERT"/>
    <s v="ADAMS"/>
    <s v="ROBERT ADAMS"/>
    <d v="1969-02-12T00:00:00"/>
    <s v="M"/>
    <s v="M"/>
    <s v="robert57@adventure-works.com"/>
    <n v="50000"/>
    <n v="2"/>
    <s v="Bachelors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69"/>
    <d v="2002-05-01T00:00:00"/>
    <s v="SO46430"/>
    <n v="314"/>
    <n v="13564"/>
    <n v="7"/>
    <n v="1"/>
    <n v="1"/>
    <n v="2"/>
    <s v="BK-R93R-56"/>
    <x v="2"/>
    <n v="2171.2941999999998"/>
    <n v="3578.27"/>
    <s v="MRS."/>
    <s v="SABRINA"/>
    <s v="BLANCO"/>
    <s v="SABRINA BLANCO"/>
    <d v="1952-03-25T00:00:00"/>
    <s v="M"/>
    <s v="F"/>
    <s v="sabrina9@adventure-works.com"/>
    <n v="10000"/>
    <n v="3"/>
    <s v="Partial College"/>
    <s v="Manual"/>
    <s v="N"/>
    <s v="France"/>
    <x v="0"/>
    <s v="Europe"/>
    <x v="0"/>
    <s v="Bikes"/>
    <n v="3578.27"/>
    <n v="2171.2941999999998"/>
    <n v="1406.9757999999999"/>
    <n v="0.39320001006072802"/>
  </r>
  <r>
    <x v="69"/>
    <d v="2002-04-15T00:00:00"/>
    <s v="SO46435"/>
    <n v="348"/>
    <n v="12251"/>
    <n v="9"/>
    <n v="1"/>
    <n v="1"/>
    <n v="1"/>
    <s v="BK-M82B-38"/>
    <x v="9"/>
    <n v="1898.0944"/>
    <n v="3374.99"/>
    <s v="MR."/>
    <s v="TROY"/>
    <s v="SURI"/>
    <s v="TROY SURI"/>
    <d v="1977-04-09T00:00:00"/>
    <s v="M"/>
    <s v="M"/>
    <s v="troy0@adventure-works.com"/>
    <n v="20000"/>
    <n v="0"/>
    <s v="Partial College"/>
    <s v="Manual"/>
    <s v="Y"/>
    <s v="Australia"/>
    <x v="2"/>
    <s v="Pacific"/>
    <x v="1"/>
    <s v="Bikes"/>
    <n v="3374.99"/>
    <n v="1898.0944"/>
    <n v="1476.8956000000001"/>
    <n v="0.43759999288886797"/>
  </r>
  <r>
    <x v="156"/>
    <d v="2002-04-08T00:00:00"/>
    <s v="SO46438"/>
    <n v="313"/>
    <n v="12174"/>
    <n v="4"/>
    <n v="1"/>
    <n v="1"/>
    <n v="2"/>
    <s v="BK-R93R-52"/>
    <x v="3"/>
    <n v="2171.2941999999998"/>
    <n v="3578.27"/>
    <s v="MR."/>
    <s v="CHARLES"/>
    <s v="PHILLIPS"/>
    <s v="CHARLES PHILLIPS"/>
    <d v="1961-05-07T00:00:00"/>
    <s v="M"/>
    <s v="M"/>
    <s v="charles42@adventure-works.com"/>
    <n v="170000"/>
    <n v="1"/>
    <s v="Graduate Degree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56"/>
    <d v="2002-02-13T00:00:00"/>
    <s v="SO46444"/>
    <n v="351"/>
    <n v="12246"/>
    <n v="9"/>
    <n v="1"/>
    <n v="1"/>
    <n v="1"/>
    <s v="BK-M82B-48"/>
    <x v="7"/>
    <n v="1898.0944"/>
    <n v="3374.99"/>
    <s v="MR."/>
    <s v="SHAWN"/>
    <s v="LUO"/>
    <s v="SHAWN LUO"/>
    <d v="1979-10-12T00:00:00"/>
    <s v="M"/>
    <s v="M"/>
    <s v="shawn8@adventure-works.com"/>
    <n v="10000"/>
    <n v="1"/>
    <s v="High School"/>
    <s v="Manual"/>
    <s v="Y"/>
    <s v="Australia"/>
    <x v="2"/>
    <s v="Pacific"/>
    <x v="1"/>
    <s v="Bikes"/>
    <n v="3374.99"/>
    <n v="1898.0944"/>
    <n v="1476.8956000000001"/>
    <n v="0.43759999288886797"/>
  </r>
  <r>
    <x v="151"/>
    <d v="2002-03-26T00:00:00"/>
    <s v="SO46445"/>
    <n v="312"/>
    <n v="12772"/>
    <n v="1"/>
    <n v="1"/>
    <n v="1"/>
    <n v="2"/>
    <s v="BK-R93R-48"/>
    <x v="0"/>
    <n v="2171.2941999999998"/>
    <n v="3578.27"/>
    <s v="MRS."/>
    <s v="ABIGAIL"/>
    <s v="CLARK"/>
    <s v="ABIGAIL CLARK"/>
    <d v="1955-04-25T00:00:00"/>
    <s v="M"/>
    <s v="F"/>
    <s v="abigail60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51"/>
    <d v="2002-04-22T00:00:00"/>
    <s v="SO46448"/>
    <n v="344"/>
    <n v="12250"/>
    <n v="9"/>
    <n v="1"/>
    <n v="1"/>
    <n v="1"/>
    <s v="BK-M82S-38"/>
    <x v="8"/>
    <n v="1912.1543999999999"/>
    <n v="3399.99"/>
    <s v="MRS."/>
    <s v="ANDREA"/>
    <s v="COLLINS"/>
    <s v="ANDREA COLLINS"/>
    <d v="1977-04-08T00:00:00"/>
    <s v="S"/>
    <s v="F"/>
    <s v="andrea26@adventure-works.com"/>
    <n v="10000"/>
    <n v="1"/>
    <s v="High School"/>
    <s v="Manual"/>
    <s v="N"/>
    <s v="Australia"/>
    <x v="2"/>
    <s v="Pacific"/>
    <x v="1"/>
    <s v="Bikes"/>
    <n v="3399.99"/>
    <n v="1912.1543999999999"/>
    <n v="1487.8356000000001"/>
    <n v="0.43759999294115598"/>
  </r>
  <r>
    <x v="151"/>
    <d v="2002-05-16T00:00:00"/>
    <s v="SO46446"/>
    <n v="312"/>
    <n v="12777"/>
    <n v="1"/>
    <n v="1"/>
    <n v="1"/>
    <n v="2"/>
    <s v="BK-R93R-48"/>
    <x v="0"/>
    <n v="2171.2941999999998"/>
    <n v="3578.27"/>
    <s v="MR."/>
    <s v="JOSEPH"/>
    <s v="ANDERSON"/>
    <s v="JOSEPH ANDERSON"/>
    <d v="1956-05-22T00:00:00"/>
    <s v="M"/>
    <s v="M"/>
    <s v="joseph16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57"/>
    <d v="2002-05-10T00:00:00"/>
    <s v="SO46596"/>
    <n v="349"/>
    <n v="12037"/>
    <n v="9"/>
    <n v="1"/>
    <n v="1"/>
    <n v="1"/>
    <s v="BK-M82B-42"/>
    <x v="11"/>
    <n v="1898.0944"/>
    <n v="3374.99"/>
    <s v="MRS."/>
    <s v="PATRICIA"/>
    <s v="CHAPMAN"/>
    <s v="PATRICIA CHAPMAN"/>
    <d v="1943-09-14T00:00:00"/>
    <s v="S"/>
    <s v="F"/>
    <s v="patricia7@adventure-works.com"/>
    <n v="40000"/>
    <n v="2"/>
    <s v="Bachelors"/>
    <s v="Management"/>
    <s v="Y"/>
    <s v="Australia"/>
    <x v="2"/>
    <s v="Pacific"/>
    <x v="1"/>
    <s v="Bikes"/>
    <n v="3374.99"/>
    <n v="1898.0944"/>
    <n v="1476.8956000000001"/>
    <n v="0.43759999288886797"/>
  </r>
  <r>
    <x v="155"/>
    <d v="2002-04-04T00:00:00"/>
    <s v="SO46451"/>
    <n v="310"/>
    <n v="12709"/>
    <n v="4"/>
    <n v="1"/>
    <n v="1"/>
    <n v="2"/>
    <s v="BK-R93R-62"/>
    <x v="1"/>
    <n v="2171.2941999999998"/>
    <n v="3578.27"/>
    <s v="MR."/>
    <s v="IAN"/>
    <s v="RODRIGUEZ"/>
    <s v="IAN RODRIGUEZ"/>
    <d v="1941-01-14T00:00:00"/>
    <s v="M"/>
    <s v="M"/>
    <s v="ian18@adventure-works.com"/>
    <n v="130000"/>
    <n v="2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57"/>
    <d v="2002-03-19T00:00:00"/>
    <s v="SO46597"/>
    <n v="348"/>
    <n v="12039"/>
    <n v="9"/>
    <n v="1"/>
    <n v="1"/>
    <n v="1"/>
    <s v="BK-M82B-38"/>
    <x v="9"/>
    <n v="1898.0944"/>
    <n v="3374.99"/>
    <s v="MR."/>
    <s v="RICARDO"/>
    <s v="NATH"/>
    <s v="RICARDO NATH"/>
    <d v="1943-02-13T00:00:00"/>
    <s v="M"/>
    <s v="M"/>
    <s v="ricardo17@adventure-works.com"/>
    <n v="70000"/>
    <n v="2"/>
    <s v="Graduate Degree"/>
    <s v="Management"/>
    <s v="Y"/>
    <s v="Australia"/>
    <x v="2"/>
    <s v="Pacific"/>
    <x v="1"/>
    <s v="Bikes"/>
    <n v="3374.99"/>
    <n v="1898.0944"/>
    <n v="1476.8956000000001"/>
    <n v="0.43759999288886797"/>
  </r>
  <r>
    <x v="155"/>
    <d v="2002-03-08T00:00:00"/>
    <s v="SO46450"/>
    <n v="314"/>
    <n v="12446"/>
    <n v="4"/>
    <n v="1"/>
    <n v="1"/>
    <n v="2"/>
    <s v="BK-R93R-56"/>
    <x v="2"/>
    <n v="2171.2941999999998"/>
    <n v="3578.27"/>
    <s v=""/>
    <s v="JASMINE"/>
    <s v="HALL"/>
    <s v="JASMINE HALL"/>
    <d v="1957-08-03T00:00:00"/>
    <s v="M"/>
    <s v="NA"/>
    <s v="jasmine21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54"/>
    <d v="2002-05-01T00:00:00"/>
    <s v="SO46460"/>
    <n v="312"/>
    <n v="12438"/>
    <n v="4"/>
    <n v="1"/>
    <n v="1"/>
    <n v="2"/>
    <s v="BK-R93R-48"/>
    <x v="0"/>
    <n v="2171.2941999999998"/>
    <n v="3578.27"/>
    <s v="MRS."/>
    <s v="BAILEY"/>
    <s v="ROGERS"/>
    <s v="BAILEY ROGERS"/>
    <d v="1955-10-19T00:00:00"/>
    <s v="S"/>
    <s v="F"/>
    <s v="bailey17@adventure-works.com"/>
    <n v="80000"/>
    <n v="5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54"/>
    <d v="2002-05-27T00:00:00"/>
    <s v="SO46459"/>
    <n v="313"/>
    <n v="12190"/>
    <n v="4"/>
    <n v="1"/>
    <n v="1"/>
    <n v="2"/>
    <s v="BK-R93R-52"/>
    <x v="3"/>
    <n v="2171.2941999999998"/>
    <n v="3578.27"/>
    <s v="MR."/>
    <s v="JUSTIN"/>
    <s v="GONZALES"/>
    <s v="JUSTIN GONZALES"/>
    <d v="1960-12-17T00:00:00"/>
    <s v="S"/>
    <s v="M"/>
    <s v="justin14@adventure-works.com"/>
    <n v="170000"/>
    <n v="1"/>
    <s v="Graduate Degree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54"/>
    <d v="2002-02-18T00:00:00"/>
    <s v="SO46458"/>
    <n v="310"/>
    <n v="12771"/>
    <n v="4"/>
    <n v="1"/>
    <n v="1"/>
    <n v="2"/>
    <s v="BK-R93R-62"/>
    <x v="1"/>
    <n v="2171.2941999999998"/>
    <n v="3578.27"/>
    <s v="MRS."/>
    <s v="MORGAN"/>
    <s v="THOMAS"/>
    <s v="MORGAN THOMAS"/>
    <d v="1955-10-22T00:00:00"/>
    <s v="M"/>
    <s v="F"/>
    <s v="morgan33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67"/>
    <d v="2002-03-31T00:00:00"/>
    <s v="SO46472"/>
    <n v="344"/>
    <n v="12248"/>
    <n v="9"/>
    <n v="1"/>
    <n v="1"/>
    <n v="1"/>
    <s v="BK-M82S-38"/>
    <x v="8"/>
    <n v="1912.1543999999999"/>
    <n v="3399.99"/>
    <s v="MR."/>
    <s v="DEVIN"/>
    <s v="TAYLOR"/>
    <s v="DEVIN TAYLOR"/>
    <d v="1978-03-14T00:00:00"/>
    <s v="S"/>
    <s v="M"/>
    <s v="devin7@adventure-works.com"/>
    <n v="10000"/>
    <n v="1"/>
    <s v="High School"/>
    <s v="Manual"/>
    <s v="N"/>
    <s v="Australia"/>
    <x v="2"/>
    <s v="Pacific"/>
    <x v="1"/>
    <s v="Bikes"/>
    <n v="3399.99"/>
    <n v="1912.1543999999999"/>
    <n v="1487.8356000000001"/>
    <n v="0.43759999294115598"/>
  </r>
  <r>
    <x v="67"/>
    <d v="2002-03-25T00:00:00"/>
    <s v="SO46467"/>
    <n v="314"/>
    <n v="12180"/>
    <n v="1"/>
    <n v="1"/>
    <n v="1"/>
    <n v="2"/>
    <s v="BK-R93R-56"/>
    <x v="2"/>
    <n v="2171.2941999999998"/>
    <n v="3578.27"/>
    <s v="MRS."/>
    <s v="HOLLY"/>
    <s v="MEHTA"/>
    <s v="HOLLY MEHTA"/>
    <d v="1936-09-17T00:00:00"/>
    <s v="S"/>
    <s v="F"/>
    <s v="holly13@adventure-works.com"/>
    <n v="50000"/>
    <n v="2"/>
    <s v="Graduate Degree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67"/>
    <d v="2002-03-19T00:00:00"/>
    <s v="SO46464"/>
    <n v="310"/>
    <n v="12885"/>
    <n v="4"/>
    <n v="1"/>
    <n v="1"/>
    <n v="2"/>
    <s v="BK-R93R-62"/>
    <x v="1"/>
    <n v="2171.2941999999998"/>
    <n v="3578.27"/>
    <s v="MR."/>
    <s v="JONATHAN"/>
    <s v="ANDERSON"/>
    <s v="JONATHAN ANDERSON"/>
    <d v="1971-08-15T00:00:00"/>
    <s v="M"/>
    <s v="M"/>
    <s v="jonathan62@adventure-works.com"/>
    <n v="6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67"/>
    <d v="2002-05-23T00:00:00"/>
    <s v="SO46466"/>
    <n v="311"/>
    <n v="12915"/>
    <n v="1"/>
    <n v="1"/>
    <n v="1"/>
    <n v="2"/>
    <s v="BK-R93R-44"/>
    <x v="4"/>
    <n v="2171.2941999999998"/>
    <n v="3578.27"/>
    <s v="MS."/>
    <s v="KAITLYN"/>
    <s v="ALEXANDER"/>
    <s v="KAITLYN ALEXANDER"/>
    <d v="1967-03-20T00:00:00"/>
    <s v="S"/>
    <s v="F"/>
    <s v="kaitlyn86@adventure-works.com"/>
    <n v="40000"/>
    <n v="0"/>
    <s v="Bachelors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67"/>
    <d v="2002-03-07T00:00:00"/>
    <s v="SO46465"/>
    <n v="311"/>
    <n v="12898"/>
    <n v="4"/>
    <n v="1"/>
    <n v="1"/>
    <n v="2"/>
    <s v="BK-R93R-44"/>
    <x v="4"/>
    <n v="2171.2941999999998"/>
    <n v="3578.27"/>
    <s v="MRS."/>
    <s v="MADELINE"/>
    <s v="CAMPBELL"/>
    <s v="MADELINE CAMPBELL"/>
    <d v="1970-09-09T00:00:00"/>
    <s v="M"/>
    <s v="F"/>
    <s v="madeline6@adventure-works.com"/>
    <n v="50000"/>
    <n v="1"/>
    <s v="Bachelors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58"/>
    <d v="2002-02-14T00:00:00"/>
    <s v="SO46482"/>
    <n v="346"/>
    <n v="12245"/>
    <n v="9"/>
    <n v="1"/>
    <n v="1"/>
    <n v="1"/>
    <s v="BK-M82S-44"/>
    <x v="12"/>
    <n v="1912.1543999999999"/>
    <n v="3399.99"/>
    <s v="MR."/>
    <s v="FRANCISCO"/>
    <s v="GONZALEZ"/>
    <s v="FRANCISCO GONZALEZ"/>
    <d v="1978-11-26T00:00:00"/>
    <s v="S"/>
    <s v="M"/>
    <s v="francisco20@adventure-works.com"/>
    <n v="10000"/>
    <n v="0"/>
    <s v="Partial College"/>
    <s v="Manual"/>
    <s v="Y"/>
    <s v="Australia"/>
    <x v="2"/>
    <s v="Pacific"/>
    <x v="1"/>
    <s v="Bikes"/>
    <n v="3399.99"/>
    <n v="1912.1543999999999"/>
    <n v="1487.8356000000001"/>
    <n v="0.43759999294115598"/>
  </r>
  <r>
    <x v="158"/>
    <d v="2002-03-13T00:00:00"/>
    <s v="SO46479"/>
    <n v="310"/>
    <n v="12768"/>
    <n v="4"/>
    <n v="1"/>
    <n v="1"/>
    <n v="2"/>
    <s v="BK-R93R-62"/>
    <x v="1"/>
    <n v="2171.2941999999998"/>
    <n v="3578.27"/>
    <s v="MR."/>
    <s v="JOHNATHAN"/>
    <s v="CHAPMAN"/>
    <s v="JOHNATHAN CHAPMAN"/>
    <d v="1954-05-26T00:00:00"/>
    <s v="M"/>
    <s v="M"/>
    <s v="johnathan3@adventure-works.com"/>
    <n v="30000"/>
    <n v="1"/>
    <s v="High School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59"/>
    <d v="2002-04-24T00:00:00"/>
    <s v="SO46485"/>
    <n v="313"/>
    <n v="12755"/>
    <n v="4"/>
    <n v="1"/>
    <n v="1"/>
    <n v="2"/>
    <s v="BK-R93R-52"/>
    <x v="3"/>
    <n v="2171.2941999999998"/>
    <n v="3578.27"/>
    <s v="MRS."/>
    <s v="CHLOE"/>
    <s v="HUGHES"/>
    <s v="CHLOE HUGHES"/>
    <d v="1975-10-02T00:00:00"/>
    <s v="S"/>
    <s v="F"/>
    <s v="chloe78@adventure-works.com"/>
    <n v="40000"/>
    <n v="3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59"/>
    <d v="2002-04-30T00:00:00"/>
    <s v="SO46484"/>
    <n v="312"/>
    <n v="12437"/>
    <n v="1"/>
    <n v="1"/>
    <n v="1"/>
    <n v="2"/>
    <s v="BK-R93R-48"/>
    <x v="0"/>
    <n v="2171.2941999999998"/>
    <n v="3578.27"/>
    <s v="MR."/>
    <s v="JEREMY"/>
    <s v="YOUNG"/>
    <s v="JEREMY YOUNG"/>
    <d v="1955-06-15T00:00:00"/>
    <s v="M"/>
    <s v="M"/>
    <s v="jeremy8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59"/>
    <d v="2002-04-08T00:00:00"/>
    <s v="SO46483"/>
    <n v="312"/>
    <n v="12883"/>
    <n v="4"/>
    <n v="1"/>
    <n v="1"/>
    <n v="2"/>
    <s v="BK-R93R-48"/>
    <x v="0"/>
    <n v="2171.2941999999998"/>
    <n v="3578.27"/>
    <s v="MRS."/>
    <s v="STEPHANIE"/>
    <s v="BAILEY"/>
    <s v="STEPHANIE BAILEY"/>
    <d v="1971-11-06T00:00:00"/>
    <s v="S"/>
    <s v="F"/>
    <s v="stephanie12@adventure-works.com"/>
    <n v="6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60"/>
    <d v="2002-03-07T00:00:00"/>
    <s v="SO46490"/>
    <n v="313"/>
    <n v="12189"/>
    <n v="4"/>
    <n v="1"/>
    <n v="1"/>
    <n v="2"/>
    <s v="BK-R93R-52"/>
    <x v="3"/>
    <n v="2171.2941999999998"/>
    <n v="3578.27"/>
    <s v="MRS."/>
    <s v="SOPHIA"/>
    <s v="WRIGHT"/>
    <s v="SOPHIA WRIGHT"/>
    <d v="1960-02-19T00:00:00"/>
    <s v="M"/>
    <s v="F"/>
    <s v="sophia18@adventure-works.com"/>
    <n v="130000"/>
    <n v="4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61"/>
    <d v="2002-02-27T00:00:00"/>
    <s v="SO46492"/>
    <n v="312"/>
    <n v="12198"/>
    <n v="1"/>
    <n v="1"/>
    <n v="1"/>
    <n v="2"/>
    <s v="BK-R93R-48"/>
    <x v="0"/>
    <n v="2171.2941999999998"/>
    <n v="3578.27"/>
    <s v="MR."/>
    <s v="NOAH"/>
    <s v="SCOTT"/>
    <s v="NOAH SCOTT"/>
    <d v="1953-02-14T00:00:00"/>
    <s v="M"/>
    <s v="M"/>
    <s v="noah42@adventure-works.com"/>
    <n v="60000"/>
    <n v="3"/>
    <s v="Graduate Degree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62"/>
    <d v="2002-05-19T00:00:00"/>
    <s v="SO46503"/>
    <n v="310"/>
    <n v="12764"/>
    <n v="1"/>
    <n v="1"/>
    <n v="1"/>
    <n v="2"/>
    <s v="BK-R93R-62"/>
    <x v="1"/>
    <n v="2171.2941999999998"/>
    <n v="3578.27"/>
    <s v="MRS."/>
    <s v="ALEXANDRA"/>
    <s v="HARRIS"/>
    <s v="ALEXANDRA HARRIS"/>
    <d v="1953-08-17T00:00:00"/>
    <s v="M"/>
    <s v="F"/>
    <s v="alexandra77@adventure-works.com"/>
    <n v="3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62"/>
    <d v="2002-04-05T00:00:00"/>
    <s v="SO46499"/>
    <n v="310"/>
    <n v="12179"/>
    <n v="1"/>
    <n v="1"/>
    <n v="1"/>
    <n v="2"/>
    <s v="BK-R93R-62"/>
    <x v="1"/>
    <n v="2171.2941999999998"/>
    <n v="3578.27"/>
    <s v="MRS."/>
    <s v="ALEXIS"/>
    <s v="JONES"/>
    <s v="ALEXIS JONES"/>
    <d v="1935-10-10T00:00:00"/>
    <s v="S"/>
    <s v="F"/>
    <s v="alexis3@adventure-works.com"/>
    <n v="50000"/>
    <n v="2"/>
    <s v="Graduate Degree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62"/>
    <d v="2002-02-18T00:00:00"/>
    <s v="SO46500"/>
    <n v="314"/>
    <n v="12208"/>
    <n v="1"/>
    <n v="1"/>
    <n v="1"/>
    <n v="2"/>
    <s v="BK-R93R-56"/>
    <x v="2"/>
    <n v="2171.2941999999998"/>
    <n v="3578.27"/>
    <s v="MRS."/>
    <s v="DOMINIQUE"/>
    <s v="SANCHEZ"/>
    <s v="DOMINIQUE SANCHEZ"/>
    <d v="1940-02-19T00:00:00"/>
    <s v="M"/>
    <s v="F"/>
    <s v="dominique17@adventure-works.com"/>
    <n v="130000"/>
    <n v="2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62"/>
    <d v="2002-03-06T00:00:00"/>
    <s v="SO46506"/>
    <n v="349"/>
    <n v="12242"/>
    <n v="9"/>
    <n v="1"/>
    <n v="1"/>
    <n v="1"/>
    <s v="BK-M82B-42"/>
    <x v="11"/>
    <n v="1898.0944"/>
    <n v="3374.99"/>
    <s v="MR."/>
    <s v="GILBERT"/>
    <s v="LIANG"/>
    <s v="GILBERT LIANG"/>
    <d v="1979-02-04T00:00:00"/>
    <s v="S"/>
    <s v="M"/>
    <s v="gilbert14@adventure-works.com"/>
    <n v="10000"/>
    <n v="0"/>
    <s v="Partial College"/>
    <s v="Manual"/>
    <s v="N"/>
    <s v="Australia"/>
    <x v="2"/>
    <s v="Pacific"/>
    <x v="1"/>
    <s v="Bikes"/>
    <n v="3374.99"/>
    <n v="1898.0944"/>
    <n v="1476.8956000000001"/>
    <n v="0.43759999288886797"/>
  </r>
  <r>
    <x v="162"/>
    <d v="2002-03-23T00:00:00"/>
    <s v="SO46498"/>
    <n v="313"/>
    <n v="12881"/>
    <n v="4"/>
    <n v="1"/>
    <n v="1"/>
    <n v="2"/>
    <s v="BK-R93R-52"/>
    <x v="3"/>
    <n v="2171.2941999999998"/>
    <n v="3578.27"/>
    <s v="MRS."/>
    <s v="ISABELLA"/>
    <s v="EDWARDS"/>
    <s v="ISABELLA EDWARDS"/>
    <d v="1973-11-14T00:00:00"/>
    <s v="S"/>
    <s v="F"/>
    <s v="isabella34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62"/>
    <d v="2002-05-11T00:00:00"/>
    <s v="SO46497"/>
    <n v="310"/>
    <n v="13558"/>
    <n v="7"/>
    <n v="1"/>
    <n v="1"/>
    <n v="2"/>
    <s v="BK-R93R-62"/>
    <x v="1"/>
    <n v="2171.2941999999998"/>
    <n v="3578.27"/>
    <s v="MS."/>
    <s v="KAREN"/>
    <s v="LU"/>
    <s v="KAREN LU"/>
    <d v="1969-06-22T00:00:00"/>
    <s v="M"/>
    <s v="F"/>
    <s v="karen21@adventure-works.com"/>
    <n v="40000"/>
    <n v="0"/>
    <s v="Graduate Degree"/>
    <s v="Clerical"/>
    <s v="Y"/>
    <s v="France"/>
    <x v="0"/>
    <s v="Europe"/>
    <x v="0"/>
    <s v="Bikes"/>
    <n v="3578.27"/>
    <n v="2171.2941999999998"/>
    <n v="1406.9757999999999"/>
    <n v="0.39320001006072802"/>
  </r>
  <r>
    <x v="162"/>
    <d v="2002-03-26T00:00:00"/>
    <s v="SO46505"/>
    <n v="347"/>
    <n v="12241"/>
    <n v="9"/>
    <n v="1"/>
    <n v="1"/>
    <n v="1"/>
    <s v="BK-M82S-48"/>
    <x v="10"/>
    <n v="1912.1543999999999"/>
    <n v="3399.99"/>
    <s v="MS."/>
    <s v="KRISTINE"/>
    <s v="SANDBERG"/>
    <s v="KRISTINE SANDBERG"/>
    <d v="1979-11-06T00:00:00"/>
    <s v="S"/>
    <s v="F"/>
    <s v="kristine21@adventure-works.com"/>
    <n v="10000"/>
    <n v="0"/>
    <s v="Partial College"/>
    <s v="Manual"/>
    <s v="N"/>
    <s v="Australia"/>
    <x v="2"/>
    <s v="Pacific"/>
    <x v="1"/>
    <s v="Bikes"/>
    <n v="3399.99"/>
    <n v="1912.1543999999999"/>
    <n v="1487.8356000000001"/>
    <n v="0.43759999294115598"/>
  </r>
  <r>
    <x v="163"/>
    <d v="2002-05-29T00:00:00"/>
    <s v="SO46509"/>
    <n v="310"/>
    <n v="12886"/>
    <n v="4"/>
    <n v="1"/>
    <n v="1"/>
    <n v="2"/>
    <s v="BK-R93R-62"/>
    <x v="1"/>
    <n v="2171.2941999999998"/>
    <n v="3578.27"/>
    <s v="MRS."/>
    <s v="JOCELYN"/>
    <s v="LONG"/>
    <s v="JOCELYN LONG"/>
    <d v="1971-11-03T00:00:00"/>
    <s v="S"/>
    <s v="F"/>
    <s v="jocelyn10@adventure-works.com"/>
    <n v="6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63"/>
    <d v="2002-04-21T00:00:00"/>
    <s v="SO46512"/>
    <n v="311"/>
    <n v="12209"/>
    <n v="4"/>
    <n v="1"/>
    <n v="1"/>
    <n v="2"/>
    <s v="BK-R93R-44"/>
    <x v="4"/>
    <n v="2171.2941999999998"/>
    <n v="3578.27"/>
    <s v="MRS."/>
    <s v="MINDY"/>
    <s v="JAI"/>
    <s v="MINDY JAI"/>
    <d v="1940-06-26T00:00:00"/>
    <s v="M"/>
    <s v="F"/>
    <s v="mindy16@adventure-works.com"/>
    <n v="130000"/>
    <n v="2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64"/>
    <d v="2002-05-06T00:00:00"/>
    <s v="SO46523"/>
    <n v="313"/>
    <n v="12756"/>
    <n v="4"/>
    <n v="1"/>
    <n v="1"/>
    <n v="2"/>
    <s v="BK-R93R-52"/>
    <x v="3"/>
    <n v="2171.2941999999998"/>
    <n v="3578.27"/>
    <s v="MR."/>
    <s v="ANTONIO"/>
    <s v="BUTLER"/>
    <s v="ANTONIO BUTLER"/>
    <d v="1975-06-26T00:00:00"/>
    <s v="S"/>
    <s v="M"/>
    <s v="antonio14@adventure-works.com"/>
    <n v="40000"/>
    <n v="3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64"/>
    <d v="2002-03-13T00:00:00"/>
    <s v="SO46521"/>
    <n v="310"/>
    <n v="12770"/>
    <n v="4"/>
    <n v="1"/>
    <n v="1"/>
    <n v="2"/>
    <s v="BK-R93R-62"/>
    <x v="1"/>
    <n v="2171.2941999999998"/>
    <n v="3578.27"/>
    <s v="MR."/>
    <s v="CHARLES"/>
    <s v="EVANS"/>
    <s v="CHARLES EVANS"/>
    <d v="1955-09-23T00:00:00"/>
    <s v="M"/>
    <s v="M"/>
    <s v="charles44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64"/>
    <d v="2002-03-05T00:00:00"/>
    <s v="SO46522"/>
    <n v="312"/>
    <n v="12882"/>
    <n v="4"/>
    <n v="1"/>
    <n v="1"/>
    <n v="2"/>
    <s v="BK-R93R-48"/>
    <x v="0"/>
    <n v="2171.2941999999998"/>
    <n v="3578.27"/>
    <s v="MR."/>
    <s v="EDUARDO"/>
    <s v="ALLEN"/>
    <s v="EDUARDO ALLEN"/>
    <d v="1973-03-27T00:00:00"/>
    <s v="M"/>
    <s v="M"/>
    <s v="eduardo24@adventure-works.com"/>
    <n v="50000"/>
    <n v="1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64"/>
    <d v="2002-03-22T00:00:00"/>
    <s v="SO46526"/>
    <n v="347"/>
    <n v="12253"/>
    <n v="9"/>
    <n v="1"/>
    <n v="1"/>
    <n v="1"/>
    <s v="BK-M82S-48"/>
    <x v="10"/>
    <n v="1912.1543999999999"/>
    <n v="3399.99"/>
    <s v="MS."/>
    <s v="JENNY"/>
    <s v="SUN"/>
    <s v="JENNY SUN"/>
    <d v="1977-02-14T00:00:00"/>
    <s v="S"/>
    <s v="F"/>
    <s v="jenny15@adventure-works.com"/>
    <n v="20000"/>
    <n v="0"/>
    <s v="Partial College"/>
    <s v="Manual"/>
    <s v="Y"/>
    <s v="Australia"/>
    <x v="2"/>
    <s v="Pacific"/>
    <x v="1"/>
    <s v="Bikes"/>
    <n v="3399.99"/>
    <n v="1912.1543999999999"/>
    <n v="1487.8356000000001"/>
    <n v="0.43759999294115598"/>
  </r>
  <r>
    <x v="165"/>
    <d v="2002-02-27T00:00:00"/>
    <s v="SO46536"/>
    <n v="311"/>
    <n v="13556"/>
    <n v="7"/>
    <n v="1"/>
    <n v="1"/>
    <n v="2"/>
    <s v="BK-R93R-44"/>
    <x v="4"/>
    <n v="2171.2941999999998"/>
    <n v="3578.27"/>
    <s v="MS."/>
    <s v="ALISHA"/>
    <s v="NATH"/>
    <s v="ALISHA NATH"/>
    <d v="1969-11-13T00:00:00"/>
    <s v="S"/>
    <s v="F"/>
    <s v="alisha43@adventure-works.com"/>
    <n v="40000"/>
    <n v="0"/>
    <s v="Graduate Degree"/>
    <s v="Clerical"/>
    <s v="Y"/>
    <s v="France"/>
    <x v="0"/>
    <s v="Europe"/>
    <x v="0"/>
    <s v="Bikes"/>
    <n v="3578.27"/>
    <n v="2171.2941999999998"/>
    <n v="1406.9757999999999"/>
    <n v="0.39320001006072802"/>
  </r>
  <r>
    <x v="165"/>
    <d v="2002-03-06T00:00:00"/>
    <s v="SO46529"/>
    <n v="314"/>
    <n v="12784"/>
    <n v="1"/>
    <n v="1"/>
    <n v="1"/>
    <n v="2"/>
    <s v="BK-R93R-56"/>
    <x v="2"/>
    <n v="2171.2941999999998"/>
    <n v="3578.27"/>
    <s v="MR."/>
    <s v="JONATHAN"/>
    <s v="CAMPBELL"/>
    <s v="JONATHAN CAMPBELL"/>
    <d v="1956-03-07T00:00:00"/>
    <s v="M"/>
    <s v="M"/>
    <s v="jonathan36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65"/>
    <d v="2002-04-15T00:00:00"/>
    <s v="SO46531"/>
    <n v="310"/>
    <n v="12423"/>
    <n v="1"/>
    <n v="1"/>
    <n v="1"/>
    <n v="2"/>
    <s v="BK-R93R-62"/>
    <x v="1"/>
    <n v="2171.2941999999998"/>
    <n v="3578.27"/>
    <s v="MRS."/>
    <s v="SARAH"/>
    <s v="THOMPSON"/>
    <s v="SARAH THOMPSON"/>
    <d v="1954-04-25T00:00:00"/>
    <s v="S"/>
    <s v="F"/>
    <s v="sarah17@adventure-works.com"/>
    <n v="20000"/>
    <n v="3"/>
    <s v="Partial High School"/>
    <s v="Clerical"/>
    <s v="N"/>
    <s v="Northwest"/>
    <x v="1"/>
    <s v="North America"/>
    <x v="0"/>
    <s v="Bikes"/>
    <n v="3578.27"/>
    <n v="2171.2941999999998"/>
    <n v="1406.9757999999999"/>
    <n v="0.39320001006072802"/>
  </r>
  <r>
    <x v="166"/>
    <d v="2002-04-29T00:00:00"/>
    <s v="SO47164"/>
    <n v="360"/>
    <n v="12123"/>
    <n v="10"/>
    <n v="1"/>
    <n v="1"/>
    <n v="1"/>
    <s v="BK-M68B-42"/>
    <x v="17"/>
    <n v="1105.81"/>
    <n v="2049.0981999999999"/>
    <s v="MR."/>
    <s v="WESLEY"/>
    <s v="LIANG"/>
    <s v="WESLEY LIANG"/>
    <d v="1958-06-14T00:00:00"/>
    <s v="M"/>
    <s v="M"/>
    <s v="wesley16@adventure-works.com"/>
    <n v="170000"/>
    <n v="2"/>
    <s v="Bachelors"/>
    <s v="Management"/>
    <s v="Y"/>
    <s v="United Kingdom"/>
    <x v="3"/>
    <s v="Europe"/>
    <x v="1"/>
    <s v="Bikes"/>
    <n v="2049.0981999999999"/>
    <n v="1105.81"/>
    <n v="943.28819999999996"/>
    <n v="0.46034309141455498"/>
  </r>
  <r>
    <x v="167"/>
    <d v="2002-09-06T00:00:00"/>
    <s v="SO48178"/>
    <n v="352"/>
    <n v="12125"/>
    <n v="8"/>
    <n v="1"/>
    <n v="1"/>
    <n v="1"/>
    <s v="BK-M68S-38"/>
    <x v="16"/>
    <n v="1117.8559"/>
    <n v="2071.4196000000002"/>
    <s v="MRS."/>
    <s v="DIANA"/>
    <s v="ORTEGA"/>
    <s v="DIANA ORTEGA"/>
    <d v="1957-01-12T00:00:00"/>
    <s v="M"/>
    <s v="F"/>
    <s v="diana21@adventure-works.com"/>
    <n v="130000"/>
    <n v="2"/>
    <s v="Partial College"/>
    <s v="Professional"/>
    <s v="Y"/>
    <s v="Germany"/>
    <x v="4"/>
    <s v="Europe"/>
    <x v="1"/>
    <s v="Bikes"/>
    <n v="2071.4196000000002"/>
    <n v="1117.8559"/>
    <n v="953.56370000000004"/>
    <n v="0.460343090313522"/>
  </r>
  <r>
    <x v="68"/>
    <d v="2002-04-04T00:00:00"/>
    <s v="SO46538"/>
    <n v="310"/>
    <n v="12774"/>
    <n v="4"/>
    <n v="1"/>
    <n v="1"/>
    <n v="2"/>
    <s v="BK-R93R-62"/>
    <x v="1"/>
    <n v="2171.2941999999998"/>
    <n v="3578.27"/>
    <s v="MRS."/>
    <s v="KRISTEN"/>
    <s v="GAO"/>
    <s v="KRISTEN GAO"/>
    <d v="1955-03-25T00:00:00"/>
    <s v="M"/>
    <s v="F"/>
    <s v="kristen13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68"/>
    <d v="2002-04-26T00:00:00"/>
    <s v="SO46539"/>
    <n v="314"/>
    <n v="12200"/>
    <n v="4"/>
    <n v="1"/>
    <n v="1"/>
    <n v="2"/>
    <s v="BK-R93R-56"/>
    <x v="2"/>
    <n v="2171.2941999999998"/>
    <n v="3578.27"/>
    <s v="MR."/>
    <s v="RAFAEL"/>
    <s v="SHARMA"/>
    <s v="RAFAEL SHARMA"/>
    <d v="1937-07-23T00:00:00"/>
    <s v="M"/>
    <s v="M"/>
    <s v="rafael33@adventure-works.com"/>
    <n v="70000"/>
    <n v="4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68"/>
    <d v="2002-10-04T00:00:00"/>
    <s v="SO48099"/>
    <n v="360"/>
    <n v="12128"/>
    <n v="8"/>
    <n v="1"/>
    <n v="1"/>
    <n v="1"/>
    <s v="BK-M68B-42"/>
    <x v="17"/>
    <n v="1105.81"/>
    <n v="2049.0981999999999"/>
    <s v="MRS."/>
    <s v="KRISTY"/>
    <s v="MUNOZ"/>
    <s v="KRISTY MUNOZ"/>
    <d v="1956-12-16T00:00:00"/>
    <s v="M"/>
    <s v="F"/>
    <s v="kristy7@adventure-works.com"/>
    <n v="120000"/>
    <n v="3"/>
    <s v="High School"/>
    <s v="Professional"/>
    <s v="Y"/>
    <s v="Germany"/>
    <x v="4"/>
    <s v="Europe"/>
    <x v="1"/>
    <s v="Bikes"/>
    <n v="2049.0981999999999"/>
    <n v="1105.81"/>
    <n v="943.28819999999996"/>
    <n v="0.46034309141455498"/>
  </r>
  <r>
    <x v="169"/>
    <d v="2002-09-12T00:00:00"/>
    <s v="SO48245"/>
    <n v="354"/>
    <n v="12129"/>
    <n v="8"/>
    <n v="1"/>
    <n v="1"/>
    <n v="1"/>
    <s v="BK-M68S-42"/>
    <x v="18"/>
    <n v="1117.8559"/>
    <n v="2071.4196000000002"/>
    <s v="MRS."/>
    <s v="WENDY"/>
    <s v="ALVAREZ"/>
    <s v="WENDY ALVAREZ"/>
    <d v="1956-09-21T00:00:00"/>
    <s v="M"/>
    <s v="F"/>
    <s v="wendy5@adventure-works.com"/>
    <n v="120000"/>
    <n v="3"/>
    <s v="High School"/>
    <s v="Professional"/>
    <s v="Y"/>
    <s v="Germany"/>
    <x v="4"/>
    <s v="Europe"/>
    <x v="1"/>
    <s v="Bikes"/>
    <n v="2071.4196000000002"/>
    <n v="1117.8559"/>
    <n v="953.56370000000004"/>
    <n v="0.460343090313522"/>
  </r>
  <r>
    <x v="170"/>
    <d v="2002-09-05T00:00:00"/>
    <s v="SO48137"/>
    <n v="352"/>
    <n v="12130"/>
    <n v="8"/>
    <n v="1"/>
    <n v="1"/>
    <n v="1"/>
    <s v="BK-M68S-38"/>
    <x v="16"/>
    <n v="1117.8559"/>
    <n v="2071.4196000000002"/>
    <s v="MRS."/>
    <s v="SUZANNE"/>
    <s v="ZHOU"/>
    <s v="SUZANNE ZHOU"/>
    <d v="1956-08-12T00:00:00"/>
    <s v="S"/>
    <s v="F"/>
    <s v="suzanne10@adventure-works.com"/>
    <n v="120000"/>
    <n v="3"/>
    <s v="High School"/>
    <s v="Professional"/>
    <s v="Y"/>
    <s v="Germany"/>
    <x v="4"/>
    <s v="Europe"/>
    <x v="1"/>
    <s v="Bikes"/>
    <n v="2071.4196000000002"/>
    <n v="1117.8559"/>
    <n v="953.56370000000004"/>
    <n v="0.460343090313522"/>
  </r>
  <r>
    <x v="78"/>
    <d v="2002-07-29T00:00:00"/>
    <s v="SO47185"/>
    <n v="356"/>
    <n v="12133"/>
    <n v="10"/>
    <n v="1"/>
    <n v="1"/>
    <n v="1"/>
    <s v="BK-M68S-46"/>
    <x v="14"/>
    <n v="1117.8559"/>
    <n v="2071.4196000000002"/>
    <s v="MRS."/>
    <s v="COLLEEN"/>
    <s v="XIE"/>
    <s v="COLLEEN XIE"/>
    <d v="1955-12-26T00:00:00"/>
    <s v="M"/>
    <s v="F"/>
    <s v="colleen27@adventure-works.com"/>
    <n v="130000"/>
    <n v="3"/>
    <s v="Partial College"/>
    <s v="Professional"/>
    <s v="Y"/>
    <s v="United Kingdom"/>
    <x v="3"/>
    <s v="Europe"/>
    <x v="1"/>
    <s v="Bikes"/>
    <n v="2071.4196000000002"/>
    <n v="1117.8559"/>
    <n v="953.56370000000004"/>
    <n v="0.460343090313522"/>
  </r>
  <r>
    <x v="70"/>
    <d v="2002-05-17T00:00:00"/>
    <s v="SO46546"/>
    <n v="310"/>
    <n v="12780"/>
    <n v="1"/>
    <n v="1"/>
    <n v="1"/>
    <n v="2"/>
    <s v="BK-R93R-62"/>
    <x v="1"/>
    <n v="2171.2941999999998"/>
    <n v="3578.27"/>
    <s v="MR."/>
    <s v="JEREMY"/>
    <s v="RICHARDSON"/>
    <s v="JEREMY RICHARDSON"/>
    <d v="1956-03-22T00:00:00"/>
    <s v="M"/>
    <s v="M"/>
    <s v="jeremy39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70"/>
    <d v="2002-02-28T00:00:00"/>
    <s v="SO46544"/>
    <n v="311"/>
    <n v="12766"/>
    <n v="1"/>
    <n v="1"/>
    <n v="1"/>
    <n v="2"/>
    <s v="BK-R93R-44"/>
    <x v="4"/>
    <n v="2171.2941999999998"/>
    <n v="3578.27"/>
    <s v="MRS."/>
    <s v="JORDYN"/>
    <s v="BRYANT"/>
    <s v="JORDYN BRYANT"/>
    <d v="1954-08-15T00:00:00"/>
    <s v="M"/>
    <s v="F"/>
    <s v="jordyn17@adventure-works.com"/>
    <n v="20000"/>
    <n v="3"/>
    <s v="Partial High School"/>
    <s v="Clerical"/>
    <s v="N"/>
    <s v="Northwest"/>
    <x v="1"/>
    <s v="North America"/>
    <x v="0"/>
    <s v="Bikes"/>
    <n v="3578.27"/>
    <n v="2171.2941999999998"/>
    <n v="1406.9757999999999"/>
    <n v="0.39320001006072802"/>
  </r>
  <r>
    <x v="70"/>
    <d v="2002-03-31T00:00:00"/>
    <s v="SO46548"/>
    <n v="310"/>
    <n v="12418"/>
    <n v="1"/>
    <n v="1"/>
    <n v="1"/>
    <n v="2"/>
    <s v="BK-R93R-62"/>
    <x v="1"/>
    <n v="2171.2941999999998"/>
    <n v="3578.27"/>
    <s v="MR."/>
    <s v="ROBERT"/>
    <s v="HERNANDEZ"/>
    <s v="ROBERT HERNANDEZ"/>
    <d v="1953-10-24T00:00:00"/>
    <s v="S"/>
    <s v="M"/>
    <s v="robert60@adventure-works.com"/>
    <n v="20000"/>
    <n v="2"/>
    <s v="High School"/>
    <s v="Manual"/>
    <s v="N"/>
    <s v="Northwest"/>
    <x v="1"/>
    <s v="North America"/>
    <x v="0"/>
    <s v="Bikes"/>
    <n v="3578.27"/>
    <n v="2171.2941999999998"/>
    <n v="1406.9757999999999"/>
    <n v="0.39320001006072802"/>
  </r>
  <r>
    <x v="70"/>
    <d v="2002-04-07T00:00:00"/>
    <s v="SO46549"/>
    <n v="313"/>
    <n v="12452"/>
    <n v="1"/>
    <n v="1"/>
    <n v="1"/>
    <n v="2"/>
    <s v="BK-R93R-52"/>
    <x v="3"/>
    <n v="2171.2941999999998"/>
    <n v="3578.27"/>
    <s v="MR."/>
    <s v="SEAN"/>
    <s v="SANCHEZ"/>
    <s v="SEAN SANCHEZ"/>
    <d v="1958-11-24T00:00:00"/>
    <s v="M"/>
    <s v="M"/>
    <s v="sean25@adventure-works.com"/>
    <n v="60000"/>
    <n v="4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70"/>
    <d v="2002-05-21T00:00:00"/>
    <s v="SO46547"/>
    <n v="313"/>
    <n v="12917"/>
    <n v="1"/>
    <n v="1"/>
    <n v="1"/>
    <n v="2"/>
    <s v="BK-R93R-52"/>
    <x v="3"/>
    <n v="2171.2941999999998"/>
    <n v="3578.27"/>
    <s v="MRS."/>
    <s v="VANESSA"/>
    <s v="RUSSELL"/>
    <s v="VANESSA RUSSELL"/>
    <d v="1970-03-02T00:00:00"/>
    <s v="M"/>
    <s v="F"/>
    <s v="vanessa20@adventure-works.com"/>
    <n v="70000"/>
    <n v="4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71"/>
    <d v="2002-04-14T00:00:00"/>
    <s v="SO46558"/>
    <n v="314"/>
    <n v="12184"/>
    <n v="1"/>
    <n v="1"/>
    <n v="1"/>
    <n v="2"/>
    <s v="BK-R93R-56"/>
    <x v="2"/>
    <n v="2171.2941999999998"/>
    <n v="3578.27"/>
    <s v="MR."/>
    <s v="ISAIAH"/>
    <s v="PEREZ"/>
    <s v="ISAIAH PEREZ"/>
    <d v="1960-12-08T00:00:00"/>
    <s v="M"/>
    <s v="M"/>
    <s v="isaiah26@adventure-works.com"/>
    <n v="100000"/>
    <n v="3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71"/>
    <d v="2002-05-12T00:00:00"/>
    <s v="SO46559"/>
    <n v="310"/>
    <n v="12762"/>
    <n v="4"/>
    <n v="1"/>
    <n v="1"/>
    <n v="2"/>
    <s v="BK-R93R-62"/>
    <x v="1"/>
    <n v="2171.2941999999998"/>
    <n v="3578.27"/>
    <s v="MR."/>
    <s v="JONATHAN"/>
    <s v="SMITH"/>
    <s v="JONATHAN SMITH"/>
    <d v="1953-12-20T00:00:00"/>
    <s v="M"/>
    <s v="M"/>
    <s v="jonathan60@adventure-works.com"/>
    <n v="30000"/>
    <n v="1"/>
    <s v="Bachelors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71"/>
    <d v="2002-03-20T00:00:00"/>
    <s v="SO46557"/>
    <n v="310"/>
    <n v="12904"/>
    <n v="4"/>
    <n v="1"/>
    <n v="1"/>
    <n v="2"/>
    <s v="BK-R93R-62"/>
    <x v="1"/>
    <n v="2171.2941999999998"/>
    <n v="3578.27"/>
    <s v="MR."/>
    <s v="THOMAS"/>
    <s v="JAI"/>
    <s v="THOMAS JAI"/>
    <d v="1969-02-19T00:00:00"/>
    <s v="M"/>
    <s v="M"/>
    <s v="thomas35@adventure-works.com"/>
    <n v="50000"/>
    <n v="2"/>
    <s v="Bachelors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72"/>
    <d v="2002-03-26T00:00:00"/>
    <s v="SO46568"/>
    <n v="312"/>
    <n v="12761"/>
    <n v="1"/>
    <n v="1"/>
    <n v="1"/>
    <n v="2"/>
    <s v="BK-R93R-48"/>
    <x v="0"/>
    <n v="2171.2941999999998"/>
    <n v="3578.27"/>
    <s v="MS."/>
    <s v="ALEXANDRA"/>
    <s v="RICHARDSON"/>
    <s v="ALEXANDRA RICHARDSON"/>
    <d v="1966-03-04T00:00:00"/>
    <s v="S"/>
    <s v="F"/>
    <s v="alexandra13@adventure-works.com"/>
    <n v="60000"/>
    <n v="0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72"/>
    <d v="2002-03-24T00:00:00"/>
    <s v="SO46567"/>
    <n v="313"/>
    <n v="12707"/>
    <n v="1"/>
    <n v="1"/>
    <n v="1"/>
    <n v="2"/>
    <s v="BK-R93R-52"/>
    <x v="3"/>
    <n v="2171.2941999999998"/>
    <n v="3578.27"/>
    <s v="MR."/>
    <s v="IAN"/>
    <s v="LEWIS"/>
    <s v="IAN LEWIS"/>
    <d v="1941-09-28T00:00:00"/>
    <s v="M"/>
    <s v="M"/>
    <s v="ian19@adventure-works.com"/>
    <n v="70000"/>
    <n v="5"/>
    <s v="Graduate Degree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72"/>
    <d v="2002-05-28T00:00:00"/>
    <s v="SO46566"/>
    <n v="311"/>
    <n v="12789"/>
    <n v="4"/>
    <n v="1"/>
    <n v="1"/>
    <n v="2"/>
    <s v="BK-R93R-44"/>
    <x v="4"/>
    <n v="2171.2941999999998"/>
    <n v="3578.27"/>
    <s v="MRS."/>
    <s v="JAMIE"/>
    <s v="ZENG"/>
    <s v="JAMIE ZENG"/>
    <d v="1957-04-24T00:00:00"/>
    <s v="M"/>
    <s v="F"/>
    <s v="jamie26@adventure-works.com"/>
    <n v="40000"/>
    <n v="1"/>
    <s v="Partial College"/>
    <s v="Clerical"/>
    <s v="Y"/>
    <s v="Southwest"/>
    <x v="1"/>
    <s v="North America"/>
    <x v="0"/>
    <s v="Bikes"/>
    <n v="3578.27"/>
    <n v="2171.2941999999998"/>
    <n v="1406.9757999999999"/>
    <n v="0.39320001006072802"/>
  </r>
  <r>
    <x v="172"/>
    <d v="2002-05-08T00:00:00"/>
    <s v="SO46565"/>
    <n v="311"/>
    <n v="12769"/>
    <n v="1"/>
    <n v="1"/>
    <n v="1"/>
    <n v="2"/>
    <s v="BK-R93R-44"/>
    <x v="4"/>
    <n v="2171.2941999999998"/>
    <n v="3578.27"/>
    <s v="MR."/>
    <s v="THOMAS"/>
    <s v="ZHANG"/>
    <s v="THOMAS ZHANG"/>
    <d v="1955-03-21T00:00:00"/>
    <s v="M"/>
    <s v="M"/>
    <s v="thomas26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73"/>
    <d v="2002-06-03T00:00:00"/>
    <s v="SO46570"/>
    <n v="313"/>
    <n v="13536"/>
    <n v="7"/>
    <n v="1"/>
    <n v="1"/>
    <n v="2"/>
    <s v="BK-R93R-52"/>
    <x v="3"/>
    <n v="2171.2941999999998"/>
    <n v="3578.27"/>
    <s v="MRS."/>
    <s v="ARIANNA"/>
    <s v="WARD"/>
    <s v="ARIANNA WARD"/>
    <d v="1959-05-17T00:00:00"/>
    <s v="S"/>
    <s v="F"/>
    <s v="arianna34@adventure-works.com"/>
    <n v="10000"/>
    <n v="1"/>
    <s v="High School"/>
    <s v="Manual"/>
    <s v="N"/>
    <s v="France"/>
    <x v="0"/>
    <s v="Europe"/>
    <x v="0"/>
    <s v="Bikes"/>
    <n v="3578.27"/>
    <n v="2171.2941999999998"/>
    <n v="1406.9757999999999"/>
    <n v="0.39320001006072802"/>
  </r>
  <r>
    <x v="173"/>
    <d v="2002-03-27T00:00:00"/>
    <s v="SO46569"/>
    <n v="312"/>
    <n v="12450"/>
    <n v="4"/>
    <n v="1"/>
    <n v="1"/>
    <n v="2"/>
    <s v="BK-R93R-48"/>
    <x v="0"/>
    <n v="2171.2941999999998"/>
    <n v="3578.27"/>
    <s v="MR."/>
    <s v="CODY"/>
    <s v="COOK"/>
    <s v="CODY COOK"/>
    <d v="1958-09-23T00:00:00"/>
    <s v="M"/>
    <s v="M"/>
    <s v="cody21@adventure-works.com"/>
    <n v="60000"/>
    <n v="4"/>
    <s v="Graduate Degre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73"/>
    <d v="2002-02-27T00:00:00"/>
    <s v="SO46574"/>
    <n v="348"/>
    <n v="12243"/>
    <n v="9"/>
    <n v="1"/>
    <n v="1"/>
    <n v="1"/>
    <s v="BK-M82B-38"/>
    <x v="9"/>
    <n v="1898.0944"/>
    <n v="3374.99"/>
    <s v="MS."/>
    <s v="KRISTY"/>
    <s v="RUBIO"/>
    <s v="KRISTY RUBIO"/>
    <d v="1980-05-18T00:00:00"/>
    <s v="S"/>
    <s v="F"/>
    <s v="kristy19@adventure-works.com"/>
    <n v="10000"/>
    <n v="0"/>
    <s v="Partial College"/>
    <s v="Manual"/>
    <s v="N"/>
    <s v="Australia"/>
    <x v="2"/>
    <s v="Pacific"/>
    <x v="1"/>
    <s v="Bikes"/>
    <n v="3374.99"/>
    <n v="1898.0944"/>
    <n v="1476.8956000000001"/>
    <n v="0.43759999288886797"/>
  </r>
  <r>
    <x v="173"/>
    <d v="2002-03-10T00:00:00"/>
    <s v="SO46575"/>
    <n v="351"/>
    <n v="12338"/>
    <n v="9"/>
    <n v="1"/>
    <n v="1"/>
    <n v="1"/>
    <s v="BK-M82B-48"/>
    <x v="7"/>
    <n v="1898.0944"/>
    <n v="3374.99"/>
    <s v="MS."/>
    <s v="MONICA"/>
    <s v="VANCE"/>
    <s v="MONICA VANCE"/>
    <d v="1976-07-08T00:00:00"/>
    <s v="S"/>
    <s v="F"/>
    <s v="monica4@adventure-works.com"/>
    <n v="70000"/>
    <n v="0"/>
    <s v="Bachelors"/>
    <s v="Professional"/>
    <s v="N"/>
    <s v="Australia"/>
    <x v="2"/>
    <s v="Pacific"/>
    <x v="1"/>
    <s v="Bikes"/>
    <n v="3374.99"/>
    <n v="1898.0944"/>
    <n v="1476.8956000000001"/>
    <n v="0.43759999288886797"/>
  </r>
  <r>
    <x v="173"/>
    <d v="2002-03-16T00:00:00"/>
    <s v="SO46573"/>
    <n v="314"/>
    <n v="13555"/>
    <n v="7"/>
    <n v="1"/>
    <n v="1"/>
    <n v="2"/>
    <s v="BK-R93R-56"/>
    <x v="2"/>
    <n v="2171.2941999999998"/>
    <n v="3578.27"/>
    <s v="MS."/>
    <s v="TAMMY"/>
    <s v="SMITH"/>
    <s v="TAMMY SMITH"/>
    <d v="1969-09-13T00:00:00"/>
    <s v="M"/>
    <s v="F"/>
    <s v="tammy9@adventure-works.com"/>
    <n v="40000"/>
    <n v="0"/>
    <s v="Graduate Degree"/>
    <s v="Clerical"/>
    <s v="Y"/>
    <s v="France"/>
    <x v="0"/>
    <s v="Europe"/>
    <x v="0"/>
    <s v="Bikes"/>
    <n v="3578.27"/>
    <n v="2171.2941999999998"/>
    <n v="1406.9757999999999"/>
    <n v="0.39320001006072802"/>
  </r>
  <r>
    <x v="173"/>
    <d v="2002-03-08T00:00:00"/>
    <s v="SO46572"/>
    <n v="314"/>
    <n v="13552"/>
    <n v="7"/>
    <n v="1"/>
    <n v="1"/>
    <n v="2"/>
    <s v="BK-R93R-56"/>
    <x v="2"/>
    <n v="2171.2941999999998"/>
    <n v="3578.27"/>
    <s v="MR."/>
    <s v="TREVOR"/>
    <s v="HUGHES"/>
    <s v="TREVOR HUGHES"/>
    <d v="1969-03-02T00:00:00"/>
    <s v="S"/>
    <s v="M"/>
    <s v="trevor11@adventure-works.com"/>
    <n v="30000"/>
    <n v="0"/>
    <s v="Bachelors"/>
    <s v="Clerical"/>
    <s v="Y"/>
    <s v="France"/>
    <x v="0"/>
    <s v="Europe"/>
    <x v="0"/>
    <s v="Bikes"/>
    <n v="3578.27"/>
    <n v="2171.2941999999998"/>
    <n v="1406.9757999999999"/>
    <n v="0.39320001006072802"/>
  </r>
  <r>
    <x v="174"/>
    <d v="2002-02-27T00:00:00"/>
    <s v="SO46581"/>
    <n v="314"/>
    <n v="12188"/>
    <n v="4"/>
    <n v="1"/>
    <n v="1"/>
    <n v="2"/>
    <s v="BK-R93R-56"/>
    <x v="2"/>
    <n v="2171.2941999999998"/>
    <n v="3578.27"/>
    <s v="MRS."/>
    <s v="ASHLEY"/>
    <s v="THOMAS"/>
    <s v="ASHLEY THOMAS"/>
    <d v="1960-05-23T00:00:00"/>
    <s v="S"/>
    <s v="F"/>
    <s v="ashley11@adventure-works.com"/>
    <n v="110000"/>
    <n v="3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74"/>
    <d v="2002-05-16T00:00:00"/>
    <s v="SO46577"/>
    <n v="311"/>
    <n v="12913"/>
    <n v="1"/>
    <n v="1"/>
    <n v="1"/>
    <n v="2"/>
    <s v="BK-R93R-44"/>
    <x v="4"/>
    <n v="2171.2941999999998"/>
    <n v="3578.27"/>
    <s v="MR."/>
    <s v="BENJAMIN"/>
    <s v="MOORE"/>
    <s v="BENJAMIN MOORE"/>
    <d v="1968-02-23T00:00:00"/>
    <s v="M"/>
    <s v="M"/>
    <s v="benjamin42@adventure-works.com"/>
    <n v="60000"/>
    <n v="2"/>
    <s v="Bachelors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74"/>
    <d v="2002-04-18T00:00:00"/>
    <s v="SO46579"/>
    <n v="311"/>
    <n v="12186"/>
    <n v="4"/>
    <n v="1"/>
    <n v="1"/>
    <n v="2"/>
    <s v="BK-R93R-44"/>
    <x v="4"/>
    <n v="2171.2941999999998"/>
    <n v="3578.27"/>
    <s v="MR."/>
    <s v="BRYANT"/>
    <s v="SRINI"/>
    <s v="BRYANT SRINI"/>
    <d v="1960-05-12T00:00:00"/>
    <s v="S"/>
    <s v="M"/>
    <s v="bryant8@adventure-works.com"/>
    <n v="100000"/>
    <n v="0"/>
    <s v="Partial Colleg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174"/>
    <d v="2002-06-11T00:00:00"/>
    <s v="SO46578"/>
    <n v="314"/>
    <n v="12178"/>
    <n v="1"/>
    <n v="1"/>
    <n v="1"/>
    <n v="2"/>
    <s v="BK-R93R-56"/>
    <x v="2"/>
    <n v="2171.2941999999998"/>
    <n v="3578.27"/>
    <s v="MR."/>
    <s v="ETHAN"/>
    <s v="SHAN"/>
    <s v="ETHAN SHAN"/>
    <d v="1954-05-11T00:00:00"/>
    <s v="M"/>
    <s v="M"/>
    <s v="ethan27@adventure-works.com"/>
    <n v="80000"/>
    <n v="2"/>
    <s v="Partial High School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74"/>
    <d v="2002-04-04T00:00:00"/>
    <s v="SO46584"/>
    <n v="348"/>
    <n v="12252"/>
    <n v="9"/>
    <n v="1"/>
    <n v="1"/>
    <n v="1"/>
    <s v="BK-M82B-38"/>
    <x v="9"/>
    <n v="1898.0944"/>
    <n v="3374.99"/>
    <s v="MR."/>
    <s v="OMAR"/>
    <s v="LIU"/>
    <s v="OMAR LIU"/>
    <d v="1977-10-01T00:00:00"/>
    <s v="M"/>
    <s v="M"/>
    <s v="omar4@adventure-works.com"/>
    <n v="20000"/>
    <n v="0"/>
    <s v="Partial College"/>
    <s v="Manual"/>
    <s v="N"/>
    <s v="Australia"/>
    <x v="2"/>
    <s v="Pacific"/>
    <x v="1"/>
    <s v="Bikes"/>
    <n v="3374.99"/>
    <n v="1898.0944"/>
    <n v="1476.8956000000001"/>
    <n v="0.43759999288886797"/>
  </r>
  <r>
    <x v="174"/>
    <d v="2002-03-20T00:00:00"/>
    <s v="SO46580"/>
    <n v="310"/>
    <n v="12187"/>
    <n v="4"/>
    <n v="1"/>
    <n v="1"/>
    <n v="2"/>
    <s v="BK-R93R-62"/>
    <x v="1"/>
    <n v="2171.2941999999998"/>
    <n v="3578.27"/>
    <s v="MR."/>
    <s v="RUBEN"/>
    <s v="SUBRAM"/>
    <s v="RUBEN SUBRAM"/>
    <d v="1960-07-22T00:00:00"/>
    <s v="M"/>
    <s v="M"/>
    <s v="ruben14@adventure-works.com"/>
    <n v="100000"/>
    <n v="0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174"/>
    <d v="2002-05-23T00:00:00"/>
    <s v="SO46582"/>
    <n v="314"/>
    <n v="12207"/>
    <n v="1"/>
    <n v="1"/>
    <n v="1"/>
    <n v="2"/>
    <s v="BK-R93R-56"/>
    <x v="2"/>
    <n v="2171.2941999999998"/>
    <n v="3578.27"/>
    <s v="MR."/>
    <s v="SAMUEL"/>
    <s v="HILL"/>
    <s v="SAMUEL HILL"/>
    <d v="1940-06-20T00:00:00"/>
    <s v="S"/>
    <s v="M"/>
    <s v="samuel42@adventure-works.com"/>
    <n v="80000"/>
    <n v="4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75"/>
    <d v="2002-04-07T00:00:00"/>
    <s v="SO46586"/>
    <n v="313"/>
    <n v="12364"/>
    <n v="1"/>
    <n v="1"/>
    <n v="1"/>
    <n v="2"/>
    <s v="BK-R93R-52"/>
    <x v="3"/>
    <n v="2171.2941999999998"/>
    <n v="3578.27"/>
    <s v="MRS."/>
    <s v="ERIN"/>
    <s v="ROGERS"/>
    <s v="ERIN ROGERS"/>
    <d v="1941-10-28T00:00:00"/>
    <s v="M"/>
    <s v="F"/>
    <s v="erin23@adventure-works.com"/>
    <n v="130000"/>
    <n v="2"/>
    <s v="Bachelors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75"/>
    <d v="2002-05-05T00:00:00"/>
    <s v="SO46587"/>
    <n v="314"/>
    <n v="12448"/>
    <n v="1"/>
    <n v="1"/>
    <n v="1"/>
    <n v="2"/>
    <s v="BK-R93R-56"/>
    <x v="2"/>
    <n v="2171.2941999999998"/>
    <n v="3578.27"/>
    <s v="MRS."/>
    <s v="HAILEY"/>
    <s v="COX"/>
    <s v="HAILEY COX"/>
    <d v="1958-05-20T00:00:00"/>
    <s v="S"/>
    <s v="F"/>
    <s v="hailey11@adventure-works.com"/>
    <n v="60000"/>
    <n v="4"/>
    <s v="Graduate Degre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57"/>
    <d v="2002-03-16T00:00:00"/>
    <s v="SO46593"/>
    <n v="314"/>
    <n v="12912"/>
    <n v="1"/>
    <n v="1"/>
    <n v="1"/>
    <n v="2"/>
    <s v="BK-R93R-56"/>
    <x v="2"/>
    <n v="2171.2941999999998"/>
    <n v="3578.27"/>
    <s v="MRS."/>
    <s v="BRIANNA"/>
    <s v="MORRIS"/>
    <s v="BRIANNA MORRIS"/>
    <d v="1968-03-25T00:00:00"/>
    <s v="S"/>
    <s v="F"/>
    <s v="brianna26@adventure-works.com"/>
    <n v="40000"/>
    <n v="4"/>
    <s v="High School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157"/>
    <d v="2002-04-19T00:00:00"/>
    <s v="SO46591"/>
    <n v="310"/>
    <n v="12773"/>
    <n v="1"/>
    <n v="1"/>
    <n v="1"/>
    <n v="2"/>
    <s v="BK-R93R-62"/>
    <x v="1"/>
    <n v="2171.2941999999998"/>
    <n v="3578.27"/>
    <s v="MRS."/>
    <s v="SAMANTHA"/>
    <s v="TAYLOR"/>
    <s v="SAMANTHA TAYLOR"/>
    <d v="1955-11-09T00:00:00"/>
    <s v="M"/>
    <s v="F"/>
    <s v="samantha10@adventure-works.com"/>
    <n v="40000"/>
    <n v="1"/>
    <s v="Partial College"/>
    <s v="Clerical"/>
    <s v="Y"/>
    <s v="Northwest"/>
    <x v="1"/>
    <s v="North America"/>
    <x v="0"/>
    <s v="Bikes"/>
    <n v="3578.27"/>
    <n v="2171.2941999999998"/>
    <n v="1406.9757999999999"/>
    <n v="0.39320001006072802"/>
  </r>
  <r>
    <x v="176"/>
    <d v="2002-05-11T00:00:00"/>
    <s v="SO46603"/>
    <n v="345"/>
    <n v="12240"/>
    <n v="9"/>
    <n v="1"/>
    <n v="1"/>
    <n v="1"/>
    <s v="BK-M82S-42"/>
    <x v="6"/>
    <n v="1912.1543999999999"/>
    <n v="3399.99"/>
    <s v="MR."/>
    <s v="CLAYTON"/>
    <s v="SHARMA"/>
    <s v="CLAYTON SHARMA"/>
    <d v="1980-12-04T00:00:00"/>
    <s v="S"/>
    <s v="M"/>
    <s v="clayton27@adventure-works.com"/>
    <n v="10000"/>
    <n v="0"/>
    <s v="Partial College"/>
    <s v="Manual"/>
    <s v="N"/>
    <s v="Australia"/>
    <x v="2"/>
    <s v="Pacific"/>
    <x v="1"/>
    <s v="Bikes"/>
    <n v="3399.99"/>
    <n v="1912.1543999999999"/>
    <n v="1487.8356000000001"/>
    <n v="0.43759999294115598"/>
  </r>
  <r>
    <x v="176"/>
    <d v="2002-06-04T00:00:00"/>
    <s v="SO46599"/>
    <n v="310"/>
    <n v="12206"/>
    <n v="4"/>
    <n v="1"/>
    <n v="1"/>
    <n v="2"/>
    <s v="BK-R93R-62"/>
    <x v="1"/>
    <n v="2171.2941999999998"/>
    <n v="3578.27"/>
    <s v="MRS."/>
    <s v="SIERRA"/>
    <s v="PARKER"/>
    <s v="SIERRA PARKER"/>
    <d v="1939-04-12T00:00:00"/>
    <s v="M"/>
    <s v="F"/>
    <s v="sierra7@adventure-works.com"/>
    <n v="90000"/>
    <n v="5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77"/>
    <d v="2002-05-16T00:00:00"/>
    <s v="SO46679"/>
    <n v="373"/>
    <n v="13062"/>
    <n v="1"/>
    <n v="1"/>
    <n v="1"/>
    <n v="2"/>
    <s v="BK-R89B-44"/>
    <x v="19"/>
    <n v="1320.6838"/>
    <n v="2181.5625"/>
    <s v="MR."/>
    <s v="EDUARDO"/>
    <s v="WILLIAMS"/>
    <s v="EDUARDO WILLIAMS"/>
    <d v="1974-07-09T00:00:00"/>
    <s v="S"/>
    <s v="M"/>
    <s v="eduardo2@adventure-works.com"/>
    <n v="40000"/>
    <n v="0"/>
    <s v="High School"/>
    <s v="Skilled Manual"/>
    <s v="Y"/>
    <s v="Northwest"/>
    <x v="1"/>
    <s v="North America"/>
    <x v="0"/>
    <s v="Bikes"/>
    <n v="2181.5625"/>
    <n v="1320.6838"/>
    <n v="860.87869999999998"/>
    <n v="0.39461564818793898"/>
  </r>
  <r>
    <x v="177"/>
    <d v="2002-04-23T00:00:00"/>
    <s v="SO46683"/>
    <n v="354"/>
    <n v="12571"/>
    <n v="9"/>
    <n v="1"/>
    <n v="1"/>
    <n v="1"/>
    <s v="BK-M68S-42"/>
    <x v="18"/>
    <n v="1117.8559"/>
    <n v="2071.4196000000002"/>
    <s v="MS."/>
    <s v="JENNIFER"/>
    <s v="GREEN"/>
    <s v="JENNIFER GREEN"/>
    <d v="1980-05-19T00:00:00"/>
    <s v="M"/>
    <s v="F"/>
    <s v="jennifer17@adventure-works.com"/>
    <n v="10000"/>
    <n v="0"/>
    <s v="Partial College"/>
    <s v="Manual"/>
    <s v="N"/>
    <s v="Australia"/>
    <x v="2"/>
    <s v="Pacific"/>
    <x v="1"/>
    <s v="Bikes"/>
    <n v="2071.4196000000002"/>
    <n v="1117.8559"/>
    <n v="953.56370000000004"/>
    <n v="0.460343090313522"/>
  </r>
  <r>
    <x v="177"/>
    <d v="2002-05-09T00:00:00"/>
    <s v="SO46681"/>
    <n v="362"/>
    <n v="12349"/>
    <n v="9"/>
    <n v="1"/>
    <n v="1"/>
    <n v="1"/>
    <s v="BK-M68B-46"/>
    <x v="13"/>
    <n v="1105.81"/>
    <n v="2049.0981999999999"/>
    <s v="MS."/>
    <s v="LACEY"/>
    <s v="YUAN"/>
    <s v="LACEY YUAN"/>
    <d v="1974-07-26T00:00:00"/>
    <s v="S"/>
    <s v="F"/>
    <s v="lacey41@adventure-works.com"/>
    <n v="9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177"/>
    <d v="2002-03-10T00:00:00"/>
    <s v="SO46682"/>
    <n v="358"/>
    <n v="12355"/>
    <n v="9"/>
    <n v="1"/>
    <n v="1"/>
    <n v="1"/>
    <s v="BK-M68B-38"/>
    <x v="15"/>
    <n v="1105.81"/>
    <n v="2049.0981999999999"/>
    <s v="MS."/>
    <s v="MONIQUE"/>
    <s v="ORTEGA"/>
    <s v="MONIQUE ORTEGA"/>
    <d v="1973-03-23T00:00:00"/>
    <s v="S"/>
    <s v="F"/>
    <s v="monique18@adventure-works.com"/>
    <n v="120000"/>
    <n v="0"/>
    <s v="Partial High School"/>
    <s v="Professional"/>
    <s v="Y"/>
    <s v="Australia"/>
    <x v="2"/>
    <s v="Pacific"/>
    <x v="1"/>
    <s v="Bikes"/>
    <n v="2049.0981999999999"/>
    <n v="1105.81"/>
    <n v="943.28819999999996"/>
    <n v="0.46034309141455498"/>
  </r>
  <r>
    <x v="178"/>
    <d v="2002-03-28T00:00:00"/>
    <s v="SO46685"/>
    <n v="377"/>
    <n v="12947"/>
    <n v="4"/>
    <n v="1"/>
    <n v="1"/>
    <n v="2"/>
    <s v="BK-R89B-52"/>
    <x v="20"/>
    <n v="1320.6838"/>
    <n v="2181.5625"/>
    <s v="MR."/>
    <s v="ISAIAH"/>
    <s v="SANCHEZ"/>
    <s v="ISAIAH SANCHEZ"/>
    <d v="1964-02-17T00:00:00"/>
    <s v="S"/>
    <s v="M"/>
    <s v="isaiah17@adventure-works.com"/>
    <n v="40000"/>
    <n v="0"/>
    <s v="Bachelors"/>
    <s v="Professional"/>
    <s v="N"/>
    <s v="Southwest"/>
    <x v="1"/>
    <s v="North America"/>
    <x v="0"/>
    <s v="Bikes"/>
    <n v="2181.5625"/>
    <n v="1320.6838"/>
    <n v="860.87869999999998"/>
    <n v="0.39461564818793898"/>
  </r>
  <r>
    <x v="179"/>
    <d v="2002-03-24T00:00:00"/>
    <s v="SO46692"/>
    <n v="369"/>
    <n v="13208"/>
    <n v="4"/>
    <n v="1"/>
    <n v="1"/>
    <n v="2"/>
    <s v="BK-R89R-48"/>
    <x v="21"/>
    <n v="1518.7864"/>
    <n v="2443.35"/>
    <s v="MRS."/>
    <s v="CASSIDY"/>
    <s v="BRYANT"/>
    <s v="CASSIDY BRYANT"/>
    <d v="1945-10-02T00:00:00"/>
    <s v="S"/>
    <s v="F"/>
    <s v="cassidy19@adventure-works.com"/>
    <n v="70000"/>
    <n v="5"/>
    <s v="Bachelors"/>
    <s v="Management"/>
    <s v="Y"/>
    <s v="Southwest"/>
    <x v="1"/>
    <s v="North America"/>
    <x v="0"/>
    <s v="Bikes"/>
    <n v="2443.35"/>
    <n v="1518.7864"/>
    <n v="924.56359999999995"/>
    <n v="0.37839998362903399"/>
  </r>
  <r>
    <x v="179"/>
    <d v="2002-04-06T00:00:00"/>
    <s v="SO46693"/>
    <n v="373"/>
    <n v="13210"/>
    <n v="4"/>
    <n v="1"/>
    <n v="1"/>
    <n v="2"/>
    <s v="BK-R89B-44"/>
    <x v="19"/>
    <n v="1320.6838"/>
    <n v="2181.5625"/>
    <s v="MR."/>
    <s v="ETHAN"/>
    <s v="SIMMONS"/>
    <s v="ETHAN SIMMONS"/>
    <d v="1945-05-27T00:00:00"/>
    <s v="M"/>
    <s v="M"/>
    <s v="ethan11@adventure-works.com"/>
    <n v="60000"/>
    <n v="4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179"/>
    <d v="2002-05-21T00:00:00"/>
    <s v="SO46694"/>
    <n v="373"/>
    <n v="13220"/>
    <n v="4"/>
    <n v="1"/>
    <n v="1"/>
    <n v="2"/>
    <s v="BK-R89B-44"/>
    <x v="19"/>
    <n v="1320.6838"/>
    <n v="2181.5625"/>
    <s v="MRS."/>
    <s v="ISABELLA"/>
    <s v="HERNANDEZ"/>
    <s v="ISABELLA HERNANDEZ"/>
    <d v="1946-07-28T00:00:00"/>
    <s v="M"/>
    <s v="F"/>
    <s v="isabella49@adventure-works.com"/>
    <n v="70000"/>
    <n v="3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179"/>
    <d v="2002-03-06T00:00:00"/>
    <s v="SO46689"/>
    <n v="369"/>
    <n v="13032"/>
    <n v="4"/>
    <n v="1"/>
    <n v="1"/>
    <n v="2"/>
    <s v="BK-R89R-48"/>
    <x v="21"/>
    <n v="1518.7864"/>
    <n v="2443.35"/>
    <s v="MR."/>
    <s v="KEVIN"/>
    <s v="BAKER"/>
    <s v="KEVIN BAKER"/>
    <d v="1977-04-09T00:00:00"/>
    <s v="M"/>
    <s v="M"/>
    <s v="kevin45@adventure-works.com"/>
    <n v="70000"/>
    <n v="0"/>
    <s v="Partial College"/>
    <s v="Skilled Manual"/>
    <s v="Y"/>
    <s v="Southwest"/>
    <x v="1"/>
    <s v="North America"/>
    <x v="0"/>
    <s v="Bikes"/>
    <n v="2443.35"/>
    <n v="1518.7864"/>
    <n v="924.56359999999995"/>
    <n v="0.37839998362903399"/>
  </r>
  <r>
    <x v="180"/>
    <d v="2002-05-25T00:00:00"/>
    <s v="SO47564"/>
    <n v="356"/>
    <n v="12210"/>
    <n v="10"/>
    <n v="1"/>
    <n v="1"/>
    <n v="1"/>
    <s v="BK-M68S-46"/>
    <x v="14"/>
    <n v="1117.8559"/>
    <n v="2071.4196000000002"/>
    <s v="MR."/>
    <s v="ALAN"/>
    <s v="HE"/>
    <s v="ALAN HE"/>
    <d v="1978-09-25T00:00:00"/>
    <s v="M"/>
    <s v="M"/>
    <s v="alan22@adventure-works.com"/>
    <n v="10000"/>
    <n v="0"/>
    <s v="Graduate Degree"/>
    <s v="Manual"/>
    <s v="N"/>
    <s v="United Kingdom"/>
    <x v="3"/>
    <s v="Europe"/>
    <x v="1"/>
    <s v="Bikes"/>
    <n v="2071.4196000000002"/>
    <n v="1117.8559"/>
    <n v="953.56370000000004"/>
    <n v="0.460343090313522"/>
  </r>
  <r>
    <x v="179"/>
    <d v="2002-03-31T00:00:00"/>
    <s v="SO46690"/>
    <n v="368"/>
    <n v="13039"/>
    <n v="4"/>
    <n v="1"/>
    <n v="1"/>
    <n v="2"/>
    <s v="BK-R89R-44"/>
    <x v="22"/>
    <n v="1518.7864"/>
    <n v="2443.35"/>
    <s v="MS."/>
    <s v="TRISHA"/>
    <s v="MA"/>
    <s v="TRISHA MA"/>
    <d v="1980-08-20T00:00:00"/>
    <s v="S"/>
    <s v="F"/>
    <s v="trisha10@adventure-works.com"/>
    <n v="20000"/>
    <n v="0"/>
    <s v="Partial College"/>
    <s v="Skilled Manual"/>
    <s v="N"/>
    <s v="Southwest"/>
    <x v="1"/>
    <s v="North America"/>
    <x v="0"/>
    <s v="Bikes"/>
    <n v="2443.35"/>
    <n v="1518.7864"/>
    <n v="924.56359999999995"/>
    <n v="0.37839998362903399"/>
  </r>
  <r>
    <x v="179"/>
    <d v="2002-05-07T00:00:00"/>
    <s v="SO46688"/>
    <n v="369"/>
    <n v="12929"/>
    <n v="1"/>
    <n v="1"/>
    <n v="1"/>
    <n v="2"/>
    <s v="BK-R89R-48"/>
    <x v="21"/>
    <n v="1518.7864"/>
    <n v="2443.35"/>
    <s v="MRS."/>
    <s v="VANESSA"/>
    <s v="BRYANT"/>
    <s v="VANESSA BRYANT"/>
    <d v="1969-03-05T00:00:00"/>
    <s v="M"/>
    <s v="F"/>
    <s v="vanessa19@adventure-works.com"/>
    <n v="70000"/>
    <n v="5"/>
    <s v="Graduate Degree"/>
    <s v="Professional"/>
    <s v="Y"/>
    <s v="Northwest"/>
    <x v="1"/>
    <s v="North America"/>
    <x v="0"/>
    <s v="Bikes"/>
    <n v="2443.35"/>
    <n v="1518.7864"/>
    <n v="924.56359999999995"/>
    <n v="0.37839998362903399"/>
  </r>
  <r>
    <x v="179"/>
    <d v="2002-05-15T00:00:00"/>
    <s v="SO46691"/>
    <n v="368"/>
    <n v="13142"/>
    <n v="4"/>
    <n v="1"/>
    <n v="1"/>
    <n v="2"/>
    <s v="BK-R89R-44"/>
    <x v="22"/>
    <n v="1518.7864"/>
    <n v="2443.35"/>
    <s v="MR."/>
    <s v="XAVIER"/>
    <s v="MOORE"/>
    <s v="XAVIER MOORE"/>
    <d v="1975-03-23T00:00:00"/>
    <s v="M"/>
    <s v="M"/>
    <s v="xavier6@adventure-works.com"/>
    <n v="40000"/>
    <n v="0"/>
    <s v="High School"/>
    <s v="Skilled Manual"/>
    <s v="Y"/>
    <s v="Southwest"/>
    <x v="1"/>
    <s v="North America"/>
    <x v="0"/>
    <s v="Bikes"/>
    <n v="2443.35"/>
    <n v="1518.7864"/>
    <n v="924.56359999999995"/>
    <n v="0.37839998362903399"/>
  </r>
  <r>
    <x v="181"/>
    <d v="2002-08-03T00:00:00"/>
    <s v="SO48142"/>
    <n v="362"/>
    <n v="12213"/>
    <n v="8"/>
    <n v="1"/>
    <n v="1"/>
    <n v="1"/>
    <s v="BK-M68B-46"/>
    <x v="13"/>
    <n v="1105.81"/>
    <n v="2049.0981999999999"/>
    <s v="MR."/>
    <s v="ALEJANDRO"/>
    <s v="LAL"/>
    <s v="ALEJANDRO LAL"/>
    <d v="1963-02-02T00:00:00"/>
    <s v="M"/>
    <s v="M"/>
    <s v="alejandro35@adventure-works.com"/>
    <n v="10000"/>
    <n v="1"/>
    <s v="Graduate Degree"/>
    <s v="Manual"/>
    <s v="Y"/>
    <s v="Germany"/>
    <x v="4"/>
    <s v="Europe"/>
    <x v="1"/>
    <s v="Bikes"/>
    <n v="2049.0981999999999"/>
    <n v="1105.81"/>
    <n v="943.28819999999996"/>
    <n v="0.46034309141455498"/>
  </r>
  <r>
    <x v="182"/>
    <d v="2002-07-24T00:00:00"/>
    <s v="SO47501"/>
    <n v="360"/>
    <n v="12214"/>
    <n v="10"/>
    <n v="1"/>
    <n v="1"/>
    <n v="1"/>
    <s v="BK-M68B-42"/>
    <x v="17"/>
    <n v="1105.81"/>
    <n v="2049.0981999999999"/>
    <s v="MRS."/>
    <s v="JULIE"/>
    <s v="RAJE"/>
    <s v="JULIE RAJE"/>
    <d v="1962-09-20T00:00:00"/>
    <s v="M"/>
    <s v="F"/>
    <s v="julie19@adventure-works.com"/>
    <n v="20000"/>
    <n v="1"/>
    <s v="Graduate Degree"/>
    <s v="Manual"/>
    <s v="Y"/>
    <s v="United Kingdom"/>
    <x v="3"/>
    <s v="Europe"/>
    <x v="1"/>
    <s v="Bikes"/>
    <n v="2049.0981999999999"/>
    <n v="1105.81"/>
    <n v="943.28819999999996"/>
    <n v="0.46034309141455498"/>
  </r>
  <r>
    <x v="183"/>
    <d v="2002-06-28T00:00:00"/>
    <s v="SO47526"/>
    <n v="354"/>
    <n v="12215"/>
    <n v="10"/>
    <n v="1"/>
    <n v="1"/>
    <n v="1"/>
    <s v="BK-M68S-42"/>
    <x v="18"/>
    <n v="1117.8559"/>
    <n v="2071.4196000000002"/>
    <s v="MRS."/>
    <s v="KARLA"/>
    <s v="SHE"/>
    <s v="KARLA SHE"/>
    <d v="1962-12-14T00:00:00"/>
    <s v="M"/>
    <s v="F"/>
    <s v="karla0@adventure-works.com"/>
    <n v="20000"/>
    <n v="1"/>
    <s v="Graduate Degree"/>
    <s v="Clerical"/>
    <s v="Y"/>
    <s v="United Kingdom"/>
    <x v="3"/>
    <s v="Europe"/>
    <x v="1"/>
    <s v="Bikes"/>
    <n v="2071.4196000000002"/>
    <n v="1117.8559"/>
    <n v="953.56370000000004"/>
    <n v="0.460343090313522"/>
  </r>
  <r>
    <x v="184"/>
    <d v="2002-05-28T00:00:00"/>
    <s v="SO46705"/>
    <n v="370"/>
    <n v="13085"/>
    <n v="1"/>
    <n v="1"/>
    <n v="1"/>
    <n v="2"/>
    <s v="BK-R89R-52"/>
    <x v="23"/>
    <n v="1518.7864"/>
    <n v="2443.35"/>
    <s v="MR."/>
    <s v="DANIEL"/>
    <s v="HARRIS"/>
    <s v="DANIEL HARRIS"/>
    <d v="1974-03-19T00:00:00"/>
    <s v="S"/>
    <s v="M"/>
    <s v="daniel10@adventure-works.com"/>
    <n v="30000"/>
    <n v="0"/>
    <s v="Partial High School"/>
    <s v="Skilled Manual"/>
    <s v="Y"/>
    <s v="Northwest"/>
    <x v="1"/>
    <s v="North America"/>
    <x v="0"/>
    <s v="Bikes"/>
    <n v="2443.35"/>
    <n v="1518.7864"/>
    <n v="924.56359999999995"/>
    <n v="0.37839998362903399"/>
  </r>
  <r>
    <x v="89"/>
    <d v="2002-07-29T00:00:00"/>
    <s v="SO47635"/>
    <n v="354"/>
    <n v="12216"/>
    <n v="10"/>
    <n v="1"/>
    <n v="1"/>
    <n v="1"/>
    <s v="BK-M68S-42"/>
    <x v="18"/>
    <n v="1117.8559"/>
    <n v="2071.4196000000002"/>
    <s v="MR."/>
    <s v="GERALD"/>
    <s v="RODRIGUEZ"/>
    <s v="GERALD RODRIGUEZ"/>
    <d v="1962-04-02T00:00:00"/>
    <s v="M"/>
    <s v="M"/>
    <s v="gerald5@adventure-works.com"/>
    <n v="20000"/>
    <n v="1"/>
    <s v="Graduate Degree"/>
    <s v="Clerical"/>
    <s v="Y"/>
    <s v="United Kingdom"/>
    <x v="3"/>
    <s v="Europe"/>
    <x v="1"/>
    <s v="Bikes"/>
    <n v="2071.4196000000002"/>
    <n v="1117.8559"/>
    <n v="953.56370000000004"/>
    <n v="0.460343090313522"/>
  </r>
  <r>
    <x v="169"/>
    <d v="2002-09-25T00:00:00"/>
    <s v="SO48246"/>
    <n v="354"/>
    <n v="12218"/>
    <n v="8"/>
    <n v="1"/>
    <n v="1"/>
    <n v="1"/>
    <s v="BK-M68S-42"/>
    <x v="18"/>
    <n v="1117.8559"/>
    <n v="2071.4196000000002"/>
    <s v="MR."/>
    <s v="MITCHELL"/>
    <s v="XU"/>
    <s v="MITCHELL XU"/>
    <d v="1961-11-26T00:00:00"/>
    <s v="M"/>
    <s v="M"/>
    <s v="mitchell4@adventure-works.com"/>
    <n v="10000"/>
    <n v="1"/>
    <s v="Bachelors"/>
    <s v="Manual"/>
    <s v="Y"/>
    <s v="Germany"/>
    <x v="4"/>
    <s v="Europe"/>
    <x v="1"/>
    <s v="Bikes"/>
    <n v="2071.4196000000002"/>
    <n v="1117.8559"/>
    <n v="953.56370000000004"/>
    <n v="0.460343090313522"/>
  </r>
  <r>
    <x v="184"/>
    <d v="2002-03-08T00:00:00"/>
    <s v="SO46704"/>
    <n v="370"/>
    <n v="13059"/>
    <n v="4"/>
    <n v="1"/>
    <n v="1"/>
    <n v="2"/>
    <s v="BK-R89R-52"/>
    <x v="23"/>
    <n v="1518.7864"/>
    <n v="2443.35"/>
    <s v="MR."/>
    <s v="KEITH"/>
    <s v="DENG"/>
    <s v="KEITH DENG"/>
    <d v="1975-02-15T00:00:00"/>
    <s v="M"/>
    <s v="M"/>
    <s v="keith3@adventure-works.com"/>
    <n v="30000"/>
    <n v="0"/>
    <s v="High School"/>
    <s v="Skilled Manual"/>
    <s v="Y"/>
    <s v="Southwest"/>
    <x v="1"/>
    <s v="North America"/>
    <x v="0"/>
    <s v="Bikes"/>
    <n v="2443.35"/>
    <n v="1518.7864"/>
    <n v="924.56359999999995"/>
    <n v="0.37839998362903399"/>
  </r>
  <r>
    <x v="185"/>
    <d v="2002-05-25T00:00:00"/>
    <s v="SO47554"/>
    <n v="362"/>
    <n v="12222"/>
    <n v="10"/>
    <n v="1"/>
    <n v="1"/>
    <n v="1"/>
    <s v="BK-M68B-46"/>
    <x v="13"/>
    <n v="1105.81"/>
    <n v="2049.0981999999999"/>
    <s v="MRS."/>
    <s v="JENNY"/>
    <s v="XU"/>
    <s v="JENNY XU"/>
    <d v="1961-03-20T00:00:00"/>
    <s v="M"/>
    <s v="F"/>
    <s v="jenny14@adventure-works.com"/>
    <n v="20000"/>
    <n v="1"/>
    <s v="Graduate Degree"/>
    <s v="Clerical"/>
    <s v="Y"/>
    <s v="United Kingdom"/>
    <x v="3"/>
    <s v="Europe"/>
    <x v="1"/>
    <s v="Bikes"/>
    <n v="2049.0981999999999"/>
    <n v="1105.81"/>
    <n v="943.28819999999996"/>
    <n v="0.46034309141455498"/>
  </r>
  <r>
    <x v="74"/>
    <d v="2002-06-03T00:00:00"/>
    <s v="SO46718"/>
    <n v="360"/>
    <n v="12570"/>
    <n v="9"/>
    <n v="1"/>
    <n v="1"/>
    <n v="1"/>
    <s v="BK-M68B-42"/>
    <x v="17"/>
    <n v="1105.81"/>
    <n v="2049.0981999999999"/>
    <s v="MR."/>
    <s v="CASEY"/>
    <s v="MUNOZ"/>
    <s v="CASEY MUNOZ"/>
    <d v="1980-05-16T00:00:00"/>
    <s v="S"/>
    <s v="M"/>
    <s v="casey31@adventure-works.com"/>
    <n v="10000"/>
    <n v="0"/>
    <s v="Partial College"/>
    <s v="Manual"/>
    <s v="N"/>
    <s v="Australia"/>
    <x v="2"/>
    <s v="Pacific"/>
    <x v="1"/>
    <s v="Bikes"/>
    <n v="2049.0981999999999"/>
    <n v="1105.81"/>
    <n v="943.28819999999996"/>
    <n v="0.46034309141455498"/>
  </r>
  <r>
    <x v="186"/>
    <d v="2002-09-13T00:00:00"/>
    <s v="SO48202"/>
    <n v="356"/>
    <n v="12225"/>
    <n v="8"/>
    <n v="1"/>
    <n v="1"/>
    <n v="1"/>
    <s v="BK-M68S-46"/>
    <x v="14"/>
    <n v="1117.8559"/>
    <n v="2071.4196000000002"/>
    <s v="MRS."/>
    <s v="KATHLEEN"/>
    <s v="ORTEGA"/>
    <s v="KATHLEEN ORTEGA"/>
    <d v="1958-11-02T00:00:00"/>
    <s v="M"/>
    <s v="F"/>
    <s v="kathleen21@adventure-works.com"/>
    <n v="20000"/>
    <n v="1"/>
    <s v="Graduate Degree"/>
    <s v="Clerical"/>
    <s v="Y"/>
    <s v="Germany"/>
    <x v="4"/>
    <s v="Europe"/>
    <x v="1"/>
    <s v="Bikes"/>
    <n v="2071.4196000000002"/>
    <n v="1117.8559"/>
    <n v="953.56370000000004"/>
    <n v="0.460343090313522"/>
  </r>
  <r>
    <x v="186"/>
    <d v="2002-10-07T00:00:00"/>
    <s v="SO48203"/>
    <n v="360"/>
    <n v="12226"/>
    <n v="8"/>
    <n v="1"/>
    <n v="1"/>
    <n v="1"/>
    <s v="BK-M68B-42"/>
    <x v="17"/>
    <n v="1105.81"/>
    <n v="2049.0981999999999"/>
    <s v="MRS."/>
    <s v="FAITH"/>
    <s v="WARD"/>
    <s v="FAITH WARD"/>
    <d v="1957-04-10T00:00:00"/>
    <s v="M"/>
    <s v="F"/>
    <s v="faith31@adventure-works.com"/>
    <n v="10000"/>
    <n v="1"/>
    <s v="Bachelors"/>
    <s v="Clerical"/>
    <s v="Y"/>
    <s v="Germany"/>
    <x v="4"/>
    <s v="Europe"/>
    <x v="1"/>
    <s v="Bikes"/>
    <n v="2049.0981999999999"/>
    <n v="1105.81"/>
    <n v="943.28819999999996"/>
    <n v="0.46034309141455498"/>
  </r>
  <r>
    <x v="74"/>
    <d v="2002-06-11T00:00:00"/>
    <s v="SO46711"/>
    <n v="369"/>
    <n v="13592"/>
    <n v="7"/>
    <n v="1"/>
    <n v="1"/>
    <n v="2"/>
    <s v="BK-R89R-48"/>
    <x v="21"/>
    <n v="1518.7864"/>
    <n v="2443.35"/>
    <s v="MRS."/>
    <s v="GABRIELLA"/>
    <s v="COLLINS"/>
    <s v="GABRIELLA COLLINS"/>
    <d v="1952-06-07T00:00:00"/>
    <s v="M"/>
    <s v="F"/>
    <s v="gabriella23@adventure-works.com"/>
    <n v="70000"/>
    <n v="5"/>
    <s v="Partial High School"/>
    <s v="Skilled Manual"/>
    <s v="Y"/>
    <s v="France"/>
    <x v="0"/>
    <s v="Europe"/>
    <x v="0"/>
    <s v="Bikes"/>
    <n v="2443.35"/>
    <n v="1518.7864"/>
    <n v="924.56359999999995"/>
    <n v="0.37839998362903399"/>
  </r>
  <r>
    <x v="187"/>
    <d v="2002-10-14T00:00:00"/>
    <s v="SO48488"/>
    <n v="354"/>
    <n v="12229"/>
    <n v="8"/>
    <n v="1"/>
    <n v="1"/>
    <n v="1"/>
    <s v="BK-M68S-42"/>
    <x v="18"/>
    <n v="1117.8559"/>
    <n v="2071.4196000000002"/>
    <s v="MRS."/>
    <s v="KARI"/>
    <s v="GOMEZ"/>
    <s v="KARI GOMEZ"/>
    <d v="1956-11-17T00:00:00"/>
    <s v="M"/>
    <s v="F"/>
    <s v="kari22@adventure-works.com"/>
    <n v="10000"/>
    <n v="2"/>
    <s v="Partial College"/>
    <s v="Manual"/>
    <s v="Y"/>
    <s v="Germany"/>
    <x v="4"/>
    <s v="Europe"/>
    <x v="1"/>
    <s v="Bikes"/>
    <n v="2071.4196000000002"/>
    <n v="1117.8559"/>
    <n v="953.56370000000004"/>
    <n v="0.460343090313522"/>
  </r>
  <r>
    <x v="74"/>
    <d v="2002-03-13T00:00:00"/>
    <s v="SO46714"/>
    <n v="368"/>
    <n v="13093"/>
    <n v="1"/>
    <n v="1"/>
    <n v="1"/>
    <n v="2"/>
    <s v="BK-R89R-44"/>
    <x v="22"/>
    <n v="1518.7864"/>
    <n v="2443.35"/>
    <s v="MRS."/>
    <s v="MICHELLE"/>
    <s v="JAMES"/>
    <s v="MICHELLE JAMES"/>
    <d v="1957-10-15T00:00:00"/>
    <s v="S"/>
    <s v="F"/>
    <s v="michelle9@adventure-works.com"/>
    <n v="80000"/>
    <n v="2"/>
    <s v="Partial High School"/>
    <s v="Skilled Manual"/>
    <s v="N"/>
    <s v="Northwest"/>
    <x v="1"/>
    <s v="North America"/>
    <x v="0"/>
    <s v="Bikes"/>
    <n v="2443.35"/>
    <n v="1518.7864"/>
    <n v="924.56359999999995"/>
    <n v="0.37839998362903399"/>
  </r>
  <r>
    <x v="188"/>
    <d v="2002-10-16T00:00:00"/>
    <s v="SO48634"/>
    <n v="362"/>
    <n v="12230"/>
    <n v="8"/>
    <n v="1"/>
    <n v="1"/>
    <n v="1"/>
    <s v="BK-M68B-46"/>
    <x v="13"/>
    <n v="1105.81"/>
    <n v="2049.0981999999999"/>
    <s v="MR."/>
    <s v="WESLEY"/>
    <s v="ZHENG"/>
    <s v="WESLEY ZHENG"/>
    <d v="1956-02-12T00:00:00"/>
    <s v="M"/>
    <s v="M"/>
    <s v="wesley19@adventure-works.com"/>
    <n v="10000"/>
    <n v="2"/>
    <s v="Partial College"/>
    <s v="Manual"/>
    <s v="Y"/>
    <s v="Germany"/>
    <x v="4"/>
    <s v="Europe"/>
    <x v="1"/>
    <s v="Bikes"/>
    <n v="2049.0981999999999"/>
    <n v="1105.81"/>
    <n v="943.28819999999996"/>
    <n v="0.46034309141455498"/>
  </r>
  <r>
    <x v="189"/>
    <d v="2002-10-06T00:00:00"/>
    <s v="SO48580"/>
    <n v="358"/>
    <n v="12231"/>
    <n v="8"/>
    <n v="1"/>
    <n v="1"/>
    <n v="1"/>
    <s v="BK-M68B-38"/>
    <x v="15"/>
    <n v="1105.81"/>
    <n v="2049.0981999999999"/>
    <s v="MRS."/>
    <s v="ISABELLE"/>
    <s v="PATTERSON"/>
    <s v="ISABELLE PATTERSON"/>
    <d v="1955-03-19T00:00:00"/>
    <s v="S"/>
    <s v="F"/>
    <s v="isabelle9@adventure-works.com"/>
    <n v="10000"/>
    <n v="2"/>
    <s v="Partial College"/>
    <s v="Manual"/>
    <s v="Y"/>
    <s v="Germany"/>
    <x v="4"/>
    <s v="Europe"/>
    <x v="1"/>
    <s v="Bikes"/>
    <n v="2049.0981999999999"/>
    <n v="1105.81"/>
    <n v="943.28819999999996"/>
    <n v="0.46034309141455498"/>
  </r>
  <r>
    <x v="190"/>
    <d v="2002-09-29T00:00:00"/>
    <s v="SO48443"/>
    <n v="352"/>
    <n v="12232"/>
    <n v="8"/>
    <n v="1"/>
    <n v="1"/>
    <n v="1"/>
    <s v="BK-M68S-38"/>
    <x v="16"/>
    <n v="1117.8559"/>
    <n v="2071.4196000000002"/>
    <s v="MR."/>
    <s v="SEAN"/>
    <s v="HERNANDEZ"/>
    <s v="SEAN HERNANDEZ"/>
    <d v="1955-04-14T00:00:00"/>
    <s v="S"/>
    <s v="M"/>
    <s v="sean51@adventure-works.com"/>
    <n v="10000"/>
    <n v="2"/>
    <s v="Partial College"/>
    <s v="Manual"/>
    <s v="Y"/>
    <s v="Germany"/>
    <x v="4"/>
    <s v="Europe"/>
    <x v="1"/>
    <s v="Bikes"/>
    <n v="2071.4196000000002"/>
    <n v="1117.8559"/>
    <n v="953.56370000000004"/>
    <n v="0.460343090313522"/>
  </r>
  <r>
    <x v="97"/>
    <d v="2002-04-26T00:00:00"/>
    <s v="SO46720"/>
    <n v="371"/>
    <n v="13667"/>
    <n v="7"/>
    <n v="1"/>
    <n v="1"/>
    <n v="2"/>
    <s v="BK-R89R-58"/>
    <x v="24"/>
    <n v="1320.6838"/>
    <n v="2181.5625"/>
    <s v="MR."/>
    <s v="ANDRES"/>
    <s v="DENG"/>
    <s v="ANDRES DENG"/>
    <d v="1973-05-11T00:00:00"/>
    <s v="S"/>
    <s v="M"/>
    <s v="andres0@adventure-works.com"/>
    <n v="20000"/>
    <n v="0"/>
    <s v="Partial High School"/>
    <s v="Manual"/>
    <s v="N"/>
    <s v="France"/>
    <x v="0"/>
    <s v="Europe"/>
    <x v="0"/>
    <s v="Bikes"/>
    <n v="2181.5625"/>
    <n v="1320.6838"/>
    <n v="860.87869999999998"/>
    <n v="0.39461564818793898"/>
  </r>
  <r>
    <x v="97"/>
    <d v="2002-06-02T00:00:00"/>
    <s v="SO46723"/>
    <n v="368"/>
    <n v="12918"/>
    <n v="4"/>
    <n v="1"/>
    <n v="1"/>
    <n v="2"/>
    <s v="BK-R89R-44"/>
    <x v="22"/>
    <n v="1518.7864"/>
    <n v="2443.35"/>
    <s v="MRS."/>
    <s v="BROOKE"/>
    <s v="MURPHY"/>
    <s v="BROOKE MURPHY"/>
    <d v="1970-02-13T00:00:00"/>
    <s v="M"/>
    <s v="F"/>
    <s v="brooke13@adventure-works.com"/>
    <n v="80000"/>
    <n v="2"/>
    <s v="Graduate Degree"/>
    <s v="Professional"/>
    <s v="Y"/>
    <s v="Southwest"/>
    <x v="1"/>
    <s v="North America"/>
    <x v="0"/>
    <s v="Bikes"/>
    <n v="2443.35"/>
    <n v="1518.7864"/>
    <n v="924.56359999999995"/>
    <n v="0.37839998362903399"/>
  </r>
  <r>
    <x v="191"/>
    <d v="2002-11-15T00:00:00"/>
    <s v="SO48602"/>
    <n v="352"/>
    <n v="12237"/>
    <n v="8"/>
    <n v="1"/>
    <n v="1"/>
    <n v="1"/>
    <s v="BK-M68S-38"/>
    <x v="16"/>
    <n v="1117.8559"/>
    <n v="2071.4196000000002"/>
    <s v="MRS."/>
    <s v="RUTH"/>
    <s v="MADAN"/>
    <s v="RUTH MADAN"/>
    <d v="1941-05-11T00:00:00"/>
    <s v="M"/>
    <s v="F"/>
    <s v="ruth12@adventure-works.com"/>
    <n v="20000"/>
    <n v="1"/>
    <s v="Partial College"/>
    <s v="Manual"/>
    <s v="Y"/>
    <s v="Germany"/>
    <x v="4"/>
    <s v="Europe"/>
    <x v="1"/>
    <s v="Bikes"/>
    <n v="2071.4196000000002"/>
    <n v="1117.8559"/>
    <n v="953.56370000000004"/>
    <n v="0.460343090313522"/>
  </r>
  <r>
    <x v="97"/>
    <d v="2002-06-08T00:00:00"/>
    <s v="SO46728"/>
    <n v="358"/>
    <n v="12354"/>
    <n v="9"/>
    <n v="1"/>
    <n v="1"/>
    <n v="1"/>
    <s v="BK-M68B-38"/>
    <x v="15"/>
    <n v="1105.81"/>
    <n v="2049.0981999999999"/>
    <s v="MR."/>
    <s v="LANCE"/>
    <s v="ORTEGA"/>
    <s v="LANCE ORTEGA"/>
    <d v="1973-08-07T00:00:00"/>
    <s v="M"/>
    <s v="M"/>
    <s v="lance22@adventure-works.com"/>
    <n v="110000"/>
    <n v="0"/>
    <s v="Partial College"/>
    <s v="Management"/>
    <s v="N"/>
    <s v="Australia"/>
    <x v="2"/>
    <s v="Pacific"/>
    <x v="1"/>
    <s v="Bikes"/>
    <n v="2049.0981999999999"/>
    <n v="1105.81"/>
    <n v="943.28819999999996"/>
    <n v="0.46034309141455498"/>
  </r>
  <r>
    <x v="192"/>
    <d v="2002-06-02T00:00:00"/>
    <s v="SO47620"/>
    <n v="352"/>
    <n v="12239"/>
    <n v="10"/>
    <n v="1"/>
    <n v="1"/>
    <n v="1"/>
    <s v="BK-M68S-38"/>
    <x v="16"/>
    <n v="1117.8559"/>
    <n v="2071.4196000000002"/>
    <s v="MR."/>
    <s v="ALBERTO"/>
    <s v="RAMOS"/>
    <s v="ALBERTO RAMOS"/>
    <d v="1942-06-01T00:00:00"/>
    <s v="M"/>
    <s v="M"/>
    <s v="alberto17@adventure-works.com"/>
    <n v="30000"/>
    <n v="1"/>
    <s v="Bachelors"/>
    <s v="Clerical"/>
    <s v="Y"/>
    <s v="United Kingdom"/>
    <x v="3"/>
    <s v="Europe"/>
    <x v="1"/>
    <s v="Bikes"/>
    <n v="2071.4196000000002"/>
    <n v="1117.8559"/>
    <n v="953.56370000000004"/>
    <n v="0.460343090313522"/>
  </r>
  <r>
    <x v="193"/>
    <d v="2002-06-09T00:00:00"/>
    <s v="SO46734"/>
    <n v="375"/>
    <n v="13060"/>
    <n v="4"/>
    <n v="1"/>
    <n v="1"/>
    <n v="2"/>
    <s v="BK-R89B-48"/>
    <x v="25"/>
    <n v="1320.6838"/>
    <n v="2181.5625"/>
    <s v="MR."/>
    <s v="EUGENE"/>
    <s v="ZHU"/>
    <s v="EUGENE ZHU"/>
    <d v="1975-06-09T00:00:00"/>
    <s v="M"/>
    <s v="M"/>
    <s v="eugene18@adventure-works.com"/>
    <n v="30000"/>
    <n v="0"/>
    <s v="High School"/>
    <s v="Skilled Manual"/>
    <s v="Y"/>
    <s v="Southwest"/>
    <x v="1"/>
    <s v="North America"/>
    <x v="0"/>
    <s v="Bikes"/>
    <n v="2181.5625"/>
    <n v="1320.6838"/>
    <n v="860.87869999999998"/>
    <n v="0.39461564818793898"/>
  </r>
  <r>
    <x v="193"/>
    <d v="2002-04-04T00:00:00"/>
    <s v="SO46735"/>
    <n v="371"/>
    <n v="13226"/>
    <n v="1"/>
    <n v="1"/>
    <n v="1"/>
    <n v="2"/>
    <s v="BK-R89R-58"/>
    <x v="24"/>
    <n v="1320.6838"/>
    <n v="2181.5625"/>
    <s v="MRS."/>
    <s v="JENNA"/>
    <s v="MITCHELL"/>
    <s v="JENNA MITCHELL"/>
    <d v="1947-03-13T00:00:00"/>
    <s v="M"/>
    <s v="F"/>
    <s v="jenna10@adventure-works.com"/>
    <n v="60000"/>
    <n v="5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193"/>
    <d v="2002-04-22T00:00:00"/>
    <s v="SO46736"/>
    <n v="360"/>
    <n v="12341"/>
    <n v="9"/>
    <n v="1"/>
    <n v="1"/>
    <n v="1"/>
    <s v="BK-M68B-42"/>
    <x v="17"/>
    <n v="1105.81"/>
    <n v="2049.0981999999999"/>
    <s v="MS."/>
    <s v="KATIE"/>
    <s v="KUMAR"/>
    <s v="KATIE KUMAR"/>
    <d v="1976-09-09T00:00:00"/>
    <s v="M"/>
    <s v="F"/>
    <s v="katie10@adventure-works.com"/>
    <n v="8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193"/>
    <d v="2002-05-27T00:00:00"/>
    <s v="SO46738"/>
    <n v="362"/>
    <n v="12576"/>
    <n v="9"/>
    <n v="1"/>
    <n v="1"/>
    <n v="1"/>
    <s v="BK-M68B-46"/>
    <x v="13"/>
    <n v="1105.81"/>
    <n v="2049.0981999999999"/>
    <s v="MR."/>
    <s v="WALTER"/>
    <s v="DOMINGUEZ"/>
    <s v="WALTER DOMINGUEZ"/>
    <d v="1979-03-14T00:00:00"/>
    <s v="S"/>
    <s v="M"/>
    <s v="walter6@adventure-works.com"/>
    <n v="10000"/>
    <n v="0"/>
    <s v="Partial College"/>
    <s v="Manual"/>
    <s v="N"/>
    <s v="Australia"/>
    <x v="2"/>
    <s v="Pacific"/>
    <x v="1"/>
    <s v="Bikes"/>
    <n v="2049.0981999999999"/>
    <n v="1105.81"/>
    <n v="943.28819999999996"/>
    <n v="0.46034309141455498"/>
  </r>
  <r>
    <x v="193"/>
    <d v="2002-05-13T00:00:00"/>
    <s v="SO46737"/>
    <n v="354"/>
    <n v="12346"/>
    <n v="9"/>
    <n v="1"/>
    <n v="1"/>
    <n v="1"/>
    <s v="BK-M68S-42"/>
    <x v="18"/>
    <n v="1117.8559"/>
    <n v="2071.4196000000002"/>
    <s v="MR."/>
    <s v="WESLEY"/>
    <s v="GAO"/>
    <s v="WESLEY GAO"/>
    <d v="1975-05-22T00:00:00"/>
    <s v="S"/>
    <s v="M"/>
    <s v="wesley15@adventure-works.com"/>
    <n v="9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194"/>
    <d v="2002-03-26T00:00:00"/>
    <s v="SO46740"/>
    <n v="379"/>
    <n v="12980"/>
    <n v="1"/>
    <n v="1"/>
    <n v="1"/>
    <n v="2"/>
    <s v="BK-R89B-58"/>
    <x v="26"/>
    <n v="1320.6838"/>
    <n v="2181.5625"/>
    <s v="MR."/>
    <s v="MAX"/>
    <s v="MOYER"/>
    <s v="MAX MOYER"/>
    <d v="1959-08-14T00:00:00"/>
    <s v="M"/>
    <s v="M"/>
    <s v="max10@adventure-works.com"/>
    <n v="80000"/>
    <n v="2"/>
    <s v="Graduate Degree"/>
    <s v="Professional"/>
    <s v="Y"/>
    <s v="Northwest"/>
    <x v="1"/>
    <s v="North America"/>
    <x v="0"/>
    <s v="Bikes"/>
    <n v="2181.5625"/>
    <n v="1320.6838"/>
    <n v="860.87869999999998"/>
    <n v="0.39461564818793898"/>
  </r>
  <r>
    <x v="195"/>
    <d v="2002-05-19T00:00:00"/>
    <s v="SO46746"/>
    <n v="368"/>
    <n v="13057"/>
    <n v="4"/>
    <n v="1"/>
    <n v="1"/>
    <n v="2"/>
    <s v="BK-R89R-44"/>
    <x v="22"/>
    <n v="1518.7864"/>
    <n v="2443.35"/>
    <s v="MS."/>
    <s v="DESTINY"/>
    <s v="POWELL"/>
    <s v="DESTINY POWELL"/>
    <d v="1975-06-21T00:00:00"/>
    <s v="S"/>
    <s v="F"/>
    <s v="destiny57@adventure-works.com"/>
    <n v="30000"/>
    <n v="0"/>
    <s v="High School"/>
    <s v="Skilled Manual"/>
    <s v="Y"/>
    <s v="Southwest"/>
    <x v="1"/>
    <s v="North America"/>
    <x v="0"/>
    <s v="Bikes"/>
    <n v="2443.35"/>
    <n v="1518.7864"/>
    <n v="924.56359999999995"/>
    <n v="0.37839998362903399"/>
  </r>
  <r>
    <x v="195"/>
    <d v="2002-04-11T00:00:00"/>
    <s v="SO46749"/>
    <n v="354"/>
    <n v="12350"/>
    <n v="9"/>
    <n v="1"/>
    <n v="1"/>
    <n v="1"/>
    <s v="BK-M68S-42"/>
    <x v="18"/>
    <n v="1117.8559"/>
    <n v="2071.4196000000002"/>
    <s v="MR."/>
    <s v="LOGAN"/>
    <s v="HERNANDEZ"/>
    <s v="LOGAN HERNANDEZ"/>
    <d v="1973-02-25T00:00:00"/>
    <s v="M"/>
    <s v="M"/>
    <s v="logan44@adventure-works.com"/>
    <n v="90000"/>
    <n v="0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195"/>
    <d v="2002-05-31T00:00:00"/>
    <s v="SO46745"/>
    <n v="369"/>
    <n v="13056"/>
    <n v="1"/>
    <n v="1"/>
    <n v="1"/>
    <n v="2"/>
    <s v="BK-R89R-48"/>
    <x v="21"/>
    <n v="1518.7864"/>
    <n v="2443.35"/>
    <s v="MS."/>
    <s v="MORGAN"/>
    <s v="BLUE"/>
    <s v="MORGAN BLUE"/>
    <d v="1975-09-23T00:00:00"/>
    <s v="S"/>
    <s v="F"/>
    <s v="morgan52@adventure-works.com"/>
    <n v="30000"/>
    <n v="0"/>
    <s v="High School"/>
    <s v="Skilled Manual"/>
    <s v="Y"/>
    <s v="Northwest"/>
    <x v="1"/>
    <s v="North America"/>
    <x v="0"/>
    <s v="Bikes"/>
    <n v="2443.35"/>
    <n v="1518.7864"/>
    <n v="924.56359999999995"/>
    <n v="0.37839998362903399"/>
  </r>
  <r>
    <x v="196"/>
    <d v="2002-06-26T00:00:00"/>
    <s v="SO47648"/>
    <n v="356"/>
    <n v="12263"/>
    <n v="10"/>
    <n v="1"/>
    <n v="1"/>
    <n v="1"/>
    <s v="BK-M68S-46"/>
    <x v="14"/>
    <n v="1117.8559"/>
    <n v="2071.4196000000002"/>
    <s v="MR."/>
    <s v="EMMANUEL"/>
    <s v="GARCIA"/>
    <s v="EMMANUEL GARCIA"/>
    <d v="1960-03-15T00:00:00"/>
    <s v="S"/>
    <s v="M"/>
    <s v="emmanuel13@adventure-works.com"/>
    <n v="20000"/>
    <n v="1"/>
    <s v="Partial College"/>
    <s v="Manual"/>
    <s v="N"/>
    <s v="United Kingdom"/>
    <x v="3"/>
    <s v="Europe"/>
    <x v="1"/>
    <s v="Bikes"/>
    <n v="2071.4196000000002"/>
    <n v="1117.8559"/>
    <n v="953.56370000000004"/>
    <n v="0.460343090313522"/>
  </r>
  <r>
    <x v="197"/>
    <d v="2002-08-02T00:00:00"/>
    <s v="SO47799"/>
    <n v="360"/>
    <n v="12264"/>
    <n v="10"/>
    <n v="1"/>
    <n v="1"/>
    <n v="1"/>
    <s v="BK-M68B-42"/>
    <x v="17"/>
    <n v="1105.81"/>
    <n v="2049.0981999999999"/>
    <s v="MR."/>
    <s v="BRUCE"/>
    <s v="ASHE"/>
    <s v="BRUCE ASHE"/>
    <d v="1960-02-21T00:00:00"/>
    <s v="S"/>
    <s v="M"/>
    <s v="bruce27@adventure-works.com"/>
    <n v="20000"/>
    <n v="1"/>
    <s v="Partial College"/>
    <s v="Manual"/>
    <s v="N"/>
    <s v="United Kingdom"/>
    <x v="3"/>
    <s v="Europe"/>
    <x v="1"/>
    <s v="Bikes"/>
    <n v="2049.0981999999999"/>
    <n v="1105.81"/>
    <n v="943.28819999999996"/>
    <n v="0.46034309141455498"/>
  </r>
  <r>
    <x v="198"/>
    <d v="2002-10-03T00:00:00"/>
    <s v="SO48592"/>
    <n v="354"/>
    <n v="12266"/>
    <n v="8"/>
    <n v="1"/>
    <n v="1"/>
    <n v="1"/>
    <s v="BK-M68S-42"/>
    <x v="18"/>
    <n v="1117.8559"/>
    <n v="2071.4196000000002"/>
    <s v="MRS."/>
    <s v="TIFFANY"/>
    <s v="LIN"/>
    <s v="TIFFANY LIN"/>
    <d v="1959-03-17T00:00:00"/>
    <s v="M"/>
    <s v="F"/>
    <s v="tiffany7@adventure-works.com"/>
    <n v="20000"/>
    <n v="2"/>
    <s v="Partial College"/>
    <s v="Manual"/>
    <s v="Y"/>
    <s v="Germany"/>
    <x v="4"/>
    <s v="Europe"/>
    <x v="1"/>
    <s v="Bikes"/>
    <n v="2071.4196000000002"/>
    <n v="1117.8559"/>
    <n v="953.56370000000004"/>
    <n v="0.460343090313522"/>
  </r>
  <r>
    <x v="199"/>
    <d v="2002-03-22T00:00:00"/>
    <s v="SO46751"/>
    <n v="377"/>
    <n v="12934"/>
    <n v="4"/>
    <n v="1"/>
    <n v="1"/>
    <n v="2"/>
    <s v="BK-R89B-52"/>
    <x v="20"/>
    <n v="1320.6838"/>
    <n v="2181.5625"/>
    <s v="MR."/>
    <s v="JASON"/>
    <s v="FOSTER"/>
    <s v="JASON FOSTER"/>
    <d v="1969-11-12T00:00:00"/>
    <s v="S"/>
    <s v="M"/>
    <s v="jason13@adventure-works.com"/>
    <n v="80000"/>
    <n v="3"/>
    <s v="Graduate Degree"/>
    <s v="Professional"/>
    <s v="Y"/>
    <s v="Southwest"/>
    <x v="1"/>
    <s v="North America"/>
    <x v="0"/>
    <s v="Bikes"/>
    <n v="2181.5625"/>
    <n v="1320.6838"/>
    <n v="860.87869999999998"/>
    <n v="0.39461564818793898"/>
  </r>
  <r>
    <x v="200"/>
    <d v="2002-10-17T00:00:00"/>
    <s v="SO48671"/>
    <n v="360"/>
    <n v="12270"/>
    <n v="8"/>
    <n v="1"/>
    <n v="1"/>
    <n v="1"/>
    <s v="BK-M68B-42"/>
    <x v="17"/>
    <n v="1105.81"/>
    <n v="2049.0981999999999"/>
    <s v="MRS."/>
    <s v="EBONY"/>
    <s v="RAMOS"/>
    <s v="EBONY RAMOS"/>
    <d v="1960-09-09T00:00:00"/>
    <s v="S"/>
    <s v="F"/>
    <s v="ebony38@adventure-works.com"/>
    <n v="30000"/>
    <n v="3"/>
    <s v="Graduate Degree"/>
    <s v="Clerical"/>
    <s v="Y"/>
    <s v="Germany"/>
    <x v="4"/>
    <s v="Europe"/>
    <x v="1"/>
    <s v="Bikes"/>
    <n v="2049.0981999999999"/>
    <n v="1105.81"/>
    <n v="943.28819999999996"/>
    <n v="0.46034309141455498"/>
  </r>
  <r>
    <x v="201"/>
    <d v="2002-07-17T00:00:00"/>
    <s v="SO47811"/>
    <n v="352"/>
    <n v="12271"/>
    <n v="10"/>
    <n v="1"/>
    <n v="1"/>
    <n v="1"/>
    <s v="BK-M68S-38"/>
    <x v="16"/>
    <n v="1117.8559"/>
    <n v="2071.4196000000002"/>
    <s v="MR."/>
    <s v="TYRONE"/>
    <s v="HERNANDEZ"/>
    <s v="TYRONE HERNANDEZ"/>
    <d v="1959-09-16T00:00:00"/>
    <s v="M"/>
    <s v="M"/>
    <s v="tyrone3@adventure-works.com"/>
    <n v="30000"/>
    <n v="0"/>
    <s v="Bachelors"/>
    <s v="Clerical"/>
    <s v="Y"/>
    <s v="United Kingdom"/>
    <x v="3"/>
    <s v="Europe"/>
    <x v="1"/>
    <s v="Bikes"/>
    <n v="2071.4196000000002"/>
    <n v="1117.8559"/>
    <n v="953.56370000000004"/>
    <n v="0.460343090313522"/>
  </r>
  <r>
    <x v="202"/>
    <d v="2002-07-27T00:00:00"/>
    <s v="SO47756"/>
    <n v="354"/>
    <n v="12272"/>
    <n v="10"/>
    <n v="1"/>
    <n v="1"/>
    <n v="1"/>
    <s v="BK-M68S-42"/>
    <x v="18"/>
    <n v="1117.8559"/>
    <n v="2071.4196000000002"/>
    <s v="MR."/>
    <s v="JUSTIN"/>
    <s v="ALEXANDER"/>
    <s v="JUSTIN ALEXANDER"/>
    <d v="1959-12-10T00:00:00"/>
    <s v="M"/>
    <s v="M"/>
    <s v="justin16@adventure-works.com"/>
    <n v="40000"/>
    <n v="3"/>
    <s v="Graduate Degree"/>
    <s v="Clerical"/>
    <s v="Y"/>
    <s v="United Kingdom"/>
    <x v="3"/>
    <s v="Europe"/>
    <x v="1"/>
    <s v="Bikes"/>
    <n v="2071.4196000000002"/>
    <n v="1117.8559"/>
    <n v="953.56370000000004"/>
    <n v="0.460343090313522"/>
  </r>
  <r>
    <x v="203"/>
    <d v="2002-05-13T00:00:00"/>
    <s v="SO46767"/>
    <n v="362"/>
    <n v="12573"/>
    <n v="9"/>
    <n v="1"/>
    <n v="1"/>
    <n v="1"/>
    <s v="BK-M68B-46"/>
    <x v="13"/>
    <n v="1105.81"/>
    <n v="2049.0981999999999"/>
    <s v="MR."/>
    <s v="GRANT"/>
    <s v="RAI"/>
    <s v="GRANT RAI"/>
    <d v="1980-02-23T00:00:00"/>
    <s v="S"/>
    <s v="M"/>
    <s v="grant19@adventure-works.com"/>
    <n v="10000"/>
    <n v="0"/>
    <s v="Partial College"/>
    <s v="Manual"/>
    <s v="N"/>
    <s v="Australia"/>
    <x v="2"/>
    <s v="Pacific"/>
    <x v="1"/>
    <s v="Bikes"/>
    <n v="2049.0981999999999"/>
    <n v="1105.81"/>
    <n v="943.28819999999996"/>
    <n v="0.46034309141455498"/>
  </r>
  <r>
    <x v="204"/>
    <d v="2002-06-20T00:00:00"/>
    <s v="SO47837"/>
    <n v="356"/>
    <n v="12277"/>
    <n v="10"/>
    <n v="1"/>
    <n v="1"/>
    <n v="1"/>
    <s v="BK-M68S-46"/>
    <x v="14"/>
    <n v="1117.8559"/>
    <n v="2071.4196000000002"/>
    <s v="MRS."/>
    <s v="BETH"/>
    <s v="ORTEGA"/>
    <s v="BETH ORTEGA"/>
    <d v="1969-04-22T00:00:00"/>
    <s v="S"/>
    <s v="F"/>
    <s v="beth24@adventure-works.com"/>
    <n v="10000"/>
    <n v="2"/>
    <s v="High School"/>
    <s v="Manual"/>
    <s v="Y"/>
    <s v="United Kingdom"/>
    <x v="3"/>
    <s v="Europe"/>
    <x v="1"/>
    <s v="Bikes"/>
    <n v="2071.4196000000002"/>
    <n v="1117.8559"/>
    <n v="953.56370000000004"/>
    <n v="0.460343090313522"/>
  </r>
  <r>
    <x v="203"/>
    <d v="2002-05-25T00:00:00"/>
    <s v="SO46762"/>
    <n v="368"/>
    <n v="13063"/>
    <n v="1"/>
    <n v="1"/>
    <n v="1"/>
    <n v="2"/>
    <s v="BK-R89R-44"/>
    <x v="22"/>
    <n v="1518.7864"/>
    <n v="2443.35"/>
    <s v="MS."/>
    <s v="JESSICA"/>
    <s v="JOHNSON"/>
    <s v="JESSICA JOHNSON"/>
    <d v="1974-03-14T00:00:00"/>
    <s v="S"/>
    <s v="F"/>
    <s v="jessica48@adventure-works.com"/>
    <n v="40000"/>
    <n v="0"/>
    <s v="High School"/>
    <s v="Skilled Manual"/>
    <s v="Y"/>
    <s v="Northwest"/>
    <x v="1"/>
    <s v="North America"/>
    <x v="0"/>
    <s v="Bikes"/>
    <n v="2443.35"/>
    <n v="1518.7864"/>
    <n v="924.56359999999995"/>
    <n v="0.37839998362903399"/>
  </r>
  <r>
    <x v="205"/>
    <d v="2002-07-23T00:00:00"/>
    <s v="SO47831"/>
    <n v="362"/>
    <n v="12281"/>
    <n v="10"/>
    <n v="1"/>
    <n v="1"/>
    <n v="1"/>
    <s v="BK-M68B-46"/>
    <x v="13"/>
    <n v="1105.81"/>
    <n v="2049.0981999999999"/>
    <s v="MS."/>
    <s v="JANELLE"/>
    <s v="SANCHEZ"/>
    <s v="JANELLE SANCHEZ"/>
    <d v="1970-04-23T00:00:00"/>
    <s v="M"/>
    <s v="F"/>
    <s v="janelle17@adventure-works.com"/>
    <n v="40000"/>
    <n v="0"/>
    <s v="Graduate Degree"/>
    <s v="Clerical"/>
    <s v="Y"/>
    <s v="United Kingdom"/>
    <x v="3"/>
    <s v="Europe"/>
    <x v="1"/>
    <s v="Bikes"/>
    <n v="2049.0981999999999"/>
    <n v="1105.81"/>
    <n v="943.28819999999996"/>
    <n v="0.46034309141455498"/>
  </r>
  <r>
    <x v="203"/>
    <d v="2002-05-13T00:00:00"/>
    <s v="SO46763"/>
    <n v="375"/>
    <n v="13202"/>
    <n v="4"/>
    <n v="1"/>
    <n v="1"/>
    <n v="2"/>
    <s v="BK-R89B-48"/>
    <x v="25"/>
    <n v="1320.6838"/>
    <n v="2181.5625"/>
    <s v="MRS."/>
    <s v="NATASHA"/>
    <s v="ROMERO"/>
    <s v="NATASHA ROMERO"/>
    <d v="1944-04-19T00:00:00"/>
    <s v="S"/>
    <s v="F"/>
    <s v="natasha8@adventure-works.com"/>
    <n v="70000"/>
    <n v="4"/>
    <s v="Bachelors"/>
    <s v="Management"/>
    <s v="N"/>
    <s v="Southwest"/>
    <x v="1"/>
    <s v="North America"/>
    <x v="0"/>
    <s v="Bikes"/>
    <n v="2181.5625"/>
    <n v="1320.6838"/>
    <n v="860.87869999999998"/>
    <n v="0.39461564818793898"/>
  </r>
  <r>
    <x v="206"/>
    <d v="2002-10-01T00:00:00"/>
    <s v="SO47920"/>
    <n v="358"/>
    <n v="12282"/>
    <n v="10"/>
    <n v="1"/>
    <n v="1"/>
    <n v="1"/>
    <s v="BK-M68B-38"/>
    <x v="15"/>
    <n v="1105.81"/>
    <n v="2049.0981999999999"/>
    <s v="MR."/>
    <s v="NICOLAS"/>
    <s v="TANG"/>
    <s v="NICOLAS TANG"/>
    <d v="1970-01-07T00:00:00"/>
    <s v="S"/>
    <s v="M"/>
    <s v="nicolas2@adventure-works.com"/>
    <n v="40000"/>
    <n v="0"/>
    <s v="Graduate Degree"/>
    <s v="Clerical"/>
    <s v="Y"/>
    <s v="United Kingdom"/>
    <x v="3"/>
    <s v="Europe"/>
    <x v="1"/>
    <s v="Bikes"/>
    <n v="2049.0981999999999"/>
    <n v="1105.81"/>
    <n v="943.28819999999996"/>
    <n v="0.46034309141455498"/>
  </r>
  <r>
    <x v="207"/>
    <d v="2002-04-10T00:00:00"/>
    <s v="SO46771"/>
    <n v="377"/>
    <n v="13068"/>
    <n v="4"/>
    <n v="1"/>
    <n v="1"/>
    <n v="2"/>
    <s v="BK-R89B-52"/>
    <x v="20"/>
    <n v="1320.6838"/>
    <n v="2181.5625"/>
    <s v="MS."/>
    <s v="ALEXANDRIA"/>
    <s v="MORRIS"/>
    <s v="ALEXANDRIA MORRIS"/>
    <d v="1974-02-18T00:00:00"/>
    <s v="S"/>
    <s v="F"/>
    <s v="alexandria39@adventure-works.com"/>
    <n v="30000"/>
    <n v="0"/>
    <s v="High School"/>
    <s v="Skilled Manual"/>
    <s v="N"/>
    <s v="Southwest"/>
    <x v="1"/>
    <s v="North America"/>
    <x v="0"/>
    <s v="Bikes"/>
    <n v="2181.5625"/>
    <n v="1320.6838"/>
    <n v="860.87869999999998"/>
    <n v="0.39461564818793898"/>
  </r>
  <r>
    <x v="208"/>
    <d v="2002-07-31T00:00:00"/>
    <s v="SO47731"/>
    <n v="362"/>
    <n v="12283"/>
    <n v="10"/>
    <n v="1"/>
    <n v="1"/>
    <n v="1"/>
    <s v="BK-M68B-46"/>
    <x v="13"/>
    <n v="1105.81"/>
    <n v="2049.0981999999999"/>
    <s v=""/>
    <s v="TODD"/>
    <s v="ZENG"/>
    <s v="TODD ZENG"/>
    <d v="1969-08-10T00:00:00"/>
    <s v="S"/>
    <s v="NA"/>
    <s v="todd19@adventure-works.com"/>
    <n v="20000"/>
    <n v="0"/>
    <s v="Partial College"/>
    <s v="Manual"/>
    <s v="Y"/>
    <s v="United Kingdom"/>
    <x v="3"/>
    <s v="Europe"/>
    <x v="1"/>
    <s v="Bikes"/>
    <n v="2049.0981999999999"/>
    <n v="1105.81"/>
    <n v="943.28819999999996"/>
    <n v="0.46034309141455498"/>
  </r>
  <r>
    <x v="209"/>
    <d v="2002-08-18T00:00:00"/>
    <s v="SO47778"/>
    <n v="354"/>
    <n v="12284"/>
    <n v="10"/>
    <n v="1"/>
    <n v="1"/>
    <n v="1"/>
    <s v="BK-M68S-42"/>
    <x v="18"/>
    <n v="1117.8559"/>
    <n v="2071.4196000000002"/>
    <s v="MS."/>
    <s v="CRISTINA"/>
    <s v="BECK"/>
    <s v="CRISTINA BECK"/>
    <d v="1969-10-02T00:00:00"/>
    <s v="M"/>
    <s v="F"/>
    <s v="cristina17@adventure-works.com"/>
    <n v="30000"/>
    <n v="0"/>
    <s v="Bachelors"/>
    <s v="Clerical"/>
    <s v="N"/>
    <s v="United Kingdom"/>
    <x v="3"/>
    <s v="Europe"/>
    <x v="1"/>
    <s v="Bikes"/>
    <n v="2071.4196000000002"/>
    <n v="1117.8559"/>
    <n v="953.56370000000004"/>
    <n v="0.460343090313522"/>
  </r>
  <r>
    <x v="207"/>
    <d v="2002-04-24T00:00:00"/>
    <s v="SO46773"/>
    <n v="371"/>
    <n v="13173"/>
    <n v="1"/>
    <n v="1"/>
    <n v="1"/>
    <n v="2"/>
    <s v="BK-R89R-58"/>
    <x v="24"/>
    <n v="1320.6838"/>
    <n v="2181.5625"/>
    <s v="MR."/>
    <s v="DALTON"/>
    <s v="BROOKS"/>
    <s v="DALTON BROOKS"/>
    <d v="1968-09-14T00:00:00"/>
    <s v="M"/>
    <s v="M"/>
    <s v="dalton71@adventure-works.com"/>
    <n v="80000"/>
    <n v="0"/>
    <s v="Bachelors"/>
    <s v="Management"/>
    <s v="N"/>
    <s v="Northwest"/>
    <x v="1"/>
    <s v="North America"/>
    <x v="0"/>
    <s v="Bikes"/>
    <n v="2181.5625"/>
    <n v="1320.6838"/>
    <n v="860.87869999999998"/>
    <n v="0.39461564818793898"/>
  </r>
  <r>
    <x v="207"/>
    <d v="2002-06-08T00:00:00"/>
    <s v="SO46774"/>
    <n v="375"/>
    <n v="13225"/>
    <n v="4"/>
    <n v="1"/>
    <n v="1"/>
    <n v="2"/>
    <s v="BK-R89B-48"/>
    <x v="25"/>
    <n v="1320.6838"/>
    <n v="2181.5625"/>
    <s v="MR."/>
    <s v="J�SUS"/>
    <s v="SUAREZ"/>
    <s v="J�SUS SUAREZ"/>
    <d v="1947-06-22T00:00:00"/>
    <s v="M"/>
    <s v="M"/>
    <s v="j�sus18@adventure-works.com"/>
    <n v="60000"/>
    <n v="5"/>
    <s v="Bachelors"/>
    <s v="Management"/>
    <s v="N"/>
    <s v="Southwest"/>
    <x v="1"/>
    <s v="North America"/>
    <x v="0"/>
    <s v="Bikes"/>
    <n v="2181.5625"/>
    <n v="1320.6838"/>
    <n v="860.87869999999998"/>
    <n v="0.39461564818793898"/>
  </r>
  <r>
    <x v="210"/>
    <d v="2002-10-20T00:00:00"/>
    <s v="SO48185"/>
    <n v="360"/>
    <n v="12286"/>
    <n v="10"/>
    <n v="1"/>
    <n v="1"/>
    <n v="1"/>
    <s v="BK-M68B-42"/>
    <x v="17"/>
    <n v="1105.81"/>
    <n v="2049.0981999999999"/>
    <s v="MR."/>
    <s v="NATHAN"/>
    <s v="JENKINS"/>
    <s v="NATHAN JENKINS"/>
    <d v="1969-09-06T00:00:00"/>
    <s v="S"/>
    <s v="M"/>
    <s v="nathan2@adventure-works.com"/>
    <n v="40000"/>
    <n v="0"/>
    <s v="Graduate Degree"/>
    <s v="Skilled Manual"/>
    <s v="Y"/>
    <s v="United Kingdom"/>
    <x v="3"/>
    <s v="Europe"/>
    <x v="1"/>
    <s v="Bikes"/>
    <n v="2049.0981999999999"/>
    <n v="1105.81"/>
    <n v="943.28819999999996"/>
    <n v="0.46034309141455498"/>
  </r>
  <r>
    <x v="207"/>
    <d v="2002-03-22T00:00:00"/>
    <s v="SO46772"/>
    <n v="375"/>
    <n v="13161"/>
    <n v="1"/>
    <n v="1"/>
    <n v="1"/>
    <n v="2"/>
    <s v="BK-R89B-48"/>
    <x v="25"/>
    <n v="1320.6838"/>
    <n v="2181.5625"/>
    <s v="MR."/>
    <s v="JOSE"/>
    <s v="MOORE"/>
    <s v="JOSE MOORE"/>
    <d v="1976-04-24T00:00:00"/>
    <s v="M"/>
    <s v="M"/>
    <s v="jose68@adventure-works.com"/>
    <n v="40000"/>
    <n v="0"/>
    <s v="High School"/>
    <s v="Skilled Manual"/>
    <s v="Y"/>
    <s v="Northwest"/>
    <x v="1"/>
    <s v="North America"/>
    <x v="0"/>
    <s v="Bikes"/>
    <n v="2181.5625"/>
    <n v="1320.6838"/>
    <n v="860.87869999999998"/>
    <n v="0.39461564818793898"/>
  </r>
  <r>
    <x v="211"/>
    <d v="2002-10-19T00:00:00"/>
    <s v="SO48277"/>
    <n v="360"/>
    <n v="12287"/>
    <n v="10"/>
    <n v="1"/>
    <n v="1"/>
    <n v="1"/>
    <s v="BK-M68B-42"/>
    <x v="17"/>
    <n v="1105.81"/>
    <n v="2049.0981999999999"/>
    <s v="MR."/>
    <s v="ANDRE"/>
    <s v="ARUN"/>
    <s v="ANDRE ARUN"/>
    <d v="1952-01-01T00:00:00"/>
    <s v="S"/>
    <s v="M"/>
    <s v="andre6@adventure-works.com"/>
    <n v="10000"/>
    <n v="3"/>
    <s v="Partial College"/>
    <s v="Manual"/>
    <s v="N"/>
    <s v="United Kingdom"/>
    <x v="3"/>
    <s v="Europe"/>
    <x v="1"/>
    <s v="Bikes"/>
    <n v="2049.0981999999999"/>
    <n v="1105.81"/>
    <n v="943.28819999999996"/>
    <n v="0.46034309141455498"/>
  </r>
  <r>
    <x v="207"/>
    <d v="2002-05-05T00:00:00"/>
    <s v="SO46776"/>
    <n v="360"/>
    <n v="12356"/>
    <n v="9"/>
    <n v="1"/>
    <n v="1"/>
    <n v="1"/>
    <s v="BK-M68B-42"/>
    <x v="17"/>
    <n v="1105.81"/>
    <n v="2049.0981999999999"/>
    <s v="MS."/>
    <s v="JULIA"/>
    <s v="WOOD"/>
    <s v="JULIA WOOD"/>
    <d v="1971-08-22T00:00:00"/>
    <s v="S"/>
    <s v="F"/>
    <s v="julia68@adventure-works.com"/>
    <n v="9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12"/>
    <d v="2002-08-15T00:00:00"/>
    <s v="SO48212"/>
    <n v="362"/>
    <n v="12289"/>
    <n v="10"/>
    <n v="1"/>
    <n v="1"/>
    <n v="1"/>
    <s v="BK-M68B-46"/>
    <x v="13"/>
    <n v="1105.81"/>
    <n v="2049.0981999999999"/>
    <s v="MR."/>
    <s v="JOSEPH"/>
    <s v="TAYLOR"/>
    <s v="JOSEPH TAYLOR"/>
    <d v="1968-03-23T00:00:00"/>
    <s v="S"/>
    <s v="M"/>
    <s v="joseph15@adventure-works.com"/>
    <n v="10000"/>
    <n v="2"/>
    <s v="High School"/>
    <s v="Manual"/>
    <s v="Y"/>
    <s v="United Kingdom"/>
    <x v="3"/>
    <s v="Europe"/>
    <x v="1"/>
    <s v="Bikes"/>
    <n v="2049.0981999999999"/>
    <n v="1105.81"/>
    <n v="943.28819999999996"/>
    <n v="0.46034309141455498"/>
  </r>
  <r>
    <x v="212"/>
    <d v="2002-09-06T00:00:00"/>
    <s v="SO48213"/>
    <n v="358"/>
    <n v="12292"/>
    <n v="10"/>
    <n v="1"/>
    <n v="1"/>
    <n v="1"/>
    <s v="BK-M68B-38"/>
    <x v="15"/>
    <n v="1105.81"/>
    <n v="2049.0981999999999"/>
    <s v="MR."/>
    <s v="NICOLAS"/>
    <s v="KUMAR"/>
    <s v="NICOLAS KUMAR"/>
    <d v="1944-03-24T00:00:00"/>
    <s v="M"/>
    <s v="M"/>
    <s v="nicolas5@adventure-works.com"/>
    <n v="130000"/>
    <n v="3"/>
    <s v="Bachelors"/>
    <s v="Management"/>
    <s v="Y"/>
    <s v="United Kingdom"/>
    <x v="3"/>
    <s v="Europe"/>
    <x v="1"/>
    <s v="Bikes"/>
    <n v="2049.0981999999999"/>
    <n v="1105.81"/>
    <n v="943.28819999999996"/>
    <n v="0.46034309141455498"/>
  </r>
  <r>
    <x v="88"/>
    <d v="2002-03-29T00:00:00"/>
    <s v="SO46785"/>
    <n v="373"/>
    <n v="13190"/>
    <n v="4"/>
    <n v="1"/>
    <n v="1"/>
    <n v="2"/>
    <s v="BK-R89B-44"/>
    <x v="19"/>
    <n v="1320.6838"/>
    <n v="2181.5625"/>
    <s v="MR."/>
    <s v="JONATHAN"/>
    <s v="DIAZ"/>
    <s v="JONATHAN DIAZ"/>
    <d v="1942-02-09T00:00:00"/>
    <s v="S"/>
    <s v="M"/>
    <s v="jonathan21@adventure-works.com"/>
    <n v="120000"/>
    <n v="2"/>
    <s v="Graduate Degree"/>
    <s v="Management"/>
    <s v="Y"/>
    <s v="Southwest"/>
    <x v="1"/>
    <s v="North America"/>
    <x v="0"/>
    <s v="Bikes"/>
    <n v="2181.5625"/>
    <n v="1320.6838"/>
    <n v="860.87869999999998"/>
    <n v="0.39461564818793898"/>
  </r>
  <r>
    <x v="88"/>
    <d v="2002-04-21T00:00:00"/>
    <s v="SO46782"/>
    <n v="371"/>
    <n v="12975"/>
    <n v="4"/>
    <n v="1"/>
    <n v="1"/>
    <n v="2"/>
    <s v="BK-R89R-58"/>
    <x v="24"/>
    <n v="1320.6838"/>
    <n v="2181.5625"/>
    <s v="MR."/>
    <s v="MARCUS"/>
    <s v="WILSON"/>
    <s v="MARCUS WILSON"/>
    <d v="1967-04-18T00:00:00"/>
    <s v="S"/>
    <s v="M"/>
    <s v="marcus7@adventure-works.com"/>
    <n v="60000"/>
    <n v="0"/>
    <s v="Graduate Degree"/>
    <s v="Professional"/>
    <s v="N"/>
    <s v="Southwest"/>
    <x v="1"/>
    <s v="North America"/>
    <x v="0"/>
    <s v="Bikes"/>
    <n v="2181.5625"/>
    <n v="1320.6838"/>
    <n v="860.87869999999998"/>
    <n v="0.39461564818793898"/>
  </r>
  <r>
    <x v="88"/>
    <d v="2002-06-03T00:00:00"/>
    <s v="SO46784"/>
    <n v="375"/>
    <n v="13178"/>
    <n v="1"/>
    <n v="1"/>
    <n v="1"/>
    <n v="2"/>
    <s v="BK-R89B-48"/>
    <x v="25"/>
    <n v="1320.6838"/>
    <n v="2181.5625"/>
    <s v="MRS."/>
    <s v="MEGAN"/>
    <s v="GRAY"/>
    <s v="MEGAN GRAY"/>
    <d v="1963-04-18T00:00:00"/>
    <s v="S"/>
    <s v="F"/>
    <s v="megan43@adventure-works.com"/>
    <n v="80000"/>
    <n v="4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88"/>
    <d v="2002-04-30T00:00:00"/>
    <s v="SO46780"/>
    <n v="379"/>
    <n v="12942"/>
    <n v="4"/>
    <n v="1"/>
    <n v="1"/>
    <n v="2"/>
    <s v="BK-R89B-58"/>
    <x v="26"/>
    <n v="1320.6838"/>
    <n v="2181.5625"/>
    <s v="MRS."/>
    <s v="MORGAN"/>
    <s v="HARRIS"/>
    <s v="MORGAN HARRIS"/>
    <d v="1965-11-15T00:00:00"/>
    <s v="S"/>
    <s v="F"/>
    <s v="morgan35@adventure-works.com"/>
    <n v="80000"/>
    <n v="3"/>
    <s v="Bachelors"/>
    <s v="Skilled Manual"/>
    <s v="Y"/>
    <s v="Southwest"/>
    <x v="1"/>
    <s v="North America"/>
    <x v="0"/>
    <s v="Bikes"/>
    <n v="2181.5625"/>
    <n v="1320.6838"/>
    <n v="860.87869999999998"/>
    <n v="0.39461564818793898"/>
  </r>
  <r>
    <x v="88"/>
    <d v="2002-05-09T00:00:00"/>
    <s v="SO46781"/>
    <n v="379"/>
    <n v="12949"/>
    <n v="1"/>
    <n v="1"/>
    <n v="1"/>
    <n v="2"/>
    <s v="BK-R89B-58"/>
    <x v="26"/>
    <n v="1320.6838"/>
    <n v="2181.5625"/>
    <s v="MRS."/>
    <s v="MORGAN"/>
    <s v="RIVERA"/>
    <s v="MORGAN RIVERA"/>
    <d v="1964-12-19T00:00:00"/>
    <s v="S"/>
    <s v="F"/>
    <s v="morgan55@adventure-works.com"/>
    <n v="50000"/>
    <n v="5"/>
    <s v="Bachelors"/>
    <s v="Skilled Manual"/>
    <s v="Y"/>
    <s v="Northwest"/>
    <x v="1"/>
    <s v="North America"/>
    <x v="0"/>
    <s v="Bikes"/>
    <n v="2181.5625"/>
    <n v="1320.6838"/>
    <n v="860.87869999999998"/>
    <n v="0.39461564818793898"/>
  </r>
  <r>
    <x v="181"/>
    <d v="2002-08-31T00:00:00"/>
    <s v="SO48141"/>
    <n v="354"/>
    <n v="12299"/>
    <n v="10"/>
    <n v="1"/>
    <n v="1"/>
    <n v="1"/>
    <s v="BK-M68S-42"/>
    <x v="18"/>
    <n v="1117.8559"/>
    <n v="2071.4196000000002"/>
    <s v="MR."/>
    <s v="WALTER"/>
    <s v="SERRANO"/>
    <s v="WALTER SERRANO"/>
    <d v="1945-06-10T00:00:00"/>
    <s v="M"/>
    <s v="M"/>
    <s v="walter9@adventure-works.com"/>
    <n v="150000"/>
    <n v="3"/>
    <s v="Graduate Degree"/>
    <s v="Management"/>
    <s v="N"/>
    <s v="United Kingdom"/>
    <x v="3"/>
    <s v="Europe"/>
    <x v="1"/>
    <s v="Bikes"/>
    <n v="2071.4196000000002"/>
    <n v="1117.8559"/>
    <n v="953.56370000000004"/>
    <n v="0.460343090313522"/>
  </r>
  <r>
    <x v="88"/>
    <d v="2002-04-21T00:00:00"/>
    <s v="SO46788"/>
    <n v="358"/>
    <n v="12342"/>
    <n v="9"/>
    <n v="1"/>
    <n v="1"/>
    <n v="1"/>
    <s v="BK-M68B-38"/>
    <x v="15"/>
    <n v="1105.81"/>
    <n v="2049.0981999999999"/>
    <s v="MS."/>
    <s v="MORGAN"/>
    <s v="YOUNG"/>
    <s v="MORGAN YOUNG"/>
    <d v="1975-03-09T00:00:00"/>
    <s v="M"/>
    <s v="F"/>
    <s v="morgan22@adventure-works.com"/>
    <n v="7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13"/>
    <d v="2002-05-21T00:00:00"/>
    <s v="SO46791"/>
    <n v="369"/>
    <n v="13016"/>
    <n v="1"/>
    <n v="1"/>
    <n v="1"/>
    <n v="2"/>
    <s v="BK-R89R-48"/>
    <x v="21"/>
    <n v="1518.7864"/>
    <n v="2443.35"/>
    <s v="MR."/>
    <s v="ANTONIO"/>
    <s v="BRYANT"/>
    <s v="ANTONIO BRYANT"/>
    <d v="1968-07-04T00:00:00"/>
    <s v="M"/>
    <s v="M"/>
    <s v="antonio18@adventure-works.com"/>
    <n v="110000"/>
    <n v="1"/>
    <s v="Graduate Degree"/>
    <s v="Management"/>
    <s v="Y"/>
    <s v="Northwest"/>
    <x v="1"/>
    <s v="North America"/>
    <x v="0"/>
    <s v="Bikes"/>
    <n v="2443.35"/>
    <n v="1518.7864"/>
    <n v="924.56359999999995"/>
    <n v="0.37839998362903399"/>
  </r>
  <r>
    <x v="213"/>
    <d v="2002-04-28T00:00:00"/>
    <s v="SO46793"/>
    <n v="375"/>
    <n v="13214"/>
    <n v="1"/>
    <n v="1"/>
    <n v="1"/>
    <n v="2"/>
    <s v="BK-R89B-48"/>
    <x v="25"/>
    <n v="1320.6838"/>
    <n v="2181.5625"/>
    <s v="MR."/>
    <s v="ELIJAH"/>
    <s v="ADAMS"/>
    <s v="ELIJAH ADAMS"/>
    <d v="1946-12-21T00:00:00"/>
    <s v="M"/>
    <s v="M"/>
    <s v="elijah43@adventure-works.com"/>
    <n v="60000"/>
    <n v="4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214"/>
    <d v="2002-09-20T00:00:00"/>
    <s v="SO48710"/>
    <n v="354"/>
    <n v="12305"/>
    <n v="10"/>
    <n v="1"/>
    <n v="1"/>
    <n v="1"/>
    <s v="BK-M68S-42"/>
    <x v="18"/>
    <n v="1117.8559"/>
    <n v="2071.4196000000002"/>
    <s v="MR."/>
    <s v="XAVIER"/>
    <s v="BAILEY"/>
    <s v="XAVIER BAILEY"/>
    <d v="1954-07-06T00:00:00"/>
    <s v="M"/>
    <s v="M"/>
    <s v="xavier83@adventure-works.com"/>
    <n v="80000"/>
    <n v="4"/>
    <s v="Partial College"/>
    <s v="Professional"/>
    <s v="N"/>
    <s v="United Kingdom"/>
    <x v="3"/>
    <s v="Europe"/>
    <x v="1"/>
    <s v="Bikes"/>
    <n v="2071.4196000000002"/>
    <n v="1117.8559"/>
    <n v="953.56370000000004"/>
    <n v="0.460343090313522"/>
  </r>
  <r>
    <x v="213"/>
    <d v="2002-05-28T00:00:00"/>
    <s v="SO46790"/>
    <n v="379"/>
    <n v="12930"/>
    <n v="1"/>
    <n v="1"/>
    <n v="1"/>
    <n v="2"/>
    <s v="BK-R89B-58"/>
    <x v="26"/>
    <n v="1320.6838"/>
    <n v="2181.5625"/>
    <s v="MRS."/>
    <s v="GRACE"/>
    <s v="HARRIS"/>
    <s v="GRACE HARRIS"/>
    <d v="1969-05-16T00:00:00"/>
    <s v="M"/>
    <s v="F"/>
    <s v="grace13@adventure-works.com"/>
    <n v="70000"/>
    <n v="5"/>
    <s v="Graduate Degre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13"/>
    <d v="2002-05-12T00:00:00"/>
    <s v="SO46792"/>
    <n v="373"/>
    <n v="13083"/>
    <n v="1"/>
    <n v="1"/>
    <n v="1"/>
    <n v="2"/>
    <s v="BK-R89B-44"/>
    <x v="19"/>
    <n v="1320.6838"/>
    <n v="2181.5625"/>
    <s v="MS."/>
    <s v="JORDYN"/>
    <s v="BUTLER"/>
    <s v="JORDYN BUTLER"/>
    <d v="1973-02-26T00:00:00"/>
    <s v="S"/>
    <s v="F"/>
    <s v="jordyn14@adventure-works.com"/>
    <n v="70000"/>
    <n v="0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15"/>
    <d v="2002-06-30T00:00:00"/>
    <s v="SO46800"/>
    <n v="370"/>
    <n v="13019"/>
    <n v="4"/>
    <n v="1"/>
    <n v="1"/>
    <n v="2"/>
    <s v="BK-R89R-52"/>
    <x v="23"/>
    <n v="1518.7864"/>
    <n v="2443.35"/>
    <s v="MS."/>
    <s v="DESTINY"/>
    <s v="MURPHY"/>
    <s v="DESTINY MURPHY"/>
    <d v="1979-03-01T00:00:00"/>
    <s v="S"/>
    <s v="F"/>
    <s v="destiny31@adventure-works.com"/>
    <n v="60000"/>
    <n v="0"/>
    <s v="Partial College"/>
    <s v="Skilled Manual"/>
    <s v="Y"/>
    <s v="Southwest"/>
    <x v="1"/>
    <s v="North America"/>
    <x v="0"/>
    <s v="Bikes"/>
    <n v="2443.35"/>
    <n v="1518.7864"/>
    <n v="924.56359999999995"/>
    <n v="0.37839998362903399"/>
  </r>
  <r>
    <x v="215"/>
    <d v="2002-06-20T00:00:00"/>
    <s v="SO46799"/>
    <n v="371"/>
    <n v="13662"/>
    <n v="7"/>
    <n v="1"/>
    <n v="1"/>
    <n v="2"/>
    <s v="BK-R89R-58"/>
    <x v="24"/>
    <n v="1320.6838"/>
    <n v="2181.5625"/>
    <s v="MR."/>
    <s v="MIGUEL"/>
    <s v="ROBERTS"/>
    <s v="MIGUEL ROBERTS"/>
    <d v="1974-11-24T00:00:00"/>
    <s v="S"/>
    <s v="M"/>
    <s v="miguel39@adventure-works.com"/>
    <n v="20000"/>
    <n v="0"/>
    <s v="Partial High School"/>
    <s v="Manual"/>
    <s v="Y"/>
    <s v="France"/>
    <x v="0"/>
    <s v="Europe"/>
    <x v="0"/>
    <s v="Bikes"/>
    <n v="2181.5625"/>
    <n v="1320.6838"/>
    <n v="860.87869999999998"/>
    <n v="0.39461564818793898"/>
  </r>
  <r>
    <x v="216"/>
    <d v="2002-06-18T00:00:00"/>
    <s v="SO46807"/>
    <n v="354"/>
    <n v="12339"/>
    <n v="9"/>
    <n v="1"/>
    <n v="1"/>
    <n v="1"/>
    <s v="BK-M68S-42"/>
    <x v="18"/>
    <n v="1117.8559"/>
    <n v="2071.4196000000002"/>
    <s v="MR."/>
    <s v="CLAYTON"/>
    <s v="JAI"/>
    <s v="CLAYTON JAI"/>
    <d v="1976-07-08T00:00:00"/>
    <s v="S"/>
    <s v="M"/>
    <s v="clayton29@adventure-works.com"/>
    <n v="7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217"/>
    <d v="2002-09-08T00:00:00"/>
    <s v="SO48694"/>
    <n v="362"/>
    <n v="12315"/>
    <n v="10"/>
    <n v="1"/>
    <n v="1"/>
    <n v="1"/>
    <s v="BK-M68B-46"/>
    <x v="13"/>
    <n v="1105.81"/>
    <n v="2049.0981999999999"/>
    <s v="MRS."/>
    <s v="ANN"/>
    <s v="RODRIGUEZ"/>
    <s v="ANN RODRIGUEZ"/>
    <d v="1953-09-19T00:00:00"/>
    <s v="M"/>
    <s v="F"/>
    <s v="ann24@adventure-works.com"/>
    <n v="130000"/>
    <n v="4"/>
    <s v="Partial College"/>
    <s v="Professional"/>
    <s v="Y"/>
    <s v="United Kingdom"/>
    <x v="3"/>
    <s v="Europe"/>
    <x v="1"/>
    <s v="Bikes"/>
    <n v="2049.0981999999999"/>
    <n v="1105.81"/>
    <n v="943.28819999999996"/>
    <n v="0.46034309141455498"/>
  </r>
  <r>
    <x v="216"/>
    <d v="2002-05-09T00:00:00"/>
    <s v="SO46803"/>
    <n v="379"/>
    <n v="13595"/>
    <n v="7"/>
    <n v="1"/>
    <n v="1"/>
    <n v="2"/>
    <s v="BK-R89B-58"/>
    <x v="26"/>
    <n v="1320.6838"/>
    <n v="2181.5625"/>
    <s v="MR."/>
    <s v="COLE"/>
    <s v="STEWART"/>
    <s v="COLE STEWART"/>
    <d v="1951-06-02T00:00:00"/>
    <s v="S"/>
    <s v="M"/>
    <s v="cole23@adventure-works.com"/>
    <n v="70000"/>
    <n v="5"/>
    <s v="Partial High School"/>
    <s v="Skilled Manual"/>
    <s v="Y"/>
    <s v="France"/>
    <x v="0"/>
    <s v="Europe"/>
    <x v="0"/>
    <s v="Bikes"/>
    <n v="2181.5625"/>
    <n v="1320.6838"/>
    <n v="860.87869999999998"/>
    <n v="0.39461564818793898"/>
  </r>
  <r>
    <x v="218"/>
    <d v="2002-09-15T00:00:00"/>
    <s v="SO48405"/>
    <n v="356"/>
    <n v="12316"/>
    <n v="10"/>
    <n v="1"/>
    <n v="1"/>
    <n v="1"/>
    <s v="BK-M68S-46"/>
    <x v="14"/>
    <n v="1117.8559"/>
    <n v="2071.4196000000002"/>
    <s v="MR."/>
    <s v="ALEJANDRO"/>
    <s v="LUO"/>
    <s v="ALEJANDRO LUO"/>
    <d v="1953-11-25T00:00:00"/>
    <s v="M"/>
    <s v="M"/>
    <s v="alejandro32@adventure-works.com"/>
    <n v="130000"/>
    <n v="5"/>
    <s v="Partial College"/>
    <s v="Professional"/>
    <s v="N"/>
    <s v="United Kingdom"/>
    <x v="3"/>
    <s v="Europe"/>
    <x v="1"/>
    <s v="Bikes"/>
    <n v="2071.4196000000002"/>
    <n v="1117.8559"/>
    <n v="953.56370000000004"/>
    <n v="0.460343090313522"/>
  </r>
  <r>
    <x v="219"/>
    <d v="2002-11-30T00:00:00"/>
    <s v="SO48687"/>
    <n v="352"/>
    <n v="12317"/>
    <n v="10"/>
    <n v="1"/>
    <n v="1"/>
    <n v="1"/>
    <s v="BK-M68S-38"/>
    <x v="16"/>
    <n v="1117.8559"/>
    <n v="2071.4196000000002"/>
    <s v="MR."/>
    <s v="CARL"/>
    <s v="SHE"/>
    <s v="CARL SHE"/>
    <d v="1953-09-24T00:00:00"/>
    <s v="M"/>
    <s v="M"/>
    <s v="carl0@adventure-works.com"/>
    <n v="150000"/>
    <n v="2"/>
    <s v="Bachelors"/>
    <s v="Management"/>
    <s v="Y"/>
    <s v="United Kingdom"/>
    <x v="3"/>
    <s v="Europe"/>
    <x v="1"/>
    <s v="Bikes"/>
    <n v="2071.4196000000002"/>
    <n v="1117.8559"/>
    <n v="953.56370000000004"/>
    <n v="0.460343090313522"/>
  </r>
  <r>
    <x v="216"/>
    <d v="2002-06-21T00:00:00"/>
    <s v="SO46805"/>
    <n v="373"/>
    <n v="13055"/>
    <n v="1"/>
    <n v="1"/>
    <n v="1"/>
    <n v="2"/>
    <s v="BK-R89B-44"/>
    <x v="19"/>
    <n v="1320.6838"/>
    <n v="2181.5625"/>
    <s v="MR."/>
    <s v="PATRICK"/>
    <s v="GRAY"/>
    <s v="PATRICK GRAY"/>
    <d v="1975-10-19T00:00:00"/>
    <s v="S"/>
    <s v="M"/>
    <s v="patrick12@adventure-works.com"/>
    <n v="30000"/>
    <n v="0"/>
    <s v="High School"/>
    <s v="Skilled Manual"/>
    <s v="Y"/>
    <s v="Northwest"/>
    <x v="1"/>
    <s v="North America"/>
    <x v="0"/>
    <s v="Bikes"/>
    <n v="2181.5625"/>
    <n v="1320.6838"/>
    <n v="860.87869999999998"/>
    <n v="0.39461564818793898"/>
  </r>
  <r>
    <x v="220"/>
    <d v="2002-09-30T00:00:00"/>
    <s v="SO48537"/>
    <n v="362"/>
    <n v="12318"/>
    <n v="10"/>
    <n v="1"/>
    <n v="1"/>
    <n v="1"/>
    <s v="BK-M68B-46"/>
    <x v="13"/>
    <n v="1105.81"/>
    <n v="2049.0981999999999"/>
    <s v="MS."/>
    <s v="KRISTINA"/>
    <s v="SCHMIDT"/>
    <s v="KRISTINA SCHMIDT"/>
    <d v="1953-05-03T00:00:00"/>
    <s v="M"/>
    <s v="F"/>
    <s v="kristina10@adventure-works.com"/>
    <n v="170000"/>
    <n v="0"/>
    <s v="Bachelors"/>
    <s v="Management"/>
    <s v="N"/>
    <s v="United Kingdom"/>
    <x v="3"/>
    <s v="Europe"/>
    <x v="1"/>
    <s v="Bikes"/>
    <n v="2049.0981999999999"/>
    <n v="1105.81"/>
    <n v="943.28819999999996"/>
    <n v="0.46034309141455498"/>
  </r>
  <r>
    <x v="216"/>
    <d v="2002-06-22T00:00:00"/>
    <s v="SO46808"/>
    <n v="360"/>
    <n v="12347"/>
    <n v="9"/>
    <n v="1"/>
    <n v="1"/>
    <n v="1"/>
    <s v="BK-M68B-42"/>
    <x v="17"/>
    <n v="1105.81"/>
    <n v="2049.0981999999999"/>
    <s v="MS."/>
    <s v="SUMMER"/>
    <s v="MADAN"/>
    <s v="SUMMER MADAN"/>
    <d v="1975-02-21T00:00:00"/>
    <s v="M"/>
    <s v="F"/>
    <s v="summer6@adventure-works.com"/>
    <n v="9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21"/>
    <d v="2002-05-29T00:00:00"/>
    <s v="SO46812"/>
    <n v="371"/>
    <n v="13069"/>
    <n v="1"/>
    <n v="1"/>
    <n v="1"/>
    <n v="2"/>
    <s v="BK-R89R-58"/>
    <x v="24"/>
    <n v="1320.6838"/>
    <n v="2181.5625"/>
    <s v="MR."/>
    <s v="ADAM"/>
    <s v="GREEN"/>
    <s v="ADAM GREEN"/>
    <d v="1974-08-19T00:00:00"/>
    <s v="M"/>
    <s v="M"/>
    <s v="adam45@adventure-works.com"/>
    <n v="30000"/>
    <n v="0"/>
    <s v="High School"/>
    <s v="Skilled Manual"/>
    <s v="Y"/>
    <s v="Northwest"/>
    <x v="1"/>
    <s v="North America"/>
    <x v="0"/>
    <s v="Bikes"/>
    <n v="2181.5625"/>
    <n v="1320.6838"/>
    <n v="860.87869999999998"/>
    <n v="0.39461564818793898"/>
  </r>
  <r>
    <x v="221"/>
    <d v="2002-07-02T00:00:00"/>
    <s v="SO46816"/>
    <n v="370"/>
    <n v="13230"/>
    <n v="1"/>
    <n v="1"/>
    <n v="1"/>
    <n v="2"/>
    <s v="BK-R89R-52"/>
    <x v="23"/>
    <n v="1518.7864"/>
    <n v="2443.35"/>
    <s v="MRS."/>
    <s v="CHLOE"/>
    <s v="BRYANT"/>
    <s v="CHLOE BRYANT"/>
    <d v="1947-03-11T00:00:00"/>
    <s v="M"/>
    <s v="F"/>
    <s v="chloe83@adventure-works.com"/>
    <n v="70000"/>
    <n v="4"/>
    <s v="Bachelors"/>
    <s v="Management"/>
    <s v="Y"/>
    <s v="Northwest"/>
    <x v="1"/>
    <s v="North America"/>
    <x v="0"/>
    <s v="Bikes"/>
    <n v="2443.35"/>
    <n v="1518.7864"/>
    <n v="924.56359999999995"/>
    <n v="0.37839998362903399"/>
  </r>
  <r>
    <x v="221"/>
    <d v="2002-05-18T00:00:00"/>
    <s v="SO46813"/>
    <n v="379"/>
    <n v="13152"/>
    <n v="4"/>
    <n v="1"/>
    <n v="1"/>
    <n v="2"/>
    <s v="BK-R89B-58"/>
    <x v="26"/>
    <n v="1320.6838"/>
    <n v="2181.5625"/>
    <s v="MS."/>
    <s v="GABRIELLE"/>
    <s v="BUTLER"/>
    <s v="GABRIELLE BUTLER"/>
    <d v="1978-02-16T00:00:00"/>
    <s v="M"/>
    <s v="F"/>
    <s v="gabrielle36@adventure-works.com"/>
    <n v="40000"/>
    <n v="0"/>
    <s v="High School"/>
    <s v="Skilled Manual"/>
    <s v="Y"/>
    <s v="Southwest"/>
    <x v="1"/>
    <s v="North America"/>
    <x v="0"/>
    <s v="Bikes"/>
    <n v="2181.5625"/>
    <n v="1320.6838"/>
    <n v="860.87869999999998"/>
    <n v="0.39461564818793898"/>
  </r>
  <r>
    <x v="222"/>
    <d v="2002-11-20T00:00:00"/>
    <s v="SO48454"/>
    <n v="358"/>
    <n v="12328"/>
    <n v="10"/>
    <n v="1"/>
    <n v="1"/>
    <n v="1"/>
    <s v="BK-M68B-38"/>
    <x v="15"/>
    <n v="1105.81"/>
    <n v="2049.0981999999999"/>
    <s v="MR."/>
    <s v="EUGENE"/>
    <s v="ZHAO"/>
    <s v="EUGENE ZHAO"/>
    <d v="1950-03-18T00:00:00"/>
    <s v="S"/>
    <s v="M"/>
    <s v="eugene14@adventure-works.com"/>
    <n v="130000"/>
    <n v="4"/>
    <s v="High School"/>
    <s v="Management"/>
    <s v="N"/>
    <s v="United Kingdom"/>
    <x v="3"/>
    <s v="Europe"/>
    <x v="1"/>
    <s v="Bikes"/>
    <n v="2049.0981999999999"/>
    <n v="1105.81"/>
    <n v="943.28819999999996"/>
    <n v="0.46034309141455498"/>
  </r>
  <r>
    <x v="221"/>
    <d v="2002-05-30T00:00:00"/>
    <s v="SO46811"/>
    <n v="369"/>
    <n v="12941"/>
    <n v="1"/>
    <n v="1"/>
    <n v="1"/>
    <n v="2"/>
    <s v="BK-R89R-48"/>
    <x v="21"/>
    <n v="1518.7864"/>
    <n v="2443.35"/>
    <s v="MRS."/>
    <s v="MARIA"/>
    <s v="MORGAN"/>
    <s v="MARIA MORGAN"/>
    <d v="1965-05-10T00:00:00"/>
    <s v="S"/>
    <s v="F"/>
    <s v="maria6@adventure-works.com"/>
    <n v="80000"/>
    <n v="3"/>
    <s v="Bachelors"/>
    <s v="Skilled Manual"/>
    <s v="Y"/>
    <s v="Northwest"/>
    <x v="1"/>
    <s v="North America"/>
    <x v="0"/>
    <s v="Bikes"/>
    <n v="2443.35"/>
    <n v="1518.7864"/>
    <n v="924.56359999999995"/>
    <n v="0.37839998362903399"/>
  </r>
  <r>
    <x v="221"/>
    <d v="2002-04-23T00:00:00"/>
    <s v="SO46814"/>
    <n v="371"/>
    <n v="13165"/>
    <n v="4"/>
    <n v="1"/>
    <n v="1"/>
    <n v="2"/>
    <s v="BK-R89R-58"/>
    <x v="24"/>
    <n v="1320.6838"/>
    <n v="2181.5625"/>
    <s v="MR."/>
    <s v="WYATT"/>
    <s v="WALKER"/>
    <s v="WYATT WALKER"/>
    <d v="1976-09-21T00:00:00"/>
    <s v="S"/>
    <s v="M"/>
    <s v="wyatt24@adventure-works.com"/>
    <n v="40000"/>
    <n v="0"/>
    <s v="Partial College"/>
    <s v="Skilled Manual"/>
    <s v="N"/>
    <s v="Southwest"/>
    <x v="1"/>
    <s v="North America"/>
    <x v="0"/>
    <s v="Bikes"/>
    <n v="2181.5625"/>
    <n v="1320.6838"/>
    <n v="860.87869999999998"/>
    <n v="0.39461564818793898"/>
  </r>
  <r>
    <x v="223"/>
    <d v="2002-06-19T00:00:00"/>
    <s v="SO46825"/>
    <n v="354"/>
    <n v="12574"/>
    <n v="9"/>
    <n v="1"/>
    <n v="1"/>
    <n v="1"/>
    <s v="BK-M68S-42"/>
    <x v="18"/>
    <n v="1117.8559"/>
    <n v="2071.4196000000002"/>
    <s v="MR."/>
    <s v="DEREK"/>
    <s v="RAJE"/>
    <s v="DEREK RAJE"/>
    <d v="1980-02-11T00:00:00"/>
    <s v="S"/>
    <s v="M"/>
    <s v="derek12@adventure-works.com"/>
    <n v="10000"/>
    <n v="0"/>
    <s v="Partial College"/>
    <s v="Manual"/>
    <s v="N"/>
    <s v="Australia"/>
    <x v="2"/>
    <s v="Pacific"/>
    <x v="1"/>
    <s v="Bikes"/>
    <n v="2071.4196000000002"/>
    <n v="1117.8559"/>
    <n v="953.56370000000004"/>
    <n v="0.460343090313522"/>
  </r>
  <r>
    <x v="223"/>
    <d v="2002-05-11T00:00:00"/>
    <s v="SO46826"/>
    <n v="360"/>
    <n v="12575"/>
    <n v="9"/>
    <n v="1"/>
    <n v="1"/>
    <n v="1"/>
    <s v="BK-M68B-42"/>
    <x v="17"/>
    <n v="1105.81"/>
    <n v="2049.0981999999999"/>
    <s v="MS."/>
    <s v="JACLYN"/>
    <s v="SHEN"/>
    <s v="JACLYN SHEN"/>
    <d v="1979-09-12T00:00:00"/>
    <s v="S"/>
    <s v="F"/>
    <s v="jaclyn25@adventure-works.com"/>
    <n v="10000"/>
    <n v="0"/>
    <s v="Partial College"/>
    <s v="Manual"/>
    <s v="N"/>
    <s v="Australia"/>
    <x v="2"/>
    <s v="Pacific"/>
    <x v="1"/>
    <s v="Bikes"/>
    <n v="2049.0981999999999"/>
    <n v="1105.81"/>
    <n v="943.28819999999996"/>
    <n v="0.46034309141455498"/>
  </r>
  <r>
    <x v="220"/>
    <d v="2002-08-23T00:00:00"/>
    <s v="SO48545"/>
    <n v="360"/>
    <n v="12335"/>
    <n v="10"/>
    <n v="1"/>
    <n v="1"/>
    <n v="1"/>
    <s v="BK-M68B-42"/>
    <x v="17"/>
    <n v="1105.81"/>
    <n v="2049.0981999999999"/>
    <s v="MR."/>
    <s v="FRANCISCO"/>
    <s v="ASHE"/>
    <s v="FRANCISCO ASHE"/>
    <d v="1948-02-23T00:00:00"/>
    <s v="S"/>
    <s v="M"/>
    <s v="francisco7@adventure-works.com"/>
    <n v="150000"/>
    <n v="3"/>
    <s v="High School"/>
    <s v="Management"/>
    <s v="N"/>
    <s v="United Kingdom"/>
    <x v="3"/>
    <s v="Europe"/>
    <x v="1"/>
    <s v="Bikes"/>
    <n v="2049.0981999999999"/>
    <n v="1105.81"/>
    <n v="943.28819999999996"/>
    <n v="0.46034309141455498"/>
  </r>
  <r>
    <x v="224"/>
    <d v="2002-06-29T00:00:00"/>
    <s v="SO46831"/>
    <n v="369"/>
    <n v="13066"/>
    <n v="1"/>
    <n v="1"/>
    <n v="1"/>
    <n v="2"/>
    <s v="BK-R89R-48"/>
    <x v="21"/>
    <n v="1518.7864"/>
    <n v="2443.35"/>
    <s v="MR."/>
    <s v="CARSON"/>
    <s v="PERRY"/>
    <s v="CARSON PERRY"/>
    <d v="1974-09-25T00:00:00"/>
    <s v="S"/>
    <s v="M"/>
    <s v="carson6@adventure-works.com"/>
    <n v="30000"/>
    <n v="0"/>
    <s v="High School"/>
    <s v="Skilled Manual"/>
    <s v="N"/>
    <s v="Northwest"/>
    <x v="1"/>
    <s v="North America"/>
    <x v="0"/>
    <s v="Bikes"/>
    <n v="2443.35"/>
    <n v="1518.7864"/>
    <n v="924.56359999999995"/>
    <n v="0.37839998362903399"/>
  </r>
  <r>
    <x v="225"/>
    <d v="2002-05-24T00:00:00"/>
    <s v="SO46887"/>
    <n v="362"/>
    <n v="12340"/>
    <n v="9"/>
    <n v="1"/>
    <n v="1"/>
    <n v="1"/>
    <s v="BK-M68B-46"/>
    <x v="13"/>
    <n v="1105.81"/>
    <n v="2049.0981999999999"/>
    <s v="MS."/>
    <s v="STACY"/>
    <s v="DIAZ"/>
    <s v="STACY DIAZ"/>
    <d v="1976-11-05T00:00:00"/>
    <s v="S"/>
    <s v="F"/>
    <s v="stacy4@adventure-works.com"/>
    <n v="7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24"/>
    <d v="2002-06-20T00:00:00"/>
    <s v="SO46834"/>
    <n v="379"/>
    <n v="12923"/>
    <n v="4"/>
    <n v="1"/>
    <n v="1"/>
    <n v="2"/>
    <s v="BK-R89B-58"/>
    <x v="26"/>
    <n v="1320.6838"/>
    <n v="2181.5625"/>
    <s v="MR."/>
    <s v="FERNANDO"/>
    <s v="WRIGHT"/>
    <s v="FERNANDO WRIGHT"/>
    <d v="1966-08-21T00:00:00"/>
    <s v="S"/>
    <s v="M"/>
    <s v="fernando26@adventure-works.com"/>
    <n v="60000"/>
    <n v="3"/>
    <s v="Bachelors"/>
    <s v="Skilled Manual"/>
    <s v="Y"/>
    <s v="Southwest"/>
    <x v="1"/>
    <s v="North America"/>
    <x v="0"/>
    <s v="Bikes"/>
    <n v="2181.5625"/>
    <n v="1320.6838"/>
    <n v="860.87869999999998"/>
    <n v="0.39461564818793898"/>
  </r>
  <r>
    <x v="226"/>
    <d v="2002-05-06T00:00:00"/>
    <s v="SO46844"/>
    <n v="358"/>
    <n v="12343"/>
    <n v="9"/>
    <n v="1"/>
    <n v="1"/>
    <n v="1"/>
    <s v="BK-M68B-38"/>
    <x v="15"/>
    <n v="1105.81"/>
    <n v="2049.0981999999999"/>
    <s v="MS."/>
    <s v="GLORIA"/>
    <s v="RUIZ"/>
    <s v="GLORIA RUIZ"/>
    <d v="1974-06-04T00:00:00"/>
    <s v="M"/>
    <s v="F"/>
    <s v="gloria4@adventure-works.com"/>
    <n v="6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99"/>
    <d v="2002-04-10T00:00:00"/>
    <s v="SO46927"/>
    <n v="362"/>
    <n v="12348"/>
    <n v="9"/>
    <n v="1"/>
    <n v="1"/>
    <n v="1"/>
    <s v="BK-M68B-46"/>
    <x v="13"/>
    <n v="1105.81"/>
    <n v="2049.0981999999999"/>
    <s v="MR."/>
    <s v="JIMMY"/>
    <s v="VAZQUEZ"/>
    <s v="JIMMY VAZQUEZ"/>
    <d v="1974-02-24T00:00:00"/>
    <s v="M"/>
    <s v="M"/>
    <s v="jimmy18@adventure-works.com"/>
    <n v="9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26"/>
    <d v="2002-06-14T00:00:00"/>
    <s v="SO46841"/>
    <n v="371"/>
    <n v="13174"/>
    <n v="1"/>
    <n v="1"/>
    <n v="1"/>
    <n v="2"/>
    <s v="BK-R89R-58"/>
    <x v="24"/>
    <n v="1320.6838"/>
    <n v="2181.5625"/>
    <s v="MS."/>
    <s v="GABRIELLA"/>
    <s v="MORRIS"/>
    <s v="GABRIELLA MORRIS"/>
    <d v="1968-05-04T00:00:00"/>
    <s v="S"/>
    <s v="F"/>
    <s v="gabriella17@adventure-works.com"/>
    <n v="80000"/>
    <n v="0"/>
    <s v="Bachelors"/>
    <s v="Management"/>
    <s v="N"/>
    <s v="Northwest"/>
    <x v="1"/>
    <s v="North America"/>
    <x v="0"/>
    <s v="Bikes"/>
    <n v="2181.5625"/>
    <n v="1320.6838"/>
    <n v="860.87869999999998"/>
    <n v="0.39461564818793898"/>
  </r>
  <r>
    <x v="226"/>
    <d v="2002-06-29T00:00:00"/>
    <s v="SO46840"/>
    <n v="369"/>
    <n v="13058"/>
    <n v="4"/>
    <n v="1"/>
    <n v="1"/>
    <n v="2"/>
    <s v="BK-R89R-48"/>
    <x v="21"/>
    <n v="1518.7864"/>
    <n v="2443.35"/>
    <s v="MR."/>
    <s v="RAMON"/>
    <s v="HUANG"/>
    <s v="RAMON HUANG"/>
    <d v="1975-08-16T00:00:00"/>
    <s v="M"/>
    <s v="M"/>
    <s v="ramon5@adventure-works.com"/>
    <n v="30000"/>
    <n v="0"/>
    <s v="High School"/>
    <s v="Skilled Manual"/>
    <s v="Y"/>
    <s v="Southwest"/>
    <x v="1"/>
    <s v="North America"/>
    <x v="0"/>
    <s v="Bikes"/>
    <n v="2443.35"/>
    <n v="1518.7864"/>
    <n v="924.56359999999995"/>
    <n v="0.37839998362903399"/>
  </r>
  <r>
    <x v="227"/>
    <d v="2002-04-06T00:00:00"/>
    <s v="SO46903"/>
    <n v="354"/>
    <n v="12353"/>
    <n v="9"/>
    <n v="1"/>
    <n v="1"/>
    <n v="1"/>
    <s v="BK-M68S-42"/>
    <x v="18"/>
    <n v="1117.8559"/>
    <n v="2071.4196000000002"/>
    <s v="MR."/>
    <s v="JOE"/>
    <s v="RAMOS"/>
    <s v="JOE RAMOS"/>
    <d v="1973-10-20T00:00:00"/>
    <s v="M"/>
    <s v="M"/>
    <s v="joe41@adventure-works.com"/>
    <n v="110000"/>
    <n v="0"/>
    <s v="Partial College"/>
    <s v="Management"/>
    <s v="N"/>
    <s v="Australia"/>
    <x v="2"/>
    <s v="Pacific"/>
    <x v="1"/>
    <s v="Bikes"/>
    <n v="2071.4196000000002"/>
    <n v="1117.8559"/>
    <n v="953.56370000000004"/>
    <n v="0.460343090313522"/>
  </r>
  <r>
    <x v="95"/>
    <d v="2002-04-23T00:00:00"/>
    <s v="SO46846"/>
    <n v="373"/>
    <n v="13575"/>
    <n v="7"/>
    <n v="1"/>
    <n v="1"/>
    <n v="2"/>
    <s v="BK-R89B-44"/>
    <x v="19"/>
    <n v="1320.6838"/>
    <n v="2181.5625"/>
    <s v="MRS."/>
    <s v="ALICIA"/>
    <s v="SHEN"/>
    <s v="ALICIA SHEN"/>
    <d v="1944-08-25T00:00:00"/>
    <s v="M"/>
    <s v="F"/>
    <s v="alicia1@adventure-works.com"/>
    <n v="70000"/>
    <n v="5"/>
    <s v="High School"/>
    <s v="Professional"/>
    <s v="Y"/>
    <s v="France"/>
    <x v="0"/>
    <s v="Europe"/>
    <x v="0"/>
    <s v="Bikes"/>
    <n v="2181.5625"/>
    <n v="1320.6838"/>
    <n v="860.87869999999998"/>
    <n v="0.39461564818793898"/>
  </r>
  <r>
    <x v="99"/>
    <d v="2002-06-14T00:00:00"/>
    <s v="SO46928"/>
    <n v="356"/>
    <n v="12358"/>
    <n v="9"/>
    <n v="1"/>
    <n v="1"/>
    <n v="1"/>
    <s v="BK-M68S-46"/>
    <x v="14"/>
    <n v="1117.8559"/>
    <n v="2071.4196000000002"/>
    <s v="MS."/>
    <s v="LACEY"/>
    <s v="RAJE"/>
    <s v="LACEY RAJE"/>
    <d v="1970-02-26T00:00:00"/>
    <s v="M"/>
    <s v="F"/>
    <s v="lacey4@adventure-works.com"/>
    <n v="100000"/>
    <n v="0"/>
    <s v="Partial High School"/>
    <s v="Professional"/>
    <s v="Y"/>
    <s v="Australia"/>
    <x v="2"/>
    <s v="Pacific"/>
    <x v="1"/>
    <s v="Bikes"/>
    <n v="2071.4196000000002"/>
    <n v="1117.8559"/>
    <n v="953.56370000000004"/>
    <n v="0.460343090313522"/>
  </r>
  <r>
    <x v="95"/>
    <d v="2002-04-19T00:00:00"/>
    <s v="SO46850"/>
    <n v="370"/>
    <n v="13221"/>
    <n v="4"/>
    <n v="1"/>
    <n v="1"/>
    <n v="2"/>
    <s v="BK-R89R-52"/>
    <x v="23"/>
    <n v="1518.7864"/>
    <n v="2443.35"/>
    <s v="MRS."/>
    <s v="MADELINE"/>
    <s v="HALL"/>
    <s v="MADELINE HALL"/>
    <d v="1946-12-06T00:00:00"/>
    <s v="M"/>
    <s v="F"/>
    <s v="madeline20@adventure-works.com"/>
    <n v="70000"/>
    <n v="3"/>
    <s v="Bachelors"/>
    <s v="Management"/>
    <s v="Y"/>
    <s v="Southwest"/>
    <x v="1"/>
    <s v="North America"/>
    <x v="0"/>
    <s v="Bikes"/>
    <n v="2443.35"/>
    <n v="1518.7864"/>
    <n v="924.56359999999995"/>
    <n v="0.37839998362903399"/>
  </r>
  <r>
    <x v="228"/>
    <d v="2002-05-05T00:00:00"/>
    <s v="SO46857"/>
    <n v="371"/>
    <n v="13064"/>
    <n v="1"/>
    <n v="1"/>
    <n v="1"/>
    <n v="2"/>
    <s v="BK-R89R-58"/>
    <x v="24"/>
    <n v="1320.6838"/>
    <n v="2181.5625"/>
    <s v="MR."/>
    <s v="DALTON"/>
    <s v="PARKER"/>
    <s v="DALTON PARKER"/>
    <d v="1974-03-17T00:00:00"/>
    <s v="S"/>
    <s v="M"/>
    <s v="dalton42@adventure-works.com"/>
    <n v="40000"/>
    <n v="0"/>
    <s v="High School"/>
    <s v="Skilled Manual"/>
    <s v="N"/>
    <s v="Northwest"/>
    <x v="1"/>
    <s v="North America"/>
    <x v="0"/>
    <s v="Bikes"/>
    <n v="2181.5625"/>
    <n v="1320.6838"/>
    <n v="860.87869999999998"/>
    <n v="0.39461564818793898"/>
  </r>
  <r>
    <x v="228"/>
    <d v="2002-07-07T00:00:00"/>
    <s v="SO46859"/>
    <n v="370"/>
    <n v="13205"/>
    <n v="4"/>
    <n v="1"/>
    <n v="1"/>
    <n v="2"/>
    <s v="BK-R89R-52"/>
    <x v="23"/>
    <n v="1518.7864"/>
    <n v="2443.35"/>
    <s v="MR."/>
    <s v="JEROME"/>
    <s v="TORRES"/>
    <s v="JEROME TORRES"/>
    <d v="1944-08-09T00:00:00"/>
    <s v="M"/>
    <s v="M"/>
    <s v="jerome10@adventure-works.com"/>
    <n v="70000"/>
    <n v="5"/>
    <s v="Bachelors"/>
    <s v="Management"/>
    <s v="Y"/>
    <s v="Southwest"/>
    <x v="1"/>
    <s v="North America"/>
    <x v="0"/>
    <s v="Bikes"/>
    <n v="2443.35"/>
    <n v="1518.7864"/>
    <n v="924.56359999999995"/>
    <n v="0.37839998362903399"/>
  </r>
  <r>
    <x v="228"/>
    <d v="2002-05-02T00:00:00"/>
    <s v="SO46858"/>
    <n v="370"/>
    <n v="13067"/>
    <n v="1"/>
    <n v="1"/>
    <n v="1"/>
    <n v="2"/>
    <s v="BK-R89R-52"/>
    <x v="23"/>
    <n v="1518.7864"/>
    <n v="2443.35"/>
    <s v="MS."/>
    <s v="OLIVIA"/>
    <s v="GARCIA"/>
    <s v="OLIVIA GARCIA"/>
    <d v="1974-11-25T00:00:00"/>
    <s v="S"/>
    <s v="F"/>
    <s v="olivia15@adventure-works.com"/>
    <n v="30000"/>
    <n v="0"/>
    <s v="High School"/>
    <s v="Skilled Manual"/>
    <s v="Y"/>
    <s v="Northwest"/>
    <x v="1"/>
    <s v="North America"/>
    <x v="0"/>
    <s v="Bikes"/>
    <n v="2443.35"/>
    <n v="1518.7864"/>
    <n v="924.56359999999995"/>
    <n v="0.37839998362903399"/>
  </r>
  <r>
    <x v="228"/>
    <d v="2002-06-24T00:00:00"/>
    <s v="SO46856"/>
    <n v="370"/>
    <n v="12935"/>
    <n v="4"/>
    <n v="1"/>
    <n v="1"/>
    <n v="2"/>
    <s v="BK-R89R-52"/>
    <x v="23"/>
    <n v="1518.7864"/>
    <n v="2443.35"/>
    <s v="MR."/>
    <s v="ROBERT"/>
    <s v="HILL"/>
    <s v="ROBERT HILL"/>
    <d v="1969-05-04T00:00:00"/>
    <s v="M"/>
    <s v="M"/>
    <s v="robert54@adventure-works.com"/>
    <n v="80000"/>
    <n v="3"/>
    <s v="Graduate Degree"/>
    <s v="Professional"/>
    <s v="Y"/>
    <s v="Southwest"/>
    <x v="1"/>
    <s v="North America"/>
    <x v="0"/>
    <s v="Bikes"/>
    <n v="2443.35"/>
    <n v="1518.7864"/>
    <n v="924.56359999999995"/>
    <n v="0.37839998362903399"/>
  </r>
  <r>
    <x v="83"/>
    <d v="2002-05-08T00:00:00"/>
    <s v="SO46868"/>
    <n v="369"/>
    <n v="13189"/>
    <n v="4"/>
    <n v="1"/>
    <n v="1"/>
    <n v="2"/>
    <s v="BK-R89R-48"/>
    <x v="21"/>
    <n v="1518.7864"/>
    <n v="2443.35"/>
    <s v="MRS."/>
    <s v="GLORIA"/>
    <s v="ROMERO"/>
    <s v="GLORIA ROMERO"/>
    <d v="1942-04-04T00:00:00"/>
    <s v="S"/>
    <s v="F"/>
    <s v="gloria9@adventure-works.com"/>
    <n v="120000"/>
    <n v="2"/>
    <s v="Graduate Degree"/>
    <s v="Management"/>
    <s v="Y"/>
    <s v="Southwest"/>
    <x v="1"/>
    <s v="North America"/>
    <x v="0"/>
    <s v="Bikes"/>
    <n v="2443.35"/>
    <n v="1518.7864"/>
    <n v="924.56359999999995"/>
    <n v="0.37839998362903399"/>
  </r>
  <r>
    <x v="83"/>
    <d v="2002-06-01T00:00:00"/>
    <s v="SO46867"/>
    <n v="377"/>
    <n v="13029"/>
    <n v="1"/>
    <n v="1"/>
    <n v="1"/>
    <n v="2"/>
    <s v="BK-R89B-52"/>
    <x v="20"/>
    <n v="1320.6838"/>
    <n v="2181.5625"/>
    <s v="MS."/>
    <s v="JENNIFER"/>
    <s v="FOSTER"/>
    <s v="JENNIFER FOSTER"/>
    <d v="1977-09-05T00:00:00"/>
    <s v="S"/>
    <s v="F"/>
    <s v="jennifer89@adventure-works.com"/>
    <n v="30000"/>
    <n v="0"/>
    <s v="Partial College"/>
    <s v="Skilled Manual"/>
    <s v="N"/>
    <s v="Northwest"/>
    <x v="1"/>
    <s v="North America"/>
    <x v="0"/>
    <s v="Bikes"/>
    <n v="2181.5625"/>
    <n v="1320.6838"/>
    <n v="860.87869999999998"/>
    <n v="0.39461564818793898"/>
  </r>
  <r>
    <x v="83"/>
    <d v="2002-06-23T00:00:00"/>
    <s v="SO46866"/>
    <n v="369"/>
    <n v="12981"/>
    <n v="4"/>
    <n v="1"/>
    <n v="1"/>
    <n v="2"/>
    <s v="BK-R89R-48"/>
    <x v="21"/>
    <n v="1518.7864"/>
    <n v="2443.35"/>
    <s v="MR."/>
    <s v="JOE"/>
    <s v="SANZ"/>
    <s v="JOE SANZ"/>
    <d v="1959-04-16T00:00:00"/>
    <s v="S"/>
    <s v="M"/>
    <s v="joe43@adventure-works.com"/>
    <n v="80000"/>
    <n v="3"/>
    <s v="Graduate Degree"/>
    <s v="Professional"/>
    <s v="Y"/>
    <s v="Southwest"/>
    <x v="1"/>
    <s v="North America"/>
    <x v="0"/>
    <s v="Bikes"/>
    <n v="2443.35"/>
    <n v="1518.7864"/>
    <n v="924.56359999999995"/>
    <n v="0.37839998362903399"/>
  </r>
  <r>
    <x v="222"/>
    <d v="2002-11-19T00:00:00"/>
    <s v="SO48455"/>
    <n v="360"/>
    <n v="12380"/>
    <n v="10"/>
    <n v="1"/>
    <n v="1"/>
    <n v="1"/>
    <s v="BK-M68B-42"/>
    <x v="17"/>
    <n v="1105.81"/>
    <n v="2049.0981999999999"/>
    <s v="MR."/>
    <s v="OMAR"/>
    <s v="YUAN"/>
    <s v="OMAR YUAN"/>
    <d v="1974-03-07T00:00:00"/>
    <s v="S"/>
    <s v="M"/>
    <s v="omar26@adventure-works.com"/>
    <n v="30000"/>
    <n v="0"/>
    <s v="High School"/>
    <s v="Manual"/>
    <s v="N"/>
    <s v="United Kingdom"/>
    <x v="3"/>
    <s v="Europe"/>
    <x v="1"/>
    <s v="Bikes"/>
    <n v="2049.0981999999999"/>
    <n v="1105.81"/>
    <n v="943.28819999999996"/>
    <n v="0.46034309141455498"/>
  </r>
  <r>
    <x v="229"/>
    <d v="2002-05-13T00:00:00"/>
    <s v="SO46870"/>
    <n v="368"/>
    <n v="13605"/>
    <n v="7"/>
    <n v="1"/>
    <n v="1"/>
    <n v="2"/>
    <s v="BK-R89R-44"/>
    <x v="22"/>
    <n v="1518.7864"/>
    <n v="2443.35"/>
    <s v="MR."/>
    <s v="GERRIT"/>
    <s v="STRAATSMA"/>
    <s v="GERRIT STRAATSMA"/>
    <d v="1949-11-18T00:00:00"/>
    <s v="M"/>
    <s v="M"/>
    <s v="gerrit0@adventure-works.com"/>
    <n v="80000"/>
    <n v="5"/>
    <s v="High School"/>
    <s v="Management"/>
    <s v="N"/>
    <s v="France"/>
    <x v="0"/>
    <s v="Europe"/>
    <x v="0"/>
    <s v="Bikes"/>
    <n v="2443.35"/>
    <n v="1518.7864"/>
    <n v="924.56359999999995"/>
    <n v="0.37839998362903399"/>
  </r>
  <r>
    <x v="230"/>
    <d v="2002-09-07T00:00:00"/>
    <s v="SO48628"/>
    <n v="352"/>
    <n v="12381"/>
    <n v="10"/>
    <n v="1"/>
    <n v="1"/>
    <n v="1"/>
    <s v="BK-M68S-38"/>
    <x v="16"/>
    <n v="1117.8559"/>
    <n v="2071.4196000000002"/>
    <s v="MR."/>
    <s v="JOHNNY"/>
    <s v="LAL"/>
    <s v="JOHNNY LAL"/>
    <d v="1974-02-17T00:00:00"/>
    <s v="M"/>
    <s v="M"/>
    <s v="johnny9@adventure-works.com"/>
    <n v="40000"/>
    <n v="1"/>
    <s v="Bachelors"/>
    <s v="Skilled Manual"/>
    <s v="Y"/>
    <s v="United Kingdom"/>
    <x v="3"/>
    <s v="Europe"/>
    <x v="1"/>
    <s v="Bikes"/>
    <n v="2071.4196000000002"/>
    <n v="1117.8559"/>
    <n v="953.56370000000004"/>
    <n v="0.460343090313522"/>
  </r>
  <r>
    <x v="231"/>
    <d v="2002-10-12T00:00:00"/>
    <s v="SO48718"/>
    <n v="356"/>
    <n v="12382"/>
    <n v="10"/>
    <n v="1"/>
    <n v="1"/>
    <n v="1"/>
    <s v="BK-M68S-46"/>
    <x v="14"/>
    <n v="1117.8559"/>
    <n v="2071.4196000000002"/>
    <s v="MS."/>
    <s v="TAMARA"/>
    <s v="CHEN"/>
    <s v="TAMARA CHEN"/>
    <d v="1972-11-11T00:00:00"/>
    <s v="S"/>
    <s v="F"/>
    <s v="tamara33@adventure-works.com"/>
    <n v="20000"/>
    <n v="0"/>
    <s v="Partial High School"/>
    <s v="Manual"/>
    <s v="N"/>
    <s v="United Kingdom"/>
    <x v="3"/>
    <s v="Europe"/>
    <x v="1"/>
    <s v="Bikes"/>
    <n v="2071.4196000000002"/>
    <n v="1117.8559"/>
    <n v="953.56370000000004"/>
    <n v="0.460343090313522"/>
  </r>
  <r>
    <x v="229"/>
    <d v="2002-06-30T00:00:00"/>
    <s v="SO46869"/>
    <n v="379"/>
    <n v="13577"/>
    <n v="7"/>
    <n v="1"/>
    <n v="1"/>
    <n v="2"/>
    <s v="BK-R89B-58"/>
    <x v="26"/>
    <n v="1320.6838"/>
    <n v="2181.5625"/>
    <s v="MR."/>
    <s v="THEODORE"/>
    <s v="TORRES"/>
    <s v="THEODORE TORRES"/>
    <d v="1945-08-14T00:00:00"/>
    <s v="M"/>
    <s v="M"/>
    <s v="theodore12@adventure-works.com"/>
    <n v="70000"/>
    <n v="5"/>
    <s v="High School"/>
    <s v="Professional"/>
    <s v="Y"/>
    <s v="France"/>
    <x v="0"/>
    <s v="Europe"/>
    <x v="0"/>
    <s v="Bikes"/>
    <n v="2181.5625"/>
    <n v="1320.6838"/>
    <n v="860.87869999999998"/>
    <n v="0.39461564818793898"/>
  </r>
  <r>
    <x v="232"/>
    <d v="2002-11-18T00:00:00"/>
    <s v="SO48429"/>
    <n v="352"/>
    <n v="12385"/>
    <n v="10"/>
    <n v="1"/>
    <n v="1"/>
    <n v="1"/>
    <s v="BK-M68S-38"/>
    <x v="16"/>
    <n v="1117.8559"/>
    <n v="2071.4196000000002"/>
    <s v="MRS."/>
    <s v="TARA"/>
    <s v="RAJI"/>
    <s v="TARA RAJI"/>
    <d v="1973-03-27T00:00:00"/>
    <s v="M"/>
    <s v="F"/>
    <s v="tara22@adventure-works.com"/>
    <n v="40000"/>
    <n v="1"/>
    <s v="Bachelors"/>
    <s v="Skilled Manual"/>
    <s v="Y"/>
    <s v="United Kingdom"/>
    <x v="3"/>
    <s v="Europe"/>
    <x v="1"/>
    <s v="Bikes"/>
    <n v="2071.4196000000002"/>
    <n v="1117.8559"/>
    <n v="953.56370000000004"/>
    <n v="0.460343090313522"/>
  </r>
  <r>
    <x v="72"/>
    <d v="2002-04-26T00:00:00"/>
    <s v="SO46881"/>
    <n v="354"/>
    <n v="12572"/>
    <n v="9"/>
    <n v="1"/>
    <n v="1"/>
    <n v="1"/>
    <s v="BK-M68S-42"/>
    <x v="18"/>
    <n v="1117.8559"/>
    <n v="2071.4196000000002"/>
    <s v="MS."/>
    <s v="ALISHA"/>
    <s v="CHANDER"/>
    <s v="ALISHA CHANDER"/>
    <d v="1980-05-27T00:00:00"/>
    <s v="S"/>
    <s v="F"/>
    <s v="alisha40@adventure-works.com"/>
    <n v="10000"/>
    <n v="0"/>
    <s v="Partial College"/>
    <s v="Manual"/>
    <s v="N"/>
    <s v="Australia"/>
    <x v="2"/>
    <s v="Pacific"/>
    <x v="1"/>
    <s v="Bikes"/>
    <n v="2071.4196000000002"/>
    <n v="1117.8559"/>
    <n v="953.56370000000004"/>
    <n v="0.460343090313522"/>
  </r>
  <r>
    <x v="72"/>
    <d v="2002-06-08T00:00:00"/>
    <s v="SO46879"/>
    <n v="379"/>
    <n v="13224"/>
    <n v="1"/>
    <n v="1"/>
    <n v="1"/>
    <n v="2"/>
    <s v="BK-R89B-58"/>
    <x v="26"/>
    <n v="1320.6838"/>
    <n v="2181.5625"/>
    <s v="MRS."/>
    <s v="AMANDA"/>
    <s v="BROOKS"/>
    <s v="AMANDA BROOKS"/>
    <d v="1946-02-11T00:00:00"/>
    <s v="M"/>
    <s v="F"/>
    <s v="amanda19@adventure-works.com"/>
    <n v="70000"/>
    <n v="4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72"/>
    <d v="2002-05-21T00:00:00"/>
    <s v="SO46877"/>
    <n v="370"/>
    <n v="12926"/>
    <n v="4"/>
    <n v="1"/>
    <n v="1"/>
    <n v="2"/>
    <s v="BK-R89R-52"/>
    <x v="23"/>
    <n v="1518.7864"/>
    <n v="2443.35"/>
    <s v="MRS."/>
    <s v="SARA"/>
    <s v="MURPHY"/>
    <s v="SARA MURPHY"/>
    <d v="1966-07-18T00:00:00"/>
    <s v="M"/>
    <s v="F"/>
    <s v="sara16@adventure-works.com"/>
    <n v="70000"/>
    <n v="4"/>
    <s v="Graduate Degree"/>
    <s v="Professional"/>
    <s v="Y"/>
    <s v="Southwest"/>
    <x v="1"/>
    <s v="North America"/>
    <x v="0"/>
    <s v="Bikes"/>
    <n v="2443.35"/>
    <n v="1518.7864"/>
    <n v="924.56359999999995"/>
    <n v="0.37839998362903399"/>
  </r>
  <r>
    <x v="233"/>
    <d v="2002-09-07T00:00:00"/>
    <s v="SO48677"/>
    <n v="358"/>
    <n v="12391"/>
    <n v="10"/>
    <n v="1"/>
    <n v="1"/>
    <n v="1"/>
    <s v="BK-M68B-38"/>
    <x v="15"/>
    <n v="1105.81"/>
    <n v="2049.0981999999999"/>
    <s v="MRS."/>
    <s v="OLIVIA"/>
    <s v="KELLY"/>
    <s v="OLIVIA KELLY"/>
    <d v="1972-02-24T00:00:00"/>
    <s v="S"/>
    <s v="F"/>
    <s v="olivia46@adventure-works.com"/>
    <n v="40000"/>
    <n v="2"/>
    <s v="Partial College"/>
    <s v="Clerical"/>
    <s v="Y"/>
    <s v="United Kingdom"/>
    <x v="3"/>
    <s v="Europe"/>
    <x v="1"/>
    <s v="Bikes"/>
    <n v="2049.0981999999999"/>
    <n v="1105.81"/>
    <n v="943.28819999999996"/>
    <n v="0.46034309141455498"/>
  </r>
  <r>
    <x v="198"/>
    <d v="2002-10-16T00:00:00"/>
    <s v="SO48593"/>
    <n v="362"/>
    <n v="12394"/>
    <n v="10"/>
    <n v="1"/>
    <n v="1"/>
    <n v="1"/>
    <s v="BK-M68B-46"/>
    <x v="13"/>
    <n v="1105.81"/>
    <n v="2049.0981999999999"/>
    <s v="MS."/>
    <s v="ERIKA"/>
    <s v="SERRANO"/>
    <s v="ERIKA SERRANO"/>
    <d v="1971-03-13T00:00:00"/>
    <s v="S"/>
    <s v="F"/>
    <s v="erika14@adventure-works.com"/>
    <n v="20000"/>
    <n v="0"/>
    <s v="Partial High School"/>
    <s v="Manual"/>
    <s v="N"/>
    <s v="United Kingdom"/>
    <x v="3"/>
    <s v="Europe"/>
    <x v="1"/>
    <s v="Bikes"/>
    <n v="2049.0981999999999"/>
    <n v="1105.81"/>
    <n v="943.28819999999996"/>
    <n v="0.46034309141455498"/>
  </r>
  <r>
    <x v="225"/>
    <d v="2002-06-07T00:00:00"/>
    <s v="SO46884"/>
    <n v="368"/>
    <n v="13565"/>
    <n v="7"/>
    <n v="1"/>
    <n v="1"/>
    <n v="2"/>
    <s v="BK-R89R-44"/>
    <x v="22"/>
    <n v="1518.7864"/>
    <n v="2443.35"/>
    <s v="MRS."/>
    <s v="TIFFANY"/>
    <s v="ZHAO"/>
    <s v="TIFFANY ZHAO"/>
    <d v="1951-09-20T00:00:00"/>
    <s v="M"/>
    <s v="F"/>
    <s v="tiffany10@adventure-works.com"/>
    <n v="10000"/>
    <n v="3"/>
    <s v="Partial College"/>
    <s v="Manual"/>
    <s v="N"/>
    <s v="France"/>
    <x v="0"/>
    <s v="Europe"/>
    <x v="0"/>
    <s v="Bikes"/>
    <n v="2443.35"/>
    <n v="1518.7864"/>
    <n v="924.56359999999995"/>
    <n v="0.37839998362903399"/>
  </r>
  <r>
    <x v="234"/>
    <d v="2002-04-23T00:00:00"/>
    <s v="SO46892"/>
    <n v="370"/>
    <n v="13086"/>
    <n v="1"/>
    <n v="1"/>
    <n v="1"/>
    <n v="2"/>
    <s v="BK-R89R-52"/>
    <x v="23"/>
    <n v="1518.7864"/>
    <n v="2443.35"/>
    <s v="MR."/>
    <s v="BLAKE"/>
    <s v="NELSON"/>
    <s v="BLAKE NELSON"/>
    <d v="1974-05-20T00:00:00"/>
    <s v="S"/>
    <s v="M"/>
    <s v="blake36@adventure-works.com"/>
    <n v="60000"/>
    <n v="0"/>
    <s v="Partial College"/>
    <s v="Professional"/>
    <s v="Y"/>
    <s v="Northwest"/>
    <x v="1"/>
    <s v="North America"/>
    <x v="0"/>
    <s v="Bikes"/>
    <n v="2443.35"/>
    <n v="1518.7864"/>
    <n v="924.56359999999995"/>
    <n v="0.37839998362903399"/>
  </r>
  <r>
    <x v="234"/>
    <d v="2002-05-05T00:00:00"/>
    <s v="SO46890"/>
    <n v="368"/>
    <n v="12921"/>
    <n v="4"/>
    <n v="1"/>
    <n v="1"/>
    <n v="2"/>
    <s v="BK-R89R-44"/>
    <x v="22"/>
    <n v="1518.7864"/>
    <n v="2443.35"/>
    <s v="MR."/>
    <s v="WYATT"/>
    <s v="LEE"/>
    <s v="WYATT LEE"/>
    <d v="1966-07-03T00:00:00"/>
    <s v="S"/>
    <s v="M"/>
    <s v="wyatt23@adventure-works.com"/>
    <n v="60000"/>
    <n v="3"/>
    <s v="Bachelors"/>
    <s v="Skilled Manual"/>
    <s v="N"/>
    <s v="Southwest"/>
    <x v="1"/>
    <s v="North America"/>
    <x v="0"/>
    <s v="Bikes"/>
    <n v="2443.35"/>
    <n v="1518.7864"/>
    <n v="924.56359999999995"/>
    <n v="0.37839998362903399"/>
  </r>
  <r>
    <x v="235"/>
    <d v="2002-06-09T00:00:00"/>
    <s v="SO46907"/>
    <n v="368"/>
    <n v="13087"/>
    <n v="1"/>
    <n v="1"/>
    <n v="1"/>
    <n v="2"/>
    <s v="BK-R89R-44"/>
    <x v="22"/>
    <n v="1518.7864"/>
    <n v="2443.35"/>
    <s v="MR."/>
    <s v="JEREMY"/>
    <s v="COLLINS"/>
    <s v="JEREMY COLLINS"/>
    <d v="1974-11-08T00:00:00"/>
    <s v="S"/>
    <s v="M"/>
    <s v="jeremy19@adventure-works.com"/>
    <n v="60000"/>
    <n v="0"/>
    <s v="Partial College"/>
    <s v="Professional"/>
    <s v="Y"/>
    <s v="Northwest"/>
    <x v="1"/>
    <s v="North America"/>
    <x v="0"/>
    <s v="Bikes"/>
    <n v="2443.35"/>
    <n v="1518.7864"/>
    <n v="924.56359999999995"/>
    <n v="0.37839998362903399"/>
  </r>
  <r>
    <x v="235"/>
    <d v="2002-05-18T00:00:00"/>
    <s v="SO46906"/>
    <n v="368"/>
    <n v="12950"/>
    <n v="1"/>
    <n v="1"/>
    <n v="1"/>
    <n v="2"/>
    <s v="BK-R89R-44"/>
    <x v="22"/>
    <n v="1518.7864"/>
    <n v="2443.35"/>
    <s v="MRS."/>
    <s v="MARY"/>
    <s v="ADAMS"/>
    <s v="MARY ADAMS"/>
    <d v="1964-10-15T00:00:00"/>
    <s v="S"/>
    <s v="F"/>
    <s v="mary29@adventure-works.com"/>
    <n v="50000"/>
    <n v="5"/>
    <s v="Bachelors"/>
    <s v="Skilled Manual"/>
    <s v="Y"/>
    <s v="Northwest"/>
    <x v="1"/>
    <s v="North America"/>
    <x v="0"/>
    <s v="Bikes"/>
    <n v="2443.35"/>
    <n v="1518.7864"/>
    <n v="924.56359999999995"/>
    <n v="0.37839998362903399"/>
  </r>
  <r>
    <x v="73"/>
    <d v="2002-05-29T00:00:00"/>
    <s v="SO46913"/>
    <n v="375"/>
    <n v="13212"/>
    <n v="4"/>
    <n v="1"/>
    <n v="1"/>
    <n v="2"/>
    <s v="BK-R89B-48"/>
    <x v="25"/>
    <n v="1320.6838"/>
    <n v="2181.5625"/>
    <s v="MR."/>
    <s v="LOGAN"/>
    <s v="PHILLIPS"/>
    <s v="LOGAN PHILLIPS"/>
    <d v="1945-08-10T00:00:00"/>
    <s v="M"/>
    <s v="M"/>
    <s v="logan32@adventure-works.com"/>
    <n v="60000"/>
    <n v="4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73"/>
    <d v="2002-04-02T00:00:00"/>
    <s v="SO46912"/>
    <n v="377"/>
    <n v="13177"/>
    <n v="1"/>
    <n v="1"/>
    <n v="1"/>
    <n v="2"/>
    <s v="BK-R89B-52"/>
    <x v="20"/>
    <n v="1320.6838"/>
    <n v="2181.5625"/>
    <s v="MS."/>
    <s v="TAYLOR"/>
    <s v="ROGERS"/>
    <s v="TAYLOR ROGERS"/>
    <d v="1963-02-27T00:00:00"/>
    <s v="S"/>
    <s v="F"/>
    <s v="taylor3@adventure-works.com"/>
    <n v="70000"/>
    <n v="0"/>
    <s v="Partial College"/>
    <s v="Skilled Manual"/>
    <s v="N"/>
    <s v="Northwest"/>
    <x v="1"/>
    <s v="North America"/>
    <x v="0"/>
    <s v="Bikes"/>
    <n v="2181.5625"/>
    <n v="1320.6838"/>
    <n v="860.87869999999998"/>
    <n v="0.39461564818793898"/>
  </r>
  <r>
    <x v="99"/>
    <d v="2002-05-29T00:00:00"/>
    <s v="SO46924"/>
    <n v="375"/>
    <n v="13203"/>
    <n v="1"/>
    <n v="1"/>
    <n v="1"/>
    <n v="2"/>
    <s v="BK-R89B-48"/>
    <x v="25"/>
    <n v="1320.6838"/>
    <n v="2181.5625"/>
    <s v="MRS."/>
    <s v="BAILEY"/>
    <s v="BELL"/>
    <s v="BAILEY BELL"/>
    <d v="1944-04-12T00:00:00"/>
    <s v="S"/>
    <s v="F"/>
    <s v="bailey11@adventure-works.com"/>
    <n v="70000"/>
    <n v="4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99"/>
    <d v="2002-04-03T00:00:00"/>
    <s v="SO46923"/>
    <n v="369"/>
    <n v="13176"/>
    <n v="4"/>
    <n v="1"/>
    <n v="1"/>
    <n v="2"/>
    <s v="BK-R89R-48"/>
    <x v="21"/>
    <n v="1518.7864"/>
    <n v="2443.35"/>
    <s v="MR."/>
    <s v="KURT"/>
    <s v="CHANDER"/>
    <s v="KURT CHANDER"/>
    <d v="1967-09-01T00:00:00"/>
    <s v="S"/>
    <s v="M"/>
    <s v="kurt16@adventure-works.com"/>
    <n v="130000"/>
    <n v="0"/>
    <s v="Graduate Degree"/>
    <s v="Management"/>
    <s v="N"/>
    <s v="Southwest"/>
    <x v="1"/>
    <s v="North America"/>
    <x v="0"/>
    <s v="Bikes"/>
    <n v="2443.35"/>
    <n v="1518.7864"/>
    <n v="924.56359999999995"/>
    <n v="0.37839998362903399"/>
  </r>
  <r>
    <x v="99"/>
    <d v="2002-06-04T00:00:00"/>
    <s v="SO46922"/>
    <n v="368"/>
    <n v="13088"/>
    <n v="1"/>
    <n v="1"/>
    <n v="1"/>
    <n v="2"/>
    <s v="BK-R89R-44"/>
    <x v="22"/>
    <n v="1518.7864"/>
    <n v="2443.35"/>
    <s v="MS."/>
    <s v="MEGAN"/>
    <s v="POWELL"/>
    <s v="MEGAN POWELL"/>
    <d v="1974-02-23T00:00:00"/>
    <s v="S"/>
    <s v="F"/>
    <s v="megan58@adventure-works.com"/>
    <n v="60000"/>
    <n v="0"/>
    <s v="Partial College"/>
    <s v="Professional"/>
    <s v="N"/>
    <s v="Northwest"/>
    <x v="1"/>
    <s v="North America"/>
    <x v="0"/>
    <s v="Bikes"/>
    <n v="2443.35"/>
    <n v="1518.7864"/>
    <n v="924.56359999999995"/>
    <n v="0.37839998362903399"/>
  </r>
  <r>
    <x v="236"/>
    <d v="2002-04-20T00:00:00"/>
    <s v="SO47068"/>
    <n v="370"/>
    <n v="13246"/>
    <n v="4"/>
    <n v="1"/>
    <n v="1"/>
    <n v="2"/>
    <s v="BK-R89R-52"/>
    <x v="23"/>
    <n v="1518.7864"/>
    <n v="2443.35"/>
    <s v="MRS."/>
    <s v="HAILEY"/>
    <s v="PEREZ"/>
    <s v="HAILEY PEREZ"/>
    <d v="1952-01-26T00:00:00"/>
    <s v="M"/>
    <s v="F"/>
    <s v="hailey53@adventure-works.com"/>
    <n v="60000"/>
    <n v="3"/>
    <s v="High School"/>
    <s v="Professional"/>
    <s v="Y"/>
    <s v="Southwest"/>
    <x v="1"/>
    <s v="North America"/>
    <x v="0"/>
    <s v="Bikes"/>
    <n v="2443.35"/>
    <n v="1518.7864"/>
    <n v="924.56359999999995"/>
    <n v="0.37839998362903399"/>
  </r>
  <r>
    <x v="236"/>
    <d v="2002-04-21T00:00:00"/>
    <s v="SO47075"/>
    <n v="360"/>
    <n v="12685"/>
    <n v="9"/>
    <n v="1"/>
    <n v="1"/>
    <n v="1"/>
    <s v="BK-M68B-42"/>
    <x v="17"/>
    <n v="1105.81"/>
    <n v="2049.0981999999999"/>
    <s v="MS."/>
    <s v="JACLYN"/>
    <s v="XU"/>
    <s v="JACLYN XU"/>
    <d v="1972-03-22T00:00:00"/>
    <s v="M"/>
    <s v="F"/>
    <s v="jaclyn28@adventure-works.com"/>
    <n v="9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36"/>
    <d v="2002-06-15T00:00:00"/>
    <s v="SO47076"/>
    <n v="362"/>
    <n v="12588"/>
    <n v="9"/>
    <n v="1"/>
    <n v="1"/>
    <n v="1"/>
    <s v="BK-M68B-46"/>
    <x v="13"/>
    <n v="1105.81"/>
    <n v="2049.0981999999999"/>
    <s v="MRS."/>
    <s v="TRACY"/>
    <s v="CHANDE"/>
    <s v="TRACY CHANDE"/>
    <d v="1977-07-25T00:00:00"/>
    <s v="S"/>
    <s v="F"/>
    <s v="tracy14@adventure-works.com"/>
    <n v="10000"/>
    <n v="1"/>
    <s v="High School"/>
    <s v="Manual"/>
    <s v="N"/>
    <s v="Australia"/>
    <x v="2"/>
    <s v="Pacific"/>
    <x v="1"/>
    <s v="Bikes"/>
    <n v="2049.0981999999999"/>
    <n v="1105.81"/>
    <n v="943.28819999999996"/>
    <n v="0.46034309141455498"/>
  </r>
  <r>
    <x v="237"/>
    <d v="2002-04-09T00:00:00"/>
    <s v="SO47079"/>
    <n v="375"/>
    <n v="13359"/>
    <n v="4"/>
    <n v="1"/>
    <n v="1"/>
    <n v="2"/>
    <s v="BK-R89B-48"/>
    <x v="25"/>
    <n v="1320.6838"/>
    <n v="2181.5625"/>
    <s v="MR."/>
    <s v="IAN"/>
    <s v="WOOD"/>
    <s v="IAN WOOD"/>
    <d v="1945-09-02T00:00:00"/>
    <s v="M"/>
    <s v="M"/>
    <s v="ian42@adventure-works.com"/>
    <n v="60000"/>
    <n v="4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37"/>
    <d v="2002-05-11T00:00:00"/>
    <s v="SO47078"/>
    <n v="375"/>
    <n v="13248"/>
    <n v="1"/>
    <n v="1"/>
    <n v="1"/>
    <n v="2"/>
    <s v="BK-R89B-48"/>
    <x v="25"/>
    <n v="1320.6838"/>
    <n v="2181.5625"/>
    <s v="MRS."/>
    <s v="ISABELLA"/>
    <s v="MARTINEZ"/>
    <s v="ISABELLA MARTINEZ"/>
    <d v="1952-03-06T00:00:00"/>
    <s v="M"/>
    <s v="F"/>
    <s v="isabella73@adventure-works.com"/>
    <n v="60000"/>
    <n v="3"/>
    <s v="High School"/>
    <s v="Professional"/>
    <s v="Y"/>
    <s v="Northwest"/>
    <x v="1"/>
    <s v="North America"/>
    <x v="0"/>
    <s v="Bikes"/>
    <n v="2181.5625"/>
    <n v="1320.6838"/>
    <n v="860.87869999999998"/>
    <n v="0.39461564818793898"/>
  </r>
  <r>
    <x v="238"/>
    <d v="2002-04-16T00:00:00"/>
    <s v="SO47088"/>
    <n v="369"/>
    <n v="13274"/>
    <n v="1"/>
    <n v="1"/>
    <n v="1"/>
    <n v="2"/>
    <s v="BK-R89R-48"/>
    <x v="21"/>
    <n v="1518.7864"/>
    <n v="2443.35"/>
    <s v="MR."/>
    <s v="JOSHUA"/>
    <s v="LEE"/>
    <s v="JOSHUA LEE"/>
    <d v="1965-04-03T00:00:00"/>
    <s v="S"/>
    <s v="M"/>
    <s v="joshua24@adventure-works.com"/>
    <n v="90000"/>
    <n v="4"/>
    <s v="Partial College"/>
    <s v="Professional"/>
    <s v="Y"/>
    <s v="Northwest"/>
    <x v="1"/>
    <s v="North America"/>
    <x v="0"/>
    <s v="Bikes"/>
    <n v="2443.35"/>
    <n v="1518.7864"/>
    <n v="924.56359999999995"/>
    <n v="0.37839998362903399"/>
  </r>
  <r>
    <x v="238"/>
    <d v="2002-07-15T00:00:00"/>
    <s v="SO47087"/>
    <n v="377"/>
    <n v="13383"/>
    <n v="1"/>
    <n v="1"/>
    <n v="1"/>
    <n v="2"/>
    <s v="BK-R89B-52"/>
    <x v="20"/>
    <n v="1320.6838"/>
    <n v="2181.5625"/>
    <s v="MRS."/>
    <s v="NATALIE"/>
    <s v="WRIGHT"/>
    <s v="NATALIE WRIGHT"/>
    <d v="1950-10-03T00:00:00"/>
    <s v="S"/>
    <s v="F"/>
    <s v="natalie63@adventure-works.com"/>
    <n v="60000"/>
    <n v="2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39"/>
    <d v="2002-06-28T00:00:00"/>
    <s v="SO47093"/>
    <n v="369"/>
    <n v="13380"/>
    <n v="4"/>
    <n v="1"/>
    <n v="1"/>
    <n v="2"/>
    <s v="BK-R89R-48"/>
    <x v="21"/>
    <n v="1518.7864"/>
    <n v="2443.35"/>
    <s v="MRS."/>
    <s v="KATHERINE"/>
    <s v="SCOTT"/>
    <s v="KATHERINE SCOTT"/>
    <d v="1949-10-25T00:00:00"/>
    <s v="M"/>
    <s v="F"/>
    <s v="katherine61@adventure-works.com"/>
    <n v="60000"/>
    <n v="2"/>
    <s v="Bachelors"/>
    <s v="Management"/>
    <s v="N"/>
    <s v="Southwest"/>
    <x v="1"/>
    <s v="North America"/>
    <x v="0"/>
    <s v="Bikes"/>
    <n v="2443.35"/>
    <n v="1518.7864"/>
    <n v="924.56359999999995"/>
    <n v="0.37839998362903399"/>
  </r>
  <r>
    <x v="239"/>
    <d v="2002-05-01T00:00:00"/>
    <s v="SO47098"/>
    <n v="360"/>
    <n v="12667"/>
    <n v="9"/>
    <n v="1"/>
    <n v="1"/>
    <n v="1"/>
    <s v="BK-M68B-42"/>
    <x v="17"/>
    <n v="1105.81"/>
    <n v="2049.0981999999999"/>
    <s v="MS."/>
    <s v="MARIA"/>
    <s v="WOOD"/>
    <s v="MARIA WOOD"/>
    <d v="1976-11-22T00:00:00"/>
    <s v="M"/>
    <s v="F"/>
    <s v="maria25@adventure-works.com"/>
    <n v="7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102"/>
    <d v="2002-07-18T00:00:00"/>
    <s v="SO47105"/>
    <n v="371"/>
    <n v="13319"/>
    <n v="1"/>
    <n v="1"/>
    <n v="1"/>
    <n v="2"/>
    <s v="BK-R89R-58"/>
    <x v="24"/>
    <n v="1320.6838"/>
    <n v="2181.5625"/>
    <s v="MR."/>
    <s v="CHARLES"/>
    <s v="HOWARD"/>
    <s v="CHARLES HOWARD"/>
    <d v="1954-03-02T00:00:00"/>
    <s v="S"/>
    <s v="M"/>
    <s v="charles60@adventure-works.com"/>
    <n v="70000"/>
    <n v="3"/>
    <s v="High School"/>
    <s v="Professional"/>
    <s v="Y"/>
    <s v="Northwest"/>
    <x v="1"/>
    <s v="North America"/>
    <x v="0"/>
    <s v="Bikes"/>
    <n v="2181.5625"/>
    <n v="1320.6838"/>
    <n v="860.87869999999998"/>
    <n v="0.39461564818793898"/>
  </r>
  <r>
    <x v="102"/>
    <d v="2002-07-14T00:00:00"/>
    <s v="SO47102"/>
    <n v="370"/>
    <n v="13424"/>
    <n v="1"/>
    <n v="1"/>
    <n v="1"/>
    <n v="2"/>
    <s v="BK-R89R-52"/>
    <x v="23"/>
    <n v="1518.7864"/>
    <n v="2443.35"/>
    <s v="MRS."/>
    <s v="JASMINE"/>
    <s v="THOMAS"/>
    <s v="JASMINE THOMAS"/>
    <d v="1964-09-20T00:00:00"/>
    <s v="M"/>
    <s v="F"/>
    <s v="jasmine9@adventure-works.com"/>
    <n v="90000"/>
    <n v="5"/>
    <s v="Partial College"/>
    <s v="Professional"/>
    <s v="Y"/>
    <s v="Northwest"/>
    <x v="1"/>
    <s v="North America"/>
    <x v="0"/>
    <s v="Bikes"/>
    <n v="2443.35"/>
    <n v="1518.7864"/>
    <n v="924.56359999999995"/>
    <n v="0.37839998362903399"/>
  </r>
  <r>
    <x v="102"/>
    <d v="2002-07-20T00:00:00"/>
    <s v="SO47103"/>
    <n v="368"/>
    <n v="13369"/>
    <n v="1"/>
    <n v="1"/>
    <n v="1"/>
    <n v="2"/>
    <s v="BK-R89R-44"/>
    <x v="22"/>
    <n v="1518.7864"/>
    <n v="2443.35"/>
    <s v="MRS."/>
    <s v="MARIAH"/>
    <s v="HENDERSON"/>
    <s v="MARIAH HENDERSON"/>
    <d v="1947-08-17T00:00:00"/>
    <s v="M"/>
    <s v="F"/>
    <s v="mariah9@adventure-works.com"/>
    <n v="80000"/>
    <n v="5"/>
    <s v="Bachelors"/>
    <s v="Management"/>
    <s v="Y"/>
    <s v="Northwest"/>
    <x v="1"/>
    <s v="North America"/>
    <x v="0"/>
    <s v="Bikes"/>
    <n v="2443.35"/>
    <n v="1518.7864"/>
    <n v="924.56359999999995"/>
    <n v="0.37839998362903399"/>
  </r>
  <r>
    <x v="102"/>
    <d v="2002-04-12T00:00:00"/>
    <s v="SO47104"/>
    <n v="379"/>
    <n v="13279"/>
    <n v="4"/>
    <n v="1"/>
    <n v="1"/>
    <n v="2"/>
    <s v="BK-R89B-58"/>
    <x v="26"/>
    <n v="1320.6838"/>
    <n v="2181.5625"/>
    <s v="MRS."/>
    <s v="RACHEL"/>
    <s v="HOWARD"/>
    <s v="RACHEL HOWARD"/>
    <d v="1965-11-02T00:00:00"/>
    <s v="M"/>
    <s v="F"/>
    <s v="rachel40@adventure-works.com"/>
    <n v="130000"/>
    <n v="1"/>
    <s v="Graduate Degree"/>
    <s v="Management"/>
    <s v="Y"/>
    <s v="Southwest"/>
    <x v="1"/>
    <s v="North America"/>
    <x v="0"/>
    <s v="Bikes"/>
    <n v="2181.5625"/>
    <n v="1320.6838"/>
    <n v="860.87869999999998"/>
    <n v="0.39461564818793898"/>
  </r>
  <r>
    <x v="106"/>
    <d v="2002-05-29T00:00:00"/>
    <s v="SO47117"/>
    <n v="354"/>
    <n v="12586"/>
    <n v="9"/>
    <n v="1"/>
    <n v="1"/>
    <n v="1"/>
    <s v="BK-M68S-42"/>
    <x v="18"/>
    <n v="1117.8559"/>
    <n v="2071.4196000000002"/>
    <s v="MRS."/>
    <s v="KELLIE"/>
    <s v="HERNANDEZ"/>
    <s v="KELLIE HERNANDEZ"/>
    <d v="1979-04-24T00:00:00"/>
    <s v="S"/>
    <s v="F"/>
    <s v="kellie4@adventure-works.com"/>
    <n v="10000"/>
    <n v="1"/>
    <s v="High School"/>
    <s v="Manual"/>
    <s v="N"/>
    <s v="Australia"/>
    <x v="2"/>
    <s v="Pacific"/>
    <x v="1"/>
    <s v="Bikes"/>
    <n v="2071.4196000000002"/>
    <n v="1117.8559"/>
    <n v="953.56370000000004"/>
    <n v="0.460343090313522"/>
  </r>
  <r>
    <x v="240"/>
    <d v="2002-06-26T00:00:00"/>
    <s v="SO47126"/>
    <n v="371"/>
    <n v="13326"/>
    <n v="4"/>
    <n v="1"/>
    <n v="1"/>
    <n v="2"/>
    <s v="BK-R89R-58"/>
    <x v="24"/>
    <n v="1320.6838"/>
    <n v="2181.5625"/>
    <s v="MR."/>
    <s v="BOB"/>
    <s v="FERNANDEZ"/>
    <s v="BOB FERNANDEZ"/>
    <d v="1938-08-16T00:00:00"/>
    <s v="M"/>
    <s v="M"/>
    <s v="bob8@adventure-works.com"/>
    <n v="130000"/>
    <n v="2"/>
    <s v="Bachelors"/>
    <s v="Management"/>
    <s v="N"/>
    <s v="Southwest"/>
    <x v="1"/>
    <s v="North America"/>
    <x v="0"/>
    <s v="Bikes"/>
    <n v="2181.5625"/>
    <n v="1320.6838"/>
    <n v="860.87869999999998"/>
    <n v="0.39461564818793898"/>
  </r>
  <r>
    <x v="240"/>
    <d v="2002-05-24T00:00:00"/>
    <s v="SO47129"/>
    <n v="352"/>
    <n v="12677"/>
    <n v="9"/>
    <n v="1"/>
    <n v="1"/>
    <n v="1"/>
    <s v="BK-M68S-38"/>
    <x v="16"/>
    <n v="1117.8559"/>
    <n v="2071.4196000000002"/>
    <s v="MR."/>
    <s v="CEDRIC"/>
    <s v="LIU"/>
    <s v="CEDRIC LIU"/>
    <d v="1974-11-05T00:00:00"/>
    <s v="M"/>
    <s v="M"/>
    <s v="cedric4@adventure-works.com"/>
    <n v="100000"/>
    <n v="0"/>
    <s v="High School"/>
    <s v="Management"/>
    <s v="Y"/>
    <s v="Australia"/>
    <x v="2"/>
    <s v="Pacific"/>
    <x v="1"/>
    <s v="Bikes"/>
    <n v="2071.4196000000002"/>
    <n v="1117.8559"/>
    <n v="953.56370000000004"/>
    <n v="0.460343090313522"/>
  </r>
  <r>
    <x v="240"/>
    <d v="2002-06-13T00:00:00"/>
    <s v="SO47122"/>
    <n v="371"/>
    <n v="13362"/>
    <n v="4"/>
    <n v="1"/>
    <n v="1"/>
    <n v="2"/>
    <s v="BK-R89R-58"/>
    <x v="24"/>
    <n v="1320.6838"/>
    <n v="2181.5625"/>
    <s v="MRS."/>
    <s v="DESTINY"/>
    <s v="MORGAN"/>
    <s v="DESTINY MORGAN"/>
    <d v="1946-02-12T00:00:00"/>
    <s v="S"/>
    <s v="F"/>
    <s v="destiny29@adventure-works.com"/>
    <n v="60000"/>
    <n v="5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40"/>
    <d v="2002-06-09T00:00:00"/>
    <s v="SO47125"/>
    <n v="375"/>
    <n v="13325"/>
    <n v="4"/>
    <n v="1"/>
    <n v="1"/>
    <n v="2"/>
    <s v="BK-R89B-48"/>
    <x v="25"/>
    <n v="1320.6838"/>
    <n v="2181.5625"/>
    <s v="MR."/>
    <s v="MARCUS"/>
    <s v="WRIGHT"/>
    <s v="MARCUS WRIGHT"/>
    <d v="1938-01-04T00:00:00"/>
    <s v="M"/>
    <s v="M"/>
    <s v="marcus30@adventure-works.com"/>
    <n v="90000"/>
    <n v="5"/>
    <s v="Bachelors"/>
    <s v="Management"/>
    <s v="N"/>
    <s v="Southwest"/>
    <x v="1"/>
    <s v="North America"/>
    <x v="0"/>
    <s v="Bikes"/>
    <n v="2181.5625"/>
    <n v="1320.6838"/>
    <n v="860.87869999999998"/>
    <n v="0.39461564818793898"/>
  </r>
  <r>
    <x v="240"/>
    <d v="2002-05-27T00:00:00"/>
    <s v="SO47124"/>
    <n v="371"/>
    <n v="13384"/>
    <n v="1"/>
    <n v="1"/>
    <n v="1"/>
    <n v="2"/>
    <s v="BK-R89R-58"/>
    <x v="24"/>
    <n v="1320.6838"/>
    <n v="2181.5625"/>
    <s v="MR."/>
    <s v="MARIO"/>
    <s v="ASHE"/>
    <s v="MARIO ASHE"/>
    <d v="1950-10-25T00:00:00"/>
    <s v="S"/>
    <s v="M"/>
    <s v="mario21@adventure-works.com"/>
    <n v="60000"/>
    <n v="2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41"/>
    <d v="2002-04-15T00:00:00"/>
    <s v="SO47131"/>
    <n v="371"/>
    <n v="13243"/>
    <n v="1"/>
    <n v="1"/>
    <n v="1"/>
    <n v="2"/>
    <s v="BK-R89R-58"/>
    <x v="24"/>
    <n v="1320.6838"/>
    <n v="2181.5625"/>
    <s v="MRS."/>
    <s v="ALYSSA"/>
    <s v="DAVIS"/>
    <s v="ALYSSA DAVIS"/>
    <d v="1951-11-13T00:00:00"/>
    <s v="S"/>
    <s v="F"/>
    <s v="alyssa4@adventure-works.com"/>
    <n v="70000"/>
    <n v="2"/>
    <s v="High School"/>
    <s v="Professional"/>
    <s v="Y"/>
    <s v="Northwest"/>
    <x v="1"/>
    <s v="North America"/>
    <x v="0"/>
    <s v="Bikes"/>
    <n v="2181.5625"/>
    <n v="1320.6838"/>
    <n v="860.87869999999998"/>
    <n v="0.39461564818793898"/>
  </r>
  <r>
    <x v="241"/>
    <d v="2002-06-29T00:00:00"/>
    <s v="SO47133"/>
    <n v="379"/>
    <n v="13357"/>
    <n v="4"/>
    <n v="1"/>
    <n v="1"/>
    <n v="2"/>
    <s v="BK-R89B-58"/>
    <x v="26"/>
    <n v="1320.6838"/>
    <n v="2181.5625"/>
    <s v="MR."/>
    <s v="BLAKE"/>
    <s v="GONZALES"/>
    <s v="BLAKE GONZALES"/>
    <d v="1945-09-27T00:00:00"/>
    <s v="S"/>
    <s v="M"/>
    <s v="blake65@adventure-works.com"/>
    <n v="60000"/>
    <n v="4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41"/>
    <d v="2002-05-01T00:00:00"/>
    <s v="SO47132"/>
    <n v="375"/>
    <n v="13283"/>
    <n v="1"/>
    <n v="1"/>
    <n v="1"/>
    <n v="2"/>
    <s v="BK-R89B-48"/>
    <x v="25"/>
    <n v="1320.6838"/>
    <n v="2181.5625"/>
    <s v="MR."/>
    <s v="DAKOTA"/>
    <s v="GRIFFIN"/>
    <s v="DAKOTA GRIFFIN"/>
    <d v="1956-12-20T00:00:00"/>
    <s v="M"/>
    <s v="M"/>
    <s v="dakota17@adventure-works.com"/>
    <n v="80000"/>
    <n v="3"/>
    <s v="Partial College"/>
    <s v="Professional"/>
    <s v="N"/>
    <s v="Northwest"/>
    <x v="1"/>
    <s v="North America"/>
    <x v="0"/>
    <s v="Bikes"/>
    <n v="2181.5625"/>
    <n v="1320.6838"/>
    <n v="860.87869999999998"/>
    <n v="0.39461564818793898"/>
  </r>
  <r>
    <x v="241"/>
    <d v="2002-05-27T00:00:00"/>
    <s v="SO47137"/>
    <n v="371"/>
    <n v="13348"/>
    <n v="4"/>
    <n v="1"/>
    <n v="1"/>
    <n v="2"/>
    <s v="BK-R89R-58"/>
    <x v="24"/>
    <n v="1320.6838"/>
    <n v="2181.5625"/>
    <s v="MR."/>
    <s v="NOAH"/>
    <s v="YOUNG"/>
    <s v="NOAH YOUNG"/>
    <d v="1943-02-19T00:00:00"/>
    <s v="M"/>
    <s v="M"/>
    <s v="noah44@adventure-works.com"/>
    <n v="130000"/>
    <n v="2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42"/>
    <d v="2002-07-09T00:00:00"/>
    <s v="SO47139"/>
    <n v="375"/>
    <n v="13238"/>
    <n v="4"/>
    <n v="1"/>
    <n v="1"/>
    <n v="2"/>
    <s v="BK-R89B-48"/>
    <x v="25"/>
    <n v="1320.6838"/>
    <n v="2181.5625"/>
    <s v="MR."/>
    <s v="JOHN"/>
    <s v="WILLIAMS"/>
    <s v="JOHN WILLIAMS"/>
    <d v="1948-10-26T00:00:00"/>
    <s v="M"/>
    <s v="M"/>
    <s v="john39@adventure-works.com"/>
    <n v="70000"/>
    <n v="4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42"/>
    <d v="2002-05-06T00:00:00"/>
    <s v="SO47143"/>
    <n v="362"/>
    <n v="12684"/>
    <n v="9"/>
    <n v="1"/>
    <n v="1"/>
    <n v="1"/>
    <s v="BK-M68B-46"/>
    <x v="13"/>
    <n v="1105.81"/>
    <n v="2049.0981999999999"/>
    <s v="MR."/>
    <s v="SHAUN"/>
    <s v="SHEN"/>
    <s v="SHAUN SHEN"/>
    <d v="1973-05-23T00:00:00"/>
    <s v="M"/>
    <s v="M"/>
    <s v="shaun4@adventure-works.com"/>
    <n v="120000"/>
    <n v="0"/>
    <s v="Partial High School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43"/>
    <d v="2002-07-23T00:00:00"/>
    <s v="SO47147"/>
    <n v="375"/>
    <n v="13324"/>
    <n v="4"/>
    <n v="1"/>
    <n v="1"/>
    <n v="2"/>
    <s v="BK-R89B-48"/>
    <x v="25"/>
    <n v="1320.6838"/>
    <n v="2181.5625"/>
    <s v="MRS."/>
    <s v="FLORIAN"/>
    <s v="STILLER"/>
    <s v="FLORIAN STILLER"/>
    <d v="1937-09-20T00:00:00"/>
    <s v="M"/>
    <s v="F"/>
    <s v="florian1@adventure-works.com"/>
    <n v="130000"/>
    <n v="2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43"/>
    <d v="2002-04-21T00:00:00"/>
    <s v="SO47149"/>
    <n v="360"/>
    <n v="12669"/>
    <n v="9"/>
    <n v="1"/>
    <n v="1"/>
    <n v="1"/>
    <s v="BK-M68B-42"/>
    <x v="17"/>
    <n v="1105.81"/>
    <n v="2049.0981999999999"/>
    <s v="MR."/>
    <s v="IRVING"/>
    <s v="SCHMIDT"/>
    <s v="IRVING SCHMIDT"/>
    <d v="1976-03-04T00:00:00"/>
    <s v="S"/>
    <s v="M"/>
    <s v="irving0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44"/>
    <d v="2002-07-22T00:00:00"/>
    <s v="SO47163"/>
    <n v="362"/>
    <n v="12671"/>
    <n v="9"/>
    <n v="1"/>
    <n v="1"/>
    <n v="1"/>
    <s v="BK-M68B-46"/>
    <x v="13"/>
    <n v="1105.81"/>
    <n v="2049.0981999999999"/>
    <s v="MR."/>
    <s v="ALAN"/>
    <s v="HUANG"/>
    <s v="ALAN HUANG"/>
    <d v="1974-02-11T00:00:00"/>
    <s v="S"/>
    <s v="M"/>
    <s v="alan10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166"/>
    <d v="2002-04-17T00:00:00"/>
    <s v="SO47174"/>
    <n v="354"/>
    <n v="12584"/>
    <n v="9"/>
    <n v="1"/>
    <n v="1"/>
    <n v="1"/>
    <s v="BK-M68S-42"/>
    <x v="18"/>
    <n v="1117.8559"/>
    <n v="2071.4196000000002"/>
    <s v="MRS."/>
    <s v="BRITTNEY"/>
    <s v="MA"/>
    <s v="BRITTNEY MA"/>
    <d v="1976-07-04T00:00:00"/>
    <s v="S"/>
    <s v="F"/>
    <s v="brittney14@adventure-works.com"/>
    <n v="10000"/>
    <n v="1"/>
    <s v="High School"/>
    <s v="Manual"/>
    <s v="N"/>
    <s v="Australia"/>
    <x v="2"/>
    <s v="Pacific"/>
    <x v="1"/>
    <s v="Bikes"/>
    <n v="2071.4196000000002"/>
    <n v="1117.8559"/>
    <n v="953.56370000000004"/>
    <n v="0.460343090313522"/>
  </r>
  <r>
    <x v="166"/>
    <d v="2002-05-19T00:00:00"/>
    <s v="SO47168"/>
    <n v="377"/>
    <n v="13286"/>
    <n v="1"/>
    <n v="1"/>
    <n v="1"/>
    <n v="2"/>
    <s v="BK-R89B-52"/>
    <x v="20"/>
    <n v="1320.6838"/>
    <n v="2181.5625"/>
    <s v="MS."/>
    <s v="HANNAH"/>
    <s v="RODRIGUEZ"/>
    <s v="HANNAH RODRIGUEZ"/>
    <d v="1963-10-10T00:00:00"/>
    <s v="S"/>
    <s v="F"/>
    <s v="hannah18@adventure-works.com"/>
    <n v="90000"/>
    <n v="0"/>
    <s v="Partial College"/>
    <s v="Professional"/>
    <s v="N"/>
    <s v="Northwest"/>
    <x v="1"/>
    <s v="North America"/>
    <x v="0"/>
    <s v="Bikes"/>
    <n v="2181.5625"/>
    <n v="1320.6838"/>
    <n v="860.87869999999998"/>
    <n v="0.39461564818793898"/>
  </r>
  <r>
    <x v="166"/>
    <d v="2002-06-02T00:00:00"/>
    <s v="SO47173"/>
    <n v="356"/>
    <n v="12675"/>
    <n v="9"/>
    <n v="1"/>
    <n v="1"/>
    <n v="1"/>
    <s v="BK-M68S-46"/>
    <x v="14"/>
    <n v="1117.8559"/>
    <n v="2071.4196000000002"/>
    <s v="MS."/>
    <s v="HOLLY"/>
    <s v="FERNANDEZ"/>
    <s v="HOLLY FERNANDEZ"/>
    <d v="1973-10-05T00:00:00"/>
    <s v="S"/>
    <s v="F"/>
    <s v="holly15@adventure-works.com"/>
    <n v="8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166"/>
    <d v="2002-06-18T00:00:00"/>
    <s v="SO47167"/>
    <n v="375"/>
    <n v="13419"/>
    <n v="1"/>
    <n v="1"/>
    <n v="1"/>
    <n v="2"/>
    <s v="BK-R89B-48"/>
    <x v="25"/>
    <n v="1320.6838"/>
    <n v="2181.5625"/>
    <s v="MRS."/>
    <s v="LAUREN"/>
    <s v="COLEMAN"/>
    <s v="LAUREN COLEMAN"/>
    <d v="1965-06-23T00:00:00"/>
    <s v="M"/>
    <s v="F"/>
    <s v="lauren53@adventure-works.com"/>
    <n v="90000"/>
    <n v="5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166"/>
    <d v="2002-06-07T00:00:00"/>
    <s v="SO47172"/>
    <n v="352"/>
    <n v="12668"/>
    <n v="9"/>
    <n v="1"/>
    <n v="1"/>
    <n v="1"/>
    <s v="BK-M68S-38"/>
    <x v="16"/>
    <n v="1117.8559"/>
    <n v="2071.4196000000002"/>
    <s v="MS."/>
    <s v="MELISSA"/>
    <s v="PATTERSON"/>
    <s v="MELISSA PATTERSON"/>
    <d v="1976-04-26T00:00:00"/>
    <s v="S"/>
    <s v="F"/>
    <s v="melissa5@adventure-works.com"/>
    <n v="70000"/>
    <n v="0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78"/>
    <d v="2002-07-06T00:00:00"/>
    <s v="SO47180"/>
    <n v="370"/>
    <n v="13287"/>
    <n v="4"/>
    <n v="1"/>
    <n v="1"/>
    <n v="2"/>
    <s v="BK-R89R-52"/>
    <x v="23"/>
    <n v="1518.7864"/>
    <n v="2443.35"/>
    <s v="MR."/>
    <s v="BRANDON"/>
    <s v="RODRIGUEZ"/>
    <s v="BRANDON RODRIGUEZ"/>
    <d v="1963-09-03T00:00:00"/>
    <s v="S"/>
    <s v="M"/>
    <s v="brandon50@adventure-works.com"/>
    <n v="110000"/>
    <n v="4"/>
    <s v="Bachelors"/>
    <s v="Management"/>
    <s v="Y"/>
    <s v="Southwest"/>
    <x v="1"/>
    <s v="North America"/>
    <x v="0"/>
    <s v="Bikes"/>
    <n v="2443.35"/>
    <n v="1518.7864"/>
    <n v="924.56359999999995"/>
    <n v="0.37839998362903399"/>
  </r>
  <r>
    <x v="78"/>
    <d v="2002-06-26T00:00:00"/>
    <s v="SO47181"/>
    <n v="368"/>
    <n v="13329"/>
    <n v="4"/>
    <n v="1"/>
    <n v="1"/>
    <n v="2"/>
    <s v="BK-R89R-44"/>
    <x v="22"/>
    <n v="1518.7864"/>
    <n v="2443.35"/>
    <s v="MR."/>
    <s v="JAKE"/>
    <s v="WANG"/>
    <s v="JAKE WANG"/>
    <d v="1939-03-05T00:00:00"/>
    <s v="M"/>
    <s v="M"/>
    <s v="jake1@adventure-works.com"/>
    <n v="90000"/>
    <n v="5"/>
    <s v="Bachelors"/>
    <s v="Management"/>
    <s v="Y"/>
    <s v="Southwest"/>
    <x v="1"/>
    <s v="North America"/>
    <x v="0"/>
    <s v="Bikes"/>
    <n v="2443.35"/>
    <n v="1518.7864"/>
    <n v="924.56359999999995"/>
    <n v="0.37839998362903399"/>
  </r>
  <r>
    <x v="245"/>
    <d v="2002-05-05T00:00:00"/>
    <s v="SO47195"/>
    <n v="371"/>
    <n v="13355"/>
    <n v="1"/>
    <n v="1"/>
    <n v="1"/>
    <n v="2"/>
    <s v="BK-R89R-58"/>
    <x v="24"/>
    <n v="1320.6838"/>
    <n v="2181.5625"/>
    <s v="MR."/>
    <s v="JACKSON"/>
    <s v="JAI"/>
    <s v="JACKSON JAI"/>
    <d v="1944-09-24T00:00:00"/>
    <s v="M"/>
    <s v="M"/>
    <s v="jackson5@adventure-works.com"/>
    <n v="70000"/>
    <n v="5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245"/>
    <d v="2002-06-05T00:00:00"/>
    <s v="SO47194"/>
    <n v="377"/>
    <n v="13269"/>
    <n v="1"/>
    <n v="1"/>
    <n v="1"/>
    <n v="2"/>
    <s v="BK-R89B-52"/>
    <x v="20"/>
    <n v="1320.6838"/>
    <n v="2181.5625"/>
    <s v="MRS."/>
    <s v="RACHEL"/>
    <s v="MARTIN"/>
    <s v="RACHEL MARTIN"/>
    <d v="1932-03-08T00:00:00"/>
    <s v="S"/>
    <s v="F"/>
    <s v="rachel17@adventure-works.com"/>
    <n v="50000"/>
    <n v="2"/>
    <s v="Graduate Degree"/>
    <s v="Management"/>
    <s v="N"/>
    <s v="Northwest"/>
    <x v="1"/>
    <s v="North America"/>
    <x v="0"/>
    <s v="Bikes"/>
    <n v="2181.5625"/>
    <n v="1320.6838"/>
    <n v="860.87869999999998"/>
    <n v="0.39461564818793898"/>
  </r>
  <r>
    <x v="245"/>
    <d v="2002-06-12T00:00:00"/>
    <s v="SO47191"/>
    <n v="379"/>
    <n v="13382"/>
    <n v="4"/>
    <n v="1"/>
    <n v="1"/>
    <n v="2"/>
    <s v="BK-R89B-58"/>
    <x v="26"/>
    <n v="1320.6838"/>
    <n v="2181.5625"/>
    <s v="MR."/>
    <s v="RICHARD"/>
    <s v="ROGERS"/>
    <s v="RICHARD ROGERS"/>
    <d v="1949-02-04T00:00:00"/>
    <s v="M"/>
    <s v="M"/>
    <s v="richard100@adventure-works.com"/>
    <n v="70000"/>
    <n v="5"/>
    <s v="Partial College"/>
    <s v="Professional"/>
    <s v="Y"/>
    <s v="Southwest"/>
    <x v="1"/>
    <s v="North America"/>
    <x v="0"/>
    <s v="Bikes"/>
    <n v="2181.5625"/>
    <n v="1320.6838"/>
    <n v="860.87869999999998"/>
    <n v="0.39461564818793898"/>
  </r>
  <r>
    <x v="246"/>
    <d v="2002-05-08T00:00:00"/>
    <s v="SO47200"/>
    <n v="373"/>
    <n v="13247"/>
    <n v="4"/>
    <n v="1"/>
    <n v="1"/>
    <n v="2"/>
    <s v="BK-R89B-44"/>
    <x v="19"/>
    <n v="1320.6838"/>
    <n v="2181.5625"/>
    <s v="MR."/>
    <s v="ZACHARY"/>
    <s v="CHEN"/>
    <s v="ZACHARY CHEN"/>
    <d v="1952-05-14T00:00:00"/>
    <s v="M"/>
    <s v="M"/>
    <s v="zachary24@adventure-works.com"/>
    <n v="60000"/>
    <n v="3"/>
    <s v="High School"/>
    <s v="Professional"/>
    <s v="Y"/>
    <s v="Southwest"/>
    <x v="1"/>
    <s v="North America"/>
    <x v="0"/>
    <s v="Bikes"/>
    <n v="2181.5625"/>
    <n v="1320.6838"/>
    <n v="860.87869999999998"/>
    <n v="0.39461564818793898"/>
  </r>
  <r>
    <x v="247"/>
    <d v="2002-06-04T00:00:00"/>
    <s v="SO47212"/>
    <n v="360"/>
    <n v="12580"/>
    <n v="9"/>
    <n v="1"/>
    <n v="1"/>
    <n v="1"/>
    <s v="BK-M68B-42"/>
    <x v="17"/>
    <n v="1105.81"/>
    <n v="2049.0981999999999"/>
    <s v="MR."/>
    <s v="CEDRIC"/>
    <s v="SHE"/>
    <s v="CEDRIC SHE"/>
    <d v="1978-09-08T00:00:00"/>
    <s v="S"/>
    <s v="M"/>
    <s v="cedric23@adventure-works.com"/>
    <n v="10000"/>
    <n v="0"/>
    <s v="Partial College"/>
    <s v="Manual"/>
    <s v="Y"/>
    <s v="Australia"/>
    <x v="2"/>
    <s v="Pacific"/>
    <x v="1"/>
    <s v="Bikes"/>
    <n v="2049.0981999999999"/>
    <n v="1105.81"/>
    <n v="943.28819999999996"/>
    <n v="0.46034309141455498"/>
  </r>
  <r>
    <x v="248"/>
    <d v="2002-05-27T00:00:00"/>
    <s v="SO47219"/>
    <n v="362"/>
    <n v="12577"/>
    <n v="9"/>
    <n v="1"/>
    <n v="1"/>
    <n v="1"/>
    <s v="BK-M68B-46"/>
    <x v="13"/>
    <n v="1105.81"/>
    <n v="2049.0981999999999"/>
    <s v="MR."/>
    <s v="FRANCIS"/>
    <s v="SANZ"/>
    <s v="FRANCIS SANZ"/>
    <d v="1979-08-20T00:00:00"/>
    <s v="S"/>
    <s v="M"/>
    <s v="francis18@adventure-works.com"/>
    <n v="10000"/>
    <n v="0"/>
    <s v="Partial College"/>
    <s v="Manual"/>
    <s v="Y"/>
    <s v="Australia"/>
    <x v="2"/>
    <s v="Pacific"/>
    <x v="1"/>
    <s v="Bikes"/>
    <n v="2049.0981999999999"/>
    <n v="1105.81"/>
    <n v="943.28819999999996"/>
    <n v="0.46034309141455498"/>
  </r>
  <r>
    <x v="247"/>
    <d v="2002-04-30T00:00:00"/>
    <s v="SO47211"/>
    <n v="362"/>
    <n v="12578"/>
    <n v="9"/>
    <n v="1"/>
    <n v="1"/>
    <n v="1"/>
    <s v="BK-M68B-46"/>
    <x v="13"/>
    <n v="1105.81"/>
    <n v="2049.0981999999999"/>
    <s v="MR."/>
    <s v="GAVIN"/>
    <s v="PERRY"/>
    <s v="GAVIN PERRY"/>
    <d v="1980-02-28T00:00:00"/>
    <s v="S"/>
    <s v="M"/>
    <s v="gavin7@adventure-works.com"/>
    <n v="10000"/>
    <n v="0"/>
    <s v="Partial College"/>
    <s v="Manual"/>
    <s v="N"/>
    <s v="Australia"/>
    <x v="2"/>
    <s v="Pacific"/>
    <x v="1"/>
    <s v="Bikes"/>
    <n v="2049.0981999999999"/>
    <n v="1105.81"/>
    <n v="943.28819999999996"/>
    <n v="0.46034309141455498"/>
  </r>
  <r>
    <x v="248"/>
    <d v="2002-06-29T00:00:00"/>
    <s v="SO47220"/>
    <n v="358"/>
    <n v="12579"/>
    <n v="9"/>
    <n v="1"/>
    <n v="1"/>
    <n v="1"/>
    <s v="BK-M68B-38"/>
    <x v="15"/>
    <n v="1105.81"/>
    <n v="2049.0981999999999"/>
    <s v="MS."/>
    <s v="LYDIA"/>
    <s v="SANCHEZ"/>
    <s v="LYDIA SANCHEZ"/>
    <d v="1978-09-10T00:00:00"/>
    <s v="S"/>
    <s v="F"/>
    <s v="lydia18@adventure-works.com"/>
    <n v="10000"/>
    <n v="0"/>
    <s v="Partial College"/>
    <s v="Manual"/>
    <s v="Y"/>
    <s v="Australia"/>
    <x v="2"/>
    <s v="Pacific"/>
    <x v="1"/>
    <s v="Bikes"/>
    <n v="2049.0981999999999"/>
    <n v="1105.81"/>
    <n v="943.28819999999996"/>
    <n v="0.46034309141455498"/>
  </r>
  <r>
    <x v="249"/>
    <d v="2002-08-08T00:00:00"/>
    <s v="SO47335"/>
    <n v="356"/>
    <n v="12581"/>
    <n v="9"/>
    <n v="1"/>
    <n v="1"/>
    <n v="1"/>
    <s v="BK-M68S-46"/>
    <x v="14"/>
    <n v="1117.8559"/>
    <n v="2071.4196000000002"/>
    <s v="MS."/>
    <s v="KRISTINA"/>
    <s v="FERNANDEZ"/>
    <s v="KRISTINA FERNANDEZ"/>
    <d v="1978-03-11T00:00:00"/>
    <s v="S"/>
    <s v="F"/>
    <s v="kristina16@adventure-works.com"/>
    <n v="10000"/>
    <n v="0"/>
    <s v="Partial College"/>
    <s v="Manual"/>
    <s v="N"/>
    <s v="Australia"/>
    <x v="2"/>
    <s v="Pacific"/>
    <x v="1"/>
    <s v="Bikes"/>
    <n v="2071.4196000000002"/>
    <n v="1117.8559"/>
    <n v="953.56370000000004"/>
    <n v="0.460343090313522"/>
  </r>
  <r>
    <x v="250"/>
    <d v="2002-07-20T00:00:00"/>
    <s v="SO47345"/>
    <n v="356"/>
    <n v="12583"/>
    <n v="9"/>
    <n v="1"/>
    <n v="1"/>
    <n v="1"/>
    <s v="BK-M68S-46"/>
    <x v="14"/>
    <n v="1117.8559"/>
    <n v="2071.4196000000002"/>
    <s v="MR."/>
    <s v="TYRONE"/>
    <s v="ORTEGA"/>
    <s v="TYRONE ORTEGA"/>
    <d v="1976-08-07T00:00:00"/>
    <s v="S"/>
    <s v="M"/>
    <s v="tyrone21@adventure-works.com"/>
    <n v="10000"/>
    <n v="1"/>
    <s v="High School"/>
    <s v="Manual"/>
    <s v="N"/>
    <s v="Australia"/>
    <x v="2"/>
    <s v="Pacific"/>
    <x v="1"/>
    <s v="Bikes"/>
    <n v="2071.4196000000002"/>
    <n v="1117.8559"/>
    <n v="953.56370000000004"/>
    <n v="0.460343090313522"/>
  </r>
  <r>
    <x v="250"/>
    <d v="2002-08-13T00:00:00"/>
    <s v="SO47346"/>
    <n v="360"/>
    <n v="12585"/>
    <n v="9"/>
    <n v="1"/>
    <n v="1"/>
    <n v="1"/>
    <s v="BK-M68B-42"/>
    <x v="17"/>
    <n v="1105.81"/>
    <n v="2049.0981999999999"/>
    <s v="MR."/>
    <s v="IAN"/>
    <s v="MARTINEZ"/>
    <s v="IAN MARTINEZ"/>
    <d v="1979-06-24T00:00:00"/>
    <s v="M"/>
    <s v="M"/>
    <s v="ian15@adventure-works.com"/>
    <n v="10000"/>
    <n v="1"/>
    <s v="High School"/>
    <s v="Manual"/>
    <s v="Y"/>
    <s v="Australia"/>
    <x v="2"/>
    <s v="Pacific"/>
    <x v="1"/>
    <s v="Bikes"/>
    <n v="2049.0981999999999"/>
    <n v="1105.81"/>
    <n v="943.28819999999996"/>
    <n v="0.46034309141455498"/>
  </r>
  <r>
    <x v="85"/>
    <d v="2002-05-08T00:00:00"/>
    <s v="SO47263"/>
    <n v="358"/>
    <n v="12589"/>
    <n v="9"/>
    <n v="1"/>
    <n v="1"/>
    <n v="1"/>
    <s v="BK-M68B-38"/>
    <x v="15"/>
    <n v="1105.81"/>
    <n v="2049.0981999999999"/>
    <s v="MR."/>
    <s v="RUBEN"/>
    <s v="RODRIGUEZ"/>
    <s v="RUBEN RODRIGUEZ"/>
    <d v="1977-05-17T00:00:00"/>
    <s v="M"/>
    <s v="M"/>
    <s v="ruben20@adventure-works.com"/>
    <n v="20000"/>
    <n v="0"/>
    <s v="Partial College"/>
    <s v="Manual"/>
    <s v="Y"/>
    <s v="Australia"/>
    <x v="2"/>
    <s v="Pacific"/>
    <x v="1"/>
    <s v="Bikes"/>
    <n v="2049.0981999999999"/>
    <n v="1105.81"/>
    <n v="943.28819999999996"/>
    <n v="0.46034309141455498"/>
  </r>
  <r>
    <x v="86"/>
    <d v="2002-06-11T00:00:00"/>
    <s v="SO47228"/>
    <n v="375"/>
    <n v="13237"/>
    <n v="4"/>
    <n v="1"/>
    <n v="1"/>
    <n v="2"/>
    <s v="BK-R89B-48"/>
    <x v="25"/>
    <n v="1320.6838"/>
    <n v="2181.5625"/>
    <s v="MR."/>
    <s v="DEVIN"/>
    <s v="STEWART"/>
    <s v="DEVIN STEWART"/>
    <d v="1948-04-22T00:00:00"/>
    <s v="M"/>
    <s v="M"/>
    <s v="devin86@adventure-works.com"/>
    <n v="70000"/>
    <n v="4"/>
    <s v="Bachelors"/>
    <s v="Management"/>
    <s v="N"/>
    <s v="Southwest"/>
    <x v="1"/>
    <s v="North America"/>
    <x v="0"/>
    <s v="Bikes"/>
    <n v="2181.5625"/>
    <n v="1320.6838"/>
    <n v="860.87869999999998"/>
    <n v="0.39461564818793898"/>
  </r>
  <r>
    <x v="86"/>
    <d v="2002-06-08T00:00:00"/>
    <s v="SO47226"/>
    <n v="368"/>
    <n v="13314"/>
    <n v="4"/>
    <n v="1"/>
    <n v="1"/>
    <n v="2"/>
    <s v="BK-R89R-44"/>
    <x v="22"/>
    <n v="1518.7864"/>
    <n v="2443.35"/>
    <s v="MR."/>
    <s v="JORDAN"/>
    <s v="HERNANDEZ"/>
    <s v="JORDAN HERNANDEZ"/>
    <d v="1960-08-03T00:00:00"/>
    <s v="M"/>
    <s v="M"/>
    <s v="jordan71@adventure-works.com"/>
    <n v="120000"/>
    <n v="1"/>
    <s v="High School"/>
    <s v="Professional"/>
    <s v="Y"/>
    <s v="Southwest"/>
    <x v="1"/>
    <s v="North America"/>
    <x v="0"/>
    <s v="Bikes"/>
    <n v="2443.35"/>
    <n v="1518.7864"/>
    <n v="924.56359999999995"/>
    <n v="0.37839998362903399"/>
  </r>
  <r>
    <x v="86"/>
    <d v="2002-05-17T00:00:00"/>
    <s v="SO47225"/>
    <n v="375"/>
    <n v="13277"/>
    <n v="1"/>
    <n v="1"/>
    <n v="1"/>
    <n v="2"/>
    <s v="BK-R89B-48"/>
    <x v="25"/>
    <n v="1320.6838"/>
    <n v="2181.5625"/>
    <s v="MR."/>
    <s v="NATHAN"/>
    <s v="BROWN"/>
    <s v="NATHAN BROWN"/>
    <d v="1965-08-25T00:00:00"/>
    <s v="S"/>
    <s v="M"/>
    <s v="nathan62@adventure-works.com"/>
    <n v="100000"/>
    <n v="4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51"/>
    <d v="2002-04-26T00:00:00"/>
    <s v="SO47249"/>
    <n v="377"/>
    <n v="13346"/>
    <n v="1"/>
    <n v="1"/>
    <n v="1"/>
    <n v="2"/>
    <s v="BK-R89B-52"/>
    <x v="20"/>
    <n v="1320.6838"/>
    <n v="2181.5625"/>
    <s v="MR."/>
    <s v="GREGORY"/>
    <s v="CHANDE"/>
    <s v="GREGORY CHANDE"/>
    <d v="1943-05-26T00:00:00"/>
    <s v="S"/>
    <s v="M"/>
    <s v="gregory18@adventure-works.com"/>
    <n v="110000"/>
    <n v="2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251"/>
    <d v="2002-05-05T00:00:00"/>
    <s v="SO47253"/>
    <n v="356"/>
    <n v="12683"/>
    <n v="9"/>
    <n v="1"/>
    <n v="1"/>
    <n v="1"/>
    <s v="BK-M68S-46"/>
    <x v="14"/>
    <n v="1117.8559"/>
    <n v="2071.4196000000002"/>
    <s v="MRS."/>
    <s v="LAURA"/>
    <s v="ZHOU"/>
    <s v="LAURA ZHOU"/>
    <d v="1973-02-01T00:00:00"/>
    <s v="S"/>
    <s v="F"/>
    <s v="laura15@adventure-works.com"/>
    <n v="120000"/>
    <n v="5"/>
    <s v="Partial High School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51"/>
    <d v="2002-05-15T00:00:00"/>
    <s v="SO47252"/>
    <n v="352"/>
    <n v="12676"/>
    <n v="9"/>
    <n v="1"/>
    <n v="1"/>
    <n v="1"/>
    <s v="BK-M68S-38"/>
    <x v="16"/>
    <n v="1117.8559"/>
    <n v="2071.4196000000002"/>
    <s v="MS."/>
    <s v="MICHELE"/>
    <s v="MADAN"/>
    <s v="MICHELE MADAN"/>
    <d v="1974-06-28T00:00:00"/>
    <s v="S"/>
    <s v="F"/>
    <s v="michele63@adventure-works.com"/>
    <n v="90000"/>
    <n v="0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51"/>
    <d v="2002-05-22T00:00:00"/>
    <s v="SO47248"/>
    <n v="375"/>
    <n v="13340"/>
    <n v="4"/>
    <n v="1"/>
    <n v="1"/>
    <n v="2"/>
    <s v="BK-R89B-48"/>
    <x v="25"/>
    <n v="1320.6838"/>
    <n v="2181.5625"/>
    <s v="MRS."/>
    <s v="NATALIE"/>
    <s v="EDWARDS"/>
    <s v="NATALIE EDWARDS"/>
    <d v="1942-05-03T00:00:00"/>
    <s v="M"/>
    <s v="F"/>
    <s v="natalie45@adventure-works.com"/>
    <n v="90000"/>
    <n v="5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51"/>
    <d v="2002-05-11T00:00:00"/>
    <s v="SO47247"/>
    <n v="371"/>
    <n v="13292"/>
    <n v="1"/>
    <n v="1"/>
    <n v="1"/>
    <n v="2"/>
    <s v="BK-R89R-58"/>
    <x v="24"/>
    <n v="1320.6838"/>
    <n v="2181.5625"/>
    <s v="MRS."/>
    <s v="PAULA"/>
    <s v="CARLSON"/>
    <s v="PAULA CARLSON"/>
    <d v="1962-08-12T00:00:00"/>
    <s v="S"/>
    <s v="F"/>
    <s v="paula20@adventure-works.com"/>
    <n v="90000"/>
    <n v="5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85"/>
    <d v="2002-05-17T00:00:00"/>
    <s v="SO47258"/>
    <n v="377"/>
    <n v="13298"/>
    <n v="4"/>
    <n v="1"/>
    <n v="1"/>
    <n v="2"/>
    <s v="BK-R89B-52"/>
    <x v="20"/>
    <n v="1320.6838"/>
    <n v="2181.5625"/>
    <s v="MRS."/>
    <s v="ANNA"/>
    <s v="HARRIS"/>
    <s v="ANNA HARRIS"/>
    <d v="1961-07-27T00:00:00"/>
    <s v="M"/>
    <s v="F"/>
    <s v="anna51@adventure-works.com"/>
    <n v="130000"/>
    <n v="1"/>
    <s v="Bachelors"/>
    <s v="Management"/>
    <s v="N"/>
    <s v="Southwest"/>
    <x v="1"/>
    <s v="North America"/>
    <x v="0"/>
    <s v="Bikes"/>
    <n v="2181.5625"/>
    <n v="1320.6838"/>
    <n v="860.87869999999998"/>
    <n v="0.39461564818793898"/>
  </r>
  <r>
    <x v="85"/>
    <d v="2002-07-08T00:00:00"/>
    <s v="SO47259"/>
    <n v="375"/>
    <n v="13351"/>
    <n v="1"/>
    <n v="1"/>
    <n v="1"/>
    <n v="2"/>
    <s v="BK-R89B-48"/>
    <x v="25"/>
    <n v="1320.6838"/>
    <n v="2181.5625"/>
    <s v="MRS."/>
    <s v="MARIAH"/>
    <s v="COX"/>
    <s v="MARIAH COX"/>
    <d v="1944-04-27T00:00:00"/>
    <s v="S"/>
    <s v="F"/>
    <s v="mariah35@adventure-works.com"/>
    <n v="70000"/>
    <n v="4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85"/>
    <d v="2002-06-20T00:00:00"/>
    <s v="SO47260"/>
    <n v="375"/>
    <n v="13233"/>
    <n v="1"/>
    <n v="1"/>
    <n v="1"/>
    <n v="2"/>
    <s v="BK-R89B-48"/>
    <x v="25"/>
    <n v="1320.6838"/>
    <n v="2181.5625"/>
    <s v="MR."/>
    <s v="RICHARD"/>
    <s v="COLEMAN"/>
    <s v="RICHARD COLEMAN"/>
    <d v="1948-12-05T00:00:00"/>
    <s v="M"/>
    <s v="M"/>
    <s v="richard61@adventure-works.com"/>
    <n v="60000"/>
    <n v="2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52"/>
    <d v="2002-06-24T00:00:00"/>
    <s v="SO47267"/>
    <n v="352"/>
    <n v="12674"/>
    <n v="9"/>
    <n v="1"/>
    <n v="1"/>
    <n v="1"/>
    <s v="BK-M68S-38"/>
    <x v="16"/>
    <n v="1117.8559"/>
    <n v="2071.4196000000002"/>
    <s v="MR."/>
    <s v="JIMMY"/>
    <s v="TRAVERS"/>
    <s v="JIMMY TRAVERS"/>
    <d v="1975-07-27T00:00:00"/>
    <s v="M"/>
    <s v="M"/>
    <s v="jimmy15@adventure-works.com"/>
    <n v="90000"/>
    <n v="0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52"/>
    <d v="2002-05-10T00:00:00"/>
    <s v="SO47265"/>
    <n v="375"/>
    <n v="13250"/>
    <n v="4"/>
    <n v="1"/>
    <n v="1"/>
    <n v="2"/>
    <s v="BK-R89B-48"/>
    <x v="25"/>
    <n v="1320.6838"/>
    <n v="2181.5625"/>
    <s v="MRS."/>
    <s v="JORDAN"/>
    <s v="KING"/>
    <s v="JORDAN KING"/>
    <d v="1952-02-23T00:00:00"/>
    <s v="M"/>
    <s v="F"/>
    <s v="jordan48@adventure-works.com"/>
    <n v="70000"/>
    <n v="4"/>
    <s v="Partial College"/>
    <s v="Professional"/>
    <s v="Y"/>
    <s v="Southwest"/>
    <x v="1"/>
    <s v="North America"/>
    <x v="0"/>
    <s v="Bikes"/>
    <n v="2181.5625"/>
    <n v="1320.6838"/>
    <n v="860.87869999999998"/>
    <n v="0.39461564818793898"/>
  </r>
  <r>
    <x v="253"/>
    <d v="2002-05-23T00:00:00"/>
    <s v="SO47279"/>
    <n v="362"/>
    <n v="12680"/>
    <n v="9"/>
    <n v="1"/>
    <n v="1"/>
    <n v="1"/>
    <s v="BK-M68B-46"/>
    <x v="13"/>
    <n v="1105.81"/>
    <n v="2049.0981999999999"/>
    <s v="MR."/>
    <s v="GEORGE"/>
    <s v="SANCHEZ"/>
    <s v="GEORGE SANCHEZ"/>
    <d v="1972-07-02T00:00:00"/>
    <s v="S"/>
    <s v="M"/>
    <s v="george27@adventure-works.com"/>
    <n v="8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53"/>
    <d v="2002-08-04T00:00:00"/>
    <s v="SO47273"/>
    <n v="368"/>
    <n v="13420"/>
    <n v="4"/>
    <n v="1"/>
    <n v="1"/>
    <n v="2"/>
    <s v="BK-R89R-44"/>
    <x v="22"/>
    <n v="1518.7864"/>
    <n v="2443.35"/>
    <s v="MRS."/>
    <s v="JORDAN"/>
    <s v="TURNER"/>
    <s v="JORDAN TURNER"/>
    <d v="1965-08-02T00:00:00"/>
    <s v="M"/>
    <s v="F"/>
    <s v="jordan33@adventure-works.com"/>
    <n v="120000"/>
    <n v="3"/>
    <s v="Bachelors"/>
    <s v="Management"/>
    <s v="Y"/>
    <s v="Southwest"/>
    <x v="1"/>
    <s v="North America"/>
    <x v="0"/>
    <s v="Bikes"/>
    <n v="2443.35"/>
    <n v="1518.7864"/>
    <n v="924.56359999999995"/>
    <n v="0.37839998362903399"/>
  </r>
  <r>
    <x v="105"/>
    <d v="2002-06-18T00:00:00"/>
    <s v="SO47287"/>
    <n v="375"/>
    <n v="13280"/>
    <n v="1"/>
    <n v="1"/>
    <n v="1"/>
    <n v="2"/>
    <s v="BK-R89B-48"/>
    <x v="25"/>
    <n v="1320.6838"/>
    <n v="2181.5625"/>
    <s v="MRS."/>
    <s v="BAILEY"/>
    <s v="ADAMS"/>
    <s v="BAILEY ADAMS"/>
    <d v="1964-08-19T00:00:00"/>
    <s v="M"/>
    <s v="F"/>
    <s v="bailey35@adventure-works.com"/>
    <n v="90000"/>
    <n v="5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105"/>
    <d v="2002-06-12T00:00:00"/>
    <s v="SO47284"/>
    <n v="368"/>
    <n v="13402"/>
    <n v="4"/>
    <n v="1"/>
    <n v="1"/>
    <n v="2"/>
    <s v="BK-R89R-44"/>
    <x v="22"/>
    <n v="1518.7864"/>
    <n v="2443.35"/>
    <s v="MR."/>
    <s v="GABRIEL"/>
    <s v="TURNER"/>
    <s v="GABRIEL TURNER"/>
    <d v="1952-03-28T00:00:00"/>
    <s v="M"/>
    <s v="M"/>
    <s v="gabriel35@adventure-works.com"/>
    <n v="60000"/>
    <n v="3"/>
    <s v="High School"/>
    <s v="Professional"/>
    <s v="N"/>
    <s v="Southwest"/>
    <x v="1"/>
    <s v="North America"/>
    <x v="0"/>
    <s v="Bikes"/>
    <n v="2443.35"/>
    <n v="1518.7864"/>
    <n v="924.56359999999995"/>
    <n v="0.37839998362903399"/>
  </r>
  <r>
    <x v="105"/>
    <d v="2002-05-11T00:00:00"/>
    <s v="SO47288"/>
    <n v="373"/>
    <n v="13353"/>
    <n v="1"/>
    <n v="1"/>
    <n v="1"/>
    <n v="2"/>
    <s v="BK-R89B-44"/>
    <x v="19"/>
    <n v="1320.6838"/>
    <n v="2181.5625"/>
    <s v="MRS."/>
    <s v="JORDYN"/>
    <s v="COLEMAN"/>
    <s v="JORDYN COLEMAN"/>
    <d v="1944-09-25T00:00:00"/>
    <s v="S"/>
    <s v="F"/>
    <s v="jordyn5@adventure-works.com"/>
    <n v="60000"/>
    <n v="4"/>
    <s v="Graduate Degree"/>
    <s v="Management"/>
    <s v="Y"/>
    <s v="Northwest"/>
    <x v="1"/>
    <s v="North America"/>
    <x v="0"/>
    <s v="Bikes"/>
    <n v="2181.5625"/>
    <n v="1320.6838"/>
    <n v="860.87869999999998"/>
    <n v="0.39461564818793898"/>
  </r>
  <r>
    <x v="254"/>
    <d v="2002-06-23T00:00:00"/>
    <s v="SO47297"/>
    <n v="377"/>
    <n v="13385"/>
    <n v="1"/>
    <n v="1"/>
    <n v="1"/>
    <n v="2"/>
    <s v="BK-R89B-52"/>
    <x v="20"/>
    <n v="1320.6838"/>
    <n v="2181.5625"/>
    <s v="MRS."/>
    <s v="DANIELLE"/>
    <s v="COOK"/>
    <s v="DANIELLE COOK"/>
    <d v="1950-11-27T00:00:00"/>
    <s v="S"/>
    <s v="F"/>
    <s v="danielle24@adventure-works.com"/>
    <n v="60000"/>
    <n v="2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54"/>
    <d v="2002-07-28T00:00:00"/>
    <s v="SO47298"/>
    <n v="371"/>
    <n v="13403"/>
    <n v="1"/>
    <n v="1"/>
    <n v="1"/>
    <n v="2"/>
    <s v="BK-R89R-58"/>
    <x v="24"/>
    <n v="1320.6838"/>
    <n v="2181.5625"/>
    <s v="MRS."/>
    <s v="JENNIFER"/>
    <s v="JACKSON"/>
    <s v="JENNIFER JACKSON"/>
    <d v="1952-05-02T00:00:00"/>
    <s v="S"/>
    <s v="F"/>
    <s v="jennifer40@adventure-works.com"/>
    <n v="70000"/>
    <n v="5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54"/>
    <d v="2002-06-29T00:00:00"/>
    <s v="SO47302"/>
    <n v="360"/>
    <n v="12670"/>
    <n v="9"/>
    <n v="1"/>
    <n v="1"/>
    <n v="1"/>
    <s v="BK-M68B-42"/>
    <x v="17"/>
    <n v="1105.81"/>
    <n v="2049.0981999999999"/>
    <s v="MS."/>
    <s v="SARAH"/>
    <s v="MARTINEZ"/>
    <s v="SARAH MARTINEZ"/>
    <d v="1975-07-21T00:00:00"/>
    <s v="S"/>
    <s v="F"/>
    <s v="sarah19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54"/>
    <d v="2002-08-11T00:00:00"/>
    <s v="SO47299"/>
    <n v="369"/>
    <n v="13425"/>
    <n v="1"/>
    <n v="1"/>
    <n v="1"/>
    <n v="2"/>
    <s v="BK-R89R-48"/>
    <x v="21"/>
    <n v="1518.7864"/>
    <n v="2443.35"/>
    <s v="MR."/>
    <s v="JOSE"/>
    <s v="GARCIA"/>
    <s v="JOSE GARCIA"/>
    <d v="1964-07-06T00:00:00"/>
    <s v="M"/>
    <s v="M"/>
    <s v="jose78@adventure-works.com"/>
    <n v="90000"/>
    <n v="5"/>
    <s v="Partial College"/>
    <s v="Professional"/>
    <s v="Y"/>
    <s v="Northwest"/>
    <x v="1"/>
    <s v="North America"/>
    <x v="0"/>
    <s v="Bikes"/>
    <n v="2443.35"/>
    <n v="1518.7864"/>
    <n v="924.56359999999995"/>
    <n v="0.37839998362903399"/>
  </r>
  <r>
    <x v="255"/>
    <d v="2002-07-22T00:00:00"/>
    <s v="SO47314"/>
    <n v="362"/>
    <n v="12673"/>
    <n v="9"/>
    <n v="1"/>
    <n v="1"/>
    <n v="1"/>
    <s v="BK-M68B-46"/>
    <x v="13"/>
    <n v="1105.81"/>
    <n v="2049.0981999999999"/>
    <s v="MR."/>
    <s v="COLIN"/>
    <s v="STONE"/>
    <s v="COLIN STONE"/>
    <d v="1975-08-28T00:00:00"/>
    <s v="M"/>
    <s v="M"/>
    <s v="colin25@adventure-works.com"/>
    <n v="8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55"/>
    <d v="2002-07-13T00:00:00"/>
    <s v="SO47309"/>
    <n v="377"/>
    <n v="13316"/>
    <n v="4"/>
    <n v="1"/>
    <n v="1"/>
    <n v="2"/>
    <s v="BK-R89B-52"/>
    <x v="20"/>
    <n v="1320.6838"/>
    <n v="2181.5625"/>
    <s v="MR."/>
    <s v="ANGEL"/>
    <s v="RIVERA"/>
    <s v="ANGEL RIVERA"/>
    <d v="1954-04-17T00:00:00"/>
    <s v="M"/>
    <s v="M"/>
    <s v="angel16@adventure-works.com"/>
    <n v="80000"/>
    <n v="3"/>
    <s v="Partial High School"/>
    <s v="Skilled Manual"/>
    <s v="Y"/>
    <s v="Southwest"/>
    <x v="1"/>
    <s v="North America"/>
    <x v="0"/>
    <s v="Bikes"/>
    <n v="2181.5625"/>
    <n v="1320.6838"/>
    <n v="860.87869999999998"/>
    <n v="0.39461564818793898"/>
  </r>
  <r>
    <x v="256"/>
    <d v="2002-08-12T00:00:00"/>
    <s v="SO47328"/>
    <n v="360"/>
    <n v="12681"/>
    <n v="9"/>
    <n v="1"/>
    <n v="1"/>
    <n v="1"/>
    <s v="BK-M68B-42"/>
    <x v="17"/>
    <n v="1105.81"/>
    <n v="2049.0981999999999"/>
    <s v="MS."/>
    <s v="CHRISTY"/>
    <s v="CHOW"/>
    <s v="CHRISTY CHOW"/>
    <d v="1972-03-08T00:00:00"/>
    <s v="S"/>
    <s v="F"/>
    <s v="christy2@adventure-works.com"/>
    <n v="8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50"/>
    <d v="2002-05-22T00:00:00"/>
    <s v="SO47344"/>
    <n v="354"/>
    <n v="12686"/>
    <n v="9"/>
    <n v="1"/>
    <n v="1"/>
    <n v="1"/>
    <s v="BK-M68S-42"/>
    <x v="18"/>
    <n v="1117.8559"/>
    <n v="2071.4196000000002"/>
    <s v="MS."/>
    <s v="TRISHA"/>
    <s v="ZHOU"/>
    <s v="TRISHA ZHOU"/>
    <d v="1972-10-18T00:00:00"/>
    <s v="S"/>
    <s v="F"/>
    <s v="trisha3@adventure-works.com"/>
    <n v="90000"/>
    <n v="0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57"/>
    <d v="2002-06-07T00:00:00"/>
    <s v="SO47578"/>
    <n v="352"/>
    <n v="12687"/>
    <n v="9"/>
    <n v="1"/>
    <n v="1"/>
    <n v="1"/>
    <s v="BK-M68S-38"/>
    <x v="16"/>
    <n v="1117.8559"/>
    <n v="2071.4196000000002"/>
    <s v="MR."/>
    <s v="MARSHALL"/>
    <s v="LI"/>
    <s v="MARSHALL LI"/>
    <d v="1972-04-20T00:00:00"/>
    <s v="S"/>
    <s v="M"/>
    <s v="marshall2@adventure-works.com"/>
    <n v="9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98"/>
    <d v="2002-08-11T00:00:00"/>
    <s v="SO47510"/>
    <n v="352"/>
    <n v="12688"/>
    <n v="9"/>
    <n v="1"/>
    <n v="1"/>
    <n v="1"/>
    <s v="BK-M68S-38"/>
    <x v="16"/>
    <n v="1117.8559"/>
    <n v="2071.4196000000002"/>
    <s v="MS."/>
    <s v="STACY"/>
    <s v="NAVARRO"/>
    <s v="STACY NAVARRO"/>
    <d v="1972-08-04T00:00:00"/>
    <s v="S"/>
    <s v="F"/>
    <s v="stacy10@adventure-works.com"/>
    <n v="90000"/>
    <n v="0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58"/>
    <d v="2002-06-28T00:00:00"/>
    <s v="SO47316"/>
    <n v="369"/>
    <n v="13361"/>
    <n v="1"/>
    <n v="1"/>
    <n v="1"/>
    <n v="2"/>
    <s v="BK-R89R-48"/>
    <x v="21"/>
    <n v="1518.7864"/>
    <n v="2443.35"/>
    <s v="MR."/>
    <s v="CAMERON"/>
    <s v="JAI"/>
    <s v="CAMERON JAI"/>
    <d v="1946-09-01T00:00:00"/>
    <s v="M"/>
    <s v="M"/>
    <s v="cameron28@adventure-works.com"/>
    <n v="60000"/>
    <n v="5"/>
    <s v="Bachelors"/>
    <s v="Management"/>
    <s v="Y"/>
    <s v="Northwest"/>
    <x v="1"/>
    <s v="North America"/>
    <x v="0"/>
    <s v="Bikes"/>
    <n v="2443.35"/>
    <n v="1518.7864"/>
    <n v="924.56359999999995"/>
    <n v="0.37839998362903399"/>
  </r>
  <r>
    <x v="192"/>
    <d v="2002-08-22T00:00:00"/>
    <s v="SO47619"/>
    <n v="356"/>
    <n v="12689"/>
    <n v="9"/>
    <n v="1"/>
    <n v="1"/>
    <n v="1"/>
    <s v="BK-M68S-46"/>
    <x v="14"/>
    <n v="1117.8559"/>
    <n v="2071.4196000000002"/>
    <s v="MS."/>
    <s v="TAMARA"/>
    <s v="PAL"/>
    <s v="TAMARA PAL"/>
    <d v="1972-10-05T00:00:00"/>
    <s v="S"/>
    <s v="F"/>
    <s v="tamara23@adventure-works.com"/>
    <n v="9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258"/>
    <d v="2002-04-30T00:00:00"/>
    <s v="SO47318"/>
    <n v="375"/>
    <n v="13273"/>
    <n v="4"/>
    <n v="1"/>
    <n v="1"/>
    <n v="2"/>
    <s v="BK-R89B-48"/>
    <x v="25"/>
    <n v="1320.6838"/>
    <n v="2181.5625"/>
    <s v="MRS."/>
    <s v="ELIZABETH"/>
    <s v="LEE"/>
    <s v="ELIZABETH LEE"/>
    <d v="1933-02-01T00:00:00"/>
    <s v="S"/>
    <s v="F"/>
    <s v="elizabeth26@adventure-works.com"/>
    <n v="110000"/>
    <n v="1"/>
    <s v="Graduate Degree"/>
    <s v="Management"/>
    <s v="Y"/>
    <s v="Southwest"/>
    <x v="1"/>
    <s v="North America"/>
    <x v="0"/>
    <s v="Bikes"/>
    <n v="2181.5625"/>
    <n v="1320.6838"/>
    <n v="860.87869999999998"/>
    <n v="0.39461564818793898"/>
  </r>
  <r>
    <x v="258"/>
    <d v="2002-05-09T00:00:00"/>
    <s v="SO47321"/>
    <n v="373"/>
    <n v="13354"/>
    <n v="1"/>
    <n v="1"/>
    <n v="1"/>
    <n v="2"/>
    <s v="BK-R89B-44"/>
    <x v="19"/>
    <n v="1320.6838"/>
    <n v="2181.5625"/>
    <s v="MR."/>
    <s v="ERIC"/>
    <s v="CAMPBELL"/>
    <s v="ERIC CAMPBELL"/>
    <d v="1944-11-11T00:00:00"/>
    <s v="M"/>
    <s v="M"/>
    <s v="eric49@adventure-works.com"/>
    <n v="70000"/>
    <n v="5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258"/>
    <d v="2002-05-17T00:00:00"/>
    <s v="SO47320"/>
    <n v="377"/>
    <n v="13315"/>
    <n v="4"/>
    <n v="1"/>
    <n v="1"/>
    <n v="2"/>
    <s v="BK-R89B-52"/>
    <x v="20"/>
    <n v="1320.6838"/>
    <n v="2181.5625"/>
    <s v="MR."/>
    <s v="LUCAS"/>
    <s v="THOMAS"/>
    <s v="LUCAS THOMAS"/>
    <d v="1954-04-03T00:00:00"/>
    <s v="M"/>
    <s v="M"/>
    <s v="lucas24@adventure-works.com"/>
    <n v="80000"/>
    <n v="2"/>
    <s v="Partial High School"/>
    <s v="Skilled Manual"/>
    <s v="Y"/>
    <s v="Southwest"/>
    <x v="1"/>
    <s v="North America"/>
    <x v="0"/>
    <s v="Bikes"/>
    <n v="2181.5625"/>
    <n v="1320.6838"/>
    <n v="860.87869999999998"/>
    <n v="0.39461564818793898"/>
  </r>
  <r>
    <x v="259"/>
    <d v="2002-06-25T00:00:00"/>
    <s v="SO47476"/>
    <n v="352"/>
    <n v="12693"/>
    <n v="9"/>
    <n v="1"/>
    <n v="1"/>
    <n v="1"/>
    <s v="BK-M68S-38"/>
    <x v="16"/>
    <n v="1117.8559"/>
    <n v="2071.4196000000002"/>
    <s v="MS."/>
    <s v="RUTH"/>
    <s v="GONZALEZ"/>
    <s v="RUTH GONZALEZ"/>
    <d v="1971-01-09T00:00:00"/>
    <s v="M"/>
    <s v="F"/>
    <s v="ruth22@adventure-works.com"/>
    <n v="80000"/>
    <n v="0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60"/>
    <d v="2002-05-22T00:00:00"/>
    <s v="SO47544"/>
    <n v="358"/>
    <n v="12694"/>
    <n v="9"/>
    <n v="1"/>
    <n v="1"/>
    <n v="1"/>
    <s v="BK-M68B-38"/>
    <x v="15"/>
    <n v="1105.81"/>
    <n v="2049.0981999999999"/>
    <s v="MR."/>
    <s v="JAY"/>
    <s v="ARTHUR"/>
    <s v="JAY ARTHUR"/>
    <d v="1972-01-11T00:00:00"/>
    <s v="S"/>
    <s v="M"/>
    <s v="jay13@adventure-works.com"/>
    <n v="120000"/>
    <n v="0"/>
    <s v="Partial High School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58"/>
    <d v="2002-08-13T00:00:00"/>
    <s v="SO47319"/>
    <n v="370"/>
    <n v="13299"/>
    <n v="4"/>
    <n v="1"/>
    <n v="1"/>
    <n v="2"/>
    <s v="BK-R89R-52"/>
    <x v="23"/>
    <n v="1518.7864"/>
    <n v="2443.35"/>
    <s v="MRS."/>
    <s v="VANESSA"/>
    <s v="ROSS"/>
    <s v="VANESSA ROSS"/>
    <d v="1961-10-15T00:00:00"/>
    <s v="M"/>
    <s v="F"/>
    <s v="vanessa4@adventure-works.com"/>
    <n v="130000"/>
    <n v="1"/>
    <s v="Bachelors"/>
    <s v="Management"/>
    <s v="Y"/>
    <s v="Southwest"/>
    <x v="1"/>
    <s v="North America"/>
    <x v="0"/>
    <s v="Bikes"/>
    <n v="2443.35"/>
    <n v="1518.7864"/>
    <n v="924.56359999999995"/>
    <n v="0.37839998362903399"/>
  </r>
  <r>
    <x v="256"/>
    <d v="2002-05-14T00:00:00"/>
    <s v="SO47326"/>
    <n v="379"/>
    <n v="13288"/>
    <n v="4"/>
    <n v="1"/>
    <n v="1"/>
    <n v="2"/>
    <s v="BK-R89B-58"/>
    <x v="26"/>
    <n v="1320.6838"/>
    <n v="2181.5625"/>
    <s v="MR."/>
    <s v="JACKSON"/>
    <s v="LOPEZ"/>
    <s v="JACKSON LOPEZ"/>
    <d v="1963-09-20T00:00:00"/>
    <s v="M"/>
    <s v="M"/>
    <s v="jackson42@adventure-works.com"/>
    <n v="120000"/>
    <n v="4"/>
    <s v="Partial College"/>
    <s v="Professional"/>
    <s v="Y"/>
    <s v="Southwest"/>
    <x v="1"/>
    <s v="North America"/>
    <x v="0"/>
    <s v="Bikes"/>
    <n v="2181.5625"/>
    <n v="1320.6838"/>
    <n v="860.87869999999998"/>
    <n v="0.39461564818793898"/>
  </r>
  <r>
    <x v="185"/>
    <d v="2002-07-15T00:00:00"/>
    <s v="SO47553"/>
    <n v="354"/>
    <n v="12698"/>
    <n v="9"/>
    <n v="1"/>
    <n v="1"/>
    <n v="1"/>
    <s v="BK-M68S-42"/>
    <x v="18"/>
    <n v="1117.8559"/>
    <n v="2071.4196000000002"/>
    <s v="MR."/>
    <s v="MOHAMED"/>
    <s v="PAL"/>
    <s v="MOHAMED PAL"/>
    <d v="1970-05-14T00:00:00"/>
    <s v="M"/>
    <s v="M"/>
    <s v="mohamed2@adventure-works.com"/>
    <n v="110000"/>
    <n v="0"/>
    <s v="High School"/>
    <s v="Management"/>
    <s v="Y"/>
    <s v="Australia"/>
    <x v="2"/>
    <s v="Pacific"/>
    <x v="1"/>
    <s v="Bikes"/>
    <n v="2071.4196000000002"/>
    <n v="1117.8559"/>
    <n v="953.56370000000004"/>
    <n v="0.460343090313522"/>
  </r>
  <r>
    <x v="256"/>
    <d v="2002-06-13T00:00:00"/>
    <s v="SO47325"/>
    <n v="373"/>
    <n v="13278"/>
    <n v="4"/>
    <n v="1"/>
    <n v="1"/>
    <n v="2"/>
    <s v="BK-R89B-44"/>
    <x v="19"/>
    <n v="1320.6838"/>
    <n v="2181.5625"/>
    <s v="MR."/>
    <s v="JORGE"/>
    <s v="HU"/>
    <s v="JORGE HU"/>
    <d v="1965-11-09T00:00:00"/>
    <s v="S"/>
    <s v="M"/>
    <s v="jorge23@adventure-works.com"/>
    <n v="110000"/>
    <n v="2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61"/>
    <d v="2002-06-20T00:00:00"/>
    <s v="SO47559"/>
    <n v="362"/>
    <n v="12699"/>
    <n v="9"/>
    <n v="1"/>
    <n v="1"/>
    <n v="1"/>
    <s v="BK-M68B-46"/>
    <x v="13"/>
    <n v="1105.81"/>
    <n v="2049.0981999999999"/>
    <s v="MS."/>
    <s v="AMY"/>
    <s v="CHOW"/>
    <s v="AMY CHOW"/>
    <d v="1970-03-18T00:00:00"/>
    <s v="M"/>
    <s v="F"/>
    <s v="amy10@adventure-works.com"/>
    <n v="120000"/>
    <n v="0"/>
    <s v="Partial High School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56"/>
    <d v="2002-06-19T00:00:00"/>
    <s v="SO47324"/>
    <n v="377"/>
    <n v="13400"/>
    <n v="4"/>
    <n v="1"/>
    <n v="1"/>
    <n v="2"/>
    <s v="BK-R89B-52"/>
    <x v="20"/>
    <n v="1320.6838"/>
    <n v="2181.5625"/>
    <s v="MRS."/>
    <s v="JULIA"/>
    <s v="THOMAS"/>
    <s v="JULIA THOMAS"/>
    <d v="1951-08-12T00:00:00"/>
    <s v="M"/>
    <s v="F"/>
    <s v="julia33@adventure-works.com"/>
    <n v="60000"/>
    <n v="2"/>
    <s v="Partial College"/>
    <s v="Professional"/>
    <s v="N"/>
    <s v="Southwest"/>
    <x v="1"/>
    <s v="North America"/>
    <x v="0"/>
    <s v="Bikes"/>
    <n v="2181.5625"/>
    <n v="1320.6838"/>
    <n v="860.87869999999998"/>
    <n v="0.39461564818793898"/>
  </r>
  <r>
    <x v="262"/>
    <d v="2002-08-23T00:00:00"/>
    <s v="SO47951"/>
    <n v="356"/>
    <n v="12700"/>
    <n v="9"/>
    <n v="1"/>
    <n v="1"/>
    <n v="1"/>
    <s v="BK-M68S-46"/>
    <x v="14"/>
    <n v="1117.8559"/>
    <n v="2071.4196000000002"/>
    <s v="MS."/>
    <s v="MINDY"/>
    <s v="KUMAR"/>
    <s v="MINDY KUMAR"/>
    <d v="1971-03-20T00:00:00"/>
    <s v="M"/>
    <s v="F"/>
    <s v="mindy12@adventure-works.com"/>
    <n v="110000"/>
    <n v="0"/>
    <s v="Partial High School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56"/>
    <d v="2002-05-30T00:00:00"/>
    <s v="SO47327"/>
    <n v="377"/>
    <n v="13304"/>
    <n v="1"/>
    <n v="1"/>
    <n v="1"/>
    <n v="2"/>
    <s v="BK-R89B-52"/>
    <x v="20"/>
    <n v="1320.6838"/>
    <n v="2181.5625"/>
    <s v="MRS."/>
    <s v="SARA"/>
    <s v="PETERSON"/>
    <s v="SARA PETERSON"/>
    <d v="1955-12-26T00:00:00"/>
    <s v="S"/>
    <s v="F"/>
    <s v="sara5@adventure-works.com"/>
    <n v="70000"/>
    <n v="4"/>
    <s v="High School"/>
    <s v="Professional"/>
    <s v="Y"/>
    <s v="Northwest"/>
    <x v="1"/>
    <s v="North America"/>
    <x v="0"/>
    <s v="Bikes"/>
    <n v="2181.5625"/>
    <n v="1320.6838"/>
    <n v="860.87869999999998"/>
    <n v="0.39461564818793898"/>
  </r>
  <r>
    <x v="263"/>
    <d v="2002-07-24T00:00:00"/>
    <s v="SO47865"/>
    <n v="352"/>
    <n v="12701"/>
    <n v="9"/>
    <n v="1"/>
    <n v="1"/>
    <n v="1"/>
    <s v="BK-M68S-38"/>
    <x v="16"/>
    <n v="1117.8559"/>
    <n v="2071.4196000000002"/>
    <s v="MR."/>
    <s v="GARY"/>
    <s v="GUTIERREZ"/>
    <s v="GARY GUTIERREZ"/>
    <d v="1971-10-18T00:00:00"/>
    <s v="M"/>
    <s v="M"/>
    <s v="gary22@adventure-works.com"/>
    <n v="110000"/>
    <n v="0"/>
    <s v="Partial High School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64"/>
    <d v="2002-07-31T00:00:00"/>
    <s v="SO47878"/>
    <n v="358"/>
    <n v="12702"/>
    <n v="9"/>
    <n v="1"/>
    <n v="1"/>
    <n v="1"/>
    <s v="BK-M68B-38"/>
    <x v="15"/>
    <n v="1105.81"/>
    <n v="2049.0981999999999"/>
    <s v="MS."/>
    <s v="YOLANDA"/>
    <s v="SHAN"/>
    <s v="YOLANDA SHAN"/>
    <d v="1971-09-07T00:00:00"/>
    <s v="M"/>
    <s v="F"/>
    <s v="yolanda9@adventure-works.com"/>
    <n v="110000"/>
    <n v="0"/>
    <s v="Partial High School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65"/>
    <d v="2002-06-17T00:00:00"/>
    <s v="SO47769"/>
    <n v="360"/>
    <n v="12703"/>
    <n v="9"/>
    <n v="1"/>
    <n v="1"/>
    <n v="1"/>
    <s v="BK-M68B-42"/>
    <x v="17"/>
    <n v="1105.81"/>
    <n v="2049.0981999999999"/>
    <s v="MS."/>
    <s v="RENEE"/>
    <s v="SUAREZ"/>
    <s v="RENEE SUAREZ"/>
    <d v="1971-06-20T00:00:00"/>
    <s v="M"/>
    <s v="F"/>
    <s v="renee17@adventure-works.com"/>
    <n v="110000"/>
    <n v="0"/>
    <s v="Partial High School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08"/>
    <d v="2002-09-02T00:00:00"/>
    <s v="SO47736"/>
    <n v="358"/>
    <n v="12705"/>
    <n v="9"/>
    <n v="1"/>
    <n v="1"/>
    <n v="1"/>
    <s v="BK-M68B-38"/>
    <x v="15"/>
    <n v="1105.81"/>
    <n v="2049.0981999999999"/>
    <s v="MR."/>
    <s v="ANDRE"/>
    <s v="GARCIA"/>
    <s v="ANDRE GARCIA"/>
    <d v="1969-08-10T00:00:00"/>
    <s v="M"/>
    <s v="M"/>
    <s v="andre15@adventure-works.com"/>
    <n v="150000"/>
    <n v="0"/>
    <s v="Bachelors"/>
    <s v="Management"/>
    <s v="Y"/>
    <s v="Australia"/>
    <x v="2"/>
    <s v="Pacific"/>
    <x v="1"/>
    <s v="Bikes"/>
    <n v="2049.0981999999999"/>
    <n v="1105.81"/>
    <n v="943.28819999999996"/>
    <n v="0.46034309141455498"/>
  </r>
  <r>
    <x v="266"/>
    <d v="2002-06-29T00:00:00"/>
    <s v="SO47829"/>
    <n v="352"/>
    <n v="12706"/>
    <n v="9"/>
    <n v="1"/>
    <n v="1"/>
    <n v="1"/>
    <s v="BK-M68S-38"/>
    <x v="16"/>
    <n v="1117.8559"/>
    <n v="2071.4196000000002"/>
    <s v="MR."/>
    <s v="LOUIS"/>
    <s v="LIANG"/>
    <s v="LOUIS LIANG"/>
    <d v="1969-01-13T00:00:00"/>
    <s v="M"/>
    <s v="M"/>
    <s v="louis11@adventure-works.com"/>
    <n v="160000"/>
    <n v="0"/>
    <s v="Bachelors"/>
    <s v="Management"/>
    <s v="Y"/>
    <s v="Australia"/>
    <x v="2"/>
    <s v="Pacific"/>
    <x v="1"/>
    <s v="Bikes"/>
    <n v="2071.4196000000002"/>
    <n v="1117.8559"/>
    <n v="953.56370000000004"/>
    <n v="0.460343090313522"/>
  </r>
  <r>
    <x v="249"/>
    <d v="2002-08-03T00:00:00"/>
    <s v="SO47329"/>
    <n v="379"/>
    <n v="13367"/>
    <n v="1"/>
    <n v="1"/>
    <n v="1"/>
    <n v="2"/>
    <s v="BK-R89B-58"/>
    <x v="26"/>
    <n v="1320.6838"/>
    <n v="2181.5625"/>
    <s v="MRS."/>
    <s v="SAVANNAH"/>
    <s v="EDWARDS"/>
    <s v="SAVANNAH EDWARDS"/>
    <d v="1947-04-14T00:00:00"/>
    <s v="M"/>
    <s v="F"/>
    <s v="savannah22@adventure-works.com"/>
    <n v="70000"/>
    <n v="4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250"/>
    <d v="2002-07-24T00:00:00"/>
    <s v="SO47340"/>
    <n v="369"/>
    <n v="13401"/>
    <n v="4"/>
    <n v="1"/>
    <n v="1"/>
    <n v="2"/>
    <s v="BK-R89R-48"/>
    <x v="21"/>
    <n v="1518.7864"/>
    <n v="2443.35"/>
    <s v="MRS."/>
    <s v="ERIN"/>
    <s v="BRADLEY"/>
    <s v="ERIN BRADLEY"/>
    <d v="1952-02-22T00:00:00"/>
    <s v="S"/>
    <s v="F"/>
    <s v="erin18@adventure-works.com"/>
    <n v="60000"/>
    <n v="3"/>
    <s v="High School"/>
    <s v="Professional"/>
    <s v="Y"/>
    <s v="Southwest"/>
    <x v="1"/>
    <s v="North America"/>
    <x v="0"/>
    <s v="Bikes"/>
    <n v="2443.35"/>
    <n v="1518.7864"/>
    <n v="924.56359999999995"/>
    <n v="0.37839998362903399"/>
  </r>
  <r>
    <x v="267"/>
    <d v="2002-08-12T00:00:00"/>
    <s v="SO47467"/>
    <n v="371"/>
    <n v="13446"/>
    <n v="4"/>
    <n v="1"/>
    <n v="1"/>
    <n v="2"/>
    <s v="BK-R89R-58"/>
    <x v="24"/>
    <n v="1320.6838"/>
    <n v="2181.5625"/>
    <s v="MRS."/>
    <s v="KATELYN"/>
    <s v="SCOTT"/>
    <s v="KATELYN SCOTT"/>
    <d v="1962-04-09T00:00:00"/>
    <s v="S"/>
    <s v="F"/>
    <s v="katelyn37@adventure-works.com"/>
    <n v="120000"/>
    <n v="1"/>
    <s v="Partial College"/>
    <s v="Professional"/>
    <s v="Y"/>
    <s v="Southwest"/>
    <x v="1"/>
    <s v="North America"/>
    <x v="0"/>
    <s v="Bikes"/>
    <n v="2181.5625"/>
    <n v="1320.6838"/>
    <n v="860.87869999999998"/>
    <n v="0.39461564818793898"/>
  </r>
  <r>
    <x v="259"/>
    <d v="2002-07-06T00:00:00"/>
    <s v="SO47472"/>
    <n v="379"/>
    <n v="13438"/>
    <n v="1"/>
    <n v="1"/>
    <n v="1"/>
    <n v="2"/>
    <s v="BK-R89B-58"/>
    <x v="26"/>
    <n v="1320.6838"/>
    <n v="2181.5625"/>
    <s v="MS."/>
    <s v="CHLOE"/>
    <s v="GRIFFIN"/>
    <s v="CHLOE GRIFFIN"/>
    <d v="1963-10-23T00:00:00"/>
    <s v="S"/>
    <s v="F"/>
    <s v="chloe86@adventure-works.com"/>
    <n v="90000"/>
    <n v="0"/>
    <s v="Partial College"/>
    <s v="Professional"/>
    <s v="N"/>
    <s v="Northwest"/>
    <x v="1"/>
    <s v="North America"/>
    <x v="0"/>
    <s v="Bikes"/>
    <n v="2181.5625"/>
    <n v="1320.6838"/>
    <n v="860.87869999999998"/>
    <n v="0.39461564818793898"/>
  </r>
  <r>
    <x v="268"/>
    <d v="2002-07-02T00:00:00"/>
    <s v="SO47488"/>
    <n v="379"/>
    <n v="13426"/>
    <n v="4"/>
    <n v="1"/>
    <n v="1"/>
    <n v="2"/>
    <s v="BK-R89B-58"/>
    <x v="26"/>
    <n v="1320.6838"/>
    <n v="2181.5625"/>
    <s v="MRS."/>
    <s v="TAYLOR"/>
    <s v="WILLIAMS"/>
    <s v="TAYLOR WILLIAMS"/>
    <d v="1964-06-12T00:00:00"/>
    <s v="S"/>
    <s v="F"/>
    <s v="taylor49@adventure-works.com"/>
    <n v="110000"/>
    <n v="3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183"/>
    <d v="2002-06-07T00:00:00"/>
    <s v="SO47523"/>
    <n v="371"/>
    <n v="13443"/>
    <n v="1"/>
    <n v="1"/>
    <n v="1"/>
    <n v="2"/>
    <s v="BK-R89R-58"/>
    <x v="24"/>
    <n v="1320.6838"/>
    <n v="2181.5625"/>
    <s v="MRS."/>
    <s v="JASMINE"/>
    <s v="WHITE"/>
    <s v="JASMINE WHITE"/>
    <d v="1962-07-10T00:00:00"/>
    <s v="M"/>
    <s v="F"/>
    <s v="jasmine11@adventure-works.com"/>
    <n v="100000"/>
    <n v="1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94"/>
    <d v="2002-06-16T00:00:00"/>
    <s v="SO47529"/>
    <n v="377"/>
    <n v="13429"/>
    <n v="4"/>
    <n v="1"/>
    <n v="1"/>
    <n v="2"/>
    <s v="BK-R89B-52"/>
    <x v="20"/>
    <n v="1320.6838"/>
    <n v="2181.5625"/>
    <s v="MRS."/>
    <s v="GABRIELLE"/>
    <s v="WASHINGTON"/>
    <s v="GABRIELLE WASHINGTON"/>
    <d v="1964-02-04T00:00:00"/>
    <s v="M"/>
    <s v="F"/>
    <s v="gabrielle35@adventure-works.com"/>
    <n v="150000"/>
    <n v="2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60"/>
    <d v="2002-07-02T00:00:00"/>
    <s v="SO47537"/>
    <n v="371"/>
    <n v="13436"/>
    <n v="1"/>
    <n v="1"/>
    <n v="1"/>
    <n v="2"/>
    <s v="BK-R89R-58"/>
    <x v="24"/>
    <n v="1320.6838"/>
    <n v="2181.5625"/>
    <s v="MS."/>
    <s v="GAIL"/>
    <s v="GRIFFIN"/>
    <s v="GAIL GRIFFIN"/>
    <d v="1963-01-04T00:00:00"/>
    <s v="S"/>
    <s v="F"/>
    <s v="gail7@adventure-works.com"/>
    <n v="90000"/>
    <n v="0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60"/>
    <d v="2002-07-15T00:00:00"/>
    <s v="SO47538"/>
    <n v="379"/>
    <n v="13449"/>
    <n v="1"/>
    <n v="1"/>
    <n v="1"/>
    <n v="2"/>
    <s v="BK-R89B-58"/>
    <x v="26"/>
    <n v="1320.6838"/>
    <n v="2181.5625"/>
    <s v="MR."/>
    <s v="JEROME"/>
    <s v="DIAZ"/>
    <s v="JEROME DIAZ"/>
    <d v="1961-06-18T00:00:00"/>
    <s v="S"/>
    <s v="M"/>
    <s v="jerome3@adventure-works.com"/>
    <n v="80000"/>
    <n v="5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61"/>
    <d v="2002-06-27T00:00:00"/>
    <s v="SO47557"/>
    <n v="377"/>
    <n v="13431"/>
    <n v="1"/>
    <n v="1"/>
    <n v="1"/>
    <n v="2"/>
    <s v="BK-R89B-52"/>
    <x v="20"/>
    <n v="1320.6838"/>
    <n v="2181.5625"/>
    <s v="MR."/>
    <s v="BRYAN"/>
    <s v="JAMES"/>
    <s v="BRYAN JAMES"/>
    <d v="1956-08-03T00:00:00"/>
    <s v="M"/>
    <s v="M"/>
    <s v="bryan4@adventure-works.com"/>
    <n v="70000"/>
    <n v="3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57"/>
    <d v="2002-06-30T00:00:00"/>
    <s v="SO47573"/>
    <n v="369"/>
    <n v="13435"/>
    <n v="4"/>
    <n v="1"/>
    <n v="1"/>
    <n v="2"/>
    <s v="BK-R89R-48"/>
    <x v="21"/>
    <n v="1518.7864"/>
    <n v="2443.35"/>
    <s v="MRS."/>
    <s v="TRACY"/>
    <s v="PAL"/>
    <s v="TRACY PAL"/>
    <d v="1934-09-17T00:00:00"/>
    <s v="M"/>
    <s v="F"/>
    <s v="tracy11@adventure-works.com"/>
    <n v="70000"/>
    <n v="4"/>
    <s v="Graduate Degree"/>
    <s v="Management"/>
    <s v="Y"/>
    <s v="Southwest"/>
    <x v="1"/>
    <s v="North America"/>
    <x v="0"/>
    <s v="Bikes"/>
    <n v="2443.35"/>
    <n v="1518.7864"/>
    <n v="924.56359999999995"/>
    <n v="0.37839998362903399"/>
  </r>
  <r>
    <x v="269"/>
    <d v="2002-08-20T00:00:00"/>
    <s v="SO47582"/>
    <n v="373"/>
    <n v="13433"/>
    <n v="4"/>
    <n v="1"/>
    <n v="1"/>
    <n v="2"/>
    <s v="BK-R89B-44"/>
    <x v="19"/>
    <n v="1320.6838"/>
    <n v="2181.5625"/>
    <s v="MRS."/>
    <s v="JESSIE"/>
    <s v="VAZQUEZ"/>
    <s v="JESSIE VAZQUEZ"/>
    <d v="1956-03-11T00:00:00"/>
    <s v="S"/>
    <s v="F"/>
    <s v="jessie33@adventure-works.com"/>
    <n v="90000"/>
    <n v="2"/>
    <s v="Partial College"/>
    <s v="Professional"/>
    <s v="Y"/>
    <s v="Southwest"/>
    <x v="1"/>
    <s v="North America"/>
    <x v="0"/>
    <s v="Bikes"/>
    <n v="2181.5625"/>
    <n v="1320.6838"/>
    <n v="860.87869999999998"/>
    <n v="0.39461564818793898"/>
  </r>
  <r>
    <x v="269"/>
    <d v="2002-07-12T00:00:00"/>
    <s v="SO47583"/>
    <n v="379"/>
    <n v="13442"/>
    <n v="1"/>
    <n v="1"/>
    <n v="1"/>
    <n v="2"/>
    <s v="BK-R89B-58"/>
    <x v="26"/>
    <n v="1320.6838"/>
    <n v="2181.5625"/>
    <s v="MRS."/>
    <s v="PAULA"/>
    <s v="VAZQUEZ"/>
    <s v="PAULA VAZQUEZ"/>
    <d v="1962-09-01T00:00:00"/>
    <s v="S"/>
    <s v="F"/>
    <s v="paula17@adventure-works.com"/>
    <n v="90000"/>
    <n v="5"/>
    <s v="Partial College"/>
    <s v="Professional"/>
    <s v="N"/>
    <s v="Northwest"/>
    <x v="1"/>
    <s v="North America"/>
    <x v="0"/>
    <s v="Bikes"/>
    <n v="2181.5625"/>
    <n v="1320.6838"/>
    <n v="860.87869999999998"/>
    <n v="0.39461564818793898"/>
  </r>
  <r>
    <x v="270"/>
    <d v="2002-07-12T00:00:00"/>
    <s v="SO47637"/>
    <n v="371"/>
    <n v="13447"/>
    <n v="4"/>
    <n v="1"/>
    <n v="1"/>
    <n v="2"/>
    <s v="BK-R89R-58"/>
    <x v="24"/>
    <n v="1320.6838"/>
    <n v="2181.5625"/>
    <s v="MRS."/>
    <s v="DESTINY"/>
    <s v="COX"/>
    <s v="DESTINY COX"/>
    <d v="1962-05-04T00:00:00"/>
    <s v="M"/>
    <s v="F"/>
    <s v="destiny36@adventure-works.com"/>
    <n v="130000"/>
    <n v="1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08"/>
    <d v="2002-08-08T00:00:00"/>
    <s v="SO47733"/>
    <n v="375"/>
    <n v="13461"/>
    <n v="4"/>
    <n v="1"/>
    <n v="1"/>
    <n v="2"/>
    <s v="BK-R89B-48"/>
    <x v="25"/>
    <n v="1320.6838"/>
    <n v="2181.5625"/>
    <s v="MR."/>
    <s v="ANTHONY"/>
    <s v="JONES"/>
    <s v="ANTHONY JONES"/>
    <d v="1935-03-02T00:00:00"/>
    <s v="S"/>
    <s v="M"/>
    <s v="anthony12@adventure-works.com"/>
    <n v="130000"/>
    <n v="2"/>
    <s v="Graduate Degree"/>
    <s v="Management"/>
    <s v="N"/>
    <s v="Southwest"/>
    <x v="1"/>
    <s v="North America"/>
    <x v="0"/>
    <s v="Bikes"/>
    <n v="2181.5625"/>
    <n v="1320.6838"/>
    <n v="860.87869999999998"/>
    <n v="0.39461564818793898"/>
  </r>
  <r>
    <x v="208"/>
    <d v="2002-06-03T00:00:00"/>
    <s v="SO47737"/>
    <n v="356"/>
    <n v="13018"/>
    <n v="9"/>
    <n v="1"/>
    <n v="1"/>
    <n v="1"/>
    <s v="BK-M68S-46"/>
    <x v="14"/>
    <n v="1117.8559"/>
    <n v="2071.4196000000002"/>
    <s v="MR."/>
    <s v="BRENDAN"/>
    <s v="XIE"/>
    <s v="BRENDAN XIE"/>
    <d v="1944-10-11T00:00:00"/>
    <s v="M"/>
    <s v="M"/>
    <s v="brendan3@adventure-works.com"/>
    <n v="10000"/>
    <n v="5"/>
    <s v="High School"/>
    <s v="Skilled Manual"/>
    <s v="Y"/>
    <s v="Australia"/>
    <x v="2"/>
    <s v="Pacific"/>
    <x v="1"/>
    <s v="Bikes"/>
    <n v="2071.4196000000002"/>
    <n v="1117.8559"/>
    <n v="953.56370000000004"/>
    <n v="0.460343090313522"/>
  </r>
  <r>
    <x v="208"/>
    <d v="2002-09-12T00:00:00"/>
    <s v="SO47732"/>
    <n v="369"/>
    <n v="13452"/>
    <n v="4"/>
    <n v="1"/>
    <n v="1"/>
    <n v="2"/>
    <s v="BK-R89R-48"/>
    <x v="21"/>
    <n v="1518.7864"/>
    <n v="2443.35"/>
    <s v="MRS."/>
    <s v="KAITLYN"/>
    <s v="EVANS"/>
    <s v="KAITLYN EVANS"/>
    <d v="1961-03-13T00:00:00"/>
    <s v="M"/>
    <s v="F"/>
    <s v="kaitlyn0@adventure-works.com"/>
    <n v="130000"/>
    <n v="1"/>
    <s v="Bachelors"/>
    <s v="Management"/>
    <s v="Y"/>
    <s v="Southwest"/>
    <x v="1"/>
    <s v="North America"/>
    <x v="0"/>
    <s v="Bikes"/>
    <n v="2443.35"/>
    <n v="1518.7864"/>
    <n v="924.56359999999995"/>
    <n v="0.37839998362903399"/>
  </r>
  <r>
    <x v="271"/>
    <d v="2002-07-12T00:00:00"/>
    <s v="SO47743"/>
    <n v="362"/>
    <n v="12988"/>
    <n v="9"/>
    <n v="1"/>
    <n v="1"/>
    <n v="1"/>
    <s v="BK-M68B-46"/>
    <x v="13"/>
    <n v="1105.81"/>
    <n v="2049.0981999999999"/>
    <s v="MRS."/>
    <s v="BARBARA"/>
    <s v="GOEL"/>
    <s v="BARBARA GOEL"/>
    <d v="1969-01-26T00:00:00"/>
    <s v="S"/>
    <s v="F"/>
    <s v="barbara47@adventure-works.com"/>
    <n v="90000"/>
    <n v="1"/>
    <s v="Graduate Degree"/>
    <s v="Management"/>
    <s v="Y"/>
    <s v="Australia"/>
    <x v="2"/>
    <s v="Pacific"/>
    <x v="1"/>
    <s v="Bikes"/>
    <n v="2049.0981999999999"/>
    <n v="1105.81"/>
    <n v="943.28819999999996"/>
    <n v="0.46034309141455498"/>
  </r>
  <r>
    <x v="271"/>
    <d v="2002-06-12T00:00:00"/>
    <s v="SO47744"/>
    <n v="360"/>
    <n v="12989"/>
    <n v="9"/>
    <n v="1"/>
    <n v="1"/>
    <n v="1"/>
    <s v="BK-M68B-42"/>
    <x v="17"/>
    <n v="1105.81"/>
    <n v="2049.0981999999999"/>
    <s v="MRS."/>
    <s v="CARLY"/>
    <s v="GOEL"/>
    <s v="CARLY GOEL"/>
    <d v="1969-11-13T00:00:00"/>
    <s v="M"/>
    <s v="F"/>
    <s v="carly17@adventure-works.com"/>
    <n v="100000"/>
    <n v="1"/>
    <s v="Graduate Degree"/>
    <s v="Management"/>
    <s v="Y"/>
    <s v="Australia"/>
    <x v="2"/>
    <s v="Pacific"/>
    <x v="1"/>
    <s v="Bikes"/>
    <n v="2049.0981999999999"/>
    <n v="1105.81"/>
    <n v="943.28819999999996"/>
    <n v="0.46034309141455498"/>
  </r>
  <r>
    <x v="271"/>
    <d v="2002-07-28T00:00:00"/>
    <s v="SO47745"/>
    <n v="360"/>
    <n v="12998"/>
    <n v="9"/>
    <n v="1"/>
    <n v="1"/>
    <n v="1"/>
    <s v="BK-M68B-42"/>
    <x v="17"/>
    <n v="1105.81"/>
    <n v="2049.0981999999999"/>
    <s v="MRS."/>
    <s v="MAYRA"/>
    <s v="MEHTA"/>
    <s v="MAYRA MEHTA"/>
    <d v="1968-01-11T00:00:00"/>
    <s v="S"/>
    <s v="F"/>
    <s v="mayra14@adventure-works.com"/>
    <n v="60000"/>
    <n v="2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71"/>
    <d v="2002-08-20T00:00:00"/>
    <s v="SO47746"/>
    <n v="358"/>
    <n v="13022"/>
    <n v="9"/>
    <n v="1"/>
    <n v="1"/>
    <n v="1"/>
    <s v="BK-M68B-38"/>
    <x v="15"/>
    <n v="1105.81"/>
    <n v="2049.0981999999999"/>
    <s v="MR."/>
    <s v="RAFAEL"/>
    <s v="MA"/>
    <s v="RAFAEL MA"/>
    <d v="1947-08-24T00:00:00"/>
    <s v="M"/>
    <s v="M"/>
    <s v="rafael17@adventure-works.com"/>
    <n v="10000"/>
    <n v="2"/>
    <s v="Partial High School"/>
    <s v="Clerical"/>
    <s v="Y"/>
    <s v="Australia"/>
    <x v="2"/>
    <s v="Pacific"/>
    <x v="1"/>
    <s v="Bikes"/>
    <n v="2049.0981999999999"/>
    <n v="1105.81"/>
    <n v="943.28819999999996"/>
    <n v="0.46034309141455498"/>
  </r>
  <r>
    <x v="272"/>
    <d v="2002-08-22T00:00:00"/>
    <s v="SO47753"/>
    <n v="360"/>
    <n v="13020"/>
    <n v="9"/>
    <n v="1"/>
    <n v="1"/>
    <n v="1"/>
    <s v="BK-M68B-42"/>
    <x v="17"/>
    <n v="1105.81"/>
    <n v="2049.0981999999999"/>
    <s v="MR."/>
    <s v="MADALENA"/>
    <s v="SANCHEZ"/>
    <s v="MADALENA SANCHEZ"/>
    <d v="1945-05-10T00:00:00"/>
    <s v="M"/>
    <s v="M"/>
    <s v="madalena0@adventure-works.com"/>
    <n v="10000"/>
    <n v="2"/>
    <s v="Partial High School"/>
    <s v="Clerical"/>
    <s v="Y"/>
    <s v="Australia"/>
    <x v="2"/>
    <s v="Pacific"/>
    <x v="1"/>
    <s v="Bikes"/>
    <n v="2049.0981999999999"/>
    <n v="1105.81"/>
    <n v="943.28819999999996"/>
    <n v="0.46034309141455498"/>
  </r>
  <r>
    <x v="202"/>
    <d v="2002-08-16T00:00:00"/>
    <s v="SO47760"/>
    <n v="371"/>
    <n v="13482"/>
    <n v="4"/>
    <n v="1"/>
    <n v="1"/>
    <n v="2"/>
    <s v="BK-R89R-58"/>
    <x v="24"/>
    <n v="1320.6838"/>
    <n v="2181.5625"/>
    <s v="MRS."/>
    <s v="HALEY"/>
    <s v="BRYANT"/>
    <s v="HALEY BRYANT"/>
    <d v="1952-09-19T00:00:00"/>
    <s v="M"/>
    <s v="F"/>
    <s v="haley37@adventure-works.com"/>
    <n v="40000"/>
    <n v="3"/>
    <s v="Partial College"/>
    <s v="Professional"/>
    <s v="N"/>
    <s v="Southwest"/>
    <x v="1"/>
    <s v="North America"/>
    <x v="0"/>
    <s v="Bikes"/>
    <n v="2181.5625"/>
    <n v="1320.6838"/>
    <n v="860.87869999999998"/>
    <n v="0.39461564818793898"/>
  </r>
  <r>
    <x v="273"/>
    <d v="2002-07-16T00:00:00"/>
    <s v="SO47776"/>
    <n v="352"/>
    <n v="13007"/>
    <n v="9"/>
    <n v="1"/>
    <n v="1"/>
    <n v="1"/>
    <s v="BK-M68S-38"/>
    <x v="16"/>
    <n v="1117.8559"/>
    <n v="2071.4196000000002"/>
    <s v="MRS."/>
    <s v="BROOKE"/>
    <s v="WARD"/>
    <s v="BROOKE WARD"/>
    <d v="1965-10-05T00:00:00"/>
    <s v="S"/>
    <s v="F"/>
    <s v="brooke11@adventure-works.com"/>
    <n v="60000"/>
    <n v="2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209"/>
    <d v="2002-08-09T00:00:00"/>
    <s v="SO47784"/>
    <n v="356"/>
    <n v="13078"/>
    <n v="9"/>
    <n v="1"/>
    <n v="1"/>
    <n v="1"/>
    <s v="BK-M68S-46"/>
    <x v="14"/>
    <n v="1117.8559"/>
    <n v="2071.4196000000002"/>
    <s v="MRS."/>
    <s v="MICHELE"/>
    <s v="CHANDE"/>
    <s v="MICHELE CHANDE"/>
    <d v="1956-01-22T00:00:00"/>
    <s v="S"/>
    <s v="F"/>
    <s v="michele15@adventure-works.com"/>
    <n v="70000"/>
    <n v="2"/>
    <s v="High School"/>
    <s v="Skilled Manual"/>
    <s v="Y"/>
    <s v="Australia"/>
    <x v="2"/>
    <s v="Pacific"/>
    <x v="1"/>
    <s v="Bikes"/>
    <n v="2071.4196000000002"/>
    <n v="1117.8559"/>
    <n v="953.56370000000004"/>
    <n v="0.460343090313522"/>
  </r>
  <r>
    <x v="274"/>
    <d v="2002-08-22T00:00:00"/>
    <s v="SO47789"/>
    <n v="375"/>
    <n v="13453"/>
    <n v="4"/>
    <n v="1"/>
    <n v="1"/>
    <n v="2"/>
    <s v="BK-R89B-48"/>
    <x v="25"/>
    <n v="1320.6838"/>
    <n v="2181.5625"/>
    <s v="MRS."/>
    <s v="AMANDA"/>
    <s v="HOWARD"/>
    <s v="AMANDA HOWARD"/>
    <d v="1961-05-11T00:00:00"/>
    <s v="M"/>
    <s v="F"/>
    <s v="amanda11@adventure-works.com"/>
    <n v="130000"/>
    <n v="1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74"/>
    <d v="2002-07-10T00:00:00"/>
    <s v="SO47791"/>
    <n v="358"/>
    <n v="13036"/>
    <n v="9"/>
    <n v="1"/>
    <n v="1"/>
    <n v="1"/>
    <s v="BK-M68B-38"/>
    <x v="15"/>
    <n v="1105.81"/>
    <n v="2049.0981999999999"/>
    <s v="MRS."/>
    <s v="VIRGINIA"/>
    <s v="SUBRAM"/>
    <s v="VIRGINIA SUBRAM"/>
    <d v="1950-02-03T00:00:00"/>
    <s v="S"/>
    <s v="F"/>
    <s v="virginia15@adventure-works.com"/>
    <n v="30000"/>
    <n v="3"/>
    <s v="Partial College"/>
    <s v="Clerical"/>
    <s v="Y"/>
    <s v="Australia"/>
    <x v="2"/>
    <s v="Pacific"/>
    <x v="1"/>
    <s v="Bikes"/>
    <n v="2049.0981999999999"/>
    <n v="1105.81"/>
    <n v="943.28819999999996"/>
    <n v="0.46034309141455498"/>
  </r>
  <r>
    <x v="275"/>
    <d v="2002-07-17T00:00:00"/>
    <s v="SO47855"/>
    <n v="354"/>
    <n v="12987"/>
    <n v="9"/>
    <n v="1"/>
    <n v="1"/>
    <n v="1"/>
    <s v="BK-M68S-42"/>
    <x v="18"/>
    <n v="1117.8559"/>
    <n v="2071.4196000000002"/>
    <s v="MRS."/>
    <s v="FELICIA"/>
    <s v="MORENO"/>
    <s v="FELICIA MORENO"/>
    <d v="1969-05-12T00:00:00"/>
    <s v="M"/>
    <s v="F"/>
    <s v="felicia5@adventure-works.com"/>
    <n v="90000"/>
    <n v="1"/>
    <s v="Graduate Degree"/>
    <s v="Management"/>
    <s v="N"/>
    <s v="Australia"/>
    <x v="2"/>
    <s v="Pacific"/>
    <x v="1"/>
    <s v="Bikes"/>
    <n v="2071.4196000000002"/>
    <n v="1117.8559"/>
    <n v="953.56370000000004"/>
    <n v="0.460343090313522"/>
  </r>
  <r>
    <x v="263"/>
    <d v="2002-09-16T00:00:00"/>
    <s v="SO47866"/>
    <n v="352"/>
    <n v="12990"/>
    <n v="9"/>
    <n v="1"/>
    <n v="1"/>
    <n v="1"/>
    <s v="BK-M68S-38"/>
    <x v="16"/>
    <n v="1117.8559"/>
    <n v="2071.4196000000002"/>
    <s v="MRS."/>
    <s v="LESLIE"/>
    <s v="HERNANDEZ"/>
    <s v="LESLIE HERNANDEZ"/>
    <d v="1969-10-15T00:00:00"/>
    <s v="S"/>
    <s v="F"/>
    <s v="leslie4@adventure-works.com"/>
    <n v="100000"/>
    <n v="1"/>
    <s v="Graduate Degree"/>
    <s v="Management"/>
    <s v="Y"/>
    <s v="Australia"/>
    <x v="2"/>
    <s v="Pacific"/>
    <x v="1"/>
    <s v="Bikes"/>
    <n v="2071.4196000000002"/>
    <n v="1117.8559"/>
    <n v="953.56370000000004"/>
    <n v="0.460343090313522"/>
  </r>
  <r>
    <x v="276"/>
    <d v="2002-09-08T00:00:00"/>
    <s v="SO47798"/>
    <n v="354"/>
    <n v="13000"/>
    <n v="9"/>
    <n v="1"/>
    <n v="1"/>
    <n v="1"/>
    <s v="BK-M68S-42"/>
    <x v="18"/>
    <n v="1117.8559"/>
    <n v="2071.4196000000002"/>
    <s v="MR."/>
    <s v="RAFAEL"/>
    <s v="RAJE"/>
    <s v="RAFAEL RAJE"/>
    <d v="1969-09-20T00:00:00"/>
    <s v="M"/>
    <s v="M"/>
    <s v="rafael38@adventure-works.com"/>
    <n v="110000"/>
    <n v="1"/>
    <s v="Graduate Degree"/>
    <s v="Management"/>
    <s v="Y"/>
    <s v="Australia"/>
    <x v="2"/>
    <s v="Pacific"/>
    <x v="1"/>
    <s v="Bikes"/>
    <n v="2071.4196000000002"/>
    <n v="1117.8559"/>
    <n v="953.56370000000004"/>
    <n v="0.460343090313522"/>
  </r>
  <r>
    <x v="263"/>
    <d v="2002-07-14T00:00:00"/>
    <s v="SO47867"/>
    <n v="360"/>
    <n v="12991"/>
    <n v="9"/>
    <n v="1"/>
    <n v="1"/>
    <n v="1"/>
    <s v="BK-M68B-42"/>
    <x v="17"/>
    <n v="1105.81"/>
    <n v="2049.0981999999999"/>
    <s v="MR."/>
    <s v="J�SUS"/>
    <s v="SERRANO"/>
    <s v="J�SUS SERRANO"/>
    <d v="1968-03-12T00:00:00"/>
    <s v="M"/>
    <s v="M"/>
    <s v="j�sus15@adventure-works.com"/>
    <n v="60000"/>
    <n v="2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77"/>
    <d v="2002-07-17T00:00:00"/>
    <s v="SO47940"/>
    <n v="354"/>
    <n v="12994"/>
    <n v="9"/>
    <n v="1"/>
    <n v="1"/>
    <n v="1"/>
    <s v="BK-M68S-42"/>
    <x v="18"/>
    <n v="1117.8559"/>
    <n v="2071.4196000000002"/>
    <s v="MRS."/>
    <s v="ANNA"/>
    <s v="MARTINEZ"/>
    <s v="ANNA MARTINEZ"/>
    <d v="1970-04-09T00:00:00"/>
    <s v="S"/>
    <s v="F"/>
    <s v="anna55@adventure-works.com"/>
    <n v="80000"/>
    <n v="4"/>
    <s v="Graduate Degree"/>
    <s v="Management"/>
    <s v="Y"/>
    <s v="Australia"/>
    <x v="2"/>
    <s v="Pacific"/>
    <x v="1"/>
    <s v="Bikes"/>
    <n v="2071.4196000000002"/>
    <n v="1117.8559"/>
    <n v="953.56370000000004"/>
    <n v="0.460343090313522"/>
  </r>
  <r>
    <x v="275"/>
    <d v="2002-09-22T00:00:00"/>
    <s v="SO47856"/>
    <n v="362"/>
    <n v="12995"/>
    <n v="9"/>
    <n v="1"/>
    <n v="1"/>
    <n v="1"/>
    <s v="BK-M68B-46"/>
    <x v="13"/>
    <n v="1105.81"/>
    <n v="2049.0981999999999"/>
    <s v="MR."/>
    <s v="GRANT"/>
    <s v="NARA"/>
    <s v="GRANT NARA"/>
    <d v="1970-09-02T00:00:00"/>
    <s v="M"/>
    <s v="M"/>
    <s v="grant18@adventure-works.com"/>
    <n v="80000"/>
    <n v="5"/>
    <s v="Graduate Degree"/>
    <s v="Management"/>
    <s v="Y"/>
    <s v="Australia"/>
    <x v="2"/>
    <s v="Pacific"/>
    <x v="1"/>
    <s v="Bikes"/>
    <n v="2049.0981999999999"/>
    <n v="1105.81"/>
    <n v="943.28819999999996"/>
    <n v="0.46034309141455498"/>
  </r>
  <r>
    <x v="278"/>
    <d v="2002-07-23T00:00:00"/>
    <s v="SO47899"/>
    <n v="358"/>
    <n v="12996"/>
    <n v="9"/>
    <n v="1"/>
    <n v="1"/>
    <n v="1"/>
    <s v="BK-M68B-38"/>
    <x v="15"/>
    <n v="1105.81"/>
    <n v="2049.0981999999999"/>
    <s v="MRS."/>
    <s v="JACLYN"/>
    <s v="LIU"/>
    <s v="JACLYN LIU"/>
    <d v="1970-05-13T00:00:00"/>
    <s v="M"/>
    <s v="F"/>
    <s v="jaclyn4@adventure-works.com"/>
    <n v="90000"/>
    <n v="2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79"/>
    <d v="2002-07-17T00:00:00"/>
    <s v="SO47909"/>
    <n v="356"/>
    <n v="12999"/>
    <n v="9"/>
    <n v="1"/>
    <n v="1"/>
    <n v="1"/>
    <s v="BK-M68S-46"/>
    <x v="14"/>
    <n v="1117.8559"/>
    <n v="2071.4196000000002"/>
    <s v="MRS."/>
    <s v="NICHOLE"/>
    <s v="SHEN"/>
    <s v="NICHOLE SHEN"/>
    <d v="1967-06-20T00:00:00"/>
    <s v="S"/>
    <s v="F"/>
    <s v="nichole2@adventure-works.com"/>
    <n v="70000"/>
    <n v="5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80"/>
    <d v="2002-10-08T00:00:00"/>
    <s v="SO47917"/>
    <n v="358"/>
    <n v="13001"/>
    <n v="9"/>
    <n v="1"/>
    <n v="1"/>
    <n v="1"/>
    <s v="BK-M68B-38"/>
    <x v="15"/>
    <n v="1105.81"/>
    <n v="2049.0981999999999"/>
    <s v="MR."/>
    <s v="CLARENCE"/>
    <s v="ZHANG"/>
    <s v="CLARENCE ZHANG"/>
    <d v="1969-09-06T00:00:00"/>
    <s v="S"/>
    <s v="M"/>
    <s v="clarence37@adventure-works.com"/>
    <n v="130000"/>
    <n v="1"/>
    <s v="Graduate Degree"/>
    <s v="Management"/>
    <s v="Y"/>
    <s v="Australia"/>
    <x v="2"/>
    <s v="Pacific"/>
    <x v="1"/>
    <s v="Bikes"/>
    <n v="2049.0981999999999"/>
    <n v="1105.81"/>
    <n v="943.28819999999996"/>
    <n v="0.46034309141455498"/>
  </r>
  <r>
    <x v="280"/>
    <d v="2002-07-19T00:00:00"/>
    <s v="SO47918"/>
    <n v="362"/>
    <n v="13006"/>
    <n v="9"/>
    <n v="1"/>
    <n v="1"/>
    <n v="1"/>
    <s v="BK-M68B-46"/>
    <x v="13"/>
    <n v="1105.81"/>
    <n v="2049.0981999999999"/>
    <s v="MS."/>
    <s v="WHITNEY"/>
    <s v="RANA"/>
    <s v="WHITNEY RANA"/>
    <d v="1966-04-21T00:00:00"/>
    <s v="S"/>
    <s v="F"/>
    <s v="whitney10@adventure-works.com"/>
    <n v="9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01"/>
    <d v="2002-09-09T00:00:00"/>
    <s v="SO47822"/>
    <n v="354"/>
    <n v="13051"/>
    <n v="9"/>
    <n v="1"/>
    <n v="1"/>
    <n v="1"/>
    <s v="BK-M68S-42"/>
    <x v="18"/>
    <n v="1117.8559"/>
    <n v="2071.4196000000002"/>
    <s v="MR."/>
    <s v="ETHAN"/>
    <s v="JONES"/>
    <s v="ETHAN JONES"/>
    <d v="1954-11-27T00:00:00"/>
    <s v="S"/>
    <s v="M"/>
    <s v="ethan33@adventure-works.com"/>
    <n v="80000"/>
    <n v="2"/>
    <s v="Partial College"/>
    <s v="Skilled Manual"/>
    <s v="N"/>
    <s v="Australia"/>
    <x v="2"/>
    <s v="Pacific"/>
    <x v="1"/>
    <s v="Bikes"/>
    <n v="2071.4196000000002"/>
    <n v="1117.8559"/>
    <n v="953.56370000000004"/>
    <n v="0.460343090313522"/>
  </r>
  <r>
    <x v="277"/>
    <d v="2002-09-20T00:00:00"/>
    <s v="SO47941"/>
    <n v="356"/>
    <n v="13010"/>
    <n v="9"/>
    <n v="1"/>
    <n v="1"/>
    <n v="1"/>
    <s v="BK-M68S-46"/>
    <x v="14"/>
    <n v="1117.8559"/>
    <n v="2071.4196000000002"/>
    <s v="MRS."/>
    <s v="ERICA"/>
    <s v="YE"/>
    <s v="ERICA YE"/>
    <d v="1965-08-16T00:00:00"/>
    <s v="M"/>
    <s v="F"/>
    <s v="erica9@adventure-works.com"/>
    <n v="60000"/>
    <n v="3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81"/>
    <d v="2002-07-05T00:00:00"/>
    <s v="SO47886"/>
    <n v="358"/>
    <n v="13011"/>
    <n v="9"/>
    <n v="1"/>
    <n v="1"/>
    <n v="1"/>
    <s v="BK-M68B-38"/>
    <x v="15"/>
    <n v="1105.81"/>
    <n v="2049.0981999999999"/>
    <s v="MS."/>
    <s v="ANNE"/>
    <s v="ORTEGA"/>
    <s v="ANNE ORTEGA"/>
    <d v="1965-05-04T00:00:00"/>
    <s v="S"/>
    <s v="F"/>
    <s v="anne22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81"/>
    <d v="2002-08-03T00:00:00"/>
    <s v="SO47887"/>
    <n v="356"/>
    <n v="13012"/>
    <n v="9"/>
    <n v="1"/>
    <n v="1"/>
    <n v="1"/>
    <s v="BK-M68S-46"/>
    <x v="14"/>
    <n v="1117.8559"/>
    <n v="2071.4196000000002"/>
    <s v="MS."/>
    <s v="KRYSTAL"/>
    <s v="HU"/>
    <s v="KRYSTAL HU"/>
    <d v="1965-09-24T00:00:00"/>
    <s v="S"/>
    <s v="F"/>
    <s v="krystal20@adventure-works.com"/>
    <n v="7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201"/>
    <d v="2002-09-20T00:00:00"/>
    <s v="SO47820"/>
    <n v="352"/>
    <n v="13025"/>
    <n v="9"/>
    <n v="1"/>
    <n v="1"/>
    <n v="1"/>
    <s v="BK-M68S-38"/>
    <x v="16"/>
    <n v="1117.8559"/>
    <n v="2071.4196000000002"/>
    <s v="MR."/>
    <s v="REGINALD"/>
    <s v="SERRANO"/>
    <s v="REGINALD SERRANO"/>
    <d v="1947-11-19T00:00:00"/>
    <s v="M"/>
    <s v="M"/>
    <s v="reginald2@adventure-works.com"/>
    <n v="30000"/>
    <n v="2"/>
    <s v="Partial College"/>
    <s v="Clerical"/>
    <s v="N"/>
    <s v="Australia"/>
    <x v="2"/>
    <s v="Pacific"/>
    <x v="1"/>
    <s v="Bikes"/>
    <n v="2071.4196000000002"/>
    <n v="1117.8559"/>
    <n v="953.56370000000004"/>
    <n v="0.460343090313522"/>
  </r>
  <r>
    <x v="201"/>
    <d v="2002-07-15T00:00:00"/>
    <s v="SO47821"/>
    <n v="352"/>
    <n v="13038"/>
    <n v="9"/>
    <n v="1"/>
    <n v="1"/>
    <n v="1"/>
    <s v="BK-M68S-38"/>
    <x v="16"/>
    <n v="1117.8559"/>
    <n v="2071.4196000000002"/>
    <s v="MR."/>
    <s v="WILSON"/>
    <s v="PAIS"/>
    <s v="WILSON PAIS"/>
    <d v="1950-02-01T00:00:00"/>
    <s v="M"/>
    <s v="M"/>
    <s v="wilson0@adventure-works.com"/>
    <n v="40000"/>
    <n v="2"/>
    <s v="Bachelors"/>
    <s v="Management"/>
    <s v="N"/>
    <s v="Australia"/>
    <x v="2"/>
    <s v="Pacific"/>
    <x v="1"/>
    <s v="Bikes"/>
    <n v="2071.4196000000002"/>
    <n v="1117.8559"/>
    <n v="953.56370000000004"/>
    <n v="0.460343090313522"/>
  </r>
  <r>
    <x v="263"/>
    <d v="2002-06-27T00:00:00"/>
    <s v="SO47868"/>
    <n v="354"/>
    <n v="13021"/>
    <n v="9"/>
    <n v="1"/>
    <n v="1"/>
    <n v="1"/>
    <s v="BK-M68S-42"/>
    <x v="18"/>
    <n v="1117.8559"/>
    <n v="2071.4196000000002"/>
    <s v="MRS."/>
    <s v="KENDRA"/>
    <s v="DIAZ"/>
    <s v="KENDRA DIAZ"/>
    <d v="1946-07-09T00:00:00"/>
    <s v="S"/>
    <s v="F"/>
    <s v="kendra3@adventure-works.com"/>
    <n v="30000"/>
    <n v="2"/>
    <s v="Partial College"/>
    <s v="Clerical"/>
    <s v="Y"/>
    <s v="Australia"/>
    <x v="2"/>
    <s v="Pacific"/>
    <x v="1"/>
    <s v="Bikes"/>
    <n v="2071.4196000000002"/>
    <n v="1117.8559"/>
    <n v="953.56370000000004"/>
    <n v="0.460343090313522"/>
  </r>
  <r>
    <x v="205"/>
    <d v="2002-09-19T00:00:00"/>
    <s v="SO47832"/>
    <n v="369"/>
    <n v="13478"/>
    <n v="1"/>
    <n v="1"/>
    <n v="1"/>
    <n v="2"/>
    <s v="BK-R89R-48"/>
    <x v="21"/>
    <n v="1518.7864"/>
    <n v="2443.35"/>
    <s v="MRS."/>
    <s v="ALEXIA"/>
    <s v="COLEMAN"/>
    <s v="ALEXIA COLEMAN"/>
    <d v="1954-05-07T00:00:00"/>
    <s v="S"/>
    <s v="F"/>
    <s v="alexia6@adventure-works.com"/>
    <n v="70000"/>
    <n v="3"/>
    <s v="High School"/>
    <s v="Professional"/>
    <s v="Y"/>
    <s v="Northwest"/>
    <x v="1"/>
    <s v="North America"/>
    <x v="0"/>
    <s v="Bikes"/>
    <n v="2443.35"/>
    <n v="1518.7864"/>
    <n v="924.56359999999995"/>
    <n v="0.37839998362903399"/>
  </r>
  <r>
    <x v="275"/>
    <d v="2002-09-06T00:00:00"/>
    <s v="SO47857"/>
    <n v="360"/>
    <n v="13024"/>
    <n v="9"/>
    <n v="1"/>
    <n v="1"/>
    <n v="1"/>
    <s v="BK-M68B-42"/>
    <x v="17"/>
    <n v="1105.81"/>
    <n v="2049.0981999999999"/>
    <s v="MR."/>
    <s v="MARC"/>
    <s v="MORENO"/>
    <s v="MARC MORENO"/>
    <d v="1947-03-09T00:00:00"/>
    <s v="M"/>
    <s v="M"/>
    <s v="marc10@adventure-works.com"/>
    <n v="30000"/>
    <n v="2"/>
    <s v="Partial College"/>
    <s v="Clerical"/>
    <s v="N"/>
    <s v="Australia"/>
    <x v="2"/>
    <s v="Pacific"/>
    <x v="1"/>
    <s v="Bikes"/>
    <n v="2049.0981999999999"/>
    <n v="1105.81"/>
    <n v="943.28819999999996"/>
    <n v="0.46034309141455498"/>
  </r>
  <r>
    <x v="278"/>
    <d v="2002-08-22T00:00:00"/>
    <s v="SO47900"/>
    <n v="362"/>
    <n v="13035"/>
    <n v="9"/>
    <n v="1"/>
    <n v="1"/>
    <n v="1"/>
    <s v="BK-M68B-46"/>
    <x v="13"/>
    <n v="1105.81"/>
    <n v="2049.0981999999999"/>
    <s v="MRS."/>
    <s v="KRISTY"/>
    <s v="TORRES"/>
    <s v="KRISTY TORRES"/>
    <d v="1950-11-03T00:00:00"/>
    <s v="M"/>
    <s v="F"/>
    <s v="kristy11@adventure-works.com"/>
    <n v="30000"/>
    <n v="3"/>
    <s v="Partial College"/>
    <s v="Clerical"/>
    <s v="N"/>
    <s v="Australia"/>
    <x v="2"/>
    <s v="Pacific"/>
    <x v="1"/>
    <s v="Bikes"/>
    <n v="2049.0981999999999"/>
    <n v="1105.81"/>
    <n v="943.28819999999996"/>
    <n v="0.46034309141455498"/>
  </r>
  <r>
    <x v="204"/>
    <d v="2002-08-21T00:00:00"/>
    <s v="SO47838"/>
    <n v="371"/>
    <n v="13456"/>
    <n v="1"/>
    <n v="1"/>
    <n v="1"/>
    <n v="2"/>
    <s v="BK-R89R-58"/>
    <x v="24"/>
    <n v="1320.6838"/>
    <n v="2181.5625"/>
    <s v="MRS."/>
    <s v="SYDNEY"/>
    <s v="HERNANDEZ"/>
    <s v="SYDNEY HERNANDEZ"/>
    <d v="1955-07-24T00:00:00"/>
    <s v="S"/>
    <s v="F"/>
    <s v="sydney59@adventure-works.com"/>
    <n v="80000"/>
    <n v="2"/>
    <s v="Partial High School"/>
    <s v="Skilled Manual"/>
    <s v="Y"/>
    <s v="Northwest"/>
    <x v="1"/>
    <s v="North America"/>
    <x v="0"/>
    <s v="Bikes"/>
    <n v="2181.5625"/>
    <n v="1320.6838"/>
    <n v="860.87869999999998"/>
    <n v="0.39461564818793898"/>
  </r>
  <r>
    <x v="279"/>
    <d v="2002-07-11T00:00:00"/>
    <s v="SO47910"/>
    <n v="352"/>
    <n v="13049"/>
    <n v="9"/>
    <n v="1"/>
    <n v="1"/>
    <n v="1"/>
    <s v="BK-M68S-38"/>
    <x v="16"/>
    <n v="1117.8559"/>
    <n v="2071.4196000000002"/>
    <s v="MRS."/>
    <s v="AUTUMN"/>
    <s v="WANG"/>
    <s v="AUTUMN WANG"/>
    <d v="1953-07-06T00:00:00"/>
    <s v="M"/>
    <s v="F"/>
    <s v="autumn1@adventure-works.com"/>
    <n v="40000"/>
    <n v="3"/>
    <s v="Partial College"/>
    <s v="Skilled Manual"/>
    <s v="N"/>
    <s v="Australia"/>
    <x v="2"/>
    <s v="Pacific"/>
    <x v="1"/>
    <s v="Bikes"/>
    <n v="2071.4196000000002"/>
    <n v="1117.8559"/>
    <n v="953.56370000000004"/>
    <n v="0.460343090313522"/>
  </r>
  <r>
    <x v="281"/>
    <d v="2002-07-08T00:00:00"/>
    <s v="SO47888"/>
    <n v="354"/>
    <n v="13050"/>
    <n v="9"/>
    <n v="1"/>
    <n v="1"/>
    <n v="1"/>
    <s v="BK-M68S-42"/>
    <x v="18"/>
    <n v="1117.8559"/>
    <n v="2071.4196000000002"/>
    <s v="MR."/>
    <s v="DENNIS"/>
    <s v="ZENG"/>
    <s v="DENNIS ZENG"/>
    <d v="1953-12-19T00:00:00"/>
    <s v="M"/>
    <s v="M"/>
    <s v="dennis24@adventure-works.com"/>
    <n v="40000"/>
    <n v="3"/>
    <s v="Partial College"/>
    <s v="Skilled Manual"/>
    <s v="N"/>
    <s v="Australia"/>
    <x v="2"/>
    <s v="Pacific"/>
    <x v="1"/>
    <s v="Bikes"/>
    <n v="2071.4196000000002"/>
    <n v="1117.8559"/>
    <n v="953.56370000000004"/>
    <n v="0.460343090313522"/>
  </r>
  <r>
    <x v="264"/>
    <d v="2002-09-22T00:00:00"/>
    <s v="SO47874"/>
    <n v="373"/>
    <n v="13462"/>
    <n v="1"/>
    <n v="1"/>
    <n v="1"/>
    <n v="2"/>
    <s v="BK-R89B-44"/>
    <x v="19"/>
    <n v="1320.6838"/>
    <n v="2181.5625"/>
    <s v="MR."/>
    <s v="JAY"/>
    <s v="SARA"/>
    <s v="JAY SARA"/>
    <d v="1936-11-10T00:00:00"/>
    <s v="S"/>
    <s v="M"/>
    <s v="jay17@adventure-works.com"/>
    <n v="50000"/>
    <n v="2"/>
    <s v="Graduate Degree"/>
    <s v="Management"/>
    <s v="Y"/>
    <s v="Northwest"/>
    <x v="1"/>
    <s v="North America"/>
    <x v="0"/>
    <s v="Bikes"/>
    <n v="2181.5625"/>
    <n v="1320.6838"/>
    <n v="860.87869999999998"/>
    <n v="0.39461564818793898"/>
  </r>
  <r>
    <x v="278"/>
    <d v="2002-07-09T00:00:00"/>
    <s v="SO47901"/>
    <n v="354"/>
    <n v="13075"/>
    <n v="9"/>
    <n v="1"/>
    <n v="1"/>
    <n v="1"/>
    <s v="BK-M68S-42"/>
    <x v="18"/>
    <n v="1117.8559"/>
    <n v="2071.4196000000002"/>
    <s v="MR."/>
    <s v="KELVIN"/>
    <s v="LIN"/>
    <s v="KELVIN LIN"/>
    <d v="1955-04-11T00:00:00"/>
    <s v="M"/>
    <s v="M"/>
    <s v="kelvin27@adventure-works.com"/>
    <n v="80000"/>
    <n v="2"/>
    <s v="High School"/>
    <s v="Skilled Manual"/>
    <s v="N"/>
    <s v="Australia"/>
    <x v="2"/>
    <s v="Pacific"/>
    <x v="1"/>
    <s v="Bikes"/>
    <n v="2071.4196000000002"/>
    <n v="1117.8559"/>
    <n v="953.56370000000004"/>
    <n v="0.460343090313522"/>
  </r>
  <r>
    <x v="278"/>
    <d v="2002-09-21T00:00:00"/>
    <s v="SO47902"/>
    <n v="360"/>
    <n v="13076"/>
    <n v="9"/>
    <n v="1"/>
    <n v="1"/>
    <n v="1"/>
    <s v="BK-M68B-42"/>
    <x v="17"/>
    <n v="1105.81"/>
    <n v="2049.0981999999999"/>
    <s v="MR."/>
    <s v="CRAIG"/>
    <s v="MUNOZ"/>
    <s v="CRAIG MUNOZ"/>
    <d v="1955-03-03T00:00:00"/>
    <s v="S"/>
    <s v="M"/>
    <s v="craig8@adventure-works.com"/>
    <n v="80000"/>
    <n v="2"/>
    <s v="High School"/>
    <s v="Skilled Manual"/>
    <s v="N"/>
    <s v="Australia"/>
    <x v="2"/>
    <s v="Pacific"/>
    <x v="1"/>
    <s v="Bikes"/>
    <n v="2049.0981999999999"/>
    <n v="1105.81"/>
    <n v="943.28819999999996"/>
    <n v="0.46034309141455498"/>
  </r>
  <r>
    <x v="279"/>
    <d v="2002-08-29T00:00:00"/>
    <s v="SO47911"/>
    <n v="358"/>
    <n v="13077"/>
    <n v="9"/>
    <n v="1"/>
    <n v="1"/>
    <n v="1"/>
    <s v="BK-M68B-38"/>
    <x v="15"/>
    <n v="1105.81"/>
    <n v="2049.0981999999999"/>
    <s v="MR."/>
    <s v="ALEJANDRO"/>
    <s v="GOEL"/>
    <s v="ALEJANDRO GOEL"/>
    <d v="1956-05-24T00:00:00"/>
    <s v="S"/>
    <s v="M"/>
    <s v="alejandro44@adventure-works.com"/>
    <n v="70000"/>
    <n v="2"/>
    <s v="High School"/>
    <s v="Skilled Manual"/>
    <s v="N"/>
    <s v="Australia"/>
    <x v="2"/>
    <s v="Pacific"/>
    <x v="1"/>
    <s v="Bikes"/>
    <n v="2049.0981999999999"/>
    <n v="1105.81"/>
    <n v="943.28819999999996"/>
    <n v="0.46034309141455498"/>
  </r>
  <r>
    <x v="281"/>
    <d v="2002-08-04T00:00:00"/>
    <s v="SO47882"/>
    <n v="375"/>
    <n v="13464"/>
    <n v="4"/>
    <n v="1"/>
    <n v="1"/>
    <n v="2"/>
    <s v="BK-R89B-48"/>
    <x v="25"/>
    <n v="1320.6838"/>
    <n v="2181.5625"/>
    <s v="MRS."/>
    <s v="MARTHA"/>
    <s v="HU"/>
    <s v="MARTHA HU"/>
    <d v="1936-11-08T00:00:00"/>
    <s v="M"/>
    <s v="F"/>
    <s v="martha20@adventure-works.com"/>
    <n v="70000"/>
    <n v="4"/>
    <s v="Graduate Degree"/>
    <s v="Management"/>
    <s v="Y"/>
    <s v="Southwest"/>
    <x v="1"/>
    <s v="North America"/>
    <x v="0"/>
    <s v="Bikes"/>
    <n v="2181.5625"/>
    <n v="1320.6838"/>
    <n v="860.87869999999998"/>
    <n v="0.39461564818793898"/>
  </r>
  <r>
    <x v="206"/>
    <d v="2002-06-28T00:00:00"/>
    <s v="SO47926"/>
    <n v="360"/>
    <n v="13079"/>
    <n v="9"/>
    <n v="1"/>
    <n v="1"/>
    <n v="1"/>
    <s v="BK-M68B-42"/>
    <x v="17"/>
    <n v="1105.81"/>
    <n v="2049.0981999999999"/>
    <s v="MR."/>
    <s v="EDWIN"/>
    <s v="BHAT"/>
    <s v="EDWIN BHAT"/>
    <d v="1957-02-26T00:00:00"/>
    <s v="S"/>
    <s v="M"/>
    <s v="edwin43@adventure-works.com"/>
    <n v="80000"/>
    <n v="2"/>
    <s v="High School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82"/>
    <d v="2002-08-13T00:00:00"/>
    <s v="SO48123"/>
    <n v="360"/>
    <n v="13080"/>
    <n v="9"/>
    <n v="1"/>
    <n v="1"/>
    <n v="1"/>
    <s v="BK-M68B-42"/>
    <x v="17"/>
    <n v="1105.81"/>
    <n v="2049.0981999999999"/>
    <s v="MRS."/>
    <s v="DENISE"/>
    <s v="MEHTA"/>
    <s v="DENISE MEHTA"/>
    <d v="1957-05-18T00:00:00"/>
    <s v="S"/>
    <s v="F"/>
    <s v="denise15@adventure-works.com"/>
    <n v="80000"/>
    <n v="2"/>
    <s v="High School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83"/>
    <d v="2002-09-24T00:00:00"/>
    <s v="SO48270"/>
    <n v="360"/>
    <n v="13081"/>
    <n v="9"/>
    <n v="1"/>
    <n v="1"/>
    <n v="1"/>
    <s v="BK-M68B-42"/>
    <x v="17"/>
    <n v="1105.81"/>
    <n v="2049.0981999999999"/>
    <s v="MRS."/>
    <s v="KRISTA"/>
    <s v="RUIZ"/>
    <s v="KRISTA RUIZ"/>
    <d v="1957-03-24T00:00:00"/>
    <s v="S"/>
    <s v="F"/>
    <s v="krista2@adventure-works.com"/>
    <n v="80000"/>
    <n v="2"/>
    <s v="High School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84"/>
    <d v="2002-07-26T00:00:00"/>
    <s v="SO48136"/>
    <n v="354"/>
    <n v="13082"/>
    <n v="9"/>
    <n v="1"/>
    <n v="1"/>
    <n v="1"/>
    <s v="BK-M68S-42"/>
    <x v="18"/>
    <n v="1117.8559"/>
    <n v="2071.4196000000002"/>
    <s v="MR."/>
    <s v="JUAN"/>
    <s v="PETERSON"/>
    <s v="JUAN PETERSON"/>
    <d v="1958-02-24T00:00:00"/>
    <s v="S"/>
    <s v="M"/>
    <s v="juan15@adventure-works.com"/>
    <n v="130000"/>
    <n v="0"/>
    <s v="Graduate Degree"/>
    <s v="Management"/>
    <s v="Y"/>
    <s v="Australia"/>
    <x v="2"/>
    <s v="Pacific"/>
    <x v="1"/>
    <s v="Bikes"/>
    <n v="2071.4196000000002"/>
    <n v="1117.8559"/>
    <n v="953.56370000000004"/>
    <n v="0.460343090313522"/>
  </r>
  <r>
    <x v="186"/>
    <d v="2002-08-18T00:00:00"/>
    <s v="SO48210"/>
    <n v="354"/>
    <n v="13089"/>
    <n v="9"/>
    <n v="1"/>
    <n v="1"/>
    <n v="1"/>
    <s v="BK-M68S-42"/>
    <x v="18"/>
    <n v="1117.8559"/>
    <n v="2071.4196000000002"/>
    <s v="MRS."/>
    <s v="ELIZABETH"/>
    <s v="ALEXANDER"/>
    <s v="ELIZABETH ALEXANDER"/>
    <d v="1959-09-01T00:00:00"/>
    <s v="M"/>
    <s v="F"/>
    <s v="elizabeth47@adventure-works.com"/>
    <n v="120000"/>
    <n v="1"/>
    <s v="Bachelors"/>
    <s v="Management"/>
    <s v="Y"/>
    <s v="Australia"/>
    <x v="2"/>
    <s v="Pacific"/>
    <x v="1"/>
    <s v="Bikes"/>
    <n v="2071.4196000000002"/>
    <n v="1117.8559"/>
    <n v="953.56370000000004"/>
    <n v="0.460343090313522"/>
  </r>
  <r>
    <x v="285"/>
    <d v="2002-09-03T00:00:00"/>
    <s v="SO48666"/>
    <n v="360"/>
    <n v="13090"/>
    <n v="9"/>
    <n v="1"/>
    <n v="1"/>
    <n v="1"/>
    <s v="BK-M68B-42"/>
    <x v="17"/>
    <n v="1105.81"/>
    <n v="2049.0981999999999"/>
    <s v="MR."/>
    <s v="WAYNE"/>
    <s v="TANG"/>
    <s v="WAYNE TANG"/>
    <d v="1959-06-01T00:00:00"/>
    <s v="S"/>
    <s v="M"/>
    <s v="wayne5@adventure-works.com"/>
    <n v="130000"/>
    <n v="0"/>
    <s v="Graduate Degree"/>
    <s v="Management"/>
    <s v="N"/>
    <s v="Australia"/>
    <x v="2"/>
    <s v="Pacific"/>
    <x v="1"/>
    <s v="Bikes"/>
    <n v="2049.0981999999999"/>
    <n v="1105.81"/>
    <n v="943.28819999999996"/>
    <n v="0.46034309141455498"/>
  </r>
  <r>
    <x v="233"/>
    <d v="2002-09-17T00:00:00"/>
    <s v="SO48682"/>
    <n v="354"/>
    <n v="13091"/>
    <n v="9"/>
    <n v="1"/>
    <n v="1"/>
    <n v="1"/>
    <s v="BK-M68S-42"/>
    <x v="18"/>
    <n v="1117.8559"/>
    <n v="2071.4196000000002"/>
    <s v="MS."/>
    <s v="DEANNA"/>
    <s v="MARTIN"/>
    <s v="DEANNA MARTIN"/>
    <d v="1959-08-11T00:00:00"/>
    <s v="S"/>
    <s v="F"/>
    <s v="deanna25@adventure-works.com"/>
    <n v="130000"/>
    <n v="0"/>
    <s v="Graduate Degree"/>
    <s v="Management"/>
    <s v="N"/>
    <s v="Australia"/>
    <x v="2"/>
    <s v="Pacific"/>
    <x v="1"/>
    <s v="Bikes"/>
    <n v="2071.4196000000002"/>
    <n v="1117.8559"/>
    <n v="953.56370000000004"/>
    <n v="0.460343090313522"/>
  </r>
  <r>
    <x v="217"/>
    <d v="2002-09-12T00:00:00"/>
    <s v="SO48701"/>
    <n v="360"/>
    <n v="13103"/>
    <n v="9"/>
    <n v="1"/>
    <n v="1"/>
    <n v="1"/>
    <s v="BK-M68B-42"/>
    <x v="17"/>
    <n v="1105.81"/>
    <n v="2049.0981999999999"/>
    <s v="MR."/>
    <s v="BRENDAN"/>
    <s v="RAJI"/>
    <s v="BRENDAN RAJI"/>
    <d v="1963-08-02T00:00:00"/>
    <s v="S"/>
    <s v="M"/>
    <s v="brendan19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86"/>
    <d v="2002-10-05T00:00:00"/>
    <s v="SO48530"/>
    <n v="352"/>
    <n v="13104"/>
    <n v="9"/>
    <n v="1"/>
    <n v="1"/>
    <n v="1"/>
    <s v="BK-M68S-38"/>
    <x v="16"/>
    <n v="1117.8559"/>
    <n v="2071.4196000000002"/>
    <s v="MR."/>
    <s v="GREGORY"/>
    <s v="BECKER"/>
    <s v="GREGORY BECKER"/>
    <d v="1963-04-12T00:00:00"/>
    <s v="S"/>
    <s v="M"/>
    <s v="gregory24@adventure-works.com"/>
    <n v="7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286"/>
    <d v="2002-08-26T00:00:00"/>
    <s v="SO48531"/>
    <n v="360"/>
    <n v="13105"/>
    <n v="9"/>
    <n v="1"/>
    <n v="1"/>
    <n v="1"/>
    <s v="BK-M68B-42"/>
    <x v="17"/>
    <n v="1105.81"/>
    <n v="2049.0981999999999"/>
    <s v="MRS."/>
    <s v="WHITNEY"/>
    <s v="KOV�R"/>
    <s v="WHITNEY KOV�R"/>
    <d v="1962-07-02T00:00:00"/>
    <s v="M"/>
    <s v="F"/>
    <s v="whitney4@adventure-works.com"/>
    <n v="60000"/>
    <n v="1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198"/>
    <d v="2002-10-01T00:00:00"/>
    <s v="SO48598"/>
    <n v="352"/>
    <n v="13106"/>
    <n v="9"/>
    <n v="1"/>
    <n v="1"/>
    <n v="1"/>
    <s v="BK-M68S-38"/>
    <x v="16"/>
    <n v="1117.8559"/>
    <n v="2071.4196000000002"/>
    <s v="MRS."/>
    <s v="EBONY"/>
    <s v="MUNOZ"/>
    <s v="EBONY MUNOZ"/>
    <d v="1962-07-08T00:00:00"/>
    <s v="M"/>
    <s v="F"/>
    <s v="ebony30@adventure-works.com"/>
    <n v="60000"/>
    <n v="1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190"/>
    <d v="2002-08-22T00:00:00"/>
    <s v="SO48451"/>
    <n v="358"/>
    <n v="13107"/>
    <n v="9"/>
    <n v="1"/>
    <n v="1"/>
    <n v="1"/>
    <s v="BK-M68B-38"/>
    <x v="15"/>
    <n v="1105.81"/>
    <n v="2049.0981999999999"/>
    <s v="MRS."/>
    <s v="MARY"/>
    <s v="NELSON"/>
    <s v="MARY NELSON"/>
    <d v="1962-07-11T00:00:00"/>
    <s v="M"/>
    <s v="F"/>
    <s v="mary22@adventure-works.com"/>
    <n v="60000"/>
    <n v="1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87"/>
    <d v="2002-10-19T00:00:00"/>
    <s v="SO48623"/>
    <n v="356"/>
    <n v="13108"/>
    <n v="9"/>
    <n v="1"/>
    <n v="1"/>
    <n v="1"/>
    <s v="BK-M68S-46"/>
    <x v="14"/>
    <n v="1117.8559"/>
    <n v="2071.4196000000002"/>
    <s v="MR."/>
    <s v="CURTIS"/>
    <s v="WANG"/>
    <s v="CURTIS WANG"/>
    <d v="1962-12-26T00:00:00"/>
    <s v="M"/>
    <s v="M"/>
    <s v="curtis2@adventure-works.com"/>
    <n v="60000"/>
    <n v="1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87"/>
    <d v="2002-09-23T00:00:00"/>
    <s v="SO48624"/>
    <n v="362"/>
    <n v="13109"/>
    <n v="9"/>
    <n v="1"/>
    <n v="1"/>
    <n v="1"/>
    <s v="BK-M68B-46"/>
    <x v="13"/>
    <n v="1105.81"/>
    <n v="2049.0981999999999"/>
    <s v="MRS."/>
    <s v="CHERYL"/>
    <s v="NAVARRO"/>
    <s v="CHERYL NAVARRO"/>
    <d v="1962-08-12T00:00:00"/>
    <s v="M"/>
    <s v="F"/>
    <s v="cheryl12@adventure-works.com"/>
    <n v="60000"/>
    <n v="1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88"/>
    <d v="2002-11-29T00:00:00"/>
    <s v="SO48728"/>
    <n v="354"/>
    <n v="13111"/>
    <n v="9"/>
    <n v="1"/>
    <n v="1"/>
    <n v="1"/>
    <s v="BK-M68S-42"/>
    <x v="18"/>
    <n v="1117.8559"/>
    <n v="2071.4196000000002"/>
    <s v="MRS."/>
    <s v="HANNAH"/>
    <s v="BUTLER"/>
    <s v="HANNAH BUTLER"/>
    <d v="1961-08-16T00:00:00"/>
    <s v="S"/>
    <s v="F"/>
    <s v="hannah36@adventure-works.com"/>
    <n v="60000"/>
    <n v="1"/>
    <s v="Partial College"/>
    <s v="Skilled Manual"/>
    <s v="Y"/>
    <s v="Australia"/>
    <x v="2"/>
    <s v="Pacific"/>
    <x v="1"/>
    <s v="Bikes"/>
    <n v="2071.4196000000002"/>
    <n v="1117.8559"/>
    <n v="953.56370000000004"/>
    <n v="0.460343090313522"/>
  </r>
  <r>
    <x v="286"/>
    <d v="2002-09-19T00:00:00"/>
    <s v="SO48532"/>
    <n v="362"/>
    <n v="13112"/>
    <n v="9"/>
    <n v="1"/>
    <n v="1"/>
    <n v="1"/>
    <s v="BK-M68B-46"/>
    <x v="13"/>
    <n v="1105.81"/>
    <n v="2049.0981999999999"/>
    <s v="MRS."/>
    <s v="BIANCA"/>
    <s v="GAO"/>
    <s v="BIANCA GAO"/>
    <d v="1961-07-23T00:00:00"/>
    <s v="S"/>
    <s v="F"/>
    <s v="bianca11@adventure-works.com"/>
    <n v="60000"/>
    <n v="1"/>
    <s v="Partial College"/>
    <s v="Skilled Manual"/>
    <s v="Y"/>
    <s v="Australia"/>
    <x v="2"/>
    <s v="Pacific"/>
    <x v="1"/>
    <s v="Bikes"/>
    <n v="2049.0981999999999"/>
    <n v="1105.81"/>
    <n v="943.28819999999996"/>
    <n v="0.46034309141455498"/>
  </r>
  <r>
    <x v="189"/>
    <d v="2002-08-27T00:00:00"/>
    <s v="SO48586"/>
    <n v="354"/>
    <n v="13113"/>
    <n v="9"/>
    <n v="1"/>
    <n v="1"/>
    <n v="1"/>
    <s v="BK-M68S-42"/>
    <x v="18"/>
    <n v="1117.8559"/>
    <n v="2071.4196000000002"/>
    <s v="MR."/>
    <s v="BRYANT"/>
    <s v="SANCHEZ"/>
    <s v="BRYANT SANCHEZ"/>
    <d v="1966-07-14T00:00:00"/>
    <s v="S"/>
    <s v="M"/>
    <s v="bryant19@adventure-works.com"/>
    <n v="10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289"/>
    <d v="2002-11-02T00:00:00"/>
    <s v="SO48418"/>
    <n v="352"/>
    <n v="13114"/>
    <n v="9"/>
    <n v="1"/>
    <n v="1"/>
    <n v="1"/>
    <s v="BK-M68S-38"/>
    <x v="16"/>
    <n v="1117.8559"/>
    <n v="2071.4196000000002"/>
    <s v="MS."/>
    <s v="CLAUDIA"/>
    <s v="ZHANG"/>
    <s v="CLAUDIA ZHANG"/>
    <d v="1966-05-01T00:00:00"/>
    <s v="S"/>
    <s v="F"/>
    <s v="claudia0@adventure-works.com"/>
    <n v="10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206"/>
    <d v="2002-07-03T00:00:00"/>
    <s v="SO47922"/>
    <n v="379"/>
    <n v="13468"/>
    <n v="1"/>
    <n v="1"/>
    <n v="1"/>
    <n v="2"/>
    <s v="BK-R89B-58"/>
    <x v="26"/>
    <n v="1320.6838"/>
    <n v="2181.5625"/>
    <s v="MRS."/>
    <s v="MARIAH"/>
    <s v="SANDERS"/>
    <s v="MARIAH SANDERS"/>
    <d v="1960-09-02T00:00:00"/>
    <s v="S"/>
    <s v="F"/>
    <s v="mariah3@adventure-works.com"/>
    <n v="100000"/>
    <n v="3"/>
    <s v="Partial College"/>
    <s v="Professional"/>
    <s v="Y"/>
    <s v="Northwest"/>
    <x v="1"/>
    <s v="North America"/>
    <x v="0"/>
    <s v="Bikes"/>
    <n v="2181.5625"/>
    <n v="1320.6838"/>
    <n v="860.87869999999998"/>
    <n v="0.39461564818793898"/>
  </r>
  <r>
    <x v="217"/>
    <d v="2002-11-26T00:00:00"/>
    <s v="SO48699"/>
    <n v="362"/>
    <n v="13115"/>
    <n v="9"/>
    <n v="1"/>
    <n v="1"/>
    <n v="1"/>
    <s v="BK-M68B-46"/>
    <x v="13"/>
    <n v="1105.81"/>
    <n v="2049.0981999999999"/>
    <s v="MR."/>
    <s v="CLARENCE"/>
    <s v="WU"/>
    <s v="CLARENCE WU"/>
    <d v="1966-09-27T00:00:00"/>
    <s v="S"/>
    <s v="M"/>
    <s v="clarence2@adventure-works.com"/>
    <n v="110000"/>
    <n v="0"/>
    <s v="Graduate Degree"/>
    <s v="Management"/>
    <s v="Y"/>
    <s v="Australia"/>
    <x v="2"/>
    <s v="Pacific"/>
    <x v="1"/>
    <s v="Bikes"/>
    <n v="2049.0981999999999"/>
    <n v="1105.81"/>
    <n v="943.28819999999996"/>
    <n v="0.46034309141455498"/>
  </r>
  <r>
    <x v="290"/>
    <d v="2002-08-31T00:00:00"/>
    <s v="SO48438"/>
    <n v="362"/>
    <n v="13117"/>
    <n v="9"/>
    <n v="1"/>
    <n v="1"/>
    <n v="1"/>
    <s v="BK-M68B-46"/>
    <x v="13"/>
    <n v="1105.81"/>
    <n v="2049.0981999999999"/>
    <s v="MS."/>
    <s v="EVELYN"/>
    <s v="RODRIGUEZ"/>
    <s v="EVELYN RODRIGUEZ"/>
    <d v="1966-01-11T00:00:00"/>
    <s v="S"/>
    <s v="F"/>
    <s v="evelyn20@adventure-works.com"/>
    <n v="110000"/>
    <n v="0"/>
    <s v="Graduate Degree"/>
    <s v="Management"/>
    <s v="N"/>
    <s v="Australia"/>
    <x v="2"/>
    <s v="Pacific"/>
    <x v="1"/>
    <s v="Bikes"/>
    <n v="2049.0981999999999"/>
    <n v="1105.81"/>
    <n v="943.28819999999996"/>
    <n v="0.46034309141455498"/>
  </r>
  <r>
    <x v="285"/>
    <d v="2002-09-21T00:00:00"/>
    <s v="SO48663"/>
    <n v="362"/>
    <n v="13118"/>
    <n v="9"/>
    <n v="1"/>
    <n v="1"/>
    <n v="1"/>
    <s v="BK-M68B-46"/>
    <x v="13"/>
    <n v="1105.81"/>
    <n v="2049.0981999999999"/>
    <s v="MRS."/>
    <s v="SYDNEY"/>
    <s v="COOK"/>
    <s v="SYDNEY COOK"/>
    <d v="1960-07-08T00:00:00"/>
    <s v="M"/>
    <s v="F"/>
    <s v="sydney5@adventure-works.com"/>
    <n v="60000"/>
    <n v="1"/>
    <s v="Partial College"/>
    <s v="Skilled Manual"/>
    <s v="Y"/>
    <s v="Australia"/>
    <x v="2"/>
    <s v="Pacific"/>
    <x v="1"/>
    <s v="Bikes"/>
    <n v="2049.0981999999999"/>
    <n v="1105.81"/>
    <n v="943.28819999999996"/>
    <n v="0.46034309141455498"/>
  </r>
  <r>
    <x v="220"/>
    <d v="2002-11-14T00:00:00"/>
    <s v="SO48544"/>
    <n v="354"/>
    <n v="13119"/>
    <n v="9"/>
    <n v="1"/>
    <n v="1"/>
    <n v="1"/>
    <s v="BK-M68S-42"/>
    <x v="18"/>
    <n v="1117.8559"/>
    <n v="2071.4196000000002"/>
    <s v="MS."/>
    <s v="JACLYN"/>
    <s v="GUO"/>
    <s v="JACLYN GUO"/>
    <d v="1965-11-10T00:00:00"/>
    <s v="S"/>
    <s v="F"/>
    <s v="jaclyn19@adventure-works.com"/>
    <n v="70000"/>
    <n v="0"/>
    <s v="Bachelors"/>
    <s v="Professional"/>
    <s v="N"/>
    <s v="Australia"/>
    <x v="2"/>
    <s v="Pacific"/>
    <x v="1"/>
    <s v="Bikes"/>
    <n v="2071.4196000000002"/>
    <n v="1117.8559"/>
    <n v="953.56370000000004"/>
    <n v="0.460343090313522"/>
  </r>
  <r>
    <x v="291"/>
    <d v="2002-10-30T00:00:00"/>
    <s v="SO48559"/>
    <n v="354"/>
    <n v="13122"/>
    <n v="9"/>
    <n v="1"/>
    <n v="1"/>
    <n v="1"/>
    <s v="BK-M68S-42"/>
    <x v="18"/>
    <n v="1117.8559"/>
    <n v="2071.4196000000002"/>
    <s v="MS."/>
    <s v="CATHERINE"/>
    <s v="COX"/>
    <s v="CATHERINE COX"/>
    <d v="1965-08-02T00:00:00"/>
    <s v="M"/>
    <s v="F"/>
    <s v="catherine9@adventure-works.com"/>
    <n v="80000"/>
    <n v="0"/>
    <s v="Bachelors"/>
    <s v="Professional"/>
    <s v="Y"/>
    <s v="Australia"/>
    <x v="2"/>
    <s v="Pacific"/>
    <x v="1"/>
    <s v="Bikes"/>
    <n v="2071.4196000000002"/>
    <n v="1117.8559"/>
    <n v="953.56370000000004"/>
    <n v="0.460343090313522"/>
  </r>
  <r>
    <x v="292"/>
    <d v="2002-11-10T00:00:00"/>
    <s v="SO48575"/>
    <n v="360"/>
    <n v="13123"/>
    <n v="9"/>
    <n v="1"/>
    <n v="1"/>
    <n v="1"/>
    <s v="BK-M68B-42"/>
    <x v="17"/>
    <n v="1105.81"/>
    <n v="2049.0981999999999"/>
    <s v="MS."/>
    <s v="KELLI"/>
    <s v="RAJI"/>
    <s v="KELLI RAJI"/>
    <d v="1964-05-04T00:00:00"/>
    <s v="S"/>
    <s v="F"/>
    <s v="kelli44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187"/>
    <d v="2002-10-13T00:00:00"/>
    <s v="SO48491"/>
    <n v="358"/>
    <n v="13126"/>
    <n v="9"/>
    <n v="1"/>
    <n v="1"/>
    <n v="1"/>
    <s v="BK-M68B-38"/>
    <x v="15"/>
    <n v="1105.81"/>
    <n v="2049.0981999999999"/>
    <s v="MS."/>
    <s v="LYDIA"/>
    <s v="SURI"/>
    <s v="LYDIA SURI"/>
    <d v="1964-02-04T00:00:00"/>
    <s v="S"/>
    <s v="F"/>
    <s v="lydia0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88"/>
    <d v="2002-12-14T00:00:00"/>
    <s v="SO48727"/>
    <n v="360"/>
    <n v="13128"/>
    <n v="9"/>
    <n v="1"/>
    <n v="1"/>
    <n v="1"/>
    <s v="BK-M68B-42"/>
    <x v="17"/>
    <n v="1105.81"/>
    <n v="2049.0981999999999"/>
    <s v="MS."/>
    <s v="COLLEEN"/>
    <s v="WEST"/>
    <s v="COLLEEN WEST"/>
    <d v="1964-04-23T00:00:00"/>
    <s v="S"/>
    <s v="F"/>
    <s v="colleen1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  <r>
    <x v="287"/>
    <d v="2002-11-17T00:00:00"/>
    <s v="SO48621"/>
    <n v="360"/>
    <n v="13129"/>
    <n v="9"/>
    <n v="1"/>
    <n v="1"/>
    <n v="1"/>
    <s v="BK-M68B-42"/>
    <x v="17"/>
    <n v="1105.81"/>
    <n v="2049.0981999999999"/>
    <s v="MS."/>
    <s v="JOY"/>
    <s v="RAMOS"/>
    <s v="JOY RAMOS"/>
    <d v="1964-06-01T00:00:00"/>
    <s v="S"/>
    <s v="F"/>
    <s v="joy16@adventure-works.com"/>
    <n v="70000"/>
    <n v="0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19"/>
    <d v="2002-11-23T00:00:00"/>
    <s v="SO48690"/>
    <n v="360"/>
    <n v="13130"/>
    <n v="9"/>
    <n v="1"/>
    <n v="1"/>
    <n v="1"/>
    <s v="BK-M68B-42"/>
    <x v="17"/>
    <n v="1105.81"/>
    <n v="2049.0981999999999"/>
    <s v="MR."/>
    <s v="DALTON"/>
    <s v="MILLER"/>
    <s v="DALTON MILLER"/>
    <d v="1959-10-26T00:00:00"/>
    <s v="M"/>
    <s v="M"/>
    <s v="dalton5@adventure-works.com"/>
    <n v="90000"/>
    <n v="1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00"/>
    <d v="2002-10-09T00:00:00"/>
    <s v="SO48673"/>
    <n v="360"/>
    <n v="13131"/>
    <n v="9"/>
    <n v="1"/>
    <n v="1"/>
    <n v="1"/>
    <s v="BK-M68B-42"/>
    <x v="17"/>
    <n v="1105.81"/>
    <n v="2049.0981999999999"/>
    <s v="MRS."/>
    <s v="BRIANA"/>
    <s v="DIAZ"/>
    <s v="BRIANA DIAZ"/>
    <d v="1959-09-01T00:00:00"/>
    <s v="M"/>
    <s v="F"/>
    <s v="briana3@adventure-works.com"/>
    <n v="90000"/>
    <n v="1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93"/>
    <d v="2002-08-30T00:00:00"/>
    <s v="SO48499"/>
    <n v="358"/>
    <n v="13132"/>
    <n v="9"/>
    <n v="1"/>
    <n v="1"/>
    <n v="1"/>
    <s v="BK-M68B-38"/>
    <x v="15"/>
    <n v="1105.81"/>
    <n v="2049.0981999999999"/>
    <s v="MR."/>
    <s v="CASEY"/>
    <s v="VAZQUEZ"/>
    <s v="CASEY VAZQUEZ"/>
    <d v="1959-02-21T00:00:00"/>
    <s v="S"/>
    <s v="M"/>
    <s v="casey38@adventure-works.com"/>
    <n v="90000"/>
    <n v="1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292"/>
    <d v="2002-10-26T00:00:00"/>
    <s v="SO48576"/>
    <n v="362"/>
    <n v="13133"/>
    <n v="9"/>
    <n v="1"/>
    <n v="1"/>
    <n v="1"/>
    <s v="BK-M68B-46"/>
    <x v="13"/>
    <n v="1105.81"/>
    <n v="2049.0981999999999"/>
    <s v="MR."/>
    <s v="DEVON"/>
    <s v="KENNEDY"/>
    <s v="DEVON KENNEDY"/>
    <d v="1959-08-19T00:00:00"/>
    <s v="S"/>
    <s v="M"/>
    <s v="devon5@adventure-works.com"/>
    <n v="100000"/>
    <n v="5"/>
    <s v="Bachelors"/>
    <s v="Professional"/>
    <s v="Y"/>
    <s v="Australia"/>
    <x v="2"/>
    <s v="Pacific"/>
    <x v="1"/>
    <s v="Bikes"/>
    <n v="2049.0981999999999"/>
    <n v="1105.81"/>
    <n v="943.28819999999996"/>
    <n v="0.46034309141455498"/>
  </r>
  <r>
    <x v="191"/>
    <d v="2002-10-26T00:00:00"/>
    <s v="SO48610"/>
    <n v="358"/>
    <n v="13134"/>
    <n v="9"/>
    <n v="1"/>
    <n v="1"/>
    <n v="1"/>
    <s v="BK-M68B-38"/>
    <x v="15"/>
    <n v="1105.81"/>
    <n v="2049.0981999999999"/>
    <s v="MRS."/>
    <s v="SARA"/>
    <s v="MORGAN"/>
    <s v="SARA MORGAN"/>
    <d v="1934-05-01T00:00:00"/>
    <s v="S"/>
    <s v="F"/>
    <s v="sara24@adventure-works.com"/>
    <n v="50000"/>
    <n v="1"/>
    <s v="Graduate Degree"/>
    <s v="Management"/>
    <s v="Y"/>
    <s v="Australia"/>
    <x v="2"/>
    <s v="Pacific"/>
    <x v="1"/>
    <s v="Bikes"/>
    <n v="2049.0981999999999"/>
    <n v="1105.81"/>
    <n v="943.28819999999996"/>
    <n v="0.46034309141455498"/>
  </r>
  <r>
    <x v="293"/>
    <d v="2002-09-28T00:00:00"/>
    <s v="SO48500"/>
    <n v="358"/>
    <n v="13135"/>
    <n v="9"/>
    <n v="1"/>
    <n v="1"/>
    <n v="1"/>
    <s v="BK-M68B-38"/>
    <x v="15"/>
    <n v="1105.81"/>
    <n v="2049.0981999999999"/>
    <s v="MR."/>
    <s v="JOHNNY"/>
    <s v="RAI"/>
    <s v="JOHNNY RAI"/>
    <d v="1957-08-03T00:00:00"/>
    <s v="S"/>
    <s v="M"/>
    <s v="johnny19@adventure-works.com"/>
    <n v="80000"/>
    <n v="1"/>
    <s v="Partial College"/>
    <s v="Skilled Manual"/>
    <s v="Y"/>
    <s v="Australia"/>
    <x v="2"/>
    <s v="Pacific"/>
    <x v="1"/>
    <s v="Bikes"/>
    <n v="2049.0981999999999"/>
    <n v="1105.81"/>
    <n v="943.28819999999996"/>
    <n v="0.46034309141455498"/>
  </r>
  <r>
    <x v="294"/>
    <d v="2002-11-13T00:00:00"/>
    <s v="SO48516"/>
    <n v="354"/>
    <n v="13139"/>
    <n v="9"/>
    <n v="1"/>
    <n v="1"/>
    <n v="1"/>
    <s v="BK-M68S-42"/>
    <x v="18"/>
    <n v="1117.8559"/>
    <n v="2071.4196000000002"/>
    <s v="MRS."/>
    <s v="CARMEN"/>
    <s v="PEREZ"/>
    <s v="CARMEN PEREZ"/>
    <d v="1956-02-09T00:00:00"/>
    <s v="S"/>
    <s v="F"/>
    <s v="carmen3@adventure-works.com"/>
    <n v="70000"/>
    <n v="1"/>
    <s v="Partial College"/>
    <s v="Skilled Manual"/>
    <s v="N"/>
    <s v="Australia"/>
    <x v="2"/>
    <s v="Pacific"/>
    <x v="1"/>
    <s v="Bikes"/>
    <n v="2071.4196000000002"/>
    <n v="1117.8559"/>
    <n v="953.56370000000004"/>
    <n v="0.460343090313522"/>
  </r>
  <r>
    <x v="262"/>
    <d v="2002-07-17T00:00:00"/>
    <s v="SO47949"/>
    <n v="377"/>
    <n v="13477"/>
    <n v="4"/>
    <n v="1"/>
    <n v="1"/>
    <n v="2"/>
    <s v="BK-R89B-52"/>
    <x v="20"/>
    <n v="1320.6838"/>
    <n v="2181.5625"/>
    <s v="MRS."/>
    <s v="KATHERINE"/>
    <s v="WOOD"/>
    <s v="KATHERINE WOOD"/>
    <d v="1954-06-28T00:00:00"/>
    <s v="M"/>
    <s v="F"/>
    <s v="katherine27@adventure-works.com"/>
    <n v="70000"/>
    <n v="3"/>
    <s v="High School"/>
    <s v="Professional"/>
    <s v="Y"/>
    <s v="Southwest"/>
    <x v="1"/>
    <s v="North America"/>
    <x v="0"/>
    <s v="Bikes"/>
    <n v="2181.5625"/>
    <n v="1320.6838"/>
    <n v="860.87869999999998"/>
    <n v="0.39461564818793898"/>
  </r>
  <r>
    <x v="262"/>
    <d v="2002-08-20T00:00:00"/>
    <s v="SO47948"/>
    <n v="369"/>
    <n v="13450"/>
    <n v="1"/>
    <n v="1"/>
    <n v="1"/>
    <n v="2"/>
    <s v="BK-R89R-48"/>
    <x v="21"/>
    <n v="1518.7864"/>
    <n v="2443.35"/>
    <s v="MRS."/>
    <s v="VICTORIA"/>
    <s v="JONES"/>
    <s v="VICTORIA JONES"/>
    <d v="1961-07-18T00:00:00"/>
    <s v="S"/>
    <s v="F"/>
    <s v="victoria4@adventure-works.com"/>
    <n v="90000"/>
    <n v="4"/>
    <s v="High School"/>
    <s v="Professional"/>
    <s v="Y"/>
    <s v="Northwest"/>
    <x v="1"/>
    <s v="North America"/>
    <x v="0"/>
    <s v="Bikes"/>
    <n v="2443.35"/>
    <n v="1518.7864"/>
    <n v="924.56359999999995"/>
    <n v="0.37839998362903399"/>
  </r>
  <r>
    <x v="295"/>
    <d v="2002-10-04T00:00:00"/>
    <s v="SO48094"/>
    <n v="370"/>
    <n v="13657"/>
    <n v="1"/>
    <n v="1"/>
    <n v="1"/>
    <n v="2"/>
    <s v="BK-R89R-52"/>
    <x v="23"/>
    <n v="1518.7864"/>
    <n v="2443.35"/>
    <s v="MRS."/>
    <s v="KAYLEE"/>
    <s v="COLLINS"/>
    <s v="KAYLEE COLLINS"/>
    <d v="1941-03-15T00:00:00"/>
    <s v="S"/>
    <s v="F"/>
    <s v="kaylee22@adventure-works.com"/>
    <n v="110000"/>
    <n v="2"/>
    <s v="Graduate Degree"/>
    <s v="Management"/>
    <s v="Y"/>
    <s v="Northwest"/>
    <x v="1"/>
    <s v="North America"/>
    <x v="0"/>
    <s v="Bikes"/>
    <n v="2443.35"/>
    <n v="1518.7864"/>
    <n v="924.56359999999995"/>
    <n v="0.37839998362903399"/>
  </r>
  <r>
    <x v="287"/>
    <d v="2002-11-14T00:00:00"/>
    <s v="SO48622"/>
    <n v="356"/>
    <n v="13156"/>
    <n v="9"/>
    <n v="1"/>
    <n v="1"/>
    <n v="1"/>
    <s v="BK-M68S-46"/>
    <x v="14"/>
    <n v="1117.8559"/>
    <n v="2071.4196000000002"/>
    <s v="MR."/>
    <s v="BRADLEY"/>
    <s v="LAL"/>
    <s v="BRADLEY LAL"/>
    <d v="1940-07-06T00:00:00"/>
    <s v="M"/>
    <s v="M"/>
    <s v="bradley11@adventure-works.com"/>
    <n v="30000"/>
    <n v="2"/>
    <s v="Partial College"/>
    <s v="Clerical"/>
    <s v="N"/>
    <s v="Australia"/>
    <x v="2"/>
    <s v="Pacific"/>
    <x v="1"/>
    <s v="Bikes"/>
    <n v="2071.4196000000002"/>
    <n v="1117.8559"/>
    <n v="953.56370000000004"/>
    <n v="0.460343090313522"/>
  </r>
  <r>
    <x v="233"/>
    <d v="2002-08-28T00:00:00"/>
    <s v="SO48681"/>
    <n v="352"/>
    <n v="13160"/>
    <n v="9"/>
    <n v="1"/>
    <n v="1"/>
    <n v="1"/>
    <s v="BK-M68S-38"/>
    <x v="16"/>
    <n v="1117.8559"/>
    <n v="2071.4196000000002"/>
    <s v="MR."/>
    <s v="WILLIE"/>
    <s v="XU"/>
    <s v="WILLIE XU"/>
    <d v="1943-02-07T00:00:00"/>
    <s v="M"/>
    <s v="M"/>
    <s v="willie24@adventure-works.com"/>
    <n v="70000"/>
    <n v="2"/>
    <s v="Graduate Degree"/>
    <s v="Management"/>
    <s v="Y"/>
    <s v="Australia"/>
    <x v="2"/>
    <s v="Pacific"/>
    <x v="1"/>
    <s v="Bikes"/>
    <n v="2071.4196000000002"/>
    <n v="1117.8559"/>
    <n v="953.56370000000004"/>
    <n v="0.460343090313522"/>
  </r>
  <r>
    <x v="296"/>
    <d v="2002-07-23T00:00:00"/>
    <s v="SO48109"/>
    <n v="369"/>
    <n v="13489"/>
    <n v="1"/>
    <n v="1"/>
    <n v="1"/>
    <n v="2"/>
    <s v="BK-R89R-48"/>
    <x v="21"/>
    <n v="1518.7864"/>
    <n v="2443.35"/>
    <s v="MRS."/>
    <s v="JENNIFER"/>
    <s v="WALKER"/>
    <s v="JENNIFER WALKER"/>
    <d v="1939-08-14T00:00:00"/>
    <s v="M"/>
    <s v="F"/>
    <s v="jennifer50@adventure-works.com"/>
    <n v="90000"/>
    <n v="5"/>
    <s v="Bachelors"/>
    <s v="Management"/>
    <s v="Y"/>
    <s v="Northwest"/>
    <x v="1"/>
    <s v="North America"/>
    <x v="0"/>
    <s v="Bikes"/>
    <n v="2443.35"/>
    <n v="1518.7864"/>
    <n v="924.56359999999995"/>
    <n v="0.37839998362903399"/>
  </r>
  <r>
    <x v="297"/>
    <d v="2002-08-13T00:00:00"/>
    <s v="SO48166"/>
    <n v="368"/>
    <n v="13484"/>
    <n v="4"/>
    <n v="1"/>
    <n v="1"/>
    <n v="2"/>
    <s v="BK-R89R-44"/>
    <x v="22"/>
    <n v="1518.7864"/>
    <n v="2443.35"/>
    <s v="MR."/>
    <s v="MARCUS"/>
    <s v="MARTINEZ"/>
    <s v="MARCUS MARTINEZ"/>
    <d v="1937-06-08T00:00:00"/>
    <s v="S"/>
    <s v="M"/>
    <s v="marcus18@adventure-works.com"/>
    <n v="110000"/>
    <n v="2"/>
    <s v="Graduate Degree"/>
    <s v="Management"/>
    <s v="Y"/>
    <s v="Southwest"/>
    <x v="1"/>
    <s v="North America"/>
    <x v="0"/>
    <s v="Bikes"/>
    <n v="2443.35"/>
    <n v="1518.7864"/>
    <n v="924.56359999999995"/>
    <n v="0.37839998362903399"/>
  </r>
  <r>
    <x v="103"/>
    <d v="2002-07-26T00:00:00"/>
    <s v="SO48169"/>
    <n v="377"/>
    <n v="13653"/>
    <n v="1"/>
    <n v="1"/>
    <n v="1"/>
    <n v="2"/>
    <s v="BK-R89B-52"/>
    <x v="20"/>
    <n v="1320.6838"/>
    <n v="2181.5625"/>
    <s v="MR."/>
    <s v="TONY"/>
    <s v="CHANDER"/>
    <s v="TONY CHANDER"/>
    <d v="1941-03-25T00:00:00"/>
    <s v="M"/>
    <s v="M"/>
    <s v="tony18@adventure-works.com"/>
    <n v="90000"/>
    <n v="5"/>
    <s v="Bachelors"/>
    <s v="Management"/>
    <s v="Y"/>
    <s v="Northwest"/>
    <x v="1"/>
    <s v="North America"/>
    <x v="0"/>
    <s v="Bikes"/>
    <n v="2181.5625"/>
    <n v="1320.6838"/>
    <n v="860.87869999999998"/>
    <n v="0.39461564818793898"/>
  </r>
  <r>
    <x v="103"/>
    <d v="2002-10-20T00:00:00"/>
    <s v="SO48172"/>
    <n v="369"/>
    <n v="13658"/>
    <n v="1"/>
    <n v="1"/>
    <n v="1"/>
    <n v="2"/>
    <s v="BK-R89R-48"/>
    <x v="21"/>
    <n v="1518.7864"/>
    <n v="2443.35"/>
    <s v="MR."/>
    <s v="WYATT"/>
    <s v="BENNETT"/>
    <s v="WYATT BENNETT"/>
    <d v="1941-03-13T00:00:00"/>
    <s v="M"/>
    <s v="M"/>
    <s v="wyatt53@adventure-works.com"/>
    <n v="130000"/>
    <n v="2"/>
    <s v="Bachelors"/>
    <s v="Management"/>
    <s v="Y"/>
    <s v="Northwest"/>
    <x v="1"/>
    <s v="North America"/>
    <x v="0"/>
    <s v="Bikes"/>
    <n v="2443.35"/>
    <n v="1518.7864"/>
    <n v="924.56359999999995"/>
    <n v="0.37839998362903399"/>
  </r>
  <r>
    <x v="211"/>
    <d v="2002-11-11T00:00:00"/>
    <s v="SO48281"/>
    <n v="371"/>
    <n v="13492"/>
    <n v="4"/>
    <n v="1"/>
    <n v="1"/>
    <n v="2"/>
    <s v="BK-R89R-58"/>
    <x v="24"/>
    <n v="1320.6838"/>
    <n v="2181.5625"/>
    <s v="MR."/>
    <s v="CHRISTIAN"/>
    <s v="FOSTER"/>
    <s v="CHRISTIAN FOSTER"/>
    <d v="1940-03-04T00:00:00"/>
    <s v="M"/>
    <s v="M"/>
    <s v="christian3@adventure-works.com"/>
    <n v="130000"/>
    <n v="2"/>
    <s v="Bachelors"/>
    <s v="Management"/>
    <s v="Y"/>
    <s v="Southwest"/>
    <x v="1"/>
    <s v="North America"/>
    <x v="0"/>
    <s v="Bikes"/>
    <n v="2181.5625"/>
    <n v="1320.6838"/>
    <n v="860.87869999999998"/>
    <n v="0.39461564818793898"/>
  </r>
  <r>
    <x v="211"/>
    <d v="2002-09-14T00:00:00"/>
    <s v="SO48280"/>
    <n v="377"/>
    <n v="13487"/>
    <n v="4"/>
    <n v="1"/>
    <n v="1"/>
    <n v="2"/>
    <s v="BK-R89B-52"/>
    <x v="20"/>
    <n v="1320.6838"/>
    <n v="2181.5625"/>
    <s v="MRS."/>
    <s v="EMILY"/>
    <s v="MARTIN"/>
    <s v="EMILY MARTIN"/>
    <d v="1937-08-09T00:00:00"/>
    <s v="M"/>
    <s v="F"/>
    <s v="emily15@adventure-works.com"/>
    <n v="150000"/>
    <n v="1"/>
    <s v="Graduate Degree"/>
    <s v="Management"/>
    <s v="Y"/>
    <s v="Southwest"/>
    <x v="1"/>
    <s v="North America"/>
    <x v="0"/>
    <s v="Bikes"/>
    <n v="2181.5625"/>
    <n v="1320.6838"/>
    <n v="860.87869999999998"/>
    <n v="0.39461564818793898"/>
  </r>
  <r>
    <x v="298"/>
    <d v="2002-11-02T00:00:00"/>
    <s v="SO48484"/>
    <n v="352"/>
    <n v="13525"/>
    <n v="9"/>
    <n v="1"/>
    <n v="1"/>
    <n v="1"/>
    <s v="BK-M68S-38"/>
    <x v="16"/>
    <n v="1117.8559"/>
    <n v="2071.4196000000002"/>
    <s v="MS."/>
    <s v="CASSANDRA"/>
    <s v="VAN"/>
    <s v="CASSANDRA VAN"/>
    <d v="1978-02-09T00:00:00"/>
    <s v="M"/>
    <s v="F"/>
    <s v="cassandra4@adventure-works.com"/>
    <n v="20000"/>
    <n v="0"/>
    <s v="Bachelors"/>
    <s v="Clerical"/>
    <s v="Y"/>
    <s v="Australia"/>
    <x v="2"/>
    <s v="Pacific"/>
    <x v="1"/>
    <s v="Bikes"/>
    <n v="2071.4196000000002"/>
    <n v="1117.8559"/>
    <n v="953.56370000000004"/>
    <n v="0.460343090313522"/>
  </r>
  <r>
    <x v="191"/>
    <d v="2002-12-03T00:00:00"/>
    <s v="SO48611"/>
    <n v="360"/>
    <n v="13518"/>
    <n v="9"/>
    <n v="1"/>
    <n v="1"/>
    <n v="1"/>
    <s v="BK-M68B-42"/>
    <x v="17"/>
    <n v="1105.81"/>
    <n v="2049.0981999999999"/>
    <s v="MR."/>
    <s v="BRENDAN"/>
    <s v="GOLDSTEIN"/>
    <s v="BRENDAN GOLDSTEIN"/>
    <d v="1979-07-15T00:00:00"/>
    <s v="S"/>
    <s v="M"/>
    <s v="brendan17@adventure-works.com"/>
    <n v="10000"/>
    <n v="0"/>
    <s v="Partial College"/>
    <s v="Manual"/>
    <s v="N"/>
    <s v="Australia"/>
    <x v="2"/>
    <s v="Pacific"/>
    <x v="1"/>
    <s v="Bikes"/>
    <n v="2049.0981999999999"/>
    <n v="1105.81"/>
    <n v="943.28819999999996"/>
    <n v="0.46034309141455498"/>
  </r>
  <r>
    <x v="217"/>
    <d v="2002-11-05T00:00:00"/>
    <s v="SO48700"/>
    <n v="360"/>
    <n v="13519"/>
    <n v="9"/>
    <n v="1"/>
    <n v="1"/>
    <n v="1"/>
    <s v="BK-M68B-42"/>
    <x v="17"/>
    <n v="1105.81"/>
    <n v="2049.0981999999999"/>
    <s v="MR."/>
    <s v="LUCAS"/>
    <s v="FOSTER"/>
    <s v="LUCAS FOSTER"/>
    <d v="1978-10-03T00:00:00"/>
    <s v="S"/>
    <s v="M"/>
    <s v="lucas64@adventure-works.com"/>
    <n v="10000"/>
    <n v="0"/>
    <s v="Partial College"/>
    <s v="Manual"/>
    <s v="Y"/>
    <s v="Australia"/>
    <x v="2"/>
    <s v="Pacific"/>
    <x v="1"/>
    <s v="Bikes"/>
    <n v="2049.0981999999999"/>
    <n v="1105.81"/>
    <n v="943.28819999999996"/>
    <n v="0.46034309141455498"/>
  </r>
  <r>
    <x v="191"/>
    <d v="2002-10-10T00:00:00"/>
    <s v="SO48612"/>
    <n v="352"/>
    <n v="13520"/>
    <n v="9"/>
    <n v="1"/>
    <n v="1"/>
    <n v="1"/>
    <s v="BK-M68S-38"/>
    <x v="16"/>
    <n v="1117.8559"/>
    <n v="2071.4196000000002"/>
    <s v="MS."/>
    <s v="CAROL"/>
    <s v="NELSON"/>
    <s v="CAROL NELSON"/>
    <d v="1978-02-08T00:00:00"/>
    <s v="S"/>
    <s v="F"/>
    <s v="carol13@adventure-works.com"/>
    <n v="10000"/>
    <n v="0"/>
    <s v="Partial College"/>
    <s v="Manual"/>
    <s v="Y"/>
    <s v="Australia"/>
    <x v="2"/>
    <s v="Pacific"/>
    <x v="1"/>
    <s v="Bikes"/>
    <n v="2071.4196000000002"/>
    <n v="1117.8559"/>
    <n v="953.56370000000004"/>
    <n v="0.460343090313522"/>
  </r>
  <r>
    <x v="285"/>
    <d v="2002-11-25T00:00:00"/>
    <s v="SO48664"/>
    <n v="354"/>
    <n v="13521"/>
    <n v="9"/>
    <n v="1"/>
    <n v="1"/>
    <n v="1"/>
    <s v="BK-M68S-42"/>
    <x v="18"/>
    <n v="1117.8559"/>
    <n v="2071.4196000000002"/>
    <s v="MS."/>
    <s v="SANDRA"/>
    <s v="LU"/>
    <s v="SANDRA LU"/>
    <d v="1978-01-25T00:00:00"/>
    <s v="S"/>
    <s v="F"/>
    <s v="sandra18@adventure-works.com"/>
    <n v="10000"/>
    <n v="0"/>
    <s v="Partial College"/>
    <s v="Manual"/>
    <s v="Y"/>
    <s v="Australia"/>
    <x v="2"/>
    <s v="Pacific"/>
    <x v="1"/>
    <s v="Bikes"/>
    <n v="2071.4196000000002"/>
    <n v="1117.8559"/>
    <n v="953.56370000000004"/>
    <n v="0.460343090313522"/>
  </r>
  <r>
    <x v="188"/>
    <d v="2002-12-04T00:00:00"/>
    <s v="SO48641"/>
    <n v="354"/>
    <n v="13524"/>
    <n v="9"/>
    <n v="1"/>
    <n v="1"/>
    <n v="1"/>
    <s v="BK-M68S-42"/>
    <x v="18"/>
    <n v="1117.8559"/>
    <n v="2071.4196000000002"/>
    <s v="MS."/>
    <s v="CHERYL"/>
    <s v="BLANCO"/>
    <s v="CHERYL BLANCO"/>
    <d v="1978-08-11T00:00:00"/>
    <s v="M"/>
    <s v="F"/>
    <s v="cheryl18@adventure-works.com"/>
    <n v="20000"/>
    <n v="0"/>
    <s v="Bachelors"/>
    <s v="Clerical"/>
    <s v="N"/>
    <s v="Australia"/>
    <x v="2"/>
    <s v="Pacific"/>
    <x v="1"/>
    <s v="Bikes"/>
    <n v="2071.4196000000002"/>
    <n v="1117.8559"/>
    <n v="953.56370000000004"/>
    <n v="0.460343090313522"/>
  </r>
  <r>
    <x v="299"/>
    <d v="2002-09-30T00:00:00"/>
    <s v="SO48239"/>
    <n v="373"/>
    <n v="13700"/>
    <n v="4"/>
    <n v="1"/>
    <n v="1"/>
    <n v="2"/>
    <s v="BK-R89B-44"/>
    <x v="19"/>
    <n v="1320.6838"/>
    <n v="2181.5625"/>
    <s v="MR."/>
    <s v="EVAN"/>
    <s v="HOWARD"/>
    <s v="EVAN HOWARD"/>
    <d v="1975-03-03T00:00:00"/>
    <s v="S"/>
    <s v="M"/>
    <s v="evan12@adventure-works.com"/>
    <n v="40000"/>
    <n v="3"/>
    <s v="Partial College"/>
    <s v="Clerical"/>
    <s v="Y"/>
    <s v="Southwest"/>
    <x v="1"/>
    <s v="North America"/>
    <x v="0"/>
    <s v="Bikes"/>
    <n v="2181.5625"/>
    <n v="1320.6838"/>
    <n v="860.87869999999998"/>
    <n v="0.39461564818793898"/>
  </r>
  <r>
    <x v="300"/>
    <d v="2002-08-26T00:00:00"/>
    <s v="SO48192"/>
    <n v="377"/>
    <n v="13702"/>
    <n v="4"/>
    <n v="1"/>
    <n v="1"/>
    <n v="2"/>
    <s v="BK-R89B-52"/>
    <x v="20"/>
    <n v="1320.6838"/>
    <n v="2181.5625"/>
    <s v="MRS."/>
    <s v="JESSIE"/>
    <s v="SUAREZ"/>
    <s v="JESSIE SUAREZ"/>
    <d v="1974-06-16T00:00:00"/>
    <s v="S"/>
    <s v="F"/>
    <s v="jessie38@adventure-works.com"/>
    <n v="40000"/>
    <n v="3"/>
    <s v="Partial College"/>
    <s v="Clerical"/>
    <s v="Y"/>
    <s v="Southwest"/>
    <x v="1"/>
    <s v="North America"/>
    <x v="0"/>
    <s v="Bikes"/>
    <n v="2181.5625"/>
    <n v="1320.6838"/>
    <n v="860.87869999999998"/>
    <n v="0.39461564818793898"/>
  </r>
  <r>
    <x v="103"/>
    <d v="2002-10-28T00:00:00"/>
    <s v="SO48173"/>
    <n v="375"/>
    <n v="13704"/>
    <n v="1"/>
    <n v="1"/>
    <n v="1"/>
    <n v="2"/>
    <s v="BK-R89B-48"/>
    <x v="25"/>
    <n v="1320.6838"/>
    <n v="2181.5625"/>
    <s v="MS."/>
    <s v="VICTORIA"/>
    <s v="DAVIS"/>
    <s v="VICTORIA DAVIS"/>
    <d v="1974-09-10T00:00:00"/>
    <s v="S"/>
    <s v="F"/>
    <s v="victoria6@adventure-works.com"/>
    <n v="30000"/>
    <n v="0"/>
    <s v="Graduate Degree"/>
    <s v="Skilled Manual"/>
    <s v="Y"/>
    <s v="Northwest"/>
    <x v="1"/>
    <s v="North America"/>
    <x v="0"/>
    <s v="Bikes"/>
    <n v="2181.5625"/>
    <n v="1320.6838"/>
    <n v="860.87869999999998"/>
    <n v="0.39461564818793898"/>
  </r>
  <r>
    <x v="167"/>
    <d v="2002-08-23T00:00:00"/>
    <s v="SO48181"/>
    <n v="370"/>
    <n v="13705"/>
    <n v="1"/>
    <n v="1"/>
    <n v="1"/>
    <n v="2"/>
    <s v="BK-R89R-52"/>
    <x v="23"/>
    <n v="1518.7864"/>
    <n v="2443.35"/>
    <s v="MR."/>
    <s v="BLAKE"/>
    <s v="MITCHELL"/>
    <s v="BLAKE MITCHELL"/>
    <d v="1974-08-12T00:00:00"/>
    <s v="S"/>
    <s v="M"/>
    <s v="blake38@adventure-works.com"/>
    <n v="30000"/>
    <n v="0"/>
    <s v="Graduate Degree"/>
    <s v="Skilled Manual"/>
    <s v="Y"/>
    <s v="Northwest"/>
    <x v="1"/>
    <s v="North America"/>
    <x v="0"/>
    <s v="Bikes"/>
    <n v="2443.35"/>
    <n v="1518.7864"/>
    <n v="924.56359999999995"/>
    <n v="0.37839998362903399"/>
  </r>
  <r>
    <x v="301"/>
    <d v="2002-07-27T00:00:00"/>
    <s v="SO48112"/>
    <n v="371"/>
    <n v="13712"/>
    <n v="1"/>
    <n v="1"/>
    <n v="1"/>
    <n v="2"/>
    <s v="BK-R89R-58"/>
    <x v="24"/>
    <n v="1320.6838"/>
    <n v="2181.5625"/>
    <s v="MS."/>
    <s v="NANCY"/>
    <s v="MARTINEZ"/>
    <s v="NANCY MARTINEZ"/>
    <d v="1966-07-02T00:00:00"/>
    <s v="S"/>
    <s v="F"/>
    <s v="nancy21@adventure-works.com"/>
    <n v="60000"/>
    <n v="0"/>
    <s v="Graduate Degree"/>
    <s v="Skilled Manual"/>
    <s v="Y"/>
    <s v="Northwest"/>
    <x v="1"/>
    <s v="North America"/>
    <x v="0"/>
    <s v="Bikes"/>
    <n v="2181.5625"/>
    <n v="1320.6838"/>
    <n v="860.87869999999998"/>
    <n v="0.39461564818793898"/>
  </r>
  <r>
    <x v="283"/>
    <d v="2002-08-30T00:00:00"/>
    <s v="SO48266"/>
    <n v="370"/>
    <n v="13713"/>
    <n v="1"/>
    <n v="1"/>
    <n v="1"/>
    <n v="2"/>
    <s v="BK-R89R-52"/>
    <x v="23"/>
    <n v="1518.7864"/>
    <n v="2443.35"/>
    <s v="MR."/>
    <s v="ALEXANDER"/>
    <s v="WALKER"/>
    <s v="ALEXANDER WALKER"/>
    <d v="1966-02-06T00:00:00"/>
    <s v="S"/>
    <s v="M"/>
    <s v="alexander10@adventure-works.com"/>
    <n v="60000"/>
    <n v="0"/>
    <s v="Graduate Degree"/>
    <s v="Skilled Manual"/>
    <s v="N"/>
    <s v="Northwest"/>
    <x v="1"/>
    <s v="North America"/>
    <x v="0"/>
    <s v="Bikes"/>
    <n v="2443.35"/>
    <n v="1518.7864"/>
    <n v="924.56359999999995"/>
    <n v="0.37839998362903399"/>
  </r>
  <r>
    <x v="302"/>
    <d v="2002-08-17T00:00:00"/>
    <s v="SO48162"/>
    <n v="369"/>
    <n v="13714"/>
    <n v="1"/>
    <n v="1"/>
    <n v="1"/>
    <n v="2"/>
    <s v="BK-R89R-48"/>
    <x v="21"/>
    <n v="1518.7864"/>
    <n v="2443.35"/>
    <s v="MRS."/>
    <s v="AMANDA"/>
    <s v="WARD"/>
    <s v="AMANDA WARD"/>
    <d v="1953-07-18T00:00:00"/>
    <s v="M"/>
    <s v="F"/>
    <s v="amanda12@adventure-works.com"/>
    <n v="20000"/>
    <n v="2"/>
    <s v="High School"/>
    <s v="Manual"/>
    <s v="N"/>
    <s v="Northwest"/>
    <x v="1"/>
    <s v="North America"/>
    <x v="0"/>
    <s v="Bikes"/>
    <n v="2443.35"/>
    <n v="1518.7864"/>
    <n v="924.56359999999995"/>
    <n v="0.37839998362903399"/>
  </r>
  <r>
    <x v="200"/>
    <d v="2002-11-26T00:00:00"/>
    <s v="SO48670"/>
    <n v="377"/>
    <n v="13715"/>
    <n v="4"/>
    <n v="1"/>
    <n v="1"/>
    <n v="2"/>
    <s v="BK-R89B-52"/>
    <x v="20"/>
    <n v="1320.6838"/>
    <n v="2181.5625"/>
    <s v="MR."/>
    <s v="EDUARDO"/>
    <s v="SANCHEZ"/>
    <s v="EDUARDO SANCHEZ"/>
    <d v="1953-06-25T00:00:00"/>
    <s v="M"/>
    <s v="M"/>
    <s v="eduardo84@adventure-works.com"/>
    <n v="30000"/>
    <n v="1"/>
    <s v="Bachelors"/>
    <s v="Skilled Manual"/>
    <s v="Y"/>
    <s v="Southwest"/>
    <x v="1"/>
    <s v="North America"/>
    <x v="0"/>
    <s v="Bikes"/>
    <n v="2181.5625"/>
    <n v="1320.6838"/>
    <n v="860.87869999999998"/>
    <n v="0.39461564818793898"/>
  </r>
  <r>
    <x v="291"/>
    <d v="2002-11-14T00:00:00"/>
    <s v="SO48553"/>
    <n v="370"/>
    <n v="13716"/>
    <n v="4"/>
    <n v="1"/>
    <n v="1"/>
    <n v="2"/>
    <s v="BK-R89R-52"/>
    <x v="23"/>
    <n v="1518.7864"/>
    <n v="2443.35"/>
    <s v="MR."/>
    <s v="BRANDON"/>
    <s v="JAI"/>
    <s v="BRANDON JAI"/>
    <d v="1953-06-13T00:00:00"/>
    <s v="M"/>
    <s v="M"/>
    <s v="brandon28@adventure-works.com"/>
    <n v="30000"/>
    <n v="1"/>
    <s v="Bachelors"/>
    <s v="Skilled Manual"/>
    <s v="Y"/>
    <s v="Southwest"/>
    <x v="1"/>
    <s v="North America"/>
    <x v="0"/>
    <s v="Bikes"/>
    <n v="2443.35"/>
    <n v="1518.7864"/>
    <n v="924.56359999999995"/>
    <n v="0.37839998362903399"/>
  </r>
  <r>
    <x v="289"/>
    <d v="2002-10-29T00:00:00"/>
    <s v="SO48414"/>
    <n v="369"/>
    <n v="13718"/>
    <n v="1"/>
    <n v="1"/>
    <n v="1"/>
    <n v="2"/>
    <s v="BK-R89R-48"/>
    <x v="21"/>
    <n v="1518.7864"/>
    <n v="2443.35"/>
    <s v="MR."/>
    <s v="MARCUS"/>
    <s v="BARNES"/>
    <s v="MARCUS BARNES"/>
    <d v="1953-08-24T00:00:00"/>
    <s v="M"/>
    <s v="M"/>
    <s v="marcus52@adventure-works.com"/>
    <n v="30000"/>
    <n v="1"/>
    <s v="Bachelors"/>
    <s v="Skilled Manual"/>
    <s v="Y"/>
    <s v="Northwest"/>
    <x v="1"/>
    <s v="North America"/>
    <x v="0"/>
    <s v="Bikes"/>
    <n v="2443.35"/>
    <n v="1518.7864"/>
    <n v="924.56359999999995"/>
    <n v="0.37839998362903399"/>
  </r>
  <r>
    <x v="287"/>
    <d v="2002-08-26T00:00:00"/>
    <s v="SO48616"/>
    <n v="373"/>
    <n v="13721"/>
    <n v="1"/>
    <n v="1"/>
    <n v="1"/>
    <n v="2"/>
    <s v="BK-R89B-44"/>
    <x v="19"/>
    <n v="1320.6838"/>
    <n v="2181.5625"/>
    <s v="MR."/>
    <s v="LUCAS"/>
    <s v="HOWARD"/>
    <s v="LUCAS HOWARD"/>
    <d v="1954-04-12T00:00:00"/>
    <s v="S"/>
    <s v="M"/>
    <s v="lucas83@adventure-works.com"/>
    <n v="20000"/>
    <n v="3"/>
    <s v="Partial High School"/>
    <s v="Clerical"/>
    <s v="Y"/>
    <s v="Northwest"/>
    <x v="1"/>
    <s v="North America"/>
    <x v="0"/>
    <s v="Bikes"/>
    <n v="2181.5625"/>
    <n v="1320.6838"/>
    <n v="860.87869999999998"/>
    <n v="0.39461564818793898"/>
  </r>
  <r>
    <x v="303"/>
    <d v="2002-10-15T00:00:00"/>
    <s v="SO48646"/>
    <n v="370"/>
    <n v="13722"/>
    <n v="1"/>
    <n v="1"/>
    <n v="1"/>
    <n v="2"/>
    <s v="BK-R89R-52"/>
    <x v="23"/>
    <n v="1518.7864"/>
    <n v="2443.35"/>
    <s v="MR."/>
    <s v="LUKE"/>
    <s v="CAMPBELL"/>
    <s v="LUKE CAMPBELL"/>
    <d v="1954-12-24T00:00:00"/>
    <s v="M"/>
    <s v="M"/>
    <s v="luke38@adventure-works.com"/>
    <n v="30000"/>
    <n v="1"/>
    <s v="High School"/>
    <s v="Manual"/>
    <s v="Y"/>
    <s v="Northwest"/>
    <x v="1"/>
    <s v="North America"/>
    <x v="0"/>
    <s v="Bikes"/>
    <n v="2443.35"/>
    <n v="1518.7864"/>
    <n v="924.56359999999995"/>
    <n v="0.37839998362903399"/>
  </r>
  <r>
    <x v="286"/>
    <d v="2002-11-02T00:00:00"/>
    <s v="SO48526"/>
    <n v="375"/>
    <n v="13724"/>
    <n v="4"/>
    <n v="1"/>
    <n v="1"/>
    <n v="2"/>
    <s v="BK-R89B-48"/>
    <x v="25"/>
    <n v="1320.6838"/>
    <n v="2181.5625"/>
    <s v="MR."/>
    <s v="CHARLES"/>
    <s v="THOMPSON"/>
    <s v="CHARLES THOMPSON"/>
    <d v="1954-02-11T00:00:00"/>
    <s v="M"/>
    <s v="M"/>
    <s v="charles19@adventure-works.com"/>
    <n v="40000"/>
    <n v="1"/>
    <s v="Partial College"/>
    <s v="Clerical"/>
    <s v="Y"/>
    <s v="Southwest"/>
    <x v="1"/>
    <s v="North America"/>
    <x v="0"/>
    <s v="Bikes"/>
    <n v="2181.5625"/>
    <n v="1320.6838"/>
    <n v="860.87869999999998"/>
    <n v="0.39461564818793898"/>
  </r>
  <r>
    <x v="287"/>
    <d v="2002-09-27T00:00:00"/>
    <s v="SO48617"/>
    <n v="371"/>
    <n v="13725"/>
    <n v="4"/>
    <n v="1"/>
    <n v="1"/>
    <n v="2"/>
    <s v="BK-R89R-58"/>
    <x v="24"/>
    <n v="1320.6838"/>
    <n v="2181.5625"/>
    <s v="MR."/>
    <s v="NATHAN"/>
    <s v="HENDERSON"/>
    <s v="NATHAN HENDERSON"/>
    <d v="1954-10-08T00:00:00"/>
    <s v="M"/>
    <s v="M"/>
    <s v="nathan1@adventure-works.com"/>
    <n v="40000"/>
    <n v="1"/>
    <s v="Partial College"/>
    <s v="Clerical"/>
    <s v="Y"/>
    <s v="Southwest"/>
    <x v="1"/>
    <s v="North America"/>
    <x v="0"/>
    <s v="Bikes"/>
    <n v="2181.5625"/>
    <n v="1320.6838"/>
    <n v="860.87869999999998"/>
    <n v="0.39461564818793898"/>
  </r>
  <r>
    <x v="292"/>
    <d v="2002-11-05T00:00:00"/>
    <s v="SO48571"/>
    <n v="377"/>
    <n v="13726"/>
    <n v="4"/>
    <n v="1"/>
    <n v="1"/>
    <n v="2"/>
    <s v="BK-R89B-52"/>
    <x v="20"/>
    <n v="1320.6838"/>
    <n v="2181.5625"/>
    <s v="MR."/>
    <s v="AUSTIN"/>
    <s v="LEWIS"/>
    <s v="AUSTIN LEWIS"/>
    <d v="1954-07-04T00:00:00"/>
    <s v="M"/>
    <s v="M"/>
    <s v="austin36@adventure-works.com"/>
    <n v="40000"/>
    <n v="1"/>
    <s v="Partial College"/>
    <s v="Clerical"/>
    <s v="Y"/>
    <s v="Southwest"/>
    <x v="1"/>
    <s v="North America"/>
    <x v="0"/>
    <s v="Bikes"/>
    <n v="2181.5625"/>
    <n v="1320.6838"/>
    <n v="860.87869999999998"/>
    <n v="0.39461564818793898"/>
  </r>
  <r>
    <x v="219"/>
    <d v="2002-10-07T00:00:00"/>
    <s v="SO48685"/>
    <n v="369"/>
    <n v="13728"/>
    <n v="4"/>
    <n v="1"/>
    <n v="1"/>
    <n v="2"/>
    <s v="BK-R89R-48"/>
    <x v="21"/>
    <n v="1518.7864"/>
    <n v="2443.35"/>
    <s v="MRS."/>
    <s v="TAYLOR"/>
    <s v="STEWART"/>
    <s v="TAYLOR STEWART"/>
    <d v="1955-08-26T00:00:00"/>
    <s v="M"/>
    <s v="F"/>
    <s v="taylor1@adventure-works.com"/>
    <n v="40000"/>
    <n v="1"/>
    <s v="Partial College"/>
    <s v="Clerical"/>
    <s v="Y"/>
    <s v="Southwest"/>
    <x v="1"/>
    <s v="North America"/>
    <x v="0"/>
    <s v="Bikes"/>
    <n v="2443.35"/>
    <n v="1518.7864"/>
    <n v="924.56359999999995"/>
    <n v="0.37839998362903399"/>
  </r>
  <r>
    <x v="233"/>
    <d v="2002-09-16T00:00:00"/>
    <s v="SO48676"/>
    <n v="370"/>
    <n v="13729"/>
    <n v="1"/>
    <n v="1"/>
    <n v="1"/>
    <n v="2"/>
    <s v="BK-R89R-52"/>
    <x v="23"/>
    <n v="1518.7864"/>
    <n v="2443.35"/>
    <s v="MR."/>
    <s v="JASON"/>
    <s v="LI"/>
    <s v="JASON LI"/>
    <d v="1955-10-10T00:00:00"/>
    <s v="M"/>
    <s v="M"/>
    <s v="jason24@adventure-works.com"/>
    <n v="40000"/>
    <n v="1"/>
    <s v="Partial College"/>
    <s v="Clerical"/>
    <s v="Y"/>
    <s v="Northwest"/>
    <x v="1"/>
    <s v="North America"/>
    <x v="0"/>
    <s v="Bikes"/>
    <n v="2443.35"/>
    <n v="1518.7864"/>
    <n v="924.56359999999995"/>
    <n v="0.37839998362903399"/>
  </r>
  <r>
    <x v="218"/>
    <d v="2002-11-09T00:00:00"/>
    <s v="SO48404"/>
    <n v="377"/>
    <n v="13730"/>
    <n v="1"/>
    <n v="1"/>
    <n v="1"/>
    <n v="2"/>
    <s v="BK-R89B-52"/>
    <x v="20"/>
    <n v="1320.6838"/>
    <n v="2181.5625"/>
    <s v="MR."/>
    <s v="WALTER"/>
    <s v="SUAREZ"/>
    <s v="WALTER SUAREZ"/>
    <d v="1955-12-25T00:00:00"/>
    <s v="M"/>
    <s v="M"/>
    <s v="walter12@adventure-works.com"/>
    <n v="40000"/>
    <n v="1"/>
    <s v="Partial College"/>
    <s v="Clerical"/>
    <s v="Y"/>
    <s v="Northwest"/>
    <x v="1"/>
    <s v="North America"/>
    <x v="0"/>
    <s v="Bikes"/>
    <n v="2181.5625"/>
    <n v="1320.6838"/>
    <n v="860.87869999999998"/>
    <n v="0.39461564818793898"/>
  </r>
  <r>
    <x v="232"/>
    <d v="2002-09-20T00:00:00"/>
    <s v="SO48428"/>
    <n v="371"/>
    <n v="13733"/>
    <n v="1"/>
    <n v="1"/>
    <n v="1"/>
    <n v="2"/>
    <s v="BK-R89R-58"/>
    <x v="24"/>
    <n v="1320.6838"/>
    <n v="2181.5625"/>
    <s v="MRS."/>
    <s v="SYDNEY"/>
    <s v="COLLINS"/>
    <s v="SYDNEY COLLINS"/>
    <d v="1956-09-21T00:00:00"/>
    <s v="M"/>
    <s v="F"/>
    <s v="sydney46@adventure-works.com"/>
    <n v="40000"/>
    <n v="1"/>
    <s v="Partial College"/>
    <s v="Clerical"/>
    <s v="Y"/>
    <s v="Northwest"/>
    <x v="1"/>
    <s v="North America"/>
    <x v="0"/>
    <s v="Bikes"/>
    <n v="2181.5625"/>
    <n v="1320.6838"/>
    <n v="860.87869999999998"/>
    <n v="0.39461564818793898"/>
  </r>
  <r>
    <x v="304"/>
    <d v="2002-09-07T00:00:00"/>
    <s v="SO48464"/>
    <n v="375"/>
    <n v="13734"/>
    <n v="4"/>
    <n v="1"/>
    <n v="1"/>
    <n v="2"/>
    <s v="BK-R89B-48"/>
    <x v="25"/>
    <n v="1320.6838"/>
    <n v="2181.5625"/>
    <s v="MRS."/>
    <s v="KRISTI"/>
    <s v="GONZALEZ"/>
    <s v="KRISTI GONZALEZ"/>
    <d v="1956-07-09T00:00:00"/>
    <s v="M"/>
    <s v="F"/>
    <s v="kristi36@adventure-works.com"/>
    <n v="40000"/>
    <n v="1"/>
    <s v="Partial College"/>
    <s v="Clerical"/>
    <s v="Y"/>
    <s v="Southwest"/>
    <x v="1"/>
    <s v="North America"/>
    <x v="0"/>
    <s v="Bikes"/>
    <n v="2181.5625"/>
    <n v="1320.6838"/>
    <n v="860.87869999999998"/>
    <n v="0.39461564818793898"/>
  </r>
  <r>
    <x v="190"/>
    <d v="2002-09-04T00:00:00"/>
    <s v="SO48442"/>
    <n v="377"/>
    <n v="13735"/>
    <n v="1"/>
    <n v="1"/>
    <n v="1"/>
    <n v="2"/>
    <s v="BK-R89B-52"/>
    <x v="20"/>
    <n v="1320.6838"/>
    <n v="2181.5625"/>
    <s v="MR."/>
    <s v="DENNIS"/>
    <s v="GUO"/>
    <s v="DENNIS GUO"/>
    <d v="1956-05-07T00:00:00"/>
    <s v="M"/>
    <s v="M"/>
    <s v="dennis19@adventure-works.com"/>
    <n v="40000"/>
    <n v="1"/>
    <s v="Partial College"/>
    <s v="Clerical"/>
    <s v="Y"/>
    <s v="Northwest"/>
    <x v="1"/>
    <s v="North America"/>
    <x v="0"/>
    <s v="Bikes"/>
    <n v="2181.5625"/>
    <n v="1320.6838"/>
    <n v="860.87869999999998"/>
    <n v="0.39461564818793898"/>
  </r>
  <r>
    <x v="294"/>
    <d v="2002-10-10T00:00:00"/>
    <s v="SO48508"/>
    <n v="377"/>
    <n v="13736"/>
    <n v="4"/>
    <n v="1"/>
    <n v="1"/>
    <n v="2"/>
    <s v="BK-R89B-52"/>
    <x v="20"/>
    <n v="1320.6838"/>
    <n v="2181.5625"/>
    <s v="MR."/>
    <s v="COLE"/>
    <s v="RIVERA"/>
    <s v="COLE RIVERA"/>
    <d v="1956-01-24T00:00:00"/>
    <s v="M"/>
    <s v="M"/>
    <s v="cole17@adventure-works.com"/>
    <n v="40000"/>
    <n v="1"/>
    <s v="Partial College"/>
    <s v="Clerical"/>
    <s v="Y"/>
    <s v="Southwest"/>
    <x v="1"/>
    <s v="North America"/>
    <x v="0"/>
    <s v="Bikes"/>
    <n v="2181.5625"/>
    <n v="1320.6838"/>
    <n v="860.87869999999998"/>
    <n v="0.39461564818793898"/>
  </r>
  <r>
    <x v="189"/>
    <d v="2002-11-20T00:00:00"/>
    <s v="SO48579"/>
    <n v="379"/>
    <n v="13741"/>
    <n v="4"/>
    <n v="1"/>
    <n v="1"/>
    <n v="2"/>
    <s v="BK-R89B-58"/>
    <x v="26"/>
    <n v="1320.6838"/>
    <n v="2181.5625"/>
    <s v="MRS."/>
    <s v="HALEY"/>
    <s v="MORGAN"/>
    <s v="HALEY MORGAN"/>
    <d v="1957-10-19T00:00:00"/>
    <s v="M"/>
    <s v="F"/>
    <s v="haley4@adventure-works.com"/>
    <n v="40000"/>
    <n v="1"/>
    <s v="Partial College"/>
    <s v="Clerical"/>
    <s v="Y"/>
    <s v="Southwest"/>
    <x v="1"/>
    <s v="North America"/>
    <x v="0"/>
    <s v="Bikes"/>
    <n v="2181.5625"/>
    <n v="1320.6838"/>
    <n v="860.87869999999998"/>
    <n v="0.39461564818793898"/>
  </r>
  <r>
    <x v="221"/>
    <d v="2002-07-01T00:00:00"/>
    <s v="SO46809"/>
    <n v="371"/>
    <n v="13766"/>
    <n v="7"/>
    <n v="1"/>
    <n v="1"/>
    <n v="2"/>
    <s v="BK-R89R-58"/>
    <x v="24"/>
    <n v="1320.6838"/>
    <n v="2181.5625"/>
    <s v="MR."/>
    <s v="JOE"/>
    <s v="GILL"/>
    <s v="JOE GILL"/>
    <d v="1968-02-04T00:00:00"/>
    <s v="M"/>
    <s v="M"/>
    <s v="joe37@adventure-works.com"/>
    <n v="30000"/>
    <n v="1"/>
    <s v="Bachelors"/>
    <s v="Clerical"/>
    <s v="Y"/>
    <s v="France"/>
    <x v="0"/>
    <s v="Europe"/>
    <x v="0"/>
    <s v="Bikes"/>
    <n v="2181.5625"/>
    <n v="1320.6838"/>
    <n v="860.87869999999998"/>
    <n v="0.39461564818793898"/>
  </r>
  <r>
    <x v="226"/>
    <d v="2002-06-14T00:00:00"/>
    <s v="SO46835"/>
    <n v="371"/>
    <n v="13768"/>
    <n v="7"/>
    <n v="1"/>
    <n v="1"/>
    <n v="2"/>
    <s v="BK-R89R-58"/>
    <x v="24"/>
    <n v="1320.6838"/>
    <n v="2181.5625"/>
    <s v="MR."/>
    <s v="ROSS"/>
    <s v="MUNOZ"/>
    <s v="ROSS MUNOZ"/>
    <d v="1968-04-20T00:00:00"/>
    <s v="M"/>
    <s v="M"/>
    <s v="ross27@adventure-works.com"/>
    <n v="40000"/>
    <n v="0"/>
    <s v="Graduate Degree"/>
    <s v="Clerical"/>
    <s v="Y"/>
    <s v="France"/>
    <x v="0"/>
    <s v="Europe"/>
    <x v="0"/>
    <s v="Bikes"/>
    <n v="2181.5625"/>
    <n v="1320.6838"/>
    <n v="860.87869999999998"/>
    <n v="0.39461564818793898"/>
  </r>
  <r>
    <x v="226"/>
    <d v="2002-04-08T00:00:00"/>
    <s v="SO46836"/>
    <n v="377"/>
    <n v="13769"/>
    <n v="7"/>
    <n v="1"/>
    <n v="1"/>
    <n v="2"/>
    <s v="BK-R89B-52"/>
    <x v="20"/>
    <n v="1320.6838"/>
    <n v="2181.5625"/>
    <s v="MR."/>
    <s v="BRENDAN"/>
    <s v="KUMAR"/>
    <s v="BRENDAN KUMAR"/>
    <d v="1968-09-02T00:00:00"/>
    <s v="M"/>
    <s v="M"/>
    <s v="brendan6@adventure-works.com"/>
    <n v="40000"/>
    <n v="0"/>
    <s v="Graduate Degree"/>
    <s v="Clerical"/>
    <s v="Y"/>
    <s v="France"/>
    <x v="0"/>
    <s v="Europe"/>
    <x v="0"/>
    <s v="Bikes"/>
    <n v="2181.5625"/>
    <n v="1320.6838"/>
    <n v="860.87869999999998"/>
    <n v="0.39461564818793898"/>
  </r>
  <r>
    <x v="74"/>
    <d v="2002-05-06T00:00:00"/>
    <s v="SO46712"/>
    <n v="373"/>
    <n v="13779"/>
    <n v="7"/>
    <n v="1"/>
    <n v="1"/>
    <n v="2"/>
    <s v="BK-R89B-44"/>
    <x v="19"/>
    <n v="1320.6838"/>
    <n v="2181.5625"/>
    <s v="MR."/>
    <s v="MANUEL"/>
    <s v="GARCIA"/>
    <s v="MANUEL GARCIA"/>
    <d v="1966-11-10T00:00:00"/>
    <s v="S"/>
    <s v="M"/>
    <s v="manuel13@adventure-works.com"/>
    <n v="10000"/>
    <n v="4"/>
    <s v="Partial High School"/>
    <s v="Manual"/>
    <s v="Y"/>
    <s v="France"/>
    <x v="0"/>
    <s v="Europe"/>
    <x v="0"/>
    <s v="Bikes"/>
    <n v="2181.5625"/>
    <n v="1320.6838"/>
    <n v="860.87869999999998"/>
    <n v="0.39461564818793898"/>
  </r>
  <r>
    <x v="95"/>
    <d v="2002-03-27T00:00:00"/>
    <s v="SO46847"/>
    <n v="371"/>
    <n v="13793"/>
    <n v="7"/>
    <n v="1"/>
    <n v="1"/>
    <n v="2"/>
    <s v="BK-R89R-58"/>
    <x v="24"/>
    <n v="1320.6838"/>
    <n v="2181.5625"/>
    <s v="MR."/>
    <s v="JASON"/>
    <s v="GONZALES"/>
    <s v="JASON GONZALES"/>
    <d v="1965-10-19T00:00:00"/>
    <s v="M"/>
    <s v="M"/>
    <s v="jason14@adventure-works.com"/>
    <n v="30000"/>
    <n v="1"/>
    <s v="Bachelors"/>
    <s v="Skilled Manual"/>
    <s v="Y"/>
    <s v="France"/>
    <x v="0"/>
    <s v="Europe"/>
    <x v="0"/>
    <s v="Bikes"/>
    <n v="2181.5625"/>
    <n v="1320.6838"/>
    <n v="860.87869999999998"/>
    <n v="0.39461564818793898"/>
  </r>
  <r>
    <x v="224"/>
    <d v="2002-05-10T00:00:00"/>
    <s v="SO46827"/>
    <n v="373"/>
    <n v="13799"/>
    <n v="7"/>
    <n v="1"/>
    <n v="1"/>
    <n v="2"/>
    <s v="BK-R89B-44"/>
    <x v="19"/>
    <n v="1320.6838"/>
    <n v="2181.5625"/>
    <s v="MR."/>
    <s v="BRYAN"/>
    <s v="BAILEY"/>
    <s v="BRYAN BAILEY"/>
    <d v="1966-08-20T00:00:00"/>
    <s v="S"/>
    <s v="M"/>
    <s v="bryan16@adventure-works.com"/>
    <n v="30000"/>
    <n v="2"/>
    <s v="Partial College"/>
    <s v="Manual"/>
    <s v="Y"/>
    <s v="France"/>
    <x v="0"/>
    <s v="Europe"/>
    <x v="0"/>
    <s v="Bikes"/>
    <n v="2181.5625"/>
    <n v="1320.6838"/>
    <n v="860.87869999999998"/>
    <n v="0.39461564818793898"/>
  </r>
  <r>
    <x v="229"/>
    <d v="2002-04-15T00:00:00"/>
    <s v="SO46871"/>
    <n v="370"/>
    <n v="13800"/>
    <n v="7"/>
    <n v="1"/>
    <n v="1"/>
    <n v="2"/>
    <s v="BK-R89R-52"/>
    <x v="23"/>
    <n v="1518.7864"/>
    <n v="2443.35"/>
    <s v="MR."/>
    <s v="LOGAN"/>
    <s v="LI"/>
    <s v="LOGAN LI"/>
    <d v="1963-08-02T00:00:00"/>
    <s v="M"/>
    <s v="M"/>
    <s v="logan26@adventure-works.com"/>
    <n v="30000"/>
    <n v="2"/>
    <s v="Partial College"/>
    <s v="Manual"/>
    <s v="N"/>
    <s v="France"/>
    <x v="0"/>
    <s v="Europe"/>
    <x v="0"/>
    <s v="Bikes"/>
    <n v="2443.35"/>
    <n v="1518.7864"/>
    <n v="924.56359999999995"/>
    <n v="0.37839998362903399"/>
  </r>
  <r>
    <x v="244"/>
    <d v="2002-07-28T00:00:00"/>
    <s v="SO47155"/>
    <n v="370"/>
    <n v="13801"/>
    <n v="7"/>
    <n v="1"/>
    <n v="1"/>
    <n v="2"/>
    <s v="BK-R89R-52"/>
    <x v="23"/>
    <n v="1518.7864"/>
    <n v="2443.35"/>
    <s v="MRS."/>
    <s v="COLLEEN"/>
    <s v="ANDERSEN"/>
    <s v="COLLEEN ANDERSEN"/>
    <d v="1963-11-10T00:00:00"/>
    <s v="S"/>
    <s v="F"/>
    <s v="colleen36@adventure-works.com"/>
    <n v="30000"/>
    <n v="2"/>
    <s v="Partial College"/>
    <s v="Clerical"/>
    <s v="Y"/>
    <s v="France"/>
    <x v="0"/>
    <s v="Europe"/>
    <x v="0"/>
    <s v="Bikes"/>
    <n v="2443.35"/>
    <n v="1518.7864"/>
    <n v="924.56359999999995"/>
    <n v="0.37839998362903399"/>
  </r>
  <r>
    <x v="245"/>
    <d v="2002-05-01T00:00:00"/>
    <s v="SO47186"/>
    <n v="371"/>
    <n v="13806"/>
    <n v="7"/>
    <n v="1"/>
    <n v="1"/>
    <n v="2"/>
    <s v="BK-R89R-58"/>
    <x v="24"/>
    <n v="1320.6838"/>
    <n v="2181.5625"/>
    <s v="MR."/>
    <s v="BRYANT"/>
    <s v="MEHTA"/>
    <s v="BRYANT MEHTA"/>
    <d v="1964-06-05T00:00:00"/>
    <s v="M"/>
    <s v="M"/>
    <s v="bryant13@adventure-works.com"/>
    <n v="30000"/>
    <n v="2"/>
    <s v="Partial College"/>
    <s v="Clerical"/>
    <s v="N"/>
    <s v="France"/>
    <x v="0"/>
    <s v="Europe"/>
    <x v="0"/>
    <s v="Bikes"/>
    <n v="2181.5625"/>
    <n v="1320.6838"/>
    <n v="860.87869999999998"/>
    <n v="0.39461564818793898"/>
  </r>
  <r>
    <x v="254"/>
    <d v="2002-05-12T00:00:00"/>
    <s v="SO47292"/>
    <n v="379"/>
    <n v="13811"/>
    <n v="7"/>
    <n v="1"/>
    <n v="1"/>
    <n v="2"/>
    <s v="BK-R89B-58"/>
    <x v="26"/>
    <n v="1320.6838"/>
    <n v="2181.5625"/>
    <s v="MRS."/>
    <s v="SANDRA"/>
    <s v="CHEN"/>
    <s v="SANDRA CHEN"/>
    <d v="1963-04-18T00:00:00"/>
    <s v="S"/>
    <s v="F"/>
    <s v="sandra8@adventure-works.com"/>
    <n v="30000"/>
    <n v="2"/>
    <s v="Partial College"/>
    <s v="Clerical"/>
    <s v="Y"/>
    <s v="France"/>
    <x v="0"/>
    <s v="Europe"/>
    <x v="0"/>
    <s v="Bikes"/>
    <n v="2181.5625"/>
    <n v="1320.6838"/>
    <n v="860.87869999999998"/>
    <n v="0.39461564818793898"/>
  </r>
  <r>
    <x v="166"/>
    <d v="2002-07-19T00:00:00"/>
    <s v="SO47175"/>
    <n v="368"/>
    <n v="13812"/>
    <n v="7"/>
    <n v="1"/>
    <n v="1"/>
    <n v="2"/>
    <s v="BK-R89R-44"/>
    <x v="22"/>
    <n v="1518.7864"/>
    <n v="2443.35"/>
    <s v="MRS."/>
    <s v="JOANNA"/>
    <s v="MUNOZ"/>
    <s v="JOANNA MUNOZ"/>
    <d v="1963-05-26T00:00:00"/>
    <s v="S"/>
    <s v="F"/>
    <s v="joanna6@adventure-works.com"/>
    <n v="30000"/>
    <n v="2"/>
    <s v="Partial College"/>
    <s v="Clerical"/>
    <s v="Y"/>
    <s v="France"/>
    <x v="0"/>
    <s v="Europe"/>
    <x v="0"/>
    <s v="Bikes"/>
    <n v="2443.35"/>
    <n v="1518.7864"/>
    <n v="924.56359999999995"/>
    <n v="0.37839998362903399"/>
  </r>
  <r>
    <x v="86"/>
    <d v="2002-07-29T00:00:00"/>
    <s v="SO47221"/>
    <n v="370"/>
    <n v="13823"/>
    <n v="7"/>
    <n v="1"/>
    <n v="1"/>
    <n v="2"/>
    <s v="BK-R89R-52"/>
    <x v="23"/>
    <n v="1518.7864"/>
    <n v="2443.35"/>
    <s v="MRS."/>
    <s v="MARGARET"/>
    <s v="ZHENG"/>
    <s v="MARGARET ZHENG"/>
    <d v="1962-05-06T00:00:00"/>
    <s v="M"/>
    <s v="F"/>
    <s v="margaret26@adventure-works.com"/>
    <n v="40000"/>
    <n v="1"/>
    <s v="Bachelors"/>
    <s v="Skilled Manual"/>
    <s v="Y"/>
    <s v="France"/>
    <x v="0"/>
    <s v="Europe"/>
    <x v="0"/>
    <s v="Bikes"/>
    <n v="2443.35"/>
    <n v="1518.7864"/>
    <n v="924.56359999999995"/>
    <n v="0.37839998362903399"/>
  </r>
  <r>
    <x v="106"/>
    <d v="2002-05-30T00:00:00"/>
    <s v="SO47108"/>
    <n v="369"/>
    <n v="13839"/>
    <n v="7"/>
    <n v="1"/>
    <n v="1"/>
    <n v="2"/>
    <s v="BK-R89R-48"/>
    <x v="21"/>
    <n v="1518.7864"/>
    <n v="2443.35"/>
    <s v="MR."/>
    <s v="MANUEL"/>
    <s v="MADAN"/>
    <s v="MANUEL MADAN"/>
    <d v="1974-03-08T00:00:00"/>
    <s v="S"/>
    <s v="M"/>
    <s v="manuel6@adventure-works.com"/>
    <n v="10000"/>
    <n v="0"/>
    <s v="Partial High School"/>
    <s v="Manual"/>
    <s v="N"/>
    <s v="France"/>
    <x v="0"/>
    <s v="Europe"/>
    <x v="0"/>
    <s v="Bikes"/>
    <n v="2443.35"/>
    <n v="1518.7864"/>
    <n v="924.56359999999995"/>
    <n v="0.37839998362903399"/>
  </r>
  <r>
    <x v="258"/>
    <d v="2002-06-25T00:00:00"/>
    <s v="SO47315"/>
    <n v="379"/>
    <n v="13840"/>
    <n v="7"/>
    <n v="1"/>
    <n v="1"/>
    <n v="2"/>
    <s v="BK-R89B-58"/>
    <x v="26"/>
    <n v="1320.6838"/>
    <n v="2181.5625"/>
    <s v="MR."/>
    <s v="TOMMY"/>
    <s v="PAL"/>
    <s v="TOMMY PAL"/>
    <d v="1974-04-03T00:00:00"/>
    <s v="M"/>
    <s v="M"/>
    <s v="tommy9@adventure-works.com"/>
    <n v="10000"/>
    <n v="0"/>
    <s v="Partial High School"/>
    <s v="Manual"/>
    <s v="Y"/>
    <s v="France"/>
    <x v="0"/>
    <s v="Europe"/>
    <x v="0"/>
    <s v="Bikes"/>
    <n v="2181.5625"/>
    <n v="1320.6838"/>
    <n v="860.87869999999998"/>
    <n v="0.39461564818793898"/>
  </r>
  <r>
    <x v="203"/>
    <d v="2002-06-24T00:00:00"/>
    <s v="SO46760"/>
    <n v="387"/>
    <n v="13986"/>
    <n v="4"/>
    <n v="1"/>
    <n v="1"/>
    <n v="2"/>
    <s v="BK-R64Y-44"/>
    <x v="27"/>
    <n v="605.64919999999995"/>
    <n v="1000.4375"/>
    <s v="MS."/>
    <s v="CHLOE"/>
    <s v="ANDERSON"/>
    <s v="CHLOE ANDERSON"/>
    <d v="1979-10-25T00:00:00"/>
    <s v="M"/>
    <s v="F"/>
    <s v="chloe43@adventure-works.com"/>
    <n v="60000"/>
    <n v="0"/>
    <s v="Partial College"/>
    <s v="Skilled Manual"/>
    <s v="Y"/>
    <s v="Southwest"/>
    <x v="1"/>
    <s v="North America"/>
    <x v="0"/>
    <s v="Bikes"/>
    <n v="1000.4375"/>
    <n v="605.64919999999995"/>
    <n v="394.78829999999999"/>
    <n v="0.39461565565065299"/>
  </r>
  <r>
    <x v="224"/>
    <d v="2002-05-13T00:00:00"/>
    <s v="SO46828"/>
    <n v="385"/>
    <n v="13990"/>
    <n v="1"/>
    <n v="1"/>
    <n v="1"/>
    <n v="2"/>
    <s v="BK-R64Y-42"/>
    <x v="28"/>
    <n v="605.64919999999995"/>
    <n v="1000.4375"/>
    <s v="MS."/>
    <s v="STEPHANIE"/>
    <s v="WOOD"/>
    <s v="STEPHANIE WOOD"/>
    <d v="1978-03-26T00:00:00"/>
    <s v="S"/>
    <s v="F"/>
    <s v="stephanie29@adventure-works.com"/>
    <n v="40000"/>
    <n v="0"/>
    <s v="Partial College"/>
    <s v="Skilled Manual"/>
    <s v="N"/>
    <s v="Northwest"/>
    <x v="1"/>
    <s v="North America"/>
    <x v="0"/>
    <s v="Bikes"/>
    <n v="1000.4375"/>
    <n v="605.64919999999995"/>
    <n v="394.78829999999999"/>
    <n v="0.39461565565065299"/>
  </r>
  <r>
    <x v="193"/>
    <d v="2002-03-22T00:00:00"/>
    <s v="SO46732"/>
    <n v="385"/>
    <n v="13992"/>
    <n v="4"/>
    <n v="1"/>
    <n v="1"/>
    <n v="2"/>
    <s v="BK-R64Y-42"/>
    <x v="28"/>
    <n v="605.64919999999995"/>
    <n v="1000.4375"/>
    <s v="MR."/>
    <s v="GREGORY"/>
    <s v="XIE"/>
    <s v="GREGORY XIE"/>
    <d v="1978-06-06T00:00:00"/>
    <s v="S"/>
    <s v="M"/>
    <s v="gregory7@adventure-works.com"/>
    <n v="6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199"/>
    <d v="2002-04-20T00:00:00"/>
    <s v="SO46756"/>
    <n v="383"/>
    <n v="13993"/>
    <n v="4"/>
    <n v="1"/>
    <n v="1"/>
    <n v="2"/>
    <s v="BK-R64Y-40"/>
    <x v="29"/>
    <n v="605.64919999999995"/>
    <n v="1000.4375"/>
    <s v="MR."/>
    <s v="ZACHARY"/>
    <s v="PATTERSON"/>
    <s v="ZACHARY PATTERSON"/>
    <d v="1978-08-24T00:00:00"/>
    <s v="M"/>
    <s v="M"/>
    <s v="zachary9@adventure-works.com"/>
    <n v="60000"/>
    <n v="0"/>
    <s v="Partial College"/>
    <s v="Skilled Manual"/>
    <s v="Y"/>
    <s v="Southwest"/>
    <x v="1"/>
    <s v="North America"/>
    <x v="0"/>
    <s v="Bikes"/>
    <n v="1000.4375"/>
    <n v="605.64919999999995"/>
    <n v="394.78829999999999"/>
    <n v="0.39461565565065299"/>
  </r>
  <r>
    <x v="227"/>
    <d v="2002-04-08T00:00:00"/>
    <s v="SO46899"/>
    <n v="381"/>
    <n v="13999"/>
    <n v="4"/>
    <n v="1"/>
    <n v="1"/>
    <n v="2"/>
    <s v="BK-R64Y-38"/>
    <x v="30"/>
    <n v="605.64919999999995"/>
    <n v="1000.4375"/>
    <s v="MR."/>
    <s v="ELIJAH"/>
    <s v="GONZALES"/>
    <s v="ELIJAH GONZALES"/>
    <d v="1978-08-17T00:00:00"/>
    <s v="M"/>
    <s v="M"/>
    <s v="elijah19@adventure-works.com"/>
    <n v="70000"/>
    <n v="0"/>
    <s v="Partial College"/>
    <s v="Skilled Manual"/>
    <s v="Y"/>
    <s v="Southwest"/>
    <x v="1"/>
    <s v="North America"/>
    <x v="0"/>
    <s v="Bikes"/>
    <n v="1000.4375"/>
    <n v="605.64919999999995"/>
    <n v="394.78829999999999"/>
    <n v="0.39461565565065299"/>
  </r>
  <r>
    <x v="226"/>
    <d v="2002-06-05T00:00:00"/>
    <s v="SO46837"/>
    <n v="381"/>
    <n v="14003"/>
    <n v="1"/>
    <n v="1"/>
    <n v="1"/>
    <n v="2"/>
    <s v="BK-R64Y-38"/>
    <x v="30"/>
    <n v="605.64919999999995"/>
    <n v="1000.4375"/>
    <s v="MR."/>
    <s v="ANGEL"/>
    <s v="RAMIREZ"/>
    <s v="ANGEL RAMIREZ"/>
    <d v="1977-10-05T00:00:00"/>
    <s v="S"/>
    <s v="M"/>
    <s v="angel6@adventure-works.com"/>
    <n v="30000"/>
    <n v="0"/>
    <s v="Partial College"/>
    <s v="Skilled Manual"/>
    <s v="N"/>
    <s v="Northwest"/>
    <x v="1"/>
    <s v="North America"/>
    <x v="0"/>
    <s v="Bikes"/>
    <n v="1000.4375"/>
    <n v="605.64919999999995"/>
    <n v="394.78829999999999"/>
    <n v="0.39461565565065299"/>
  </r>
  <r>
    <x v="254"/>
    <d v="2002-07-08T00:00:00"/>
    <s v="SO47295"/>
    <n v="387"/>
    <n v="14005"/>
    <n v="4"/>
    <n v="1"/>
    <n v="1"/>
    <n v="2"/>
    <s v="BK-R64Y-44"/>
    <x v="27"/>
    <n v="605.64919999999995"/>
    <n v="1000.4375"/>
    <s v="MR."/>
    <s v="NOAH"/>
    <s v="HUGHES"/>
    <s v="NOAH HUGHES"/>
    <d v="1977-05-13T00:00:00"/>
    <s v="M"/>
    <s v="M"/>
    <s v="noah8@adventure-works.com"/>
    <n v="7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240"/>
    <d v="2002-07-03T00:00:00"/>
    <s v="SO47120"/>
    <n v="381"/>
    <n v="14006"/>
    <n v="4"/>
    <n v="1"/>
    <n v="1"/>
    <n v="2"/>
    <s v="BK-R64Y-38"/>
    <x v="30"/>
    <n v="605.64919999999995"/>
    <n v="1000.4375"/>
    <s v="MS."/>
    <s v="BRIANNA"/>
    <s v="WALKER"/>
    <s v="BRIANNA WALKER"/>
    <d v="1977-09-27T00:00:00"/>
    <s v="M"/>
    <s v="F"/>
    <s v="brianna22@adventure-works.com"/>
    <n v="70000"/>
    <n v="0"/>
    <s v="Partial College"/>
    <s v="Skilled Manual"/>
    <s v="Y"/>
    <s v="Southwest"/>
    <x v="1"/>
    <s v="North America"/>
    <x v="0"/>
    <s v="Bikes"/>
    <n v="1000.4375"/>
    <n v="605.64919999999995"/>
    <n v="394.78829999999999"/>
    <n v="0.39461565565065299"/>
  </r>
  <r>
    <x v="236"/>
    <d v="2002-05-07T00:00:00"/>
    <s v="SO47069"/>
    <n v="383"/>
    <n v="14017"/>
    <n v="4"/>
    <n v="1"/>
    <n v="1"/>
    <n v="2"/>
    <s v="BK-R64Y-40"/>
    <x v="29"/>
    <n v="605.64919999999995"/>
    <n v="1000.4375"/>
    <s v="MS."/>
    <s v="CHLOE"/>
    <s v="RODRIGUEZ"/>
    <s v="CHLOE RODRIGUEZ"/>
    <d v="1980-11-22T00:00:00"/>
    <s v="S"/>
    <s v="F"/>
    <s v="chloe30@adventure-works.com"/>
    <n v="6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78"/>
    <d v="2002-06-07T00:00:00"/>
    <s v="SO47177"/>
    <n v="381"/>
    <n v="14022"/>
    <n v="1"/>
    <n v="1"/>
    <n v="1"/>
    <n v="2"/>
    <s v="BK-R64Y-38"/>
    <x v="30"/>
    <n v="605.64919999999995"/>
    <n v="1000.4375"/>
    <s v="MS."/>
    <s v="TAYLOR"/>
    <s v="LEE"/>
    <s v="TAYLOR LEE"/>
    <d v="1975-06-05T00:00:00"/>
    <s v="S"/>
    <s v="F"/>
    <s v="taylor68@adventure-works.com"/>
    <n v="30000"/>
    <n v="0"/>
    <s v="High School"/>
    <s v="Skilled Manual"/>
    <s v="Y"/>
    <s v="Northwest"/>
    <x v="1"/>
    <s v="North America"/>
    <x v="0"/>
    <s v="Bikes"/>
    <n v="1000.4375"/>
    <n v="605.64919999999995"/>
    <n v="394.78829999999999"/>
    <n v="0.39461565565065299"/>
  </r>
  <r>
    <x v="305"/>
    <d v="2002-08-01T00:00:00"/>
    <s v="SO47236"/>
    <n v="385"/>
    <n v="14023"/>
    <n v="4"/>
    <n v="1"/>
    <n v="1"/>
    <n v="2"/>
    <s v="BK-R64Y-42"/>
    <x v="28"/>
    <n v="605.64919999999995"/>
    <n v="1000.4375"/>
    <s v="MS."/>
    <s v="BETH"/>
    <s v="CARLSON"/>
    <s v="BETH CARLSON"/>
    <d v="1975-10-15T00:00:00"/>
    <s v="S"/>
    <s v="F"/>
    <s v="beth20@adventure-works.com"/>
    <n v="30000"/>
    <n v="0"/>
    <s v="High School"/>
    <s v="Skilled Manual"/>
    <s v="Y"/>
    <s v="Southwest"/>
    <x v="1"/>
    <s v="North America"/>
    <x v="0"/>
    <s v="Bikes"/>
    <n v="1000.4375"/>
    <n v="605.64919999999995"/>
    <n v="394.78829999999999"/>
    <n v="0.39461565565065299"/>
  </r>
  <r>
    <x v="254"/>
    <d v="2002-05-05T00:00:00"/>
    <s v="SO47296"/>
    <n v="385"/>
    <n v="14024"/>
    <n v="4"/>
    <n v="1"/>
    <n v="1"/>
    <n v="2"/>
    <s v="BK-R64Y-42"/>
    <x v="28"/>
    <n v="605.64919999999995"/>
    <n v="1000.4375"/>
    <s v="MS."/>
    <s v="HANNAH"/>
    <s v="MOORE"/>
    <s v="HANNAH MOORE"/>
    <d v="1975-12-23T00:00:00"/>
    <s v="S"/>
    <s v="F"/>
    <s v="hannah8@adventure-works.com"/>
    <n v="6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236"/>
    <d v="2002-05-19T00:00:00"/>
    <s v="SO47070"/>
    <n v="387"/>
    <n v="14025"/>
    <n v="1"/>
    <n v="1"/>
    <n v="1"/>
    <n v="2"/>
    <s v="BK-R64Y-44"/>
    <x v="27"/>
    <n v="605.64919999999995"/>
    <n v="1000.4375"/>
    <s v="MR."/>
    <s v="ROBERT"/>
    <s v="ALEXANDER"/>
    <s v="ROBERT ALEXANDER"/>
    <d v="1974-03-18T00:00:00"/>
    <s v="M"/>
    <s v="M"/>
    <s v="robert30@adventure-works.com"/>
    <n v="30000"/>
    <n v="0"/>
    <s v="High School"/>
    <s v="Skilled Manual"/>
    <s v="Y"/>
    <s v="Northwest"/>
    <x v="1"/>
    <s v="North America"/>
    <x v="0"/>
    <s v="Bikes"/>
    <n v="1000.4375"/>
    <n v="605.64919999999995"/>
    <n v="394.78829999999999"/>
    <n v="0.39461565565065299"/>
  </r>
  <r>
    <x v="78"/>
    <d v="2002-07-13T00:00:00"/>
    <s v="SO47178"/>
    <n v="383"/>
    <n v="14026"/>
    <n v="1"/>
    <n v="1"/>
    <n v="1"/>
    <n v="2"/>
    <s v="BK-R64Y-40"/>
    <x v="29"/>
    <n v="605.64919999999995"/>
    <n v="1000.4375"/>
    <s v="MS."/>
    <s v="CHLOE"/>
    <s v="BUTLER"/>
    <s v="CHLOE BUTLER"/>
    <d v="1974-05-01T00:00:00"/>
    <s v="S"/>
    <s v="F"/>
    <s v="chloe81@adventure-works.com"/>
    <n v="30000"/>
    <n v="0"/>
    <s v="High School"/>
    <s v="Skilled Manual"/>
    <s v="Y"/>
    <s v="Northwest"/>
    <x v="1"/>
    <s v="North America"/>
    <x v="0"/>
    <s v="Bikes"/>
    <n v="1000.4375"/>
    <n v="605.64919999999995"/>
    <n v="394.78829999999999"/>
    <n v="0.39461565565065299"/>
  </r>
  <r>
    <x v="306"/>
    <d v="2002-05-24T00:00:00"/>
    <s v="SO47589"/>
    <n v="383"/>
    <n v="14036"/>
    <n v="1"/>
    <n v="1"/>
    <n v="1"/>
    <n v="2"/>
    <s v="BK-R64Y-40"/>
    <x v="29"/>
    <n v="605.64919999999995"/>
    <n v="1000.4375"/>
    <s v="MS."/>
    <s v="AMANDA"/>
    <s v="TORRES"/>
    <s v="AMANDA TORRES"/>
    <d v="1974-06-27T00:00:00"/>
    <s v="M"/>
    <s v="F"/>
    <s v="amanda13@adventure-works.com"/>
    <n v="60000"/>
    <n v="0"/>
    <s v="Partial College"/>
    <s v="Professional"/>
    <s v="Y"/>
    <s v="Northwest"/>
    <x v="1"/>
    <s v="North America"/>
    <x v="0"/>
    <s v="Bikes"/>
    <n v="1000.4375"/>
    <n v="605.64919999999995"/>
    <n v="394.78829999999999"/>
    <n v="0.39461565565065299"/>
  </r>
  <r>
    <x v="192"/>
    <d v="2002-07-20T00:00:00"/>
    <s v="SO47613"/>
    <n v="387"/>
    <n v="14037"/>
    <n v="4"/>
    <n v="1"/>
    <n v="1"/>
    <n v="2"/>
    <s v="BK-R64Y-44"/>
    <x v="27"/>
    <n v="605.64919999999995"/>
    <n v="1000.4375"/>
    <s v="MS."/>
    <s v="LYDIA"/>
    <s v="SARA"/>
    <s v="LYDIA SARA"/>
    <d v="1974-04-22T00:00:00"/>
    <s v="M"/>
    <s v="F"/>
    <s v="lydia9@adventure-works.com"/>
    <n v="60000"/>
    <n v="0"/>
    <s v="Partial College"/>
    <s v="Professional"/>
    <s v="Y"/>
    <s v="Southwest"/>
    <x v="1"/>
    <s v="North America"/>
    <x v="0"/>
    <s v="Bikes"/>
    <n v="1000.4375"/>
    <n v="605.64919999999995"/>
    <n v="394.78829999999999"/>
    <n v="0.39461565565065299"/>
  </r>
  <r>
    <x v="307"/>
    <d v="2002-07-29T00:00:00"/>
    <s v="SO47621"/>
    <n v="385"/>
    <n v="14044"/>
    <n v="4"/>
    <n v="1"/>
    <n v="1"/>
    <n v="2"/>
    <s v="BK-R64Y-42"/>
    <x v="28"/>
    <n v="605.64919999999995"/>
    <n v="1000.4375"/>
    <s v="MR."/>
    <s v="THOMAS"/>
    <s v="WRIGHT"/>
    <s v="THOMAS WRIGHT"/>
    <d v="1957-07-14T00:00:00"/>
    <s v="M"/>
    <s v="M"/>
    <s v="thomas56@adventure-works.com"/>
    <n v="70000"/>
    <n v="2"/>
    <s v="Partial College"/>
    <s v="Professional"/>
    <s v="Y"/>
    <s v="Southwest"/>
    <x v="1"/>
    <s v="North America"/>
    <x v="0"/>
    <s v="Bikes"/>
    <n v="1000.4375"/>
    <n v="605.64919999999995"/>
    <n v="394.78829999999999"/>
    <n v="0.39461565565065299"/>
  </r>
  <r>
    <x v="269"/>
    <d v="2002-07-27T00:00:00"/>
    <s v="SO47580"/>
    <n v="389"/>
    <n v="14080"/>
    <n v="1"/>
    <n v="1"/>
    <n v="1"/>
    <n v="2"/>
    <s v="BK-R64Y-48"/>
    <x v="31"/>
    <n v="605.64919999999995"/>
    <n v="1000.4375"/>
    <s v="MS."/>
    <s v="CYNTHIA"/>
    <s v="SRINI"/>
    <s v="CYNTHIA SRINI"/>
    <d v="1976-05-19T00:00:00"/>
    <s v="S"/>
    <s v="F"/>
    <s v="cynthia13@adventure-works.com"/>
    <n v="40000"/>
    <n v="0"/>
    <s v="High School"/>
    <s v="Skilled Manual"/>
    <s v="Y"/>
    <s v="Northwest"/>
    <x v="1"/>
    <s v="North America"/>
    <x v="0"/>
    <s v="Bikes"/>
    <n v="1000.4375"/>
    <n v="605.64919999999995"/>
    <n v="394.78829999999999"/>
    <n v="0.39461565565065299"/>
  </r>
  <r>
    <x v="308"/>
    <d v="2002-08-23T00:00:00"/>
    <s v="SO47607"/>
    <n v="389"/>
    <n v="14081"/>
    <n v="4"/>
    <n v="1"/>
    <n v="1"/>
    <n v="2"/>
    <s v="BK-R64Y-48"/>
    <x v="31"/>
    <n v="605.64919999999995"/>
    <n v="1000.4375"/>
    <s v="MS."/>
    <s v="NICOLE"/>
    <s v="BUTLER"/>
    <s v="NICOLE BUTLER"/>
    <d v="1980-04-06T00:00:00"/>
    <s v="M"/>
    <s v="F"/>
    <s v="nicole63@adventure-works.com"/>
    <n v="30000"/>
    <n v="0"/>
    <s v="High School"/>
    <s v="Skilled Manual"/>
    <s v="Y"/>
    <s v="Southwest"/>
    <x v="1"/>
    <s v="North America"/>
    <x v="0"/>
    <s v="Bikes"/>
    <n v="1000.4375"/>
    <n v="605.64919999999995"/>
    <n v="394.78829999999999"/>
    <n v="0.39461565565065299"/>
  </r>
  <r>
    <x v="260"/>
    <d v="2002-07-09T00:00:00"/>
    <s v="SO47535"/>
    <n v="385"/>
    <n v="14083"/>
    <n v="1"/>
    <n v="1"/>
    <n v="1"/>
    <n v="2"/>
    <s v="BK-R64Y-42"/>
    <x v="28"/>
    <n v="605.64919999999995"/>
    <n v="1000.4375"/>
    <s v="MR."/>
    <s v="NATHAN"/>
    <s v="LOPEZ"/>
    <s v="NATHAN LOPEZ"/>
    <d v="1980-11-03T00:00:00"/>
    <s v="M"/>
    <s v="M"/>
    <s v="nathan49@adventure-works.com"/>
    <n v="30000"/>
    <n v="0"/>
    <s v="High School"/>
    <s v="Skilled Manual"/>
    <s v="Y"/>
    <s v="Northwest"/>
    <x v="1"/>
    <s v="North America"/>
    <x v="0"/>
    <s v="Bikes"/>
    <n v="1000.4375"/>
    <n v="605.64919999999995"/>
    <n v="394.78829999999999"/>
    <n v="0.39461565565065299"/>
  </r>
  <r>
    <x v="260"/>
    <d v="2002-05-26T00:00:00"/>
    <s v="SO47536"/>
    <n v="387"/>
    <n v="14088"/>
    <n v="1"/>
    <n v="1"/>
    <n v="1"/>
    <n v="2"/>
    <s v="BK-R64Y-44"/>
    <x v="27"/>
    <n v="605.64919999999995"/>
    <n v="1000.4375"/>
    <s v="MS."/>
    <s v="ALEXANDRA"/>
    <s v="LOPEZ"/>
    <s v="ALEXANDRA LOPEZ"/>
    <d v="1978-05-25T00:00:00"/>
    <s v="S"/>
    <s v="F"/>
    <s v="alexandra62@adventure-works.com"/>
    <n v="30000"/>
    <n v="0"/>
    <s v="Partial High School"/>
    <s v="Clerical"/>
    <s v="Y"/>
    <s v="Northwest"/>
    <x v="1"/>
    <s v="North America"/>
    <x v="0"/>
    <s v="Bikes"/>
    <n v="1000.4375"/>
    <n v="605.64919999999995"/>
    <n v="394.78829999999999"/>
    <n v="0.39461565565065299"/>
  </r>
  <r>
    <x v="183"/>
    <d v="2002-08-25T00:00:00"/>
    <s v="SO47522"/>
    <n v="387"/>
    <n v="14089"/>
    <n v="4"/>
    <n v="1"/>
    <n v="1"/>
    <n v="2"/>
    <s v="BK-R64Y-44"/>
    <x v="27"/>
    <n v="605.64919999999995"/>
    <n v="1000.4375"/>
    <s v="MS."/>
    <s v="KAITLYN"/>
    <s v="GRAY"/>
    <s v="KAITLYN GRAY"/>
    <d v="1978-10-09T00:00:00"/>
    <s v="S"/>
    <s v="F"/>
    <s v="kaitlyn62@adventure-works.com"/>
    <n v="40000"/>
    <n v="0"/>
    <s v="High School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309"/>
    <d v="2002-07-09T00:00:00"/>
    <s v="SO47957"/>
    <n v="389"/>
    <n v="14095"/>
    <n v="4"/>
    <n v="1"/>
    <n v="1"/>
    <n v="2"/>
    <s v="BK-R64Y-48"/>
    <x v="31"/>
    <n v="605.64919999999995"/>
    <n v="1000.4375"/>
    <s v="MS."/>
    <s v="PAIGE"/>
    <s v="GRIFFIN"/>
    <s v="PAIGE GRIFFIN"/>
    <d v="1976-09-10T00:00:00"/>
    <s v="M"/>
    <s v="F"/>
    <s v="paige20@adventure-works.com"/>
    <n v="40000"/>
    <n v="0"/>
    <s v="High School"/>
    <s v="Skilled Manual"/>
    <s v="Y"/>
    <s v="Southwest"/>
    <x v="1"/>
    <s v="North America"/>
    <x v="0"/>
    <s v="Bikes"/>
    <n v="1000.4375"/>
    <n v="605.64919999999995"/>
    <n v="394.78829999999999"/>
    <n v="0.39461565565065299"/>
  </r>
  <r>
    <x v="201"/>
    <d v="2002-08-15T00:00:00"/>
    <s v="SO47813"/>
    <n v="383"/>
    <n v="14098"/>
    <n v="1"/>
    <n v="1"/>
    <n v="1"/>
    <n v="2"/>
    <s v="BK-R64Y-40"/>
    <x v="29"/>
    <n v="605.64919999999995"/>
    <n v="1000.4375"/>
    <s v="MS."/>
    <s v="ALLISON"/>
    <s v="LOPEZ"/>
    <s v="ALLISON LOPEZ"/>
    <d v="1979-04-24T00:00:00"/>
    <s v="M"/>
    <s v="F"/>
    <s v="allison44@adventure-works.com"/>
    <n v="40000"/>
    <n v="0"/>
    <s v="High School"/>
    <s v="Skilled Manual"/>
    <s v="Y"/>
    <s v="Northwest"/>
    <x v="1"/>
    <s v="North America"/>
    <x v="0"/>
    <s v="Bikes"/>
    <n v="1000.4375"/>
    <n v="605.64919999999995"/>
    <n v="394.78829999999999"/>
    <n v="0.39461565565065299"/>
  </r>
  <r>
    <x v="209"/>
    <d v="2002-07-25T00:00:00"/>
    <s v="SO47780"/>
    <n v="381"/>
    <n v="14105"/>
    <n v="4"/>
    <n v="1"/>
    <n v="1"/>
    <n v="2"/>
    <s v="BK-R64Y-38"/>
    <x v="30"/>
    <n v="605.64919999999995"/>
    <n v="1000.4375"/>
    <s v="MR."/>
    <s v="JACKSON"/>
    <s v="ZHANG"/>
    <s v="JACKSON ZHANG"/>
    <d v="1976-12-04T00:00:00"/>
    <s v="S"/>
    <s v="M"/>
    <s v="jackson25@adventure-works.com"/>
    <n v="4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310"/>
    <d v="2002-09-15T00:00:00"/>
    <s v="SO47934"/>
    <n v="385"/>
    <n v="14106"/>
    <n v="4"/>
    <n v="1"/>
    <n v="1"/>
    <n v="2"/>
    <s v="BK-R64Y-42"/>
    <x v="28"/>
    <n v="605.64919999999995"/>
    <n v="1000.4375"/>
    <s v="MS."/>
    <s v="MELISSA"/>
    <s v="HUGHES"/>
    <s v="MELISSA HUGHES"/>
    <d v="1976-01-13T00:00:00"/>
    <s v="S"/>
    <s v="F"/>
    <s v="melissa6@adventure-works.com"/>
    <n v="4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262"/>
    <d v="2002-08-24T00:00:00"/>
    <s v="SO47947"/>
    <n v="387"/>
    <n v="14109"/>
    <n v="4"/>
    <n v="1"/>
    <n v="1"/>
    <n v="2"/>
    <s v="BK-R64Y-44"/>
    <x v="27"/>
    <n v="605.64919999999995"/>
    <n v="1000.4375"/>
    <s v="MR."/>
    <s v="AIDAN"/>
    <s v="GONZALES"/>
    <s v="AIDAN GONZALES"/>
    <d v="1974-08-23T00:00:00"/>
    <s v="M"/>
    <s v="M"/>
    <s v="aidan18@adventure-works.com"/>
    <n v="3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301"/>
    <d v="2002-07-30T00:00:00"/>
    <s v="SO48111"/>
    <n v="383"/>
    <n v="14112"/>
    <n v="4"/>
    <n v="1"/>
    <n v="1"/>
    <n v="2"/>
    <s v="BK-R64Y-40"/>
    <x v="29"/>
    <n v="605.64919999999995"/>
    <n v="1000.4375"/>
    <s v="MR."/>
    <s v="CHARLES"/>
    <s v="SANCHEZ"/>
    <s v="CHARLES SANCHEZ"/>
    <d v="1972-11-06T00:00:00"/>
    <s v="S"/>
    <s v="M"/>
    <s v="charles65@adventure-works.com"/>
    <n v="7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311"/>
    <d v="2002-07-18T00:00:00"/>
    <s v="SO48126"/>
    <n v="387"/>
    <n v="14115"/>
    <n v="1"/>
    <n v="1"/>
    <n v="1"/>
    <n v="2"/>
    <s v="BK-R64Y-44"/>
    <x v="27"/>
    <n v="605.64919999999995"/>
    <n v="1000.4375"/>
    <s v="MS."/>
    <s v="SAMANTHA"/>
    <s v="GONZALES"/>
    <s v="SAMANTHA GONZALES"/>
    <d v="1972-06-04T00:00:00"/>
    <s v="S"/>
    <s v="F"/>
    <s v="samantha39@adventure-works.com"/>
    <n v="80000"/>
    <n v="0"/>
    <s v="Bachelors"/>
    <s v="Management"/>
    <s v="N"/>
    <s v="Northwest"/>
    <x v="1"/>
    <s v="North America"/>
    <x v="0"/>
    <s v="Bikes"/>
    <n v="1000.4375"/>
    <n v="605.64919999999995"/>
    <n v="394.78829999999999"/>
    <n v="0.39461565565065299"/>
  </r>
  <r>
    <x v="312"/>
    <d v="2002-08-30T00:00:00"/>
    <s v="SO48222"/>
    <n v="381"/>
    <n v="14116"/>
    <n v="1"/>
    <n v="1"/>
    <n v="1"/>
    <n v="2"/>
    <s v="BK-R64Y-38"/>
    <x v="30"/>
    <n v="605.64919999999995"/>
    <n v="1000.4375"/>
    <s v="MS."/>
    <s v="BRIANNA"/>
    <s v="TORRES"/>
    <s v="BRIANNA TORRES"/>
    <d v="1968-02-18T00:00:00"/>
    <s v="S"/>
    <s v="F"/>
    <s v="brianna40@adventure-works.com"/>
    <n v="80000"/>
    <n v="0"/>
    <s v="Bachelors"/>
    <s v="Management"/>
    <s v="N"/>
    <s v="Northwest"/>
    <x v="1"/>
    <s v="North America"/>
    <x v="0"/>
    <s v="Bikes"/>
    <n v="1000.4375"/>
    <n v="605.64919999999995"/>
    <n v="394.78829999999999"/>
    <n v="0.39461565565065299"/>
  </r>
  <r>
    <x v="313"/>
    <d v="2002-09-01T00:00:00"/>
    <s v="SO48254"/>
    <n v="383"/>
    <n v="14117"/>
    <n v="1"/>
    <n v="1"/>
    <n v="1"/>
    <n v="2"/>
    <s v="BK-R64Y-40"/>
    <x v="29"/>
    <n v="605.64919999999995"/>
    <n v="1000.4375"/>
    <s v="MS."/>
    <s v="EMMA"/>
    <s v="COOK"/>
    <s v="EMMA COOK"/>
    <d v="1968-10-23T00:00:00"/>
    <s v="S"/>
    <s v="F"/>
    <s v="emma29@adventure-works.com"/>
    <n v="80000"/>
    <n v="0"/>
    <s v="Bachelors"/>
    <s v="Management"/>
    <s v="N"/>
    <s v="Northwest"/>
    <x v="1"/>
    <s v="North America"/>
    <x v="0"/>
    <s v="Bikes"/>
    <n v="1000.4375"/>
    <n v="605.64919999999995"/>
    <n v="394.78829999999999"/>
    <n v="0.39461565565065299"/>
  </r>
  <r>
    <x v="312"/>
    <d v="2002-09-28T00:00:00"/>
    <s v="SO48223"/>
    <n v="383"/>
    <n v="14120"/>
    <n v="4"/>
    <n v="1"/>
    <n v="1"/>
    <n v="2"/>
    <s v="BK-R64Y-40"/>
    <x v="29"/>
    <n v="605.64919999999995"/>
    <n v="1000.4375"/>
    <s v="MS."/>
    <s v="GABRIELLE"/>
    <s v="COOPER"/>
    <s v="GABRIELLE COOPER"/>
    <d v="1967-06-17T00:00:00"/>
    <s v="M"/>
    <s v="F"/>
    <s v="gabrielle9@adventure-works.com"/>
    <n v="120000"/>
    <n v="0"/>
    <s v="Bachelors"/>
    <s v="Management"/>
    <s v="Y"/>
    <s v="Southwest"/>
    <x v="1"/>
    <s v="North America"/>
    <x v="0"/>
    <s v="Bikes"/>
    <n v="1000.4375"/>
    <n v="605.64919999999995"/>
    <n v="394.78829999999999"/>
    <n v="0.39461565565065299"/>
  </r>
  <r>
    <x v="211"/>
    <d v="2002-08-11T00:00:00"/>
    <s v="SO48279"/>
    <n v="381"/>
    <n v="14121"/>
    <n v="1"/>
    <n v="1"/>
    <n v="1"/>
    <n v="2"/>
    <s v="BK-R64Y-38"/>
    <x v="30"/>
    <n v="605.64919999999995"/>
    <n v="1000.4375"/>
    <s v="MR."/>
    <s v="DEVON"/>
    <s v="GOEL"/>
    <s v="DEVON GOEL"/>
    <d v="1967-07-13T00:00:00"/>
    <s v="S"/>
    <s v="M"/>
    <s v="devon16@adventure-works.com"/>
    <n v="130000"/>
    <n v="0"/>
    <s v="Graduate Degree"/>
    <s v="Management"/>
    <s v="N"/>
    <s v="Northwest"/>
    <x v="1"/>
    <s v="North America"/>
    <x v="0"/>
    <s v="Bikes"/>
    <n v="1000.4375"/>
    <n v="605.64919999999995"/>
    <n v="394.78829999999999"/>
    <n v="0.39461565565065299"/>
  </r>
  <r>
    <x v="85"/>
    <d v="2002-07-17T00:00:00"/>
    <s v="SO47257"/>
    <n v="368"/>
    <n v="14141"/>
    <n v="7"/>
    <n v="1"/>
    <n v="1"/>
    <n v="2"/>
    <s v="BK-R89R-44"/>
    <x v="22"/>
    <n v="1518.7864"/>
    <n v="2443.35"/>
    <s v="MRS."/>
    <s v="ANA"/>
    <s v="BRYANT"/>
    <s v="ANA BRYANT"/>
    <d v="1960-06-11T00:00:00"/>
    <s v="S"/>
    <s v="F"/>
    <s v="ana16@adventure-works.com"/>
    <n v="10000"/>
    <n v="1"/>
    <s v="High School"/>
    <s v="Manual"/>
    <s v="N"/>
    <s v="France"/>
    <x v="0"/>
    <s v="Europe"/>
    <x v="0"/>
    <s v="Bikes"/>
    <n v="2443.35"/>
    <n v="1518.7864"/>
    <n v="924.56359999999995"/>
    <n v="0.37839998362903399"/>
  </r>
  <r>
    <x v="314"/>
    <d v="2001-11-05T00:00:00"/>
    <s v="SO45250"/>
    <n v="310"/>
    <n v="14147"/>
    <n v="8"/>
    <n v="1"/>
    <n v="1"/>
    <n v="2"/>
    <s v="BK-R93R-62"/>
    <x v="1"/>
    <n v="2171.2941999999998"/>
    <n v="3578.27"/>
    <s v="MR."/>
    <s v="MARCUS"/>
    <s v="RIVERA"/>
    <s v="MARCUS RIVERA"/>
    <d v="1958-03-17T00:00:00"/>
    <s v="M"/>
    <s v="M"/>
    <s v="marcus83@adventure-works.com"/>
    <n v="30000"/>
    <n v="1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61"/>
    <d v="2002-01-23T00:00:00"/>
    <s v="SO45509"/>
    <n v="310"/>
    <n v="14148"/>
    <n v="8"/>
    <n v="1"/>
    <n v="1"/>
    <n v="2"/>
    <s v="BK-R93R-62"/>
    <x v="1"/>
    <n v="2171.2941999999998"/>
    <n v="3578.27"/>
    <s v="MR."/>
    <s v="SHAUN"/>
    <s v="SHARMA"/>
    <s v="SHAUN SHARMA"/>
    <d v="1958-03-12T00:00:00"/>
    <s v="M"/>
    <s v="M"/>
    <s v="shaun10@adventure-works.com"/>
    <n v="30000"/>
    <n v="1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4"/>
    <d v="2001-12-26T00:00:00"/>
    <s v="SO45410"/>
    <n v="310"/>
    <n v="14149"/>
    <n v="8"/>
    <n v="1"/>
    <n v="1"/>
    <n v="2"/>
    <s v="BK-R93R-62"/>
    <x v="1"/>
    <n v="2171.2941999999998"/>
    <n v="3578.27"/>
    <s v="MR."/>
    <s v="DONALD"/>
    <s v="SRINI"/>
    <s v="DONALD SRINI"/>
    <d v="1960-10-27T00:00:00"/>
    <s v="M"/>
    <s v="M"/>
    <s v="donald10@adventure-works.com"/>
    <n v="30000"/>
    <n v="3"/>
    <s v="Bachelors"/>
    <s v="Clerical"/>
    <s v="Y"/>
    <s v="Germany"/>
    <x v="4"/>
    <s v="Europe"/>
    <x v="0"/>
    <s v="Bikes"/>
    <n v="3578.27"/>
    <n v="2171.2941999999998"/>
    <n v="1406.9757999999999"/>
    <n v="0.39320001006072802"/>
  </r>
  <r>
    <x v="258"/>
    <d v="2002-07-04T00:00:00"/>
    <s v="SO47317"/>
    <n v="379"/>
    <n v="14154"/>
    <n v="7"/>
    <n v="1"/>
    <n v="1"/>
    <n v="2"/>
    <s v="BK-R89B-58"/>
    <x v="26"/>
    <n v="1320.6838"/>
    <n v="2181.5625"/>
    <s v="MR."/>
    <s v="WILLIE"/>
    <s v="GAO"/>
    <s v="WILLIE GAO"/>
    <d v="1970-10-09T00:00:00"/>
    <s v="M"/>
    <s v="M"/>
    <s v="willie13@adventure-works.com"/>
    <n v="30000"/>
    <n v="0"/>
    <s v="Bachelors"/>
    <s v="Clerical"/>
    <s v="Y"/>
    <s v="France"/>
    <x v="0"/>
    <s v="Europe"/>
    <x v="0"/>
    <s v="Bikes"/>
    <n v="2181.5625"/>
    <n v="1320.6838"/>
    <n v="860.87869999999998"/>
    <n v="0.39461564818793898"/>
  </r>
  <r>
    <x v="315"/>
    <d v="2002-01-20T00:00:00"/>
    <s v="SO45477"/>
    <n v="313"/>
    <n v="14160"/>
    <n v="8"/>
    <n v="1"/>
    <n v="1"/>
    <n v="2"/>
    <s v="BK-R93R-52"/>
    <x v="3"/>
    <n v="2171.2941999999998"/>
    <n v="3578.27"/>
    <s v="MS."/>
    <s v="BRITTNEY"/>
    <s v="HU"/>
    <s v="BRITTNEY HU"/>
    <d v="1969-07-05T00:00:00"/>
    <s v="M"/>
    <s v="F"/>
    <s v="brittney19@adventure-works.com"/>
    <n v="40000"/>
    <n v="0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316"/>
    <d v="2001-11-17T00:00:00"/>
    <s v="SO45364"/>
    <n v="311"/>
    <n v="14161"/>
    <n v="8"/>
    <n v="1"/>
    <n v="1"/>
    <n v="2"/>
    <s v="BK-R93R-44"/>
    <x v="4"/>
    <n v="2171.2941999999998"/>
    <n v="3578.27"/>
    <s v="MS."/>
    <s v="CLAUDIA"/>
    <s v="LI"/>
    <s v="CLAUDIA LI"/>
    <d v="1969-02-02T00:00:00"/>
    <s v="S"/>
    <s v="F"/>
    <s v="claudia2@adventure-works.com"/>
    <n v="40000"/>
    <n v="0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6"/>
    <d v="2001-12-01T00:00:00"/>
    <s v="SO45400"/>
    <n v="313"/>
    <n v="14162"/>
    <n v="8"/>
    <n v="1"/>
    <n v="1"/>
    <n v="2"/>
    <s v="BK-R93R-52"/>
    <x v="3"/>
    <n v="2171.2941999999998"/>
    <n v="3578.27"/>
    <s v="MR."/>
    <s v="BRETT"/>
    <s v="GARCIA"/>
    <s v="BRETT GARCIA"/>
    <d v="1969-11-18T00:00:00"/>
    <s v="M"/>
    <s v="M"/>
    <s v="brett14@adventure-works.com"/>
    <n v="40000"/>
    <n v="0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317"/>
    <d v="2002-01-09T00:00:00"/>
    <s v="SO45455"/>
    <n v="310"/>
    <n v="14163"/>
    <n v="8"/>
    <n v="1"/>
    <n v="1"/>
    <n v="2"/>
    <s v="BK-R93R-62"/>
    <x v="1"/>
    <n v="2171.2941999999998"/>
    <n v="3578.27"/>
    <s v="MS."/>
    <s v="EBONY"/>
    <s v="GARCIA"/>
    <s v="EBONY GARCIA"/>
    <d v="1969-10-23T00:00:00"/>
    <s v="M"/>
    <s v="F"/>
    <s v="ebony15@adventure-works.com"/>
    <n v="40000"/>
    <n v="0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7"/>
    <d v="2001-12-22T00:00:00"/>
    <s v="SO45432"/>
    <n v="312"/>
    <n v="14167"/>
    <n v="8"/>
    <n v="1"/>
    <n v="1"/>
    <n v="2"/>
    <s v="BK-R93R-48"/>
    <x v="0"/>
    <n v="2171.2941999999998"/>
    <n v="3578.27"/>
    <s v="MRS."/>
    <s v="PAMELA"/>
    <s v="SUBRAM"/>
    <s v="PAMELA SUBRAM"/>
    <d v="1951-04-02T00:00:00"/>
    <s v="S"/>
    <s v="F"/>
    <s v="pamela16@adventure-works.com"/>
    <n v="10000"/>
    <n v="3"/>
    <s v="Partial College"/>
    <s v="Manual"/>
    <s v="Y"/>
    <s v="Germany"/>
    <x v="4"/>
    <s v="Europe"/>
    <x v="0"/>
    <s v="Bikes"/>
    <n v="3578.27"/>
    <n v="2171.2941999999998"/>
    <n v="1406.9757999999999"/>
    <n v="0.39320001006072802"/>
  </r>
  <r>
    <x v="246"/>
    <d v="2002-05-13T00:00:00"/>
    <s v="SO47198"/>
    <n v="370"/>
    <n v="14169"/>
    <n v="7"/>
    <n v="1"/>
    <n v="1"/>
    <n v="2"/>
    <s v="BK-R89R-52"/>
    <x v="23"/>
    <n v="1518.7864"/>
    <n v="2443.35"/>
    <s v="MRS."/>
    <s v="CARMEN"/>
    <s v="MARTINEZ"/>
    <s v="CARMEN MARTINEZ"/>
    <d v="1968-04-16T00:00:00"/>
    <s v="S"/>
    <s v="F"/>
    <s v="carmen2@adventure-works.com"/>
    <n v="10000"/>
    <n v="3"/>
    <s v="High School"/>
    <s v="Manual"/>
    <s v="Y"/>
    <s v="France"/>
    <x v="0"/>
    <s v="Europe"/>
    <x v="0"/>
    <s v="Bikes"/>
    <n v="2443.35"/>
    <n v="1518.7864"/>
    <n v="924.56359999999995"/>
    <n v="0.37839998362903399"/>
  </r>
  <r>
    <x v="182"/>
    <d v="2002-07-13T00:00:00"/>
    <s v="SO47497"/>
    <n v="370"/>
    <n v="14170"/>
    <n v="7"/>
    <n v="1"/>
    <n v="1"/>
    <n v="2"/>
    <s v="BK-R89R-52"/>
    <x v="23"/>
    <n v="1518.7864"/>
    <n v="2443.35"/>
    <s v="MRS."/>
    <s v="REBEKAH"/>
    <s v="MORENO"/>
    <s v="REBEKAH MORENO"/>
    <d v="1968-11-02T00:00:00"/>
    <s v="S"/>
    <s v="F"/>
    <s v="rebekah26@adventure-works.com"/>
    <n v="10000"/>
    <n v="3"/>
    <s v="High School"/>
    <s v="Manual"/>
    <s v="Y"/>
    <s v="France"/>
    <x v="0"/>
    <s v="Europe"/>
    <x v="0"/>
    <s v="Bikes"/>
    <n v="2443.35"/>
    <n v="1518.7864"/>
    <n v="924.56359999999995"/>
    <n v="0.37839998362903399"/>
  </r>
  <r>
    <x v="27"/>
    <d v="2001-12-15T00:00:00"/>
    <s v="SO45393"/>
    <n v="312"/>
    <n v="14171"/>
    <n v="8"/>
    <n v="1"/>
    <n v="1"/>
    <n v="2"/>
    <s v="BK-R93R-48"/>
    <x v="0"/>
    <n v="2171.2941999999998"/>
    <n v="3578.27"/>
    <s v="MRS."/>
    <s v="MICHELE"/>
    <s v="LAL"/>
    <s v="MICHELE LAL"/>
    <d v="1944-09-05T00:00:00"/>
    <s v="S"/>
    <s v="F"/>
    <s v="michele9@adventure-works.com"/>
    <n v="90000"/>
    <n v="5"/>
    <s v="Partial College"/>
    <s v="Professional"/>
    <s v="N"/>
    <s v="Germany"/>
    <x v="4"/>
    <s v="Europe"/>
    <x v="0"/>
    <s v="Bikes"/>
    <n v="3578.27"/>
    <n v="2171.2941999999998"/>
    <n v="1406.9757999999999"/>
    <n v="0.39320001006072802"/>
  </r>
  <r>
    <x v="32"/>
    <d v="2001-12-06T00:00:00"/>
    <s v="SO45483"/>
    <n v="314"/>
    <n v="14181"/>
    <n v="8"/>
    <n v="1"/>
    <n v="1"/>
    <n v="2"/>
    <s v="BK-R93R-56"/>
    <x v="2"/>
    <n v="2171.2941999999998"/>
    <n v="3578.27"/>
    <s v="MRS."/>
    <s v="ADRIANA"/>
    <s v="CHANDRA"/>
    <s v="ADRIANA CHANDRA"/>
    <d v="1946-12-02T00:00:00"/>
    <s v="M"/>
    <s v="F"/>
    <s v="adriana2@adventure-works.com"/>
    <n v="100000"/>
    <n v="3"/>
    <s v="Bachelors"/>
    <s v="Management"/>
    <s v="Y"/>
    <s v="Germany"/>
    <x v="4"/>
    <s v="Europe"/>
    <x v="0"/>
    <s v="Bikes"/>
    <n v="3578.27"/>
    <n v="2171.2941999999998"/>
    <n v="1406.9757999999999"/>
    <n v="0.39320001006072802"/>
  </r>
  <r>
    <x v="257"/>
    <d v="2002-06-24T00:00:00"/>
    <s v="SO47571"/>
    <n v="377"/>
    <n v="14185"/>
    <n v="7"/>
    <n v="1"/>
    <n v="1"/>
    <n v="2"/>
    <s v="BK-R89B-52"/>
    <x v="20"/>
    <n v="1320.6838"/>
    <n v="2181.5625"/>
    <s v="MR."/>
    <s v="FRANK"/>
    <s v="VAZQUEZ"/>
    <s v="FRANK VAZQUEZ"/>
    <d v="1952-11-19T00:00:00"/>
    <s v="S"/>
    <s v="M"/>
    <s v="frank22@adventure-works.com"/>
    <n v="80000"/>
    <n v="4"/>
    <s v="Partial College"/>
    <s v="Professional"/>
    <s v="Y"/>
    <s v="France"/>
    <x v="0"/>
    <s v="Europe"/>
    <x v="0"/>
    <s v="Bikes"/>
    <n v="2181.5625"/>
    <n v="1320.6838"/>
    <n v="860.87869999999998"/>
    <n v="0.39461564818793898"/>
  </r>
  <r>
    <x v="318"/>
    <d v="2002-07-07T00:00:00"/>
    <s v="SO47595"/>
    <n v="369"/>
    <n v="14186"/>
    <n v="7"/>
    <n v="1"/>
    <n v="1"/>
    <n v="2"/>
    <s v="BK-R89R-48"/>
    <x v="21"/>
    <n v="1518.7864"/>
    <n v="2443.35"/>
    <s v="MRS."/>
    <s v="KATRINA"/>
    <s v="TANG"/>
    <s v="KATRINA TANG"/>
    <d v="1952-06-26T00:00:00"/>
    <s v="M"/>
    <s v="F"/>
    <s v="katrina3@adventure-works.com"/>
    <n v="80000"/>
    <n v="4"/>
    <s v="Partial College"/>
    <s v="Professional"/>
    <s v="Y"/>
    <s v="France"/>
    <x v="0"/>
    <s v="Europe"/>
    <x v="0"/>
    <s v="Bikes"/>
    <n v="2443.35"/>
    <n v="1518.7864"/>
    <n v="924.56359999999995"/>
    <n v="0.37839998362903399"/>
  </r>
  <r>
    <x v="319"/>
    <d v="2002-01-12T00:00:00"/>
    <s v="SO45449"/>
    <n v="310"/>
    <n v="14189"/>
    <n v="8"/>
    <n v="1"/>
    <n v="1"/>
    <n v="2"/>
    <s v="BK-R93R-62"/>
    <x v="1"/>
    <n v="2171.2941999999998"/>
    <n v="3578.27"/>
    <s v="MRS."/>
    <s v="KRISTA"/>
    <s v="MARTIN"/>
    <s v="KRISTA MARTIN"/>
    <d v="1951-09-01T00:00:00"/>
    <s v="M"/>
    <s v="F"/>
    <s v="krista0@adventure-works.com"/>
    <n v="90000"/>
    <n v="4"/>
    <s v="High School"/>
    <s v="Professional"/>
    <s v="N"/>
    <s v="Germany"/>
    <x v="4"/>
    <s v="Europe"/>
    <x v="0"/>
    <s v="Bikes"/>
    <n v="3578.27"/>
    <n v="2171.2941999999998"/>
    <n v="1406.9757999999999"/>
    <n v="0.39320001006072802"/>
  </r>
  <r>
    <x v="320"/>
    <d v="2002-06-11T00:00:00"/>
    <s v="SO47601"/>
    <n v="379"/>
    <n v="14192"/>
    <n v="7"/>
    <n v="1"/>
    <n v="1"/>
    <n v="2"/>
    <s v="BK-R89B-58"/>
    <x v="26"/>
    <n v="1320.6838"/>
    <n v="2181.5625"/>
    <s v="MR."/>
    <s v="RONALD"/>
    <s v="KAPOOR"/>
    <s v="RONALD KAPOOR"/>
    <d v="1950-08-23T00:00:00"/>
    <s v="M"/>
    <s v="M"/>
    <s v="ronald3@adventure-works.com"/>
    <n v="90000"/>
    <n v="4"/>
    <s v="High School"/>
    <s v="Management"/>
    <s v="Y"/>
    <s v="France"/>
    <x v="0"/>
    <s v="Europe"/>
    <x v="0"/>
    <s v="Bikes"/>
    <n v="2181.5625"/>
    <n v="1320.6838"/>
    <n v="860.87869999999998"/>
    <n v="0.39461564818793898"/>
  </r>
  <r>
    <x v="3"/>
    <d v="2001-10-22T00:00:00"/>
    <s v="SO45440"/>
    <n v="312"/>
    <n v="14198"/>
    <n v="8"/>
    <n v="1"/>
    <n v="1"/>
    <n v="2"/>
    <s v="BK-R93R-48"/>
    <x v="0"/>
    <n v="2171.2941999999998"/>
    <n v="3578.27"/>
    <s v="MRS."/>
    <s v="DAISY"/>
    <s v="ROMERO"/>
    <s v="DAISY ROMERO"/>
    <d v="1949-11-12T00:00:00"/>
    <s v="M"/>
    <s v="F"/>
    <s v="daisy5@adventure-works.com"/>
    <n v="110000"/>
    <n v="4"/>
    <s v="High School"/>
    <s v="Management"/>
    <s v="Y"/>
    <s v="Germany"/>
    <x v="4"/>
    <s v="Europe"/>
    <x v="0"/>
    <s v="Bikes"/>
    <n v="3578.27"/>
    <n v="2171.2941999999998"/>
    <n v="1406.9757999999999"/>
    <n v="0.39320001006072802"/>
  </r>
  <r>
    <x v="321"/>
    <d v="2002-05-29T00:00:00"/>
    <s v="SO47511"/>
    <n v="375"/>
    <n v="14200"/>
    <n v="7"/>
    <n v="1"/>
    <n v="1"/>
    <n v="2"/>
    <s v="BK-R89B-48"/>
    <x v="25"/>
    <n v="1320.6838"/>
    <n v="2181.5625"/>
    <s v="MRS."/>
    <s v="COLLEEN"/>
    <s v="GOEL"/>
    <s v="COLLEEN GOEL"/>
    <d v="1948-10-07T00:00:00"/>
    <s v="M"/>
    <s v="F"/>
    <s v="colleen42@adventure-works.com"/>
    <n v="70000"/>
    <n v="5"/>
    <s v="Partial High School"/>
    <s v="Skilled Manual"/>
    <s v="Y"/>
    <s v="France"/>
    <x v="0"/>
    <s v="Europe"/>
    <x v="0"/>
    <s v="Bikes"/>
    <n v="2181.5625"/>
    <n v="1320.6838"/>
    <n v="860.87869999999998"/>
    <n v="0.39461564818793898"/>
  </r>
  <r>
    <x v="267"/>
    <d v="2002-08-05T00:00:00"/>
    <s v="SO47463"/>
    <n v="373"/>
    <n v="14203"/>
    <n v="7"/>
    <n v="1"/>
    <n v="1"/>
    <n v="2"/>
    <s v="BK-R89B-44"/>
    <x v="19"/>
    <n v="1320.6838"/>
    <n v="2181.5625"/>
    <s v="MR."/>
    <s v="SETH"/>
    <s v="RODRIGUEZ"/>
    <s v="SETH RODRIGUEZ"/>
    <d v="1947-05-14T00:00:00"/>
    <s v="S"/>
    <s v="M"/>
    <s v="seth19@adventure-works.com"/>
    <n v="80000"/>
    <n v="5"/>
    <s v="High School"/>
    <s v="Management"/>
    <s v="Y"/>
    <s v="France"/>
    <x v="0"/>
    <s v="Europe"/>
    <x v="0"/>
    <s v="Bikes"/>
    <n v="2181.5625"/>
    <n v="1320.6838"/>
    <n v="860.87869999999998"/>
    <n v="0.39461564818793898"/>
  </r>
  <r>
    <x v="84"/>
    <d v="2002-02-23T00:00:00"/>
    <s v="SO45775"/>
    <n v="314"/>
    <n v="14207"/>
    <n v="8"/>
    <n v="1"/>
    <n v="1"/>
    <n v="2"/>
    <s v="BK-R93R-56"/>
    <x v="2"/>
    <n v="2171.2941999999998"/>
    <n v="3578.27"/>
    <s v="MR."/>
    <s v="JOS�"/>
    <s v="SARAIVA"/>
    <s v="JOS� SARAIVA"/>
    <d v="1947-09-21T00:00:00"/>
    <s v="M"/>
    <s v="M"/>
    <s v="jos�5@adventure-works.com"/>
    <n v="110000"/>
    <n v="4"/>
    <s v="Partial High School"/>
    <s v="Professional"/>
    <s v="Y"/>
    <s v="Germany"/>
    <x v="4"/>
    <s v="Europe"/>
    <x v="0"/>
    <s v="Bikes"/>
    <n v="3578.27"/>
    <n v="2171.2941999999998"/>
    <n v="1406.9757999999999"/>
    <n v="0.39320001006072802"/>
  </r>
  <r>
    <x v="311"/>
    <d v="2002-10-18T00:00:00"/>
    <s v="SO48125"/>
    <n v="389"/>
    <n v="14239"/>
    <n v="4"/>
    <n v="1"/>
    <n v="1"/>
    <n v="2"/>
    <s v="BK-R64Y-48"/>
    <x v="31"/>
    <n v="605.64919999999995"/>
    <n v="1000.4375"/>
    <s v="MRS."/>
    <s v="MARIA"/>
    <s v="PETERSON"/>
    <s v="MARIA PETERSON"/>
    <d v="1941-06-19T00:00:00"/>
    <s v="M"/>
    <s v="F"/>
    <s v="maria17@adventure-works.com"/>
    <n v="70000"/>
    <n v="5"/>
    <s v="Bachelors"/>
    <s v="Management"/>
    <s v="Y"/>
    <s v="Southwest"/>
    <x v="1"/>
    <s v="North America"/>
    <x v="0"/>
    <s v="Bikes"/>
    <n v="1000.4375"/>
    <n v="605.64919999999995"/>
    <n v="394.78829999999999"/>
    <n v="0.39461565565065299"/>
  </r>
  <r>
    <x v="313"/>
    <d v="2002-10-15T00:00:00"/>
    <s v="SO48256"/>
    <n v="385"/>
    <n v="14240"/>
    <n v="1"/>
    <n v="1"/>
    <n v="1"/>
    <n v="2"/>
    <s v="BK-R64Y-42"/>
    <x v="28"/>
    <n v="605.64919999999995"/>
    <n v="1000.4375"/>
    <s v="MRS."/>
    <s v="CAROLINE"/>
    <s v="FOSTER"/>
    <s v="CAROLINE FOSTER"/>
    <d v="1941-06-18T00:00:00"/>
    <s v="M"/>
    <s v="F"/>
    <s v="caroline17@adventure-works.com"/>
    <n v="80000"/>
    <n v="4"/>
    <s v="Bachelors"/>
    <s v="Management"/>
    <s v="N"/>
    <s v="Northwest"/>
    <x v="1"/>
    <s v="North America"/>
    <x v="0"/>
    <s v="Bikes"/>
    <n v="1000.4375"/>
    <n v="605.64919999999995"/>
    <n v="394.78829999999999"/>
    <n v="0.39461565565065299"/>
  </r>
  <r>
    <x v="291"/>
    <d v="2002-11-09T00:00:00"/>
    <s v="SO48552"/>
    <n v="381"/>
    <n v="14242"/>
    <n v="1"/>
    <n v="1"/>
    <n v="1"/>
    <n v="2"/>
    <s v="BK-R64Y-38"/>
    <x v="30"/>
    <n v="605.64919999999995"/>
    <n v="1000.4375"/>
    <s v="MR."/>
    <s v="RAFAEL"/>
    <s v="YE"/>
    <s v="RAFAEL YE"/>
    <d v="1942-06-02T00:00:00"/>
    <s v="M"/>
    <s v="M"/>
    <s v="rafael10@adventure-works.com"/>
    <n v="70000"/>
    <n v="5"/>
    <s v="Bachelors"/>
    <s v="Management"/>
    <s v="Y"/>
    <s v="Northwest"/>
    <x v="1"/>
    <s v="North America"/>
    <x v="0"/>
    <s v="Bikes"/>
    <n v="1000.4375"/>
    <n v="605.64919999999995"/>
    <n v="394.78829999999999"/>
    <n v="0.39461565565065299"/>
  </r>
  <r>
    <x v="232"/>
    <d v="2002-08-07T00:00:00"/>
    <s v="SO48426"/>
    <n v="383"/>
    <n v="14253"/>
    <n v="4"/>
    <n v="1"/>
    <n v="1"/>
    <n v="2"/>
    <s v="BK-R64Y-40"/>
    <x v="29"/>
    <n v="605.64919999999995"/>
    <n v="1000.4375"/>
    <s v="MR."/>
    <s v="EDUARDO"/>
    <s v="SCOTT"/>
    <s v="EDUARDO SCOTT"/>
    <d v="1943-10-20T00:00:00"/>
    <s v="S"/>
    <s v="M"/>
    <s v="eduardo29@adventure-works.com"/>
    <n v="110000"/>
    <n v="2"/>
    <s v="Bachelors"/>
    <s v="Management"/>
    <s v="Y"/>
    <s v="Southwest"/>
    <x v="1"/>
    <s v="North America"/>
    <x v="0"/>
    <s v="Bikes"/>
    <n v="1000.4375"/>
    <n v="605.64919999999995"/>
    <n v="394.78829999999999"/>
    <n v="0.39461565565065299"/>
  </r>
  <r>
    <x v="294"/>
    <d v="2002-10-20T00:00:00"/>
    <s v="SO48507"/>
    <n v="389"/>
    <n v="14255"/>
    <n v="1"/>
    <n v="1"/>
    <n v="1"/>
    <n v="2"/>
    <s v="BK-R64Y-48"/>
    <x v="31"/>
    <n v="605.64919999999995"/>
    <n v="1000.4375"/>
    <s v="MR."/>
    <s v="JONATHAN"/>
    <s v="JACKSON"/>
    <s v="JONATHAN JACKSON"/>
    <d v="1943-02-26T00:00:00"/>
    <s v="S"/>
    <s v="M"/>
    <s v="jonathan65@adventure-works.com"/>
    <n v="110000"/>
    <n v="2"/>
    <s v="Bachelors"/>
    <s v="Management"/>
    <s v="Y"/>
    <s v="Northwest"/>
    <x v="1"/>
    <s v="North America"/>
    <x v="0"/>
    <s v="Bikes"/>
    <n v="1000.4375"/>
    <n v="605.64919999999995"/>
    <n v="394.78829999999999"/>
    <n v="0.39461565565065299"/>
  </r>
  <r>
    <x v="220"/>
    <d v="2002-08-25T00:00:00"/>
    <s v="SO48536"/>
    <n v="387"/>
    <n v="14256"/>
    <n v="1"/>
    <n v="1"/>
    <n v="1"/>
    <n v="2"/>
    <s v="BK-R64Y-44"/>
    <x v="27"/>
    <n v="605.64919999999995"/>
    <n v="1000.4375"/>
    <s v="MRS."/>
    <s v="ELIZABETH"/>
    <s v="ROBINSON"/>
    <s v="ELIZABETH ROBINSON"/>
    <d v="1943-05-17T00:00:00"/>
    <s v="S"/>
    <s v="F"/>
    <s v="elizabeth22@adventure-works.com"/>
    <n v="170000"/>
    <n v="2"/>
    <s v="Graduate Degree"/>
    <s v="Management"/>
    <s v="N"/>
    <s v="Northwest"/>
    <x v="1"/>
    <s v="North America"/>
    <x v="0"/>
    <s v="Bikes"/>
    <n v="1000.4375"/>
    <n v="605.64919999999995"/>
    <n v="394.78829999999999"/>
    <n v="0.39461565565065299"/>
  </r>
  <r>
    <x v="290"/>
    <d v="2002-11-06T00:00:00"/>
    <s v="SO48436"/>
    <n v="389"/>
    <n v="14267"/>
    <n v="1"/>
    <n v="1"/>
    <n v="1"/>
    <n v="2"/>
    <s v="BK-R64Y-48"/>
    <x v="31"/>
    <n v="605.64919999999995"/>
    <n v="1000.4375"/>
    <s v="MS."/>
    <s v="LAUREN"/>
    <s v="WOOD"/>
    <s v="LAUREN WOOD"/>
    <d v="1975-09-13T00:00:00"/>
    <s v="S"/>
    <s v="F"/>
    <s v="lauren49@adventure-works.com"/>
    <n v="30000"/>
    <n v="0"/>
    <s v="Partial College"/>
    <s v="Skilled Manual"/>
    <s v="N"/>
    <s v="Northwest"/>
    <x v="1"/>
    <s v="North America"/>
    <x v="0"/>
    <s v="Bikes"/>
    <n v="1000.4375"/>
    <n v="605.64919999999995"/>
    <n v="394.78829999999999"/>
    <n v="0.39461565565065299"/>
  </r>
  <r>
    <x v="214"/>
    <d v="2002-10-28T00:00:00"/>
    <s v="SO48709"/>
    <n v="381"/>
    <n v="14268"/>
    <n v="4"/>
    <n v="1"/>
    <n v="1"/>
    <n v="2"/>
    <s v="BK-R64Y-38"/>
    <x v="30"/>
    <n v="605.64919999999995"/>
    <n v="1000.4375"/>
    <s v="MS."/>
    <s v="ISABELLA"/>
    <s v="ROBERTS"/>
    <s v="ISABELLA ROBERTS"/>
    <d v="1975-02-17T00:00:00"/>
    <s v="S"/>
    <s v="F"/>
    <s v="isabella43@adventure-works.com"/>
    <n v="30000"/>
    <n v="0"/>
    <s v="High School"/>
    <s v="Skilled Manual"/>
    <s v="Y"/>
    <s v="Southwest"/>
    <x v="1"/>
    <s v="North America"/>
    <x v="0"/>
    <s v="Bikes"/>
    <n v="1000.4375"/>
    <n v="605.64919999999995"/>
    <n v="394.78829999999999"/>
    <n v="0.39461565565065299"/>
  </r>
  <r>
    <x v="303"/>
    <d v="2002-09-11T00:00:00"/>
    <s v="SO48644"/>
    <n v="387"/>
    <n v="14270"/>
    <n v="4"/>
    <n v="1"/>
    <n v="1"/>
    <n v="2"/>
    <s v="BK-R64Y-44"/>
    <x v="27"/>
    <n v="605.64919999999995"/>
    <n v="1000.4375"/>
    <s v="MR."/>
    <s v="JAMES"/>
    <s v="ROSS"/>
    <s v="JAMES ROSS"/>
    <d v="1975-01-25T00:00:00"/>
    <s v="S"/>
    <s v="M"/>
    <s v="james19@adventure-works.com"/>
    <n v="60000"/>
    <n v="0"/>
    <s v="Partial College"/>
    <s v="Skilled Manual"/>
    <s v="N"/>
    <s v="Southwest"/>
    <x v="1"/>
    <s v="North America"/>
    <x v="0"/>
    <s v="Bikes"/>
    <n v="1000.4375"/>
    <n v="605.64919999999995"/>
    <n v="394.78829999999999"/>
    <n v="0.39461565565065299"/>
  </r>
  <r>
    <x v="293"/>
    <d v="2002-09-11T00:00:00"/>
    <s v="SO48494"/>
    <n v="385"/>
    <n v="14272"/>
    <n v="1"/>
    <n v="1"/>
    <n v="1"/>
    <n v="2"/>
    <s v="BK-R64Y-42"/>
    <x v="28"/>
    <n v="605.64919999999995"/>
    <n v="1000.4375"/>
    <s v="MS."/>
    <s v="SYDNEY"/>
    <s v="WARD"/>
    <s v="SYDNEY WARD"/>
    <d v="1974-03-03T00:00:00"/>
    <s v="S"/>
    <s v="F"/>
    <s v="sydney13@adventure-works.com"/>
    <n v="30000"/>
    <n v="0"/>
    <s v="High School"/>
    <s v="Skilled Manual"/>
    <s v="N"/>
    <s v="Northwest"/>
    <x v="1"/>
    <s v="North America"/>
    <x v="0"/>
    <s v="Bikes"/>
    <n v="1000.4375"/>
    <n v="605.64919999999995"/>
    <n v="394.78829999999999"/>
    <n v="0.39461565565065299"/>
  </r>
  <r>
    <x v="303"/>
    <d v="2002-10-29T00:00:00"/>
    <s v="SO48645"/>
    <n v="387"/>
    <n v="14283"/>
    <n v="1"/>
    <n v="1"/>
    <n v="1"/>
    <n v="2"/>
    <s v="BK-R64Y-44"/>
    <x v="27"/>
    <n v="605.64919999999995"/>
    <n v="1000.4375"/>
    <s v="MR."/>
    <s v="SETH"/>
    <s v="SIMMONS"/>
    <s v="SETH SIMMONS"/>
    <d v="1974-10-08T00:00:00"/>
    <s v="S"/>
    <s v="M"/>
    <s v="seth63@adventure-works.com"/>
    <n v="60000"/>
    <n v="0"/>
    <s v="Partial College"/>
    <s v="Professional"/>
    <s v="N"/>
    <s v="Northwest"/>
    <x v="1"/>
    <s v="North America"/>
    <x v="0"/>
    <s v="Bikes"/>
    <n v="1000.4375"/>
    <n v="605.64919999999995"/>
    <n v="394.78829999999999"/>
    <n v="0.39461565565065299"/>
  </r>
  <r>
    <x v="286"/>
    <d v="2002-08-20T00:00:00"/>
    <s v="SO48525"/>
    <n v="385"/>
    <n v="14284"/>
    <n v="1"/>
    <n v="1"/>
    <n v="1"/>
    <n v="2"/>
    <s v="BK-R64Y-42"/>
    <x v="28"/>
    <n v="605.64919999999995"/>
    <n v="1000.4375"/>
    <s v="MR."/>
    <s v="WYATT"/>
    <s v="ANDERSON"/>
    <s v="WYATT ANDERSON"/>
    <d v="1974-06-17T00:00:00"/>
    <s v="S"/>
    <s v="M"/>
    <s v="wyatt10@adventure-works.com"/>
    <n v="60000"/>
    <n v="0"/>
    <s v="Partial College"/>
    <s v="Professional"/>
    <s v="N"/>
    <s v="Northwest"/>
    <x v="1"/>
    <s v="North America"/>
    <x v="0"/>
    <s v="Bikes"/>
    <n v="1000.4375"/>
    <n v="605.64919999999995"/>
    <n v="394.78829999999999"/>
    <n v="0.39461565565065299"/>
  </r>
  <r>
    <x v="218"/>
    <d v="2002-09-30T00:00:00"/>
    <s v="SO48403"/>
    <n v="383"/>
    <n v="14285"/>
    <n v="4"/>
    <n v="1"/>
    <n v="1"/>
    <n v="2"/>
    <s v="BK-R64Y-40"/>
    <x v="29"/>
    <n v="605.64919999999995"/>
    <n v="1000.4375"/>
    <s v="MS."/>
    <s v="TAYLOR"/>
    <s v="HUGHES"/>
    <s v="TAYLOR HUGHES"/>
    <d v="1974-12-04T00:00:00"/>
    <s v="S"/>
    <s v="F"/>
    <s v="taylor36@adventure-works.com"/>
    <n v="60000"/>
    <n v="0"/>
    <s v="Partial College"/>
    <s v="Professional"/>
    <s v="N"/>
    <s v="Southwest"/>
    <x v="1"/>
    <s v="North America"/>
    <x v="0"/>
    <s v="Bikes"/>
    <n v="1000.4375"/>
    <n v="605.64919999999995"/>
    <n v="394.78829999999999"/>
    <n v="0.39461565565065299"/>
  </r>
  <r>
    <x v="289"/>
    <d v="2002-08-22T00:00:00"/>
    <s v="SO48413"/>
    <n v="383"/>
    <n v="14288"/>
    <n v="4"/>
    <n v="1"/>
    <n v="1"/>
    <n v="2"/>
    <s v="BK-R64Y-40"/>
    <x v="29"/>
    <n v="605.64919999999995"/>
    <n v="1000.4375"/>
    <s v="MS."/>
    <s v="CHRISTINA"/>
    <s v="RAMIREZ"/>
    <s v="CHRISTINA RAMIREZ"/>
    <d v="1966-03-09T00:00:00"/>
    <s v="S"/>
    <s v="F"/>
    <s v="christina5@adventure-works.com"/>
    <n v="130000"/>
    <n v="0"/>
    <s v="Graduate Degree"/>
    <s v="Management"/>
    <s v="N"/>
    <s v="Southwest"/>
    <x v="1"/>
    <s v="North America"/>
    <x v="0"/>
    <s v="Bikes"/>
    <n v="1000.4375"/>
    <n v="605.64919999999995"/>
    <n v="394.78829999999999"/>
    <n v="0.39461565565065299"/>
  </r>
  <r>
    <x v="232"/>
    <d v="2002-11-17T00:00:00"/>
    <s v="SO48427"/>
    <n v="389"/>
    <n v="14289"/>
    <n v="4"/>
    <n v="1"/>
    <n v="1"/>
    <n v="2"/>
    <s v="BK-R64Y-48"/>
    <x v="31"/>
    <n v="605.64919999999995"/>
    <n v="1000.4375"/>
    <s v="MS."/>
    <s v="JESSICA"/>
    <s v="MARTINEZ"/>
    <s v="JESSICA MARTINEZ"/>
    <d v="1966-08-22T00:00:00"/>
    <s v="S"/>
    <s v="F"/>
    <s v="jessica65@adventure-works.com"/>
    <n v="150000"/>
    <n v="0"/>
    <s v="Bachelors"/>
    <s v="Management"/>
    <s v="N"/>
    <s v="Southwest"/>
    <x v="1"/>
    <s v="North America"/>
    <x v="0"/>
    <s v="Bikes"/>
    <n v="1000.4375"/>
    <n v="605.64919999999995"/>
    <n v="394.78829999999999"/>
    <n v="0.39461565565065299"/>
  </r>
  <r>
    <x v="322"/>
    <d v="2002-08-04T00:00:00"/>
    <s v="SO47483"/>
    <n v="379"/>
    <n v="14424"/>
    <n v="7"/>
    <n v="1"/>
    <n v="1"/>
    <n v="2"/>
    <s v="BK-R89B-58"/>
    <x v="26"/>
    <n v="1320.6838"/>
    <n v="2181.5625"/>
    <s v="MRS."/>
    <s v="STEFANIE"/>
    <s v="RAMAN"/>
    <s v="STEFANIE RAMAN"/>
    <d v="1957-07-08T00:00:00"/>
    <s v="S"/>
    <s v="F"/>
    <s v="stefanie9@adventure-works.com"/>
    <n v="110000"/>
    <n v="2"/>
    <s v="Partial College"/>
    <s v="Professional"/>
    <s v="Y"/>
    <s v="France"/>
    <x v="0"/>
    <s v="Europe"/>
    <x v="0"/>
    <s v="Bikes"/>
    <n v="2181.5625"/>
    <n v="1320.6838"/>
    <n v="860.87869999999998"/>
    <n v="0.39461564818793898"/>
  </r>
  <r>
    <x v="48"/>
    <d v="2002-03-02T00:00:00"/>
    <s v="SO45692"/>
    <n v="313"/>
    <n v="14425"/>
    <n v="8"/>
    <n v="1"/>
    <n v="1"/>
    <n v="2"/>
    <s v="BK-R93R-52"/>
    <x v="3"/>
    <n v="2171.2941999999998"/>
    <n v="3578.27"/>
    <s v="MR."/>
    <s v="VICTOR"/>
    <s v="CARLSON"/>
    <s v="VICTOR CARLSON"/>
    <d v="1957-08-18T00:00:00"/>
    <s v="M"/>
    <s v="M"/>
    <s v="victor18@adventure-works.com"/>
    <n v="120000"/>
    <n v="2"/>
    <s v="High School"/>
    <s v="Professional"/>
    <s v="Y"/>
    <s v="Germany"/>
    <x v="4"/>
    <s v="Europe"/>
    <x v="0"/>
    <s v="Bikes"/>
    <n v="3578.27"/>
    <n v="2171.2941999999998"/>
    <n v="1406.9757999999999"/>
    <n v="0.39320001006072802"/>
  </r>
  <r>
    <x v="45"/>
    <d v="2001-11-28T00:00:00"/>
    <s v="SO45728"/>
    <n v="313"/>
    <n v="14426"/>
    <n v="8"/>
    <n v="1"/>
    <n v="1"/>
    <n v="2"/>
    <s v="BK-R93R-52"/>
    <x v="3"/>
    <n v="2171.2941999999998"/>
    <n v="3578.27"/>
    <s v="MRS."/>
    <s v="MADISON"/>
    <s v="HUGHES"/>
    <s v="MADISON HUGHES"/>
    <d v="1957-08-23T00:00:00"/>
    <s v="M"/>
    <s v="F"/>
    <s v="madison47@adventure-works.com"/>
    <n v="130000"/>
    <n v="2"/>
    <s v="Partial College"/>
    <s v="Professional"/>
    <s v="Y"/>
    <s v="Germany"/>
    <x v="4"/>
    <s v="Europe"/>
    <x v="0"/>
    <s v="Bikes"/>
    <n v="3578.27"/>
    <n v="2171.2941999999998"/>
    <n v="1406.9757999999999"/>
    <n v="0.39320001006072802"/>
  </r>
  <r>
    <x v="35"/>
    <d v="2002-01-29T00:00:00"/>
    <s v="SO45580"/>
    <n v="310"/>
    <n v="14428"/>
    <n v="8"/>
    <n v="1"/>
    <n v="1"/>
    <n v="2"/>
    <s v="BK-R93R-62"/>
    <x v="1"/>
    <n v="2171.2941999999998"/>
    <n v="3578.27"/>
    <s v="MRS."/>
    <s v="CASSIE"/>
    <s v="ANDERSEN"/>
    <s v="CASSIE ANDERSEN"/>
    <d v="1955-10-12T00:00:00"/>
    <s v="S"/>
    <s v="F"/>
    <s v="cassie11@adventure-works.com"/>
    <n v="130000"/>
    <n v="3"/>
    <s v="Partial College"/>
    <s v="Professional"/>
    <s v="N"/>
    <s v="Germany"/>
    <x v="4"/>
    <s v="Europe"/>
    <x v="0"/>
    <s v="Bikes"/>
    <n v="3578.27"/>
    <n v="2171.2941999999998"/>
    <n v="1406.9757999999999"/>
    <n v="0.39320001006072802"/>
  </r>
  <r>
    <x v="322"/>
    <d v="2002-06-19T00:00:00"/>
    <s v="SO47485"/>
    <n v="371"/>
    <n v="14524"/>
    <n v="7"/>
    <n v="1"/>
    <n v="1"/>
    <n v="2"/>
    <s v="BK-R89R-58"/>
    <x v="24"/>
    <n v="1320.6838"/>
    <n v="2181.5625"/>
    <s v="MS."/>
    <s v="CARLA"/>
    <s v="PRASAD"/>
    <s v="CARLA PRASAD"/>
    <d v="1978-05-19T00:00:00"/>
    <s v="M"/>
    <s v="F"/>
    <s v="carla12@adventure-works.com"/>
    <n v="10000"/>
    <n v="0"/>
    <s v="Graduate Degree"/>
    <s v="Manual"/>
    <s v="Y"/>
    <s v="France"/>
    <x v="0"/>
    <s v="Europe"/>
    <x v="0"/>
    <s v="Bikes"/>
    <n v="2181.5625"/>
    <n v="1320.6838"/>
    <n v="860.87869999999998"/>
    <n v="0.39461564818793898"/>
  </r>
  <r>
    <x v="322"/>
    <d v="2002-06-25T00:00:00"/>
    <s v="SO47486"/>
    <n v="377"/>
    <n v="14538"/>
    <n v="7"/>
    <n v="1"/>
    <n v="1"/>
    <n v="2"/>
    <s v="BK-R89B-52"/>
    <x v="20"/>
    <n v="1320.6838"/>
    <n v="2181.5625"/>
    <s v="MRS."/>
    <s v="KATHERINE"/>
    <s v="BROWN"/>
    <s v="KATHERINE BROWN"/>
    <d v="1962-04-20T00:00:00"/>
    <s v="S"/>
    <s v="F"/>
    <s v="katherine75@adventure-works.com"/>
    <n v="30000"/>
    <n v="4"/>
    <s v="Graduate Degree"/>
    <s v="Clerical"/>
    <s v="Y"/>
    <s v="France"/>
    <x v="0"/>
    <s v="Europe"/>
    <x v="0"/>
    <s v="Bikes"/>
    <n v="2181.5625"/>
    <n v="1320.6838"/>
    <n v="860.87869999999998"/>
    <n v="0.39461564818793898"/>
  </r>
  <r>
    <x v="259"/>
    <d v="2002-05-29T00:00:00"/>
    <s v="SO47471"/>
    <n v="370"/>
    <n v="14539"/>
    <n v="7"/>
    <n v="1"/>
    <n v="1"/>
    <n v="2"/>
    <s v="BK-R89R-52"/>
    <x v="23"/>
    <n v="1518.7864"/>
    <n v="2443.35"/>
    <s v="MRS."/>
    <s v="CARRIE"/>
    <s v="ALONSO"/>
    <s v="CARRIE ALONSO"/>
    <d v="1962-12-20T00:00:00"/>
    <s v="S"/>
    <s v="F"/>
    <s v="carrie8@adventure-works.com"/>
    <n v="30000"/>
    <n v="4"/>
    <s v="Graduate Degree"/>
    <s v="Clerical"/>
    <s v="Y"/>
    <s v="France"/>
    <x v="0"/>
    <s v="Europe"/>
    <x v="0"/>
    <s v="Bikes"/>
    <n v="2443.35"/>
    <n v="1518.7864"/>
    <n v="924.56359999999995"/>
    <n v="0.37839998362903399"/>
  </r>
  <r>
    <x v="46"/>
    <d v="2002-02-14T00:00:00"/>
    <s v="SO45643"/>
    <n v="310"/>
    <n v="14541"/>
    <n v="8"/>
    <n v="1"/>
    <n v="1"/>
    <n v="2"/>
    <s v="BK-R93R-62"/>
    <x v="1"/>
    <n v="2171.2941999999998"/>
    <n v="3578.27"/>
    <s v="MR."/>
    <s v="DOUGLAS"/>
    <s v="KAPOOR"/>
    <s v="DOUGLAS KAPOOR"/>
    <d v="1958-05-17T00:00:00"/>
    <s v="S"/>
    <s v="M"/>
    <s v="douglas5@adventure-works.com"/>
    <n v="20000"/>
    <n v="1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196"/>
    <d v="2002-07-03T00:00:00"/>
    <s v="SO47645"/>
    <n v="375"/>
    <n v="14555"/>
    <n v="7"/>
    <n v="1"/>
    <n v="1"/>
    <n v="2"/>
    <s v="BK-R89B-48"/>
    <x v="25"/>
    <n v="1320.6838"/>
    <n v="2181.5625"/>
    <s v="MRS."/>
    <s v="JODI"/>
    <s v="KUMAR"/>
    <s v="JODI KUMAR"/>
    <d v="1942-11-14T00:00:00"/>
    <s v="S"/>
    <s v="F"/>
    <s v="jodi7@adventure-works.com"/>
    <n v="10000"/>
    <n v="2"/>
    <s v="Partial College"/>
    <s v="Manual"/>
    <s v="Y"/>
    <s v="France"/>
    <x v="0"/>
    <s v="Europe"/>
    <x v="0"/>
    <s v="Bikes"/>
    <n v="2181.5625"/>
    <n v="1320.6838"/>
    <n v="860.87869999999998"/>
    <n v="0.39461564818793898"/>
  </r>
  <r>
    <x v="323"/>
    <d v="2001-11-20T00:00:00"/>
    <s v="SO45225"/>
    <n v="338"/>
    <n v="14653"/>
    <n v="4"/>
    <n v="1"/>
    <n v="1"/>
    <n v="2"/>
    <s v="BK-R50B-44"/>
    <x v="32"/>
    <n v="413.1463"/>
    <n v="699.09820000000002"/>
    <s v="MR."/>
    <s v="TROY"/>
    <s v="FERNANDEZ"/>
    <s v="TROY FERNANDEZ"/>
    <d v="1959-01-07T00:00:00"/>
    <s v="M"/>
    <s v="M"/>
    <s v="troy17@adventure-works.com"/>
    <n v="60000"/>
    <n v="1"/>
    <s v="Partial College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324"/>
    <d v="2001-12-10T00:00:00"/>
    <s v="SO45148"/>
    <n v="342"/>
    <n v="14656"/>
    <n v="1"/>
    <n v="1"/>
    <n v="1"/>
    <n v="2"/>
    <s v="BK-R50B-52"/>
    <x v="33"/>
    <n v="413.1463"/>
    <n v="699.09820000000002"/>
    <s v="MR."/>
    <s v="BRYANT"/>
    <s v="FERNANDEZ"/>
    <s v="BRYANT FERNANDEZ"/>
    <d v="1959-03-08T00:00:00"/>
    <s v="M"/>
    <s v="M"/>
    <s v="bryant15@adventure-works.com"/>
    <n v="80000"/>
    <n v="1"/>
    <s v="Graduate Degre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15"/>
    <d v="2001-09-21T00:00:00"/>
    <s v="SO45080"/>
    <n v="332"/>
    <n v="14657"/>
    <n v="1"/>
    <n v="1"/>
    <n v="1"/>
    <n v="2"/>
    <s v="BK-R50B-58"/>
    <x v="34"/>
    <n v="413.1463"/>
    <n v="699.09820000000002"/>
    <s v="MR."/>
    <s v="JOHN"/>
    <s v="THOMAS"/>
    <s v="JOHN THOMAS"/>
    <d v="1958-11-11T00:00:00"/>
    <s v="M"/>
    <s v="M"/>
    <s v="john48@adventure-works.com"/>
    <n v="80000"/>
    <n v="1"/>
    <s v="Partial College"/>
    <s v="Skilled Manual"/>
    <s v="N"/>
    <s v="Northwest"/>
    <x v="1"/>
    <s v="North America"/>
    <x v="0"/>
    <s v="Bikes"/>
    <n v="699.09820000000002"/>
    <n v="413.1463"/>
    <n v="285.95190000000002"/>
    <n v="0.409029661355157"/>
  </r>
  <r>
    <x v="325"/>
    <d v="2001-10-06T00:00:00"/>
    <s v="SO45191"/>
    <n v="328"/>
    <n v="14660"/>
    <n v="1"/>
    <n v="1"/>
    <n v="1"/>
    <n v="2"/>
    <s v="BK-R50R-48"/>
    <x v="35"/>
    <n v="413.1463"/>
    <n v="699.09820000000002"/>
    <s v="MRS."/>
    <s v="GABRIELLE"/>
    <s v="HOWARD"/>
    <s v="GABRIELLE HOWARD"/>
    <d v="1958-03-06T00:00:00"/>
    <s v="M"/>
    <s v="F"/>
    <s v="gabrielle11@adventure-works.com"/>
    <n v="60000"/>
    <n v="1"/>
    <s v="Bachelors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323"/>
    <d v="2001-10-08T00:00:00"/>
    <s v="SO45226"/>
    <n v="342"/>
    <n v="14662"/>
    <n v="4"/>
    <n v="1"/>
    <n v="1"/>
    <n v="2"/>
    <s v="BK-R50B-52"/>
    <x v="33"/>
    <n v="413.1463"/>
    <n v="699.09820000000002"/>
    <s v="MR."/>
    <s v="JACK"/>
    <s v="ROSS"/>
    <s v="JACK ROSS"/>
    <d v="1958-05-09T00:00:00"/>
    <s v="M"/>
    <s v="M"/>
    <s v="jack4@adventure-works.com"/>
    <n v="60000"/>
    <n v="1"/>
    <s v="Bachelors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314"/>
    <d v="2001-10-22T00:00:00"/>
    <s v="SO45256"/>
    <n v="336"/>
    <n v="14664"/>
    <n v="4"/>
    <n v="1"/>
    <n v="1"/>
    <n v="2"/>
    <s v="BK-R50B-62"/>
    <x v="36"/>
    <n v="413.1463"/>
    <n v="699.09820000000002"/>
    <s v="MRS."/>
    <s v="KAYLA"/>
    <s v="ROSS"/>
    <s v="KAYLA ROSS"/>
    <d v="1958-06-02T00:00:00"/>
    <s v="S"/>
    <s v="F"/>
    <s v="kayla28@adventure-works.com"/>
    <n v="80000"/>
    <n v="5"/>
    <s v="Graduate Degree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61"/>
    <d v="2002-06-23T00:00:00"/>
    <s v="SO47556"/>
    <n v="379"/>
    <n v="14701"/>
    <n v="7"/>
    <n v="1"/>
    <n v="1"/>
    <n v="2"/>
    <s v="BK-R89B-58"/>
    <x v="26"/>
    <n v="1320.6838"/>
    <n v="2181.5625"/>
    <s v="MR."/>
    <s v="MAURIZIO"/>
    <s v="MACAGNO"/>
    <s v="MAURIZIO MACAGNO"/>
    <d v="1972-03-21T00:00:00"/>
    <s v="S"/>
    <s v="M"/>
    <s v="maurizio0@adventure-works.com"/>
    <n v="20000"/>
    <n v="0"/>
    <s v="Partial High School"/>
    <s v="Manual"/>
    <s v="N"/>
    <s v="France"/>
    <x v="0"/>
    <s v="Europe"/>
    <x v="0"/>
    <s v="Bikes"/>
    <n v="2181.5625"/>
    <n v="1320.6838"/>
    <n v="860.87869999999998"/>
    <n v="0.39461564818793898"/>
  </r>
  <r>
    <x v="264"/>
    <d v="2002-10-03T00:00:00"/>
    <s v="SO47871"/>
    <n v="371"/>
    <n v="14708"/>
    <n v="7"/>
    <n v="1"/>
    <n v="1"/>
    <n v="2"/>
    <s v="BK-R89R-58"/>
    <x v="24"/>
    <n v="1320.6838"/>
    <n v="2181.5625"/>
    <s v="MS."/>
    <s v="EVELYN"/>
    <s v="KAPOOR"/>
    <s v="EVELYN KAPOOR"/>
    <d v="1971-04-05T00:00:00"/>
    <s v="S"/>
    <s v="F"/>
    <s v="evelyn1@adventure-works.com"/>
    <n v="20000"/>
    <n v="0"/>
    <s v="Partial High School"/>
    <s v="Manual"/>
    <s v="N"/>
    <s v="France"/>
    <x v="0"/>
    <s v="Europe"/>
    <x v="0"/>
    <s v="Bikes"/>
    <n v="2181.5625"/>
    <n v="1320.6838"/>
    <n v="860.87869999999998"/>
    <n v="0.39461564818793898"/>
  </r>
  <r>
    <x v="71"/>
    <d v="2001-11-30T00:00:00"/>
    <s v="SO45683"/>
    <n v="311"/>
    <n v="14709"/>
    <n v="8"/>
    <n v="1"/>
    <n v="1"/>
    <n v="2"/>
    <s v="BK-R93R-44"/>
    <x v="4"/>
    <n v="2171.2941999999998"/>
    <n v="3578.27"/>
    <s v="MR."/>
    <s v="IAN"/>
    <s v="MARTIN"/>
    <s v="IAN MARTIN"/>
    <d v="1971-03-14T00:00:00"/>
    <s v="S"/>
    <s v="M"/>
    <s v="ian14@adventure-works.com"/>
    <n v="30000"/>
    <n v="0"/>
    <s v="High School"/>
    <s v="Manual"/>
    <s v="N"/>
    <s v="Germany"/>
    <x v="4"/>
    <s v="Europe"/>
    <x v="0"/>
    <s v="Bikes"/>
    <n v="3578.27"/>
    <n v="2171.2941999999998"/>
    <n v="1406.9757999999999"/>
    <n v="0.39320001006072802"/>
  </r>
  <r>
    <x v="326"/>
    <d v="2002-02-17T00:00:00"/>
    <s v="SO45664"/>
    <n v="312"/>
    <n v="14713"/>
    <n v="8"/>
    <n v="1"/>
    <n v="1"/>
    <n v="2"/>
    <s v="BK-R93R-48"/>
    <x v="0"/>
    <n v="2171.2941999999998"/>
    <n v="3578.27"/>
    <s v="MR."/>
    <s v="JON"/>
    <s v="YE"/>
    <s v="JON YE"/>
    <d v="1970-07-08T00:00:00"/>
    <s v="S"/>
    <s v="M"/>
    <s v="jon29@adventure-works.com"/>
    <n v="40000"/>
    <n v="2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279"/>
    <d v="2002-07-11T00:00:00"/>
    <s v="SO47903"/>
    <n v="368"/>
    <n v="14714"/>
    <n v="7"/>
    <n v="1"/>
    <n v="1"/>
    <n v="2"/>
    <s v="BK-R89R-44"/>
    <x v="22"/>
    <n v="1518.7864"/>
    <n v="2443.35"/>
    <s v="MRS."/>
    <s v="MEGHAN"/>
    <s v="DIAZ"/>
    <s v="MEGHAN DIAZ"/>
    <d v="1970-08-11T00:00:00"/>
    <s v="S"/>
    <s v="F"/>
    <s v="meghan2@adventure-works.com"/>
    <n v="40000"/>
    <n v="2"/>
    <s v="Partial College"/>
    <s v="Clerical"/>
    <s v="Y"/>
    <s v="France"/>
    <x v="0"/>
    <s v="Europe"/>
    <x v="0"/>
    <s v="Bikes"/>
    <n v="2443.35"/>
    <n v="1518.7864"/>
    <n v="924.56359999999995"/>
    <n v="0.37839998362903399"/>
  </r>
  <r>
    <x v="276"/>
    <d v="2002-06-22T00:00:00"/>
    <s v="SO47793"/>
    <n v="368"/>
    <n v="14716"/>
    <n v="7"/>
    <n v="1"/>
    <n v="1"/>
    <n v="2"/>
    <s v="BK-R89R-44"/>
    <x v="22"/>
    <n v="1518.7864"/>
    <n v="2443.35"/>
    <s v="MRS."/>
    <s v="SHANNON"/>
    <s v="ZHOU"/>
    <s v="SHANNON ZHOU"/>
    <d v="1971-06-01T00:00:00"/>
    <s v="S"/>
    <s v="F"/>
    <s v="shannon9@adventure-works.com"/>
    <n v="40000"/>
    <n v="2"/>
    <s v="Partial College"/>
    <s v="Clerical"/>
    <s v="Y"/>
    <s v="France"/>
    <x v="0"/>
    <s v="Europe"/>
    <x v="0"/>
    <s v="Bikes"/>
    <n v="2443.35"/>
    <n v="1518.7864"/>
    <n v="924.56359999999995"/>
    <n v="0.37839998362903399"/>
  </r>
  <r>
    <x v="327"/>
    <d v="2002-08-18T00:00:00"/>
    <s v="SO47786"/>
    <n v="370"/>
    <n v="14719"/>
    <n v="7"/>
    <n v="1"/>
    <n v="1"/>
    <n v="2"/>
    <s v="BK-R89R-52"/>
    <x v="23"/>
    <n v="1518.7864"/>
    <n v="2443.35"/>
    <s v="MR."/>
    <s v="RONNIE"/>
    <s v="HE"/>
    <s v="RONNIE HE"/>
    <d v="1970-04-08T00:00:00"/>
    <s v="M"/>
    <s v="M"/>
    <s v="ronnie16@adventure-works.com"/>
    <n v="40000"/>
    <n v="2"/>
    <s v="Partial College"/>
    <s v="Clerical"/>
    <s v="N"/>
    <s v="France"/>
    <x v="0"/>
    <s v="Europe"/>
    <x v="0"/>
    <s v="Bikes"/>
    <n v="2443.35"/>
    <n v="1518.7864"/>
    <n v="924.56359999999995"/>
    <n v="0.37839998362903399"/>
  </r>
  <r>
    <x v="17"/>
    <d v="2001-10-05T00:00:00"/>
    <s v="SO45263"/>
    <n v="340"/>
    <n v="14722"/>
    <n v="1"/>
    <n v="1"/>
    <n v="1"/>
    <n v="2"/>
    <s v="BK-R50B-48"/>
    <x v="37"/>
    <n v="413.1463"/>
    <n v="699.09820000000002"/>
    <s v="MRS."/>
    <s v="SHARON"/>
    <s v="CARSON"/>
    <s v="SHARON CARSON"/>
    <d v="1974-12-27T00:00:00"/>
    <s v="S"/>
    <s v="F"/>
    <s v="sharon20@adventure-works.com"/>
    <n v="40000"/>
    <n v="3"/>
    <s v="Partial College"/>
    <s v="Clerical"/>
    <s v="Y"/>
    <s v="Northwest"/>
    <x v="1"/>
    <s v="North America"/>
    <x v="0"/>
    <s v="Bikes"/>
    <n v="699.09820000000002"/>
    <n v="413.1463"/>
    <n v="285.95190000000002"/>
    <n v="0.409029661355157"/>
  </r>
  <r>
    <x v="323"/>
    <d v="2001-12-11T00:00:00"/>
    <s v="SO45227"/>
    <n v="322"/>
    <n v="14726"/>
    <n v="1"/>
    <n v="1"/>
    <n v="1"/>
    <n v="2"/>
    <s v="BK-R50R-60"/>
    <x v="38"/>
    <n v="413.1463"/>
    <n v="699.09820000000002"/>
    <s v="MR."/>
    <s v="ZACHARY"/>
    <s v="YANG"/>
    <s v="ZACHARY YANG"/>
    <d v="1966-07-03T00:00:00"/>
    <s v="S"/>
    <s v="M"/>
    <s v="zachary25@adventure-works.com"/>
    <n v="60000"/>
    <n v="0"/>
    <s v="Graduate Degree"/>
    <s v="Skilled Manual"/>
    <s v="N"/>
    <s v="Northwest"/>
    <x v="1"/>
    <s v="North America"/>
    <x v="0"/>
    <s v="Bikes"/>
    <n v="699.09820000000002"/>
    <n v="413.1463"/>
    <n v="285.95190000000002"/>
    <n v="0.409029661355157"/>
  </r>
  <r>
    <x v="22"/>
    <d v="2001-11-21T00:00:00"/>
    <s v="SO45117"/>
    <n v="342"/>
    <n v="14727"/>
    <n v="1"/>
    <n v="1"/>
    <n v="1"/>
    <n v="2"/>
    <s v="BK-R50B-52"/>
    <x v="33"/>
    <n v="413.1463"/>
    <n v="699.09820000000002"/>
    <s v="MS."/>
    <s v="ANNA"/>
    <s v="BRYANT"/>
    <s v="ANNA BRYANT"/>
    <d v="1966-07-06T00:00:00"/>
    <s v="S"/>
    <s v="F"/>
    <s v="anna43@adventure-works.com"/>
    <n v="60000"/>
    <n v="0"/>
    <s v="Graduate Degree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328"/>
    <d v="2001-10-22T00:00:00"/>
    <s v="SO45222"/>
    <n v="330"/>
    <n v="14728"/>
    <n v="1"/>
    <n v="1"/>
    <n v="1"/>
    <n v="2"/>
    <s v="BK-R50R-52"/>
    <x v="39"/>
    <n v="413.1463"/>
    <n v="699.09820000000002"/>
    <s v="MS."/>
    <s v="ELIZABETH"/>
    <s v="HENDERSON"/>
    <s v="ELIZABETH HENDERSON"/>
    <d v="1966-05-22T00:00:00"/>
    <s v="S"/>
    <s v="F"/>
    <s v="elizabeth34@adventure-works.com"/>
    <n v="60000"/>
    <n v="0"/>
    <s v="Graduate Degree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329"/>
    <d v="2001-11-01T00:00:00"/>
    <s v="SO45504"/>
    <n v="340"/>
    <n v="14730"/>
    <n v="4"/>
    <n v="1"/>
    <n v="1"/>
    <n v="2"/>
    <s v="BK-R50B-48"/>
    <x v="37"/>
    <n v="413.1463"/>
    <n v="699.09820000000002"/>
    <s v="MR."/>
    <s v="JERRY"/>
    <s v="FERRIER"/>
    <s v="JERRY FERRIER"/>
    <d v="1953-02-17T00:00:00"/>
    <s v="M"/>
    <s v="M"/>
    <s v="jerry22@adventure-works.com"/>
    <n v="20000"/>
    <n v="2"/>
    <s v="High School"/>
    <s v="Manual"/>
    <s v="N"/>
    <s v="Southwest"/>
    <x v="1"/>
    <s v="North America"/>
    <x v="0"/>
    <s v="Bikes"/>
    <n v="699.09820000000002"/>
    <n v="413.1463"/>
    <n v="285.95190000000002"/>
    <n v="0.409029661355157"/>
  </r>
  <r>
    <x v="330"/>
    <d v="2001-11-22T00:00:00"/>
    <s v="SO45493"/>
    <n v="320"/>
    <n v="14731"/>
    <n v="4"/>
    <n v="1"/>
    <n v="1"/>
    <n v="2"/>
    <s v="BK-R50R-58"/>
    <x v="40"/>
    <n v="413.1463"/>
    <n v="699.09820000000002"/>
    <s v="MR."/>
    <s v="SETH"/>
    <s v="BROWN"/>
    <s v="SETH BROWN"/>
    <d v="1953-05-25T00:00:00"/>
    <s v="M"/>
    <s v="M"/>
    <s v="seth4@adventure-works.com"/>
    <n v="30000"/>
    <n v="1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316"/>
    <d v="2001-11-06T00:00:00"/>
    <s v="SO45368"/>
    <n v="328"/>
    <n v="14732"/>
    <n v="1"/>
    <n v="1"/>
    <n v="1"/>
    <n v="2"/>
    <s v="BK-R50R-48"/>
    <x v="35"/>
    <n v="413.1463"/>
    <n v="699.09820000000002"/>
    <s v="MRS."/>
    <s v="TRINITY"/>
    <s v="COOK"/>
    <s v="TRINITY COOK"/>
    <d v="1953-11-24T00:00:00"/>
    <s v="M"/>
    <s v="F"/>
    <s v="trinity18@adventure-works.com"/>
    <n v="30000"/>
    <n v="1"/>
    <s v="Bachelors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331"/>
    <d v="2001-11-19T00:00:00"/>
    <s v="SO45347"/>
    <n v="342"/>
    <n v="14733"/>
    <n v="4"/>
    <n v="1"/>
    <n v="1"/>
    <n v="2"/>
    <s v="BK-R50B-52"/>
    <x v="33"/>
    <n v="413.1463"/>
    <n v="699.09820000000002"/>
    <s v="MR."/>
    <s v="CLARENCE"/>
    <s v="RAJI"/>
    <s v="CLARENCE RAJI"/>
    <d v="1953-02-26T00:00:00"/>
    <s v="M"/>
    <s v="M"/>
    <s v="clarence35@adventure-works.com"/>
    <n v="30000"/>
    <n v="1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8"/>
    <d v="2001-10-12T00:00:00"/>
    <s v="SO45383"/>
    <n v="332"/>
    <n v="14734"/>
    <n v="1"/>
    <n v="1"/>
    <n v="1"/>
    <n v="2"/>
    <s v="BK-R50B-58"/>
    <x v="34"/>
    <n v="413.1463"/>
    <n v="699.09820000000002"/>
    <s v="MR."/>
    <s v="KEVIN"/>
    <s v="EDWARDS"/>
    <s v="KEVIN EDWARDS"/>
    <d v="1953-11-11T00:00:00"/>
    <s v="M"/>
    <s v="M"/>
    <s v="kevin38@adventure-works.com"/>
    <n v="30000"/>
    <n v="1"/>
    <s v="Bachelors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8"/>
    <d v="2001-10-29T00:00:00"/>
    <s v="SO45385"/>
    <n v="334"/>
    <n v="14735"/>
    <n v="1"/>
    <n v="1"/>
    <n v="1"/>
    <n v="2"/>
    <s v="BK-R50B-60"/>
    <x v="41"/>
    <n v="413.1463"/>
    <n v="699.09820000000002"/>
    <s v="MRS."/>
    <s v="MARIA"/>
    <s v="ROGERS"/>
    <s v="MARIA ROGERS"/>
    <d v="1953-10-10T00:00:00"/>
    <s v="M"/>
    <s v="F"/>
    <s v="maria3@adventure-works.com"/>
    <n v="30000"/>
    <n v="1"/>
    <s v="Partial College"/>
    <s v="Clerical"/>
    <s v="Y"/>
    <s v="Northwest"/>
    <x v="1"/>
    <s v="North America"/>
    <x v="0"/>
    <s v="Bikes"/>
    <n v="699.09820000000002"/>
    <n v="413.1463"/>
    <n v="285.95190000000002"/>
    <n v="0.409029661355157"/>
  </r>
  <r>
    <x v="32"/>
    <d v="2001-12-28T00:00:00"/>
    <s v="SO45486"/>
    <n v="324"/>
    <n v="14737"/>
    <n v="1"/>
    <n v="1"/>
    <n v="1"/>
    <n v="2"/>
    <s v="BK-R50R-62"/>
    <x v="42"/>
    <n v="413.1463"/>
    <n v="699.09820000000002"/>
    <s v="MR."/>
    <s v="DOMINIC"/>
    <s v="SRINI"/>
    <s v="DOMINIC SRINI"/>
    <d v="1954-05-20T00:00:00"/>
    <s v="S"/>
    <s v="M"/>
    <s v="dominic8@adventure-works.com"/>
    <n v="20000"/>
    <n v="3"/>
    <s v="Partial High School"/>
    <s v="Clerical"/>
    <s v="Y"/>
    <s v="Northwest"/>
    <x v="1"/>
    <s v="North America"/>
    <x v="0"/>
    <s v="Bikes"/>
    <n v="699.09820000000002"/>
    <n v="413.1463"/>
    <n v="285.95190000000002"/>
    <n v="0.409029661355157"/>
  </r>
  <r>
    <x v="326"/>
    <d v="2002-01-14T00:00:00"/>
    <s v="SO45666"/>
    <n v="326"/>
    <n v="14738"/>
    <n v="4"/>
    <n v="1"/>
    <n v="1"/>
    <n v="2"/>
    <s v="BK-R50R-44"/>
    <x v="43"/>
    <n v="413.1463"/>
    <n v="699.09820000000002"/>
    <s v="MR."/>
    <s v="ETHAN"/>
    <s v="GARCIA"/>
    <s v="ETHAN GARCIA"/>
    <d v="1954-03-15T00:00:00"/>
    <s v="M"/>
    <s v="M"/>
    <s v="ethan52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82"/>
    <d v="2002-03-06T00:00:00"/>
    <s v="SO45751"/>
    <n v="340"/>
    <n v="14739"/>
    <n v="4"/>
    <n v="1"/>
    <n v="1"/>
    <n v="2"/>
    <s v="BK-R50B-48"/>
    <x v="37"/>
    <n v="413.1463"/>
    <n v="699.09820000000002"/>
    <s v="MR."/>
    <s v="CHARLES"/>
    <s v="GONZALEZ"/>
    <s v="CHARLES GONZALEZ"/>
    <d v="1954-09-26T00:00:00"/>
    <s v="M"/>
    <s v="M"/>
    <s v="charles37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71"/>
    <d v="2002-01-06T00:00:00"/>
    <s v="SO45688"/>
    <n v="320"/>
    <n v="14741"/>
    <n v="4"/>
    <n v="1"/>
    <n v="1"/>
    <n v="2"/>
    <s v="BK-R50R-58"/>
    <x v="40"/>
    <n v="413.1463"/>
    <n v="699.09820000000002"/>
    <s v="MRS."/>
    <s v="EMMA"/>
    <s v="COOPER"/>
    <s v="EMMA COOPER"/>
    <d v="1954-08-03T00:00:00"/>
    <s v="M"/>
    <s v="F"/>
    <s v="emma35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44"/>
    <d v="2002-01-11T00:00:00"/>
    <s v="SO45598"/>
    <n v="340"/>
    <n v="14744"/>
    <n v="1"/>
    <n v="1"/>
    <n v="1"/>
    <n v="2"/>
    <s v="BK-R50B-48"/>
    <x v="37"/>
    <n v="413.1463"/>
    <n v="699.09820000000002"/>
    <s v="MR."/>
    <s v="ELIJAH"/>
    <s v="YANG"/>
    <s v="ELIJAH YANG"/>
    <d v="1955-08-26T00:00:00"/>
    <s v="M"/>
    <s v="M"/>
    <s v="elijah1@adventure-works.com"/>
    <n v="40000"/>
    <n v="1"/>
    <s v="Partial College"/>
    <s v="Clerical"/>
    <s v="Y"/>
    <s v="Northwest"/>
    <x v="1"/>
    <s v="North America"/>
    <x v="0"/>
    <s v="Bikes"/>
    <n v="699.09820000000002"/>
    <n v="413.1463"/>
    <n v="285.95190000000002"/>
    <n v="0.409029661355157"/>
  </r>
  <r>
    <x v="54"/>
    <d v="2001-11-27T00:00:00"/>
    <s v="SO45638"/>
    <n v="324"/>
    <n v="14746"/>
    <n v="4"/>
    <n v="1"/>
    <n v="1"/>
    <n v="2"/>
    <s v="BK-R50R-62"/>
    <x v="42"/>
    <n v="413.1463"/>
    <n v="699.09820000000002"/>
    <s v="MRS."/>
    <s v="COURTNEY"/>
    <s v="NELSON"/>
    <s v="COURTNEY NELSON"/>
    <d v="1955-04-05T00:00:00"/>
    <s v="M"/>
    <s v="F"/>
    <s v="courtney7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48"/>
    <d v="2001-12-08T00:00:00"/>
    <s v="SO45698"/>
    <n v="326"/>
    <n v="14747"/>
    <n v="4"/>
    <n v="1"/>
    <n v="1"/>
    <n v="2"/>
    <s v="BK-R50R-44"/>
    <x v="43"/>
    <n v="413.1463"/>
    <n v="699.09820000000002"/>
    <s v="MR."/>
    <s v="AIDAN"/>
    <s v="WOOD"/>
    <s v="AIDAN WOOD"/>
    <d v="1955-11-16T00:00:00"/>
    <s v="M"/>
    <s v="M"/>
    <s v="aidan2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48"/>
    <d v="2001-12-17T00:00:00"/>
    <s v="SO45699"/>
    <n v="336"/>
    <n v="14750"/>
    <n v="4"/>
    <n v="1"/>
    <n v="1"/>
    <n v="2"/>
    <s v="BK-R50B-62"/>
    <x v="36"/>
    <n v="413.1463"/>
    <n v="699.09820000000002"/>
    <s v="MRS."/>
    <s v="MARY"/>
    <s v="GREEN"/>
    <s v="MARY GREEN"/>
    <d v="1956-11-05T00:00:00"/>
    <s v="M"/>
    <s v="F"/>
    <s v="mary28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75"/>
    <d v="2002-03-25T00:00:00"/>
    <s v="SO46019"/>
    <n v="340"/>
    <n v="14752"/>
    <n v="4"/>
    <n v="1"/>
    <n v="1"/>
    <n v="2"/>
    <s v="BK-R50B-48"/>
    <x v="37"/>
    <n v="413.1463"/>
    <n v="699.09820000000002"/>
    <s v="MR."/>
    <s v="SETH"/>
    <s v="TURNER"/>
    <s v="SETH TURNER"/>
    <d v="1957-11-11T00:00:00"/>
    <s v="M"/>
    <s v="M"/>
    <s v="seth41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90"/>
    <d v="2002-01-28T00:00:00"/>
    <s v="SO45828"/>
    <n v="330"/>
    <n v="14753"/>
    <n v="1"/>
    <n v="1"/>
    <n v="1"/>
    <n v="2"/>
    <s v="BK-R50R-52"/>
    <x v="39"/>
    <n v="413.1463"/>
    <n v="699.09820000000002"/>
    <s v="MR."/>
    <s v="AUSTIN"/>
    <s v="FOSTER"/>
    <s v="AUSTIN FOSTER"/>
    <d v="1957-09-27T00:00:00"/>
    <s v="M"/>
    <s v="M"/>
    <s v="austin12@adventure-works.com"/>
    <n v="40000"/>
    <n v="1"/>
    <s v="Partial College"/>
    <s v="Clerical"/>
    <s v="Y"/>
    <s v="Northwest"/>
    <x v="1"/>
    <s v="North America"/>
    <x v="0"/>
    <s v="Bikes"/>
    <n v="699.09820000000002"/>
    <n v="413.1463"/>
    <n v="285.95190000000002"/>
    <n v="0.409029661355157"/>
  </r>
  <r>
    <x v="93"/>
    <d v="2002-03-02T00:00:00"/>
    <s v="SO45855"/>
    <n v="338"/>
    <n v="14754"/>
    <n v="1"/>
    <n v="1"/>
    <n v="1"/>
    <n v="2"/>
    <s v="BK-R50B-44"/>
    <x v="32"/>
    <n v="413.1463"/>
    <n v="699.09820000000002"/>
    <s v="MR."/>
    <s v="GRANT"/>
    <s v="PAL"/>
    <s v="GRANT PAL"/>
    <d v="1957-11-17T00:00:00"/>
    <s v="M"/>
    <s v="M"/>
    <s v="grant14@adventure-works.com"/>
    <n v="40000"/>
    <n v="1"/>
    <s v="Partial College"/>
    <s v="Clerical"/>
    <s v="Y"/>
    <s v="Northwest"/>
    <x v="1"/>
    <s v="North America"/>
    <x v="0"/>
    <s v="Bikes"/>
    <n v="699.09820000000002"/>
    <n v="413.1463"/>
    <n v="285.95190000000002"/>
    <n v="0.409029661355157"/>
  </r>
  <r>
    <x v="59"/>
    <d v="2002-03-25T00:00:00"/>
    <s v="SO45975"/>
    <n v="324"/>
    <n v="14755"/>
    <n v="4"/>
    <n v="1"/>
    <n v="1"/>
    <n v="2"/>
    <s v="BK-R50R-62"/>
    <x v="42"/>
    <n v="413.1463"/>
    <n v="699.09820000000002"/>
    <s v="MR."/>
    <s v="ROBERT"/>
    <s v="DAVIS"/>
    <s v="ROBERT DAVIS"/>
    <d v="1957-11-21T00:00:00"/>
    <s v="M"/>
    <s v="M"/>
    <s v="robert64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21"/>
    <d v="2002-01-10T00:00:00"/>
    <s v="SO45997"/>
    <n v="324"/>
    <n v="14756"/>
    <n v="4"/>
    <n v="1"/>
    <n v="1"/>
    <n v="2"/>
    <s v="BK-R50R-62"/>
    <x v="42"/>
    <n v="413.1463"/>
    <n v="699.09820000000002"/>
    <s v="MR."/>
    <s v="CHARLES"/>
    <s v="REED"/>
    <s v="CHARLES REED"/>
    <d v="1957-05-15T00:00:00"/>
    <s v="M"/>
    <s v="M"/>
    <s v="charles68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10"/>
    <d v="2002-03-31T00:00:00"/>
    <s v="SO45939"/>
    <n v="334"/>
    <n v="14757"/>
    <n v="4"/>
    <n v="1"/>
    <n v="1"/>
    <n v="2"/>
    <s v="BK-R50B-60"/>
    <x v="41"/>
    <n v="413.1463"/>
    <n v="699.09820000000002"/>
    <s v="MRS."/>
    <s v="ELIZABETH"/>
    <s v="GARCIA"/>
    <s v="ELIZABETH GARCIA"/>
    <d v="1957-01-02T00:00:00"/>
    <s v="M"/>
    <s v="F"/>
    <s v="elizabeth20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33"/>
    <d v="2002-01-23T00:00:00"/>
    <s v="SO45623"/>
    <n v="311"/>
    <n v="14769"/>
    <n v="8"/>
    <n v="1"/>
    <n v="1"/>
    <n v="2"/>
    <s v="BK-R93R-44"/>
    <x v="4"/>
    <n v="2171.2941999999998"/>
    <n v="3578.27"/>
    <s v="MRS."/>
    <s v="JESSICA"/>
    <s v="POWELL"/>
    <s v="JESSICA POWELL"/>
    <d v="1968-09-15T00:00:00"/>
    <s v="M"/>
    <s v="F"/>
    <s v="jessica33@adventure-works.com"/>
    <n v="30000"/>
    <n v="1"/>
    <s v="Bachelors"/>
    <s v="Clerical"/>
    <s v="Y"/>
    <s v="Germany"/>
    <x v="4"/>
    <s v="Europe"/>
    <x v="0"/>
    <s v="Bikes"/>
    <n v="3578.27"/>
    <n v="2171.2941999999998"/>
    <n v="1406.9757999999999"/>
    <n v="0.39320001006072802"/>
  </r>
  <r>
    <x v="38"/>
    <d v="2001-12-29T00:00:00"/>
    <s v="SO45704"/>
    <n v="312"/>
    <n v="14772"/>
    <n v="8"/>
    <n v="1"/>
    <n v="1"/>
    <n v="2"/>
    <s v="BK-R93R-48"/>
    <x v="0"/>
    <n v="2171.2941999999998"/>
    <n v="3578.27"/>
    <s v="MRS."/>
    <s v="STACY"/>
    <s v="TORRES"/>
    <s v="STACY TORRES"/>
    <d v="1968-10-23T00:00:00"/>
    <s v="M"/>
    <s v="F"/>
    <s v="stacy12@adventure-works.com"/>
    <n v="30000"/>
    <n v="1"/>
    <s v="Bachelors"/>
    <s v="Clerical"/>
    <s v="Y"/>
    <s v="Germany"/>
    <x v="4"/>
    <s v="Europe"/>
    <x v="0"/>
    <s v="Bikes"/>
    <n v="3578.27"/>
    <n v="2171.2941999999998"/>
    <n v="1406.9757999999999"/>
    <n v="0.39320001006072802"/>
  </r>
  <r>
    <x v="202"/>
    <d v="2002-07-07T00:00:00"/>
    <s v="SO47759"/>
    <n v="375"/>
    <n v="14773"/>
    <n v="7"/>
    <n v="1"/>
    <n v="1"/>
    <n v="2"/>
    <s v="BK-R89B-48"/>
    <x v="25"/>
    <n v="1320.6838"/>
    <n v="2181.5625"/>
    <s v="MR."/>
    <s v="NOAH"/>
    <s v="ROSS"/>
    <s v="NOAH ROSS"/>
    <d v="1968-04-27T00:00:00"/>
    <s v="M"/>
    <s v="M"/>
    <s v="noah0@adventure-works.com"/>
    <n v="40000"/>
    <n v="0"/>
    <s v="Graduate Degree"/>
    <s v="Clerical"/>
    <s v="Y"/>
    <s v="France"/>
    <x v="0"/>
    <s v="Europe"/>
    <x v="0"/>
    <s v="Bikes"/>
    <n v="2181.5625"/>
    <n v="1320.6838"/>
    <n v="860.87869999999998"/>
    <n v="0.39461564818793898"/>
  </r>
  <r>
    <x v="50"/>
    <d v="2002-01-21T00:00:00"/>
    <s v="SO45609"/>
    <n v="311"/>
    <n v="14774"/>
    <n v="8"/>
    <n v="1"/>
    <n v="1"/>
    <n v="2"/>
    <s v="BK-R93R-44"/>
    <x v="4"/>
    <n v="2171.2941999999998"/>
    <n v="3578.27"/>
    <s v="MR."/>
    <s v="MAX"/>
    <s v="FERRIER"/>
    <s v="MAX FERRIER"/>
    <d v="1968-03-17T00:00:00"/>
    <s v="S"/>
    <s v="M"/>
    <s v="max8@adventure-works.com"/>
    <n v="40000"/>
    <n v="0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28"/>
    <d v="2001-11-27T00:00:00"/>
    <s v="SO45632"/>
    <n v="314"/>
    <n v="14775"/>
    <n v="8"/>
    <n v="1"/>
    <n v="1"/>
    <n v="2"/>
    <s v="BK-R93R-56"/>
    <x v="2"/>
    <n v="2171.2941999999998"/>
    <n v="3578.27"/>
    <s v="MS."/>
    <s v="BONNIE"/>
    <s v="XIE"/>
    <s v="BONNIE XIE"/>
    <d v="1968-11-15T00:00:00"/>
    <s v="M"/>
    <s v="F"/>
    <s v="bonnie8@adventure-works.com"/>
    <n v="40000"/>
    <n v="0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332"/>
    <d v="2002-10-02T00:00:00"/>
    <s v="SO47846"/>
    <n v="368"/>
    <n v="14779"/>
    <n v="7"/>
    <n v="1"/>
    <n v="1"/>
    <n v="2"/>
    <s v="BK-R89R-44"/>
    <x v="22"/>
    <n v="1518.7864"/>
    <n v="2443.35"/>
    <s v="MR."/>
    <s v="HENRY"/>
    <s v="FERNANDEZ"/>
    <s v="HENRY FERNANDEZ"/>
    <d v="1967-03-12T00:00:00"/>
    <s v="S"/>
    <s v="M"/>
    <s v="henry17@adventure-works.com"/>
    <n v="10000"/>
    <n v="3"/>
    <s v="Partial High School"/>
    <s v="Manual"/>
    <s v="Y"/>
    <s v="France"/>
    <x v="0"/>
    <s v="Europe"/>
    <x v="0"/>
    <s v="Bikes"/>
    <n v="2443.35"/>
    <n v="1518.7864"/>
    <n v="924.56359999999995"/>
    <n v="0.37839998362903399"/>
  </r>
  <r>
    <x v="47"/>
    <d v="2001-11-24T00:00:00"/>
    <s v="SO45725"/>
    <n v="312"/>
    <n v="14789"/>
    <n v="8"/>
    <n v="1"/>
    <n v="1"/>
    <n v="2"/>
    <s v="BK-R93R-48"/>
    <x v="0"/>
    <n v="2171.2941999999998"/>
    <n v="3578.27"/>
    <s v="MRS."/>
    <s v="ROSA"/>
    <s v="ZHANG"/>
    <s v="ROSA ZHANG"/>
    <d v="1966-10-03T00:00:00"/>
    <s v="S"/>
    <s v="F"/>
    <s v="rosa0@adventure-works.com"/>
    <n v="20000"/>
    <n v="2"/>
    <s v="High School"/>
    <s v="Manual"/>
    <s v="Y"/>
    <s v="Germany"/>
    <x v="4"/>
    <s v="Europe"/>
    <x v="0"/>
    <s v="Bikes"/>
    <n v="3578.27"/>
    <n v="2171.2941999999998"/>
    <n v="1406.9757999999999"/>
    <n v="0.39320001006072802"/>
  </r>
  <r>
    <x v="264"/>
    <d v="2002-08-20T00:00:00"/>
    <s v="SO47872"/>
    <n v="379"/>
    <n v="14790"/>
    <n v="7"/>
    <n v="1"/>
    <n v="1"/>
    <n v="2"/>
    <s v="BK-R89B-58"/>
    <x v="26"/>
    <n v="1320.6838"/>
    <n v="2181.5625"/>
    <s v="MR."/>
    <s v="TERRY"/>
    <s v="TANG"/>
    <s v="TERRY TANG"/>
    <d v="1967-02-09T00:00:00"/>
    <s v="M"/>
    <s v="M"/>
    <s v="terry7@adventure-works.com"/>
    <n v="40000"/>
    <n v="0"/>
    <s v="Bachelors"/>
    <s v="Clerical"/>
    <s v="Y"/>
    <s v="France"/>
    <x v="0"/>
    <s v="Europe"/>
    <x v="0"/>
    <s v="Bikes"/>
    <n v="2181.5625"/>
    <n v="1320.6838"/>
    <n v="860.87869999999998"/>
    <n v="0.39461564818793898"/>
  </r>
  <r>
    <x v="262"/>
    <d v="2002-09-18T00:00:00"/>
    <s v="SO47945"/>
    <n v="370"/>
    <n v="14791"/>
    <n v="7"/>
    <n v="1"/>
    <n v="1"/>
    <n v="2"/>
    <s v="BK-R89R-52"/>
    <x v="23"/>
    <n v="1518.7864"/>
    <n v="2443.35"/>
    <s v="MS."/>
    <s v="ASHLEE"/>
    <s v="DENG"/>
    <s v="ASHLEE DENG"/>
    <d v="1967-05-02T00:00:00"/>
    <s v="M"/>
    <s v="F"/>
    <s v="ashlee8@adventure-works.com"/>
    <n v="40000"/>
    <n v="0"/>
    <s v="Bachelors"/>
    <s v="Clerical"/>
    <s v="Y"/>
    <s v="France"/>
    <x v="0"/>
    <s v="Europe"/>
    <x v="0"/>
    <s v="Bikes"/>
    <n v="2443.35"/>
    <n v="1518.7864"/>
    <n v="924.56359999999995"/>
    <n v="0.37839998362903399"/>
  </r>
  <r>
    <x v="55"/>
    <d v="2002-01-21T00:00:00"/>
    <s v="SO45612"/>
    <n v="312"/>
    <n v="14795"/>
    <n v="8"/>
    <n v="1"/>
    <n v="1"/>
    <n v="2"/>
    <s v="BK-R93R-48"/>
    <x v="0"/>
    <n v="2171.2941999999998"/>
    <n v="3578.27"/>
    <s v="MRS."/>
    <s v="CRYSTAL"/>
    <s v="GAO"/>
    <s v="CRYSTAL GAO"/>
    <d v="1966-03-06T00:00:00"/>
    <s v="M"/>
    <s v="F"/>
    <s v="crystal16@adventure-works.com"/>
    <n v="30000"/>
    <n v="1"/>
    <s v="Bachelors"/>
    <s v="Skilled Manual"/>
    <s v="Y"/>
    <s v="Germany"/>
    <x v="4"/>
    <s v="Europe"/>
    <x v="0"/>
    <s v="Bikes"/>
    <n v="3578.27"/>
    <n v="2171.2941999999998"/>
    <n v="1406.9757999999999"/>
    <n v="0.39320001006072802"/>
  </r>
  <r>
    <x v="206"/>
    <d v="2002-08-23T00:00:00"/>
    <s v="SO47921"/>
    <n v="379"/>
    <n v="14796"/>
    <n v="7"/>
    <n v="1"/>
    <n v="1"/>
    <n v="2"/>
    <s v="BK-R89B-58"/>
    <x v="26"/>
    <n v="1320.6838"/>
    <n v="2181.5625"/>
    <s v="MR."/>
    <s v="MICHAEL"/>
    <s v="MILLER"/>
    <s v="MICHAEL MILLER"/>
    <d v="1965-01-08T00:00:00"/>
    <s v="S"/>
    <s v="M"/>
    <s v="michael38@adventure-works.com"/>
    <n v="10000"/>
    <n v="4"/>
    <s v="Partial High School"/>
    <s v="Manual"/>
    <s v="Y"/>
    <s v="France"/>
    <x v="0"/>
    <s v="Europe"/>
    <x v="0"/>
    <s v="Bikes"/>
    <n v="2181.5625"/>
    <n v="1320.6838"/>
    <n v="860.87869999999998"/>
    <n v="0.39461564818793898"/>
  </r>
  <r>
    <x v="82"/>
    <d v="2002-02-19T00:00:00"/>
    <s v="SO45749"/>
    <n v="311"/>
    <n v="14797"/>
    <n v="8"/>
    <n v="1"/>
    <n v="1"/>
    <n v="2"/>
    <s v="BK-R93R-44"/>
    <x v="4"/>
    <n v="2171.2941999999998"/>
    <n v="3578.27"/>
    <s v="MR."/>
    <s v="STEVE"/>
    <s v="GAO"/>
    <s v="STEVE GAO"/>
    <d v="1965-01-08T00:00:00"/>
    <s v="S"/>
    <s v="M"/>
    <s v="steve17@adventure-works.com"/>
    <n v="10000"/>
    <n v="4"/>
    <s v="Partial High School"/>
    <s v="Manual"/>
    <s v="Y"/>
    <s v="Germany"/>
    <x v="4"/>
    <s v="Europe"/>
    <x v="0"/>
    <s v="Bikes"/>
    <n v="3578.27"/>
    <n v="2171.2941999999998"/>
    <n v="1406.9757999999999"/>
    <n v="0.39320001006072802"/>
  </r>
  <r>
    <x v="197"/>
    <d v="2002-09-13T00:00:00"/>
    <s v="SO47800"/>
    <n v="373"/>
    <n v="14798"/>
    <n v="7"/>
    <n v="1"/>
    <n v="1"/>
    <n v="2"/>
    <s v="BK-R89B-44"/>
    <x v="19"/>
    <n v="1320.6838"/>
    <n v="2181.5625"/>
    <s v="MRS."/>
    <s v="COLLEEN"/>
    <s v="NARA"/>
    <s v="COLLEEN NARA"/>
    <d v="1965-08-18T00:00:00"/>
    <s v="S"/>
    <s v="F"/>
    <s v="colleen39@adventure-works.com"/>
    <n v="10000"/>
    <n v="4"/>
    <s v="Partial High School"/>
    <s v="Manual"/>
    <s v="Y"/>
    <s v="France"/>
    <x v="0"/>
    <s v="Europe"/>
    <x v="0"/>
    <s v="Bikes"/>
    <n v="2181.5625"/>
    <n v="1320.6838"/>
    <n v="860.87869999999998"/>
    <n v="0.39461564818793898"/>
  </r>
  <r>
    <x v="62"/>
    <d v="2001-12-03T00:00:00"/>
    <s v="SO45616"/>
    <n v="314"/>
    <n v="14800"/>
    <n v="8"/>
    <n v="1"/>
    <n v="1"/>
    <n v="2"/>
    <s v="BK-R93R-56"/>
    <x v="2"/>
    <n v="2171.2941999999998"/>
    <n v="3578.27"/>
    <s v="MRS."/>
    <s v="ABBY"/>
    <s v="ARTHUR"/>
    <s v="ABBY ARTHUR"/>
    <d v="1965-01-03T00:00:00"/>
    <s v="M"/>
    <s v="F"/>
    <s v="abby5@adventure-works.com"/>
    <n v="30000"/>
    <n v="1"/>
    <s v="Bachelors"/>
    <s v="Skilled Manual"/>
    <s v="Y"/>
    <s v="Germany"/>
    <x v="4"/>
    <s v="Europe"/>
    <x v="0"/>
    <s v="Bikes"/>
    <n v="3578.27"/>
    <n v="2171.2941999999998"/>
    <n v="1406.9757999999999"/>
    <n v="0.39320001006072802"/>
  </r>
  <r>
    <x v="87"/>
    <d v="2002-03-04T00:00:00"/>
    <s v="SO45817"/>
    <n v="311"/>
    <n v="14801"/>
    <n v="8"/>
    <n v="1"/>
    <n v="1"/>
    <n v="2"/>
    <s v="BK-R93R-44"/>
    <x v="4"/>
    <n v="2171.2941999999998"/>
    <n v="3578.27"/>
    <s v="MRS."/>
    <s v="RILEY"/>
    <s v="SIMMONS"/>
    <s v="RILEY SIMMONS"/>
    <d v="1964-02-15T00:00:00"/>
    <s v="M"/>
    <s v="F"/>
    <s v="riley13@adventure-works.com"/>
    <n v="10000"/>
    <n v="3"/>
    <s v="Partial High School"/>
    <s v="Manual"/>
    <s v="N"/>
    <s v="Germany"/>
    <x v="4"/>
    <s v="Europe"/>
    <x v="0"/>
    <s v="Bikes"/>
    <n v="3578.27"/>
    <n v="2171.2941999999998"/>
    <n v="1406.9757999999999"/>
    <n v="0.39320001006072802"/>
  </r>
  <r>
    <x v="262"/>
    <d v="2002-09-13T00:00:00"/>
    <s v="SO47946"/>
    <n v="369"/>
    <n v="14802"/>
    <n v="7"/>
    <n v="1"/>
    <n v="1"/>
    <n v="2"/>
    <s v="BK-R89R-48"/>
    <x v="21"/>
    <n v="1518.7864"/>
    <n v="2443.35"/>
    <s v="MRS."/>
    <s v="AUDREY"/>
    <s v="MORENO"/>
    <s v="AUDREY MORENO"/>
    <d v="1964-09-19T00:00:00"/>
    <s v="S"/>
    <s v="F"/>
    <s v="audrey7@adventure-works.com"/>
    <n v="20000"/>
    <n v="2"/>
    <s v="High School"/>
    <s v="Manual"/>
    <s v="Y"/>
    <s v="France"/>
    <x v="0"/>
    <s v="Europe"/>
    <x v="0"/>
    <s v="Bikes"/>
    <n v="2443.35"/>
    <n v="1518.7864"/>
    <n v="924.56359999999995"/>
    <n v="0.37839998362903399"/>
  </r>
  <r>
    <x v="58"/>
    <d v="2002-03-05T00:00:00"/>
    <s v="SO45924"/>
    <n v="310"/>
    <n v="14803"/>
    <n v="8"/>
    <n v="1"/>
    <n v="1"/>
    <n v="2"/>
    <s v="BK-R93R-62"/>
    <x v="1"/>
    <n v="2171.2941999999998"/>
    <n v="3578.27"/>
    <s v="MRS."/>
    <s v="STACY"/>
    <s v="MARTIN"/>
    <s v="STACY MARTIN"/>
    <d v="1964-06-07T00:00:00"/>
    <s v="S"/>
    <s v="F"/>
    <s v="stacy1@adventure-works.com"/>
    <n v="20000"/>
    <n v="3"/>
    <s v="High School"/>
    <s v="Manual"/>
    <s v="Y"/>
    <s v="Germany"/>
    <x v="4"/>
    <s v="Europe"/>
    <x v="0"/>
    <s v="Bikes"/>
    <n v="3578.27"/>
    <n v="2171.2941999999998"/>
    <n v="1406.9757999999999"/>
    <n v="0.39320001006072802"/>
  </r>
  <r>
    <x v="333"/>
    <d v="2002-07-28T00:00:00"/>
    <s v="SO48227"/>
    <n v="368"/>
    <n v="14813"/>
    <n v="7"/>
    <n v="1"/>
    <n v="1"/>
    <n v="2"/>
    <s v="BK-R89R-44"/>
    <x v="22"/>
    <n v="1518.7864"/>
    <n v="2443.35"/>
    <s v="MRS."/>
    <s v="MADISON"/>
    <s v="HAYES"/>
    <s v="MADISON HAYES"/>
    <d v="1963-05-02T00:00:00"/>
    <s v="S"/>
    <s v="F"/>
    <s v="madison34@adventure-works.com"/>
    <n v="20000"/>
    <n v="4"/>
    <s v="High School"/>
    <s v="Manual"/>
    <s v="Y"/>
    <s v="France"/>
    <x v="0"/>
    <s v="Europe"/>
    <x v="0"/>
    <s v="Bikes"/>
    <n v="2443.35"/>
    <n v="1518.7864"/>
    <n v="924.56359999999995"/>
    <n v="0.37839998362903399"/>
  </r>
  <r>
    <x v="170"/>
    <d v="2002-08-08T00:00:00"/>
    <s v="SO48138"/>
    <n v="373"/>
    <n v="14818"/>
    <n v="7"/>
    <n v="1"/>
    <n v="1"/>
    <n v="2"/>
    <s v="BK-R89B-44"/>
    <x v="19"/>
    <n v="1320.6838"/>
    <n v="2181.5625"/>
    <s v="MRS."/>
    <s v="DIANE"/>
    <s v="RUIZ"/>
    <s v="DIANE RUIZ"/>
    <d v="1964-05-26T00:00:00"/>
    <s v="S"/>
    <s v="F"/>
    <s v="diane7@adventure-works.com"/>
    <n v="30000"/>
    <n v="2"/>
    <s v="Partial College"/>
    <s v="Clerical"/>
    <s v="Y"/>
    <s v="France"/>
    <x v="0"/>
    <s v="Europe"/>
    <x v="0"/>
    <s v="Bikes"/>
    <n v="2181.5625"/>
    <n v="1320.6838"/>
    <n v="860.87869999999998"/>
    <n v="0.39461564818793898"/>
  </r>
  <r>
    <x v="101"/>
    <d v="2001-12-29T00:00:00"/>
    <s v="SO45868"/>
    <n v="310"/>
    <n v="14819"/>
    <n v="8"/>
    <n v="1"/>
    <n v="1"/>
    <n v="2"/>
    <s v="BK-R93R-62"/>
    <x v="1"/>
    <n v="2171.2941999999998"/>
    <n v="3578.27"/>
    <s v="MRS."/>
    <s v="DANA"/>
    <s v="RUIZ"/>
    <s v="DANA RUIZ"/>
    <d v="1964-06-09T00:00:00"/>
    <s v="M"/>
    <s v="F"/>
    <s v="dana18@adventure-works.com"/>
    <n v="30000"/>
    <n v="2"/>
    <s v="Partial College"/>
    <s v="Clerical"/>
    <s v="N"/>
    <s v="Germany"/>
    <x v="4"/>
    <s v="Europe"/>
    <x v="0"/>
    <s v="Bikes"/>
    <n v="3578.27"/>
    <n v="2171.2941999999998"/>
    <n v="1406.9757999999999"/>
    <n v="0.39320001006072802"/>
  </r>
  <r>
    <x v="101"/>
    <d v="2002-02-07T00:00:00"/>
    <s v="SO45869"/>
    <n v="310"/>
    <n v="14822"/>
    <n v="8"/>
    <n v="1"/>
    <n v="1"/>
    <n v="2"/>
    <s v="BK-R93R-62"/>
    <x v="1"/>
    <n v="2171.2941999999998"/>
    <n v="3578.27"/>
    <s v="MRS."/>
    <s v="JESSICA"/>
    <s v="MARTIN"/>
    <s v="JESSICA MARTIN"/>
    <d v="1963-09-25T00:00:00"/>
    <s v="S"/>
    <s v="F"/>
    <s v="jessica62@adventure-works.com"/>
    <n v="30000"/>
    <n v="3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91"/>
    <d v="2002-02-07T00:00:00"/>
    <s v="SO45836"/>
    <n v="311"/>
    <n v="14823"/>
    <n v="8"/>
    <n v="1"/>
    <n v="1"/>
    <n v="2"/>
    <s v="BK-R93R-44"/>
    <x v="4"/>
    <n v="2171.2941999999998"/>
    <n v="3578.27"/>
    <s v="MR."/>
    <s v="NELSON"/>
    <s v="HARRISON"/>
    <s v="NELSON HARRISON"/>
    <d v="1963-12-28T00:00:00"/>
    <s v="S"/>
    <s v="M"/>
    <s v="nelson9@adventure-works.com"/>
    <n v="30000"/>
    <n v="3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110"/>
    <d v="2001-12-30T00:00:00"/>
    <s v="SO45937"/>
    <n v="312"/>
    <n v="14824"/>
    <n v="8"/>
    <n v="1"/>
    <n v="1"/>
    <n v="2"/>
    <s v="BK-R93R-48"/>
    <x v="0"/>
    <n v="2171.2941999999998"/>
    <n v="3578.27"/>
    <s v="MR."/>
    <s v="MIGUEL"/>
    <s v="BAKER"/>
    <s v="MIGUEL BAKER"/>
    <d v="1963-11-17T00:00:00"/>
    <s v="S"/>
    <s v="M"/>
    <s v="miguel33@adventure-works.com"/>
    <n v="30000"/>
    <n v="3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100"/>
    <d v="2001-12-16T00:00:00"/>
    <s v="SO45862"/>
    <n v="312"/>
    <n v="14827"/>
    <n v="8"/>
    <n v="1"/>
    <n v="1"/>
    <n v="2"/>
    <s v="BK-R93R-48"/>
    <x v="0"/>
    <n v="2171.2941999999998"/>
    <n v="3578.27"/>
    <s v="MR."/>
    <s v="ERNEST"/>
    <s v="XU"/>
    <s v="ERNEST XU"/>
    <d v="1979-04-04T00:00:00"/>
    <s v="S"/>
    <s v="M"/>
    <s v="ernest12@adventure-works.com"/>
    <n v="30000"/>
    <n v="3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116"/>
    <d v="2002-01-27T00:00:00"/>
    <s v="SO45983"/>
    <n v="314"/>
    <n v="14830"/>
    <n v="8"/>
    <n v="1"/>
    <n v="1"/>
    <n v="2"/>
    <s v="BK-R93R-56"/>
    <x v="2"/>
    <n v="2171.2941999999998"/>
    <n v="3578.27"/>
    <s v="MRS."/>
    <s v="ISABELLA"/>
    <s v="WARD"/>
    <s v="ISABELLA WARD"/>
    <d v="1963-08-13T00:00:00"/>
    <s v="M"/>
    <s v="F"/>
    <s v="isabella2@adventure-works.com"/>
    <n v="40000"/>
    <n v="1"/>
    <s v="Bachelors"/>
    <s v="Skilled Manual"/>
    <s v="Y"/>
    <s v="Germany"/>
    <x v="4"/>
    <s v="Europe"/>
    <x v="0"/>
    <s v="Bikes"/>
    <n v="3578.27"/>
    <n v="2171.2941999999998"/>
    <n v="1406.9757999999999"/>
    <n v="0.39320001006072802"/>
  </r>
  <r>
    <x v="134"/>
    <d v="2002-04-16T00:00:00"/>
    <s v="SO46238"/>
    <n v="311"/>
    <n v="14838"/>
    <n v="8"/>
    <n v="1"/>
    <n v="1"/>
    <n v="2"/>
    <s v="BK-R93R-44"/>
    <x v="4"/>
    <n v="2171.2941999999998"/>
    <n v="3578.27"/>
    <s v="MR."/>
    <s v="DARREN"/>
    <s v="ALVAREZ"/>
    <s v="DARREN ALVAREZ"/>
    <d v="1977-07-26T00:00:00"/>
    <s v="S"/>
    <s v="M"/>
    <s v="darren26@adventure-works.com"/>
    <n v="30000"/>
    <n v="0"/>
    <s v="Partial College"/>
    <s v="Clerical"/>
    <s v="N"/>
    <s v="Germany"/>
    <x v="4"/>
    <s v="Europe"/>
    <x v="0"/>
    <s v="Bikes"/>
    <n v="3578.27"/>
    <n v="2171.2941999999998"/>
    <n v="1406.9757999999999"/>
    <n v="0.39320001006072802"/>
  </r>
  <r>
    <x v="334"/>
    <d v="2002-01-05T00:00:00"/>
    <s v="SO45192"/>
    <n v="314"/>
    <n v="14846"/>
    <n v="10"/>
    <n v="1"/>
    <n v="1"/>
    <n v="2"/>
    <s v="BK-R93R-56"/>
    <x v="2"/>
    <n v="2171.2941999999998"/>
    <n v="3578.27"/>
    <s v="MS."/>
    <s v="KELSEY"/>
    <s v="CHANDE"/>
    <s v="KELSEY CHANDE"/>
    <d v="1974-11-13T00:00:00"/>
    <s v="S"/>
    <s v="F"/>
    <s v="kelsey14@adventure-works.com"/>
    <n v="20000"/>
    <n v="0"/>
    <s v="Partial High School"/>
    <s v="Manual"/>
    <s v="Y"/>
    <s v="United Kingdom"/>
    <x v="3"/>
    <s v="Europe"/>
    <x v="0"/>
    <s v="Bikes"/>
    <n v="3578.27"/>
    <n v="2171.2941999999998"/>
    <n v="1406.9757999999999"/>
    <n v="0.39320001006072802"/>
  </r>
  <r>
    <x v="20"/>
    <d v="2001-09-28T00:00:00"/>
    <s v="SO45198"/>
    <n v="313"/>
    <n v="14847"/>
    <n v="10"/>
    <n v="1"/>
    <n v="1"/>
    <n v="2"/>
    <s v="BK-R93R-52"/>
    <x v="3"/>
    <n v="2171.2941999999998"/>
    <n v="3578.27"/>
    <s v="MS."/>
    <s v="VADIM"/>
    <s v="SAZANOVICH"/>
    <s v="VADIM SAZANOVICH"/>
    <d v="1974-03-12T00:00:00"/>
    <s v="S"/>
    <s v="F"/>
    <s v="vadim0@adventure-works.com"/>
    <n v="20000"/>
    <n v="0"/>
    <s v="Partial High School"/>
    <s v="Manual"/>
    <s v="N"/>
    <s v="United Kingdom"/>
    <x v="3"/>
    <s v="Europe"/>
    <x v="0"/>
    <s v="Bikes"/>
    <n v="3578.27"/>
    <n v="2171.2941999999998"/>
    <n v="1406.9757999999999"/>
    <n v="0.39320001006072802"/>
  </r>
  <r>
    <x v="302"/>
    <d v="2002-07-26T00:00:00"/>
    <s v="SO48160"/>
    <n v="371"/>
    <n v="14848"/>
    <n v="7"/>
    <n v="1"/>
    <n v="1"/>
    <n v="2"/>
    <s v="BK-R89R-58"/>
    <x v="24"/>
    <n v="1320.6838"/>
    <n v="2181.5625"/>
    <s v="MR."/>
    <s v="GEORGE"/>
    <s v="LOUVERDIS"/>
    <s v="GEORGE LOUVERDIS"/>
    <d v="1975-09-10T00:00:00"/>
    <s v="S"/>
    <s v="M"/>
    <s v="george5@adventure-works.com"/>
    <n v="30000"/>
    <n v="0"/>
    <s v="Partial College"/>
    <s v="Clerical"/>
    <s v="N"/>
    <s v="France"/>
    <x v="0"/>
    <s v="Europe"/>
    <x v="0"/>
    <s v="Bikes"/>
    <n v="2181.5625"/>
    <n v="1320.6838"/>
    <n v="860.87869999999998"/>
    <n v="0.39461564818793898"/>
  </r>
  <r>
    <x v="335"/>
    <d v="2002-03-09T00:00:00"/>
    <s v="SO45848"/>
    <n v="340"/>
    <n v="14852"/>
    <n v="4"/>
    <n v="1"/>
    <n v="1"/>
    <n v="2"/>
    <s v="BK-R50B-48"/>
    <x v="37"/>
    <n v="413.1463"/>
    <n v="699.09820000000002"/>
    <s v="MR."/>
    <s v="ADAM"/>
    <s v="GONZALEZ"/>
    <s v="ADAM GONZALEZ"/>
    <d v="1978-11-13T00:00:00"/>
    <s v="S"/>
    <s v="M"/>
    <s v="adam39@adventure-works.com"/>
    <n v="60000"/>
    <n v="0"/>
    <s v="Partial College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325"/>
    <d v="2001-11-15T00:00:00"/>
    <s v="SO45188"/>
    <n v="311"/>
    <n v="14861"/>
    <n v="10"/>
    <n v="1"/>
    <n v="1"/>
    <n v="2"/>
    <s v="BK-R93R-44"/>
    <x v="4"/>
    <n v="2171.2941999999998"/>
    <n v="3578.27"/>
    <s v="MRS."/>
    <s v="MISTY"/>
    <s v="DENG"/>
    <s v="MISTY DENG"/>
    <d v="1971-04-10T00:00:00"/>
    <s v="S"/>
    <s v="F"/>
    <s v="misty2@adventure-works.com"/>
    <n v="40000"/>
    <n v="2"/>
    <s v="Partial Colleg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87"/>
    <d v="2002-02-13T00:00:00"/>
    <s v="SO45818"/>
    <n v="328"/>
    <n v="14868"/>
    <n v="4"/>
    <n v="1"/>
    <n v="1"/>
    <n v="2"/>
    <s v="BK-R50R-48"/>
    <x v="35"/>
    <n v="413.1463"/>
    <n v="699.09820000000002"/>
    <s v="MRS."/>
    <s v="ARIANA"/>
    <s v="MORGAN"/>
    <s v="ARIANA MORGAN"/>
    <d v="1975-08-20T00:00:00"/>
    <s v="S"/>
    <s v="F"/>
    <s v="ariana20@adventure-works.com"/>
    <n v="40000"/>
    <n v="3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17"/>
    <d v="2002-02-05T00:00:00"/>
    <s v="SO45948"/>
    <n v="342"/>
    <n v="14879"/>
    <n v="4"/>
    <n v="1"/>
    <n v="1"/>
    <n v="2"/>
    <s v="BK-R50B-52"/>
    <x v="33"/>
    <n v="413.1463"/>
    <n v="699.09820000000002"/>
    <s v="MS."/>
    <s v="ANDREA"/>
    <s v="RICHARDSON"/>
    <s v="ANDREA RICHARDSON"/>
    <d v="1966-11-26T00:00:00"/>
    <s v="S"/>
    <s v="F"/>
    <s v="andrea10@adventure-works.com"/>
    <n v="60000"/>
    <n v="0"/>
    <s v="Graduate Degree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07"/>
    <d v="2002-02-13T00:00:00"/>
    <s v="SO45887"/>
    <n v="330"/>
    <n v="14880"/>
    <n v="4"/>
    <n v="1"/>
    <n v="1"/>
    <n v="2"/>
    <s v="BK-R50R-52"/>
    <x v="39"/>
    <n v="413.1463"/>
    <n v="699.09820000000002"/>
    <s v="MRS."/>
    <s v="JESSICA"/>
    <s v="ROSS"/>
    <s v="JESSICA ROSS"/>
    <d v="1953-04-10T00:00:00"/>
    <s v="M"/>
    <s v="F"/>
    <s v="jessica28@adventure-works.com"/>
    <n v="30000"/>
    <n v="1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35"/>
    <d v="2002-03-06T00:00:00"/>
    <s v="SO46247"/>
    <n v="334"/>
    <n v="14882"/>
    <n v="4"/>
    <n v="1"/>
    <n v="1"/>
    <n v="2"/>
    <s v="BK-R50B-60"/>
    <x v="41"/>
    <n v="413.1463"/>
    <n v="699.09820000000002"/>
    <s v="MRS."/>
    <s v="KATHRYN"/>
    <s v="NARA"/>
    <s v="KATHRYN NARA"/>
    <d v="1953-10-21T00:00:00"/>
    <s v="M"/>
    <s v="F"/>
    <s v="kathryn15@adventure-works.com"/>
    <n v="30000"/>
    <n v="1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46"/>
    <d v="2002-03-08T00:00:00"/>
    <s v="SO46317"/>
    <n v="334"/>
    <n v="14884"/>
    <n v="4"/>
    <n v="1"/>
    <n v="1"/>
    <n v="2"/>
    <s v="BK-R50B-60"/>
    <x v="41"/>
    <n v="413.1463"/>
    <n v="699.09820000000002"/>
    <s v="MRS."/>
    <s v="KRISTI"/>
    <s v="TORRES"/>
    <s v="KRISTI TORRES"/>
    <d v="1953-04-05T00:00:00"/>
    <s v="M"/>
    <s v="F"/>
    <s v="kristi7@adventure-works.com"/>
    <n v="30000"/>
    <n v="1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33"/>
    <d v="2002-03-05T00:00:00"/>
    <s v="SO46222"/>
    <n v="336"/>
    <n v="14891"/>
    <n v="4"/>
    <n v="1"/>
    <n v="1"/>
    <n v="2"/>
    <s v="BK-R50B-62"/>
    <x v="36"/>
    <n v="413.1463"/>
    <n v="699.09820000000002"/>
    <s v="MR."/>
    <s v="KYLE"/>
    <s v="HAYES"/>
    <s v="KYLE HAYES"/>
    <d v="1954-05-10T00:00:00"/>
    <s v="M"/>
    <s v="M"/>
    <s v="kyle18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33"/>
    <d v="2002-04-04T00:00:00"/>
    <s v="SO46223"/>
    <n v="326"/>
    <n v="14892"/>
    <n v="4"/>
    <n v="1"/>
    <n v="1"/>
    <n v="2"/>
    <s v="BK-R50R-44"/>
    <x v="43"/>
    <n v="413.1463"/>
    <n v="699.09820000000002"/>
    <s v="MRS."/>
    <s v="SAVANNAH"/>
    <s v="SANDERS"/>
    <s v="SAVANNAH SANDERS"/>
    <d v="1955-02-05T00:00:00"/>
    <s v="M"/>
    <s v="F"/>
    <s v="savannah2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47"/>
    <d v="2002-03-08T00:00:00"/>
    <s v="SO46321"/>
    <n v="330"/>
    <n v="14894"/>
    <n v="1"/>
    <n v="1"/>
    <n v="1"/>
    <n v="2"/>
    <s v="BK-R50R-52"/>
    <x v="39"/>
    <n v="413.1463"/>
    <n v="699.09820000000002"/>
    <s v="MR."/>
    <s v="JAMES"/>
    <s v="BAKER"/>
    <s v="JAMES BAKER"/>
    <d v="1955-11-19T00:00:00"/>
    <s v="M"/>
    <s v="M"/>
    <s v="james65@adventure-works.com"/>
    <n v="40000"/>
    <n v="1"/>
    <s v="Partial College"/>
    <s v="Clerical"/>
    <s v="Y"/>
    <s v="Northwest"/>
    <x v="1"/>
    <s v="North America"/>
    <x v="0"/>
    <s v="Bikes"/>
    <n v="699.09820000000002"/>
    <n v="413.1463"/>
    <n v="285.95190000000002"/>
    <n v="0.409029661355157"/>
  </r>
  <r>
    <x v="124"/>
    <d v="2002-01-12T00:00:00"/>
    <s v="SO46127"/>
    <n v="334"/>
    <n v="14895"/>
    <n v="4"/>
    <n v="1"/>
    <n v="1"/>
    <n v="2"/>
    <s v="BK-R50B-60"/>
    <x v="41"/>
    <n v="413.1463"/>
    <n v="699.09820000000002"/>
    <s v="MR."/>
    <s v="CONNOR"/>
    <s v="HERNANDEZ"/>
    <s v="CONNOR HERNANDEZ"/>
    <d v="1955-10-07T00:00:00"/>
    <s v="M"/>
    <s v="M"/>
    <s v="connor45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35"/>
    <d v="2002-03-04T00:00:00"/>
    <s v="SO46248"/>
    <n v="324"/>
    <n v="14896"/>
    <n v="4"/>
    <n v="1"/>
    <n v="1"/>
    <n v="2"/>
    <s v="BK-R50R-62"/>
    <x v="42"/>
    <n v="413.1463"/>
    <n v="699.09820000000002"/>
    <s v="MRS."/>
    <s v="ALEXIA"/>
    <s v="FLORES"/>
    <s v="ALEXIA FLORES"/>
    <d v="1955-05-11T00:00:00"/>
    <s v="M"/>
    <s v="F"/>
    <s v="alexia10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33"/>
    <d v="2002-02-11T00:00:00"/>
    <s v="SO46224"/>
    <n v="328"/>
    <n v="14902"/>
    <n v="4"/>
    <n v="1"/>
    <n v="1"/>
    <n v="2"/>
    <s v="BK-R50R-48"/>
    <x v="35"/>
    <n v="413.1463"/>
    <n v="699.09820000000002"/>
    <s v="MRS."/>
    <s v="ARIANNA"/>
    <s v="DIAZ"/>
    <s v="ARIANNA DIAZ"/>
    <d v="1956-09-24T00:00:00"/>
    <s v="M"/>
    <s v="F"/>
    <s v="arianna19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22"/>
    <d v="2002-02-13T00:00:00"/>
    <s v="SO46116"/>
    <n v="332"/>
    <n v="14912"/>
    <n v="4"/>
    <n v="1"/>
    <n v="1"/>
    <n v="2"/>
    <s v="BK-R50B-58"/>
    <x v="34"/>
    <n v="413.1463"/>
    <n v="699.09820000000002"/>
    <s v="MRS."/>
    <s v="EMMA"/>
    <s v="TAYLOR"/>
    <s v="EMMA TAYLOR"/>
    <d v="1957-08-21T00:00:00"/>
    <s v="M"/>
    <s v="F"/>
    <s v="emma8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159"/>
    <d v="2002-05-21T00:00:00"/>
    <s v="SO46487"/>
    <n v="338"/>
    <n v="14913"/>
    <n v="4"/>
    <n v="1"/>
    <n v="1"/>
    <n v="2"/>
    <s v="BK-R50B-44"/>
    <x v="32"/>
    <n v="413.1463"/>
    <n v="699.09820000000002"/>
    <s v="MRS."/>
    <s v="CHLOE"/>
    <s v="ROBERTS"/>
    <s v="CHLOE ROBERTS"/>
    <d v="1957-10-18T00:00:00"/>
    <s v="M"/>
    <s v="F"/>
    <s v="chloe10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70"/>
    <d v="2002-05-21T00:00:00"/>
    <s v="SO46551"/>
    <n v="330"/>
    <n v="14914"/>
    <n v="4"/>
    <n v="1"/>
    <n v="1"/>
    <n v="2"/>
    <s v="BK-R50R-52"/>
    <x v="39"/>
    <n v="413.1463"/>
    <n v="699.09820000000002"/>
    <s v="MRS."/>
    <s v="ARIANNA"/>
    <s v="GRAY"/>
    <s v="ARIANNA GRAY"/>
    <d v="1957-08-18T00:00:00"/>
    <s v="M"/>
    <s v="F"/>
    <s v="arianna27@adventure-works.com"/>
    <n v="40000"/>
    <n v="1"/>
    <s v="Partial College"/>
    <s v="Clerical"/>
    <s v="Y"/>
    <s v="Southwest"/>
    <x v="1"/>
    <s v="North America"/>
    <x v="0"/>
    <s v="Bikes"/>
    <n v="699.09820000000002"/>
    <n v="413.1463"/>
    <n v="285.95190000000002"/>
    <n v="0.409029661355157"/>
  </r>
  <r>
    <x v="67"/>
    <d v="2002-03-03T00:00:00"/>
    <s v="SO46470"/>
    <n v="322"/>
    <n v="14915"/>
    <n v="1"/>
    <n v="1"/>
    <n v="1"/>
    <n v="2"/>
    <s v="BK-R50R-60"/>
    <x v="38"/>
    <n v="413.1463"/>
    <n v="699.09820000000002"/>
    <s v="MRS."/>
    <s v="KATHERINE"/>
    <s v="HOWARD"/>
    <s v="KATHERINE HOWARD"/>
    <d v="1957-10-11T00:00:00"/>
    <s v="M"/>
    <s v="F"/>
    <s v="katherine15@adventure-works.com"/>
    <n v="40000"/>
    <n v="1"/>
    <s v="Partial College"/>
    <s v="Clerical"/>
    <s v="Y"/>
    <s v="Northwest"/>
    <x v="1"/>
    <s v="North America"/>
    <x v="0"/>
    <s v="Bikes"/>
    <n v="699.09820000000002"/>
    <n v="413.1463"/>
    <n v="285.95190000000002"/>
    <n v="0.409029661355157"/>
  </r>
  <r>
    <x v="299"/>
    <d v="2002-10-31T00:00:00"/>
    <s v="SO48237"/>
    <n v="379"/>
    <n v="14925"/>
    <n v="7"/>
    <n v="1"/>
    <n v="1"/>
    <n v="2"/>
    <s v="BK-R89B-58"/>
    <x v="26"/>
    <n v="1320.6838"/>
    <n v="2181.5625"/>
    <s v="MRS."/>
    <s v="ASHLEY"/>
    <s v="HUGHES"/>
    <s v="ASHLEY HUGHES"/>
    <d v="1968-10-28T00:00:00"/>
    <s v="M"/>
    <s v="F"/>
    <s v="ashley38@adventure-works.com"/>
    <n v="30000"/>
    <n v="1"/>
    <s v="Bachelors"/>
    <s v="Clerical"/>
    <s v="Y"/>
    <s v="France"/>
    <x v="0"/>
    <s v="Europe"/>
    <x v="0"/>
    <s v="Bikes"/>
    <n v="2181.5625"/>
    <n v="1320.6838"/>
    <n v="860.87869999999998"/>
    <n v="0.39461564818793898"/>
  </r>
  <r>
    <x v="313"/>
    <d v="2002-09-13T00:00:00"/>
    <s v="SO48253"/>
    <n v="369"/>
    <n v="14926"/>
    <n v="7"/>
    <n v="1"/>
    <n v="1"/>
    <n v="2"/>
    <s v="BK-R89R-48"/>
    <x v="21"/>
    <n v="1518.7864"/>
    <n v="2443.35"/>
    <s v="MR."/>
    <s v="JUAN"/>
    <s v="ROGERS"/>
    <s v="JUAN ROGERS"/>
    <d v="1968-03-21T00:00:00"/>
    <s v="M"/>
    <s v="M"/>
    <s v="juan29@adventure-works.com"/>
    <n v="30000"/>
    <n v="1"/>
    <s v="Bachelors"/>
    <s v="Clerical"/>
    <s v="Y"/>
    <s v="France"/>
    <x v="0"/>
    <s v="Europe"/>
    <x v="0"/>
    <s v="Bikes"/>
    <n v="2443.35"/>
    <n v="1518.7864"/>
    <n v="924.56359999999995"/>
    <n v="0.37839998362903399"/>
  </r>
  <r>
    <x v="134"/>
    <d v="2002-03-02T00:00:00"/>
    <s v="SO46239"/>
    <n v="312"/>
    <n v="14927"/>
    <n v="8"/>
    <n v="1"/>
    <n v="1"/>
    <n v="2"/>
    <s v="BK-R93R-48"/>
    <x v="0"/>
    <n v="2171.2941999999998"/>
    <n v="3578.27"/>
    <s v="MRS."/>
    <s v="CHELSEA"/>
    <s v="MARTINEZ"/>
    <s v="CHELSEA MARTINEZ"/>
    <d v="1968-09-26T00:00:00"/>
    <s v="M"/>
    <s v="F"/>
    <s v="chelsea19@adventure-works.com"/>
    <n v="30000"/>
    <n v="1"/>
    <s v="Bachelors"/>
    <s v="Clerical"/>
    <s v="Y"/>
    <s v="Germany"/>
    <x v="4"/>
    <s v="Europe"/>
    <x v="0"/>
    <s v="Bikes"/>
    <n v="3578.27"/>
    <n v="2171.2941999999998"/>
    <n v="1406.9757999999999"/>
    <n v="0.39320001006072802"/>
  </r>
  <r>
    <x v="314"/>
    <d v="2002-01-04T00:00:00"/>
    <s v="SO45249"/>
    <n v="310"/>
    <n v="14928"/>
    <n v="10"/>
    <n v="1"/>
    <n v="1"/>
    <n v="2"/>
    <s v="BK-R93R-62"/>
    <x v="1"/>
    <n v="2171.2941999999998"/>
    <n v="3578.27"/>
    <s v="MR."/>
    <s v="ROY"/>
    <s v="PATEL"/>
    <s v="ROY PATEL"/>
    <d v="1968-03-21T00:00:00"/>
    <s v="M"/>
    <s v="M"/>
    <s v="roy3@adventure-works.com"/>
    <n v="30000"/>
    <n v="1"/>
    <s v="Bachelors"/>
    <s v="Clerical"/>
    <s v="Y"/>
    <s v="United Kingdom"/>
    <x v="3"/>
    <s v="Europe"/>
    <x v="0"/>
    <s v="Bikes"/>
    <n v="3578.27"/>
    <n v="2171.2941999999998"/>
    <n v="1406.9757999999999"/>
    <n v="0.39320001006072802"/>
  </r>
  <r>
    <x v="336"/>
    <d v="2001-10-25T00:00:00"/>
    <s v="SO45181"/>
    <n v="310"/>
    <n v="14929"/>
    <n v="10"/>
    <n v="1"/>
    <n v="1"/>
    <n v="2"/>
    <s v="BK-R93R-62"/>
    <x v="1"/>
    <n v="2171.2941999999998"/>
    <n v="3578.27"/>
    <s v="MR."/>
    <s v="PETER"/>
    <s v="ANAND"/>
    <s v="PETER ANAND"/>
    <d v="1968-10-03T00:00:00"/>
    <s v="M"/>
    <s v="M"/>
    <s v="peter27@adventure-works.com"/>
    <n v="30000"/>
    <n v="1"/>
    <s v="Bachelors"/>
    <s v="Clerical"/>
    <s v="Y"/>
    <s v="United Kingdom"/>
    <x v="3"/>
    <s v="Europe"/>
    <x v="0"/>
    <s v="Bikes"/>
    <n v="3578.27"/>
    <n v="2171.2941999999998"/>
    <n v="1406.9757999999999"/>
    <n v="0.39320001006072802"/>
  </r>
  <r>
    <x v="282"/>
    <d v="2002-09-04T00:00:00"/>
    <s v="SO48117"/>
    <n v="377"/>
    <n v="14930"/>
    <n v="7"/>
    <n v="1"/>
    <n v="1"/>
    <n v="2"/>
    <s v="BK-R89B-52"/>
    <x v="20"/>
    <n v="1320.6838"/>
    <n v="2181.5625"/>
    <s v="MRS."/>
    <s v="CINDY"/>
    <s v="SARA"/>
    <s v="CINDY SARA"/>
    <d v="1968-07-01T00:00:00"/>
    <s v="S"/>
    <s v="F"/>
    <s v="cindy10@adventure-works.com"/>
    <n v="30000"/>
    <n v="1"/>
    <s v="Bachelors"/>
    <s v="Clerical"/>
    <s v="N"/>
    <s v="France"/>
    <x v="0"/>
    <s v="Europe"/>
    <x v="0"/>
    <s v="Bikes"/>
    <n v="2181.5625"/>
    <n v="1320.6838"/>
    <n v="860.87869999999998"/>
    <n v="0.39461564818793898"/>
  </r>
  <r>
    <x v="337"/>
    <d v="2002-10-16T00:00:00"/>
    <s v="SO48272"/>
    <n v="371"/>
    <n v="14931"/>
    <n v="7"/>
    <n v="1"/>
    <n v="1"/>
    <n v="2"/>
    <s v="BK-R89R-58"/>
    <x v="24"/>
    <n v="1320.6838"/>
    <n v="2181.5625"/>
    <s v="MR."/>
    <s v="ANDRES"/>
    <s v="PAL"/>
    <s v="ANDRES PAL"/>
    <d v="1968-11-02T00:00:00"/>
    <s v="M"/>
    <s v="M"/>
    <s v="andres9@adventure-works.com"/>
    <n v="40000"/>
    <n v="0"/>
    <s v="Graduate Degree"/>
    <s v="Clerical"/>
    <s v="Y"/>
    <s v="France"/>
    <x v="0"/>
    <s v="Europe"/>
    <x v="0"/>
    <s v="Bikes"/>
    <n v="2181.5625"/>
    <n v="1320.6838"/>
    <n v="860.87869999999998"/>
    <n v="0.39461564818793898"/>
  </r>
  <r>
    <x v="338"/>
    <d v="2001-11-05T00:00:00"/>
    <s v="SO45109"/>
    <n v="311"/>
    <n v="14937"/>
    <n v="10"/>
    <n v="1"/>
    <n v="1"/>
    <n v="2"/>
    <s v="BK-R93R-44"/>
    <x v="4"/>
    <n v="2171.2941999999998"/>
    <n v="3578.27"/>
    <s v="MR."/>
    <s v="BRENDAN"/>
    <s v="XU"/>
    <s v="BRENDAN XU"/>
    <d v="1966-11-23T00:00:00"/>
    <s v="S"/>
    <s v="M"/>
    <s v="brendan4@adventure-works.com"/>
    <n v="10000"/>
    <n v="4"/>
    <s v="Partial High School"/>
    <s v="Manual"/>
    <s v="Y"/>
    <s v="United Kingdom"/>
    <x v="3"/>
    <s v="Europe"/>
    <x v="0"/>
    <s v="Bikes"/>
    <n v="3578.27"/>
    <n v="2171.2941999999998"/>
    <n v="1406.9757999999999"/>
    <n v="0.39320001006072802"/>
  </r>
  <r>
    <x v="136"/>
    <d v="2002-03-16T00:00:00"/>
    <s v="SO46252"/>
    <n v="313"/>
    <n v="14939"/>
    <n v="8"/>
    <n v="1"/>
    <n v="1"/>
    <n v="2"/>
    <s v="BK-R93R-52"/>
    <x v="3"/>
    <n v="2171.2941999999998"/>
    <n v="3578.27"/>
    <s v="MR."/>
    <s v="CORY"/>
    <s v="KAPOOR"/>
    <s v="CORY KAPOOR"/>
    <d v="1967-04-18T00:00:00"/>
    <s v="M"/>
    <s v="M"/>
    <s v="cory19@adventure-works.com"/>
    <n v="40000"/>
    <n v="0"/>
    <s v="Bachelors"/>
    <s v="Clerical"/>
    <s v="Y"/>
    <s v="Germany"/>
    <x v="4"/>
    <s v="Europe"/>
    <x v="0"/>
    <s v="Bikes"/>
    <n v="3578.27"/>
    <n v="2171.2941999999998"/>
    <n v="1406.9757999999999"/>
    <n v="0.39320001006072802"/>
  </r>
  <r>
    <x v="135"/>
    <d v="2002-04-05T00:00:00"/>
    <s v="SO46250"/>
    <n v="313"/>
    <n v="14940"/>
    <n v="8"/>
    <n v="1"/>
    <n v="1"/>
    <n v="2"/>
    <s v="BK-R93R-52"/>
    <x v="3"/>
    <n v="2171.2941999999998"/>
    <n v="3578.27"/>
    <s v="MS."/>
    <s v="CARMEN"/>
    <s v="RANA"/>
    <s v="CARMEN RANA"/>
    <d v="1967-02-23T00:00:00"/>
    <s v="M"/>
    <s v="F"/>
    <s v="carmen14@adventure-works.com"/>
    <n v="40000"/>
    <n v="0"/>
    <s v="Bachelors"/>
    <s v="Clerical"/>
    <s v="N"/>
    <s v="Germany"/>
    <x v="4"/>
    <s v="Europe"/>
    <x v="0"/>
    <s v="Bikes"/>
    <n v="3578.27"/>
    <n v="2171.2941999999998"/>
    <n v="1406.9757999999999"/>
    <n v="0.39320001006072802"/>
  </r>
  <r>
    <x v="23"/>
    <d v="2001-12-08T00:00:00"/>
    <s v="SO45149"/>
    <n v="314"/>
    <n v="14941"/>
    <n v="10"/>
    <n v="1"/>
    <n v="1"/>
    <n v="2"/>
    <s v="BK-R93R-56"/>
    <x v="2"/>
    <n v="2171.2941999999998"/>
    <n v="3578.27"/>
    <s v="MRS."/>
    <s v="EMMA"/>
    <s v="PATTERSON"/>
    <s v="EMMA PATTERSON"/>
    <d v="1966-07-27T00:00:00"/>
    <s v="S"/>
    <s v="F"/>
    <s v="emma56@adventure-works.com"/>
    <n v="20000"/>
    <n v="2"/>
    <s v="High School"/>
    <s v="Manual"/>
    <s v="Y"/>
    <s v="United Kingdom"/>
    <x v="3"/>
    <s v="Europe"/>
    <x v="0"/>
    <s v="Bikes"/>
    <n v="3578.27"/>
    <n v="2171.2941999999998"/>
    <n v="1406.9757999999999"/>
    <n v="0.39320001006072802"/>
  </r>
  <r>
    <x v="288"/>
    <d v="2002-10-09T00:00:00"/>
    <s v="SO48723"/>
    <n v="369"/>
    <n v="14944"/>
    <n v="7"/>
    <n v="1"/>
    <n v="1"/>
    <n v="2"/>
    <s v="BK-R89R-48"/>
    <x v="21"/>
    <n v="1518.7864"/>
    <n v="2443.35"/>
    <s v="MR."/>
    <s v="SEBASTIAN"/>
    <s v="WATSON"/>
    <s v="SEBASTIAN WATSON"/>
    <d v="1965-08-10T00:00:00"/>
    <s v="S"/>
    <s v="M"/>
    <s v="sebastian1@adventure-works.com"/>
    <n v="10000"/>
    <n v="5"/>
    <s v="Partial High School"/>
    <s v="Manual"/>
    <s v="Y"/>
    <s v="France"/>
    <x v="0"/>
    <s v="Europe"/>
    <x v="0"/>
    <s v="Bikes"/>
    <n v="2443.35"/>
    <n v="1518.7864"/>
    <n v="924.56359999999995"/>
    <n v="0.37839998362903399"/>
  </r>
  <r>
    <x v="124"/>
    <d v="2002-03-03T00:00:00"/>
    <s v="SO46128"/>
    <n v="314"/>
    <n v="14945"/>
    <n v="8"/>
    <n v="1"/>
    <n v="1"/>
    <n v="2"/>
    <s v="BK-R93R-56"/>
    <x v="2"/>
    <n v="2171.2941999999998"/>
    <n v="3578.27"/>
    <s v="MRS."/>
    <s v="SAMANTHA"/>
    <s v="LEWIS"/>
    <s v="SAMANTHA LEWIS"/>
    <d v="1965-12-08T00:00:00"/>
    <s v="S"/>
    <s v="F"/>
    <s v="samantha22@adventure-works.com"/>
    <n v="10000"/>
    <n v="5"/>
    <s v="Partial High School"/>
    <s v="Manual"/>
    <s v="Y"/>
    <s v="Germany"/>
    <x v="4"/>
    <s v="Europe"/>
    <x v="0"/>
    <s v="Bikes"/>
    <n v="3578.27"/>
    <n v="2171.2941999999998"/>
    <n v="1406.9757999999999"/>
    <n v="0.39320001006072802"/>
  </r>
  <r>
    <x v="291"/>
    <d v="2002-09-23T00:00:00"/>
    <s v="SO48549"/>
    <n v="375"/>
    <n v="14946"/>
    <n v="7"/>
    <n v="1"/>
    <n v="1"/>
    <n v="2"/>
    <s v="BK-R89B-48"/>
    <x v="25"/>
    <n v="1320.6838"/>
    <n v="2181.5625"/>
    <s v="MR."/>
    <s v="FREDERICK"/>
    <s v="VANCE"/>
    <s v="FREDERICK VANCE"/>
    <d v="1965-09-04T00:00:00"/>
    <s v="S"/>
    <s v="M"/>
    <s v="frederick3@adventure-works.com"/>
    <n v="20000"/>
    <n v="2"/>
    <s v="High School"/>
    <s v="Manual"/>
    <s v="Y"/>
    <s v="France"/>
    <x v="0"/>
    <s v="Europe"/>
    <x v="0"/>
    <s v="Bikes"/>
    <n v="2181.5625"/>
    <n v="1320.6838"/>
    <n v="860.87869999999998"/>
    <n v="0.39461564818793898"/>
  </r>
  <r>
    <x v="339"/>
    <d v="2001-12-15T00:00:00"/>
    <s v="SO45083"/>
    <n v="312"/>
    <n v="14947"/>
    <n v="10"/>
    <n v="1"/>
    <n v="1"/>
    <n v="2"/>
    <s v="BK-R93R-48"/>
    <x v="0"/>
    <n v="2171.2941999999998"/>
    <n v="3578.27"/>
    <s v="MR."/>
    <s v="ALEJANDRO"/>
    <s v="CHEN"/>
    <s v="ALEJANDRO CHEN"/>
    <d v="1965-01-11T00:00:00"/>
    <s v="S"/>
    <s v="M"/>
    <s v="alejandro4@adventure-works.com"/>
    <n v="20000"/>
    <n v="2"/>
    <s v="High School"/>
    <s v="Manual"/>
    <s v="Y"/>
    <s v="United Kingdom"/>
    <x v="3"/>
    <s v="Europe"/>
    <x v="0"/>
    <s v="Bikes"/>
    <n v="3578.27"/>
    <n v="2171.2941999999998"/>
    <n v="1406.9757999999999"/>
    <n v="0.39320001006072802"/>
  </r>
  <r>
    <x v="292"/>
    <d v="2002-09-25T00:00:00"/>
    <s v="SO48567"/>
    <n v="377"/>
    <n v="14948"/>
    <n v="7"/>
    <n v="1"/>
    <n v="1"/>
    <n v="2"/>
    <s v="BK-R89B-52"/>
    <x v="20"/>
    <n v="1320.6838"/>
    <n v="2181.5625"/>
    <s v="MR."/>
    <s v="DAMIEN"/>
    <s v="LAL"/>
    <s v="DAMIEN LAL"/>
    <d v="1965-04-11T00:00:00"/>
    <s v="M"/>
    <s v="M"/>
    <s v="damien25@adventure-works.com"/>
    <n v="30000"/>
    <n v="1"/>
    <s v="Bachelors"/>
    <s v="Skilled Manual"/>
    <s v="Y"/>
    <s v="France"/>
    <x v="0"/>
    <s v="Europe"/>
    <x v="0"/>
    <s v="Bikes"/>
    <n v="2181.5625"/>
    <n v="1320.6838"/>
    <n v="860.87869999999998"/>
    <n v="0.39461564818793898"/>
  </r>
  <r>
    <x v="336"/>
    <d v="2001-12-11T00:00:00"/>
    <s v="SO45185"/>
    <n v="310"/>
    <n v="14949"/>
    <n v="10"/>
    <n v="1"/>
    <n v="1"/>
    <n v="2"/>
    <s v="BK-R93R-62"/>
    <x v="1"/>
    <n v="2171.2941999999998"/>
    <n v="3578.27"/>
    <s v="MR."/>
    <s v="STEVE"/>
    <s v="WU"/>
    <s v="STEVE WU"/>
    <d v="1965-04-14T00:00:00"/>
    <s v="M"/>
    <s v="M"/>
    <s v="steve10@adventure-works.com"/>
    <n v="30000"/>
    <n v="1"/>
    <s v="Bachelors"/>
    <s v="Skilled Manual"/>
    <s v="Y"/>
    <s v="United Kingdom"/>
    <x v="3"/>
    <s v="Europe"/>
    <x v="0"/>
    <s v="Bikes"/>
    <n v="3578.27"/>
    <n v="2171.2941999999998"/>
    <n v="1406.9757999999999"/>
    <n v="0.39320001006072802"/>
  </r>
  <r>
    <x v="324"/>
    <d v="2001-09-25T00:00:00"/>
    <s v="SO45146"/>
    <n v="310"/>
    <n v="14950"/>
    <n v="10"/>
    <n v="1"/>
    <n v="1"/>
    <n v="2"/>
    <s v="BK-R93R-62"/>
    <x v="1"/>
    <n v="2171.2941999999998"/>
    <n v="3578.27"/>
    <s v="MRS."/>
    <s v="MARIA"/>
    <s v="HERNANDEZ"/>
    <s v="MARIA HERNANDEZ"/>
    <d v="1964-08-27T00:00:00"/>
    <s v="S"/>
    <s v="F"/>
    <s v="maria59@adventure-works.com"/>
    <n v="10000"/>
    <n v="3"/>
    <s v="Partial High School"/>
    <s v="Manual"/>
    <s v="Y"/>
    <s v="United Kingdom"/>
    <x v="3"/>
    <s v="Europe"/>
    <x v="0"/>
    <s v="Bikes"/>
    <n v="3578.27"/>
    <n v="2171.2941999999998"/>
    <n v="1406.9757999999999"/>
    <n v="0.39320001006072802"/>
  </r>
  <r>
    <x v="141"/>
    <d v="2002-04-07T00:00:00"/>
    <s v="SO46293"/>
    <n v="311"/>
    <n v="14951"/>
    <n v="8"/>
    <n v="1"/>
    <n v="1"/>
    <n v="2"/>
    <s v="BK-R93R-44"/>
    <x v="4"/>
    <n v="2171.2941999999998"/>
    <n v="3578.27"/>
    <s v="MRS."/>
    <s v="KATIE"/>
    <s v="RAI"/>
    <s v="KATIE RAI"/>
    <d v="1964-09-26T00:00:00"/>
    <s v="M"/>
    <s v="F"/>
    <s v="katie20@adventure-works.com"/>
    <n v="30000"/>
    <n v="1"/>
    <s v="Bachelors"/>
    <s v="Skilled Manual"/>
    <s v="Y"/>
    <s v="Germany"/>
    <x v="4"/>
    <s v="Europe"/>
    <x v="0"/>
    <s v="Bikes"/>
    <n v="3578.27"/>
    <n v="2171.2941999999998"/>
    <n v="1406.9757999999999"/>
    <n v="0.39320001006072802"/>
  </r>
  <r>
    <x v="143"/>
    <d v="2002-03-25T00:00:00"/>
    <s v="SO46305"/>
    <n v="311"/>
    <n v="14952"/>
    <n v="8"/>
    <n v="1"/>
    <n v="1"/>
    <n v="2"/>
    <s v="BK-R93R-44"/>
    <x v="4"/>
    <n v="2171.2941999999998"/>
    <n v="3578.27"/>
    <s v="MRS."/>
    <s v="HOLLY"/>
    <s v="SRINI"/>
    <s v="HOLLY SRINI"/>
    <d v="1964-11-22T00:00:00"/>
    <s v="M"/>
    <s v="F"/>
    <s v="holly9@adventure-works.com"/>
    <n v="30000"/>
    <n v="1"/>
    <s v="Bachelors"/>
    <s v="Skilled Manual"/>
    <s v="Y"/>
    <s v="Germany"/>
    <x v="4"/>
    <s v="Europe"/>
    <x v="0"/>
    <s v="Bikes"/>
    <n v="3578.27"/>
    <n v="2171.2941999999998"/>
    <n v="1406.9757999999999"/>
    <n v="0.39320001006072802"/>
  </r>
  <r>
    <x v="129"/>
    <d v="2002-02-21T00:00:00"/>
    <s v="SO46191"/>
    <n v="310"/>
    <n v="14956"/>
    <n v="8"/>
    <n v="1"/>
    <n v="1"/>
    <n v="2"/>
    <s v="BK-R93R-62"/>
    <x v="1"/>
    <n v="2171.2941999999998"/>
    <n v="3578.27"/>
    <s v="MRS."/>
    <s v="KRISTA"/>
    <s v="ROMERO"/>
    <s v="KRISTA ROMERO"/>
    <d v="1963-04-11T00:00:00"/>
    <s v="S"/>
    <s v="F"/>
    <s v="krista10@adventure-works.com"/>
    <n v="20000"/>
    <n v="4"/>
    <s v="High School"/>
    <s v="Manual"/>
    <s v="Y"/>
    <s v="Germany"/>
    <x v="4"/>
    <s v="Europe"/>
    <x v="0"/>
    <s v="Bikes"/>
    <n v="3578.27"/>
    <n v="2171.2941999999998"/>
    <n v="1406.9757999999999"/>
    <n v="0.39320001006072802"/>
  </r>
  <r>
    <x v="232"/>
    <d v="2002-10-22T00:00:00"/>
    <s v="SO48420"/>
    <n v="377"/>
    <n v="14957"/>
    <n v="7"/>
    <n v="1"/>
    <n v="1"/>
    <n v="2"/>
    <s v="BK-R89B-52"/>
    <x v="20"/>
    <n v="1320.6838"/>
    <n v="2181.5625"/>
    <s v="MRS."/>
    <s v="LACEY"/>
    <s v="SHAN"/>
    <s v="LACEY SHAN"/>
    <d v="1963-06-01T00:00:00"/>
    <s v="S"/>
    <s v="F"/>
    <s v="lacey0@adventure-works.com"/>
    <n v="20000"/>
    <n v="4"/>
    <s v="High School"/>
    <s v="Manual"/>
    <s v="Y"/>
    <s v="France"/>
    <x v="0"/>
    <s v="Europe"/>
    <x v="0"/>
    <s v="Bikes"/>
    <n v="2181.5625"/>
    <n v="1320.6838"/>
    <n v="860.87869999999998"/>
    <n v="0.39461564818793898"/>
  </r>
  <r>
    <x v="291"/>
    <d v="2002-10-09T00:00:00"/>
    <s v="SO48546"/>
    <n v="377"/>
    <n v="14960"/>
    <n v="7"/>
    <n v="1"/>
    <n v="1"/>
    <n v="2"/>
    <s v="BK-R89B-52"/>
    <x v="20"/>
    <n v="1320.6838"/>
    <n v="2181.5625"/>
    <s v="MR."/>
    <s v="LEONARD"/>
    <s v="PAL"/>
    <s v="LEONARD PAL"/>
    <d v="1965-11-15T00:00:00"/>
    <s v="S"/>
    <s v="M"/>
    <s v="leonard13@adventure-works.com"/>
    <n v="30000"/>
    <n v="2"/>
    <s v="Partial College"/>
    <s v="Clerical"/>
    <s v="Y"/>
    <s v="France"/>
    <x v="0"/>
    <s v="Europe"/>
    <x v="0"/>
    <s v="Bikes"/>
    <n v="2181.5625"/>
    <n v="1320.6838"/>
    <n v="860.87869999999998"/>
    <n v="0.39461564818793898"/>
  </r>
  <r>
    <x v="287"/>
    <d v="2002-10-01T00:00:00"/>
    <s v="SO48613"/>
    <n v="375"/>
    <n v="14965"/>
    <n v="7"/>
    <n v="1"/>
    <n v="1"/>
    <n v="2"/>
    <s v="BK-R89B-48"/>
    <x v="25"/>
    <n v="1320.6838"/>
    <n v="2181.5625"/>
    <s v="MR."/>
    <s v="EDWIN"/>
    <s v="ZHOU"/>
    <s v="EDWIN ZHOU"/>
    <d v="1964-07-09T00:00:00"/>
    <s v="M"/>
    <s v="M"/>
    <s v="edwin9@adventure-works.com"/>
    <n v="30000"/>
    <n v="2"/>
    <s v="Partial College"/>
    <s v="Clerical"/>
    <s v="N"/>
    <s v="France"/>
    <x v="0"/>
    <s v="Europe"/>
    <x v="0"/>
    <s v="Bikes"/>
    <n v="2181.5625"/>
    <n v="1320.6838"/>
    <n v="860.87869999999998"/>
    <n v="0.39461564818793898"/>
  </r>
  <r>
    <x v="304"/>
    <d v="2002-08-11T00:00:00"/>
    <s v="SO48459"/>
    <n v="379"/>
    <n v="14966"/>
    <n v="7"/>
    <n v="1"/>
    <n v="1"/>
    <n v="2"/>
    <s v="BK-R89B-58"/>
    <x v="26"/>
    <n v="1320.6838"/>
    <n v="2181.5625"/>
    <s v="MR."/>
    <s v="DERRICK"/>
    <s v="VAZQUEZ"/>
    <s v="DERRICK VAZQUEZ"/>
    <d v="1964-05-05T00:00:00"/>
    <s v="S"/>
    <s v="M"/>
    <s v="derrick13@adventure-works.com"/>
    <n v="30000"/>
    <n v="2"/>
    <s v="Partial College"/>
    <s v="Clerical"/>
    <s v="Y"/>
    <s v="France"/>
    <x v="0"/>
    <s v="Europe"/>
    <x v="0"/>
    <s v="Bikes"/>
    <n v="2181.5625"/>
    <n v="1320.6838"/>
    <n v="860.87869999999998"/>
    <n v="0.39461564818793898"/>
  </r>
  <r>
    <x v="134"/>
    <d v="2002-04-07T00:00:00"/>
    <s v="SO46245"/>
    <n v="314"/>
    <n v="14967"/>
    <n v="8"/>
    <n v="1"/>
    <n v="1"/>
    <n v="2"/>
    <s v="BK-R93R-56"/>
    <x v="2"/>
    <n v="2171.2941999999998"/>
    <n v="3578.27"/>
    <s v="MRS."/>
    <s v="BRIDGET"/>
    <s v="XU"/>
    <s v="BRIDGET XU"/>
    <d v="1964-05-15T00:00:00"/>
    <s v="S"/>
    <s v="F"/>
    <s v="bridget6@adventure-works.com"/>
    <n v="30000"/>
    <n v="2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67"/>
    <d v="2002-03-10T00:00:00"/>
    <s v="SO46473"/>
    <n v="311"/>
    <n v="14969"/>
    <n v="8"/>
    <n v="1"/>
    <n v="1"/>
    <n v="2"/>
    <s v="BK-R93R-44"/>
    <x v="4"/>
    <n v="2171.2941999999998"/>
    <n v="3578.27"/>
    <s v="MR."/>
    <s v="JULIO"/>
    <s v="VAZQUEZ"/>
    <s v="JULIO VAZQUEZ"/>
    <d v="1963-04-06T00:00:00"/>
    <s v="S"/>
    <s v="M"/>
    <s v="julio15@adventure-works.com"/>
    <n v="30000"/>
    <n v="3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37"/>
    <d v="2001-11-30T00:00:00"/>
    <s v="SO45130"/>
    <n v="313"/>
    <n v="14975"/>
    <n v="10"/>
    <n v="1"/>
    <n v="1"/>
    <n v="2"/>
    <s v="BK-R93R-52"/>
    <x v="3"/>
    <n v="2171.2941999999998"/>
    <n v="3578.27"/>
    <s v="MR."/>
    <s v="DALTON"/>
    <s v="SCOTT"/>
    <s v="DALTON SCOTT"/>
    <d v="1963-07-03T00:00:00"/>
    <s v="M"/>
    <s v="M"/>
    <s v="dalton29@adventure-works.com"/>
    <n v="40000"/>
    <n v="1"/>
    <s v="Bachelors"/>
    <s v="Skilled Manual"/>
    <s v="Y"/>
    <s v="United Kingdom"/>
    <x v="3"/>
    <s v="Europe"/>
    <x v="0"/>
    <s v="Bikes"/>
    <n v="3578.27"/>
    <n v="2171.2941999999998"/>
    <n v="1406.9757999999999"/>
    <n v="0.39320001006072802"/>
  </r>
  <r>
    <x v="287"/>
    <d v="2002-10-22T00:00:00"/>
    <s v="SO48614"/>
    <n v="375"/>
    <n v="14976"/>
    <n v="7"/>
    <n v="1"/>
    <n v="1"/>
    <n v="2"/>
    <s v="BK-R89B-48"/>
    <x v="25"/>
    <n v="1320.6838"/>
    <n v="2181.5625"/>
    <s v="MR."/>
    <s v="RANDY"/>
    <s v="HU"/>
    <s v="RANDY HU"/>
    <d v="1962-06-11T00:00:00"/>
    <s v="M"/>
    <s v="M"/>
    <s v="randy23@adventure-works.com"/>
    <n v="40000"/>
    <n v="1"/>
    <s v="Bachelors"/>
    <s v="Skilled Manual"/>
    <s v="Y"/>
    <s v="France"/>
    <x v="0"/>
    <s v="Europe"/>
    <x v="0"/>
    <s v="Bikes"/>
    <n v="2181.5625"/>
    <n v="1320.6838"/>
    <n v="860.87869999999998"/>
    <n v="0.39461564818793898"/>
  </r>
  <r>
    <x v="171"/>
    <d v="2002-05-07T00:00:00"/>
    <s v="SO46562"/>
    <n v="311"/>
    <n v="14978"/>
    <n v="8"/>
    <n v="1"/>
    <n v="1"/>
    <n v="2"/>
    <s v="BK-R93R-44"/>
    <x v="4"/>
    <n v="2171.2941999999998"/>
    <n v="3578.27"/>
    <s v="MR."/>
    <s v="JAMIE"/>
    <s v="ORTEGA"/>
    <s v="JAMIE ORTEGA"/>
    <d v="1978-04-01T00:00:00"/>
    <s v="S"/>
    <s v="M"/>
    <s v="jamie44@adventure-works.com"/>
    <n v="30000"/>
    <n v="4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67"/>
    <d v="2002-04-08T00:00:00"/>
    <s v="SO46471"/>
    <n v="310"/>
    <n v="14979"/>
    <n v="8"/>
    <n v="1"/>
    <n v="1"/>
    <n v="2"/>
    <s v="BK-R93R-62"/>
    <x v="1"/>
    <n v="2171.2941999999998"/>
    <n v="3578.27"/>
    <s v="MR."/>
    <s v="RODNEY"/>
    <s v="SERRANO"/>
    <s v="RODNEY SERRANO"/>
    <d v="1978-03-07T00:00:00"/>
    <s v="S"/>
    <s v="M"/>
    <s v="rodney12@adventure-works.com"/>
    <n v="30000"/>
    <n v="4"/>
    <s v="Partial College"/>
    <s v="Clerical"/>
    <s v="Y"/>
    <s v="Germany"/>
    <x v="4"/>
    <s v="Europe"/>
    <x v="0"/>
    <s v="Bikes"/>
    <n v="3578.27"/>
    <n v="2171.2941999999998"/>
    <n v="1406.9757999999999"/>
    <n v="0.39320001006072802"/>
  </r>
  <r>
    <x v="39"/>
    <d v="2001-10-11T00:00:00"/>
    <s v="SO45160"/>
    <n v="310"/>
    <n v="14984"/>
    <n v="10"/>
    <n v="1"/>
    <n v="1"/>
    <n v="2"/>
    <s v="BK-R93R-62"/>
    <x v="1"/>
    <n v="2171.2941999999998"/>
    <n v="3578.27"/>
    <s v="MRS."/>
    <s v="REGINA"/>
    <s v="VANCE"/>
    <s v="REGINA VANCE"/>
    <d v="1978-11-13T00:00:00"/>
    <s v="S"/>
    <s v="F"/>
    <s v="regina3@adventure-works.com"/>
    <n v="30000"/>
    <n v="5"/>
    <s v="Partial Colleg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79"/>
    <d v="2002-02-28T00:00:00"/>
    <s v="SO46403"/>
    <n v="314"/>
    <n v="14990"/>
    <n v="8"/>
    <n v="1"/>
    <n v="1"/>
    <n v="2"/>
    <s v="BK-R93R-56"/>
    <x v="2"/>
    <n v="2171.2941999999998"/>
    <n v="3578.27"/>
    <s v="MR."/>
    <s v="NELSON"/>
    <s v="RAMOS"/>
    <s v="NELSON RAMOS"/>
    <d v="1976-01-26T00:00:00"/>
    <s v="S"/>
    <s v="M"/>
    <s v="nelson16@adventure-works.com"/>
    <n v="30000"/>
    <n v="0"/>
    <s v="Partial College"/>
    <s v="Clerical"/>
    <s v="N"/>
    <s v="Germany"/>
    <x v="4"/>
    <s v="Europe"/>
    <x v="0"/>
    <s v="Bikes"/>
    <n v="3578.27"/>
    <n v="2171.2941999999998"/>
    <n v="1406.9757999999999"/>
    <n v="0.39320001006072802"/>
  </r>
  <r>
    <x v="325"/>
    <d v="2001-11-17T00:00:00"/>
    <s v="SO45186"/>
    <n v="313"/>
    <n v="14991"/>
    <n v="10"/>
    <n v="1"/>
    <n v="1"/>
    <n v="2"/>
    <s v="BK-R93R-52"/>
    <x v="3"/>
    <n v="2171.2941999999998"/>
    <n v="3578.27"/>
    <s v="MR."/>
    <s v="EDWIN"/>
    <s v="ZHAO"/>
    <s v="EDWIN ZHAO"/>
    <d v="1976-02-26T00:00:00"/>
    <s v="S"/>
    <s v="M"/>
    <s v="edwin11@adventure-works.com"/>
    <n v="30000"/>
    <n v="0"/>
    <s v="Partial College"/>
    <s v="Clerical"/>
    <s v="N"/>
    <s v="United Kingdom"/>
    <x v="3"/>
    <s v="Europe"/>
    <x v="0"/>
    <s v="Bikes"/>
    <n v="3578.27"/>
    <n v="2171.2941999999998"/>
    <n v="1406.9757999999999"/>
    <n v="0.39320001006072802"/>
  </r>
  <r>
    <x v="214"/>
    <d v="2002-10-18T00:00:00"/>
    <s v="SO48705"/>
    <n v="373"/>
    <n v="14995"/>
    <n v="7"/>
    <n v="1"/>
    <n v="1"/>
    <n v="2"/>
    <s v="BK-R89B-44"/>
    <x v="19"/>
    <n v="1320.6838"/>
    <n v="2181.5625"/>
    <s v="MS."/>
    <s v="STEFANIE"/>
    <s v="MALHOTRA"/>
    <s v="STEFANIE MALHOTRA"/>
    <d v="1974-05-09T00:00:00"/>
    <s v="S"/>
    <s v="F"/>
    <s v="stefanie4@adventure-works.com"/>
    <n v="20000"/>
    <n v="0"/>
    <s v="Partial High School"/>
    <s v="Manual"/>
    <s v="N"/>
    <s v="France"/>
    <x v="0"/>
    <s v="Europe"/>
    <x v="0"/>
    <s v="Bikes"/>
    <n v="2181.5625"/>
    <n v="1320.6838"/>
    <n v="860.87869999999998"/>
    <n v="0.39461564818793898"/>
  </r>
  <r>
    <x v="156"/>
    <d v="2002-02-22T00:00:00"/>
    <s v="SO46442"/>
    <n v="314"/>
    <n v="14997"/>
    <n v="8"/>
    <n v="1"/>
    <n v="1"/>
    <n v="2"/>
    <s v="BK-R93R-56"/>
    <x v="2"/>
    <n v="2171.2941999999998"/>
    <n v="3578.27"/>
    <s v="MR."/>
    <s v="ANGEL"/>
    <s v="COOPER"/>
    <s v="ANGEL COOPER"/>
    <d v="1975-06-05T00:00:00"/>
    <s v="M"/>
    <s v="M"/>
    <s v="angel8@adventure-works.com"/>
    <n v="30000"/>
    <n v="0"/>
    <s v="Partial College"/>
    <s v="Clerical"/>
    <s v="N"/>
    <s v="Germany"/>
    <x v="4"/>
    <s v="Europe"/>
    <x v="0"/>
    <s v="Bikes"/>
    <n v="3578.27"/>
    <n v="2171.2941999999998"/>
    <n v="1406.9757999999999"/>
    <n v="0.39320001006072802"/>
  </r>
  <r>
    <x v="222"/>
    <d v="2002-11-20T00:00:00"/>
    <s v="SO48452"/>
    <n v="368"/>
    <n v="14998"/>
    <n v="7"/>
    <n v="1"/>
    <n v="1"/>
    <n v="2"/>
    <s v="BK-R89R-44"/>
    <x v="22"/>
    <n v="1518.7864"/>
    <n v="2443.35"/>
    <s v="MR."/>
    <s v="ROBERT"/>
    <s v="RODRIGUEZ"/>
    <s v="ROBERT RODRIGUEZ"/>
    <d v="1974-04-16T00:00:00"/>
    <s v="S"/>
    <s v="M"/>
    <s v="robert80@adventure-works.com"/>
    <n v="20000"/>
    <n v="0"/>
    <s v="Partial High School"/>
    <s v="Manual"/>
    <s v="N"/>
    <s v="France"/>
    <x v="0"/>
    <s v="Europe"/>
    <x v="0"/>
    <s v="Bikes"/>
    <n v="2443.35"/>
    <n v="1518.7864"/>
    <n v="924.56359999999995"/>
    <n v="0.37839998362903399"/>
  </r>
  <r>
    <x v="191"/>
    <d v="2002-10-31T00:00:00"/>
    <s v="SO48599"/>
    <n v="377"/>
    <n v="15002"/>
    <n v="7"/>
    <n v="1"/>
    <n v="1"/>
    <n v="2"/>
    <s v="BK-R89B-52"/>
    <x v="20"/>
    <n v="1320.6838"/>
    <n v="2181.5625"/>
    <s v="MS."/>
    <s v="JENNY"/>
    <s v="LIN"/>
    <s v="JENNY LIN"/>
    <d v="1973-04-06T00:00:00"/>
    <s v="S"/>
    <s v="F"/>
    <s v="jenny10@adventure-works.com"/>
    <n v="20000"/>
    <n v="0"/>
    <s v="Partial High School"/>
    <s v="Manual"/>
    <s v="N"/>
    <s v="France"/>
    <x v="0"/>
    <s v="Europe"/>
    <x v="0"/>
    <s v="Bikes"/>
    <n v="2181.5625"/>
    <n v="1320.6838"/>
    <n v="860.87869999999998"/>
    <n v="0.39461564818793898"/>
  </r>
  <r>
    <x v="294"/>
    <d v="2002-11-11T00:00:00"/>
    <s v="SO48503"/>
    <n v="370"/>
    <n v="15003"/>
    <n v="7"/>
    <n v="1"/>
    <n v="1"/>
    <n v="2"/>
    <s v="BK-R89R-52"/>
    <x v="23"/>
    <n v="1518.7864"/>
    <n v="2443.35"/>
    <s v="MR."/>
    <s v="DENNIS"/>
    <s v="YANG"/>
    <s v="DENNIS YANG"/>
    <d v="1973-09-21T00:00:00"/>
    <s v="S"/>
    <s v="M"/>
    <s v="dennis6@adventure-works.com"/>
    <n v="20000"/>
    <n v="0"/>
    <s v="Partial High School"/>
    <s v="Manual"/>
    <s v="N"/>
    <s v="France"/>
    <x v="0"/>
    <s v="Europe"/>
    <x v="0"/>
    <s v="Bikes"/>
    <n v="2443.35"/>
    <n v="1518.7864"/>
    <n v="924.56359999999995"/>
    <n v="0.37839998362903399"/>
  </r>
  <r>
    <x v="214"/>
    <d v="2002-10-25T00:00:00"/>
    <s v="SO48703"/>
    <n v="369"/>
    <n v="15004"/>
    <n v="7"/>
    <n v="1"/>
    <n v="1"/>
    <n v="2"/>
    <s v="BK-R89R-48"/>
    <x v="21"/>
    <n v="1518.7864"/>
    <n v="2443.35"/>
    <s v="MS."/>
    <s v="SUZANNE"/>
    <s v="HU"/>
    <s v="SUZANNE HU"/>
    <d v="1973-12-05T00:00:00"/>
    <s v="S"/>
    <s v="F"/>
    <s v="suzanne21@adventure-works.com"/>
    <n v="20000"/>
    <n v="0"/>
    <s v="Partial High School"/>
    <s v="Manual"/>
    <s v="Y"/>
    <s v="France"/>
    <x v="0"/>
    <s v="Europe"/>
    <x v="0"/>
    <s v="Bikes"/>
    <n v="2443.35"/>
    <n v="1518.7864"/>
    <n v="924.56359999999995"/>
    <n v="0.37839998362903399"/>
  </r>
  <r>
    <x v="162"/>
    <d v="2002-03-05T00:00:00"/>
    <s v="SO46504"/>
    <n v="342"/>
    <n v="15005"/>
    <n v="4"/>
    <n v="1"/>
    <n v="1"/>
    <n v="2"/>
    <s v="BK-R50B-52"/>
    <x v="33"/>
    <n v="413.1463"/>
    <n v="699.09820000000002"/>
    <s v="MR."/>
    <s v="ADRIAN"/>
    <s v="COOPER"/>
    <s v="ADRIAN COOPER"/>
    <d v="1978-09-20T00:00:00"/>
    <s v="S"/>
    <s v="M"/>
    <s v="adrian10@adventure-works.com"/>
    <n v="60000"/>
    <n v="0"/>
    <s v="Partial College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340"/>
    <d v="2002-02-23T00:00:00"/>
    <s v="SO46414"/>
    <n v="338"/>
    <n v="15006"/>
    <n v="4"/>
    <n v="1"/>
    <n v="1"/>
    <n v="2"/>
    <s v="BK-R50B-44"/>
    <x v="32"/>
    <n v="413.1463"/>
    <n v="699.09820000000002"/>
    <s v="MS."/>
    <s v="GRACE"/>
    <s v="JACKSON"/>
    <s v="GRACE JACKSON"/>
    <d v="1978-11-21T00:00:00"/>
    <s v="M"/>
    <s v="F"/>
    <s v="grace11@adventure-works.com"/>
    <n v="70000"/>
    <n v="0"/>
    <s v="Partial College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69"/>
    <d v="2002-05-01T00:00:00"/>
    <s v="SO46432"/>
    <n v="342"/>
    <n v="15016"/>
    <n v="4"/>
    <n v="1"/>
    <n v="1"/>
    <n v="2"/>
    <s v="BK-R50B-52"/>
    <x v="33"/>
    <n v="413.1463"/>
    <n v="699.09820000000002"/>
    <s v="MR."/>
    <s v="DANIEL"/>
    <s v="CLARK"/>
    <s v="DANIEL CLARK"/>
    <d v="1980-02-13T00:00:00"/>
    <s v="S"/>
    <s v="M"/>
    <s v="daniel9@adventure-works.com"/>
    <n v="40000"/>
    <n v="0"/>
    <s v="Partial High School"/>
    <s v="Clerical"/>
    <s v="N"/>
    <s v="Southwest"/>
    <x v="1"/>
    <s v="North America"/>
    <x v="0"/>
    <s v="Bikes"/>
    <n v="699.09820000000002"/>
    <n v="413.1463"/>
    <n v="285.95190000000002"/>
    <n v="0.409029661355157"/>
  </r>
  <r>
    <x v="70"/>
    <d v="2002-06-02T00:00:00"/>
    <s v="SO46552"/>
    <n v="328"/>
    <n v="15017"/>
    <n v="4"/>
    <n v="1"/>
    <n v="1"/>
    <n v="2"/>
    <s v="BK-R50R-48"/>
    <x v="35"/>
    <n v="413.1463"/>
    <n v="699.09820000000002"/>
    <s v="MS."/>
    <s v="AMANDA"/>
    <s v="RAMIREZ"/>
    <s v="AMANDA RAMIREZ"/>
    <d v="1980-10-22T00:00:00"/>
    <s v="S"/>
    <s v="F"/>
    <s v="amanda16@adventure-works.com"/>
    <n v="20000"/>
    <n v="0"/>
    <s v="Partial College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161"/>
    <d v="2002-05-04T00:00:00"/>
    <s v="SO46493"/>
    <n v="328"/>
    <n v="15023"/>
    <n v="1"/>
    <n v="1"/>
    <n v="1"/>
    <n v="2"/>
    <s v="BK-R50R-48"/>
    <x v="35"/>
    <n v="413.1463"/>
    <n v="699.09820000000002"/>
    <s v="MR."/>
    <s v="JUAN"/>
    <s v="WATSON"/>
    <s v="JUAN WATSON"/>
    <d v="1979-07-03T00:00:00"/>
    <s v="M"/>
    <s v="M"/>
    <s v="juan10@adventure-works.com"/>
    <n v="70000"/>
    <n v="0"/>
    <s v="Partial College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336"/>
    <d v="2001-11-30T00:00:00"/>
    <s v="SO45180"/>
    <n v="311"/>
    <n v="15046"/>
    <n v="10"/>
    <n v="1"/>
    <n v="1"/>
    <n v="2"/>
    <s v="BK-R93R-44"/>
    <x v="4"/>
    <n v="2171.2941999999998"/>
    <n v="3578.27"/>
    <s v="MRS."/>
    <s v="CASEY"/>
    <s v="TANG"/>
    <s v="CASEY TANG"/>
    <d v="1943-11-18T00:00:00"/>
    <s v="M"/>
    <s v="F"/>
    <s v="casey4@adventure-works.com"/>
    <n v="40000"/>
    <n v="1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325"/>
    <d v="2001-10-18T00:00:00"/>
    <s v="SO45187"/>
    <n v="310"/>
    <n v="15047"/>
    <n v="10"/>
    <n v="1"/>
    <n v="1"/>
    <n v="2"/>
    <s v="BK-R93R-62"/>
    <x v="1"/>
    <n v="2171.2941999999998"/>
    <n v="3578.27"/>
    <s v="MRS."/>
    <s v="MEGHAN"/>
    <s v="VAZQUEZ"/>
    <s v="MEGHAN VAZQUEZ"/>
    <d v="1961-08-11T00:00:00"/>
    <s v="M"/>
    <s v="F"/>
    <s v="meghan14@adventure-works.com"/>
    <n v="30000"/>
    <n v="3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331"/>
    <d v="2001-11-16T00:00:00"/>
    <s v="SO45345"/>
    <n v="313"/>
    <n v="15048"/>
    <n v="10"/>
    <n v="1"/>
    <n v="1"/>
    <n v="2"/>
    <s v="BK-R93R-52"/>
    <x v="3"/>
    <n v="2171.2941999999998"/>
    <n v="3578.27"/>
    <s v="MRS."/>
    <s v="BONNIE"/>
    <s v="YUAN"/>
    <s v="BONNIE YUAN"/>
    <d v="1961-06-19T00:00:00"/>
    <s v="M"/>
    <s v="F"/>
    <s v="bonnie12@adventure-works.com"/>
    <n v="30000"/>
    <n v="3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175"/>
    <d v="2002-04-02T00:00:00"/>
    <s v="SO46585"/>
    <n v="314"/>
    <n v="15050"/>
    <n v="8"/>
    <n v="1"/>
    <n v="1"/>
    <n v="2"/>
    <s v="BK-R93R-56"/>
    <x v="2"/>
    <n v="2171.2941999999998"/>
    <n v="3578.27"/>
    <s v="MR."/>
    <s v="JOSHUA"/>
    <s v="MILLER"/>
    <s v="JOSHUA MILLER"/>
    <d v="1960-12-10T00:00:00"/>
    <s v="S"/>
    <s v="M"/>
    <s v="joshua8@adventure-works.com"/>
    <n v="20000"/>
    <n v="1"/>
    <s v="Partial College"/>
    <s v="Manual"/>
    <s v="N"/>
    <s v="Germany"/>
    <x v="4"/>
    <s v="Europe"/>
    <x v="0"/>
    <s v="Bikes"/>
    <n v="3578.27"/>
    <n v="2171.2941999999998"/>
    <n v="1406.9757999999999"/>
    <n v="0.39320001006072802"/>
  </r>
  <r>
    <x v="341"/>
    <d v="2001-10-12T00:00:00"/>
    <s v="SO45397"/>
    <n v="313"/>
    <n v="15051"/>
    <n v="10"/>
    <n v="1"/>
    <n v="1"/>
    <n v="2"/>
    <s v="BK-R93R-52"/>
    <x v="3"/>
    <n v="2171.2941999999998"/>
    <n v="3578.27"/>
    <s v=""/>
    <s v="HAROLD"/>
    <s v="MCDONALD"/>
    <s v="HAROLD MCDONALD"/>
    <d v="1960-05-23T00:00:00"/>
    <s v="S"/>
    <s v="NA"/>
    <s v="harold11@adventure-works.com"/>
    <n v="20000"/>
    <n v="1"/>
    <s v="Partial College"/>
    <s v="Manual"/>
    <s v="N"/>
    <s v="United Kingdom"/>
    <x v="3"/>
    <s v="Europe"/>
    <x v="0"/>
    <s v="Bikes"/>
    <n v="3578.27"/>
    <n v="2171.2941999999998"/>
    <n v="1406.9757999999999"/>
    <n v="0.39320001006072802"/>
  </r>
  <r>
    <x v="156"/>
    <d v="2002-05-07T00:00:00"/>
    <s v="SO46437"/>
    <n v="313"/>
    <n v="15054"/>
    <n v="8"/>
    <n v="1"/>
    <n v="1"/>
    <n v="2"/>
    <s v="BK-R93R-52"/>
    <x v="3"/>
    <n v="2171.2941999999998"/>
    <n v="3578.27"/>
    <s v="MR."/>
    <s v="ROGER"/>
    <s v="ANAND"/>
    <s v="ROGER ANAND"/>
    <d v="1959-02-14T00:00:00"/>
    <s v="S"/>
    <s v="M"/>
    <s v="roger50@adventure-works.com"/>
    <n v="20000"/>
    <n v="2"/>
    <s v="Partial College"/>
    <s v="Manual"/>
    <s v="Y"/>
    <s v="Germany"/>
    <x v="4"/>
    <s v="Europe"/>
    <x v="0"/>
    <s v="Bikes"/>
    <n v="3578.27"/>
    <n v="2171.2941999999998"/>
    <n v="1406.9757999999999"/>
    <n v="0.39320001006072802"/>
  </r>
  <r>
    <x v="79"/>
    <d v="2002-03-15T00:00:00"/>
    <s v="SO46394"/>
    <n v="314"/>
    <n v="15055"/>
    <n v="8"/>
    <n v="1"/>
    <n v="1"/>
    <n v="2"/>
    <s v="BK-R93R-56"/>
    <x v="2"/>
    <n v="2171.2941999999998"/>
    <n v="3578.27"/>
    <s v="MR."/>
    <s v="PATRICK"/>
    <s v="TORRES"/>
    <s v="PATRICK TORRES"/>
    <d v="1959-07-22T00:00:00"/>
    <s v="M"/>
    <s v="M"/>
    <s v="patrick10@adventure-works.com"/>
    <n v="20000"/>
    <n v="2"/>
    <s v="Partial College"/>
    <s v="Manual"/>
    <s v="Y"/>
    <s v="Germany"/>
    <x v="4"/>
    <s v="Europe"/>
    <x v="0"/>
    <s v="Bikes"/>
    <n v="3578.27"/>
    <n v="2171.2941999999998"/>
    <n v="1406.9757999999999"/>
    <n v="0.39320001006072802"/>
  </r>
  <r>
    <x v="53"/>
    <d v="2001-12-19T00:00:00"/>
    <s v="SO45425"/>
    <n v="310"/>
    <n v="15056"/>
    <n v="10"/>
    <n v="1"/>
    <n v="1"/>
    <n v="2"/>
    <s v="BK-R93R-62"/>
    <x v="1"/>
    <n v="2171.2941999999998"/>
    <n v="3578.27"/>
    <s v="MRS."/>
    <s v="JAIME"/>
    <s v="SUAREZ"/>
    <s v="JAIME SUAREZ"/>
    <d v="1959-04-02T00:00:00"/>
    <s v="M"/>
    <s v="F"/>
    <s v="jaime21@adventure-works.com"/>
    <n v="20000"/>
    <n v="2"/>
    <s v="Partial College"/>
    <s v="Manual"/>
    <s v="Y"/>
    <s v="United Kingdom"/>
    <x v="3"/>
    <s v="Europe"/>
    <x v="0"/>
    <s v="Bikes"/>
    <n v="3578.27"/>
    <n v="2171.2941999999998"/>
    <n v="1406.9757999999999"/>
    <n v="0.39320001006072802"/>
  </r>
  <r>
    <x v="6"/>
    <d v="2001-10-26T00:00:00"/>
    <s v="SO45401"/>
    <n v="310"/>
    <n v="15058"/>
    <n v="10"/>
    <n v="1"/>
    <n v="1"/>
    <n v="2"/>
    <s v="BK-R93R-62"/>
    <x v="1"/>
    <n v="2171.2941999999998"/>
    <n v="3578.27"/>
    <s v="MR."/>
    <s v="JULIO"/>
    <s v="SUAREZ"/>
    <s v="JULIO SUAREZ"/>
    <d v="1959-11-27T00:00:00"/>
    <s v="M"/>
    <s v="M"/>
    <s v="julio20@adventure-works.com"/>
    <n v="30000"/>
    <n v="3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341"/>
    <d v="2002-01-01T00:00:00"/>
    <s v="SO45398"/>
    <n v="312"/>
    <n v="15059"/>
    <n v="10"/>
    <n v="1"/>
    <n v="1"/>
    <n v="2"/>
    <s v="BK-R93R-48"/>
    <x v="0"/>
    <n v="2171.2941999999998"/>
    <n v="3578.27"/>
    <s v="MRS."/>
    <s v="LISA"/>
    <s v="ZHU"/>
    <s v="LISA ZHU"/>
    <d v="1959-09-14T00:00:00"/>
    <s v="M"/>
    <s v="F"/>
    <s v="lisa17@adventure-works.com"/>
    <n v="30000"/>
    <n v="3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303"/>
    <d v="2002-10-16T00:00:00"/>
    <s v="SO48642"/>
    <n v="371"/>
    <n v="15061"/>
    <n v="7"/>
    <n v="1"/>
    <n v="1"/>
    <n v="2"/>
    <s v="BK-R89R-58"/>
    <x v="24"/>
    <n v="1320.6838"/>
    <n v="2181.5625"/>
    <s v="MRS."/>
    <s v="MARGARET"/>
    <s v="MA"/>
    <s v="MARGARET MA"/>
    <d v="1960-05-28T00:00:00"/>
    <s v="M"/>
    <s v="F"/>
    <s v="margaret22@adventure-works.com"/>
    <n v="30000"/>
    <n v="3"/>
    <s v="Graduate Degree"/>
    <s v="Clerical"/>
    <s v="Y"/>
    <s v="France"/>
    <x v="0"/>
    <s v="Europe"/>
    <x v="0"/>
    <s v="Bikes"/>
    <n v="2181.5625"/>
    <n v="1320.6838"/>
    <n v="860.87869999999998"/>
    <n v="0.39461564818793898"/>
  </r>
  <r>
    <x v="26"/>
    <d v="2001-11-18T00:00:00"/>
    <s v="SO45371"/>
    <n v="310"/>
    <n v="15062"/>
    <n v="10"/>
    <n v="1"/>
    <n v="1"/>
    <n v="2"/>
    <s v="BK-R93R-62"/>
    <x v="1"/>
    <n v="2171.2941999999998"/>
    <n v="3578.27"/>
    <s v="MRS."/>
    <s v="JAIME"/>
    <s v="ALONSO"/>
    <s v="JAIME ALONSO"/>
    <d v="1960-09-22T00:00:00"/>
    <s v="S"/>
    <s v="F"/>
    <s v="jaime9@adventure-works.com"/>
    <n v="30000"/>
    <n v="3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165"/>
    <d v="2002-02-23T00:00:00"/>
    <s v="SO46528"/>
    <n v="311"/>
    <n v="15063"/>
    <n v="8"/>
    <n v="1"/>
    <n v="1"/>
    <n v="2"/>
    <s v="BK-R93R-44"/>
    <x v="4"/>
    <n v="2171.2941999999998"/>
    <n v="3578.27"/>
    <s v="MRS."/>
    <s v="KARI"/>
    <s v="MALHOTRA"/>
    <s v="KARI MALHOTRA"/>
    <d v="1960-06-19T00:00:00"/>
    <s v="M"/>
    <s v="F"/>
    <s v="kari6@adventure-works.com"/>
    <n v="30000"/>
    <n v="3"/>
    <s v="Bachelors"/>
    <s v="Clerical"/>
    <s v="Y"/>
    <s v="Germany"/>
    <x v="4"/>
    <s v="Europe"/>
    <x v="0"/>
    <s v="Bikes"/>
    <n v="3578.27"/>
    <n v="2171.2941999999998"/>
    <n v="1406.9757999999999"/>
    <n v="0.39320001006072802"/>
  </r>
  <r>
    <x v="286"/>
    <d v="2002-08-18T00:00:00"/>
    <s v="SO48522"/>
    <n v="370"/>
    <n v="15064"/>
    <n v="7"/>
    <n v="1"/>
    <n v="1"/>
    <n v="2"/>
    <s v="BK-R89R-52"/>
    <x v="23"/>
    <n v="1518.7864"/>
    <n v="2443.35"/>
    <s v="MR."/>
    <s v="ERIK"/>
    <s v="RUBIO"/>
    <s v="ERIK RUBIO"/>
    <d v="1960-08-03T00:00:00"/>
    <s v="M"/>
    <s v="M"/>
    <s v="erik21@adventure-works.com"/>
    <n v="30000"/>
    <n v="3"/>
    <s v="Bachelors"/>
    <s v="Clerical"/>
    <s v="Y"/>
    <s v="France"/>
    <x v="0"/>
    <s v="Europe"/>
    <x v="0"/>
    <s v="Bikes"/>
    <n v="2443.35"/>
    <n v="1518.7864"/>
    <n v="924.56359999999995"/>
    <n v="0.37839998362903399"/>
  </r>
  <r>
    <x v="285"/>
    <d v="2002-09-12T00:00:00"/>
    <s v="SO48657"/>
    <n v="373"/>
    <n v="15067"/>
    <n v="7"/>
    <n v="1"/>
    <n v="1"/>
    <n v="2"/>
    <s v="BK-R89B-44"/>
    <x v="19"/>
    <n v="1320.6838"/>
    <n v="2181.5625"/>
    <s v="MRS."/>
    <s v="DANA"/>
    <s v="ALVAREZ"/>
    <s v="DANA ALVAREZ"/>
    <d v="1970-02-05T00:00:00"/>
    <s v="S"/>
    <s v="F"/>
    <s v="dana20@adventure-works.com"/>
    <n v="10000"/>
    <n v="2"/>
    <s v="High School"/>
    <s v="Manual"/>
    <s v="Y"/>
    <s v="France"/>
    <x v="0"/>
    <s v="Europe"/>
    <x v="0"/>
    <s v="Bikes"/>
    <n v="2181.5625"/>
    <n v="1320.6838"/>
    <n v="860.87869999999998"/>
    <n v="0.39461564818793898"/>
  </r>
  <r>
    <x v="232"/>
    <d v="2002-10-14T00:00:00"/>
    <s v="SO48424"/>
    <n v="377"/>
    <n v="15070"/>
    <n v="7"/>
    <n v="1"/>
    <n v="1"/>
    <n v="2"/>
    <s v="BK-R89B-52"/>
    <x v="20"/>
    <n v="1320.6838"/>
    <n v="2181.5625"/>
    <s v="MR."/>
    <s v="ALFREDO"/>
    <s v="NAVARRO"/>
    <s v="ALFREDO NAVARRO"/>
    <d v="1969-04-09T00:00:00"/>
    <s v="S"/>
    <s v="M"/>
    <s v="alfredo11@adventure-works.com"/>
    <n v="10000"/>
    <n v="2"/>
    <s v="High School"/>
    <s v="Manual"/>
    <s v="Y"/>
    <s v="France"/>
    <x v="0"/>
    <s v="Europe"/>
    <x v="0"/>
    <s v="Bikes"/>
    <n v="2181.5625"/>
    <n v="1320.6838"/>
    <n v="860.87869999999998"/>
    <n v="0.39461564818793898"/>
  </r>
  <r>
    <x v="294"/>
    <d v="2002-09-04T00:00:00"/>
    <s v="SO48505"/>
    <n v="371"/>
    <n v="15071"/>
    <n v="7"/>
    <n v="1"/>
    <n v="1"/>
    <n v="2"/>
    <s v="BK-R89R-58"/>
    <x v="24"/>
    <n v="1320.6838"/>
    <n v="2181.5625"/>
    <s v="MS."/>
    <s v="KRISTA"/>
    <s v="GUTIERREZ"/>
    <s v="KRISTA GUTIERREZ"/>
    <d v="1970-12-17T00:00:00"/>
    <s v="S"/>
    <s v="F"/>
    <s v="krista11@adventure-works.com"/>
    <n v="30000"/>
    <n v="0"/>
    <s v="Bachelors"/>
    <s v="Clerical"/>
    <s v="Y"/>
    <s v="France"/>
    <x v="0"/>
    <s v="Europe"/>
    <x v="0"/>
    <s v="Bikes"/>
    <n v="2181.5625"/>
    <n v="1320.6838"/>
    <n v="860.87869999999998"/>
    <n v="0.39461564818793898"/>
  </r>
  <r>
    <x v="294"/>
    <d v="2002-08-26T00:00:00"/>
    <s v="SO48506"/>
    <n v="379"/>
    <n v="15072"/>
    <n v="7"/>
    <n v="1"/>
    <n v="1"/>
    <n v="2"/>
    <s v="BK-R89B-58"/>
    <x v="26"/>
    <n v="1320.6838"/>
    <n v="2181.5625"/>
    <s v="MS."/>
    <s v="WHITNEY"/>
    <s v="SUBRAM"/>
    <s v="WHITNEY SUBRAM"/>
    <d v="1970-07-04T00:00:00"/>
    <s v="S"/>
    <s v="F"/>
    <s v="whitney12@adventure-works.com"/>
    <n v="30000"/>
    <n v="0"/>
    <s v="Bachelors"/>
    <s v="Clerical"/>
    <s v="Y"/>
    <s v="France"/>
    <x v="0"/>
    <s v="Europe"/>
    <x v="0"/>
    <s v="Bikes"/>
    <n v="2181.5625"/>
    <n v="1320.6838"/>
    <n v="860.87869999999998"/>
    <n v="0.39461564818793898"/>
  </r>
  <r>
    <x v="340"/>
    <d v="2002-02-16T00:00:00"/>
    <s v="SO46409"/>
    <n v="313"/>
    <n v="15073"/>
    <n v="8"/>
    <n v="1"/>
    <n v="1"/>
    <n v="2"/>
    <s v="BK-R93R-52"/>
    <x v="3"/>
    <n v="2171.2941999999998"/>
    <n v="3578.27"/>
    <s v="MS."/>
    <s v="TASHA"/>
    <s v="CHANDER"/>
    <s v="TASHA CHANDER"/>
    <d v="1970-05-07T00:00:00"/>
    <s v="M"/>
    <s v="F"/>
    <s v="tasha16@adventure-works.com"/>
    <n v="30000"/>
    <n v="0"/>
    <s v="Bachelors"/>
    <s v="Clerical"/>
    <s v="Y"/>
    <s v="Germany"/>
    <x v="4"/>
    <s v="Europe"/>
    <x v="0"/>
    <s v="Bikes"/>
    <n v="3578.27"/>
    <n v="2171.2941999999998"/>
    <n v="1406.9757999999999"/>
    <n v="0.39320001006072802"/>
  </r>
  <r>
    <x v="8"/>
    <d v="2001-12-10T00:00:00"/>
    <s v="SO45377"/>
    <n v="313"/>
    <n v="15077"/>
    <n v="10"/>
    <n v="1"/>
    <n v="1"/>
    <n v="2"/>
    <s v="BK-R93R-52"/>
    <x v="3"/>
    <n v="2171.2941999999998"/>
    <n v="3578.27"/>
    <s v="MS."/>
    <s v="DOMINIQUE"/>
    <s v="LOPEZ"/>
    <s v="DOMINIQUE LOPEZ"/>
    <d v="1969-05-16T00:00:00"/>
    <s v="M"/>
    <s v="F"/>
    <s v="dominique14@adventure-works.com"/>
    <n v="30000"/>
    <n v="0"/>
    <s v="Bachelors"/>
    <s v="Clerical"/>
    <s v="Y"/>
    <s v="United Kingdom"/>
    <x v="3"/>
    <s v="Europe"/>
    <x v="0"/>
    <s v="Bikes"/>
    <n v="3578.27"/>
    <n v="2171.2941999999998"/>
    <n v="1406.9757999999999"/>
    <n v="0.39320001006072802"/>
  </r>
  <r>
    <x v="316"/>
    <d v="2001-12-13T00:00:00"/>
    <s v="SO45365"/>
    <n v="313"/>
    <n v="15078"/>
    <n v="10"/>
    <n v="1"/>
    <n v="1"/>
    <n v="2"/>
    <s v="BK-R93R-52"/>
    <x v="3"/>
    <n v="2171.2941999999998"/>
    <n v="3578.27"/>
    <s v="MR."/>
    <s v="JACOB"/>
    <s v="WILSON"/>
    <s v="JACOB WILSON"/>
    <d v="1969-08-10T00:00:00"/>
    <s v="S"/>
    <s v="M"/>
    <s v="jacob7@adventure-works.com"/>
    <n v="30000"/>
    <n v="0"/>
    <s v="Bachelors"/>
    <s v="Clerical"/>
    <s v="N"/>
    <s v="United Kingdom"/>
    <x v="3"/>
    <s v="Europe"/>
    <x v="0"/>
    <s v="Bikes"/>
    <n v="3578.27"/>
    <n v="2171.2941999999998"/>
    <n v="1406.9757999999999"/>
    <n v="0.39320001006072802"/>
  </r>
  <r>
    <x v="233"/>
    <d v="2002-11-15T00:00:00"/>
    <s v="SO48675"/>
    <n v="379"/>
    <n v="15079"/>
    <n v="7"/>
    <n v="1"/>
    <n v="1"/>
    <n v="2"/>
    <s v="BK-R89B-58"/>
    <x v="26"/>
    <n v="1320.6838"/>
    <n v="2181.5625"/>
    <s v="MR."/>
    <s v="JOSE"/>
    <s v="MARTIN"/>
    <s v="JOSE MARTIN"/>
    <d v="1969-06-04T00:00:00"/>
    <s v="M"/>
    <s v="M"/>
    <s v="jose76@adventure-works.com"/>
    <n v="30000"/>
    <n v="0"/>
    <s v="Bachelors"/>
    <s v="Clerical"/>
    <s v="Y"/>
    <s v="France"/>
    <x v="0"/>
    <s v="Europe"/>
    <x v="0"/>
    <s v="Bikes"/>
    <n v="2181.5625"/>
    <n v="1320.6838"/>
    <n v="860.87869999999998"/>
    <n v="0.39461564818793898"/>
  </r>
  <r>
    <x v="176"/>
    <d v="2002-04-11T00:00:00"/>
    <s v="SO46598"/>
    <n v="311"/>
    <n v="15080"/>
    <n v="8"/>
    <n v="1"/>
    <n v="1"/>
    <n v="2"/>
    <s v="BK-R93R-44"/>
    <x v="4"/>
    <n v="2171.2941999999998"/>
    <n v="3578.27"/>
    <s v="MS."/>
    <s v="EVELYN"/>
    <s v="CHANDRA"/>
    <s v="EVELYN CHANDRA"/>
    <d v="1969-11-09T00:00:00"/>
    <s v="M"/>
    <s v="F"/>
    <s v="evelyn2@adventure-works.com"/>
    <n v="40000"/>
    <n v="0"/>
    <s v="Graduate Degree"/>
    <s v="Clerical"/>
    <s v="Y"/>
    <s v="Germany"/>
    <x v="4"/>
    <s v="Europe"/>
    <x v="0"/>
    <s v="Bikes"/>
    <n v="3578.27"/>
    <n v="2171.2941999999998"/>
    <n v="1406.9757999999999"/>
    <n v="0.39320001006072802"/>
  </r>
  <r>
    <x v="12"/>
    <d v="2002-01-02T00:00:00"/>
    <s v="SO45352"/>
    <n v="313"/>
    <n v="15081"/>
    <n v="10"/>
    <n v="1"/>
    <n v="1"/>
    <n v="2"/>
    <s v="BK-R93R-52"/>
    <x v="3"/>
    <n v="2171.2941999999998"/>
    <n v="3578.27"/>
    <s v="MS."/>
    <s v="DAISY"/>
    <s v="MUNOZ"/>
    <s v="DAISY MUNOZ"/>
    <d v="1969-12-20T00:00:00"/>
    <s v="M"/>
    <s v="F"/>
    <s v="daisy3@adventure-works.com"/>
    <n v="40000"/>
    <n v="0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286"/>
    <d v="2002-10-09T00:00:00"/>
    <s v="SO48524"/>
    <n v="377"/>
    <n v="15082"/>
    <n v="7"/>
    <n v="1"/>
    <n v="1"/>
    <n v="2"/>
    <s v="BK-R89B-52"/>
    <x v="20"/>
    <n v="1320.6838"/>
    <n v="2181.5625"/>
    <s v="MR."/>
    <s v="KELVIN"/>
    <s v="LAL"/>
    <s v="KELVIN LAL"/>
    <d v="1969-06-13T00:00:00"/>
    <s v="M"/>
    <s v="M"/>
    <s v="kelvin5@adventure-works.com"/>
    <n v="40000"/>
    <n v="0"/>
    <s v="Graduate Degree"/>
    <s v="Clerical"/>
    <s v="Y"/>
    <s v="France"/>
    <x v="0"/>
    <s v="Europe"/>
    <x v="0"/>
    <s v="Bikes"/>
    <n v="2181.5625"/>
    <n v="1320.6838"/>
    <n v="860.87869999999998"/>
    <n v="0.39461564818793898"/>
  </r>
  <r>
    <x v="48"/>
    <d v="2001-12-22T00:00:00"/>
    <s v="SO45693"/>
    <n v="313"/>
    <n v="15083"/>
    <n v="10"/>
    <n v="1"/>
    <n v="1"/>
    <n v="2"/>
    <s v="BK-R93R-52"/>
    <x v="3"/>
    <n v="2171.2941999999998"/>
    <n v="3578.27"/>
    <s v="MS."/>
    <s v="TERESA"/>
    <s v="GUTIERREZ"/>
    <s v="TERESA GUTIERREZ"/>
    <d v="1969-07-05T00:00:00"/>
    <s v="M"/>
    <s v="F"/>
    <s v="teresa11@adventure-works.com"/>
    <n v="40000"/>
    <n v="0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72"/>
    <d v="2002-05-04T00:00:00"/>
    <s v="SO46876"/>
    <n v="375"/>
    <n v="15084"/>
    <n v="8"/>
    <n v="1"/>
    <n v="1"/>
    <n v="2"/>
    <s v="BK-R89B-48"/>
    <x v="25"/>
    <n v="1320.6838"/>
    <n v="2181.5625"/>
    <s v="MS."/>
    <s v="ADRIENNE"/>
    <s v="SERRANO"/>
    <s v="ADRIENNE SERRANO"/>
    <d v="1969-09-20T00:00:00"/>
    <s v="S"/>
    <s v="F"/>
    <s v="adrienne13@adventure-works.com"/>
    <n v="40000"/>
    <n v="0"/>
    <s v="Graduate Degree"/>
    <s v="Clerical"/>
    <s v="Y"/>
    <s v="Germany"/>
    <x v="4"/>
    <s v="Europe"/>
    <x v="0"/>
    <s v="Bikes"/>
    <n v="2181.5625"/>
    <n v="1320.6838"/>
    <n v="860.87869999999998"/>
    <n v="0.39461564818793898"/>
  </r>
  <r>
    <x v="45"/>
    <d v="2002-02-21T00:00:00"/>
    <s v="SO45729"/>
    <n v="313"/>
    <n v="15087"/>
    <n v="10"/>
    <n v="1"/>
    <n v="1"/>
    <n v="2"/>
    <s v="BK-R93R-52"/>
    <x v="3"/>
    <n v="2171.2941999999998"/>
    <n v="3578.27"/>
    <s v="MS."/>
    <s v="ROBIN"/>
    <s v="SANZ"/>
    <s v="ROBIN SANZ"/>
    <d v="1969-05-04T00:00:00"/>
    <s v="S"/>
    <s v="F"/>
    <s v="robin15@adventure-works.com"/>
    <n v="50000"/>
    <n v="0"/>
    <s v="Graduate Degree"/>
    <s v="Skilled Manual"/>
    <s v="N"/>
    <s v="United Kingdom"/>
    <x v="3"/>
    <s v="Europe"/>
    <x v="0"/>
    <s v="Bikes"/>
    <n v="3578.27"/>
    <n v="2171.2941999999998"/>
    <n v="1406.9757999999999"/>
    <n v="0.39320001006072802"/>
  </r>
  <r>
    <x v="77"/>
    <d v="2002-01-30T00:00:00"/>
    <s v="SO45713"/>
    <n v="314"/>
    <n v="15088"/>
    <n v="10"/>
    <n v="1"/>
    <n v="1"/>
    <n v="2"/>
    <s v="BK-R93R-56"/>
    <x v="2"/>
    <n v="2171.2941999999998"/>
    <n v="3578.27"/>
    <s v="MS."/>
    <s v="COLLEEN"/>
    <s v="CAI"/>
    <s v="COLLEEN CAI"/>
    <d v="1969-03-09T00:00:00"/>
    <s v="S"/>
    <s v="F"/>
    <s v="colleen22@adventure-works.com"/>
    <n v="50000"/>
    <n v="0"/>
    <s v="Graduate Degree"/>
    <s v="Skilled Manual"/>
    <s v="Y"/>
    <s v="United Kingdom"/>
    <x v="3"/>
    <s v="Europe"/>
    <x v="0"/>
    <s v="Bikes"/>
    <n v="3578.27"/>
    <n v="2171.2941999999998"/>
    <n v="1406.9757999999999"/>
    <n v="0.39320001006072802"/>
  </r>
  <r>
    <x v="82"/>
    <d v="2002-02-01T00:00:00"/>
    <s v="SO45745"/>
    <n v="312"/>
    <n v="15089"/>
    <n v="10"/>
    <n v="1"/>
    <n v="1"/>
    <n v="2"/>
    <s v="BK-R93R-48"/>
    <x v="0"/>
    <n v="2171.2941999999998"/>
    <n v="3578.27"/>
    <s v="MR."/>
    <s v="MARTIN"/>
    <s v="PRASAD"/>
    <s v="MARTIN PRASAD"/>
    <d v="1969-11-02T00:00:00"/>
    <s v="M"/>
    <s v="M"/>
    <s v="martin14@adventure-works.com"/>
    <n v="50000"/>
    <n v="0"/>
    <s v="Graduate Degree"/>
    <s v="Skilled Manual"/>
    <s v="Y"/>
    <s v="United Kingdom"/>
    <x v="3"/>
    <s v="Europe"/>
    <x v="0"/>
    <s v="Bikes"/>
    <n v="3578.27"/>
    <n v="2171.2941999999998"/>
    <n v="1406.9757999999999"/>
    <n v="0.39320001006072802"/>
  </r>
  <r>
    <x v="48"/>
    <d v="2001-12-11T00:00:00"/>
    <s v="SO45694"/>
    <n v="312"/>
    <n v="15097"/>
    <n v="10"/>
    <n v="1"/>
    <n v="1"/>
    <n v="2"/>
    <s v="BK-R93R-48"/>
    <x v="0"/>
    <n v="2171.2941999999998"/>
    <n v="3578.27"/>
    <s v="MRS."/>
    <s v="MORGAN"/>
    <s v="BENNETT"/>
    <s v="MORGAN BENNETT"/>
    <d v="1945-04-23T00:00:00"/>
    <s v="M"/>
    <s v="F"/>
    <s v="morgan71@adventure-works.com"/>
    <n v="110000"/>
    <n v="3"/>
    <s v="Bachelors"/>
    <s v="Management"/>
    <s v="Y"/>
    <s v="United Kingdom"/>
    <x v="3"/>
    <s v="Europe"/>
    <x v="0"/>
    <s v="Bikes"/>
    <n v="3578.27"/>
    <n v="2171.2941999999998"/>
    <n v="1406.9757999999999"/>
    <n v="0.39320001006072802"/>
  </r>
  <r>
    <x v="193"/>
    <d v="2002-04-28T00:00:00"/>
    <s v="SO46730"/>
    <n v="379"/>
    <n v="15100"/>
    <n v="8"/>
    <n v="1"/>
    <n v="1"/>
    <n v="2"/>
    <s v="BK-R89B-58"/>
    <x v="26"/>
    <n v="1320.6838"/>
    <n v="2181.5625"/>
    <s v="MRS."/>
    <s v="BRENDA"/>
    <s v="CHANDRA"/>
    <s v="BRENDA CHANDRA"/>
    <d v="1946-11-23T00:00:00"/>
    <s v="M"/>
    <s v="F"/>
    <s v="brenda6@adventure-works.com"/>
    <n v="110000"/>
    <n v="3"/>
    <s v="Bachelors"/>
    <s v="Management"/>
    <s v="N"/>
    <s v="Germany"/>
    <x v="4"/>
    <s v="Europe"/>
    <x v="0"/>
    <s v="Bikes"/>
    <n v="2181.5625"/>
    <n v="1320.6838"/>
    <n v="860.87869999999998"/>
    <n v="0.39461564818793898"/>
  </r>
  <r>
    <x v="193"/>
    <d v="2002-06-22T00:00:00"/>
    <s v="SO46731"/>
    <n v="371"/>
    <n v="15101"/>
    <n v="8"/>
    <n v="1"/>
    <n v="1"/>
    <n v="2"/>
    <s v="BK-R89R-58"/>
    <x v="24"/>
    <n v="1320.6838"/>
    <n v="2181.5625"/>
    <s v="MR."/>
    <s v="SHAWN"/>
    <s v="SHAN"/>
    <s v="SHAWN SHAN"/>
    <d v="1946-10-17T00:00:00"/>
    <s v="S"/>
    <s v="M"/>
    <s v="shawn12@adventure-works.com"/>
    <n v="120000"/>
    <n v="4"/>
    <s v="Bachelors"/>
    <s v="Management"/>
    <s v="Y"/>
    <s v="Germany"/>
    <x v="4"/>
    <s v="Europe"/>
    <x v="0"/>
    <s v="Bikes"/>
    <n v="2181.5625"/>
    <n v="1320.6838"/>
    <n v="860.87869999999998"/>
    <n v="0.39461564818793898"/>
  </r>
  <r>
    <x v="49"/>
    <d v="2002-02-10T00:00:00"/>
    <s v="SO45758"/>
    <n v="312"/>
    <n v="15106"/>
    <n v="10"/>
    <n v="1"/>
    <n v="1"/>
    <n v="2"/>
    <s v="BK-R93R-48"/>
    <x v="0"/>
    <n v="2171.2941999999998"/>
    <n v="3578.27"/>
    <s v="MR."/>
    <s v="SHANNON"/>
    <s v="NAVARRO"/>
    <s v="SHANNON NAVARRO"/>
    <d v="1954-11-07T00:00:00"/>
    <s v="M"/>
    <s v="M"/>
    <s v="shannon31@adventure-works.com"/>
    <n v="170000"/>
    <n v="3"/>
    <s v="High School"/>
    <s v="Professional"/>
    <s v="Y"/>
    <s v="United Kingdom"/>
    <x v="3"/>
    <s v="Europe"/>
    <x v="0"/>
    <s v="Bikes"/>
    <n v="3578.27"/>
    <n v="2171.2941999999998"/>
    <n v="1406.9757999999999"/>
    <n v="0.39320001006072802"/>
  </r>
  <r>
    <x v="184"/>
    <d v="2002-05-06T00:00:00"/>
    <s v="SO46701"/>
    <n v="375"/>
    <n v="15114"/>
    <n v="8"/>
    <n v="1"/>
    <n v="1"/>
    <n v="2"/>
    <s v="BK-R89B-48"/>
    <x v="25"/>
    <n v="1320.6838"/>
    <n v="2181.5625"/>
    <s v="MRS."/>
    <s v="ERIKA"/>
    <s v="MUNOZ"/>
    <s v="ERIKA MUNOZ"/>
    <d v="1951-10-27T00:00:00"/>
    <s v="M"/>
    <s v="F"/>
    <s v="erika5@adventure-works.com"/>
    <n v="110000"/>
    <n v="4"/>
    <s v="Partial College"/>
    <s v="Professional"/>
    <s v="Y"/>
    <s v="Germany"/>
    <x v="4"/>
    <s v="Europe"/>
    <x v="0"/>
    <s v="Bikes"/>
    <n v="2181.5625"/>
    <n v="1320.6838"/>
    <n v="860.87869999999998"/>
    <n v="0.39461564818793898"/>
  </r>
  <r>
    <x v="184"/>
    <d v="2002-05-12T00:00:00"/>
    <s v="SO46702"/>
    <n v="369"/>
    <n v="15116"/>
    <n v="8"/>
    <n v="1"/>
    <n v="1"/>
    <n v="2"/>
    <s v="BK-R89R-48"/>
    <x v="21"/>
    <n v="1518.7864"/>
    <n v="2443.35"/>
    <s v="MRS."/>
    <s v="MACKENZIE"/>
    <s v="RAMIREZ"/>
    <s v="MACKENZIE RAMIREZ"/>
    <d v="1950-04-26T00:00:00"/>
    <s v="M"/>
    <s v="F"/>
    <s v="mackenzie5@adventure-works.com"/>
    <n v="100000"/>
    <n v="3"/>
    <s v="Partial College"/>
    <s v="Management"/>
    <s v="N"/>
    <s v="Germany"/>
    <x v="4"/>
    <s v="Europe"/>
    <x v="0"/>
    <s v="Bikes"/>
    <n v="2443.35"/>
    <n v="1518.7864"/>
    <n v="924.56359999999995"/>
    <n v="0.37839998362903399"/>
  </r>
  <r>
    <x v="228"/>
    <d v="2002-07-03T00:00:00"/>
    <s v="SO46855"/>
    <n v="379"/>
    <n v="15117"/>
    <n v="8"/>
    <n v="1"/>
    <n v="1"/>
    <n v="2"/>
    <s v="BK-R89B-58"/>
    <x v="26"/>
    <n v="1320.6838"/>
    <n v="2181.5625"/>
    <s v="MRS."/>
    <s v="DANA"/>
    <s v="DOMINGUEZ"/>
    <s v="DANA DOMINGUEZ"/>
    <d v="1949-05-14T00:00:00"/>
    <s v="M"/>
    <s v="F"/>
    <s v="dana5@adventure-works.com"/>
    <n v="100000"/>
    <n v="3"/>
    <s v="Partial College"/>
    <s v="Management"/>
    <s v="Y"/>
    <s v="Germany"/>
    <x v="4"/>
    <s v="Europe"/>
    <x v="0"/>
    <s v="Bikes"/>
    <n v="2181.5625"/>
    <n v="1320.6838"/>
    <n v="860.87869999999998"/>
    <n v="0.39461564818793898"/>
  </r>
  <r>
    <x v="44"/>
    <d v="2002-02-08T00:00:00"/>
    <s v="SO45593"/>
    <n v="310"/>
    <n v="15118"/>
    <n v="10"/>
    <n v="1"/>
    <n v="1"/>
    <n v="2"/>
    <s v="BK-R93R-62"/>
    <x v="1"/>
    <n v="2171.2941999999998"/>
    <n v="3578.27"/>
    <s v="MR."/>
    <s v="NELSON"/>
    <s v="ORTEGA"/>
    <s v="NELSON ORTEGA"/>
    <d v="1949-07-09T00:00:00"/>
    <s v="M"/>
    <s v="M"/>
    <s v="nelson21@adventure-works.com"/>
    <n v="170000"/>
    <n v="5"/>
    <s v="High School"/>
    <s v="Management"/>
    <s v="Y"/>
    <s v="United Kingdom"/>
    <x v="3"/>
    <s v="Europe"/>
    <x v="0"/>
    <s v="Bikes"/>
    <n v="3578.27"/>
    <n v="2171.2941999999998"/>
    <n v="1406.9757999999999"/>
    <n v="0.39320001006072802"/>
  </r>
  <r>
    <x v="223"/>
    <d v="2002-04-21T00:00:00"/>
    <s v="SO46822"/>
    <n v="324"/>
    <n v="15155"/>
    <n v="4"/>
    <n v="1"/>
    <n v="1"/>
    <n v="2"/>
    <s v="BK-R50R-62"/>
    <x v="42"/>
    <n v="413.1463"/>
    <n v="699.09820000000002"/>
    <s v="MRS."/>
    <s v="JAMIE"/>
    <s v="HARRISON"/>
    <s v="JAMIE HARRISON"/>
    <d v="1941-09-08T00:00:00"/>
    <s v="M"/>
    <s v="F"/>
    <s v="jamie22@adventure-works.com"/>
    <n v="70000"/>
    <n v="5"/>
    <s v="Graduate Degree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26"/>
    <d v="2002-05-31T00:00:00"/>
    <s v="SO46842"/>
    <n v="320"/>
    <n v="15166"/>
    <n v="4"/>
    <n v="1"/>
    <n v="1"/>
    <n v="2"/>
    <s v="BK-R50R-58"/>
    <x v="40"/>
    <n v="413.1463"/>
    <n v="699.09820000000002"/>
    <s v="MRS."/>
    <s v="NINA"/>
    <s v="GOEL"/>
    <s v="NINA GOEL"/>
    <d v="1943-09-11T00:00:00"/>
    <s v="M"/>
    <s v="F"/>
    <s v="nina19@adventure-works.com"/>
    <n v="130000"/>
    <n v="2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72"/>
    <d v="2002-05-19T00:00:00"/>
    <s v="SO46880"/>
    <n v="334"/>
    <n v="15167"/>
    <n v="1"/>
    <n v="1"/>
    <n v="1"/>
    <n v="2"/>
    <s v="BK-R50B-60"/>
    <x v="41"/>
    <n v="413.1463"/>
    <n v="699.09820000000002"/>
    <s v="MRS."/>
    <s v="SARA"/>
    <s v="HERNANDEZ"/>
    <s v="SARA HERNANDEZ"/>
    <d v="1943-03-24T00:00:00"/>
    <s v="M"/>
    <s v="F"/>
    <s v="sara45@adventure-works.com"/>
    <n v="130000"/>
    <n v="2"/>
    <s v="Bachelors"/>
    <s v="Management"/>
    <s v="Y"/>
    <s v="Northwest"/>
    <x v="1"/>
    <s v="North America"/>
    <x v="0"/>
    <s v="Bikes"/>
    <n v="699.09820000000002"/>
    <n v="413.1463"/>
    <n v="285.95190000000002"/>
    <n v="0.409029661355157"/>
  </r>
  <r>
    <x v="215"/>
    <d v="2002-03-23T00:00:00"/>
    <s v="SO46802"/>
    <n v="336"/>
    <n v="15188"/>
    <n v="1"/>
    <n v="1"/>
    <n v="1"/>
    <n v="2"/>
    <s v="BK-R50B-62"/>
    <x v="36"/>
    <n v="413.1463"/>
    <n v="699.09820000000002"/>
    <s v="MR."/>
    <s v="ISAAC"/>
    <s v="WATSON"/>
    <s v="ISAAC WATSON"/>
    <d v="1974-03-10T00:00:00"/>
    <s v="S"/>
    <s v="M"/>
    <s v="isaac0@adventure-works.com"/>
    <n v="60000"/>
    <n v="0"/>
    <s v="Partial Colleg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234"/>
    <d v="2002-06-16T00:00:00"/>
    <s v="SO46896"/>
    <n v="332"/>
    <n v="15189"/>
    <n v="1"/>
    <n v="1"/>
    <n v="1"/>
    <n v="2"/>
    <s v="BK-R50B-58"/>
    <x v="34"/>
    <n v="413.1463"/>
    <n v="699.09820000000002"/>
    <s v="MS."/>
    <s v="KAYLA"/>
    <s v="RUSSELL"/>
    <s v="KAYLA RUSSELL"/>
    <d v="1974-08-15T00:00:00"/>
    <s v="M"/>
    <s v="F"/>
    <s v="kayla44@adventure-works.com"/>
    <n v="60000"/>
    <n v="0"/>
    <s v="Partial Colleg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203"/>
    <d v="2002-03-21T00:00:00"/>
    <s v="SO46765"/>
    <n v="332"/>
    <n v="15191"/>
    <n v="4"/>
    <n v="1"/>
    <n v="1"/>
    <n v="2"/>
    <s v="BK-R50B-58"/>
    <x v="34"/>
    <n v="413.1463"/>
    <n v="699.09820000000002"/>
    <s v="MR."/>
    <s v="ANDRES"/>
    <s v="KUMAR"/>
    <s v="ANDRES KUMAR"/>
    <d v="1974-08-19T00:00:00"/>
    <s v="S"/>
    <s v="M"/>
    <s v="andres4@adventure-works.com"/>
    <n v="60000"/>
    <n v="0"/>
    <s v="High School"/>
    <s v="Professional"/>
    <s v="N"/>
    <s v="Southwest"/>
    <x v="1"/>
    <s v="North America"/>
    <x v="0"/>
    <s v="Bikes"/>
    <n v="699.09820000000002"/>
    <n v="413.1463"/>
    <n v="285.95190000000002"/>
    <n v="0.409029661355157"/>
  </r>
  <r>
    <x v="223"/>
    <d v="2002-04-22T00:00:00"/>
    <s v="SO46823"/>
    <n v="322"/>
    <n v="15193"/>
    <n v="4"/>
    <n v="1"/>
    <n v="1"/>
    <n v="2"/>
    <s v="BK-R50R-60"/>
    <x v="38"/>
    <n v="413.1463"/>
    <n v="699.09820000000002"/>
    <s v="MR."/>
    <s v="SAMUEL"/>
    <s v="KING"/>
    <s v="SAMUEL KING"/>
    <d v="1966-03-18T00:00:00"/>
    <s v="S"/>
    <s v="M"/>
    <s v="samuel48@adventure-works.com"/>
    <n v="120000"/>
    <n v="2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95"/>
    <d v="2002-04-09T00:00:00"/>
    <s v="SO46852"/>
    <n v="332"/>
    <n v="15194"/>
    <n v="4"/>
    <n v="1"/>
    <n v="1"/>
    <n v="2"/>
    <s v="BK-R50B-58"/>
    <x v="34"/>
    <n v="413.1463"/>
    <n v="699.09820000000002"/>
    <s v="MR."/>
    <s v="ERIK"/>
    <s v="SUAREZ"/>
    <s v="ERIK SUAREZ"/>
    <d v="1966-11-24T00:00:00"/>
    <s v="S"/>
    <s v="M"/>
    <s v="erik19@adventure-works.com"/>
    <n v="120000"/>
    <n v="2"/>
    <s v="Bachelors"/>
    <s v="Management"/>
    <s v="N"/>
    <s v="Southwest"/>
    <x v="1"/>
    <s v="North America"/>
    <x v="0"/>
    <s v="Bikes"/>
    <n v="699.09820000000002"/>
    <n v="413.1463"/>
    <n v="285.95190000000002"/>
    <n v="0.409029661355157"/>
  </r>
  <r>
    <x v="88"/>
    <d v="2002-06-21T00:00:00"/>
    <s v="SO46787"/>
    <n v="332"/>
    <n v="15195"/>
    <n v="4"/>
    <n v="1"/>
    <n v="1"/>
    <n v="2"/>
    <s v="BK-R50B-58"/>
    <x v="34"/>
    <n v="413.1463"/>
    <n v="699.09820000000002"/>
    <s v="MR."/>
    <s v="EDWIN"/>
    <s v="HUANG"/>
    <s v="EDWIN HUANG"/>
    <d v="1966-09-07T00:00:00"/>
    <s v="S"/>
    <s v="M"/>
    <s v="edwin6@adventure-works.com"/>
    <n v="120000"/>
    <n v="2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73"/>
    <d v="2002-05-14T00:00:00"/>
    <s v="SO46916"/>
    <n v="328"/>
    <n v="15196"/>
    <n v="4"/>
    <n v="1"/>
    <n v="1"/>
    <n v="2"/>
    <s v="BK-R50R-48"/>
    <x v="35"/>
    <n v="413.1463"/>
    <n v="699.09820000000002"/>
    <s v="MR."/>
    <s v="ISAIAH"/>
    <s v="REED"/>
    <s v="ISAIAH REED"/>
    <d v="1966-06-26T00:00:00"/>
    <s v="S"/>
    <s v="M"/>
    <s v="isaiah20@adventure-works.com"/>
    <n v="120000"/>
    <n v="2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184"/>
    <d v="2002-03-13T00:00:00"/>
    <s v="SO46707"/>
    <n v="336"/>
    <n v="15199"/>
    <n v="4"/>
    <n v="1"/>
    <n v="1"/>
    <n v="2"/>
    <s v="BK-R50B-62"/>
    <x v="36"/>
    <n v="413.1463"/>
    <n v="699.09820000000002"/>
    <s v="MR."/>
    <s v="JOE"/>
    <s v="JORDAN"/>
    <s v="JOE JORDAN"/>
    <d v="1957-03-11T00:00:00"/>
    <s v="M"/>
    <s v="M"/>
    <s v="joe5@adventure-works.com"/>
    <n v="70000"/>
    <n v="3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78"/>
    <d v="2002-04-18T00:00:00"/>
    <s v="SO47183"/>
    <n v="334"/>
    <n v="15200"/>
    <n v="4"/>
    <n v="1"/>
    <n v="1"/>
    <n v="2"/>
    <s v="BK-R50B-60"/>
    <x v="41"/>
    <n v="413.1463"/>
    <n v="699.09820000000002"/>
    <s v="MRS."/>
    <s v="MINDY"/>
    <s v="SIMPSON"/>
    <s v="MINDY SIMPSON"/>
    <d v="1957-02-10T00:00:00"/>
    <s v="M"/>
    <s v="F"/>
    <s v="mindy6@adventure-works.com"/>
    <n v="70000"/>
    <n v="3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37"/>
    <d v="2002-04-21T00:00:00"/>
    <s v="SO47081"/>
    <n v="340"/>
    <n v="15203"/>
    <n v="4"/>
    <n v="1"/>
    <n v="1"/>
    <n v="2"/>
    <s v="BK-R50B-48"/>
    <x v="37"/>
    <n v="413.1463"/>
    <n v="699.09820000000002"/>
    <s v="MR."/>
    <s v="DAVID"/>
    <s v="LEWIS"/>
    <s v="DAVID LEWIS"/>
    <d v="1957-09-17T00:00:00"/>
    <s v="M"/>
    <s v="M"/>
    <s v="david84@adventure-works.com"/>
    <n v="90000"/>
    <n v="2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55"/>
    <d v="2002-06-21T00:00:00"/>
    <s v="SO47311"/>
    <n v="332"/>
    <n v="15252"/>
    <n v="1"/>
    <n v="1"/>
    <n v="1"/>
    <n v="2"/>
    <s v="BK-R50B-58"/>
    <x v="34"/>
    <n v="413.1463"/>
    <n v="699.09820000000002"/>
    <s v="MS."/>
    <s v="JADA"/>
    <s v="MURPHY"/>
    <s v="JADA MURPHY"/>
    <d v="1980-02-14T00:00:00"/>
    <s v="M"/>
    <s v="F"/>
    <s v="jada6@adventure-works.com"/>
    <n v="40000"/>
    <n v="0"/>
    <s v="High School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237"/>
    <d v="2002-06-18T00:00:00"/>
    <s v="SO47082"/>
    <n v="322"/>
    <n v="15254"/>
    <n v="5"/>
    <n v="1"/>
    <n v="1"/>
    <n v="2"/>
    <s v="BK-R50R-60"/>
    <x v="38"/>
    <n v="413.1463"/>
    <n v="699.09820000000002"/>
    <s v="MS."/>
    <s v="CARLA"/>
    <s v="CHAPMAN"/>
    <s v="CARLA CHAPMAN"/>
    <d v="1980-02-24T00:00:00"/>
    <s v="M"/>
    <s v="F"/>
    <s v="carla5@adventure-works.com"/>
    <n v="40000"/>
    <n v="0"/>
    <s v="High School"/>
    <s v="Skilled Manual"/>
    <s v="N"/>
    <s v="Southeast"/>
    <x v="1"/>
    <s v="North America"/>
    <x v="0"/>
    <s v="Bikes"/>
    <n v="699.09820000000002"/>
    <n v="413.1463"/>
    <n v="285.95190000000002"/>
    <n v="0.409029661355157"/>
  </r>
  <r>
    <x v="106"/>
    <d v="2002-04-24T00:00:00"/>
    <s v="SO47113"/>
    <n v="342"/>
    <n v="15255"/>
    <n v="4"/>
    <n v="1"/>
    <n v="1"/>
    <n v="2"/>
    <s v="BK-R50B-52"/>
    <x v="33"/>
    <n v="413.1463"/>
    <n v="699.09820000000002"/>
    <s v="MR."/>
    <s v="EVAN"/>
    <s v="COLLINS"/>
    <s v="EVAN COLLINS"/>
    <d v="1978-06-04T00:00:00"/>
    <s v="M"/>
    <s v="M"/>
    <s v="evan26@adventure-works.com"/>
    <n v="40000"/>
    <n v="0"/>
    <s v="High School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247"/>
    <d v="2002-05-09T00:00:00"/>
    <s v="SO47206"/>
    <n v="332"/>
    <n v="15256"/>
    <n v="4"/>
    <n v="1"/>
    <n v="1"/>
    <n v="2"/>
    <s v="BK-R50B-58"/>
    <x v="34"/>
    <n v="413.1463"/>
    <n v="699.09820000000002"/>
    <s v="MR."/>
    <s v="DALTON"/>
    <s v="RAMIREZ"/>
    <s v="DALTON RAMIREZ"/>
    <d v="1978-02-23T00:00:00"/>
    <s v="S"/>
    <s v="M"/>
    <s v="dalton77@adventure-works.com"/>
    <n v="40000"/>
    <n v="0"/>
    <s v="High School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85"/>
    <d v="2002-06-18T00:00:00"/>
    <s v="SO47254"/>
    <n v="332"/>
    <n v="15276"/>
    <n v="4"/>
    <n v="1"/>
    <n v="1"/>
    <n v="2"/>
    <s v="BK-R50B-58"/>
    <x v="34"/>
    <n v="413.1463"/>
    <n v="699.09820000000002"/>
    <s v="MS."/>
    <s v="MEGAN"/>
    <s v="HALL"/>
    <s v="MEGAN HALL"/>
    <d v="1974-06-06T00:00:00"/>
    <s v="S"/>
    <s v="F"/>
    <s v="megan26@adventure-works.com"/>
    <n v="30000"/>
    <n v="0"/>
    <s v="Partial College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255"/>
    <d v="2002-06-16T00:00:00"/>
    <s v="SO47312"/>
    <n v="332"/>
    <n v="15280"/>
    <n v="4"/>
    <n v="1"/>
    <n v="1"/>
    <n v="2"/>
    <s v="BK-R50B-58"/>
    <x v="34"/>
    <n v="413.1463"/>
    <n v="699.09820000000002"/>
    <s v="MS."/>
    <s v="MYA"/>
    <s v="GRIFFIN"/>
    <s v="MYA GRIFFIN"/>
    <d v="1968-06-13T00:00:00"/>
    <s v="S"/>
    <s v="F"/>
    <s v="mya21@adventure-works.com"/>
    <n v="80000"/>
    <n v="0"/>
    <s v="Bachelors"/>
    <s v="Management"/>
    <s v="N"/>
    <s v="Southwest"/>
    <x v="1"/>
    <s v="North America"/>
    <x v="0"/>
    <s v="Bikes"/>
    <n v="699.09820000000002"/>
    <n v="413.1463"/>
    <n v="285.95190000000002"/>
    <n v="0.409029661355157"/>
  </r>
  <r>
    <x v="238"/>
    <d v="2002-06-16T00:00:00"/>
    <s v="SO47089"/>
    <n v="340"/>
    <n v="15284"/>
    <n v="4"/>
    <n v="1"/>
    <n v="1"/>
    <n v="2"/>
    <s v="BK-R50B-48"/>
    <x v="37"/>
    <n v="413.1463"/>
    <n v="699.09820000000002"/>
    <s v="MR."/>
    <s v="JAY"/>
    <s v="PRASAD"/>
    <s v="JAY PRASAD"/>
    <d v="1972-03-13T00:00:00"/>
    <s v="S"/>
    <s v="M"/>
    <s v="jay16@adventure-works.com"/>
    <n v="40000"/>
    <n v="0"/>
    <s v="Graduate Degree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258"/>
    <d v="2002-08-06T00:00:00"/>
    <s v="SO47322"/>
    <n v="342"/>
    <n v="15287"/>
    <n v="1"/>
    <n v="1"/>
    <n v="1"/>
    <n v="2"/>
    <s v="BK-R50B-52"/>
    <x v="33"/>
    <n v="413.1463"/>
    <n v="699.09820000000002"/>
    <s v="MRS."/>
    <s v="STEPHANIE"/>
    <s v="BAKER"/>
    <s v="STEPHANIE BAKER"/>
    <d v="1973-04-23T00:00:00"/>
    <s v="S"/>
    <s v="F"/>
    <s v="stephanie61@adventure-works.com"/>
    <n v="50000"/>
    <n v="1"/>
    <s v="Graduate Degree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237"/>
    <d v="2002-05-12T00:00:00"/>
    <s v="SO47083"/>
    <n v="328"/>
    <n v="15288"/>
    <n v="4"/>
    <n v="1"/>
    <n v="1"/>
    <n v="2"/>
    <s v="BK-R50R-48"/>
    <x v="35"/>
    <n v="413.1463"/>
    <n v="699.09820000000002"/>
    <s v="MR."/>
    <s v="LOGAN"/>
    <s v="PERRY"/>
    <s v="LOGAN PERRY"/>
    <d v="1973-03-28T00:00:00"/>
    <s v="M"/>
    <s v="M"/>
    <s v="logan10@adventure-works.com"/>
    <n v="50000"/>
    <n v="1"/>
    <s v="Graduate Degree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253"/>
    <d v="2002-06-14T00:00:00"/>
    <s v="SO47276"/>
    <n v="342"/>
    <n v="15289"/>
    <n v="4"/>
    <n v="1"/>
    <n v="1"/>
    <n v="2"/>
    <s v="BK-R50B-52"/>
    <x v="33"/>
    <n v="413.1463"/>
    <n v="699.09820000000002"/>
    <s v="MRS."/>
    <s v="KATELYN"/>
    <s v="GRAY"/>
    <s v="KATELYN GRAY"/>
    <d v="1972-02-14T00:00:00"/>
    <s v="M"/>
    <s v="F"/>
    <s v="katelyn4@adventure-works.com"/>
    <n v="40000"/>
    <n v="1"/>
    <s v="Graduate Degree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85"/>
    <d v="2002-06-24T00:00:00"/>
    <s v="SO47550"/>
    <n v="336"/>
    <n v="15290"/>
    <n v="1"/>
    <n v="1"/>
    <n v="1"/>
    <n v="2"/>
    <s v="BK-R50B-62"/>
    <x v="36"/>
    <n v="413.1463"/>
    <n v="699.09820000000002"/>
    <s v="MR."/>
    <s v="EDWARD"/>
    <s v="THOMPSON"/>
    <s v="EDWARD THOMPSON"/>
    <d v="1972-07-27T00:00:00"/>
    <s v="M"/>
    <s v="M"/>
    <s v="edward38@adventure-works.com"/>
    <n v="50000"/>
    <n v="1"/>
    <s v="Graduate Degree"/>
    <s v="Skilled Manual"/>
    <s v="N"/>
    <s v="Northwest"/>
    <x v="1"/>
    <s v="North America"/>
    <x v="0"/>
    <s v="Bikes"/>
    <n v="699.09820000000002"/>
    <n v="413.1463"/>
    <n v="285.95190000000002"/>
    <n v="0.409029661355157"/>
  </r>
  <r>
    <x v="192"/>
    <d v="2002-07-13T00:00:00"/>
    <s v="SO47614"/>
    <n v="330"/>
    <n v="15302"/>
    <n v="4"/>
    <n v="1"/>
    <n v="1"/>
    <n v="2"/>
    <s v="BK-R50R-52"/>
    <x v="39"/>
    <n v="413.1463"/>
    <n v="699.09820000000002"/>
    <s v="MRS."/>
    <s v="BRIANNA"/>
    <s v="THOMAS"/>
    <s v="BRIANNA THOMAS"/>
    <d v="1972-07-12T00:00:00"/>
    <s v="S"/>
    <s v="F"/>
    <s v="brianna9@adventure-works.com"/>
    <n v="70000"/>
    <n v="1"/>
    <s v="Graduate Degre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67"/>
    <d v="2002-08-04T00:00:00"/>
    <s v="SO47465"/>
    <n v="340"/>
    <n v="15303"/>
    <n v="4"/>
    <n v="1"/>
    <n v="1"/>
    <n v="2"/>
    <s v="BK-R50B-48"/>
    <x v="37"/>
    <n v="413.1463"/>
    <n v="699.09820000000002"/>
    <s v="MRS."/>
    <s v="HALEY"/>
    <s v="PATTERSON"/>
    <s v="HALEY PATTERSON"/>
    <d v="1944-10-23T00:00:00"/>
    <s v="S"/>
    <s v="F"/>
    <s v="haley29@adventure-works.com"/>
    <n v="70000"/>
    <n v="4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321"/>
    <d v="2002-07-10T00:00:00"/>
    <s v="SO47517"/>
    <n v="342"/>
    <n v="15308"/>
    <n v="4"/>
    <n v="1"/>
    <n v="1"/>
    <n v="2"/>
    <s v="BK-R50B-52"/>
    <x v="33"/>
    <n v="413.1463"/>
    <n v="699.09820000000002"/>
    <s v="MRS."/>
    <s v="CHRISTY"/>
    <s v="LAL"/>
    <s v="CHRISTY LAL"/>
    <d v="1945-04-11T00:00:00"/>
    <s v="M"/>
    <s v="F"/>
    <s v="christy26@adventure-works.com"/>
    <n v="60000"/>
    <n v="4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308"/>
    <d v="2002-08-06T00:00:00"/>
    <s v="SO47609"/>
    <n v="334"/>
    <n v="15309"/>
    <n v="4"/>
    <n v="1"/>
    <n v="1"/>
    <n v="2"/>
    <s v="BK-R50B-60"/>
    <x v="41"/>
    <n v="413.1463"/>
    <n v="699.09820000000002"/>
    <s v="MR."/>
    <s v="DYLAN"/>
    <s v="WILSON"/>
    <s v="DYLAN WILSON"/>
    <d v="1945-08-02T00:00:00"/>
    <s v="M"/>
    <s v="M"/>
    <s v="dylan34@adventure-works.com"/>
    <n v="60000"/>
    <n v="4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98"/>
    <d v="2002-05-20T00:00:00"/>
    <s v="SO47507"/>
    <n v="332"/>
    <n v="15311"/>
    <n v="1"/>
    <n v="1"/>
    <n v="1"/>
    <n v="2"/>
    <s v="BK-R50B-58"/>
    <x v="34"/>
    <n v="413.1463"/>
    <n v="699.09820000000002"/>
    <s v="MR."/>
    <s v="BRANDON"/>
    <s v="THOMPSON"/>
    <s v="BRANDON THOMPSON"/>
    <d v="1945-07-21T00:00:00"/>
    <s v="M"/>
    <s v="M"/>
    <s v="brandon36@adventure-works.com"/>
    <n v="60000"/>
    <n v="4"/>
    <s v="Bachelors"/>
    <s v="Management"/>
    <s v="Y"/>
    <s v="Northwest"/>
    <x v="1"/>
    <s v="North America"/>
    <x v="0"/>
    <s v="Bikes"/>
    <n v="699.09820000000002"/>
    <n v="413.1463"/>
    <n v="285.95190000000002"/>
    <n v="0.409029661355157"/>
  </r>
  <r>
    <x v="94"/>
    <d v="2002-06-11T00:00:00"/>
    <s v="SO47530"/>
    <n v="328"/>
    <n v="15312"/>
    <n v="4"/>
    <n v="1"/>
    <n v="1"/>
    <n v="2"/>
    <s v="BK-R50R-48"/>
    <x v="35"/>
    <n v="413.1463"/>
    <n v="699.09820000000002"/>
    <s v="MRS."/>
    <s v="ALEXANDRIA"/>
    <s v="GONZALES"/>
    <s v="ALEXANDRIA GONZALES"/>
    <d v="1945-07-15T00:00:00"/>
    <s v="M"/>
    <s v="F"/>
    <s v="alexandria17@adventure-works.com"/>
    <n v="60000"/>
    <n v="4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60"/>
    <d v="2002-06-08T00:00:00"/>
    <s v="SO47541"/>
    <n v="340"/>
    <n v="15314"/>
    <n v="4"/>
    <n v="1"/>
    <n v="1"/>
    <n v="2"/>
    <s v="BK-R50B-48"/>
    <x v="37"/>
    <n v="413.1463"/>
    <n v="699.09820000000002"/>
    <s v="MR."/>
    <s v="EDUARDO"/>
    <s v="TORRES"/>
    <s v="EDUARDO TORRES"/>
    <d v="1946-08-05T00:00:00"/>
    <s v="S"/>
    <s v="M"/>
    <s v="eduardo72@adventure-works.com"/>
    <n v="60000"/>
    <n v="5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69"/>
    <d v="2002-05-23T00:00:00"/>
    <s v="SO47585"/>
    <n v="328"/>
    <n v="15320"/>
    <n v="1"/>
    <n v="1"/>
    <n v="1"/>
    <n v="2"/>
    <s v="BK-R50R-48"/>
    <x v="35"/>
    <n v="413.1463"/>
    <n v="699.09820000000002"/>
    <s v="MR."/>
    <s v="EDUARDO"/>
    <s v="BROOKS"/>
    <s v="EDUARDO BROOKS"/>
    <d v="1947-04-19T00:00:00"/>
    <s v="M"/>
    <s v="M"/>
    <s v="eduardo68@adventure-works.com"/>
    <n v="70000"/>
    <n v="4"/>
    <s v="Bachelors"/>
    <s v="Management"/>
    <s v="Y"/>
    <s v="Northwest"/>
    <x v="1"/>
    <s v="North America"/>
    <x v="0"/>
    <s v="Bikes"/>
    <n v="699.09820000000002"/>
    <n v="413.1463"/>
    <n v="285.95190000000002"/>
    <n v="0.409029661355157"/>
  </r>
  <r>
    <x v="270"/>
    <d v="2002-08-27T00:00:00"/>
    <s v="SO47639"/>
    <n v="328"/>
    <n v="15321"/>
    <n v="4"/>
    <n v="1"/>
    <n v="1"/>
    <n v="2"/>
    <s v="BK-R50R-48"/>
    <x v="35"/>
    <n v="413.1463"/>
    <n v="699.09820000000002"/>
    <s v="MR."/>
    <s v="BLAKE"/>
    <s v="PHILLIPS"/>
    <s v="BLAKE PHILLIPS"/>
    <d v="1947-05-04T00:00:00"/>
    <s v="M"/>
    <s v="M"/>
    <s v="blake42@adventure-works.com"/>
    <n v="80000"/>
    <n v="5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69"/>
    <d v="2002-05-29T00:00:00"/>
    <s v="SO47586"/>
    <n v="326"/>
    <n v="15322"/>
    <n v="1"/>
    <n v="1"/>
    <n v="1"/>
    <n v="2"/>
    <s v="BK-R50R-44"/>
    <x v="43"/>
    <n v="413.1463"/>
    <n v="699.09820000000002"/>
    <s v="MR."/>
    <s v="EVAN"/>
    <s v="GREEN"/>
    <s v="EVAN GREEN"/>
    <d v="1947-08-10T00:00:00"/>
    <s v="M"/>
    <s v="M"/>
    <s v="evan41@adventure-works.com"/>
    <n v="80000"/>
    <n v="5"/>
    <s v="Bachelors"/>
    <s v="Management"/>
    <s v="Y"/>
    <s v="Northwest"/>
    <x v="1"/>
    <s v="North America"/>
    <x v="0"/>
    <s v="Bikes"/>
    <n v="699.09820000000002"/>
    <n v="413.1463"/>
    <n v="285.95190000000002"/>
    <n v="0.409029661355157"/>
  </r>
  <r>
    <x v="94"/>
    <d v="2002-06-04T00:00:00"/>
    <s v="SO47531"/>
    <n v="338"/>
    <n v="15325"/>
    <n v="1"/>
    <n v="1"/>
    <n v="1"/>
    <n v="2"/>
    <s v="BK-R50B-44"/>
    <x v="32"/>
    <n v="413.1463"/>
    <n v="699.09820000000002"/>
    <s v="MR."/>
    <s v="ELIJAH"/>
    <s v="HAYES"/>
    <s v="ELIJAH HAYES"/>
    <d v="1948-05-20T00:00:00"/>
    <s v="M"/>
    <s v="M"/>
    <s v="elijah24@adventure-works.com"/>
    <n v="60000"/>
    <n v="2"/>
    <s v="Partial Colleg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180"/>
    <d v="2002-07-23T00:00:00"/>
    <s v="SO47561"/>
    <n v="320"/>
    <n v="15328"/>
    <n v="4"/>
    <n v="1"/>
    <n v="1"/>
    <n v="2"/>
    <s v="BK-R50R-58"/>
    <x v="40"/>
    <n v="413.1463"/>
    <n v="699.09820000000002"/>
    <s v="MR."/>
    <s v="FERNANDO"/>
    <s v="JACKSON"/>
    <s v="FERNANDO JACKSON"/>
    <d v="1948-11-22T00:00:00"/>
    <s v="M"/>
    <s v="M"/>
    <s v="fernando11@adventure-works.com"/>
    <n v="70000"/>
    <n v="4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192"/>
    <d v="2002-08-25T00:00:00"/>
    <s v="SO47615"/>
    <n v="342"/>
    <n v="15329"/>
    <n v="4"/>
    <n v="1"/>
    <n v="1"/>
    <n v="2"/>
    <s v="BK-R50B-52"/>
    <x v="33"/>
    <n v="413.1463"/>
    <n v="699.09820000000002"/>
    <s v="MRS."/>
    <s v="BRIANNA"/>
    <s v="COX"/>
    <s v="BRIANNA COX"/>
    <d v="1948-10-19T00:00:00"/>
    <s v="S"/>
    <s v="F"/>
    <s v="brianna37@adventure-works.com"/>
    <n v="70000"/>
    <n v="4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08"/>
    <d v="2002-09-09T00:00:00"/>
    <s v="SO47734"/>
    <n v="332"/>
    <n v="15333"/>
    <n v="4"/>
    <n v="1"/>
    <n v="1"/>
    <n v="2"/>
    <s v="BK-R50B-58"/>
    <x v="34"/>
    <n v="413.1463"/>
    <n v="699.09820000000002"/>
    <s v="MRS."/>
    <s v="MARIE"/>
    <s v="DIAZ"/>
    <s v="MARIE DIAZ"/>
    <d v="1949-11-05T00:00:00"/>
    <s v="M"/>
    <s v="F"/>
    <s v="marie27@adventure-works.com"/>
    <n v="60000"/>
    <n v="2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71"/>
    <d v="2002-08-16T00:00:00"/>
    <s v="SO47740"/>
    <n v="324"/>
    <n v="15337"/>
    <n v="4"/>
    <n v="1"/>
    <n v="1"/>
    <n v="2"/>
    <s v="BK-R50R-62"/>
    <x v="42"/>
    <n v="413.1463"/>
    <n v="699.09820000000002"/>
    <s v="MRS."/>
    <s v="RACHEL"/>
    <s v="GONZALES"/>
    <s v="RACHEL GONZALES"/>
    <d v="1950-05-28T00:00:00"/>
    <s v="M"/>
    <s v="F"/>
    <s v="rachel65@adventure-works.com"/>
    <n v="60000"/>
    <n v="2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04"/>
    <d v="2002-08-22T00:00:00"/>
    <s v="SO47842"/>
    <n v="322"/>
    <n v="15338"/>
    <n v="4"/>
    <n v="1"/>
    <n v="1"/>
    <n v="2"/>
    <s v="BK-R50R-60"/>
    <x v="38"/>
    <n v="413.1463"/>
    <n v="699.09820000000002"/>
    <s v="MRS."/>
    <s v="MARIE"/>
    <s v="NAVARRO"/>
    <s v="MARIE NAVARRO"/>
    <d v="1950-07-01T00:00:00"/>
    <s v="M"/>
    <s v="F"/>
    <s v="marie33@adventure-works.com"/>
    <n v="60000"/>
    <n v="2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04"/>
    <d v="2002-09-08T00:00:00"/>
    <s v="SO47843"/>
    <n v="332"/>
    <n v="15339"/>
    <n v="4"/>
    <n v="1"/>
    <n v="1"/>
    <n v="2"/>
    <s v="BK-R50B-58"/>
    <x v="34"/>
    <n v="413.1463"/>
    <n v="699.09820000000002"/>
    <s v="MR."/>
    <s v="NOAH"/>
    <s v="ZHANG"/>
    <s v="NOAH ZHANG"/>
    <d v="1950-07-01T00:00:00"/>
    <s v="M"/>
    <s v="M"/>
    <s v="noah21@adventure-works.com"/>
    <n v="60000"/>
    <n v="2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75"/>
    <d v="2002-08-15T00:00:00"/>
    <s v="SO47854"/>
    <n v="320"/>
    <n v="15341"/>
    <n v="4"/>
    <n v="1"/>
    <n v="1"/>
    <n v="2"/>
    <s v="BK-R50R-58"/>
    <x v="40"/>
    <n v="413.1463"/>
    <n v="699.09820000000002"/>
    <s v="MRS."/>
    <s v="LACEY"/>
    <s v="DENG"/>
    <s v="LACEY DENG"/>
    <d v="1951-11-12T00:00:00"/>
    <s v="M"/>
    <s v="F"/>
    <s v="lacey37@adventure-works.com"/>
    <n v="60000"/>
    <n v="2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332"/>
    <d v="2002-07-14T00:00:00"/>
    <s v="SO47849"/>
    <n v="322"/>
    <n v="15342"/>
    <n v="4"/>
    <n v="1"/>
    <n v="1"/>
    <n v="2"/>
    <s v="BK-R50R-60"/>
    <x v="38"/>
    <n v="413.1463"/>
    <n v="699.09820000000002"/>
    <s v="MRS."/>
    <s v="ASHLEE"/>
    <s v="RAJI"/>
    <s v="ASHLEE RAJI"/>
    <d v="1951-04-21T00:00:00"/>
    <s v="M"/>
    <s v="F"/>
    <s v="ashlee5@adventure-works.com"/>
    <n v="60000"/>
    <n v="2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71"/>
    <d v="2002-08-12T00:00:00"/>
    <s v="SO47741"/>
    <n v="336"/>
    <n v="15343"/>
    <n v="4"/>
    <n v="1"/>
    <n v="1"/>
    <n v="2"/>
    <s v="BK-R50B-62"/>
    <x v="36"/>
    <n v="413.1463"/>
    <n v="699.09820000000002"/>
    <s v="MR."/>
    <s v="CARSON"/>
    <s v="BARNES"/>
    <s v="CARSON BARNES"/>
    <d v="1951-09-07T00:00:00"/>
    <s v="M"/>
    <s v="M"/>
    <s v="carson2@adventure-works.com"/>
    <n v="60000"/>
    <n v="2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73"/>
    <d v="2002-07-28T00:00:00"/>
    <s v="SO47773"/>
    <n v="324"/>
    <n v="15345"/>
    <n v="4"/>
    <n v="1"/>
    <n v="1"/>
    <n v="2"/>
    <s v="BK-R50R-62"/>
    <x v="42"/>
    <n v="413.1463"/>
    <n v="699.09820000000002"/>
    <s v="MRS."/>
    <s v="ASHLEY"/>
    <s v="PERRY"/>
    <s v="ASHLEY PERRY"/>
    <d v="1951-05-16T00:00:00"/>
    <s v="M"/>
    <s v="F"/>
    <s v="ashley34@adventure-works.com"/>
    <n v="70000"/>
    <n v="4"/>
    <s v="Partial College"/>
    <s v="Professional"/>
    <s v="N"/>
    <s v="Southwest"/>
    <x v="1"/>
    <s v="North America"/>
    <x v="0"/>
    <s v="Bikes"/>
    <n v="699.09820000000002"/>
    <n v="413.1463"/>
    <n v="285.95190000000002"/>
    <n v="0.409029661355157"/>
  </r>
  <r>
    <x v="273"/>
    <d v="2002-09-19T00:00:00"/>
    <s v="SO47774"/>
    <n v="332"/>
    <n v="15346"/>
    <n v="4"/>
    <n v="1"/>
    <n v="1"/>
    <n v="2"/>
    <s v="BK-R50B-58"/>
    <x v="34"/>
    <n v="413.1463"/>
    <n v="699.09820000000002"/>
    <s v="MR."/>
    <s v="CHARLES"/>
    <s v="RODRIGUEZ"/>
    <s v="CHARLES RODRIGUEZ"/>
    <d v="1951-03-14T00:00:00"/>
    <s v="S"/>
    <s v="M"/>
    <s v="charles24@adventure-works.com"/>
    <n v="70000"/>
    <n v="4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342"/>
    <d v="2002-09-01T00:00:00"/>
    <s v="SO47895"/>
    <n v="332"/>
    <n v="15347"/>
    <n v="4"/>
    <n v="1"/>
    <n v="1"/>
    <n v="2"/>
    <s v="BK-R50B-58"/>
    <x v="34"/>
    <n v="413.1463"/>
    <n v="699.09820000000002"/>
    <s v="MRS."/>
    <s v="DEANNA"/>
    <s v="ALONSO"/>
    <s v="DEANNA ALONSO"/>
    <d v="1952-06-27T00:00:00"/>
    <s v="M"/>
    <s v="F"/>
    <s v="deanna34@adventure-works.com"/>
    <n v="60000"/>
    <n v="3"/>
    <s v="High School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197"/>
    <d v="2002-09-21T00:00:00"/>
    <s v="SO47806"/>
    <n v="340"/>
    <n v="15348"/>
    <n v="1"/>
    <n v="1"/>
    <n v="1"/>
    <n v="2"/>
    <s v="BK-R50B-48"/>
    <x v="37"/>
    <n v="413.1463"/>
    <n v="699.09820000000002"/>
    <s v="MR."/>
    <s v="GREG"/>
    <s v="CARTER"/>
    <s v="GREG CARTER"/>
    <d v="1952-11-19T00:00:00"/>
    <s v="S"/>
    <s v="M"/>
    <s v="greg8@adventure-works.com"/>
    <n v="70000"/>
    <n v="4"/>
    <s v="Partial Colleg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309"/>
    <d v="2002-10-12T00:00:00"/>
    <s v="SO47958"/>
    <n v="328"/>
    <n v="15349"/>
    <n v="4"/>
    <n v="1"/>
    <n v="1"/>
    <n v="2"/>
    <s v="BK-R50R-48"/>
    <x v="35"/>
    <n v="413.1463"/>
    <n v="699.09820000000002"/>
    <s v="MRS."/>
    <s v="STEPHANIE"/>
    <s v="GONZALEZ"/>
    <s v="STEPHANIE GONZALEZ"/>
    <d v="1952-11-10T00:00:00"/>
    <s v="M"/>
    <s v="F"/>
    <s v="stephanie62@adventure-works.com"/>
    <n v="70000"/>
    <n v="4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332"/>
    <d v="2002-06-27T00:00:00"/>
    <s v="SO47850"/>
    <n v="320"/>
    <n v="15350"/>
    <n v="1"/>
    <n v="1"/>
    <n v="1"/>
    <n v="2"/>
    <s v="BK-R50R-58"/>
    <x v="40"/>
    <n v="413.1463"/>
    <n v="699.09820000000002"/>
    <s v="MRS."/>
    <s v="KATHLEEN"/>
    <s v="SERRANO"/>
    <s v="KATHLEEN SERRANO"/>
    <d v="1952-09-02T00:00:00"/>
    <s v="M"/>
    <s v="F"/>
    <s v="kathleen17@adventure-works.com"/>
    <n v="70000"/>
    <n v="4"/>
    <s v="Partial College"/>
    <s v="Professional"/>
    <s v="N"/>
    <s v="Northwest"/>
    <x v="1"/>
    <s v="North America"/>
    <x v="0"/>
    <s v="Bikes"/>
    <n v="699.09820000000002"/>
    <n v="413.1463"/>
    <n v="285.95190000000002"/>
    <n v="0.409029661355157"/>
  </r>
  <r>
    <x v="62"/>
    <d v="2001-11-22T00:00:00"/>
    <s v="SO45617"/>
    <n v="311"/>
    <n v="15354"/>
    <n v="10"/>
    <n v="1"/>
    <n v="1"/>
    <n v="2"/>
    <s v="BK-R93R-44"/>
    <x v="4"/>
    <n v="2171.2941999999998"/>
    <n v="3578.27"/>
    <s v="MR."/>
    <s v="COREY"/>
    <s v="KUMAR"/>
    <s v="COREY KUMAR"/>
    <d v="1957-02-07T00:00:00"/>
    <s v="M"/>
    <s v="M"/>
    <s v="corey7@adventure-works.com"/>
    <n v="170000"/>
    <n v="3"/>
    <s v="Bachelors"/>
    <s v="Management"/>
    <s v="Y"/>
    <s v="United Kingdom"/>
    <x v="3"/>
    <s v="Europe"/>
    <x v="0"/>
    <s v="Bikes"/>
    <n v="3578.27"/>
    <n v="2171.2941999999998"/>
    <n v="1406.9757999999999"/>
    <n v="0.39320001006072802"/>
  </r>
  <r>
    <x v="207"/>
    <d v="2002-04-29T00:00:00"/>
    <s v="SO46770"/>
    <n v="370"/>
    <n v="15357"/>
    <n v="8"/>
    <n v="1"/>
    <n v="1"/>
    <n v="2"/>
    <s v="BK-R89R-52"/>
    <x v="23"/>
    <n v="1518.7864"/>
    <n v="2443.35"/>
    <s v="MR."/>
    <s v="CRAIG"/>
    <s v="NAVARRO"/>
    <s v="CRAIG NAVARRO"/>
    <d v="1955-10-22T00:00:00"/>
    <s v="M"/>
    <s v="M"/>
    <s v="craig11@adventure-works.com"/>
    <n v="120000"/>
    <n v="2"/>
    <s v="Partial High School"/>
    <s v="Professional"/>
    <s v="Y"/>
    <s v="Germany"/>
    <x v="4"/>
    <s v="Europe"/>
    <x v="0"/>
    <s v="Bikes"/>
    <n v="2443.35"/>
    <n v="1518.7864"/>
    <n v="924.56359999999995"/>
    <n v="0.37839998362903399"/>
  </r>
  <r>
    <x v="201"/>
    <d v="2002-07-26T00:00:00"/>
    <s v="SO47818"/>
    <n v="324"/>
    <n v="15364"/>
    <n v="1"/>
    <n v="1"/>
    <n v="1"/>
    <n v="2"/>
    <s v="BK-R50R-62"/>
    <x v="42"/>
    <n v="413.1463"/>
    <n v="699.09820000000002"/>
    <s v="MR."/>
    <s v="AIDAN"/>
    <s v="BRYANT"/>
    <s v="AIDAN BRYANT"/>
    <d v="1965-02-21T00:00:00"/>
    <s v="S"/>
    <s v="M"/>
    <s v="aidan19@adventure-works.com"/>
    <n v="90000"/>
    <n v="5"/>
    <s v="Partial Colleg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343"/>
    <d v="2002-09-29T00:00:00"/>
    <s v="SO48221"/>
    <n v="336"/>
    <n v="15365"/>
    <n v="4"/>
    <n v="1"/>
    <n v="1"/>
    <n v="2"/>
    <s v="BK-R50B-62"/>
    <x v="36"/>
    <n v="413.1463"/>
    <n v="699.09820000000002"/>
    <s v="MRS."/>
    <s v="VICTORIA"/>
    <s v="GRAY"/>
    <s v="VICTORIA GRAY"/>
    <d v="1965-10-24T00:00:00"/>
    <s v="M"/>
    <s v="F"/>
    <s v="victoria42@adventure-works.com"/>
    <n v="120000"/>
    <n v="3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333"/>
    <d v="2002-09-25T00:00:00"/>
    <s v="SO48235"/>
    <n v="320"/>
    <n v="15367"/>
    <n v="1"/>
    <n v="1"/>
    <n v="1"/>
    <n v="2"/>
    <s v="BK-R50R-58"/>
    <x v="40"/>
    <n v="413.1463"/>
    <n v="699.09820000000002"/>
    <s v="MS."/>
    <s v="ALYSSA"/>
    <s v="WHITE"/>
    <s v="ALYSSA WHITE"/>
    <d v="1964-01-05T00:00:00"/>
    <s v="S"/>
    <s v="F"/>
    <s v="alyssa12@adventure-works.com"/>
    <n v="90000"/>
    <n v="0"/>
    <s v="Partial College"/>
    <s v="Professional"/>
    <s v="N"/>
    <s v="Northwest"/>
    <x v="1"/>
    <s v="North America"/>
    <x v="0"/>
    <s v="Bikes"/>
    <n v="699.09820000000002"/>
    <n v="413.1463"/>
    <n v="285.95190000000002"/>
    <n v="0.409029661355157"/>
  </r>
  <r>
    <x v="186"/>
    <d v="2002-08-23T00:00:00"/>
    <s v="SO48209"/>
    <n v="320"/>
    <n v="15369"/>
    <n v="1"/>
    <n v="1"/>
    <n v="1"/>
    <n v="2"/>
    <s v="BK-R50R-58"/>
    <x v="40"/>
    <n v="413.1463"/>
    <n v="699.09820000000002"/>
    <s v="MR."/>
    <s v="CONNOR"/>
    <s v="PEREZ"/>
    <s v="CONNOR PEREZ"/>
    <d v="1956-02-21T00:00:00"/>
    <s v="M"/>
    <s v="M"/>
    <s v="connor32@adventure-works.com"/>
    <n v="70000"/>
    <n v="3"/>
    <s v="Partial Colleg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210"/>
    <d v="2002-10-24T00:00:00"/>
    <s v="SO48189"/>
    <n v="324"/>
    <n v="15371"/>
    <n v="1"/>
    <n v="1"/>
    <n v="1"/>
    <n v="2"/>
    <s v="BK-R50R-62"/>
    <x v="42"/>
    <n v="413.1463"/>
    <n v="699.09820000000002"/>
    <s v="MR."/>
    <s v="CAMERON"/>
    <s v="BRYANT"/>
    <s v="CAMERON BRYANT"/>
    <d v="1956-03-04T00:00:00"/>
    <s v="M"/>
    <s v="M"/>
    <s v="cameron13@adventure-works.com"/>
    <n v="80000"/>
    <n v="3"/>
    <s v="Partial College"/>
    <s v="Professional"/>
    <s v="N"/>
    <s v="Northwest"/>
    <x v="1"/>
    <s v="North America"/>
    <x v="0"/>
    <s v="Bikes"/>
    <n v="699.09820000000002"/>
    <n v="413.1463"/>
    <n v="285.95190000000002"/>
    <n v="0.409029661355157"/>
  </r>
  <r>
    <x v="211"/>
    <d v="2002-09-19T00:00:00"/>
    <s v="SO48285"/>
    <n v="322"/>
    <n v="15372"/>
    <n v="1"/>
    <n v="1"/>
    <n v="1"/>
    <n v="2"/>
    <s v="BK-R50R-60"/>
    <x v="38"/>
    <n v="413.1463"/>
    <n v="699.09820000000002"/>
    <s v="MR."/>
    <s v="MIGUEL"/>
    <s v="ALEXANDER"/>
    <s v="MIGUEL ALEXANDER"/>
    <d v="1956-07-19T00:00:00"/>
    <s v="M"/>
    <s v="M"/>
    <s v="miguel65@adventure-works.com"/>
    <n v="80000"/>
    <n v="3"/>
    <s v="Partial College"/>
    <s v="Professional"/>
    <s v="N"/>
    <s v="Northwest"/>
    <x v="1"/>
    <s v="North America"/>
    <x v="0"/>
    <s v="Bikes"/>
    <n v="699.09820000000002"/>
    <n v="413.1463"/>
    <n v="285.95190000000002"/>
    <n v="0.409029661355157"/>
  </r>
  <r>
    <x v="170"/>
    <d v="2002-10-14T00:00:00"/>
    <s v="SO48140"/>
    <n v="330"/>
    <n v="15374"/>
    <n v="4"/>
    <n v="1"/>
    <n v="1"/>
    <n v="2"/>
    <s v="BK-R50R-52"/>
    <x v="39"/>
    <n v="413.1463"/>
    <n v="699.09820000000002"/>
    <s v="MRS."/>
    <s v="DONNA"/>
    <s v="KUMAR"/>
    <s v="DONNA KUMAR"/>
    <d v="1934-10-12T00:00:00"/>
    <s v="M"/>
    <s v="F"/>
    <s v="donna7@adventure-works.com"/>
    <n v="70000"/>
    <n v="4"/>
    <s v="Graduate Degree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344"/>
    <d v="2002-07-23T00:00:00"/>
    <s v="SO48176"/>
    <n v="336"/>
    <n v="15379"/>
    <n v="4"/>
    <n v="1"/>
    <n v="1"/>
    <n v="2"/>
    <s v="BK-R50B-62"/>
    <x v="36"/>
    <n v="413.1463"/>
    <n v="699.09820000000002"/>
    <s v="MRS."/>
    <s v="AMANDA"/>
    <s v="GRIFFIN"/>
    <s v="AMANDA GRIFFIN"/>
    <d v="1963-11-23T00:00:00"/>
    <s v="M"/>
    <s v="F"/>
    <s v="amanda42@adventure-works.com"/>
    <n v="130000"/>
    <n v="3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12"/>
    <d v="2002-09-26T00:00:00"/>
    <s v="SO48217"/>
    <n v="324"/>
    <n v="15380"/>
    <n v="1"/>
    <n v="1"/>
    <n v="1"/>
    <n v="2"/>
    <s v="BK-R50R-62"/>
    <x v="42"/>
    <n v="413.1463"/>
    <n v="699.09820000000002"/>
    <s v="MR."/>
    <s v="NATHAN"/>
    <s v="ROBINSON"/>
    <s v="NATHAN ROBINSON"/>
    <d v="1962-10-08T00:00:00"/>
    <s v="M"/>
    <s v="M"/>
    <s v="nathan52@adventure-works.com"/>
    <n v="100000"/>
    <n v="1"/>
    <s v="Partial Colleg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282"/>
    <d v="2002-08-19T00:00:00"/>
    <s v="SO48120"/>
    <n v="324"/>
    <n v="15388"/>
    <n v="4"/>
    <n v="1"/>
    <n v="1"/>
    <n v="2"/>
    <s v="BK-R50R-62"/>
    <x v="42"/>
    <n v="413.1463"/>
    <n v="699.09820000000002"/>
    <s v="MRS."/>
    <s v="VICTORIA"/>
    <s v="SMITH"/>
    <s v="VICTORIA SMITH"/>
    <d v="1961-01-19T00:00:00"/>
    <s v="M"/>
    <s v="F"/>
    <s v="victoria1@adventure-works.com"/>
    <n v="130000"/>
    <n v="1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11"/>
    <d v="2002-10-09T00:00:00"/>
    <s v="SO48283"/>
    <n v="322"/>
    <n v="15389"/>
    <n v="4"/>
    <n v="1"/>
    <n v="1"/>
    <n v="2"/>
    <s v="BK-R50R-60"/>
    <x v="38"/>
    <n v="413.1463"/>
    <n v="699.09820000000002"/>
    <s v="MRS."/>
    <s v="JOAN"/>
    <s v="KING"/>
    <s v="JOAN KING"/>
    <d v="1961-09-06T00:00:00"/>
    <s v="S"/>
    <s v="F"/>
    <s v="joan14@adventure-works.com"/>
    <n v="130000"/>
    <n v="1"/>
    <s v="Bachelors"/>
    <s v="Management"/>
    <s v="N"/>
    <s v="Southwest"/>
    <x v="1"/>
    <s v="North America"/>
    <x v="0"/>
    <s v="Bikes"/>
    <n v="699.09820000000002"/>
    <n v="413.1463"/>
    <n v="285.95190000000002"/>
    <n v="0.409029661355157"/>
  </r>
  <r>
    <x v="169"/>
    <d v="2002-08-10T00:00:00"/>
    <s v="SO48249"/>
    <n v="336"/>
    <n v="15394"/>
    <n v="4"/>
    <n v="1"/>
    <n v="1"/>
    <n v="2"/>
    <s v="BK-R50B-62"/>
    <x v="36"/>
    <n v="413.1463"/>
    <n v="699.09820000000002"/>
    <s v="MRS."/>
    <s v="NATALIE"/>
    <s v="WILSON"/>
    <s v="NATALIE WILSON"/>
    <d v="1936-04-06T00:00:00"/>
    <s v="M"/>
    <s v="F"/>
    <s v="natalie74@adventure-works.com"/>
    <n v="90000"/>
    <n v="4"/>
    <s v="Bachelors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333"/>
    <d v="2002-11-06T00:00:00"/>
    <s v="SO48232"/>
    <n v="330"/>
    <n v="15396"/>
    <n v="1"/>
    <n v="1"/>
    <n v="1"/>
    <n v="2"/>
    <s v="BK-R50R-52"/>
    <x v="39"/>
    <n v="413.1463"/>
    <n v="699.09820000000002"/>
    <s v="MRS."/>
    <s v="JULIA"/>
    <s v="WILSON"/>
    <s v="JULIA WILSON"/>
    <d v="1960-11-02T00:00:00"/>
    <s v="M"/>
    <s v="F"/>
    <s v="julia29@adventure-works.com"/>
    <n v="100000"/>
    <n v="3"/>
    <s v="Partial College"/>
    <s v="Professional"/>
    <s v="Y"/>
    <s v="Northwest"/>
    <x v="1"/>
    <s v="North America"/>
    <x v="0"/>
    <s v="Bikes"/>
    <n v="699.09820000000002"/>
    <n v="413.1463"/>
    <n v="285.95190000000002"/>
    <n v="0.409029661355157"/>
  </r>
  <r>
    <x v="295"/>
    <d v="2002-10-14T00:00:00"/>
    <s v="SO48096"/>
    <n v="328"/>
    <n v="15398"/>
    <n v="4"/>
    <n v="1"/>
    <n v="1"/>
    <n v="2"/>
    <s v="BK-R50R-48"/>
    <x v="35"/>
    <n v="413.1463"/>
    <n v="699.09820000000002"/>
    <s v="MR."/>
    <s v="JOSE"/>
    <s v="WANG"/>
    <s v="JOSE WANG"/>
    <d v="1960-10-13T00:00:00"/>
    <s v="M"/>
    <s v="M"/>
    <s v="jose19@adventure-works.com"/>
    <n v="150000"/>
    <n v="1"/>
    <s v="Partial College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291"/>
    <d v="2002-11-14T00:00:00"/>
    <s v="SO48555"/>
    <n v="324"/>
    <n v="15399"/>
    <n v="4"/>
    <n v="1"/>
    <n v="1"/>
    <n v="2"/>
    <s v="BK-R50R-62"/>
    <x v="42"/>
    <n v="413.1463"/>
    <n v="699.09820000000002"/>
    <s v="MRS."/>
    <s v="MACKENZIE"/>
    <s v="MURPHY"/>
    <s v="MACKENZIE MURPHY"/>
    <d v="1954-08-01T00:00:00"/>
    <s v="S"/>
    <s v="F"/>
    <s v="mackenzie13@adventure-works.com"/>
    <n v="80000"/>
    <n v="2"/>
    <s v="Partial High School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304"/>
    <d v="2002-10-04T00:00:00"/>
    <s v="SO48466"/>
    <n v="332"/>
    <n v="15404"/>
    <n v="4"/>
    <n v="1"/>
    <n v="1"/>
    <n v="2"/>
    <s v="BK-R50B-58"/>
    <x v="34"/>
    <n v="413.1463"/>
    <n v="699.09820000000002"/>
    <s v="MRS."/>
    <s v="SYDNEY"/>
    <s v="ROBINSON"/>
    <s v="SYDNEY ROBINSON"/>
    <d v="1954-05-03T00:00:00"/>
    <s v="S"/>
    <s v="F"/>
    <s v="sydney80@adventure-works.com"/>
    <n v="70000"/>
    <n v="3"/>
    <s v="High School"/>
    <s v="Professional"/>
    <s v="Y"/>
    <s v="Southwest"/>
    <x v="1"/>
    <s v="North America"/>
    <x v="0"/>
    <s v="Bikes"/>
    <n v="699.09820000000002"/>
    <n v="413.1463"/>
    <n v="285.95190000000002"/>
    <n v="0.409029661355157"/>
  </r>
  <r>
    <x v="304"/>
    <d v="2002-10-29T00:00:00"/>
    <s v="SO48467"/>
    <n v="332"/>
    <n v="15409"/>
    <n v="1"/>
    <n v="1"/>
    <n v="1"/>
    <n v="2"/>
    <s v="BK-R50B-58"/>
    <x v="34"/>
    <n v="413.1463"/>
    <n v="699.09820000000002"/>
    <s v="MR."/>
    <s v="EDUARDO"/>
    <s v="COOPER"/>
    <s v="EDUARDO COOPER"/>
    <d v="1952-08-03T00:00:00"/>
    <s v="M"/>
    <s v="M"/>
    <s v="eduardo77@adventure-works.com"/>
    <n v="40000"/>
    <n v="3"/>
    <s v="Partial College"/>
    <s v="Professional"/>
    <s v="N"/>
    <s v="Northwest"/>
    <x v="1"/>
    <s v="North America"/>
    <x v="0"/>
    <s v="Bikes"/>
    <n v="699.09820000000002"/>
    <n v="413.1463"/>
    <n v="285.95190000000002"/>
    <n v="0.409029661355157"/>
  </r>
  <r>
    <x v="214"/>
    <d v="2002-11-26T00:00:00"/>
    <s v="SO48711"/>
    <n v="326"/>
    <n v="15410"/>
    <n v="4"/>
    <n v="1"/>
    <n v="1"/>
    <n v="2"/>
    <s v="BK-R50R-44"/>
    <x v="43"/>
    <n v="413.1463"/>
    <n v="699.09820000000002"/>
    <s v="MRS."/>
    <s v="KATHERINE"/>
    <s v="HARRIS"/>
    <s v="KATHERINE HARRIS"/>
    <d v="1952-06-22T00:00:00"/>
    <s v="M"/>
    <s v="F"/>
    <s v="katherine84@adventure-works.com"/>
    <n v="40000"/>
    <n v="3"/>
    <s v="Partial College"/>
    <s v="Professional"/>
    <s v="N"/>
    <s v="Southwest"/>
    <x v="1"/>
    <s v="North America"/>
    <x v="0"/>
    <s v="Bikes"/>
    <n v="699.09820000000002"/>
    <n v="413.1463"/>
    <n v="285.95190000000002"/>
    <n v="0.409029661355157"/>
  </r>
  <r>
    <x v="190"/>
    <d v="2002-09-29T00:00:00"/>
    <s v="SO48445"/>
    <n v="342"/>
    <n v="15411"/>
    <n v="4"/>
    <n v="1"/>
    <n v="1"/>
    <n v="2"/>
    <s v="BK-R50B-52"/>
    <x v="33"/>
    <n v="413.1463"/>
    <n v="699.09820000000002"/>
    <s v="MR."/>
    <s v="JAY"/>
    <s v="CHANDRA"/>
    <s v="JAY CHANDRA"/>
    <d v="1937-11-07T00:00:00"/>
    <s v="S"/>
    <s v="M"/>
    <s v="jay8@adventure-works.com"/>
    <n v="70000"/>
    <n v="4"/>
    <s v="Graduate Degree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94"/>
    <d v="2002-09-25T00:00:00"/>
    <s v="SO48513"/>
    <n v="320"/>
    <n v="15417"/>
    <n v="4"/>
    <n v="1"/>
    <n v="1"/>
    <n v="2"/>
    <s v="BK-R50R-58"/>
    <x v="40"/>
    <n v="413.1463"/>
    <n v="699.09820000000002"/>
    <s v="MR."/>
    <s v="ALVIN"/>
    <s v="LU"/>
    <s v="ALVIN LU"/>
    <d v="1941-06-05T00:00:00"/>
    <s v="S"/>
    <s v="M"/>
    <s v="alvin11@adventure-works.com"/>
    <n v="70000"/>
    <n v="5"/>
    <s v="Graduate Degree"/>
    <s v="Management"/>
    <s v="Y"/>
    <s v="Southwest"/>
    <x v="1"/>
    <s v="North America"/>
    <x v="0"/>
    <s v="Bikes"/>
    <n v="699.09820000000002"/>
    <n v="413.1463"/>
    <n v="285.95190000000002"/>
    <n v="0.409029661355157"/>
  </r>
  <r>
    <x v="292"/>
    <d v="2002-08-31T00:00:00"/>
    <s v="SO48573"/>
    <n v="328"/>
    <n v="15419"/>
    <n v="1"/>
    <n v="1"/>
    <n v="1"/>
    <n v="2"/>
    <s v="BK-R50R-48"/>
    <x v="35"/>
    <n v="413.1463"/>
    <n v="699.09820000000002"/>
    <s v="MR."/>
    <s v="CARLOS"/>
    <s v="BAKER"/>
    <s v="CARLOS BAKER"/>
    <d v="1968-01-17T00:00:00"/>
    <s v="S"/>
    <s v="M"/>
    <s v="carlos35@adventure-works.com"/>
    <n v="100000"/>
    <n v="2"/>
    <s v="Bachelors"/>
    <s v="Management"/>
    <s v="Y"/>
    <s v="Northwest"/>
    <x v="1"/>
    <s v="North America"/>
    <x v="0"/>
    <s v="Bikes"/>
    <n v="699.09820000000002"/>
    <n v="413.1463"/>
    <n v="285.95190000000002"/>
    <n v="0.409029661355157"/>
  </r>
  <r>
    <x v="292"/>
    <d v="2002-11-19T00:00:00"/>
    <s v="SO48574"/>
    <n v="320"/>
    <n v="15422"/>
    <n v="1"/>
    <n v="1"/>
    <n v="1"/>
    <n v="2"/>
    <s v="BK-R50R-58"/>
    <x v="40"/>
    <n v="413.1463"/>
    <n v="699.09820000000002"/>
    <s v="MS."/>
    <s v="KELLY"/>
    <s v="GRIFFIN"/>
    <s v="KELLY GRIFFIN"/>
    <d v="1979-07-10T00:00:00"/>
    <s v="M"/>
    <s v="F"/>
    <s v="kelly25@adventure-works.com"/>
    <n v="40000"/>
    <n v="0"/>
    <s v="High School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294"/>
    <d v="2002-09-04T00:00:00"/>
    <s v="SO48514"/>
    <n v="338"/>
    <n v="15427"/>
    <n v="4"/>
    <n v="1"/>
    <n v="1"/>
    <n v="2"/>
    <s v="BK-R50B-44"/>
    <x v="32"/>
    <n v="413.1463"/>
    <n v="699.09820000000002"/>
    <s v="MS."/>
    <s v="JADE"/>
    <s v="MURPHY"/>
    <s v="JADE MURPHY"/>
    <d v="1979-11-18T00:00:00"/>
    <s v="S"/>
    <s v="F"/>
    <s v="jade12@adventure-works.com"/>
    <n v="60000"/>
    <n v="0"/>
    <s v="Partial College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189"/>
    <d v="2002-09-21T00:00:00"/>
    <s v="SO48582"/>
    <n v="342"/>
    <n v="15428"/>
    <n v="4"/>
    <n v="1"/>
    <n v="1"/>
    <n v="2"/>
    <s v="BK-R50B-52"/>
    <x v="33"/>
    <n v="413.1463"/>
    <n v="699.09820000000002"/>
    <s v="MR."/>
    <s v="RICHARD"/>
    <s v="HOWARD"/>
    <s v="RICHARD HOWARD"/>
    <d v="1979-05-01T00:00:00"/>
    <s v="M"/>
    <s v="M"/>
    <s v="richard93@adventure-works.com"/>
    <n v="60000"/>
    <n v="0"/>
    <s v="Partial College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88"/>
    <d v="2002-11-22T00:00:00"/>
    <s v="SO48636"/>
    <n v="324"/>
    <n v="15429"/>
    <n v="4"/>
    <n v="1"/>
    <n v="1"/>
    <n v="2"/>
    <s v="BK-R50R-62"/>
    <x v="42"/>
    <n v="413.1463"/>
    <n v="699.09820000000002"/>
    <s v="MR."/>
    <s v="AARON"/>
    <s v="LI"/>
    <s v="AARON LI"/>
    <d v="1979-04-19T00:00:00"/>
    <s v="M"/>
    <s v="M"/>
    <s v="aaron26@adventure-works.com"/>
    <n v="70000"/>
    <n v="0"/>
    <s v="Partial College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303"/>
    <d v="2002-11-05T00:00:00"/>
    <s v="SO48649"/>
    <n v="338"/>
    <n v="15432"/>
    <n v="4"/>
    <n v="1"/>
    <n v="1"/>
    <n v="2"/>
    <s v="BK-R50B-44"/>
    <x v="32"/>
    <n v="413.1463"/>
    <n v="699.09820000000002"/>
    <s v="MR."/>
    <s v="ALVIN"/>
    <s v="KUMAR"/>
    <s v="ALVIN KUMAR"/>
    <d v="1978-08-18T00:00:00"/>
    <s v="S"/>
    <s v="M"/>
    <s v="alvin30@adventure-works.com"/>
    <n v="60000"/>
    <n v="0"/>
    <s v="Partial College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304"/>
    <d v="2002-10-21T00:00:00"/>
    <s v="SO48468"/>
    <n v="336"/>
    <n v="15433"/>
    <n v="4"/>
    <n v="1"/>
    <n v="1"/>
    <n v="2"/>
    <s v="BK-R50B-62"/>
    <x v="36"/>
    <n v="413.1463"/>
    <n v="699.09820000000002"/>
    <s v="MR."/>
    <s v="ADAM"/>
    <s v="SHARMA"/>
    <s v="ADAM SHARMA"/>
    <d v="1978-08-18T00:00:00"/>
    <s v="S"/>
    <s v="M"/>
    <s v="adam26@adventure-works.com"/>
    <n v="60000"/>
    <n v="0"/>
    <s v="Partial College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90"/>
    <d v="2001-12-12T00:00:00"/>
    <s v="SO45827"/>
    <n v="312"/>
    <n v="15440"/>
    <n v="10"/>
    <n v="1"/>
    <n v="1"/>
    <n v="2"/>
    <s v="BK-R93R-48"/>
    <x v="0"/>
    <n v="2171.2941999999998"/>
    <n v="3578.27"/>
    <s v="MR."/>
    <s v="JON"/>
    <s v="PAL"/>
    <s v="JON PAL"/>
    <d v="1974-03-23T00:00:00"/>
    <s v="M"/>
    <s v="M"/>
    <s v="jon8@adventure-works.com"/>
    <n v="10000"/>
    <n v="0"/>
    <s v="Graduate Degree"/>
    <s v="Manual"/>
    <s v="Y"/>
    <s v="United Kingdom"/>
    <x v="3"/>
    <s v="Europe"/>
    <x v="0"/>
    <s v="Bikes"/>
    <n v="3578.27"/>
    <n v="2171.2941999999998"/>
    <n v="1406.9757999999999"/>
    <n v="0.39320001006072802"/>
  </r>
  <r>
    <x v="93"/>
    <d v="2001-12-11T00:00:00"/>
    <s v="SO45853"/>
    <n v="313"/>
    <n v="15453"/>
    <n v="10"/>
    <n v="1"/>
    <n v="1"/>
    <n v="2"/>
    <s v="BK-R93R-52"/>
    <x v="3"/>
    <n v="2171.2941999999998"/>
    <n v="3578.27"/>
    <s v="MRS."/>
    <s v="ISABELLE"/>
    <s v="BARNES"/>
    <s v="ISABELLE BARNES"/>
    <d v="1958-08-11T00:00:00"/>
    <s v="M"/>
    <s v="F"/>
    <s v="isabelle3@adventure-works.com"/>
    <n v="20000"/>
    <n v="1"/>
    <s v="Bachelors"/>
    <s v="Manual"/>
    <s v="Y"/>
    <s v="United Kingdom"/>
    <x v="3"/>
    <s v="Europe"/>
    <x v="0"/>
    <s v="Bikes"/>
    <n v="3578.27"/>
    <n v="2171.2941999999998"/>
    <n v="1406.9757999999999"/>
    <n v="0.39320001006072802"/>
  </r>
  <r>
    <x v="99"/>
    <d v="2002-06-09T00:00:00"/>
    <s v="SO46921"/>
    <n v="371"/>
    <n v="15454"/>
    <n v="8"/>
    <n v="1"/>
    <n v="1"/>
    <n v="2"/>
    <s v="BK-R89R-58"/>
    <x v="24"/>
    <n v="1320.6838"/>
    <n v="2181.5625"/>
    <s v="MR."/>
    <s v="IAN"/>
    <s v="BENNETT"/>
    <s v="IAN BENNETT"/>
    <d v="1955-09-03T00:00:00"/>
    <s v="M"/>
    <s v="M"/>
    <s v="ian41@adventure-works.com"/>
    <n v="20000"/>
    <n v="1"/>
    <s v="Bachelors"/>
    <s v="Clerical"/>
    <s v="Y"/>
    <s v="Germany"/>
    <x v="4"/>
    <s v="Europe"/>
    <x v="0"/>
    <s v="Bikes"/>
    <n v="2181.5625"/>
    <n v="1320.6838"/>
    <n v="860.87869999999998"/>
    <n v="0.39461564818793898"/>
  </r>
  <r>
    <x v="83"/>
    <d v="2002-05-16T00:00:00"/>
    <s v="SO46865"/>
    <n v="375"/>
    <n v="15456"/>
    <n v="8"/>
    <n v="1"/>
    <n v="1"/>
    <n v="2"/>
    <s v="BK-R89B-48"/>
    <x v="25"/>
    <n v="1320.6838"/>
    <n v="2181.5625"/>
    <s v="MR."/>
    <s v="DONALD"/>
    <s v="SURI"/>
    <s v="DONALD SURI"/>
    <d v="1940-10-14T00:00:00"/>
    <s v="S"/>
    <s v="M"/>
    <s v="donald2@adventure-works.com"/>
    <n v="20000"/>
    <n v="1"/>
    <s v="Bachelors"/>
    <s v="Clerical"/>
    <s v="Y"/>
    <s v="Germany"/>
    <x v="4"/>
    <s v="Europe"/>
    <x v="0"/>
    <s v="Bikes"/>
    <n v="2181.5625"/>
    <n v="1320.6838"/>
    <n v="860.87869999999998"/>
    <n v="0.39461564818793898"/>
  </r>
  <r>
    <x v="179"/>
    <d v="2002-04-05T00:00:00"/>
    <s v="SO46687"/>
    <n v="379"/>
    <n v="15457"/>
    <n v="8"/>
    <n v="1"/>
    <n v="1"/>
    <n v="2"/>
    <s v="BK-R89B-58"/>
    <x v="26"/>
    <n v="1320.6838"/>
    <n v="2181.5625"/>
    <s v="MRS."/>
    <s v="ADRIANA"/>
    <s v="MARTINEZ"/>
    <s v="ADRIANA MARTINEZ"/>
    <d v="1941-02-28T00:00:00"/>
    <s v="M"/>
    <s v="F"/>
    <s v="adriana18@adventure-works.com"/>
    <n v="20000"/>
    <n v="1"/>
    <s v="Partial College"/>
    <s v="Manual"/>
    <s v="Y"/>
    <s v="Germany"/>
    <x v="4"/>
    <s v="Europe"/>
    <x v="0"/>
    <s v="Bikes"/>
    <n v="2181.5625"/>
    <n v="1320.6838"/>
    <n v="860.87869999999998"/>
    <n v="0.39461564818793898"/>
  </r>
  <r>
    <x v="177"/>
    <d v="2002-05-03T00:00:00"/>
    <s v="SO46677"/>
    <n v="371"/>
    <n v="15460"/>
    <n v="8"/>
    <n v="1"/>
    <n v="1"/>
    <n v="2"/>
    <s v="BK-R89R-58"/>
    <x v="24"/>
    <n v="1320.6838"/>
    <n v="2181.5625"/>
    <s v="MRS."/>
    <s v="BETHANY"/>
    <s v="NARA"/>
    <s v="BETHANY NARA"/>
    <d v="1942-02-13T00:00:00"/>
    <s v="M"/>
    <s v="F"/>
    <s v="bethany20@adventure-works.com"/>
    <n v="20000"/>
    <n v="1"/>
    <s v="Partial College"/>
    <s v="Manual"/>
    <s v="Y"/>
    <s v="Germany"/>
    <x v="4"/>
    <s v="Europe"/>
    <x v="0"/>
    <s v="Bikes"/>
    <n v="2181.5625"/>
    <n v="1320.6838"/>
    <n v="860.87869999999998"/>
    <n v="0.39461564818793898"/>
  </r>
  <r>
    <x v="290"/>
    <d v="2002-11-07T00:00:00"/>
    <s v="SO48437"/>
    <n v="324"/>
    <n v="15466"/>
    <n v="4"/>
    <n v="1"/>
    <n v="1"/>
    <n v="2"/>
    <s v="BK-R50R-62"/>
    <x v="42"/>
    <n v="413.1463"/>
    <n v="699.09820000000002"/>
    <s v="MR."/>
    <s v="ELIJAH"/>
    <s v="PEREZ"/>
    <s v="ELIJAH PEREZ"/>
    <d v="1970-01-08T00:00:00"/>
    <s v="M"/>
    <s v="M"/>
    <s v="elijah32@adventure-works.com"/>
    <n v="50000"/>
    <n v="1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285"/>
    <d v="2002-11-12T00:00:00"/>
    <s v="SO48661"/>
    <n v="332"/>
    <n v="15467"/>
    <n v="4"/>
    <n v="1"/>
    <n v="1"/>
    <n v="2"/>
    <s v="BK-R50B-58"/>
    <x v="34"/>
    <n v="413.1463"/>
    <n v="699.09820000000002"/>
    <s v="MR."/>
    <s v="CALEB"/>
    <s v="SHAN"/>
    <s v="CALEB SHAN"/>
    <d v="1970-08-02T00:00:00"/>
    <s v="M"/>
    <s v="M"/>
    <s v="caleb27@adventure-works.com"/>
    <n v="50000"/>
    <n v="1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90"/>
    <d v="2002-10-19T00:00:00"/>
    <s v="SO48447"/>
    <n v="326"/>
    <n v="15471"/>
    <n v="4"/>
    <n v="1"/>
    <n v="1"/>
    <n v="2"/>
    <s v="BK-R50R-44"/>
    <x v="43"/>
    <n v="413.1463"/>
    <n v="699.09820000000002"/>
    <s v="MRS."/>
    <s v="DESTINY"/>
    <s v="WHITE"/>
    <s v="DESTINY WHITE"/>
    <d v="1969-03-08T00:00:00"/>
    <s v="S"/>
    <s v="F"/>
    <s v="destiny12@adventure-works.com"/>
    <n v="50000"/>
    <n v="2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289"/>
    <d v="2002-08-24T00:00:00"/>
    <s v="SO48416"/>
    <n v="320"/>
    <n v="15472"/>
    <n v="1"/>
    <n v="1"/>
    <n v="1"/>
    <n v="2"/>
    <s v="BK-R50R-58"/>
    <x v="40"/>
    <n v="413.1463"/>
    <n v="699.09820000000002"/>
    <s v="MRS."/>
    <s v="JENNIFER"/>
    <s v="TORRES"/>
    <s v="JENNIFER TORRES"/>
    <d v="1969-10-18T00:00:00"/>
    <s v="S"/>
    <s v="F"/>
    <s v="jennifer67@adventure-works.com"/>
    <n v="50000"/>
    <n v="2"/>
    <s v="Bachelors"/>
    <s v="Skilled Manual"/>
    <s v="Y"/>
    <s v="Northwest"/>
    <x v="1"/>
    <s v="North America"/>
    <x v="0"/>
    <s v="Bikes"/>
    <n v="699.09820000000002"/>
    <n v="413.1463"/>
    <n v="285.95190000000002"/>
    <n v="0.409029661355157"/>
  </r>
  <r>
    <x v="218"/>
    <d v="2002-11-09T00:00:00"/>
    <s v="SO48406"/>
    <n v="326"/>
    <n v="15473"/>
    <n v="4"/>
    <n v="1"/>
    <n v="1"/>
    <n v="2"/>
    <s v="BK-R50R-44"/>
    <x v="43"/>
    <n v="413.1463"/>
    <n v="699.09820000000002"/>
    <s v="MRS."/>
    <s v="ABIGAIL"/>
    <s v="JENKINS"/>
    <s v="ABIGAIL JENKINS"/>
    <d v="1969-04-15T00:00:00"/>
    <s v="S"/>
    <s v="F"/>
    <s v="abigail32@adventure-works.com"/>
    <n v="50000"/>
    <n v="2"/>
    <s v="Bachelors"/>
    <s v="Skilled Manual"/>
    <s v="N"/>
    <s v="Southwest"/>
    <x v="1"/>
    <s v="North America"/>
    <x v="0"/>
    <s v="Bikes"/>
    <n v="699.09820000000002"/>
    <n v="413.1463"/>
    <n v="285.95190000000002"/>
    <n v="0.409029661355157"/>
  </r>
  <r>
    <x v="188"/>
    <d v="2002-11-12T00:00:00"/>
    <s v="SO48637"/>
    <n v="336"/>
    <n v="15474"/>
    <n v="4"/>
    <n v="1"/>
    <n v="1"/>
    <n v="2"/>
    <s v="BK-R50B-62"/>
    <x v="36"/>
    <n v="413.1463"/>
    <n v="699.09820000000002"/>
    <s v="MR."/>
    <s v="CAMERON"/>
    <s v="LAL"/>
    <s v="CAMERON LAL"/>
    <d v="1969-05-02T00:00:00"/>
    <s v="M"/>
    <s v="M"/>
    <s v="cameron25@adventure-works.com"/>
    <n v="50000"/>
    <n v="2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88"/>
    <d v="2002-10-07T00:00:00"/>
    <s v="SO48638"/>
    <n v="334"/>
    <n v="15475"/>
    <n v="4"/>
    <n v="1"/>
    <n v="1"/>
    <n v="2"/>
    <s v="BK-R50B-60"/>
    <x v="41"/>
    <n v="413.1463"/>
    <n v="699.09820000000002"/>
    <s v="MRS."/>
    <s v="KAITLYN"/>
    <s v="BROOKS"/>
    <s v="KAITLYN BROOKS"/>
    <d v="1969-10-18T00:00:00"/>
    <s v="S"/>
    <s v="F"/>
    <s v="kaitlyn65@adventure-works.com"/>
    <n v="50000"/>
    <n v="2"/>
    <s v="Bachelors"/>
    <s v="Skilled Manual"/>
    <s v="Y"/>
    <s v="Southwest"/>
    <x v="1"/>
    <s v="North America"/>
    <x v="0"/>
    <s v="Bikes"/>
    <n v="699.09820000000002"/>
    <n v="413.1463"/>
    <n v="285.95190000000002"/>
    <n v="0.409029661355157"/>
  </r>
  <r>
    <x v="109"/>
    <d v="2002-01-02T00:00:00"/>
    <s v="SO45902"/>
    <n v="314"/>
    <n v="15614"/>
    <n v="10"/>
    <n v="1"/>
    <n v="1"/>
    <n v="2"/>
    <s v="BK-R93R-56"/>
    <x v="2"/>
    <n v="2171.2941999999998"/>
    <n v="3578.27"/>
    <s v="MRS."/>
    <s v="FAITH"/>
    <s v="SIMMONS"/>
    <s v="FAITH SIMMONS"/>
    <d v="1974-11-14T00:00:00"/>
    <s v="M"/>
    <s v="F"/>
    <s v="faith14@adventure-works.com"/>
    <n v="40000"/>
    <n v="1"/>
    <s v="Bachelors"/>
    <s v="Skilled Manual"/>
    <s v="Y"/>
    <s v="United Kingdom"/>
    <x v="3"/>
    <s v="Europe"/>
    <x v="0"/>
    <s v="Bikes"/>
    <n v="3578.27"/>
    <n v="2171.2941999999998"/>
    <n v="1406.9757999999999"/>
    <n v="0.39320001006072802"/>
  </r>
  <r>
    <x v="109"/>
    <d v="2002-02-08T00:00:00"/>
    <s v="SO45903"/>
    <n v="310"/>
    <n v="15619"/>
    <n v="10"/>
    <n v="1"/>
    <n v="1"/>
    <n v="2"/>
    <s v="BK-R93R-62"/>
    <x v="1"/>
    <n v="2171.2941999999998"/>
    <n v="3578.27"/>
    <s v="MR."/>
    <s v="LEVI"/>
    <s v="SUBRAM"/>
    <s v="LEVI SUBRAM"/>
    <d v="1973-03-26T00:00:00"/>
    <s v="M"/>
    <s v="M"/>
    <s v="levi12@adventure-works.com"/>
    <n v="40000"/>
    <n v="1"/>
    <s v="Bachelors"/>
    <s v="Skilled Manual"/>
    <s v="Y"/>
    <s v="United Kingdom"/>
    <x v="3"/>
    <s v="Europe"/>
    <x v="0"/>
    <s v="Bikes"/>
    <n v="3578.27"/>
    <n v="2171.2941999999998"/>
    <n v="1406.9757999999999"/>
    <n v="0.39320001006072802"/>
  </r>
  <r>
    <x v="93"/>
    <d v="2002-02-08T00:00:00"/>
    <s v="SO45854"/>
    <n v="312"/>
    <n v="15620"/>
    <n v="10"/>
    <n v="1"/>
    <n v="1"/>
    <n v="2"/>
    <s v="BK-R93R-48"/>
    <x v="0"/>
    <n v="2171.2941999999998"/>
    <n v="3578.27"/>
    <s v="MS."/>
    <s v="DOMINIQUE"/>
    <s v="SUBRAM"/>
    <s v="DOMINIQUE SUBRAM"/>
    <d v="1973-05-19T00:00:00"/>
    <s v="S"/>
    <s v="F"/>
    <s v="dominique10@adventure-works.com"/>
    <n v="50000"/>
    <n v="0"/>
    <s v="Graduate Degree"/>
    <s v="Skilled Manual"/>
    <s v="N"/>
    <s v="United Kingdom"/>
    <x v="3"/>
    <s v="Europe"/>
    <x v="0"/>
    <s v="Bikes"/>
    <n v="3578.27"/>
    <n v="2171.2941999999998"/>
    <n v="1406.9757999999999"/>
    <n v="0.39320001006072802"/>
  </r>
  <r>
    <x v="100"/>
    <d v="2001-12-15T00:00:00"/>
    <s v="SO45866"/>
    <n v="310"/>
    <n v="15621"/>
    <n v="10"/>
    <n v="1"/>
    <n v="1"/>
    <n v="2"/>
    <s v="BK-R93R-62"/>
    <x v="1"/>
    <n v="2171.2941999999998"/>
    <n v="3578.27"/>
    <s v="MS."/>
    <s v="KELLI"/>
    <s v="WU"/>
    <s v="KELLI WU"/>
    <d v="1973-09-26T00:00:00"/>
    <s v="S"/>
    <s v="F"/>
    <s v="kelli7@adventure-works.com"/>
    <n v="50000"/>
    <n v="0"/>
    <s v="Graduate Degree"/>
    <s v="Skilled Manual"/>
    <s v="Y"/>
    <s v="United Kingdom"/>
    <x v="3"/>
    <s v="Europe"/>
    <x v="0"/>
    <s v="Bikes"/>
    <n v="3578.27"/>
    <n v="2171.2941999999998"/>
    <n v="1406.9757999999999"/>
    <n v="0.39320001006072802"/>
  </r>
  <r>
    <x v="221"/>
    <d v="2002-04-27T00:00:00"/>
    <s v="SO46810"/>
    <n v="370"/>
    <n v="15622"/>
    <n v="8"/>
    <n v="1"/>
    <n v="1"/>
    <n v="2"/>
    <s v="BK-R89R-52"/>
    <x v="23"/>
    <n v="1518.7864"/>
    <n v="2443.35"/>
    <s v="MR."/>
    <s v="YVONNE"/>
    <s v="SCHLEGER"/>
    <s v="YVONNE SCHLEGER"/>
    <d v="1972-10-15T00:00:00"/>
    <s v="S"/>
    <s v="M"/>
    <s v="yvonne2@adventure-works.com"/>
    <n v="30000"/>
    <n v="0"/>
    <s v="High School"/>
    <s v="Manual"/>
    <s v="N"/>
    <s v="Germany"/>
    <x v="4"/>
    <s v="Europe"/>
    <x v="0"/>
    <s v="Bikes"/>
    <n v="2443.35"/>
    <n v="1518.7864"/>
    <n v="924.56359999999995"/>
    <n v="0.37839998362903399"/>
  </r>
  <r>
    <x v="345"/>
    <d v="2002-05-30T00:00:00"/>
    <s v="SO47150"/>
    <n v="370"/>
    <n v="15625"/>
    <n v="8"/>
    <n v="1"/>
    <n v="1"/>
    <n v="2"/>
    <s v="BK-R89R-52"/>
    <x v="23"/>
    <n v="1518.7864"/>
    <n v="2443.35"/>
    <s v="MR."/>
    <s v="CLINTON"/>
    <s v="ALVAREZ"/>
    <s v="CLINTON ALVAREZ"/>
    <d v="1972-10-17T00:00:00"/>
    <s v="M"/>
    <s v="M"/>
    <s v="clinton1@adventure-works.com"/>
    <n v="40000"/>
    <n v="1"/>
    <s v="Partial College"/>
    <s v="Clerical"/>
    <s v="Y"/>
    <s v="Germany"/>
    <x v="4"/>
    <s v="Europe"/>
    <x v="0"/>
    <s v="Bikes"/>
    <n v="2443.35"/>
    <n v="1518.7864"/>
    <n v="924.56359999999995"/>
    <n v="0.37839998362903399"/>
  </r>
  <r>
    <x v="250"/>
    <d v="2002-06-19T00:00:00"/>
    <s v="SO47339"/>
    <n v="371"/>
    <n v="15626"/>
    <n v="8"/>
    <n v="1"/>
    <n v="1"/>
    <n v="2"/>
    <s v="BK-R89R-58"/>
    <x v="24"/>
    <n v="1320.6838"/>
    <n v="2181.5625"/>
    <s v="MR."/>
    <s v="EDUARDO"/>
    <s v="WHITE"/>
    <s v="EDUARDO WHITE"/>
    <d v="1972-07-23T00:00:00"/>
    <s v="M"/>
    <s v="M"/>
    <s v="eduardo11@adventure-works.com"/>
    <n v="40000"/>
    <n v="1"/>
    <s v="Partial College"/>
    <s v="Clerical"/>
    <s v="Y"/>
    <s v="Germany"/>
    <x v="4"/>
    <s v="Europe"/>
    <x v="0"/>
    <s v="Bikes"/>
    <n v="2181.5625"/>
    <n v="1320.6838"/>
    <n v="860.87869999999998"/>
    <n v="0.39461564818793898"/>
  </r>
  <r>
    <x v="305"/>
    <d v="2002-05-24T00:00:00"/>
    <s v="SO47232"/>
    <n v="373"/>
    <n v="15627"/>
    <n v="8"/>
    <n v="1"/>
    <n v="1"/>
    <n v="2"/>
    <s v="BK-R89B-44"/>
    <x v="19"/>
    <n v="1320.6838"/>
    <n v="2181.5625"/>
    <s v="MR."/>
    <s v="TROY"/>
    <s v="SRINI"/>
    <s v="TROY SRINI"/>
    <d v="1972-12-24T00:00:00"/>
    <s v="S"/>
    <s v="M"/>
    <s v="troy9@adventure-works.com"/>
    <n v="40000"/>
    <n v="2"/>
    <s v="Partial College"/>
    <s v="Clerical"/>
    <s v="Y"/>
    <s v="Germany"/>
    <x v="4"/>
    <s v="Europe"/>
    <x v="0"/>
    <s v="Bikes"/>
    <n v="2181.5625"/>
    <n v="1320.6838"/>
    <n v="860.87869999999998"/>
    <n v="0.39461564818793898"/>
  </r>
  <r>
    <x v="120"/>
    <d v="2002-02-05T00:00:00"/>
    <s v="SO45979"/>
    <n v="311"/>
    <n v="15630"/>
    <n v="10"/>
    <n v="1"/>
    <n v="1"/>
    <n v="2"/>
    <s v="BK-R93R-44"/>
    <x v="4"/>
    <n v="2171.2941999999998"/>
    <n v="3578.27"/>
    <s v="MS."/>
    <s v="NICHOLE"/>
    <s v="TANG"/>
    <s v="NICHOLE TANG"/>
    <d v="1971-05-03T00:00:00"/>
    <s v="S"/>
    <s v="F"/>
    <s v="nichole4@adventure-works.com"/>
    <n v="20000"/>
    <n v="0"/>
    <s v="Partial High School"/>
    <s v="Manual"/>
    <s v="N"/>
    <s v="United Kingdom"/>
    <x v="3"/>
    <s v="Europe"/>
    <x v="0"/>
    <s v="Bikes"/>
    <n v="3578.27"/>
    <n v="2171.2941999999998"/>
    <n v="1406.9757999999999"/>
    <n v="0.39320001006072802"/>
  </r>
  <r>
    <x v="120"/>
    <d v="2002-01-20T00:00:00"/>
    <s v="SO45980"/>
    <n v="312"/>
    <n v="15631"/>
    <n v="10"/>
    <n v="1"/>
    <n v="1"/>
    <n v="2"/>
    <s v="BK-R93R-48"/>
    <x v="0"/>
    <n v="2171.2941999999998"/>
    <n v="3578.27"/>
    <s v="MR."/>
    <s v="CLAYTON"/>
    <s v="ANDERSEN"/>
    <s v="CLAYTON ANDERSEN"/>
    <d v="1971-11-12T00:00:00"/>
    <s v="S"/>
    <s v="M"/>
    <s v="clayton31@adventure-works.com"/>
    <n v="20000"/>
    <n v="0"/>
    <s v="Partial High School"/>
    <s v="Manual"/>
    <s v="Y"/>
    <s v="United Kingdom"/>
    <x v="3"/>
    <s v="Europe"/>
    <x v="0"/>
    <s v="Bikes"/>
    <n v="3578.27"/>
    <n v="2171.2941999999998"/>
    <n v="1406.9757999999999"/>
    <n v="0.39320001006072802"/>
  </r>
  <r>
    <x v="129"/>
    <d v="2002-02-22T00:00:00"/>
    <s v="SO46185"/>
    <n v="314"/>
    <n v="15632"/>
    <n v="10"/>
    <n v="1"/>
    <n v="1"/>
    <n v="2"/>
    <s v="BK-R93R-56"/>
    <x v="2"/>
    <n v="2171.2941999999998"/>
    <n v="3578.27"/>
    <s v="MS."/>
    <s v="GLORIA"/>
    <s v="CARLSON"/>
    <s v="GLORIA CARLSON"/>
    <d v="1971-01-09T00:00:00"/>
    <s v="M"/>
    <s v="F"/>
    <s v="gloria19@adventure-works.com"/>
    <n v="20000"/>
    <n v="0"/>
    <s v="Partial High School"/>
    <s v="Manual"/>
    <s v="N"/>
    <s v="United Kingdom"/>
    <x v="3"/>
    <s v="Europe"/>
    <x v="0"/>
    <s v="Bikes"/>
    <n v="3578.27"/>
    <n v="2171.2941999999998"/>
    <n v="1406.9757999999999"/>
    <n v="0.39320001006072802"/>
  </r>
  <r>
    <x v="166"/>
    <d v="2002-05-29T00:00:00"/>
    <s v="SO47165"/>
    <n v="370"/>
    <n v="15649"/>
    <n v="8"/>
    <n v="1"/>
    <n v="1"/>
    <n v="2"/>
    <s v="BK-R89R-52"/>
    <x v="23"/>
    <n v="1518.7864"/>
    <n v="2443.35"/>
    <s v="MRS."/>
    <s v="MELINDA"/>
    <s v="JIMENEZ"/>
    <s v="MELINDA JIMENEZ"/>
    <d v="1943-04-11T00:00:00"/>
    <s v="M"/>
    <s v="F"/>
    <s v="melinda2@adventure-works.com"/>
    <n v="30000"/>
    <n v="1"/>
    <s v="Bachelors"/>
    <s v="Clerical"/>
    <s v="Y"/>
    <s v="Germany"/>
    <x v="4"/>
    <s v="Europe"/>
    <x v="0"/>
    <s v="Bikes"/>
    <n v="2443.35"/>
    <n v="1518.7864"/>
    <n v="924.56359999999995"/>
    <n v="0.37839998362903399"/>
  </r>
  <r>
    <x v="136"/>
    <d v="2002-05-04T00:00:00"/>
    <s v="SO46256"/>
    <n v="314"/>
    <n v="15652"/>
    <n v="10"/>
    <n v="1"/>
    <n v="1"/>
    <n v="2"/>
    <s v="BK-R93R-56"/>
    <x v="2"/>
    <n v="2171.2941999999998"/>
    <n v="3578.27"/>
    <s v="MRS."/>
    <s v="BARBARA"/>
    <s v="WANG"/>
    <s v="BARBARA WANG"/>
    <d v="1961-05-25T00:00:00"/>
    <s v="M"/>
    <s v="F"/>
    <s v="barbara11@adventure-works.com"/>
    <n v="30000"/>
    <n v="4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129"/>
    <d v="2002-03-14T00:00:00"/>
    <s v="SO46190"/>
    <n v="312"/>
    <n v="15653"/>
    <n v="10"/>
    <n v="1"/>
    <n v="1"/>
    <n v="2"/>
    <s v="BK-R93R-48"/>
    <x v="0"/>
    <n v="2171.2941999999998"/>
    <n v="3578.27"/>
    <s v="MR."/>
    <s v="GERALD"/>
    <s v="MADAN"/>
    <s v="GERALD MADAN"/>
    <d v="1961-06-07T00:00:00"/>
    <s v="S"/>
    <s v="M"/>
    <s v="gerald37@adventure-works.com"/>
    <n v="30000"/>
    <n v="3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105"/>
    <d v="2002-06-03T00:00:00"/>
    <s v="SO47283"/>
    <n v="373"/>
    <n v="15655"/>
    <n v="8"/>
    <n v="1"/>
    <n v="1"/>
    <n v="2"/>
    <s v="BK-R89B-44"/>
    <x v="19"/>
    <n v="1320.6838"/>
    <n v="2181.5625"/>
    <s v="MRS."/>
    <s v="DEANNA"/>
    <s v="GOMEZ"/>
    <s v="DEANNA GOMEZ"/>
    <d v="1960-11-02T00:00:00"/>
    <s v="M"/>
    <s v="F"/>
    <s v="deanna26@adventure-works.com"/>
    <n v="20000"/>
    <n v="1"/>
    <s v="Partial College"/>
    <s v="Manual"/>
    <s v="Y"/>
    <s v="Germany"/>
    <x v="4"/>
    <s v="Europe"/>
    <x v="0"/>
    <s v="Bikes"/>
    <n v="2181.5625"/>
    <n v="1320.6838"/>
    <n v="860.87869999999998"/>
    <n v="0.39461564818793898"/>
  </r>
  <r>
    <x v="166"/>
    <d v="2002-06-10T00:00:00"/>
    <s v="SO47166"/>
    <n v="368"/>
    <n v="15656"/>
    <n v="8"/>
    <n v="1"/>
    <n v="1"/>
    <n v="2"/>
    <s v="BK-R89R-44"/>
    <x v="22"/>
    <n v="1518.7864"/>
    <n v="2443.35"/>
    <s v="MR."/>
    <s v="DARRYL"/>
    <s v="ZHAO"/>
    <s v="DARRYL ZHAO"/>
    <d v="1960-06-15T00:00:00"/>
    <s v="S"/>
    <s v="M"/>
    <s v="darryl10@adventure-works.com"/>
    <n v="20000"/>
    <n v="1"/>
    <s v="Partial College"/>
    <s v="Manual"/>
    <s v="N"/>
    <s v="Germany"/>
    <x v="4"/>
    <s v="Europe"/>
    <x v="0"/>
    <s v="Bikes"/>
    <n v="2443.35"/>
    <n v="1518.7864"/>
    <n v="924.56359999999995"/>
    <n v="0.37839998362903399"/>
  </r>
  <r>
    <x v="64"/>
    <d v="2002-04-05T00:00:00"/>
    <s v="SO46166"/>
    <n v="313"/>
    <n v="15657"/>
    <n v="10"/>
    <n v="1"/>
    <n v="1"/>
    <n v="2"/>
    <s v="BK-R93R-52"/>
    <x v="3"/>
    <n v="2171.2941999999998"/>
    <n v="3578.27"/>
    <s v="MR."/>
    <s v="MARCUS"/>
    <s v="HAYES"/>
    <s v="MARCUS HAYES"/>
    <d v="1960-06-20T00:00:00"/>
    <s v="M"/>
    <s v="M"/>
    <s v="marcus72@adventure-works.com"/>
    <n v="30000"/>
    <n v="3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86"/>
    <d v="2002-07-08T00:00:00"/>
    <s v="SO47224"/>
    <n v="369"/>
    <n v="15659"/>
    <n v="8"/>
    <n v="1"/>
    <n v="1"/>
    <n v="2"/>
    <s v="BK-R89R-48"/>
    <x v="21"/>
    <n v="1518.7864"/>
    <n v="2443.35"/>
    <s v="MRS."/>
    <s v="ANGELA"/>
    <s v="RIVERA"/>
    <s v="ANGELA RIVERA"/>
    <d v="1959-02-14T00:00:00"/>
    <s v="M"/>
    <s v="F"/>
    <s v="angela43@adventure-works.com"/>
    <n v="20000"/>
    <n v="2"/>
    <s v="Partial College"/>
    <s v="Manual"/>
    <s v="Y"/>
    <s v="Germany"/>
    <x v="4"/>
    <s v="Europe"/>
    <x v="0"/>
    <s v="Bikes"/>
    <n v="2443.35"/>
    <n v="1518.7864"/>
    <n v="924.56359999999995"/>
    <n v="0.37839998362903399"/>
  </r>
  <r>
    <x v="163"/>
    <d v="2002-04-05T00:00:00"/>
    <s v="SO46519"/>
    <n v="310"/>
    <n v="15660"/>
    <n v="10"/>
    <n v="1"/>
    <n v="1"/>
    <n v="2"/>
    <s v="BK-R93R-62"/>
    <x v="1"/>
    <n v="2171.2941999999998"/>
    <n v="3578.27"/>
    <s v="MRS."/>
    <s v="APRIL"/>
    <s v="JAI"/>
    <s v="APRIL JAI"/>
    <d v="1959-09-02T00:00:00"/>
    <s v="M"/>
    <s v="F"/>
    <s v="april9@adventure-works.com"/>
    <n v="20000"/>
    <n v="2"/>
    <s v="Partial College"/>
    <s v="Manual"/>
    <s v="Y"/>
    <s v="United Kingdom"/>
    <x v="3"/>
    <s v="Europe"/>
    <x v="0"/>
    <s v="Bikes"/>
    <n v="3578.27"/>
    <n v="2171.2941999999998"/>
    <n v="1406.9757999999999"/>
    <n v="0.39320001006072802"/>
  </r>
  <r>
    <x v="156"/>
    <d v="2002-04-08T00:00:00"/>
    <s v="SO46441"/>
    <n v="312"/>
    <n v="15661"/>
    <n v="10"/>
    <n v="1"/>
    <n v="1"/>
    <n v="2"/>
    <s v="BK-R93R-48"/>
    <x v="0"/>
    <n v="2171.2941999999998"/>
    <n v="3578.27"/>
    <s v="MR."/>
    <s v="BRANDON"/>
    <s v="ROBINSON"/>
    <s v="BRANDON ROBINSON"/>
    <d v="1959-08-20T00:00:00"/>
    <s v="M"/>
    <s v="M"/>
    <s v="brandon48@adventure-works.com"/>
    <n v="30000"/>
    <n v="3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156"/>
    <d v="2002-03-18T00:00:00"/>
    <s v="SO46443"/>
    <n v="314"/>
    <n v="15662"/>
    <n v="10"/>
    <n v="1"/>
    <n v="1"/>
    <n v="2"/>
    <s v="BK-R93R-56"/>
    <x v="2"/>
    <n v="2171.2941999999998"/>
    <n v="3578.27"/>
    <s v="MRS."/>
    <s v="MEGAN"/>
    <s v="RICHARDSON"/>
    <s v="MEGAN RICHARDSON"/>
    <d v="1960-05-24T00:00:00"/>
    <s v="M"/>
    <s v="F"/>
    <s v="megan38@adventure-works.com"/>
    <n v="30000"/>
    <n v="3"/>
    <s v="Bachelors"/>
    <s v="Clerical"/>
    <s v="Y"/>
    <s v="United Kingdom"/>
    <x v="3"/>
    <s v="Europe"/>
    <x v="0"/>
    <s v="Bikes"/>
    <n v="3578.27"/>
    <n v="2171.2941999999998"/>
    <n v="1406.9757999999999"/>
    <n v="0.39320001006072802"/>
  </r>
  <r>
    <x v="239"/>
    <d v="2002-05-29T00:00:00"/>
    <s v="SO47094"/>
    <n v="377"/>
    <n v="15664"/>
    <n v="8"/>
    <n v="1"/>
    <n v="1"/>
    <n v="2"/>
    <s v="BK-R89B-52"/>
    <x v="20"/>
    <n v="1320.6838"/>
    <n v="2181.5625"/>
    <s v="MS."/>
    <s v="JILL"/>
    <s v="VAZQUEZ"/>
    <s v="JILL VAZQUEZ"/>
    <d v="1959-04-26T00:00:00"/>
    <s v="S"/>
    <s v="F"/>
    <s v="jill22@adventure-works.com"/>
    <n v="30000"/>
    <n v="0"/>
    <s v="Bachelors"/>
    <s v="Clerical"/>
    <s v="Y"/>
    <s v="Germany"/>
    <x v="4"/>
    <s v="Europe"/>
    <x v="0"/>
    <s v="Bikes"/>
    <n v="2181.5625"/>
    <n v="1320.6838"/>
    <n v="860.87869999999998"/>
    <n v="0.39461564818793898"/>
  </r>
  <r>
    <x v="236"/>
    <d v="2002-05-15T00:00:00"/>
    <s v="SO47071"/>
    <n v="369"/>
    <n v="15667"/>
    <n v="8"/>
    <n v="1"/>
    <n v="1"/>
    <n v="2"/>
    <s v="BK-R89R-48"/>
    <x v="21"/>
    <n v="1518.7864"/>
    <n v="2443.35"/>
    <s v="MR."/>
    <s v="HECTOR"/>
    <s v="RAMOS"/>
    <s v="HECTOR RAMOS"/>
    <d v="1970-09-17T00:00:00"/>
    <s v="M"/>
    <s v="M"/>
    <s v="hector15@adventure-works.com"/>
    <n v="30000"/>
    <n v="0"/>
    <s v="Bachelors"/>
    <s v="Clerical"/>
    <s v="Y"/>
    <s v="Germany"/>
    <x v="4"/>
    <s v="Europe"/>
    <x v="0"/>
    <s v="Bikes"/>
    <n v="2443.35"/>
    <n v="1518.7864"/>
    <n v="924.56359999999995"/>
    <n v="0.37839998362903399"/>
  </r>
  <r>
    <x v="173"/>
    <d v="2002-03-31T00:00:00"/>
    <s v="SO46571"/>
    <n v="313"/>
    <n v="15668"/>
    <n v="10"/>
    <n v="1"/>
    <n v="1"/>
    <n v="2"/>
    <s v="BK-R93R-52"/>
    <x v="3"/>
    <n v="2171.2941999999998"/>
    <n v="3578.27"/>
    <s v="MR."/>
    <s v="ERICK"/>
    <s v="FERNANDEZ"/>
    <s v="ERICK FERNANDEZ"/>
    <d v="1970-02-27T00:00:00"/>
    <s v="M"/>
    <s v="M"/>
    <s v="erick15@adventure-works.com"/>
    <n v="40000"/>
    <n v="0"/>
    <s v="Graduate Degree"/>
    <s v="Clerical"/>
    <s v="N"/>
    <s v="United Kingdom"/>
    <x v="3"/>
    <s v="Europe"/>
    <x v="0"/>
    <s v="Bikes"/>
    <n v="3578.27"/>
    <n v="2171.2941999999998"/>
    <n v="1406.9757999999999"/>
    <n v="0.39320001006072802"/>
  </r>
  <r>
    <x v="155"/>
    <d v="2002-03-10T00:00:00"/>
    <s v="SO46455"/>
    <n v="314"/>
    <n v="15669"/>
    <n v="10"/>
    <n v="1"/>
    <n v="1"/>
    <n v="2"/>
    <s v="BK-R93R-56"/>
    <x v="2"/>
    <n v="2171.2941999999998"/>
    <n v="3578.27"/>
    <s v="MS."/>
    <s v="PAUL"/>
    <s v="SUURS"/>
    <s v="PAUL SUURS"/>
    <d v="1970-04-24T00:00:00"/>
    <s v="M"/>
    <s v="F"/>
    <s v="paul8@adventure-works.com"/>
    <n v="40000"/>
    <n v="0"/>
    <s v="Graduate Degree"/>
    <s v="Clerical"/>
    <s v="Y"/>
    <s v="United Kingdom"/>
    <x v="3"/>
    <s v="Europe"/>
    <x v="0"/>
    <s v="Bikes"/>
    <n v="3578.27"/>
    <n v="2171.2941999999998"/>
    <n v="1406.9757999999999"/>
    <n v="0.39320001006072802"/>
  </r>
  <r>
    <x v="185"/>
    <d v="2002-07-27T00:00:00"/>
    <s v="SO47555"/>
    <n v="368"/>
    <n v="15674"/>
    <n v="8"/>
    <n v="1"/>
    <n v="1"/>
    <n v="2"/>
    <s v="BK-R89R-44"/>
    <x v="22"/>
    <n v="1518.7864"/>
    <n v="2443.35"/>
    <s v="MR."/>
    <s v="TOMMY"/>
    <s v="RAHEEM"/>
    <s v="TOMMY RAHEEM"/>
    <d v="1969-07-08T00:00:00"/>
    <s v="S"/>
    <s v="M"/>
    <s v="tommy14@adventure-works.com"/>
    <n v="30000"/>
    <n v="0"/>
    <s v="Bachelors"/>
    <s v="Clerical"/>
    <s v="Y"/>
    <s v="Germany"/>
    <x v="4"/>
    <s v="Europe"/>
    <x v="0"/>
    <s v="Bikes"/>
    <n v="2443.35"/>
    <n v="1518.7864"/>
    <n v="924.56359999999995"/>
    <n v="0.37839998362903399"/>
  </r>
  <r>
    <x v="321"/>
    <d v="2002-07-16T00:00:00"/>
    <s v="SO47513"/>
    <n v="368"/>
    <n v="15675"/>
    <n v="8"/>
    <n v="1"/>
    <n v="1"/>
    <n v="2"/>
    <s v="BK-R89R-44"/>
    <x v="22"/>
    <n v="1518.7864"/>
    <n v="2443.35"/>
    <s v="MR."/>
    <s v="JAY"/>
    <s v="ALONSO"/>
    <s v="JAY ALONSO"/>
    <d v="1969-10-16T00:00:00"/>
    <s v="M"/>
    <s v="M"/>
    <s v="jay37@adventure-works.com"/>
    <n v="40000"/>
    <n v="0"/>
    <s v="Graduate Degree"/>
    <s v="Clerical"/>
    <s v="Y"/>
    <s v="Germany"/>
    <x v="4"/>
    <s v="Europe"/>
    <x v="0"/>
    <s v="Bikes"/>
    <n v="2443.35"/>
    <n v="1518.7864"/>
    <n v="924.56359999999995"/>
    <n v="0.37839998362903399"/>
  </r>
  <r>
    <x v="321"/>
    <d v="2002-07-27T00:00:00"/>
    <s v="SO47514"/>
    <n v="377"/>
    <n v="15684"/>
    <n v="8"/>
    <n v="1"/>
    <n v="1"/>
    <n v="2"/>
    <s v="BK-R89B-52"/>
    <x v="20"/>
    <n v="1320.6838"/>
    <n v="2181.5625"/>
    <s v="MR."/>
    <s v="TYRONE"/>
    <s v="SUAREZ"/>
    <s v="TYRONE SUAREZ"/>
    <d v="1944-07-10T00:00:00"/>
    <s v="S"/>
    <s v="M"/>
    <s v="tyrone18@adventure-works.com"/>
    <n v="90000"/>
    <n v="5"/>
    <s v="Partial College"/>
    <s v="Professional"/>
    <s v="N"/>
    <s v="Germany"/>
    <x v="4"/>
    <s v="Europe"/>
    <x v="0"/>
    <s v="Bikes"/>
    <n v="2181.5625"/>
    <n v="1320.6838"/>
    <n v="860.87869999999998"/>
    <n v="0.39461564818793898"/>
  </r>
  <r>
    <x v="89"/>
    <d v="2002-07-04T00:00:00"/>
    <s v="SO47629"/>
    <n v="370"/>
    <n v="15685"/>
    <n v="8"/>
    <n v="1"/>
    <n v="1"/>
    <n v="2"/>
    <s v="BK-R89R-52"/>
    <x v="23"/>
    <n v="1518.7864"/>
    <n v="2443.35"/>
    <s v="MRS."/>
    <s v="ROBIN"/>
    <s v="VAZQUEZ"/>
    <s v="ROBIN VAZQUEZ"/>
    <d v="1944-06-09T00:00:00"/>
    <s v="M"/>
    <s v="F"/>
    <s v="robin11@adventure-works.com"/>
    <n v="110000"/>
    <n v="3"/>
    <s v="Bachelors"/>
    <s v="Management"/>
    <s v="Y"/>
    <s v="Germany"/>
    <x v="4"/>
    <s v="Europe"/>
    <x v="0"/>
    <s v="Bikes"/>
    <n v="2443.35"/>
    <n v="1518.7864"/>
    <n v="924.56359999999995"/>
    <n v="0.37839998362903399"/>
  </r>
  <r>
    <x v="157"/>
    <d v="2002-03-08T00:00:00"/>
    <s v="SO46595"/>
    <n v="312"/>
    <n v="15691"/>
    <n v="10"/>
    <n v="1"/>
    <n v="1"/>
    <n v="2"/>
    <s v="BK-R93R-48"/>
    <x v="0"/>
    <n v="2171.2941999999998"/>
    <n v="3578.27"/>
    <s v="MR."/>
    <s v="JULIAN"/>
    <s v="HENDERSON"/>
    <s v="JULIAN HENDERSON"/>
    <d v="1954-06-17T00:00:00"/>
    <s v="M"/>
    <s v="M"/>
    <s v="julian6@adventure-works.com"/>
    <n v="90000"/>
    <n v="3"/>
    <s v="High School"/>
    <s v="Professional"/>
    <s v="Y"/>
    <s v="United Kingdom"/>
    <x v="3"/>
    <s v="Europe"/>
    <x v="0"/>
    <s v="Bikes"/>
    <n v="3578.27"/>
    <n v="2171.2941999999998"/>
    <n v="1406.9757999999999"/>
    <n v="0.39320001006072802"/>
  </r>
  <r>
    <x v="79"/>
    <d v="2002-04-26T00:00:00"/>
    <s v="SO46404"/>
    <n v="312"/>
    <n v="15692"/>
    <n v="10"/>
    <n v="1"/>
    <n v="1"/>
    <n v="2"/>
    <s v="BK-R93R-48"/>
    <x v="0"/>
    <n v="2171.2941999999998"/>
    <n v="3578.27"/>
    <s v="MR."/>
    <s v="RYAN"/>
    <s v="GARCIA"/>
    <s v="RYAN GARCIA"/>
    <d v="1954-04-14T00:00:00"/>
    <s v="M"/>
    <s v="M"/>
    <s v="ryan52@adventure-works.com"/>
    <n v="90000"/>
    <n v="3"/>
    <s v="High School"/>
    <s v="Professional"/>
    <s v="Y"/>
    <s v="United Kingdom"/>
    <x v="3"/>
    <s v="Europe"/>
    <x v="0"/>
    <s v="Bikes"/>
    <n v="3578.27"/>
    <n v="2171.2941999999998"/>
    <n v="1406.9757999999999"/>
    <n v="0.39320001006072802"/>
  </r>
  <r>
    <x v="196"/>
    <d v="2002-08-27T00:00:00"/>
    <s v="SO47644"/>
    <n v="375"/>
    <n v="15693"/>
    <n v="8"/>
    <n v="1"/>
    <n v="1"/>
    <n v="2"/>
    <s v="BK-R89B-48"/>
    <x v="25"/>
    <n v="1320.6838"/>
    <n v="2181.5625"/>
    <s v="MRS."/>
    <s v="ISABEL"/>
    <s v="BARNES"/>
    <s v="ISABEL BARNES"/>
    <d v="1954-07-19T00:00:00"/>
    <s v="S"/>
    <s v="F"/>
    <s v="isabel3@adventure-works.com"/>
    <n v="90000"/>
    <n v="3"/>
    <s v="High School"/>
    <s v="Professional"/>
    <s v="Y"/>
    <s v="Germany"/>
    <x v="4"/>
    <s v="Europe"/>
    <x v="0"/>
    <s v="Bikes"/>
    <n v="2181.5625"/>
    <n v="1320.6838"/>
    <n v="860.87869999999998"/>
    <n v="0.39461564818793898"/>
  </r>
  <r>
    <x v="148"/>
    <d v="2002-02-10T00:00:00"/>
    <s v="SO46393"/>
    <n v="314"/>
    <n v="15695"/>
    <n v="10"/>
    <n v="1"/>
    <n v="1"/>
    <n v="2"/>
    <s v="BK-R93R-56"/>
    <x v="2"/>
    <n v="2171.2941999999998"/>
    <n v="3578.27"/>
    <s v="MR."/>
    <s v="BRUCE"/>
    <s v="GOMEZ"/>
    <s v="BRUCE GOMEZ"/>
    <d v="1954-06-18T00:00:00"/>
    <s v="M"/>
    <s v="M"/>
    <s v="bruce23@adventure-works.com"/>
    <n v="150000"/>
    <n v="3"/>
    <s v="Partial High School"/>
    <s v="Professional"/>
    <s v="Y"/>
    <s v="United Kingdom"/>
    <x v="3"/>
    <s v="Europe"/>
    <x v="0"/>
    <s v="Bikes"/>
    <n v="3578.27"/>
    <n v="2171.2941999999998"/>
    <n v="1406.9757999999999"/>
    <n v="0.39320001006072802"/>
  </r>
  <r>
    <x v="346"/>
    <d v="2002-07-13T00:00:00"/>
    <s v="SO47565"/>
    <n v="377"/>
    <n v="15697"/>
    <n v="8"/>
    <n v="1"/>
    <n v="1"/>
    <n v="2"/>
    <s v="BK-R89B-52"/>
    <x v="20"/>
    <n v="1320.6838"/>
    <n v="2181.5625"/>
    <s v="MRS."/>
    <s v="JULIA"/>
    <s v="MORRIS"/>
    <s v="JULIA MORRIS"/>
    <d v="1953-07-06T00:00:00"/>
    <s v="M"/>
    <s v="F"/>
    <s v="julia48@adventure-works.com"/>
    <n v="110000"/>
    <n v="2"/>
    <s v="Partial College"/>
    <s v="Professional"/>
    <s v="Y"/>
    <s v="Germany"/>
    <x v="4"/>
    <s v="Europe"/>
    <x v="0"/>
    <s v="Bikes"/>
    <n v="2181.5625"/>
    <n v="1320.6838"/>
    <n v="860.87869999999998"/>
    <n v="0.39461564818793898"/>
  </r>
  <r>
    <x v="194"/>
    <d v="2002-05-21T00:00:00"/>
    <s v="SO46739"/>
    <n v="373"/>
    <n v="15699"/>
    <n v="10"/>
    <n v="1"/>
    <n v="1"/>
    <n v="2"/>
    <s v="BK-R89B-44"/>
    <x v="19"/>
    <n v="1320.6838"/>
    <n v="2181.5625"/>
    <s v="MR."/>
    <s v="JONATHON"/>
    <s v="HERNANDEZ"/>
    <s v="JONATHON HERNANDEZ"/>
    <d v="1953-09-11T00:00:00"/>
    <s v="M"/>
    <s v="M"/>
    <s v="jonathon0@adventure-works.com"/>
    <n v="170000"/>
    <n v="0"/>
    <s v="Bachelors"/>
    <s v="Management"/>
    <s v="Y"/>
    <s v="United Kingdom"/>
    <x v="3"/>
    <s v="Europe"/>
    <x v="0"/>
    <s v="Bikes"/>
    <n v="2181.5625"/>
    <n v="1320.6838"/>
    <n v="860.87869999999998"/>
    <n v="0.39461564818793898"/>
  </r>
  <r>
    <x v="207"/>
    <d v="2002-06-21T00:00:00"/>
    <s v="SO46769"/>
    <n v="377"/>
    <n v="15702"/>
    <n v="10"/>
    <n v="1"/>
    <n v="1"/>
    <n v="2"/>
    <s v="BK-R89B-52"/>
    <x v="20"/>
    <n v="1320.6838"/>
    <n v="2181.5625"/>
    <s v="MRS."/>
    <s v="RUTH"/>
    <s v="MEHTA"/>
    <s v="RUTH MEHTA"/>
    <d v="1952-08-18T00:00:00"/>
    <s v="M"/>
    <s v="F"/>
    <s v="ruth18@adventure-works.com"/>
    <n v="130000"/>
    <n v="4"/>
    <s v="High School"/>
    <s v="Professional"/>
    <s v="Y"/>
    <s v="United Kingdom"/>
    <x v="3"/>
    <s v="Europe"/>
    <x v="0"/>
    <s v="Bikes"/>
    <n v="2181.5625"/>
    <n v="1320.6838"/>
    <n v="860.87869999999998"/>
    <n v="0.39461564818793898"/>
  </r>
  <r>
    <x v="267"/>
    <d v="2002-07-13T00:00:00"/>
    <s v="SO47462"/>
    <n v="375"/>
    <n v="15926"/>
    <n v="8"/>
    <n v="1"/>
    <n v="1"/>
    <n v="2"/>
    <s v="BK-R89B-48"/>
    <x v="25"/>
    <n v="1320.6838"/>
    <n v="2181.5625"/>
    <s v="MRS."/>
    <s v="DONNA"/>
    <s v="DENG"/>
    <s v="DONNA DENG"/>
    <d v="1956-02-12T00:00:00"/>
    <s v="S"/>
    <s v="F"/>
    <s v="donna2@adventure-works.com"/>
    <n v="120000"/>
    <n v="3"/>
    <s v="High School"/>
    <s v="Professional"/>
    <s v="Y"/>
    <s v="Germany"/>
    <x v="4"/>
    <s v="Europe"/>
    <x v="0"/>
    <s v="Bikes"/>
    <n v="2181.5625"/>
    <n v="1320.6838"/>
    <n v="860.87869999999998"/>
    <n v="0.39461564818793898"/>
  </r>
  <r>
    <x v="182"/>
    <d v="2002-07-27T00:00:00"/>
    <s v="SO47494"/>
    <n v="373"/>
    <n v="15927"/>
    <n v="8"/>
    <n v="1"/>
    <n v="1"/>
    <n v="2"/>
    <s v="BK-R89B-44"/>
    <x v="19"/>
    <n v="1320.6838"/>
    <n v="2181.5625"/>
    <s v="MR."/>
    <s v="GILBERT"/>
    <s v="HUANG"/>
    <s v="GILBERT HUANG"/>
    <d v="1956-12-04T00:00:00"/>
    <s v="S"/>
    <s v="M"/>
    <s v="gilbert5@adventure-works.com"/>
    <n v="120000"/>
    <n v="3"/>
    <s v="High School"/>
    <s v="Professional"/>
    <s v="Y"/>
    <s v="Germany"/>
    <x v="4"/>
    <s v="Europe"/>
    <x v="0"/>
    <s v="Bikes"/>
    <n v="2181.5625"/>
    <n v="1320.6838"/>
    <n v="860.87869999999998"/>
    <n v="0.39461564818793898"/>
  </r>
  <r>
    <x v="308"/>
    <d v="2002-06-04T00:00:00"/>
    <s v="SO47606"/>
    <n v="375"/>
    <n v="15928"/>
    <n v="8"/>
    <n v="1"/>
    <n v="1"/>
    <n v="2"/>
    <s v="BK-R89B-48"/>
    <x v="25"/>
    <n v="1320.6838"/>
    <n v="2181.5625"/>
    <s v="MRS."/>
    <s v="PRISCILLA"/>
    <s v="PAL"/>
    <s v="PRISCILLA PAL"/>
    <d v="1956-05-08T00:00:00"/>
    <s v="S"/>
    <s v="F"/>
    <s v="priscilla10@adventure-works.com"/>
    <n v="120000"/>
    <n v="3"/>
    <s v="High School"/>
    <s v="Professional"/>
    <s v="Y"/>
    <s v="Germany"/>
    <x v="4"/>
    <s v="Europe"/>
    <x v="0"/>
    <s v="Bikes"/>
    <n v="2181.5625"/>
    <n v="1320.6838"/>
    <n v="860.87869999999998"/>
    <n v="0.39461564818793898"/>
  </r>
  <r>
    <x v="88"/>
    <d v="2002-03-30T00:00:00"/>
    <s v="SO46779"/>
    <n v="377"/>
    <n v="15929"/>
    <n v="10"/>
    <n v="1"/>
    <n v="1"/>
    <n v="2"/>
    <s v="BK-R89B-52"/>
    <x v="20"/>
    <n v="1320.6838"/>
    <n v="2181.5625"/>
    <s v="MRS."/>
    <s v="KARLA"/>
    <s v="RAJI"/>
    <s v="KARLA RAJI"/>
    <d v="1956-08-10T00:00:00"/>
    <s v="M"/>
    <s v="F"/>
    <s v="karla22@adventure-works.com"/>
    <n v="150000"/>
    <n v="3"/>
    <s v="High School"/>
    <s v="Professional"/>
    <s v="Y"/>
    <s v="United Kingdom"/>
    <x v="3"/>
    <s v="Europe"/>
    <x v="0"/>
    <s v="Bikes"/>
    <n v="2181.5625"/>
    <n v="1320.6838"/>
    <n v="860.87869999999998"/>
    <n v="0.39461564818793898"/>
  </r>
  <r>
    <x v="347"/>
    <d v="2002-08-16T00:00:00"/>
    <s v="SO47491"/>
    <n v="369"/>
    <n v="15932"/>
    <n v="8"/>
    <n v="1"/>
    <n v="1"/>
    <n v="2"/>
    <s v="BK-R89R-48"/>
    <x v="21"/>
    <n v="1518.7864"/>
    <n v="2443.35"/>
    <s v="MRS."/>
    <s v="TABITHA"/>
    <s v="JIMENEZ"/>
    <s v="TABITHA JIMENEZ"/>
    <d v="1955-09-11T00:00:00"/>
    <s v="M"/>
    <s v="F"/>
    <s v="tabitha25@adventure-works.com"/>
    <n v="130000"/>
    <n v="3"/>
    <s v="Partial College"/>
    <s v="Professional"/>
    <s v="Y"/>
    <s v="Germany"/>
    <x v="4"/>
    <s v="Europe"/>
    <x v="0"/>
    <s v="Bikes"/>
    <n v="2443.35"/>
    <n v="1518.7864"/>
    <n v="924.56359999999995"/>
    <n v="0.37839998362903399"/>
  </r>
  <r>
    <x v="225"/>
    <d v="2002-05-12T00:00:00"/>
    <s v="SO46885"/>
    <n v="373"/>
    <n v="15933"/>
    <n v="10"/>
    <n v="1"/>
    <n v="1"/>
    <n v="2"/>
    <s v="BK-R89B-44"/>
    <x v="19"/>
    <n v="1320.6838"/>
    <n v="2181.5625"/>
    <s v="MR."/>
    <s v="CLINTON"/>
    <s v="DOMINGUEZ"/>
    <s v="CLINTON DOMINGUEZ"/>
    <d v="1955-02-03T00:00:00"/>
    <s v="S"/>
    <s v="M"/>
    <s v="clinton9@adventure-works.com"/>
    <n v="160000"/>
    <n v="2"/>
    <s v="High School"/>
    <s v="Professional"/>
    <s v="N"/>
    <s v="United Kingdom"/>
    <x v="3"/>
    <s v="Europe"/>
    <x v="0"/>
    <s v="Bikes"/>
    <n v="2181.5625"/>
    <n v="1320.6838"/>
    <n v="860.87869999999998"/>
    <n v="0.39461564818793898"/>
  </r>
  <r>
    <x v="203"/>
    <d v="2002-05-31T00:00:00"/>
    <s v="SO46759"/>
    <n v="373"/>
    <n v="16033"/>
    <n v="10"/>
    <n v="1"/>
    <n v="1"/>
    <n v="2"/>
    <s v="BK-R89B-44"/>
    <x v="19"/>
    <n v="1320.6838"/>
    <n v="2181.5625"/>
    <s v="MS."/>
    <s v="ERICA"/>
    <s v="LIN"/>
    <s v="ERICA LIN"/>
    <d v="1971-10-15T00:00:00"/>
    <s v="M"/>
    <s v="F"/>
    <s v="erica7@adventure-works.com"/>
    <n v="10000"/>
    <n v="0"/>
    <s v="Graduate Degree"/>
    <s v="Manual"/>
    <s v="Y"/>
    <s v="United Kingdom"/>
    <x v="3"/>
    <s v="Europe"/>
    <x v="0"/>
    <s v="Bikes"/>
    <n v="2181.5625"/>
    <n v="1320.6838"/>
    <n v="860.87869999999998"/>
    <n v="0.39461564818793898"/>
  </r>
  <r>
    <x v="83"/>
    <d v="2002-06-29T00:00:00"/>
    <s v="SO46864"/>
    <n v="373"/>
    <n v="16045"/>
    <n v="10"/>
    <n v="1"/>
    <n v="1"/>
    <n v="2"/>
    <s v="BK-R89B-44"/>
    <x v="19"/>
    <n v="1320.6838"/>
    <n v="2181.5625"/>
    <s v="MRS."/>
    <s v="EVELYN"/>
    <s v="SARA"/>
    <s v="EVELYN SARA"/>
    <d v="1958-07-04T00:00:00"/>
    <s v="M"/>
    <s v="F"/>
    <s v="evelyn11@adventure-works.com"/>
    <n v="20000"/>
    <n v="1"/>
    <s v="Graduate Degree"/>
    <s v="Clerical"/>
    <s v="Y"/>
    <s v="United Kingdom"/>
    <x v="3"/>
    <s v="Europe"/>
    <x v="0"/>
    <s v="Bikes"/>
    <n v="2181.5625"/>
    <n v="1320.6838"/>
    <n v="860.87869999999998"/>
    <n v="0.39461564818793898"/>
  </r>
  <r>
    <x v="97"/>
    <d v="2002-05-26T00:00:00"/>
    <s v="SO46721"/>
    <n v="370"/>
    <n v="16046"/>
    <n v="10"/>
    <n v="1"/>
    <n v="1"/>
    <n v="2"/>
    <s v="BK-R89R-52"/>
    <x v="23"/>
    <n v="1518.7864"/>
    <n v="2443.35"/>
    <s v="MRS."/>
    <s v="ROBYN"/>
    <s v="GOMEZ"/>
    <s v="ROBYN GOMEZ"/>
    <d v="1958-08-20T00:00:00"/>
    <s v="S"/>
    <s v="F"/>
    <s v="robyn0@adventure-works.com"/>
    <n v="20000"/>
    <n v="1"/>
    <s v="Graduate Degree"/>
    <s v="Clerical"/>
    <s v="Y"/>
    <s v="United Kingdom"/>
    <x v="3"/>
    <s v="Europe"/>
    <x v="0"/>
    <s v="Bikes"/>
    <n v="2443.35"/>
    <n v="1518.7864"/>
    <n v="924.56359999999995"/>
    <n v="0.37839998362903399"/>
  </r>
  <r>
    <x v="235"/>
    <d v="2002-06-06T00:00:00"/>
    <s v="SO46905"/>
    <n v="375"/>
    <n v="16053"/>
    <n v="10"/>
    <n v="1"/>
    <n v="1"/>
    <n v="2"/>
    <s v="BK-R89B-48"/>
    <x v="25"/>
    <n v="1320.6838"/>
    <n v="2181.5625"/>
    <s v="MR."/>
    <s v="FREDERICK"/>
    <s v="PEREZ"/>
    <s v="FREDERICK PEREZ"/>
    <d v="1956-06-18T00:00:00"/>
    <s v="M"/>
    <s v="M"/>
    <s v="frederick18@adventure-works.com"/>
    <n v="20000"/>
    <n v="1"/>
    <s v="Bachelors"/>
    <s v="Clerical"/>
    <s v="Y"/>
    <s v="United Kingdom"/>
    <x v="3"/>
    <s v="Europe"/>
    <x v="0"/>
    <s v="Bikes"/>
    <n v="2181.5625"/>
    <n v="1320.6838"/>
    <n v="860.87869999999998"/>
    <n v="0.39461564818793898"/>
  </r>
  <r>
    <x v="199"/>
    <d v="2002-04-26T00:00:00"/>
    <s v="SO46750"/>
    <n v="377"/>
    <n v="16054"/>
    <n v="10"/>
    <n v="1"/>
    <n v="1"/>
    <n v="2"/>
    <s v="BK-R89B-52"/>
    <x v="20"/>
    <n v="1320.6838"/>
    <n v="2181.5625"/>
    <s v="MR."/>
    <s v="HECTOR"/>
    <s v="ORTEGA"/>
    <s v="HECTOR ORTEGA"/>
    <d v="1956-06-19T00:00:00"/>
    <s v="S"/>
    <s v="M"/>
    <s v="hector19@adventure-works.com"/>
    <n v="20000"/>
    <n v="1"/>
    <s v="Bachelors"/>
    <s v="Clerical"/>
    <s v="Y"/>
    <s v="United Kingdom"/>
    <x v="3"/>
    <s v="Europe"/>
    <x v="0"/>
    <s v="Bikes"/>
    <n v="2181.5625"/>
    <n v="1320.6838"/>
    <n v="860.87869999999998"/>
    <n v="0.39461564818793898"/>
  </r>
  <r>
    <x v="182"/>
    <d v="2002-08-24T00:00:00"/>
    <s v="SO47495"/>
    <n v="368"/>
    <n v="16196"/>
    <n v="8"/>
    <n v="1"/>
    <n v="1"/>
    <n v="2"/>
    <s v="BK-R89R-44"/>
    <x v="22"/>
    <n v="1518.7864"/>
    <n v="2443.35"/>
    <s v="MR."/>
    <s v="KURT"/>
    <s v="RAHEEM"/>
    <s v="KURT RAHEEM"/>
    <d v="1973-10-21T00:00:00"/>
    <s v="M"/>
    <s v="M"/>
    <s v="kurt18@adventure-works.com"/>
    <n v="40000"/>
    <n v="1"/>
    <s v="Bachelors"/>
    <s v="Skilled Manual"/>
    <s v="Y"/>
    <s v="Germany"/>
    <x v="4"/>
    <s v="Europe"/>
    <x v="0"/>
    <s v="Bikes"/>
    <n v="2443.35"/>
    <n v="1518.7864"/>
    <n v="924.56359999999995"/>
    <n v="0.37839998362903399"/>
  </r>
  <r>
    <x v="269"/>
    <d v="2002-06-30T00:00:00"/>
    <s v="SO47579"/>
    <n v="371"/>
    <n v="16197"/>
    <n v="8"/>
    <n v="1"/>
    <n v="1"/>
    <n v="2"/>
    <s v="BK-R89R-58"/>
    <x v="24"/>
    <n v="1320.6838"/>
    <n v="2181.5625"/>
    <s v="MS."/>
    <s v="HEIDI"/>
    <s v="PRASAD"/>
    <s v="HEIDI PRASAD"/>
    <d v="1972-08-19T00:00:00"/>
    <s v="S"/>
    <s v="F"/>
    <s v="heidi11@adventure-works.com"/>
    <n v="20000"/>
    <n v="0"/>
    <s v="Partial High School"/>
    <s v="Manual"/>
    <s v="N"/>
    <s v="Germany"/>
    <x v="4"/>
    <s v="Europe"/>
    <x v="0"/>
    <s v="Bikes"/>
    <n v="2181.5625"/>
    <n v="1320.6838"/>
    <n v="860.87869999999998"/>
    <n v="0.39461564818793898"/>
  </r>
  <r>
    <x v="318"/>
    <d v="2002-07-25T00:00:00"/>
    <s v="SO47596"/>
    <n v="373"/>
    <n v="16199"/>
    <n v="8"/>
    <n v="1"/>
    <n v="1"/>
    <n v="2"/>
    <s v="BK-R89B-44"/>
    <x v="19"/>
    <n v="1320.6838"/>
    <n v="2181.5625"/>
    <s v="MR."/>
    <s v="TERRENCE"/>
    <s v="XIE"/>
    <s v="TERRENCE XIE"/>
    <d v="1972-08-18T00:00:00"/>
    <s v="S"/>
    <s v="M"/>
    <s v="terrence3@adventure-works.com"/>
    <n v="40000"/>
    <n v="2"/>
    <s v="Partial College"/>
    <s v="Clerical"/>
    <s v="Y"/>
    <s v="Germany"/>
    <x v="4"/>
    <s v="Europe"/>
    <x v="0"/>
    <s v="Bikes"/>
    <n v="2181.5625"/>
    <n v="1320.6838"/>
    <n v="860.87869999999998"/>
    <n v="0.39461564818793898"/>
  </r>
  <r>
    <x v="95"/>
    <d v="2002-05-02T00:00:00"/>
    <s v="SO46848"/>
    <n v="371"/>
    <n v="16201"/>
    <n v="10"/>
    <n v="1"/>
    <n v="1"/>
    <n v="2"/>
    <s v="BK-R89R-58"/>
    <x v="24"/>
    <n v="1320.6838"/>
    <n v="2181.5625"/>
    <s v="MR."/>
    <s v="ROSS"/>
    <s v="MARTIN"/>
    <s v="ROSS MARTIN"/>
    <d v="1971-09-06T00:00:00"/>
    <s v="S"/>
    <s v="M"/>
    <s v="ross21@adventure-works.com"/>
    <n v="20000"/>
    <n v="0"/>
    <s v="Partial High School"/>
    <s v="Manual"/>
    <s v="Y"/>
    <s v="United Kingdom"/>
    <x v="3"/>
    <s v="Europe"/>
    <x v="0"/>
    <s v="Bikes"/>
    <n v="2181.5625"/>
    <n v="1320.6838"/>
    <n v="860.87869999999998"/>
    <n v="0.39461564818793898"/>
  </r>
  <r>
    <x v="332"/>
    <d v="2002-08-23T00:00:00"/>
    <s v="SO47845"/>
    <n v="369"/>
    <n v="16206"/>
    <n v="8"/>
    <n v="1"/>
    <n v="1"/>
    <n v="2"/>
    <s v="BK-R89R-48"/>
    <x v="21"/>
    <n v="1518.7864"/>
    <n v="2443.35"/>
    <s v="MRS."/>
    <s v="CINDY"/>
    <s v="LEWIS"/>
    <s v="CINDY LEWIS"/>
    <d v="1971-05-19T00:00:00"/>
    <s v="S"/>
    <s v="F"/>
    <s v="cindy21@adventure-works.com"/>
    <n v="40000"/>
    <n v="2"/>
    <s v="Partial College"/>
    <s v="Clerical"/>
    <s v="Y"/>
    <s v="Germany"/>
    <x v="4"/>
    <s v="Europe"/>
    <x v="0"/>
    <s v="Bikes"/>
    <n v="2443.35"/>
    <n v="1518.7864"/>
    <n v="924.56359999999995"/>
    <n v="0.37839998362903399"/>
  </r>
  <r>
    <x v="276"/>
    <d v="2002-06-15T00:00:00"/>
    <s v="SO47792"/>
    <n v="369"/>
    <n v="16207"/>
    <n v="8"/>
    <n v="1"/>
    <n v="1"/>
    <n v="2"/>
    <s v="BK-R89R-48"/>
    <x v="21"/>
    <n v="1518.7864"/>
    <n v="2443.35"/>
    <s v="MR."/>
    <s v="JORDAN"/>
    <s v="SHAN"/>
    <s v="JORDAN SHAN"/>
    <d v="1971-03-13T00:00:00"/>
    <s v="S"/>
    <s v="M"/>
    <s v="jordan27@adventure-works.com"/>
    <n v="40000"/>
    <n v="2"/>
    <s v="Partial College"/>
    <s v="Clerical"/>
    <s v="Y"/>
    <s v="Germany"/>
    <x v="4"/>
    <s v="Europe"/>
    <x v="0"/>
    <s v="Bikes"/>
    <n v="2443.35"/>
    <n v="1518.7864"/>
    <n v="924.56359999999995"/>
    <n v="0.37839998362903399"/>
  </r>
  <r>
    <x v="305"/>
    <d v="2002-06-21T00:00:00"/>
    <s v="SO47233"/>
    <n v="379"/>
    <n v="16250"/>
    <n v="10"/>
    <n v="1"/>
    <n v="1"/>
    <n v="2"/>
    <s v="BK-R89B-58"/>
    <x v="26"/>
    <n v="1320.6838"/>
    <n v="2181.5625"/>
    <s v="MR."/>
    <s v="BRENDAN"/>
    <s v="RAJE"/>
    <s v="BRENDAN RAJE"/>
    <d v="1968-05-21T00:00:00"/>
    <s v="S"/>
    <s v="M"/>
    <s v="brendan12@adventure-works.com"/>
    <n v="40000"/>
    <n v="0"/>
    <s v="Graduate Degree"/>
    <s v="Clerical"/>
    <s v="Y"/>
    <s v="United Kingdom"/>
    <x v="3"/>
    <s v="Europe"/>
    <x v="0"/>
    <s v="Bikes"/>
    <n v="2181.5625"/>
    <n v="1320.6838"/>
    <n v="860.87869999999998"/>
    <n v="0.39461564818793898"/>
  </r>
  <r>
    <x v="201"/>
    <d v="2002-08-15T00:00:00"/>
    <s v="SO47812"/>
    <n v="377"/>
    <n v="16252"/>
    <n v="8"/>
    <n v="1"/>
    <n v="1"/>
    <n v="2"/>
    <s v="BK-R89B-52"/>
    <x v="20"/>
    <n v="1320.6838"/>
    <n v="2181.5625"/>
    <s v="MR."/>
    <s v="DANNY"/>
    <s v="JIM�NEZ"/>
    <s v="DANNY JIM�NEZ"/>
    <d v="1967-09-22T00:00:00"/>
    <s v="S"/>
    <s v="M"/>
    <s v="danny6@adventure-works.com"/>
    <n v="10000"/>
    <n v="3"/>
    <s v="Partial High School"/>
    <s v="Manual"/>
    <s v="Y"/>
    <s v="Germany"/>
    <x v="4"/>
    <s v="Europe"/>
    <x v="0"/>
    <s v="Bikes"/>
    <n v="2181.5625"/>
    <n v="1320.6838"/>
    <n v="860.87869999999998"/>
    <n v="0.39461564818793898"/>
  </r>
  <r>
    <x v="272"/>
    <d v="2002-08-22T00:00:00"/>
    <s v="SO47747"/>
    <n v="371"/>
    <n v="16253"/>
    <n v="8"/>
    <n v="1"/>
    <n v="1"/>
    <n v="2"/>
    <s v="BK-R89R-58"/>
    <x v="24"/>
    <n v="1320.6838"/>
    <n v="2181.5625"/>
    <s v="MRS."/>
    <s v="BETHANY"/>
    <s v="LAL"/>
    <s v="BETHANY LAL"/>
    <d v="1967-09-03T00:00:00"/>
    <s v="S"/>
    <s v="F"/>
    <s v="bethany12@adventure-works.com"/>
    <n v="20000"/>
    <n v="1"/>
    <s v="Partial College"/>
    <s v="Manual"/>
    <s v="N"/>
    <s v="Germany"/>
    <x v="4"/>
    <s v="Europe"/>
    <x v="0"/>
    <s v="Bikes"/>
    <n v="2181.5625"/>
    <n v="1320.6838"/>
    <n v="860.87869999999998"/>
    <n v="0.39461564818793898"/>
  </r>
  <r>
    <x v="102"/>
    <d v="2002-06-29T00:00:00"/>
    <s v="SO47101"/>
    <n v="371"/>
    <n v="16260"/>
    <n v="10"/>
    <n v="1"/>
    <n v="1"/>
    <n v="2"/>
    <s v="BK-R89R-58"/>
    <x v="24"/>
    <n v="1320.6838"/>
    <n v="2181.5625"/>
    <s v="MRS."/>
    <s v="GINA"/>
    <s v="SCHMIDT"/>
    <s v="GINA SCHMIDT"/>
    <d v="1966-02-20T00:00:00"/>
    <s v="S"/>
    <s v="F"/>
    <s v="gina20@adventure-works.com"/>
    <n v="20000"/>
    <n v="1"/>
    <s v="High School"/>
    <s v="Manual"/>
    <s v="N"/>
    <s v="United Kingdom"/>
    <x v="3"/>
    <s v="Europe"/>
    <x v="0"/>
    <s v="Bikes"/>
    <n v="2181.5625"/>
    <n v="1320.6838"/>
    <n v="860.87869999999998"/>
    <n v="0.39461564818793898"/>
  </r>
  <r>
    <x v="342"/>
    <d v="2002-07-02T00:00:00"/>
    <s v="SO47890"/>
    <n v="370"/>
    <n v="16263"/>
    <n v="8"/>
    <n v="1"/>
    <n v="1"/>
    <n v="2"/>
    <s v="BK-R89R-52"/>
    <x v="23"/>
    <n v="1518.7864"/>
    <n v="2443.35"/>
    <s v="MR."/>
    <s v="EDUARDO"/>
    <s v="ROBINSON"/>
    <s v="EDUARDO ROBINSON"/>
    <d v="1967-06-11T00:00:00"/>
    <s v="M"/>
    <s v="M"/>
    <s v="eduardo17@adventure-works.com"/>
    <n v="40000"/>
    <n v="0"/>
    <s v="Bachelors"/>
    <s v="Clerical"/>
    <s v="Y"/>
    <s v="Germany"/>
    <x v="4"/>
    <s v="Europe"/>
    <x v="0"/>
    <s v="Bikes"/>
    <n v="2443.35"/>
    <n v="1518.7864"/>
    <n v="924.56359999999995"/>
    <n v="0.37839998362903399"/>
  </r>
  <r>
    <x v="266"/>
    <d v="2002-08-28T00:00:00"/>
    <s v="SO47824"/>
    <n v="368"/>
    <n v="16267"/>
    <n v="8"/>
    <n v="1"/>
    <n v="1"/>
    <n v="2"/>
    <s v="BK-R89R-44"/>
    <x v="22"/>
    <n v="1518.7864"/>
    <n v="2443.35"/>
    <s v="MR."/>
    <s v="EDWIN"/>
    <s v="CHEN"/>
    <s v="EDWIN CHEN"/>
    <d v="1966-10-23T00:00:00"/>
    <s v="M"/>
    <s v="M"/>
    <s v="edwin2@adventure-works.com"/>
    <n v="30000"/>
    <n v="1"/>
    <s v="Bachelors"/>
    <s v="Skilled Manual"/>
    <s v="Y"/>
    <s v="Germany"/>
    <x v="4"/>
    <s v="Europe"/>
    <x v="0"/>
    <s v="Bikes"/>
    <n v="2443.35"/>
    <n v="1518.7864"/>
    <n v="924.56359999999995"/>
    <n v="0.37839998362903399"/>
  </r>
  <r>
    <x v="209"/>
    <d v="2002-07-21T00:00:00"/>
    <s v="SO47779"/>
    <n v="375"/>
    <n v="16269"/>
    <n v="8"/>
    <n v="1"/>
    <n v="1"/>
    <n v="2"/>
    <s v="BK-R89B-48"/>
    <x v="25"/>
    <n v="1320.6838"/>
    <n v="2181.5625"/>
    <s v="MRS."/>
    <s v="TARA"/>
    <s v="NATH"/>
    <s v="TARA NATH"/>
    <d v="1966-02-25T00:00:00"/>
    <s v="M"/>
    <s v="F"/>
    <s v="tara19@adventure-works.com"/>
    <n v="30000"/>
    <n v="1"/>
    <s v="Bachelors"/>
    <s v="Skilled Manual"/>
    <s v="Y"/>
    <s v="Germany"/>
    <x v="4"/>
    <s v="Europe"/>
    <x v="0"/>
    <s v="Bikes"/>
    <n v="2181.5625"/>
    <n v="1320.6838"/>
    <n v="860.87869999999998"/>
    <n v="0.39461564818793898"/>
  </r>
  <r>
    <x v="310"/>
    <d v="2002-09-01T00:00:00"/>
    <s v="SO47933"/>
    <n v="373"/>
    <n v="16270"/>
    <n v="8"/>
    <n v="1"/>
    <n v="1"/>
    <n v="2"/>
    <s v="BK-R89B-44"/>
    <x v="19"/>
    <n v="1320.6838"/>
    <n v="2181.5625"/>
    <s v="MR."/>
    <s v="JEROME"/>
    <s v="HERNANDEZ"/>
    <s v="JEROME HERNANDEZ"/>
    <d v="1966-06-10T00:00:00"/>
    <s v="M"/>
    <s v="M"/>
    <s v="jerome4@adventure-works.com"/>
    <n v="30000"/>
    <n v="1"/>
    <s v="Bachelors"/>
    <s v="Skilled Manual"/>
    <s v="Y"/>
    <s v="Germany"/>
    <x v="4"/>
    <s v="Europe"/>
    <x v="0"/>
    <s v="Bikes"/>
    <n v="2181.5625"/>
    <n v="1320.6838"/>
    <n v="860.87869999999998"/>
    <n v="0.39461564818793898"/>
  </r>
  <r>
    <x v="309"/>
    <d v="2002-07-04T00:00:00"/>
    <s v="SO47956"/>
    <n v="369"/>
    <n v="16271"/>
    <n v="8"/>
    <n v="1"/>
    <n v="1"/>
    <n v="2"/>
    <s v="BK-R89R-48"/>
    <x v="21"/>
    <n v="1518.7864"/>
    <n v="2443.35"/>
    <s v="MRS."/>
    <s v="MICHELE"/>
    <s v="GUTIERREZ"/>
    <s v="MICHELE GUTIERREZ"/>
    <d v="1965-06-13T00:00:00"/>
    <s v="S"/>
    <s v="F"/>
    <s v="michele44@adventure-works.com"/>
    <n v="20000"/>
    <n v="2"/>
    <s v="High School"/>
    <s v="Manual"/>
    <s v="Y"/>
    <s v="Germany"/>
    <x v="4"/>
    <s v="Europe"/>
    <x v="0"/>
    <s v="Bikes"/>
    <n v="2443.35"/>
    <n v="1518.7864"/>
    <n v="924.56359999999995"/>
    <n v="0.37839998362903399"/>
  </r>
  <r>
    <x v="255"/>
    <d v="2002-05-24T00:00:00"/>
    <s v="SO47304"/>
    <n v="379"/>
    <n v="16272"/>
    <n v="10"/>
    <n v="1"/>
    <n v="1"/>
    <n v="2"/>
    <s v="BK-R89B-58"/>
    <x v="26"/>
    <n v="1320.6838"/>
    <n v="2181.5625"/>
    <s v="MR."/>
    <s v="RAUL"/>
    <s v="DENG"/>
    <s v="RAUL DENG"/>
    <d v="1965-08-07T00:00:00"/>
    <s v="S"/>
    <s v="M"/>
    <s v="raul2@adventure-works.com"/>
    <n v="20000"/>
    <n v="2"/>
    <s v="High School"/>
    <s v="Manual"/>
    <s v="Y"/>
    <s v="United Kingdom"/>
    <x v="3"/>
    <s v="Europe"/>
    <x v="0"/>
    <s v="Bikes"/>
    <n v="2181.5625"/>
    <n v="1320.6838"/>
    <n v="860.87869999999998"/>
    <n v="0.39461564818793898"/>
  </r>
  <r>
    <x v="240"/>
    <d v="2002-04-27T00:00:00"/>
    <s v="SO47119"/>
    <n v="368"/>
    <n v="16275"/>
    <n v="10"/>
    <n v="1"/>
    <n v="1"/>
    <n v="2"/>
    <s v="BK-R89R-44"/>
    <x v="22"/>
    <n v="1518.7864"/>
    <n v="2443.35"/>
    <s v="MRS."/>
    <s v="DEBORAH"/>
    <s v="MCDONALD"/>
    <s v="DEBORAH MCDONALD"/>
    <d v="1964-01-01T00:00:00"/>
    <s v="M"/>
    <s v="F"/>
    <s v="deborah10@adventure-works.com"/>
    <n v="20000"/>
    <n v="2"/>
    <s v="High School"/>
    <s v="Manual"/>
    <s v="N"/>
    <s v="United Kingdom"/>
    <x v="3"/>
    <s v="Europe"/>
    <x v="0"/>
    <s v="Bikes"/>
    <n v="2443.35"/>
    <n v="1518.7864"/>
    <n v="924.56359999999995"/>
    <n v="0.37839998362903399"/>
  </r>
  <r>
    <x v="250"/>
    <d v="2002-05-04T00:00:00"/>
    <s v="SO47338"/>
    <n v="373"/>
    <n v="16277"/>
    <n v="10"/>
    <n v="1"/>
    <n v="1"/>
    <n v="2"/>
    <s v="BK-R89B-44"/>
    <x v="19"/>
    <n v="1320.6838"/>
    <n v="2181.5625"/>
    <s v="MRS."/>
    <s v="CHRISTY"/>
    <s v="LUO"/>
    <s v="CHRISTY LUO"/>
    <d v="1964-09-28T00:00:00"/>
    <s v="M"/>
    <s v="F"/>
    <s v="christy24@adventure-works.com"/>
    <n v="30000"/>
    <n v="1"/>
    <s v="Bachelors"/>
    <s v="Skilled Manual"/>
    <s v="Y"/>
    <s v="United Kingdom"/>
    <x v="3"/>
    <s v="Europe"/>
    <x v="0"/>
    <s v="Bikes"/>
    <n v="2181.5625"/>
    <n v="1320.6838"/>
    <n v="860.87869999999998"/>
    <n v="0.39461564818793898"/>
  </r>
  <r>
    <x v="332"/>
    <d v="2002-07-13T00:00:00"/>
    <s v="SO47847"/>
    <n v="368"/>
    <n v="16278"/>
    <n v="8"/>
    <n v="1"/>
    <n v="1"/>
    <n v="2"/>
    <s v="BK-R89R-44"/>
    <x v="22"/>
    <n v="1518.7864"/>
    <n v="2443.35"/>
    <s v="MR."/>
    <s v="ANGEL"/>
    <s v="TURNER"/>
    <s v="ANGEL TURNER"/>
    <d v="1964-06-23T00:00:00"/>
    <s v="M"/>
    <s v="M"/>
    <s v="angel27@adventure-works.com"/>
    <n v="30000"/>
    <n v="2"/>
    <s v="Partial College"/>
    <s v="Manual"/>
    <s v="N"/>
    <s v="Germany"/>
    <x v="4"/>
    <s v="Europe"/>
    <x v="0"/>
    <s v="Bikes"/>
    <n v="2443.35"/>
    <n v="1518.7864"/>
    <n v="924.56359999999995"/>
    <n v="0.37839998362903399"/>
  </r>
  <r>
    <x v="248"/>
    <d v="2002-07-23T00:00:00"/>
    <s v="SO47213"/>
    <n v="377"/>
    <n v="16287"/>
    <n v="10"/>
    <n v="1"/>
    <n v="1"/>
    <n v="2"/>
    <s v="BK-R89B-52"/>
    <x v="20"/>
    <n v="1320.6838"/>
    <n v="2181.5625"/>
    <s v="MS."/>
    <s v="LAURA"/>
    <s v="XU"/>
    <s v="LAURA XU"/>
    <d v="1966-11-03T00:00:00"/>
    <s v="M"/>
    <s v="F"/>
    <s v="laura18@adventure-works.com"/>
    <n v="40000"/>
    <n v="0"/>
    <s v="Bachelors"/>
    <s v="Professional"/>
    <s v="Y"/>
    <s v="United Kingdom"/>
    <x v="3"/>
    <s v="Europe"/>
    <x v="0"/>
    <s v="Bikes"/>
    <n v="2181.5625"/>
    <n v="1320.6838"/>
    <n v="860.87869999999998"/>
    <n v="0.39461564818793898"/>
  </r>
  <r>
    <x v="342"/>
    <d v="2002-08-23T00:00:00"/>
    <s v="SO47891"/>
    <n v="373"/>
    <n v="16290"/>
    <n v="8"/>
    <n v="1"/>
    <n v="1"/>
    <n v="2"/>
    <s v="BK-R89B-44"/>
    <x v="19"/>
    <n v="1320.6838"/>
    <n v="2181.5625"/>
    <s v="MR."/>
    <s v="RUSSELL"/>
    <s v="NATH"/>
    <s v="RUSSELL NATH"/>
    <d v="1965-10-23T00:00:00"/>
    <s v="S"/>
    <s v="M"/>
    <s v="russell21@adventure-works.com"/>
    <n v="30000"/>
    <n v="2"/>
    <s v="Partial College"/>
    <s v="Clerical"/>
    <s v="Y"/>
    <s v="Germany"/>
    <x v="4"/>
    <s v="Europe"/>
    <x v="0"/>
    <s v="Bikes"/>
    <n v="2181.5625"/>
    <n v="1320.6838"/>
    <n v="860.87869999999998"/>
    <n v="0.39461564818793898"/>
  </r>
  <r>
    <x v="210"/>
    <d v="2002-10-30T00:00:00"/>
    <s v="SO48186"/>
    <n v="379"/>
    <n v="16297"/>
    <n v="8"/>
    <n v="1"/>
    <n v="1"/>
    <n v="2"/>
    <s v="BK-R89B-58"/>
    <x v="26"/>
    <n v="1320.6838"/>
    <n v="2181.5625"/>
    <s v="MRS."/>
    <s v="DEANNA"/>
    <s v="GARCIA"/>
    <s v="DEANNA GARCIA"/>
    <d v="1963-09-12T00:00:00"/>
    <s v="M"/>
    <s v="F"/>
    <s v="deanna18@adventure-works.com"/>
    <n v="40000"/>
    <n v="1"/>
    <s v="Bachelors"/>
    <s v="Skilled Manual"/>
    <s v="Y"/>
    <s v="Germany"/>
    <x v="4"/>
    <s v="Europe"/>
    <x v="0"/>
    <s v="Bikes"/>
    <n v="2181.5625"/>
    <n v="1320.6838"/>
    <n v="860.87869999999998"/>
    <n v="0.39461564818793898"/>
  </r>
  <r>
    <x v="104"/>
    <d v="2002-10-20T00:00:00"/>
    <s v="SO48149"/>
    <n v="371"/>
    <n v="16298"/>
    <n v="8"/>
    <n v="1"/>
    <n v="1"/>
    <n v="2"/>
    <s v="BK-R89R-58"/>
    <x v="24"/>
    <n v="1320.6838"/>
    <n v="2181.5625"/>
    <s v="MRS."/>
    <s v="ADRIENNE"/>
    <s v="SANZ"/>
    <s v="ADRIENNE SANZ"/>
    <d v="1963-05-16T00:00:00"/>
    <s v="M"/>
    <s v="F"/>
    <s v="adrienne16@adventure-works.com"/>
    <n v="40000"/>
    <n v="1"/>
    <s v="Bachelors"/>
    <s v="Skilled Manual"/>
    <s v="Y"/>
    <s v="Germany"/>
    <x v="4"/>
    <s v="Europe"/>
    <x v="0"/>
    <s v="Bikes"/>
    <n v="2181.5625"/>
    <n v="1320.6838"/>
    <n v="860.87869999999998"/>
    <n v="0.39461564818793898"/>
  </r>
  <r>
    <x v="211"/>
    <d v="2002-09-11T00:00:00"/>
    <s v="SO48278"/>
    <n v="368"/>
    <n v="16305"/>
    <n v="8"/>
    <n v="1"/>
    <n v="1"/>
    <n v="2"/>
    <s v="BK-R89R-44"/>
    <x v="22"/>
    <n v="1518.7864"/>
    <n v="2443.35"/>
    <s v="MR."/>
    <s v="STANLEY"/>
    <s v="GONZALEZ"/>
    <s v="STANLEY GONZALEZ"/>
    <d v="1979-09-23T00:00:00"/>
    <s v="S"/>
    <s v="M"/>
    <s v="stanley20@adventure-works.com"/>
    <n v="30000"/>
    <n v="3"/>
    <s v="Partial College"/>
    <s v="Clerical"/>
    <s v="Y"/>
    <s v="Germany"/>
    <x v="4"/>
    <s v="Europe"/>
    <x v="0"/>
    <s v="Bikes"/>
    <n v="2443.35"/>
    <n v="1518.7864"/>
    <n v="924.56359999999995"/>
    <n v="0.37839998362903399"/>
  </r>
  <r>
    <x v="301"/>
    <d v="2002-07-23T00:00:00"/>
    <s v="SO48110"/>
    <n v="371"/>
    <n v="16307"/>
    <n v="8"/>
    <n v="1"/>
    <n v="1"/>
    <n v="2"/>
    <s v="BK-R89R-58"/>
    <x v="24"/>
    <n v="1320.6838"/>
    <n v="2181.5625"/>
    <s v="MRS."/>
    <s v="KELLI"/>
    <s v="SUN"/>
    <s v="KELLI SUN"/>
    <d v="1963-06-07T00:00:00"/>
    <s v="M"/>
    <s v="F"/>
    <s v="kelli14@adventure-works.com"/>
    <n v="40000"/>
    <n v="1"/>
    <s v="Bachelors"/>
    <s v="Skilled Manual"/>
    <s v="Y"/>
    <s v="Germany"/>
    <x v="4"/>
    <s v="Europe"/>
    <x v="0"/>
    <s v="Bikes"/>
    <n v="2181.5625"/>
    <n v="1320.6838"/>
    <n v="860.87869999999998"/>
    <n v="0.39461564818793898"/>
  </r>
  <r>
    <x v="242"/>
    <d v="2002-05-29T00:00:00"/>
    <s v="SO47138"/>
    <n v="379"/>
    <n v="16308"/>
    <n v="10"/>
    <n v="1"/>
    <n v="1"/>
    <n v="2"/>
    <s v="BK-R89B-58"/>
    <x v="26"/>
    <n v="1320.6838"/>
    <n v="2181.5625"/>
    <s v="MRS."/>
    <s v="SHEENA"/>
    <s v="CHANDER"/>
    <s v="SHEENA CHANDER"/>
    <d v="1963-04-27T00:00:00"/>
    <s v="M"/>
    <s v="F"/>
    <s v="sheena14@adventure-works.com"/>
    <n v="40000"/>
    <n v="1"/>
    <s v="Bachelors"/>
    <s v="Skilled Manual"/>
    <s v="Y"/>
    <s v="United Kingdom"/>
    <x v="3"/>
    <s v="Europe"/>
    <x v="0"/>
    <s v="Bikes"/>
    <n v="2181.5625"/>
    <n v="1320.6838"/>
    <n v="860.87869999999998"/>
    <n v="0.39461564818793898"/>
  </r>
  <r>
    <x v="282"/>
    <d v="2002-07-28T00:00:00"/>
    <s v="SO48118"/>
    <n v="377"/>
    <n v="16309"/>
    <n v="8"/>
    <n v="1"/>
    <n v="1"/>
    <n v="2"/>
    <s v="BK-R89B-52"/>
    <x v="20"/>
    <n v="1320.6838"/>
    <n v="2181.5625"/>
    <s v="MRS."/>
    <s v="DESIREE"/>
    <s v="ORTEGA"/>
    <s v="DESIREE ORTEGA"/>
    <d v="1962-09-21T00:00:00"/>
    <s v="M"/>
    <s v="F"/>
    <s v="desiree18@adventure-works.com"/>
    <n v="40000"/>
    <n v="1"/>
    <s v="Bachelors"/>
    <s v="Skilled Manual"/>
    <s v="Y"/>
    <s v="Germany"/>
    <x v="4"/>
    <s v="Europe"/>
    <x v="0"/>
    <s v="Bikes"/>
    <n v="2181.5625"/>
    <n v="1320.6838"/>
    <n v="860.87869999999998"/>
    <n v="0.39461564818793898"/>
  </r>
  <r>
    <x v="238"/>
    <d v="2002-04-19T00:00:00"/>
    <s v="SO47085"/>
    <n v="379"/>
    <n v="16311"/>
    <n v="10"/>
    <n v="1"/>
    <n v="1"/>
    <n v="2"/>
    <s v="BK-R89B-58"/>
    <x v="26"/>
    <n v="1320.6838"/>
    <n v="2181.5625"/>
    <s v="MR."/>
    <s v="CARL"/>
    <s v="BECK"/>
    <s v="CARL BECK"/>
    <d v="1962-10-10T00:00:00"/>
    <s v="M"/>
    <s v="M"/>
    <s v="carl19@adventure-works.com"/>
    <n v="40000"/>
    <n v="1"/>
    <s v="Bachelors"/>
    <s v="Skilled Manual"/>
    <s v="Y"/>
    <s v="United Kingdom"/>
    <x v="3"/>
    <s v="Europe"/>
    <x v="0"/>
    <s v="Bikes"/>
    <n v="2181.5625"/>
    <n v="1320.6838"/>
    <n v="860.87869999999998"/>
    <n v="0.39461564818793898"/>
  </r>
  <r>
    <x v="103"/>
    <d v="2002-09-15T00:00:00"/>
    <s v="SO48171"/>
    <n v="370"/>
    <n v="16313"/>
    <n v="8"/>
    <n v="1"/>
    <n v="1"/>
    <n v="2"/>
    <s v="BK-R89R-52"/>
    <x v="23"/>
    <n v="1518.7864"/>
    <n v="2443.35"/>
    <s v="MRS."/>
    <s v="HAILEY"/>
    <s v="RUSSELL"/>
    <s v="HAILEY RUSSELL"/>
    <d v="1978-03-26T00:00:00"/>
    <s v="S"/>
    <s v="F"/>
    <s v="hailey40@adventure-works.com"/>
    <n v="30000"/>
    <n v="4"/>
    <s v="Partial College"/>
    <s v="Clerical"/>
    <s v="Y"/>
    <s v="Germany"/>
    <x v="4"/>
    <s v="Europe"/>
    <x v="0"/>
    <s v="Bikes"/>
    <n v="2443.35"/>
    <n v="1518.7864"/>
    <n v="924.56359999999995"/>
    <n v="0.37839998362903399"/>
  </r>
  <r>
    <x v="167"/>
    <d v="2002-08-08T00:00:00"/>
    <s v="SO48180"/>
    <n v="379"/>
    <n v="16316"/>
    <n v="8"/>
    <n v="1"/>
    <n v="1"/>
    <n v="2"/>
    <s v="BK-R89B-58"/>
    <x v="26"/>
    <n v="1320.6838"/>
    <n v="2181.5625"/>
    <s v="MS."/>
    <s v="KELLI"/>
    <s v="HU"/>
    <s v="KELLI HU"/>
    <d v="1977-10-24T00:00:00"/>
    <s v="S"/>
    <s v="F"/>
    <s v="kelli20@adventure-works.com"/>
    <n v="30000"/>
    <n v="0"/>
    <s v="Partial College"/>
    <s v="Clerical"/>
    <s v="N"/>
    <s v="Germany"/>
    <x v="4"/>
    <s v="Europe"/>
    <x v="0"/>
    <s v="Bikes"/>
    <n v="2181.5625"/>
    <n v="1320.6838"/>
    <n v="860.87869999999998"/>
    <n v="0.39461564818793898"/>
  </r>
  <r>
    <x v="305"/>
    <d v="2002-05-23T00:00:00"/>
    <s v="SO47235"/>
    <n v="375"/>
    <n v="16317"/>
    <n v="10"/>
    <n v="1"/>
    <n v="1"/>
    <n v="2"/>
    <s v="BK-R89B-48"/>
    <x v="25"/>
    <n v="1320.6838"/>
    <n v="2181.5625"/>
    <s v="MR."/>
    <s v="JOEL"/>
    <s v="RAMAN"/>
    <s v="JOEL RAMAN"/>
    <d v="1977-09-23T00:00:00"/>
    <s v="S"/>
    <s v="M"/>
    <s v="joel11@adventure-works.com"/>
    <n v="30000"/>
    <n v="0"/>
    <s v="Partial College"/>
    <s v="Clerical"/>
    <s v="N"/>
    <s v="United Kingdom"/>
    <x v="3"/>
    <s v="Europe"/>
    <x v="0"/>
    <s v="Bikes"/>
    <n v="2181.5625"/>
    <n v="1320.6838"/>
    <n v="860.87869999999998"/>
    <n v="0.39461564818793898"/>
  </r>
  <r>
    <x v="254"/>
    <d v="2002-06-29T00:00:00"/>
    <s v="SO47291"/>
    <n v="371"/>
    <n v="16318"/>
    <n v="10"/>
    <n v="1"/>
    <n v="1"/>
    <n v="2"/>
    <s v="BK-R89R-58"/>
    <x v="24"/>
    <n v="1320.6838"/>
    <n v="2181.5625"/>
    <s v="MS."/>
    <s v="KELLIE"/>
    <s v="MORENO"/>
    <s v="KELLIE MORENO"/>
    <d v="1977-06-08T00:00:00"/>
    <s v="S"/>
    <s v="F"/>
    <s v="kellie5@adventure-works.com"/>
    <n v="30000"/>
    <n v="0"/>
    <s v="Partial College"/>
    <s v="Clerical"/>
    <s v="N"/>
    <s v="United Kingdom"/>
    <x v="3"/>
    <s v="Europe"/>
    <x v="0"/>
    <s v="Bikes"/>
    <n v="2181.5625"/>
    <n v="1320.6838"/>
    <n v="860.87869999999998"/>
    <n v="0.39461564818793898"/>
  </r>
  <r>
    <x v="249"/>
    <d v="2002-07-09T00:00:00"/>
    <s v="SO47330"/>
    <n v="369"/>
    <n v="16324"/>
    <n v="10"/>
    <n v="1"/>
    <n v="1"/>
    <n v="2"/>
    <s v="BK-R89R-48"/>
    <x v="21"/>
    <n v="1518.7864"/>
    <n v="2443.35"/>
    <s v="MR."/>
    <s v="JUAN"/>
    <s v="ROMERO"/>
    <s v="JUAN ROMERO"/>
    <d v="1975-03-19T00:00:00"/>
    <s v="M"/>
    <s v="M"/>
    <s v="juan1@adventure-works.com"/>
    <n v="40000"/>
    <n v="1"/>
    <s v="Bachelors"/>
    <s v="Skilled Manual"/>
    <s v="Y"/>
    <s v="United Kingdom"/>
    <x v="3"/>
    <s v="Europe"/>
    <x v="0"/>
    <s v="Bikes"/>
    <n v="2443.35"/>
    <n v="1518.7864"/>
    <n v="924.56359999999995"/>
    <n v="0.37839998362903399"/>
  </r>
  <r>
    <x v="297"/>
    <d v="2002-10-28T00:00:00"/>
    <s v="SO48165"/>
    <n v="373"/>
    <n v="16327"/>
    <n v="8"/>
    <n v="1"/>
    <n v="1"/>
    <n v="2"/>
    <s v="BK-R89B-44"/>
    <x v="19"/>
    <n v="1320.6838"/>
    <n v="2181.5625"/>
    <s v="MR."/>
    <s v="DARREN"/>
    <s v="DIAZ"/>
    <s v="DARREN DIAZ"/>
    <d v="1973-03-06T00:00:00"/>
    <s v="S"/>
    <s v="M"/>
    <s v="darren24@adventure-works.com"/>
    <n v="20000"/>
    <n v="0"/>
    <s v="Partial High School"/>
    <s v="Manual"/>
    <s v="N"/>
    <s v="Germany"/>
    <x v="4"/>
    <s v="Europe"/>
    <x v="0"/>
    <s v="Bikes"/>
    <n v="2181.5625"/>
    <n v="1320.6838"/>
    <n v="860.87869999999998"/>
    <n v="0.39461564818793898"/>
  </r>
  <r>
    <x v="245"/>
    <d v="2002-05-09T00:00:00"/>
    <s v="SO47192"/>
    <n v="371"/>
    <n v="16328"/>
    <n v="10"/>
    <n v="1"/>
    <n v="1"/>
    <n v="2"/>
    <s v="BK-R89R-58"/>
    <x v="24"/>
    <n v="1320.6838"/>
    <n v="2181.5625"/>
    <s v="MR."/>
    <s v="MAURICE"/>
    <s v="RAI"/>
    <s v="MAURICE RAI"/>
    <d v="1973-02-15T00:00:00"/>
    <s v="S"/>
    <s v="M"/>
    <s v="maurice18@adventure-works.com"/>
    <n v="20000"/>
    <n v="0"/>
    <s v="Partial High School"/>
    <s v="Manual"/>
    <s v="Y"/>
    <s v="United Kingdom"/>
    <x v="3"/>
    <s v="Europe"/>
    <x v="0"/>
    <s v="Bikes"/>
    <n v="2181.5625"/>
    <n v="1320.6838"/>
    <n v="860.87869999999998"/>
    <n v="0.39461564818793898"/>
  </r>
  <r>
    <x v="237"/>
    <d v="2002-05-28T00:00:00"/>
    <s v="SO47077"/>
    <n v="369"/>
    <n v="16329"/>
    <n v="10"/>
    <n v="1"/>
    <n v="1"/>
    <n v="2"/>
    <s v="BK-R89R-48"/>
    <x v="21"/>
    <n v="1518.7864"/>
    <n v="2443.35"/>
    <s v="MS."/>
    <s v="JAMIE"/>
    <s v="YE"/>
    <s v="JAMIE YE"/>
    <d v="1973-12-13T00:00:00"/>
    <s v="S"/>
    <s v="F"/>
    <s v="jamie12@adventure-works.com"/>
    <n v="20000"/>
    <n v="0"/>
    <s v="Partial High School"/>
    <s v="Manual"/>
    <s v="N"/>
    <s v="United Kingdom"/>
    <x v="3"/>
    <s v="Europe"/>
    <x v="0"/>
    <s v="Bikes"/>
    <n v="2443.35"/>
    <n v="1518.7864"/>
    <n v="924.56359999999995"/>
    <n v="0.37839998362903399"/>
  </r>
  <r>
    <x v="348"/>
    <d v="2002-07-30T00:00:00"/>
    <s v="SO48103"/>
    <n v="377"/>
    <n v="16389"/>
    <n v="8"/>
    <n v="1"/>
    <n v="1"/>
    <n v="2"/>
    <s v="BK-R89B-52"/>
    <x v="20"/>
    <n v="1320.6838"/>
    <n v="2181.5625"/>
    <s v="MR."/>
    <s v="ARTURO"/>
    <s v="SHEN"/>
    <s v="ARTURO SHEN"/>
    <d v="1968-10-04T00:00:00"/>
    <s v="S"/>
    <s v="M"/>
    <s v="arturo26@adventure-works.com"/>
    <n v="30000"/>
    <n v="1"/>
    <s v="Bachelors"/>
    <s v="Clerical"/>
    <s v="Y"/>
    <s v="Germany"/>
    <x v="4"/>
    <s v="Europe"/>
    <x v="0"/>
    <s v="Bikes"/>
    <n v="2181.5625"/>
    <n v="1320.6838"/>
    <n v="860.87869999999998"/>
    <n v="0.39461564818793898"/>
  </r>
  <r>
    <x v="169"/>
    <d v="2002-11-03T00:00:00"/>
    <s v="SO48247"/>
    <n v="373"/>
    <n v="16390"/>
    <n v="8"/>
    <n v="1"/>
    <n v="1"/>
    <n v="2"/>
    <s v="BK-R89B-44"/>
    <x v="19"/>
    <n v="1320.6838"/>
    <n v="2181.5625"/>
    <s v="MR."/>
    <s v="MARIO"/>
    <s v="NATH"/>
    <s v="MARIO NATH"/>
    <d v="1968-02-26T00:00:00"/>
    <s v="S"/>
    <s v="M"/>
    <s v="mario17@adventure-works.com"/>
    <n v="30000"/>
    <n v="1"/>
    <s v="Bachelors"/>
    <s v="Clerical"/>
    <s v="N"/>
    <s v="Germany"/>
    <x v="4"/>
    <s v="Europe"/>
    <x v="0"/>
    <s v="Bikes"/>
    <n v="2181.5625"/>
    <n v="1320.6838"/>
    <n v="860.87869999999998"/>
    <n v="0.39461564818793898"/>
  </r>
  <r>
    <x v="305"/>
    <d v="2002-07-02T00:00:00"/>
    <s v="SO47238"/>
    <n v="370"/>
    <n v="16405"/>
    <n v="10"/>
    <n v="1"/>
    <n v="1"/>
    <n v="2"/>
    <s v="BK-R89R-52"/>
    <x v="23"/>
    <n v="1518.7864"/>
    <n v="2443.35"/>
    <s v="MS."/>
    <s v="ADRIANA"/>
    <s v="SAI"/>
    <s v="ADRIANA SAI"/>
    <d v="1967-04-08T00:00:00"/>
    <s v="M"/>
    <s v="F"/>
    <s v="adriana6@adventure-works.com"/>
    <n v="40000"/>
    <n v="0"/>
    <s v="Bachelors"/>
    <s v="Clerical"/>
    <s v="Y"/>
    <s v="United Kingdom"/>
    <x v="3"/>
    <s v="Europe"/>
    <x v="0"/>
    <s v="Bikes"/>
    <n v="2443.35"/>
    <n v="1518.7864"/>
    <n v="924.56359999999995"/>
    <n v="0.37839998362903399"/>
  </r>
  <r>
    <x v="241"/>
    <d v="2002-05-22T00:00:00"/>
    <s v="SO47130"/>
    <n v="375"/>
    <n v="16406"/>
    <n v="10"/>
    <n v="1"/>
    <n v="1"/>
    <n v="2"/>
    <s v="BK-R89B-48"/>
    <x v="25"/>
    <n v="1320.6838"/>
    <n v="2181.5625"/>
    <s v="MR."/>
    <s v="DAKOTA"/>
    <s v="HENDERSON"/>
    <s v="DAKOTA HENDERSON"/>
    <d v="1967-11-14T00:00:00"/>
    <s v="M"/>
    <s v="M"/>
    <s v="dakota4@adventure-works.com"/>
    <n v="40000"/>
    <n v="0"/>
    <s v="Bachelors"/>
    <s v="Clerical"/>
    <s v="N"/>
    <s v="United Kingdom"/>
    <x v="3"/>
    <s v="Europe"/>
    <x v="0"/>
    <s v="Bikes"/>
    <n v="2181.5625"/>
    <n v="1320.6838"/>
    <n v="860.87869999999998"/>
    <n v="0.39461564818793898"/>
  </r>
  <r>
    <x v="212"/>
    <d v="2002-10-15T00:00:00"/>
    <s v="SO48214"/>
    <n v="368"/>
    <n v="16409"/>
    <n v="8"/>
    <n v="1"/>
    <n v="1"/>
    <n v="2"/>
    <s v="BK-R89R-44"/>
    <x v="22"/>
    <n v="1518.7864"/>
    <n v="2443.35"/>
    <s v="MRS."/>
    <s v="EBONY"/>
    <s v="MORENO"/>
    <s v="EBONY MORENO"/>
    <d v="1965-10-17T00:00:00"/>
    <s v="M"/>
    <s v="F"/>
    <s v="ebony29@adventure-works.com"/>
    <n v="30000"/>
    <n v="1"/>
    <s v="Bachelors"/>
    <s v="Skilled Manual"/>
    <s v="Y"/>
    <s v="Germany"/>
    <x v="4"/>
    <s v="Europe"/>
    <x v="0"/>
    <s v="Bikes"/>
    <n v="2443.35"/>
    <n v="1518.7864"/>
    <n v="924.56359999999995"/>
    <n v="0.37839998362903399"/>
  </r>
  <r>
    <x v="252"/>
    <d v="2002-06-04T00:00:00"/>
    <s v="SO47264"/>
    <n v="368"/>
    <n v="16410"/>
    <n v="10"/>
    <n v="1"/>
    <n v="1"/>
    <n v="2"/>
    <s v="BK-R89R-44"/>
    <x v="22"/>
    <n v="1518.7864"/>
    <n v="2443.35"/>
    <s v="MRS."/>
    <s v="JOY"/>
    <s v="NAVARRO"/>
    <s v="JOY NAVARRO"/>
    <d v="1964-10-19T00:00:00"/>
    <s v="S"/>
    <s v="F"/>
    <s v="joy11@adventure-works.com"/>
    <n v="10000"/>
    <n v="4"/>
    <s v="Partial High School"/>
    <s v="Manual"/>
    <s v="Y"/>
    <s v="United Kingdom"/>
    <x v="3"/>
    <s v="Europe"/>
    <x v="0"/>
    <s v="Bikes"/>
    <n v="2443.35"/>
    <n v="1518.7864"/>
    <n v="924.56359999999995"/>
    <n v="0.37839998362903399"/>
  </r>
  <r>
    <x v="286"/>
    <d v="2002-11-04T00:00:00"/>
    <s v="SO48520"/>
    <n v="377"/>
    <n v="16411"/>
    <n v="8"/>
    <n v="1"/>
    <n v="1"/>
    <n v="2"/>
    <s v="BK-R89B-52"/>
    <x v="20"/>
    <n v="1320.6838"/>
    <n v="2181.5625"/>
    <s v="MR."/>
    <s v="STANLEY"/>
    <s v="SANCHEZ"/>
    <s v="STANLEY SANCHEZ"/>
    <d v="1964-08-21T00:00:00"/>
    <s v="S"/>
    <s v="M"/>
    <s v="stanley22@adventure-works.com"/>
    <n v="10000"/>
    <n v="3"/>
    <s v="Partial High School"/>
    <s v="Manual"/>
    <s v="Y"/>
    <s v="Germany"/>
    <x v="4"/>
    <s v="Europe"/>
    <x v="0"/>
    <s v="Bikes"/>
    <n v="2181.5625"/>
    <n v="1320.6838"/>
    <n v="860.87869999999998"/>
    <n v="0.39461564818793898"/>
  </r>
  <r>
    <x v="291"/>
    <d v="2002-11-19T00:00:00"/>
    <s v="SO48548"/>
    <n v="370"/>
    <n v="16414"/>
    <n v="8"/>
    <n v="1"/>
    <n v="1"/>
    <n v="2"/>
    <s v="BK-R89R-52"/>
    <x v="23"/>
    <n v="1518.7864"/>
    <n v="2443.35"/>
    <s v="MRS."/>
    <s v="KELLY"/>
    <s v="FLORES"/>
    <s v="KELLY FLORES"/>
    <d v="1964-06-17T00:00:00"/>
    <s v="S"/>
    <s v="F"/>
    <s v="kelly17@adventure-works.com"/>
    <n v="10000"/>
    <n v="3"/>
    <s v="Partial High School"/>
    <s v="Manual"/>
    <s v="Y"/>
    <s v="Germany"/>
    <x v="4"/>
    <s v="Europe"/>
    <x v="0"/>
    <s v="Bikes"/>
    <n v="2443.35"/>
    <n v="1518.7864"/>
    <n v="924.56359999999995"/>
    <n v="0.37839998362903399"/>
  </r>
  <r>
    <x v="85"/>
    <d v="2002-07-09T00:00:00"/>
    <s v="SO47256"/>
    <n v="373"/>
    <n v="16417"/>
    <n v="10"/>
    <n v="1"/>
    <n v="1"/>
    <n v="2"/>
    <s v="BK-R89B-44"/>
    <x v="19"/>
    <n v="1320.6838"/>
    <n v="2181.5625"/>
    <s v="MR."/>
    <s v="NOAH"/>
    <s v="BRYANT"/>
    <s v="NOAH BRYANT"/>
    <d v="1964-09-01T00:00:00"/>
    <s v="S"/>
    <s v="M"/>
    <s v="noah15@adventure-works.com"/>
    <n v="30000"/>
    <n v="2"/>
    <s v="Partial College"/>
    <s v="Manual"/>
    <s v="Y"/>
    <s v="United Kingdom"/>
    <x v="3"/>
    <s v="Europe"/>
    <x v="0"/>
    <s v="Bikes"/>
    <n v="2181.5625"/>
    <n v="1320.6838"/>
    <n v="860.87869999999998"/>
    <n v="0.39461564818793898"/>
  </r>
  <r>
    <x v="251"/>
    <d v="2002-07-10T00:00:00"/>
    <s v="SO47245"/>
    <n v="375"/>
    <n v="16420"/>
    <n v="10"/>
    <n v="1"/>
    <n v="1"/>
    <n v="2"/>
    <s v="BK-R89B-48"/>
    <x v="25"/>
    <n v="1320.6838"/>
    <n v="2181.5625"/>
    <s v="MR."/>
    <s v="EDDIE"/>
    <s v="ALONSO"/>
    <s v="EDDIE ALONSO"/>
    <d v="1963-11-19T00:00:00"/>
    <s v="S"/>
    <s v="M"/>
    <s v="eddie8@adventure-works.com"/>
    <n v="20000"/>
    <n v="3"/>
    <s v="High School"/>
    <s v="Manual"/>
    <s v="Y"/>
    <s v="United Kingdom"/>
    <x v="3"/>
    <s v="Europe"/>
    <x v="0"/>
    <s v="Bikes"/>
    <n v="2181.5625"/>
    <n v="1320.6838"/>
    <n v="860.87869999999998"/>
    <n v="0.39461564818793898"/>
  </r>
  <r>
    <x v="286"/>
    <d v="2002-08-19T00:00:00"/>
    <s v="SO48521"/>
    <n v="371"/>
    <n v="16422"/>
    <n v="8"/>
    <n v="1"/>
    <n v="1"/>
    <n v="2"/>
    <s v="BK-R89R-58"/>
    <x v="24"/>
    <n v="1320.6838"/>
    <n v="2181.5625"/>
    <s v="MR."/>
    <s v="KURT"/>
    <s v="XU"/>
    <s v="KURT XU"/>
    <d v="1963-03-27T00:00:00"/>
    <s v="S"/>
    <s v="M"/>
    <s v="kurt4@adventure-works.com"/>
    <n v="20000"/>
    <n v="3"/>
    <s v="High School"/>
    <s v="Manual"/>
    <s v="Y"/>
    <s v="Germany"/>
    <x v="4"/>
    <s v="Europe"/>
    <x v="0"/>
    <s v="Bikes"/>
    <n v="2181.5625"/>
    <n v="1320.6838"/>
    <n v="860.87869999999998"/>
    <n v="0.39461564818793898"/>
  </r>
  <r>
    <x v="268"/>
    <d v="2002-07-20T00:00:00"/>
    <s v="SO47487"/>
    <n v="377"/>
    <n v="16427"/>
    <n v="10"/>
    <n v="1"/>
    <n v="1"/>
    <n v="2"/>
    <s v="BK-R89B-52"/>
    <x v="20"/>
    <n v="1320.6838"/>
    <n v="2181.5625"/>
    <s v="MS."/>
    <s v="KENDRA"/>
    <s v="ALONSO"/>
    <s v="KENDRA ALONSO"/>
    <d v="1966-03-15T00:00:00"/>
    <s v="S"/>
    <s v="F"/>
    <s v="kendra8@adventure-works.com"/>
    <n v="60000"/>
    <n v="0"/>
    <s v="Graduate Degree"/>
    <s v="Skilled Manual"/>
    <s v="Y"/>
    <s v="United Kingdom"/>
    <x v="3"/>
    <s v="Europe"/>
    <x v="0"/>
    <s v="Bikes"/>
    <n v="2181.5625"/>
    <n v="1320.6838"/>
    <n v="860.87869999999998"/>
    <n v="0.39461564818793898"/>
  </r>
  <r>
    <x v="306"/>
    <d v="2002-07-16T00:00:00"/>
    <s v="SO47588"/>
    <n v="379"/>
    <n v="16428"/>
    <n v="10"/>
    <n v="1"/>
    <n v="1"/>
    <n v="2"/>
    <s v="BK-R89B-58"/>
    <x v="26"/>
    <n v="1320.6838"/>
    <n v="2181.5625"/>
    <s v="MR."/>
    <s v="RYAN"/>
    <s v="ROSS"/>
    <s v="RYAN ROSS"/>
    <d v="1963-03-28T00:00:00"/>
    <s v="S"/>
    <s v="M"/>
    <s v="ryan6@adventure-works.com"/>
    <n v="20000"/>
    <n v="4"/>
    <s v="High School"/>
    <s v="Manual"/>
    <s v="Y"/>
    <s v="United Kingdom"/>
    <x v="3"/>
    <s v="Europe"/>
    <x v="0"/>
    <s v="Bikes"/>
    <n v="2181.5625"/>
    <n v="1320.6838"/>
    <n v="860.87869999999998"/>
    <n v="0.39461564818793898"/>
  </r>
  <r>
    <x v="214"/>
    <d v="2002-10-05T00:00:00"/>
    <s v="SO48704"/>
    <n v="369"/>
    <n v="16429"/>
    <n v="8"/>
    <n v="1"/>
    <n v="1"/>
    <n v="2"/>
    <s v="BK-R89R-48"/>
    <x v="21"/>
    <n v="1518.7864"/>
    <n v="2443.35"/>
    <s v="MRS."/>
    <s v="JACLYN"/>
    <s v="LUO"/>
    <s v="JACLYN LUO"/>
    <d v="1962-10-16T00:00:00"/>
    <s v="M"/>
    <s v="F"/>
    <s v="jaclyn29@adventure-works.com"/>
    <n v="30000"/>
    <n v="1"/>
    <s v="Partial College"/>
    <s v="Clerical"/>
    <s v="Y"/>
    <s v="Germany"/>
    <x v="4"/>
    <s v="Europe"/>
    <x v="0"/>
    <s v="Bikes"/>
    <n v="2443.35"/>
    <n v="1518.7864"/>
    <n v="924.56359999999995"/>
    <n v="0.37839998362903399"/>
  </r>
  <r>
    <x v="286"/>
    <d v="2002-10-27T00:00:00"/>
    <s v="SO48517"/>
    <n v="368"/>
    <n v="16442"/>
    <n v="8"/>
    <n v="1"/>
    <n v="1"/>
    <n v="2"/>
    <s v="BK-R89R-44"/>
    <x v="22"/>
    <n v="1518.7864"/>
    <n v="2443.35"/>
    <s v="MR."/>
    <s v="LUKE"/>
    <s v="GONZALEZ"/>
    <s v="LUKE GONZALEZ"/>
    <d v="1979-08-27T00:00:00"/>
    <s v="S"/>
    <s v="M"/>
    <s v="luke40@adventure-works.com"/>
    <n v="30000"/>
    <n v="3"/>
    <s v="Partial College"/>
    <s v="Clerical"/>
    <s v="Y"/>
    <s v="Germany"/>
    <x v="4"/>
    <s v="Europe"/>
    <x v="0"/>
    <s v="Bikes"/>
    <n v="2443.35"/>
    <n v="1518.7864"/>
    <n v="924.56359999999995"/>
    <n v="0.37839998362903399"/>
  </r>
  <r>
    <x v="89"/>
    <d v="2002-06-12T00:00:00"/>
    <s v="SO47627"/>
    <n v="370"/>
    <n v="16444"/>
    <n v="10"/>
    <n v="1"/>
    <n v="1"/>
    <n v="2"/>
    <s v="BK-R89R-52"/>
    <x v="23"/>
    <n v="1518.7864"/>
    <n v="2443.35"/>
    <s v="MRS."/>
    <s v="ERIKA"/>
    <s v="CARLSON"/>
    <s v="ERIKA CARLSON"/>
    <d v="1963-10-23T00:00:00"/>
    <s v="M"/>
    <s v="F"/>
    <s v="erika15@adventure-works.com"/>
    <n v="40000"/>
    <n v="1"/>
    <s v="Bachelors"/>
    <s v="Skilled Manual"/>
    <s v="Y"/>
    <s v="United Kingdom"/>
    <x v="3"/>
    <s v="Europe"/>
    <x v="0"/>
    <s v="Bikes"/>
    <n v="2443.35"/>
    <n v="1518.7864"/>
    <n v="924.56359999999995"/>
    <n v="0.37839998362903399"/>
  </r>
  <r>
    <x v="183"/>
    <d v="2002-07-04T00:00:00"/>
    <s v="SO47521"/>
    <n v="369"/>
    <n v="16445"/>
    <n v="10"/>
    <n v="1"/>
    <n v="1"/>
    <n v="2"/>
    <s v="BK-R89R-48"/>
    <x v="21"/>
    <n v="1518.7864"/>
    <n v="2443.35"/>
    <s v="MRS."/>
    <s v="CAITLIN"/>
    <s v="WARD"/>
    <s v="CAITLIN WARD"/>
    <d v="1962-06-13T00:00:00"/>
    <s v="S"/>
    <s v="F"/>
    <s v="caitlin10@adventure-works.com"/>
    <n v="30000"/>
    <n v="1"/>
    <s v="Partial College"/>
    <s v="Clerical"/>
    <s v="Y"/>
    <s v="United Kingdom"/>
    <x v="3"/>
    <s v="Europe"/>
    <x v="0"/>
    <s v="Bikes"/>
    <n v="2443.35"/>
    <n v="1518.7864"/>
    <n v="924.56359999999995"/>
    <n v="0.37839998362903399"/>
  </r>
  <r>
    <x v="321"/>
    <d v="2002-06-16T00:00:00"/>
    <s v="SO47512"/>
    <n v="373"/>
    <n v="16446"/>
    <n v="10"/>
    <n v="1"/>
    <n v="1"/>
    <n v="2"/>
    <s v="BK-R89B-44"/>
    <x v="19"/>
    <n v="1320.6838"/>
    <n v="2181.5625"/>
    <s v="MRS."/>
    <s v="KRISTINE"/>
    <s v="MUNOZ"/>
    <s v="KRISTINE MUNOZ"/>
    <d v="1962-05-12T00:00:00"/>
    <s v="M"/>
    <s v="F"/>
    <s v="kristine8@adventure-works.com"/>
    <n v="30000"/>
    <n v="1"/>
    <s v="Partial College"/>
    <s v="Clerical"/>
    <s v="Y"/>
    <s v="United Kingdom"/>
    <x v="3"/>
    <s v="Europe"/>
    <x v="0"/>
    <s v="Bikes"/>
    <n v="2181.5625"/>
    <n v="1320.6838"/>
    <n v="860.87869999999998"/>
    <n v="0.39461564818793898"/>
  </r>
  <r>
    <x v="349"/>
    <d v="2002-06-14T00:00:00"/>
    <s v="SO47649"/>
    <n v="377"/>
    <n v="16447"/>
    <n v="10"/>
    <n v="1"/>
    <n v="1"/>
    <n v="2"/>
    <s v="BK-R89B-52"/>
    <x v="20"/>
    <n v="1320.6838"/>
    <n v="2181.5625"/>
    <s v="MRS."/>
    <s v="KATE"/>
    <s v="BECKER"/>
    <s v="KATE BECKER"/>
    <d v="1962-12-09T00:00:00"/>
    <s v="M"/>
    <s v="F"/>
    <s v="kate17@adventure-works.com"/>
    <n v="40000"/>
    <n v="1"/>
    <s v="Bachelors"/>
    <s v="Skilled Manual"/>
    <s v="Y"/>
    <s v="United Kingdom"/>
    <x v="3"/>
    <s v="Europe"/>
    <x v="0"/>
    <s v="Bikes"/>
    <n v="2181.5625"/>
    <n v="1320.6838"/>
    <n v="860.87869999999998"/>
    <n v="0.39461564818793898"/>
  </r>
  <r>
    <x v="220"/>
    <d v="2002-10-16T00:00:00"/>
    <s v="SO48534"/>
    <n v="371"/>
    <n v="16448"/>
    <n v="8"/>
    <n v="1"/>
    <n v="1"/>
    <n v="2"/>
    <s v="BK-R89R-58"/>
    <x v="24"/>
    <n v="1320.6838"/>
    <n v="2181.5625"/>
    <s v="MRS."/>
    <s v="CHERYL"/>
    <s v="MARTIN"/>
    <s v="CHERYL MARTIN"/>
    <d v="1962-02-02T00:00:00"/>
    <s v="M"/>
    <s v="F"/>
    <s v="cheryl2@adventure-works.com"/>
    <n v="40000"/>
    <n v="1"/>
    <s v="Bachelors"/>
    <s v="Skilled Manual"/>
    <s v="Y"/>
    <s v="Germany"/>
    <x v="4"/>
    <s v="Europe"/>
    <x v="0"/>
    <s v="Bikes"/>
    <n v="2181.5625"/>
    <n v="1320.6838"/>
    <n v="860.87869999999998"/>
    <n v="0.39461564818793898"/>
  </r>
  <r>
    <x v="218"/>
    <d v="2002-08-20T00:00:00"/>
    <s v="SO48401"/>
    <n v="375"/>
    <n v="16451"/>
    <n v="8"/>
    <n v="1"/>
    <n v="1"/>
    <n v="2"/>
    <s v="BK-R89B-48"/>
    <x v="25"/>
    <n v="1320.6838"/>
    <n v="2181.5625"/>
    <s v="MR."/>
    <s v="KARL"/>
    <s v="STONE"/>
    <s v="KARL STONE"/>
    <d v="1977-09-05T00:00:00"/>
    <s v="S"/>
    <s v="M"/>
    <s v="karl0@adventure-works.com"/>
    <n v="30000"/>
    <n v="0"/>
    <s v="Partial College"/>
    <s v="Clerical"/>
    <s v="N"/>
    <s v="Germany"/>
    <x v="4"/>
    <s v="Europe"/>
    <x v="0"/>
    <s v="Bikes"/>
    <n v="2181.5625"/>
    <n v="1320.6838"/>
    <n v="860.87869999999998"/>
    <n v="0.39461564818793898"/>
  </r>
  <r>
    <x v="267"/>
    <d v="2002-06-23T00:00:00"/>
    <s v="SO47464"/>
    <n v="370"/>
    <n v="16461"/>
    <n v="10"/>
    <n v="1"/>
    <n v="1"/>
    <n v="2"/>
    <s v="BK-R89R-52"/>
    <x v="23"/>
    <n v="1518.7864"/>
    <n v="2443.35"/>
    <s v="MS."/>
    <s v="ROSA"/>
    <s v="WU"/>
    <s v="ROSA WU"/>
    <d v="1976-02-06T00:00:00"/>
    <s v="S"/>
    <s v="F"/>
    <s v="rosa7@adventure-works.com"/>
    <n v="30000"/>
    <n v="0"/>
    <s v="Partial College"/>
    <s v="Clerical"/>
    <s v="N"/>
    <s v="United Kingdom"/>
    <x v="3"/>
    <s v="Europe"/>
    <x v="0"/>
    <s v="Bikes"/>
    <n v="2443.35"/>
    <n v="1518.7864"/>
    <n v="924.56359999999995"/>
    <n v="0.37839998362903399"/>
  </r>
  <r>
    <x v="192"/>
    <d v="2002-06-13T00:00:00"/>
    <s v="SO47612"/>
    <n v="369"/>
    <n v="16465"/>
    <n v="10"/>
    <n v="1"/>
    <n v="1"/>
    <n v="2"/>
    <s v="BK-R89R-48"/>
    <x v="21"/>
    <n v="1518.7864"/>
    <n v="2443.35"/>
    <s v="MS."/>
    <s v="KARA"/>
    <s v="GOEL"/>
    <s v="KARA GOEL"/>
    <d v="1974-11-01T00:00:00"/>
    <s v="S"/>
    <s v="F"/>
    <s v="kara17@adventure-works.com"/>
    <n v="20000"/>
    <n v="0"/>
    <s v="Partial High School"/>
    <s v="Manual"/>
    <s v="N"/>
    <s v="United Kingdom"/>
    <x v="3"/>
    <s v="Europe"/>
    <x v="0"/>
    <s v="Bikes"/>
    <n v="2443.35"/>
    <n v="1518.7864"/>
    <n v="924.56359999999995"/>
    <n v="0.37839998362903399"/>
  </r>
  <r>
    <x v="214"/>
    <d v="2002-10-23T00:00:00"/>
    <s v="SO48708"/>
    <n v="377"/>
    <n v="16466"/>
    <n v="8"/>
    <n v="1"/>
    <n v="1"/>
    <n v="2"/>
    <s v="BK-R89B-52"/>
    <x v="20"/>
    <n v="1320.6838"/>
    <n v="2181.5625"/>
    <s v="MS."/>
    <s v="ALISHA"/>
    <s v="KUMAR"/>
    <s v="ALISHA KUMAR"/>
    <d v="1974-06-15T00:00:00"/>
    <s v="S"/>
    <s v="F"/>
    <s v="alisha32@adventure-works.com"/>
    <n v="20000"/>
    <n v="0"/>
    <s v="Partial High School"/>
    <s v="Manual"/>
    <s v="N"/>
    <s v="Germany"/>
    <x v="4"/>
    <s v="Europe"/>
    <x v="0"/>
    <s v="Bikes"/>
    <n v="2181.5625"/>
    <n v="1320.6838"/>
    <n v="860.87869999999998"/>
    <n v="0.39461564818793898"/>
  </r>
  <r>
    <x v="182"/>
    <d v="2002-06-04T00:00:00"/>
    <s v="SO47496"/>
    <n v="371"/>
    <n v="16470"/>
    <n v="10"/>
    <n v="1"/>
    <n v="1"/>
    <n v="2"/>
    <s v="BK-R89R-58"/>
    <x v="24"/>
    <n v="1320.6838"/>
    <n v="2181.5625"/>
    <s v="MR."/>
    <s v="WESLEY"/>
    <s v="GUO"/>
    <s v="WESLEY GUO"/>
    <d v="1975-11-09T00:00:00"/>
    <s v="M"/>
    <s v="M"/>
    <s v="wesley17@adventure-works.com"/>
    <n v="40000"/>
    <n v="1"/>
    <s v="Bachelors"/>
    <s v="Skilled Manual"/>
    <s v="Y"/>
    <s v="United Kingdom"/>
    <x v="3"/>
    <s v="Europe"/>
    <x v="0"/>
    <s v="Bikes"/>
    <n v="2181.5625"/>
    <n v="1320.6838"/>
    <n v="860.87869999999998"/>
    <n v="0.39461564818793898"/>
  </r>
  <r>
    <x v="232"/>
    <d v="2002-10-02T00:00:00"/>
    <s v="SO48425"/>
    <n v="379"/>
    <n v="16475"/>
    <n v="8"/>
    <n v="1"/>
    <n v="1"/>
    <n v="2"/>
    <s v="BK-R89B-58"/>
    <x v="26"/>
    <n v="1320.6838"/>
    <n v="2181.5625"/>
    <s v="MR."/>
    <s v="KURT"/>
    <s v="ANAND"/>
    <s v="KURT ANAND"/>
    <d v="1973-12-13T00:00:00"/>
    <s v="S"/>
    <s v="M"/>
    <s v="kurt21@adventure-works.com"/>
    <n v="20000"/>
    <n v="0"/>
    <s v="Partial High School"/>
    <s v="Manual"/>
    <s v="N"/>
    <s v="Germany"/>
    <x v="4"/>
    <s v="Europe"/>
    <x v="0"/>
    <s v="Bikes"/>
    <n v="2181.5625"/>
    <n v="1320.6838"/>
    <n v="860.87869999999998"/>
    <n v="0.39461564818793898"/>
  </r>
  <r>
    <x v="89"/>
    <d v="2002-07-10T00:00:00"/>
    <s v="SO47628"/>
    <n v="369"/>
    <n v="16509"/>
    <n v="10"/>
    <n v="1"/>
    <n v="1"/>
    <n v="2"/>
    <s v="BK-R89R-48"/>
    <x v="21"/>
    <n v="1518.7864"/>
    <n v="2443.35"/>
    <s v="MRS."/>
    <s v="VERONICA"/>
    <s v="SAI"/>
    <s v="VERONICA SAI"/>
    <d v="1941-05-02T00:00:00"/>
    <s v="M"/>
    <s v="F"/>
    <s v="veronica6@adventure-works.com"/>
    <n v="30000"/>
    <n v="1"/>
    <s v="Bachelors"/>
    <s v="Clerical"/>
    <s v="Y"/>
    <s v="United Kingdom"/>
    <x v="3"/>
    <s v="Europe"/>
    <x v="0"/>
    <s v="Bikes"/>
    <n v="2443.35"/>
    <n v="1518.7864"/>
    <n v="924.56359999999995"/>
    <n v="0.37839998362903399"/>
  </r>
  <r>
    <x v="349"/>
    <d v="2002-06-19T00:00:00"/>
    <s v="SO47650"/>
    <n v="370"/>
    <n v="16512"/>
    <n v="10"/>
    <n v="1"/>
    <n v="1"/>
    <n v="2"/>
    <s v="BK-R89R-52"/>
    <x v="23"/>
    <n v="1518.7864"/>
    <n v="2443.35"/>
    <s v="MR."/>
    <s v="RICARDO"/>
    <s v="SHARMA"/>
    <s v="RICARDO SHARMA"/>
    <d v="1942-04-07T00:00:00"/>
    <s v="S"/>
    <s v="M"/>
    <s v="ricardo9@adventure-works.com"/>
    <n v="40000"/>
    <n v="1"/>
    <s v="Graduate Degree"/>
    <s v="Clerical"/>
    <s v="Y"/>
    <s v="United Kingdom"/>
    <x v="3"/>
    <s v="Europe"/>
    <x v="0"/>
    <s v="Bikes"/>
    <n v="2443.35"/>
    <n v="1518.7864"/>
    <n v="924.56359999999995"/>
    <n v="0.37839998362903399"/>
  </r>
  <r>
    <x v="202"/>
    <d v="2002-06-27T00:00:00"/>
    <s v="SO47757"/>
    <n v="379"/>
    <n v="16530"/>
    <n v="10"/>
    <n v="1"/>
    <n v="1"/>
    <n v="2"/>
    <s v="BK-R89B-58"/>
    <x v="26"/>
    <n v="1320.6838"/>
    <n v="2181.5625"/>
    <s v="MRS."/>
    <s v="PRISCILLA"/>
    <s v="CHANDER"/>
    <s v="PRISCILLA CHANDER"/>
    <d v="1943-10-18T00:00:00"/>
    <s v="M"/>
    <s v="F"/>
    <s v="priscilla14@adventure-works.com"/>
    <n v="30000"/>
    <n v="1"/>
    <s v="Bachelors"/>
    <s v="Clerical"/>
    <s v="Y"/>
    <s v="United Kingdom"/>
    <x v="3"/>
    <s v="Europe"/>
    <x v="0"/>
    <s v="Bikes"/>
    <n v="2181.5625"/>
    <n v="1320.6838"/>
    <n v="860.87869999999998"/>
    <n v="0.39461564818793898"/>
  </r>
  <r>
    <x v="310"/>
    <d v="2002-10-03T00:00:00"/>
    <s v="SO47931"/>
    <n v="370"/>
    <n v="16531"/>
    <n v="10"/>
    <n v="1"/>
    <n v="1"/>
    <n v="2"/>
    <s v="BK-R89R-52"/>
    <x v="23"/>
    <n v="1518.7864"/>
    <n v="2443.35"/>
    <s v="MRS."/>
    <s v="LACEY"/>
    <s v="GAO"/>
    <s v="LACEY GAO"/>
    <d v="1943-06-25T00:00:00"/>
    <s v="S"/>
    <s v="F"/>
    <s v="lacey27@adventure-works.com"/>
    <n v="30000"/>
    <n v="1"/>
    <s v="Bachelors"/>
    <s v="Clerical"/>
    <s v="Y"/>
    <s v="United Kingdom"/>
    <x v="3"/>
    <s v="Europe"/>
    <x v="0"/>
    <s v="Bikes"/>
    <n v="2443.35"/>
    <n v="1518.7864"/>
    <n v="924.56359999999995"/>
    <n v="0.37839998362903399"/>
  </r>
  <r>
    <x v="219"/>
    <d v="2002-09-07T00:00:00"/>
    <s v="SO48684"/>
    <n v="379"/>
    <n v="16534"/>
    <n v="8"/>
    <n v="1"/>
    <n v="1"/>
    <n v="2"/>
    <s v="BK-R89B-58"/>
    <x v="26"/>
    <n v="1320.6838"/>
    <n v="2181.5625"/>
    <s v="MRS."/>
    <s v="CLAUDIA"/>
    <s v="HOLT"/>
    <s v="CLAUDIA HOLT"/>
    <d v="1961-02-05T00:00:00"/>
    <s v="M"/>
    <s v="F"/>
    <s v="claudia18@adventure-works.com"/>
    <n v="30000"/>
    <n v="4"/>
    <s v="Graduate Degree"/>
    <s v="Clerical"/>
    <s v="Y"/>
    <s v="Germany"/>
    <x v="4"/>
    <s v="Europe"/>
    <x v="0"/>
    <s v="Bikes"/>
    <n v="2181.5625"/>
    <n v="1320.6838"/>
    <n v="860.87869999999998"/>
    <n v="0.39461564818793898"/>
  </r>
  <r>
    <x v="342"/>
    <d v="2002-09-06T00:00:00"/>
    <s v="SO47889"/>
    <n v="377"/>
    <n v="16541"/>
    <n v="10"/>
    <n v="1"/>
    <n v="1"/>
    <n v="2"/>
    <s v="BK-R89B-52"/>
    <x v="20"/>
    <n v="1320.6838"/>
    <n v="2181.5625"/>
    <s v="MR."/>
    <s v="MICAH"/>
    <s v="HU"/>
    <s v="MICAH HU"/>
    <d v="1960-12-28T00:00:00"/>
    <s v="S"/>
    <s v="M"/>
    <s v="micah8@adventure-works.com"/>
    <n v="20000"/>
    <n v="1"/>
    <s v="Partial College"/>
    <s v="Manual"/>
    <s v="N"/>
    <s v="United Kingdom"/>
    <x v="3"/>
    <s v="Europe"/>
    <x v="0"/>
    <s v="Bikes"/>
    <n v="2181.5625"/>
    <n v="1320.6838"/>
    <n v="860.87869999999998"/>
    <n v="0.39461564818793898"/>
  </r>
  <r>
    <x v="274"/>
    <d v="2002-07-31T00:00:00"/>
    <s v="SO47788"/>
    <n v="379"/>
    <n v="16546"/>
    <n v="10"/>
    <n v="1"/>
    <n v="1"/>
    <n v="2"/>
    <s v="BK-R89B-58"/>
    <x v="26"/>
    <n v="1320.6838"/>
    <n v="2181.5625"/>
    <s v="MR."/>
    <s v="TERRANCE"/>
    <s v="JORDAN"/>
    <s v="TERRANCE JORDAN"/>
    <d v="1959-08-28T00:00:00"/>
    <s v="M"/>
    <s v="M"/>
    <s v="terrance1@adventure-works.com"/>
    <n v="20000"/>
    <n v="2"/>
    <s v="Partial College"/>
    <s v="Manual"/>
    <s v="Y"/>
    <s v="United Kingdom"/>
    <x v="3"/>
    <s v="Europe"/>
    <x v="0"/>
    <s v="Bikes"/>
    <n v="2181.5625"/>
    <n v="1320.6838"/>
    <n v="860.87869999999998"/>
    <n v="0.39461564818793898"/>
  </r>
  <r>
    <x v="202"/>
    <d v="2002-07-22T00:00:00"/>
    <s v="SO47758"/>
    <n v="371"/>
    <n v="16550"/>
    <n v="10"/>
    <n v="1"/>
    <n v="1"/>
    <n v="2"/>
    <s v="BK-R89R-58"/>
    <x v="24"/>
    <n v="1320.6838"/>
    <n v="2181.5625"/>
    <s v="MR."/>
    <s v="FREDERICK"/>
    <s v="MADAN"/>
    <s v="FREDERICK MADAN"/>
    <d v="1959-02-22T00:00:00"/>
    <s v="M"/>
    <s v="M"/>
    <s v="frederick6@adventure-works.com"/>
    <n v="30000"/>
    <n v="0"/>
    <s v="Bachelors"/>
    <s v="Clerical"/>
    <s v="Y"/>
    <s v="United Kingdom"/>
    <x v="3"/>
    <s v="Europe"/>
    <x v="0"/>
    <s v="Bikes"/>
    <n v="2181.5625"/>
    <n v="1320.6838"/>
    <n v="860.87869999999998"/>
    <n v="0.39461564818793898"/>
  </r>
  <r>
    <x v="281"/>
    <d v="2002-10-03T00:00:00"/>
    <s v="SO47881"/>
    <n v="379"/>
    <n v="16553"/>
    <n v="10"/>
    <n v="1"/>
    <n v="1"/>
    <n v="2"/>
    <s v="BK-R89B-58"/>
    <x v="26"/>
    <n v="1320.6838"/>
    <n v="2181.5625"/>
    <s v="MRS."/>
    <s v="GABRIELLA"/>
    <s v="ROBERTS"/>
    <s v="GABRIELLA ROBERTS"/>
    <d v="1959-03-05T00:00:00"/>
    <s v="M"/>
    <s v="F"/>
    <s v="gabriella26@adventure-works.com"/>
    <n v="40000"/>
    <n v="3"/>
    <s v="Graduate Degree"/>
    <s v="Clerical"/>
    <s v="Y"/>
    <s v="United Kingdom"/>
    <x v="3"/>
    <s v="Europe"/>
    <x v="0"/>
    <s v="Bikes"/>
    <n v="2181.5625"/>
    <n v="1320.6838"/>
    <n v="860.87869999999998"/>
    <n v="0.39461564818793898"/>
  </r>
  <r>
    <x v="309"/>
    <d v="2002-08-13T00:00:00"/>
    <s v="SO47955"/>
    <n v="377"/>
    <n v="16554"/>
    <n v="10"/>
    <n v="1"/>
    <n v="1"/>
    <n v="2"/>
    <s v="BK-R89B-52"/>
    <x v="20"/>
    <n v="1320.6838"/>
    <n v="2181.5625"/>
    <s v="MRS."/>
    <s v="CASEY"/>
    <s v="CHANDER"/>
    <s v="CASEY CHANDER"/>
    <d v="1958-08-17T00:00:00"/>
    <s v="S"/>
    <s v="F"/>
    <s v="casey17@adventure-works.com"/>
    <n v="30000"/>
    <n v="1"/>
    <s v="Bachelors"/>
    <s v="Clerical"/>
    <s v="Y"/>
    <s v="United Kingdom"/>
    <x v="3"/>
    <s v="Europe"/>
    <x v="0"/>
    <s v="Bikes"/>
    <n v="2181.5625"/>
    <n v="1320.6838"/>
    <n v="860.87869999999998"/>
    <n v="0.39461564818793898"/>
  </r>
  <r>
    <x v="310"/>
    <d v="2002-09-23T00:00:00"/>
    <s v="SO47932"/>
    <n v="373"/>
    <n v="16561"/>
    <n v="10"/>
    <n v="1"/>
    <n v="1"/>
    <n v="2"/>
    <s v="BK-R89B-44"/>
    <x v="19"/>
    <n v="1320.6838"/>
    <n v="2181.5625"/>
    <s v="MR."/>
    <s v="KURT"/>
    <s v="YUAN"/>
    <s v="KURT YUAN"/>
    <d v="1970-12-06T00:00:00"/>
    <s v="M"/>
    <s v="M"/>
    <s v="kurt6@adventure-works.com"/>
    <n v="30000"/>
    <n v="0"/>
    <s v="Bachelors"/>
    <s v="Clerical"/>
    <s v="Y"/>
    <s v="United Kingdom"/>
    <x v="3"/>
    <s v="Europe"/>
    <x v="0"/>
    <s v="Bikes"/>
    <n v="2181.5625"/>
    <n v="1320.6838"/>
    <n v="860.87869999999998"/>
    <n v="0.39461564818793898"/>
  </r>
  <r>
    <x v="279"/>
    <d v="2002-07-14T00:00:00"/>
    <s v="SO47904"/>
    <n v="377"/>
    <n v="16562"/>
    <n v="10"/>
    <n v="1"/>
    <n v="1"/>
    <n v="2"/>
    <s v="BK-R89B-52"/>
    <x v="20"/>
    <n v="1320.6838"/>
    <n v="2181.5625"/>
    <s v="MS."/>
    <s v="COLLEEN"/>
    <s v="ZHANG"/>
    <s v="COLLEEN ZHANG"/>
    <d v="1970-09-10T00:00:00"/>
    <s v="M"/>
    <s v="F"/>
    <s v="colleen0@adventure-works.com"/>
    <n v="40000"/>
    <n v="0"/>
    <s v="Graduate Degree"/>
    <s v="Clerical"/>
    <s v="Y"/>
    <s v="United Kingdom"/>
    <x v="3"/>
    <s v="Europe"/>
    <x v="0"/>
    <s v="Bikes"/>
    <n v="2181.5625"/>
    <n v="1320.6838"/>
    <n v="860.87869999999998"/>
    <n v="0.39461564818793898"/>
  </r>
  <r>
    <x v="278"/>
    <d v="2002-06-27T00:00:00"/>
    <s v="SO47897"/>
    <n v="377"/>
    <n v="16573"/>
    <n v="10"/>
    <n v="1"/>
    <n v="1"/>
    <n v="2"/>
    <s v="BK-R89B-52"/>
    <x v="20"/>
    <n v="1320.6838"/>
    <n v="2181.5625"/>
    <s v="MR."/>
    <s v="RUBEN"/>
    <s v="DOMINGUEZ"/>
    <s v="RUBEN DOMINGUEZ"/>
    <d v="1968-02-10T00:00:00"/>
    <s v="S"/>
    <s v="M"/>
    <s v="ruben36@adventure-works.com"/>
    <n v="20000"/>
    <n v="1"/>
    <s v="Partial College"/>
    <s v="Manual"/>
    <s v="N"/>
    <s v="United Kingdom"/>
    <x v="3"/>
    <s v="Europe"/>
    <x v="0"/>
    <s v="Bikes"/>
    <n v="2181.5625"/>
    <n v="1320.6838"/>
    <n v="860.87869999999998"/>
    <n v="0.39461564818793898"/>
  </r>
  <r>
    <x v="197"/>
    <d v="2002-09-23T00:00:00"/>
    <s v="SO47807"/>
    <n v="379"/>
    <n v="16575"/>
    <n v="10"/>
    <n v="1"/>
    <n v="1"/>
    <n v="2"/>
    <s v="BK-R89B-58"/>
    <x v="26"/>
    <n v="1320.6838"/>
    <n v="2181.5625"/>
    <s v="MRS."/>
    <s v="VERONICA"/>
    <s v="VANCE"/>
    <s v="VERONICA VANCE"/>
    <d v="1944-09-03T00:00:00"/>
    <s v="S"/>
    <s v="F"/>
    <s v="veronica4@adventure-works.com"/>
    <n v="170000"/>
    <n v="3"/>
    <s v="Graduate Degree"/>
    <s v="Management"/>
    <s v="N"/>
    <s v="United Kingdom"/>
    <x v="3"/>
    <s v="Europe"/>
    <x v="0"/>
    <s v="Bikes"/>
    <n v="2181.5625"/>
    <n v="1320.6838"/>
    <n v="860.87869999999998"/>
    <n v="0.39461564818793898"/>
  </r>
  <r>
    <x v="327"/>
    <d v="2002-08-19T00:00:00"/>
    <s v="SO47787"/>
    <n v="368"/>
    <n v="16585"/>
    <n v="10"/>
    <n v="1"/>
    <n v="1"/>
    <n v="2"/>
    <s v="BK-R89R-44"/>
    <x v="22"/>
    <n v="1518.7864"/>
    <n v="2443.35"/>
    <s v="MR."/>
    <s v="VINCENT"/>
    <s v="SUN"/>
    <s v="VINCENT SUN"/>
    <d v="1954-05-06T00:00:00"/>
    <s v="M"/>
    <s v="M"/>
    <s v="vincent12@adventure-works.com"/>
    <n v="170000"/>
    <n v="0"/>
    <s v="Partial High School"/>
    <s v="Professional"/>
    <s v="Y"/>
    <s v="United Kingdom"/>
    <x v="3"/>
    <s v="Europe"/>
    <x v="0"/>
    <s v="Bikes"/>
    <n v="2443.35"/>
    <n v="1518.7864"/>
    <n v="924.56359999999995"/>
    <n v="0.37839998362903399"/>
  </r>
  <r>
    <x v="295"/>
    <d v="2002-10-02T00:00:00"/>
    <s v="SO48093"/>
    <n v="377"/>
    <n v="16588"/>
    <n v="10"/>
    <n v="1"/>
    <n v="1"/>
    <n v="2"/>
    <s v="BK-R89B-52"/>
    <x v="20"/>
    <n v="1320.6838"/>
    <n v="2181.5625"/>
    <s v="MR."/>
    <s v="ANDRE"/>
    <s v="MARTINEZ"/>
    <s v="ANDRE MARTINEZ"/>
    <d v="1953-04-03T00:00:00"/>
    <s v="M"/>
    <s v="M"/>
    <s v="andre17@adventure-works.com"/>
    <n v="130000"/>
    <n v="4"/>
    <s v="Partial College"/>
    <s v="Professional"/>
    <s v="Y"/>
    <s v="United Kingdom"/>
    <x v="3"/>
    <s v="Europe"/>
    <x v="0"/>
    <s v="Bikes"/>
    <n v="2181.5625"/>
    <n v="1320.6838"/>
    <n v="860.87869999999998"/>
    <n v="0.39461564818793898"/>
  </r>
  <r>
    <x v="337"/>
    <d v="2002-10-13T00:00:00"/>
    <s v="SO48273"/>
    <n v="369"/>
    <n v="16589"/>
    <n v="10"/>
    <n v="1"/>
    <n v="1"/>
    <n v="2"/>
    <s v="BK-R89R-48"/>
    <x v="21"/>
    <n v="1518.7864"/>
    <n v="2443.35"/>
    <s v="MR."/>
    <s v="MARTIN"/>
    <s v="SURI"/>
    <s v="MARTIN SURI"/>
    <d v="1953-04-10T00:00:00"/>
    <s v="M"/>
    <s v="M"/>
    <s v="martin6@adventure-works.com"/>
    <n v="130000"/>
    <n v="5"/>
    <s v="Partial College"/>
    <s v="Professional"/>
    <s v="Y"/>
    <s v="United Kingdom"/>
    <x v="3"/>
    <s v="Europe"/>
    <x v="0"/>
    <s v="Bikes"/>
    <n v="2443.35"/>
    <n v="1518.7864"/>
    <n v="924.56359999999995"/>
    <n v="0.37839998362903399"/>
  </r>
  <r>
    <x v="343"/>
    <d v="2002-08-12T00:00:00"/>
    <s v="SO48218"/>
    <n v="368"/>
    <n v="16594"/>
    <n v="10"/>
    <n v="1"/>
    <n v="1"/>
    <n v="2"/>
    <s v="BK-R89R-44"/>
    <x v="22"/>
    <n v="1518.7864"/>
    <n v="2443.35"/>
    <s v="MR."/>
    <s v="ANDREW"/>
    <s v="JONES"/>
    <s v="ANDREW JONES"/>
    <d v="1952-03-04T00:00:00"/>
    <s v="M"/>
    <s v="M"/>
    <s v="andrew12@adventure-works.com"/>
    <n v="170000"/>
    <n v="4"/>
    <s v="Bachelors"/>
    <s v="Management"/>
    <s v="N"/>
    <s v="United Kingdom"/>
    <x v="3"/>
    <s v="Europe"/>
    <x v="0"/>
    <s v="Bikes"/>
    <n v="2443.35"/>
    <n v="1518.7864"/>
    <n v="924.56359999999995"/>
    <n v="0.37839998362903399"/>
  </r>
  <r>
    <x v="350"/>
    <d v="2002-10-07T00:00:00"/>
    <s v="SO48199"/>
    <n v="373"/>
    <n v="16595"/>
    <n v="10"/>
    <n v="1"/>
    <n v="1"/>
    <n v="2"/>
    <s v="BK-R89B-44"/>
    <x v="19"/>
    <n v="1320.6838"/>
    <n v="2181.5625"/>
    <s v="MR."/>
    <s v="CAMERON"/>
    <s v="ANDERSON"/>
    <s v="CAMERON ANDERSON"/>
    <d v="1952-07-19T00:00:00"/>
    <s v="M"/>
    <s v="M"/>
    <s v="cameron50@adventure-works.com"/>
    <n v="170000"/>
    <n v="4"/>
    <s v="Bachelors"/>
    <s v="Management"/>
    <s v="Y"/>
    <s v="United Kingdom"/>
    <x v="3"/>
    <s v="Europe"/>
    <x v="0"/>
    <s v="Bikes"/>
    <n v="2181.5625"/>
    <n v="1320.6838"/>
    <n v="860.87869999999998"/>
    <n v="0.39461564818793898"/>
  </r>
  <r>
    <x v="333"/>
    <d v="2002-08-10T00:00:00"/>
    <s v="SO48228"/>
    <n v="368"/>
    <n v="16598"/>
    <n v="10"/>
    <n v="1"/>
    <n v="1"/>
    <n v="2"/>
    <s v="BK-R89R-44"/>
    <x v="22"/>
    <n v="1518.7864"/>
    <n v="2443.35"/>
    <s v="MRS."/>
    <s v="KATE"/>
    <s v="RAI"/>
    <s v="KATE RAI"/>
    <d v="1951-11-03T00:00:00"/>
    <s v="S"/>
    <s v="F"/>
    <s v="kate14@adventure-works.com"/>
    <n v="130000"/>
    <n v="4"/>
    <s v="High School"/>
    <s v="Professional"/>
    <s v="N"/>
    <s v="United Kingdom"/>
    <x v="3"/>
    <s v="Europe"/>
    <x v="0"/>
    <s v="Bikes"/>
    <n v="2443.35"/>
    <n v="1518.7864"/>
    <n v="924.56359999999995"/>
    <n v="0.37839998362903399"/>
  </r>
  <r>
    <x v="104"/>
    <d v="2002-09-21T00:00:00"/>
    <s v="SO48150"/>
    <n v="369"/>
    <n v="16822"/>
    <n v="10"/>
    <n v="1"/>
    <n v="1"/>
    <n v="2"/>
    <s v="BK-R89R-48"/>
    <x v="21"/>
    <n v="1518.7864"/>
    <n v="2443.35"/>
    <s v="MR."/>
    <s v="MARSHALL"/>
    <s v="LIN"/>
    <s v="MARSHALL LIN"/>
    <d v="1958-11-28T00:00:00"/>
    <s v="M"/>
    <s v="M"/>
    <s v="marshall7@adventure-works.com"/>
    <n v="150000"/>
    <n v="1"/>
    <s v="Partial College"/>
    <s v="Professional"/>
    <s v="N"/>
    <s v="United Kingdom"/>
    <x v="3"/>
    <s v="Europe"/>
    <x v="0"/>
    <s v="Bikes"/>
    <n v="2443.35"/>
    <n v="1518.7864"/>
    <n v="924.56359999999995"/>
    <n v="0.37839998362903399"/>
  </r>
  <r>
    <x v="181"/>
    <d v="2002-08-17T00:00:00"/>
    <s v="SO48144"/>
    <n v="370"/>
    <n v="16823"/>
    <n v="10"/>
    <n v="1"/>
    <n v="1"/>
    <n v="2"/>
    <s v="BK-R89R-52"/>
    <x v="23"/>
    <n v="1518.7864"/>
    <n v="2443.35"/>
    <s v="MRS."/>
    <s v="STACY"/>
    <s v="RUIZ"/>
    <s v="STACY RUIZ"/>
    <d v="1958-07-20T00:00:00"/>
    <s v="M"/>
    <s v="F"/>
    <s v="stacy3@adventure-works.com"/>
    <n v="160000"/>
    <n v="1"/>
    <s v="Partial College"/>
    <s v="Professional"/>
    <s v="N"/>
    <s v="United Kingdom"/>
    <x v="3"/>
    <s v="Europe"/>
    <x v="0"/>
    <s v="Bikes"/>
    <n v="2443.35"/>
    <n v="1518.7864"/>
    <n v="924.56359999999995"/>
    <n v="0.37839998362903399"/>
  </r>
  <r>
    <x v="167"/>
    <d v="2002-09-14T00:00:00"/>
    <s v="SO48179"/>
    <n v="369"/>
    <n v="16828"/>
    <n v="10"/>
    <n v="1"/>
    <n v="1"/>
    <n v="2"/>
    <s v="BK-R89R-48"/>
    <x v="21"/>
    <n v="1518.7864"/>
    <n v="2443.35"/>
    <s v="MR."/>
    <s v="LOGAN"/>
    <s v="MITCHELL"/>
    <s v="LOGAN MITCHELL"/>
    <d v="1956-02-10T00:00:00"/>
    <s v="M"/>
    <s v="M"/>
    <s v="logan37@adventure-works.com"/>
    <n v="160000"/>
    <n v="2"/>
    <s v="High School"/>
    <s v="Professional"/>
    <s v="Y"/>
    <s v="United Kingdom"/>
    <x v="3"/>
    <s v="Europe"/>
    <x v="0"/>
    <s v="Bikes"/>
    <n v="2443.35"/>
    <n v="1518.7864"/>
    <n v="924.56359999999995"/>
    <n v="0.37839998362903399"/>
  </r>
  <r>
    <x v="284"/>
    <d v="2002-10-04T00:00:00"/>
    <s v="SO48130"/>
    <n v="368"/>
    <n v="16829"/>
    <n v="10"/>
    <n v="1"/>
    <n v="1"/>
    <n v="2"/>
    <s v="BK-R89R-44"/>
    <x v="22"/>
    <n v="1518.7864"/>
    <n v="2443.35"/>
    <s v="MR."/>
    <s v="WAYNE"/>
    <s v="LAL"/>
    <s v="WAYNE LAL"/>
    <d v="1956-04-27T00:00:00"/>
    <s v="M"/>
    <s v="M"/>
    <s v="wayne10@adventure-works.com"/>
    <n v="160000"/>
    <n v="2"/>
    <s v="High School"/>
    <s v="Professional"/>
    <s v="Y"/>
    <s v="United Kingdom"/>
    <x v="3"/>
    <s v="Europe"/>
    <x v="0"/>
    <s v="Bikes"/>
    <n v="2443.35"/>
    <n v="1518.7864"/>
    <n v="924.56359999999995"/>
    <n v="0.37839998362903399"/>
  </r>
  <r>
    <x v="299"/>
    <d v="2002-08-07T00:00:00"/>
    <s v="SO48238"/>
    <n v="368"/>
    <n v="16831"/>
    <n v="10"/>
    <n v="1"/>
    <n v="1"/>
    <n v="2"/>
    <s v="BK-R89R-44"/>
    <x v="22"/>
    <n v="1518.7864"/>
    <n v="2443.35"/>
    <s v="MR."/>
    <s v="THEODORE"/>
    <s v="VAZQUEZ"/>
    <s v="THEODORE VAZQUEZ"/>
    <d v="1955-05-12T00:00:00"/>
    <s v="M"/>
    <s v="M"/>
    <s v="theodore15@adventure-works.com"/>
    <n v="130000"/>
    <n v="3"/>
    <s v="Partial College"/>
    <s v="Professional"/>
    <s v="Y"/>
    <s v="United Kingdom"/>
    <x v="3"/>
    <s v="Europe"/>
    <x v="0"/>
    <s v="Bikes"/>
    <n v="2443.35"/>
    <n v="1518.7864"/>
    <n v="924.56359999999995"/>
    <n v="0.37839998362903399"/>
  </r>
  <r>
    <x v="302"/>
    <d v="2002-09-17T00:00:00"/>
    <s v="SO48161"/>
    <n v="371"/>
    <n v="16938"/>
    <n v="10"/>
    <n v="1"/>
    <n v="1"/>
    <n v="2"/>
    <s v="BK-R89R-58"/>
    <x v="24"/>
    <n v="1320.6838"/>
    <n v="2181.5625"/>
    <s v="MRS."/>
    <s v="ABIGAIL"/>
    <s v="WILLIAMS"/>
    <s v="ABIGAIL WILLIAMS"/>
    <d v="1958-05-11T00:00:00"/>
    <s v="S"/>
    <s v="F"/>
    <s v="abigail49@adventure-works.com"/>
    <n v="20000"/>
    <n v="1"/>
    <s v="Bachelors"/>
    <s v="Manual"/>
    <s v="Y"/>
    <s v="United Kingdom"/>
    <x v="3"/>
    <s v="Europe"/>
    <x v="0"/>
    <s v="Bikes"/>
    <n v="2181.5625"/>
    <n v="1320.6838"/>
    <n v="860.87869999999998"/>
    <n v="0.39461564818793898"/>
  </r>
  <r>
    <x v="184"/>
    <d v="2002-03-14T00:00:00"/>
    <s v="SO46700"/>
    <n v="381"/>
    <n v="16942"/>
    <n v="7"/>
    <n v="1"/>
    <n v="1"/>
    <n v="2"/>
    <s v="BK-R64Y-38"/>
    <x v="30"/>
    <n v="605.64919999999995"/>
    <n v="1000.4375"/>
    <s v="MRS."/>
    <s v="KAITLYN"/>
    <s v="BENNETT"/>
    <s v="KAITLYN BENNETT"/>
    <d v="1954-04-04T00:00:00"/>
    <s v="M"/>
    <s v="F"/>
    <s v="kaitlyn69@adventure-works.com"/>
    <n v="10000"/>
    <n v="2"/>
    <s v="Partial College"/>
    <s v="Manual"/>
    <s v="Y"/>
    <s v="France"/>
    <x v="0"/>
    <s v="Europe"/>
    <x v="0"/>
    <s v="Bikes"/>
    <n v="1000.4375"/>
    <n v="605.64919999999995"/>
    <n v="394.78829999999999"/>
    <n v="0.39461565565065299"/>
  </r>
  <r>
    <x v="283"/>
    <d v="2002-08-19T00:00:00"/>
    <s v="SO48265"/>
    <n v="369"/>
    <n v="16945"/>
    <n v="10"/>
    <n v="1"/>
    <n v="1"/>
    <n v="2"/>
    <s v="BK-R89R-48"/>
    <x v="21"/>
    <n v="1518.7864"/>
    <n v="2443.35"/>
    <s v="MRS."/>
    <s v="BRIANNA"/>
    <s v="KELLY"/>
    <s v="BRIANNA KELLY"/>
    <d v="1938-05-14T00:00:00"/>
    <s v="S"/>
    <s v="F"/>
    <s v="brianna46@adventure-works.com"/>
    <n v="30000"/>
    <n v="1"/>
    <s v="Graduate Degree"/>
    <s v="Clerical"/>
    <s v="Y"/>
    <s v="United Kingdom"/>
    <x v="3"/>
    <s v="Europe"/>
    <x v="0"/>
    <s v="Bikes"/>
    <n v="2443.35"/>
    <n v="1518.7864"/>
    <n v="924.56359999999995"/>
    <n v="0.37839998362903399"/>
  </r>
  <r>
    <x v="232"/>
    <d v="2002-09-12T00:00:00"/>
    <s v="SO48422"/>
    <n v="379"/>
    <n v="16946"/>
    <n v="10"/>
    <n v="1"/>
    <n v="1"/>
    <n v="2"/>
    <s v="BK-R89B-58"/>
    <x v="26"/>
    <n v="1320.6838"/>
    <n v="2181.5625"/>
    <s v="MRS."/>
    <s v="TERESA"/>
    <s v="DIAZ"/>
    <s v="TERESA DIAZ"/>
    <d v="1938-07-26T00:00:00"/>
    <s v="M"/>
    <s v="F"/>
    <s v="teresa4@adventure-works.com"/>
    <n v="30000"/>
    <n v="1"/>
    <s v="Graduate Degree"/>
    <s v="Clerical"/>
    <s v="Y"/>
    <s v="United Kingdom"/>
    <x v="3"/>
    <s v="Europe"/>
    <x v="0"/>
    <s v="Bikes"/>
    <n v="2181.5625"/>
    <n v="1320.6838"/>
    <n v="860.87869999999998"/>
    <n v="0.39461564818793898"/>
  </r>
  <r>
    <x v="235"/>
    <d v="2002-06-09T00:00:00"/>
    <s v="SO46904"/>
    <n v="387"/>
    <n v="17080"/>
    <n v="7"/>
    <n v="1"/>
    <n v="1"/>
    <n v="2"/>
    <s v="BK-R64Y-44"/>
    <x v="27"/>
    <n v="605.64919999999995"/>
    <n v="1000.4375"/>
    <s v="MS."/>
    <s v="KATELYN"/>
    <s v="PETERSON"/>
    <s v="KATELYN PETERSON"/>
    <d v="1973-01-20T00:00:00"/>
    <s v="S"/>
    <s v="F"/>
    <s v="katelyn3@adventure-works.com"/>
    <n v="30000"/>
    <n v="0"/>
    <s v="Partial College"/>
    <s v="Clerical"/>
    <s v="Y"/>
    <s v="France"/>
    <x v="0"/>
    <s v="Europe"/>
    <x v="0"/>
    <s v="Bikes"/>
    <n v="1000.4375"/>
    <n v="605.64919999999995"/>
    <n v="394.78829999999999"/>
    <n v="0.39461565565065299"/>
  </r>
  <r>
    <x v="351"/>
    <d v="2002-10-11T00:00:00"/>
    <s v="SO48562"/>
    <n v="375"/>
    <n v="17085"/>
    <n v="10"/>
    <n v="1"/>
    <n v="1"/>
    <n v="2"/>
    <s v="BK-R89B-48"/>
    <x v="25"/>
    <n v="1320.6838"/>
    <n v="2181.5625"/>
    <s v="MR."/>
    <s v="EDWIN"/>
    <s v="DENG"/>
    <s v="EDWIN DENG"/>
    <d v="1974-04-08T00:00:00"/>
    <s v="M"/>
    <s v="M"/>
    <s v="edwin23@adventure-works.com"/>
    <n v="40000"/>
    <n v="1"/>
    <s v="Bachelors"/>
    <s v="Skilled Manual"/>
    <s v="Y"/>
    <s v="United Kingdom"/>
    <x v="3"/>
    <s v="Europe"/>
    <x v="0"/>
    <s v="Bikes"/>
    <n v="2181.5625"/>
    <n v="1320.6838"/>
    <n v="860.87869999999998"/>
    <n v="0.39461564818793898"/>
  </r>
  <r>
    <x v="285"/>
    <d v="2002-09-22T00:00:00"/>
    <s v="SO48654"/>
    <n v="375"/>
    <n v="17094"/>
    <n v="10"/>
    <n v="1"/>
    <n v="1"/>
    <n v="2"/>
    <s v="BK-R89B-48"/>
    <x v="25"/>
    <n v="1320.6838"/>
    <n v="2181.5625"/>
    <s v="MR."/>
    <s v="JULIO"/>
    <s v="DOMINGUEZ"/>
    <s v="JULIO DOMINGUEZ"/>
    <d v="1973-07-06T00:00:00"/>
    <s v="S"/>
    <s v="M"/>
    <s v="julio13@adventure-works.com"/>
    <n v="50000"/>
    <n v="0"/>
    <s v="Graduate Degree"/>
    <s v="Skilled Manual"/>
    <s v="Y"/>
    <s v="United Kingdom"/>
    <x v="3"/>
    <s v="Europe"/>
    <x v="0"/>
    <s v="Bikes"/>
    <n v="2181.5625"/>
    <n v="1320.6838"/>
    <n v="860.87869999999998"/>
    <n v="0.39461564818793898"/>
  </r>
  <r>
    <x v="97"/>
    <d v="2002-05-02T00:00:00"/>
    <s v="SO46722"/>
    <n v="385"/>
    <n v="17095"/>
    <n v="7"/>
    <n v="1"/>
    <n v="1"/>
    <n v="2"/>
    <s v="BK-R64Y-42"/>
    <x v="28"/>
    <n v="605.64919999999995"/>
    <n v="1000.4375"/>
    <s v="MR."/>
    <s v="LOGAN"/>
    <s v="GARCIA"/>
    <s v="LOGAN GARCIA"/>
    <d v="1972-02-06T00:00:00"/>
    <s v="S"/>
    <s v="M"/>
    <s v="logan68@adventure-works.com"/>
    <n v="20000"/>
    <n v="0"/>
    <s v="Partial High School"/>
    <s v="Manual"/>
    <s v="N"/>
    <s v="France"/>
    <x v="0"/>
    <s v="Europe"/>
    <x v="0"/>
    <s v="Bikes"/>
    <n v="1000.4375"/>
    <n v="605.64919999999995"/>
    <n v="394.78829999999999"/>
    <n v="0.39461565565065299"/>
  </r>
  <r>
    <x v="304"/>
    <d v="2002-10-02T00:00:00"/>
    <s v="SO48458"/>
    <n v="371"/>
    <n v="17097"/>
    <n v="10"/>
    <n v="1"/>
    <n v="1"/>
    <n v="2"/>
    <s v="BK-R89R-58"/>
    <x v="24"/>
    <n v="1320.6838"/>
    <n v="2181.5625"/>
    <s v="MS."/>
    <s v="DEANNA"/>
    <s v="KAPOOR"/>
    <s v="DEANNA KAPOOR"/>
    <d v="1972-02-06T00:00:00"/>
    <s v="S"/>
    <s v="F"/>
    <s v="deanna4@adventure-works.com"/>
    <n v="30000"/>
    <n v="0"/>
    <s v="High School"/>
    <s v="Manual"/>
    <s v="N"/>
    <s v="United Kingdom"/>
    <x v="3"/>
    <s v="Europe"/>
    <x v="0"/>
    <s v="Bikes"/>
    <n v="2181.5625"/>
    <n v="1320.6838"/>
    <n v="860.87869999999998"/>
    <n v="0.39461564818793898"/>
  </r>
  <r>
    <x v="304"/>
    <d v="2002-11-18T00:00:00"/>
    <s v="SO48460"/>
    <n v="371"/>
    <n v="17098"/>
    <n v="10"/>
    <n v="1"/>
    <n v="1"/>
    <n v="2"/>
    <s v="BK-R89R-58"/>
    <x v="24"/>
    <n v="1320.6838"/>
    <n v="2181.5625"/>
    <s v="MR."/>
    <s v="WILLIE"/>
    <s v="SHAN"/>
    <s v="WILLIE SHAN"/>
    <d v="1972-01-16T00:00:00"/>
    <s v="S"/>
    <s v="M"/>
    <s v="willie29@adventure-works.com"/>
    <n v="30000"/>
    <n v="0"/>
    <s v="High School"/>
    <s v="Manual"/>
    <s v="N"/>
    <s v="United Kingdom"/>
    <x v="3"/>
    <s v="Europe"/>
    <x v="0"/>
    <s v="Bikes"/>
    <n v="2181.5625"/>
    <n v="1320.6838"/>
    <n v="860.87869999999998"/>
    <n v="0.39461564818793898"/>
  </r>
  <r>
    <x v="105"/>
    <d v="2002-07-27T00:00:00"/>
    <s v="SO47281"/>
    <n v="389"/>
    <n v="17099"/>
    <n v="7"/>
    <n v="1"/>
    <n v="1"/>
    <n v="2"/>
    <s v="BK-R64Y-48"/>
    <x v="31"/>
    <n v="605.64919999999995"/>
    <n v="1000.4375"/>
    <s v="MR."/>
    <s v="JOEL"/>
    <s v="FERNANDEZ"/>
    <s v="JOEL FERNANDEZ"/>
    <d v="1972-11-17T00:00:00"/>
    <s v="S"/>
    <s v="M"/>
    <s v="joel15@adventure-works.com"/>
    <n v="30000"/>
    <n v="0"/>
    <s v="High School"/>
    <s v="Manual"/>
    <s v="N"/>
    <s v="France"/>
    <x v="0"/>
    <s v="Europe"/>
    <x v="0"/>
    <s v="Bikes"/>
    <n v="1000.4375"/>
    <n v="605.64919999999995"/>
    <n v="394.78829999999999"/>
    <n v="0.39461565565065299"/>
  </r>
  <r>
    <x v="196"/>
    <d v="2002-08-16T00:00:00"/>
    <s v="SO47642"/>
    <n v="383"/>
    <n v="17109"/>
    <n v="7"/>
    <n v="1"/>
    <n v="1"/>
    <n v="2"/>
    <s v="BK-R64Y-40"/>
    <x v="29"/>
    <n v="605.64919999999995"/>
    <n v="1000.4375"/>
    <s v="MS."/>
    <s v="SYDNEY"/>
    <s v="WILSON"/>
    <s v="SYDNEY WILSON"/>
    <d v="1971-05-20T00:00:00"/>
    <s v="S"/>
    <s v="F"/>
    <s v="sydney71@adventure-works.com"/>
    <n v="30000"/>
    <n v="0"/>
    <s v="High School"/>
    <s v="Manual"/>
    <s v="N"/>
    <s v="France"/>
    <x v="0"/>
    <s v="Europe"/>
    <x v="0"/>
    <s v="Bikes"/>
    <n v="1000.4375"/>
    <n v="605.64919999999995"/>
    <n v="394.78829999999999"/>
    <n v="0.39461565565065299"/>
  </r>
  <r>
    <x v="214"/>
    <d v="2002-11-21T00:00:00"/>
    <s v="SO48702"/>
    <n v="377"/>
    <n v="17115"/>
    <n v="10"/>
    <n v="1"/>
    <n v="1"/>
    <n v="2"/>
    <s v="BK-R89B-52"/>
    <x v="20"/>
    <n v="1320.6838"/>
    <n v="2181.5625"/>
    <s v="MRS."/>
    <s v="KAREN"/>
    <s v="XU"/>
    <s v="KAREN XU"/>
    <d v="1971-02-12T00:00:00"/>
    <s v="M"/>
    <s v="F"/>
    <s v="karen22@adventure-works.com"/>
    <n v="40000"/>
    <n v="2"/>
    <s v="Partial College"/>
    <s v="Clerical"/>
    <s v="N"/>
    <s v="United Kingdom"/>
    <x v="3"/>
    <s v="Europe"/>
    <x v="0"/>
    <s v="Bikes"/>
    <n v="2181.5625"/>
    <n v="1320.6838"/>
    <n v="860.87869999999998"/>
    <n v="0.39461564818793898"/>
  </r>
  <r>
    <x v="289"/>
    <d v="2002-09-25T00:00:00"/>
    <s v="SO48411"/>
    <n v="371"/>
    <n v="17182"/>
    <n v="10"/>
    <n v="1"/>
    <n v="1"/>
    <n v="2"/>
    <s v="BK-R89R-58"/>
    <x v="24"/>
    <n v="1320.6838"/>
    <n v="2181.5625"/>
    <s v="MRS."/>
    <s v="JESSICA"/>
    <s v="PATTERSON"/>
    <s v="JESSICA PATTERSON"/>
    <d v="1958-05-10T00:00:00"/>
    <s v="S"/>
    <s v="F"/>
    <s v="jessica35@adventure-works.com"/>
    <n v="170000"/>
    <n v="2"/>
    <s v="Bachelors"/>
    <s v="Management"/>
    <s v="N"/>
    <s v="United Kingdom"/>
    <x v="3"/>
    <s v="Europe"/>
    <x v="0"/>
    <s v="Bikes"/>
    <n v="2181.5625"/>
    <n v="1320.6838"/>
    <n v="860.87869999999998"/>
    <n v="0.39461564818793898"/>
  </r>
  <r>
    <x v="188"/>
    <d v="2002-09-15T00:00:00"/>
    <s v="SO48631"/>
    <n v="375"/>
    <n v="17185"/>
    <n v="10"/>
    <n v="1"/>
    <n v="1"/>
    <n v="2"/>
    <s v="BK-R89B-48"/>
    <x v="25"/>
    <n v="1320.6838"/>
    <n v="2181.5625"/>
    <s v="MRS."/>
    <s v="KARLA"/>
    <s v="ANAND"/>
    <s v="KARLA ANAND"/>
    <d v="1957-09-21T00:00:00"/>
    <s v="M"/>
    <s v="F"/>
    <s v="karla23@adventure-works.com"/>
    <n v="170000"/>
    <n v="4"/>
    <s v="Partial College"/>
    <s v="Professional"/>
    <s v="N"/>
    <s v="United Kingdom"/>
    <x v="3"/>
    <s v="Europe"/>
    <x v="0"/>
    <s v="Bikes"/>
    <n v="2181.5625"/>
    <n v="1320.6838"/>
    <n v="860.87869999999998"/>
    <n v="0.39461564818793898"/>
  </r>
  <r>
    <x v="308"/>
    <d v="2002-08-24T00:00:00"/>
    <s v="SO47605"/>
    <n v="389"/>
    <n v="17187"/>
    <n v="7"/>
    <n v="1"/>
    <n v="1"/>
    <n v="2"/>
    <s v="BK-R64Y-48"/>
    <x v="31"/>
    <n v="605.64919999999995"/>
    <n v="1000.4375"/>
    <s v="MR."/>
    <s v="ALEJANDRO"/>
    <s v="MA"/>
    <s v="ALEJANDRO MA"/>
    <d v="1955-04-01T00:00:00"/>
    <s v="S"/>
    <s v="M"/>
    <s v="alejandro19@adventure-works.com"/>
    <n v="90000"/>
    <n v="2"/>
    <s v="High School"/>
    <s v="Professional"/>
    <s v="Y"/>
    <s v="France"/>
    <x v="0"/>
    <s v="Europe"/>
    <x v="0"/>
    <s v="Bikes"/>
    <n v="1000.4375"/>
    <n v="605.64919999999995"/>
    <n v="394.78829999999999"/>
    <n v="0.39461565565065299"/>
  </r>
  <r>
    <x v="320"/>
    <d v="2002-05-27T00:00:00"/>
    <s v="SO47600"/>
    <n v="389"/>
    <n v="17188"/>
    <n v="7"/>
    <n v="1"/>
    <n v="1"/>
    <n v="2"/>
    <s v="BK-R64Y-48"/>
    <x v="31"/>
    <n v="605.64919999999995"/>
    <n v="1000.4375"/>
    <s v="MRS."/>
    <s v="ALEXA"/>
    <s v="PETERSON"/>
    <s v="ALEXA PETERSON"/>
    <d v="1955-09-21T00:00:00"/>
    <s v="M"/>
    <s v="F"/>
    <s v="alexa4@adventure-works.com"/>
    <n v="110000"/>
    <n v="3"/>
    <s v="Partial College"/>
    <s v="Professional"/>
    <s v="Y"/>
    <s v="France"/>
    <x v="0"/>
    <s v="Europe"/>
    <x v="0"/>
    <s v="Bikes"/>
    <n v="1000.4375"/>
    <n v="605.64919999999995"/>
    <n v="394.78829999999999"/>
    <n v="0.39461565565065299"/>
  </r>
  <r>
    <x v="188"/>
    <d v="2002-11-12T00:00:00"/>
    <s v="SO48632"/>
    <n v="379"/>
    <n v="17192"/>
    <n v="10"/>
    <n v="1"/>
    <n v="1"/>
    <n v="2"/>
    <s v="BK-R89B-58"/>
    <x v="26"/>
    <n v="1320.6838"/>
    <n v="2181.5625"/>
    <s v="MR."/>
    <s v="WARREN"/>
    <s v="HE"/>
    <s v="WARREN HE"/>
    <d v="1955-09-23T00:00:00"/>
    <s v="S"/>
    <s v="M"/>
    <s v="warren31@adventure-works.com"/>
    <n v="160000"/>
    <n v="2"/>
    <s v="High School"/>
    <s v="Professional"/>
    <s v="N"/>
    <s v="United Kingdom"/>
    <x v="3"/>
    <s v="Europe"/>
    <x v="0"/>
    <s v="Bikes"/>
    <n v="2181.5625"/>
    <n v="1320.6838"/>
    <n v="860.87869999999998"/>
    <n v="0.39461564818793898"/>
  </r>
  <r>
    <x v="202"/>
    <d v="2002-09-16T00:00:00"/>
    <s v="SO47755"/>
    <n v="387"/>
    <n v="17195"/>
    <n v="7"/>
    <n v="1"/>
    <n v="1"/>
    <n v="2"/>
    <s v="BK-R64Y-44"/>
    <x v="27"/>
    <n v="605.64919999999995"/>
    <n v="1000.4375"/>
    <s v="MR."/>
    <s v="FRANKLIN"/>
    <s v="SHARMA"/>
    <s v="FRANKLIN SHARMA"/>
    <d v="1944-05-22T00:00:00"/>
    <s v="M"/>
    <s v="M"/>
    <s v="franklin27@adventure-works.com"/>
    <n v="70000"/>
    <n v="5"/>
    <s v="High School"/>
    <s v="Professional"/>
    <s v="Y"/>
    <s v="France"/>
    <x v="0"/>
    <s v="Europe"/>
    <x v="0"/>
    <s v="Bikes"/>
    <n v="1000.4375"/>
    <n v="605.64919999999995"/>
    <n v="394.78829999999999"/>
    <n v="0.39461565565065299"/>
  </r>
  <r>
    <x v="262"/>
    <d v="2002-09-20T00:00:00"/>
    <s v="SO47943"/>
    <n v="385"/>
    <n v="17196"/>
    <n v="7"/>
    <n v="1"/>
    <n v="1"/>
    <n v="2"/>
    <s v="BK-R64Y-42"/>
    <x v="28"/>
    <n v="605.64919999999995"/>
    <n v="1000.4375"/>
    <s v="MR."/>
    <s v="DOUGLAS"/>
    <s v="FERNANDEZ"/>
    <s v="DOUGLAS FERNANDEZ"/>
    <d v="1944-07-27T00:00:00"/>
    <s v="S"/>
    <s v="M"/>
    <s v="douglas20@adventure-works.com"/>
    <n v="70000"/>
    <n v="5"/>
    <s v="High School"/>
    <s v="Professional"/>
    <s v="Y"/>
    <s v="France"/>
    <x v="0"/>
    <s v="Europe"/>
    <x v="0"/>
    <s v="Bikes"/>
    <n v="1000.4375"/>
    <n v="605.64919999999995"/>
    <n v="394.78829999999999"/>
    <n v="0.39461565565065299"/>
  </r>
  <r>
    <x v="288"/>
    <d v="2002-11-09T00:00:00"/>
    <s v="SO48725"/>
    <n v="377"/>
    <n v="17202"/>
    <n v="10"/>
    <n v="1"/>
    <n v="1"/>
    <n v="2"/>
    <s v="BK-R89B-52"/>
    <x v="20"/>
    <n v="1320.6838"/>
    <n v="2181.5625"/>
    <s v="MRS."/>
    <s v="DEANNA"/>
    <s v="MARTINEZ"/>
    <s v="DEANNA MARTINEZ"/>
    <d v="1945-04-17T00:00:00"/>
    <s v="M"/>
    <s v="F"/>
    <s v="deanna21@adventure-works.com"/>
    <n v="110000"/>
    <n v="3"/>
    <s v="Bachelors"/>
    <s v="Management"/>
    <s v="Y"/>
    <s v="United Kingdom"/>
    <x v="3"/>
    <s v="Europe"/>
    <x v="0"/>
    <s v="Bikes"/>
    <n v="2181.5625"/>
    <n v="1320.6838"/>
    <n v="860.87869999999998"/>
    <n v="0.39461564818793898"/>
  </r>
  <r>
    <x v="286"/>
    <d v="2002-10-10T00:00:00"/>
    <s v="SO48523"/>
    <n v="377"/>
    <n v="17203"/>
    <n v="10"/>
    <n v="1"/>
    <n v="1"/>
    <n v="2"/>
    <s v="BK-R89B-52"/>
    <x v="20"/>
    <n v="1320.6838"/>
    <n v="2181.5625"/>
    <s v="MRS."/>
    <s v="CHRISTINE"/>
    <s v="RAJE"/>
    <s v="CHRISTINE RAJE"/>
    <d v="1945-02-18T00:00:00"/>
    <s v="M"/>
    <s v="F"/>
    <s v="christine9@adventure-works.com"/>
    <n v="130000"/>
    <n v="4"/>
    <s v="Partial College"/>
    <s v="Professional"/>
    <s v="Y"/>
    <s v="United Kingdom"/>
    <x v="3"/>
    <s v="Europe"/>
    <x v="0"/>
    <s v="Bikes"/>
    <n v="2181.5625"/>
    <n v="1320.6838"/>
    <n v="860.87869999999998"/>
    <n v="0.39461564818793898"/>
  </r>
  <r>
    <x v="278"/>
    <d v="2002-09-05T00:00:00"/>
    <s v="SO47896"/>
    <n v="389"/>
    <n v="17206"/>
    <n v="7"/>
    <n v="1"/>
    <n v="1"/>
    <n v="2"/>
    <s v="BK-R64Y-48"/>
    <x v="31"/>
    <n v="605.64919999999995"/>
    <n v="1000.4375"/>
    <s v="MR."/>
    <s v="SPENCER"/>
    <s v="GONZALES"/>
    <s v="SPENCER GONZALES"/>
    <d v="1954-01-12T00:00:00"/>
    <s v="M"/>
    <s v="M"/>
    <s v="spencer19@adventure-works.com"/>
    <n v="90000"/>
    <n v="3"/>
    <s v="High School"/>
    <s v="Professional"/>
    <s v="N"/>
    <s v="France"/>
    <x v="0"/>
    <s v="Europe"/>
    <x v="0"/>
    <s v="Bikes"/>
    <n v="1000.4375"/>
    <n v="605.64919999999995"/>
    <n v="394.78829999999999"/>
    <n v="0.39461565565065299"/>
  </r>
  <r>
    <x v="189"/>
    <d v="2002-08-29T00:00:00"/>
    <s v="SO48578"/>
    <n v="377"/>
    <n v="17207"/>
    <n v="10"/>
    <n v="1"/>
    <n v="1"/>
    <n v="2"/>
    <s v="BK-R89B-52"/>
    <x v="20"/>
    <n v="1320.6838"/>
    <n v="2181.5625"/>
    <s v="MR."/>
    <s v="IAN"/>
    <s v="TORRES"/>
    <s v="IAN TORRES"/>
    <d v="1953-05-16T00:00:00"/>
    <s v="S"/>
    <s v="M"/>
    <s v="ian70@adventure-works.com"/>
    <n v="80000"/>
    <n v="4"/>
    <s v="Partial College"/>
    <s v="Professional"/>
    <s v="Y"/>
    <s v="United Kingdom"/>
    <x v="3"/>
    <s v="Europe"/>
    <x v="0"/>
    <s v="Bikes"/>
    <n v="2181.5625"/>
    <n v="1320.6838"/>
    <n v="860.87869999999998"/>
    <n v="0.39461564818793898"/>
  </r>
  <r>
    <x v="298"/>
    <d v="2002-10-11T00:00:00"/>
    <s v="SO48475"/>
    <n v="370"/>
    <n v="17214"/>
    <n v="10"/>
    <n v="1"/>
    <n v="1"/>
    <n v="2"/>
    <s v="BK-R89R-52"/>
    <x v="23"/>
    <n v="1518.7864"/>
    <n v="2443.35"/>
    <s v="MR."/>
    <s v="DAMIEN"/>
    <s v="LIU"/>
    <s v="DAMIEN LIU"/>
    <d v="1952-09-20T00:00:00"/>
    <s v="M"/>
    <s v="M"/>
    <s v="damien3@adventure-works.com"/>
    <n v="130000"/>
    <n v="4"/>
    <s v="High School"/>
    <s v="Professional"/>
    <s v="Y"/>
    <s v="United Kingdom"/>
    <x v="3"/>
    <s v="Europe"/>
    <x v="0"/>
    <s v="Bikes"/>
    <n v="2443.35"/>
    <n v="1518.7864"/>
    <n v="924.56359999999995"/>
    <n v="0.37839998362903399"/>
  </r>
  <r>
    <x v="206"/>
    <d v="2002-07-19T00:00:00"/>
    <s v="SO47919"/>
    <n v="381"/>
    <n v="17216"/>
    <n v="7"/>
    <n v="1"/>
    <n v="1"/>
    <n v="2"/>
    <s v="BK-R64Y-38"/>
    <x v="30"/>
    <n v="605.64919999999995"/>
    <n v="1000.4375"/>
    <s v="MRS."/>
    <s v="KATHLEEN"/>
    <s v="RAMOS"/>
    <s v="KATHLEEN RAMOS"/>
    <d v="1950-06-10T00:00:00"/>
    <s v="M"/>
    <s v="F"/>
    <s v="kathleen18@adventure-works.com"/>
    <n v="90000"/>
    <n v="4"/>
    <s v="High School"/>
    <s v="Management"/>
    <s v="Y"/>
    <s v="France"/>
    <x v="0"/>
    <s v="Europe"/>
    <x v="0"/>
    <s v="Bikes"/>
    <n v="1000.4375"/>
    <n v="605.64919999999995"/>
    <n v="394.78829999999999"/>
    <n v="0.39461565565065299"/>
  </r>
  <r>
    <x v="351"/>
    <d v="2002-09-06T00:00:00"/>
    <s v="SO48564"/>
    <n v="375"/>
    <n v="17218"/>
    <n v="10"/>
    <n v="1"/>
    <n v="1"/>
    <n v="2"/>
    <s v="BK-R89B-48"/>
    <x v="25"/>
    <n v="1320.6838"/>
    <n v="2181.5625"/>
    <s v="MR."/>
    <s v="CRAIG"/>
    <s v="CARLSON"/>
    <s v="CRAIG CARLSON"/>
    <d v="1950-03-20T00:00:00"/>
    <s v="M"/>
    <s v="M"/>
    <s v="craig17@adventure-works.com"/>
    <n v="110000"/>
    <n v="4"/>
    <s v="High School"/>
    <s v="Management"/>
    <s v="Y"/>
    <s v="United Kingdom"/>
    <x v="3"/>
    <s v="Europe"/>
    <x v="0"/>
    <s v="Bikes"/>
    <n v="2181.5625"/>
    <n v="1320.6838"/>
    <n v="860.87869999999998"/>
    <n v="0.39461564818793898"/>
  </r>
  <r>
    <x v="304"/>
    <d v="2002-09-10T00:00:00"/>
    <s v="SO48463"/>
    <n v="371"/>
    <n v="17225"/>
    <n v="10"/>
    <n v="1"/>
    <n v="1"/>
    <n v="2"/>
    <s v="BK-R89R-58"/>
    <x v="24"/>
    <n v="1320.6838"/>
    <n v="2181.5625"/>
    <s v="MR."/>
    <s v="LAWRENCE"/>
    <s v="DOMINGUEZ"/>
    <s v="LAWRENCE DOMINGUEZ"/>
    <d v="1948-06-01T00:00:00"/>
    <s v="M"/>
    <s v="M"/>
    <s v="lawrence11@adventure-works.com"/>
    <n v="160000"/>
    <n v="5"/>
    <s v="Partial High School"/>
    <s v="Professional"/>
    <s v="Y"/>
    <s v="United Kingdom"/>
    <x v="3"/>
    <s v="Europe"/>
    <x v="0"/>
    <s v="Bikes"/>
    <n v="2181.5625"/>
    <n v="1320.6838"/>
    <n v="860.87869999999998"/>
    <n v="0.39461564818793898"/>
  </r>
  <r>
    <x v="231"/>
    <d v="2002-10-06T00:00:00"/>
    <s v="SO48716"/>
    <n v="377"/>
    <n v="17626"/>
    <n v="10"/>
    <n v="1"/>
    <n v="1"/>
    <n v="2"/>
    <s v="BK-R89B-52"/>
    <x v="20"/>
    <n v="1320.6838"/>
    <n v="2181.5625"/>
    <s v="MR."/>
    <s v="ALFREDO"/>
    <s v="BLANCO"/>
    <s v="ALFREDO BLANCO"/>
    <d v="1974-06-27T00:00:00"/>
    <s v="M"/>
    <s v="M"/>
    <s v="alfredo16@adventure-works.com"/>
    <n v="40000"/>
    <n v="1"/>
    <s v="Bachelors"/>
    <s v="Skilled Manual"/>
    <s v="Y"/>
    <s v="United Kingdom"/>
    <x v="3"/>
    <s v="Europe"/>
    <x v="0"/>
    <s v="Bikes"/>
    <n v="2181.5625"/>
    <n v="1320.6838"/>
    <n v="860.87869999999998"/>
    <n v="0.39461564818793898"/>
  </r>
  <r>
    <x v="218"/>
    <d v="2002-09-26T00:00:00"/>
    <s v="SO48402"/>
    <n v="379"/>
    <n v="17627"/>
    <n v="10"/>
    <n v="1"/>
    <n v="1"/>
    <n v="2"/>
    <s v="BK-R89B-58"/>
    <x v="26"/>
    <n v="1320.6838"/>
    <n v="2181.5625"/>
    <s v="MR."/>
    <s v="DENNIS"/>
    <s v="CHEN"/>
    <s v="DENNIS CHEN"/>
    <d v="1974-09-09T00:00:00"/>
    <s v="M"/>
    <s v="M"/>
    <s v="dennis3@adventure-works.com"/>
    <n v="40000"/>
    <n v="1"/>
    <s v="Bachelors"/>
    <s v="Skilled Manual"/>
    <s v="Y"/>
    <s v="United Kingdom"/>
    <x v="3"/>
    <s v="Europe"/>
    <x v="0"/>
    <s v="Bikes"/>
    <n v="2181.5625"/>
    <n v="1320.6838"/>
    <n v="860.87869999999998"/>
    <n v="0.39461564818793898"/>
  </r>
  <r>
    <x v="167"/>
    <d v="2002-08-13T00:00:00"/>
    <s v="SO48177"/>
    <n v="385"/>
    <n v="17633"/>
    <n v="7"/>
    <n v="1"/>
    <n v="1"/>
    <n v="2"/>
    <s v="BK-R64Y-42"/>
    <x v="28"/>
    <n v="605.64919999999995"/>
    <n v="1000.4375"/>
    <s v="MR."/>
    <s v="GARY"/>
    <s v="DOMINGUEZ"/>
    <s v="GARY DOMINGUEZ"/>
    <d v="1972-11-07T00:00:00"/>
    <s v="S"/>
    <s v="M"/>
    <s v="gary23@adventure-works.com"/>
    <n v="20000"/>
    <n v="0"/>
    <s v="Partial High School"/>
    <s v="Manual"/>
    <s v="N"/>
    <s v="France"/>
    <x v="0"/>
    <s v="Europe"/>
    <x v="0"/>
    <s v="Bikes"/>
    <n v="1000.4375"/>
    <n v="605.64919999999995"/>
    <n v="394.78829999999999"/>
    <n v="0.39461565565065299"/>
  </r>
  <r>
    <x v="212"/>
    <d v="2002-08-30T00:00:00"/>
    <s v="SO48211"/>
    <n v="385"/>
    <n v="17634"/>
    <n v="7"/>
    <n v="1"/>
    <n v="1"/>
    <n v="2"/>
    <s v="BK-R64Y-42"/>
    <x v="28"/>
    <n v="605.64919999999995"/>
    <n v="1000.4375"/>
    <s v="MS."/>
    <s v="KAITLIN"/>
    <s v="RANA"/>
    <s v="KAITLIN RANA"/>
    <d v="1972-06-05T00:00:00"/>
    <s v="S"/>
    <s v="F"/>
    <s v="kaitlin11@adventure-works.com"/>
    <n v="20000"/>
    <n v="0"/>
    <s v="Partial High School"/>
    <s v="Manual"/>
    <s v="N"/>
    <s v="France"/>
    <x v="0"/>
    <s v="Europe"/>
    <x v="0"/>
    <s v="Bikes"/>
    <n v="1000.4375"/>
    <n v="605.64919999999995"/>
    <n v="394.78829999999999"/>
    <n v="0.39461565565065299"/>
  </r>
  <r>
    <x v="313"/>
    <d v="2002-07-31T00:00:00"/>
    <s v="SO48251"/>
    <n v="389"/>
    <n v="17641"/>
    <n v="7"/>
    <n v="1"/>
    <n v="1"/>
    <n v="2"/>
    <s v="BK-R64Y-48"/>
    <x v="31"/>
    <n v="605.64919999999995"/>
    <n v="1000.4375"/>
    <s v="MR."/>
    <s v="LORRIN"/>
    <s v="SMITH-BATES"/>
    <s v="LORRIN SMITH-BATES"/>
    <d v="1971-03-15T00:00:00"/>
    <s v="S"/>
    <s v="M"/>
    <s v="lorrin0@adventure-works.com"/>
    <n v="20000"/>
    <n v="0"/>
    <s v="Partial High School"/>
    <s v="Manual"/>
    <s v="N"/>
    <s v="France"/>
    <x v="0"/>
    <s v="Europe"/>
    <x v="0"/>
    <s v="Bikes"/>
    <n v="1000.4375"/>
    <n v="605.64919999999995"/>
    <n v="394.78829999999999"/>
    <n v="0.39461565565065299"/>
  </r>
  <r>
    <x v="198"/>
    <d v="2002-09-28T00:00:00"/>
    <s v="SO48589"/>
    <n v="387"/>
    <n v="17646"/>
    <n v="7"/>
    <n v="1"/>
    <n v="1"/>
    <n v="2"/>
    <s v="BK-R64Y-44"/>
    <x v="27"/>
    <n v="605.64919999999995"/>
    <n v="1000.4375"/>
    <s v="MS."/>
    <s v="LEAH"/>
    <s v="XU"/>
    <s v="LEAH XU"/>
    <d v="1971-04-27T00:00:00"/>
    <s v="S"/>
    <s v="F"/>
    <s v="leah9@adventure-works.com"/>
    <n v="30000"/>
    <n v="0"/>
    <s v="High School"/>
    <s v="Manual"/>
    <s v="N"/>
    <s v="France"/>
    <x v="0"/>
    <s v="Europe"/>
    <x v="0"/>
    <s v="Bikes"/>
    <n v="1000.4375"/>
    <n v="605.64919999999995"/>
    <n v="394.78829999999999"/>
    <n v="0.39461565565065299"/>
  </r>
  <r>
    <x v="222"/>
    <d v="2002-11-10T00:00:00"/>
    <s v="SO48453"/>
    <n v="385"/>
    <n v="17647"/>
    <n v="7"/>
    <n v="1"/>
    <n v="1"/>
    <n v="2"/>
    <s v="BK-R64Y-42"/>
    <x v="28"/>
    <n v="605.64919999999995"/>
    <n v="1000.4375"/>
    <s v="MRS."/>
    <s v="MOLLY"/>
    <s v="LOPEZ"/>
    <s v="MOLLY LOPEZ"/>
    <d v="1971-11-15T00:00:00"/>
    <s v="S"/>
    <s v="F"/>
    <s v="molly15@adventure-works.com"/>
    <n v="40000"/>
    <n v="2"/>
    <s v="Partial College"/>
    <s v="Clerical"/>
    <s v="Y"/>
    <s v="France"/>
    <x v="0"/>
    <s v="Europe"/>
    <x v="0"/>
    <s v="Bikes"/>
    <n v="1000.4375"/>
    <n v="605.64919999999995"/>
    <n v="394.78829999999999"/>
    <n v="0.39461565565065299"/>
  </r>
  <r>
    <x v="219"/>
    <d v="2002-11-26T00:00:00"/>
    <s v="SO48683"/>
    <n v="385"/>
    <n v="17648"/>
    <n v="7"/>
    <n v="1"/>
    <n v="1"/>
    <n v="2"/>
    <s v="BK-R64Y-42"/>
    <x v="28"/>
    <n v="605.64919999999995"/>
    <n v="1000.4375"/>
    <s v="MR."/>
    <s v="GILBERT"/>
    <s v="SHARMA"/>
    <s v="GILBERT SHARMA"/>
    <d v="1971-04-17T00:00:00"/>
    <s v="S"/>
    <s v="M"/>
    <s v="gilbert30@adventure-works.com"/>
    <n v="40000"/>
    <n v="2"/>
    <s v="Partial College"/>
    <s v="Clerical"/>
    <s v="Y"/>
    <s v="France"/>
    <x v="0"/>
    <s v="Europe"/>
    <x v="0"/>
    <s v="Bikes"/>
    <n v="1000.4375"/>
    <n v="605.64919999999995"/>
    <n v="394.78829999999999"/>
    <n v="0.39461565565065299"/>
  </r>
  <r>
    <x v="190"/>
    <d v="2002-11-03T00:00:00"/>
    <s v="SO48439"/>
    <n v="389"/>
    <n v="17651"/>
    <n v="7"/>
    <n v="1"/>
    <n v="1"/>
    <n v="2"/>
    <s v="BK-R64Y-48"/>
    <x v="31"/>
    <n v="605.64919999999995"/>
    <n v="1000.4375"/>
    <s v="MR."/>
    <s v="ETHAN"/>
    <s v="BUTLER"/>
    <s v="ETHAN BUTLER"/>
    <d v="1970-02-25T00:00:00"/>
    <s v="S"/>
    <s v="M"/>
    <s v="ethan10@adventure-works.com"/>
    <n v="40000"/>
    <n v="2"/>
    <s v="Partial College"/>
    <s v="Clerical"/>
    <s v="Y"/>
    <s v="France"/>
    <x v="0"/>
    <s v="Europe"/>
    <x v="0"/>
    <s v="Bikes"/>
    <n v="1000.4375"/>
    <n v="605.64919999999995"/>
    <n v="394.78829999999999"/>
    <n v="0.39461565565065299"/>
  </r>
  <r>
    <x v="21"/>
    <d v="2001-09-29T00:00:00"/>
    <s v="SO45172"/>
    <n v="334"/>
    <n v="18008"/>
    <n v="7"/>
    <n v="1"/>
    <n v="1"/>
    <n v="2"/>
    <s v="BK-R50B-60"/>
    <x v="41"/>
    <n v="413.1463"/>
    <n v="699.09820000000002"/>
    <s v="MRS."/>
    <s v="DEANNA"/>
    <s v="SAI"/>
    <s v="DEANNA SAI"/>
    <d v="1965-09-18T00:00:00"/>
    <s v="S"/>
    <s v="F"/>
    <s v="deanna9@adventure-works.com"/>
    <n v="30000"/>
    <n v="2"/>
    <s v="Partial College"/>
    <s v="Clerical"/>
    <s v="Y"/>
    <s v="France"/>
    <x v="0"/>
    <s v="Europe"/>
    <x v="0"/>
    <s v="Bikes"/>
    <n v="699.09820000000002"/>
    <n v="413.1463"/>
    <n v="285.95190000000002"/>
    <n v="0.409029661355157"/>
  </r>
  <r>
    <x v="51"/>
    <d v="2001-12-14T00:00:00"/>
    <s v="SO45234"/>
    <n v="328"/>
    <n v="18009"/>
    <n v="7"/>
    <n v="1"/>
    <n v="1"/>
    <n v="2"/>
    <s v="BK-R50R-48"/>
    <x v="35"/>
    <n v="413.1463"/>
    <n v="699.09820000000002"/>
    <s v="MRS."/>
    <s v="DEANNA"/>
    <s v="PRASAD"/>
    <s v="DEANNA PRASAD"/>
    <d v="1965-05-04T00:00:00"/>
    <s v="S"/>
    <s v="F"/>
    <s v="deanna13@adventure-works.com"/>
    <n v="30000"/>
    <n v="2"/>
    <s v="Partial College"/>
    <s v="Clerical"/>
    <s v="Y"/>
    <s v="France"/>
    <x v="0"/>
    <s v="Europe"/>
    <x v="0"/>
    <s v="Bikes"/>
    <n v="699.09820000000002"/>
    <n v="413.1463"/>
    <n v="285.95190000000002"/>
    <n v="0.409029661355157"/>
  </r>
  <r>
    <x v="8"/>
    <d v="2002-01-15T00:00:00"/>
    <s v="SO45380"/>
    <n v="324"/>
    <n v="18010"/>
    <n v="7"/>
    <n v="1"/>
    <n v="1"/>
    <n v="2"/>
    <s v="BK-R50R-62"/>
    <x v="42"/>
    <n v="413.1463"/>
    <n v="699.09820000000002"/>
    <s v="MR."/>
    <s v="CLARENCE"/>
    <s v="JAI"/>
    <s v="CLARENCE JAI"/>
    <d v="1965-05-10T00:00:00"/>
    <s v="S"/>
    <s v="M"/>
    <s v="clarence26@adventure-works.com"/>
    <n v="30000"/>
    <n v="2"/>
    <s v="Partial College"/>
    <s v="Clerical"/>
    <s v="Y"/>
    <s v="France"/>
    <x v="0"/>
    <s v="Europe"/>
    <x v="0"/>
    <s v="Bikes"/>
    <n v="699.09820000000002"/>
    <n v="413.1463"/>
    <n v="285.95190000000002"/>
    <n v="0.409029661355157"/>
  </r>
  <r>
    <x v="316"/>
    <d v="2001-11-11T00:00:00"/>
    <s v="SO45366"/>
    <n v="330"/>
    <n v="18011"/>
    <n v="7"/>
    <n v="1"/>
    <n v="1"/>
    <n v="2"/>
    <s v="BK-R50R-52"/>
    <x v="39"/>
    <n v="413.1463"/>
    <n v="699.09820000000002"/>
    <s v="MR."/>
    <s v="FRANK"/>
    <s v="GOMEZ"/>
    <s v="FRANK GOMEZ"/>
    <d v="1965-05-03T00:00:00"/>
    <s v="S"/>
    <s v="M"/>
    <s v="frank31@adventure-works.com"/>
    <n v="30000"/>
    <n v="2"/>
    <s v="Partial College"/>
    <s v="Clerical"/>
    <s v="Y"/>
    <s v="France"/>
    <x v="0"/>
    <s v="Europe"/>
    <x v="0"/>
    <s v="Bikes"/>
    <n v="699.09820000000002"/>
    <n v="413.1463"/>
    <n v="285.95190000000002"/>
    <n v="0.409029661355157"/>
  </r>
  <r>
    <x v="4"/>
    <d v="2001-11-07T00:00:00"/>
    <s v="SO45414"/>
    <n v="330"/>
    <n v="18038"/>
    <n v="7"/>
    <n v="1"/>
    <n v="1"/>
    <n v="2"/>
    <s v="BK-R50R-52"/>
    <x v="39"/>
    <n v="413.1463"/>
    <n v="699.09820000000002"/>
    <s v="MS."/>
    <s v="KELLI"/>
    <s v="KUMAR"/>
    <s v="KELLI KUMAR"/>
    <d v="1975-05-18T00:00:00"/>
    <s v="S"/>
    <s v="F"/>
    <s v="kelli30@adventure-works.com"/>
    <n v="30000"/>
    <n v="0"/>
    <s v="Partial College"/>
    <s v="Clerical"/>
    <s v="N"/>
    <s v="France"/>
    <x v="0"/>
    <s v="Europe"/>
    <x v="0"/>
    <s v="Bikes"/>
    <n v="699.09820000000002"/>
    <n v="413.1463"/>
    <n v="285.95190000000002"/>
    <n v="0.409029661355157"/>
  </r>
  <r>
    <x v="33"/>
    <d v="2002-01-23T00:00:00"/>
    <s v="SO45627"/>
    <n v="324"/>
    <n v="18039"/>
    <n v="7"/>
    <n v="1"/>
    <n v="1"/>
    <n v="2"/>
    <s v="BK-R50R-62"/>
    <x v="42"/>
    <n v="413.1463"/>
    <n v="699.09820000000002"/>
    <s v="MR."/>
    <s v="LOGAN"/>
    <s v="CLARK"/>
    <s v="LOGAN CLARK"/>
    <d v="1975-10-19T00:00:00"/>
    <s v="M"/>
    <s v="M"/>
    <s v="logan71@adventure-works.com"/>
    <n v="30000"/>
    <n v="0"/>
    <s v="Partial College"/>
    <s v="Clerical"/>
    <s v="N"/>
    <s v="France"/>
    <x v="0"/>
    <s v="Europe"/>
    <x v="0"/>
    <s v="Bikes"/>
    <n v="699.09820000000002"/>
    <n v="413.1463"/>
    <n v="285.95190000000002"/>
    <n v="0.409029661355157"/>
  </r>
  <r>
    <x v="82"/>
    <d v="2002-02-05T00:00:00"/>
    <s v="SO45748"/>
    <n v="332"/>
    <n v="18046"/>
    <n v="7"/>
    <n v="1"/>
    <n v="1"/>
    <n v="2"/>
    <s v="BK-R50B-58"/>
    <x v="34"/>
    <n v="413.1463"/>
    <n v="699.09820000000002"/>
    <s v="MR."/>
    <s v="TERRY"/>
    <s v="JAI"/>
    <s v="TERRY JAI"/>
    <d v="1973-09-03T00:00:00"/>
    <s v="S"/>
    <s v="M"/>
    <s v="terry14@adventure-works.com"/>
    <n v="30000"/>
    <n v="0"/>
    <s v="Partial College"/>
    <s v="Clerical"/>
    <s v="N"/>
    <s v="France"/>
    <x v="0"/>
    <s v="Europe"/>
    <x v="0"/>
    <s v="Bikes"/>
    <n v="699.09820000000002"/>
    <n v="413.1463"/>
    <n v="285.95190000000002"/>
    <n v="0.409029661355157"/>
  </r>
  <r>
    <x v="177"/>
    <d v="2002-04-18T00:00:00"/>
    <s v="SO46676"/>
    <n v="385"/>
    <n v="18047"/>
    <n v="8"/>
    <n v="1"/>
    <n v="1"/>
    <n v="2"/>
    <s v="BK-R64Y-42"/>
    <x v="28"/>
    <n v="605.64919999999995"/>
    <n v="1000.4375"/>
    <s v="MS."/>
    <s v="LATASHA"/>
    <s v="ALVAREZ"/>
    <s v="LATASHA ALVAREZ"/>
    <d v="1974-02-09T00:00:00"/>
    <s v="M"/>
    <s v="F"/>
    <s v="latasha4@adventure-works.com"/>
    <n v="30000"/>
    <n v="0"/>
    <s v="Partial College"/>
    <s v="Clerical"/>
    <s v="N"/>
    <s v="Germany"/>
    <x v="4"/>
    <s v="Europe"/>
    <x v="0"/>
    <s v="Bikes"/>
    <n v="1000.4375"/>
    <n v="605.64919999999995"/>
    <n v="394.78829999999999"/>
    <n v="0.39461565565065299"/>
  </r>
  <r>
    <x v="178"/>
    <d v="2002-04-15T00:00:00"/>
    <s v="SO46684"/>
    <n v="381"/>
    <n v="18125"/>
    <n v="8"/>
    <n v="1"/>
    <n v="1"/>
    <n v="2"/>
    <s v="BK-R64Y-38"/>
    <x v="30"/>
    <n v="605.64919999999995"/>
    <n v="1000.4375"/>
    <s v="MRS."/>
    <s v="LEAH"/>
    <s v="CAI"/>
    <s v="LEAH CAI"/>
    <d v="1958-05-20T00:00:00"/>
    <s v="M"/>
    <s v="F"/>
    <s v="leah17@adventure-works.com"/>
    <n v="130000"/>
    <n v="2"/>
    <s v="Bachelors"/>
    <s v="Management"/>
    <s v="Y"/>
    <s v="Germany"/>
    <x v="4"/>
    <s v="Europe"/>
    <x v="0"/>
    <s v="Bikes"/>
    <n v="1000.4375"/>
    <n v="605.64919999999995"/>
    <n v="394.78829999999999"/>
    <n v="0.39461565565065299"/>
  </r>
  <r>
    <x v="203"/>
    <d v="2002-05-29T00:00:00"/>
    <s v="SO46758"/>
    <n v="387"/>
    <n v="18130"/>
    <n v="8"/>
    <n v="1"/>
    <n v="1"/>
    <n v="2"/>
    <s v="BK-R64Y-44"/>
    <x v="27"/>
    <n v="605.64919999999995"/>
    <n v="1000.4375"/>
    <s v="MRS."/>
    <s v="KAITLYN"/>
    <s v="MITCHELL"/>
    <s v="KAITLYN MITCHELL"/>
    <d v="1957-02-08T00:00:00"/>
    <s v="S"/>
    <s v="F"/>
    <s v="kaitlyn9@adventure-works.com"/>
    <n v="130000"/>
    <n v="3"/>
    <s v="Partial College"/>
    <s v="Professional"/>
    <s v="N"/>
    <s v="Germany"/>
    <x v="4"/>
    <s v="Europe"/>
    <x v="0"/>
    <s v="Bikes"/>
    <n v="1000.4375"/>
    <n v="605.64919999999995"/>
    <n v="394.78829999999999"/>
    <n v="0.39461565565065299"/>
  </r>
  <r>
    <x v="42"/>
    <d v="2002-02-18T00:00:00"/>
    <s v="SO45702"/>
    <n v="320"/>
    <n v="18131"/>
    <n v="7"/>
    <n v="1"/>
    <n v="1"/>
    <n v="2"/>
    <s v="BK-R50R-58"/>
    <x v="40"/>
    <n v="413.1463"/>
    <n v="699.09820000000002"/>
    <s v="MRS."/>
    <s v="ANN"/>
    <s v="MALHOTRA"/>
    <s v="ANN MALHOTRA"/>
    <d v="1956-01-07T00:00:00"/>
    <s v="S"/>
    <s v="F"/>
    <s v="ann10@adventure-works.com"/>
    <n v="110000"/>
    <n v="2"/>
    <s v="Partial College"/>
    <s v="Professional"/>
    <s v="Y"/>
    <s v="France"/>
    <x v="0"/>
    <s v="Europe"/>
    <x v="0"/>
    <s v="Bikes"/>
    <n v="699.09820000000002"/>
    <n v="413.1463"/>
    <n v="285.95190000000002"/>
    <n v="0.409029661355157"/>
  </r>
  <r>
    <x v="71"/>
    <d v="2001-12-13T00:00:00"/>
    <s v="SO45685"/>
    <n v="322"/>
    <n v="18132"/>
    <n v="7"/>
    <n v="1"/>
    <n v="1"/>
    <n v="2"/>
    <s v="BK-R50R-60"/>
    <x v="38"/>
    <n v="413.1463"/>
    <n v="699.09820000000002"/>
    <s v="MRS."/>
    <s v="ADRIENNE"/>
    <s v="BLANCO"/>
    <s v="ADRIENNE BLANCO"/>
    <d v="1956-06-22T00:00:00"/>
    <s v="M"/>
    <s v="F"/>
    <s v="adrienne12@adventure-works.com"/>
    <n v="110000"/>
    <n v="2"/>
    <s v="Partial College"/>
    <s v="Professional"/>
    <s v="Y"/>
    <s v="France"/>
    <x v="0"/>
    <s v="Europe"/>
    <x v="0"/>
    <s v="Bikes"/>
    <n v="699.09820000000002"/>
    <n v="413.1463"/>
    <n v="285.95190000000002"/>
    <n v="0.409029661355157"/>
  </r>
  <r>
    <x v="243"/>
    <d v="2002-06-26T00:00:00"/>
    <s v="SO47146"/>
    <n v="389"/>
    <n v="18133"/>
    <n v="8"/>
    <n v="1"/>
    <n v="1"/>
    <n v="2"/>
    <s v="BK-R64Y-48"/>
    <x v="31"/>
    <n v="605.64919999999995"/>
    <n v="1000.4375"/>
    <s v="MRS."/>
    <s v="KAREN"/>
    <s v="SMITH"/>
    <s v="KAREN SMITH"/>
    <d v="1956-01-10T00:00:00"/>
    <s v="S"/>
    <s v="F"/>
    <s v="karen8@adventure-works.com"/>
    <n v="120000"/>
    <n v="3"/>
    <s v="High School"/>
    <s v="Professional"/>
    <s v="Y"/>
    <s v="Germany"/>
    <x v="4"/>
    <s v="Europe"/>
    <x v="0"/>
    <s v="Bikes"/>
    <n v="1000.4375"/>
    <n v="605.64919999999995"/>
    <n v="394.78829999999999"/>
    <n v="0.39461565565065299"/>
  </r>
  <r>
    <x v="245"/>
    <d v="2002-06-25T00:00:00"/>
    <s v="SO47187"/>
    <n v="385"/>
    <n v="18134"/>
    <n v="8"/>
    <n v="1"/>
    <n v="1"/>
    <n v="2"/>
    <s v="BK-R64Y-42"/>
    <x v="28"/>
    <n v="605.64919999999995"/>
    <n v="1000.4375"/>
    <s v="MRS."/>
    <s v="MELODY"/>
    <s v="ROMERO"/>
    <s v="MELODY ROMERO"/>
    <d v="1956-01-26T00:00:00"/>
    <s v="M"/>
    <s v="F"/>
    <s v="melody9@adventure-works.com"/>
    <n v="120000"/>
    <n v="3"/>
    <s v="High School"/>
    <s v="Professional"/>
    <s v="Y"/>
    <s v="Germany"/>
    <x v="4"/>
    <s v="Europe"/>
    <x v="0"/>
    <s v="Bikes"/>
    <n v="1000.4375"/>
    <n v="605.64919999999995"/>
    <n v="394.78829999999999"/>
    <n v="0.39461565565065299"/>
  </r>
  <r>
    <x v="62"/>
    <d v="2001-11-30T00:00:00"/>
    <s v="SO45615"/>
    <n v="342"/>
    <n v="18137"/>
    <n v="7"/>
    <n v="1"/>
    <n v="1"/>
    <n v="2"/>
    <s v="BK-R50B-52"/>
    <x v="33"/>
    <n v="413.1463"/>
    <n v="699.09820000000002"/>
    <s v="MR."/>
    <s v="GABRIEL"/>
    <s v="KUMAR"/>
    <s v="GABRIEL KUMAR"/>
    <d v="1955-01-11T00:00:00"/>
    <s v="M"/>
    <s v="M"/>
    <s v="gabriel25@adventure-works.com"/>
    <n v="90000"/>
    <n v="2"/>
    <s v="High School"/>
    <s v="Professional"/>
    <s v="Y"/>
    <s v="France"/>
    <x v="0"/>
    <s v="Europe"/>
    <x v="0"/>
    <s v="Bikes"/>
    <n v="699.09820000000002"/>
    <n v="413.1463"/>
    <n v="285.95190000000002"/>
    <n v="0.409029661355157"/>
  </r>
  <r>
    <x v="254"/>
    <d v="2002-07-17T00:00:00"/>
    <s v="SO47294"/>
    <n v="383"/>
    <n v="18139"/>
    <n v="8"/>
    <n v="1"/>
    <n v="1"/>
    <n v="2"/>
    <s v="BK-R64Y-40"/>
    <x v="29"/>
    <n v="605.64919999999995"/>
    <n v="1000.4375"/>
    <s v="MRS."/>
    <s v="JENNIFER"/>
    <s v="WASHINGTON"/>
    <s v="JENNIFER WASHINGTON"/>
    <d v="1955-02-12T00:00:00"/>
    <s v="M"/>
    <s v="F"/>
    <s v="jennifer86@adventure-works.com"/>
    <n v="120000"/>
    <n v="3"/>
    <s v="Partial High School"/>
    <s v="Professional"/>
    <s v="Y"/>
    <s v="Germany"/>
    <x v="4"/>
    <s v="Europe"/>
    <x v="0"/>
    <s v="Bikes"/>
    <n v="1000.4375"/>
    <n v="605.64919999999995"/>
    <n v="394.78829999999999"/>
    <n v="0.39461565565065299"/>
  </r>
  <r>
    <x v="253"/>
    <d v="2002-07-16T00:00:00"/>
    <s v="SO47271"/>
    <n v="381"/>
    <n v="18140"/>
    <n v="8"/>
    <n v="1"/>
    <n v="1"/>
    <n v="2"/>
    <s v="BK-R64Y-38"/>
    <x v="30"/>
    <n v="605.64919999999995"/>
    <n v="1000.4375"/>
    <s v="MR."/>
    <s v="ANTHONY"/>
    <s v="WHITE"/>
    <s v="ANTHONY WHITE"/>
    <d v="1955-07-03T00:00:00"/>
    <s v="M"/>
    <s v="M"/>
    <s v="anthony20@adventure-works.com"/>
    <n v="130000"/>
    <n v="3"/>
    <s v="Partial College"/>
    <s v="Professional"/>
    <s v="N"/>
    <s v="Germany"/>
    <x v="4"/>
    <s v="Europe"/>
    <x v="0"/>
    <s v="Bikes"/>
    <n v="1000.4375"/>
    <n v="605.64919999999995"/>
    <n v="394.78829999999999"/>
    <n v="0.39461565565065299"/>
  </r>
  <r>
    <x v="93"/>
    <d v="2002-03-16T00:00:00"/>
    <s v="SO45852"/>
    <n v="340"/>
    <n v="18143"/>
    <n v="7"/>
    <n v="1"/>
    <n v="1"/>
    <n v="2"/>
    <s v="BK-R50B-48"/>
    <x v="37"/>
    <n v="413.1463"/>
    <n v="699.09820000000002"/>
    <s v="MR."/>
    <s v="CHAD"/>
    <s v="SHEN"/>
    <s v="CHAD SHEN"/>
    <d v="1944-11-14T00:00:00"/>
    <s v="S"/>
    <s v="M"/>
    <s v="chad3@adventure-works.com"/>
    <n v="70000"/>
    <n v="5"/>
    <s v="High School"/>
    <s v="Professional"/>
    <s v="Y"/>
    <s v="France"/>
    <x v="0"/>
    <s v="Europe"/>
    <x v="0"/>
    <s v="Bikes"/>
    <n v="699.09820000000002"/>
    <n v="413.1463"/>
    <n v="285.95190000000002"/>
    <n v="0.409029661355157"/>
  </r>
  <r>
    <x v="114"/>
    <d v="2002-02-03T00:00:00"/>
    <s v="SO45930"/>
    <n v="328"/>
    <n v="18148"/>
    <n v="7"/>
    <n v="1"/>
    <n v="1"/>
    <n v="2"/>
    <s v="BK-R50R-48"/>
    <x v="35"/>
    <n v="413.1463"/>
    <n v="699.09820000000002"/>
    <s v="MRS."/>
    <s v="JACLYN"/>
    <s v="HUANG"/>
    <s v="JACLYN HUANG"/>
    <d v="1945-11-13T00:00:00"/>
    <s v="M"/>
    <s v="F"/>
    <s v="jaclyn6@adventure-works.com"/>
    <n v="60000"/>
    <n v="3"/>
    <s v="Partial High School"/>
    <s v="Skilled Manual"/>
    <s v="Y"/>
    <s v="France"/>
    <x v="0"/>
    <s v="Europe"/>
    <x v="0"/>
    <s v="Bikes"/>
    <n v="699.09820000000002"/>
    <n v="413.1463"/>
    <n v="285.95190000000002"/>
    <n v="0.409029661355157"/>
  </r>
  <r>
    <x v="281"/>
    <d v="2002-06-25T00:00:00"/>
    <s v="SO47879"/>
    <n v="387"/>
    <n v="18157"/>
    <n v="8"/>
    <n v="1"/>
    <n v="1"/>
    <n v="2"/>
    <s v="BK-R64Y-44"/>
    <x v="27"/>
    <n v="605.64919999999995"/>
    <n v="1000.4375"/>
    <s v="MRS."/>
    <s v="ISABELLA"/>
    <s v="HALL"/>
    <s v="ISABELLA HALL"/>
    <d v="1953-03-06T00:00:00"/>
    <s v="S"/>
    <s v="F"/>
    <s v="isabella80@adventure-works.com"/>
    <n v="90000"/>
    <n v="3"/>
    <s v="Partial College"/>
    <s v="Professional"/>
    <s v="Y"/>
    <s v="Germany"/>
    <x v="4"/>
    <s v="Europe"/>
    <x v="0"/>
    <s v="Bikes"/>
    <n v="1000.4375"/>
    <n v="605.64919999999995"/>
    <n v="394.78829999999999"/>
    <n v="0.39461565565065299"/>
  </r>
  <r>
    <x v="132"/>
    <d v="2002-04-02T00:00:00"/>
    <s v="SO46211"/>
    <n v="328"/>
    <n v="18163"/>
    <n v="7"/>
    <n v="1"/>
    <n v="1"/>
    <n v="2"/>
    <s v="BK-R50R-48"/>
    <x v="35"/>
    <n v="413.1463"/>
    <n v="699.09820000000002"/>
    <s v="MR."/>
    <s v="GABRIEL"/>
    <s v="ZHANG"/>
    <s v="GABRIEL ZHANG"/>
    <d v="1953-02-11T00:00:00"/>
    <s v="M"/>
    <s v="M"/>
    <s v="gabriel20@adventure-works.com"/>
    <n v="100000"/>
    <n v="3"/>
    <s v="Bachelors"/>
    <s v="Management"/>
    <s v="Y"/>
    <s v="France"/>
    <x v="0"/>
    <s v="Europe"/>
    <x v="0"/>
    <s v="Bikes"/>
    <n v="699.09820000000002"/>
    <n v="413.1463"/>
    <n v="285.95190000000002"/>
    <n v="0.409029661355157"/>
  </r>
  <r>
    <x v="350"/>
    <d v="2002-10-06T00:00:00"/>
    <s v="SO48198"/>
    <n v="389"/>
    <n v="18164"/>
    <n v="8"/>
    <n v="1"/>
    <n v="1"/>
    <n v="2"/>
    <s v="BK-R64Y-48"/>
    <x v="31"/>
    <n v="605.64919999999995"/>
    <n v="1000.4375"/>
    <s v="MRS."/>
    <s v="ALISHA"/>
    <s v="WANG"/>
    <s v="ALISHA WANG"/>
    <d v="1953-08-20T00:00:00"/>
    <s v="M"/>
    <s v="F"/>
    <s v="alisha1@adventure-works.com"/>
    <n v="120000"/>
    <n v="3"/>
    <s v="Bachelors"/>
    <s v="Management"/>
    <s v="Y"/>
    <s v="Germany"/>
    <x v="4"/>
    <s v="Europe"/>
    <x v="0"/>
    <s v="Bikes"/>
    <n v="1000.4375"/>
    <n v="605.64919999999995"/>
    <n v="394.78829999999999"/>
    <n v="0.39461565565065299"/>
  </r>
  <r>
    <x v="304"/>
    <d v="2002-11-09T00:00:00"/>
    <s v="SO48461"/>
    <n v="389"/>
    <n v="18167"/>
    <n v="8"/>
    <n v="1"/>
    <n v="1"/>
    <n v="2"/>
    <s v="BK-R64Y-48"/>
    <x v="31"/>
    <n v="605.64919999999995"/>
    <n v="1000.4375"/>
    <s v="MR."/>
    <s v="RAUL"/>
    <s v="CHANDER"/>
    <s v="RAUL CHANDER"/>
    <d v="1952-02-10T00:00:00"/>
    <s v="M"/>
    <s v="M"/>
    <s v="raul13@adventure-works.com"/>
    <n v="90000"/>
    <n v="4"/>
    <s v="High School"/>
    <s v="Professional"/>
    <s v="N"/>
    <s v="Germany"/>
    <x v="4"/>
    <s v="Europe"/>
    <x v="0"/>
    <s v="Bikes"/>
    <n v="1000.4375"/>
    <n v="605.64919999999995"/>
    <n v="394.78829999999999"/>
    <n v="0.39461565565065299"/>
  </r>
  <r>
    <x v="217"/>
    <d v="2002-10-02T00:00:00"/>
    <s v="SO48692"/>
    <n v="381"/>
    <n v="18171"/>
    <n v="8"/>
    <n v="1"/>
    <n v="1"/>
    <n v="2"/>
    <s v="BK-R64Y-38"/>
    <x v="30"/>
    <n v="605.64919999999995"/>
    <n v="1000.4375"/>
    <s v="MR."/>
    <s v="ALEJANDRO"/>
    <s v="ZENG"/>
    <s v="ALEJANDRO ZENG"/>
    <d v="1951-04-03T00:00:00"/>
    <s v="M"/>
    <s v="M"/>
    <s v="alejandro25@adventure-works.com"/>
    <n v="110000"/>
    <n v="4"/>
    <s v="Partial College"/>
    <s v="Professional"/>
    <s v="Y"/>
    <s v="Germany"/>
    <x v="4"/>
    <s v="Europe"/>
    <x v="0"/>
    <s v="Bikes"/>
    <n v="1000.4375"/>
    <n v="605.64919999999995"/>
    <n v="394.78829999999999"/>
    <n v="0.39461565565065299"/>
  </r>
  <r>
    <x v="141"/>
    <d v="2002-01-30T00:00:00"/>
    <s v="SO46286"/>
    <n v="338"/>
    <n v="18175"/>
    <n v="7"/>
    <n v="1"/>
    <n v="1"/>
    <n v="2"/>
    <s v="BK-R50B-44"/>
    <x v="32"/>
    <n v="413.1463"/>
    <n v="699.09820000000002"/>
    <s v="MRS."/>
    <s v="CARRIE"/>
    <s v="HERNANDEZ"/>
    <s v="CARRIE HERNANDEZ"/>
    <d v="1950-05-16T00:00:00"/>
    <s v="M"/>
    <s v="F"/>
    <s v="carrie3@adventure-works.com"/>
    <n v="90000"/>
    <n v="4"/>
    <s v="High School"/>
    <s v="Management"/>
    <s v="N"/>
    <s v="France"/>
    <x v="0"/>
    <s v="Europe"/>
    <x v="0"/>
    <s v="Bikes"/>
    <n v="699.09820000000002"/>
    <n v="413.1463"/>
    <n v="285.95190000000002"/>
    <n v="0.409029661355157"/>
  </r>
  <r>
    <x v="286"/>
    <d v="2002-11-06T00:00:00"/>
    <s v="SO48519"/>
    <n v="381"/>
    <n v="18176"/>
    <n v="8"/>
    <n v="1"/>
    <n v="1"/>
    <n v="2"/>
    <s v="BK-R64Y-38"/>
    <x v="30"/>
    <n v="605.64919999999995"/>
    <n v="1000.4375"/>
    <s v="MR."/>
    <s v="BRADLEY"/>
    <s v="KUMAR"/>
    <s v="BRADLEY KUMAR"/>
    <d v="1950-06-26T00:00:00"/>
    <s v="M"/>
    <s v="M"/>
    <s v="bradley10@adventure-works.com"/>
    <n v="110000"/>
    <n v="4"/>
    <s v="Partial College"/>
    <s v="Management"/>
    <s v="Y"/>
    <s v="Germany"/>
    <x v="4"/>
    <s v="Europe"/>
    <x v="0"/>
    <s v="Bikes"/>
    <n v="1000.4375"/>
    <n v="605.64919999999995"/>
    <n v="394.78829999999999"/>
    <n v="0.39461565565065299"/>
  </r>
  <r>
    <x v="285"/>
    <d v="2002-11-10T00:00:00"/>
    <s v="SO48655"/>
    <n v="385"/>
    <n v="18183"/>
    <n v="8"/>
    <n v="1"/>
    <n v="1"/>
    <n v="2"/>
    <s v="BK-R64Y-42"/>
    <x v="28"/>
    <n v="605.64919999999995"/>
    <n v="1000.4375"/>
    <s v="MRS."/>
    <s v="MEAGAN"/>
    <s v="SCHMIDT"/>
    <s v="MEAGAN SCHMIDT"/>
    <d v="1948-12-19T00:00:00"/>
    <s v="M"/>
    <s v="F"/>
    <s v="meagan10@adventure-works.com"/>
    <n v="90000"/>
    <n v="4"/>
    <s v="Partial High School"/>
    <s v="Skilled Manual"/>
    <s v="Y"/>
    <s v="Germany"/>
    <x v="4"/>
    <s v="Europe"/>
    <x v="0"/>
    <s v="Bikes"/>
    <n v="1000.4375"/>
    <n v="605.64919999999995"/>
    <n v="394.78829999999999"/>
    <n v="0.39461565565065299"/>
  </r>
  <r>
    <x v="191"/>
    <d v="2002-11-19T00:00:00"/>
    <s v="SO48600"/>
    <n v="385"/>
    <n v="18185"/>
    <n v="8"/>
    <n v="1"/>
    <n v="1"/>
    <n v="2"/>
    <s v="BK-R64Y-42"/>
    <x v="28"/>
    <n v="605.64919999999995"/>
    <n v="1000.4375"/>
    <s v="MRS."/>
    <s v="LAURA"/>
    <s v="HUANG"/>
    <s v="LAURA HUANG"/>
    <d v="1947-11-06T00:00:00"/>
    <s v="M"/>
    <s v="F"/>
    <s v="laura12@adventure-works.com"/>
    <n v="110000"/>
    <n v="4"/>
    <s v="Partial High School"/>
    <s v="Professional"/>
    <s v="N"/>
    <s v="Germany"/>
    <x v="4"/>
    <s v="Europe"/>
    <x v="0"/>
    <s v="Bikes"/>
    <n v="1000.4375"/>
    <n v="605.64919999999995"/>
    <n v="394.78829999999999"/>
    <n v="0.39461565565065299"/>
  </r>
  <r>
    <x v="200"/>
    <d v="2002-09-24T00:00:00"/>
    <s v="SO48668"/>
    <n v="389"/>
    <n v="18626"/>
    <n v="8"/>
    <n v="1"/>
    <n v="1"/>
    <n v="2"/>
    <s v="BK-R64Y-48"/>
    <x v="31"/>
    <n v="605.64919999999995"/>
    <n v="1000.4375"/>
    <s v="MR."/>
    <s v="TONY"/>
    <s v="PAL"/>
    <s v="TONY PAL"/>
    <d v="1972-09-08T00:00:00"/>
    <s v="S"/>
    <s v="M"/>
    <s v="tony15@adventure-works.com"/>
    <n v="40000"/>
    <n v="2"/>
    <s v="Partial College"/>
    <s v="Clerical"/>
    <s v="Y"/>
    <s v="Germany"/>
    <x v="4"/>
    <s v="Europe"/>
    <x v="0"/>
    <s v="Bikes"/>
    <n v="1000.4375"/>
    <n v="605.64919999999995"/>
    <n v="394.78829999999999"/>
    <n v="0.39461565565065299"/>
  </r>
  <r>
    <x v="130"/>
    <d v="2002-04-26T00:00:00"/>
    <s v="SO46193"/>
    <n v="342"/>
    <n v="18634"/>
    <n v="7"/>
    <n v="1"/>
    <n v="1"/>
    <n v="2"/>
    <s v="BK-R50B-52"/>
    <x v="33"/>
    <n v="413.1463"/>
    <n v="699.09820000000002"/>
    <s v="MS."/>
    <s v="VERONICA"/>
    <s v="ARUN"/>
    <s v="VERONICA ARUN"/>
    <d v="1971-12-14T00:00:00"/>
    <s v="S"/>
    <s v="F"/>
    <s v="veronica7@adventure-works.com"/>
    <n v="30000"/>
    <n v="0"/>
    <s v="High School"/>
    <s v="Manual"/>
    <s v="N"/>
    <s v="France"/>
    <x v="0"/>
    <s v="Europe"/>
    <x v="0"/>
    <s v="Bikes"/>
    <n v="699.09820000000002"/>
    <n v="413.1463"/>
    <n v="285.95190000000002"/>
    <n v="0.409029661355157"/>
  </r>
  <r>
    <x v="19"/>
    <d v="2001-12-23T00:00:00"/>
    <s v="SO45167"/>
    <n v="311"/>
    <n v="18706"/>
    <n v="9"/>
    <n v="1"/>
    <n v="1"/>
    <n v="2"/>
    <s v="BK-R93R-44"/>
    <x v="4"/>
    <n v="2171.2941999999998"/>
    <n v="3578.27"/>
    <s v="MR."/>
    <s v="DARRYL"/>
    <s v="ZHENG"/>
    <s v="DARRYL ZHENG"/>
    <d v="1969-05-19T00:00:00"/>
    <s v="S"/>
    <s v="M"/>
    <s v="darryl19@adventure-works.com"/>
    <n v="110000"/>
    <n v="1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25"/>
    <d v="2001-11-03T00:00:00"/>
    <s v="SO45246"/>
    <n v="310"/>
    <n v="18709"/>
    <n v="9"/>
    <n v="1"/>
    <n v="1"/>
    <n v="2"/>
    <s v="BK-R93R-62"/>
    <x v="1"/>
    <n v="2171.2941999999998"/>
    <n v="3578.27"/>
    <s v="MR."/>
    <s v="DARREN"/>
    <s v="HERNANDEZ"/>
    <s v="DARREN HERNANDEZ"/>
    <d v="1969-06-06T00:00:00"/>
    <s v="M"/>
    <s v="M"/>
    <s v="darren25@adventure-works.com"/>
    <n v="130000"/>
    <n v="1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338"/>
    <d v="2001-12-05T00:00:00"/>
    <s v="SO45110"/>
    <n v="311"/>
    <n v="18710"/>
    <n v="9"/>
    <n v="1"/>
    <n v="1"/>
    <n v="2"/>
    <s v="BK-R93R-44"/>
    <x v="4"/>
    <n v="2171.2941999999998"/>
    <n v="3578.27"/>
    <s v="MR."/>
    <s v="RICARDO"/>
    <s v="XIE"/>
    <s v="RICARDO XIE"/>
    <d v="1969-08-21T00:00:00"/>
    <s v="M"/>
    <s v="M"/>
    <s v="ricardo3@adventure-works.com"/>
    <n v="130000"/>
    <n v="1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1"/>
    <d v="2001-11-28T00:00:00"/>
    <s v="SO45145"/>
    <n v="314"/>
    <n v="18716"/>
    <n v="9"/>
    <n v="1"/>
    <n v="1"/>
    <n v="2"/>
    <s v="BK-R93R-56"/>
    <x v="2"/>
    <n v="2171.2941999999998"/>
    <n v="3578.27"/>
    <s v="MR."/>
    <s v="SETH"/>
    <s v="CAMPBELL"/>
    <s v="SETH CAMPBELL"/>
    <d v="1968-08-01T00:00:00"/>
    <s v="M"/>
    <s v="M"/>
    <s v="seth43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14"/>
    <d v="2002-01-15T00:00:00"/>
    <s v="SO45257"/>
    <n v="314"/>
    <n v="18718"/>
    <n v="9"/>
    <n v="1"/>
    <n v="1"/>
    <n v="2"/>
    <s v="BK-R93R-56"/>
    <x v="2"/>
    <n v="2171.2941999999998"/>
    <n v="3578.27"/>
    <s v="MS."/>
    <s v="SUSAN"/>
    <s v="LIU"/>
    <s v="SUSAN LIU"/>
    <d v="1965-06-10T00:00:00"/>
    <s v="S"/>
    <s v="F"/>
    <s v="susan13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9"/>
    <d v="2001-12-19T00:00:00"/>
    <s v="SO45162"/>
    <n v="312"/>
    <n v="18721"/>
    <n v="9"/>
    <n v="1"/>
    <n v="1"/>
    <n v="2"/>
    <s v="BK-R93R-48"/>
    <x v="0"/>
    <n v="2171.2941999999998"/>
    <n v="3578.27"/>
    <s v="MR."/>
    <s v="ANDY"/>
    <s v="GOMEZ"/>
    <s v="ANDY GOMEZ"/>
    <d v="1963-06-05T00:00:00"/>
    <s v="S"/>
    <s v="M"/>
    <s v="andy6@adventure-works.com"/>
    <n v="60000"/>
    <n v="3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22"/>
    <d v="2001-10-29T00:00:00"/>
    <s v="SO45118"/>
    <n v="314"/>
    <n v="18722"/>
    <n v="9"/>
    <n v="1"/>
    <n v="1"/>
    <n v="2"/>
    <s v="BK-R93R-56"/>
    <x v="2"/>
    <n v="2171.2941999999998"/>
    <n v="3578.27"/>
    <s v="MR."/>
    <s v="JONATHON"/>
    <s v="NAVARRO"/>
    <s v="JONATHON NAVARRO"/>
    <d v="1963-07-19T00:00:00"/>
    <s v="S"/>
    <s v="M"/>
    <s v="jonathon7@adventure-works.com"/>
    <n v="60000"/>
    <n v="3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28"/>
    <d v="2001-10-23T00:00:00"/>
    <s v="SO45224"/>
    <n v="311"/>
    <n v="18723"/>
    <n v="9"/>
    <n v="1"/>
    <n v="1"/>
    <n v="2"/>
    <s v="BK-R93R-44"/>
    <x v="4"/>
    <n v="2171.2941999999998"/>
    <n v="3578.27"/>
    <s v="MRS."/>
    <s v="LACEY"/>
    <s v="MA"/>
    <s v="LACEY MA"/>
    <d v="1963-05-19T00:00:00"/>
    <s v="S"/>
    <s v="F"/>
    <s v="lacey28@adventure-works.com"/>
    <n v="60000"/>
    <n v="3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0"/>
    <d v="2001-10-01T00:00:00"/>
    <s v="SO45211"/>
    <n v="311"/>
    <n v="18724"/>
    <n v="9"/>
    <n v="1"/>
    <n v="1"/>
    <n v="2"/>
    <s v="BK-R93R-44"/>
    <x v="4"/>
    <n v="2171.2941999999998"/>
    <n v="3578.27"/>
    <s v="MRS."/>
    <s v="DENISE"/>
    <s v="FERNANDEZ"/>
    <s v="DENISE FERNANDEZ"/>
    <d v="1967-11-06T00:00:00"/>
    <s v="M"/>
    <s v="F"/>
    <s v="denise16@adventure-works.com"/>
    <n v="80000"/>
    <n v="5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52"/>
    <d v="2001-11-22T00:00:00"/>
    <s v="SO45124"/>
    <n v="313"/>
    <n v="18725"/>
    <n v="9"/>
    <n v="1"/>
    <n v="1"/>
    <n v="2"/>
    <s v="BK-R93R-52"/>
    <x v="3"/>
    <n v="2171.2941999999998"/>
    <n v="3578.27"/>
    <s v="MRS."/>
    <s v="DENISE"/>
    <s v="KAPOOR"/>
    <s v="DENISE KAPOOR"/>
    <d v="1967-10-09T00:00:00"/>
    <s v="S"/>
    <s v="F"/>
    <s v="denise4@adventure-works.com"/>
    <n v="90000"/>
    <n v="3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4"/>
    <d v="2001-10-07T00:00:00"/>
    <s v="SO45128"/>
    <n v="310"/>
    <n v="18726"/>
    <n v="9"/>
    <n v="1"/>
    <n v="1"/>
    <n v="2"/>
    <s v="BK-R93R-62"/>
    <x v="1"/>
    <n v="2171.2941999999998"/>
    <n v="3578.27"/>
    <s v="MRS."/>
    <s v="KATRINA"/>
    <s v="ANAND"/>
    <s v="KATRINA ANAND"/>
    <d v="1962-03-02T00:00:00"/>
    <s v="S"/>
    <s v="F"/>
    <s v="katrina21@adventure-works.com"/>
    <n v="60000"/>
    <n v="1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0"/>
    <d v="2001-10-28T00:00:00"/>
    <s v="SO45212"/>
    <n v="314"/>
    <n v="18729"/>
    <n v="9"/>
    <n v="1"/>
    <n v="1"/>
    <n v="2"/>
    <s v="BK-R93R-56"/>
    <x v="2"/>
    <n v="2171.2941999999998"/>
    <n v="3578.27"/>
    <s v="MR."/>
    <s v="EVAN"/>
    <s v="PARKER"/>
    <s v="EVAN PARKER"/>
    <d v="1960-04-06T00:00:00"/>
    <s v="S"/>
    <s v="M"/>
    <s v="evan23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51"/>
    <d v="2001-11-24T00:00:00"/>
    <s v="SO45236"/>
    <n v="312"/>
    <n v="18731"/>
    <n v="9"/>
    <n v="1"/>
    <n v="1"/>
    <n v="2"/>
    <s v="BK-R93R-48"/>
    <x v="0"/>
    <n v="2171.2941999999998"/>
    <n v="3578.27"/>
    <s v="MR."/>
    <s v="BRETT"/>
    <s v="MALHOTRA"/>
    <s v="BRETT MALHOTRA"/>
    <d v="1959-07-02T00:00:00"/>
    <s v="S"/>
    <s v="M"/>
    <s v="brett4@adventure-works.com"/>
    <n v="90000"/>
    <n v="1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7"/>
    <d v="2001-10-10T00:00:00"/>
    <s v="SO45137"/>
    <n v="310"/>
    <n v="18735"/>
    <n v="9"/>
    <n v="1"/>
    <n v="1"/>
    <n v="2"/>
    <s v="BK-R93R-62"/>
    <x v="1"/>
    <n v="2171.2941999999998"/>
    <n v="3578.27"/>
    <s v="MS."/>
    <s v="LATASHA"/>
    <s v="MORENO"/>
    <s v="LATASHA MORENO"/>
    <d v="1964-10-20T00:00:00"/>
    <s v="S"/>
    <s v="F"/>
    <s v="latasha6@adventure-works.com"/>
    <n v="7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24"/>
    <d v="2001-11-21T00:00:00"/>
    <s v="SO45232"/>
    <n v="310"/>
    <n v="18736"/>
    <n v="9"/>
    <n v="1"/>
    <n v="1"/>
    <n v="2"/>
    <s v="BK-R93R-62"/>
    <x v="1"/>
    <n v="2171.2941999999998"/>
    <n v="3578.27"/>
    <s v="MRS."/>
    <s v="ASHLEY"/>
    <s v="PATTERSON"/>
    <s v="ASHLEY PATTERSON"/>
    <d v="1959-06-13T00:00:00"/>
    <s v="S"/>
    <s v="F"/>
    <s v="ashley37@adventure-works.com"/>
    <n v="90000"/>
    <n v="1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51"/>
    <d v="2002-01-11T00:00:00"/>
    <s v="SO45237"/>
    <n v="314"/>
    <n v="18737"/>
    <n v="9"/>
    <n v="1"/>
    <n v="1"/>
    <n v="2"/>
    <s v="BK-R93R-56"/>
    <x v="2"/>
    <n v="2171.2941999999998"/>
    <n v="3578.27"/>
    <s v=""/>
    <s v="RICKY"/>
    <s v="GOMEZ"/>
    <s v="RICKY GOMEZ"/>
    <d v="1959-07-21T00:00:00"/>
    <s v="S"/>
    <s v="NA"/>
    <s v="ricky1@adventure-works.com"/>
    <n v="100000"/>
    <n v="5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9"/>
    <d v="2001-10-23T00:00:00"/>
    <s v="SO45168"/>
    <n v="312"/>
    <n v="18738"/>
    <n v="9"/>
    <n v="1"/>
    <n v="1"/>
    <n v="2"/>
    <s v="BK-R93R-48"/>
    <x v="0"/>
    <n v="2171.2941999999998"/>
    <n v="3578.27"/>
    <s v="MS."/>
    <s v="TAMARA"/>
    <s v="LUO"/>
    <s v="TAMARA LUO"/>
    <d v="1963-04-12T00:00:00"/>
    <s v="S"/>
    <s v="F"/>
    <s v="tamara17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34"/>
    <d v="2001-11-22T00:00:00"/>
    <s v="SO45196"/>
    <n v="311"/>
    <n v="18739"/>
    <n v="9"/>
    <n v="1"/>
    <n v="1"/>
    <n v="2"/>
    <s v="BK-R93R-44"/>
    <x v="4"/>
    <n v="2171.2941999999998"/>
    <n v="3578.27"/>
    <s v="MRS."/>
    <s v="CHRISTY"/>
    <s v="PAL"/>
    <s v="CHRISTY PAL"/>
    <d v="1961-06-27T00:00:00"/>
    <s v="M"/>
    <s v="F"/>
    <s v="christy29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22"/>
    <d v="2001-12-14T00:00:00"/>
    <s v="SO45119"/>
    <n v="314"/>
    <n v="18740"/>
    <n v="9"/>
    <n v="1"/>
    <n v="1"/>
    <n v="2"/>
    <s v="BK-R93R-56"/>
    <x v="2"/>
    <n v="2171.2941999999998"/>
    <n v="3578.27"/>
    <s v="MR."/>
    <s v="ADAM"/>
    <s v="HILL"/>
    <s v="ADAM HILL"/>
    <d v="1958-09-04T00:00:00"/>
    <s v="M"/>
    <s v="M"/>
    <s v="adam43@adventure-works.com"/>
    <n v="80000"/>
    <n v="5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39"/>
    <d v="2001-10-09T00:00:00"/>
    <s v="SO45085"/>
    <n v="312"/>
    <n v="18746"/>
    <n v="9"/>
    <n v="1"/>
    <n v="1"/>
    <n v="2"/>
    <s v="BK-R93R-48"/>
    <x v="0"/>
    <n v="2171.2941999999998"/>
    <n v="3578.27"/>
    <s v="MR."/>
    <s v="REGINALD"/>
    <s v="ALVAREZ"/>
    <s v="REGINALD ALVAREZ"/>
    <d v="1957-11-15T00:00:00"/>
    <s v="S"/>
    <s v="M"/>
    <s v="reginald12@adventure-works.com"/>
    <n v="70000"/>
    <n v="1"/>
    <s v="Partial College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339"/>
    <d v="2001-12-18T00:00:00"/>
    <s v="SO45086"/>
    <n v="314"/>
    <n v="18747"/>
    <n v="9"/>
    <n v="1"/>
    <n v="1"/>
    <n v="2"/>
    <s v="BK-R93R-56"/>
    <x v="2"/>
    <n v="2171.2941999999998"/>
    <n v="3578.27"/>
    <s v="MRS."/>
    <s v="JACQUELYN"/>
    <s v="DIAZ"/>
    <s v="JACQUELYN DIAZ"/>
    <d v="1956-05-09T00:00:00"/>
    <s v="S"/>
    <s v="F"/>
    <s v="jacquelyn3@adventure-works.com"/>
    <n v="70000"/>
    <n v="2"/>
    <s v="Partial College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19"/>
    <d v="2001-12-08T00:00:00"/>
    <s v="SO45169"/>
    <n v="314"/>
    <n v="18766"/>
    <n v="9"/>
    <n v="1"/>
    <n v="1"/>
    <n v="2"/>
    <s v="BK-R93R-56"/>
    <x v="2"/>
    <n v="2171.2941999999998"/>
    <n v="3578.27"/>
    <s v="MR."/>
    <s v="FRANCISCO"/>
    <s v="SAI"/>
    <s v="FRANCISCO SAI"/>
    <d v="1940-01-15T00:00:00"/>
    <s v="M"/>
    <s v="M"/>
    <s v="francisco6@adventure-works.com"/>
    <n v="30000"/>
    <n v="2"/>
    <s v="Partial College"/>
    <s v="Clerical"/>
    <s v="N"/>
    <s v="Australia"/>
    <x v="2"/>
    <s v="Pacific"/>
    <x v="0"/>
    <s v="Bikes"/>
    <n v="3578.27"/>
    <n v="2171.2941999999998"/>
    <n v="1406.9757999999999"/>
    <n v="0.39320001006072802"/>
  </r>
  <r>
    <x v="23"/>
    <d v="2001-12-24T00:00:00"/>
    <s v="SO45154"/>
    <n v="313"/>
    <n v="18767"/>
    <n v="9"/>
    <n v="1"/>
    <n v="1"/>
    <n v="2"/>
    <s v="BK-R93R-52"/>
    <x v="3"/>
    <n v="2171.2941999999998"/>
    <n v="3578.27"/>
    <s v="MR."/>
    <s v="GARY"/>
    <s v="ALONSO"/>
    <s v="GARY ALONSO"/>
    <d v="1940-12-10T00:00:00"/>
    <s v="M"/>
    <s v="M"/>
    <s v="gary19@adventure-works.com"/>
    <n v="40000"/>
    <n v="2"/>
    <s v="Bachelors"/>
    <s v="Management"/>
    <s v="Y"/>
    <s v="Australia"/>
    <x v="2"/>
    <s v="Pacific"/>
    <x v="0"/>
    <s v="Bikes"/>
    <n v="3578.27"/>
    <n v="2171.2941999999998"/>
    <n v="1406.9757999999999"/>
    <n v="0.39320001006072802"/>
  </r>
  <r>
    <x v="323"/>
    <d v="2001-11-25T00:00:00"/>
    <s v="SO45228"/>
    <n v="314"/>
    <n v="18768"/>
    <n v="9"/>
    <n v="1"/>
    <n v="1"/>
    <n v="2"/>
    <s v="BK-R93R-56"/>
    <x v="2"/>
    <n v="2171.2941999999998"/>
    <n v="3578.27"/>
    <s v="MR."/>
    <s v="DALTON"/>
    <s v="GARCIA"/>
    <s v="DALTON GARCIA"/>
    <d v="1942-02-23T00:00:00"/>
    <s v="M"/>
    <s v="M"/>
    <s v="dalton15@adventure-works.com"/>
    <n v="40000"/>
    <n v="2"/>
    <s v="Bachelors"/>
    <s v="Management"/>
    <s v="Y"/>
    <s v="Australia"/>
    <x v="2"/>
    <s v="Pacific"/>
    <x v="0"/>
    <s v="Bikes"/>
    <n v="3578.27"/>
    <n v="2171.2941999999998"/>
    <n v="1406.9757999999999"/>
    <n v="0.39320001006072802"/>
  </r>
  <r>
    <x v="336"/>
    <d v="2001-10-25T00:00:00"/>
    <s v="SO45182"/>
    <n v="312"/>
    <n v="18769"/>
    <n v="9"/>
    <n v="1"/>
    <n v="1"/>
    <n v="2"/>
    <s v="BK-R93R-48"/>
    <x v="0"/>
    <n v="2171.2941999999998"/>
    <n v="3578.27"/>
    <s v="MRS."/>
    <s v="THERESA"/>
    <s v="DOMINGUEZ"/>
    <s v="THERESA DOMINGUEZ"/>
    <d v="1943-08-03T00:00:00"/>
    <s v="M"/>
    <s v="F"/>
    <s v="theresa9@adventure-works.com"/>
    <n v="40000"/>
    <n v="2"/>
    <s v="Bachelors"/>
    <s v="Management"/>
    <s v="Y"/>
    <s v="Australia"/>
    <x v="2"/>
    <s v="Pacific"/>
    <x v="0"/>
    <s v="Bikes"/>
    <n v="3578.27"/>
    <n v="2171.2941999999998"/>
    <n v="1406.9757999999999"/>
    <n v="0.39320001006072802"/>
  </r>
  <r>
    <x v="18"/>
    <d v="2001-10-24T00:00:00"/>
    <s v="SO45092"/>
    <n v="313"/>
    <n v="18899"/>
    <n v="9"/>
    <n v="1"/>
    <n v="1"/>
    <n v="2"/>
    <s v="BK-R93R-52"/>
    <x v="3"/>
    <n v="2171.2941999999998"/>
    <n v="3578.27"/>
    <s v="MR."/>
    <s v="GLENN"/>
    <s v="LIU"/>
    <s v="GLENN LIU"/>
    <d v="1950-04-28T00:00:00"/>
    <s v="M"/>
    <s v="M"/>
    <s v="glenn5@adventure-works.com"/>
    <n v="30000"/>
    <n v="3"/>
    <s v="Partial College"/>
    <s v="Clerical"/>
    <s v="N"/>
    <s v="Australia"/>
    <x v="2"/>
    <s v="Pacific"/>
    <x v="0"/>
    <s v="Bikes"/>
    <n v="3578.27"/>
    <n v="2171.2941999999998"/>
    <n v="1406.9757999999999"/>
    <n v="0.39320001006072802"/>
  </r>
  <r>
    <x v="23"/>
    <d v="2001-11-05T00:00:00"/>
    <s v="SO45155"/>
    <n v="312"/>
    <n v="18900"/>
    <n v="9"/>
    <n v="1"/>
    <n v="1"/>
    <n v="2"/>
    <s v="BK-R93R-48"/>
    <x v="0"/>
    <n v="2171.2941999999998"/>
    <n v="3578.27"/>
    <s v="MR."/>
    <s v="MATHEW"/>
    <s v="TORRES"/>
    <s v="MATHEW TORRES"/>
    <d v="1950-10-08T00:00:00"/>
    <s v="M"/>
    <s v="M"/>
    <s v="mathew7@adventure-works.com"/>
    <n v="30000"/>
    <n v="3"/>
    <s v="Partial College"/>
    <s v="Clerical"/>
    <s v="N"/>
    <s v="Australia"/>
    <x v="2"/>
    <s v="Pacific"/>
    <x v="0"/>
    <s v="Bikes"/>
    <n v="3578.27"/>
    <n v="2171.2941999999998"/>
    <n v="1406.9757999999999"/>
    <n v="0.39320001006072802"/>
  </r>
  <r>
    <x v="334"/>
    <d v="2001-10-03T00:00:00"/>
    <s v="SO45197"/>
    <n v="314"/>
    <n v="18902"/>
    <n v="9"/>
    <n v="1"/>
    <n v="1"/>
    <n v="2"/>
    <s v="BK-R93R-56"/>
    <x v="2"/>
    <n v="2171.2941999999998"/>
    <n v="3578.27"/>
    <s v="MR."/>
    <s v="STEVE"/>
    <s v="CHEN"/>
    <s v="STEVE CHEN"/>
    <d v="1951-08-16T00:00:00"/>
    <s v="M"/>
    <s v="M"/>
    <s v="steve6@adventure-works.com"/>
    <n v="30000"/>
    <n v="3"/>
    <s v="High School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21"/>
    <d v="2001-10-28T00:00:00"/>
    <s v="SO45177"/>
    <n v="314"/>
    <n v="18903"/>
    <n v="9"/>
    <n v="1"/>
    <n v="1"/>
    <n v="2"/>
    <s v="BK-R93R-56"/>
    <x v="2"/>
    <n v="2171.2941999999998"/>
    <n v="3578.27"/>
    <s v="MR."/>
    <s v="LOUIS"/>
    <s v="ZENG"/>
    <s v="LOUIS ZENG"/>
    <d v="1951-11-27T00:00:00"/>
    <s v="S"/>
    <s v="M"/>
    <s v="louis16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8"/>
    <d v="2001-10-03T00:00:00"/>
    <s v="SO45093"/>
    <n v="312"/>
    <n v="18906"/>
    <n v="9"/>
    <n v="1"/>
    <n v="1"/>
    <n v="2"/>
    <s v="BK-R93R-48"/>
    <x v="0"/>
    <n v="2171.2941999999998"/>
    <n v="3578.27"/>
    <s v="MRS."/>
    <s v="ADRIENNE"/>
    <s v="GUTIERREZ"/>
    <s v="ADRIENNE GUTIERREZ"/>
    <d v="1952-04-13T00:00:00"/>
    <s v="S"/>
    <s v="F"/>
    <s v="adrienne7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20"/>
    <d v="2001-12-14T00:00:00"/>
    <s v="SO45203"/>
    <n v="314"/>
    <n v="18907"/>
    <n v="9"/>
    <n v="1"/>
    <n v="1"/>
    <n v="2"/>
    <s v="BK-R93R-56"/>
    <x v="2"/>
    <n v="2171.2941999999998"/>
    <n v="3578.27"/>
    <s v="MRS."/>
    <s v="PRISCILLA"/>
    <s v="NARA"/>
    <s v="PRISCILLA NARA"/>
    <d v="1952-05-18T00:00:00"/>
    <s v="M"/>
    <s v="F"/>
    <s v="priscilla15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24"/>
    <d v="2001-11-30T00:00:00"/>
    <s v="SO45231"/>
    <n v="314"/>
    <n v="18908"/>
    <n v="9"/>
    <n v="1"/>
    <n v="1"/>
    <n v="2"/>
    <s v="BK-R93R-56"/>
    <x v="2"/>
    <n v="2171.2941999999998"/>
    <n v="3578.27"/>
    <s v="MRS."/>
    <s v="KRYSTAL"/>
    <s v="SUN"/>
    <s v="KRYSTAL SUN"/>
    <d v="1954-08-17T00:00:00"/>
    <s v="S"/>
    <s v="F"/>
    <s v="krystal13@adventure-works.com"/>
    <n v="80000"/>
    <n v="2"/>
    <s v="Partial College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18"/>
    <d v="2001-10-26T00:00:00"/>
    <s v="SO45091"/>
    <n v="314"/>
    <n v="18909"/>
    <n v="9"/>
    <n v="1"/>
    <n v="1"/>
    <n v="2"/>
    <s v="BK-R93R-56"/>
    <x v="2"/>
    <n v="2171.2941999999998"/>
    <n v="3578.27"/>
    <s v="MRS."/>
    <s v="JODI"/>
    <s v="CHAVEZ"/>
    <s v="JODI CHAVEZ"/>
    <d v="1955-06-13T00:00:00"/>
    <s v="S"/>
    <s v="F"/>
    <s v="jodi15@adventure-works.com"/>
    <n v="80000"/>
    <n v="2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25"/>
    <d v="2001-11-24T00:00:00"/>
    <s v="SO45245"/>
    <n v="310"/>
    <n v="18928"/>
    <n v="9"/>
    <n v="1"/>
    <n v="1"/>
    <n v="2"/>
    <s v="BK-R93R-62"/>
    <x v="1"/>
    <n v="2171.2941999999998"/>
    <n v="3578.27"/>
    <s v="MRS."/>
    <s v="CARMEN"/>
    <s v="PRASAD"/>
    <s v="CARMEN PRASAD"/>
    <d v="1955-02-26T00:00:00"/>
    <s v="M"/>
    <s v="F"/>
    <s v="carmen12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334"/>
    <d v="2001-11-02T00:00:00"/>
    <s v="SO45195"/>
    <n v="313"/>
    <n v="18929"/>
    <n v="9"/>
    <n v="1"/>
    <n v="1"/>
    <n v="2"/>
    <s v="BK-R93R-52"/>
    <x v="3"/>
    <n v="2171.2941999999998"/>
    <n v="3578.27"/>
    <s v="MR."/>
    <s v="DONALD"/>
    <s v="GARCIA"/>
    <s v="DONALD GARCIA"/>
    <d v="1955-06-17T00:00:00"/>
    <s v="S"/>
    <s v="M"/>
    <s v="donald16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328"/>
    <d v="2001-12-18T00:00:00"/>
    <s v="SO45223"/>
    <n v="312"/>
    <n v="18930"/>
    <n v="9"/>
    <n v="1"/>
    <n v="1"/>
    <n v="2"/>
    <s v="BK-R93R-48"/>
    <x v="0"/>
    <n v="2171.2941999999998"/>
    <n v="3578.27"/>
    <s v="MRS."/>
    <s v="KATELYN"/>
    <s v="RICHARDSON"/>
    <s v="KATELYN RICHARDSON"/>
    <d v="1955-10-17T00:00:00"/>
    <s v="S"/>
    <s v="F"/>
    <s v="katelyn8@adventure-works.com"/>
    <n v="80000"/>
    <n v="2"/>
    <s v="High School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325"/>
    <d v="2001-12-08T00:00:00"/>
    <s v="SO45190"/>
    <n v="313"/>
    <n v="18931"/>
    <n v="9"/>
    <n v="1"/>
    <n v="1"/>
    <n v="2"/>
    <s v="BK-R93R-52"/>
    <x v="3"/>
    <n v="2171.2941999999998"/>
    <n v="3578.27"/>
    <s v="MRS."/>
    <s v="ROSA"/>
    <s v="SHE"/>
    <s v="ROSA SHE"/>
    <d v="1956-12-14T00:00:00"/>
    <s v="M"/>
    <s v="F"/>
    <s v="rosa23@adventure-works.com"/>
    <n v="7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76"/>
    <d v="2002-03-23T00:00:00"/>
    <s v="SO46600"/>
    <n v="334"/>
    <n v="19027"/>
    <n v="7"/>
    <n v="1"/>
    <n v="1"/>
    <n v="2"/>
    <s v="BK-R50B-60"/>
    <x v="41"/>
    <n v="413.1463"/>
    <n v="699.09820000000002"/>
    <s v="MRS."/>
    <s v="MAYRA"/>
    <s v="MADAN"/>
    <s v="MAYRA MADAN"/>
    <d v="1957-08-21T00:00:00"/>
    <s v="S"/>
    <s v="F"/>
    <s v="mayra7@adventure-works.com"/>
    <n v="100000"/>
    <n v="2"/>
    <s v="Partial College"/>
    <s v="Professional"/>
    <s v="Y"/>
    <s v="France"/>
    <x v="0"/>
    <s v="Europe"/>
    <x v="0"/>
    <s v="Bikes"/>
    <n v="699.09820000000002"/>
    <n v="413.1463"/>
    <n v="285.95190000000002"/>
    <n v="0.409029661355157"/>
  </r>
  <r>
    <x v="163"/>
    <d v="2002-05-04T00:00:00"/>
    <s v="SO46514"/>
    <n v="342"/>
    <n v="19028"/>
    <n v="7"/>
    <n v="1"/>
    <n v="1"/>
    <n v="2"/>
    <s v="BK-R50B-52"/>
    <x v="33"/>
    <n v="413.1463"/>
    <n v="699.09820000000002"/>
    <s v="MR."/>
    <s v="CEDRIC"/>
    <s v="WANG"/>
    <s v="CEDRIC WANG"/>
    <d v="1957-05-26T00:00:00"/>
    <s v="M"/>
    <s v="M"/>
    <s v="cedric1@adventure-works.com"/>
    <n v="110000"/>
    <n v="2"/>
    <s v="Partial College"/>
    <s v="Professional"/>
    <s v="Y"/>
    <s v="France"/>
    <x v="0"/>
    <s v="Europe"/>
    <x v="0"/>
    <s v="Bikes"/>
    <n v="699.09820000000002"/>
    <n v="413.1463"/>
    <n v="285.95190000000002"/>
    <n v="0.409029661355157"/>
  </r>
  <r>
    <x v="291"/>
    <d v="2002-10-10T00:00:00"/>
    <s v="SO48547"/>
    <n v="385"/>
    <n v="19029"/>
    <n v="8"/>
    <n v="1"/>
    <n v="1"/>
    <n v="2"/>
    <s v="BK-R64Y-42"/>
    <x v="28"/>
    <n v="605.64919999999995"/>
    <n v="1000.4375"/>
    <s v="MRS."/>
    <s v="ALICIA"/>
    <s v="ANDERSEN"/>
    <s v="ALICIA ANDERSEN"/>
    <d v="1957-08-13T00:00:00"/>
    <s v="M"/>
    <s v="F"/>
    <s v="alicia11@adventure-works.com"/>
    <n v="120000"/>
    <n v="2"/>
    <s v="High School"/>
    <s v="Professional"/>
    <s v="Y"/>
    <s v="Germany"/>
    <x v="4"/>
    <s v="Europe"/>
    <x v="0"/>
    <s v="Bikes"/>
    <n v="1000.4375"/>
    <n v="605.64919999999995"/>
    <n v="394.78829999999999"/>
    <n v="0.39461565565065299"/>
  </r>
  <r>
    <x v="67"/>
    <d v="2002-04-01T00:00:00"/>
    <s v="SO46469"/>
    <n v="332"/>
    <n v="19033"/>
    <n v="7"/>
    <n v="1"/>
    <n v="1"/>
    <n v="2"/>
    <s v="BK-R50B-58"/>
    <x v="34"/>
    <n v="413.1463"/>
    <n v="699.09820000000002"/>
    <s v="MR."/>
    <s v="OMAR"/>
    <s v="LIN"/>
    <s v="OMAR LIN"/>
    <d v="1956-09-01T00:00:00"/>
    <s v="S"/>
    <s v="M"/>
    <s v="omar7@adventure-works.com"/>
    <n v="110000"/>
    <n v="2"/>
    <s v="Partial College"/>
    <s v="Professional"/>
    <s v="Y"/>
    <s v="France"/>
    <x v="0"/>
    <s v="Europe"/>
    <x v="0"/>
    <s v="Bikes"/>
    <n v="699.09820000000002"/>
    <n v="413.1463"/>
    <n v="285.95190000000002"/>
    <n v="0.409029661355157"/>
  </r>
  <r>
    <x v="165"/>
    <d v="2002-04-27T00:00:00"/>
    <s v="SO46532"/>
    <n v="338"/>
    <n v="19041"/>
    <n v="7"/>
    <n v="1"/>
    <n v="1"/>
    <n v="2"/>
    <s v="BK-R50B-44"/>
    <x v="32"/>
    <n v="413.1463"/>
    <n v="699.09820000000002"/>
    <s v="MRS."/>
    <s v="AUTUMN"/>
    <s v="ZHENG"/>
    <s v="AUTUMN ZHENG"/>
    <d v="1945-06-02T00:00:00"/>
    <s v="S"/>
    <s v="F"/>
    <s v="autumn19@adventure-works.com"/>
    <n v="70000"/>
    <n v="5"/>
    <s v="High School"/>
    <s v="Professional"/>
    <s v="Y"/>
    <s v="France"/>
    <x v="0"/>
    <s v="Europe"/>
    <x v="0"/>
    <s v="Bikes"/>
    <n v="699.09820000000002"/>
    <n v="413.1463"/>
    <n v="285.95190000000002"/>
    <n v="0.409029661355157"/>
  </r>
  <r>
    <x v="162"/>
    <d v="2002-04-29T00:00:00"/>
    <s v="SO46502"/>
    <n v="328"/>
    <n v="19051"/>
    <n v="7"/>
    <n v="1"/>
    <n v="1"/>
    <n v="2"/>
    <s v="BK-R50R-48"/>
    <x v="35"/>
    <n v="413.1463"/>
    <n v="699.09820000000002"/>
    <s v="MRS."/>
    <s v="TAYLOR"/>
    <s v="HENDERSON"/>
    <s v="TAYLOR HENDERSON"/>
    <d v="1954-05-20T00:00:00"/>
    <s v="S"/>
    <s v="F"/>
    <s v="taylor30@adventure-works.com"/>
    <n v="90000"/>
    <n v="4"/>
    <s v="High School"/>
    <s v="Professional"/>
    <s v="Y"/>
    <s v="France"/>
    <x v="0"/>
    <s v="Europe"/>
    <x v="0"/>
    <s v="Bikes"/>
    <n v="699.09820000000002"/>
    <n v="413.1463"/>
    <n v="285.95190000000002"/>
    <n v="0.409029661355157"/>
  </r>
  <r>
    <x v="216"/>
    <d v="2002-04-17T00:00:00"/>
    <s v="SO46804"/>
    <n v="322"/>
    <n v="19052"/>
    <n v="7"/>
    <n v="1"/>
    <n v="1"/>
    <n v="2"/>
    <s v="BK-R50R-60"/>
    <x v="38"/>
    <n v="413.1463"/>
    <n v="699.09820000000002"/>
    <s v="MRS."/>
    <s v="KRISTI"/>
    <s v="KAPOOR"/>
    <s v="KRISTI KAPOOR"/>
    <d v="1954-06-15T00:00:00"/>
    <s v="M"/>
    <s v="F"/>
    <s v="kristi17@adventure-works.com"/>
    <n v="90000"/>
    <n v="4"/>
    <s v="High School"/>
    <s v="Professional"/>
    <s v="Y"/>
    <s v="France"/>
    <x v="0"/>
    <s v="Europe"/>
    <x v="0"/>
    <s v="Bikes"/>
    <n v="699.09820000000002"/>
    <n v="413.1463"/>
    <n v="285.95190000000002"/>
    <n v="0.409029661355157"/>
  </r>
  <r>
    <x v="88"/>
    <d v="2002-04-28T00:00:00"/>
    <s v="SO46783"/>
    <n v="336"/>
    <n v="19069"/>
    <n v="7"/>
    <n v="1"/>
    <n v="1"/>
    <n v="2"/>
    <s v="BK-R50B-62"/>
    <x v="36"/>
    <n v="413.1463"/>
    <n v="699.09820000000002"/>
    <s v="MR."/>
    <s v="THOMAS"/>
    <s v="HALL"/>
    <s v="THOMAS HALL"/>
    <d v="1950-07-12T00:00:00"/>
    <s v="M"/>
    <s v="M"/>
    <s v="thomas84@adventure-works.com"/>
    <n v="90000"/>
    <n v="4"/>
    <s v="High School"/>
    <s v="Management"/>
    <s v="Y"/>
    <s v="France"/>
    <x v="0"/>
    <s v="Europe"/>
    <x v="0"/>
    <s v="Bikes"/>
    <n v="699.09820000000002"/>
    <n v="413.1463"/>
    <n v="285.95190000000002"/>
    <n v="0.409029661355157"/>
  </r>
  <r>
    <x v="253"/>
    <d v="2002-07-17T00:00:00"/>
    <s v="SO47275"/>
    <n v="338"/>
    <n v="19076"/>
    <n v="7"/>
    <n v="1"/>
    <n v="1"/>
    <n v="2"/>
    <s v="BK-R50B-44"/>
    <x v="32"/>
    <n v="413.1463"/>
    <n v="699.09820000000002"/>
    <s v="MRS."/>
    <s v="JACLYN"/>
    <s v="PAL"/>
    <s v="JACLYN PAL"/>
    <d v="1948-06-02T00:00:00"/>
    <s v="M"/>
    <s v="F"/>
    <s v="jaclyn36@adventure-works.com"/>
    <n v="90000"/>
    <n v="4"/>
    <s v="High School"/>
    <s v="Management"/>
    <s v="Y"/>
    <s v="France"/>
    <x v="0"/>
    <s v="Europe"/>
    <x v="0"/>
    <s v="Bikes"/>
    <n v="699.09820000000002"/>
    <n v="413.1463"/>
    <n v="285.95190000000002"/>
    <n v="0.409029661355157"/>
  </r>
  <r>
    <x v="19"/>
    <d v="2001-12-26T00:00:00"/>
    <s v="SO45166"/>
    <n v="312"/>
    <n v="19083"/>
    <n v="9"/>
    <n v="1"/>
    <n v="1"/>
    <n v="2"/>
    <s v="BK-R93R-48"/>
    <x v="0"/>
    <n v="2171.2941999999998"/>
    <n v="3578.27"/>
    <s v="MR."/>
    <s v="STEVEN"/>
    <s v="RIVERA"/>
    <s v="STEVEN RIVERA"/>
    <d v="1975-02-10T00:00:00"/>
    <s v="S"/>
    <s v="M"/>
    <s v="steven26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7"/>
    <d v="2001-09-22T00:00:00"/>
    <s v="SO45136"/>
    <n v="312"/>
    <n v="19084"/>
    <n v="9"/>
    <n v="1"/>
    <n v="1"/>
    <n v="2"/>
    <s v="BK-R93R-48"/>
    <x v="0"/>
    <n v="2171.2941999999998"/>
    <n v="3578.27"/>
    <s v="MS."/>
    <s v="COLLEEN"/>
    <s v="RAJE"/>
    <s v="COLLEEN RAJE"/>
    <d v="1976-08-13T00:00:00"/>
    <s v="S"/>
    <s v="F"/>
    <s v="colleen37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23"/>
    <d v="2001-12-08T00:00:00"/>
    <s v="SO45153"/>
    <n v="310"/>
    <n v="19089"/>
    <n v="9"/>
    <n v="1"/>
    <n v="1"/>
    <n v="2"/>
    <s v="BK-R93R-62"/>
    <x v="1"/>
    <n v="2171.2941999999998"/>
    <n v="3578.27"/>
    <s v="MS."/>
    <s v="REGINA"/>
    <s v="ARTHUR"/>
    <s v="REGINA ARTHUR"/>
    <d v="1975-10-12T00:00:00"/>
    <s v="S"/>
    <s v="F"/>
    <s v="regina6@adventure-works.com"/>
    <n v="9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"/>
    <d v="2001-11-25T00:00:00"/>
    <s v="SO45144"/>
    <n v="311"/>
    <n v="19093"/>
    <n v="9"/>
    <n v="1"/>
    <n v="1"/>
    <n v="2"/>
    <s v="BK-R93R-44"/>
    <x v="4"/>
    <n v="2171.2941999999998"/>
    <n v="3578.27"/>
    <s v="MS."/>
    <s v="TARA"/>
    <s v="ASHE"/>
    <s v="TARA ASHE"/>
    <d v="1974-12-20T00:00:00"/>
    <s v="S"/>
    <s v="F"/>
    <s v="tara23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20"/>
    <d v="2001-10-12T00:00:00"/>
    <s v="SO45202"/>
    <n v="314"/>
    <n v="19094"/>
    <n v="9"/>
    <n v="1"/>
    <n v="1"/>
    <n v="2"/>
    <s v="BK-R93R-56"/>
    <x v="2"/>
    <n v="2171.2941999999998"/>
    <n v="3578.27"/>
    <s v="MR."/>
    <s v="TODD"/>
    <s v="YANG"/>
    <s v="TODD YANG"/>
    <d v="1973-06-23T00:00:00"/>
    <s v="S"/>
    <s v="M"/>
    <s v="todd6@adventure-works.com"/>
    <n v="9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56"/>
    <d v="2001-12-22T00:00:00"/>
    <s v="SO45472"/>
    <n v="313"/>
    <n v="19095"/>
    <n v="9"/>
    <n v="1"/>
    <n v="1"/>
    <n v="2"/>
    <s v="BK-R93R-52"/>
    <x v="3"/>
    <n v="2171.2941999999998"/>
    <n v="3578.27"/>
    <s v="MS."/>
    <s v="MEREDITH"/>
    <s v="MARTINEZ"/>
    <s v="MEREDITH MARTINEZ"/>
    <d v="1973-11-07T00:00:00"/>
    <s v="S"/>
    <s v="F"/>
    <s v="meredith17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2"/>
    <d v="2002-01-01T00:00:00"/>
    <s v="SO45356"/>
    <n v="313"/>
    <n v="19096"/>
    <n v="9"/>
    <n v="1"/>
    <n v="1"/>
    <n v="2"/>
    <s v="BK-R93R-52"/>
    <x v="3"/>
    <n v="2171.2941999999998"/>
    <n v="3578.27"/>
    <s v="MR."/>
    <s v="DOUGLAS"/>
    <s v="SURI"/>
    <s v="DOUGLAS SURI"/>
    <d v="1972-10-23T00:00:00"/>
    <s v="S"/>
    <s v="M"/>
    <s v="douglas4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315"/>
    <d v="2001-11-04T00:00:00"/>
    <s v="SO45479"/>
    <n v="313"/>
    <n v="19099"/>
    <n v="9"/>
    <n v="1"/>
    <n v="1"/>
    <n v="2"/>
    <s v="BK-R93R-52"/>
    <x v="3"/>
    <n v="2171.2941999999998"/>
    <n v="3578.27"/>
    <s v="MS."/>
    <s v="SHEENA"/>
    <s v="DENG"/>
    <s v="SHEENA DENG"/>
    <d v="1972-11-09T00:00:00"/>
    <s v="M"/>
    <s v="F"/>
    <s v="sheena1@adventure-works.com"/>
    <n v="12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"/>
    <d v="2001-12-25T00:00:00"/>
    <s v="SO45444"/>
    <n v="310"/>
    <n v="19102"/>
    <n v="9"/>
    <n v="1"/>
    <n v="1"/>
    <n v="2"/>
    <s v="BK-R93R-62"/>
    <x v="1"/>
    <n v="2171.2941999999998"/>
    <n v="3578.27"/>
    <s v="MS."/>
    <s v="CLAUDIA"/>
    <s v="YE"/>
    <s v="CLAUDIA YE"/>
    <d v="1970-03-10T00:00:00"/>
    <s v="S"/>
    <s v="F"/>
    <s v="claudia8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3"/>
    <d v="2001-10-29T00:00:00"/>
    <s v="SO45445"/>
    <n v="310"/>
    <n v="19105"/>
    <n v="9"/>
    <n v="1"/>
    <n v="1"/>
    <n v="2"/>
    <s v="BK-R93R-62"/>
    <x v="1"/>
    <n v="2171.2941999999998"/>
    <n v="3578.27"/>
    <s v="MS."/>
    <s v="STACY"/>
    <s v="DOMINGUEZ"/>
    <s v="STACY DOMINGUEZ"/>
    <d v="1971-04-03T00:00:00"/>
    <s v="S"/>
    <s v="F"/>
    <s v="stacy13@adventure-works.com"/>
    <n v="150000"/>
    <n v="0"/>
    <s v="Bachelors"/>
    <s v="Management"/>
    <s v="Y"/>
    <s v="Australia"/>
    <x v="2"/>
    <s v="Pacific"/>
    <x v="0"/>
    <s v="Bikes"/>
    <n v="3578.27"/>
    <n v="2171.2941999999998"/>
    <n v="1406.9757999999999"/>
    <n v="0.39320001006072802"/>
  </r>
  <r>
    <x v="74"/>
    <d v="2002-06-12T00:00:00"/>
    <s v="SO46709"/>
    <n v="387"/>
    <n v="19172"/>
    <n v="10"/>
    <n v="1"/>
    <n v="1"/>
    <n v="2"/>
    <s v="BK-R64Y-44"/>
    <x v="27"/>
    <n v="605.64919999999995"/>
    <n v="1000.4375"/>
    <s v="MR."/>
    <s v="CALVIN"/>
    <s v="LUO"/>
    <s v="CALVIN LUO"/>
    <d v="1974-04-19T00:00:00"/>
    <s v="M"/>
    <s v="M"/>
    <s v="calvin6@adventure-works.com"/>
    <n v="40000"/>
    <n v="1"/>
    <s v="Bachelors"/>
    <s v="Skilled Manual"/>
    <s v="Y"/>
    <s v="United Kingdom"/>
    <x v="3"/>
    <s v="Europe"/>
    <x v="0"/>
    <s v="Bikes"/>
    <n v="1000.4375"/>
    <n v="605.64919999999995"/>
    <n v="394.78829999999999"/>
    <n v="0.39461565565065299"/>
  </r>
  <r>
    <x v="234"/>
    <d v="2002-07-08T00:00:00"/>
    <s v="SO46889"/>
    <n v="383"/>
    <n v="19173"/>
    <n v="10"/>
    <n v="1"/>
    <n v="1"/>
    <n v="2"/>
    <s v="BK-R64Y-40"/>
    <x v="29"/>
    <n v="605.64919999999995"/>
    <n v="1000.4375"/>
    <s v="MRS."/>
    <s v="KELLI"/>
    <s v="LAL"/>
    <s v="KELLI LAL"/>
    <d v="1974-03-19T00:00:00"/>
    <s v="M"/>
    <s v="F"/>
    <s v="kelli31@adventure-works.com"/>
    <n v="40000"/>
    <n v="1"/>
    <s v="Bachelors"/>
    <s v="Skilled Manual"/>
    <s v="Y"/>
    <s v="United Kingdom"/>
    <x v="3"/>
    <s v="Europe"/>
    <x v="0"/>
    <s v="Bikes"/>
    <n v="1000.4375"/>
    <n v="605.64919999999995"/>
    <n v="394.78829999999999"/>
    <n v="0.39461565565065299"/>
  </r>
  <r>
    <x v="320"/>
    <d v="2002-08-17T00:00:00"/>
    <s v="SO47602"/>
    <n v="322"/>
    <n v="19174"/>
    <n v="7"/>
    <n v="1"/>
    <n v="1"/>
    <n v="2"/>
    <s v="BK-R50R-60"/>
    <x v="38"/>
    <n v="413.1463"/>
    <n v="699.09820000000002"/>
    <s v="MS."/>
    <s v="KATELYN"/>
    <s v="HOWARD"/>
    <s v="KATELYN HOWARD"/>
    <d v="1973-12-03T00:00:00"/>
    <s v="S"/>
    <s v="F"/>
    <s v="katelyn10@adventure-works.com"/>
    <n v="30000"/>
    <n v="0"/>
    <s v="High School"/>
    <s v="Manual"/>
    <s v="N"/>
    <s v="France"/>
    <x v="0"/>
    <s v="Europe"/>
    <x v="0"/>
    <s v="Bikes"/>
    <n v="699.09820000000002"/>
    <n v="413.1463"/>
    <n v="285.95190000000002"/>
    <n v="0.409029661355157"/>
  </r>
  <r>
    <x v="347"/>
    <d v="2002-07-05T00:00:00"/>
    <s v="SO47492"/>
    <n v="334"/>
    <n v="19181"/>
    <n v="7"/>
    <n v="1"/>
    <n v="1"/>
    <n v="2"/>
    <s v="BK-R50B-60"/>
    <x v="41"/>
    <n v="413.1463"/>
    <n v="699.09820000000002"/>
    <s v="MR."/>
    <s v="CHAD"/>
    <s v="PAL"/>
    <s v="CHAD PAL"/>
    <d v="1972-10-25T00:00:00"/>
    <s v="S"/>
    <s v="M"/>
    <s v="chad14@adventure-works.com"/>
    <n v="30000"/>
    <n v="0"/>
    <s v="High School"/>
    <s v="Manual"/>
    <s v="N"/>
    <s v="France"/>
    <x v="0"/>
    <s v="Europe"/>
    <x v="0"/>
    <s v="Bikes"/>
    <n v="699.09820000000002"/>
    <n v="413.1463"/>
    <n v="285.95190000000002"/>
    <n v="0.409029661355157"/>
  </r>
  <r>
    <x v="254"/>
    <d v="2002-07-28T00:00:00"/>
    <s v="SO47293"/>
    <n v="385"/>
    <n v="19192"/>
    <n v="10"/>
    <n v="1"/>
    <n v="1"/>
    <n v="2"/>
    <s v="BK-R64Y-42"/>
    <x v="28"/>
    <n v="605.64919999999995"/>
    <n v="1000.4375"/>
    <s v="MRS."/>
    <s v="ERIKA"/>
    <s v="RUIZ"/>
    <s v="ERIKA RUIZ"/>
    <d v="1970-03-12T00:00:00"/>
    <s v="S"/>
    <s v="F"/>
    <s v="erika1@adventure-works.com"/>
    <n v="40000"/>
    <n v="2"/>
    <s v="Partial College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251"/>
    <d v="2002-06-10T00:00:00"/>
    <s v="SO47244"/>
    <n v="385"/>
    <n v="19193"/>
    <n v="10"/>
    <n v="1"/>
    <n v="1"/>
    <n v="2"/>
    <s v="BK-R64Y-42"/>
    <x v="28"/>
    <n v="605.64919999999995"/>
    <n v="1000.4375"/>
    <s v="MR."/>
    <s v="OMAR"/>
    <s v="LAL"/>
    <s v="OMAR LAL"/>
    <d v="1970-11-22T00:00:00"/>
    <s v="S"/>
    <s v="M"/>
    <s v="omar28@adventure-works.com"/>
    <n v="40000"/>
    <n v="2"/>
    <s v="Partial College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269"/>
    <d v="2002-07-19T00:00:00"/>
    <s v="SO47584"/>
    <n v="340"/>
    <n v="19194"/>
    <n v="7"/>
    <n v="1"/>
    <n v="1"/>
    <n v="2"/>
    <s v="BK-R50B-48"/>
    <x v="37"/>
    <n v="413.1463"/>
    <n v="699.09820000000002"/>
    <s v="MR."/>
    <s v="CESAR"/>
    <s v="GARCIA"/>
    <s v="CESAR GARCIA"/>
    <d v="1970-04-01T00:00:00"/>
    <s v="S"/>
    <s v="M"/>
    <s v="cesar14@adventure-works.com"/>
    <n v="40000"/>
    <n v="2"/>
    <s v="Partial College"/>
    <s v="Clerical"/>
    <s v="Y"/>
    <s v="France"/>
    <x v="0"/>
    <s v="Europe"/>
    <x v="0"/>
    <s v="Bikes"/>
    <n v="699.09820000000002"/>
    <n v="413.1463"/>
    <n v="285.95190000000002"/>
    <n v="0.409029661355157"/>
  </r>
  <r>
    <x v="248"/>
    <d v="2002-07-17T00:00:00"/>
    <s v="SO47214"/>
    <n v="389"/>
    <n v="19195"/>
    <n v="10"/>
    <n v="1"/>
    <n v="1"/>
    <n v="2"/>
    <s v="BK-R64Y-48"/>
    <x v="31"/>
    <n v="605.64919999999995"/>
    <n v="1000.4375"/>
    <s v="MR."/>
    <s v="DARREN"/>
    <s v="ROMERO"/>
    <s v="DARREN ROMERO"/>
    <d v="1970-05-26T00:00:00"/>
    <s v="S"/>
    <s v="M"/>
    <s v="darren31@adventure-works.com"/>
    <n v="40000"/>
    <n v="2"/>
    <s v="Partial College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245"/>
    <d v="2002-06-11T00:00:00"/>
    <s v="SO47188"/>
    <n v="389"/>
    <n v="19253"/>
    <n v="10"/>
    <n v="1"/>
    <n v="1"/>
    <n v="2"/>
    <s v="BK-R64Y-48"/>
    <x v="31"/>
    <n v="605.64919999999995"/>
    <n v="1000.4375"/>
    <s v="MRS."/>
    <s v="GABRIELLE"/>
    <s v="ROSS"/>
    <s v="GABRIELLE ROSS"/>
    <d v="1956-03-22T00:00:00"/>
    <s v="S"/>
    <s v="F"/>
    <s v="gabrielle26@adventure-works.com"/>
    <n v="20000"/>
    <n v="1"/>
    <s v="Bachelors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353"/>
    <d v="2002-07-27T00:00:00"/>
    <s v="SO47460"/>
    <n v="320"/>
    <n v="19255"/>
    <n v="7"/>
    <n v="1"/>
    <n v="1"/>
    <n v="2"/>
    <s v="BK-R50R-58"/>
    <x v="40"/>
    <n v="413.1463"/>
    <n v="699.09820000000002"/>
    <s v="MR."/>
    <s v="TERRANCE"/>
    <s v="SARA"/>
    <s v="TERRANCE SARA"/>
    <d v="1955-02-14T00:00:00"/>
    <s v="S"/>
    <s v="M"/>
    <s v="terrance7@adventure-works.com"/>
    <n v="10000"/>
    <n v="2"/>
    <s v="Partial College"/>
    <s v="Manual"/>
    <s v="Y"/>
    <s v="France"/>
    <x v="0"/>
    <s v="Europe"/>
    <x v="0"/>
    <s v="Bikes"/>
    <n v="699.09820000000002"/>
    <n v="413.1463"/>
    <n v="285.95190000000002"/>
    <n v="0.409029661355157"/>
  </r>
  <r>
    <x v="185"/>
    <d v="2002-07-26T00:00:00"/>
    <s v="SO47549"/>
    <n v="342"/>
    <n v="19256"/>
    <n v="7"/>
    <n v="1"/>
    <n v="1"/>
    <n v="2"/>
    <s v="BK-R50B-52"/>
    <x v="33"/>
    <n v="413.1463"/>
    <n v="699.09820000000002"/>
    <s v="MRS."/>
    <s v="ABIGAIL"/>
    <s v="GRIFFIN"/>
    <s v="ABIGAIL GRIFFIN"/>
    <d v="1955-03-11T00:00:00"/>
    <s v="M"/>
    <s v="F"/>
    <s v="abigail46@adventure-works.com"/>
    <n v="20000"/>
    <n v="1"/>
    <s v="Bachelors"/>
    <s v="Clerical"/>
    <s v="Y"/>
    <s v="France"/>
    <x v="0"/>
    <s v="Europe"/>
    <x v="0"/>
    <s v="Bikes"/>
    <n v="699.09820000000002"/>
    <n v="413.1463"/>
    <n v="285.95190000000002"/>
    <n v="0.409029661355157"/>
  </r>
  <r>
    <x v="105"/>
    <d v="2002-06-13T00:00:00"/>
    <s v="SO47282"/>
    <n v="381"/>
    <n v="19258"/>
    <n v="10"/>
    <n v="1"/>
    <n v="1"/>
    <n v="2"/>
    <s v="BK-R64Y-38"/>
    <x v="30"/>
    <n v="605.64919999999995"/>
    <n v="1000.4375"/>
    <s v="MR."/>
    <s v="DOUGLAS"/>
    <s v="MEHTA"/>
    <s v="DOUGLAS MEHTA"/>
    <d v="1954-05-21T00:00:00"/>
    <s v="M"/>
    <s v="M"/>
    <s v="douglas18@adventure-works.com"/>
    <n v="10000"/>
    <n v="2"/>
    <s v="Partial College"/>
    <s v="Manual"/>
    <s v="Y"/>
    <s v="United Kingdom"/>
    <x v="3"/>
    <s v="Europe"/>
    <x v="0"/>
    <s v="Bikes"/>
    <n v="1000.4375"/>
    <n v="605.64919999999995"/>
    <n v="394.78829999999999"/>
    <n v="0.39461565565065299"/>
  </r>
  <r>
    <x v="305"/>
    <d v="2002-04-24T00:00:00"/>
    <s v="SO47234"/>
    <n v="389"/>
    <n v="19260"/>
    <n v="10"/>
    <n v="1"/>
    <n v="1"/>
    <n v="2"/>
    <s v="BK-R64Y-48"/>
    <x v="31"/>
    <n v="605.64919999999995"/>
    <n v="1000.4375"/>
    <s v="MRS."/>
    <s v="LATOYA"/>
    <s v="SHARMA"/>
    <s v="LATOYA SHARMA"/>
    <d v="1939-07-08T00:00:00"/>
    <s v="S"/>
    <s v="F"/>
    <s v="latoya8@adventure-works.com"/>
    <n v="20000"/>
    <n v="1"/>
    <s v="Bachelors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183"/>
    <d v="2002-07-29T00:00:00"/>
    <s v="SO47520"/>
    <n v="389"/>
    <n v="19263"/>
    <n v="10"/>
    <n v="1"/>
    <n v="1"/>
    <n v="2"/>
    <s v="BK-R64Y-48"/>
    <x v="31"/>
    <n v="605.64919999999995"/>
    <n v="1000.4375"/>
    <s v="MRS."/>
    <s v="NINA"/>
    <s v="CHANDE"/>
    <s v="NINA CHANDE"/>
    <d v="1942-11-07T00:00:00"/>
    <s v="M"/>
    <s v="F"/>
    <s v="nina15@adventure-works.com"/>
    <n v="30000"/>
    <n v="1"/>
    <s v="Bachelors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4"/>
    <d v="2001-10-31T00:00:00"/>
    <s v="SO45418"/>
    <n v="311"/>
    <n v="19264"/>
    <n v="9"/>
    <n v="1"/>
    <n v="1"/>
    <n v="2"/>
    <s v="BK-R93R-44"/>
    <x v="4"/>
    <n v="2171.2941999999998"/>
    <n v="3578.27"/>
    <s v="MR."/>
    <s v="KRISTOPHER"/>
    <s v="GONZALEZ"/>
    <s v="KRISTOPHER GONZALEZ"/>
    <d v="1980-09-21T00:00:00"/>
    <s v="S"/>
    <s v="M"/>
    <s v="kristopher17@adventure-works.com"/>
    <n v="10000"/>
    <n v="0"/>
    <s v="Partial College"/>
    <s v="Manual"/>
    <s v="N"/>
    <s v="Australia"/>
    <x v="2"/>
    <s v="Pacific"/>
    <x v="0"/>
    <s v="Bikes"/>
    <n v="3578.27"/>
    <n v="2171.2941999999998"/>
    <n v="1406.9757999999999"/>
    <n v="0.39320001006072802"/>
  </r>
  <r>
    <x v="316"/>
    <d v="2001-12-31T00:00:00"/>
    <s v="SO45369"/>
    <n v="314"/>
    <n v="19269"/>
    <n v="9"/>
    <n v="1"/>
    <n v="1"/>
    <n v="2"/>
    <s v="BK-R93R-56"/>
    <x v="2"/>
    <n v="2171.2941999999998"/>
    <n v="3578.27"/>
    <s v="MS."/>
    <s v="KATHLEEN"/>
    <s v="NAVARRO"/>
    <s v="KATHLEEN NAVARRO"/>
    <d v="1977-03-23T00:00:00"/>
    <s v="S"/>
    <s v="F"/>
    <s v="kathleen12@adventure-works.com"/>
    <n v="10000"/>
    <n v="0"/>
    <s v="High School"/>
    <s v="Manual"/>
    <s v="N"/>
    <s v="Australia"/>
    <x v="2"/>
    <s v="Pacific"/>
    <x v="0"/>
    <s v="Bikes"/>
    <n v="3578.27"/>
    <n v="2171.2941999999998"/>
    <n v="1406.9757999999999"/>
    <n v="0.39320001006072802"/>
  </r>
  <r>
    <x v="316"/>
    <d v="2001-12-23T00:00:00"/>
    <s v="SO45370"/>
    <n v="312"/>
    <n v="19270"/>
    <n v="9"/>
    <n v="1"/>
    <n v="1"/>
    <n v="2"/>
    <s v="BK-R93R-48"/>
    <x v="0"/>
    <n v="2171.2941999999998"/>
    <n v="3578.27"/>
    <s v="MR."/>
    <s v="SHAWN"/>
    <s v="SHEN"/>
    <s v="SHAWN SHEN"/>
    <d v="1979-12-26T00:00:00"/>
    <s v="M"/>
    <s v="M"/>
    <s v="shawn4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13"/>
    <d v="2001-11-25T00:00:00"/>
    <s v="SO45362"/>
    <n v="313"/>
    <n v="19271"/>
    <n v="9"/>
    <n v="1"/>
    <n v="1"/>
    <n v="2"/>
    <s v="BK-R93R-52"/>
    <x v="3"/>
    <n v="2171.2941999999998"/>
    <n v="3578.27"/>
    <s v="MR."/>
    <s v="KRISTOPHER"/>
    <s v="FERNANDEZ"/>
    <s v="KRISTOPHER FERNANDEZ"/>
    <d v="1978-05-15T00:00:00"/>
    <s v="M"/>
    <s v="M"/>
    <s v="kristopher14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278"/>
    <d v="2002-09-03T00:00:00"/>
    <s v="SO47898"/>
    <n v="322"/>
    <n v="19276"/>
    <n v="7"/>
    <n v="1"/>
    <n v="1"/>
    <n v="2"/>
    <s v="BK-R50R-60"/>
    <x v="38"/>
    <n v="413.1463"/>
    <n v="699.09820000000002"/>
    <s v="MR."/>
    <s v="RUBEN"/>
    <s v="SAI"/>
    <s v="RUBEN SAI"/>
    <d v="1961-08-10T00:00:00"/>
    <s v="S"/>
    <s v="M"/>
    <s v="ruben6@adventure-works.com"/>
    <n v="20000"/>
    <n v="1"/>
    <s v="Partial College"/>
    <s v="Manual"/>
    <s v="N"/>
    <s v="France"/>
    <x v="0"/>
    <s v="Europe"/>
    <x v="0"/>
    <s v="Bikes"/>
    <n v="699.09820000000002"/>
    <n v="413.1463"/>
    <n v="285.95190000000002"/>
    <n v="0.409029661355157"/>
  </r>
  <r>
    <x v="98"/>
    <d v="2002-05-17T00:00:00"/>
    <s v="SO47502"/>
    <n v="383"/>
    <n v="19278"/>
    <n v="10"/>
    <n v="1"/>
    <n v="1"/>
    <n v="2"/>
    <s v="BK-R64Y-40"/>
    <x v="29"/>
    <n v="605.64919999999995"/>
    <n v="1000.4375"/>
    <s v="MR."/>
    <s v="WILLIE"/>
    <s v="SUN"/>
    <s v="WILLIE SUN"/>
    <d v="1960-07-13T00:00:00"/>
    <s v="S"/>
    <s v="M"/>
    <s v="willie11@adventure-works.com"/>
    <n v="20000"/>
    <n v="1"/>
    <s v="Partial College"/>
    <s v="Manual"/>
    <s v="N"/>
    <s v="United Kingdom"/>
    <x v="3"/>
    <s v="Europe"/>
    <x v="0"/>
    <s v="Bikes"/>
    <n v="1000.4375"/>
    <n v="605.64919999999995"/>
    <n v="394.78829999999999"/>
    <n v="0.39461565565065299"/>
  </r>
  <r>
    <x v="104"/>
    <d v="2002-10-12T00:00:00"/>
    <s v="SO48151"/>
    <n v="332"/>
    <n v="19280"/>
    <n v="7"/>
    <n v="1"/>
    <n v="1"/>
    <n v="2"/>
    <s v="BK-R50B-58"/>
    <x v="34"/>
    <n v="413.1463"/>
    <n v="699.09820000000002"/>
    <s v="MR."/>
    <s v="DARRELL"/>
    <s v="ANDERSEN"/>
    <s v="DARRELL ANDERSEN"/>
    <d v="1958-08-27T00:00:00"/>
    <s v="M"/>
    <s v="M"/>
    <s v="darrell2@adventure-works.com"/>
    <n v="20000"/>
    <n v="2"/>
    <s v="Partial College"/>
    <s v="Manual"/>
    <s v="Y"/>
    <s v="France"/>
    <x v="0"/>
    <s v="Europe"/>
    <x v="0"/>
    <s v="Bikes"/>
    <n v="699.09820000000002"/>
    <n v="413.1463"/>
    <n v="285.95190000000002"/>
    <n v="0.409029661355157"/>
  </r>
  <r>
    <x v="313"/>
    <d v="2002-09-13T00:00:00"/>
    <s v="SO48257"/>
    <n v="320"/>
    <n v="19282"/>
    <n v="7"/>
    <n v="1"/>
    <n v="1"/>
    <n v="2"/>
    <s v="BK-R50R-58"/>
    <x v="40"/>
    <n v="413.1463"/>
    <n v="699.09820000000002"/>
    <s v="MRS."/>
    <s v="HAILEY"/>
    <s v="WOOD"/>
    <s v="HAILEY WOOD"/>
    <d v="1958-05-08T00:00:00"/>
    <s v="M"/>
    <s v="F"/>
    <s v="hailey23@adventure-works.com"/>
    <n v="30000"/>
    <n v="1"/>
    <s v="Graduate Degree"/>
    <s v="Clerical"/>
    <s v="Y"/>
    <s v="France"/>
    <x v="0"/>
    <s v="Europe"/>
    <x v="0"/>
    <s v="Bikes"/>
    <n v="699.09820000000002"/>
    <n v="413.1463"/>
    <n v="285.95190000000002"/>
    <n v="0.409029661355157"/>
  </r>
  <r>
    <x v="313"/>
    <d v="2002-08-01T00:00:00"/>
    <s v="SO48258"/>
    <n v="324"/>
    <n v="19287"/>
    <n v="7"/>
    <n v="1"/>
    <n v="1"/>
    <n v="2"/>
    <s v="BK-R50R-62"/>
    <x v="42"/>
    <n v="413.1463"/>
    <n v="699.09820000000002"/>
    <s v="MR."/>
    <s v="SHANE"/>
    <s v="CHANDRA"/>
    <s v="SHANE CHANDRA"/>
    <d v="1959-07-27T00:00:00"/>
    <s v="M"/>
    <s v="M"/>
    <s v="shane6@adventure-works.com"/>
    <n v="30000"/>
    <n v="3"/>
    <s v="Bachelors"/>
    <s v="Clerical"/>
    <s v="Y"/>
    <s v="France"/>
    <x v="0"/>
    <s v="Europe"/>
    <x v="0"/>
    <s v="Bikes"/>
    <n v="699.09820000000002"/>
    <n v="413.1463"/>
    <n v="285.95190000000002"/>
    <n v="0.409029661355157"/>
  </r>
  <r>
    <x v="196"/>
    <d v="2002-06-27T00:00:00"/>
    <s v="SO47643"/>
    <n v="389"/>
    <n v="19290"/>
    <n v="10"/>
    <n v="1"/>
    <n v="1"/>
    <n v="2"/>
    <s v="BK-R64Y-48"/>
    <x v="31"/>
    <n v="605.64919999999995"/>
    <n v="1000.4375"/>
    <s v="MR."/>
    <s v="SERGIO"/>
    <s v="PRASAD"/>
    <s v="SERGIO PRASAD"/>
    <d v="1958-05-06T00:00:00"/>
    <s v="S"/>
    <s v="M"/>
    <s v="sergio10@adventure-works.com"/>
    <n v="30000"/>
    <n v="1"/>
    <s v="Bachelors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300"/>
    <d v="2002-08-23T00:00:00"/>
    <s v="SO48191"/>
    <n v="330"/>
    <n v="19292"/>
    <n v="7"/>
    <n v="1"/>
    <n v="1"/>
    <n v="2"/>
    <s v="BK-R50R-52"/>
    <x v="39"/>
    <n v="413.1463"/>
    <n v="699.09820000000002"/>
    <s v="MR."/>
    <s v="MICAH"/>
    <s v="LIN"/>
    <s v="MICAH LIN"/>
    <d v="1970-12-07T00:00:00"/>
    <s v="M"/>
    <s v="M"/>
    <s v="micah18@adventure-works.com"/>
    <n v="30000"/>
    <n v="0"/>
    <s v="Bachelors"/>
    <s v="Clerical"/>
    <s v="Y"/>
    <s v="France"/>
    <x v="0"/>
    <s v="Europe"/>
    <x v="0"/>
    <s v="Bikes"/>
    <n v="699.09820000000002"/>
    <n v="413.1463"/>
    <n v="285.95190000000002"/>
    <n v="0.409029661355157"/>
  </r>
  <r>
    <x v="200"/>
    <d v="2002-11-29T00:00:00"/>
    <s v="SO48669"/>
    <n v="328"/>
    <n v="19293"/>
    <n v="7"/>
    <n v="1"/>
    <n v="1"/>
    <n v="2"/>
    <s v="BK-R50R-48"/>
    <x v="35"/>
    <n v="413.1463"/>
    <n v="699.09820000000002"/>
    <s v="MS."/>
    <s v="CHLOE"/>
    <s v="WATSON"/>
    <s v="CHLOE WATSON"/>
    <d v="1970-08-28T00:00:00"/>
    <s v="M"/>
    <s v="F"/>
    <s v="chloe62@adventure-works.com"/>
    <n v="30000"/>
    <n v="0"/>
    <s v="Bachelors"/>
    <s v="Clerical"/>
    <s v="Y"/>
    <s v="France"/>
    <x v="0"/>
    <s v="Europe"/>
    <x v="0"/>
    <s v="Bikes"/>
    <n v="699.09820000000002"/>
    <n v="413.1463"/>
    <n v="285.95190000000002"/>
    <n v="0.409029661355157"/>
  </r>
  <r>
    <x v="220"/>
    <d v="2002-10-14T00:00:00"/>
    <s v="SO48535"/>
    <n v="338"/>
    <n v="19295"/>
    <n v="7"/>
    <n v="1"/>
    <n v="1"/>
    <n v="2"/>
    <s v="BK-R50B-44"/>
    <x v="32"/>
    <n v="413.1463"/>
    <n v="699.09820000000002"/>
    <s v="MRS."/>
    <s v="KATELYN"/>
    <s v="GREEN"/>
    <s v="KATELYN GREEN"/>
    <d v="1969-07-26T00:00:00"/>
    <s v="S"/>
    <s v="F"/>
    <s v="katelyn38@adventure-works.com"/>
    <n v="10000"/>
    <n v="2"/>
    <s v="High School"/>
    <s v="Manual"/>
    <s v="Y"/>
    <s v="France"/>
    <x v="0"/>
    <s v="Europe"/>
    <x v="0"/>
    <s v="Bikes"/>
    <n v="699.09820000000002"/>
    <n v="413.1463"/>
    <n v="285.95190000000002"/>
    <n v="0.409029661355157"/>
  </r>
  <r>
    <x v="292"/>
    <d v="2002-08-25T00:00:00"/>
    <s v="SO48568"/>
    <n v="326"/>
    <n v="19296"/>
    <n v="7"/>
    <n v="1"/>
    <n v="1"/>
    <n v="2"/>
    <s v="BK-R50R-44"/>
    <x v="43"/>
    <n v="413.1463"/>
    <n v="699.09820000000002"/>
    <s v="MR."/>
    <s v="JAKE"/>
    <s v="ZHENG"/>
    <s v="JAKE ZHENG"/>
    <d v="1969-01-04T00:00:00"/>
    <s v="S"/>
    <s v="M"/>
    <s v="jake17@adventure-works.com"/>
    <n v="20000"/>
    <n v="0"/>
    <s v="Partial College"/>
    <s v="Manual"/>
    <s v="N"/>
    <s v="France"/>
    <x v="0"/>
    <s v="Europe"/>
    <x v="0"/>
    <s v="Bikes"/>
    <n v="699.09820000000002"/>
    <n v="413.1463"/>
    <n v="285.95190000000002"/>
    <n v="0.409029661355157"/>
  </r>
  <r>
    <x v="232"/>
    <d v="2002-09-06T00:00:00"/>
    <s v="SO48423"/>
    <n v="340"/>
    <n v="19297"/>
    <n v="7"/>
    <n v="1"/>
    <n v="1"/>
    <n v="2"/>
    <s v="BK-R50B-48"/>
    <x v="37"/>
    <n v="413.1463"/>
    <n v="699.09820000000002"/>
    <s v="MR."/>
    <s v="CEDRIC"/>
    <s v="XIE"/>
    <s v="CEDRIC XIE"/>
    <d v="1969-08-21T00:00:00"/>
    <s v="S"/>
    <s v="M"/>
    <s v="cedric25@adventure-works.com"/>
    <n v="30000"/>
    <n v="0"/>
    <s v="Bachelors"/>
    <s v="Clerical"/>
    <s v="Y"/>
    <s v="France"/>
    <x v="0"/>
    <s v="Europe"/>
    <x v="0"/>
    <s v="Bikes"/>
    <n v="699.09820000000002"/>
    <n v="413.1463"/>
    <n v="285.95190000000002"/>
    <n v="0.409029661355157"/>
  </r>
  <r>
    <x v="98"/>
    <d v="2002-08-13T00:00:00"/>
    <s v="SO47503"/>
    <n v="383"/>
    <n v="19299"/>
    <n v="10"/>
    <n v="1"/>
    <n v="1"/>
    <n v="2"/>
    <s v="BK-R64Y-40"/>
    <x v="29"/>
    <n v="605.64919999999995"/>
    <n v="1000.4375"/>
    <s v="MS."/>
    <s v="CARRIE"/>
    <s v="BROWNING"/>
    <s v="CARRIE BROWNING"/>
    <d v="1969-10-12T00:00:00"/>
    <s v="M"/>
    <s v="F"/>
    <s v="carrie14@adventure-works.com"/>
    <n v="50000"/>
    <n v="0"/>
    <s v="Graduate Degree"/>
    <s v="Skilled Manual"/>
    <s v="Y"/>
    <s v="United Kingdom"/>
    <x v="3"/>
    <s v="Europe"/>
    <x v="0"/>
    <s v="Bikes"/>
    <n v="1000.4375"/>
    <n v="605.64919999999995"/>
    <n v="394.78829999999999"/>
    <n v="0.39461565565065299"/>
  </r>
  <r>
    <x v="259"/>
    <d v="2002-05-07T00:00:00"/>
    <s v="SO47469"/>
    <n v="383"/>
    <n v="19301"/>
    <n v="10"/>
    <n v="1"/>
    <n v="1"/>
    <n v="2"/>
    <s v="BK-R64Y-40"/>
    <x v="29"/>
    <n v="605.64919999999995"/>
    <n v="1000.4375"/>
    <s v="MRS."/>
    <s v="JAMIE"/>
    <s v="LIU"/>
    <s v="JAMIE LIU"/>
    <d v="1952-03-01T00:00:00"/>
    <s v="M"/>
    <s v="F"/>
    <s v="jamie6@adventure-works.com"/>
    <n v="20000"/>
    <n v="2"/>
    <s v="Partial College"/>
    <s v="Manual"/>
    <s v="Y"/>
    <s v="United Kingdom"/>
    <x v="3"/>
    <s v="Europe"/>
    <x v="0"/>
    <s v="Bikes"/>
    <n v="1000.4375"/>
    <n v="605.64919999999995"/>
    <n v="394.78829999999999"/>
    <n v="0.39461565565065299"/>
  </r>
  <r>
    <x v="263"/>
    <d v="2002-08-23T00:00:00"/>
    <s v="SO47858"/>
    <n v="385"/>
    <n v="19302"/>
    <n v="10"/>
    <n v="1"/>
    <n v="1"/>
    <n v="2"/>
    <s v="BK-R64Y-42"/>
    <x v="28"/>
    <n v="605.64919999999995"/>
    <n v="1000.4375"/>
    <s v="MR."/>
    <s v="BRAD"/>
    <s v="XIE"/>
    <s v="BRAD XIE"/>
    <d v="1951-08-11T00:00:00"/>
    <s v="S"/>
    <s v="M"/>
    <s v="brad3@adventure-works.com"/>
    <n v="10000"/>
    <n v="3"/>
    <s v="Partial College"/>
    <s v="Manual"/>
    <s v="Y"/>
    <s v="United Kingdom"/>
    <x v="3"/>
    <s v="Europe"/>
    <x v="0"/>
    <s v="Bikes"/>
    <n v="1000.4375"/>
    <n v="605.64919999999995"/>
    <n v="394.78829999999999"/>
    <n v="0.39461565565065299"/>
  </r>
  <r>
    <x v="264"/>
    <d v="2002-09-23T00:00:00"/>
    <s v="SO47870"/>
    <n v="383"/>
    <n v="19305"/>
    <n v="10"/>
    <n v="1"/>
    <n v="1"/>
    <n v="2"/>
    <s v="BK-R64Y-40"/>
    <x v="29"/>
    <n v="605.64919999999995"/>
    <n v="1000.4375"/>
    <s v="MRS."/>
    <s v="GABRIELLA"/>
    <s v="YOUNG"/>
    <s v="GABRIELLA YOUNG"/>
    <d v="1968-02-22T00:00:00"/>
    <s v="S"/>
    <s v="F"/>
    <s v="gabriella41@adventure-works.com"/>
    <n v="10000"/>
    <n v="2"/>
    <s v="High School"/>
    <s v="Manual"/>
    <s v="Y"/>
    <s v="United Kingdom"/>
    <x v="3"/>
    <s v="Europe"/>
    <x v="0"/>
    <s v="Bikes"/>
    <n v="1000.4375"/>
    <n v="605.64919999999995"/>
    <n v="394.78829999999999"/>
    <n v="0.39461565565065299"/>
  </r>
  <r>
    <x v="205"/>
    <d v="2002-09-25T00:00:00"/>
    <s v="SO47830"/>
    <n v="383"/>
    <n v="19308"/>
    <n v="10"/>
    <n v="1"/>
    <n v="1"/>
    <n v="2"/>
    <s v="BK-R64Y-40"/>
    <x v="29"/>
    <n v="605.64919999999995"/>
    <n v="1000.4375"/>
    <s v="MRS."/>
    <s v="CASEY"/>
    <s v="RAI"/>
    <s v="CASEY RAI"/>
    <d v="1968-04-18T00:00:00"/>
    <s v="M"/>
    <s v="F"/>
    <s v="casey19@adventure-works.com"/>
    <n v="30000"/>
    <n v="1"/>
    <s v="Bachelors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190"/>
    <d v="2002-09-28T00:00:00"/>
    <s v="SO48440"/>
    <n v="336"/>
    <n v="19309"/>
    <n v="7"/>
    <n v="1"/>
    <n v="1"/>
    <n v="2"/>
    <s v="BK-R50B-62"/>
    <x v="36"/>
    <n v="413.1463"/>
    <n v="699.09820000000002"/>
    <s v="MR."/>
    <s v="FRANK"/>
    <s v="SUAREZ"/>
    <s v="FRANK SUAREZ"/>
    <d v="1968-11-22T00:00:00"/>
    <s v="M"/>
    <s v="M"/>
    <s v="frank27@adventure-works.com"/>
    <n v="30000"/>
    <n v="1"/>
    <s v="Bachelors"/>
    <s v="Clerical"/>
    <s v="Y"/>
    <s v="France"/>
    <x v="0"/>
    <s v="Europe"/>
    <x v="0"/>
    <s v="Bikes"/>
    <n v="699.09820000000002"/>
    <n v="413.1463"/>
    <n v="285.95190000000002"/>
    <n v="0.409029661355157"/>
  </r>
  <r>
    <x v="289"/>
    <d v="2002-09-08T00:00:00"/>
    <s v="SO48412"/>
    <n v="342"/>
    <n v="19310"/>
    <n v="7"/>
    <n v="1"/>
    <n v="1"/>
    <n v="2"/>
    <s v="BK-R50B-52"/>
    <x v="33"/>
    <n v="413.1463"/>
    <n v="699.09820000000002"/>
    <s v="MS."/>
    <s v="EVELYN"/>
    <s v="RAMAN"/>
    <s v="EVELYN RAMAN"/>
    <d v="1968-04-16T00:00:00"/>
    <s v="M"/>
    <s v="F"/>
    <s v="evelyn13@adventure-works.com"/>
    <n v="40000"/>
    <n v="0"/>
    <s v="Graduate Degree"/>
    <s v="Clerical"/>
    <s v="Y"/>
    <s v="France"/>
    <x v="0"/>
    <s v="Europe"/>
    <x v="0"/>
    <s v="Bikes"/>
    <n v="699.09820000000002"/>
    <n v="413.1463"/>
    <n v="285.95190000000002"/>
    <n v="0.409029661355157"/>
  </r>
  <r>
    <x v="282"/>
    <d v="2002-08-25T00:00:00"/>
    <s v="SO48116"/>
    <n v="381"/>
    <n v="19312"/>
    <n v="10"/>
    <n v="1"/>
    <n v="1"/>
    <n v="2"/>
    <s v="BK-R64Y-38"/>
    <x v="30"/>
    <n v="605.64919999999995"/>
    <n v="1000.4375"/>
    <s v="MS."/>
    <s v="VALERIE"/>
    <s v="ZHENG"/>
    <s v="VALERIE ZHENG"/>
    <d v="1968-01-19T00:00:00"/>
    <s v="M"/>
    <s v="F"/>
    <s v="valerie21@adventure-works.com"/>
    <n v="40000"/>
    <n v="0"/>
    <s v="Bachelors"/>
    <s v="Clerical"/>
    <s v="Y"/>
    <s v="United Kingdom"/>
    <x v="3"/>
    <s v="Europe"/>
    <x v="0"/>
    <s v="Bikes"/>
    <n v="1000.4375"/>
    <n v="605.64919999999995"/>
    <n v="394.78829999999999"/>
    <n v="0.39461565565065299"/>
  </r>
  <r>
    <x v="214"/>
    <d v="2002-12-10T00:00:00"/>
    <s v="SO48707"/>
    <n v="326"/>
    <n v="19313"/>
    <n v="7"/>
    <n v="1"/>
    <n v="1"/>
    <n v="2"/>
    <s v="BK-R50R-44"/>
    <x v="43"/>
    <n v="413.1463"/>
    <n v="699.09820000000002"/>
    <s v="MR."/>
    <s v="CHARLES"/>
    <s v="BAKER"/>
    <s v="CHARLES BAKER"/>
    <d v="1967-03-11T00:00:00"/>
    <s v="S"/>
    <s v="M"/>
    <s v="charles36@adventure-works.com"/>
    <n v="10000"/>
    <n v="3"/>
    <s v="High School"/>
    <s v="Manual"/>
    <s v="Y"/>
    <s v="France"/>
    <x v="0"/>
    <s v="Europe"/>
    <x v="0"/>
    <s v="Bikes"/>
    <n v="699.09820000000002"/>
    <n v="413.1463"/>
    <n v="285.95190000000002"/>
    <n v="0.409029661355157"/>
  </r>
  <r>
    <x v="291"/>
    <d v="2002-09-30T00:00:00"/>
    <s v="SO48550"/>
    <n v="326"/>
    <n v="19315"/>
    <n v="7"/>
    <n v="1"/>
    <n v="1"/>
    <n v="2"/>
    <s v="BK-R50R-44"/>
    <x v="43"/>
    <n v="413.1463"/>
    <n v="699.09820000000002"/>
    <s v="MR."/>
    <s v="DEVON"/>
    <s v="SHARMA"/>
    <s v="DEVON SHARMA"/>
    <d v="1967-09-03T00:00:00"/>
    <s v="S"/>
    <s v="M"/>
    <s v="devon7@adventure-works.com"/>
    <n v="20000"/>
    <n v="1"/>
    <s v="Partial College"/>
    <s v="Manual"/>
    <s v="N"/>
    <s v="France"/>
    <x v="0"/>
    <s v="Europe"/>
    <x v="0"/>
    <s v="Bikes"/>
    <n v="699.09820000000002"/>
    <n v="413.1463"/>
    <n v="285.95190000000002"/>
    <n v="0.409029661355157"/>
  </r>
  <r>
    <x v="302"/>
    <d v="2002-08-01T00:00:00"/>
    <s v="SO48159"/>
    <n v="389"/>
    <n v="19322"/>
    <n v="10"/>
    <n v="1"/>
    <n v="1"/>
    <n v="2"/>
    <s v="BK-R64Y-48"/>
    <x v="31"/>
    <n v="605.64919999999995"/>
    <n v="1000.4375"/>
    <s v="MR."/>
    <s v="GERALD"/>
    <s v="ROMERO"/>
    <s v="GERALD ROMERO"/>
    <d v="1966-04-17T00:00:00"/>
    <s v="S"/>
    <s v="M"/>
    <s v="gerald17@adventure-works.com"/>
    <n v="20000"/>
    <n v="1"/>
    <s v="High School"/>
    <s v="Manual"/>
    <s v="N"/>
    <s v="United Kingdom"/>
    <x v="3"/>
    <s v="Europe"/>
    <x v="0"/>
    <s v="Bikes"/>
    <n v="1000.4375"/>
    <n v="605.64919999999995"/>
    <n v="394.78829999999999"/>
    <n v="0.39461565565065299"/>
  </r>
  <r>
    <x v="286"/>
    <d v="2002-11-18T00:00:00"/>
    <s v="SO48518"/>
    <n v="381"/>
    <n v="19337"/>
    <n v="10"/>
    <n v="1"/>
    <n v="1"/>
    <n v="2"/>
    <s v="BK-R64Y-38"/>
    <x v="30"/>
    <n v="605.64919999999995"/>
    <n v="1000.4375"/>
    <s v="MRS."/>
    <s v="BONNIE"/>
    <s v="LUO"/>
    <s v="BONNIE LUO"/>
    <d v="1964-12-15T00:00:00"/>
    <s v="S"/>
    <s v="F"/>
    <s v="bonnie11@adventure-works.com"/>
    <n v="20000"/>
    <n v="3"/>
    <s v="High School"/>
    <s v="Manual"/>
    <s v="Y"/>
    <s v="United Kingdom"/>
    <x v="3"/>
    <s v="Europe"/>
    <x v="0"/>
    <s v="Bikes"/>
    <n v="1000.4375"/>
    <n v="605.64919999999995"/>
    <n v="394.78829999999999"/>
    <n v="0.39461565565065299"/>
  </r>
  <r>
    <x v="200"/>
    <d v="2002-10-25T00:00:00"/>
    <s v="SO48667"/>
    <n v="389"/>
    <n v="19341"/>
    <n v="10"/>
    <n v="1"/>
    <n v="1"/>
    <n v="2"/>
    <s v="BK-R64Y-48"/>
    <x v="31"/>
    <n v="605.64919999999995"/>
    <n v="1000.4375"/>
    <s v="MR."/>
    <s v="CLARENCE"/>
    <s v="HUANG"/>
    <s v="CLARENCE HUANG"/>
    <d v="1966-08-24T00:00:00"/>
    <s v="M"/>
    <s v="M"/>
    <s v="clarence1@adventure-works.com"/>
    <n v="40000"/>
    <n v="0"/>
    <s v="Bachelors"/>
    <s v="Professional"/>
    <s v="Y"/>
    <s v="United Kingdom"/>
    <x v="3"/>
    <s v="Europe"/>
    <x v="0"/>
    <s v="Bikes"/>
    <n v="1000.4375"/>
    <n v="605.64919999999995"/>
    <n v="394.78829999999999"/>
    <n v="0.39461565565065299"/>
  </r>
  <r>
    <x v="214"/>
    <d v="2002-11-05T00:00:00"/>
    <s v="SO48706"/>
    <n v="387"/>
    <n v="19359"/>
    <n v="10"/>
    <n v="1"/>
    <n v="1"/>
    <n v="2"/>
    <s v="BK-R64Y-44"/>
    <x v="27"/>
    <n v="605.64919999999995"/>
    <n v="1000.4375"/>
    <s v="MR."/>
    <s v="ROBERTO"/>
    <s v="TOWNSEND"/>
    <s v="ROBERTO TOWNSEND"/>
    <d v="1963-08-20T00:00:00"/>
    <s v="M"/>
    <s v="M"/>
    <s v="roberto12@adventure-works.com"/>
    <n v="40000"/>
    <n v="1"/>
    <s v="Bachelors"/>
    <s v="Skilled Manual"/>
    <s v="Y"/>
    <s v="United Kingdom"/>
    <x v="3"/>
    <s v="Europe"/>
    <x v="0"/>
    <s v="Bikes"/>
    <n v="1000.4375"/>
    <n v="605.64919999999995"/>
    <n v="394.78829999999999"/>
    <n v="0.39461565565065299"/>
  </r>
  <r>
    <x v="287"/>
    <d v="2002-08-28T00:00:00"/>
    <s v="SO48615"/>
    <n v="383"/>
    <n v="19360"/>
    <n v="10"/>
    <n v="1"/>
    <n v="1"/>
    <n v="2"/>
    <s v="BK-R64Y-40"/>
    <x v="29"/>
    <n v="605.64919999999995"/>
    <n v="1000.4375"/>
    <s v="MRS."/>
    <s v="JOANNA"/>
    <s v="HERNANDEZ"/>
    <s v="JOANNA HERNANDEZ"/>
    <d v="1963-04-04T00:00:00"/>
    <s v="M"/>
    <s v="F"/>
    <s v="joanna2@adventure-works.com"/>
    <n v="40000"/>
    <n v="1"/>
    <s v="Bachelors"/>
    <s v="Skilled Manual"/>
    <s v="Y"/>
    <s v="United Kingdom"/>
    <x v="3"/>
    <s v="Europe"/>
    <x v="0"/>
    <s v="Bikes"/>
    <n v="1000.4375"/>
    <n v="605.64919999999995"/>
    <n v="394.78829999999999"/>
    <n v="0.39461565565065299"/>
  </r>
  <r>
    <x v="232"/>
    <d v="2002-09-02T00:00:00"/>
    <s v="SO48421"/>
    <n v="387"/>
    <n v="19361"/>
    <n v="10"/>
    <n v="1"/>
    <n v="1"/>
    <n v="2"/>
    <s v="BK-R64Y-44"/>
    <x v="27"/>
    <n v="605.64919999999995"/>
    <n v="1000.4375"/>
    <s v="MRS."/>
    <s v="STACEY"/>
    <s v="SUN"/>
    <s v="STACEY SUN"/>
    <d v="1963-09-25T00:00:00"/>
    <s v="M"/>
    <s v="F"/>
    <s v="stacey14@adventure-works.com"/>
    <n v="40000"/>
    <n v="1"/>
    <s v="Bachelors"/>
    <s v="Skilled Manual"/>
    <s v="Y"/>
    <s v="United Kingdom"/>
    <x v="3"/>
    <s v="Europe"/>
    <x v="0"/>
    <s v="Bikes"/>
    <n v="1000.4375"/>
    <n v="605.64919999999995"/>
    <n v="394.78829999999999"/>
    <n v="0.39461565565065299"/>
  </r>
  <r>
    <x v="293"/>
    <d v="2002-11-09T00:00:00"/>
    <s v="SO48501"/>
    <n v="383"/>
    <n v="19362"/>
    <n v="10"/>
    <n v="1"/>
    <n v="1"/>
    <n v="2"/>
    <s v="BK-R64Y-40"/>
    <x v="29"/>
    <n v="605.64919999999995"/>
    <n v="1000.4375"/>
    <s v="MR."/>
    <s v="KARL"/>
    <s v="RAJE"/>
    <s v="KARL RAJE"/>
    <d v="1963-08-13T00:00:00"/>
    <s v="M"/>
    <s v="M"/>
    <s v="karl15@adventure-works.com"/>
    <n v="40000"/>
    <n v="1"/>
    <s v="Bachelors"/>
    <s v="Skilled Manual"/>
    <s v="Y"/>
    <s v="United Kingdom"/>
    <x v="3"/>
    <s v="Europe"/>
    <x v="0"/>
    <s v="Bikes"/>
    <n v="1000.4375"/>
    <n v="605.64919999999995"/>
    <n v="394.78829999999999"/>
    <n v="0.39461565565065299"/>
  </r>
  <r>
    <x v="314"/>
    <d v="2001-11-08T00:00:00"/>
    <s v="SO45251"/>
    <n v="334"/>
    <n v="19422"/>
    <n v="8"/>
    <n v="1"/>
    <n v="1"/>
    <n v="2"/>
    <s v="BK-R50B-60"/>
    <x v="41"/>
    <n v="413.1463"/>
    <n v="699.09820000000002"/>
    <s v="MS."/>
    <s v="PAULA"/>
    <s v="GUTIERREZ"/>
    <s v="PAULA GUTIERREZ"/>
    <d v="1970-11-19T00:00:00"/>
    <s v="S"/>
    <s v="F"/>
    <s v="paula14@adventure-works.com"/>
    <n v="20000"/>
    <n v="0"/>
    <s v="Partial College"/>
    <s v="Manual"/>
    <s v="N"/>
    <s v="Germany"/>
    <x v="4"/>
    <s v="Europe"/>
    <x v="0"/>
    <s v="Bikes"/>
    <n v="699.09820000000002"/>
    <n v="413.1463"/>
    <n v="285.95190000000002"/>
    <n v="0.409029661355157"/>
  </r>
  <r>
    <x v="354"/>
    <d v="2001-11-21T00:00:00"/>
    <s v="SO45100"/>
    <n v="326"/>
    <n v="19428"/>
    <n v="8"/>
    <n v="1"/>
    <n v="1"/>
    <n v="2"/>
    <s v="BK-R50R-44"/>
    <x v="43"/>
    <n v="413.1463"/>
    <n v="699.09820000000002"/>
    <s v="MR."/>
    <s v="ERIC"/>
    <s v="TURNER"/>
    <s v="ERIC TURNER"/>
    <d v="1970-04-27T00:00:00"/>
    <s v="M"/>
    <s v="M"/>
    <s v="eric47@adventure-works.com"/>
    <n v="30000"/>
    <n v="0"/>
    <s v="Bachelors"/>
    <s v="Clerical"/>
    <s v="Y"/>
    <s v="Germany"/>
    <x v="4"/>
    <s v="Europe"/>
    <x v="0"/>
    <s v="Bikes"/>
    <n v="699.09820000000002"/>
    <n v="413.1463"/>
    <n v="285.95190000000002"/>
    <n v="0.409029661355157"/>
  </r>
  <r>
    <x v="330"/>
    <d v="2001-11-21T00:00:00"/>
    <s v="SO45492"/>
    <n v="330"/>
    <n v="19429"/>
    <n v="8"/>
    <n v="1"/>
    <n v="1"/>
    <n v="2"/>
    <s v="BK-R50R-52"/>
    <x v="39"/>
    <n v="413.1463"/>
    <n v="699.09820000000002"/>
    <s v="MR."/>
    <s v="JARED"/>
    <s v="KELLY"/>
    <s v="JARED KELLY"/>
    <d v="1970-09-05T00:00:00"/>
    <s v="S"/>
    <s v="M"/>
    <s v="jared4@adventure-works.com"/>
    <n v="30000"/>
    <n v="0"/>
    <s v="Bachelors"/>
    <s v="Clerical"/>
    <s v="Y"/>
    <s v="Germany"/>
    <x v="4"/>
    <s v="Europe"/>
    <x v="0"/>
    <s v="Bikes"/>
    <n v="699.09820000000002"/>
    <n v="413.1463"/>
    <n v="285.95190000000002"/>
    <n v="0.409029661355157"/>
  </r>
  <r>
    <x v="12"/>
    <d v="2001-12-31T00:00:00"/>
    <s v="SO45354"/>
    <n v="340"/>
    <n v="19432"/>
    <n v="8"/>
    <n v="1"/>
    <n v="1"/>
    <n v="2"/>
    <s v="BK-R50B-48"/>
    <x v="37"/>
    <n v="413.1463"/>
    <n v="699.09820000000002"/>
    <s v="MR."/>
    <s v="ARMANDO"/>
    <s v="DOMINGUEZ"/>
    <s v="ARMANDO DOMINGUEZ"/>
    <d v="1969-09-13T00:00:00"/>
    <s v="S"/>
    <s v="M"/>
    <s v="armando13@adventure-works.com"/>
    <n v="20000"/>
    <n v="0"/>
    <s v="Partial College"/>
    <s v="Manual"/>
    <s v="N"/>
    <s v="Germany"/>
    <x v="4"/>
    <s v="Europe"/>
    <x v="0"/>
    <s v="Bikes"/>
    <n v="699.09820000000002"/>
    <n v="413.1463"/>
    <n v="285.95190000000002"/>
    <n v="0.409029661355157"/>
  </r>
  <r>
    <x v="52"/>
    <d v="2002-02-18T00:00:00"/>
    <s v="SO45672"/>
    <n v="340"/>
    <n v="19438"/>
    <n v="8"/>
    <n v="1"/>
    <n v="1"/>
    <n v="2"/>
    <s v="BK-R50B-48"/>
    <x v="37"/>
    <n v="413.1463"/>
    <n v="699.09820000000002"/>
    <s v="MS."/>
    <s v="SHANNON"/>
    <s v="HU"/>
    <s v="SHANNON HU"/>
    <d v="1969-09-20T00:00:00"/>
    <s v="M"/>
    <s v="F"/>
    <s v="shannon19@adventure-works.com"/>
    <n v="40000"/>
    <n v="0"/>
    <s v="Graduate Degree"/>
    <s v="Clerical"/>
    <s v="Y"/>
    <s v="Germany"/>
    <x v="4"/>
    <s v="Europe"/>
    <x v="0"/>
    <s v="Bikes"/>
    <n v="699.09820000000002"/>
    <n v="413.1463"/>
    <n v="285.95190000000002"/>
    <n v="0.409029661355157"/>
  </r>
  <r>
    <x v="113"/>
    <d v="2002-01-18T00:00:00"/>
    <s v="SO45935"/>
    <n v="326"/>
    <n v="19439"/>
    <n v="8"/>
    <n v="1"/>
    <n v="1"/>
    <n v="2"/>
    <s v="BK-R50R-44"/>
    <x v="43"/>
    <n v="413.1463"/>
    <n v="699.09820000000002"/>
    <s v="MR."/>
    <s v="FRANKLIN"/>
    <s v="XU"/>
    <s v="FRANKLIN XU"/>
    <d v="1969-03-14T00:00:00"/>
    <s v="S"/>
    <s v="M"/>
    <s v="franklin11@adventure-works.com"/>
    <n v="40000"/>
    <n v="0"/>
    <s v="Graduate Degree"/>
    <s v="Clerical"/>
    <s v="Y"/>
    <s v="Germany"/>
    <x v="4"/>
    <s v="Europe"/>
    <x v="0"/>
    <s v="Bikes"/>
    <n v="699.09820000000002"/>
    <n v="413.1463"/>
    <n v="285.95190000000002"/>
    <n v="0.409029661355157"/>
  </r>
  <r>
    <x v="107"/>
    <d v="2002-03-12T00:00:00"/>
    <s v="SO45879"/>
    <n v="338"/>
    <n v="19443"/>
    <n v="8"/>
    <n v="1"/>
    <n v="1"/>
    <n v="2"/>
    <s v="BK-R50B-44"/>
    <x v="32"/>
    <n v="413.1463"/>
    <n v="699.09820000000002"/>
    <s v="MR."/>
    <s v="DOMINIC"/>
    <s v="RAMAN"/>
    <s v="DOMINIC RAMAN"/>
    <d v="1951-10-04T00:00:00"/>
    <s v="M"/>
    <s v="M"/>
    <s v="dominic12@adventure-works.com"/>
    <n v="20000"/>
    <n v="2"/>
    <s v="Partial College"/>
    <s v="Manual"/>
    <s v="Y"/>
    <s v="Germany"/>
    <x v="4"/>
    <s v="Europe"/>
    <x v="0"/>
    <s v="Bikes"/>
    <n v="699.09820000000002"/>
    <n v="413.1463"/>
    <n v="285.95190000000002"/>
    <n v="0.409029661355157"/>
  </r>
  <r>
    <x v="108"/>
    <d v="2002-02-12T00:00:00"/>
    <s v="SO45894"/>
    <n v="332"/>
    <n v="19450"/>
    <n v="8"/>
    <n v="1"/>
    <n v="1"/>
    <n v="2"/>
    <s v="BK-R50B-58"/>
    <x v="34"/>
    <n v="413.1463"/>
    <n v="699.09820000000002"/>
    <s v="MR."/>
    <s v="KEITH"/>
    <s v="LAL"/>
    <s v="KEITH LAL"/>
    <d v="1967-02-18T00:00:00"/>
    <s v="M"/>
    <s v="M"/>
    <s v="keith11@adventure-works.com"/>
    <n v="30000"/>
    <n v="1"/>
    <s v="Bachelors"/>
    <s v="Clerical"/>
    <s v="Y"/>
    <s v="Germany"/>
    <x v="4"/>
    <s v="Europe"/>
    <x v="0"/>
    <s v="Bikes"/>
    <n v="699.09820000000002"/>
    <n v="413.1463"/>
    <n v="285.95190000000002"/>
    <n v="0.409029661355157"/>
  </r>
  <r>
    <x v="121"/>
    <d v="2002-01-11T00:00:00"/>
    <s v="SO45992"/>
    <n v="334"/>
    <n v="19451"/>
    <n v="8"/>
    <n v="1"/>
    <n v="1"/>
    <n v="2"/>
    <s v="BK-R50B-60"/>
    <x v="41"/>
    <n v="413.1463"/>
    <n v="699.09820000000002"/>
    <s v="MR."/>
    <s v="PEDRO"/>
    <s v="SARA"/>
    <s v="PEDRO SARA"/>
    <d v="1966-09-21T00:00:00"/>
    <s v="S"/>
    <s v="M"/>
    <s v="pedro10@adventure-works.com"/>
    <n v="10000"/>
    <n v="4"/>
    <s v="Partial High School"/>
    <s v="Manual"/>
    <s v="Y"/>
    <s v="Germany"/>
    <x v="4"/>
    <s v="Europe"/>
    <x v="0"/>
    <s v="Bikes"/>
    <n v="699.09820000000002"/>
    <n v="413.1463"/>
    <n v="285.95190000000002"/>
    <n v="0.409029661355157"/>
  </r>
  <r>
    <x v="75"/>
    <d v="2002-02-16T00:00:00"/>
    <s v="SO46012"/>
    <n v="330"/>
    <n v="19453"/>
    <n v="8"/>
    <n v="1"/>
    <n v="1"/>
    <n v="2"/>
    <s v="BK-R50R-52"/>
    <x v="39"/>
    <n v="413.1463"/>
    <n v="699.09820000000002"/>
    <s v="MS."/>
    <s v="VERONICA"/>
    <s v="RANA"/>
    <s v="VERONICA RANA"/>
    <d v="1967-05-11T00:00:00"/>
    <s v="M"/>
    <s v="F"/>
    <s v="veronica12@adventure-works.com"/>
    <n v="40000"/>
    <n v="0"/>
    <s v="Bachelors"/>
    <s v="Clerical"/>
    <s v="Y"/>
    <s v="Germany"/>
    <x v="4"/>
    <s v="Europe"/>
    <x v="0"/>
    <s v="Bikes"/>
    <n v="699.09820000000002"/>
    <n v="413.1463"/>
    <n v="285.95190000000002"/>
    <n v="0.409029661355157"/>
  </r>
  <r>
    <x v="119"/>
    <d v="2002-01-03T00:00:00"/>
    <s v="SO45967"/>
    <n v="326"/>
    <n v="19454"/>
    <n v="8"/>
    <n v="1"/>
    <n v="1"/>
    <n v="2"/>
    <s v="BK-R50R-44"/>
    <x v="43"/>
    <n v="413.1463"/>
    <n v="699.09820000000002"/>
    <s v="MR."/>
    <s v="ROGER"/>
    <s v="SHARMA"/>
    <s v="ROGER SHARMA"/>
    <d v="1967-08-17T00:00:00"/>
    <s v="M"/>
    <s v="M"/>
    <s v="roger37@adventure-works.com"/>
    <n v="40000"/>
    <n v="0"/>
    <s v="Bachelors"/>
    <s v="Clerical"/>
    <s v="Y"/>
    <s v="Germany"/>
    <x v="4"/>
    <s v="Europe"/>
    <x v="0"/>
    <s v="Bikes"/>
    <n v="699.09820000000002"/>
    <n v="413.1463"/>
    <n v="285.95190000000002"/>
    <n v="0.409029661355157"/>
  </r>
  <r>
    <x v="59"/>
    <d v="2002-01-29T00:00:00"/>
    <s v="SO45972"/>
    <n v="324"/>
    <n v="19472"/>
    <n v="8"/>
    <n v="1"/>
    <n v="1"/>
    <n v="2"/>
    <s v="BK-R50R-62"/>
    <x v="42"/>
    <n v="413.1463"/>
    <n v="699.09820000000002"/>
    <s v="MRS."/>
    <s v="HEIDI"/>
    <s v="SARA"/>
    <s v="HEIDI SARA"/>
    <d v="1963-02-12T00:00:00"/>
    <s v="S"/>
    <s v="F"/>
    <s v="heidi12@adventure-works.com"/>
    <n v="20000"/>
    <n v="3"/>
    <s v="High School"/>
    <s v="Manual"/>
    <s v="Y"/>
    <s v="Germany"/>
    <x v="4"/>
    <s v="Europe"/>
    <x v="0"/>
    <s v="Bikes"/>
    <n v="699.09820000000002"/>
    <n v="413.1463"/>
    <n v="285.95190000000002"/>
    <n v="0.409029661355157"/>
  </r>
  <r>
    <x v="66"/>
    <d v="2002-04-09T00:00:00"/>
    <s v="SO46147"/>
    <n v="320"/>
    <n v="19476"/>
    <n v="8"/>
    <n v="1"/>
    <n v="1"/>
    <n v="2"/>
    <s v="BK-R50R-58"/>
    <x v="40"/>
    <n v="413.1463"/>
    <n v="699.09820000000002"/>
    <s v="MS."/>
    <s v="SARAH"/>
    <s v="ANDERSON"/>
    <s v="SARAH ANDERSON"/>
    <d v="1966-10-25T00:00:00"/>
    <s v="M"/>
    <s v="F"/>
    <s v="sarah12@adventure-works.com"/>
    <n v="40000"/>
    <n v="0"/>
    <s v="Bachelors"/>
    <s v="Professional"/>
    <s v="Y"/>
    <s v="Germany"/>
    <x v="4"/>
    <s v="Europe"/>
    <x v="0"/>
    <s v="Bikes"/>
    <n v="699.09820000000002"/>
    <n v="413.1463"/>
    <n v="285.95190000000002"/>
    <n v="0.409029661355157"/>
  </r>
  <r>
    <x v="140"/>
    <d v="2002-01-31T00:00:00"/>
    <s v="SO46277"/>
    <n v="322"/>
    <n v="19482"/>
    <n v="8"/>
    <n v="1"/>
    <n v="1"/>
    <n v="2"/>
    <s v="BK-R50R-60"/>
    <x v="38"/>
    <n v="413.1463"/>
    <n v="699.09820000000002"/>
    <s v="MR."/>
    <s v="ANDY"/>
    <s v="ORTEGA"/>
    <s v="ANDY ORTEGA"/>
    <d v="1962-06-19T00:00:00"/>
    <s v="M"/>
    <s v="M"/>
    <s v="andy25@adventure-works.com"/>
    <n v="30000"/>
    <n v="1"/>
    <s v="Partial College"/>
    <s v="Clerical"/>
    <s v="Y"/>
    <s v="Germany"/>
    <x v="4"/>
    <s v="Europe"/>
    <x v="0"/>
    <s v="Bikes"/>
    <n v="699.09820000000002"/>
    <n v="413.1463"/>
    <n v="285.95190000000002"/>
    <n v="0.409029661355157"/>
  </r>
  <r>
    <x v="140"/>
    <d v="2002-04-09T00:00:00"/>
    <s v="SO46278"/>
    <n v="326"/>
    <n v="19496"/>
    <n v="8"/>
    <n v="1"/>
    <n v="1"/>
    <n v="2"/>
    <s v="BK-R50R-44"/>
    <x v="43"/>
    <n v="413.1463"/>
    <n v="699.09820000000002"/>
    <s v="MR."/>
    <s v="EDGAR"/>
    <s v="SUBRAM"/>
    <s v="EDGAR SUBRAM"/>
    <d v="1979-01-09T00:00:00"/>
    <s v="S"/>
    <s v="M"/>
    <s v="edgar14@adventure-works.com"/>
    <n v="30000"/>
    <n v="3"/>
    <s v="Partial College"/>
    <s v="Clerical"/>
    <s v="Y"/>
    <s v="Germany"/>
    <x v="4"/>
    <s v="Europe"/>
    <x v="0"/>
    <s v="Bikes"/>
    <n v="699.09820000000002"/>
    <n v="413.1463"/>
    <n v="285.95190000000002"/>
    <n v="0.409029661355157"/>
  </r>
  <r>
    <x v="162"/>
    <d v="2002-04-29T00:00:00"/>
    <s v="SO46501"/>
    <n v="328"/>
    <n v="19518"/>
    <n v="8"/>
    <n v="1"/>
    <n v="1"/>
    <n v="2"/>
    <s v="BK-R50R-48"/>
    <x v="35"/>
    <n v="413.1463"/>
    <n v="699.09820000000002"/>
    <s v="MR."/>
    <s v="CLIFFORD"/>
    <s v="ARUN"/>
    <s v="CLIFFORD ARUN"/>
    <d v="1975-01-10T00:00:00"/>
    <s v="S"/>
    <s v="M"/>
    <s v="clifford7@adventure-works.com"/>
    <n v="30000"/>
    <n v="0"/>
    <s v="Partial College"/>
    <s v="Clerical"/>
    <s v="N"/>
    <s v="Germany"/>
    <x v="4"/>
    <s v="Europe"/>
    <x v="0"/>
    <s v="Bikes"/>
    <n v="699.09820000000002"/>
    <n v="413.1463"/>
    <n v="285.95190000000002"/>
    <n v="0.409029661355157"/>
  </r>
  <r>
    <x v="4"/>
    <d v="2002-01-06T00:00:00"/>
    <s v="SO45419"/>
    <n v="314"/>
    <n v="19555"/>
    <n v="9"/>
    <n v="1"/>
    <n v="1"/>
    <n v="2"/>
    <s v="BK-R93R-56"/>
    <x v="2"/>
    <n v="2171.2941999999998"/>
    <n v="3578.27"/>
    <s v="MR."/>
    <s v="ALEJANDRO"/>
    <s v="LIU"/>
    <s v="ALEJANDRO LIU"/>
    <d v="1969-01-21T00:00:00"/>
    <s v="M"/>
    <s v="M"/>
    <s v="alejandro6@adventure-works.com"/>
    <n v="90000"/>
    <n v="1"/>
    <s v="Graduate Degree"/>
    <s v="Management"/>
    <s v="N"/>
    <s v="Australia"/>
    <x v="2"/>
    <s v="Pacific"/>
    <x v="0"/>
    <s v="Bikes"/>
    <n v="3578.27"/>
    <n v="2171.2941999999998"/>
    <n v="1406.9757999999999"/>
    <n v="0.39320001006072802"/>
  </r>
  <r>
    <x v="32"/>
    <d v="2001-11-13T00:00:00"/>
    <s v="SO45487"/>
    <n v="313"/>
    <n v="19556"/>
    <n v="9"/>
    <n v="1"/>
    <n v="1"/>
    <n v="2"/>
    <s v="BK-R93R-52"/>
    <x v="3"/>
    <n v="2171.2941999999998"/>
    <n v="3578.27"/>
    <s v="MRS."/>
    <s v="SHAWNA"/>
    <s v="ANDERSEN"/>
    <s v="SHAWNA ANDERSEN"/>
    <d v="1969-07-03T00:00:00"/>
    <s v="M"/>
    <s v="F"/>
    <s v="shawna14@adventure-works.com"/>
    <n v="90000"/>
    <n v="1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11"/>
    <d v="2002-02-03T00:00:00"/>
    <s v="SO45515"/>
    <n v="310"/>
    <n v="19557"/>
    <n v="9"/>
    <n v="1"/>
    <n v="1"/>
    <n v="2"/>
    <s v="BK-R93R-62"/>
    <x v="1"/>
    <n v="2171.2941999999998"/>
    <n v="3578.27"/>
    <s v="MRS."/>
    <s v="BRIDGET"/>
    <s v="SHE"/>
    <s v="BRIDGET SHE"/>
    <d v="1968-09-08T00:00:00"/>
    <s v="S"/>
    <s v="F"/>
    <s v="bridget1@adventure-works.com"/>
    <n v="60000"/>
    <n v="2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55"/>
    <d v="2001-10-31T00:00:00"/>
    <s v="SO45447"/>
    <n v="313"/>
    <n v="19558"/>
    <n v="9"/>
    <n v="1"/>
    <n v="1"/>
    <n v="2"/>
    <s v="BK-R93R-52"/>
    <x v="3"/>
    <n v="2171.2941999999998"/>
    <n v="3578.27"/>
    <s v="MRS."/>
    <s v="GLORIA"/>
    <s v="ORTEGA"/>
    <s v="GLORIA ORTEGA"/>
    <d v="1970-03-08T00:00:00"/>
    <s v="M"/>
    <s v="F"/>
    <s v="gloria22@adventure-works.com"/>
    <n v="80000"/>
    <n v="4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319"/>
    <d v="2002-01-05T00:00:00"/>
    <s v="SO45452"/>
    <n v="314"/>
    <n v="19559"/>
    <n v="9"/>
    <n v="1"/>
    <n v="1"/>
    <n v="2"/>
    <s v="BK-R93R-56"/>
    <x v="2"/>
    <n v="2171.2941999999998"/>
    <n v="3578.27"/>
    <s v="MR."/>
    <s v="CEDRIC"/>
    <s v="CAI"/>
    <s v="CEDRIC CAI"/>
    <d v="1970-12-17T00:00:00"/>
    <s v="M"/>
    <s v="M"/>
    <s v="cedric21@adventure-works.com"/>
    <n v="80000"/>
    <n v="5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5"/>
    <d v="2002-01-02T00:00:00"/>
    <s v="SO45390"/>
    <n v="310"/>
    <n v="19560"/>
    <n v="9"/>
    <n v="1"/>
    <n v="1"/>
    <n v="2"/>
    <s v="BK-R93R-62"/>
    <x v="1"/>
    <n v="2171.2941999999998"/>
    <n v="3578.27"/>
    <s v="MR."/>
    <s v="RANDALL"/>
    <s v="MARTIN"/>
    <s v="RANDALL MARTIN"/>
    <d v="1970-04-27T00:00:00"/>
    <s v="M"/>
    <s v="M"/>
    <s v="randall1@adventure-works.com"/>
    <n v="9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4"/>
    <d v="2001-12-12T00:00:00"/>
    <s v="SO45420"/>
    <n v="313"/>
    <n v="19561"/>
    <n v="9"/>
    <n v="1"/>
    <n v="1"/>
    <n v="2"/>
    <s v="BK-R93R-52"/>
    <x v="3"/>
    <n v="2171.2941999999998"/>
    <n v="3578.27"/>
    <s v="MR."/>
    <s v="ORLANDO"/>
    <s v="SERRANO"/>
    <s v="ORLANDO SERRANO"/>
    <d v="1970-05-20T00:00:00"/>
    <s v="M"/>
    <s v="M"/>
    <s v="orlando16@adventure-works.com"/>
    <n v="9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31"/>
    <d v="2001-12-06T00:00:00"/>
    <s v="SO45348"/>
    <n v="311"/>
    <n v="19562"/>
    <n v="9"/>
    <n v="1"/>
    <n v="1"/>
    <n v="2"/>
    <s v="BK-R93R-44"/>
    <x v="4"/>
    <n v="2171.2941999999998"/>
    <n v="3578.27"/>
    <s v="MRS."/>
    <s v="LEAH"/>
    <s v="GUO"/>
    <s v="LEAH GUO"/>
    <d v="1968-09-22T00:00:00"/>
    <s v="S"/>
    <s v="F"/>
    <s v="leah14@adventure-works.com"/>
    <n v="6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15"/>
    <d v="2001-11-05T00:00:00"/>
    <s v="SO45481"/>
    <n v="313"/>
    <n v="19563"/>
    <n v="9"/>
    <n v="1"/>
    <n v="1"/>
    <n v="2"/>
    <s v="BK-R93R-52"/>
    <x v="3"/>
    <n v="2171.2941999999998"/>
    <n v="3578.27"/>
    <s v="MRS."/>
    <s v="ROBIN"/>
    <s v="MORENO"/>
    <s v="ROBIN MORENO"/>
    <d v="1968-10-16T00:00:00"/>
    <s v="M"/>
    <s v="F"/>
    <s v="robin3@adventure-works.com"/>
    <n v="6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15"/>
    <d v="2002-02-04T00:00:00"/>
    <s v="SO45480"/>
    <n v="313"/>
    <n v="19564"/>
    <n v="9"/>
    <n v="1"/>
    <n v="1"/>
    <n v="2"/>
    <s v="BK-R93R-52"/>
    <x v="3"/>
    <n v="2171.2941999999998"/>
    <n v="3578.27"/>
    <s v="MR."/>
    <s v="LAWRENCE"/>
    <s v="GUTIERREZ"/>
    <s v="LAWRENCE GUTIERREZ"/>
    <d v="1968-12-15T00:00:00"/>
    <s v="M"/>
    <s v="M"/>
    <s v="lawrence9@adventure-works.com"/>
    <n v="6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3"/>
    <d v="2001-12-15T00:00:00"/>
    <s v="SO45363"/>
    <n v="312"/>
    <n v="19565"/>
    <n v="9"/>
    <n v="1"/>
    <n v="1"/>
    <n v="2"/>
    <s v="BK-R93R-48"/>
    <x v="0"/>
    <n v="2171.2941999999998"/>
    <n v="3578.27"/>
    <s v="MRS."/>
    <s v="PATRICIA"/>
    <s v="SAUNDERS"/>
    <s v="PATRICIA SAUNDERS"/>
    <d v="1968-02-07T00:00:00"/>
    <s v="M"/>
    <s v="F"/>
    <s v="patricia14@adventure-works.com"/>
    <n v="6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31"/>
    <d v="2001-12-07T00:00:00"/>
    <s v="SO45349"/>
    <n v="312"/>
    <n v="19568"/>
    <n v="9"/>
    <n v="1"/>
    <n v="1"/>
    <n v="2"/>
    <s v="BK-R93R-48"/>
    <x v="0"/>
    <n v="2171.2941999999998"/>
    <n v="3578.27"/>
    <s v="MRS."/>
    <s v="CANDICE"/>
    <s v="SUN"/>
    <s v="CANDICE SUN"/>
    <d v="1969-09-06T00:00:00"/>
    <s v="M"/>
    <s v="F"/>
    <s v="candice19@adventure-works.com"/>
    <n v="120000"/>
    <n v="1"/>
    <s v="Graduate Degree"/>
    <s v="Management"/>
    <s v="N"/>
    <s v="Australia"/>
    <x v="2"/>
    <s v="Pacific"/>
    <x v="0"/>
    <s v="Bikes"/>
    <n v="3578.27"/>
    <n v="2171.2941999999998"/>
    <n v="1406.9757999999999"/>
    <n v="0.39320001006072802"/>
  </r>
  <r>
    <x v="4"/>
    <d v="2002-01-15T00:00:00"/>
    <s v="SO45421"/>
    <n v="313"/>
    <n v="19576"/>
    <n v="9"/>
    <n v="1"/>
    <n v="1"/>
    <n v="2"/>
    <s v="BK-R93R-52"/>
    <x v="3"/>
    <n v="2171.2941999999998"/>
    <n v="3578.27"/>
    <s v="MS."/>
    <s v="MACKENZIE"/>
    <s v="HILL"/>
    <s v="MACKENZIE HILL"/>
    <d v="1966-01-20T00:00:00"/>
    <s v="S"/>
    <s v="F"/>
    <s v="mackenzie33@adventure-works.com"/>
    <n v="9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2"/>
    <d v="2001-12-07T00:00:00"/>
    <s v="SO45488"/>
    <n v="311"/>
    <n v="19577"/>
    <n v="9"/>
    <n v="1"/>
    <n v="1"/>
    <n v="2"/>
    <s v="BK-R93R-44"/>
    <x v="4"/>
    <n v="2171.2941999999998"/>
    <n v="3578.27"/>
    <s v="MR."/>
    <s v="MARTIN"/>
    <s v="PEREZ"/>
    <s v="MARTIN PEREZ"/>
    <d v="1966-08-20T00:00:00"/>
    <s v="M"/>
    <s v="M"/>
    <s v="martin5@adventure-works.com"/>
    <n v="9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9"/>
    <d v="2002-01-07T00:00:00"/>
    <s v="SO45464"/>
    <n v="314"/>
    <n v="19586"/>
    <n v="9"/>
    <n v="1"/>
    <n v="1"/>
    <n v="2"/>
    <s v="BK-R93R-56"/>
    <x v="2"/>
    <n v="2171.2941999999998"/>
    <n v="3578.27"/>
    <s v="MR."/>
    <s v="ALVIN"/>
    <s v="SHARMA"/>
    <s v="ALVIN SHARMA"/>
    <d v="1968-06-06T00:00:00"/>
    <s v="S"/>
    <s v="M"/>
    <s v="alvin32@adventure-works.com"/>
    <n v="7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5"/>
    <d v="2001-10-10T00:00:00"/>
    <s v="SO45391"/>
    <n v="313"/>
    <n v="19588"/>
    <n v="9"/>
    <n v="1"/>
    <n v="1"/>
    <n v="2"/>
    <s v="BK-R93R-52"/>
    <x v="3"/>
    <n v="2171.2941999999998"/>
    <n v="3578.27"/>
    <s v="MR."/>
    <s v="RAYMOND"/>
    <s v="RAMAN"/>
    <s v="RAYMOND RAMAN"/>
    <d v="1968-07-04T00:00:00"/>
    <s v="M"/>
    <s v="M"/>
    <s v="raymond14@adventure-works.com"/>
    <n v="80000"/>
    <n v="5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56"/>
    <d v="2001-12-15T00:00:00"/>
    <s v="SO45473"/>
    <n v="310"/>
    <n v="19592"/>
    <n v="9"/>
    <n v="1"/>
    <n v="1"/>
    <n v="2"/>
    <s v="BK-R93R-62"/>
    <x v="1"/>
    <n v="2171.2941999999998"/>
    <n v="3578.27"/>
    <s v="MRS."/>
    <s v="TARA"/>
    <s v="XU"/>
    <s v="TARA XU"/>
    <d v="1963-02-25T00:00:00"/>
    <s v="S"/>
    <s v="F"/>
    <s v="tara5@adventure-works.com"/>
    <n v="60000"/>
    <n v="3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29"/>
    <d v="2001-12-04T00:00:00"/>
    <s v="SO45505"/>
    <n v="313"/>
    <n v="19593"/>
    <n v="9"/>
    <n v="1"/>
    <n v="1"/>
    <n v="2"/>
    <s v="BK-R93R-52"/>
    <x v="3"/>
    <n v="2171.2941999999998"/>
    <n v="3578.27"/>
    <s v="MRS."/>
    <s v="CARLA"/>
    <s v="RANA"/>
    <s v="CARLA RANA"/>
    <d v="1963-10-14T00:00:00"/>
    <s v="S"/>
    <s v="F"/>
    <s v="carla13@adventure-works.com"/>
    <n v="60000"/>
    <n v="3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27"/>
    <d v="2001-10-15T00:00:00"/>
    <s v="SO45396"/>
    <n v="312"/>
    <n v="19594"/>
    <n v="9"/>
    <n v="1"/>
    <n v="1"/>
    <n v="2"/>
    <s v="BK-R93R-48"/>
    <x v="0"/>
    <n v="2171.2941999999998"/>
    <n v="3578.27"/>
    <s v="MS."/>
    <s v="SUZANNE"/>
    <s v="LIU"/>
    <s v="SUZANNE LIU"/>
    <d v="1963-08-18T00:00:00"/>
    <s v="S"/>
    <s v="F"/>
    <s v="suzanne5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56"/>
    <d v="2001-12-23T00:00:00"/>
    <s v="SO45474"/>
    <n v="310"/>
    <n v="19595"/>
    <n v="9"/>
    <n v="1"/>
    <n v="1"/>
    <n v="2"/>
    <s v="BK-R93R-62"/>
    <x v="1"/>
    <n v="2171.2941999999998"/>
    <n v="3578.27"/>
    <s v="MR."/>
    <s v="CARL"/>
    <s v="RAJI"/>
    <s v="CARL RAJI"/>
    <d v="1963-03-16T00:00:00"/>
    <s v="S"/>
    <s v="M"/>
    <s v="carl20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26"/>
    <d v="2002-01-08T00:00:00"/>
    <s v="SO45375"/>
    <n v="313"/>
    <n v="19596"/>
    <n v="9"/>
    <n v="1"/>
    <n v="1"/>
    <n v="2"/>
    <s v="BK-R93R-52"/>
    <x v="3"/>
    <n v="2171.2941999999998"/>
    <n v="3578.27"/>
    <s v="MR."/>
    <s v="ALLEN"/>
    <s v="FERNANDEZ"/>
    <s v="ALLEN FERNANDEZ"/>
    <d v="1963-05-11T00:00:00"/>
    <s v="S"/>
    <s v="M"/>
    <s v="allen14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17"/>
    <d v="2001-12-27T00:00:00"/>
    <s v="SO45458"/>
    <n v="311"/>
    <n v="19599"/>
    <n v="9"/>
    <n v="1"/>
    <n v="1"/>
    <n v="2"/>
    <s v="BK-R93R-44"/>
    <x v="4"/>
    <n v="2171.2941999999998"/>
    <n v="3578.27"/>
    <s v="MR."/>
    <s v="ALVIN"/>
    <s v="JAI"/>
    <s v="ALVIN JAI"/>
    <d v="1961-02-04T00:00:00"/>
    <s v="M"/>
    <s v="M"/>
    <s v="alvin33@adventure-works.com"/>
    <n v="60000"/>
    <n v="1"/>
    <s v="Partial College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56"/>
    <d v="2001-12-06T00:00:00"/>
    <s v="SO45475"/>
    <n v="313"/>
    <n v="19601"/>
    <n v="9"/>
    <n v="1"/>
    <n v="1"/>
    <n v="2"/>
    <s v="BK-R93R-52"/>
    <x v="3"/>
    <n v="2171.2941999999998"/>
    <n v="3578.27"/>
    <s v="MR."/>
    <s v="ALFREDO"/>
    <s v="SUAREZ"/>
    <s v="ALFREDO SUAREZ"/>
    <d v="1961-01-17T00:00:00"/>
    <s v="M"/>
    <s v="M"/>
    <s v="alfredo20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32"/>
    <d v="2002-01-01T00:00:00"/>
    <s v="SO45489"/>
    <n v="310"/>
    <n v="19602"/>
    <n v="9"/>
    <n v="1"/>
    <n v="1"/>
    <n v="2"/>
    <s v="BK-R93R-62"/>
    <x v="1"/>
    <n v="2171.2941999999998"/>
    <n v="3578.27"/>
    <s v="MR."/>
    <s v="STANLEY"/>
    <s v="MADAN"/>
    <s v="STANLEY MADAN"/>
    <d v="1966-04-11T00:00:00"/>
    <s v="S"/>
    <s v="M"/>
    <s v="stanley8@adventure-works.com"/>
    <n v="10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17"/>
    <d v="2002-01-14T00:00:00"/>
    <s v="SO45459"/>
    <n v="310"/>
    <n v="19605"/>
    <n v="9"/>
    <n v="1"/>
    <n v="1"/>
    <n v="2"/>
    <s v="BK-R93R-62"/>
    <x v="1"/>
    <n v="2171.2941999999998"/>
    <n v="3578.27"/>
    <s v="MR."/>
    <s v="BRAD"/>
    <s v="SHAN"/>
    <s v="BRAD SHAN"/>
    <d v="1960-11-27T00:00:00"/>
    <s v="M"/>
    <s v="M"/>
    <s v="brad10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8"/>
    <d v="2001-12-12T00:00:00"/>
    <s v="SO45386"/>
    <n v="312"/>
    <n v="19607"/>
    <n v="9"/>
    <n v="1"/>
    <n v="1"/>
    <n v="2"/>
    <s v="BK-R93R-48"/>
    <x v="0"/>
    <n v="2171.2941999999998"/>
    <n v="3578.27"/>
    <s v="MR."/>
    <s v="TROY"/>
    <s v="SUBRAM"/>
    <s v="TROY SUBRAM"/>
    <d v="1965-02-21T00:00:00"/>
    <s v="S"/>
    <s v="M"/>
    <s v="troy14@adventure-works.com"/>
    <n v="7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30"/>
    <d v="2001-12-03T00:00:00"/>
    <s v="SO45494"/>
    <n v="310"/>
    <n v="19609"/>
    <n v="9"/>
    <n v="1"/>
    <n v="1"/>
    <n v="2"/>
    <s v="BK-R93R-62"/>
    <x v="1"/>
    <n v="2171.2941999999998"/>
    <n v="3578.27"/>
    <s v="MS."/>
    <s v="KARI"/>
    <s v="MARTINEZ"/>
    <s v="KARI MARTINEZ"/>
    <d v="1964-06-22T00:00:00"/>
    <s v="S"/>
    <s v="F"/>
    <s v="kari18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56"/>
    <d v="2001-12-10T00:00:00"/>
    <s v="SO45466"/>
    <n v="311"/>
    <n v="19611"/>
    <n v="9"/>
    <n v="1"/>
    <n v="1"/>
    <n v="2"/>
    <s v="BK-R93R-44"/>
    <x v="4"/>
    <n v="2171.2941999999998"/>
    <n v="3578.27"/>
    <s v="MS."/>
    <s v="MEAGAN"/>
    <s v="PRASAD"/>
    <s v="MEAGAN PRASAD"/>
    <d v="1963-10-15T00:00:00"/>
    <s v="S"/>
    <s v="F"/>
    <s v="meagan9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6"/>
    <d v="2001-11-22T00:00:00"/>
    <s v="SO45409"/>
    <n v="312"/>
    <n v="19612"/>
    <n v="9"/>
    <n v="1"/>
    <n v="1"/>
    <n v="2"/>
    <s v="BK-R93R-48"/>
    <x v="0"/>
    <n v="2171.2941999999998"/>
    <n v="3578.27"/>
    <s v="MR."/>
    <s v="MARVIN"/>
    <s v="SANZ"/>
    <s v="MARVIN SANZ"/>
    <d v="1963-02-26T00:00:00"/>
    <s v="S"/>
    <s v="M"/>
    <s v="marvin20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31"/>
    <d v="2002-01-10T00:00:00"/>
    <s v="SO45350"/>
    <n v="311"/>
    <n v="19613"/>
    <n v="9"/>
    <n v="1"/>
    <n v="1"/>
    <n v="2"/>
    <s v="BK-R93R-44"/>
    <x v="4"/>
    <n v="2171.2941999999998"/>
    <n v="3578.27"/>
    <s v="MR."/>
    <s v="RUBEN"/>
    <s v="GARCIA"/>
    <s v="RUBEN GARCIA"/>
    <d v="1963-09-20T00:00:00"/>
    <s v="S"/>
    <s v="M"/>
    <s v="ruben16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56"/>
    <d v="2001-12-21T00:00:00"/>
    <s v="SO45476"/>
    <n v="314"/>
    <n v="19614"/>
    <n v="9"/>
    <n v="1"/>
    <n v="1"/>
    <n v="2"/>
    <s v="BK-R93R-56"/>
    <x v="2"/>
    <n v="2171.2941999999998"/>
    <n v="3578.27"/>
    <s v="MR."/>
    <s v="WYATT"/>
    <s v="WILLIAMS"/>
    <s v="WYATT WILLIAMS"/>
    <d v="1963-08-04T00:00:00"/>
    <s v="S"/>
    <s v="M"/>
    <s v="wyatt2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29"/>
    <d v="2001-10-29T00:00:00"/>
    <s v="SO45506"/>
    <n v="311"/>
    <n v="19615"/>
    <n v="9"/>
    <n v="1"/>
    <n v="1"/>
    <n v="2"/>
    <s v="BK-R93R-44"/>
    <x v="4"/>
    <n v="2171.2941999999998"/>
    <n v="3578.27"/>
    <s v="MR."/>
    <s v="FRANKLIN"/>
    <s v="SUN"/>
    <s v="FRANKLIN SUN"/>
    <d v="1962-12-03T00:00:00"/>
    <s v="S"/>
    <s v="M"/>
    <s v="franklin12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329"/>
    <d v="2001-11-25T00:00:00"/>
    <s v="SO45507"/>
    <n v="314"/>
    <n v="19616"/>
    <n v="9"/>
    <n v="1"/>
    <n v="1"/>
    <n v="2"/>
    <s v="BK-R93R-56"/>
    <x v="2"/>
    <n v="2171.2941999999998"/>
    <n v="3578.27"/>
    <s v="MRS."/>
    <s v="STEFANIE"/>
    <s v="RANA"/>
    <s v="STEFANIE RANA"/>
    <d v="1962-06-04T00:00:00"/>
    <s v="M"/>
    <s v="F"/>
    <s v="stefanie8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80"/>
    <d v="2002-01-27T00:00:00"/>
    <s v="SO45742"/>
    <n v="312"/>
    <n v="19620"/>
    <n v="9"/>
    <n v="1"/>
    <n v="1"/>
    <n v="2"/>
    <s v="BK-R93R-48"/>
    <x v="0"/>
    <n v="2171.2941999999998"/>
    <n v="3578.27"/>
    <s v="MR."/>
    <s v="ANDY"/>
    <s v="VAZQUEZ"/>
    <s v="ANDY VAZQUEZ"/>
    <d v="1961-11-16T00:00:00"/>
    <s v="S"/>
    <s v="M"/>
    <s v="andy19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38"/>
    <d v="2002-03-03T00:00:00"/>
    <s v="SO45711"/>
    <n v="313"/>
    <n v="19621"/>
    <n v="9"/>
    <n v="1"/>
    <n v="1"/>
    <n v="2"/>
    <s v="BK-R93R-52"/>
    <x v="3"/>
    <n v="2171.2941999999998"/>
    <n v="3578.27"/>
    <s v="MRS."/>
    <s v="MARIAH"/>
    <s v="BARNES"/>
    <s v="MARIAH BARNES"/>
    <d v="1958-06-06T00:00:00"/>
    <s v="M"/>
    <s v="F"/>
    <s v="mariah7@adventure-works.com"/>
    <n v="80000"/>
    <n v="5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44"/>
    <d v="2002-01-17T00:00:00"/>
    <s v="SO45600"/>
    <n v="313"/>
    <n v="19628"/>
    <n v="9"/>
    <n v="1"/>
    <n v="1"/>
    <n v="2"/>
    <s v="BK-R93R-52"/>
    <x v="3"/>
    <n v="2171.2941999999998"/>
    <n v="3578.27"/>
    <s v="MRS."/>
    <s v="HOLLY"/>
    <s v="MARTINEZ"/>
    <s v="HOLLY MARTINEZ"/>
    <d v="1956-11-07T00:00:00"/>
    <s v="S"/>
    <s v="F"/>
    <s v="holly17@adventure-works.com"/>
    <n v="70000"/>
    <n v="1"/>
    <s v="Partial College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80"/>
    <d v="2002-01-12T00:00:00"/>
    <s v="SO45743"/>
    <n v="313"/>
    <n v="19631"/>
    <n v="9"/>
    <n v="1"/>
    <n v="1"/>
    <n v="2"/>
    <s v="BK-R93R-52"/>
    <x v="3"/>
    <n v="2171.2941999999998"/>
    <n v="3578.27"/>
    <s v="MR."/>
    <s v="TIMOTHY"/>
    <s v="SCOTT"/>
    <s v="TIMOTHY SCOTT"/>
    <d v="1953-03-26T00:00:00"/>
    <s v="M"/>
    <s v="M"/>
    <s v="timothy37@adventure-works.com"/>
    <n v="40000"/>
    <n v="2"/>
    <s v="Bachelors"/>
    <s v="Management"/>
    <s v="Y"/>
    <s v="Australia"/>
    <x v="2"/>
    <s v="Pacific"/>
    <x v="0"/>
    <s v="Bikes"/>
    <n v="3578.27"/>
    <n v="2171.2941999999998"/>
    <n v="1406.9757999999999"/>
    <n v="0.39320001006072802"/>
  </r>
  <r>
    <x v="49"/>
    <d v="2002-02-17T00:00:00"/>
    <s v="SO45764"/>
    <n v="310"/>
    <n v="19652"/>
    <n v="9"/>
    <n v="1"/>
    <n v="1"/>
    <n v="2"/>
    <s v="BK-R93R-62"/>
    <x v="1"/>
    <n v="2171.2941999999998"/>
    <n v="3578.27"/>
    <s v="MR."/>
    <s v="DOUGLAS"/>
    <s v="RODRIGUEZ"/>
    <s v="DOUGLAS RODRIGUEZ"/>
    <d v="1942-11-16T00:00:00"/>
    <s v="S"/>
    <s v="M"/>
    <s v="douglas23@adventure-works.com"/>
    <n v="40000"/>
    <n v="2"/>
    <s v="Bachelors"/>
    <s v="Management"/>
    <s v="Y"/>
    <s v="Australia"/>
    <x v="2"/>
    <s v="Pacific"/>
    <x v="0"/>
    <s v="Bikes"/>
    <n v="3578.27"/>
    <n v="2171.2941999999998"/>
    <n v="1406.9757999999999"/>
    <n v="0.39320001006072802"/>
  </r>
  <r>
    <x v="40"/>
    <d v="2002-01-19T00:00:00"/>
    <s v="SO45720"/>
    <n v="313"/>
    <n v="19653"/>
    <n v="9"/>
    <n v="1"/>
    <n v="1"/>
    <n v="2"/>
    <s v="BK-R93R-52"/>
    <x v="3"/>
    <n v="2171.2941999999998"/>
    <n v="3578.27"/>
    <s v="MRS."/>
    <s v="TINA"/>
    <s v="GONZALEZ"/>
    <s v="TINA GONZALEZ"/>
    <d v="1942-03-15T00:00:00"/>
    <s v="M"/>
    <s v="F"/>
    <s v="tina20@adventure-works.com"/>
    <n v="50000"/>
    <n v="2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41"/>
    <d v="2002-01-13T00:00:00"/>
    <s v="SO45590"/>
    <n v="311"/>
    <n v="19763"/>
    <n v="9"/>
    <n v="1"/>
    <n v="1"/>
    <n v="2"/>
    <s v="BK-R93R-44"/>
    <x v="4"/>
    <n v="2171.2941999999998"/>
    <n v="3578.27"/>
    <s v="MR."/>
    <s v="ROGER"/>
    <s v="LU"/>
    <s v="ROGER LU"/>
    <d v="1950-10-09T00:00:00"/>
    <s v="M"/>
    <s v="M"/>
    <s v="roger16@adventure-works.com"/>
    <n v="30000"/>
    <n v="3"/>
    <s v="Partial College"/>
    <s v="Clerical"/>
    <s v="N"/>
    <s v="Australia"/>
    <x v="2"/>
    <s v="Pacific"/>
    <x v="0"/>
    <s v="Bikes"/>
    <n v="3578.27"/>
    <n v="2171.2941999999998"/>
    <n v="1406.9757999999999"/>
    <n v="0.39320001006072802"/>
  </r>
  <r>
    <x v="38"/>
    <d v="2002-01-04T00:00:00"/>
    <s v="SO45708"/>
    <n v="313"/>
    <n v="19765"/>
    <n v="9"/>
    <n v="1"/>
    <n v="1"/>
    <n v="2"/>
    <s v="BK-R93R-52"/>
    <x v="3"/>
    <n v="2171.2941999999998"/>
    <n v="3578.27"/>
    <s v="MR."/>
    <s v="RUBEN"/>
    <s v="PATEL"/>
    <s v="RUBEN PATEL"/>
    <d v="1951-09-16T00:00:00"/>
    <s v="M"/>
    <s v="M"/>
    <s v="ruben3@adventure-works.com"/>
    <n v="30000"/>
    <n v="3"/>
    <s v="High School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28"/>
    <d v="2001-11-19T00:00:00"/>
    <s v="SO45634"/>
    <n v="314"/>
    <n v="19766"/>
    <n v="9"/>
    <n v="1"/>
    <n v="1"/>
    <n v="2"/>
    <s v="BK-R93R-56"/>
    <x v="2"/>
    <n v="2171.2941999999998"/>
    <n v="3578.27"/>
    <s v="MR."/>
    <s v="EDWIN"/>
    <s v="LIN"/>
    <s v="EDWIN LIN"/>
    <d v="1951-08-02T00:00:00"/>
    <s v="M"/>
    <s v="M"/>
    <s v="edwin8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77"/>
    <d v="2001-12-22T00:00:00"/>
    <s v="SO45715"/>
    <n v="310"/>
    <n v="19770"/>
    <n v="9"/>
    <n v="1"/>
    <n v="1"/>
    <n v="2"/>
    <s v="BK-R93R-62"/>
    <x v="1"/>
    <n v="2171.2941999999998"/>
    <n v="3578.27"/>
    <s v="MRS."/>
    <s v="ROSA"/>
    <s v="LIANG"/>
    <s v="ROSA LIANG"/>
    <d v="1952-02-23T00:00:00"/>
    <s v="M"/>
    <s v="F"/>
    <s v="rosa16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57"/>
    <d v="2002-02-06T00:00:00"/>
    <s v="SO45651"/>
    <n v="311"/>
    <n v="19771"/>
    <n v="9"/>
    <n v="1"/>
    <n v="1"/>
    <n v="2"/>
    <s v="BK-R93R-44"/>
    <x v="4"/>
    <n v="2171.2941999999998"/>
    <n v="3578.27"/>
    <s v="MRS."/>
    <s v="TASHA"/>
    <s v="JAI"/>
    <s v="TASHA JAI"/>
    <d v="1952-07-11T00:00:00"/>
    <s v="M"/>
    <s v="F"/>
    <s v="tasha12@adventure-works.com"/>
    <n v="30000"/>
    <n v="3"/>
    <s v="High School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82"/>
    <d v="2002-01-06T00:00:00"/>
    <s v="SO45752"/>
    <n v="314"/>
    <n v="19772"/>
    <n v="9"/>
    <n v="1"/>
    <n v="1"/>
    <n v="2"/>
    <s v="BK-R93R-56"/>
    <x v="2"/>
    <n v="2171.2941999999998"/>
    <n v="3578.27"/>
    <s v="MR."/>
    <s v="HECTOR"/>
    <s v="VAZQUEZ"/>
    <s v="HECTOR VAZQUEZ"/>
    <d v="1954-05-10T00:00:00"/>
    <s v="S"/>
    <s v="M"/>
    <s v="hector12@adventure-works.com"/>
    <n v="80000"/>
    <n v="2"/>
    <s v="Partial College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71"/>
    <d v="2002-02-22T00:00:00"/>
    <s v="SO45689"/>
    <n v="312"/>
    <n v="19773"/>
    <n v="9"/>
    <n v="1"/>
    <n v="1"/>
    <n v="2"/>
    <s v="BK-R93R-48"/>
    <x v="0"/>
    <n v="2171.2941999999998"/>
    <n v="3578.27"/>
    <s v="MR."/>
    <s v="RICKY"/>
    <s v="GUTIERREZ"/>
    <s v="RICKY GUTIERREZ"/>
    <d v="1954-03-11T00:00:00"/>
    <s v="M"/>
    <s v="M"/>
    <s v="ricky11@adventure-works.com"/>
    <n v="80000"/>
    <n v="2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54"/>
    <d v="2001-11-27T00:00:00"/>
    <s v="SO45639"/>
    <n v="311"/>
    <n v="19782"/>
    <n v="9"/>
    <n v="1"/>
    <n v="1"/>
    <n v="2"/>
    <s v="BK-R93R-44"/>
    <x v="4"/>
    <n v="2171.2941999999998"/>
    <n v="3578.27"/>
    <s v="MR."/>
    <s v="DEREK"/>
    <s v="SHAN"/>
    <s v="DEREK SHAN"/>
    <d v="1955-04-18T00:00:00"/>
    <s v="S"/>
    <s v="M"/>
    <s v="derek9@adventure-works.com"/>
    <n v="80000"/>
    <n v="2"/>
    <s v="High School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77"/>
    <d v="2001-12-03T00:00:00"/>
    <s v="SO45716"/>
    <n v="310"/>
    <n v="19783"/>
    <n v="9"/>
    <n v="1"/>
    <n v="1"/>
    <n v="2"/>
    <s v="BK-R93R-62"/>
    <x v="1"/>
    <n v="2171.2941999999998"/>
    <n v="3578.27"/>
    <s v="MR."/>
    <s v="TONY"/>
    <s v="KUMAR"/>
    <s v="TONY KUMAR"/>
    <d v="1955-05-08T00:00:00"/>
    <s v="S"/>
    <s v="M"/>
    <s v="tony10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41"/>
    <d v="2001-11-20T00:00:00"/>
    <s v="SO45589"/>
    <n v="314"/>
    <n v="19784"/>
    <n v="9"/>
    <n v="1"/>
    <n v="1"/>
    <n v="2"/>
    <s v="BK-R93R-56"/>
    <x v="2"/>
    <n v="2171.2941999999998"/>
    <n v="3578.27"/>
    <s v="MRS."/>
    <s v="CHRISTY"/>
    <s v="LIU"/>
    <s v="CHRISTY LIU"/>
    <d v="1955-09-18T00:00:00"/>
    <s v="M"/>
    <s v="F"/>
    <s v="christy4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34"/>
    <d v="2002-01-25T00:00:00"/>
    <s v="SO45772"/>
    <n v="313"/>
    <n v="19785"/>
    <n v="9"/>
    <n v="1"/>
    <n v="1"/>
    <n v="2"/>
    <s v="BK-R93R-52"/>
    <x v="3"/>
    <n v="2171.2941999999998"/>
    <n v="3578.27"/>
    <s v="MRS."/>
    <s v="OLIVIA"/>
    <s v="RAMIREZ"/>
    <s v="OLIVIA RAMIREZ"/>
    <d v="1955-07-13T00:00:00"/>
    <s v="M"/>
    <s v="F"/>
    <s v="olivia42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80"/>
    <d v="2002-01-10T00:00:00"/>
    <s v="SO45740"/>
    <n v="314"/>
    <n v="19786"/>
    <n v="9"/>
    <n v="1"/>
    <n v="1"/>
    <n v="2"/>
    <s v="BK-R93R-56"/>
    <x v="2"/>
    <n v="2171.2941999999998"/>
    <n v="3578.27"/>
    <s v="MRS."/>
    <s v="ROBIN"/>
    <s v="CARLSON"/>
    <s v="ROBIN CARLSON"/>
    <d v="1956-07-28T00:00:00"/>
    <s v="M"/>
    <s v="F"/>
    <s v="robin14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62"/>
    <d v="2002-01-20T00:00:00"/>
    <s v="SO45619"/>
    <n v="311"/>
    <n v="19787"/>
    <n v="9"/>
    <n v="1"/>
    <n v="1"/>
    <n v="2"/>
    <s v="BK-R93R-44"/>
    <x v="4"/>
    <n v="2171.2941999999998"/>
    <n v="3578.27"/>
    <s v="MR."/>
    <s v="ALEX"/>
    <s v="HILL"/>
    <s v="ALEX HILL"/>
    <d v="1956-06-28T00:00:00"/>
    <s v="S"/>
    <s v="M"/>
    <s v="alex42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80"/>
    <d v="2002-02-13T00:00:00"/>
    <s v="SO45741"/>
    <n v="314"/>
    <n v="19788"/>
    <n v="9"/>
    <n v="1"/>
    <n v="1"/>
    <n v="2"/>
    <s v="BK-R93R-56"/>
    <x v="2"/>
    <n v="2171.2941999999998"/>
    <n v="3578.27"/>
    <s v="MRS."/>
    <s v="KRISTEN"/>
    <s v="HU"/>
    <s v="KRISTEN HU"/>
    <d v="1956-06-18T00:00:00"/>
    <s v="S"/>
    <s v="F"/>
    <s v="kristen17@adventure-works.com"/>
    <n v="80000"/>
    <n v="2"/>
    <s v="High School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43"/>
    <d v="2001-11-27T00:00:00"/>
    <s v="SO45681"/>
    <n v="314"/>
    <n v="19789"/>
    <n v="9"/>
    <n v="1"/>
    <n v="1"/>
    <n v="2"/>
    <s v="BK-R93R-56"/>
    <x v="2"/>
    <n v="2171.2941999999998"/>
    <n v="3578.27"/>
    <s v="MRS."/>
    <s v="GLORIA"/>
    <s v="MUNOZ"/>
    <s v="GLORIA MUNOZ"/>
    <d v="1956-04-10T00:00:00"/>
    <s v="M"/>
    <s v="F"/>
    <s v="gloria7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52"/>
    <d v="2001-12-07T00:00:00"/>
    <s v="SO45673"/>
    <n v="312"/>
    <n v="19790"/>
    <n v="9"/>
    <n v="1"/>
    <n v="1"/>
    <n v="2"/>
    <s v="BK-R93R-48"/>
    <x v="0"/>
    <n v="2171.2941999999998"/>
    <n v="3578.27"/>
    <s v="MRS."/>
    <s v="AMY"/>
    <s v="WU"/>
    <s v="AMY WU"/>
    <d v="1956-10-26T00:00:00"/>
    <s v="S"/>
    <s v="F"/>
    <s v="amy14@adventure-works.com"/>
    <n v="80000"/>
    <n v="2"/>
    <s v="High School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46"/>
    <d v="2002-01-29T00:00:00"/>
    <s v="SO45648"/>
    <n v="312"/>
    <n v="19791"/>
    <n v="9"/>
    <n v="1"/>
    <n v="1"/>
    <n v="2"/>
    <s v="BK-R93R-48"/>
    <x v="0"/>
    <n v="2171.2941999999998"/>
    <n v="3578.27"/>
    <s v="MR."/>
    <s v="WARREN"/>
    <s v="ZHOU"/>
    <s v="WARREN ZHOU"/>
    <d v="1956-04-08T00:00:00"/>
    <s v="S"/>
    <s v="M"/>
    <s v="warren24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45"/>
    <d v="2002-01-04T00:00:00"/>
    <s v="SO45735"/>
    <n v="314"/>
    <n v="19792"/>
    <n v="9"/>
    <n v="1"/>
    <n v="1"/>
    <n v="2"/>
    <s v="BK-R93R-56"/>
    <x v="2"/>
    <n v="2171.2941999999998"/>
    <n v="3578.27"/>
    <s v="MRS."/>
    <s v="CRISTINA"/>
    <s v="NARA"/>
    <s v="CRISTINA NARA"/>
    <d v="1957-08-26T00:00:00"/>
    <s v="S"/>
    <s v="F"/>
    <s v="cristina15@adventure-works.com"/>
    <n v="70000"/>
    <n v="2"/>
    <s v="High School"/>
    <s v="Professional"/>
    <s v="N"/>
    <s v="Australia"/>
    <x v="2"/>
    <s v="Pacific"/>
    <x v="0"/>
    <s v="Bikes"/>
    <n v="3578.27"/>
    <n v="2171.2941999999998"/>
    <n v="1406.9757999999999"/>
    <n v="0.39320001006072802"/>
  </r>
  <r>
    <x v="38"/>
    <d v="2002-02-16T00:00:00"/>
    <s v="SO45709"/>
    <n v="313"/>
    <n v="19793"/>
    <n v="9"/>
    <n v="1"/>
    <n v="1"/>
    <n v="2"/>
    <s v="BK-R93R-52"/>
    <x v="3"/>
    <n v="2171.2941999999998"/>
    <n v="3578.27"/>
    <s v="MRS."/>
    <s v="TINA"/>
    <s v="SMITH"/>
    <s v="TINA SMITH"/>
    <d v="1957-05-22T00:00:00"/>
    <s v="S"/>
    <s v="F"/>
    <s v="tina10@adventure-works.com"/>
    <n v="70000"/>
    <n v="2"/>
    <s v="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44"/>
    <d v="2001-11-10T00:00:00"/>
    <s v="SO45599"/>
    <n v="312"/>
    <n v="19794"/>
    <n v="9"/>
    <n v="1"/>
    <n v="1"/>
    <n v="2"/>
    <s v="BK-R93R-48"/>
    <x v="0"/>
    <n v="2171.2941999999998"/>
    <n v="3578.27"/>
    <s v="MR."/>
    <s v="DANNY"/>
    <s v="ORTEGA"/>
    <s v="DANNY ORTEGA"/>
    <d v="1957-11-12T00:00:00"/>
    <s v="S"/>
    <s v="M"/>
    <s v="danny23@adventure-works.com"/>
    <n v="70000"/>
    <n v="2"/>
    <s v="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3"/>
    <d v="2001-11-23T00:00:00"/>
    <s v="SO45628"/>
    <n v="314"/>
    <n v="19795"/>
    <n v="9"/>
    <n v="1"/>
    <n v="1"/>
    <n v="2"/>
    <s v="BK-R93R-56"/>
    <x v="2"/>
    <n v="2171.2941999999998"/>
    <n v="3578.27"/>
    <s v="MR."/>
    <s v="CASEY"/>
    <s v="NAVARRO"/>
    <s v="CASEY NAVARRO"/>
    <d v="1958-01-13T00:00:00"/>
    <s v="M"/>
    <s v="M"/>
    <s v="casey33@adventure-works.com"/>
    <n v="100000"/>
    <n v="1"/>
    <s v="Bachelors"/>
    <s v="Management"/>
    <s v="Y"/>
    <s v="Australia"/>
    <x v="2"/>
    <s v="Pacific"/>
    <x v="0"/>
    <s v="Bikes"/>
    <n v="3578.27"/>
    <n v="2171.2941999999998"/>
    <n v="1406.9757999999999"/>
    <n v="0.39320001006072802"/>
  </r>
  <r>
    <x v="36"/>
    <d v="2002-01-14T00:00:00"/>
    <s v="SO45660"/>
    <n v="312"/>
    <n v="19797"/>
    <n v="9"/>
    <n v="1"/>
    <n v="1"/>
    <n v="2"/>
    <s v="BK-R93R-48"/>
    <x v="0"/>
    <n v="2171.2941999999998"/>
    <n v="3578.27"/>
    <s v="MR."/>
    <s v="CLARENCE"/>
    <s v="LIU"/>
    <s v="CLARENCE LIU"/>
    <d v="1958-11-24T00:00:00"/>
    <s v="S"/>
    <s v="M"/>
    <s v="clarence40@adventure-works.com"/>
    <n v="130000"/>
    <n v="0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10"/>
    <d v="2001-10-07T00:00:00"/>
    <s v="SO45208"/>
    <n v="344"/>
    <n v="19884"/>
    <n v="6"/>
    <n v="1"/>
    <n v="1"/>
    <n v="1"/>
    <s v="BK-M82S-38"/>
    <x v="8"/>
    <n v="1912.1543999999999"/>
    <n v="3399.99"/>
    <s v="MR."/>
    <s v="JAMES"/>
    <s v="SIMMONS"/>
    <s v="JAMES SIMMONS"/>
    <d v="1951-04-09T00:00:00"/>
    <s v="M"/>
    <s v="M"/>
    <s v="james31@adventure-works.com"/>
    <n v="60000"/>
    <n v="2"/>
    <s v="High School"/>
    <s v="Professional"/>
    <s v="Y"/>
    <s v="Canada"/>
    <x v="5"/>
    <s v="North America"/>
    <x v="1"/>
    <s v="Bikes"/>
    <n v="3399.99"/>
    <n v="1912.1543999999999"/>
    <n v="1487.8356000000001"/>
    <n v="0.43759999294115598"/>
  </r>
  <r>
    <x v="159"/>
    <d v="2002-04-29T00:00:00"/>
    <s v="SO46486"/>
    <n v="332"/>
    <n v="19901"/>
    <n v="8"/>
    <n v="1"/>
    <n v="1"/>
    <n v="2"/>
    <s v="BK-R50B-58"/>
    <x v="34"/>
    <n v="413.1463"/>
    <n v="699.09820000000002"/>
    <s v="MR."/>
    <s v="RONALD"/>
    <s v="SARA"/>
    <s v="RONALD SARA"/>
    <d v="1957-10-23T00:00:00"/>
    <s v="M"/>
    <s v="M"/>
    <s v="ronald12@adventure-works.com"/>
    <n v="130000"/>
    <n v="3"/>
    <s v="Partial College"/>
    <s v="Professional"/>
    <s v="Y"/>
    <s v="Germany"/>
    <x v="4"/>
    <s v="Europe"/>
    <x v="0"/>
    <s v="Bikes"/>
    <n v="699.09820000000002"/>
    <n v="413.1463"/>
    <n v="285.95190000000002"/>
    <n v="0.409029661355157"/>
  </r>
  <r>
    <x v="163"/>
    <d v="2002-04-07T00:00:00"/>
    <s v="SO46515"/>
    <n v="340"/>
    <n v="19904"/>
    <n v="8"/>
    <n v="1"/>
    <n v="1"/>
    <n v="2"/>
    <s v="BK-R50B-48"/>
    <x v="37"/>
    <n v="413.1463"/>
    <n v="699.09820000000002"/>
    <s v="MRS."/>
    <s v="JASMINE"/>
    <s v="GRAY"/>
    <s v="JASMINE GRAY"/>
    <d v="1956-03-14T00:00:00"/>
    <s v="M"/>
    <s v="F"/>
    <s v="jasmine34@adventure-works.com"/>
    <n v="120000"/>
    <n v="3"/>
    <s v="High School"/>
    <s v="Professional"/>
    <s v="Y"/>
    <s v="Germany"/>
    <x v="4"/>
    <s v="Europe"/>
    <x v="0"/>
    <s v="Bikes"/>
    <n v="699.09820000000002"/>
    <n v="413.1463"/>
    <n v="285.95190000000002"/>
    <n v="0.409029661355157"/>
  </r>
  <r>
    <x v="224"/>
    <d v="2002-04-06T00:00:00"/>
    <s v="SO46830"/>
    <n v="336"/>
    <n v="19910"/>
    <n v="8"/>
    <n v="1"/>
    <n v="1"/>
    <n v="2"/>
    <s v="BK-R50B-62"/>
    <x v="36"/>
    <n v="413.1463"/>
    <n v="699.09820000000002"/>
    <s v=""/>
    <s v="ORLANDO"/>
    <s v="RUBIO"/>
    <s v="ORLANDO RUBIO"/>
    <d v="1955-06-04T00:00:00"/>
    <s v="M"/>
    <s v="NA"/>
    <s v="orlando21@adventure-works.com"/>
    <n v="130000"/>
    <n v="3"/>
    <s v="Partial College"/>
    <s v="Professional"/>
    <s v="Y"/>
    <s v="Germany"/>
    <x v="4"/>
    <s v="Europe"/>
    <x v="0"/>
    <s v="Bikes"/>
    <n v="699.09820000000002"/>
    <n v="413.1463"/>
    <n v="285.95190000000002"/>
    <n v="0.409029661355157"/>
  </r>
  <r>
    <x v="203"/>
    <d v="2002-05-19T00:00:00"/>
    <s v="SO46761"/>
    <n v="324"/>
    <n v="19924"/>
    <n v="8"/>
    <n v="1"/>
    <n v="1"/>
    <n v="2"/>
    <s v="BK-R50R-62"/>
    <x v="42"/>
    <n v="413.1463"/>
    <n v="699.09820000000002"/>
    <s v="MR."/>
    <s v="DOUGLAS"/>
    <s v="PEREZ"/>
    <s v="DOUGLAS PEREZ"/>
    <d v="1954-04-20T00:00:00"/>
    <s v="M"/>
    <s v="M"/>
    <s v="douglas25@adventure-works.com"/>
    <n v="120000"/>
    <n v="2"/>
    <s v="Partial High School"/>
    <s v="Professional"/>
    <s v="Y"/>
    <s v="Germany"/>
    <x v="4"/>
    <s v="Europe"/>
    <x v="0"/>
    <s v="Bikes"/>
    <n v="699.09820000000002"/>
    <n v="413.1463"/>
    <n v="285.95190000000002"/>
    <n v="0.409029661355157"/>
  </r>
  <r>
    <x v="177"/>
    <d v="2002-03-12T00:00:00"/>
    <s v="SO46678"/>
    <n v="330"/>
    <n v="19930"/>
    <n v="8"/>
    <n v="1"/>
    <n v="1"/>
    <n v="2"/>
    <s v="BK-R50R-52"/>
    <x v="39"/>
    <n v="413.1463"/>
    <n v="699.09820000000002"/>
    <s v="MR."/>
    <s v="TONY"/>
    <s v="TANG"/>
    <s v="TONY TANG"/>
    <d v="1953-08-06T00:00:00"/>
    <s v="M"/>
    <s v="M"/>
    <s v="tony7@adventure-works.com"/>
    <n v="110000"/>
    <n v="2"/>
    <s v="Partial College"/>
    <s v="Professional"/>
    <s v="N"/>
    <s v="Germany"/>
    <x v="4"/>
    <s v="Europe"/>
    <x v="0"/>
    <s v="Bikes"/>
    <n v="699.09820000000002"/>
    <n v="413.1463"/>
    <n v="285.95190000000002"/>
    <n v="0.409029661355157"/>
  </r>
  <r>
    <x v="199"/>
    <d v="2002-05-24T00:00:00"/>
    <s v="SO46752"/>
    <n v="342"/>
    <n v="19931"/>
    <n v="8"/>
    <n v="1"/>
    <n v="1"/>
    <n v="2"/>
    <s v="BK-R50B-52"/>
    <x v="33"/>
    <n v="413.1463"/>
    <n v="699.09820000000002"/>
    <s v="MR."/>
    <s v="DARRYL"/>
    <s v="XU"/>
    <s v="DARRYL XU"/>
    <d v="1953-11-22T00:00:00"/>
    <s v="M"/>
    <s v="M"/>
    <s v="darryl12@adventure-works.com"/>
    <n v="120000"/>
    <n v="2"/>
    <s v="Bachelors"/>
    <s v="Management"/>
    <s v="N"/>
    <s v="Germany"/>
    <x v="4"/>
    <s v="Europe"/>
    <x v="0"/>
    <s v="Bikes"/>
    <n v="699.09820000000002"/>
    <n v="413.1463"/>
    <n v="285.95190000000002"/>
    <n v="0.409029661355157"/>
  </r>
  <r>
    <x v="105"/>
    <d v="2002-07-16T00:00:00"/>
    <s v="SO47286"/>
    <n v="328"/>
    <n v="19944"/>
    <n v="8"/>
    <n v="1"/>
    <n v="1"/>
    <n v="2"/>
    <s v="BK-R50R-48"/>
    <x v="35"/>
    <n v="413.1463"/>
    <n v="699.09820000000002"/>
    <s v="MR."/>
    <s v="JONATHON"/>
    <s v="SUAREZ"/>
    <s v="JONATHON SUAREZ"/>
    <d v="1948-08-10T00:00:00"/>
    <s v="M"/>
    <s v="M"/>
    <s v="jonathon15@adventure-works.com"/>
    <n v="90000"/>
    <n v="4"/>
    <s v="Partial High School"/>
    <s v="Skilled Manual"/>
    <s v="N"/>
    <s v="Germany"/>
    <x v="4"/>
    <s v="Europe"/>
    <x v="0"/>
    <s v="Bikes"/>
    <n v="699.09820000000002"/>
    <n v="413.1463"/>
    <n v="285.95190000000002"/>
    <n v="0.409029661355157"/>
  </r>
  <r>
    <x v="42"/>
    <d v="2002-02-09T00:00:00"/>
    <s v="SO45703"/>
    <n v="310"/>
    <n v="19947"/>
    <n v="9"/>
    <n v="1"/>
    <n v="1"/>
    <n v="2"/>
    <s v="BK-R93R-62"/>
    <x v="1"/>
    <n v="2171.2941999999998"/>
    <n v="3578.27"/>
    <s v="MR."/>
    <s v="DARRYL"/>
    <s v="LIU"/>
    <s v="DARRYL LIU"/>
    <d v="1975-05-26T00:00:00"/>
    <s v="S"/>
    <s v="M"/>
    <s v="darryl4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52"/>
    <d v="2002-01-15T00:00:00"/>
    <s v="SO45674"/>
    <n v="314"/>
    <n v="19948"/>
    <n v="9"/>
    <n v="1"/>
    <n v="1"/>
    <n v="2"/>
    <s v="BK-R93R-56"/>
    <x v="2"/>
    <n v="2171.2941999999998"/>
    <n v="3578.27"/>
    <s v="MS."/>
    <s v="LACEY"/>
    <s v="HU"/>
    <s v="LACEY HU"/>
    <d v="1975-10-22T00:00:00"/>
    <s v="S"/>
    <s v="F"/>
    <s v="lacey33@adventure-works.com"/>
    <n v="7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4"/>
    <d v="2001-12-16T00:00:00"/>
    <s v="SO45773"/>
    <n v="311"/>
    <n v="19949"/>
    <n v="9"/>
    <n v="1"/>
    <n v="1"/>
    <n v="2"/>
    <s v="BK-R93R-44"/>
    <x v="4"/>
    <n v="2171.2941999999998"/>
    <n v="3578.27"/>
    <s v="MS."/>
    <s v="NI�IA"/>
    <s v="ANAND"/>
    <s v="NI�IA ANAND"/>
    <d v="1976-12-26T00:00:00"/>
    <s v="M"/>
    <s v="F"/>
    <s v="ni�ia0@adventure-works.com"/>
    <n v="7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43"/>
    <d v="2002-02-26T00:00:00"/>
    <s v="SO45682"/>
    <n v="312"/>
    <n v="19950"/>
    <n v="9"/>
    <n v="1"/>
    <n v="1"/>
    <n v="2"/>
    <s v="BK-R93R-48"/>
    <x v="0"/>
    <n v="2171.2941999999998"/>
    <n v="3578.27"/>
    <s v="MR."/>
    <s v="RONNIE"/>
    <s v="LU"/>
    <s v="RONNIE LU"/>
    <d v="1976-01-11T00:00:00"/>
    <s v="M"/>
    <s v="M"/>
    <s v="ronnie9@adventure-works.com"/>
    <n v="8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62"/>
    <d v="2002-01-26T00:00:00"/>
    <s v="SO45620"/>
    <n v="314"/>
    <n v="19951"/>
    <n v="9"/>
    <n v="1"/>
    <n v="1"/>
    <n v="2"/>
    <s v="BK-R93R-56"/>
    <x v="2"/>
    <n v="2171.2941999999998"/>
    <n v="3578.27"/>
    <s v="MR."/>
    <s v="ROY"/>
    <s v="MORENO"/>
    <s v="ROY MORENO"/>
    <d v="1976-07-26T00:00:00"/>
    <s v="S"/>
    <s v="M"/>
    <s v="roy27@adventure-works.com"/>
    <n v="8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29"/>
    <d v="2002-01-11T00:00:00"/>
    <s v="SO45770"/>
    <n v="311"/>
    <n v="19956"/>
    <n v="9"/>
    <n v="1"/>
    <n v="1"/>
    <n v="2"/>
    <s v="BK-R93R-44"/>
    <x v="4"/>
    <n v="2171.2941999999998"/>
    <n v="3578.27"/>
    <s v="MS."/>
    <s v="SUSAN"/>
    <s v="SHE"/>
    <s v="SUSAN SHE"/>
    <d v="1973-12-24T00:00:00"/>
    <s v="M"/>
    <s v="F"/>
    <s v="susan34@adventure-works.com"/>
    <n v="8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326"/>
    <d v="2001-12-26T00:00:00"/>
    <s v="SO45667"/>
    <n v="314"/>
    <n v="19957"/>
    <n v="9"/>
    <n v="1"/>
    <n v="1"/>
    <n v="2"/>
    <s v="BK-R93R-56"/>
    <x v="2"/>
    <n v="2171.2941999999998"/>
    <n v="3578.27"/>
    <s v="MR."/>
    <s v="ARTHUR"/>
    <s v="MEHTA"/>
    <s v="ARTHUR MEHTA"/>
    <d v="1974-03-19T00:00:00"/>
    <s v="S"/>
    <s v="M"/>
    <s v="arthur16@adventure-works.com"/>
    <n v="9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71"/>
    <d v="2002-02-25T00:00:00"/>
    <s v="SO45690"/>
    <n v="310"/>
    <n v="19958"/>
    <n v="9"/>
    <n v="1"/>
    <n v="1"/>
    <n v="2"/>
    <s v="BK-R93R-62"/>
    <x v="1"/>
    <n v="2171.2941999999998"/>
    <n v="3578.27"/>
    <s v="MS."/>
    <s v="ERIKA"/>
    <s v="ROMERO"/>
    <s v="ERIKA ROMERO"/>
    <d v="1973-12-06T00:00:00"/>
    <s v="M"/>
    <s v="F"/>
    <s v="erika6@adventure-works.com"/>
    <n v="9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49"/>
    <d v="2001-12-07T00:00:00"/>
    <s v="SO45763"/>
    <n v="314"/>
    <n v="19959"/>
    <n v="9"/>
    <n v="1"/>
    <n v="1"/>
    <n v="2"/>
    <s v="BK-R93R-56"/>
    <x v="2"/>
    <n v="2171.2941999999998"/>
    <n v="3578.27"/>
    <s v="MS."/>
    <s v="TABITHA"/>
    <s v="MORENO"/>
    <s v="TABITHA MORENO"/>
    <d v="1973-03-11T00:00:00"/>
    <s v="S"/>
    <s v="F"/>
    <s v="tabitha26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45"/>
    <d v="2002-03-01T00:00:00"/>
    <s v="SO45736"/>
    <n v="310"/>
    <n v="19960"/>
    <n v="9"/>
    <n v="1"/>
    <n v="1"/>
    <n v="2"/>
    <s v="BK-R93R-62"/>
    <x v="1"/>
    <n v="2171.2941999999998"/>
    <n v="3578.27"/>
    <s v="MR."/>
    <s v="PHIL"/>
    <s v="SPENCER"/>
    <s v="PHIL SPENCER"/>
    <d v="1973-02-02T00:00:00"/>
    <s v="M"/>
    <s v="M"/>
    <s v="phil0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38"/>
    <d v="2002-02-16T00:00:00"/>
    <s v="SO45710"/>
    <n v="310"/>
    <n v="19963"/>
    <n v="9"/>
    <n v="1"/>
    <n v="1"/>
    <n v="2"/>
    <s v="BK-R93R-62"/>
    <x v="1"/>
    <n v="2171.2941999999998"/>
    <n v="3578.27"/>
    <s v="MR."/>
    <s v="GEOFFREY"/>
    <s v="FERNANDEZ"/>
    <s v="GEOFFREY FERNANDEZ"/>
    <d v="1973-11-20T00:00:00"/>
    <s v="M"/>
    <s v="M"/>
    <s v="geoffrey13@adventure-works.com"/>
    <n v="12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54"/>
    <d v="2001-11-27T00:00:00"/>
    <s v="SO45640"/>
    <n v="311"/>
    <n v="19964"/>
    <n v="9"/>
    <n v="1"/>
    <n v="1"/>
    <n v="2"/>
    <s v="BK-R93R-44"/>
    <x v="4"/>
    <n v="2171.2941999999998"/>
    <n v="3578.27"/>
    <s v="MS."/>
    <s v="GLORIA"/>
    <s v="ALONSO"/>
    <s v="GLORIA ALONSO"/>
    <d v="1973-06-11T00:00:00"/>
    <s v="S"/>
    <s v="F"/>
    <s v="gloria8@adventure-works.com"/>
    <n v="12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45"/>
    <d v="2002-01-21T00:00:00"/>
    <s v="SO45737"/>
    <n v="311"/>
    <n v="19965"/>
    <n v="9"/>
    <n v="1"/>
    <n v="1"/>
    <n v="2"/>
    <s v="BK-R93R-44"/>
    <x v="4"/>
    <n v="2171.2941999999998"/>
    <n v="3578.27"/>
    <s v="MR."/>
    <s v="JAY"/>
    <s v="LOPEZ"/>
    <s v="JAY LOPEZ"/>
    <d v="1973-11-13T00:00:00"/>
    <s v="M"/>
    <s v="M"/>
    <s v="jay23@adventure-works.com"/>
    <n v="130000"/>
    <n v="4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82"/>
    <d v="2002-02-19T00:00:00"/>
    <s v="SO45753"/>
    <n v="311"/>
    <n v="19966"/>
    <n v="9"/>
    <n v="1"/>
    <n v="1"/>
    <n v="2"/>
    <s v="BK-R93R-44"/>
    <x v="4"/>
    <n v="2171.2941999999998"/>
    <n v="3578.27"/>
    <s v="MS."/>
    <s v="ABBY"/>
    <s v="SANCHEZ"/>
    <s v="ABBY SANCHEZ"/>
    <d v="1972-07-23T00:00:00"/>
    <s v="M"/>
    <s v="F"/>
    <s v="abby17@adventure-works.com"/>
    <n v="9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50"/>
    <d v="2002-01-22T00:00:00"/>
    <s v="SO45606"/>
    <n v="312"/>
    <n v="19967"/>
    <n v="9"/>
    <n v="1"/>
    <n v="1"/>
    <n v="2"/>
    <s v="BK-R93R-48"/>
    <x v="0"/>
    <n v="2171.2941999999998"/>
    <n v="3578.27"/>
    <s v="MR."/>
    <s v="DEVON"/>
    <s v="DENG"/>
    <s v="DEVON DENG"/>
    <d v="1972-11-01T00:00:00"/>
    <s v="S"/>
    <s v="M"/>
    <s v="devon0@adventure-works.com"/>
    <n v="9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00"/>
    <d v="2002-03-25T00:00:00"/>
    <s v="SO45864"/>
    <n v="311"/>
    <n v="19968"/>
    <n v="9"/>
    <n v="1"/>
    <n v="1"/>
    <n v="2"/>
    <s v="BK-R93R-44"/>
    <x v="4"/>
    <n v="2171.2941999999998"/>
    <n v="3578.27"/>
    <s v="MS."/>
    <s v="KATRINA"/>
    <s v="CHANDE"/>
    <s v="KATRINA CHANDE"/>
    <d v="1972-07-28T00:00:00"/>
    <s v="M"/>
    <s v="F"/>
    <s v="katrina13@adventure-works.com"/>
    <n v="100000"/>
    <n v="0"/>
    <s v="High School"/>
    <s v="Management"/>
    <s v="N"/>
    <s v="Australia"/>
    <x v="2"/>
    <s v="Pacific"/>
    <x v="0"/>
    <s v="Bikes"/>
    <n v="3578.27"/>
    <n v="2171.2941999999998"/>
    <n v="1406.9757999999999"/>
    <n v="0.39320001006072802"/>
  </r>
  <r>
    <x v="117"/>
    <d v="2002-02-22T00:00:00"/>
    <s v="SO45949"/>
    <n v="310"/>
    <n v="19970"/>
    <n v="9"/>
    <n v="1"/>
    <n v="1"/>
    <n v="2"/>
    <s v="BK-R93R-62"/>
    <x v="1"/>
    <n v="2171.2941999999998"/>
    <n v="3578.27"/>
    <s v="MRS."/>
    <s v="TANYA"/>
    <s v="JIMENEZ"/>
    <s v="TANYA JIMENEZ"/>
    <d v="1972-11-08T00:00:00"/>
    <s v="S"/>
    <s v="F"/>
    <s v="tanya1@adventure-works.com"/>
    <n v="130000"/>
    <n v="4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75"/>
    <d v="2002-01-22T00:00:00"/>
    <s v="SO46021"/>
    <n v="314"/>
    <n v="19971"/>
    <n v="9"/>
    <n v="1"/>
    <n v="1"/>
    <n v="2"/>
    <s v="BK-R93R-56"/>
    <x v="2"/>
    <n v="2171.2941999999998"/>
    <n v="3578.27"/>
    <s v="MR."/>
    <s v="JEFFERY"/>
    <s v="LU"/>
    <s v="JEFFERY LU"/>
    <d v="1971-07-05T00:00:00"/>
    <s v="S"/>
    <s v="M"/>
    <s v="jeffery12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17"/>
    <d v="2002-04-06T00:00:00"/>
    <s v="SO45950"/>
    <n v="312"/>
    <n v="19974"/>
    <n v="9"/>
    <n v="1"/>
    <n v="1"/>
    <n v="2"/>
    <s v="BK-R93R-48"/>
    <x v="0"/>
    <n v="2171.2941999999998"/>
    <n v="3578.27"/>
    <s v="MR."/>
    <s v="GEORGE"/>
    <s v="FERNANDEZ"/>
    <s v="GEORGE FERNANDEZ"/>
    <d v="1970-08-13T00:00:00"/>
    <s v="M"/>
    <s v="M"/>
    <s v="george22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30"/>
    <d v="2002-02-02T00:00:00"/>
    <s v="SO45876"/>
    <n v="314"/>
    <n v="19975"/>
    <n v="9"/>
    <n v="1"/>
    <n v="1"/>
    <n v="2"/>
    <s v="BK-R93R-56"/>
    <x v="2"/>
    <n v="2171.2941999999998"/>
    <n v="3578.27"/>
    <s v="MS."/>
    <s v="BRITTNEY"/>
    <s v="ZHANG"/>
    <s v="BRITTNEY ZHANG"/>
    <d v="1970-09-16T00:00:00"/>
    <s v="S"/>
    <s v="F"/>
    <s v="brittney0@adventure-works.com"/>
    <n v="10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20"/>
    <d v="2001-12-29T00:00:00"/>
    <s v="SO45982"/>
    <n v="310"/>
    <n v="19977"/>
    <n v="9"/>
    <n v="1"/>
    <n v="1"/>
    <n v="2"/>
    <s v="BK-R93R-62"/>
    <x v="1"/>
    <n v="2171.2941999999998"/>
    <n v="3578.27"/>
    <s v="MS."/>
    <s v="KRISTINE"/>
    <s v="GILL"/>
    <s v="KRISTINE GILL"/>
    <d v="1970-10-10T00:00:00"/>
    <s v="S"/>
    <s v="F"/>
    <s v="kristine14@adventure-works.com"/>
    <n v="12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10"/>
    <d v="2002-02-10T00:00:00"/>
    <s v="SO45941"/>
    <n v="310"/>
    <n v="19978"/>
    <n v="9"/>
    <n v="1"/>
    <n v="1"/>
    <n v="2"/>
    <s v="BK-R93R-62"/>
    <x v="1"/>
    <n v="2171.2941999999998"/>
    <n v="3578.27"/>
    <s v="MR."/>
    <s v="MARSHALL"/>
    <s v="YUAN"/>
    <s v="MARSHALL YUAN"/>
    <d v="1971-04-28T00:00:00"/>
    <s v="M"/>
    <s v="M"/>
    <s v="marshall28@adventure-works.com"/>
    <n v="11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18"/>
    <d v="2001-12-26T00:00:00"/>
    <s v="SO45956"/>
    <n v="312"/>
    <n v="19979"/>
    <n v="9"/>
    <n v="1"/>
    <n v="1"/>
    <n v="2"/>
    <s v="BK-R93R-48"/>
    <x v="0"/>
    <n v="2171.2941999999998"/>
    <n v="3578.27"/>
    <s v="MS."/>
    <s v="JANET"/>
    <s v="BROWNING"/>
    <s v="JANET BROWNING"/>
    <d v="1971-12-24T00:00:00"/>
    <s v="M"/>
    <s v="F"/>
    <s v="janet21@adventure-works.com"/>
    <n v="120000"/>
    <n v="0"/>
    <s v="Partial 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357"/>
    <d v="2001-11-12T00:00:00"/>
    <s v="SO45106"/>
    <n v="348"/>
    <n v="19987"/>
    <n v="6"/>
    <n v="1"/>
    <n v="1"/>
    <n v="1"/>
    <s v="BK-M82B-38"/>
    <x v="9"/>
    <n v="1898.0944"/>
    <n v="3374.99"/>
    <s v="MRS."/>
    <s v="TAYLOR"/>
    <s v="MOORE"/>
    <s v="TAYLOR MOORE"/>
    <d v="1971-07-19T00:00:00"/>
    <s v="S"/>
    <s v="F"/>
    <s v="taylor55@adventure-works.com"/>
    <n v="60000"/>
    <n v="1"/>
    <s v="Graduate Degree"/>
    <s v="Professional"/>
    <s v="Y"/>
    <s v="Canada"/>
    <x v="5"/>
    <s v="North America"/>
    <x v="1"/>
    <s v="Bikes"/>
    <n v="3374.99"/>
    <n v="1898.0944"/>
    <n v="1476.8956000000001"/>
    <n v="0.43759999288886797"/>
  </r>
  <r>
    <x v="8"/>
    <d v="2001-10-24T00:00:00"/>
    <s v="SO45381"/>
    <n v="344"/>
    <n v="19988"/>
    <n v="6"/>
    <n v="1"/>
    <n v="1"/>
    <n v="1"/>
    <s v="BK-M82S-38"/>
    <x v="8"/>
    <n v="1912.1543999999999"/>
    <n v="3399.99"/>
    <s v="MR."/>
    <s v="JORDAN"/>
    <s v="LONG"/>
    <s v="JORDAN LONG"/>
    <d v="1971-04-10T00:00:00"/>
    <s v="M"/>
    <s v="M"/>
    <s v="jordan6@adventure-works.com"/>
    <n v="60000"/>
    <n v="1"/>
    <s v="Graduate Degree"/>
    <s v="Professional"/>
    <s v="Y"/>
    <s v="Canada"/>
    <x v="5"/>
    <s v="North America"/>
    <x v="1"/>
    <s v="Bikes"/>
    <n v="3399.99"/>
    <n v="1912.1543999999999"/>
    <n v="1487.8356000000001"/>
    <n v="0.43759999294115598"/>
  </r>
  <r>
    <x v="56"/>
    <d v="2002-02-01T00:00:00"/>
    <s v="SO45469"/>
    <n v="350"/>
    <n v="19989"/>
    <n v="6"/>
    <n v="1"/>
    <n v="1"/>
    <n v="1"/>
    <s v="BK-M82B-44"/>
    <x v="5"/>
    <n v="1898.0944"/>
    <n v="3374.99"/>
    <s v="MR."/>
    <s v="ETHAN"/>
    <s v="THOMPSON"/>
    <s v="ETHAN THOMPSON"/>
    <d v="1971-01-13T00:00:00"/>
    <s v="M"/>
    <s v="M"/>
    <s v="ethan49@adventure-works.com"/>
    <n v="60000"/>
    <n v="1"/>
    <s v="Graduate Degree"/>
    <s v="Professional"/>
    <s v="Y"/>
    <s v="Canada"/>
    <x v="5"/>
    <s v="North America"/>
    <x v="1"/>
    <s v="Bikes"/>
    <n v="3374.99"/>
    <n v="1898.0944"/>
    <n v="1476.8956000000001"/>
    <n v="0.43759999288886797"/>
  </r>
  <r>
    <x v="358"/>
    <d v="2001-12-08T00:00:00"/>
    <s v="SO45423"/>
    <n v="348"/>
    <n v="19997"/>
    <n v="6"/>
    <n v="1"/>
    <n v="1"/>
    <n v="1"/>
    <s v="BK-M82B-38"/>
    <x v="9"/>
    <n v="1898.0944"/>
    <n v="3374.99"/>
    <s v="MRS."/>
    <s v="BETH"/>
    <s v="GILL"/>
    <s v="BETH GILL"/>
    <d v="1968-06-06T00:00:00"/>
    <s v="M"/>
    <s v="F"/>
    <s v="beth16@adventure-works.com"/>
    <n v="70000"/>
    <n v="2"/>
    <s v="Bachelors"/>
    <s v="Skilled Manual"/>
    <s v="Y"/>
    <s v="Canada"/>
    <x v="5"/>
    <s v="North America"/>
    <x v="1"/>
    <s v="Bikes"/>
    <n v="3374.99"/>
    <n v="1898.0944"/>
    <n v="1476.8956000000001"/>
    <n v="0.43759999288886797"/>
  </r>
  <r>
    <x v="40"/>
    <d v="2002-02-05T00:00:00"/>
    <s v="SO45719"/>
    <n v="350"/>
    <n v="20000"/>
    <n v="6"/>
    <n v="1"/>
    <n v="1"/>
    <n v="1"/>
    <s v="BK-M82B-44"/>
    <x v="5"/>
    <n v="1898.0944"/>
    <n v="3374.99"/>
    <s v="MR."/>
    <s v="ELIJAH"/>
    <s v="DIAZ"/>
    <s v="ELIJAH DIAZ"/>
    <d v="1970-10-23T00:00:00"/>
    <s v="M"/>
    <s v="M"/>
    <s v="elijah23@adventure-works.com"/>
    <n v="60000"/>
    <n v="1"/>
    <s v="Graduate Degree"/>
    <s v="Professional"/>
    <s v="Y"/>
    <s v="Canada"/>
    <x v="5"/>
    <s v="North America"/>
    <x v="1"/>
    <s v="Bikes"/>
    <n v="3374.99"/>
    <n v="1898.0944"/>
    <n v="1476.8956000000001"/>
    <n v="0.43759999288886797"/>
  </r>
  <r>
    <x v="30"/>
    <d v="2002-03-01T00:00:00"/>
    <s v="SO45874"/>
    <n v="351"/>
    <n v="20007"/>
    <n v="6"/>
    <n v="1"/>
    <n v="1"/>
    <n v="1"/>
    <s v="BK-M82B-48"/>
    <x v="7"/>
    <n v="1898.0944"/>
    <n v="3374.99"/>
    <s v="MRS."/>
    <s v="ASHLEY"/>
    <s v="ALEXANDER"/>
    <s v="ASHLEY ALEXANDER"/>
    <d v="1967-09-03T00:00:00"/>
    <s v="S"/>
    <s v="F"/>
    <s v="ashley46@adventure-works.com"/>
    <n v="50000"/>
    <n v="2"/>
    <s v="Bachelors"/>
    <s v="Skilled Manual"/>
    <s v="N"/>
    <s v="Canada"/>
    <x v="5"/>
    <s v="North America"/>
    <x v="1"/>
    <s v="Bikes"/>
    <n v="3374.99"/>
    <n v="1898.0944"/>
    <n v="1476.8956000000001"/>
    <n v="0.43759999288886797"/>
  </r>
  <r>
    <x v="131"/>
    <d v="2002-04-09T00:00:00"/>
    <s v="SO46206"/>
    <n v="348"/>
    <n v="20023"/>
    <n v="6"/>
    <n v="1"/>
    <n v="1"/>
    <n v="1"/>
    <s v="BK-M82B-38"/>
    <x v="9"/>
    <n v="1898.0944"/>
    <n v="3374.99"/>
    <s v="MR."/>
    <s v="EDWARD"/>
    <s v="HUGHES"/>
    <s v="EDWARD HUGHES"/>
    <d v="1965-06-24T00:00:00"/>
    <s v="S"/>
    <s v="M"/>
    <s v="edward60@adventure-works.com"/>
    <n v="60000"/>
    <n v="0"/>
    <s v="Graduate Degree"/>
    <s v="Professional"/>
    <s v="Y"/>
    <s v="Canada"/>
    <x v="5"/>
    <s v="North America"/>
    <x v="1"/>
    <s v="Bikes"/>
    <n v="3374.99"/>
    <n v="1898.0944"/>
    <n v="1476.8956000000001"/>
    <n v="0.43759999288886797"/>
  </r>
  <r>
    <x v="134"/>
    <d v="2002-04-14T00:00:00"/>
    <s v="SO46241"/>
    <n v="345"/>
    <n v="20034"/>
    <n v="6"/>
    <n v="1"/>
    <n v="1"/>
    <n v="1"/>
    <s v="BK-M82S-42"/>
    <x v="6"/>
    <n v="1912.1543999999999"/>
    <n v="3399.99"/>
    <s v="MR."/>
    <s v="WYATT"/>
    <s v="TURNER"/>
    <s v="WYATT TURNER"/>
    <d v="1963-04-27T00:00:00"/>
    <s v="S"/>
    <s v="M"/>
    <s v="wyatt43@adventure-works.com"/>
    <n v="70000"/>
    <n v="4"/>
    <s v="Bachelors"/>
    <s v="Professional"/>
    <s v="Y"/>
    <s v="Canada"/>
    <x v="5"/>
    <s v="North America"/>
    <x v="1"/>
    <s v="Bikes"/>
    <n v="3399.99"/>
    <n v="1912.1543999999999"/>
    <n v="1487.8356000000001"/>
    <n v="0.43759999294115598"/>
  </r>
  <r>
    <x v="175"/>
    <d v="2002-06-04T00:00:00"/>
    <s v="SO46588"/>
    <n v="351"/>
    <n v="20035"/>
    <n v="6"/>
    <n v="1"/>
    <n v="1"/>
    <n v="1"/>
    <s v="BK-M82B-48"/>
    <x v="7"/>
    <n v="1898.0944"/>
    <n v="3374.99"/>
    <s v="MR."/>
    <s v="CESAR"/>
    <s v="FERNANDEZ"/>
    <s v="CESAR FERNANDEZ"/>
    <d v="1963-03-01T00:00:00"/>
    <s v="M"/>
    <s v="M"/>
    <s v="cesar15@adventure-works.com"/>
    <n v="70000"/>
    <n v="4"/>
    <s v="Bachelors"/>
    <s v="Professional"/>
    <s v="Y"/>
    <s v="Canada"/>
    <x v="5"/>
    <s v="North America"/>
    <x v="1"/>
    <s v="Bikes"/>
    <n v="3374.99"/>
    <n v="1898.0944"/>
    <n v="1476.8956000000001"/>
    <n v="0.43759999288886797"/>
  </r>
  <r>
    <x v="246"/>
    <d v="2002-07-03T00:00:00"/>
    <s v="SO47199"/>
    <n v="322"/>
    <n v="20051"/>
    <n v="8"/>
    <n v="1"/>
    <n v="1"/>
    <n v="2"/>
    <s v="BK-R50R-60"/>
    <x v="38"/>
    <n v="413.1463"/>
    <n v="699.09820000000002"/>
    <s v="MRS."/>
    <s v="LINDA"/>
    <s v="DOMINGUEZ"/>
    <s v="LINDA DOMINGUEZ"/>
    <d v="1972-10-19T00:00:00"/>
    <s v="S"/>
    <s v="F"/>
    <s v="linda28@adventure-works.com"/>
    <n v="40000"/>
    <n v="1"/>
    <s v="Partial College"/>
    <s v="Clerical"/>
    <s v="N"/>
    <s v="Germany"/>
    <x v="4"/>
    <s v="Europe"/>
    <x v="0"/>
    <s v="Bikes"/>
    <n v="699.09820000000002"/>
    <n v="413.1463"/>
    <n v="285.95190000000002"/>
    <n v="0.409029661355157"/>
  </r>
  <r>
    <x v="236"/>
    <d v="2002-04-21T00:00:00"/>
    <s v="SO47072"/>
    <n v="340"/>
    <n v="20062"/>
    <n v="8"/>
    <n v="1"/>
    <n v="1"/>
    <n v="2"/>
    <s v="BK-R50B-48"/>
    <x v="37"/>
    <n v="413.1463"/>
    <n v="699.09820000000002"/>
    <s v="MR."/>
    <s v="RUSSELL"/>
    <s v="CARSON"/>
    <s v="RUSSELL CARSON"/>
    <d v="1971-09-16T00:00:00"/>
    <s v="S"/>
    <s v="M"/>
    <s v="russell17@adventure-works.com"/>
    <n v="30000"/>
    <n v="0"/>
    <s v="High School"/>
    <s v="Manual"/>
    <s v="N"/>
    <s v="Germany"/>
    <x v="4"/>
    <s v="Europe"/>
    <x v="0"/>
    <s v="Bikes"/>
    <n v="699.09820000000002"/>
    <n v="413.1463"/>
    <n v="285.95190000000002"/>
    <n v="0.409029661355157"/>
  </r>
  <r>
    <x v="340"/>
    <d v="2002-05-19T00:00:00"/>
    <s v="SO46413"/>
    <n v="346"/>
    <n v="20075"/>
    <n v="6"/>
    <n v="1"/>
    <n v="1"/>
    <n v="1"/>
    <s v="BK-M82S-44"/>
    <x v="12"/>
    <n v="1912.1543999999999"/>
    <n v="3399.99"/>
    <s v="MR."/>
    <s v="AARON"/>
    <s v="ALLEN"/>
    <s v="AARON ALLEN"/>
    <d v="1953-05-18T00:00:00"/>
    <s v="S"/>
    <s v="M"/>
    <s v="aaron55@adventure-works.com"/>
    <n v="10000"/>
    <n v="2"/>
    <s v="High School"/>
    <s v="Manual"/>
    <s v="Y"/>
    <s v="Canada"/>
    <x v="5"/>
    <s v="North America"/>
    <x v="1"/>
    <s v="Bikes"/>
    <n v="3399.99"/>
    <n v="1912.1543999999999"/>
    <n v="1487.8356000000001"/>
    <n v="0.43759999294115598"/>
  </r>
  <r>
    <x v="90"/>
    <d v="2001-12-16T00:00:00"/>
    <s v="SO45830"/>
    <n v="314"/>
    <n v="20151"/>
    <n v="9"/>
    <n v="1"/>
    <n v="1"/>
    <n v="2"/>
    <s v="BK-R93R-56"/>
    <x v="2"/>
    <n v="2171.2941999999998"/>
    <n v="3578.27"/>
    <s v="MS."/>
    <s v="JAMIE"/>
    <s v="GUO"/>
    <s v="JAMIE GUO"/>
    <d v="1980-10-06T00:00:00"/>
    <s v="M"/>
    <s v="F"/>
    <s v="jamie21@adventure-works.com"/>
    <n v="10000"/>
    <n v="0"/>
    <s v="Partial College"/>
    <s v="Manual"/>
    <s v="Y"/>
    <s v="Australia"/>
    <x v="2"/>
    <s v="Pacific"/>
    <x v="0"/>
    <s v="Bikes"/>
    <n v="3578.27"/>
    <n v="2171.2941999999998"/>
    <n v="1406.9757999999999"/>
    <n v="0.39320001006072802"/>
  </r>
  <r>
    <x v="109"/>
    <d v="2002-01-12T00:00:00"/>
    <s v="SO45905"/>
    <n v="311"/>
    <n v="20152"/>
    <n v="9"/>
    <n v="1"/>
    <n v="1"/>
    <n v="2"/>
    <s v="BK-R93R-44"/>
    <x v="4"/>
    <n v="2171.2941999999998"/>
    <n v="3578.27"/>
    <s v="MR."/>
    <s v="RAFAEL"/>
    <s v="SHE"/>
    <s v="RAFAEL SHE"/>
    <d v="1980-07-08T00:00:00"/>
    <s v="M"/>
    <s v="M"/>
    <s v="rafael23@adventure-works.com"/>
    <n v="10000"/>
    <n v="0"/>
    <s v="Partial College"/>
    <s v="Manual"/>
    <s v="Y"/>
    <s v="Australia"/>
    <x v="2"/>
    <s v="Pacific"/>
    <x v="0"/>
    <s v="Bikes"/>
    <n v="3578.27"/>
    <n v="2171.2941999999998"/>
    <n v="1406.9757999999999"/>
    <n v="0.39320001006072802"/>
  </r>
  <r>
    <x v="335"/>
    <d v="2002-03-09T00:00:00"/>
    <s v="SO45849"/>
    <n v="312"/>
    <n v="20154"/>
    <n v="9"/>
    <n v="1"/>
    <n v="1"/>
    <n v="2"/>
    <s v="BK-R93R-48"/>
    <x v="0"/>
    <n v="2171.2941999999998"/>
    <n v="3578.27"/>
    <s v="MR."/>
    <s v="RAUL"/>
    <s v="LUO"/>
    <s v="RAUL LUO"/>
    <d v="1978-10-03T00:00:00"/>
    <s v="S"/>
    <s v="M"/>
    <s v="raul6@adventure-works.com"/>
    <n v="10000"/>
    <n v="0"/>
    <s v="Partial College"/>
    <s v="Manual"/>
    <s v="N"/>
    <s v="Australia"/>
    <x v="2"/>
    <s v="Pacific"/>
    <x v="0"/>
    <s v="Bikes"/>
    <n v="3578.27"/>
    <n v="2171.2941999999998"/>
    <n v="1406.9757999999999"/>
    <n v="0.39320001006072802"/>
  </r>
  <r>
    <x v="119"/>
    <d v="2002-01-19T00:00:00"/>
    <s v="SO45969"/>
    <n v="310"/>
    <n v="20156"/>
    <n v="9"/>
    <n v="1"/>
    <n v="1"/>
    <n v="2"/>
    <s v="BK-R93R-62"/>
    <x v="1"/>
    <n v="2171.2941999999998"/>
    <n v="3578.27"/>
    <s v="MR."/>
    <s v="JAY"/>
    <s v="MADAN"/>
    <s v="JAY MADAN"/>
    <d v="1977-04-19T00:00:00"/>
    <s v="S"/>
    <s v="M"/>
    <s v="jay14@adventure-works.com"/>
    <n v="10000"/>
    <n v="0"/>
    <s v="High School"/>
    <s v="Manual"/>
    <s v="N"/>
    <s v="Australia"/>
    <x v="2"/>
    <s v="Pacific"/>
    <x v="0"/>
    <s v="Bikes"/>
    <n v="3578.27"/>
    <n v="2171.2941999999998"/>
    <n v="1406.9757999999999"/>
    <n v="0.39320001006072802"/>
  </r>
  <r>
    <x v="100"/>
    <d v="2002-01-03T00:00:00"/>
    <s v="SO45865"/>
    <n v="312"/>
    <n v="20157"/>
    <n v="9"/>
    <n v="1"/>
    <n v="1"/>
    <n v="2"/>
    <s v="BK-R93R-48"/>
    <x v="0"/>
    <n v="2171.2941999999998"/>
    <n v="3578.27"/>
    <s v="MS."/>
    <s v="RILEY"/>
    <s v="REED"/>
    <s v="RILEY REED"/>
    <d v="1977-10-10T00:00:00"/>
    <s v="M"/>
    <s v="F"/>
    <s v="riley39@adventure-works.com"/>
    <n v="10000"/>
    <n v="0"/>
    <s v="High School"/>
    <s v="Manual"/>
    <s v="N"/>
    <s v="Australia"/>
    <x v="2"/>
    <s v="Pacific"/>
    <x v="0"/>
    <s v="Bikes"/>
    <n v="3578.27"/>
    <n v="2171.2941999999998"/>
    <n v="1406.9757999999999"/>
    <n v="0.39320001006072802"/>
  </r>
  <r>
    <x v="90"/>
    <d v="2002-01-09T00:00:00"/>
    <s v="SO45831"/>
    <n v="313"/>
    <n v="20158"/>
    <n v="9"/>
    <n v="1"/>
    <n v="1"/>
    <n v="2"/>
    <s v="BK-R93R-52"/>
    <x v="3"/>
    <n v="2171.2941999999998"/>
    <n v="3578.27"/>
    <s v="MR."/>
    <s v="RODNEY"/>
    <s v="BLANCO"/>
    <s v="RODNEY BLANCO"/>
    <d v="1979-03-01T00:00:00"/>
    <s v="S"/>
    <s v="M"/>
    <s v="rodney11@adventure-works.com"/>
    <n v="10000"/>
    <n v="1"/>
    <s v="High School"/>
    <s v="Manual"/>
    <s v="N"/>
    <s v="Australia"/>
    <x v="2"/>
    <s v="Pacific"/>
    <x v="0"/>
    <s v="Bikes"/>
    <n v="3578.27"/>
    <n v="2171.2941999999998"/>
    <n v="1406.9757999999999"/>
    <n v="0.39320001006072802"/>
  </r>
  <r>
    <x v="109"/>
    <d v="2001-12-16T00:00:00"/>
    <s v="SO45906"/>
    <n v="312"/>
    <n v="20159"/>
    <n v="9"/>
    <n v="1"/>
    <n v="1"/>
    <n v="2"/>
    <s v="BK-R93R-48"/>
    <x v="0"/>
    <n v="2171.2941999999998"/>
    <n v="3578.27"/>
    <s v="MR."/>
    <s v="ERNEST"/>
    <s v="ZHU"/>
    <s v="ERNEST ZHU"/>
    <d v="1979-06-04T00:00:00"/>
    <s v="M"/>
    <s v="M"/>
    <s v="ernest14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87"/>
    <d v="2002-03-10T00:00:00"/>
    <s v="SO45819"/>
    <n v="312"/>
    <n v="20160"/>
    <n v="9"/>
    <n v="1"/>
    <n v="1"/>
    <n v="2"/>
    <s v="BK-R93R-48"/>
    <x v="0"/>
    <n v="2171.2941999999998"/>
    <n v="3578.27"/>
    <s v="MR."/>
    <s v="GEORGE"/>
    <s v="GARCIA"/>
    <s v="GEORGE GARCIA"/>
    <d v="1978-11-09T00:00:00"/>
    <s v="S"/>
    <s v="M"/>
    <s v="george21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245"/>
    <d v="2002-04-24T00:00:00"/>
    <s v="SO47193"/>
    <n v="328"/>
    <n v="20162"/>
    <n v="8"/>
    <n v="1"/>
    <n v="1"/>
    <n v="2"/>
    <s v="BK-R50R-48"/>
    <x v="35"/>
    <n v="413.1463"/>
    <n v="699.09820000000002"/>
    <s v="MRS."/>
    <s v="KELSEY"/>
    <s v="NATH"/>
    <s v="KELSEY NATH"/>
    <d v="1943-09-03T00:00:00"/>
    <s v="M"/>
    <s v="F"/>
    <s v="kelsey17@adventure-works.com"/>
    <n v="20000"/>
    <n v="2"/>
    <s v="Partial College"/>
    <s v="Manual"/>
    <s v="Y"/>
    <s v="Germany"/>
    <x v="4"/>
    <s v="Europe"/>
    <x v="0"/>
    <s v="Bikes"/>
    <n v="699.09820000000002"/>
    <n v="413.1463"/>
    <n v="285.95190000000002"/>
    <n v="0.409029661355157"/>
  </r>
  <r>
    <x v="349"/>
    <d v="2002-08-22T00:00:00"/>
    <s v="SO47653"/>
    <n v="324"/>
    <n v="20163"/>
    <n v="8"/>
    <n v="1"/>
    <n v="1"/>
    <n v="2"/>
    <s v="BK-R50R-62"/>
    <x v="42"/>
    <n v="413.1463"/>
    <n v="699.09820000000002"/>
    <s v="MRS."/>
    <s v="KRYSTAL"/>
    <s v="ZHANG"/>
    <s v="KRYSTAL ZHANG"/>
    <d v="1943-05-02T00:00:00"/>
    <s v="M"/>
    <s v="F"/>
    <s v="krystal0@adventure-works.com"/>
    <n v="20000"/>
    <n v="2"/>
    <s v="Partial College"/>
    <s v="Manual"/>
    <s v="Y"/>
    <s v="Germany"/>
    <x v="4"/>
    <s v="Europe"/>
    <x v="0"/>
    <s v="Bikes"/>
    <n v="699.09820000000002"/>
    <n v="413.1463"/>
    <n v="285.95190000000002"/>
    <n v="0.409029661355157"/>
  </r>
  <r>
    <x v="257"/>
    <d v="2002-06-28T00:00:00"/>
    <s v="SO47574"/>
    <n v="332"/>
    <n v="20171"/>
    <n v="8"/>
    <n v="1"/>
    <n v="1"/>
    <n v="2"/>
    <s v="BK-R50B-58"/>
    <x v="34"/>
    <n v="413.1463"/>
    <n v="699.09820000000002"/>
    <s v="MRS."/>
    <s v="BAILEY"/>
    <s v="KING"/>
    <s v="BAILEY KING"/>
    <d v="1959-09-26T00:00:00"/>
    <s v="M"/>
    <s v="F"/>
    <s v="bailey39@adventure-works.com"/>
    <n v="20000"/>
    <n v="2"/>
    <s v="Partial College"/>
    <s v="Manual"/>
    <s v="Y"/>
    <s v="Germany"/>
    <x v="4"/>
    <s v="Europe"/>
    <x v="0"/>
    <s v="Bikes"/>
    <n v="699.09820000000002"/>
    <n v="413.1463"/>
    <n v="285.95190000000002"/>
    <n v="0.409029661355157"/>
  </r>
  <r>
    <x v="153"/>
    <d v="2002-02-21T00:00:00"/>
    <s v="SO46427"/>
    <n v="350"/>
    <n v="20182"/>
    <n v="6"/>
    <n v="1"/>
    <n v="1"/>
    <n v="1"/>
    <s v="BK-M82B-44"/>
    <x v="5"/>
    <n v="1898.0944"/>
    <n v="3374.99"/>
    <s v="MRS."/>
    <s v="ISABELLE"/>
    <s v="PRICE"/>
    <s v="ISABELLE PRICE"/>
    <d v="1962-06-25T00:00:00"/>
    <s v="M"/>
    <s v="F"/>
    <s v="isabelle0@adventure-works.com"/>
    <n v="70000"/>
    <n v="1"/>
    <s v="Partial College"/>
    <s v="Skilled Manual"/>
    <s v="Y"/>
    <s v="Canada"/>
    <x v="5"/>
    <s v="North America"/>
    <x v="1"/>
    <s v="Bikes"/>
    <n v="3374.99"/>
    <n v="1898.0944"/>
    <n v="1476.8956000000001"/>
    <n v="0.43759999288886797"/>
  </r>
  <r>
    <x v="184"/>
    <d v="2002-03-10T00:00:00"/>
    <s v="SO46706"/>
    <n v="352"/>
    <n v="20186"/>
    <n v="6"/>
    <n v="1"/>
    <n v="1"/>
    <n v="1"/>
    <s v="BK-M68S-38"/>
    <x v="16"/>
    <n v="1117.8559"/>
    <n v="2071.4196000000002"/>
    <s v="MR."/>
    <s v="CONNOR"/>
    <s v="LI"/>
    <s v="CONNOR LI"/>
    <d v="1961-10-06T00:00:00"/>
    <s v="M"/>
    <s v="M"/>
    <s v="connor21@adventure-works.com"/>
    <n v="40000"/>
    <n v="4"/>
    <s v="High School"/>
    <s v="Skilled Manual"/>
    <s v="Y"/>
    <s v="Canada"/>
    <x v="5"/>
    <s v="North America"/>
    <x v="1"/>
    <s v="Bikes"/>
    <n v="2071.4196000000002"/>
    <n v="1117.8559"/>
    <n v="953.56370000000004"/>
    <n v="0.460343090313522"/>
  </r>
  <r>
    <x v="224"/>
    <d v="2002-04-15T00:00:00"/>
    <s v="SO46832"/>
    <n v="352"/>
    <n v="20188"/>
    <n v="6"/>
    <n v="1"/>
    <n v="1"/>
    <n v="1"/>
    <s v="BK-M68S-38"/>
    <x v="16"/>
    <n v="1117.8559"/>
    <n v="2071.4196000000002"/>
    <s v="MRS."/>
    <s v="KIMBERLY"/>
    <s v="WATSON"/>
    <s v="KIMBERLY WATSON"/>
    <d v="1961-07-05T00:00:00"/>
    <s v="M"/>
    <s v="F"/>
    <s v="kimberly3@adventure-works.com"/>
    <n v="60000"/>
    <n v="1"/>
    <s v="Partial College"/>
    <s v="Skilled Manual"/>
    <s v="Y"/>
    <s v="Canada"/>
    <x v="5"/>
    <s v="North America"/>
    <x v="1"/>
    <s v="Bikes"/>
    <n v="2071.4196000000002"/>
    <n v="1117.8559"/>
    <n v="953.56370000000004"/>
    <n v="0.460343090313522"/>
  </r>
  <r>
    <x v="194"/>
    <d v="2002-04-25T00:00:00"/>
    <s v="SO46742"/>
    <n v="358"/>
    <n v="20206"/>
    <n v="6"/>
    <n v="1"/>
    <n v="1"/>
    <n v="1"/>
    <s v="BK-M68B-38"/>
    <x v="15"/>
    <n v="1105.81"/>
    <n v="2049.0981999999999"/>
    <s v="MRS."/>
    <s v="OLIVIA"/>
    <s v="MURPHY"/>
    <s v="OLIVIA MURPHY"/>
    <d v="1958-06-10T00:00:00"/>
    <s v="M"/>
    <s v="F"/>
    <s v="olivia31@adventure-works.com"/>
    <n v="60000"/>
    <n v="1"/>
    <s v="Bachelors"/>
    <s v="Professional"/>
    <s v="Y"/>
    <s v="Canada"/>
    <x v="5"/>
    <s v="North America"/>
    <x v="1"/>
    <s v="Bikes"/>
    <n v="2049.0981999999999"/>
    <n v="1105.81"/>
    <n v="943.28819999999996"/>
    <n v="0.46034309141455498"/>
  </r>
  <r>
    <x v="179"/>
    <d v="2002-03-17T00:00:00"/>
    <s v="SO46695"/>
    <n v="358"/>
    <n v="20208"/>
    <n v="6"/>
    <n v="1"/>
    <n v="1"/>
    <n v="1"/>
    <s v="BK-M68B-38"/>
    <x v="15"/>
    <n v="1105.81"/>
    <n v="2049.0981999999999"/>
    <s v="MR."/>
    <s v="AUSTIN"/>
    <s v="HAYES"/>
    <s v="AUSTIN HAYES"/>
    <d v="1958-05-25T00:00:00"/>
    <s v="M"/>
    <s v="M"/>
    <s v="austin19@adventure-works.com"/>
    <n v="60000"/>
    <n v="1"/>
    <s v="Bachelors"/>
    <s v="Professional"/>
    <s v="Y"/>
    <s v="Canada"/>
    <x v="5"/>
    <s v="North America"/>
    <x v="1"/>
    <s v="Bikes"/>
    <n v="2049.0981999999999"/>
    <n v="1105.81"/>
    <n v="943.28819999999996"/>
    <n v="0.46034309141455498"/>
  </r>
  <r>
    <x v="95"/>
    <d v="2002-05-29T00:00:00"/>
    <s v="SO46851"/>
    <n v="360"/>
    <n v="20209"/>
    <n v="6"/>
    <n v="1"/>
    <n v="1"/>
    <n v="1"/>
    <s v="BK-M68B-42"/>
    <x v="17"/>
    <n v="1105.81"/>
    <n v="2049.0981999999999"/>
    <s v="MRS."/>
    <s v="ANDREA"/>
    <s v="TURNER"/>
    <s v="ANDREA TURNER"/>
    <d v="1958-06-09T00:00:00"/>
    <s v="M"/>
    <s v="F"/>
    <s v="andrea30@adventure-works.com"/>
    <n v="60000"/>
    <n v="1"/>
    <s v="Bachelors"/>
    <s v="Professional"/>
    <s v="Y"/>
    <s v="Canada"/>
    <x v="5"/>
    <s v="North America"/>
    <x v="1"/>
    <s v="Bikes"/>
    <n v="2049.0981999999999"/>
    <n v="1105.81"/>
    <n v="943.28819999999996"/>
    <n v="0.46034309141455498"/>
  </r>
  <r>
    <x v="114"/>
    <d v="2002-03-07T00:00:00"/>
    <s v="SO45932"/>
    <n v="310"/>
    <n v="20211"/>
    <n v="9"/>
    <n v="1"/>
    <n v="1"/>
    <n v="2"/>
    <s v="BK-R93R-62"/>
    <x v="1"/>
    <n v="2171.2941999999998"/>
    <n v="3578.27"/>
    <s v="MR."/>
    <s v="SCOTT"/>
    <s v="RODGERS"/>
    <s v="SCOTT RODGERS"/>
    <d v="1968-05-15T00:00:00"/>
    <s v="M"/>
    <s v="M"/>
    <s v="scott10@adventure-works.com"/>
    <n v="6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91"/>
    <d v="2002-01-28T00:00:00"/>
    <s v="SO45838"/>
    <n v="311"/>
    <n v="20213"/>
    <n v="9"/>
    <n v="1"/>
    <n v="1"/>
    <n v="2"/>
    <s v="BK-R93R-44"/>
    <x v="4"/>
    <n v="2171.2941999999998"/>
    <n v="3578.27"/>
    <s v="MRS."/>
    <s v="GINA"/>
    <s v="DOMINGUEZ"/>
    <s v="GINA DOMINGUEZ"/>
    <d v="1970-02-09T00:00:00"/>
    <s v="S"/>
    <s v="F"/>
    <s v="gina13@adventure-works.com"/>
    <n v="80000"/>
    <n v="4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109"/>
    <d v="2002-02-07T00:00:00"/>
    <s v="SO45907"/>
    <n v="310"/>
    <n v="20214"/>
    <n v="9"/>
    <n v="1"/>
    <n v="1"/>
    <n v="2"/>
    <s v="BK-R93R-62"/>
    <x v="1"/>
    <n v="2171.2941999999998"/>
    <n v="3578.27"/>
    <s v="MRS."/>
    <s v="TRISHA"/>
    <s v="LIU"/>
    <s v="TRISHA LIU"/>
    <d v="1968-09-08T00:00:00"/>
    <s v="S"/>
    <s v="F"/>
    <s v="trisha22@adventure-works.com"/>
    <n v="60000"/>
    <n v="2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15"/>
    <d v="2002-01-31T00:00:00"/>
    <s v="SO45964"/>
    <n v="310"/>
    <n v="20215"/>
    <n v="9"/>
    <n v="1"/>
    <n v="1"/>
    <n v="2"/>
    <s v="BK-R93R-62"/>
    <x v="1"/>
    <n v="2171.2941999999998"/>
    <n v="3578.27"/>
    <s v="MRS."/>
    <s v="IOANNIS"/>
    <s v="XYLARAS"/>
    <s v="IOANNIS XYLARAS"/>
    <d v="1968-12-01T00:00:00"/>
    <s v="S"/>
    <s v="F"/>
    <s v="ioannis0@adventure-works.com"/>
    <n v="60000"/>
    <n v="2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59"/>
    <d v="2002-03-02T00:00:00"/>
    <s v="SO45977"/>
    <n v="313"/>
    <n v="20216"/>
    <n v="9"/>
    <n v="1"/>
    <n v="1"/>
    <n v="2"/>
    <s v="BK-R93R-52"/>
    <x v="3"/>
    <n v="2171.2941999999998"/>
    <n v="3578.27"/>
    <s v="MR."/>
    <s v="SHAWN"/>
    <s v="CHANDER"/>
    <s v="SHAWN CHANDER"/>
    <d v="1968-06-20T00:00:00"/>
    <s v="M"/>
    <s v="M"/>
    <s v="shawn17@adventure-works.com"/>
    <n v="6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10"/>
    <d v="2002-03-28T00:00:00"/>
    <s v="SO45942"/>
    <n v="312"/>
    <n v="20219"/>
    <n v="9"/>
    <n v="1"/>
    <n v="1"/>
    <n v="2"/>
    <s v="BK-R93R-48"/>
    <x v="0"/>
    <n v="2171.2941999999998"/>
    <n v="3578.27"/>
    <s v="MRS."/>
    <s v="COLLEEN"/>
    <s v="HARRISON"/>
    <s v="COLLEEN HARRISON"/>
    <d v="1969-10-21T00:00:00"/>
    <s v="M"/>
    <s v="F"/>
    <s v="colleen19@adventure-works.com"/>
    <n v="110000"/>
    <n v="1"/>
    <s v="Graduate Degree"/>
    <s v="Management"/>
    <s v="N"/>
    <s v="Australia"/>
    <x v="2"/>
    <s v="Pacific"/>
    <x v="0"/>
    <s v="Bikes"/>
    <n v="3578.27"/>
    <n v="2171.2941999999998"/>
    <n v="1406.9757999999999"/>
    <n v="0.39320001006072802"/>
  </r>
  <r>
    <x v="112"/>
    <d v="2001-12-30T00:00:00"/>
    <s v="SO46007"/>
    <n v="312"/>
    <n v="20220"/>
    <n v="9"/>
    <n v="1"/>
    <n v="1"/>
    <n v="2"/>
    <s v="BK-R93R-48"/>
    <x v="0"/>
    <n v="2171.2941999999998"/>
    <n v="3578.27"/>
    <s v="MRS."/>
    <s v="WENDY"/>
    <s v="CARLSON"/>
    <s v="WENDY CARLSON"/>
    <d v="1969-07-17T00:00:00"/>
    <s v="S"/>
    <s v="F"/>
    <s v="wendy17@adventure-works.com"/>
    <n v="110000"/>
    <n v="1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110"/>
    <d v="2001-12-25T00:00:00"/>
    <s v="SO45943"/>
    <n v="310"/>
    <n v="20221"/>
    <n v="9"/>
    <n v="1"/>
    <n v="1"/>
    <n v="2"/>
    <s v="BK-R93R-62"/>
    <x v="1"/>
    <n v="2171.2941999999998"/>
    <n v="3578.27"/>
    <s v="MRS."/>
    <s v="KAYLEE"/>
    <s v="SANDERS"/>
    <s v="KAYLEE SANDERS"/>
    <d v="1969-05-15T00:00:00"/>
    <s v="M"/>
    <s v="F"/>
    <s v="kaylee2@adventure-works.com"/>
    <n v="120000"/>
    <n v="1"/>
    <s v="Graduate Degree"/>
    <s v="Management"/>
    <s v="N"/>
    <s v="Australia"/>
    <x v="2"/>
    <s v="Pacific"/>
    <x v="0"/>
    <s v="Bikes"/>
    <n v="3578.27"/>
    <n v="2171.2941999999998"/>
    <n v="1406.9757999999999"/>
    <n v="0.39320001006072802"/>
  </r>
  <r>
    <x v="110"/>
    <d v="2002-03-24T00:00:00"/>
    <s v="SO45944"/>
    <n v="312"/>
    <n v="20225"/>
    <n v="9"/>
    <n v="1"/>
    <n v="1"/>
    <n v="2"/>
    <s v="BK-R93R-48"/>
    <x v="0"/>
    <n v="2171.2941999999998"/>
    <n v="3578.27"/>
    <s v="MS."/>
    <s v="SHARON"/>
    <s v="RAI"/>
    <s v="SHARON RAI"/>
    <d v="1966-11-01T00:00:00"/>
    <s v="S"/>
    <s v="F"/>
    <s v="sharon23@adventure-works.com"/>
    <n v="9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60"/>
    <d v="2002-01-15T00:00:00"/>
    <s v="SO45892"/>
    <n v="312"/>
    <n v="20226"/>
    <n v="9"/>
    <n v="1"/>
    <n v="1"/>
    <n v="2"/>
    <s v="BK-R93R-48"/>
    <x v="0"/>
    <n v="2171.2941999999998"/>
    <n v="3578.27"/>
    <s v="MS."/>
    <s v="VALERIE"/>
    <s v="SHE"/>
    <s v="VALERIE SHE"/>
    <d v="1966-04-08T00:00:00"/>
    <s v="M"/>
    <s v="F"/>
    <s v="valerie25@adventure-works.com"/>
    <n v="9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15"/>
    <d v="2002-01-28T00:00:00"/>
    <s v="SO45962"/>
    <n v="310"/>
    <n v="20227"/>
    <n v="9"/>
    <n v="1"/>
    <n v="1"/>
    <n v="2"/>
    <s v="BK-R93R-62"/>
    <x v="1"/>
    <n v="2171.2941999999998"/>
    <n v="3578.27"/>
    <s v="MR."/>
    <s v="LOUIS"/>
    <s v="ZHANG"/>
    <s v="LOUIS ZHANG"/>
    <d v="1966-11-08T00:00:00"/>
    <s v="M"/>
    <s v="M"/>
    <s v="louis38@adventure-works.com"/>
    <n v="9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75"/>
    <d v="2002-01-24T00:00:00"/>
    <s v="SO46020"/>
    <n v="313"/>
    <n v="20228"/>
    <n v="9"/>
    <n v="1"/>
    <n v="1"/>
    <n v="2"/>
    <s v="BK-R93R-52"/>
    <x v="3"/>
    <n v="2171.2941999999998"/>
    <n v="3578.27"/>
    <s v="MR."/>
    <s v="RAYMOND"/>
    <s v="ARTHUR"/>
    <s v="RAYMOND ARTHUR"/>
    <d v="1966-06-23T00:00:00"/>
    <s v="M"/>
    <s v="M"/>
    <s v="raymond8@adventure-works.com"/>
    <n v="100000"/>
    <n v="0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112"/>
    <d v="2002-03-11T00:00:00"/>
    <s v="SO46006"/>
    <n v="313"/>
    <n v="20236"/>
    <n v="9"/>
    <n v="1"/>
    <n v="1"/>
    <n v="2"/>
    <s v="BK-R93R-52"/>
    <x v="3"/>
    <n v="2171.2941999999998"/>
    <n v="3578.27"/>
    <s v="MR."/>
    <s v="CESAR"/>
    <s v="CHANDRA"/>
    <s v="CESAR CHANDRA"/>
    <d v="1963-03-14T00:00:00"/>
    <s v="S"/>
    <s v="M"/>
    <s v="cesar2@adventure-works.com"/>
    <n v="60000"/>
    <n v="3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15"/>
    <d v="2002-03-22T00:00:00"/>
    <s v="SO45963"/>
    <n v="310"/>
    <n v="20238"/>
    <n v="9"/>
    <n v="1"/>
    <n v="1"/>
    <n v="2"/>
    <s v="BK-R93R-62"/>
    <x v="1"/>
    <n v="2171.2941999999998"/>
    <n v="3578.27"/>
    <s v="MRS."/>
    <s v="ANNA"/>
    <s v="WATSON"/>
    <s v="ANNA WATSON"/>
    <d v="1967-12-14T00:00:00"/>
    <s v="S"/>
    <s v="F"/>
    <s v="anna22@adventure-works.com"/>
    <n v="9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59"/>
    <d v="2002-02-15T00:00:00"/>
    <s v="SO45976"/>
    <n v="314"/>
    <n v="20239"/>
    <n v="9"/>
    <n v="1"/>
    <n v="1"/>
    <n v="2"/>
    <s v="BK-R93R-56"/>
    <x v="2"/>
    <n v="2171.2941999999998"/>
    <n v="3578.27"/>
    <s v="MRS."/>
    <s v="JILL"/>
    <s v="ORTEGA"/>
    <s v="JILL ORTEGA"/>
    <d v="1967-12-27T00:00:00"/>
    <s v="M"/>
    <s v="F"/>
    <s v="jill30@adventure-works.com"/>
    <n v="90000"/>
    <n v="2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09"/>
    <d v="2001-12-23T00:00:00"/>
    <s v="SO45904"/>
    <n v="311"/>
    <n v="20241"/>
    <n v="9"/>
    <n v="1"/>
    <n v="1"/>
    <n v="2"/>
    <s v="BK-R93R-44"/>
    <x v="4"/>
    <n v="2171.2941999999998"/>
    <n v="3578.27"/>
    <s v="MR."/>
    <s v="CESAR"/>
    <s v="MEHTA"/>
    <s v="CESAR MEHTA"/>
    <d v="1961-08-03T00:00:00"/>
    <s v="M"/>
    <s v="M"/>
    <s v="cesar13@adventure-works.com"/>
    <n v="60000"/>
    <n v="1"/>
    <s v="Partial College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30"/>
    <d v="2002-01-27T00:00:00"/>
    <s v="SO45875"/>
    <n v="310"/>
    <n v="20242"/>
    <n v="9"/>
    <n v="1"/>
    <n v="1"/>
    <n v="2"/>
    <s v="BK-R93R-62"/>
    <x v="1"/>
    <n v="2171.2941999999998"/>
    <n v="3578.27"/>
    <s v="MR."/>
    <s v="CHRISTOPHER"/>
    <s v="THOMAS"/>
    <s v="CHRISTOPHER THOMAS"/>
    <d v="1931-07-07T00:00:00"/>
    <s v="M"/>
    <s v="M"/>
    <s v="christopher11@adventure-works.com"/>
    <n v="120000"/>
    <n v="5"/>
    <s v="Graduate Degree"/>
    <s v="Management"/>
    <s v="N"/>
    <s v="Australia"/>
    <x v="2"/>
    <s v="Pacific"/>
    <x v="0"/>
    <s v="Bikes"/>
    <n v="3578.27"/>
    <n v="2171.2941999999998"/>
    <n v="1406.9757999999999"/>
    <n v="0.39320001006072802"/>
  </r>
  <r>
    <x v="110"/>
    <d v="2002-03-27T00:00:00"/>
    <s v="SO45940"/>
    <n v="313"/>
    <n v="20244"/>
    <n v="9"/>
    <n v="1"/>
    <n v="1"/>
    <n v="2"/>
    <s v="BK-R93R-52"/>
    <x v="3"/>
    <n v="2171.2941999999998"/>
    <n v="3578.27"/>
    <s v="MS."/>
    <s v="DAWN"/>
    <s v="RAJI"/>
    <s v="DAWN RAJI"/>
    <d v="1966-05-17T00:00:00"/>
    <s v="S"/>
    <s v="F"/>
    <s v="dawn45@adventure-works.com"/>
    <n v="100000"/>
    <n v="0"/>
    <s v="Graduate Degree"/>
    <s v="Management"/>
    <s v="N"/>
    <s v="Australia"/>
    <x v="2"/>
    <s v="Pacific"/>
    <x v="0"/>
    <s v="Bikes"/>
    <n v="3578.27"/>
    <n v="2171.2941999999998"/>
    <n v="1406.9757999999999"/>
    <n v="0.39320001006072802"/>
  </r>
  <r>
    <x v="90"/>
    <d v="2002-01-19T00:00:00"/>
    <s v="SO45829"/>
    <n v="310"/>
    <n v="20245"/>
    <n v="9"/>
    <n v="1"/>
    <n v="1"/>
    <n v="2"/>
    <s v="BK-R93R-62"/>
    <x v="1"/>
    <n v="2171.2941999999998"/>
    <n v="3578.27"/>
    <s v="MR."/>
    <s v="DARREN"/>
    <s v="MALHOTRA"/>
    <s v="DARREN MALHOTRA"/>
    <d v="1966-08-09T00:00:00"/>
    <s v="S"/>
    <s v="M"/>
    <s v="darren7@adventure-works.com"/>
    <n v="100000"/>
    <n v="0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359"/>
    <d v="2002-03-07T00:00:00"/>
    <s v="SO45822"/>
    <n v="312"/>
    <n v="20246"/>
    <n v="9"/>
    <n v="1"/>
    <n v="1"/>
    <n v="2"/>
    <s v="BK-R93R-48"/>
    <x v="0"/>
    <n v="2171.2941999999998"/>
    <n v="3578.27"/>
    <s v="MS."/>
    <s v="MINDY"/>
    <s v="XU"/>
    <s v="MINDY XU"/>
    <d v="1966-02-19T00:00:00"/>
    <s v="M"/>
    <s v="F"/>
    <s v="mindy9@adventure-works.com"/>
    <n v="10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93"/>
    <d v="2002-02-08T00:00:00"/>
    <s v="SO45856"/>
    <n v="311"/>
    <n v="20247"/>
    <n v="9"/>
    <n v="1"/>
    <n v="1"/>
    <n v="2"/>
    <s v="BK-R93R-44"/>
    <x v="4"/>
    <n v="2171.2941999999998"/>
    <n v="3578.27"/>
    <s v="MS."/>
    <s v="KRISTINA"/>
    <s v="LOPEZ"/>
    <s v="KRISTINA LOPEZ"/>
    <d v="1966-07-26T00:00:00"/>
    <s v="S"/>
    <s v="F"/>
    <s v="kristina17@adventure-works.com"/>
    <n v="10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14"/>
    <d v="2002-03-08T00:00:00"/>
    <s v="SO45931"/>
    <n v="310"/>
    <n v="20249"/>
    <n v="9"/>
    <n v="1"/>
    <n v="1"/>
    <n v="2"/>
    <s v="BK-R93R-62"/>
    <x v="1"/>
    <n v="2171.2941999999998"/>
    <n v="3578.27"/>
    <s v="MRS."/>
    <s v="TASHA"/>
    <s v="KUMAR"/>
    <s v="TASHA KUMAR"/>
    <d v="1960-07-03T00:00:00"/>
    <s v="S"/>
    <s v="F"/>
    <s v="tasha8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359"/>
    <d v="2002-02-12T00:00:00"/>
    <s v="SO45823"/>
    <n v="311"/>
    <n v="20253"/>
    <n v="9"/>
    <n v="1"/>
    <n v="1"/>
    <n v="2"/>
    <s v="BK-R93R-44"/>
    <x v="4"/>
    <n v="2171.2941999999998"/>
    <n v="3578.27"/>
    <s v="MS."/>
    <s v="VERONICA"/>
    <s v="KAPOOR"/>
    <s v="VERONICA KAPOOR"/>
    <d v="1965-04-13T00:00:00"/>
    <s v="S"/>
    <s v="F"/>
    <s v="veronica1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30"/>
    <d v="2002-03-22T00:00:00"/>
    <s v="SO46199"/>
    <n v="314"/>
    <n v="20256"/>
    <n v="9"/>
    <n v="1"/>
    <n v="1"/>
    <n v="2"/>
    <s v="BK-R93R-56"/>
    <x v="2"/>
    <n v="2171.2941999999998"/>
    <n v="3578.27"/>
    <s v="MR."/>
    <s v="JAVIER"/>
    <s v="SERRANO"/>
    <s v="JAVIER SERRANO"/>
    <d v="1964-05-04T00:00:00"/>
    <s v="S"/>
    <s v="M"/>
    <s v="javier11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41"/>
    <d v="2002-02-03T00:00:00"/>
    <s v="SO46291"/>
    <n v="313"/>
    <n v="20258"/>
    <n v="9"/>
    <n v="1"/>
    <n v="1"/>
    <n v="2"/>
    <s v="BK-R93R-52"/>
    <x v="3"/>
    <n v="2171.2941999999998"/>
    <n v="3578.27"/>
    <s v="MS."/>
    <s v="KATELYN"/>
    <s v="WARD"/>
    <s v="KATELYN WARD"/>
    <d v="1963-04-24T00:00:00"/>
    <s v="S"/>
    <s v="F"/>
    <s v="katelyn11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25"/>
    <d v="2002-02-21T00:00:00"/>
    <s v="SO46134"/>
    <n v="312"/>
    <n v="20259"/>
    <n v="9"/>
    <n v="1"/>
    <n v="1"/>
    <n v="2"/>
    <s v="BK-R93R-48"/>
    <x v="0"/>
    <n v="2171.2941999999998"/>
    <n v="3578.27"/>
    <s v=""/>
    <s v="JENNY"/>
    <s v="ANDERSEN"/>
    <s v="JENNY ANDERSEN"/>
    <d v="1963-09-28T00:00:00"/>
    <s v="S"/>
    <s v="NA"/>
    <s v="jenny35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30"/>
    <d v="2002-04-05T00:00:00"/>
    <s v="SO46200"/>
    <n v="310"/>
    <n v="20260"/>
    <n v="9"/>
    <n v="1"/>
    <n v="1"/>
    <n v="2"/>
    <s v="BK-R93R-62"/>
    <x v="1"/>
    <n v="2171.2941999999998"/>
    <n v="3578.27"/>
    <s v="MR."/>
    <s v="ETHAN"/>
    <s v="MARTINEZ"/>
    <s v="ETHAN MARTINEZ"/>
    <d v="1962-05-18T00:00:00"/>
    <s v="S"/>
    <s v="M"/>
    <s v="ethan31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33"/>
    <d v="2002-03-03T00:00:00"/>
    <s v="SO46225"/>
    <n v="313"/>
    <n v="20261"/>
    <n v="9"/>
    <n v="1"/>
    <n v="1"/>
    <n v="2"/>
    <s v="BK-R93R-52"/>
    <x v="3"/>
    <n v="2171.2941999999998"/>
    <n v="3578.27"/>
    <s v="MRS."/>
    <s v="MARIAH"/>
    <s v="RIVERA"/>
    <s v="MARIAH RIVERA"/>
    <d v="1962-03-26T00:00:00"/>
    <s v="M"/>
    <s v="F"/>
    <s v="mariah41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42"/>
    <d v="2002-04-25T00:00:00"/>
    <s v="SO46299"/>
    <n v="314"/>
    <n v="20264"/>
    <n v="9"/>
    <n v="1"/>
    <n v="1"/>
    <n v="2"/>
    <s v="BK-R93R-56"/>
    <x v="2"/>
    <n v="2171.2941999999998"/>
    <n v="3578.27"/>
    <s v="MR."/>
    <s v="JAY"/>
    <s v="CARLSON"/>
    <s v="JAY CARLSON"/>
    <d v="1961-10-27T00:00:00"/>
    <s v="S"/>
    <s v="M"/>
    <s v="jay48@adventure-works.com"/>
    <n v="60000"/>
    <n v="1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27"/>
    <d v="2002-01-24T00:00:00"/>
    <s v="SO46173"/>
    <n v="311"/>
    <n v="20283"/>
    <n v="9"/>
    <n v="1"/>
    <n v="1"/>
    <n v="2"/>
    <s v="BK-R93R-44"/>
    <x v="4"/>
    <n v="2171.2941999999998"/>
    <n v="3578.27"/>
    <s v="MRS."/>
    <s v="KATIE"/>
    <s v="SHEN"/>
    <s v="KATIE SHEN"/>
    <d v="1940-12-08T00:00:00"/>
    <s v="M"/>
    <s v="F"/>
    <s v="katie5@adventure-works.com"/>
    <n v="40000"/>
    <n v="2"/>
    <s v="Bachelors"/>
    <s v="Management"/>
    <s v="Y"/>
    <s v="Australia"/>
    <x v="2"/>
    <s v="Pacific"/>
    <x v="0"/>
    <s v="Bikes"/>
    <n v="3578.27"/>
    <n v="2171.2941999999998"/>
    <n v="1406.9757999999999"/>
    <n v="0.39320001006072802"/>
  </r>
  <r>
    <x v="131"/>
    <d v="2002-01-30T00:00:00"/>
    <s v="SO46208"/>
    <n v="311"/>
    <n v="20284"/>
    <n v="9"/>
    <n v="1"/>
    <n v="1"/>
    <n v="2"/>
    <s v="BK-R93R-44"/>
    <x v="4"/>
    <n v="2171.2941999999998"/>
    <n v="3578.27"/>
    <s v="MRS."/>
    <s v="DEANNA"/>
    <s v="ASHE"/>
    <s v="DEANNA ASHE"/>
    <d v="1943-06-12T00:00:00"/>
    <s v="S"/>
    <s v="F"/>
    <s v="deanna10@adventure-works.com"/>
    <n v="60000"/>
    <n v="2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106"/>
    <d v="2002-06-17T00:00:00"/>
    <s v="SO47112"/>
    <n v="356"/>
    <n v="20318"/>
    <n v="6"/>
    <n v="1"/>
    <n v="1"/>
    <n v="1"/>
    <s v="BK-M68S-46"/>
    <x v="14"/>
    <n v="1117.8559"/>
    <n v="2071.4196000000002"/>
    <s v="MRS."/>
    <s v="AMANDA"/>
    <s v="TURNER"/>
    <s v="AMANDA TURNER"/>
    <d v="1971-11-03T00:00:00"/>
    <s v="M"/>
    <s v="F"/>
    <s v="amanda48@adventure-works.com"/>
    <n v="60000"/>
    <n v="1"/>
    <s v="Graduate Degree"/>
    <s v="Skilled Manual"/>
    <s v="Y"/>
    <s v="Canada"/>
    <x v="5"/>
    <s v="North America"/>
    <x v="1"/>
    <s v="Bikes"/>
    <n v="2071.4196000000002"/>
    <n v="1117.8559"/>
    <n v="953.56370000000004"/>
    <n v="0.460343090313522"/>
  </r>
  <r>
    <x v="249"/>
    <d v="2002-06-23T00:00:00"/>
    <s v="SO47332"/>
    <n v="356"/>
    <n v="20350"/>
    <n v="6"/>
    <n v="1"/>
    <n v="1"/>
    <n v="1"/>
    <s v="BK-M68S-46"/>
    <x v="14"/>
    <n v="1117.8559"/>
    <n v="2071.4196000000002"/>
    <s v="MRS."/>
    <s v="ISABELLA"/>
    <s v="CAMPBELL"/>
    <s v="ISABELLA CAMPBELL"/>
    <d v="1955-02-02T00:00:00"/>
    <s v="M"/>
    <s v="F"/>
    <s v="isabella37@adventure-works.com"/>
    <n v="60000"/>
    <n v="2"/>
    <s v="High School"/>
    <s v="Professional"/>
    <s v="N"/>
    <s v="Canada"/>
    <x v="5"/>
    <s v="North America"/>
    <x v="1"/>
    <s v="Bikes"/>
    <n v="2071.4196000000002"/>
    <n v="1117.8559"/>
    <n v="953.56370000000004"/>
    <n v="0.460343090313522"/>
  </r>
  <r>
    <x v="196"/>
    <d v="2002-09-13T00:00:00"/>
    <s v="SO47646"/>
    <n v="352"/>
    <n v="20373"/>
    <n v="6"/>
    <n v="1"/>
    <n v="1"/>
    <n v="1"/>
    <s v="BK-M68S-38"/>
    <x v="16"/>
    <n v="1117.8559"/>
    <n v="2071.4196000000002"/>
    <s v="MRS."/>
    <s v="MORGAN"/>
    <s v="WILLIAMS"/>
    <s v="MORGAN WILLIAMS"/>
    <d v="1954-01-17T00:00:00"/>
    <s v="M"/>
    <s v="F"/>
    <s v="morgan25@adventure-works.com"/>
    <n v="60000"/>
    <n v="2"/>
    <s v="Partial High School"/>
    <s v="Skilled Manual"/>
    <s v="N"/>
    <s v="Canada"/>
    <x v="5"/>
    <s v="North America"/>
    <x v="1"/>
    <s v="Bikes"/>
    <n v="2071.4196000000002"/>
    <n v="1117.8559"/>
    <n v="953.56370000000004"/>
    <n v="0.460343090313522"/>
  </r>
  <r>
    <x v="276"/>
    <d v="2002-08-07T00:00:00"/>
    <s v="SO47794"/>
    <n v="354"/>
    <n v="20375"/>
    <n v="6"/>
    <n v="1"/>
    <n v="1"/>
    <n v="1"/>
    <s v="BK-M68S-42"/>
    <x v="18"/>
    <n v="1117.8559"/>
    <n v="2071.4196000000002"/>
    <s v="MRS."/>
    <s v="OLIVIA"/>
    <s v="PERRY"/>
    <s v="OLIVIA PERRY"/>
    <d v="1953-03-17T00:00:00"/>
    <s v="S"/>
    <s v="F"/>
    <s v="olivia53@adventure-works.com"/>
    <n v="70000"/>
    <n v="3"/>
    <s v="Graduate Degree"/>
    <s v="Management"/>
    <s v="Y"/>
    <s v="Canada"/>
    <x v="5"/>
    <s v="North America"/>
    <x v="1"/>
    <s v="Bikes"/>
    <n v="2071.4196000000002"/>
    <n v="1117.8559"/>
    <n v="953.56370000000004"/>
    <n v="0.460343090313522"/>
  </r>
  <r>
    <x v="125"/>
    <d v="2002-03-13T00:00:00"/>
    <s v="SO46135"/>
    <n v="313"/>
    <n v="20416"/>
    <n v="9"/>
    <n v="1"/>
    <n v="1"/>
    <n v="2"/>
    <s v="BK-R93R-52"/>
    <x v="3"/>
    <n v="2171.2941999999998"/>
    <n v="3578.27"/>
    <s v="MR."/>
    <s v="DALE"/>
    <s v="GOEL"/>
    <s v="DALE GOEL"/>
    <d v="1949-12-22T00:00:00"/>
    <s v="S"/>
    <s v="M"/>
    <s v="dale17@adventure-works.com"/>
    <n v="30000"/>
    <n v="3"/>
    <s v="Partial College"/>
    <s v="Clerical"/>
    <s v="Y"/>
    <s v="Australia"/>
    <x v="2"/>
    <s v="Pacific"/>
    <x v="0"/>
    <s v="Bikes"/>
    <n v="3578.27"/>
    <n v="2171.2941999999998"/>
    <n v="1406.9757999999999"/>
    <n v="0.39320001006072802"/>
  </r>
  <r>
    <x v="141"/>
    <d v="2002-03-16T00:00:00"/>
    <s v="SO46292"/>
    <n v="313"/>
    <n v="20418"/>
    <n v="9"/>
    <n v="1"/>
    <n v="1"/>
    <n v="2"/>
    <s v="BK-R93R-52"/>
    <x v="3"/>
    <n v="2171.2941999999998"/>
    <n v="3578.27"/>
    <s v="MR."/>
    <s v="JOE"/>
    <s v="VAZQUEZ"/>
    <s v="JOE VAZQUEZ"/>
    <d v="1950-04-13T00:00:00"/>
    <s v="M"/>
    <s v="M"/>
    <s v="joe38@adventure-works.com"/>
    <n v="30000"/>
    <n v="3"/>
    <s v="Partial College"/>
    <s v="Clerical"/>
    <s v="N"/>
    <s v="Australia"/>
    <x v="2"/>
    <s v="Pacific"/>
    <x v="0"/>
    <s v="Bikes"/>
    <n v="3578.27"/>
    <n v="2171.2941999999998"/>
    <n v="1406.9757999999999"/>
    <n v="0.39320001006072802"/>
  </r>
  <r>
    <x v="124"/>
    <d v="2002-04-14T00:00:00"/>
    <s v="SO46129"/>
    <n v="313"/>
    <n v="20420"/>
    <n v="9"/>
    <n v="1"/>
    <n v="1"/>
    <n v="2"/>
    <s v="BK-R93R-52"/>
    <x v="3"/>
    <n v="2171.2941999999998"/>
    <n v="3578.27"/>
    <s v="MRS."/>
    <s v="EVELYN"/>
    <s v="MEHTA"/>
    <s v="EVELYN MEHTA"/>
    <d v="1951-02-04T00:00:00"/>
    <s v="M"/>
    <s v="F"/>
    <s v="evelyn15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34"/>
    <d v="2002-03-07T00:00:00"/>
    <s v="SO46242"/>
    <n v="314"/>
    <n v="20423"/>
    <n v="9"/>
    <n v="1"/>
    <n v="1"/>
    <n v="2"/>
    <s v="BK-R93R-56"/>
    <x v="2"/>
    <n v="2171.2941999999998"/>
    <n v="3578.27"/>
    <s v="MRS."/>
    <s v="ALICIA"/>
    <s v="GOEL"/>
    <s v="ALICIA GOEL"/>
    <d v="1952-10-10T00:00:00"/>
    <s v="S"/>
    <s v="F"/>
    <s v="alicia15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38"/>
    <d v="2002-02-19T00:00:00"/>
    <s v="SO46266"/>
    <n v="314"/>
    <n v="20425"/>
    <n v="9"/>
    <n v="1"/>
    <n v="1"/>
    <n v="2"/>
    <s v="BK-R93R-56"/>
    <x v="2"/>
    <n v="2171.2941999999998"/>
    <n v="3578.27"/>
    <s v="MRS."/>
    <s v="SABRINA"/>
    <s v="TORRES"/>
    <s v="SABRINA TORRES"/>
    <d v="1952-11-17T00:00:00"/>
    <s v="M"/>
    <s v="F"/>
    <s v="sabrina7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25"/>
    <d v="2002-02-28T00:00:00"/>
    <s v="SO46136"/>
    <n v="312"/>
    <n v="20426"/>
    <n v="9"/>
    <n v="1"/>
    <n v="1"/>
    <n v="2"/>
    <s v="BK-R93R-48"/>
    <x v="0"/>
    <n v="2171.2941999999998"/>
    <n v="3578.27"/>
    <s v="MR."/>
    <s v="JOHNATHAN"/>
    <s v="PEREZ"/>
    <s v="JOHNATHAN PEREZ"/>
    <d v="1952-10-04T00:00:00"/>
    <s v="M"/>
    <s v="M"/>
    <s v="johnathan20@adventure-works.com"/>
    <n v="30000"/>
    <n v="3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44"/>
    <d v="2002-05-08T00:00:00"/>
    <s v="SO46307"/>
    <n v="314"/>
    <n v="20427"/>
    <n v="9"/>
    <n v="1"/>
    <n v="1"/>
    <n v="2"/>
    <s v="BK-R93R-56"/>
    <x v="2"/>
    <n v="2171.2941999999998"/>
    <n v="3578.27"/>
    <s v="MR."/>
    <s v="MARIO"/>
    <s v="RAJE"/>
    <s v="MARIO RAJE"/>
    <d v="1953-04-07T00:00:00"/>
    <s v="S"/>
    <s v="M"/>
    <s v="mario12@adventure-works.com"/>
    <n v="40000"/>
    <n v="3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32"/>
    <d v="2002-02-22T00:00:00"/>
    <s v="SO46215"/>
    <n v="310"/>
    <n v="20429"/>
    <n v="9"/>
    <n v="1"/>
    <n v="1"/>
    <n v="2"/>
    <s v="BK-R93R-62"/>
    <x v="1"/>
    <n v="2171.2941999999998"/>
    <n v="3578.27"/>
    <s v="MR."/>
    <s v="CURTIS"/>
    <s v="GAO"/>
    <s v="CURTIS GAO"/>
    <d v="1953-04-25T00:00:00"/>
    <s v="M"/>
    <s v="M"/>
    <s v="curtis11@adventure-works.com"/>
    <n v="40000"/>
    <n v="3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29"/>
    <d v="2002-04-27T00:00:00"/>
    <s v="SO46188"/>
    <n v="310"/>
    <n v="20430"/>
    <n v="9"/>
    <n v="1"/>
    <n v="1"/>
    <n v="2"/>
    <s v="BK-R93R-62"/>
    <x v="1"/>
    <n v="2171.2941999999998"/>
    <n v="3578.27"/>
    <s v="MR."/>
    <s v="MAURICE"/>
    <s v="ASHE"/>
    <s v="MAURICE ASHE"/>
    <d v="1954-02-04T00:00:00"/>
    <s v="M"/>
    <s v="M"/>
    <s v="maurice23@adventure-works.com"/>
    <n v="70000"/>
    <n v="2"/>
    <s v="Partial College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46"/>
    <d v="2002-05-13T00:00:00"/>
    <s v="SO46318"/>
    <n v="312"/>
    <n v="20444"/>
    <n v="9"/>
    <n v="1"/>
    <n v="1"/>
    <n v="2"/>
    <s v="BK-R93R-48"/>
    <x v="0"/>
    <n v="2171.2941999999998"/>
    <n v="3578.27"/>
    <s v="MRS."/>
    <s v="CARA"/>
    <s v="ZENG"/>
    <s v="CARA ZENG"/>
    <d v="1955-09-13T00:00:00"/>
    <s v="S"/>
    <s v="F"/>
    <s v="cara18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37"/>
    <d v="2002-02-12T00:00:00"/>
    <s v="SO46262"/>
    <n v="313"/>
    <n v="20445"/>
    <n v="9"/>
    <n v="1"/>
    <n v="1"/>
    <n v="2"/>
    <s v="BK-R93R-52"/>
    <x v="3"/>
    <n v="2171.2941999999998"/>
    <n v="3578.27"/>
    <s v="MRS."/>
    <s v="BARBARA"/>
    <s v="DENG"/>
    <s v="BARBARA DENG"/>
    <d v="1955-10-19T00:00:00"/>
    <s v="M"/>
    <s v="F"/>
    <s v="barbara32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22"/>
    <d v="2002-02-01T00:00:00"/>
    <s v="SO46117"/>
    <n v="310"/>
    <n v="20446"/>
    <n v="9"/>
    <n v="1"/>
    <n v="1"/>
    <n v="2"/>
    <s v="BK-R93R-62"/>
    <x v="1"/>
    <n v="2171.2941999999998"/>
    <n v="3578.27"/>
    <s v="MR."/>
    <s v="CLAYTON"/>
    <s v="RAI"/>
    <s v="CLAYTON RAI"/>
    <d v="1955-02-07T00:00:00"/>
    <s v="M"/>
    <s v="M"/>
    <s v="clayton35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23"/>
    <d v="2002-04-05T00:00:00"/>
    <s v="SO46124"/>
    <n v="311"/>
    <n v="20447"/>
    <n v="9"/>
    <n v="1"/>
    <n v="1"/>
    <n v="2"/>
    <s v="BK-R93R-44"/>
    <x v="4"/>
    <n v="2171.2941999999998"/>
    <n v="3578.27"/>
    <s v="MRS."/>
    <s v="JODI"/>
    <s v="GOEL"/>
    <s v="JODI GOEL"/>
    <d v="1956-03-02T00:00:00"/>
    <s v="S"/>
    <s v="F"/>
    <s v="jodi20@adventure-works.com"/>
    <n v="80000"/>
    <n v="2"/>
    <s v="High School"/>
    <s v="Skilled Manual"/>
    <s v="N"/>
    <s v="Australia"/>
    <x v="2"/>
    <s v="Pacific"/>
    <x v="0"/>
    <s v="Bikes"/>
    <n v="3578.27"/>
    <n v="2171.2941999999998"/>
    <n v="1406.9757999999999"/>
    <n v="0.39320001006072802"/>
  </r>
  <r>
    <x v="138"/>
    <d v="2002-02-08T00:00:00"/>
    <s v="SO46267"/>
    <n v="314"/>
    <n v="20448"/>
    <n v="9"/>
    <n v="1"/>
    <n v="1"/>
    <n v="2"/>
    <s v="BK-R93R-56"/>
    <x v="2"/>
    <n v="2171.2941999999998"/>
    <n v="3578.27"/>
    <s v=""/>
    <s v="J�SUS"/>
    <s v="BLANCO"/>
    <s v="J�SUS BLANCO"/>
    <d v="1956-02-22T00:00:00"/>
    <s v="M"/>
    <s v="NA"/>
    <s v="j�sus14@adventure-works.com"/>
    <n v="80000"/>
    <n v="2"/>
    <s v="High School"/>
    <s v="Skilled Manual"/>
    <s v="Y"/>
    <s v="Australia"/>
    <x v="2"/>
    <s v="Pacific"/>
    <x v="0"/>
    <s v="Bikes"/>
    <n v="3578.27"/>
    <n v="2171.2941999999998"/>
    <n v="1406.9757999999999"/>
    <n v="0.39320001006072802"/>
  </r>
  <r>
    <x v="139"/>
    <d v="2002-04-12T00:00:00"/>
    <s v="SO46275"/>
    <n v="313"/>
    <n v="20450"/>
    <n v="9"/>
    <n v="1"/>
    <n v="1"/>
    <n v="2"/>
    <s v="BK-R93R-52"/>
    <x v="3"/>
    <n v="2171.2941999999998"/>
    <n v="3578.27"/>
    <s v="MR."/>
    <s v="EDWIN"/>
    <s v="TANG"/>
    <s v="EDWIN TANG"/>
    <d v="1957-02-10T00:00:00"/>
    <s v="S"/>
    <s v="M"/>
    <s v="edwin26@adventure-works.com"/>
    <n v="70000"/>
    <n v="2"/>
    <s v="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36"/>
    <d v="2002-02-05T00:00:00"/>
    <s v="SO46255"/>
    <n v="312"/>
    <n v="20451"/>
    <n v="9"/>
    <n v="1"/>
    <n v="1"/>
    <n v="2"/>
    <s v="BK-R93R-48"/>
    <x v="0"/>
    <n v="2171.2941999999998"/>
    <n v="3578.27"/>
    <s v="MRS."/>
    <s v="KELLI"/>
    <s v="ANAND"/>
    <s v="KELLI ANAND"/>
    <d v="1957-05-15T00:00:00"/>
    <s v="S"/>
    <s v="F"/>
    <s v="kelli45@adventure-works.com"/>
    <n v="70000"/>
    <n v="2"/>
    <s v="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42"/>
    <d v="2002-04-04T00:00:00"/>
    <s v="SO46300"/>
    <n v="314"/>
    <n v="20452"/>
    <n v="9"/>
    <n v="1"/>
    <n v="1"/>
    <n v="2"/>
    <s v="BK-R93R-56"/>
    <x v="2"/>
    <n v="2171.2941999999998"/>
    <n v="3578.27"/>
    <s v="MRS."/>
    <s v="KELLI"/>
    <s v="XIE"/>
    <s v="KELLI XIE"/>
    <d v="1957-10-11T00:00:00"/>
    <s v="S"/>
    <s v="F"/>
    <s v="kelli26@adventure-works.com"/>
    <n v="70000"/>
    <n v="2"/>
    <s v="High School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32"/>
    <d v="2002-03-14T00:00:00"/>
    <s v="SO46216"/>
    <n v="314"/>
    <n v="20456"/>
    <n v="9"/>
    <n v="1"/>
    <n v="1"/>
    <n v="2"/>
    <s v="BK-R93R-56"/>
    <x v="2"/>
    <n v="2171.2941999999998"/>
    <n v="3578.27"/>
    <s v="MR."/>
    <s v="ALFREDO"/>
    <s v="RAMOS"/>
    <s v="ALFREDO RAMOS"/>
    <d v="1958-02-10T00:00:00"/>
    <s v="S"/>
    <s v="M"/>
    <s v="alfredo18@adventure-works.com"/>
    <n v="130000"/>
    <n v="0"/>
    <s v="Graduate Degree"/>
    <s v="Management"/>
    <s v="Y"/>
    <s v="Australia"/>
    <x v="2"/>
    <s v="Pacific"/>
    <x v="0"/>
    <s v="Bikes"/>
    <n v="3578.27"/>
    <n v="2171.2941999999998"/>
    <n v="1406.9757999999999"/>
    <n v="0.39320001006072802"/>
  </r>
  <r>
    <x v="279"/>
    <d v="2002-07-09T00:00:00"/>
    <s v="SO47908"/>
    <n v="362"/>
    <n v="20468"/>
    <n v="6"/>
    <n v="1"/>
    <n v="1"/>
    <n v="1"/>
    <s v="BK-M68B-46"/>
    <x v="13"/>
    <n v="1105.81"/>
    <n v="2049.0981999999999"/>
    <s v="MRS."/>
    <s v="OLIVIA"/>
    <s v="RICHARDSON"/>
    <s v="OLIVIA RICHARDSON"/>
    <d v="1956-06-05T00:00:00"/>
    <s v="M"/>
    <s v="F"/>
    <s v="olivia35@adventure-works.com"/>
    <n v="60000"/>
    <n v="2"/>
    <s v="High School"/>
    <s v="Professional"/>
    <s v="N"/>
    <s v="Canada"/>
    <x v="5"/>
    <s v="North America"/>
    <x v="1"/>
    <s v="Bikes"/>
    <n v="2049.0981999999999"/>
    <n v="1105.81"/>
    <n v="943.28819999999996"/>
    <n v="0.46034309141455498"/>
  </r>
  <r>
    <x v="263"/>
    <d v="2002-08-30T00:00:00"/>
    <s v="SO47861"/>
    <n v="356"/>
    <n v="20470"/>
    <n v="6"/>
    <n v="1"/>
    <n v="1"/>
    <n v="1"/>
    <s v="BK-M68S-46"/>
    <x v="14"/>
    <n v="1117.8559"/>
    <n v="2071.4196000000002"/>
    <s v="MRS."/>
    <s v="MELISSA"/>
    <s v="GONZALES"/>
    <s v="MELISSA GONZALES"/>
    <d v="1956-08-26T00:00:00"/>
    <s v="S"/>
    <s v="F"/>
    <s v="melissa12@adventure-works.com"/>
    <n v="70000"/>
    <n v="3"/>
    <s v="Partial College"/>
    <s v="Professional"/>
    <s v="Y"/>
    <s v="Canada"/>
    <x v="5"/>
    <s v="North America"/>
    <x v="1"/>
    <s v="Bikes"/>
    <n v="2071.4196000000002"/>
    <n v="1117.8559"/>
    <n v="953.56370000000004"/>
    <n v="0.460343090313522"/>
  </r>
  <r>
    <x v="284"/>
    <d v="2002-07-30T00:00:00"/>
    <s v="SO48131"/>
    <n v="360"/>
    <n v="20483"/>
    <n v="6"/>
    <n v="1"/>
    <n v="1"/>
    <n v="1"/>
    <s v="BK-M68B-42"/>
    <x v="17"/>
    <n v="1105.81"/>
    <n v="2049.0981999999999"/>
    <s v="MR."/>
    <s v="AUSTIN"/>
    <s v="KUMAR"/>
    <s v="AUSTIN KUMAR"/>
    <d v="1962-03-10T00:00:00"/>
    <s v="M"/>
    <s v="M"/>
    <s v="austin25@adventure-works.com"/>
    <n v="70000"/>
    <n v="1"/>
    <s v="Partial College"/>
    <s v="Skilled Manual"/>
    <s v="Y"/>
    <s v="Canada"/>
    <x v="5"/>
    <s v="North America"/>
    <x v="1"/>
    <s v="Bikes"/>
    <n v="2049.0981999999999"/>
    <n v="1105.81"/>
    <n v="943.28819999999996"/>
    <n v="0.46034309141455498"/>
  </r>
  <r>
    <x v="348"/>
    <d v="2002-08-23T00:00:00"/>
    <s v="SO48106"/>
    <n v="360"/>
    <n v="20546"/>
    <n v="6"/>
    <n v="1"/>
    <n v="1"/>
    <n v="1"/>
    <s v="BK-M68B-42"/>
    <x v="17"/>
    <n v="1105.81"/>
    <n v="2049.0981999999999"/>
    <s v="MRS."/>
    <s v="RUTH"/>
    <s v="FERNANDEZ"/>
    <s v="RUTH FERNANDEZ"/>
    <d v="1952-10-26T00:00:00"/>
    <s v="M"/>
    <s v="F"/>
    <s v="ruth20@adventure-works.com"/>
    <n v="60000"/>
    <n v="2"/>
    <s v="High School"/>
    <s v="Professional"/>
    <s v="N"/>
    <s v="Canada"/>
    <x v="5"/>
    <s v="North America"/>
    <x v="1"/>
    <s v="Bikes"/>
    <n v="2049.0981999999999"/>
    <n v="1105.81"/>
    <n v="943.28819999999996"/>
    <n v="0.46034309141455498"/>
  </r>
  <r>
    <x v="360"/>
    <d v="2002-07-06T00:00:00"/>
    <s v="SO47761"/>
    <n v="324"/>
    <n v="20548"/>
    <n v="8"/>
    <n v="1"/>
    <n v="1"/>
    <n v="2"/>
    <s v="BK-R50R-62"/>
    <x v="42"/>
    <n v="413.1463"/>
    <n v="699.09820000000002"/>
    <s v="MR."/>
    <s v="PHILLIP"/>
    <s v="RODRIGUEZ"/>
    <s v="PHILLIP RODRIGUEZ"/>
    <d v="1957-11-02T00:00:00"/>
    <s v="M"/>
    <s v="M"/>
    <s v="phillip21@adventure-works.com"/>
    <n v="120000"/>
    <n v="2"/>
    <s v="High School"/>
    <s v="Professional"/>
    <s v="Y"/>
    <s v="Germany"/>
    <x v="4"/>
    <s v="Europe"/>
    <x v="0"/>
    <s v="Bikes"/>
    <n v="699.09820000000002"/>
    <n v="413.1463"/>
    <n v="285.95190000000002"/>
    <n v="0.409029661355157"/>
  </r>
  <r>
    <x v="277"/>
    <d v="2002-07-03T00:00:00"/>
    <s v="SO47937"/>
    <n v="320"/>
    <n v="20549"/>
    <n v="8"/>
    <n v="1"/>
    <n v="1"/>
    <n v="2"/>
    <s v="BK-R50R-58"/>
    <x v="40"/>
    <n v="413.1463"/>
    <n v="699.09820000000002"/>
    <s v="MRS."/>
    <s v="JENNIFER"/>
    <s v="MORRIS"/>
    <s v="JENNIFER MORRIS"/>
    <d v="1957-05-09T00:00:00"/>
    <s v="M"/>
    <s v="F"/>
    <s v="jennifer54@adventure-works.com"/>
    <n v="130000"/>
    <n v="2"/>
    <s v="Partial College"/>
    <s v="Professional"/>
    <s v="Y"/>
    <s v="Germany"/>
    <x v="4"/>
    <s v="Europe"/>
    <x v="0"/>
    <s v="Bikes"/>
    <n v="699.09820000000002"/>
    <n v="413.1463"/>
    <n v="285.95190000000002"/>
    <n v="0.409029661355157"/>
  </r>
  <r>
    <x v="197"/>
    <d v="2002-08-05T00:00:00"/>
    <s v="SO47801"/>
    <n v="328"/>
    <n v="20555"/>
    <n v="8"/>
    <n v="1"/>
    <n v="1"/>
    <n v="2"/>
    <s v="BK-R50R-48"/>
    <x v="35"/>
    <n v="413.1463"/>
    <n v="699.09820000000002"/>
    <s v="MR."/>
    <s v="KELVIN"/>
    <s v="RAJE"/>
    <s v="KELVIN RAJE"/>
    <d v="1956-09-12T00:00:00"/>
    <s v="M"/>
    <s v="M"/>
    <s v="kelvin10@adventure-works.com"/>
    <n v="120000"/>
    <n v="3"/>
    <s v="High School"/>
    <s v="Professional"/>
    <s v="N"/>
    <s v="Germany"/>
    <x v="4"/>
    <s v="Europe"/>
    <x v="0"/>
    <s v="Bikes"/>
    <n v="699.09820000000002"/>
    <n v="413.1463"/>
    <n v="285.95190000000002"/>
    <n v="0.409029661355157"/>
  </r>
  <r>
    <x v="280"/>
    <d v="2002-07-02T00:00:00"/>
    <s v="SO47914"/>
    <n v="334"/>
    <n v="20556"/>
    <n v="8"/>
    <n v="1"/>
    <n v="1"/>
    <n v="2"/>
    <s v="BK-R50B-60"/>
    <x v="41"/>
    <n v="413.1463"/>
    <n v="699.09820000000002"/>
    <s v="MR."/>
    <s v="GLENN"/>
    <s v="SUN"/>
    <s v="GLENN SUN"/>
    <d v="1956-12-02T00:00:00"/>
    <s v="M"/>
    <s v="M"/>
    <s v="glenn14@adventure-works.com"/>
    <n v="120000"/>
    <n v="3"/>
    <s v="High School"/>
    <s v="Professional"/>
    <s v="Y"/>
    <s v="Germany"/>
    <x v="4"/>
    <s v="Europe"/>
    <x v="0"/>
    <s v="Bikes"/>
    <n v="699.09820000000002"/>
    <n v="413.1463"/>
    <n v="285.95190000000002"/>
    <n v="0.409029661355157"/>
  </r>
  <r>
    <x v="338"/>
    <d v="2001-09-17T00:00:00"/>
    <s v="SO45112"/>
    <n v="324"/>
    <n v="20558"/>
    <n v="10"/>
    <n v="1"/>
    <n v="1"/>
    <n v="2"/>
    <s v="BK-R50R-62"/>
    <x v="42"/>
    <n v="413.1463"/>
    <n v="699.09820000000002"/>
    <s v="MRS."/>
    <s v="BRIANNA"/>
    <s v="STEWART"/>
    <s v="BRIANNA STEWART"/>
    <d v="1956-06-03T00:00:00"/>
    <s v="M"/>
    <s v="F"/>
    <s v="brianna24@adventure-works.com"/>
    <n v="170000"/>
    <n v="3"/>
    <s v="Partial College"/>
    <s v="Professional"/>
    <s v="Y"/>
    <s v="United Kingdom"/>
    <x v="3"/>
    <s v="Europe"/>
    <x v="0"/>
    <s v="Bikes"/>
    <n v="699.09820000000002"/>
    <n v="413.1463"/>
    <n v="285.95190000000002"/>
    <n v="0.409029661355157"/>
  </r>
  <r>
    <x v="266"/>
    <d v="2002-07-27T00:00:00"/>
    <s v="SO47825"/>
    <n v="320"/>
    <n v="20560"/>
    <n v="8"/>
    <n v="1"/>
    <n v="1"/>
    <n v="2"/>
    <s v="BK-R50R-58"/>
    <x v="40"/>
    <n v="413.1463"/>
    <n v="699.09820000000002"/>
    <s v="MRS."/>
    <s v="MINDY"/>
    <s v="RAJI"/>
    <s v="MINDY RAJI"/>
    <d v="1955-12-09T00:00:00"/>
    <s v="M"/>
    <s v="F"/>
    <s v="mindy26@adventure-works.com"/>
    <n v="110000"/>
    <n v="3"/>
    <s v="Partial College"/>
    <s v="Professional"/>
    <s v="Y"/>
    <s v="Germany"/>
    <x v="4"/>
    <s v="Europe"/>
    <x v="0"/>
    <s v="Bikes"/>
    <n v="699.09820000000002"/>
    <n v="413.1463"/>
    <n v="285.95190000000002"/>
    <n v="0.409029661355157"/>
  </r>
  <r>
    <x v="316"/>
    <d v="2001-10-10T00:00:00"/>
    <s v="SO45367"/>
    <n v="328"/>
    <n v="20561"/>
    <n v="10"/>
    <n v="1"/>
    <n v="1"/>
    <n v="2"/>
    <s v="BK-R50R-48"/>
    <x v="35"/>
    <n v="413.1463"/>
    <n v="699.09820000000002"/>
    <s v="MR."/>
    <s v="WILLIE"/>
    <s v="LIU"/>
    <s v="WILLIE LIU"/>
    <d v="1955-05-23T00:00:00"/>
    <s v="S"/>
    <s v="M"/>
    <s v="willie4@adventure-works.com"/>
    <n v="130000"/>
    <n v="3"/>
    <s v="Partial College"/>
    <s v="Professional"/>
    <s v="N"/>
    <s v="United Kingdom"/>
    <x v="3"/>
    <s v="Europe"/>
    <x v="0"/>
    <s v="Bikes"/>
    <n v="699.09820000000002"/>
    <n v="413.1463"/>
    <n v="285.95190000000002"/>
    <n v="0.409029661355157"/>
  </r>
  <r>
    <x v="7"/>
    <d v="2001-12-28T00:00:00"/>
    <s v="SO45435"/>
    <n v="336"/>
    <n v="20562"/>
    <n v="10"/>
    <n v="1"/>
    <n v="1"/>
    <n v="2"/>
    <s v="BK-R50B-62"/>
    <x v="36"/>
    <n v="413.1463"/>
    <n v="699.09820000000002"/>
    <s v="MRS."/>
    <s v="JIM"/>
    <s v="RODMAN"/>
    <s v="JIM RODMAN"/>
    <d v="1955-09-13T00:00:00"/>
    <s v="M"/>
    <s v="F"/>
    <s v="jim4@adventure-works.com"/>
    <n v="130000"/>
    <n v="3"/>
    <s v="Partial College"/>
    <s v="Professional"/>
    <s v="Y"/>
    <s v="United Kingdom"/>
    <x v="3"/>
    <s v="Europe"/>
    <x v="0"/>
    <s v="Bikes"/>
    <n v="699.09820000000002"/>
    <n v="413.1463"/>
    <n v="285.95190000000002"/>
    <n v="0.409029661355157"/>
  </r>
  <r>
    <x v="44"/>
    <d v="2002-01-27T00:00:00"/>
    <s v="SO45596"/>
    <n v="332"/>
    <n v="20564"/>
    <n v="10"/>
    <n v="1"/>
    <n v="1"/>
    <n v="2"/>
    <s v="BK-R50B-58"/>
    <x v="34"/>
    <n v="413.1463"/>
    <n v="699.09820000000002"/>
    <s v="MR."/>
    <s v="JESSIE"/>
    <s v="GAO"/>
    <s v="JESSIE GAO"/>
    <d v="1944-10-28T00:00:00"/>
    <s v="S"/>
    <s v="M"/>
    <s v="jessie19@adventure-works.com"/>
    <n v="130000"/>
    <n v="3"/>
    <s v="Bachelors"/>
    <s v="Management"/>
    <s v="N"/>
    <s v="United Kingdom"/>
    <x v="3"/>
    <s v="Europe"/>
    <x v="0"/>
    <s v="Bikes"/>
    <n v="699.09820000000002"/>
    <n v="413.1463"/>
    <n v="285.95190000000002"/>
    <n v="0.409029661355157"/>
  </r>
  <r>
    <x v="66"/>
    <d v="2002-03-27T00:00:00"/>
    <s v="SO46150"/>
    <n v="336"/>
    <n v="20569"/>
    <n v="10"/>
    <n v="1"/>
    <n v="1"/>
    <n v="2"/>
    <s v="BK-R50B-62"/>
    <x v="36"/>
    <n v="413.1463"/>
    <n v="699.09820000000002"/>
    <s v="MRS."/>
    <s v="PATRICIA"/>
    <s v="PATEL"/>
    <s v="PATRICIA PATEL"/>
    <d v="1946-11-19T00:00:00"/>
    <s v="M"/>
    <s v="F"/>
    <s v="patricia8@adventure-works.com"/>
    <n v="130000"/>
    <n v="4"/>
    <s v="Partial College"/>
    <s v="Professional"/>
    <s v="Y"/>
    <s v="United Kingdom"/>
    <x v="3"/>
    <s v="Europe"/>
    <x v="0"/>
    <s v="Bikes"/>
    <n v="699.09820000000002"/>
    <n v="413.1463"/>
    <n v="285.95190000000002"/>
    <n v="0.409029661355157"/>
  </r>
  <r>
    <x v="152"/>
    <d v="2002-03-11T00:00:00"/>
    <s v="SO46475"/>
    <n v="322"/>
    <n v="20575"/>
    <n v="10"/>
    <n v="1"/>
    <n v="1"/>
    <n v="2"/>
    <s v="BK-R50R-60"/>
    <x v="38"/>
    <n v="413.1463"/>
    <n v="699.09820000000002"/>
    <s v="MRS."/>
    <s v="STACEY"/>
    <s v="CAI"/>
    <s v="STACEY CAI"/>
    <d v="1954-03-15T00:00:00"/>
    <s v="M"/>
    <s v="F"/>
    <s v="stacey22@adventure-works.com"/>
    <n v="130000"/>
    <n v="4"/>
    <s v="High School"/>
    <s v="Professional"/>
    <s v="Y"/>
    <s v="United Kingdom"/>
    <x v="3"/>
    <s v="Europe"/>
    <x v="0"/>
    <s v="Bikes"/>
    <n v="699.09820000000002"/>
    <n v="413.1463"/>
    <n v="285.95190000000002"/>
    <n v="0.409029661355157"/>
  </r>
  <r>
    <x v="184"/>
    <d v="2002-03-26T00:00:00"/>
    <s v="SO46703"/>
    <n v="336"/>
    <n v="20576"/>
    <n v="10"/>
    <n v="1"/>
    <n v="1"/>
    <n v="2"/>
    <s v="BK-R50B-62"/>
    <x v="36"/>
    <n v="413.1463"/>
    <n v="699.09820000000002"/>
    <s v="MR."/>
    <s v="JOHNATHAN"/>
    <s v="KAPOOR"/>
    <s v="JOHNATHAN KAPOOR"/>
    <d v="1954-06-26T00:00:00"/>
    <s v="S"/>
    <s v="M"/>
    <s v="johnathan2@adventure-works.com"/>
    <n v="130000"/>
    <n v="4"/>
    <s v="High School"/>
    <s v="Professional"/>
    <s v="N"/>
    <s v="United Kingdom"/>
    <x v="3"/>
    <s v="Europe"/>
    <x v="0"/>
    <s v="Bikes"/>
    <n v="699.09820000000002"/>
    <n v="413.1463"/>
    <n v="285.95190000000002"/>
    <n v="0.409029661355157"/>
  </r>
  <r>
    <x v="178"/>
    <d v="2002-04-19T00:00:00"/>
    <s v="SO46686"/>
    <n v="324"/>
    <n v="20577"/>
    <n v="10"/>
    <n v="1"/>
    <n v="1"/>
    <n v="2"/>
    <s v="BK-R50R-62"/>
    <x v="42"/>
    <n v="413.1463"/>
    <n v="699.09820000000002"/>
    <s v="MRS."/>
    <s v="SHEILA"/>
    <s v="ROMERO"/>
    <s v="SHEILA ROMERO"/>
    <d v="1954-11-27T00:00:00"/>
    <s v="M"/>
    <s v="F"/>
    <s v="sheila9@adventure-works.com"/>
    <n v="130000"/>
    <n v="4"/>
    <s v="High School"/>
    <s v="Professional"/>
    <s v="Y"/>
    <s v="United Kingdom"/>
    <x v="3"/>
    <s v="Europe"/>
    <x v="0"/>
    <s v="Bikes"/>
    <n v="699.09820000000002"/>
    <n v="413.1463"/>
    <n v="285.95190000000002"/>
    <n v="0.409029661355157"/>
  </r>
  <r>
    <x v="204"/>
    <d v="2002-06-24T00:00:00"/>
    <s v="SO47840"/>
    <n v="334"/>
    <n v="20584"/>
    <n v="8"/>
    <n v="1"/>
    <n v="1"/>
    <n v="2"/>
    <s v="BK-R50B-60"/>
    <x v="41"/>
    <n v="413.1463"/>
    <n v="699.09820000000002"/>
    <s v="MRS."/>
    <s v="MOLLY"/>
    <s v="SCHMIDT"/>
    <s v="MOLLY SCHMIDT"/>
    <d v="1951-04-26T00:00:00"/>
    <s v="S"/>
    <s v="F"/>
    <s v="molly10@adventure-works.com"/>
    <n v="110000"/>
    <n v="4"/>
    <s v="Partial College"/>
    <s v="Professional"/>
    <s v="Y"/>
    <s v="Germany"/>
    <x v="4"/>
    <s v="Europe"/>
    <x v="0"/>
    <s v="Bikes"/>
    <n v="699.09820000000002"/>
    <n v="413.1463"/>
    <n v="285.95190000000002"/>
    <n v="0.409029661355157"/>
  </r>
  <r>
    <x v="295"/>
    <d v="2002-07-05T00:00:00"/>
    <s v="SO48095"/>
    <n v="332"/>
    <n v="20590"/>
    <n v="8"/>
    <n v="1"/>
    <n v="1"/>
    <n v="2"/>
    <s v="BK-R50B-58"/>
    <x v="34"/>
    <n v="413.1463"/>
    <n v="699.09820000000002"/>
    <s v="MR."/>
    <s v="TODD"/>
    <s v="ZHANG"/>
    <s v="TODD ZHANG"/>
    <d v="1949-03-19T00:00:00"/>
    <s v="M"/>
    <s v="M"/>
    <s v="todd2@adventure-works.com"/>
    <n v="100000"/>
    <n v="3"/>
    <s v="Partial College"/>
    <s v="Management"/>
    <s v="Y"/>
    <s v="Germany"/>
    <x v="4"/>
    <s v="Europe"/>
    <x v="0"/>
    <s v="Bikes"/>
    <n v="699.09820000000002"/>
    <n v="413.1463"/>
    <n v="285.95190000000002"/>
    <n v="0.409029661355157"/>
  </r>
  <r>
    <x v="234"/>
    <d v="2002-07-08T00:00:00"/>
    <s v="SO46891"/>
    <n v="324"/>
    <n v="20592"/>
    <n v="10"/>
    <n v="1"/>
    <n v="1"/>
    <n v="2"/>
    <s v="BK-R50R-62"/>
    <x v="42"/>
    <n v="413.1463"/>
    <n v="699.09820000000002"/>
    <s v="MR."/>
    <s v="JORGE"/>
    <s v="LIU"/>
    <s v="JORGE LIU"/>
    <d v="1949-09-21T00:00:00"/>
    <s v="M"/>
    <s v="M"/>
    <s v="jorge5@adventure-works.com"/>
    <n v="160000"/>
    <n v="4"/>
    <s v="High School"/>
    <s v="Management"/>
    <s v="Y"/>
    <s v="United Kingdom"/>
    <x v="3"/>
    <s v="Europe"/>
    <x v="0"/>
    <s v="Bikes"/>
    <n v="699.09820000000002"/>
    <n v="413.1463"/>
    <n v="285.95190000000002"/>
    <n v="0.409029661355157"/>
  </r>
  <r>
    <x v="311"/>
    <d v="2002-09-13T00:00:00"/>
    <s v="SO48127"/>
    <n v="342"/>
    <n v="20598"/>
    <n v="8"/>
    <n v="1"/>
    <n v="1"/>
    <n v="2"/>
    <s v="BK-R50B-52"/>
    <x v="33"/>
    <n v="413.1463"/>
    <n v="699.09820000000002"/>
    <s v="MR."/>
    <s v="JACKSON"/>
    <s v="POWELL"/>
    <s v="JACKSON POWELL"/>
    <d v="1947-05-21T00:00:00"/>
    <s v="M"/>
    <s v="M"/>
    <s v="jackson11@adventure-works.com"/>
    <n v="100000"/>
    <n v="3"/>
    <s v="Partial High School"/>
    <s v="Professional"/>
    <s v="Y"/>
    <s v="Germany"/>
    <x v="4"/>
    <s v="Europe"/>
    <x v="0"/>
    <s v="Bikes"/>
    <n v="699.09820000000002"/>
    <n v="413.1463"/>
    <n v="285.95190000000002"/>
    <n v="0.409029661355157"/>
  </r>
  <r>
    <x v="125"/>
    <d v="2002-04-19T00:00:00"/>
    <s v="SO46137"/>
    <n v="313"/>
    <n v="20600"/>
    <n v="9"/>
    <n v="1"/>
    <n v="1"/>
    <n v="2"/>
    <s v="BK-R93R-52"/>
    <x v="3"/>
    <n v="2171.2941999999998"/>
    <n v="3578.27"/>
    <s v="MR."/>
    <s v="DENNIS"/>
    <s v="HU"/>
    <s v="DENNIS HU"/>
    <d v="1975-01-28T00:00:00"/>
    <s v="S"/>
    <s v="M"/>
    <s v="dennis22@adventure-works.com"/>
    <n v="7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29"/>
    <d v="2002-04-16T00:00:00"/>
    <s v="SO46189"/>
    <n v="312"/>
    <n v="20606"/>
    <n v="9"/>
    <n v="1"/>
    <n v="1"/>
    <n v="2"/>
    <s v="BK-R93R-48"/>
    <x v="0"/>
    <n v="2171.2941999999998"/>
    <n v="3578.27"/>
    <s v="MS."/>
    <s v="JOCELYN"/>
    <s v="COLEMAN"/>
    <s v="JOCELYN COLEMAN"/>
    <d v="1974-07-26T00:00:00"/>
    <s v="M"/>
    <s v="F"/>
    <s v="jocelyn6@adventure-works.com"/>
    <n v="70000"/>
    <n v="0"/>
    <s v="Bachelors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27"/>
    <d v="2002-04-20T00:00:00"/>
    <s v="SO46174"/>
    <n v="311"/>
    <n v="20608"/>
    <n v="9"/>
    <n v="1"/>
    <n v="1"/>
    <n v="2"/>
    <s v="BK-R93R-44"/>
    <x v="4"/>
    <n v="2171.2941999999998"/>
    <n v="3578.27"/>
    <s v="MS."/>
    <s v="CARA"/>
    <s v="HU"/>
    <s v="CARA HU"/>
    <d v="1973-11-18T00:00:00"/>
    <s v="S"/>
    <s v="F"/>
    <s v="cara16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44"/>
    <d v="2002-02-04T00:00:00"/>
    <s v="SO46308"/>
    <n v="310"/>
    <n v="20609"/>
    <n v="9"/>
    <n v="1"/>
    <n v="1"/>
    <n v="2"/>
    <s v="BK-R93R-62"/>
    <x v="1"/>
    <n v="2171.2941999999998"/>
    <n v="3578.27"/>
    <s v="MR."/>
    <s v="FERNANDO"/>
    <s v="BRYANT"/>
    <s v="FERNANDO BRYANT"/>
    <d v="1973-04-05T00:00:00"/>
    <s v="M"/>
    <s v="M"/>
    <s v="fernando59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30"/>
    <d v="2002-03-04T00:00:00"/>
    <s v="SO46201"/>
    <n v="314"/>
    <n v="20610"/>
    <n v="9"/>
    <n v="1"/>
    <n v="1"/>
    <n v="2"/>
    <s v="BK-R93R-56"/>
    <x v="2"/>
    <n v="2171.2941999999998"/>
    <n v="3578.27"/>
    <s v="MR."/>
    <s v="JESSIE"/>
    <s v="ZHOU"/>
    <s v="JESSIE ZHOU"/>
    <d v="1973-03-10T00:00:00"/>
    <s v="M"/>
    <s v="M"/>
    <s v="jessie13@adventure-works.com"/>
    <n v="110000"/>
    <n v="0"/>
    <s v="Partial College"/>
    <s v="Management"/>
    <s v="Y"/>
    <s v="Australia"/>
    <x v="2"/>
    <s v="Pacific"/>
    <x v="0"/>
    <s v="Bikes"/>
    <n v="3578.27"/>
    <n v="2171.2941999999998"/>
    <n v="1406.9757999999999"/>
    <n v="0.39320001006072802"/>
  </r>
  <r>
    <x v="122"/>
    <d v="2002-03-27T00:00:00"/>
    <s v="SO46118"/>
    <n v="314"/>
    <n v="20611"/>
    <n v="9"/>
    <n v="1"/>
    <n v="1"/>
    <n v="2"/>
    <s v="BK-R93R-56"/>
    <x v="2"/>
    <n v="2171.2941999999998"/>
    <n v="3578.27"/>
    <s v="MS."/>
    <s v="CARLA"/>
    <s v="SULLIVAN"/>
    <s v="CARLA SULLIVAN"/>
    <d v="1973-10-19T00:00:00"/>
    <s v="M"/>
    <s v="F"/>
    <s v="carla15@adventure-works.com"/>
    <n v="110000"/>
    <n v="0"/>
    <s v="Partial College"/>
    <s v="Management"/>
    <s v="N"/>
    <s v="Australia"/>
    <x v="2"/>
    <s v="Pacific"/>
    <x v="0"/>
    <s v="Bikes"/>
    <n v="3578.27"/>
    <n v="2171.2941999999998"/>
    <n v="1406.9757999999999"/>
    <n v="0.39320001006072802"/>
  </r>
  <r>
    <x v="139"/>
    <d v="2002-04-13T00:00:00"/>
    <s v="SO46276"/>
    <n v="311"/>
    <n v="20612"/>
    <n v="9"/>
    <n v="1"/>
    <n v="1"/>
    <n v="2"/>
    <s v="BK-R93R-44"/>
    <x v="4"/>
    <n v="2171.2941999999998"/>
    <n v="3578.27"/>
    <s v="MR."/>
    <s v="COLIN"/>
    <s v="YANG"/>
    <s v="COLIN YANG"/>
    <d v="1973-05-01T00:00:00"/>
    <s v="M"/>
    <s v="M"/>
    <s v="colin5@adventure-works.com"/>
    <n v="110000"/>
    <n v="0"/>
    <s v="Partial College"/>
    <s v="Management"/>
    <s v="Y"/>
    <s v="Australia"/>
    <x v="2"/>
    <s v="Pacific"/>
    <x v="0"/>
    <s v="Bikes"/>
    <n v="3578.27"/>
    <n v="2171.2941999999998"/>
    <n v="1406.9757999999999"/>
    <n v="0.39320001006072802"/>
  </r>
  <r>
    <x v="134"/>
    <d v="2002-03-02T00:00:00"/>
    <s v="SO46243"/>
    <n v="311"/>
    <n v="20613"/>
    <n v="9"/>
    <n v="1"/>
    <n v="1"/>
    <n v="2"/>
    <s v="BK-R93R-44"/>
    <x v="4"/>
    <n v="2171.2941999999998"/>
    <n v="3578.27"/>
    <s v="MS."/>
    <s v="LINDSAY"/>
    <s v="RAJE"/>
    <s v="LINDSAY RAJE"/>
    <d v="1973-10-14T00:00:00"/>
    <s v="M"/>
    <s v="F"/>
    <s v="lindsay14@adventure-works.com"/>
    <n v="110000"/>
    <n v="0"/>
    <s v="Partial College"/>
    <s v="Management"/>
    <s v="Y"/>
    <s v="Australia"/>
    <x v="2"/>
    <s v="Pacific"/>
    <x v="0"/>
    <s v="Bikes"/>
    <n v="3578.27"/>
    <n v="2171.2941999999998"/>
    <n v="1406.9757999999999"/>
    <n v="0.39320001006072802"/>
  </r>
  <r>
    <x v="132"/>
    <d v="2002-03-09T00:00:00"/>
    <s v="SO46217"/>
    <n v="314"/>
    <n v="20614"/>
    <n v="9"/>
    <n v="1"/>
    <n v="1"/>
    <n v="2"/>
    <s v="BK-R93R-56"/>
    <x v="2"/>
    <n v="2171.2941999999998"/>
    <n v="3578.27"/>
    <s v="MR."/>
    <s v="GREGORY"/>
    <s v="SHAN"/>
    <s v="GREGORY SHAN"/>
    <d v="1973-07-05T00:00:00"/>
    <s v="S"/>
    <s v="M"/>
    <s v="gregory13@adventure-works.com"/>
    <n v="110000"/>
    <n v="0"/>
    <s v="Partial College"/>
    <s v="Management"/>
    <s v="Y"/>
    <s v="Australia"/>
    <x v="2"/>
    <s v="Pacific"/>
    <x v="0"/>
    <s v="Bikes"/>
    <n v="3578.27"/>
    <n v="2171.2941999999998"/>
    <n v="1406.9757999999999"/>
    <n v="0.39320001006072802"/>
  </r>
  <r>
    <x v="138"/>
    <d v="2002-03-29T00:00:00"/>
    <s v="SO46268"/>
    <n v="311"/>
    <n v="20615"/>
    <n v="9"/>
    <n v="1"/>
    <n v="1"/>
    <n v="2"/>
    <s v="BK-R93R-44"/>
    <x v="4"/>
    <n v="2171.2941999999998"/>
    <n v="3578.27"/>
    <s v="MS."/>
    <s v="LAURA"/>
    <s v="WU"/>
    <s v="LAURA WU"/>
    <d v="1973-10-21T00:00:00"/>
    <s v="S"/>
    <s v="F"/>
    <s v="laura13@adventure-works.com"/>
    <n v="110000"/>
    <n v="0"/>
    <s v="Partial College"/>
    <s v="Management"/>
    <s v="Y"/>
    <s v="Australia"/>
    <x v="2"/>
    <s v="Pacific"/>
    <x v="0"/>
    <s v="Bikes"/>
    <n v="3578.27"/>
    <n v="2171.2941999999998"/>
    <n v="1406.9757999999999"/>
    <n v="0.39320001006072802"/>
  </r>
  <r>
    <x v="79"/>
    <d v="2002-02-28T00:00:00"/>
    <s v="SO46402"/>
    <n v="313"/>
    <n v="20616"/>
    <n v="9"/>
    <n v="1"/>
    <n v="1"/>
    <n v="2"/>
    <s v="BK-R93R-52"/>
    <x v="3"/>
    <n v="2171.2941999999998"/>
    <n v="3578.27"/>
    <s v="MS."/>
    <s v="KRISTI"/>
    <s v="SERRANO"/>
    <s v="KRISTI SERRANO"/>
    <d v="1973-02-12T00:00:00"/>
    <s v="S"/>
    <s v="F"/>
    <s v="kristi12@adventure-works.com"/>
    <n v="12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68"/>
    <d v="2002-05-25T00:00:00"/>
    <s v="SO46541"/>
    <n v="310"/>
    <n v="20617"/>
    <n v="9"/>
    <n v="1"/>
    <n v="1"/>
    <n v="2"/>
    <s v="BK-R93R-62"/>
    <x v="1"/>
    <n v="2171.2941999999998"/>
    <n v="3578.27"/>
    <s v="MS."/>
    <s v="CHLOE"/>
    <s v="JOHNSON"/>
    <s v="CHLOE JOHNSON"/>
    <d v="1972-05-28T00:00:00"/>
    <s v="S"/>
    <s v="F"/>
    <s v="chloe35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65"/>
    <d v="2002-06-06T00:00:00"/>
    <s v="SO46534"/>
    <n v="312"/>
    <n v="20620"/>
    <n v="9"/>
    <n v="1"/>
    <n v="1"/>
    <n v="2"/>
    <s v="BK-R93R-48"/>
    <x v="0"/>
    <n v="2171.2941999999998"/>
    <n v="3578.27"/>
    <s v="MS."/>
    <s v="VICTORIA"/>
    <s v="COOK"/>
    <s v="VICTORIA COOK"/>
    <d v="1971-02-04T00:00:00"/>
    <s v="S"/>
    <s v="F"/>
    <s v="victoria29@adventure-works.com"/>
    <n v="90000"/>
    <n v="0"/>
    <s v="Bachelors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56"/>
    <d v="2002-04-12T00:00:00"/>
    <s v="SO46440"/>
    <n v="312"/>
    <n v="20621"/>
    <n v="9"/>
    <n v="1"/>
    <n v="1"/>
    <n v="2"/>
    <s v="BK-R93R-48"/>
    <x v="0"/>
    <n v="2171.2941999999998"/>
    <n v="3578.27"/>
    <s v="MS."/>
    <s v="MEREDITH"/>
    <s v="ALONSO"/>
    <s v="MEREDITH ALONSO"/>
    <d v="1972-02-06T00:00:00"/>
    <s v="M"/>
    <s v="F"/>
    <s v="meredith31@adventure-works.com"/>
    <n v="120000"/>
    <n v="0"/>
    <s v="Partial High School"/>
    <s v="Professional"/>
    <s v="N"/>
    <s v="Australia"/>
    <x v="2"/>
    <s v="Pacific"/>
    <x v="0"/>
    <s v="Bikes"/>
    <n v="3578.27"/>
    <n v="2171.2941999999998"/>
    <n v="1406.9757999999999"/>
    <n v="0.39320001006072802"/>
  </r>
  <r>
    <x v="174"/>
    <d v="2002-05-14T00:00:00"/>
    <s v="SO46583"/>
    <n v="310"/>
    <n v="20622"/>
    <n v="9"/>
    <n v="1"/>
    <n v="1"/>
    <n v="2"/>
    <s v="BK-R93R-62"/>
    <x v="1"/>
    <n v="2171.2941999999998"/>
    <n v="3578.27"/>
    <s v="MR."/>
    <s v="JEROME"/>
    <s v="SUAREZ"/>
    <s v="JEROME SUAREZ"/>
    <d v="1972-07-03T00:00:00"/>
    <s v="M"/>
    <s v="M"/>
    <s v="jerome18@adventure-works.com"/>
    <n v="12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58"/>
    <d v="2002-04-14T00:00:00"/>
    <s v="SO46481"/>
    <n v="313"/>
    <n v="20623"/>
    <n v="9"/>
    <n v="1"/>
    <n v="1"/>
    <n v="2"/>
    <s v="BK-R93R-52"/>
    <x v="3"/>
    <n v="2171.2941999999998"/>
    <n v="3578.27"/>
    <s v="MRS."/>
    <s v="RUTH"/>
    <s v="GARCIA"/>
    <s v="RUTH GARCIA"/>
    <d v="1972-06-01T00:00:00"/>
    <s v="M"/>
    <s v="F"/>
    <s v="ruth19@adventure-works.com"/>
    <n v="130000"/>
    <n v="4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63"/>
    <d v="2002-05-14T00:00:00"/>
    <s v="SO46517"/>
    <n v="313"/>
    <n v="20624"/>
    <n v="9"/>
    <n v="1"/>
    <n v="1"/>
    <n v="2"/>
    <s v="BK-R93R-52"/>
    <x v="3"/>
    <n v="2171.2941999999998"/>
    <n v="3578.27"/>
    <s v="MS."/>
    <s v="DEBORAH"/>
    <s v="SHAN"/>
    <s v="DEBORAH SHAN"/>
    <d v="1971-04-15T00:00:00"/>
    <s v="S"/>
    <s v="F"/>
    <s v="deborah15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71"/>
    <d v="2002-03-04T00:00:00"/>
    <s v="SO46561"/>
    <n v="312"/>
    <n v="20625"/>
    <n v="9"/>
    <n v="1"/>
    <n v="1"/>
    <n v="2"/>
    <s v="BK-R93R-48"/>
    <x v="0"/>
    <n v="2171.2941999999998"/>
    <n v="3578.27"/>
    <s v="MR."/>
    <s v="RAFAEL"/>
    <s v="YUAN"/>
    <s v="RAFAEL YUAN"/>
    <d v="1971-05-13T00:00:00"/>
    <s v="M"/>
    <s v="M"/>
    <s v="rafael30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55"/>
    <d v="2002-05-18T00:00:00"/>
    <s v="SO46453"/>
    <n v="313"/>
    <n v="20626"/>
    <n v="9"/>
    <n v="1"/>
    <n v="1"/>
    <n v="2"/>
    <s v="BK-R93R-52"/>
    <x v="3"/>
    <n v="2171.2941999999998"/>
    <n v="3578.27"/>
    <s v="MR."/>
    <s v="JARROD"/>
    <s v="SARA"/>
    <s v="JARROD SARA"/>
    <d v="1971-02-14T00:00:00"/>
    <s v="M"/>
    <s v="M"/>
    <s v="jarrod10@adventure-works.com"/>
    <n v="10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61"/>
    <d v="2002-03-16T00:00:00"/>
    <s v="SO46496"/>
    <n v="312"/>
    <n v="20627"/>
    <n v="9"/>
    <n v="1"/>
    <n v="1"/>
    <n v="2"/>
    <s v="BK-R93R-48"/>
    <x v="0"/>
    <n v="2171.2941999999998"/>
    <n v="3578.27"/>
    <s v="MS."/>
    <s v="THERESA"/>
    <s v="NAVARRO"/>
    <s v="THERESA NAVARRO"/>
    <d v="1970-04-02T00:00:00"/>
    <s v="M"/>
    <s v="F"/>
    <s v="theresa7@adventure-works.com"/>
    <n v="110000"/>
    <n v="0"/>
    <s v="High School"/>
    <s v="Management"/>
    <s v="Y"/>
    <s v="Australia"/>
    <x v="2"/>
    <s v="Pacific"/>
    <x v="0"/>
    <s v="Bikes"/>
    <n v="3578.27"/>
    <n v="2171.2941999999998"/>
    <n v="1406.9757999999999"/>
    <n v="0.39320001006072802"/>
  </r>
  <r>
    <x v="159"/>
    <d v="2002-02-24T00:00:00"/>
    <s v="SO46488"/>
    <n v="312"/>
    <n v="20628"/>
    <n v="9"/>
    <n v="1"/>
    <n v="1"/>
    <n v="2"/>
    <s v="BK-R93R-48"/>
    <x v="0"/>
    <n v="2171.2941999999998"/>
    <n v="3578.27"/>
    <s v="MR."/>
    <s v="RODNEY"/>
    <s v="GUTIERREZ"/>
    <s v="RODNEY GUTIERREZ"/>
    <d v="1970-11-25T00:00:00"/>
    <s v="S"/>
    <s v="M"/>
    <s v="rodney7@adventure-works.com"/>
    <n v="12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153"/>
    <d v="2002-04-29T00:00:00"/>
    <s v="SO46428"/>
    <n v="311"/>
    <n v="20629"/>
    <n v="9"/>
    <n v="1"/>
    <n v="1"/>
    <n v="2"/>
    <s v="BK-R93R-44"/>
    <x v="4"/>
    <n v="2171.2941999999998"/>
    <n v="3578.27"/>
    <s v="MS."/>
    <s v="BONNIE"/>
    <s v="RAJE"/>
    <s v="BONNIE RAJE"/>
    <d v="1970-03-02T00:00:00"/>
    <s v="M"/>
    <s v="F"/>
    <s v="bonnie20@adventure-works.com"/>
    <n v="120000"/>
    <n v="0"/>
    <s v="Partial High School"/>
    <s v="Professional"/>
    <s v="Y"/>
    <s v="Australia"/>
    <x v="2"/>
    <s v="Pacific"/>
    <x v="0"/>
    <s v="Bikes"/>
    <n v="3578.27"/>
    <n v="2171.2941999999998"/>
    <n v="1406.9757999999999"/>
    <n v="0.39320001006072802"/>
  </r>
  <r>
    <x v="222"/>
    <d v="2002-11-11T00:00:00"/>
    <s v="SO48456"/>
    <n v="360"/>
    <n v="20651"/>
    <n v="6"/>
    <n v="1"/>
    <n v="1"/>
    <n v="1"/>
    <s v="BK-M68B-42"/>
    <x v="17"/>
    <n v="1105.81"/>
    <n v="2049.0981999999999"/>
    <s v="MR."/>
    <s v="TIMOTHY"/>
    <s v="COOPER"/>
    <s v="TIMOTHY COOPER"/>
    <d v="1970-08-23T00:00:00"/>
    <s v="M"/>
    <s v="M"/>
    <s v="timothy10@adventure-works.com"/>
    <n v="50000"/>
    <n v="1"/>
    <s v="Bachelors"/>
    <s v="Skilled Manual"/>
    <s v="Y"/>
    <s v="Canada"/>
    <x v="5"/>
    <s v="North America"/>
    <x v="1"/>
    <s v="Bikes"/>
    <n v="2049.0981999999999"/>
    <n v="1105.81"/>
    <n v="943.28819999999996"/>
    <n v="0.46034309141455498"/>
  </r>
  <r>
    <x v="294"/>
    <d v="2002-08-14T00:00:00"/>
    <s v="SO48512"/>
    <n v="352"/>
    <n v="20656"/>
    <n v="6"/>
    <n v="1"/>
    <n v="1"/>
    <n v="1"/>
    <s v="BK-M68S-38"/>
    <x v="16"/>
    <n v="1117.8559"/>
    <n v="2071.4196000000002"/>
    <s v="MR."/>
    <s v="MARCUS"/>
    <s v="PERRY"/>
    <s v="MARCUS PERRY"/>
    <d v="1970-04-21T00:00:00"/>
    <s v="M"/>
    <s v="M"/>
    <s v="marcus57@adventure-works.com"/>
    <n v="60000"/>
    <n v="1"/>
    <s v="Graduate Degree"/>
    <s v="Professional"/>
    <s v="Y"/>
    <s v="Canada"/>
    <x v="5"/>
    <s v="North America"/>
    <x v="1"/>
    <s v="Bikes"/>
    <n v="2071.4196000000002"/>
    <n v="1117.8559"/>
    <n v="953.56370000000004"/>
    <n v="0.460343090313522"/>
  </r>
  <r>
    <x v="287"/>
    <d v="2002-11-26T00:00:00"/>
    <s v="SO48620"/>
    <n v="360"/>
    <n v="20665"/>
    <n v="6"/>
    <n v="1"/>
    <n v="1"/>
    <n v="1"/>
    <s v="BK-M68B-42"/>
    <x v="17"/>
    <n v="1105.81"/>
    <n v="2049.0981999999999"/>
    <s v="MR."/>
    <s v="JAMES"/>
    <s v="EVANS"/>
    <s v="JAMES EVANS"/>
    <d v="1968-08-21T00:00:00"/>
    <s v="S"/>
    <s v="M"/>
    <s v="james50@adventure-works.com"/>
    <n v="70000"/>
    <n v="2"/>
    <s v="Bachelors"/>
    <s v="Skilled Manual"/>
    <s v="Y"/>
    <s v="Canada"/>
    <x v="5"/>
    <s v="North America"/>
    <x v="1"/>
    <s v="Bikes"/>
    <n v="2049.0981999999999"/>
    <n v="1105.81"/>
    <n v="943.28819999999996"/>
    <n v="0.46034309141455498"/>
  </r>
  <r>
    <x v="298"/>
    <d v="2002-11-02T00:00:00"/>
    <s v="SO48481"/>
    <n v="358"/>
    <n v="20669"/>
    <n v="6"/>
    <n v="1"/>
    <n v="1"/>
    <n v="1"/>
    <s v="BK-M68B-38"/>
    <x v="15"/>
    <n v="1105.81"/>
    <n v="2049.0981999999999"/>
    <s v="MS."/>
    <s v="RACHEL"/>
    <s v="ROSS"/>
    <s v="RACHEL ROSS"/>
    <d v="1967-04-07T00:00:00"/>
    <s v="S"/>
    <s v="F"/>
    <s v="rachel51@adventure-works.com"/>
    <n v="40000"/>
    <n v="0"/>
    <s v="Bachelors"/>
    <s v="Professional"/>
    <s v="Y"/>
    <s v="Canada"/>
    <x v="5"/>
    <s v="North America"/>
    <x v="1"/>
    <s v="Bikes"/>
    <n v="2049.0981999999999"/>
    <n v="1105.81"/>
    <n v="943.28819999999996"/>
    <n v="0.46034309141455498"/>
  </r>
  <r>
    <x v="188"/>
    <d v="2002-08-28T00:00:00"/>
    <s v="SO48639"/>
    <n v="358"/>
    <n v="20670"/>
    <n v="6"/>
    <n v="1"/>
    <n v="1"/>
    <n v="1"/>
    <s v="BK-M68B-38"/>
    <x v="15"/>
    <n v="1105.81"/>
    <n v="2049.0981999999999"/>
    <s v="MRS."/>
    <s v="JULIA"/>
    <s v="COX"/>
    <s v="JULIA COX"/>
    <d v="1970-03-12T00:00:00"/>
    <s v="M"/>
    <s v="F"/>
    <s v="julia55@adventure-works.com"/>
    <n v="60000"/>
    <n v="1"/>
    <s v="Graduate Degree"/>
    <s v="Professional"/>
    <s v="Y"/>
    <s v="Canada"/>
    <x v="5"/>
    <s v="North America"/>
    <x v="1"/>
    <s v="Bikes"/>
    <n v="2049.0981999999999"/>
    <n v="1105.81"/>
    <n v="943.28819999999996"/>
    <n v="0.46034309141455498"/>
  </r>
  <r>
    <x v="303"/>
    <d v="2002-11-02T00:00:00"/>
    <s v="SO48653"/>
    <n v="360"/>
    <n v="20680"/>
    <n v="6"/>
    <n v="1"/>
    <n v="1"/>
    <n v="1"/>
    <s v="BK-M68B-42"/>
    <x v="17"/>
    <n v="1105.81"/>
    <n v="2049.0981999999999"/>
    <s v="MS."/>
    <s v="ASHLEY"/>
    <s v="ANDERSON"/>
    <s v="ASHLEY ANDERSON"/>
    <d v="1966-07-19T00:00:00"/>
    <s v="S"/>
    <s v="F"/>
    <s v="ashley10@adventure-works.com"/>
    <n v="60000"/>
    <n v="0"/>
    <s v="Graduate Degree"/>
    <s v="Professional"/>
    <s v="Y"/>
    <s v="Canada"/>
    <x v="5"/>
    <s v="North America"/>
    <x v="1"/>
    <s v="Bikes"/>
    <n v="2049.0981999999999"/>
    <n v="1105.81"/>
    <n v="943.28819999999996"/>
    <n v="0.46034309141455498"/>
  </r>
  <r>
    <x v="73"/>
    <d v="2002-06-01T00:00:00"/>
    <s v="SO46910"/>
    <n v="330"/>
    <n v="20710"/>
    <n v="10"/>
    <n v="1"/>
    <n v="1"/>
    <n v="2"/>
    <s v="BK-R50R-52"/>
    <x v="39"/>
    <n v="413.1463"/>
    <n v="699.09820000000002"/>
    <s v="MR."/>
    <s v="ANDRES"/>
    <s v="RAJE"/>
    <s v="ANDRES RAJE"/>
    <d v="1974-11-08T00:00:00"/>
    <s v="M"/>
    <s v="M"/>
    <s v="andres11@adventure-works.com"/>
    <n v="40000"/>
    <n v="1"/>
    <s v="Bachelors"/>
    <s v="Skilled Manual"/>
    <s v="Y"/>
    <s v="United Kingdom"/>
    <x v="3"/>
    <s v="Europe"/>
    <x v="0"/>
    <s v="Bikes"/>
    <n v="699.09820000000002"/>
    <n v="413.1463"/>
    <n v="285.95190000000002"/>
    <n v="0.409029661355157"/>
  </r>
  <r>
    <x v="255"/>
    <d v="2002-07-30T00:00:00"/>
    <s v="SO47307"/>
    <n v="334"/>
    <n v="20711"/>
    <n v="10"/>
    <n v="1"/>
    <n v="1"/>
    <n v="2"/>
    <s v="BK-R50B-60"/>
    <x v="41"/>
    <n v="413.1463"/>
    <n v="699.09820000000002"/>
    <s v="MRS."/>
    <s v="EBONY"/>
    <s v="SANZ"/>
    <s v="EBONY SANZ"/>
    <d v="1974-01-05T00:00:00"/>
    <s v="M"/>
    <s v="F"/>
    <s v="ebony41@adventure-works.com"/>
    <n v="40000"/>
    <n v="1"/>
    <s v="Bachelors"/>
    <s v="Skilled Manual"/>
    <s v="Y"/>
    <s v="United Kingdom"/>
    <x v="3"/>
    <s v="Europe"/>
    <x v="0"/>
    <s v="Bikes"/>
    <n v="699.09820000000002"/>
    <n v="413.1463"/>
    <n v="285.95190000000002"/>
    <n v="0.409029661355157"/>
  </r>
  <r>
    <x v="305"/>
    <d v="2002-05-15T00:00:00"/>
    <s v="SO47243"/>
    <n v="338"/>
    <n v="20712"/>
    <n v="10"/>
    <n v="1"/>
    <n v="1"/>
    <n v="2"/>
    <s v="BK-R50B-44"/>
    <x v="32"/>
    <n v="413.1463"/>
    <n v="699.09820000000002"/>
    <s v="MR."/>
    <s v="COLIN"/>
    <s v="HUANG"/>
    <s v="COLIN HUANG"/>
    <d v="1974-07-21T00:00:00"/>
    <s v="M"/>
    <s v="M"/>
    <s v="colin6@adventure-works.com"/>
    <n v="40000"/>
    <n v="1"/>
    <s v="Bachelors"/>
    <s v="Skilled Manual"/>
    <s v="Y"/>
    <s v="United Kingdom"/>
    <x v="3"/>
    <s v="Europe"/>
    <x v="0"/>
    <s v="Bikes"/>
    <n v="699.09820000000002"/>
    <n v="413.1463"/>
    <n v="285.95190000000002"/>
    <n v="0.409029661355157"/>
  </r>
  <r>
    <x v="251"/>
    <d v="2002-04-24T00:00:00"/>
    <s v="SO47246"/>
    <n v="342"/>
    <n v="20713"/>
    <n v="10"/>
    <n v="1"/>
    <n v="1"/>
    <n v="2"/>
    <s v="BK-R50B-52"/>
    <x v="33"/>
    <n v="413.1463"/>
    <n v="699.09820000000002"/>
    <s v="MS."/>
    <s v="KATHLEEN"/>
    <s v="GILL"/>
    <s v="KATHLEEN GILL"/>
    <d v="1972-09-16T00:00:00"/>
    <s v="S"/>
    <s v="F"/>
    <s v="kathleen15@adventure-works.com"/>
    <n v="10000"/>
    <n v="0"/>
    <s v="Partial High School"/>
    <s v="Manual"/>
    <s v="N"/>
    <s v="United Kingdom"/>
    <x v="3"/>
    <s v="Europe"/>
    <x v="0"/>
    <s v="Bikes"/>
    <n v="699.09820000000002"/>
    <n v="413.1463"/>
    <n v="285.95190000000002"/>
    <n v="0.409029661355157"/>
  </r>
  <r>
    <x v="301"/>
    <d v="2002-10-02T00:00:00"/>
    <s v="SO48113"/>
    <n v="334"/>
    <n v="20716"/>
    <n v="8"/>
    <n v="1"/>
    <n v="1"/>
    <n v="2"/>
    <s v="BK-R50B-60"/>
    <x v="41"/>
    <n v="413.1463"/>
    <n v="699.09820000000002"/>
    <s v="MRS."/>
    <s v="KRISTINA"/>
    <s v="ARUN"/>
    <s v="KRISTINA ARUN"/>
    <d v="1973-09-13T00:00:00"/>
    <s v="M"/>
    <s v="F"/>
    <s v="kristina7@adventure-works.com"/>
    <n v="40000"/>
    <n v="1"/>
    <s v="Bachelors"/>
    <s v="Skilled Manual"/>
    <s v="Y"/>
    <s v="Germany"/>
    <x v="4"/>
    <s v="Europe"/>
    <x v="0"/>
    <s v="Bikes"/>
    <n v="699.09820000000002"/>
    <n v="413.1463"/>
    <n v="285.95190000000002"/>
    <n v="0.409029661355157"/>
  </r>
  <r>
    <x v="254"/>
    <d v="2002-06-17T00:00:00"/>
    <s v="SO47300"/>
    <n v="336"/>
    <n v="20717"/>
    <n v="10"/>
    <n v="1"/>
    <n v="1"/>
    <n v="2"/>
    <s v="BK-R50B-62"/>
    <x v="36"/>
    <n v="413.1463"/>
    <n v="699.09820000000002"/>
    <s v="MS."/>
    <s v="CHELSEA"/>
    <s v="RAY"/>
    <s v="CHELSEA RAY"/>
    <d v="1973-03-06T00:00:00"/>
    <s v="S"/>
    <s v="F"/>
    <s v="chelsea12@adventure-works.com"/>
    <n v="40000"/>
    <n v="0"/>
    <s v="Graduate Degree"/>
    <s v="Skilled Manual"/>
    <s v="N"/>
    <s v="United Kingdom"/>
    <x v="3"/>
    <s v="Europe"/>
    <x v="0"/>
    <s v="Bikes"/>
    <n v="699.09820000000002"/>
    <n v="413.1463"/>
    <n v="285.95190000000002"/>
    <n v="0.409029661355157"/>
  </r>
  <r>
    <x v="255"/>
    <d v="2002-07-04T00:00:00"/>
    <s v="SO47308"/>
    <n v="326"/>
    <n v="20718"/>
    <n v="10"/>
    <n v="1"/>
    <n v="1"/>
    <n v="2"/>
    <s v="BK-R50R-44"/>
    <x v="43"/>
    <n v="413.1463"/>
    <n v="699.09820000000002"/>
    <s v="MR."/>
    <s v="RICKY"/>
    <s v="RUIZ"/>
    <s v="RICKY RUIZ"/>
    <d v="1972-12-24T00:00:00"/>
    <s v="S"/>
    <s v="M"/>
    <s v="ricky2@adventure-works.com"/>
    <n v="30000"/>
    <n v="0"/>
    <s v="High School"/>
    <s v="Manual"/>
    <s v="Y"/>
    <s v="United Kingdom"/>
    <x v="3"/>
    <s v="Europe"/>
    <x v="0"/>
    <s v="Bikes"/>
    <n v="699.09820000000002"/>
    <n v="413.1463"/>
    <n v="285.95190000000002"/>
    <n v="0.409029661355157"/>
  </r>
  <r>
    <x v="212"/>
    <d v="2002-08-30T00:00:00"/>
    <s v="SO48216"/>
    <n v="324"/>
    <n v="20719"/>
    <n v="8"/>
    <n v="1"/>
    <n v="1"/>
    <n v="2"/>
    <s v="BK-R50R-62"/>
    <x v="42"/>
    <n v="413.1463"/>
    <n v="699.09820000000002"/>
    <s v="MR."/>
    <s v="LAWRENCE"/>
    <s v="ALVAREZ"/>
    <s v="LAWRENCE ALVAREZ"/>
    <d v="1972-08-20T00:00:00"/>
    <s v="S"/>
    <s v="M"/>
    <s v="lawrence2@adventure-works.com"/>
    <n v="30000"/>
    <n v="0"/>
    <s v="High School"/>
    <s v="Manual"/>
    <s v="N"/>
    <s v="Germany"/>
    <x v="4"/>
    <s v="Europe"/>
    <x v="0"/>
    <s v="Bikes"/>
    <n v="699.09820000000002"/>
    <n v="413.1463"/>
    <n v="285.95190000000002"/>
    <n v="0.409029661355157"/>
  </r>
  <r>
    <x v="181"/>
    <d v="2002-10-03T00:00:00"/>
    <s v="SO48143"/>
    <n v="326"/>
    <n v="20720"/>
    <n v="8"/>
    <n v="1"/>
    <n v="1"/>
    <n v="2"/>
    <s v="BK-R50R-44"/>
    <x v="43"/>
    <n v="413.1463"/>
    <n v="699.09820000000002"/>
    <s v="MS."/>
    <s v="REGINA"/>
    <s v="SUBRAM"/>
    <s v="REGINA SUBRAM"/>
    <d v="1972-07-04T00:00:00"/>
    <s v="S"/>
    <s v="F"/>
    <s v="regina12@adventure-works.com"/>
    <n v="30000"/>
    <n v="0"/>
    <s v="High School"/>
    <s v="Manual"/>
    <s v="N"/>
    <s v="Germany"/>
    <x v="4"/>
    <s v="Europe"/>
    <x v="0"/>
    <s v="Bikes"/>
    <n v="699.09820000000002"/>
    <n v="413.1463"/>
    <n v="285.95190000000002"/>
    <n v="0.409029661355157"/>
  </r>
  <r>
    <x v="288"/>
    <d v="2002-12-02T00:00:00"/>
    <s v="SO48724"/>
    <n v="340"/>
    <n v="20722"/>
    <n v="8"/>
    <n v="1"/>
    <n v="1"/>
    <n v="2"/>
    <s v="BK-R50B-48"/>
    <x v="37"/>
    <n v="413.1463"/>
    <n v="699.09820000000002"/>
    <s v="MRS."/>
    <s v="KELLIE"/>
    <s v="SERRANO"/>
    <s v="KELLIE SERRANO"/>
    <d v="1972-04-24T00:00:00"/>
    <s v="S"/>
    <s v="F"/>
    <s v="kellie15@adventure-works.com"/>
    <n v="40000"/>
    <n v="2"/>
    <s v="Partial College"/>
    <s v="Clerical"/>
    <s v="Y"/>
    <s v="Germany"/>
    <x v="4"/>
    <s v="Europe"/>
    <x v="0"/>
    <s v="Bikes"/>
    <n v="699.09820000000002"/>
    <n v="413.1463"/>
    <n v="285.95190000000002"/>
    <n v="0.409029661355157"/>
  </r>
  <r>
    <x v="292"/>
    <d v="2002-10-30T00:00:00"/>
    <s v="SO48569"/>
    <n v="324"/>
    <n v="20726"/>
    <n v="8"/>
    <n v="1"/>
    <n v="1"/>
    <n v="2"/>
    <s v="BK-R50R-62"/>
    <x v="42"/>
    <n v="413.1463"/>
    <n v="699.09820000000002"/>
    <s v="MS."/>
    <s v="BETH"/>
    <s v="ROMERO"/>
    <s v="BETH ROMERO"/>
    <d v="1971-08-18T00:00:00"/>
    <s v="S"/>
    <s v="F"/>
    <s v="beth11@adventure-works.com"/>
    <n v="30000"/>
    <n v="0"/>
    <s v="High School"/>
    <s v="Manual"/>
    <s v="N"/>
    <s v="Germany"/>
    <x v="4"/>
    <s v="Europe"/>
    <x v="0"/>
    <s v="Bikes"/>
    <n v="699.09820000000002"/>
    <n v="413.1463"/>
    <n v="285.95190000000002"/>
    <n v="0.409029661355157"/>
  </r>
  <r>
    <x v="249"/>
    <d v="2002-08-14T00:00:00"/>
    <s v="SO47331"/>
    <n v="332"/>
    <n v="20807"/>
    <n v="10"/>
    <n v="1"/>
    <n v="1"/>
    <n v="2"/>
    <s v="BK-R50B-58"/>
    <x v="34"/>
    <n v="413.1463"/>
    <n v="699.09820000000002"/>
    <s v="MR."/>
    <s v="JORDAN"/>
    <s v="FOSTER"/>
    <s v="JORDAN FOSTER"/>
    <d v="1955-07-03T00:00:00"/>
    <s v="M"/>
    <s v="M"/>
    <s v="jordan13@adventure-works.com"/>
    <n v="10000"/>
    <n v="2"/>
    <s v="Partial College"/>
    <s v="Manual"/>
    <s v="Y"/>
    <s v="United Kingdom"/>
    <x v="3"/>
    <s v="Europe"/>
    <x v="0"/>
    <s v="Bikes"/>
    <n v="699.09820000000002"/>
    <n v="413.1463"/>
    <n v="285.95190000000002"/>
    <n v="0.409029661355157"/>
  </r>
  <r>
    <x v="187"/>
    <d v="2002-11-02T00:00:00"/>
    <s v="SO48487"/>
    <n v="334"/>
    <n v="20808"/>
    <n v="8"/>
    <n v="1"/>
    <n v="1"/>
    <n v="2"/>
    <s v="BK-R50B-60"/>
    <x v="41"/>
    <n v="413.1463"/>
    <n v="699.09820000000002"/>
    <s v="MRS."/>
    <s v="JULIE"/>
    <s v="JAI"/>
    <s v="JULIE JAI"/>
    <d v="1955-05-18T00:00:00"/>
    <s v="M"/>
    <s v="F"/>
    <s v="julie16@adventure-works.com"/>
    <n v="10000"/>
    <n v="2"/>
    <s v="Partial College"/>
    <s v="Manual"/>
    <s v="Y"/>
    <s v="Germany"/>
    <x v="4"/>
    <s v="Europe"/>
    <x v="0"/>
    <s v="Bikes"/>
    <n v="699.09820000000002"/>
    <n v="413.1463"/>
    <n v="285.95190000000002"/>
    <n v="0.409029661355157"/>
  </r>
  <r>
    <x v="361"/>
    <d v="2002-06-05T00:00:00"/>
    <s v="SO47478"/>
    <n v="324"/>
    <n v="20811"/>
    <n v="10"/>
    <n v="1"/>
    <n v="1"/>
    <n v="2"/>
    <s v="BK-R50R-62"/>
    <x v="42"/>
    <n v="413.1463"/>
    <n v="699.09820000000002"/>
    <s v="MR."/>
    <s v="CALVIN"/>
    <s v="SHAN"/>
    <s v="CALVIN SHAN"/>
    <d v="1942-07-18T00:00:00"/>
    <s v="S"/>
    <s v="M"/>
    <s v="calvin10@adventure-works.com"/>
    <n v="40000"/>
    <n v="1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155"/>
    <d v="2002-04-03T00:00:00"/>
    <s v="SO46454"/>
    <n v="310"/>
    <n v="20812"/>
    <n v="9"/>
    <n v="1"/>
    <n v="1"/>
    <n v="2"/>
    <s v="BK-R93R-62"/>
    <x v="1"/>
    <n v="2171.2941999999998"/>
    <n v="3578.27"/>
    <s v="MR."/>
    <s v="PRESTON"/>
    <s v="PRASAD"/>
    <s v="PRESTON PRASAD"/>
    <d v="1980-02-17T00:00:00"/>
    <s v="S"/>
    <s v="M"/>
    <s v="preston8@adventure-works.com"/>
    <n v="10000"/>
    <n v="0"/>
    <s v="Partial College"/>
    <s v="Manual"/>
    <s v="N"/>
    <s v="Australia"/>
    <x v="2"/>
    <s v="Pacific"/>
    <x v="0"/>
    <s v="Bikes"/>
    <n v="3578.27"/>
    <n v="2171.2941999999998"/>
    <n v="1406.9757999999999"/>
    <n v="0.39320001006072802"/>
  </r>
  <r>
    <x v="163"/>
    <d v="2002-04-09T00:00:00"/>
    <s v="SO46518"/>
    <n v="314"/>
    <n v="20814"/>
    <n v="9"/>
    <n v="1"/>
    <n v="1"/>
    <n v="2"/>
    <s v="BK-R93R-56"/>
    <x v="2"/>
    <n v="2171.2941999999998"/>
    <n v="3578.27"/>
    <s v="MS."/>
    <s v="MARGARET"/>
    <s v="LU"/>
    <s v="MARGARET LU"/>
    <d v="1979-04-01T00:00:00"/>
    <s v="S"/>
    <s v="F"/>
    <s v="margaret17@adventure-works.com"/>
    <n v="10000"/>
    <n v="0"/>
    <s v="Partial College"/>
    <s v="Manual"/>
    <s v="Y"/>
    <s v="Australia"/>
    <x v="2"/>
    <s v="Pacific"/>
    <x v="0"/>
    <s v="Bikes"/>
    <n v="3578.27"/>
    <n v="2171.2941999999998"/>
    <n v="1406.9757999999999"/>
    <n v="0.39320001006072802"/>
  </r>
  <r>
    <x v="165"/>
    <d v="2002-03-12T00:00:00"/>
    <s v="SO46535"/>
    <n v="310"/>
    <n v="20815"/>
    <n v="9"/>
    <n v="1"/>
    <n v="1"/>
    <n v="2"/>
    <s v="BK-R93R-62"/>
    <x v="1"/>
    <n v="2171.2941999999998"/>
    <n v="3578.27"/>
    <s v="MS."/>
    <s v="TRACY"/>
    <s v="ANDERSEN"/>
    <s v="TRACY ANDERSEN"/>
    <d v="1979-02-05T00:00:00"/>
    <s v="S"/>
    <s v="F"/>
    <s v="tracy12@adventure-works.com"/>
    <n v="10000"/>
    <n v="0"/>
    <s v="Partial College"/>
    <s v="Manual"/>
    <s v="Y"/>
    <s v="Australia"/>
    <x v="2"/>
    <s v="Pacific"/>
    <x v="0"/>
    <s v="Bikes"/>
    <n v="3578.27"/>
    <n v="2171.2941999999998"/>
    <n v="1406.9757999999999"/>
    <n v="0.39320001006072802"/>
  </r>
  <r>
    <x v="164"/>
    <d v="2002-05-28T00:00:00"/>
    <s v="SO46525"/>
    <n v="314"/>
    <n v="20816"/>
    <n v="9"/>
    <n v="1"/>
    <n v="1"/>
    <n v="2"/>
    <s v="BK-R93R-56"/>
    <x v="2"/>
    <n v="2171.2941999999998"/>
    <n v="3578.27"/>
    <s v="MR."/>
    <s v="CONNOR"/>
    <s v="ROSS"/>
    <s v="CONNOR ROSS"/>
    <d v="1980-07-12T00:00:00"/>
    <s v="M"/>
    <s v="M"/>
    <s v="connor0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156"/>
    <d v="2002-03-03T00:00:00"/>
    <s v="SO46439"/>
    <n v="313"/>
    <n v="20817"/>
    <n v="9"/>
    <n v="1"/>
    <n v="1"/>
    <n v="2"/>
    <s v="BK-R93R-52"/>
    <x v="3"/>
    <n v="2171.2941999999998"/>
    <n v="3578.27"/>
    <s v="MR."/>
    <s v="GEOFFREY"/>
    <s v="RODRIGUEZ"/>
    <s v="GEOFFREY RODRIGUEZ"/>
    <d v="1978-04-07T00:00:00"/>
    <s v="S"/>
    <s v="M"/>
    <s v="geoffrey17@adventure-works.com"/>
    <n v="10000"/>
    <n v="0"/>
    <s v="Partial College"/>
    <s v="Manual"/>
    <s v="N"/>
    <s v="Australia"/>
    <x v="2"/>
    <s v="Pacific"/>
    <x v="0"/>
    <s v="Bikes"/>
    <n v="3578.27"/>
    <n v="2171.2941999999998"/>
    <n v="1406.9757999999999"/>
    <n v="0.39320001006072802"/>
  </r>
  <r>
    <x v="157"/>
    <d v="2002-04-08T00:00:00"/>
    <s v="SO46594"/>
    <n v="314"/>
    <n v="20818"/>
    <n v="9"/>
    <n v="1"/>
    <n v="1"/>
    <n v="2"/>
    <s v="BK-R93R-56"/>
    <x v="2"/>
    <n v="2171.2941999999998"/>
    <n v="3578.27"/>
    <s v="MS."/>
    <s v="RACHEL"/>
    <s v="POWELL"/>
    <s v="RACHEL POWELL"/>
    <d v="1977-07-13T00:00:00"/>
    <s v="S"/>
    <s v="F"/>
    <s v="rachel56@adventure-works.com"/>
    <n v="10000"/>
    <n v="0"/>
    <s v="High School"/>
    <s v="Manual"/>
    <s v="N"/>
    <s v="Australia"/>
    <x v="2"/>
    <s v="Pacific"/>
    <x v="0"/>
    <s v="Bikes"/>
    <n v="3578.27"/>
    <n v="2171.2941999999998"/>
    <n v="1406.9757999999999"/>
    <n v="0.39320001006072802"/>
  </r>
  <r>
    <x v="340"/>
    <d v="2002-03-31T00:00:00"/>
    <s v="SO46415"/>
    <n v="310"/>
    <n v="20819"/>
    <n v="9"/>
    <n v="1"/>
    <n v="1"/>
    <n v="2"/>
    <s v="BK-R93R-62"/>
    <x v="1"/>
    <n v="2171.2941999999998"/>
    <n v="3578.27"/>
    <s v="MR."/>
    <s v="RAYMOND"/>
    <s v="MADAN"/>
    <s v="RAYMOND MADAN"/>
    <d v="1979-02-21T00:00:00"/>
    <s v="S"/>
    <s v="M"/>
    <s v="raymond9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79"/>
    <d v="2002-05-07T00:00:00"/>
    <s v="SO46399"/>
    <n v="314"/>
    <n v="20820"/>
    <n v="9"/>
    <n v="1"/>
    <n v="1"/>
    <n v="2"/>
    <s v="BK-R93R-56"/>
    <x v="2"/>
    <n v="2171.2941999999998"/>
    <n v="3578.27"/>
    <s v="MS."/>
    <s v="KATHLEEN"/>
    <s v="RUBIO"/>
    <s v="KATHLEEN RUBIO"/>
    <d v="1979-06-14T00:00:00"/>
    <s v="M"/>
    <s v="F"/>
    <s v="kathleen20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154"/>
    <d v="2002-03-14T00:00:00"/>
    <s v="SO46461"/>
    <n v="311"/>
    <n v="20821"/>
    <n v="9"/>
    <n v="1"/>
    <n v="1"/>
    <n v="2"/>
    <s v="BK-R93R-44"/>
    <x v="4"/>
    <n v="2171.2941999999998"/>
    <n v="3578.27"/>
    <s v="MR."/>
    <s v="HANY"/>
    <s v="MORCOS"/>
    <s v="HANY MORCOS"/>
    <d v="1978-08-25T00:00:00"/>
    <s v="M"/>
    <s v="M"/>
    <s v="hany0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68"/>
    <d v="2002-05-26T00:00:00"/>
    <s v="SO46540"/>
    <n v="314"/>
    <n v="20822"/>
    <n v="9"/>
    <n v="1"/>
    <n v="1"/>
    <n v="2"/>
    <s v="BK-R93R-56"/>
    <x v="2"/>
    <n v="2171.2941999999998"/>
    <n v="3578.27"/>
    <s v="MR."/>
    <s v="SHANNON"/>
    <s v="RUIZ"/>
    <s v="SHANNON RUIZ"/>
    <d v="1977-08-03T00:00:00"/>
    <s v="S"/>
    <s v="M"/>
    <s v="shannon24@adventure-works.com"/>
    <n v="20000"/>
    <n v="0"/>
    <s v="Partial College"/>
    <s v="Manual"/>
    <s v="N"/>
    <s v="Australia"/>
    <x v="2"/>
    <s v="Pacific"/>
    <x v="0"/>
    <s v="Bikes"/>
    <n v="3578.27"/>
    <n v="2171.2941999999998"/>
    <n v="1406.9757999999999"/>
    <n v="0.39320001006072802"/>
  </r>
  <r>
    <x v="176"/>
    <d v="2002-03-23T00:00:00"/>
    <s v="SO46602"/>
    <n v="312"/>
    <n v="20823"/>
    <n v="9"/>
    <n v="1"/>
    <n v="1"/>
    <n v="2"/>
    <s v="BK-R93R-48"/>
    <x v="0"/>
    <n v="2171.2941999999998"/>
    <n v="3578.27"/>
    <s v="MR."/>
    <s v="TROY"/>
    <s v="MARTINEZ"/>
    <s v="TROY MARTINEZ"/>
    <d v="1977-04-28T00:00:00"/>
    <s v="M"/>
    <s v="M"/>
    <s v="troy19@adventure-works.com"/>
    <n v="20000"/>
    <n v="0"/>
    <s v="Partial College"/>
    <s v="Manual"/>
    <s v="Y"/>
    <s v="Australia"/>
    <x v="2"/>
    <s v="Pacific"/>
    <x v="0"/>
    <s v="Bikes"/>
    <n v="3578.27"/>
    <n v="2171.2941999999998"/>
    <n v="1406.9757999999999"/>
    <n v="0.39320001006072802"/>
  </r>
  <r>
    <x v="260"/>
    <d v="2002-07-04T00:00:00"/>
    <s v="SO47539"/>
    <n v="328"/>
    <n v="20824"/>
    <n v="10"/>
    <n v="1"/>
    <n v="1"/>
    <n v="2"/>
    <s v="BK-R50R-48"/>
    <x v="35"/>
    <n v="413.1463"/>
    <n v="699.09820000000002"/>
    <s v="MR."/>
    <s v="DEREK"/>
    <s v="XU"/>
    <s v="DEREK XU"/>
    <d v="1943-05-10T00:00:00"/>
    <s v="S"/>
    <s v="M"/>
    <s v="derek5@adventure-works.com"/>
    <n v="30000"/>
    <n v="1"/>
    <s v="Bachelors"/>
    <s v="Clerical"/>
    <s v="Y"/>
    <s v="United Kingdom"/>
    <x v="3"/>
    <s v="Europe"/>
    <x v="0"/>
    <s v="Bikes"/>
    <n v="699.09820000000002"/>
    <n v="413.1463"/>
    <n v="285.95190000000002"/>
    <n v="0.409029661355157"/>
  </r>
  <r>
    <x v="349"/>
    <d v="2002-09-10T00:00:00"/>
    <s v="SO47652"/>
    <n v="332"/>
    <n v="20825"/>
    <n v="10"/>
    <n v="1"/>
    <n v="1"/>
    <n v="2"/>
    <s v="BK-R50B-58"/>
    <x v="34"/>
    <n v="413.1463"/>
    <n v="699.09820000000002"/>
    <s v="MRS."/>
    <s v="PAMELA"/>
    <s v="KAPOOR"/>
    <s v="PAMELA KAPOOR"/>
    <d v="1943-12-04T00:00:00"/>
    <s v="M"/>
    <s v="F"/>
    <s v="pamela4@adventure-works.com"/>
    <n v="40000"/>
    <n v="1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304"/>
    <d v="2002-09-20T00:00:00"/>
    <s v="SO48462"/>
    <n v="328"/>
    <n v="20828"/>
    <n v="8"/>
    <n v="1"/>
    <n v="1"/>
    <n v="2"/>
    <s v="BK-R50R-48"/>
    <x v="35"/>
    <n v="413.1463"/>
    <n v="699.09820000000002"/>
    <s v="MRS."/>
    <s v="JACLYN"/>
    <s v="SHAN"/>
    <s v="JACLYN SHAN"/>
    <d v="1961-02-17T00:00:00"/>
    <s v="M"/>
    <s v="F"/>
    <s v="jaclyn34@adventure-works.com"/>
    <n v="30000"/>
    <n v="4"/>
    <s v="Graduate Degree"/>
    <s v="Clerical"/>
    <s v="Y"/>
    <s v="Germany"/>
    <x v="4"/>
    <s v="Europe"/>
    <x v="0"/>
    <s v="Bikes"/>
    <n v="699.09820000000002"/>
    <n v="413.1463"/>
    <n v="285.95190000000002"/>
    <n v="0.409029661355157"/>
  </r>
  <r>
    <x v="285"/>
    <d v="2002-11-21T00:00:00"/>
    <s v="SO48656"/>
    <n v="336"/>
    <n v="20829"/>
    <n v="8"/>
    <n v="1"/>
    <n v="1"/>
    <n v="2"/>
    <s v="BK-R50B-62"/>
    <x v="36"/>
    <n v="413.1463"/>
    <n v="699.09820000000002"/>
    <s v="MR."/>
    <s v="ANDY"/>
    <s v="DIAZ"/>
    <s v="ANDY DIAZ"/>
    <d v="1961-11-15T00:00:00"/>
    <s v="M"/>
    <s v="M"/>
    <s v="andy7@adventure-works.com"/>
    <n v="30000"/>
    <n v="4"/>
    <s v="Graduate Degree"/>
    <s v="Clerical"/>
    <s v="Y"/>
    <s v="Germany"/>
    <x v="4"/>
    <s v="Europe"/>
    <x v="0"/>
    <s v="Bikes"/>
    <n v="699.09820000000002"/>
    <n v="413.1463"/>
    <n v="285.95190000000002"/>
    <n v="0.409029661355157"/>
  </r>
  <r>
    <x v="218"/>
    <d v="2002-09-09T00:00:00"/>
    <s v="SO48400"/>
    <n v="326"/>
    <n v="20830"/>
    <n v="8"/>
    <n v="1"/>
    <n v="1"/>
    <n v="2"/>
    <s v="BK-R50R-44"/>
    <x v="43"/>
    <n v="413.1463"/>
    <n v="699.09820000000002"/>
    <s v="MRS."/>
    <s v="WHITNEY"/>
    <s v="MARTINEZ"/>
    <s v="WHITNEY MARTINEZ"/>
    <d v="1961-01-19T00:00:00"/>
    <s v="M"/>
    <s v="F"/>
    <s v="whitney16@adventure-works.com"/>
    <n v="30000"/>
    <n v="4"/>
    <s v="Graduate Degree"/>
    <s v="Clerical"/>
    <s v="Y"/>
    <s v="Germany"/>
    <x v="4"/>
    <s v="Europe"/>
    <x v="0"/>
    <s v="Bikes"/>
    <n v="699.09820000000002"/>
    <n v="413.1463"/>
    <n v="285.95190000000002"/>
    <n v="0.409029661355157"/>
  </r>
  <r>
    <x v="351"/>
    <d v="2002-09-05T00:00:00"/>
    <s v="SO48563"/>
    <n v="340"/>
    <n v="20831"/>
    <n v="8"/>
    <n v="1"/>
    <n v="1"/>
    <n v="2"/>
    <s v="BK-R50B-48"/>
    <x v="37"/>
    <n v="413.1463"/>
    <n v="699.09820000000002"/>
    <s v="MR."/>
    <s v="DREW"/>
    <s v="XU"/>
    <s v="DREW XU"/>
    <d v="1961-06-06T00:00:00"/>
    <s v="M"/>
    <s v="M"/>
    <s v="drew5@adventure-works.com"/>
    <n v="30000"/>
    <n v="4"/>
    <s v="Graduate Degree"/>
    <s v="Clerical"/>
    <s v="Y"/>
    <s v="Germany"/>
    <x v="4"/>
    <s v="Europe"/>
    <x v="0"/>
    <s v="Bikes"/>
    <n v="699.09820000000002"/>
    <n v="413.1463"/>
    <n v="285.95190000000002"/>
    <n v="0.409029661355157"/>
  </r>
  <r>
    <x v="361"/>
    <d v="2002-05-25T00:00:00"/>
    <s v="SO47479"/>
    <n v="330"/>
    <n v="20832"/>
    <n v="10"/>
    <n v="1"/>
    <n v="1"/>
    <n v="2"/>
    <s v="BK-R50R-52"/>
    <x v="39"/>
    <n v="413.1463"/>
    <n v="699.09820000000002"/>
    <s v="MR."/>
    <s v="KELVIN"/>
    <s v="TANG"/>
    <s v="KELVIN TANG"/>
    <d v="1961-05-09T00:00:00"/>
    <s v="S"/>
    <s v="M"/>
    <s v="kelvin1@adventure-works.com"/>
    <n v="30000"/>
    <n v="3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291"/>
    <d v="2002-08-28T00:00:00"/>
    <s v="SO48551"/>
    <n v="330"/>
    <n v="20833"/>
    <n v="8"/>
    <n v="1"/>
    <n v="1"/>
    <n v="2"/>
    <s v="BK-R50R-52"/>
    <x v="39"/>
    <n v="413.1463"/>
    <n v="699.09820000000002"/>
    <s v="MR."/>
    <s v="DOUGLAS"/>
    <s v="SAI"/>
    <s v="DOUGLAS SAI"/>
    <d v="1960-05-11T00:00:00"/>
    <s v="S"/>
    <s v="M"/>
    <s v="douglas9@adventure-works.com"/>
    <n v="20000"/>
    <n v="1"/>
    <s v="Partial College"/>
    <s v="Manual"/>
    <s v="N"/>
    <s v="Germany"/>
    <x v="4"/>
    <s v="Europe"/>
    <x v="0"/>
    <s v="Bikes"/>
    <n v="699.09820000000002"/>
    <n v="413.1463"/>
    <n v="285.95190000000002"/>
    <n v="0.409029661355157"/>
  </r>
  <r>
    <x v="185"/>
    <d v="2002-07-09T00:00:00"/>
    <s v="SO47548"/>
    <n v="330"/>
    <n v="20834"/>
    <n v="10"/>
    <n v="1"/>
    <n v="1"/>
    <n v="2"/>
    <s v="BK-R50R-52"/>
    <x v="39"/>
    <n v="413.1463"/>
    <n v="699.09820000000002"/>
    <s v="MRS."/>
    <s v="BRENDA"/>
    <s v="KAPOOR"/>
    <s v="BRENDA KAPOOR"/>
    <d v="1960-07-27T00:00:00"/>
    <s v="S"/>
    <s v="F"/>
    <s v="brenda5@adventure-works.com"/>
    <n v="30000"/>
    <n v="3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307"/>
    <d v="2002-09-06T00:00:00"/>
    <s v="SO47622"/>
    <n v="338"/>
    <n v="20837"/>
    <n v="10"/>
    <n v="1"/>
    <n v="1"/>
    <n v="2"/>
    <s v="BK-R50B-44"/>
    <x v="32"/>
    <n v="413.1463"/>
    <n v="699.09820000000002"/>
    <s v="MR."/>
    <s v="JIMMY"/>
    <s v="RUBIO"/>
    <s v="JIMMY RUBIO"/>
    <d v="1959-09-01T00:00:00"/>
    <s v="M"/>
    <s v="M"/>
    <s v="jimmy25@adventure-works.com"/>
    <n v="20000"/>
    <n v="2"/>
    <s v="Partial College"/>
    <s v="Manual"/>
    <s v="Y"/>
    <s v="United Kingdom"/>
    <x v="3"/>
    <s v="Europe"/>
    <x v="0"/>
    <s v="Bikes"/>
    <n v="699.09820000000002"/>
    <n v="413.1463"/>
    <n v="285.95190000000002"/>
    <n v="0.409029661355157"/>
  </r>
  <r>
    <x v="204"/>
    <d v="2002-09-21T00:00:00"/>
    <s v="SO47839"/>
    <n v="320"/>
    <n v="20838"/>
    <n v="10"/>
    <n v="1"/>
    <n v="1"/>
    <n v="2"/>
    <s v="BK-R50R-58"/>
    <x v="40"/>
    <n v="413.1463"/>
    <n v="699.09820000000002"/>
    <s v="MRS."/>
    <s v="CHLOE"/>
    <s v="JONES"/>
    <s v="CHLOE JONES"/>
    <d v="1959-04-17T00:00:00"/>
    <s v="S"/>
    <s v="F"/>
    <s v="chloe37@adventure-works.com"/>
    <n v="30000"/>
    <n v="3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271"/>
    <d v="2002-07-12T00:00:00"/>
    <s v="SO47739"/>
    <n v="328"/>
    <n v="20839"/>
    <n v="10"/>
    <n v="1"/>
    <n v="1"/>
    <n v="2"/>
    <s v="BK-R50R-48"/>
    <x v="35"/>
    <n v="413.1463"/>
    <n v="699.09820000000002"/>
    <s v="MRS."/>
    <s v="COURTNEY"/>
    <s v="LOPEZ"/>
    <s v="COURTNEY LOPEZ"/>
    <d v="1959-04-14T00:00:00"/>
    <s v="S"/>
    <s v="F"/>
    <s v="courtney17@adventure-works.com"/>
    <n v="30000"/>
    <n v="3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264"/>
    <d v="2002-08-09T00:00:00"/>
    <s v="SO47876"/>
    <n v="338"/>
    <n v="20848"/>
    <n v="10"/>
    <n v="1"/>
    <n v="1"/>
    <n v="2"/>
    <s v="BK-R50B-44"/>
    <x v="32"/>
    <n v="413.1463"/>
    <n v="699.09820000000002"/>
    <s v="MR."/>
    <s v="VINCENT"/>
    <s v="LIU"/>
    <s v="VINCENT LIU"/>
    <d v="1958-06-17T00:00:00"/>
    <s v="M"/>
    <s v="M"/>
    <s v="vincent4@adventure-works.com"/>
    <n v="30000"/>
    <n v="1"/>
    <s v="Bachelors"/>
    <s v="Clerical"/>
    <s v="Y"/>
    <s v="United Kingdom"/>
    <x v="3"/>
    <s v="Europe"/>
    <x v="0"/>
    <s v="Bikes"/>
    <n v="699.09820000000002"/>
    <n v="413.1463"/>
    <n v="285.95190000000002"/>
    <n v="0.409029661355157"/>
  </r>
  <r>
    <x v="264"/>
    <d v="2002-10-05T00:00:00"/>
    <s v="SO47877"/>
    <n v="322"/>
    <n v="20851"/>
    <n v="10"/>
    <n v="1"/>
    <n v="1"/>
    <n v="2"/>
    <s v="BK-R50R-60"/>
    <x v="38"/>
    <n v="413.1463"/>
    <n v="699.09820000000002"/>
    <s v="MR."/>
    <s v="FRANK"/>
    <s v="SANZ"/>
    <s v="FRANK SANZ"/>
    <d v="1970-05-07T00:00:00"/>
    <s v="S"/>
    <s v="M"/>
    <s v="frank28@adventure-works.com"/>
    <n v="20000"/>
    <n v="0"/>
    <s v="Partial College"/>
    <s v="Manual"/>
    <s v="N"/>
    <s v="United Kingdom"/>
    <x v="3"/>
    <s v="Europe"/>
    <x v="0"/>
    <s v="Bikes"/>
    <n v="699.09820000000002"/>
    <n v="413.1463"/>
    <n v="285.95190000000002"/>
    <n v="0.409029661355157"/>
  </r>
  <r>
    <x v="169"/>
    <d v="2002-11-11T00:00:00"/>
    <s v="SO48248"/>
    <n v="328"/>
    <n v="20852"/>
    <n v="10"/>
    <n v="1"/>
    <n v="1"/>
    <n v="2"/>
    <s v="BK-R50R-48"/>
    <x v="35"/>
    <n v="413.1463"/>
    <n v="699.09820000000002"/>
    <s v="MS."/>
    <s v="YOLANDA"/>
    <s v="RAJE"/>
    <s v="YOLANDA RAJE"/>
    <d v="1970-07-06T00:00:00"/>
    <s v="M"/>
    <s v="F"/>
    <s v="yolanda13@adventure-works.com"/>
    <n v="30000"/>
    <n v="0"/>
    <s v="Bachelors"/>
    <s v="Clerical"/>
    <s v="Y"/>
    <s v="United Kingdom"/>
    <x v="3"/>
    <s v="Europe"/>
    <x v="0"/>
    <s v="Bikes"/>
    <n v="699.09820000000002"/>
    <n v="413.1463"/>
    <n v="285.95190000000002"/>
    <n v="0.409029661355157"/>
  </r>
  <r>
    <x v="299"/>
    <d v="2002-10-13T00:00:00"/>
    <s v="SO48240"/>
    <n v="322"/>
    <n v="20856"/>
    <n v="10"/>
    <n v="1"/>
    <n v="1"/>
    <n v="2"/>
    <s v="BK-R50R-60"/>
    <x v="38"/>
    <n v="413.1463"/>
    <n v="699.09820000000002"/>
    <s v="MS."/>
    <s v="TIFFANY"/>
    <s v="HU"/>
    <s v="TIFFANY HU"/>
    <d v="1969-07-10T00:00:00"/>
    <s v="S"/>
    <s v="F"/>
    <s v="tiffany21@adventure-works.com"/>
    <n v="20000"/>
    <n v="0"/>
    <s v="Partial College"/>
    <s v="Manual"/>
    <s v="N"/>
    <s v="United Kingdom"/>
    <x v="3"/>
    <s v="Europe"/>
    <x v="0"/>
    <s v="Bikes"/>
    <n v="699.09820000000002"/>
    <n v="413.1463"/>
    <n v="285.95190000000002"/>
    <n v="0.409029661355157"/>
  </r>
  <r>
    <x v="348"/>
    <d v="2002-08-06T00:00:00"/>
    <s v="SO48104"/>
    <n v="322"/>
    <n v="20859"/>
    <n v="10"/>
    <n v="1"/>
    <n v="1"/>
    <n v="2"/>
    <s v="BK-R50R-60"/>
    <x v="38"/>
    <n v="413.1463"/>
    <n v="699.09820000000002"/>
    <s v="MR."/>
    <s v="ROY"/>
    <s v="ROMERO"/>
    <s v="ROY ROMERO"/>
    <d v="1969-09-07T00:00:00"/>
    <s v="S"/>
    <s v="M"/>
    <s v="roy29@adventure-works.com"/>
    <n v="30000"/>
    <n v="0"/>
    <s v="Bachelors"/>
    <s v="Clerical"/>
    <s v="N"/>
    <s v="United Kingdom"/>
    <x v="3"/>
    <s v="Europe"/>
    <x v="0"/>
    <s v="Bikes"/>
    <n v="699.09820000000002"/>
    <n v="413.1463"/>
    <n v="285.95190000000002"/>
    <n v="0.409029661355157"/>
  </r>
  <r>
    <x v="210"/>
    <d v="2002-09-06T00:00:00"/>
    <s v="SO48187"/>
    <n v="334"/>
    <n v="20862"/>
    <n v="10"/>
    <n v="1"/>
    <n v="1"/>
    <n v="2"/>
    <s v="BK-R50B-60"/>
    <x v="41"/>
    <n v="413.1463"/>
    <n v="699.09820000000002"/>
    <s v="MR."/>
    <s v="MARSHALL"/>
    <s v="SUTTON"/>
    <s v="MARSHALL SUTTON"/>
    <d v="1969-10-12T00:00:00"/>
    <s v="M"/>
    <s v="M"/>
    <s v="marshall25@adventure-works.com"/>
    <n v="40000"/>
    <n v="0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283"/>
    <d v="2002-08-30T00:00:00"/>
    <s v="SO48269"/>
    <n v="324"/>
    <n v="20863"/>
    <n v="10"/>
    <n v="1"/>
    <n v="1"/>
    <n v="2"/>
    <s v="BK-R50R-62"/>
    <x v="42"/>
    <n v="413.1463"/>
    <n v="699.09820000000002"/>
    <s v="MS."/>
    <s v="ERICA"/>
    <s v="XU"/>
    <s v="ERICA XU"/>
    <d v="1969-08-14T00:00:00"/>
    <s v="M"/>
    <s v="F"/>
    <s v="erica12@adventure-works.com"/>
    <n v="40000"/>
    <n v="0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313"/>
    <d v="2002-10-08T00:00:00"/>
    <s v="SO48252"/>
    <n v="320"/>
    <n v="20864"/>
    <n v="10"/>
    <n v="1"/>
    <n v="1"/>
    <n v="2"/>
    <s v="BK-R50R-58"/>
    <x v="40"/>
    <n v="413.1463"/>
    <n v="699.09820000000002"/>
    <s v="MS."/>
    <s v="GRACE"/>
    <s v="HOWARD"/>
    <s v="GRACE HOWARD"/>
    <d v="1969-03-27T00:00:00"/>
    <s v="M"/>
    <s v="F"/>
    <s v="grace37@adventure-works.com"/>
    <n v="50000"/>
    <n v="0"/>
    <s v="Graduate Degree"/>
    <s v="Skilled Manual"/>
    <s v="Y"/>
    <s v="United Kingdom"/>
    <x v="3"/>
    <s v="Europe"/>
    <x v="0"/>
    <s v="Bikes"/>
    <n v="699.09820000000002"/>
    <n v="413.1463"/>
    <n v="285.95190000000002"/>
    <n v="0.409029661355157"/>
  </r>
  <r>
    <x v="187"/>
    <d v="2002-09-25T00:00:00"/>
    <s v="SO48486"/>
    <n v="342"/>
    <n v="20866"/>
    <n v="10"/>
    <n v="1"/>
    <n v="1"/>
    <n v="2"/>
    <s v="BK-R50B-52"/>
    <x v="33"/>
    <n v="413.1463"/>
    <n v="699.09820000000002"/>
    <s v="MR."/>
    <s v="DAVID"/>
    <s v="JONES"/>
    <s v="DAVID JONES"/>
    <d v="1922-06-03T00:00:00"/>
    <s v="M"/>
    <s v="M"/>
    <s v="david76@adventure-works.com"/>
    <n v="130000"/>
    <n v="0"/>
    <s v="Bachelors"/>
    <s v="Professional"/>
    <s v="Y"/>
    <s v="United Kingdom"/>
    <x v="3"/>
    <s v="Europe"/>
    <x v="0"/>
    <s v="Bikes"/>
    <n v="699.09820000000002"/>
    <n v="413.1463"/>
    <n v="285.95190000000002"/>
    <n v="0.409029661355157"/>
  </r>
  <r>
    <x v="303"/>
    <d v="2002-10-22T00:00:00"/>
    <s v="SO48643"/>
    <n v="342"/>
    <n v="20869"/>
    <n v="10"/>
    <n v="1"/>
    <n v="1"/>
    <n v="2"/>
    <s v="BK-R50B-52"/>
    <x v="33"/>
    <n v="413.1463"/>
    <n v="699.09820000000002"/>
    <s v="MR."/>
    <s v="DAVID"/>
    <s v="MARTINEZ"/>
    <s v="DAVID MARTINEZ"/>
    <d v="1968-12-26T00:00:00"/>
    <s v="S"/>
    <s v="M"/>
    <s v="david80@adventure-works.com"/>
    <n v="10000"/>
    <n v="2"/>
    <s v="High School"/>
    <s v="Manual"/>
    <s v="Y"/>
    <s v="United Kingdom"/>
    <x v="3"/>
    <s v="Europe"/>
    <x v="0"/>
    <s v="Bikes"/>
    <n v="699.09820000000002"/>
    <n v="413.1463"/>
    <n v="285.95190000000002"/>
    <n v="0.409029661355157"/>
  </r>
  <r>
    <x v="285"/>
    <d v="2002-11-20T00:00:00"/>
    <s v="SO48665"/>
    <n v="334"/>
    <n v="20872"/>
    <n v="10"/>
    <n v="1"/>
    <n v="1"/>
    <n v="2"/>
    <s v="BK-R50B-60"/>
    <x v="41"/>
    <n v="413.1463"/>
    <n v="699.09820000000002"/>
    <s v="MR."/>
    <s v="THEODORE"/>
    <s v="MORENO"/>
    <s v="THEODORE MORENO"/>
    <d v="1968-02-21T00:00:00"/>
    <s v="S"/>
    <s v="M"/>
    <s v="theodore7@adventure-works.com"/>
    <n v="10000"/>
    <n v="3"/>
    <s v="High School"/>
    <s v="Manual"/>
    <s v="Y"/>
    <s v="United Kingdom"/>
    <x v="3"/>
    <s v="Europe"/>
    <x v="0"/>
    <s v="Bikes"/>
    <n v="699.09820000000002"/>
    <n v="413.1463"/>
    <n v="285.95190000000002"/>
    <n v="0.409029661355157"/>
  </r>
  <r>
    <x v="188"/>
    <d v="2002-10-22T00:00:00"/>
    <s v="SO48633"/>
    <n v="338"/>
    <n v="20875"/>
    <n v="10"/>
    <n v="1"/>
    <n v="1"/>
    <n v="2"/>
    <s v="BK-R50B-44"/>
    <x v="32"/>
    <n v="413.1463"/>
    <n v="699.09820000000002"/>
    <s v="MRS."/>
    <s v="JULIA"/>
    <s v="WASHINGTON"/>
    <s v="JULIA WASHINGTON"/>
    <d v="1968-12-06T00:00:00"/>
    <s v="M"/>
    <s v="F"/>
    <s v="julia79@adventure-works.com"/>
    <n v="20000"/>
    <n v="1"/>
    <s v="Partial College"/>
    <s v="Manual"/>
    <s v="Y"/>
    <s v="United Kingdom"/>
    <x v="3"/>
    <s v="Europe"/>
    <x v="0"/>
    <s v="Bikes"/>
    <n v="699.09820000000002"/>
    <n v="413.1463"/>
    <n v="285.95190000000002"/>
    <n v="0.409029661355157"/>
  </r>
  <r>
    <x v="294"/>
    <d v="2002-11-23T00:00:00"/>
    <s v="SO48504"/>
    <n v="340"/>
    <n v="20879"/>
    <n v="10"/>
    <n v="1"/>
    <n v="1"/>
    <n v="2"/>
    <s v="BK-R50B-48"/>
    <x v="37"/>
    <n v="413.1463"/>
    <n v="699.09820000000002"/>
    <s v="MS."/>
    <s v="PAMELA"/>
    <s v="SANCHEZ"/>
    <s v="PAMELA SANCHEZ"/>
    <d v="1968-09-06T00:00:00"/>
    <s v="M"/>
    <s v="F"/>
    <s v="pamela23@adventure-works.com"/>
    <n v="40000"/>
    <n v="0"/>
    <s v="Graduate Degree"/>
    <s v="Clerical"/>
    <s v="Y"/>
    <s v="United Kingdom"/>
    <x v="3"/>
    <s v="Europe"/>
    <x v="0"/>
    <s v="Bikes"/>
    <n v="699.09820000000002"/>
    <n v="413.1463"/>
    <n v="285.95190000000002"/>
    <n v="0.409029661355157"/>
  </r>
  <r>
    <x v="161"/>
    <d v="2002-03-20T00:00:00"/>
    <s v="SO46494"/>
    <n v="313"/>
    <n v="20983"/>
    <n v="9"/>
    <n v="1"/>
    <n v="1"/>
    <n v="2"/>
    <s v="BK-R93R-52"/>
    <x v="3"/>
    <n v="2171.2941999999998"/>
    <n v="3578.27"/>
    <s v="MS."/>
    <s v="MEREDITH"/>
    <s v="VANCE"/>
    <s v="MEREDITH VANCE"/>
    <d v="1980-12-23T00:00:00"/>
    <s v="S"/>
    <s v="F"/>
    <s v="meredith2@adventure-works.com"/>
    <n v="10000"/>
    <n v="0"/>
    <s v="Partial College"/>
    <s v="Manual"/>
    <s v="N"/>
    <s v="Australia"/>
    <x v="2"/>
    <s v="Pacific"/>
    <x v="0"/>
    <s v="Bikes"/>
    <n v="3578.27"/>
    <n v="2171.2941999999998"/>
    <n v="1406.9757999999999"/>
    <n v="0.39320001006072802"/>
  </r>
  <r>
    <x v="151"/>
    <d v="2002-04-08T00:00:00"/>
    <s v="SO46447"/>
    <n v="312"/>
    <n v="20984"/>
    <n v="9"/>
    <n v="1"/>
    <n v="1"/>
    <n v="2"/>
    <s v="BK-R93R-48"/>
    <x v="0"/>
    <n v="2171.2941999999998"/>
    <n v="3578.27"/>
    <s v="MS."/>
    <s v="SABRINA"/>
    <s v="RUBIO"/>
    <s v="SABRINA RUBIO"/>
    <d v="1980-05-12T00:00:00"/>
    <s v="M"/>
    <s v="F"/>
    <s v="sabrina15@adventure-works.com"/>
    <n v="10000"/>
    <n v="0"/>
    <s v="Partial College"/>
    <s v="Manual"/>
    <s v="N"/>
    <s v="Australia"/>
    <x v="2"/>
    <s v="Pacific"/>
    <x v="0"/>
    <s v="Bikes"/>
    <n v="3578.27"/>
    <n v="2171.2941999999998"/>
    <n v="1406.9757999999999"/>
    <n v="0.39320001006072802"/>
  </r>
  <r>
    <x v="70"/>
    <d v="2002-04-23T00:00:00"/>
    <s v="SO46553"/>
    <n v="312"/>
    <n v="20985"/>
    <n v="9"/>
    <n v="1"/>
    <n v="1"/>
    <n v="2"/>
    <s v="BK-R93R-48"/>
    <x v="0"/>
    <n v="2171.2941999999998"/>
    <n v="3578.27"/>
    <s v="MS."/>
    <s v="AUTUMN"/>
    <s v="LIU"/>
    <s v="AUTUMN LIU"/>
    <d v="1980-01-17T00:00:00"/>
    <s v="M"/>
    <s v="F"/>
    <s v="autumn4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79"/>
    <d v="2002-05-17T00:00:00"/>
    <s v="SO46400"/>
    <n v="314"/>
    <n v="20987"/>
    <n v="9"/>
    <n v="1"/>
    <n v="1"/>
    <n v="2"/>
    <s v="BK-R93R-56"/>
    <x v="2"/>
    <n v="2171.2941999999998"/>
    <n v="3578.27"/>
    <s v="MR."/>
    <s v="MARSHALL"/>
    <s v="ZENG"/>
    <s v="MARSHALL ZENG"/>
    <d v="1977-12-13T00:00:00"/>
    <s v="S"/>
    <s v="M"/>
    <s v="marshall20@adventure-works.com"/>
    <n v="10000"/>
    <n v="0"/>
    <s v="High School"/>
    <s v="Manual"/>
    <s v="N"/>
    <s v="Australia"/>
    <x v="2"/>
    <s v="Pacific"/>
    <x v="0"/>
    <s v="Bikes"/>
    <n v="3578.27"/>
    <n v="2171.2941999999998"/>
    <n v="1406.9757999999999"/>
    <n v="0.39320001006072802"/>
  </r>
  <r>
    <x v="150"/>
    <d v="2002-03-04T00:00:00"/>
    <s v="SO46418"/>
    <n v="312"/>
    <n v="20988"/>
    <n v="9"/>
    <n v="1"/>
    <n v="1"/>
    <n v="2"/>
    <s v="BK-R93R-48"/>
    <x v="0"/>
    <n v="2171.2941999999998"/>
    <n v="3578.27"/>
    <s v="MS."/>
    <s v="ANNA"/>
    <s v="MARTIN"/>
    <s v="ANNA MARTIN"/>
    <d v="1977-03-24T00:00:00"/>
    <s v="M"/>
    <s v="F"/>
    <s v="anna52@adventure-works.com"/>
    <n v="10000"/>
    <n v="0"/>
    <s v="High School"/>
    <s v="Manual"/>
    <s v="N"/>
    <s v="Australia"/>
    <x v="2"/>
    <s v="Pacific"/>
    <x v="0"/>
    <s v="Bikes"/>
    <n v="3578.27"/>
    <n v="2171.2941999999998"/>
    <n v="1406.9757999999999"/>
    <n v="0.39320001006072802"/>
  </r>
  <r>
    <x v="161"/>
    <d v="2002-04-03T00:00:00"/>
    <s v="SO46495"/>
    <n v="311"/>
    <n v="20989"/>
    <n v="9"/>
    <n v="1"/>
    <n v="1"/>
    <n v="2"/>
    <s v="BK-R93R-44"/>
    <x v="4"/>
    <n v="2171.2941999999998"/>
    <n v="3578.27"/>
    <s v="MRS."/>
    <s v="CASSANDRA"/>
    <s v="SARA"/>
    <s v="CASSANDRA SARA"/>
    <d v="1976-02-26T00:00:00"/>
    <s v="M"/>
    <s v="F"/>
    <s v="cassandra11@adventure-works.com"/>
    <n v="10000"/>
    <n v="1"/>
    <s v="High School"/>
    <s v="Manual"/>
    <s v="Y"/>
    <s v="Australia"/>
    <x v="2"/>
    <s v="Pacific"/>
    <x v="0"/>
    <s v="Bikes"/>
    <n v="3578.27"/>
    <n v="2171.2941999999998"/>
    <n v="1406.9757999999999"/>
    <n v="0.39320001006072802"/>
  </r>
  <r>
    <x v="70"/>
    <d v="2002-03-02T00:00:00"/>
    <s v="SO46554"/>
    <n v="313"/>
    <n v="20990"/>
    <n v="9"/>
    <n v="1"/>
    <n v="1"/>
    <n v="2"/>
    <s v="BK-R93R-52"/>
    <x v="3"/>
    <n v="2171.2941999999998"/>
    <n v="3578.27"/>
    <s v="MRS."/>
    <s v="MAYRA"/>
    <s v="RAMAN"/>
    <s v="MAYRA RAMAN"/>
    <d v="1976-10-10T00:00:00"/>
    <s v="M"/>
    <s v="F"/>
    <s v="mayra12@adventure-works.com"/>
    <n v="10000"/>
    <n v="1"/>
    <s v="High School"/>
    <s v="Manual"/>
    <s v="Y"/>
    <s v="Australia"/>
    <x v="2"/>
    <s v="Pacific"/>
    <x v="0"/>
    <s v="Bikes"/>
    <n v="3578.27"/>
    <n v="2171.2941999999998"/>
    <n v="1406.9757999999999"/>
    <n v="0.39320001006072802"/>
  </r>
  <r>
    <x v="69"/>
    <d v="2002-02-25T00:00:00"/>
    <s v="SO46433"/>
    <n v="312"/>
    <n v="20991"/>
    <n v="9"/>
    <n v="1"/>
    <n v="1"/>
    <n v="2"/>
    <s v="BK-R93R-48"/>
    <x v="0"/>
    <n v="2171.2941999999998"/>
    <n v="3578.27"/>
    <s v="MR."/>
    <s v="FREDERICK"/>
    <s v="SAI"/>
    <s v="FREDERICK SAI"/>
    <d v="1976-12-06T00:00:00"/>
    <s v="M"/>
    <s v="M"/>
    <s v="frederick5@adventure-works.com"/>
    <n v="10000"/>
    <n v="1"/>
    <s v="High School"/>
    <s v="Manual"/>
    <s v="Y"/>
    <s v="Australia"/>
    <x v="2"/>
    <s v="Pacific"/>
    <x v="0"/>
    <s v="Bikes"/>
    <n v="3578.27"/>
    <n v="2171.2941999999998"/>
    <n v="1406.9757999999999"/>
    <n v="0.39320001006072802"/>
  </r>
  <r>
    <x v="79"/>
    <d v="2002-03-23T00:00:00"/>
    <s v="SO46398"/>
    <n v="311"/>
    <n v="20992"/>
    <n v="9"/>
    <n v="1"/>
    <n v="1"/>
    <n v="2"/>
    <s v="BK-R93R-44"/>
    <x v="4"/>
    <n v="2171.2941999999998"/>
    <n v="3578.27"/>
    <s v="MR."/>
    <s v="JULIO"/>
    <s v="SERRANO"/>
    <s v="JULIO SERRANO"/>
    <d v="1979-07-16T00:00:00"/>
    <s v="M"/>
    <s v="M"/>
    <s v="julio17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79"/>
    <d v="2002-04-02T00:00:00"/>
    <s v="SO46401"/>
    <n v="310"/>
    <n v="20993"/>
    <n v="9"/>
    <n v="1"/>
    <n v="1"/>
    <n v="2"/>
    <s v="BK-R93R-62"/>
    <x v="1"/>
    <n v="2171.2941999999998"/>
    <n v="3578.27"/>
    <s v="MR."/>
    <s v="MITCHELL"/>
    <s v="XIE"/>
    <s v="MITCHELL XIE"/>
    <d v="1979-04-14T00:00:00"/>
    <s v="S"/>
    <s v="M"/>
    <s v="mitchell3@adventure-works.com"/>
    <n v="20000"/>
    <n v="0"/>
    <s v="Bachelors"/>
    <s v="Clerical"/>
    <s v="N"/>
    <s v="Australia"/>
    <x v="2"/>
    <s v="Pacific"/>
    <x v="0"/>
    <s v="Bikes"/>
    <n v="3578.27"/>
    <n v="2171.2941999999998"/>
    <n v="1406.9757999999999"/>
    <n v="0.39320001006072802"/>
  </r>
  <r>
    <x v="79"/>
    <d v="2002-04-16T00:00:00"/>
    <s v="SO46405"/>
    <n v="310"/>
    <n v="20994"/>
    <n v="9"/>
    <n v="1"/>
    <n v="1"/>
    <n v="2"/>
    <s v="BK-R93R-62"/>
    <x v="1"/>
    <n v="2171.2941999999998"/>
    <n v="3578.27"/>
    <s v="MS."/>
    <s v="AUTUMN"/>
    <s v="MA"/>
    <s v="AUTUMN MA"/>
    <d v="1979-10-23T00:00:00"/>
    <s v="M"/>
    <s v="F"/>
    <s v="autumn15@adventure-works.com"/>
    <n v="20000"/>
    <n v="0"/>
    <s v="Bachelors"/>
    <s v="Clerical"/>
    <s v="N"/>
    <s v="Australia"/>
    <x v="2"/>
    <s v="Pacific"/>
    <x v="0"/>
    <s v="Bikes"/>
    <n v="3578.27"/>
    <n v="2171.2941999999998"/>
    <n v="1406.9757999999999"/>
    <n v="0.39320001006072802"/>
  </r>
  <r>
    <x v="148"/>
    <d v="2002-02-18T00:00:00"/>
    <s v="SO46391"/>
    <n v="312"/>
    <n v="20995"/>
    <n v="9"/>
    <n v="1"/>
    <n v="1"/>
    <n v="2"/>
    <s v="BK-R93R-48"/>
    <x v="0"/>
    <n v="2171.2941999999998"/>
    <n v="3578.27"/>
    <s v="MR."/>
    <s v="DANNY"/>
    <s v="SUAREZ"/>
    <s v="DANNY SUAREZ"/>
    <d v="1979-02-17T00:00:00"/>
    <s v="S"/>
    <s v="M"/>
    <s v="danny20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69"/>
    <d v="2002-04-02T00:00:00"/>
    <s v="SO46434"/>
    <n v="313"/>
    <n v="20996"/>
    <n v="9"/>
    <n v="1"/>
    <n v="1"/>
    <n v="2"/>
    <s v="BK-R93R-52"/>
    <x v="3"/>
    <n v="2171.2941999999998"/>
    <n v="3578.27"/>
    <s v="MR."/>
    <s v="KEITH"/>
    <s v="SHAN"/>
    <s v="KEITH SHAN"/>
    <d v="1979-03-23T00:00:00"/>
    <s v="S"/>
    <s v="M"/>
    <s v="keith13@adventure-works.com"/>
    <n v="20000"/>
    <n v="0"/>
    <s v="Bachelors"/>
    <s v="Clerical"/>
    <s v="Y"/>
    <s v="Australia"/>
    <x v="2"/>
    <s v="Pacific"/>
    <x v="0"/>
    <s v="Bikes"/>
    <n v="3578.27"/>
    <n v="2171.2941999999998"/>
    <n v="1406.9757999999999"/>
    <n v="0.39320001006072802"/>
  </r>
  <r>
    <x v="95"/>
    <d v="2002-06-14T00:00:00"/>
    <s v="SO46854"/>
    <n v="375"/>
    <n v="20997"/>
    <n v="9"/>
    <n v="1"/>
    <n v="1"/>
    <n v="2"/>
    <s v="BK-R89B-48"/>
    <x v="25"/>
    <n v="1320.6838"/>
    <n v="2181.5625"/>
    <s v="MS."/>
    <s v="JOANNA"/>
    <s v="ASHE"/>
    <s v="JOANNA ASHE"/>
    <d v="1979-07-10T00:00:00"/>
    <s v="M"/>
    <s v="F"/>
    <s v="joanna3@adventure-works.com"/>
    <n v="20000"/>
    <n v="0"/>
    <s v="Bachelors"/>
    <s v="Clerical"/>
    <s v="Y"/>
    <s v="Australia"/>
    <x v="2"/>
    <s v="Pacific"/>
    <x v="0"/>
    <s v="Bikes"/>
    <n v="2181.5625"/>
    <n v="1320.6838"/>
    <n v="860.87869999999998"/>
    <n v="0.39461564818793898"/>
  </r>
  <r>
    <x v="235"/>
    <d v="2002-04-07T00:00:00"/>
    <s v="SO46909"/>
    <n v="379"/>
    <n v="20998"/>
    <n v="9"/>
    <n v="1"/>
    <n v="1"/>
    <n v="2"/>
    <s v="BK-R89B-58"/>
    <x v="26"/>
    <n v="1320.6838"/>
    <n v="2181.5625"/>
    <s v="MR."/>
    <s v="EUGENE"/>
    <s v="SHE"/>
    <s v="EUGENE SHE"/>
    <d v="1978-01-03T00:00:00"/>
    <s v="M"/>
    <s v="M"/>
    <s v="eugene26@adventure-works.com"/>
    <n v="20000"/>
    <n v="0"/>
    <s v="Bachelors"/>
    <s v="Clerical"/>
    <s v="N"/>
    <s v="Australia"/>
    <x v="2"/>
    <s v="Pacific"/>
    <x v="0"/>
    <s v="Bikes"/>
    <n v="2181.5625"/>
    <n v="1320.6838"/>
    <n v="860.87869999999998"/>
    <n v="0.39461564818793898"/>
  </r>
  <r>
    <x v="97"/>
    <d v="2002-04-12T00:00:00"/>
    <s v="SO46726"/>
    <n v="373"/>
    <n v="20999"/>
    <n v="9"/>
    <n v="1"/>
    <n v="1"/>
    <n v="2"/>
    <s v="BK-R89B-44"/>
    <x v="19"/>
    <n v="1320.6838"/>
    <n v="2181.5625"/>
    <s v="MS."/>
    <s v="CAROLYN"/>
    <s v="GARCIA"/>
    <s v="CAROLYN GARCIA"/>
    <d v="1978-04-27T00:00:00"/>
    <s v="M"/>
    <s v="F"/>
    <s v="carolyn14@adventure-works.com"/>
    <n v="20000"/>
    <n v="0"/>
    <s v="Bachelors"/>
    <s v="Clerical"/>
    <s v="Y"/>
    <s v="Australia"/>
    <x v="2"/>
    <s v="Pacific"/>
    <x v="0"/>
    <s v="Bikes"/>
    <n v="2181.5625"/>
    <n v="1320.6838"/>
    <n v="860.87869999999998"/>
    <n v="0.39461564818793898"/>
  </r>
  <r>
    <x v="227"/>
    <d v="2002-04-09T00:00:00"/>
    <s v="SO46902"/>
    <n v="375"/>
    <n v="21000"/>
    <n v="9"/>
    <n v="1"/>
    <n v="1"/>
    <n v="2"/>
    <s v="BK-R89B-48"/>
    <x v="25"/>
    <n v="1320.6838"/>
    <n v="2181.5625"/>
    <s v="MR."/>
    <s v="GEOFFREY"/>
    <s v="PEREZ"/>
    <s v="GEOFFREY PEREZ"/>
    <d v="1978-03-26T00:00:00"/>
    <s v="M"/>
    <s v="M"/>
    <s v="geoffrey19@adventure-works.com"/>
    <n v="20000"/>
    <n v="0"/>
    <s v="Bachelors"/>
    <s v="Clerical"/>
    <s v="Y"/>
    <s v="Australia"/>
    <x v="2"/>
    <s v="Pacific"/>
    <x v="0"/>
    <s v="Bikes"/>
    <n v="2181.5625"/>
    <n v="1320.6838"/>
    <n v="860.87869999999998"/>
    <n v="0.39461564818793898"/>
  </r>
  <r>
    <x v="221"/>
    <d v="2002-05-24T00:00:00"/>
    <s v="SO46819"/>
    <n v="368"/>
    <n v="21001"/>
    <n v="9"/>
    <n v="1"/>
    <n v="1"/>
    <n v="2"/>
    <s v="BK-R89R-44"/>
    <x v="22"/>
    <n v="1518.7864"/>
    <n v="2443.35"/>
    <s v="MR."/>
    <s v="CLINTON"/>
    <s v="GUTIERREZ"/>
    <s v="CLINTON GUTIERREZ"/>
    <d v="1978-04-06T00:00:00"/>
    <s v="S"/>
    <s v="M"/>
    <s v="clinton8@adventure-works.com"/>
    <n v="20000"/>
    <n v="0"/>
    <s v="Bachelors"/>
    <s v="Clerical"/>
    <s v="N"/>
    <s v="Australia"/>
    <x v="2"/>
    <s v="Pacific"/>
    <x v="0"/>
    <s v="Bikes"/>
    <n v="2443.35"/>
    <n v="1518.7864"/>
    <n v="924.56359999999995"/>
    <n v="0.37839998362903399"/>
  </r>
  <r>
    <x v="97"/>
    <d v="2002-03-24T00:00:00"/>
    <s v="SO46727"/>
    <n v="370"/>
    <n v="21002"/>
    <n v="9"/>
    <n v="1"/>
    <n v="1"/>
    <n v="2"/>
    <s v="BK-R89R-52"/>
    <x v="23"/>
    <n v="1518.7864"/>
    <n v="2443.35"/>
    <s v="MS."/>
    <s v="CAROLYN"/>
    <s v="RODRIGUEZ"/>
    <s v="CAROLYN RODRIGUEZ"/>
    <d v="1977-10-27T00:00:00"/>
    <s v="S"/>
    <s v="F"/>
    <s v="carolyn19@adventure-works.com"/>
    <n v="20000"/>
    <n v="0"/>
    <s v="Partial College"/>
    <s v="Manual"/>
    <s v="N"/>
    <s v="Australia"/>
    <x v="2"/>
    <s v="Pacific"/>
    <x v="0"/>
    <s v="Bikes"/>
    <n v="2443.35"/>
    <n v="1518.7864"/>
    <n v="924.56359999999995"/>
    <n v="0.37839998362903399"/>
  </r>
  <r>
    <x v="99"/>
    <d v="2002-04-16T00:00:00"/>
    <s v="SO46925"/>
    <n v="373"/>
    <n v="21165"/>
    <n v="9"/>
    <n v="1"/>
    <n v="1"/>
    <n v="2"/>
    <s v="BK-R89B-44"/>
    <x v="19"/>
    <n v="1320.6838"/>
    <n v="2181.5625"/>
    <s v="MRS."/>
    <s v="SHEILA"/>
    <s v="GOMEZ"/>
    <s v="SHEILA GOMEZ"/>
    <d v="1969-08-03T00:00:00"/>
    <s v="S"/>
    <s v="F"/>
    <s v="sheila1@adventure-works.com"/>
    <n v="80000"/>
    <n v="4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179"/>
    <d v="2002-05-23T00:00:00"/>
    <s v="SO46696"/>
    <n v="370"/>
    <n v="21166"/>
    <n v="9"/>
    <n v="1"/>
    <n v="1"/>
    <n v="2"/>
    <s v="BK-R89R-52"/>
    <x v="23"/>
    <n v="1518.7864"/>
    <n v="2443.35"/>
    <s v="MRS."/>
    <s v="TAMARA"/>
    <s v="YUAN"/>
    <s v="TAMARA YUAN"/>
    <d v="1969-03-15T00:00:00"/>
    <s v="S"/>
    <s v="F"/>
    <s v="tamara18@adventure-works.com"/>
    <n v="90000"/>
    <n v="1"/>
    <s v="Graduate Degree"/>
    <s v="Management"/>
    <s v="Y"/>
    <s v="Australia"/>
    <x v="2"/>
    <s v="Pacific"/>
    <x v="0"/>
    <s v="Bikes"/>
    <n v="2443.35"/>
    <n v="1518.7864"/>
    <n v="924.56359999999995"/>
    <n v="0.37839998362903399"/>
  </r>
  <r>
    <x v="229"/>
    <d v="2002-06-18T00:00:00"/>
    <s v="SO46873"/>
    <n v="377"/>
    <n v="21167"/>
    <n v="9"/>
    <n v="1"/>
    <n v="1"/>
    <n v="2"/>
    <s v="BK-R89B-52"/>
    <x v="20"/>
    <n v="1320.6838"/>
    <n v="2181.5625"/>
    <s v="MRS."/>
    <s v="KARA"/>
    <s v="BECKER"/>
    <s v="KARA BECKER"/>
    <d v="1969-10-11T00:00:00"/>
    <s v="S"/>
    <s v="F"/>
    <s v="kara18@adventure-works.com"/>
    <n v="90000"/>
    <n v="2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226"/>
    <d v="2002-04-02T00:00:00"/>
    <s v="SO46843"/>
    <n v="375"/>
    <n v="21168"/>
    <n v="9"/>
    <n v="1"/>
    <n v="1"/>
    <n v="2"/>
    <s v="BK-R89B-48"/>
    <x v="25"/>
    <n v="1320.6838"/>
    <n v="2181.5625"/>
    <s v="MR."/>
    <s v="CLIFFORD"/>
    <s v="CHAPMAN"/>
    <s v="CLIFFORD CHAPMAN"/>
    <d v="1970-04-22T00:00:00"/>
    <s v="M"/>
    <s v="M"/>
    <s v="clifford2@adventure-works.com"/>
    <n v="80000"/>
    <n v="4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99"/>
    <d v="2002-04-25T00:00:00"/>
    <s v="SO46926"/>
    <n v="377"/>
    <n v="21169"/>
    <n v="9"/>
    <n v="1"/>
    <n v="1"/>
    <n v="2"/>
    <s v="BK-R89B-52"/>
    <x v="20"/>
    <n v="1320.6838"/>
    <n v="2181.5625"/>
    <s v="MRS."/>
    <s v="NANCY"/>
    <s v="ARUN"/>
    <s v="NANCY ARUN"/>
    <d v="1970-08-23T00:00:00"/>
    <s v="M"/>
    <s v="F"/>
    <s v="nancy10@adventure-works.com"/>
    <n v="90000"/>
    <n v="2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179"/>
    <d v="2002-03-16T00:00:00"/>
    <s v="SO46697"/>
    <n v="371"/>
    <n v="21173"/>
    <n v="9"/>
    <n v="1"/>
    <n v="1"/>
    <n v="2"/>
    <s v="BK-R89R-58"/>
    <x v="24"/>
    <n v="1320.6838"/>
    <n v="2181.5625"/>
    <s v="MR."/>
    <s v="CHAD"/>
    <s v="YUAN"/>
    <s v="CHAD YUAN"/>
    <d v="1967-11-13T00:00:00"/>
    <s v="M"/>
    <s v="M"/>
    <s v="chad8@adventure-works.com"/>
    <n v="70000"/>
    <n v="5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34"/>
    <d v="2002-04-28T00:00:00"/>
    <s v="SO46897"/>
    <n v="368"/>
    <n v="21179"/>
    <n v="9"/>
    <n v="1"/>
    <n v="1"/>
    <n v="2"/>
    <s v="BK-R89R-44"/>
    <x v="22"/>
    <n v="1518.7864"/>
    <n v="2443.35"/>
    <s v="MRS."/>
    <s v="JACLYN"/>
    <s v="ZHOU"/>
    <s v="JACLYN ZHOU"/>
    <d v="1966-07-12T00:00:00"/>
    <s v="M"/>
    <s v="F"/>
    <s v="jaclyn9@adventure-works.com"/>
    <n v="80000"/>
    <n v="5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228"/>
    <d v="2002-05-08T00:00:00"/>
    <s v="SO46860"/>
    <n v="371"/>
    <n v="21180"/>
    <n v="9"/>
    <n v="1"/>
    <n v="1"/>
    <n v="2"/>
    <s v="BK-R89R-58"/>
    <x v="24"/>
    <n v="1320.6838"/>
    <n v="2181.5625"/>
    <s v="MRS."/>
    <s v="KATHERINE"/>
    <s v="FLORES"/>
    <s v="KATHERINE FLORES"/>
    <d v="1965-03-24T00:00:00"/>
    <s v="S"/>
    <s v="F"/>
    <s v="katherine38@adventure-works.com"/>
    <n v="60000"/>
    <n v="2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194"/>
    <d v="2002-06-14T00:00:00"/>
    <s v="SO46743"/>
    <n v="373"/>
    <n v="21183"/>
    <n v="9"/>
    <n v="1"/>
    <n v="1"/>
    <n v="2"/>
    <s v="BK-R89B-44"/>
    <x v="19"/>
    <n v="1320.6838"/>
    <n v="2181.5625"/>
    <s v="MR."/>
    <s v="HECTOR"/>
    <s v="MORENO"/>
    <s v="HECTOR MORENO"/>
    <d v="1968-09-15T00:00:00"/>
    <s v="M"/>
    <s v="M"/>
    <s v="hector4@adventure-works.com"/>
    <n v="70000"/>
    <n v="5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35"/>
    <d v="2002-06-17T00:00:00"/>
    <s v="SO46908"/>
    <n v="370"/>
    <n v="21189"/>
    <n v="9"/>
    <n v="1"/>
    <n v="1"/>
    <n v="2"/>
    <s v="BK-R89R-52"/>
    <x v="23"/>
    <n v="1518.7864"/>
    <n v="2443.35"/>
    <s v="MRS."/>
    <s v="DESIREE"/>
    <s v="RUBIO"/>
    <s v="DESIREE RUBIO"/>
    <d v="1963-11-23T00:00:00"/>
    <s v="M"/>
    <s v="F"/>
    <s v="desiree17@adventure-works.com"/>
    <n v="60000"/>
    <n v="3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97"/>
    <d v="2002-06-21T00:00:00"/>
    <s v="SO46725"/>
    <n v="369"/>
    <n v="21191"/>
    <n v="9"/>
    <n v="1"/>
    <n v="1"/>
    <n v="2"/>
    <s v="BK-R89R-48"/>
    <x v="21"/>
    <n v="1518.7864"/>
    <n v="2443.35"/>
    <s v="MR."/>
    <s v="WILLIE"/>
    <s v="LU"/>
    <s v="WILLIE LU"/>
    <d v="1962-01-23T00:00:00"/>
    <s v="M"/>
    <s v="M"/>
    <s v="willie9@adventure-works.com"/>
    <n v="60000"/>
    <n v="1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95"/>
    <d v="2002-07-03T00:00:00"/>
    <s v="SO46853"/>
    <n v="368"/>
    <n v="21192"/>
    <n v="9"/>
    <n v="1"/>
    <n v="1"/>
    <n v="2"/>
    <s v="BK-R89R-44"/>
    <x v="22"/>
    <n v="1518.7864"/>
    <n v="2443.35"/>
    <s v="MRS."/>
    <s v="REGINA"/>
    <s v="SAI"/>
    <s v="REGINA SAI"/>
    <d v="1962-08-27T00:00:00"/>
    <s v="M"/>
    <s v="F"/>
    <s v="regina5@adventure-works.com"/>
    <n v="60000"/>
    <n v="1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177"/>
    <d v="2002-03-05T00:00:00"/>
    <s v="SO46680"/>
    <n v="371"/>
    <n v="21193"/>
    <n v="9"/>
    <n v="1"/>
    <n v="1"/>
    <n v="2"/>
    <s v="BK-R89R-58"/>
    <x v="24"/>
    <n v="1320.6838"/>
    <n v="2181.5625"/>
    <s v="MR."/>
    <s v="PHILIP"/>
    <s v="HERNANDEZ"/>
    <s v="PHILIP HERNANDEZ"/>
    <d v="1962-01-15T00:00:00"/>
    <s v="M"/>
    <s v="M"/>
    <s v="philip3@adventure-works.com"/>
    <n v="60000"/>
    <n v="1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27"/>
    <d v="2002-04-12T00:00:00"/>
    <s v="SO46900"/>
    <n v="375"/>
    <n v="21194"/>
    <n v="9"/>
    <n v="1"/>
    <n v="1"/>
    <n v="2"/>
    <s v="BK-R89B-48"/>
    <x v="25"/>
    <n v="1320.6838"/>
    <n v="2181.5625"/>
    <s v="MRS."/>
    <s v="TARA"/>
    <s v="NARA"/>
    <s v="TARA NARA"/>
    <d v="1962-06-24T00:00:00"/>
    <s v="M"/>
    <s v="F"/>
    <s v="tara17@adventure-works.com"/>
    <n v="60000"/>
    <n v="1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16"/>
    <d v="2002-05-12T00:00:00"/>
    <s v="SO46806"/>
    <n v="370"/>
    <n v="21195"/>
    <n v="9"/>
    <n v="1"/>
    <n v="1"/>
    <n v="2"/>
    <s v="BK-R89R-52"/>
    <x v="23"/>
    <n v="1518.7864"/>
    <n v="2443.35"/>
    <s v="MR."/>
    <s v="RAFAEL"/>
    <s v="XU"/>
    <s v="RAFAEL XU"/>
    <d v="1962-01-15T00:00:00"/>
    <s v="M"/>
    <s v="M"/>
    <s v="rafael28@adventure-works.com"/>
    <n v="60000"/>
    <n v="1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213"/>
    <d v="2002-05-10T00:00:00"/>
    <s v="SO46797"/>
    <n v="371"/>
    <n v="21197"/>
    <n v="9"/>
    <n v="1"/>
    <n v="1"/>
    <n v="2"/>
    <s v="BK-R89R-58"/>
    <x v="24"/>
    <n v="1320.6838"/>
    <n v="2181.5625"/>
    <s v="MRS."/>
    <s v="SHEENA"/>
    <s v="PAL"/>
    <s v="SHEENA PAL"/>
    <d v="1961-01-22T00:00:00"/>
    <s v="S"/>
    <s v="F"/>
    <s v="sheena10@adventure-works.com"/>
    <n v="60000"/>
    <n v="1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194"/>
    <d v="2002-06-05T00:00:00"/>
    <s v="SO46744"/>
    <n v="370"/>
    <n v="21199"/>
    <n v="9"/>
    <n v="1"/>
    <n v="1"/>
    <n v="2"/>
    <s v="BK-R89R-52"/>
    <x v="23"/>
    <n v="1518.7864"/>
    <n v="2443.35"/>
    <s v="MRS."/>
    <s v="RUTH"/>
    <s v="RAMAN"/>
    <s v="RUTH RAMAN"/>
    <d v="1961-06-08T00:00:00"/>
    <s v="S"/>
    <s v="F"/>
    <s v="ruth16@adventure-works.com"/>
    <n v="60000"/>
    <n v="1"/>
    <s v="Partial College"/>
    <s v="Skilled Manual"/>
    <s v="Y"/>
    <s v="Australia"/>
    <x v="2"/>
    <s v="Pacific"/>
    <x v="0"/>
    <s v="Bikes"/>
    <n v="2443.35"/>
    <n v="1518.7864"/>
    <n v="924.56359999999995"/>
    <n v="0.37839998362903399"/>
  </r>
  <r>
    <x v="184"/>
    <d v="2002-06-06T00:00:00"/>
    <s v="SO46708"/>
    <n v="377"/>
    <n v="21200"/>
    <n v="9"/>
    <n v="1"/>
    <n v="1"/>
    <n v="2"/>
    <s v="BK-R89B-52"/>
    <x v="20"/>
    <n v="1320.6838"/>
    <n v="2181.5625"/>
    <s v="MRS."/>
    <s v="ALISON"/>
    <s v="KUMAR"/>
    <s v="ALISON KUMAR"/>
    <d v="1961-05-03T00:00:00"/>
    <s v="S"/>
    <s v="F"/>
    <s v="alison7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13"/>
    <d v="2002-06-09T00:00:00"/>
    <s v="SO46798"/>
    <n v="368"/>
    <n v="21201"/>
    <n v="9"/>
    <n v="1"/>
    <n v="1"/>
    <n v="2"/>
    <s v="BK-R89R-44"/>
    <x v="22"/>
    <n v="1518.7864"/>
    <n v="2443.35"/>
    <s v="MRS."/>
    <s v="ANNA"/>
    <s v="ROGERS"/>
    <s v="ANNA ROGERS"/>
    <d v="1929-02-13T00:00:00"/>
    <s v="S"/>
    <s v="F"/>
    <s v="anna5@adventure-works.com"/>
    <n v="80000"/>
    <n v="3"/>
    <s v="Graduate Degree"/>
    <s v="Management"/>
    <s v="Y"/>
    <s v="Australia"/>
    <x v="2"/>
    <s v="Pacific"/>
    <x v="0"/>
    <s v="Bikes"/>
    <n v="2443.35"/>
    <n v="1518.7864"/>
    <n v="924.56359999999995"/>
    <n v="0.37839998362903399"/>
  </r>
  <r>
    <x v="73"/>
    <d v="2002-05-10T00:00:00"/>
    <s v="SO46917"/>
    <n v="371"/>
    <n v="21202"/>
    <n v="9"/>
    <n v="1"/>
    <n v="1"/>
    <n v="2"/>
    <s v="BK-R89R-58"/>
    <x v="24"/>
    <n v="1320.6838"/>
    <n v="2181.5625"/>
    <s v="MS."/>
    <s v="THERESA"/>
    <s v="TORRES"/>
    <s v="THERESA TORRES"/>
    <d v="1966-03-25T00:00:00"/>
    <s v="S"/>
    <s v="F"/>
    <s v="theresa8@adventure-works.com"/>
    <n v="100000"/>
    <n v="0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227"/>
    <d v="2002-06-21T00:00:00"/>
    <s v="SO46901"/>
    <n v="375"/>
    <n v="21203"/>
    <n v="9"/>
    <n v="1"/>
    <n v="1"/>
    <n v="2"/>
    <s v="BK-R89B-48"/>
    <x v="25"/>
    <n v="1320.6838"/>
    <n v="2181.5625"/>
    <s v="MS."/>
    <s v="MARY"/>
    <s v="ALLEN"/>
    <s v="MARY ALLEN"/>
    <d v="1966-12-25T00:00:00"/>
    <s v="M"/>
    <s v="F"/>
    <s v="mary36@adventure-works.com"/>
    <n v="100000"/>
    <n v="0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234"/>
    <d v="2002-05-04T00:00:00"/>
    <s v="SO46898"/>
    <n v="369"/>
    <n v="21205"/>
    <n v="9"/>
    <n v="1"/>
    <n v="1"/>
    <n v="2"/>
    <s v="BK-R89R-48"/>
    <x v="21"/>
    <n v="1518.7864"/>
    <n v="2443.35"/>
    <s v="MS."/>
    <s v="DENISE"/>
    <s v="VANCE"/>
    <s v="DENISE VANCE"/>
    <d v="1966-03-07T00:00:00"/>
    <s v="S"/>
    <s v="F"/>
    <s v="denise6@adventure-works.com"/>
    <n v="110000"/>
    <n v="0"/>
    <s v="Graduate Degree"/>
    <s v="Management"/>
    <s v="N"/>
    <s v="Australia"/>
    <x v="2"/>
    <s v="Pacific"/>
    <x v="0"/>
    <s v="Bikes"/>
    <n v="2443.35"/>
    <n v="1518.7864"/>
    <n v="924.56359999999995"/>
    <n v="0.37839998362903399"/>
  </r>
  <r>
    <x v="179"/>
    <d v="2002-05-02T00:00:00"/>
    <s v="SO46698"/>
    <n v="377"/>
    <n v="21206"/>
    <n v="9"/>
    <n v="1"/>
    <n v="1"/>
    <n v="2"/>
    <s v="BK-R89B-52"/>
    <x v="20"/>
    <n v="1320.6838"/>
    <n v="2181.5625"/>
    <s v="MR."/>
    <s v="ROBERTO"/>
    <s v="MORENO"/>
    <s v="ROBERTO MORENO"/>
    <d v="1960-09-06T00:00:00"/>
    <s v="S"/>
    <s v="M"/>
    <s v="roberto6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21"/>
    <d v="2002-06-12T00:00:00"/>
    <s v="SO46818"/>
    <n v="369"/>
    <n v="21211"/>
    <n v="9"/>
    <n v="1"/>
    <n v="1"/>
    <n v="2"/>
    <s v="BK-R89R-48"/>
    <x v="21"/>
    <n v="1518.7864"/>
    <n v="2443.35"/>
    <s v="MR."/>
    <s v="LOUIS"/>
    <s v="HE"/>
    <s v="LOUIS HE"/>
    <d v="1964-05-12T00:00:00"/>
    <s v="S"/>
    <s v="M"/>
    <s v="louis13@adventure-works.com"/>
    <n v="70000"/>
    <n v="0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228"/>
    <d v="2002-03-27T00:00:00"/>
    <s v="SO46861"/>
    <n v="377"/>
    <n v="21214"/>
    <n v="9"/>
    <n v="1"/>
    <n v="1"/>
    <n v="2"/>
    <s v="BK-R89B-52"/>
    <x v="20"/>
    <n v="1320.6838"/>
    <n v="2181.5625"/>
    <s v="MR."/>
    <s v="COREY"/>
    <s v="SHE"/>
    <s v="COREY SHE"/>
    <d v="1964-04-01T00:00:00"/>
    <s v="S"/>
    <s v="M"/>
    <s v="corey0@adventure-works.com"/>
    <n v="7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199"/>
    <d v="2002-06-01T00:00:00"/>
    <s v="SO46753"/>
    <n v="379"/>
    <n v="21215"/>
    <n v="9"/>
    <n v="1"/>
    <n v="1"/>
    <n v="2"/>
    <s v="BK-R89B-58"/>
    <x v="26"/>
    <n v="1320.6838"/>
    <n v="2181.5625"/>
    <s v="MS."/>
    <s v="TIFFANY"/>
    <s v="YANG"/>
    <s v="TIFFANY YANG"/>
    <d v="1964-08-27T00:00:00"/>
    <s v="S"/>
    <s v="F"/>
    <s v="tiffany5@adventure-works.com"/>
    <n v="7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03"/>
    <d v="2002-05-20T00:00:00"/>
    <s v="SO46766"/>
    <n v="369"/>
    <n v="21216"/>
    <n v="9"/>
    <n v="1"/>
    <n v="1"/>
    <n v="2"/>
    <s v="BK-R89R-48"/>
    <x v="21"/>
    <n v="1518.7864"/>
    <n v="2443.35"/>
    <s v="MR."/>
    <s v="LARRY"/>
    <s v="BLANCO"/>
    <s v="LARRY BLANCO"/>
    <d v="1964-05-24T00:00:00"/>
    <s v="S"/>
    <s v="M"/>
    <s v="larry18@adventure-works.com"/>
    <n v="80000"/>
    <n v="4"/>
    <s v="Bachelors"/>
    <s v="Professional"/>
    <s v="N"/>
    <s v="Australia"/>
    <x v="2"/>
    <s v="Pacific"/>
    <x v="0"/>
    <s v="Bikes"/>
    <n v="2443.35"/>
    <n v="1518.7864"/>
    <n v="924.56359999999995"/>
    <n v="0.37839998362903399"/>
  </r>
  <r>
    <x v="251"/>
    <d v="2002-08-02T00:00:00"/>
    <s v="SO47250"/>
    <n v="379"/>
    <n v="21217"/>
    <n v="9"/>
    <n v="1"/>
    <n v="1"/>
    <n v="2"/>
    <s v="BK-R89B-58"/>
    <x v="26"/>
    <n v="1320.6838"/>
    <n v="2181.5625"/>
    <s v="MRS."/>
    <s v="CASEY"/>
    <s v="XIE"/>
    <s v="CASEY XIE"/>
    <d v="1959-10-23T00:00:00"/>
    <s v="S"/>
    <s v="F"/>
    <s v="casey3@adventure-works.com"/>
    <n v="90000"/>
    <n v="1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45"/>
    <d v="2002-04-25T00:00:00"/>
    <s v="SO47197"/>
    <n v="377"/>
    <n v="21218"/>
    <n v="9"/>
    <n v="1"/>
    <n v="1"/>
    <n v="2"/>
    <s v="BK-R89B-52"/>
    <x v="20"/>
    <n v="1320.6838"/>
    <n v="2181.5625"/>
    <s v="MR."/>
    <s v="WYATT"/>
    <s v="RODRIGUEZ"/>
    <s v="WYATT RODRIGUEZ"/>
    <d v="1963-06-13T00:00:00"/>
    <s v="S"/>
    <s v="M"/>
    <s v="wyatt21@adventure-works.com"/>
    <n v="7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53"/>
    <d v="2002-05-23T00:00:00"/>
    <s v="SO47277"/>
    <n v="371"/>
    <n v="21219"/>
    <n v="9"/>
    <n v="1"/>
    <n v="1"/>
    <n v="2"/>
    <s v="BK-R89R-58"/>
    <x v="24"/>
    <n v="1320.6838"/>
    <n v="2181.5625"/>
    <s v="MS."/>
    <s v="CANDICE"/>
    <s v="ZHU"/>
    <s v="CANDICE ZHU"/>
    <d v="1963-02-07T00:00:00"/>
    <s v="S"/>
    <s v="F"/>
    <s v="candice20@adventure-works.com"/>
    <n v="7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48"/>
    <d v="2002-07-09T00:00:00"/>
    <s v="SO47217"/>
    <n v="375"/>
    <n v="21222"/>
    <n v="9"/>
    <n v="1"/>
    <n v="1"/>
    <n v="2"/>
    <s v="BK-R89B-48"/>
    <x v="25"/>
    <n v="1320.6838"/>
    <n v="2181.5625"/>
    <s v="MR."/>
    <s v="KELVIN"/>
    <s v="XU"/>
    <s v="KELVIN XU"/>
    <d v="1961-10-16T00:00:00"/>
    <s v="M"/>
    <s v="M"/>
    <s v="kelvin2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42"/>
    <d v="2002-06-20T00:00:00"/>
    <s v="SO47141"/>
    <n v="371"/>
    <n v="21225"/>
    <n v="9"/>
    <n v="1"/>
    <n v="1"/>
    <n v="2"/>
    <s v="BK-R89R-58"/>
    <x v="24"/>
    <n v="1320.6838"/>
    <n v="2181.5625"/>
    <s v="MRS."/>
    <s v="MICHELE"/>
    <s v="JAI"/>
    <s v="MICHELE JAI"/>
    <d v="1958-10-16T00:00:00"/>
    <s v="S"/>
    <s v="F"/>
    <s v="michele11@adventure-works.com"/>
    <n v="90000"/>
    <n v="2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51"/>
    <d v="2002-04-26T00:00:00"/>
    <s v="SO47251"/>
    <n v="377"/>
    <n v="21226"/>
    <n v="9"/>
    <n v="1"/>
    <n v="1"/>
    <n v="2"/>
    <s v="BK-R89B-52"/>
    <x v="20"/>
    <n v="1320.6838"/>
    <n v="2181.5625"/>
    <s v="MR."/>
    <s v="DALE"/>
    <s v="NARA"/>
    <s v="DALE NARA"/>
    <d v="1956-04-26T00:00:00"/>
    <s v="S"/>
    <s v="M"/>
    <s v="dale14@adventure-works.com"/>
    <n v="80000"/>
    <n v="1"/>
    <s v="Partial College"/>
    <s v="Skilled Manual"/>
    <s v="N"/>
    <s v="Australia"/>
    <x v="2"/>
    <s v="Pacific"/>
    <x v="0"/>
    <s v="Bikes"/>
    <n v="2181.5625"/>
    <n v="1320.6838"/>
    <n v="860.87869999999998"/>
    <n v="0.39461564818793898"/>
  </r>
  <r>
    <x v="166"/>
    <d v="2002-07-20T00:00:00"/>
    <s v="SO47170"/>
    <n v="377"/>
    <n v="21228"/>
    <n v="9"/>
    <n v="1"/>
    <n v="1"/>
    <n v="2"/>
    <s v="BK-R89B-52"/>
    <x v="20"/>
    <n v="1320.6838"/>
    <n v="2181.5625"/>
    <s v="MRS."/>
    <s v="CASSIDY"/>
    <s v="HENDERSON"/>
    <s v="CASSIDY HENDERSON"/>
    <d v="1953-06-28T00:00:00"/>
    <s v="M"/>
    <s v="F"/>
    <s v="cassidy5@adventure-works.com"/>
    <n v="40000"/>
    <n v="2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249"/>
    <d v="2002-05-26T00:00:00"/>
    <s v="SO47333"/>
    <n v="368"/>
    <n v="21229"/>
    <n v="9"/>
    <n v="1"/>
    <n v="1"/>
    <n v="2"/>
    <s v="BK-R89R-44"/>
    <x v="22"/>
    <n v="1518.7864"/>
    <n v="2443.35"/>
    <s v="MRS."/>
    <s v="LATOYA"/>
    <s v="JAI"/>
    <s v="LATOYA JAI"/>
    <d v="1953-10-25T00:00:00"/>
    <s v="S"/>
    <s v="F"/>
    <s v="latoya10@adventure-works.com"/>
    <n v="40000"/>
    <n v="2"/>
    <s v="Bachelors"/>
    <s v="Management"/>
    <s v="Y"/>
    <s v="Australia"/>
    <x v="2"/>
    <s v="Pacific"/>
    <x v="0"/>
    <s v="Bikes"/>
    <n v="2443.35"/>
    <n v="1518.7864"/>
    <n v="924.56359999999995"/>
    <n v="0.37839998362903399"/>
  </r>
  <r>
    <x v="242"/>
    <d v="2002-05-23T00:00:00"/>
    <s v="SO47142"/>
    <n v="369"/>
    <n v="21230"/>
    <n v="9"/>
    <n v="1"/>
    <n v="1"/>
    <n v="2"/>
    <s v="BK-R89R-48"/>
    <x v="21"/>
    <n v="1518.7864"/>
    <n v="2443.35"/>
    <s v="MRS."/>
    <s v="CARLA"/>
    <s v="RODRIGUEZ"/>
    <s v="CARLA RODRIGUEZ"/>
    <d v="1953-07-11T00:00:00"/>
    <s v="M"/>
    <s v="F"/>
    <s v="carla22@adventure-works.com"/>
    <n v="40000"/>
    <n v="2"/>
    <s v="Bachelors"/>
    <s v="Management"/>
    <s v="Y"/>
    <s v="Australia"/>
    <x v="2"/>
    <s v="Pacific"/>
    <x v="0"/>
    <s v="Bikes"/>
    <n v="2443.35"/>
    <n v="1518.7864"/>
    <n v="924.56359999999995"/>
    <n v="0.37839998362903399"/>
  </r>
  <r>
    <x v="255"/>
    <d v="2002-04-30T00:00:00"/>
    <s v="SO47313"/>
    <n v="373"/>
    <n v="21231"/>
    <n v="9"/>
    <n v="1"/>
    <n v="1"/>
    <n v="2"/>
    <s v="BK-R89B-44"/>
    <x v="19"/>
    <n v="1320.6838"/>
    <n v="2181.5625"/>
    <s v="MRS."/>
    <s v="CHRISTINE"/>
    <s v="GOEL"/>
    <s v="CHRISTINE GOEL"/>
    <d v="1953-01-10T00:00:00"/>
    <s v="M"/>
    <s v="F"/>
    <s v="christine14@adventure-works.com"/>
    <n v="40000"/>
    <n v="2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86"/>
    <d v="2002-04-28T00:00:00"/>
    <s v="SO47230"/>
    <n v="371"/>
    <n v="21256"/>
    <n v="9"/>
    <n v="1"/>
    <n v="1"/>
    <n v="2"/>
    <s v="BK-R89R-58"/>
    <x v="24"/>
    <n v="1320.6838"/>
    <n v="2181.5625"/>
    <s v="MRS."/>
    <s v="MEGHAN"/>
    <s v="TORRES"/>
    <s v="MEGHAN TORRES"/>
    <d v="1941-10-12T00:00:00"/>
    <s v="M"/>
    <s v="F"/>
    <s v="meghan11@adventure-works.com"/>
    <n v="40000"/>
    <n v="2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239"/>
    <d v="2002-05-01T00:00:00"/>
    <s v="SO47097"/>
    <n v="370"/>
    <n v="21257"/>
    <n v="9"/>
    <n v="1"/>
    <n v="1"/>
    <n v="2"/>
    <s v="BK-R89R-52"/>
    <x v="23"/>
    <n v="1518.7864"/>
    <n v="2443.35"/>
    <s v="MRS."/>
    <s v="EVELYN"/>
    <s v="SUBRAM"/>
    <s v="EVELYN SUBRAM"/>
    <d v="1941-04-15T00:00:00"/>
    <s v="M"/>
    <s v="F"/>
    <s v="evelyn14@adventure-works.com"/>
    <n v="40000"/>
    <n v="2"/>
    <s v="Bachelors"/>
    <s v="Management"/>
    <s v="Y"/>
    <s v="Australia"/>
    <x v="2"/>
    <s v="Pacific"/>
    <x v="0"/>
    <s v="Bikes"/>
    <n v="2443.35"/>
    <n v="1518.7864"/>
    <n v="924.56359999999995"/>
    <n v="0.37839998362903399"/>
  </r>
  <r>
    <x v="240"/>
    <d v="2002-04-20T00:00:00"/>
    <s v="SO47127"/>
    <n v="371"/>
    <n v="21258"/>
    <n v="9"/>
    <n v="1"/>
    <n v="1"/>
    <n v="2"/>
    <s v="BK-R89R-58"/>
    <x v="24"/>
    <n v="1320.6838"/>
    <n v="2181.5625"/>
    <s v="MR."/>
    <s v="ALFREDO"/>
    <s v="SERRANO"/>
    <s v="ALFREDO SERRANO"/>
    <d v="1943-11-22T00:00:00"/>
    <s v="S"/>
    <s v="M"/>
    <s v="alfredo17@adventure-works.com"/>
    <n v="40000"/>
    <n v="2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243"/>
    <d v="2002-06-26T00:00:00"/>
    <s v="SO47148"/>
    <n v="377"/>
    <n v="21259"/>
    <n v="9"/>
    <n v="1"/>
    <n v="1"/>
    <n v="2"/>
    <s v="BK-R89B-52"/>
    <x v="20"/>
    <n v="1320.6838"/>
    <n v="2181.5625"/>
    <s v="MR."/>
    <s v="CURTIS"/>
    <s v="CAI"/>
    <s v="CURTIS CAI"/>
    <d v="1943-07-25T00:00:00"/>
    <s v="S"/>
    <s v="M"/>
    <s v="curtis18@adventure-works.com"/>
    <n v="60000"/>
    <n v="2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247"/>
    <d v="2002-07-28T00:00:00"/>
    <s v="SO47208"/>
    <n v="369"/>
    <n v="21359"/>
    <n v="9"/>
    <n v="1"/>
    <n v="1"/>
    <n v="2"/>
    <s v="BK-R89R-48"/>
    <x v="21"/>
    <n v="1518.7864"/>
    <n v="2443.35"/>
    <s v="MR."/>
    <s v="JOHNNY"/>
    <s v="LUO"/>
    <s v="JOHNNY LUO"/>
    <d v="1946-05-27T00:00:00"/>
    <s v="M"/>
    <s v="M"/>
    <s v="johnny6@adventure-works.com"/>
    <n v="30000"/>
    <n v="2"/>
    <s v="Partial College"/>
    <s v="Clerical"/>
    <s v="N"/>
    <s v="Australia"/>
    <x v="2"/>
    <s v="Pacific"/>
    <x v="0"/>
    <s v="Bikes"/>
    <n v="2443.35"/>
    <n v="1518.7864"/>
    <n v="924.56359999999995"/>
    <n v="0.37839998362903399"/>
  </r>
  <r>
    <x v="248"/>
    <d v="2002-05-11T00:00:00"/>
    <s v="SO47218"/>
    <n v="369"/>
    <n v="21361"/>
    <n v="9"/>
    <n v="1"/>
    <n v="1"/>
    <n v="2"/>
    <s v="BK-R89R-48"/>
    <x v="21"/>
    <n v="1518.7864"/>
    <n v="2443.35"/>
    <s v="MR."/>
    <s v="RICKY"/>
    <s v="ROMERO"/>
    <s v="RICKY ROMERO"/>
    <d v="1947-03-16T00:00:00"/>
    <s v="M"/>
    <s v="M"/>
    <s v="ricky9@adventure-works.com"/>
    <n v="30000"/>
    <n v="2"/>
    <s v="Partial College"/>
    <s v="Clerical"/>
    <s v="N"/>
    <s v="Australia"/>
    <x v="2"/>
    <s v="Pacific"/>
    <x v="0"/>
    <s v="Bikes"/>
    <n v="2443.35"/>
    <n v="1518.7864"/>
    <n v="924.56359999999995"/>
    <n v="0.37839998362903399"/>
  </r>
  <r>
    <x v="247"/>
    <d v="2002-06-20T00:00:00"/>
    <s v="SO47209"/>
    <n v="370"/>
    <n v="21379"/>
    <n v="9"/>
    <n v="1"/>
    <n v="1"/>
    <n v="2"/>
    <s v="BK-R89R-52"/>
    <x v="23"/>
    <n v="1518.7864"/>
    <n v="2443.35"/>
    <s v="MRS."/>
    <s v="COLLEEN"/>
    <s v="HUANG"/>
    <s v="COLLEEN HUANG"/>
    <d v="1950-04-08T00:00:00"/>
    <s v="M"/>
    <s v="F"/>
    <s v="colleen6@adventure-works.com"/>
    <n v="30000"/>
    <n v="3"/>
    <s v="Partial College"/>
    <s v="Clerical"/>
    <s v="N"/>
    <s v="Australia"/>
    <x v="2"/>
    <s v="Pacific"/>
    <x v="0"/>
    <s v="Bikes"/>
    <n v="2443.35"/>
    <n v="1518.7864"/>
    <n v="924.56359999999995"/>
    <n v="0.37839998362903399"/>
  </r>
  <r>
    <x v="78"/>
    <d v="2002-06-10T00:00:00"/>
    <s v="SO47184"/>
    <n v="379"/>
    <n v="21380"/>
    <n v="9"/>
    <n v="1"/>
    <n v="1"/>
    <n v="2"/>
    <s v="BK-R89B-58"/>
    <x v="26"/>
    <n v="1320.6838"/>
    <n v="2181.5625"/>
    <s v="MRS."/>
    <s v="CANDACE"/>
    <s v="SARA"/>
    <s v="CANDACE SARA"/>
    <d v="1950-06-04T00:00:00"/>
    <s v="M"/>
    <s v="F"/>
    <s v="candace10@adventure-works.com"/>
    <n v="30000"/>
    <n v="3"/>
    <s v="Partial College"/>
    <s v="Clerical"/>
    <s v="N"/>
    <s v="Australia"/>
    <x v="2"/>
    <s v="Pacific"/>
    <x v="0"/>
    <s v="Bikes"/>
    <n v="2181.5625"/>
    <n v="1320.6838"/>
    <n v="860.87869999999998"/>
    <n v="0.39461564818793898"/>
  </r>
  <r>
    <x v="305"/>
    <d v="2002-07-27T00:00:00"/>
    <s v="SO47239"/>
    <n v="371"/>
    <n v="21384"/>
    <n v="9"/>
    <n v="1"/>
    <n v="1"/>
    <n v="2"/>
    <s v="BK-R89R-58"/>
    <x v="24"/>
    <n v="1320.6838"/>
    <n v="2181.5625"/>
    <s v="MR."/>
    <s v="RONNIE"/>
    <s v="LIN"/>
    <s v="RONNIE LIN"/>
    <d v="1951-11-24T00:00:00"/>
    <s v="M"/>
    <s v="M"/>
    <s v="ronnie7@adventure-works.com"/>
    <n v="30000"/>
    <n v="3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106"/>
    <d v="2002-05-25T00:00:00"/>
    <s v="SO47114"/>
    <n v="373"/>
    <n v="21387"/>
    <n v="9"/>
    <n v="1"/>
    <n v="1"/>
    <n v="2"/>
    <s v="BK-R89B-44"/>
    <x v="19"/>
    <n v="1320.6838"/>
    <n v="2181.5625"/>
    <s v="MR."/>
    <s v="NELSON"/>
    <s v="DIAZ"/>
    <s v="NELSON DIAZ"/>
    <d v="1951-12-03T00:00:00"/>
    <s v="S"/>
    <s v="M"/>
    <s v="nelson3@adventure-works.com"/>
    <n v="30000"/>
    <n v="3"/>
    <s v="High School"/>
    <s v="Skilled Manual"/>
    <s v="Y"/>
    <s v="Australia"/>
    <x v="2"/>
    <s v="Pacific"/>
    <x v="0"/>
    <s v="Bikes"/>
    <n v="2181.5625"/>
    <n v="1320.6838"/>
    <n v="860.87869999999998"/>
    <n v="0.39461564818793898"/>
  </r>
  <r>
    <x v="241"/>
    <d v="2002-05-04T00:00:00"/>
    <s v="SO47136"/>
    <n v="379"/>
    <n v="21389"/>
    <n v="9"/>
    <n v="1"/>
    <n v="1"/>
    <n v="2"/>
    <s v="BK-R89B-58"/>
    <x v="26"/>
    <n v="1320.6838"/>
    <n v="2181.5625"/>
    <s v="MRS."/>
    <s v="JAMIE"/>
    <s v="SUN"/>
    <s v="JAMIE SUN"/>
    <d v="1952-12-14T00:00:00"/>
    <s v="M"/>
    <s v="F"/>
    <s v="jamie16@adventure-works.com"/>
    <n v="30000"/>
    <n v="3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106"/>
    <d v="2002-06-15T00:00:00"/>
    <s v="SO47115"/>
    <n v="370"/>
    <n v="21393"/>
    <n v="9"/>
    <n v="1"/>
    <n v="1"/>
    <n v="2"/>
    <s v="BK-R89R-52"/>
    <x v="23"/>
    <n v="1518.7864"/>
    <n v="2443.35"/>
    <s v="MRS."/>
    <s v="CANDACE"/>
    <s v="ARUN"/>
    <s v="CANDACE ARUN"/>
    <d v="1954-04-28T00:00:00"/>
    <s v="S"/>
    <s v="F"/>
    <s v="candace6@adventure-works.com"/>
    <n v="70000"/>
    <n v="2"/>
    <s v="Partial College"/>
    <s v="Skilled Manual"/>
    <s v="N"/>
    <s v="Australia"/>
    <x v="2"/>
    <s v="Pacific"/>
    <x v="0"/>
    <s v="Bikes"/>
    <n v="2443.35"/>
    <n v="1518.7864"/>
    <n v="924.56359999999995"/>
    <n v="0.37839998362903399"/>
  </r>
  <r>
    <x v="238"/>
    <d v="2002-06-29T00:00:00"/>
    <s v="SO47090"/>
    <n v="377"/>
    <n v="21394"/>
    <n v="9"/>
    <n v="1"/>
    <n v="1"/>
    <n v="2"/>
    <s v="BK-R89B-52"/>
    <x v="20"/>
    <n v="1320.6838"/>
    <n v="2181.5625"/>
    <s v="MRS."/>
    <s v="GABRIELLA"/>
    <s v="PARKER"/>
    <s v="GABRIELLA PARKER"/>
    <d v="1954-11-24T00:00:00"/>
    <s v="S"/>
    <s v="F"/>
    <s v="gabriella30@adventure-works.com"/>
    <n v="70000"/>
    <n v="2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52"/>
    <d v="2002-07-17T00:00:00"/>
    <s v="SO47268"/>
    <n v="375"/>
    <n v="21402"/>
    <n v="9"/>
    <n v="1"/>
    <n v="1"/>
    <n v="2"/>
    <s v="BK-R89B-48"/>
    <x v="25"/>
    <n v="1320.6838"/>
    <n v="2181.5625"/>
    <s v="MR."/>
    <s v="KEVIN"/>
    <s v="KING"/>
    <s v="KEVIN KING"/>
    <d v="1956-06-27T00:00:00"/>
    <s v="M"/>
    <s v="M"/>
    <s v="kevin57@adventure-works.com"/>
    <n v="80000"/>
    <n v="2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244"/>
    <d v="2002-05-06T00:00:00"/>
    <s v="SO47160"/>
    <n v="369"/>
    <n v="21403"/>
    <n v="9"/>
    <n v="1"/>
    <n v="1"/>
    <n v="2"/>
    <s v="BK-R89R-48"/>
    <x v="21"/>
    <n v="1518.7864"/>
    <n v="2443.35"/>
    <s v="MR."/>
    <s v="LISA"/>
    <s v="ROY"/>
    <s v="LISA ROY"/>
    <d v="1957-10-19T00:00:00"/>
    <s v="S"/>
    <s v="M"/>
    <s v="lisa0@adventure-works.com"/>
    <n v="70000"/>
    <n v="2"/>
    <s v="High School"/>
    <s v="Professional"/>
    <s v="N"/>
    <s v="Australia"/>
    <x v="2"/>
    <s v="Pacific"/>
    <x v="0"/>
    <s v="Bikes"/>
    <n v="2443.35"/>
    <n v="1518.7864"/>
    <n v="924.56359999999995"/>
    <n v="0.37839998362903399"/>
  </r>
  <r>
    <x v="253"/>
    <d v="2002-07-02T00:00:00"/>
    <s v="SO47278"/>
    <n v="379"/>
    <n v="21404"/>
    <n v="9"/>
    <n v="1"/>
    <n v="1"/>
    <n v="2"/>
    <s v="BK-R89B-58"/>
    <x v="26"/>
    <n v="1320.6838"/>
    <n v="2181.5625"/>
    <s v="MR."/>
    <s v="JULIO"/>
    <s v="SANZ"/>
    <s v="JULIO SANZ"/>
    <d v="1957-06-19T00:00:00"/>
    <s v="S"/>
    <s v="M"/>
    <s v="julio21@adventure-works.com"/>
    <n v="70000"/>
    <n v="2"/>
    <s v="High School"/>
    <s v="Professional"/>
    <s v="N"/>
    <s v="Australia"/>
    <x v="2"/>
    <s v="Pacific"/>
    <x v="0"/>
    <s v="Bikes"/>
    <n v="2181.5625"/>
    <n v="1320.6838"/>
    <n v="860.87869999999998"/>
    <n v="0.39461564818793898"/>
  </r>
  <r>
    <x v="244"/>
    <d v="2002-05-12T00:00:00"/>
    <s v="SO47161"/>
    <n v="375"/>
    <n v="21408"/>
    <n v="9"/>
    <n v="1"/>
    <n v="1"/>
    <n v="2"/>
    <s v="BK-R89B-48"/>
    <x v="25"/>
    <n v="1320.6838"/>
    <n v="2181.5625"/>
    <s v="MRS."/>
    <s v="AUTUMN"/>
    <s v="CHEN"/>
    <s v="AUTUMN CHEN"/>
    <d v="1959-06-06T00:00:00"/>
    <s v="M"/>
    <s v="F"/>
    <s v="autumn2@adventure-works.com"/>
    <n v="110000"/>
    <n v="4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244"/>
    <d v="2002-07-15T00:00:00"/>
    <s v="SO47162"/>
    <n v="371"/>
    <n v="21418"/>
    <n v="9"/>
    <n v="1"/>
    <n v="1"/>
    <n v="2"/>
    <s v="BK-R89R-58"/>
    <x v="24"/>
    <n v="1320.6838"/>
    <n v="2181.5625"/>
    <s v="MRS."/>
    <s v="ALICIA"/>
    <s v="CHAPMAN"/>
    <s v="ALICIA CHAPMAN"/>
    <d v="1959-01-23T00:00:00"/>
    <s v="M"/>
    <s v="F"/>
    <s v="alicia13@adventure-works.com"/>
    <n v="120000"/>
    <n v="1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166"/>
    <d v="2002-04-26T00:00:00"/>
    <s v="SO47171"/>
    <n v="373"/>
    <n v="21552"/>
    <n v="9"/>
    <n v="1"/>
    <n v="1"/>
    <n v="2"/>
    <s v="BK-R89B-44"/>
    <x v="19"/>
    <n v="1320.6838"/>
    <n v="2181.5625"/>
    <s v="MR."/>
    <s v="FRANCIS"/>
    <s v="ALVAREZ"/>
    <s v="FRANCIS ALVAREZ"/>
    <d v="1975-11-19T00:00:00"/>
    <s v="M"/>
    <s v="M"/>
    <s v="francis2@adventure-works.com"/>
    <n v="8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50"/>
    <d v="2002-06-08T00:00:00"/>
    <s v="SO47343"/>
    <n v="379"/>
    <n v="21553"/>
    <n v="9"/>
    <n v="1"/>
    <n v="1"/>
    <n v="2"/>
    <s v="BK-R89B-58"/>
    <x v="26"/>
    <n v="1320.6838"/>
    <n v="2181.5625"/>
    <s v="MR."/>
    <s v="ALLEN"/>
    <s v="SURI"/>
    <s v="ALLEN SURI"/>
    <d v="1975-10-17T00:00:00"/>
    <s v="M"/>
    <s v="M"/>
    <s v="allen0@adventure-works.com"/>
    <n v="9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52"/>
    <d v="2002-06-07T00:00:00"/>
    <s v="SO47266"/>
    <n v="377"/>
    <n v="21555"/>
    <n v="9"/>
    <n v="1"/>
    <n v="1"/>
    <n v="2"/>
    <s v="BK-R89B-52"/>
    <x v="20"/>
    <n v="1320.6838"/>
    <n v="2181.5625"/>
    <s v="MR."/>
    <s v="JARROD"/>
    <s v="MADAN"/>
    <s v="JARROD MADAN"/>
    <d v="1974-03-09T00:00:00"/>
    <s v="S"/>
    <s v="M"/>
    <s v="jarrod7@adventure-works.com"/>
    <n v="9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40"/>
    <d v="2002-05-25T00:00:00"/>
    <s v="SO47128"/>
    <n v="368"/>
    <n v="21556"/>
    <n v="9"/>
    <n v="1"/>
    <n v="1"/>
    <n v="2"/>
    <s v="BK-R89R-44"/>
    <x v="22"/>
    <n v="1518.7864"/>
    <n v="2443.35"/>
    <s v="MS."/>
    <s v="GLORIA"/>
    <s v="SERRANO"/>
    <s v="GLORIA SERRANO"/>
    <d v="1974-05-27T00:00:00"/>
    <s v="S"/>
    <s v="F"/>
    <s v="gloria17@adventure-works.com"/>
    <n v="90000"/>
    <n v="0"/>
    <s v="Bachelors"/>
    <s v="Professional"/>
    <s v="N"/>
    <s v="Australia"/>
    <x v="2"/>
    <s v="Pacific"/>
    <x v="0"/>
    <s v="Bikes"/>
    <n v="2443.35"/>
    <n v="1518.7864"/>
    <n v="924.56359999999995"/>
    <n v="0.37839998362903399"/>
  </r>
  <r>
    <x v="249"/>
    <d v="2002-07-17T00:00:00"/>
    <s v="SO47334"/>
    <n v="369"/>
    <n v="21557"/>
    <n v="9"/>
    <n v="1"/>
    <n v="1"/>
    <n v="2"/>
    <s v="BK-R89R-48"/>
    <x v="21"/>
    <n v="1518.7864"/>
    <n v="2443.35"/>
    <s v="MS."/>
    <s v="KATE"/>
    <s v="LAL"/>
    <s v="KATE LAL"/>
    <d v="1974-04-16T00:00:00"/>
    <s v="S"/>
    <s v="F"/>
    <s v="kate7@adventure-works.com"/>
    <n v="110000"/>
    <n v="0"/>
    <s v="Partial College"/>
    <s v="Management"/>
    <s v="Y"/>
    <s v="Australia"/>
    <x v="2"/>
    <s v="Pacific"/>
    <x v="0"/>
    <s v="Bikes"/>
    <n v="2443.35"/>
    <n v="1518.7864"/>
    <n v="924.56359999999995"/>
    <n v="0.37839998362903399"/>
  </r>
  <r>
    <x v="105"/>
    <d v="2002-07-28T00:00:00"/>
    <s v="SO47290"/>
    <n v="368"/>
    <n v="21558"/>
    <n v="9"/>
    <n v="1"/>
    <n v="1"/>
    <n v="2"/>
    <s v="BK-R89R-44"/>
    <x v="22"/>
    <n v="1518.7864"/>
    <n v="2443.35"/>
    <s v="MS."/>
    <s v="NICOLE"/>
    <s v="COLEMAN"/>
    <s v="NICOLE COLEMAN"/>
    <d v="1973-12-24T00:00:00"/>
    <s v="S"/>
    <s v="F"/>
    <s v="nicole54@adventure-works.com"/>
    <n v="100000"/>
    <n v="0"/>
    <s v="High School"/>
    <s v="Management"/>
    <s v="Y"/>
    <s v="Australia"/>
    <x v="2"/>
    <s v="Pacific"/>
    <x v="0"/>
    <s v="Bikes"/>
    <n v="2443.35"/>
    <n v="1518.7864"/>
    <n v="924.56359999999995"/>
    <n v="0.37839998362903399"/>
  </r>
  <r>
    <x v="305"/>
    <d v="2002-04-27T00:00:00"/>
    <s v="SO47241"/>
    <n v="368"/>
    <n v="21559"/>
    <n v="9"/>
    <n v="1"/>
    <n v="1"/>
    <n v="2"/>
    <s v="BK-R89R-44"/>
    <x v="22"/>
    <n v="1518.7864"/>
    <n v="2443.35"/>
    <s v="MR."/>
    <s v="PEDRO"/>
    <s v="MALHOTRA"/>
    <s v="PEDRO MALHOTRA"/>
    <d v="1973-04-07T00:00:00"/>
    <s v="M"/>
    <s v="M"/>
    <s v="pedro5@adventure-works.com"/>
    <n v="100000"/>
    <n v="0"/>
    <s v="High School"/>
    <s v="Management"/>
    <s v="N"/>
    <s v="Australia"/>
    <x v="2"/>
    <s v="Pacific"/>
    <x v="0"/>
    <s v="Bikes"/>
    <n v="2443.35"/>
    <n v="1518.7864"/>
    <n v="924.56359999999995"/>
    <n v="0.37839998362903399"/>
  </r>
  <r>
    <x v="85"/>
    <d v="2002-05-20T00:00:00"/>
    <s v="SO47262"/>
    <n v="379"/>
    <n v="21560"/>
    <n v="9"/>
    <n v="1"/>
    <n v="1"/>
    <n v="2"/>
    <s v="BK-R89B-58"/>
    <x v="26"/>
    <n v="1320.6838"/>
    <n v="2181.5625"/>
    <s v="MR."/>
    <s v="KRISTOPHER"/>
    <s v="LOPEZ"/>
    <s v="KRISTOPHER LOPEZ"/>
    <d v="1973-09-12T00:00:00"/>
    <s v="M"/>
    <s v="M"/>
    <s v="kristopher15@adventure-works.com"/>
    <n v="120000"/>
    <n v="0"/>
    <s v="Partial High School"/>
    <s v="Professional"/>
    <s v="Y"/>
    <s v="Australia"/>
    <x v="2"/>
    <s v="Pacific"/>
    <x v="0"/>
    <s v="Bikes"/>
    <n v="2181.5625"/>
    <n v="1320.6838"/>
    <n v="860.87869999999998"/>
    <n v="0.39461564818793898"/>
  </r>
  <r>
    <x v="237"/>
    <d v="2002-04-19T00:00:00"/>
    <s v="SO47084"/>
    <n v="370"/>
    <n v="21561"/>
    <n v="9"/>
    <n v="1"/>
    <n v="1"/>
    <n v="2"/>
    <s v="BK-R89R-52"/>
    <x v="23"/>
    <n v="1518.7864"/>
    <n v="2443.35"/>
    <s v="MR."/>
    <s v="ALBERT"/>
    <s v="NAVARRO"/>
    <s v="ALBERT NAVARRO"/>
    <d v="1972-05-20T00:00:00"/>
    <s v="S"/>
    <s v="M"/>
    <s v="albert12@adventure-works.com"/>
    <n v="90000"/>
    <n v="0"/>
    <s v="Bachelors"/>
    <s v="Professional"/>
    <s v="N"/>
    <s v="Australia"/>
    <x v="2"/>
    <s v="Pacific"/>
    <x v="0"/>
    <s v="Bikes"/>
    <n v="2443.35"/>
    <n v="1518.7864"/>
    <n v="924.56359999999995"/>
    <n v="0.37839998362903399"/>
  </r>
  <r>
    <x v="320"/>
    <d v="2002-06-27T00:00:00"/>
    <s v="SO47603"/>
    <n v="379"/>
    <n v="21562"/>
    <n v="9"/>
    <n v="1"/>
    <n v="1"/>
    <n v="2"/>
    <s v="BK-R89B-58"/>
    <x v="26"/>
    <n v="1320.6838"/>
    <n v="2181.5625"/>
    <s v="MR."/>
    <s v="DREW"/>
    <s v="JAI"/>
    <s v="DREW JAI"/>
    <d v="1972-10-19T00:00:00"/>
    <s v="S"/>
    <s v="M"/>
    <s v="drew12@adventure-works.com"/>
    <n v="100000"/>
    <n v="0"/>
    <s v="High School"/>
    <s v="Management"/>
    <s v="Y"/>
    <s v="Australia"/>
    <x v="2"/>
    <s v="Pacific"/>
    <x v="0"/>
    <s v="Bikes"/>
    <n v="2181.5625"/>
    <n v="1320.6838"/>
    <n v="860.87869999999998"/>
    <n v="0.39461564818793898"/>
  </r>
  <r>
    <x v="183"/>
    <d v="2002-07-18T00:00:00"/>
    <s v="SO47524"/>
    <n v="370"/>
    <n v="21567"/>
    <n v="9"/>
    <n v="1"/>
    <n v="1"/>
    <n v="2"/>
    <s v="BK-R89R-52"/>
    <x v="23"/>
    <n v="1518.7864"/>
    <n v="2443.35"/>
    <s v="MS."/>
    <s v="CANDACE"/>
    <s v="SANCHEZ"/>
    <s v="CANDACE SANCHEZ"/>
    <d v="1971-07-13T00:00:00"/>
    <s v="M"/>
    <s v="F"/>
    <s v="candace18@adventure-works.com"/>
    <n v="100000"/>
    <n v="0"/>
    <s v="High School"/>
    <s v="Management"/>
    <s v="N"/>
    <s v="Australia"/>
    <x v="2"/>
    <s v="Pacific"/>
    <x v="0"/>
    <s v="Bikes"/>
    <n v="2443.35"/>
    <n v="1518.7864"/>
    <n v="924.56359999999995"/>
    <n v="0.37839998362903399"/>
  </r>
  <r>
    <x v="361"/>
    <d v="2002-07-23T00:00:00"/>
    <s v="SO47480"/>
    <n v="371"/>
    <n v="21568"/>
    <n v="9"/>
    <n v="1"/>
    <n v="1"/>
    <n v="2"/>
    <s v="BK-R89R-58"/>
    <x v="24"/>
    <n v="1320.6838"/>
    <n v="2181.5625"/>
    <s v="MS."/>
    <s v="JACQUELYN"/>
    <s v="HERNANDEZ"/>
    <s v="JACQUELYN HERNANDEZ"/>
    <d v="1971-11-21T00:00:00"/>
    <s v="M"/>
    <s v="F"/>
    <s v="jacquelyn4@adventure-works.com"/>
    <n v="100000"/>
    <n v="0"/>
    <s v="High School"/>
    <s v="Management"/>
    <s v="Y"/>
    <s v="Australia"/>
    <x v="2"/>
    <s v="Pacific"/>
    <x v="0"/>
    <s v="Bikes"/>
    <n v="2181.5625"/>
    <n v="1320.6838"/>
    <n v="860.87869999999998"/>
    <n v="0.39461564818793898"/>
  </r>
  <r>
    <x v="307"/>
    <d v="2002-08-18T00:00:00"/>
    <s v="SO47623"/>
    <n v="369"/>
    <n v="21569"/>
    <n v="9"/>
    <n v="1"/>
    <n v="1"/>
    <n v="2"/>
    <s v="BK-R89R-48"/>
    <x v="21"/>
    <n v="1518.7864"/>
    <n v="2443.35"/>
    <s v="MR."/>
    <s v="BRENDAN"/>
    <s v="RAI"/>
    <s v="BRENDAN RAI"/>
    <d v="1970-09-14T00:00:00"/>
    <s v="S"/>
    <s v="M"/>
    <s v="brendan15@adventure-works.com"/>
    <n v="90000"/>
    <n v="0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346"/>
    <d v="2002-08-05T00:00:00"/>
    <s v="SO47567"/>
    <n v="379"/>
    <n v="21570"/>
    <n v="9"/>
    <n v="1"/>
    <n v="1"/>
    <n v="2"/>
    <s v="BK-R89B-58"/>
    <x v="26"/>
    <n v="1320.6838"/>
    <n v="2181.5625"/>
    <s v="MR."/>
    <s v="BARRY"/>
    <s v="KOV�R"/>
    <s v="BARRY KOV�R"/>
    <d v="1970-07-02T00:00:00"/>
    <s v="M"/>
    <s v="M"/>
    <s v="barry4@adventure-works.com"/>
    <n v="100000"/>
    <n v="0"/>
    <s v="High School"/>
    <s v="Management"/>
    <s v="Y"/>
    <s v="Australia"/>
    <x v="2"/>
    <s v="Pacific"/>
    <x v="0"/>
    <s v="Bikes"/>
    <n v="2181.5625"/>
    <n v="1320.6838"/>
    <n v="860.87869999999998"/>
    <n v="0.39461564818793898"/>
  </r>
  <r>
    <x v="260"/>
    <d v="2002-06-13T00:00:00"/>
    <s v="SO47542"/>
    <n v="373"/>
    <n v="21571"/>
    <n v="9"/>
    <n v="1"/>
    <n v="1"/>
    <n v="2"/>
    <s v="BK-R89B-44"/>
    <x v="19"/>
    <n v="1320.6838"/>
    <n v="2181.5625"/>
    <s v="MR."/>
    <s v="DARRYL"/>
    <s v="YANG"/>
    <s v="DARRYL YANG"/>
    <d v="1970-04-25T00:00:00"/>
    <s v="M"/>
    <s v="M"/>
    <s v="darryl5@adventure-works.com"/>
    <n v="110000"/>
    <n v="0"/>
    <s v="High School"/>
    <s v="Management"/>
    <s v="Y"/>
    <s v="Australia"/>
    <x v="2"/>
    <s v="Pacific"/>
    <x v="0"/>
    <s v="Bikes"/>
    <n v="2181.5625"/>
    <n v="1320.6838"/>
    <n v="860.87869999999998"/>
    <n v="0.39461564818793898"/>
  </r>
  <r>
    <x v="182"/>
    <d v="2002-07-20T00:00:00"/>
    <s v="SO47499"/>
    <n v="377"/>
    <n v="21572"/>
    <n v="9"/>
    <n v="1"/>
    <n v="1"/>
    <n v="2"/>
    <s v="BK-R89B-52"/>
    <x v="20"/>
    <n v="1320.6838"/>
    <n v="2181.5625"/>
    <s v="MR."/>
    <s v="RANDALL"/>
    <s v="RAMOS"/>
    <s v="RANDALL RAMOS"/>
    <d v="1971-04-27T00:00:00"/>
    <s v="M"/>
    <s v="M"/>
    <s v="randall19@adventure-works.com"/>
    <n v="130000"/>
    <n v="0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192"/>
    <d v="2002-08-19T00:00:00"/>
    <s v="SO47616"/>
    <n v="371"/>
    <n v="21873"/>
    <n v="9"/>
    <n v="1"/>
    <n v="1"/>
    <n v="2"/>
    <s v="BK-R89R-58"/>
    <x v="24"/>
    <n v="1320.6838"/>
    <n v="2181.5625"/>
    <s v="MS."/>
    <s v="KELLIE"/>
    <s v="NAVARRO"/>
    <s v="KELLIE NAVARRO"/>
    <d v="1975-08-03T00:00:00"/>
    <s v="M"/>
    <s v="F"/>
    <s v="kellie8@adventure-works.com"/>
    <n v="7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69"/>
    <d v="2002-07-29T00:00:00"/>
    <s v="SO47587"/>
    <n v="371"/>
    <n v="21874"/>
    <n v="9"/>
    <n v="1"/>
    <n v="1"/>
    <n v="2"/>
    <s v="BK-R89R-58"/>
    <x v="24"/>
    <n v="1320.6838"/>
    <n v="2181.5625"/>
    <s v="MS."/>
    <s v="BRANDI"/>
    <s v="SUAREZ"/>
    <s v="BRANDI SUAREZ"/>
    <d v="1976-05-22T00:00:00"/>
    <s v="M"/>
    <s v="F"/>
    <s v="brandi18@adventure-works.com"/>
    <n v="7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59"/>
    <d v="2002-06-04T00:00:00"/>
    <s v="SO47473"/>
    <n v="369"/>
    <n v="21875"/>
    <n v="9"/>
    <n v="1"/>
    <n v="1"/>
    <n v="2"/>
    <s v="BK-R89R-48"/>
    <x v="21"/>
    <n v="1518.7864"/>
    <n v="2443.35"/>
    <s v="MR."/>
    <s v="CEDRIC"/>
    <s v="NARA"/>
    <s v="CEDRIC NARA"/>
    <d v="1976-08-17T00:00:00"/>
    <s v="S"/>
    <s v="M"/>
    <s v="cedric35@adventure-works.com"/>
    <n v="70000"/>
    <n v="0"/>
    <s v="Bachelors"/>
    <s v="Professional"/>
    <s v="N"/>
    <s v="Australia"/>
    <x v="2"/>
    <s v="Pacific"/>
    <x v="0"/>
    <s v="Bikes"/>
    <n v="2443.35"/>
    <n v="1518.7864"/>
    <n v="924.56359999999995"/>
    <n v="0.37839998362903399"/>
  </r>
  <r>
    <x v="320"/>
    <d v="2002-08-14T00:00:00"/>
    <s v="SO47604"/>
    <n v="375"/>
    <n v="21876"/>
    <n v="9"/>
    <n v="1"/>
    <n v="1"/>
    <n v="2"/>
    <s v="BK-R89B-48"/>
    <x v="25"/>
    <n v="1320.6838"/>
    <n v="2181.5625"/>
    <s v="MR."/>
    <s v="PHILIP"/>
    <s v="RUBIO"/>
    <s v="PHILIP RUBIO"/>
    <d v="1976-04-26T00:00:00"/>
    <s v="S"/>
    <s v="M"/>
    <s v="philip20@adventure-works.com"/>
    <n v="7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57"/>
    <d v="2002-05-24T00:00:00"/>
    <s v="SO47576"/>
    <n v="377"/>
    <n v="21877"/>
    <n v="9"/>
    <n v="1"/>
    <n v="1"/>
    <n v="2"/>
    <s v="BK-R89B-52"/>
    <x v="20"/>
    <n v="1320.6838"/>
    <n v="2181.5625"/>
    <s v="MR."/>
    <s v="CLARENCE"/>
    <s v="XU"/>
    <s v="CLARENCE XU"/>
    <d v="1976-08-13T00:00:00"/>
    <s v="S"/>
    <s v="M"/>
    <s v="clarence19@adventure-works.com"/>
    <n v="8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185"/>
    <d v="2002-06-09T00:00:00"/>
    <s v="SO47551"/>
    <n v="371"/>
    <n v="21878"/>
    <n v="9"/>
    <n v="1"/>
    <n v="1"/>
    <n v="2"/>
    <s v="BK-R89R-58"/>
    <x v="24"/>
    <n v="1320.6838"/>
    <n v="2181.5625"/>
    <s v="MR."/>
    <s v="BRYANT"/>
    <s v="RANA"/>
    <s v="BRYANT RANA"/>
    <d v="1976-04-25T00:00:00"/>
    <s v="M"/>
    <s v="M"/>
    <s v="bryant10@adventure-works.com"/>
    <n v="8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349"/>
    <d v="2002-06-30T00:00:00"/>
    <s v="SO47656"/>
    <n v="368"/>
    <n v="21882"/>
    <n v="9"/>
    <n v="1"/>
    <n v="1"/>
    <n v="2"/>
    <s v="BK-R89R-44"/>
    <x v="22"/>
    <n v="1518.7864"/>
    <n v="2443.35"/>
    <s v="MR."/>
    <s v="JAY"/>
    <s v="RAMOS"/>
    <s v="JAY RAMOS"/>
    <d v="1975-09-23T00:00:00"/>
    <s v="S"/>
    <s v="M"/>
    <s v="jay47@adventure-works.com"/>
    <n v="90000"/>
    <n v="0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346"/>
    <d v="2002-08-31T00:00:00"/>
    <s v="SO47568"/>
    <n v="375"/>
    <n v="21885"/>
    <n v="9"/>
    <n v="1"/>
    <n v="1"/>
    <n v="2"/>
    <s v="BK-R89B-48"/>
    <x v="25"/>
    <n v="1320.6838"/>
    <n v="2181.5625"/>
    <s v="MR."/>
    <s v="RAFAEL"/>
    <s v="XU"/>
    <s v="RAFAEL XU"/>
    <d v="1974-12-05T00:00:00"/>
    <s v="S"/>
    <s v="M"/>
    <s v="rafael13@adventure-works.com"/>
    <n v="9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94"/>
    <d v="2002-07-30T00:00:00"/>
    <s v="SO47533"/>
    <n v="371"/>
    <n v="21886"/>
    <n v="9"/>
    <n v="1"/>
    <n v="1"/>
    <n v="2"/>
    <s v="BK-R89R-58"/>
    <x v="24"/>
    <n v="1320.6838"/>
    <n v="2181.5625"/>
    <s v="MS."/>
    <s v="JILL"/>
    <s v="CARLSON"/>
    <s v="JILL CARLSON"/>
    <d v="1974-05-10T00:00:00"/>
    <s v="S"/>
    <s v="F"/>
    <s v="jill26@adventure-works.com"/>
    <n v="100000"/>
    <n v="0"/>
    <s v="High School"/>
    <s v="Management"/>
    <s v="Y"/>
    <s v="Australia"/>
    <x v="2"/>
    <s v="Pacific"/>
    <x v="0"/>
    <s v="Bikes"/>
    <n v="2181.5625"/>
    <n v="1320.6838"/>
    <n v="860.87869999999998"/>
    <n v="0.39461564818793898"/>
  </r>
  <r>
    <x v="268"/>
    <d v="2002-07-21T00:00:00"/>
    <s v="SO47489"/>
    <n v="368"/>
    <n v="21888"/>
    <n v="9"/>
    <n v="1"/>
    <n v="1"/>
    <n v="2"/>
    <s v="BK-R89R-44"/>
    <x v="22"/>
    <n v="1518.7864"/>
    <n v="2443.35"/>
    <s v="MR."/>
    <s v="EVAN"/>
    <s v="EDWARDS"/>
    <s v="EVAN EDWARDS"/>
    <d v="1973-09-04T00:00:00"/>
    <s v="S"/>
    <s v="M"/>
    <s v="evan25@adventure-works.com"/>
    <n v="100000"/>
    <n v="0"/>
    <s v="High School"/>
    <s v="Management"/>
    <s v="Y"/>
    <s v="Australia"/>
    <x v="2"/>
    <s v="Pacific"/>
    <x v="0"/>
    <s v="Bikes"/>
    <n v="2443.35"/>
    <n v="1518.7864"/>
    <n v="924.56359999999995"/>
    <n v="0.37839998362903399"/>
  </r>
  <r>
    <x v="183"/>
    <d v="2002-07-28T00:00:00"/>
    <s v="SO47525"/>
    <n v="379"/>
    <n v="21889"/>
    <n v="9"/>
    <n v="1"/>
    <n v="1"/>
    <n v="2"/>
    <s v="BK-R89B-58"/>
    <x v="26"/>
    <n v="1320.6838"/>
    <n v="2181.5625"/>
    <s v="MS."/>
    <s v="SHEILA"/>
    <s v="NAVARRO"/>
    <s v="SHEILA NAVARRO"/>
    <d v="1973-08-17T00:00:00"/>
    <s v="M"/>
    <s v="F"/>
    <s v="sheila10@adventure-works.com"/>
    <n v="110000"/>
    <n v="0"/>
    <s v="Partial College"/>
    <s v="Management"/>
    <s v="Y"/>
    <s v="Australia"/>
    <x v="2"/>
    <s v="Pacific"/>
    <x v="0"/>
    <s v="Bikes"/>
    <n v="2181.5625"/>
    <n v="1320.6838"/>
    <n v="860.87869999999998"/>
    <n v="0.39461564818793898"/>
  </r>
  <r>
    <x v="257"/>
    <d v="2002-08-16T00:00:00"/>
    <s v="SO47577"/>
    <n v="370"/>
    <n v="21891"/>
    <n v="9"/>
    <n v="1"/>
    <n v="1"/>
    <n v="2"/>
    <s v="BK-R89R-52"/>
    <x v="23"/>
    <n v="1518.7864"/>
    <n v="2443.35"/>
    <s v="MS."/>
    <s v="DAWN"/>
    <s v="NARA"/>
    <s v="DAWN NARA"/>
    <d v="1972-06-23T00:00:00"/>
    <s v="M"/>
    <s v="F"/>
    <s v="dawn41@adventure-works.com"/>
    <n v="110000"/>
    <n v="0"/>
    <s v="High School"/>
    <s v="Management"/>
    <s v="Y"/>
    <s v="Australia"/>
    <x v="2"/>
    <s v="Pacific"/>
    <x v="0"/>
    <s v="Bikes"/>
    <n v="2443.35"/>
    <n v="1518.7864"/>
    <n v="924.56359999999995"/>
    <n v="0.37839998362903399"/>
  </r>
  <r>
    <x v="98"/>
    <d v="2002-07-11T00:00:00"/>
    <s v="SO47508"/>
    <n v="370"/>
    <n v="21892"/>
    <n v="9"/>
    <n v="1"/>
    <n v="1"/>
    <n v="2"/>
    <s v="BK-R89R-52"/>
    <x v="23"/>
    <n v="1518.7864"/>
    <n v="2443.35"/>
    <s v="MS."/>
    <s v="JOAN"/>
    <s v="HERNANDEZ"/>
    <s v="JOAN HERNANDEZ"/>
    <d v="1971-08-26T00:00:00"/>
    <s v="M"/>
    <s v="F"/>
    <s v="joan15@adventure-works.com"/>
    <n v="100000"/>
    <n v="0"/>
    <s v="High School"/>
    <s v="Management"/>
    <s v="Y"/>
    <s v="Australia"/>
    <x v="2"/>
    <s v="Pacific"/>
    <x v="0"/>
    <s v="Bikes"/>
    <n v="2443.35"/>
    <n v="1518.7864"/>
    <n v="924.56359999999995"/>
    <n v="0.37839998362903399"/>
  </r>
  <r>
    <x v="259"/>
    <d v="2002-05-17T00:00:00"/>
    <s v="SO47474"/>
    <n v="379"/>
    <n v="21893"/>
    <n v="9"/>
    <n v="1"/>
    <n v="1"/>
    <n v="2"/>
    <s v="BK-R89B-58"/>
    <x v="26"/>
    <n v="1320.6838"/>
    <n v="2181.5625"/>
    <s v="MS."/>
    <s v="BRANDI"/>
    <s v="HERNANDEZ"/>
    <s v="BRANDI HERNANDEZ"/>
    <d v="1971-06-15T00:00:00"/>
    <s v="S"/>
    <s v="F"/>
    <s v="brandi4@adventure-works.com"/>
    <n v="100000"/>
    <n v="0"/>
    <s v="High School"/>
    <s v="Management"/>
    <s v="Y"/>
    <s v="Australia"/>
    <x v="2"/>
    <s v="Pacific"/>
    <x v="0"/>
    <s v="Bikes"/>
    <n v="2181.5625"/>
    <n v="1320.6838"/>
    <n v="860.87869999999998"/>
    <n v="0.39461564818793898"/>
  </r>
  <r>
    <x v="89"/>
    <d v="2002-08-14T00:00:00"/>
    <s v="SO47633"/>
    <n v="371"/>
    <n v="21894"/>
    <n v="9"/>
    <n v="1"/>
    <n v="1"/>
    <n v="2"/>
    <s v="BK-R89R-58"/>
    <x v="24"/>
    <n v="1320.6838"/>
    <n v="2181.5625"/>
    <s v="MR."/>
    <s v="DAVID"/>
    <s v="LI"/>
    <s v="DAVID LI"/>
    <d v="1970-11-13T00:00:00"/>
    <s v="S"/>
    <s v="M"/>
    <s v="david58@adventure-works.com"/>
    <n v="9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68"/>
    <d v="2002-05-25T00:00:00"/>
    <s v="SO47490"/>
    <n v="371"/>
    <n v="21895"/>
    <n v="9"/>
    <n v="1"/>
    <n v="1"/>
    <n v="2"/>
    <s v="BK-R89R-58"/>
    <x v="24"/>
    <n v="1320.6838"/>
    <n v="2181.5625"/>
    <s v="MS."/>
    <s v="KAYLEE"/>
    <s v="GONZALEZ"/>
    <s v="KAYLEE GONZALEZ"/>
    <d v="1970-10-09T00:00:00"/>
    <s v="S"/>
    <s v="F"/>
    <s v="kaylee30@adventure-works.com"/>
    <n v="9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196"/>
    <d v="2002-07-06T00:00:00"/>
    <s v="SO47647"/>
    <n v="368"/>
    <n v="21897"/>
    <n v="9"/>
    <n v="1"/>
    <n v="1"/>
    <n v="2"/>
    <s v="BK-R89R-44"/>
    <x v="22"/>
    <n v="1518.7864"/>
    <n v="2443.35"/>
    <s v="MR."/>
    <s v="FRANCISCO"/>
    <s v="SUBRAM"/>
    <s v="FRANCISCO SUBRAM"/>
    <d v="1971-10-20T00:00:00"/>
    <s v="M"/>
    <s v="M"/>
    <s v="francisco14@adventure-works.com"/>
    <n v="110000"/>
    <n v="0"/>
    <s v="Partial High School"/>
    <s v="Professional"/>
    <s v="N"/>
    <s v="Australia"/>
    <x v="2"/>
    <s v="Pacific"/>
    <x v="0"/>
    <s v="Bikes"/>
    <n v="2443.35"/>
    <n v="1518.7864"/>
    <n v="924.56359999999995"/>
    <n v="0.37839998362903399"/>
  </r>
  <r>
    <x v="361"/>
    <d v="2002-06-01T00:00:00"/>
    <s v="SO47481"/>
    <n v="373"/>
    <n v="21899"/>
    <n v="9"/>
    <n v="1"/>
    <n v="1"/>
    <n v="2"/>
    <s v="BK-R89B-44"/>
    <x v="19"/>
    <n v="1320.6838"/>
    <n v="2181.5625"/>
    <s v="MS."/>
    <s v="MARIE"/>
    <s v="VAZQUEZ"/>
    <s v="MARIE VAZQUEZ"/>
    <d v="1971-04-10T00:00:00"/>
    <s v="M"/>
    <s v="F"/>
    <s v="marie38@adventure-works.com"/>
    <n v="110000"/>
    <n v="0"/>
    <s v="Partial High School"/>
    <s v="Professional"/>
    <s v="Y"/>
    <s v="Australia"/>
    <x v="2"/>
    <s v="Pacific"/>
    <x v="0"/>
    <s v="Bikes"/>
    <n v="2181.5625"/>
    <n v="1320.6838"/>
    <n v="860.87869999999998"/>
    <n v="0.39461564818793898"/>
  </r>
  <r>
    <x v="192"/>
    <d v="2002-07-30T00:00:00"/>
    <s v="SO47617"/>
    <n v="377"/>
    <n v="21943"/>
    <n v="9"/>
    <n v="1"/>
    <n v="1"/>
    <n v="2"/>
    <s v="BK-R89B-52"/>
    <x v="20"/>
    <n v="1320.6838"/>
    <n v="2181.5625"/>
    <s v="MRS."/>
    <s v="CINDY"/>
    <s v="MEHTA"/>
    <s v="CINDY MEHTA"/>
    <d v="1969-08-08T00:00:00"/>
    <s v="S"/>
    <s v="F"/>
    <s v="cindy14@adventure-works.com"/>
    <n v="80000"/>
    <n v="4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180"/>
    <d v="2002-07-17T00:00:00"/>
    <s v="SO47562"/>
    <n v="377"/>
    <n v="21944"/>
    <n v="9"/>
    <n v="1"/>
    <n v="1"/>
    <n v="2"/>
    <s v="BK-R89B-52"/>
    <x v="20"/>
    <n v="1320.6838"/>
    <n v="2181.5625"/>
    <s v="MRS."/>
    <s v="DAISY"/>
    <s v="JIM�NEZ"/>
    <s v="DAISY JIM�NEZ"/>
    <d v="1969-09-20T00:00:00"/>
    <s v="M"/>
    <s v="F"/>
    <s v="daisy2@adventure-works.com"/>
    <n v="90000"/>
    <n v="1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259"/>
    <d v="2002-07-16T00:00:00"/>
    <s v="SO47475"/>
    <n v="369"/>
    <n v="21945"/>
    <n v="9"/>
    <n v="1"/>
    <n v="1"/>
    <n v="2"/>
    <s v="BK-R89R-48"/>
    <x v="21"/>
    <n v="1518.7864"/>
    <n v="2443.35"/>
    <s v="MRS."/>
    <s v="PEARLIE"/>
    <s v="RUSEK"/>
    <s v="PEARLIE RUSEK"/>
    <d v="1969-02-17T00:00:00"/>
    <s v="S"/>
    <s v="F"/>
    <s v="pearlie0@adventure-works.com"/>
    <n v="90000"/>
    <n v="1"/>
    <s v="Graduate Degree"/>
    <s v="Management"/>
    <s v="Y"/>
    <s v="Australia"/>
    <x v="2"/>
    <s v="Pacific"/>
    <x v="0"/>
    <s v="Bikes"/>
    <n v="2443.35"/>
    <n v="1518.7864"/>
    <n v="924.56359999999995"/>
    <n v="0.37839998362903399"/>
  </r>
  <r>
    <x v="321"/>
    <d v="2002-06-11T00:00:00"/>
    <s v="SO47518"/>
    <n v="373"/>
    <n v="21946"/>
    <n v="9"/>
    <n v="1"/>
    <n v="1"/>
    <n v="2"/>
    <s v="BK-R89B-44"/>
    <x v="19"/>
    <n v="1320.6838"/>
    <n v="2181.5625"/>
    <s v="MRS."/>
    <s v="MICHELE"/>
    <s v="DENG"/>
    <s v="MICHELE DENG"/>
    <d v="1969-01-03T00:00:00"/>
    <s v="M"/>
    <s v="F"/>
    <s v="michele1@adventure-works.com"/>
    <n v="90000"/>
    <n v="2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192"/>
    <d v="2002-08-24T00:00:00"/>
    <s v="SO47618"/>
    <n v="379"/>
    <n v="21947"/>
    <n v="9"/>
    <n v="1"/>
    <n v="1"/>
    <n v="2"/>
    <s v="BK-R89B-58"/>
    <x v="26"/>
    <n v="1320.6838"/>
    <n v="2181.5625"/>
    <s v="MRS."/>
    <s v="DIANE"/>
    <s v="ROMERO"/>
    <s v="DIANE ROMERO"/>
    <d v="1969-10-09T00:00:00"/>
    <s v="M"/>
    <s v="F"/>
    <s v="diane14@adventure-works.com"/>
    <n v="90000"/>
    <n v="2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361"/>
    <d v="2002-06-21T00:00:00"/>
    <s v="SO47482"/>
    <n v="370"/>
    <n v="21948"/>
    <n v="9"/>
    <n v="1"/>
    <n v="1"/>
    <n v="2"/>
    <s v="BK-R89R-52"/>
    <x v="23"/>
    <n v="1518.7864"/>
    <n v="2443.35"/>
    <s v="MRS."/>
    <s v="ANN"/>
    <s v="MADAN"/>
    <s v="ANN MADAN"/>
    <d v="1969-04-12T00:00:00"/>
    <s v="M"/>
    <s v="F"/>
    <s v="ann13@adventure-works.com"/>
    <n v="100000"/>
    <n v="1"/>
    <s v="Graduate Degree"/>
    <s v="Management"/>
    <s v="Y"/>
    <s v="Australia"/>
    <x v="2"/>
    <s v="Pacific"/>
    <x v="0"/>
    <s v="Bikes"/>
    <n v="2443.35"/>
    <n v="1518.7864"/>
    <n v="924.56359999999995"/>
    <n v="0.37839998362903399"/>
  </r>
  <r>
    <x v="307"/>
    <d v="2002-06-04T00:00:00"/>
    <s v="SO47624"/>
    <n v="371"/>
    <n v="21949"/>
    <n v="9"/>
    <n v="1"/>
    <n v="1"/>
    <n v="2"/>
    <s v="BK-R89R-58"/>
    <x v="24"/>
    <n v="1320.6838"/>
    <n v="2181.5625"/>
    <s v="MR."/>
    <s v="CLAYTON"/>
    <s v="CHAVEZ"/>
    <s v="CLAYTON CHAVEZ"/>
    <d v="1969-09-27T00:00:00"/>
    <s v="S"/>
    <s v="M"/>
    <s v="clayton33@adventure-works.com"/>
    <n v="100000"/>
    <n v="1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185"/>
    <d v="2002-05-21T00:00:00"/>
    <s v="SO47552"/>
    <n v="368"/>
    <n v="21950"/>
    <n v="9"/>
    <n v="1"/>
    <n v="1"/>
    <n v="2"/>
    <s v="BK-R89R-44"/>
    <x v="22"/>
    <n v="1518.7864"/>
    <n v="2443.35"/>
    <s v="MR."/>
    <s v="ARMANDO"/>
    <s v="HERNANDEZ"/>
    <s v="ARMANDO HERNANDEZ"/>
    <d v="1969-04-05T00:00:00"/>
    <s v="S"/>
    <s v="M"/>
    <s v="armando4@adventure-works.com"/>
    <n v="100000"/>
    <n v="1"/>
    <s v="Graduate Degree"/>
    <s v="Management"/>
    <s v="Y"/>
    <s v="Australia"/>
    <x v="2"/>
    <s v="Pacific"/>
    <x v="0"/>
    <s v="Bikes"/>
    <n v="2443.35"/>
    <n v="1518.7864"/>
    <n v="924.56359999999995"/>
    <n v="0.37839998362903399"/>
  </r>
  <r>
    <x v="182"/>
    <d v="2002-06-25T00:00:00"/>
    <s v="SO47500"/>
    <n v="369"/>
    <n v="21951"/>
    <n v="9"/>
    <n v="1"/>
    <n v="1"/>
    <n v="2"/>
    <s v="BK-R89R-48"/>
    <x v="21"/>
    <n v="1518.7864"/>
    <n v="2443.35"/>
    <s v="MR."/>
    <s v="ORLANDO"/>
    <s v="HERNANDEZ"/>
    <s v="ORLANDO HERNANDEZ"/>
    <d v="1970-11-27T00:00:00"/>
    <s v="S"/>
    <s v="M"/>
    <s v="orlando4@adventure-works.com"/>
    <n v="80000"/>
    <n v="4"/>
    <s v="Graduate Degree"/>
    <s v="Management"/>
    <s v="Y"/>
    <s v="Australia"/>
    <x v="2"/>
    <s v="Pacific"/>
    <x v="0"/>
    <s v="Bikes"/>
    <n v="2443.35"/>
    <n v="1518.7864"/>
    <n v="924.56359999999995"/>
    <n v="0.37839998362903399"/>
  </r>
  <r>
    <x v="180"/>
    <d v="2002-08-05T00:00:00"/>
    <s v="SO47563"/>
    <n v="368"/>
    <n v="21955"/>
    <n v="9"/>
    <n v="1"/>
    <n v="1"/>
    <n v="2"/>
    <s v="BK-R89R-44"/>
    <x v="22"/>
    <n v="1518.7864"/>
    <n v="2443.35"/>
    <s v="MRS."/>
    <s v="JENNY"/>
    <s v="FERRIER"/>
    <s v="JENNY FERRIER"/>
    <d v="1969-08-22T00:00:00"/>
    <s v="S"/>
    <s v="F"/>
    <s v="jenny45@adventure-works.com"/>
    <n v="110000"/>
    <n v="1"/>
    <s v="Graduate Degree"/>
    <s v="Management"/>
    <s v="Y"/>
    <s v="Australia"/>
    <x v="2"/>
    <s v="Pacific"/>
    <x v="0"/>
    <s v="Bikes"/>
    <n v="2443.35"/>
    <n v="1518.7864"/>
    <n v="924.56359999999995"/>
    <n v="0.37839998362903399"/>
  </r>
  <r>
    <x v="260"/>
    <d v="2002-08-06T00:00:00"/>
    <s v="SO47543"/>
    <n v="377"/>
    <n v="21956"/>
    <n v="9"/>
    <n v="1"/>
    <n v="1"/>
    <n v="2"/>
    <s v="BK-R89B-52"/>
    <x v="20"/>
    <n v="1320.6838"/>
    <n v="2181.5625"/>
    <s v="MR."/>
    <s v="JAY"/>
    <s v="KAPOOR"/>
    <s v="JAY KAPOOR"/>
    <d v="1969-10-16T00:00:00"/>
    <s v="S"/>
    <s v="M"/>
    <s v="jay7@adventure-works.com"/>
    <n v="120000"/>
    <n v="1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98"/>
    <d v="2002-07-29T00:00:00"/>
    <s v="SO47509"/>
    <n v="368"/>
    <n v="21957"/>
    <n v="9"/>
    <n v="1"/>
    <n v="1"/>
    <n v="2"/>
    <s v="BK-R89R-44"/>
    <x v="22"/>
    <n v="1518.7864"/>
    <n v="2443.35"/>
    <s v="MRS."/>
    <s v="KATHRYN"/>
    <s v="SHEN"/>
    <s v="KATHRYN SHEN"/>
    <d v="1969-05-18T00:00:00"/>
    <s v="M"/>
    <s v="F"/>
    <s v="kathryn2@adventure-works.com"/>
    <n v="120000"/>
    <n v="1"/>
    <s v="Graduate Degree"/>
    <s v="Management"/>
    <s v="Y"/>
    <s v="Australia"/>
    <x v="2"/>
    <s v="Pacific"/>
    <x v="0"/>
    <s v="Bikes"/>
    <n v="2443.35"/>
    <n v="1518.7864"/>
    <n v="924.56359999999995"/>
    <n v="0.37839998362903399"/>
  </r>
  <r>
    <x v="307"/>
    <d v="2002-06-28T00:00:00"/>
    <s v="SO47625"/>
    <n v="377"/>
    <n v="21958"/>
    <n v="9"/>
    <n v="1"/>
    <n v="1"/>
    <n v="2"/>
    <s v="BK-R89B-52"/>
    <x v="20"/>
    <n v="1320.6838"/>
    <n v="2181.5625"/>
    <s v="MRS."/>
    <s v="MALLORY"/>
    <s v="BLANCO"/>
    <s v="MALLORY BLANCO"/>
    <d v="1969-10-19T00:00:00"/>
    <s v="S"/>
    <s v="F"/>
    <s v="mallory2@adventure-works.com"/>
    <n v="130000"/>
    <n v="1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346"/>
    <d v="2002-08-28T00:00:00"/>
    <s v="SO47569"/>
    <n v="379"/>
    <n v="21959"/>
    <n v="9"/>
    <n v="1"/>
    <n v="1"/>
    <n v="2"/>
    <s v="BK-R89B-58"/>
    <x v="26"/>
    <n v="1320.6838"/>
    <n v="2181.5625"/>
    <s v="MR."/>
    <s v="JIMMY"/>
    <s v="DOMINGUEZ"/>
    <s v="JIMMY DOMINGUEZ"/>
    <d v="1969-07-16T00:00:00"/>
    <s v="M"/>
    <s v="M"/>
    <s v="jimmy16@adventure-works.com"/>
    <n v="130000"/>
    <n v="1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263"/>
    <d v="2002-07-09T00:00:00"/>
    <s v="SO47864"/>
    <n v="373"/>
    <n v="21966"/>
    <n v="9"/>
    <n v="1"/>
    <n v="1"/>
    <n v="2"/>
    <s v="BK-R89B-44"/>
    <x v="19"/>
    <n v="1320.6838"/>
    <n v="2181.5625"/>
    <s v="MR."/>
    <s v="ROSS"/>
    <s v="SAI"/>
    <s v="ROSS SAI"/>
    <d v="1966-10-27T00:00:00"/>
    <s v="M"/>
    <s v="M"/>
    <s v="ross5@adventure-works.com"/>
    <n v="90000"/>
    <n v="2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01"/>
    <d v="2002-07-21T00:00:00"/>
    <s v="SO47819"/>
    <n v="375"/>
    <n v="21968"/>
    <n v="9"/>
    <n v="1"/>
    <n v="1"/>
    <n v="2"/>
    <s v="BK-R89B-48"/>
    <x v="25"/>
    <n v="1320.6838"/>
    <n v="2181.5625"/>
    <s v="MR."/>
    <s v="JAIME"/>
    <s v="DENG"/>
    <s v="JAIME DENG"/>
    <d v="1968-08-04T00:00:00"/>
    <s v="S"/>
    <s v="M"/>
    <s v="jaime25@adventure-works.com"/>
    <n v="7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77"/>
    <d v="2002-07-18T00:00:00"/>
    <s v="SO47938"/>
    <n v="371"/>
    <n v="21969"/>
    <n v="9"/>
    <n v="1"/>
    <n v="1"/>
    <n v="2"/>
    <s v="BK-R89R-58"/>
    <x v="24"/>
    <n v="1320.6838"/>
    <n v="2181.5625"/>
    <s v="MS."/>
    <s v="LATOYA"/>
    <s v="DENG"/>
    <s v="LATOYA DENG"/>
    <d v="1968-03-25T00:00:00"/>
    <s v="S"/>
    <s v="F"/>
    <s v="latoya1@adventure-works.com"/>
    <n v="7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62"/>
    <d v="2002-07-20T00:00:00"/>
    <s v="SO47953"/>
    <n v="369"/>
    <n v="21974"/>
    <n v="9"/>
    <n v="1"/>
    <n v="1"/>
    <n v="2"/>
    <s v="BK-R89R-48"/>
    <x v="21"/>
    <n v="1518.7864"/>
    <n v="2443.35"/>
    <s v="MS."/>
    <s v="WHITNEY"/>
    <s v="SURI"/>
    <s v="WHITNEY SURI"/>
    <d v="1964-02-07T00:00:00"/>
    <s v="S"/>
    <s v="F"/>
    <s v="whitney0@adventure-works.com"/>
    <n v="70000"/>
    <n v="0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272"/>
    <d v="2002-06-12T00:00:00"/>
    <s v="SO47750"/>
    <n v="369"/>
    <n v="21976"/>
    <n v="9"/>
    <n v="1"/>
    <n v="1"/>
    <n v="2"/>
    <s v="BK-R89R-48"/>
    <x v="21"/>
    <n v="1518.7864"/>
    <n v="2443.35"/>
    <s v="MRS."/>
    <s v="JACQUELINE"/>
    <s v="TORRES"/>
    <s v="JACQUELINE TORRES"/>
    <d v="1963-07-01T00:00:00"/>
    <s v="S"/>
    <s v="F"/>
    <s v="jacqueline28@adventure-works.com"/>
    <n v="60000"/>
    <n v="3"/>
    <s v="Bachelors"/>
    <s v="Professional"/>
    <s v="N"/>
    <s v="Australia"/>
    <x v="2"/>
    <s v="Pacific"/>
    <x v="0"/>
    <s v="Bikes"/>
    <n v="2443.35"/>
    <n v="1518.7864"/>
    <n v="924.56359999999995"/>
    <n v="0.37839998362903399"/>
  </r>
  <r>
    <x v="276"/>
    <d v="2002-09-15T00:00:00"/>
    <s v="SO47796"/>
    <n v="371"/>
    <n v="21979"/>
    <n v="9"/>
    <n v="1"/>
    <n v="1"/>
    <n v="2"/>
    <s v="BK-R89R-58"/>
    <x v="24"/>
    <n v="1320.6838"/>
    <n v="2181.5625"/>
    <s v="MR."/>
    <s v="PHILIP"/>
    <s v="GUTIERREZ"/>
    <s v="PHILIP GUTIERREZ"/>
    <d v="1962-09-16T00:00:00"/>
    <s v="M"/>
    <s v="M"/>
    <s v="philip11@adventure-works.com"/>
    <n v="60000"/>
    <n v="1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73"/>
    <d v="2002-07-05T00:00:00"/>
    <s v="SO47775"/>
    <n v="369"/>
    <n v="21980"/>
    <n v="9"/>
    <n v="1"/>
    <n v="1"/>
    <n v="2"/>
    <s v="BK-R89R-48"/>
    <x v="21"/>
    <n v="1518.7864"/>
    <n v="2443.35"/>
    <s v="MRS."/>
    <s v="BETH"/>
    <s v="MORENO"/>
    <s v="BETH MORENO"/>
    <d v="1961-09-10T00:00:00"/>
    <s v="S"/>
    <s v="F"/>
    <s v="beth9@adventure-works.com"/>
    <n v="60000"/>
    <n v="1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362"/>
    <d v="2002-08-28T00:00:00"/>
    <s v="SO47930"/>
    <n v="377"/>
    <n v="21982"/>
    <n v="9"/>
    <n v="1"/>
    <n v="1"/>
    <n v="2"/>
    <s v="BK-R89B-52"/>
    <x v="20"/>
    <n v="1320.6838"/>
    <n v="2181.5625"/>
    <s v="MRS."/>
    <s v="DEBORAH"/>
    <s v="LAL"/>
    <s v="DEBORAH LAL"/>
    <d v="1961-02-25T00:00:00"/>
    <s v="M"/>
    <s v="F"/>
    <s v="deborah13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72"/>
    <d v="2002-06-14T00:00:00"/>
    <s v="SO47751"/>
    <n v="369"/>
    <n v="21983"/>
    <n v="9"/>
    <n v="1"/>
    <n v="1"/>
    <n v="2"/>
    <s v="BK-R89R-48"/>
    <x v="21"/>
    <n v="1518.7864"/>
    <n v="2443.35"/>
    <s v="MR."/>
    <s v="GLENN"/>
    <s v="LIANG"/>
    <s v="GLENN LIANG"/>
    <d v="1961-03-22T00:00:00"/>
    <s v="M"/>
    <s v="M"/>
    <s v="glenn18@adventure-works.com"/>
    <n v="60000"/>
    <n v="1"/>
    <s v="Partial College"/>
    <s v="Skilled Manual"/>
    <s v="Y"/>
    <s v="Australia"/>
    <x v="2"/>
    <s v="Pacific"/>
    <x v="0"/>
    <s v="Bikes"/>
    <n v="2443.35"/>
    <n v="1518.7864"/>
    <n v="924.56359999999995"/>
    <n v="0.37839998362903399"/>
  </r>
  <r>
    <x v="266"/>
    <d v="2002-09-26T00:00:00"/>
    <s v="SO47828"/>
    <n v="368"/>
    <n v="21984"/>
    <n v="9"/>
    <n v="1"/>
    <n v="1"/>
    <n v="2"/>
    <s v="BK-R89R-44"/>
    <x v="22"/>
    <n v="1518.7864"/>
    <n v="2443.35"/>
    <s v="MRS."/>
    <s v="KRISTY"/>
    <s v="SUAREZ"/>
    <s v="KRISTY SUAREZ"/>
    <d v="1960-02-19T00:00:00"/>
    <s v="S"/>
    <s v="F"/>
    <s v="kristy17@adventure-works.com"/>
    <n v="60000"/>
    <n v="1"/>
    <s v="Partial College"/>
    <s v="Skilled Manual"/>
    <s v="Y"/>
    <s v="Australia"/>
    <x v="2"/>
    <s v="Pacific"/>
    <x v="0"/>
    <s v="Bikes"/>
    <n v="2443.35"/>
    <n v="1518.7864"/>
    <n v="924.56359999999995"/>
    <n v="0.37839998362903399"/>
  </r>
  <r>
    <x v="265"/>
    <d v="2002-06-29T00:00:00"/>
    <s v="SO47768"/>
    <n v="371"/>
    <n v="21985"/>
    <n v="9"/>
    <n v="1"/>
    <n v="1"/>
    <n v="2"/>
    <s v="BK-R89R-58"/>
    <x v="24"/>
    <n v="1320.6838"/>
    <n v="2181.5625"/>
    <s v="MR."/>
    <s v="EDDIE"/>
    <s v="TORRES"/>
    <s v="EDDIE TORRES"/>
    <d v="1960-10-14T00:00:00"/>
    <s v="M"/>
    <s v="M"/>
    <s v="eddie12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76"/>
    <d v="2002-07-25T00:00:00"/>
    <s v="SO47797"/>
    <n v="371"/>
    <n v="21986"/>
    <n v="9"/>
    <n v="1"/>
    <n v="1"/>
    <n v="2"/>
    <s v="BK-R89R-58"/>
    <x v="24"/>
    <n v="1320.6838"/>
    <n v="2181.5625"/>
    <s v="MRS."/>
    <s v="KRISTI"/>
    <s v="CHAPMAN"/>
    <s v="KRISTI CHAPMAN"/>
    <d v="1960-06-11T00:00:00"/>
    <s v="S"/>
    <s v="F"/>
    <s v="kristi18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77"/>
    <d v="2002-08-26T00:00:00"/>
    <s v="SO47939"/>
    <n v="371"/>
    <n v="21987"/>
    <n v="9"/>
    <n v="1"/>
    <n v="1"/>
    <n v="2"/>
    <s v="BK-R89R-58"/>
    <x v="24"/>
    <n v="1320.6838"/>
    <n v="2181.5625"/>
    <s v="MR."/>
    <s v="THEODORE"/>
    <s v="DOMINGUEZ"/>
    <s v="THEODORE DOMINGUEZ"/>
    <d v="1965-12-04T00:00:00"/>
    <s v="S"/>
    <s v="M"/>
    <s v="theodore13@adventure-works.com"/>
    <n v="7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72"/>
    <d v="2002-09-12T00:00:00"/>
    <s v="SO47752"/>
    <n v="377"/>
    <n v="21994"/>
    <n v="9"/>
    <n v="1"/>
    <n v="1"/>
    <n v="2"/>
    <s v="BK-R89B-52"/>
    <x v="20"/>
    <n v="1320.6838"/>
    <n v="2181.5625"/>
    <s v="MRS."/>
    <s v="NATASHA"/>
    <s v="RUIZ"/>
    <s v="NATASHA RUIZ"/>
    <d v="1959-03-13T00:00:00"/>
    <s v="S"/>
    <s v="F"/>
    <s v="natasha2@adventure-works.com"/>
    <n v="90000"/>
    <n v="1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04"/>
    <d v="2002-08-19T00:00:00"/>
    <s v="SO47844"/>
    <n v="371"/>
    <n v="21996"/>
    <n v="9"/>
    <n v="1"/>
    <n v="1"/>
    <n v="2"/>
    <s v="BK-R89R-58"/>
    <x v="24"/>
    <n v="1320.6838"/>
    <n v="2181.5625"/>
    <s v="MRS."/>
    <s v="AMY"/>
    <s v="GAO"/>
    <s v="AMY GAO"/>
    <d v="1961-11-19T00:00:00"/>
    <s v="M"/>
    <s v="F"/>
    <s v="amy21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79"/>
    <d v="2002-07-17T00:00:00"/>
    <s v="SO47907"/>
    <n v="369"/>
    <n v="21999"/>
    <n v="9"/>
    <n v="1"/>
    <n v="1"/>
    <n v="2"/>
    <s v="BK-R89R-48"/>
    <x v="21"/>
    <n v="1518.7864"/>
    <n v="2443.35"/>
    <s v="MRS."/>
    <s v="JULIA"/>
    <s v="BARNES"/>
    <s v="JULIA BARNES"/>
    <d v="1958-05-13T00:00:00"/>
    <s v="M"/>
    <s v="F"/>
    <s v="julia69@adventure-works.com"/>
    <n v="90000"/>
    <n v="2"/>
    <s v="Bachelors"/>
    <s v="Management"/>
    <s v="N"/>
    <s v="Australia"/>
    <x v="2"/>
    <s v="Pacific"/>
    <x v="0"/>
    <s v="Bikes"/>
    <n v="2443.35"/>
    <n v="1518.7864"/>
    <n v="924.56359999999995"/>
    <n v="0.37839998362903399"/>
  </r>
  <r>
    <x v="197"/>
    <d v="2002-08-17T00:00:00"/>
    <s v="SO47803"/>
    <n v="379"/>
    <n v="22000"/>
    <n v="9"/>
    <n v="1"/>
    <n v="1"/>
    <n v="2"/>
    <s v="BK-R89B-58"/>
    <x v="26"/>
    <n v="1320.6838"/>
    <n v="2181.5625"/>
    <s v="MRS."/>
    <s v="CYNTHIA"/>
    <s v="CHANDRA"/>
    <s v="CYNTHIA CHANDRA"/>
    <d v="1958-09-11T00:00:00"/>
    <s v="M"/>
    <s v="F"/>
    <s v="cynthia6@adventure-works.com"/>
    <n v="100000"/>
    <n v="4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276"/>
    <d v="2002-08-02T00:00:00"/>
    <s v="SO47795"/>
    <n v="379"/>
    <n v="22004"/>
    <n v="9"/>
    <n v="1"/>
    <n v="1"/>
    <n v="2"/>
    <s v="BK-R89B-58"/>
    <x v="26"/>
    <n v="1320.6838"/>
    <n v="2181.5625"/>
    <s v="MRS."/>
    <s v="MEGHAN"/>
    <s v="ORTEGA"/>
    <s v="MEGHAN ORTEGA"/>
    <d v="1960-08-16T00:00:00"/>
    <s v="M"/>
    <s v="F"/>
    <s v="meghan21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05"/>
    <d v="2002-08-28T00:00:00"/>
    <s v="SO47833"/>
    <n v="373"/>
    <n v="22031"/>
    <n v="9"/>
    <n v="1"/>
    <n v="1"/>
    <n v="2"/>
    <s v="BK-R89B-44"/>
    <x v="19"/>
    <n v="1320.6838"/>
    <n v="2181.5625"/>
    <s v="MR."/>
    <s v="JORGE"/>
    <s v="CAI"/>
    <s v="JORGE CAI"/>
    <d v="1940-08-12T00:00:00"/>
    <s v="M"/>
    <s v="M"/>
    <s v="jorge24@adventure-works.com"/>
    <n v="40000"/>
    <n v="2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209"/>
    <d v="2002-08-14T00:00:00"/>
    <s v="SO47782"/>
    <n v="377"/>
    <n v="22032"/>
    <n v="9"/>
    <n v="1"/>
    <n v="1"/>
    <n v="2"/>
    <s v="BK-R89B-52"/>
    <x v="20"/>
    <n v="1320.6838"/>
    <n v="2181.5625"/>
    <s v="MR."/>
    <s v="IVAN"/>
    <s v="FERNANDEZ"/>
    <s v="IVAN FERNANDEZ"/>
    <d v="1942-09-12T00:00:00"/>
    <s v="M"/>
    <s v="M"/>
    <s v="ivan12@adventure-works.com"/>
    <n v="40000"/>
    <n v="2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201"/>
    <d v="2002-07-28T00:00:00"/>
    <s v="SO47815"/>
    <n v="371"/>
    <n v="22033"/>
    <n v="9"/>
    <n v="1"/>
    <n v="1"/>
    <n v="2"/>
    <s v="BK-R89R-58"/>
    <x v="24"/>
    <n v="1320.6838"/>
    <n v="2181.5625"/>
    <s v="MR."/>
    <s v="MARSHALL"/>
    <s v="ZHAO"/>
    <s v="MARSHALL ZHAO"/>
    <d v="1942-06-17T00:00:00"/>
    <s v="S"/>
    <s v="M"/>
    <s v="marshall9@adventure-works.com"/>
    <n v="50000"/>
    <n v="2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266"/>
    <d v="2002-09-07T00:00:00"/>
    <s v="SO47826"/>
    <n v="370"/>
    <n v="22168"/>
    <n v="9"/>
    <n v="1"/>
    <n v="1"/>
    <n v="2"/>
    <s v="BK-R89R-52"/>
    <x v="23"/>
    <n v="1518.7864"/>
    <n v="2443.35"/>
    <s v="MRS."/>
    <s v="ERICA"/>
    <s v="WANG"/>
    <s v="ERICA WANG"/>
    <d v="1949-05-02T00:00:00"/>
    <s v="M"/>
    <s v="F"/>
    <s v="erica1@adventure-works.com"/>
    <n v="30000"/>
    <n v="3"/>
    <s v="Partial College"/>
    <s v="Clerical"/>
    <s v="N"/>
    <s v="Australia"/>
    <x v="2"/>
    <s v="Pacific"/>
    <x v="0"/>
    <s v="Bikes"/>
    <n v="2443.35"/>
    <n v="1518.7864"/>
    <n v="924.56359999999995"/>
    <n v="0.37839998362903399"/>
  </r>
  <r>
    <x v="360"/>
    <d v="2002-06-23T00:00:00"/>
    <s v="SO47763"/>
    <n v="379"/>
    <n v="22170"/>
    <n v="9"/>
    <n v="1"/>
    <n v="1"/>
    <n v="2"/>
    <s v="BK-R89B-58"/>
    <x v="26"/>
    <n v="1320.6838"/>
    <n v="2181.5625"/>
    <s v="MRS."/>
    <s v="CYNTHIA"/>
    <s v="MARTINEZ"/>
    <s v="CYNTHIA MARTINEZ"/>
    <d v="1950-09-18T00:00:00"/>
    <s v="M"/>
    <s v="F"/>
    <s v="cynthia23@adventure-works.com"/>
    <n v="30000"/>
    <n v="3"/>
    <s v="Partial College"/>
    <s v="Clerical"/>
    <s v="N"/>
    <s v="Australia"/>
    <x v="2"/>
    <s v="Pacific"/>
    <x v="0"/>
    <s v="Bikes"/>
    <n v="2181.5625"/>
    <n v="1320.6838"/>
    <n v="860.87869999999998"/>
    <n v="0.39461564818793898"/>
  </r>
  <r>
    <x v="206"/>
    <d v="2002-08-28T00:00:00"/>
    <s v="SO47924"/>
    <n v="377"/>
    <n v="22171"/>
    <n v="9"/>
    <n v="1"/>
    <n v="1"/>
    <n v="2"/>
    <s v="BK-R89B-52"/>
    <x v="20"/>
    <n v="1320.6838"/>
    <n v="2181.5625"/>
    <s v="MRS."/>
    <s v="MEREDITH"/>
    <s v="GONZALEZ"/>
    <s v="MEREDITH GONZALEZ"/>
    <d v="1951-05-10T00:00:00"/>
    <s v="M"/>
    <s v="F"/>
    <s v="meredith18@adventure-works.com"/>
    <n v="30000"/>
    <n v="3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272"/>
    <d v="2002-09-11T00:00:00"/>
    <s v="SO47749"/>
    <n v="371"/>
    <n v="22172"/>
    <n v="9"/>
    <n v="1"/>
    <n v="1"/>
    <n v="2"/>
    <s v="BK-R89R-58"/>
    <x v="24"/>
    <n v="1320.6838"/>
    <n v="2181.5625"/>
    <s v="MR."/>
    <s v="CESAR"/>
    <s v="SARA"/>
    <s v="CESAR SARA"/>
    <d v="1951-09-09T00:00:00"/>
    <s v="M"/>
    <s v="M"/>
    <s v="cesar9@adventure-works.com"/>
    <n v="30000"/>
    <n v="3"/>
    <s v="High School"/>
    <s v="Skilled Manual"/>
    <s v="Y"/>
    <s v="Australia"/>
    <x v="2"/>
    <s v="Pacific"/>
    <x v="0"/>
    <s v="Bikes"/>
    <n v="2181.5625"/>
    <n v="1320.6838"/>
    <n v="860.87869999999998"/>
    <n v="0.39461564818793898"/>
  </r>
  <r>
    <x v="274"/>
    <d v="2002-08-24T00:00:00"/>
    <s v="SO47790"/>
    <n v="371"/>
    <n v="22173"/>
    <n v="9"/>
    <n v="1"/>
    <n v="1"/>
    <n v="2"/>
    <s v="BK-R89R-58"/>
    <x v="24"/>
    <n v="1320.6838"/>
    <n v="2181.5625"/>
    <s v="MRS."/>
    <s v="BIANCA"/>
    <s v="CAI"/>
    <s v="BIANCA CAI"/>
    <d v="1952-04-20T00:00:00"/>
    <s v="M"/>
    <s v="F"/>
    <s v="bianca18@adventure-works.com"/>
    <n v="30000"/>
    <n v="3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201"/>
    <d v="2002-08-17T00:00:00"/>
    <s v="SO47816"/>
    <n v="369"/>
    <n v="22174"/>
    <n v="9"/>
    <n v="1"/>
    <n v="1"/>
    <n v="2"/>
    <s v="BK-R89R-48"/>
    <x v="21"/>
    <n v="1518.7864"/>
    <n v="2443.35"/>
    <s v="MR."/>
    <s v="MICAH"/>
    <s v="LU"/>
    <s v="MICAH LU"/>
    <d v="1952-05-02T00:00:00"/>
    <s v="M"/>
    <s v="M"/>
    <s v="micah22@adventure-works.com"/>
    <n v="30000"/>
    <n v="3"/>
    <s v="High School"/>
    <s v="Skilled Manual"/>
    <s v="Y"/>
    <s v="Australia"/>
    <x v="2"/>
    <s v="Pacific"/>
    <x v="0"/>
    <s v="Bikes"/>
    <n v="2443.35"/>
    <n v="1518.7864"/>
    <n v="924.56359999999995"/>
    <n v="0.37839998362903399"/>
  </r>
  <r>
    <x v="266"/>
    <d v="2002-08-31T00:00:00"/>
    <s v="SO47827"/>
    <n v="370"/>
    <n v="22175"/>
    <n v="9"/>
    <n v="1"/>
    <n v="1"/>
    <n v="2"/>
    <s v="BK-R89R-52"/>
    <x v="23"/>
    <n v="1518.7864"/>
    <n v="2443.35"/>
    <s v="MRS."/>
    <s v="JOY"/>
    <s v="DOMINGUEZ"/>
    <s v="JOY DOMINGUEZ"/>
    <d v="1952-11-05T00:00:00"/>
    <s v="M"/>
    <s v="F"/>
    <s v="joy14@adventure-works.com"/>
    <n v="30000"/>
    <n v="3"/>
    <s v="High School"/>
    <s v="Skilled Manual"/>
    <s v="Y"/>
    <s v="Australia"/>
    <x v="2"/>
    <s v="Pacific"/>
    <x v="0"/>
    <s v="Bikes"/>
    <n v="2443.35"/>
    <n v="1518.7864"/>
    <n v="924.56359999999995"/>
    <n v="0.37839998362903399"/>
  </r>
  <r>
    <x v="197"/>
    <d v="2002-07-17T00:00:00"/>
    <s v="SO47804"/>
    <n v="370"/>
    <n v="22178"/>
    <n v="9"/>
    <n v="1"/>
    <n v="1"/>
    <n v="2"/>
    <s v="BK-R89R-52"/>
    <x v="23"/>
    <n v="1518.7864"/>
    <n v="2443.35"/>
    <s v="MRS."/>
    <s v="JESSICA"/>
    <s v="BELL"/>
    <s v="JESSICA BELL"/>
    <d v="1953-06-26T00:00:00"/>
    <s v="M"/>
    <s v="F"/>
    <s v="jessica7@adventure-works.com"/>
    <n v="40000"/>
    <n v="3"/>
    <s v="Partial College"/>
    <s v="Skilled Manual"/>
    <s v="Y"/>
    <s v="Australia"/>
    <x v="2"/>
    <s v="Pacific"/>
    <x v="0"/>
    <s v="Bikes"/>
    <n v="2443.35"/>
    <n v="1518.7864"/>
    <n v="924.56359999999995"/>
    <n v="0.37839998362903399"/>
  </r>
  <r>
    <x v="271"/>
    <d v="2002-07-07T00:00:00"/>
    <s v="SO47742"/>
    <n v="375"/>
    <n v="22180"/>
    <n v="9"/>
    <n v="1"/>
    <n v="1"/>
    <n v="2"/>
    <s v="BK-R89B-48"/>
    <x v="25"/>
    <n v="1320.6838"/>
    <n v="2181.5625"/>
    <s v="MR."/>
    <s v="JOE"/>
    <s v="SRINI"/>
    <s v="JOE SRINI"/>
    <d v="1954-10-14T00:00:00"/>
    <s v="S"/>
    <s v="M"/>
    <s v="joe11@adventure-works.com"/>
    <n v="70000"/>
    <n v="2"/>
    <s v="Partial College"/>
    <s v="Skilled Manual"/>
    <s v="N"/>
    <s v="Australia"/>
    <x v="2"/>
    <s v="Pacific"/>
    <x v="0"/>
    <s v="Bikes"/>
    <n v="2181.5625"/>
    <n v="1320.6838"/>
    <n v="860.87869999999998"/>
    <n v="0.39461564818793898"/>
  </r>
  <r>
    <x v="273"/>
    <d v="2002-08-16T00:00:00"/>
    <s v="SO47771"/>
    <n v="377"/>
    <n v="22181"/>
    <n v="9"/>
    <n v="1"/>
    <n v="1"/>
    <n v="2"/>
    <s v="BK-R89B-52"/>
    <x v="20"/>
    <n v="1320.6838"/>
    <n v="2181.5625"/>
    <s v="MR."/>
    <s v="GARY"/>
    <s v="ROMERO"/>
    <s v="GARY ROMERO"/>
    <d v="1954-10-21T00:00:00"/>
    <s v="S"/>
    <s v="M"/>
    <s v="gary20@adventure-works.com"/>
    <n v="70000"/>
    <n v="2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62"/>
    <d v="2002-07-12T00:00:00"/>
    <s v="SO47952"/>
    <n v="369"/>
    <n v="22193"/>
    <n v="9"/>
    <n v="1"/>
    <n v="1"/>
    <n v="2"/>
    <s v="BK-R89R-48"/>
    <x v="21"/>
    <n v="1518.7864"/>
    <n v="2443.35"/>
    <s v="MRS."/>
    <s v="TONI"/>
    <s v="GARCIA"/>
    <s v="TONI GARCIA"/>
    <d v="1955-11-21T00:00:00"/>
    <s v="S"/>
    <s v="F"/>
    <s v="toni15@adventure-works.com"/>
    <n v="80000"/>
    <n v="2"/>
    <s v="High School"/>
    <s v="Skilled Manual"/>
    <s v="Y"/>
    <s v="Australia"/>
    <x v="2"/>
    <s v="Pacific"/>
    <x v="0"/>
    <s v="Bikes"/>
    <n v="2443.35"/>
    <n v="1518.7864"/>
    <n v="924.56359999999995"/>
    <n v="0.37839998362903399"/>
  </r>
  <r>
    <x v="310"/>
    <d v="2002-08-13T00:00:00"/>
    <s v="SO47935"/>
    <n v="375"/>
    <n v="22194"/>
    <n v="9"/>
    <n v="1"/>
    <n v="1"/>
    <n v="2"/>
    <s v="BK-R89B-48"/>
    <x v="25"/>
    <n v="1320.6838"/>
    <n v="2181.5625"/>
    <s v="MR."/>
    <s v="BRUCE"/>
    <s v="SAI"/>
    <s v="BRUCE SAI"/>
    <d v="1955-04-22T00:00:00"/>
    <s v="S"/>
    <s v="M"/>
    <s v="bruce4@adventure-works.com"/>
    <n v="80000"/>
    <n v="2"/>
    <s v="High School"/>
    <s v="Skilled Manual"/>
    <s v="Y"/>
    <s v="Australia"/>
    <x v="2"/>
    <s v="Pacific"/>
    <x v="0"/>
    <s v="Bikes"/>
    <n v="2181.5625"/>
    <n v="1320.6838"/>
    <n v="860.87869999999998"/>
    <n v="0.39461564818793898"/>
  </r>
  <r>
    <x v="273"/>
    <d v="2002-08-21T00:00:00"/>
    <s v="SO47772"/>
    <n v="369"/>
    <n v="22195"/>
    <n v="9"/>
    <n v="1"/>
    <n v="1"/>
    <n v="2"/>
    <s v="BK-R89R-48"/>
    <x v="21"/>
    <n v="1518.7864"/>
    <n v="2443.35"/>
    <s v="MR."/>
    <s v="PHILIP"/>
    <s v="ROMERO"/>
    <s v="PHILIP ROMERO"/>
    <d v="1956-04-24T00:00:00"/>
    <s v="M"/>
    <s v="M"/>
    <s v="philip9@adventure-works.com"/>
    <n v="80000"/>
    <n v="2"/>
    <s v="High School"/>
    <s v="Skilled Manual"/>
    <s v="N"/>
    <s v="Australia"/>
    <x v="2"/>
    <s v="Pacific"/>
    <x v="0"/>
    <s v="Bikes"/>
    <n v="2443.35"/>
    <n v="1518.7864"/>
    <n v="924.56359999999995"/>
    <n v="0.37839998362903399"/>
  </r>
  <r>
    <x v="205"/>
    <d v="2002-07-29T00:00:00"/>
    <s v="SO47834"/>
    <n v="375"/>
    <n v="22196"/>
    <n v="9"/>
    <n v="1"/>
    <n v="1"/>
    <n v="2"/>
    <s v="BK-R89B-48"/>
    <x v="25"/>
    <n v="1320.6838"/>
    <n v="2181.5625"/>
    <s v="MR."/>
    <s v="FRANCIS"/>
    <s v="ROMERO"/>
    <s v="FRANCIS ROMERO"/>
    <d v="1956-01-25T00:00:00"/>
    <s v="S"/>
    <s v="M"/>
    <s v="francis6@adventure-works.com"/>
    <n v="80000"/>
    <n v="2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209"/>
    <d v="2002-08-21T00:00:00"/>
    <s v="SO47783"/>
    <n v="371"/>
    <n v="22197"/>
    <n v="9"/>
    <n v="1"/>
    <n v="1"/>
    <n v="2"/>
    <s v="BK-R89R-58"/>
    <x v="24"/>
    <n v="1320.6838"/>
    <n v="2181.5625"/>
    <s v="MR."/>
    <s v="LARRY"/>
    <s v="DOMINGUEZ"/>
    <s v="LARRY DOMINGUEZ"/>
    <d v="1956-12-14T00:00:00"/>
    <s v="S"/>
    <s v="M"/>
    <s v="larry15@adventure-works.com"/>
    <n v="80000"/>
    <n v="2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197"/>
    <d v="2002-07-10T00:00:00"/>
    <s v="SO47805"/>
    <n v="379"/>
    <n v="22198"/>
    <n v="9"/>
    <n v="1"/>
    <n v="1"/>
    <n v="2"/>
    <s v="BK-R89B-58"/>
    <x v="26"/>
    <n v="1320.6838"/>
    <n v="2181.5625"/>
    <s v="MR."/>
    <s v="FRANK"/>
    <s v="HERNANDEZ"/>
    <s v="FRANK HERNANDEZ"/>
    <d v="1956-11-14T00:00:00"/>
    <s v="M"/>
    <s v="M"/>
    <s v="frank34@adventure-works.com"/>
    <n v="80000"/>
    <n v="2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263"/>
    <d v="2002-08-30T00:00:00"/>
    <s v="SO47862"/>
    <n v="379"/>
    <n v="22199"/>
    <n v="9"/>
    <n v="1"/>
    <n v="1"/>
    <n v="2"/>
    <s v="BK-R89B-58"/>
    <x v="26"/>
    <n v="1320.6838"/>
    <n v="2181.5625"/>
    <s v="MR."/>
    <s v="DAVID"/>
    <s v="LEE"/>
    <s v="DAVID LEE"/>
    <d v="1956-06-08T00:00:00"/>
    <s v="S"/>
    <s v="M"/>
    <s v="david85@adventure-works.com"/>
    <n v="80000"/>
    <n v="2"/>
    <s v="High School"/>
    <s v="Skilled Manual"/>
    <s v="N"/>
    <s v="Australia"/>
    <x v="2"/>
    <s v="Pacific"/>
    <x v="0"/>
    <s v="Bikes"/>
    <n v="2181.5625"/>
    <n v="1320.6838"/>
    <n v="860.87869999999998"/>
    <n v="0.39461564818793898"/>
  </r>
  <r>
    <x v="201"/>
    <d v="2002-06-30T00:00:00"/>
    <s v="SO47817"/>
    <n v="371"/>
    <n v="22200"/>
    <n v="9"/>
    <n v="1"/>
    <n v="1"/>
    <n v="2"/>
    <s v="BK-R89R-58"/>
    <x v="24"/>
    <n v="1320.6838"/>
    <n v="2181.5625"/>
    <s v="MRS."/>
    <s v="MARTHA"/>
    <s v="YE"/>
    <s v="MARTHA YE"/>
    <d v="1957-03-28T00:00:00"/>
    <s v="S"/>
    <s v="F"/>
    <s v="martha9@adventure-works.com"/>
    <n v="70000"/>
    <n v="2"/>
    <s v="High School"/>
    <s v="Professional"/>
    <s v="Y"/>
    <s v="Australia"/>
    <x v="2"/>
    <s v="Pacific"/>
    <x v="0"/>
    <s v="Bikes"/>
    <n v="2181.5625"/>
    <n v="1320.6838"/>
    <n v="860.87869999999998"/>
    <n v="0.39461564818793898"/>
  </r>
  <r>
    <x v="186"/>
    <d v="2002-10-16T00:00:00"/>
    <s v="SO48208"/>
    <n v="370"/>
    <n v="22201"/>
    <n v="9"/>
    <n v="1"/>
    <n v="1"/>
    <n v="2"/>
    <s v="BK-R89R-52"/>
    <x v="23"/>
    <n v="1518.7864"/>
    <n v="2443.35"/>
    <s v="MRS."/>
    <s v="LINDSEY"/>
    <s v="LUO"/>
    <s v="LINDSEY LUO"/>
    <d v="1957-01-05T00:00:00"/>
    <s v="M"/>
    <s v="F"/>
    <s v="lindsey6@adventure-works.com"/>
    <n v="70000"/>
    <n v="2"/>
    <s v="High School"/>
    <s v="Professional"/>
    <s v="Y"/>
    <s v="Australia"/>
    <x v="2"/>
    <s v="Pacific"/>
    <x v="0"/>
    <s v="Bikes"/>
    <n v="2443.35"/>
    <n v="1518.7864"/>
    <n v="924.56359999999995"/>
    <n v="0.37839998362903399"/>
  </r>
  <r>
    <x v="284"/>
    <d v="2002-08-04T00:00:00"/>
    <s v="SO48134"/>
    <n v="371"/>
    <n v="22202"/>
    <n v="9"/>
    <n v="1"/>
    <n v="1"/>
    <n v="2"/>
    <s v="BK-R89R-58"/>
    <x v="24"/>
    <n v="1320.6838"/>
    <n v="2181.5625"/>
    <s v="MR."/>
    <s v="ROBERTO"/>
    <s v="DIAZ"/>
    <s v="ROBERTO DIAZ"/>
    <d v="1957-07-06T00:00:00"/>
    <s v="M"/>
    <s v="M"/>
    <s v="roberto2@adventure-works.com"/>
    <n v="70000"/>
    <n v="2"/>
    <s v="High School"/>
    <s v="Professional"/>
    <s v="Y"/>
    <s v="Australia"/>
    <x v="2"/>
    <s v="Pacific"/>
    <x v="0"/>
    <s v="Bikes"/>
    <n v="2181.5625"/>
    <n v="1320.6838"/>
    <n v="860.87869999999998"/>
    <n v="0.39461564818793898"/>
  </r>
  <r>
    <x v="333"/>
    <d v="2002-08-09T00:00:00"/>
    <s v="SO48234"/>
    <n v="373"/>
    <n v="22203"/>
    <n v="9"/>
    <n v="1"/>
    <n v="1"/>
    <n v="2"/>
    <s v="BK-R89B-44"/>
    <x v="19"/>
    <n v="1320.6838"/>
    <n v="2181.5625"/>
    <s v="MRS."/>
    <s v="ALISHA"/>
    <s v="ZHENG"/>
    <s v="ALISHA ZHENG"/>
    <d v="1958-06-16T00:00:00"/>
    <s v="M"/>
    <s v="F"/>
    <s v="alisha20@adventure-works.com"/>
    <n v="100000"/>
    <n v="1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282"/>
    <d v="2002-07-20T00:00:00"/>
    <s v="SO48122"/>
    <n v="369"/>
    <n v="22207"/>
    <n v="9"/>
    <n v="1"/>
    <n v="1"/>
    <n v="2"/>
    <s v="BK-R89R-48"/>
    <x v="21"/>
    <n v="1518.7864"/>
    <n v="2443.35"/>
    <s v="MS."/>
    <s v="NANCY"/>
    <s v="SANCHEZ"/>
    <s v="NANCY SANCHEZ"/>
    <d v="1958-01-01T00:00:00"/>
    <s v="S"/>
    <s v="F"/>
    <s v="nancy23@adventure-works.com"/>
    <n v="130000"/>
    <n v="0"/>
    <s v="Graduate Degree"/>
    <s v="Management"/>
    <s v="N"/>
    <s v="Australia"/>
    <x v="2"/>
    <s v="Pacific"/>
    <x v="0"/>
    <s v="Bikes"/>
    <n v="2443.35"/>
    <n v="1518.7864"/>
    <n v="924.56359999999995"/>
    <n v="0.37839998362903399"/>
  </r>
  <r>
    <x v="300"/>
    <d v="2002-08-28T00:00:00"/>
    <s v="SO48195"/>
    <n v="371"/>
    <n v="22399"/>
    <n v="9"/>
    <n v="1"/>
    <n v="1"/>
    <n v="2"/>
    <s v="BK-R89R-58"/>
    <x v="24"/>
    <n v="1320.6838"/>
    <n v="2181.5625"/>
    <s v="MR."/>
    <s v="ARTHUR"/>
    <s v="FERNANDEZ"/>
    <s v="ARTHUR FERNANDEZ"/>
    <d v="1980-01-06T00:00:00"/>
    <s v="S"/>
    <s v="M"/>
    <s v="arthur18@adventure-works.com"/>
    <n v="10000"/>
    <n v="0"/>
    <s v="Partial College"/>
    <s v="Manual"/>
    <s v="Y"/>
    <s v="Australia"/>
    <x v="2"/>
    <s v="Pacific"/>
    <x v="0"/>
    <s v="Bikes"/>
    <n v="2181.5625"/>
    <n v="1320.6838"/>
    <n v="860.87869999999998"/>
    <n v="0.39461564818793898"/>
  </r>
  <r>
    <x v="295"/>
    <d v="2002-08-22T00:00:00"/>
    <s v="SO48098"/>
    <n v="377"/>
    <n v="22400"/>
    <n v="9"/>
    <n v="1"/>
    <n v="1"/>
    <n v="2"/>
    <s v="BK-R89B-52"/>
    <x v="20"/>
    <n v="1320.6838"/>
    <n v="2181.5625"/>
    <s v="MR."/>
    <s v="RUBEN"/>
    <s v="MARTIN"/>
    <s v="RUBEN MARTIN"/>
    <d v="1980-05-19T00:00:00"/>
    <s v="M"/>
    <s v="M"/>
    <s v="ruben23@adventure-works.com"/>
    <n v="10000"/>
    <n v="0"/>
    <s v="Partial College"/>
    <s v="Manual"/>
    <s v="N"/>
    <s v="Australia"/>
    <x v="2"/>
    <s v="Pacific"/>
    <x v="0"/>
    <s v="Bikes"/>
    <n v="2181.5625"/>
    <n v="1320.6838"/>
    <n v="860.87869999999998"/>
    <n v="0.39461564818793898"/>
  </r>
  <r>
    <x v="300"/>
    <d v="2002-08-06T00:00:00"/>
    <s v="SO48194"/>
    <n v="369"/>
    <n v="22401"/>
    <n v="9"/>
    <n v="1"/>
    <n v="1"/>
    <n v="2"/>
    <s v="BK-R89R-48"/>
    <x v="21"/>
    <n v="1518.7864"/>
    <n v="2443.35"/>
    <s v="MR."/>
    <s v="IAN"/>
    <s v="PRICE"/>
    <s v="IAN PRICE"/>
    <d v="1980-01-08T00:00:00"/>
    <s v="M"/>
    <s v="M"/>
    <s v="ian40@adventure-works.com"/>
    <n v="10000"/>
    <n v="0"/>
    <s v="Partial College"/>
    <s v="Manual"/>
    <s v="Y"/>
    <s v="Australia"/>
    <x v="2"/>
    <s v="Pacific"/>
    <x v="0"/>
    <s v="Bikes"/>
    <n v="2443.35"/>
    <n v="1518.7864"/>
    <n v="924.56359999999995"/>
    <n v="0.37839998362903399"/>
  </r>
  <r>
    <x v="104"/>
    <d v="2002-07-28T00:00:00"/>
    <s v="SO48154"/>
    <n v="377"/>
    <n v="22402"/>
    <n v="9"/>
    <n v="1"/>
    <n v="1"/>
    <n v="2"/>
    <s v="BK-R89B-52"/>
    <x v="20"/>
    <n v="1320.6838"/>
    <n v="2181.5625"/>
    <s v="MR."/>
    <s v="CLARENCE"/>
    <s v="XIE"/>
    <s v="CLARENCE XIE"/>
    <d v="1980-09-10T00:00:00"/>
    <s v="M"/>
    <s v="M"/>
    <s v="clarence18@adventure-works.com"/>
    <n v="10000"/>
    <n v="0"/>
    <s v="Partial College"/>
    <s v="Manual"/>
    <s v="Y"/>
    <s v="Australia"/>
    <x v="2"/>
    <s v="Pacific"/>
    <x v="0"/>
    <s v="Bikes"/>
    <n v="2181.5625"/>
    <n v="1320.6838"/>
    <n v="860.87869999999998"/>
    <n v="0.39461564818793898"/>
  </r>
  <r>
    <x v="337"/>
    <d v="2002-09-19T00:00:00"/>
    <s v="SO48274"/>
    <n v="370"/>
    <n v="22404"/>
    <n v="9"/>
    <n v="1"/>
    <n v="1"/>
    <n v="2"/>
    <s v="BK-R89R-52"/>
    <x v="23"/>
    <n v="1518.7864"/>
    <n v="2443.35"/>
    <s v="MS."/>
    <s v="MARGARET"/>
    <s v="XU"/>
    <s v="MARGARET XU"/>
    <d v="1980-11-06T00:00:00"/>
    <s v="S"/>
    <s v="F"/>
    <s v="margaret18@adventure-works.com"/>
    <n v="10000"/>
    <n v="0"/>
    <s v="Partial College"/>
    <s v="Manual"/>
    <s v="N"/>
    <s v="Australia"/>
    <x v="2"/>
    <s v="Pacific"/>
    <x v="0"/>
    <s v="Bikes"/>
    <n v="2443.35"/>
    <n v="1518.7864"/>
    <n v="924.56359999999995"/>
    <n v="0.37839998362903399"/>
  </r>
  <r>
    <x v="283"/>
    <d v="2002-11-08T00:00:00"/>
    <s v="SO48268"/>
    <n v="370"/>
    <n v="22406"/>
    <n v="9"/>
    <n v="1"/>
    <n v="1"/>
    <n v="2"/>
    <s v="BK-R89R-52"/>
    <x v="23"/>
    <n v="1518.7864"/>
    <n v="2443.35"/>
    <s v="MR."/>
    <s v="KELVIN"/>
    <s v="SHEN"/>
    <s v="KELVIN SHEN"/>
    <d v="1977-11-12T00:00:00"/>
    <s v="M"/>
    <s v="M"/>
    <s v="kelvin44@adventure-works.com"/>
    <n v="10000"/>
    <n v="0"/>
    <s v="High School"/>
    <s v="Manual"/>
    <s v="Y"/>
    <s v="Australia"/>
    <x v="2"/>
    <s v="Pacific"/>
    <x v="0"/>
    <s v="Bikes"/>
    <n v="2443.35"/>
    <n v="1518.7864"/>
    <n v="924.56359999999995"/>
    <n v="0.37839998362903399"/>
  </r>
  <r>
    <x v="186"/>
    <d v="2002-09-15T00:00:00"/>
    <s v="SO48207"/>
    <n v="373"/>
    <n v="22407"/>
    <n v="9"/>
    <n v="1"/>
    <n v="1"/>
    <n v="2"/>
    <s v="BK-R89B-44"/>
    <x v="19"/>
    <n v="1320.6838"/>
    <n v="2181.5625"/>
    <s v="MRS."/>
    <s v="CAROLYN"/>
    <s v="GONZALEZ"/>
    <s v="CAROLYN GONZALEZ"/>
    <d v="1979-10-19T00:00:00"/>
    <s v="M"/>
    <s v="F"/>
    <s v="carolyn18@adventure-works.com"/>
    <n v="10000"/>
    <n v="1"/>
    <s v="High School"/>
    <s v="Manual"/>
    <s v="Y"/>
    <s v="Australia"/>
    <x v="2"/>
    <s v="Pacific"/>
    <x v="0"/>
    <s v="Bikes"/>
    <n v="2181.5625"/>
    <n v="1320.6838"/>
    <n v="860.87869999999998"/>
    <n v="0.39461564818793898"/>
  </r>
  <r>
    <x v="104"/>
    <d v="2002-08-15T00:00:00"/>
    <s v="SO48155"/>
    <n v="371"/>
    <n v="22408"/>
    <n v="9"/>
    <n v="1"/>
    <n v="1"/>
    <n v="2"/>
    <s v="BK-R89R-58"/>
    <x v="24"/>
    <n v="1320.6838"/>
    <n v="2181.5625"/>
    <s v="MR."/>
    <s v="CLARENCE"/>
    <s v="SHAN"/>
    <s v="CLARENCE SHAN"/>
    <d v="1979-09-06T00:00:00"/>
    <s v="S"/>
    <s v="M"/>
    <s v="clarence25@adventure-works.com"/>
    <n v="10000"/>
    <n v="1"/>
    <s v="High School"/>
    <s v="Manual"/>
    <s v="N"/>
    <s v="Australia"/>
    <x v="2"/>
    <s v="Pacific"/>
    <x v="0"/>
    <s v="Bikes"/>
    <n v="2181.5625"/>
    <n v="1320.6838"/>
    <n v="860.87869999999998"/>
    <n v="0.39461564818793898"/>
  </r>
  <r>
    <x v="343"/>
    <d v="2002-11-05T00:00:00"/>
    <s v="SO48220"/>
    <n v="375"/>
    <n v="22409"/>
    <n v="9"/>
    <n v="1"/>
    <n v="1"/>
    <n v="2"/>
    <s v="BK-R89B-48"/>
    <x v="25"/>
    <n v="1320.6838"/>
    <n v="2181.5625"/>
    <s v="MS."/>
    <s v="CANDACE"/>
    <s v="MADAN"/>
    <s v="CANDACE MADAN"/>
    <d v="1979-08-15T00:00:00"/>
    <s v="S"/>
    <s v="F"/>
    <s v="candace7@adventure-works.com"/>
    <n v="20000"/>
    <n v="0"/>
    <s v="Bachelors"/>
    <s v="Clerical"/>
    <s v="Y"/>
    <s v="Australia"/>
    <x v="2"/>
    <s v="Pacific"/>
    <x v="0"/>
    <s v="Bikes"/>
    <n v="2181.5625"/>
    <n v="1320.6838"/>
    <n v="860.87869999999998"/>
    <n v="0.39461564818793898"/>
  </r>
  <r>
    <x v="282"/>
    <d v="2002-09-29T00:00:00"/>
    <s v="SO48121"/>
    <n v="369"/>
    <n v="22410"/>
    <n v="9"/>
    <n v="1"/>
    <n v="1"/>
    <n v="2"/>
    <s v="BK-R89R-48"/>
    <x v="21"/>
    <n v="1518.7864"/>
    <n v="2443.35"/>
    <s v="MS."/>
    <s v="CASSANDRA"/>
    <s v="ARTHUR"/>
    <s v="CASSANDRA ARTHUR"/>
    <d v="1978-08-16T00:00:00"/>
    <s v="S"/>
    <s v="F"/>
    <s v="cassandra7@adventure-works.com"/>
    <n v="20000"/>
    <n v="0"/>
    <s v="Bachelors"/>
    <s v="Clerical"/>
    <s v="N"/>
    <s v="Australia"/>
    <x v="2"/>
    <s v="Pacific"/>
    <x v="0"/>
    <s v="Bikes"/>
    <n v="2443.35"/>
    <n v="1518.7864"/>
    <n v="924.56359999999995"/>
    <n v="0.37839998362903399"/>
  </r>
  <r>
    <x v="299"/>
    <d v="2002-11-04T00:00:00"/>
    <s v="SO48243"/>
    <n v="371"/>
    <n v="22411"/>
    <n v="9"/>
    <n v="1"/>
    <n v="1"/>
    <n v="2"/>
    <s v="BK-R89R-58"/>
    <x v="24"/>
    <n v="1320.6838"/>
    <n v="2181.5625"/>
    <s v="MS."/>
    <s v="AMY"/>
    <s v="HE"/>
    <s v="AMY HE"/>
    <d v="1978-11-05T00:00:00"/>
    <s v="S"/>
    <s v="F"/>
    <s v="amy25@adventure-works.com"/>
    <n v="20000"/>
    <n v="0"/>
    <s v="Bachelors"/>
    <s v="Clerical"/>
    <s v="N"/>
    <s v="Australia"/>
    <x v="2"/>
    <s v="Pacific"/>
    <x v="0"/>
    <s v="Bikes"/>
    <n v="2181.5625"/>
    <n v="1320.6838"/>
    <n v="860.87869999999998"/>
    <n v="0.39461564818793898"/>
  </r>
  <r>
    <x v="295"/>
    <d v="2002-10-03T00:00:00"/>
    <s v="SO48097"/>
    <n v="369"/>
    <n v="22412"/>
    <n v="9"/>
    <n v="1"/>
    <n v="1"/>
    <n v="2"/>
    <s v="BK-R89R-48"/>
    <x v="21"/>
    <n v="1518.7864"/>
    <n v="2443.35"/>
    <s v="MR."/>
    <s v="DREW"/>
    <s v="ANDERSEN"/>
    <s v="DREW ANDERSEN"/>
    <d v="1977-10-04T00:00:00"/>
    <s v="M"/>
    <s v="M"/>
    <s v="drew14@adventure-works.com"/>
    <n v="20000"/>
    <n v="0"/>
    <s v="Bachelors"/>
    <s v="Clerical"/>
    <s v="N"/>
    <s v="Australia"/>
    <x v="2"/>
    <s v="Pacific"/>
    <x v="0"/>
    <s v="Bikes"/>
    <n v="2443.35"/>
    <n v="1518.7864"/>
    <n v="924.56359999999995"/>
    <n v="0.37839998362903399"/>
  </r>
  <r>
    <x v="284"/>
    <d v="2002-09-23T00:00:00"/>
    <s v="SO48133"/>
    <n v="377"/>
    <n v="22571"/>
    <n v="9"/>
    <n v="1"/>
    <n v="1"/>
    <n v="2"/>
    <s v="BK-R89B-52"/>
    <x v="20"/>
    <n v="1320.6838"/>
    <n v="2181.5625"/>
    <s v="MR."/>
    <s v="ARMANDO"/>
    <s v="VAZQUEZ"/>
    <s v="ARMANDO VAZQUEZ"/>
    <d v="1980-02-10T00:00:00"/>
    <s v="M"/>
    <s v="M"/>
    <s v="armando15@adventure-works.com"/>
    <n v="10000"/>
    <n v="0"/>
    <s v="Partial College"/>
    <s v="Manual"/>
    <s v="Y"/>
    <s v="Australia"/>
    <x v="2"/>
    <s v="Pacific"/>
    <x v="0"/>
    <s v="Bikes"/>
    <n v="2181.5625"/>
    <n v="1320.6838"/>
    <n v="860.87869999999998"/>
    <n v="0.39461564818793898"/>
  </r>
  <r>
    <x v="169"/>
    <d v="2002-09-16T00:00:00"/>
    <s v="SO48250"/>
    <n v="370"/>
    <n v="22572"/>
    <n v="9"/>
    <n v="1"/>
    <n v="1"/>
    <n v="2"/>
    <s v="BK-R89R-52"/>
    <x v="23"/>
    <n v="1518.7864"/>
    <n v="2443.35"/>
    <s v="MS."/>
    <s v="KAREN"/>
    <s v="CAI"/>
    <s v="KAREN CAI"/>
    <d v="1980-11-03T00:00:00"/>
    <s v="M"/>
    <s v="F"/>
    <s v="karen30@adventure-works.com"/>
    <n v="10000"/>
    <n v="0"/>
    <s v="Partial College"/>
    <s v="Manual"/>
    <s v="Y"/>
    <s v="Australia"/>
    <x v="2"/>
    <s v="Pacific"/>
    <x v="0"/>
    <s v="Bikes"/>
    <n v="2443.35"/>
    <n v="1518.7864"/>
    <n v="924.56359999999995"/>
    <n v="0.37839998362903399"/>
  </r>
  <r>
    <x v="312"/>
    <d v="2002-08-11T00:00:00"/>
    <s v="SO48225"/>
    <n v="371"/>
    <n v="22573"/>
    <n v="9"/>
    <n v="1"/>
    <n v="1"/>
    <n v="2"/>
    <s v="BK-R89R-58"/>
    <x v="24"/>
    <n v="1320.6838"/>
    <n v="2181.5625"/>
    <s v="MR."/>
    <s v="LANCE"/>
    <s v="SANZ"/>
    <s v="LANCE SANZ"/>
    <d v="1980-03-26T00:00:00"/>
    <s v="S"/>
    <s v="M"/>
    <s v="lance20@adventure-works.com"/>
    <n v="10000"/>
    <n v="0"/>
    <s v="Partial College"/>
    <s v="Manual"/>
    <s v="N"/>
    <s v="Australia"/>
    <x v="2"/>
    <s v="Pacific"/>
    <x v="0"/>
    <s v="Bikes"/>
    <n v="2181.5625"/>
    <n v="1320.6838"/>
    <n v="860.87869999999998"/>
    <n v="0.39461564818793898"/>
  </r>
  <r>
    <x v="168"/>
    <d v="2002-09-02T00:00:00"/>
    <s v="SO48101"/>
    <n v="369"/>
    <n v="22575"/>
    <n v="9"/>
    <n v="1"/>
    <n v="1"/>
    <n v="2"/>
    <s v="BK-R89R-48"/>
    <x v="21"/>
    <n v="1518.7864"/>
    <n v="2443.35"/>
    <s v="MR."/>
    <s v="ORLANDO"/>
    <s v="BLANCO"/>
    <s v="ORLANDO BLANCO"/>
    <d v="1980-08-19T00:00:00"/>
    <s v="S"/>
    <s v="M"/>
    <s v="orlando15@adventure-works.com"/>
    <n v="20000"/>
    <n v="0"/>
    <s v="Bachelors"/>
    <s v="Clerical"/>
    <s v="N"/>
    <s v="Australia"/>
    <x v="2"/>
    <s v="Pacific"/>
    <x v="0"/>
    <s v="Bikes"/>
    <n v="2443.35"/>
    <n v="1518.7864"/>
    <n v="924.56359999999995"/>
    <n v="0.37839998362903399"/>
  </r>
  <r>
    <x v="168"/>
    <d v="2002-08-09T00:00:00"/>
    <s v="SO48102"/>
    <n v="379"/>
    <n v="22576"/>
    <n v="9"/>
    <n v="1"/>
    <n v="1"/>
    <n v="2"/>
    <s v="BK-R89B-58"/>
    <x v="26"/>
    <n v="1320.6838"/>
    <n v="2181.5625"/>
    <s v="MR."/>
    <s v="TONY"/>
    <s v="XU"/>
    <s v="TONY XU"/>
    <d v="1980-12-24T00:00:00"/>
    <s v="S"/>
    <s v="M"/>
    <s v="tony8@adventure-works.com"/>
    <n v="20000"/>
    <n v="0"/>
    <s v="Bachelors"/>
    <s v="Clerical"/>
    <s v="N"/>
    <s v="Australia"/>
    <x v="2"/>
    <s v="Pacific"/>
    <x v="0"/>
    <s v="Bikes"/>
    <n v="2181.5625"/>
    <n v="1320.6838"/>
    <n v="860.87869999999998"/>
    <n v="0.39461564818793898"/>
  </r>
  <r>
    <x v="211"/>
    <d v="2002-08-12T00:00:00"/>
    <s v="SO48284"/>
    <n v="377"/>
    <n v="22577"/>
    <n v="9"/>
    <n v="1"/>
    <n v="1"/>
    <n v="2"/>
    <s v="BK-R89B-52"/>
    <x v="20"/>
    <n v="1320.6838"/>
    <n v="2181.5625"/>
    <s v="MR."/>
    <s v="BRYANT"/>
    <s v="SAI"/>
    <s v="BRYANT SAI"/>
    <d v="1980-06-02T00:00:00"/>
    <s v="M"/>
    <s v="M"/>
    <s v="bryant6@adventure-works.com"/>
    <n v="20000"/>
    <n v="0"/>
    <s v="Bachelors"/>
    <s v="Clerical"/>
    <s v="Y"/>
    <s v="Australia"/>
    <x v="2"/>
    <s v="Pacific"/>
    <x v="0"/>
    <s v="Bikes"/>
    <n v="2181.5625"/>
    <n v="1320.6838"/>
    <n v="860.87869999999998"/>
    <n v="0.39461564818793898"/>
  </r>
  <r>
    <x v="181"/>
    <d v="2002-10-21T00:00:00"/>
    <s v="SO48146"/>
    <n v="371"/>
    <n v="22578"/>
    <n v="9"/>
    <n v="1"/>
    <n v="1"/>
    <n v="2"/>
    <s v="BK-R89R-58"/>
    <x v="24"/>
    <n v="1320.6838"/>
    <n v="2181.5625"/>
    <s v="MR."/>
    <s v="JUAN"/>
    <s v="VAZQUEZ"/>
    <s v="JUAN VAZQUEZ"/>
    <d v="1977-10-12T00:00:00"/>
    <s v="S"/>
    <s v="M"/>
    <s v="juan3@adventure-works.com"/>
    <n v="10000"/>
    <n v="0"/>
    <s v="High School"/>
    <s v="Manual"/>
    <s v="N"/>
    <s v="Australia"/>
    <x v="2"/>
    <s v="Pacific"/>
    <x v="0"/>
    <s v="Bikes"/>
    <n v="2181.5625"/>
    <n v="1320.6838"/>
    <n v="860.87869999999998"/>
    <n v="0.39461564818793898"/>
  </r>
  <r>
    <x v="210"/>
    <d v="2002-10-26T00:00:00"/>
    <s v="SO48188"/>
    <n v="377"/>
    <n v="22579"/>
    <n v="9"/>
    <n v="1"/>
    <n v="1"/>
    <n v="2"/>
    <s v="BK-R89B-52"/>
    <x v="20"/>
    <n v="1320.6838"/>
    <n v="2181.5625"/>
    <s v="MRS."/>
    <s v="KARA"/>
    <s v="LAL"/>
    <s v="KARA LAL"/>
    <d v="1976-04-17T00:00:00"/>
    <s v="S"/>
    <s v="F"/>
    <s v="kara9@adventure-works.com"/>
    <n v="10000"/>
    <n v="1"/>
    <s v="High School"/>
    <s v="Manual"/>
    <s v="N"/>
    <s v="Australia"/>
    <x v="2"/>
    <s v="Pacific"/>
    <x v="0"/>
    <s v="Bikes"/>
    <n v="2181.5625"/>
    <n v="1320.6838"/>
    <n v="860.87869999999998"/>
    <n v="0.39461564818793898"/>
  </r>
  <r>
    <x v="348"/>
    <d v="2002-07-16T00:00:00"/>
    <s v="SO48107"/>
    <n v="370"/>
    <n v="22580"/>
    <n v="9"/>
    <n v="1"/>
    <n v="1"/>
    <n v="2"/>
    <s v="BK-R89R-52"/>
    <x v="23"/>
    <n v="1518.7864"/>
    <n v="2443.35"/>
    <s v="MRS."/>
    <s v="ALEXIS"/>
    <s v="LONG"/>
    <s v="ALEXIS LONG"/>
    <d v="1979-04-07T00:00:00"/>
    <s v="S"/>
    <s v="F"/>
    <s v="alexis32@adventure-works.com"/>
    <n v="10000"/>
    <n v="1"/>
    <s v="High School"/>
    <s v="Manual"/>
    <s v="N"/>
    <s v="Australia"/>
    <x v="2"/>
    <s v="Pacific"/>
    <x v="0"/>
    <s v="Bikes"/>
    <n v="2443.35"/>
    <n v="1518.7864"/>
    <n v="924.56359999999995"/>
    <n v="0.37839998362903399"/>
  </r>
  <r>
    <x v="104"/>
    <d v="2002-08-31T00:00:00"/>
    <s v="SO48156"/>
    <n v="377"/>
    <n v="22581"/>
    <n v="9"/>
    <n v="1"/>
    <n v="1"/>
    <n v="2"/>
    <s v="BK-R89B-52"/>
    <x v="20"/>
    <n v="1320.6838"/>
    <n v="2181.5625"/>
    <s v="MS."/>
    <s v="THERESA"/>
    <s v="VAZQUEZ"/>
    <s v="THERESA VAZQUEZ"/>
    <d v="1979-08-20T00:00:00"/>
    <s v="M"/>
    <s v="F"/>
    <s v="theresa10@adventure-works.com"/>
    <n v="20000"/>
    <n v="0"/>
    <s v="Bachelors"/>
    <s v="Clerical"/>
    <s v="N"/>
    <s v="Australia"/>
    <x v="2"/>
    <s v="Pacific"/>
    <x v="0"/>
    <s v="Bikes"/>
    <n v="2181.5625"/>
    <n v="1320.6838"/>
    <n v="860.87869999999998"/>
    <n v="0.39461564818793898"/>
  </r>
  <r>
    <x v="311"/>
    <d v="2002-08-01T00:00:00"/>
    <s v="SO48129"/>
    <n v="377"/>
    <n v="22582"/>
    <n v="9"/>
    <n v="1"/>
    <n v="1"/>
    <n v="2"/>
    <s v="BK-R89B-52"/>
    <x v="20"/>
    <n v="1320.6838"/>
    <n v="2181.5625"/>
    <s v="MS."/>
    <s v="EVELYN"/>
    <s v="MADAN"/>
    <s v="EVELYN MADAN"/>
    <d v="1979-11-17T00:00:00"/>
    <s v="S"/>
    <s v="F"/>
    <s v="evelyn8@adventure-works.com"/>
    <n v="20000"/>
    <n v="0"/>
    <s v="Bachelors"/>
    <s v="Clerical"/>
    <s v="N"/>
    <s v="Australia"/>
    <x v="2"/>
    <s v="Pacific"/>
    <x v="0"/>
    <s v="Bikes"/>
    <n v="2181.5625"/>
    <n v="1320.6838"/>
    <n v="860.87869999999998"/>
    <n v="0.39461564818793898"/>
  </r>
  <r>
    <x v="167"/>
    <d v="2002-10-04T00:00:00"/>
    <s v="SO48183"/>
    <n v="373"/>
    <n v="22583"/>
    <n v="9"/>
    <n v="1"/>
    <n v="1"/>
    <n v="2"/>
    <s v="BK-R89B-44"/>
    <x v="19"/>
    <n v="1320.6838"/>
    <n v="2181.5625"/>
    <s v="MR."/>
    <s v="TROY"/>
    <s v="SARA"/>
    <s v="TROY SARA"/>
    <d v="1977-08-12T00:00:00"/>
    <s v="S"/>
    <s v="M"/>
    <s v="troy11@adventure-works.com"/>
    <n v="20000"/>
    <n v="0"/>
    <s v="Partial College"/>
    <s v="Manual"/>
    <s v="Y"/>
    <s v="Australia"/>
    <x v="2"/>
    <s v="Pacific"/>
    <x v="0"/>
    <s v="Bikes"/>
    <n v="2181.5625"/>
    <n v="1320.6838"/>
    <n v="860.87869999999998"/>
    <n v="0.39461564818793898"/>
  </r>
  <r>
    <x v="354"/>
    <d v="2001-09-19T00:00:00"/>
    <s v="SO45101"/>
    <n v="313"/>
    <n v="22748"/>
    <n v="6"/>
    <n v="1"/>
    <n v="1"/>
    <n v="2"/>
    <s v="BK-R93R-52"/>
    <x v="3"/>
    <n v="2171.2941999999998"/>
    <n v="3578.27"/>
    <s v="MR."/>
    <s v="ADAM"/>
    <s v="PHILLIPS"/>
    <s v="ADAM PHILLIPS"/>
    <d v="1946-09-13T00:00:00"/>
    <s v="S"/>
    <s v="M"/>
    <s v="adam36@adventure-works.com"/>
    <n v="70000"/>
    <n v="5"/>
    <s v="Bachelors"/>
    <s v="Management"/>
    <s v="Y"/>
    <s v="Canada"/>
    <x v="5"/>
    <s v="North America"/>
    <x v="0"/>
    <s v="Bikes"/>
    <n v="3578.27"/>
    <n v="2171.2941999999998"/>
    <n v="1406.9757999999999"/>
    <n v="0.39320001006072802"/>
  </r>
  <r>
    <x v="357"/>
    <d v="2001-11-21T00:00:00"/>
    <s v="SO45105"/>
    <n v="312"/>
    <n v="22765"/>
    <n v="6"/>
    <n v="1"/>
    <n v="1"/>
    <n v="2"/>
    <s v="BK-R93R-48"/>
    <x v="0"/>
    <n v="2171.2941999999998"/>
    <n v="3578.27"/>
    <s v="MR."/>
    <s v="LUIS"/>
    <s v="COLLINS"/>
    <s v="LUIS COLLINS"/>
    <d v="1949-09-21T00:00:00"/>
    <s v="M"/>
    <s v="M"/>
    <s v="luis35@adventure-works.com"/>
    <n v="60000"/>
    <n v="2"/>
    <s v="Partial Colleg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18"/>
    <d v="2001-09-11T00:00:00"/>
    <s v="SO45094"/>
    <n v="310"/>
    <n v="22785"/>
    <n v="6"/>
    <n v="1"/>
    <n v="1"/>
    <n v="2"/>
    <s v="BK-R93R-62"/>
    <x v="1"/>
    <n v="2171.2941999999998"/>
    <n v="3578.27"/>
    <s v="MR."/>
    <s v="OSCAR"/>
    <s v="PERRY"/>
    <s v="OSCAR PERRY"/>
    <d v="1952-01-13T00:00:00"/>
    <s v="M"/>
    <s v="M"/>
    <s v="oscar16@adventure-works.com"/>
    <n v="70000"/>
    <n v="2"/>
    <s v="Partial High School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81"/>
    <d v="2002-07-26T00:00:00"/>
    <s v="SO48147"/>
    <n v="377"/>
    <n v="22845"/>
    <n v="9"/>
    <n v="1"/>
    <n v="1"/>
    <n v="2"/>
    <s v="BK-R89B-52"/>
    <x v="20"/>
    <n v="1320.6838"/>
    <n v="2181.5625"/>
    <s v="MR."/>
    <s v="JAKE"/>
    <s v="CHEN"/>
    <s v="JAKE CHEN"/>
    <d v="1976-03-13T00:00:00"/>
    <s v="M"/>
    <s v="M"/>
    <s v="jake2@adventure-works.com"/>
    <n v="8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333"/>
    <d v="2002-08-23T00:00:00"/>
    <s v="SO48233"/>
    <n v="371"/>
    <n v="22850"/>
    <n v="9"/>
    <n v="1"/>
    <n v="1"/>
    <n v="2"/>
    <s v="BK-R89R-58"/>
    <x v="24"/>
    <n v="1320.6838"/>
    <n v="2181.5625"/>
    <s v="MR."/>
    <s v="DEVON"/>
    <s v="LUO"/>
    <s v="DEVON LUO"/>
    <d v="1974-02-05T00:00:00"/>
    <s v="M"/>
    <s v="M"/>
    <s v="devon4@adventure-works.com"/>
    <n v="130000"/>
    <n v="4"/>
    <s v="High School"/>
    <s v="Management"/>
    <s v="N"/>
    <s v="Australia"/>
    <x v="2"/>
    <s v="Pacific"/>
    <x v="0"/>
    <s v="Bikes"/>
    <n v="2181.5625"/>
    <n v="1320.6838"/>
    <n v="860.87869999999998"/>
    <n v="0.39461564818793898"/>
  </r>
  <r>
    <x v="104"/>
    <d v="2002-10-09T00:00:00"/>
    <s v="SO48157"/>
    <n v="371"/>
    <n v="22851"/>
    <n v="9"/>
    <n v="1"/>
    <n v="1"/>
    <n v="2"/>
    <s v="BK-R89R-58"/>
    <x v="24"/>
    <n v="1320.6838"/>
    <n v="2181.5625"/>
    <s v="MS."/>
    <s v="KAYLEE"/>
    <s v="EDWARDS"/>
    <s v="KAYLEE EDWARDS"/>
    <d v="1973-07-16T00:00:00"/>
    <s v="S"/>
    <s v="F"/>
    <s v="kaylee21@adventure-works.com"/>
    <n v="9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302"/>
    <d v="2002-09-02T00:00:00"/>
    <s v="SO48163"/>
    <n v="375"/>
    <n v="22854"/>
    <n v="9"/>
    <n v="1"/>
    <n v="1"/>
    <n v="2"/>
    <s v="BK-R89B-48"/>
    <x v="25"/>
    <n v="1320.6838"/>
    <n v="2181.5625"/>
    <s v="MS."/>
    <s v="EBONY"/>
    <s v="MEHTA"/>
    <s v="EBONY MEHTA"/>
    <d v="1973-08-20T00:00:00"/>
    <s v="S"/>
    <s v="F"/>
    <s v="ebony14@adventure-works.com"/>
    <n v="100000"/>
    <n v="0"/>
    <s v="High School"/>
    <s v="Management"/>
    <s v="Y"/>
    <s v="Australia"/>
    <x v="2"/>
    <s v="Pacific"/>
    <x v="0"/>
    <s v="Bikes"/>
    <n v="2181.5625"/>
    <n v="1320.6838"/>
    <n v="860.87869999999998"/>
    <n v="0.39461564818793898"/>
  </r>
  <r>
    <x v="170"/>
    <d v="2002-07-17T00:00:00"/>
    <s v="SO48139"/>
    <n v="370"/>
    <n v="22857"/>
    <n v="9"/>
    <n v="1"/>
    <n v="1"/>
    <n v="2"/>
    <s v="BK-R89R-52"/>
    <x v="23"/>
    <n v="1518.7864"/>
    <n v="2443.35"/>
    <s v="MR."/>
    <s v="JULIO"/>
    <s v="ROMERO"/>
    <s v="JULIO ROMERO"/>
    <d v="1972-01-15T00:00:00"/>
    <s v="M"/>
    <s v="M"/>
    <s v="julio9@adventure-works.com"/>
    <n v="110000"/>
    <n v="0"/>
    <s v="High School"/>
    <s v="Management"/>
    <s v="Y"/>
    <s v="Australia"/>
    <x v="2"/>
    <s v="Pacific"/>
    <x v="0"/>
    <s v="Bikes"/>
    <n v="2443.35"/>
    <n v="1518.7864"/>
    <n v="924.56359999999995"/>
    <n v="0.37839998362903399"/>
  </r>
  <r>
    <x v="299"/>
    <d v="2002-11-01T00:00:00"/>
    <s v="SO48244"/>
    <n v="371"/>
    <n v="22860"/>
    <n v="9"/>
    <n v="1"/>
    <n v="1"/>
    <n v="2"/>
    <s v="BK-R89R-58"/>
    <x v="24"/>
    <n v="1320.6838"/>
    <n v="2181.5625"/>
    <s v="MR."/>
    <s v="CEDRIC"/>
    <s v="KUMAR"/>
    <s v="CEDRIC KUMAR"/>
    <d v="1970-05-27T00:00:00"/>
    <s v="M"/>
    <s v="M"/>
    <s v="cedric29@adventure-works.com"/>
    <n v="100000"/>
    <n v="0"/>
    <s v="High School"/>
    <s v="Management"/>
    <s v="Y"/>
    <s v="Australia"/>
    <x v="2"/>
    <s v="Pacific"/>
    <x v="0"/>
    <s v="Bikes"/>
    <n v="2181.5625"/>
    <n v="1320.6838"/>
    <n v="860.87869999999998"/>
    <n v="0.39461564818793898"/>
  </r>
  <r>
    <x v="314"/>
    <d v="2001-11-15T00:00:00"/>
    <s v="SO45252"/>
    <n v="312"/>
    <n v="22877"/>
    <n v="6"/>
    <n v="1"/>
    <n v="1"/>
    <n v="2"/>
    <s v="BK-R93R-48"/>
    <x v="0"/>
    <n v="2171.2941999999998"/>
    <n v="3578.27"/>
    <s v="MR."/>
    <s v="XAVIER"/>
    <s v="GRIFFIN"/>
    <s v="XAVIER GRIFFIN"/>
    <d v="1961-11-10T00:00:00"/>
    <s v="M"/>
    <s v="M"/>
    <s v="xavier61@adventure-works.com"/>
    <n v="60000"/>
    <n v="1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9"/>
    <d v="2001-12-31T00:00:00"/>
    <s v="SO45165"/>
    <n v="313"/>
    <n v="22881"/>
    <n v="6"/>
    <n v="1"/>
    <n v="1"/>
    <n v="2"/>
    <s v="BK-R93R-52"/>
    <x v="3"/>
    <n v="2171.2941999999998"/>
    <n v="3578.27"/>
    <s v="MR."/>
    <s v="WYATT"/>
    <s v="MARTINEZ"/>
    <s v="WYATT MARTINEZ"/>
    <d v="1960-10-19T00:00:00"/>
    <s v="M"/>
    <s v="M"/>
    <s v="wyatt18@adventure-works.com"/>
    <n v="40000"/>
    <n v="4"/>
    <s v="High School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334"/>
    <d v="2001-10-04T00:00:00"/>
    <s v="SO45193"/>
    <n v="310"/>
    <n v="22889"/>
    <n v="6"/>
    <n v="1"/>
    <n v="1"/>
    <n v="2"/>
    <s v="BK-R93R-62"/>
    <x v="1"/>
    <n v="2171.2941999999998"/>
    <n v="3578.27"/>
    <s v="MRS."/>
    <s v="JULIA"/>
    <s v="LONG"/>
    <s v="JULIA LONG"/>
    <d v="1959-05-26T00:00:00"/>
    <s v="M"/>
    <s v="F"/>
    <s v="julia75@adventure-works.com"/>
    <n v="60000"/>
    <n v="1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328"/>
    <d v="2001-10-14T00:00:00"/>
    <s v="SO45219"/>
    <n v="313"/>
    <n v="22893"/>
    <n v="6"/>
    <n v="1"/>
    <n v="1"/>
    <n v="2"/>
    <s v="BK-R93R-52"/>
    <x v="3"/>
    <n v="2171.2941999999998"/>
    <n v="3578.27"/>
    <s v="MRS."/>
    <s v="CHLOE"/>
    <s v="MILLER"/>
    <s v="CHLOE MILLER"/>
    <d v="1959-07-17T00:00:00"/>
    <s v="S"/>
    <s v="F"/>
    <s v="chloe39@adventure-works.com"/>
    <n v="70000"/>
    <n v="2"/>
    <s v="Graduate Degree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37"/>
    <d v="2001-12-13T00:00:00"/>
    <s v="SO45134"/>
    <n v="314"/>
    <n v="22895"/>
    <n v="6"/>
    <n v="1"/>
    <n v="1"/>
    <n v="2"/>
    <s v="BK-R93R-56"/>
    <x v="2"/>
    <n v="2171.2941999999998"/>
    <n v="3578.27"/>
    <s v="MR."/>
    <s v="EDUARDO"/>
    <s v="PEREZ"/>
    <s v="EDUARDO PEREZ"/>
    <d v="1959-11-20T00:00:00"/>
    <s v="S"/>
    <s v="M"/>
    <s v="eduardo36@adventure-works.com"/>
    <n v="70000"/>
    <n v="5"/>
    <s v="Graduate Degre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1"/>
    <d v="2001-12-26T00:00:00"/>
    <s v="SO45142"/>
    <n v="311"/>
    <n v="22901"/>
    <n v="6"/>
    <n v="1"/>
    <n v="1"/>
    <n v="2"/>
    <s v="BK-R93R-44"/>
    <x v="4"/>
    <n v="2171.2941999999998"/>
    <n v="3578.27"/>
    <s v="MRS."/>
    <s v="KATHERINE"/>
    <s v="STEWART"/>
    <s v="KATHERINE STEWART"/>
    <d v="1958-10-26T00:00:00"/>
    <s v="S"/>
    <s v="F"/>
    <s v="katherine2@adventure-works.com"/>
    <n v="60000"/>
    <n v="1"/>
    <s v="Bachelors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328"/>
    <d v="2001-10-24T00:00:00"/>
    <s v="SO45221"/>
    <n v="314"/>
    <n v="22903"/>
    <n v="6"/>
    <n v="1"/>
    <n v="1"/>
    <n v="2"/>
    <s v="BK-R93R-56"/>
    <x v="2"/>
    <n v="2171.2941999999998"/>
    <n v="3578.27"/>
    <s v="MRS."/>
    <s v="HAILEY"/>
    <s v="STEWART"/>
    <s v="HAILEY STEWART"/>
    <d v="1958-06-11T00:00:00"/>
    <s v="S"/>
    <s v="F"/>
    <s v="hailey0@adventure-works.com"/>
    <n v="80000"/>
    <n v="5"/>
    <s v="Graduate Degre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297"/>
    <d v="2002-08-09T00:00:00"/>
    <s v="SO48168"/>
    <n v="373"/>
    <n v="22904"/>
    <n v="9"/>
    <n v="1"/>
    <n v="1"/>
    <n v="2"/>
    <s v="BK-R89B-44"/>
    <x v="19"/>
    <n v="1320.6838"/>
    <n v="2181.5625"/>
    <s v="MR."/>
    <s v="MITCHELL"/>
    <s v="SHEN"/>
    <s v="MITCHELL SHEN"/>
    <d v="1969-07-15T00:00:00"/>
    <s v="S"/>
    <s v="M"/>
    <s v="mitchell2@adventure-works.com"/>
    <n v="90000"/>
    <n v="1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220"/>
    <d v="2002-09-28T00:00:00"/>
    <s v="SO48538"/>
    <n v="379"/>
    <n v="22905"/>
    <n v="9"/>
    <n v="1"/>
    <n v="1"/>
    <n v="2"/>
    <s v="BK-R89B-58"/>
    <x v="26"/>
    <n v="1320.6838"/>
    <n v="2181.5625"/>
    <s v="MR."/>
    <s v="JOE"/>
    <s v="SCHMIDT"/>
    <s v="JOE SCHMIDT"/>
    <d v="1969-07-18T00:00:00"/>
    <s v="M"/>
    <s v="M"/>
    <s v="joe13@adventure-works.com"/>
    <n v="90000"/>
    <n v="1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351"/>
    <d v="2002-09-13T00:00:00"/>
    <s v="SO48566"/>
    <n v="375"/>
    <n v="22906"/>
    <n v="9"/>
    <n v="1"/>
    <n v="1"/>
    <n v="2"/>
    <s v="BK-R89B-48"/>
    <x v="25"/>
    <n v="1320.6838"/>
    <n v="2181.5625"/>
    <s v="MRS."/>
    <s v="JESSIE"/>
    <s v="MORENO"/>
    <s v="JESSIE MORENO"/>
    <d v="1969-10-25T00:00:00"/>
    <s v="M"/>
    <s v="F"/>
    <s v="jessie4@adventure-works.com"/>
    <n v="90000"/>
    <n v="1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190"/>
    <d v="2002-11-08T00:00:00"/>
    <s v="SO48449"/>
    <n v="370"/>
    <n v="22907"/>
    <n v="9"/>
    <n v="1"/>
    <n v="1"/>
    <n v="2"/>
    <s v="BK-R89R-52"/>
    <x v="23"/>
    <n v="1518.7864"/>
    <n v="2443.35"/>
    <s v="MR."/>
    <s v="BARRY"/>
    <s v="SAI"/>
    <s v="BARRY SAI"/>
    <d v="1968-02-22T00:00:00"/>
    <s v="M"/>
    <s v="M"/>
    <s v="barry6@adventure-works.com"/>
    <n v="60000"/>
    <n v="2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286"/>
    <d v="2002-09-01T00:00:00"/>
    <s v="SO48528"/>
    <n v="379"/>
    <n v="22908"/>
    <n v="9"/>
    <n v="1"/>
    <n v="1"/>
    <n v="2"/>
    <s v="BK-R89B-58"/>
    <x v="26"/>
    <n v="1320.6838"/>
    <n v="2181.5625"/>
    <s v="MR."/>
    <s v="EDDIE"/>
    <s v="ORTEGA"/>
    <s v="EDDIE ORTEGA"/>
    <d v="1970-03-22T00:00:00"/>
    <s v="M"/>
    <s v="M"/>
    <s v="eddie22@adventure-works.com"/>
    <n v="90000"/>
    <n v="2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304"/>
    <d v="2002-08-11T00:00:00"/>
    <s v="SO48471"/>
    <n v="375"/>
    <n v="22909"/>
    <n v="9"/>
    <n v="1"/>
    <n v="1"/>
    <n v="2"/>
    <s v="BK-R89B-48"/>
    <x v="25"/>
    <n v="1320.6838"/>
    <n v="2181.5625"/>
    <s v="MR."/>
    <s v="TOMMY"/>
    <s v="GOEL"/>
    <s v="TOMMY GOEL"/>
    <d v="1968-11-25T00:00:00"/>
    <s v="S"/>
    <s v="M"/>
    <s v="tommy16@adventure-works.com"/>
    <n v="60000"/>
    <n v="2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31"/>
    <d v="2002-12-06T00:00:00"/>
    <s v="SO48720"/>
    <n v="371"/>
    <n v="22910"/>
    <n v="9"/>
    <n v="1"/>
    <n v="1"/>
    <n v="2"/>
    <s v="BK-R89R-58"/>
    <x v="24"/>
    <n v="1320.6838"/>
    <n v="2181.5625"/>
    <s v="MRS."/>
    <s v="LATOYA"/>
    <s v="TANG"/>
    <s v="LATOYA TANG"/>
    <d v="1968-04-17T00:00:00"/>
    <s v="M"/>
    <s v="F"/>
    <s v="latoya3@adventure-works.com"/>
    <n v="60000"/>
    <n v="2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32"/>
    <d v="2002-10-11T00:00:00"/>
    <s v="SO48434"/>
    <n v="377"/>
    <n v="22912"/>
    <n v="9"/>
    <n v="1"/>
    <n v="1"/>
    <n v="2"/>
    <s v="BK-R89B-52"/>
    <x v="20"/>
    <n v="1320.6838"/>
    <n v="2181.5625"/>
    <s v="MRS."/>
    <s v="MALLORY"/>
    <s v="MORENO"/>
    <s v="MALLORY MORENO"/>
    <d v="1969-12-07T00:00:00"/>
    <s v="S"/>
    <s v="F"/>
    <s v="mallory14@adventure-works.com"/>
    <n v="110000"/>
    <n v="1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218"/>
    <d v="2002-09-14T00:00:00"/>
    <s v="SO48407"/>
    <n v="375"/>
    <n v="22913"/>
    <n v="9"/>
    <n v="1"/>
    <n v="1"/>
    <n v="2"/>
    <s v="BK-R89B-48"/>
    <x v="25"/>
    <n v="1320.6838"/>
    <n v="2181.5625"/>
    <s v="MRS."/>
    <s v="VALERIE"/>
    <s v="LU"/>
    <s v="VALERIE LU"/>
    <d v="1969-12-25T00:00:00"/>
    <s v="S"/>
    <s v="F"/>
    <s v="valerie13@adventure-works.com"/>
    <n v="120000"/>
    <n v="1"/>
    <s v="Graduate Degree"/>
    <s v="Management"/>
    <s v="Y"/>
    <s v="Australia"/>
    <x v="2"/>
    <s v="Pacific"/>
    <x v="0"/>
    <s v="Bikes"/>
    <n v="2181.5625"/>
    <n v="1320.6838"/>
    <n v="860.87869999999998"/>
    <n v="0.39461564818793898"/>
  </r>
  <r>
    <x v="220"/>
    <d v="2002-11-27T00:00:00"/>
    <s v="SO48539"/>
    <n v="377"/>
    <n v="22921"/>
    <n v="9"/>
    <n v="1"/>
    <n v="1"/>
    <n v="2"/>
    <s v="BK-R89B-52"/>
    <x v="20"/>
    <n v="1320.6838"/>
    <n v="2181.5625"/>
    <s v="MS."/>
    <s v="KELSEY"/>
    <s v="SHEN"/>
    <s v="KELSEY SHEN"/>
    <d v="1968-02-18T00:00:00"/>
    <s v="S"/>
    <s v="F"/>
    <s v="kelsey1@adventure-works.com"/>
    <n v="7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303"/>
    <d v="2002-10-25T00:00:00"/>
    <s v="SO48651"/>
    <n v="377"/>
    <n v="22926"/>
    <n v="9"/>
    <n v="1"/>
    <n v="1"/>
    <n v="2"/>
    <s v="BK-R89B-52"/>
    <x v="20"/>
    <n v="1320.6838"/>
    <n v="2181.5625"/>
    <s v="MR."/>
    <s v="KEITH"/>
    <s v="YUAN"/>
    <s v="KEITH YUAN"/>
    <d v="1963-02-08T00:00:00"/>
    <s v="S"/>
    <s v="M"/>
    <s v="keith9@adventure-works.com"/>
    <n v="60000"/>
    <n v="3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18"/>
    <d v="2002-11-08T00:00:00"/>
    <s v="SO48408"/>
    <n v="379"/>
    <n v="22927"/>
    <n v="9"/>
    <n v="1"/>
    <n v="1"/>
    <n v="2"/>
    <s v="BK-R89B-58"/>
    <x v="26"/>
    <n v="1320.6838"/>
    <n v="2181.5625"/>
    <s v="MR."/>
    <s v="JON"/>
    <s v="GUO"/>
    <s v="JON GUO"/>
    <d v="1963-02-03T00:00:00"/>
    <s v="S"/>
    <s v="M"/>
    <s v="jon38@adventure-works.com"/>
    <n v="60000"/>
    <n v="3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98"/>
    <d v="2002-08-27T00:00:00"/>
    <s v="SO48478"/>
    <n v="371"/>
    <n v="22929"/>
    <n v="9"/>
    <n v="1"/>
    <n v="1"/>
    <n v="2"/>
    <s v="BK-R89R-58"/>
    <x v="24"/>
    <n v="1320.6838"/>
    <n v="2181.5625"/>
    <s v="MRS."/>
    <s v="ISABELLA"/>
    <s v="DAVIS"/>
    <s v="ISABELLA DAVIS"/>
    <d v="1967-10-28T00:00:00"/>
    <s v="S"/>
    <s v="F"/>
    <s v="isabella62@adventure-works.com"/>
    <n v="90000"/>
    <n v="2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31"/>
    <d v="2002-09-09T00:00:00"/>
    <s v="SO48721"/>
    <n v="368"/>
    <n v="22930"/>
    <n v="9"/>
    <n v="1"/>
    <n v="1"/>
    <n v="2"/>
    <s v="BK-R89R-44"/>
    <x v="22"/>
    <n v="1518.7864"/>
    <n v="2443.35"/>
    <s v="MR."/>
    <s v="BRETT"/>
    <s v="RAMAN"/>
    <s v="BRETT RAMAN"/>
    <d v="1967-11-22T00:00:00"/>
    <s v="M"/>
    <s v="M"/>
    <s v="brett11@adventure-works.com"/>
    <n v="90000"/>
    <n v="4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220"/>
    <d v="2002-09-02T00:00:00"/>
    <s v="SO48540"/>
    <n v="377"/>
    <n v="22931"/>
    <n v="9"/>
    <n v="1"/>
    <n v="1"/>
    <n v="2"/>
    <s v="BK-R89B-52"/>
    <x v="20"/>
    <n v="1320.6838"/>
    <n v="2181.5625"/>
    <s v="MR."/>
    <s v="LOGAN"/>
    <s v="JOHNSON"/>
    <s v="LOGAN JOHNSON"/>
    <d v="1928-03-02T00:00:00"/>
    <s v="M"/>
    <s v="M"/>
    <s v="logan50@adventure-works.com"/>
    <n v="100000"/>
    <n v="5"/>
    <s v="Graduate Degree"/>
    <s v="Management"/>
    <s v="N"/>
    <s v="Australia"/>
    <x v="2"/>
    <s v="Pacific"/>
    <x v="0"/>
    <s v="Bikes"/>
    <n v="2181.5625"/>
    <n v="1320.6838"/>
    <n v="860.87869999999998"/>
    <n v="0.39461564818793898"/>
  </r>
  <r>
    <x v="289"/>
    <d v="2002-08-23T00:00:00"/>
    <s v="SO48417"/>
    <n v="368"/>
    <n v="22932"/>
    <n v="9"/>
    <n v="1"/>
    <n v="1"/>
    <n v="2"/>
    <s v="BK-R89R-44"/>
    <x v="22"/>
    <n v="1518.7864"/>
    <n v="2443.35"/>
    <s v="MR."/>
    <s v="MAURICE"/>
    <s v="JAI"/>
    <s v="MAURICE JAI"/>
    <d v="1962-05-11T00:00:00"/>
    <s v="S"/>
    <s v="M"/>
    <s v="maurice12@adventure-works.com"/>
    <n v="70000"/>
    <n v="1"/>
    <s v="Partial College"/>
    <s v="Skilled Manual"/>
    <s v="N"/>
    <s v="Australia"/>
    <x v="2"/>
    <s v="Pacific"/>
    <x v="0"/>
    <s v="Bikes"/>
    <n v="2443.35"/>
    <n v="1518.7864"/>
    <n v="924.56359999999995"/>
    <n v="0.37839998362903399"/>
  </r>
  <r>
    <x v="217"/>
    <d v="2002-09-23T00:00:00"/>
    <s v="SO48697"/>
    <n v="371"/>
    <n v="22933"/>
    <n v="9"/>
    <n v="1"/>
    <n v="1"/>
    <n v="2"/>
    <s v="BK-R89R-58"/>
    <x v="24"/>
    <n v="1320.6838"/>
    <n v="2181.5625"/>
    <s v="MRS."/>
    <s v="KELLI"/>
    <s v="CHANDE"/>
    <s v="KELLI CHANDE"/>
    <d v="1962-09-14T00:00:00"/>
    <s v="S"/>
    <s v="F"/>
    <s v="kelli38@adventure-works.com"/>
    <n v="60000"/>
    <n v="1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287"/>
    <d v="2002-09-03T00:00:00"/>
    <s v="SO48619"/>
    <n v="369"/>
    <n v="22934"/>
    <n v="9"/>
    <n v="1"/>
    <n v="1"/>
    <n v="2"/>
    <s v="BK-R89R-48"/>
    <x v="21"/>
    <n v="1518.7864"/>
    <n v="2443.35"/>
    <s v="MRS."/>
    <s v="TONYA"/>
    <s v="KUMAR"/>
    <s v="TONYA KUMAR"/>
    <d v="1962-11-16T00:00:00"/>
    <s v="M"/>
    <s v="F"/>
    <s v="tonya7@adventure-works.com"/>
    <n v="60000"/>
    <n v="1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189"/>
    <d v="2002-11-01T00:00:00"/>
    <s v="SO48584"/>
    <n v="379"/>
    <n v="22935"/>
    <n v="9"/>
    <n v="1"/>
    <n v="1"/>
    <n v="2"/>
    <s v="BK-R89B-58"/>
    <x v="26"/>
    <n v="1320.6838"/>
    <n v="2181.5625"/>
    <s v="MRS."/>
    <s v="TAMARA"/>
    <s v="SHEN"/>
    <s v="TAMARA SHEN"/>
    <d v="1961-05-23T00:00:00"/>
    <s v="S"/>
    <s v="F"/>
    <s v="tamara13@adventure-works.com"/>
    <n v="60000"/>
    <n v="1"/>
    <s v="Partial College"/>
    <s v="Skilled Manual"/>
    <s v="N"/>
    <s v="Australia"/>
    <x v="2"/>
    <s v="Pacific"/>
    <x v="0"/>
    <s v="Bikes"/>
    <n v="2181.5625"/>
    <n v="1320.6838"/>
    <n v="860.87869999999998"/>
    <n v="0.39461564818793898"/>
  </r>
  <r>
    <x v="291"/>
    <d v="2002-08-20T00:00:00"/>
    <s v="SO48556"/>
    <n v="377"/>
    <n v="22936"/>
    <n v="9"/>
    <n v="1"/>
    <n v="1"/>
    <n v="2"/>
    <s v="BK-R89B-52"/>
    <x v="20"/>
    <n v="1320.6838"/>
    <n v="2181.5625"/>
    <s v="MRS."/>
    <s v="JILL"/>
    <s v="DIAZ"/>
    <s v="JILL DIAZ"/>
    <d v="1961-08-01T00:00:00"/>
    <s v="S"/>
    <s v="F"/>
    <s v="jill10@adventure-works.com"/>
    <n v="60000"/>
    <n v="1"/>
    <s v="Partial College"/>
    <s v="Skilled Manual"/>
    <s v="N"/>
    <s v="Australia"/>
    <x v="2"/>
    <s v="Pacific"/>
    <x v="0"/>
    <s v="Bikes"/>
    <n v="2181.5625"/>
    <n v="1320.6838"/>
    <n v="860.87869999999998"/>
    <n v="0.39461564818793898"/>
  </r>
  <r>
    <x v="231"/>
    <d v="2002-11-28T00:00:00"/>
    <s v="SO48722"/>
    <n v="369"/>
    <n v="22937"/>
    <n v="9"/>
    <n v="1"/>
    <n v="1"/>
    <n v="2"/>
    <s v="BK-R89R-48"/>
    <x v="21"/>
    <n v="1518.7864"/>
    <n v="2443.35"/>
    <s v="MR."/>
    <s v="JOSE"/>
    <s v="BAKER"/>
    <s v="JOSE BAKER"/>
    <d v="1961-06-14T00:00:00"/>
    <s v="S"/>
    <s v="M"/>
    <s v="jose52@adventure-works.com"/>
    <n v="60000"/>
    <n v="1"/>
    <s v="Bachelors"/>
    <s v="Professional"/>
    <s v="N"/>
    <s v="Australia"/>
    <x v="2"/>
    <s v="Pacific"/>
    <x v="0"/>
    <s v="Bikes"/>
    <n v="2443.35"/>
    <n v="1518.7864"/>
    <n v="924.56359999999995"/>
    <n v="0.37839998362903399"/>
  </r>
  <r>
    <x v="285"/>
    <d v="2002-09-30T00:00:00"/>
    <s v="SO48662"/>
    <n v="369"/>
    <n v="22938"/>
    <n v="9"/>
    <n v="1"/>
    <n v="1"/>
    <n v="2"/>
    <s v="BK-R89R-48"/>
    <x v="21"/>
    <n v="1518.7864"/>
    <n v="2443.35"/>
    <s v="MR."/>
    <s v="HECTOR"/>
    <s v="BLANCO"/>
    <s v="HECTOR BLANCO"/>
    <d v="1961-08-01T00:00:00"/>
    <s v="M"/>
    <s v="M"/>
    <s v="hector13@adventure-works.com"/>
    <n v="60000"/>
    <n v="1"/>
    <s v="Partial College"/>
    <s v="Skilled Manual"/>
    <s v="Y"/>
    <s v="Australia"/>
    <x v="2"/>
    <s v="Pacific"/>
    <x v="0"/>
    <s v="Bikes"/>
    <n v="2443.35"/>
    <n v="1518.7864"/>
    <n v="924.56359999999995"/>
    <n v="0.37839998362903399"/>
  </r>
  <r>
    <x v="298"/>
    <d v="2002-09-06T00:00:00"/>
    <s v="SO48479"/>
    <n v="373"/>
    <n v="22939"/>
    <n v="9"/>
    <n v="1"/>
    <n v="1"/>
    <n v="2"/>
    <s v="BK-R89B-44"/>
    <x v="19"/>
    <n v="1320.6838"/>
    <n v="2181.5625"/>
    <s v="MRS."/>
    <s v="REBEKAH"/>
    <s v="ARTHUR"/>
    <s v="REBEKAH ARTHUR"/>
    <d v="1961-06-12T00:00:00"/>
    <s v="S"/>
    <s v="F"/>
    <s v="rebekah7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18"/>
    <d v="2002-08-24T00:00:00"/>
    <s v="SO48409"/>
    <n v="370"/>
    <n v="22940"/>
    <n v="9"/>
    <n v="1"/>
    <n v="1"/>
    <n v="2"/>
    <s v="BK-R89R-52"/>
    <x v="23"/>
    <n v="1518.7864"/>
    <n v="2443.35"/>
    <s v="MS."/>
    <s v="BRIANA"/>
    <s v="ASHE"/>
    <s v="BRIANA ASHE"/>
    <d v="1966-11-17T00:00:00"/>
    <s v="S"/>
    <s v="F"/>
    <s v="briana4@adventure-works.com"/>
    <n v="100000"/>
    <n v="0"/>
    <s v="Graduate Degree"/>
    <s v="Management"/>
    <s v="N"/>
    <s v="Australia"/>
    <x v="2"/>
    <s v="Pacific"/>
    <x v="0"/>
    <s v="Bikes"/>
    <n v="2443.35"/>
    <n v="1518.7864"/>
    <n v="924.56359999999995"/>
    <n v="0.37839998362903399"/>
  </r>
  <r>
    <x v="304"/>
    <d v="2002-10-31T00:00:00"/>
    <s v="SO48472"/>
    <n v="373"/>
    <n v="22942"/>
    <n v="9"/>
    <n v="1"/>
    <n v="1"/>
    <n v="2"/>
    <s v="BK-R89B-44"/>
    <x v="19"/>
    <n v="1320.6838"/>
    <n v="2181.5625"/>
    <s v="MRS."/>
    <s v="BRITTNEY"/>
    <s v="SHE"/>
    <s v="BRITTNEY SHE"/>
    <d v="1960-06-26T00:00:00"/>
    <s v="M"/>
    <s v="F"/>
    <s v="brittney22@adventure-works.com"/>
    <n v="60000"/>
    <n v="1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20"/>
    <d v="2002-09-21T00:00:00"/>
    <s v="SO48541"/>
    <n v="368"/>
    <n v="22943"/>
    <n v="9"/>
    <n v="1"/>
    <n v="1"/>
    <n v="2"/>
    <s v="BK-R89R-44"/>
    <x v="22"/>
    <n v="1518.7864"/>
    <n v="2443.35"/>
    <s v="MR."/>
    <s v="TIMOTHY"/>
    <s v="PARKER"/>
    <s v="TIMOTHY PARKER"/>
    <d v="1960-10-07T00:00:00"/>
    <s v="S"/>
    <s v="M"/>
    <s v="timothy24@adventure-works.com"/>
    <n v="60000"/>
    <n v="1"/>
    <s v="Partial College"/>
    <s v="Skilled Manual"/>
    <s v="N"/>
    <s v="Australia"/>
    <x v="2"/>
    <s v="Pacific"/>
    <x v="0"/>
    <s v="Bikes"/>
    <n v="2443.35"/>
    <n v="1518.7864"/>
    <n v="924.56359999999995"/>
    <n v="0.37839998362903399"/>
  </r>
  <r>
    <x v="191"/>
    <d v="2002-09-14T00:00:00"/>
    <s v="SO48607"/>
    <n v="377"/>
    <n v="22946"/>
    <n v="9"/>
    <n v="1"/>
    <n v="1"/>
    <n v="2"/>
    <s v="BK-R89B-52"/>
    <x v="20"/>
    <n v="1320.6838"/>
    <n v="2181.5625"/>
    <s v="MR."/>
    <s v="BRYANT"/>
    <s v="KAPOOR"/>
    <s v="BRYANT KAPOOR"/>
    <d v="1959-05-18T00:00:00"/>
    <s v="S"/>
    <s v="M"/>
    <s v="bryant1@adventure-works.com"/>
    <n v="90000"/>
    <n v="1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200"/>
    <d v="2002-12-09T00:00:00"/>
    <s v="SO48672"/>
    <n v="379"/>
    <n v="22950"/>
    <n v="9"/>
    <n v="1"/>
    <n v="1"/>
    <n v="2"/>
    <s v="BK-R89B-58"/>
    <x v="26"/>
    <n v="1320.6838"/>
    <n v="2181.5625"/>
    <s v="MS."/>
    <s v="NICOLE"/>
    <s v="COX"/>
    <s v="NICOLE COX"/>
    <d v="1963-11-12T00:00:00"/>
    <s v="S"/>
    <s v="F"/>
    <s v="nicole37@adventure-works.com"/>
    <n v="70000"/>
    <n v="0"/>
    <s v="Bachelors"/>
    <s v="Professional"/>
    <s v="N"/>
    <s v="Australia"/>
    <x v="2"/>
    <s v="Pacific"/>
    <x v="0"/>
    <s v="Bikes"/>
    <n v="2181.5625"/>
    <n v="1320.6838"/>
    <n v="860.87869999999998"/>
    <n v="0.39461564818793898"/>
  </r>
  <r>
    <x v="303"/>
    <d v="2002-09-18T00:00:00"/>
    <s v="SO48652"/>
    <n v="368"/>
    <n v="22951"/>
    <n v="9"/>
    <n v="1"/>
    <n v="1"/>
    <n v="2"/>
    <s v="BK-R89R-44"/>
    <x v="22"/>
    <n v="1518.7864"/>
    <n v="2443.35"/>
    <s v="MS."/>
    <s v="CHELSEA"/>
    <s v="MEHTA"/>
    <s v="CHELSEA MEHTA"/>
    <d v="1963-07-05T00:00:00"/>
    <s v="S"/>
    <s v="F"/>
    <s v="chelsea15@adventure-works.com"/>
    <n v="70000"/>
    <n v="0"/>
    <s v="Bachelors"/>
    <s v="Professional"/>
    <s v="Y"/>
    <s v="Australia"/>
    <x v="2"/>
    <s v="Pacific"/>
    <x v="0"/>
    <s v="Bikes"/>
    <n v="2443.35"/>
    <n v="1518.7864"/>
    <n v="924.56359999999995"/>
    <n v="0.37839998362903399"/>
  </r>
  <r>
    <x v="232"/>
    <d v="2002-09-05T00:00:00"/>
    <s v="SO48435"/>
    <n v="377"/>
    <n v="22953"/>
    <n v="9"/>
    <n v="1"/>
    <n v="1"/>
    <n v="2"/>
    <s v="BK-R89B-52"/>
    <x v="20"/>
    <n v="1320.6838"/>
    <n v="2181.5625"/>
    <s v="MS."/>
    <s v="BARBARA"/>
    <s v="LIANG"/>
    <s v="BARBARA LIANG"/>
    <d v="1963-11-15T00:00:00"/>
    <s v="S"/>
    <s v="F"/>
    <s v="barbara26@adventure-works.com"/>
    <n v="70000"/>
    <n v="0"/>
    <s v="Bachelors"/>
    <s v="Professional"/>
    <s v="Y"/>
    <s v="Australia"/>
    <x v="2"/>
    <s v="Pacific"/>
    <x v="0"/>
    <s v="Bikes"/>
    <n v="2181.5625"/>
    <n v="1320.6838"/>
    <n v="860.87869999999998"/>
    <n v="0.39461564818793898"/>
  </r>
  <r>
    <x v="187"/>
    <d v="2002-11-04T00:00:00"/>
    <s v="SO48489"/>
    <n v="369"/>
    <n v="22954"/>
    <n v="9"/>
    <n v="1"/>
    <n v="1"/>
    <n v="2"/>
    <s v="BK-R89R-48"/>
    <x v="21"/>
    <n v="1518.7864"/>
    <n v="2443.35"/>
    <s v="MR."/>
    <s v="JUSTIN"/>
    <s v="THOMPSON"/>
    <s v="JUSTIN THOMPSON"/>
    <d v="1963-03-04T00:00:00"/>
    <s v="S"/>
    <s v="M"/>
    <s v="justin43@adventure-works.com"/>
    <n v="70000"/>
    <n v="0"/>
    <s v="Bachelors"/>
    <s v="Professional"/>
    <s v="N"/>
    <s v="Australia"/>
    <x v="2"/>
    <s v="Pacific"/>
    <x v="0"/>
    <s v="Bikes"/>
    <n v="2443.35"/>
    <n v="1518.7864"/>
    <n v="924.56359999999995"/>
    <n v="0.37839998362903399"/>
  </r>
  <r>
    <x v="291"/>
    <d v="2002-10-19T00:00:00"/>
    <s v="SO48557"/>
    <n v="370"/>
    <n v="22958"/>
    <n v="9"/>
    <n v="1"/>
    <n v="1"/>
    <n v="2"/>
    <s v="BK-R89R-52"/>
    <x v="23"/>
    <n v="1518.7864"/>
    <n v="2443.35"/>
    <s v="MRS."/>
    <s v="BRANDY"/>
    <s v="FERNANDEZ"/>
    <s v="BRANDY FERNANDEZ"/>
    <d v="1961-02-01T00:00:00"/>
    <s v="S"/>
    <s v="F"/>
    <s v="brandy12@adventure-works.com"/>
    <n v="60000"/>
    <n v="1"/>
    <s v="Partial College"/>
    <s v="Skilled Manual"/>
    <s v="N"/>
    <s v="Australia"/>
    <x v="2"/>
    <s v="Pacific"/>
    <x v="0"/>
    <s v="Bikes"/>
    <n v="2443.35"/>
    <n v="1518.7864"/>
    <n v="924.56359999999995"/>
    <n v="0.37839998362903399"/>
  </r>
  <r>
    <x v="304"/>
    <d v="2002-09-10T00:00:00"/>
    <s v="SO48469"/>
    <n v="377"/>
    <n v="22961"/>
    <n v="9"/>
    <n v="1"/>
    <n v="1"/>
    <n v="2"/>
    <s v="BK-R89B-52"/>
    <x v="20"/>
    <n v="1320.6838"/>
    <n v="2181.5625"/>
    <s v="MRS."/>
    <s v="NINA"/>
    <s v="SHE"/>
    <s v="NINA SHE"/>
    <d v="1961-07-07T00:00:00"/>
    <s v="M"/>
    <s v="F"/>
    <s v="nina0@adventure-works.com"/>
    <n v="70000"/>
    <n v="5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19"/>
    <d v="2002-10-28T00:00:00"/>
    <s v="SO48688"/>
    <n v="373"/>
    <n v="22966"/>
    <n v="9"/>
    <n v="1"/>
    <n v="1"/>
    <n v="2"/>
    <s v="BK-R89B-44"/>
    <x v="19"/>
    <n v="1320.6838"/>
    <n v="2181.5625"/>
    <s v="MRS."/>
    <s v="JODI"/>
    <s v="CHAPMAN"/>
    <s v="JODI CHAPMAN"/>
    <d v="1956-12-02T00:00:00"/>
    <s v="S"/>
    <s v="F"/>
    <s v="jodi16@adventure-works.com"/>
    <n v="80000"/>
    <n v="2"/>
    <s v="Partial College"/>
    <s v="Skilled Manual"/>
    <s v="N"/>
    <s v="Australia"/>
    <x v="2"/>
    <s v="Pacific"/>
    <x v="0"/>
    <s v="Bikes"/>
    <n v="2181.5625"/>
    <n v="1320.6838"/>
    <n v="860.87869999999998"/>
    <n v="0.39461564818793898"/>
  </r>
  <r>
    <x v="352"/>
    <d v="2001-12-12T00:00:00"/>
    <s v="SO45123"/>
    <n v="311"/>
    <n v="22971"/>
    <n v="6"/>
    <n v="1"/>
    <n v="1"/>
    <n v="2"/>
    <s v="BK-R93R-44"/>
    <x v="4"/>
    <n v="2171.2941999999998"/>
    <n v="3578.27"/>
    <s v="MS."/>
    <s v="MORGAN"/>
    <s v="HOWARD"/>
    <s v="MORGAN HOWARD"/>
    <d v="1980-11-06T00:00:00"/>
    <s v="S"/>
    <s v="F"/>
    <s v="morgan59@adventure-works.com"/>
    <n v="3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357"/>
    <d v="2001-10-01T00:00:00"/>
    <s v="SO45108"/>
    <n v="310"/>
    <n v="22975"/>
    <n v="6"/>
    <n v="1"/>
    <n v="1"/>
    <n v="2"/>
    <s v="BK-R93R-62"/>
    <x v="1"/>
    <n v="2171.2941999999998"/>
    <n v="3578.27"/>
    <s v="MS."/>
    <s v="COURTNEY"/>
    <s v="TURNER"/>
    <s v="COURTNEY TURNER"/>
    <d v="1978-09-12T00:00:00"/>
    <s v="S"/>
    <s v="F"/>
    <s v="courtney2@adventure-works.com"/>
    <n v="30000"/>
    <n v="0"/>
    <s v="Partial High School"/>
    <s v="Clerical"/>
    <s v="N"/>
    <s v="Canada"/>
    <x v="5"/>
    <s v="North America"/>
    <x v="0"/>
    <s v="Bikes"/>
    <n v="3578.27"/>
    <n v="2171.2941999999998"/>
    <n v="1406.9757999999999"/>
    <n v="0.39320001006072802"/>
  </r>
  <r>
    <x v="32"/>
    <d v="2002-01-25T00:00:00"/>
    <s v="SO45490"/>
    <n v="313"/>
    <n v="22976"/>
    <n v="6"/>
    <n v="1"/>
    <n v="1"/>
    <n v="2"/>
    <s v="BK-R93R-52"/>
    <x v="3"/>
    <n v="2171.2941999999998"/>
    <n v="3578.27"/>
    <s v="MR."/>
    <s v="ERIC"/>
    <s v="FOSTER"/>
    <s v="ERIC FOSTER"/>
    <d v="1978-04-09T00:00:00"/>
    <s v="S"/>
    <s v="M"/>
    <s v="eric23@adventure-works.com"/>
    <n v="4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303"/>
    <d v="2002-11-18T00:00:00"/>
    <s v="SO48650"/>
    <n v="373"/>
    <n v="22986"/>
    <n v="9"/>
    <n v="1"/>
    <n v="1"/>
    <n v="2"/>
    <s v="BK-R89B-44"/>
    <x v="19"/>
    <n v="1320.6838"/>
    <n v="2181.5625"/>
    <s v="MRS."/>
    <s v="CARLY"/>
    <s v="JAI"/>
    <s v="CARLY JAI"/>
    <d v="1940-07-27T00:00:00"/>
    <s v="S"/>
    <s v="F"/>
    <s v="carly11@adventure-works.com"/>
    <n v="30000"/>
    <n v="2"/>
    <s v="Partial College"/>
    <s v="Clerical"/>
    <s v="N"/>
    <s v="Australia"/>
    <x v="2"/>
    <s v="Pacific"/>
    <x v="0"/>
    <s v="Bikes"/>
    <n v="2181.5625"/>
    <n v="1320.6838"/>
    <n v="860.87869999999998"/>
    <n v="0.39461564818793898"/>
  </r>
  <r>
    <x v="190"/>
    <d v="2002-09-21T00:00:00"/>
    <s v="SO48448"/>
    <n v="375"/>
    <n v="22987"/>
    <n v="9"/>
    <n v="1"/>
    <n v="1"/>
    <n v="2"/>
    <s v="BK-R89B-48"/>
    <x v="25"/>
    <n v="1320.6838"/>
    <n v="2181.5625"/>
    <s v="MR."/>
    <s v="JEROME"/>
    <s v="DOMINGUEZ"/>
    <s v="JEROME DOMINGUEZ"/>
    <d v="1940-10-19T00:00:00"/>
    <s v="M"/>
    <s v="M"/>
    <s v="jerome11@adventure-works.com"/>
    <n v="40000"/>
    <n v="2"/>
    <s v="Bachelors"/>
    <s v="Management"/>
    <s v="Y"/>
    <s v="Australia"/>
    <x v="2"/>
    <s v="Pacific"/>
    <x v="0"/>
    <s v="Bikes"/>
    <n v="2181.5625"/>
    <n v="1320.6838"/>
    <n v="860.87869999999998"/>
    <n v="0.39461564818793898"/>
  </r>
  <r>
    <x v="191"/>
    <d v="2002-10-16T00:00:00"/>
    <s v="SO48606"/>
    <n v="368"/>
    <n v="22988"/>
    <n v="9"/>
    <n v="1"/>
    <n v="1"/>
    <n v="2"/>
    <s v="BK-R89R-44"/>
    <x v="22"/>
    <n v="1518.7864"/>
    <n v="2443.35"/>
    <s v="MRS."/>
    <s v="PATRICIA"/>
    <s v="MADAN"/>
    <s v="PATRICIA MADAN"/>
    <d v="1940-03-20T00:00:00"/>
    <s v="M"/>
    <s v="F"/>
    <s v="patricia11@adventure-works.com"/>
    <n v="40000"/>
    <n v="2"/>
    <s v="Bachelors"/>
    <s v="Management"/>
    <s v="Y"/>
    <s v="Australia"/>
    <x v="2"/>
    <s v="Pacific"/>
    <x v="0"/>
    <s v="Bikes"/>
    <n v="2443.35"/>
    <n v="1518.7864"/>
    <n v="924.56359999999995"/>
    <n v="0.37839998362903399"/>
  </r>
  <r>
    <x v="329"/>
    <d v="2001-11-30T00:00:00"/>
    <s v="SO45503"/>
    <n v="314"/>
    <n v="22995"/>
    <n v="6"/>
    <n v="1"/>
    <n v="1"/>
    <n v="2"/>
    <s v="BK-R93R-56"/>
    <x v="2"/>
    <n v="2171.2941999999998"/>
    <n v="3578.27"/>
    <s v="MS."/>
    <s v="ISABELLA"/>
    <s v="BRYANT"/>
    <s v="ISABELLA BRYANT"/>
    <d v="1972-06-01T00:00:00"/>
    <s v="S"/>
    <s v="F"/>
    <s v="isabella28@adventure-works.com"/>
    <n v="80000"/>
    <n v="0"/>
    <s v="Bachelors"/>
    <s v="Management"/>
    <s v="Y"/>
    <s v="Canada"/>
    <x v="5"/>
    <s v="North America"/>
    <x v="0"/>
    <s v="Bikes"/>
    <n v="3578.27"/>
    <n v="2171.2941999999998"/>
    <n v="1406.9757999999999"/>
    <n v="0.39320001006072802"/>
  </r>
  <r>
    <x v="26"/>
    <d v="2001-10-30T00:00:00"/>
    <s v="SO45374"/>
    <n v="312"/>
    <n v="22996"/>
    <n v="6"/>
    <n v="1"/>
    <n v="1"/>
    <n v="2"/>
    <s v="BK-R93R-48"/>
    <x v="0"/>
    <n v="2171.2941999999998"/>
    <n v="3578.27"/>
    <s v="MR."/>
    <s v="JORDAN"/>
    <s v="HENDERSON"/>
    <s v="JORDAN HENDERSON"/>
    <d v="1972-12-03T00:00:00"/>
    <s v="M"/>
    <s v="M"/>
    <s v="jordan1@adventure-works.com"/>
    <n v="80000"/>
    <n v="0"/>
    <s v="Bachelors"/>
    <s v="Management"/>
    <s v="Y"/>
    <s v="Canada"/>
    <x v="5"/>
    <s v="North America"/>
    <x v="0"/>
    <s v="Bikes"/>
    <n v="3578.27"/>
    <n v="2171.2941999999998"/>
    <n v="1406.9757999999999"/>
    <n v="0.39320001006072802"/>
  </r>
  <r>
    <x v="61"/>
    <d v="2002-01-25T00:00:00"/>
    <s v="SO45510"/>
    <n v="310"/>
    <n v="22998"/>
    <n v="6"/>
    <n v="1"/>
    <n v="1"/>
    <n v="2"/>
    <s v="BK-R93R-62"/>
    <x v="1"/>
    <n v="2171.2941999999998"/>
    <n v="3578.27"/>
    <s v="MS."/>
    <s v="LAUREN"/>
    <s v="WASHINGTON"/>
    <s v="LAUREN WASHINGTON"/>
    <d v="1968-11-26T00:00:00"/>
    <s v="M"/>
    <s v="F"/>
    <s v="lauren60@adventure-works.com"/>
    <n v="80000"/>
    <n v="0"/>
    <s v="Bachelors"/>
    <s v="Management"/>
    <s v="Y"/>
    <s v="Canada"/>
    <x v="5"/>
    <s v="North America"/>
    <x v="0"/>
    <s v="Bikes"/>
    <n v="3578.27"/>
    <n v="2171.2941999999998"/>
    <n v="1406.9757999999999"/>
    <n v="0.39320001006072802"/>
  </r>
  <r>
    <x v="13"/>
    <d v="2001-11-23T00:00:00"/>
    <s v="SO45361"/>
    <n v="312"/>
    <n v="23057"/>
    <n v="6"/>
    <n v="1"/>
    <n v="1"/>
    <n v="2"/>
    <s v="BK-R93R-48"/>
    <x v="0"/>
    <n v="2171.2941999999998"/>
    <n v="3578.27"/>
    <s v="MRS."/>
    <s v="CAITLIN"/>
    <s v="RICHARDSON"/>
    <s v="CAITLIN RICHARDSON"/>
    <d v="1954-02-25T00:00:00"/>
    <s v="M"/>
    <s v="F"/>
    <s v="caitlin7@adventure-works.com"/>
    <n v="60000"/>
    <n v="2"/>
    <s v="Partial 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31"/>
    <d v="2001-10-22T00:00:00"/>
    <s v="SO45454"/>
    <n v="312"/>
    <n v="23074"/>
    <n v="6"/>
    <n v="1"/>
    <n v="1"/>
    <n v="2"/>
    <s v="BK-R93R-48"/>
    <x v="0"/>
    <n v="2171.2941999999998"/>
    <n v="3578.27"/>
    <s v="MRS."/>
    <s v="MEGAN"/>
    <s v="FLORES"/>
    <s v="MEGAN FLORES"/>
    <d v="1941-06-15T00:00:00"/>
    <s v="S"/>
    <s v="F"/>
    <s v="megan61@adventure-works.com"/>
    <n v="50000"/>
    <n v="4"/>
    <s v="Bachelors"/>
    <s v="Management"/>
    <s v="N"/>
    <s v="Canada"/>
    <x v="5"/>
    <s v="North America"/>
    <x v="0"/>
    <s v="Bikes"/>
    <n v="3578.27"/>
    <n v="2171.2941999999998"/>
    <n v="1406.9757999999999"/>
    <n v="0.39320001006072802"/>
  </r>
  <r>
    <x v="198"/>
    <d v="2002-11-01T00:00:00"/>
    <s v="SO48595"/>
    <n v="375"/>
    <n v="23097"/>
    <n v="9"/>
    <n v="1"/>
    <n v="1"/>
    <n v="2"/>
    <s v="BK-R89B-48"/>
    <x v="25"/>
    <n v="1320.6838"/>
    <n v="2181.5625"/>
    <s v="MR."/>
    <s v="TONY"/>
    <s v="NATSUHARA"/>
    <s v="TONY NATSUHARA"/>
    <d v="1950-09-07T00:00:00"/>
    <s v="S"/>
    <s v="M"/>
    <s v="tony21@adventure-works.com"/>
    <n v="30000"/>
    <n v="3"/>
    <s v="Partial College"/>
    <s v="Clerical"/>
    <s v="N"/>
    <s v="Australia"/>
    <x v="2"/>
    <s v="Pacific"/>
    <x v="0"/>
    <s v="Bikes"/>
    <n v="2181.5625"/>
    <n v="1320.6838"/>
    <n v="860.87869999999998"/>
    <n v="0.39461564818793898"/>
  </r>
  <r>
    <x v="232"/>
    <d v="2002-09-12T00:00:00"/>
    <s v="SO48432"/>
    <n v="377"/>
    <n v="23098"/>
    <n v="9"/>
    <n v="1"/>
    <n v="1"/>
    <n v="2"/>
    <s v="BK-R89B-52"/>
    <x v="20"/>
    <n v="1320.6838"/>
    <n v="2181.5625"/>
    <s v="MR."/>
    <s v="PEDRO"/>
    <s v="RUBIO"/>
    <s v="PEDRO RUBIO"/>
    <d v="1950-01-16T00:00:00"/>
    <s v="S"/>
    <s v="M"/>
    <s v="pedro41@adventure-works.com"/>
    <n v="30000"/>
    <n v="3"/>
    <s v="Partial College"/>
    <s v="Clerical"/>
    <s v="N"/>
    <s v="Australia"/>
    <x v="2"/>
    <s v="Pacific"/>
    <x v="0"/>
    <s v="Bikes"/>
    <n v="2181.5625"/>
    <n v="1320.6838"/>
    <n v="860.87869999999998"/>
    <n v="0.39461564818793898"/>
  </r>
  <r>
    <x v="231"/>
    <d v="2002-09-03T00:00:00"/>
    <s v="SO48719"/>
    <n v="368"/>
    <n v="23099"/>
    <n v="9"/>
    <n v="1"/>
    <n v="1"/>
    <n v="2"/>
    <s v="BK-R89R-44"/>
    <x v="22"/>
    <n v="1518.7864"/>
    <n v="2443.35"/>
    <s v="MRS."/>
    <s v="KRISTI"/>
    <s v="SUAREZ"/>
    <s v="KRISTI SUAREZ"/>
    <d v="1951-11-05T00:00:00"/>
    <s v="S"/>
    <s v="F"/>
    <s v="kristi15@adventure-works.com"/>
    <n v="30000"/>
    <n v="3"/>
    <s v="High School"/>
    <s v="Skilled Manual"/>
    <s v="N"/>
    <s v="Australia"/>
    <x v="2"/>
    <s v="Pacific"/>
    <x v="0"/>
    <s v="Bikes"/>
    <n v="2443.35"/>
    <n v="1518.7864"/>
    <n v="924.56359999999995"/>
    <n v="0.37839998362903399"/>
  </r>
  <r>
    <x v="217"/>
    <d v="2002-11-09T00:00:00"/>
    <s v="SO48696"/>
    <n v="368"/>
    <n v="23100"/>
    <n v="9"/>
    <n v="1"/>
    <n v="1"/>
    <n v="2"/>
    <s v="BK-R89R-44"/>
    <x v="22"/>
    <n v="1518.7864"/>
    <n v="2443.35"/>
    <s v="MRS."/>
    <s v="CHRISTY"/>
    <s v="RAJE"/>
    <s v="CHRISTY RAJE"/>
    <d v="1952-05-18T00:00:00"/>
    <s v="M"/>
    <s v="F"/>
    <s v="christy31@adventure-works.com"/>
    <n v="30000"/>
    <n v="3"/>
    <s v="High School"/>
    <s v="Skilled Manual"/>
    <s v="Y"/>
    <s v="Australia"/>
    <x v="2"/>
    <s v="Pacific"/>
    <x v="0"/>
    <s v="Bikes"/>
    <n v="2443.35"/>
    <n v="1518.7864"/>
    <n v="924.56359999999995"/>
    <n v="0.37839998362903399"/>
  </r>
  <r>
    <x v="198"/>
    <d v="2002-08-30T00:00:00"/>
    <s v="SO48596"/>
    <n v="373"/>
    <n v="23101"/>
    <n v="9"/>
    <n v="1"/>
    <n v="1"/>
    <n v="2"/>
    <s v="BK-R89B-44"/>
    <x v="19"/>
    <n v="1320.6838"/>
    <n v="2181.5625"/>
    <s v="MRS."/>
    <s v="BARBARA"/>
    <s v="LAL"/>
    <s v="BARBARA LAL"/>
    <d v="1952-12-18T00:00:00"/>
    <s v="M"/>
    <s v="F"/>
    <s v="barbara40@adventure-works.com"/>
    <n v="30000"/>
    <n v="3"/>
    <s v="High School"/>
    <s v="Skilled Manual"/>
    <s v="Y"/>
    <s v="Australia"/>
    <x v="2"/>
    <s v="Pacific"/>
    <x v="0"/>
    <s v="Bikes"/>
    <n v="2181.5625"/>
    <n v="1320.6838"/>
    <n v="860.87869999999998"/>
    <n v="0.39461564818793898"/>
  </r>
  <r>
    <x v="232"/>
    <d v="2002-11-13T00:00:00"/>
    <s v="SO48433"/>
    <n v="379"/>
    <n v="23102"/>
    <n v="9"/>
    <n v="1"/>
    <n v="1"/>
    <n v="2"/>
    <s v="BK-R89B-58"/>
    <x v="26"/>
    <n v="1320.6838"/>
    <n v="2181.5625"/>
    <s v="MRS."/>
    <s v="BARBARA"/>
    <s v="ZENG"/>
    <s v="BARBARA ZENG"/>
    <d v="1952-07-06T00:00:00"/>
    <s v="M"/>
    <s v="F"/>
    <s v="barbara31@adventure-works.com"/>
    <n v="30000"/>
    <n v="3"/>
    <s v="High School"/>
    <s v="Skilled Manual"/>
    <s v="Y"/>
    <s v="Australia"/>
    <x v="2"/>
    <s v="Pacific"/>
    <x v="0"/>
    <s v="Bikes"/>
    <n v="2181.5625"/>
    <n v="1320.6838"/>
    <n v="860.87869999999998"/>
    <n v="0.39461564818793898"/>
  </r>
  <r>
    <x v="214"/>
    <d v="2002-12-03T00:00:00"/>
    <s v="SO48714"/>
    <n v="377"/>
    <n v="23104"/>
    <n v="9"/>
    <n v="1"/>
    <n v="1"/>
    <n v="2"/>
    <s v="BK-R89B-52"/>
    <x v="20"/>
    <n v="1320.6838"/>
    <n v="2181.5625"/>
    <s v="MRS."/>
    <s v="ISABELLE"/>
    <s v="LONG"/>
    <s v="ISABELLE LONG"/>
    <d v="1953-12-07T00:00:00"/>
    <s v="M"/>
    <s v="F"/>
    <s v="isabelle8@adventure-works.com"/>
    <n v="40000"/>
    <n v="3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304"/>
    <d v="2002-11-05T00:00:00"/>
    <s v="SO48470"/>
    <n v="379"/>
    <n v="23105"/>
    <n v="9"/>
    <n v="1"/>
    <n v="1"/>
    <n v="2"/>
    <s v="BK-R89B-58"/>
    <x v="26"/>
    <n v="1320.6838"/>
    <n v="2181.5625"/>
    <s v="MR."/>
    <s v="KARL"/>
    <s v="ANDERSEN"/>
    <s v="KARL ANDERSEN"/>
    <d v="1954-02-14T00:00:00"/>
    <s v="S"/>
    <s v="M"/>
    <s v="karl14@adventure-works.com"/>
    <n v="40000"/>
    <n v="3"/>
    <s v="Partial High School"/>
    <s v="Clerical"/>
    <s v="N"/>
    <s v="Australia"/>
    <x v="2"/>
    <s v="Pacific"/>
    <x v="0"/>
    <s v="Bikes"/>
    <n v="2181.5625"/>
    <n v="1320.6838"/>
    <n v="860.87869999999998"/>
    <n v="0.39461564818793898"/>
  </r>
  <r>
    <x v="189"/>
    <d v="2002-11-11T00:00:00"/>
    <s v="SO48583"/>
    <n v="377"/>
    <n v="23106"/>
    <n v="9"/>
    <n v="1"/>
    <n v="1"/>
    <n v="2"/>
    <s v="BK-R89B-52"/>
    <x v="20"/>
    <n v="1320.6838"/>
    <n v="2181.5625"/>
    <s v="MRS."/>
    <s v="KATHRYN"/>
    <s v="YUAN"/>
    <s v="KATHRYN YUAN"/>
    <d v="1954-09-17T00:00:00"/>
    <s v="M"/>
    <s v="F"/>
    <s v="kathryn6@adventure-works.com"/>
    <n v="70000"/>
    <n v="2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214"/>
    <d v="2002-11-17T00:00:00"/>
    <s v="SO48715"/>
    <n v="375"/>
    <n v="23107"/>
    <n v="9"/>
    <n v="1"/>
    <n v="1"/>
    <n v="2"/>
    <s v="BK-R89B-48"/>
    <x v="25"/>
    <n v="1320.6838"/>
    <n v="2181.5625"/>
    <s v="MRS."/>
    <s v="MICHELE"/>
    <s v="KUMAR"/>
    <s v="MICHELE KUMAR"/>
    <d v="1954-11-09T00:00:00"/>
    <s v="M"/>
    <s v="F"/>
    <s v="michele8@adventure-works.com"/>
    <n v="70000"/>
    <n v="2"/>
    <s v="Partial College"/>
    <s v="Skilled Manual"/>
    <s v="Y"/>
    <s v="Australia"/>
    <x v="2"/>
    <s v="Pacific"/>
    <x v="0"/>
    <s v="Bikes"/>
    <n v="2181.5625"/>
    <n v="1320.6838"/>
    <n v="860.87869999999998"/>
    <n v="0.39461564818793898"/>
  </r>
  <r>
    <x v="317"/>
    <d v="2001-11-13T00:00:00"/>
    <s v="SO45456"/>
    <n v="312"/>
    <n v="23113"/>
    <n v="6"/>
    <n v="1"/>
    <n v="1"/>
    <n v="2"/>
    <s v="BK-R93R-48"/>
    <x v="0"/>
    <n v="2171.2941999999998"/>
    <n v="3578.27"/>
    <s v="MR."/>
    <s v="ELIJAH"/>
    <s v="POWELL"/>
    <s v="ELIJAH POWELL"/>
    <d v="1973-10-09T00:00:00"/>
    <s v="S"/>
    <s v="M"/>
    <s v="elijah12@adventure-works.com"/>
    <n v="60000"/>
    <n v="0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4"/>
    <d v="2002-01-12T00:00:00"/>
    <s v="SO45412"/>
    <n v="310"/>
    <n v="23137"/>
    <n v="6"/>
    <n v="1"/>
    <n v="1"/>
    <n v="2"/>
    <s v="BK-R93R-62"/>
    <x v="1"/>
    <n v="2171.2941999999998"/>
    <n v="3578.27"/>
    <s v="MRS."/>
    <s v="CHLOE"/>
    <s v="SANDERS"/>
    <s v="CHLOE SANDERS"/>
    <d v="1957-10-23T00:00:00"/>
    <s v="M"/>
    <s v="F"/>
    <s v="chloe65@adventure-works.com"/>
    <n v="80000"/>
    <n v="2"/>
    <s v="Bachelors"/>
    <s v="Management"/>
    <s v="N"/>
    <s v="Canada"/>
    <x v="5"/>
    <s v="North America"/>
    <x v="0"/>
    <s v="Bikes"/>
    <n v="3578.27"/>
    <n v="2171.2941999999998"/>
    <n v="1406.9757999999999"/>
    <n v="0.39320001006072802"/>
  </r>
  <r>
    <x v="56"/>
    <d v="2002-01-24T00:00:00"/>
    <s v="SO45468"/>
    <n v="311"/>
    <n v="23164"/>
    <n v="6"/>
    <n v="1"/>
    <n v="1"/>
    <n v="2"/>
    <s v="BK-R93R-44"/>
    <x v="4"/>
    <n v="2171.2941999999998"/>
    <n v="3578.27"/>
    <s v="MR."/>
    <s v="KYLE"/>
    <s v="BRYANT"/>
    <s v="KYLE BRYANT"/>
    <d v="1969-12-04T00:00:00"/>
    <s v="S"/>
    <s v="M"/>
    <s v="kyle13@adventure-works.com"/>
    <n v="60000"/>
    <n v="1"/>
    <s v="Graduate Degree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13"/>
    <d v="2002-01-09T00:00:00"/>
    <s v="SO45358"/>
    <n v="312"/>
    <n v="23172"/>
    <n v="6"/>
    <n v="1"/>
    <n v="1"/>
    <n v="2"/>
    <s v="BK-R93R-48"/>
    <x v="0"/>
    <n v="2171.2941999999998"/>
    <n v="3578.27"/>
    <s v="MRS."/>
    <s v="ALEXANDRA"/>
    <s v="THOMAS"/>
    <s v="ALEXANDRA THOMAS"/>
    <d v="1970-09-03T00:00:00"/>
    <s v="M"/>
    <s v="F"/>
    <s v="alexandra74@adventure-works.com"/>
    <n v="60000"/>
    <n v="1"/>
    <s v="Graduate Degre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6"/>
    <d v="2002-01-13T00:00:00"/>
    <s v="SO45405"/>
    <n v="312"/>
    <n v="23209"/>
    <n v="6"/>
    <n v="1"/>
    <n v="1"/>
    <n v="2"/>
    <s v="BK-R93R-48"/>
    <x v="0"/>
    <n v="2171.2941999999998"/>
    <n v="3578.27"/>
    <s v="MR."/>
    <s v="LUCAS"/>
    <s v="LEWIS"/>
    <s v="LUCAS LEWIS"/>
    <d v="1964-06-04T00:00:00"/>
    <s v="S"/>
    <s v="M"/>
    <s v="lucas35@adventure-works.com"/>
    <n v="60000"/>
    <n v="4"/>
    <s v="Bachelors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32"/>
    <d v="2001-12-28T00:00:00"/>
    <s v="SO45484"/>
    <n v="313"/>
    <n v="23267"/>
    <n v="6"/>
    <n v="1"/>
    <n v="1"/>
    <n v="2"/>
    <s v="BK-R93R-52"/>
    <x v="3"/>
    <n v="2171.2941999999998"/>
    <n v="3578.27"/>
    <s v="MR."/>
    <s v="JUAN"/>
    <s v="JAMES"/>
    <s v="JUAN JAMES"/>
    <d v="1955-04-13T00:00:00"/>
    <s v="M"/>
    <s v="M"/>
    <s v="juan9@adventure-works.com"/>
    <n v="40000"/>
    <n v="1"/>
    <s v="Partial College"/>
    <s v="Clerical"/>
    <s v="Y"/>
    <s v="Canada"/>
    <x v="5"/>
    <s v="North America"/>
    <x v="0"/>
    <s v="Bikes"/>
    <n v="3578.27"/>
    <n v="2171.2941999999998"/>
    <n v="1406.9757999999999"/>
    <n v="0.39320001006072802"/>
  </r>
  <r>
    <x v="84"/>
    <d v="2002-02-08T00:00:00"/>
    <s v="SO45776"/>
    <n v="313"/>
    <n v="23281"/>
    <n v="6"/>
    <n v="1"/>
    <n v="1"/>
    <n v="2"/>
    <s v="BK-R93R-52"/>
    <x v="3"/>
    <n v="2171.2941999999998"/>
    <n v="3578.27"/>
    <s v="MRS."/>
    <s v="MEGAN"/>
    <s v="HARRIS"/>
    <s v="MEGAN HARRIS"/>
    <d v="1957-08-25T00:00:00"/>
    <s v="M"/>
    <s v="F"/>
    <s v="megan16@adventure-works.com"/>
    <n v="40000"/>
    <n v="1"/>
    <s v="Partial College"/>
    <s v="Clerical"/>
    <s v="Y"/>
    <s v="Canada"/>
    <x v="5"/>
    <s v="North America"/>
    <x v="0"/>
    <s v="Bikes"/>
    <n v="3578.27"/>
    <n v="2171.2941999999998"/>
    <n v="1406.9757999999999"/>
    <n v="0.39320001006072802"/>
  </r>
  <r>
    <x v="43"/>
    <d v="2001-12-21T00:00:00"/>
    <s v="SO45680"/>
    <n v="310"/>
    <n v="23283"/>
    <n v="6"/>
    <n v="1"/>
    <n v="1"/>
    <n v="2"/>
    <s v="BK-R93R-62"/>
    <x v="1"/>
    <n v="2171.2941999999998"/>
    <n v="3578.27"/>
    <s v="MRS."/>
    <s v="HALEY"/>
    <s v="TORRES"/>
    <s v="HALEY TORRES"/>
    <d v="1958-12-24T00:00:00"/>
    <s v="S"/>
    <s v="F"/>
    <s v="haley14@adventure-works.com"/>
    <n v="40000"/>
    <n v="2"/>
    <s v="Partial College"/>
    <s v="Clerical"/>
    <s v="Y"/>
    <s v="Canada"/>
    <x v="5"/>
    <s v="North America"/>
    <x v="0"/>
    <s v="Bikes"/>
    <n v="3578.27"/>
    <n v="2171.2941999999998"/>
    <n v="1406.9757999999999"/>
    <n v="0.39320001006072802"/>
  </r>
  <r>
    <x v="65"/>
    <d v="2002-02-23T00:00:00"/>
    <s v="SO45641"/>
    <n v="311"/>
    <n v="23306"/>
    <n v="6"/>
    <n v="1"/>
    <n v="1"/>
    <n v="2"/>
    <s v="BK-R93R-44"/>
    <x v="4"/>
    <n v="2171.2941999999998"/>
    <n v="3578.27"/>
    <s v="MR."/>
    <s v="BYRON"/>
    <s v="ORTEGA"/>
    <s v="BYRON ORTEGA"/>
    <d v="1978-10-26T00:00:00"/>
    <s v="S"/>
    <s v="M"/>
    <s v="byron16@adventure-works.com"/>
    <n v="4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54"/>
    <d v="2002-02-04T00:00:00"/>
    <s v="SO45635"/>
    <n v="313"/>
    <n v="23351"/>
    <n v="6"/>
    <n v="1"/>
    <n v="1"/>
    <n v="2"/>
    <s v="BK-R93R-52"/>
    <x v="3"/>
    <n v="2171.2941999999998"/>
    <n v="3578.27"/>
    <s v="MR."/>
    <s v="LUCAS"/>
    <s v="SANCHEZ"/>
    <s v="LUCAS SANCHEZ"/>
    <d v="1974-05-02T00:00:00"/>
    <s v="S"/>
    <s v="M"/>
    <s v="lucas88@adventure-works.com"/>
    <n v="50000"/>
    <n v="0"/>
    <s v="High School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82"/>
    <d v="2002-02-12T00:00:00"/>
    <s v="SO45746"/>
    <n v="312"/>
    <n v="23376"/>
    <n v="6"/>
    <n v="1"/>
    <n v="1"/>
    <n v="2"/>
    <s v="BK-R93R-48"/>
    <x v="0"/>
    <n v="2171.2941999999998"/>
    <n v="3578.27"/>
    <s v="MR."/>
    <s v="ZACHARY"/>
    <s v="FLORES"/>
    <s v="ZACHARY FLORES"/>
    <d v="1962-06-18T00:00:00"/>
    <s v="M"/>
    <s v="M"/>
    <s v="zachary11@adventure-works.com"/>
    <n v="70000"/>
    <n v="1"/>
    <s v="Bachelors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38"/>
    <d v="2002-01-24T00:00:00"/>
    <s v="SO45705"/>
    <n v="311"/>
    <n v="23378"/>
    <n v="6"/>
    <n v="1"/>
    <n v="1"/>
    <n v="2"/>
    <s v="BK-R93R-44"/>
    <x v="4"/>
    <n v="2171.2941999999998"/>
    <n v="3578.27"/>
    <s v="MR."/>
    <s v="JACKSON"/>
    <s v="PHILLIPS"/>
    <s v="JACKSON PHILLIPS"/>
    <d v="1962-03-04T00:00:00"/>
    <s v="M"/>
    <s v="M"/>
    <s v="jackson36@adventure-works.com"/>
    <n v="70000"/>
    <n v="1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62"/>
    <d v="2002-01-31T00:00:00"/>
    <s v="SO45614"/>
    <n v="312"/>
    <n v="23385"/>
    <n v="6"/>
    <n v="1"/>
    <n v="1"/>
    <n v="2"/>
    <s v="BK-R93R-48"/>
    <x v="0"/>
    <n v="2171.2941999999998"/>
    <n v="3578.27"/>
    <s v="MR."/>
    <s v="ISAAC"/>
    <s v="BROOKS"/>
    <s v="ISAAC BROOKS"/>
    <d v="1961-01-07T00:00:00"/>
    <s v="M"/>
    <s v="M"/>
    <s v="isaac1@adventure-works.com"/>
    <n v="60000"/>
    <n v="1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75"/>
    <d v="2002-01-16T00:00:00"/>
    <s v="SO46014"/>
    <n v="313"/>
    <n v="23396"/>
    <n v="6"/>
    <n v="1"/>
    <n v="1"/>
    <n v="2"/>
    <s v="BK-R93R-52"/>
    <x v="3"/>
    <n v="2171.2941999999998"/>
    <n v="3578.27"/>
    <s v="MRS."/>
    <s v="KAITLYN"/>
    <s v="LONG"/>
    <s v="KAITLYN LONG"/>
    <d v="1960-10-05T00:00:00"/>
    <s v="M"/>
    <s v="F"/>
    <s v="kaitlyn76@adventure-works.com"/>
    <n v="60000"/>
    <n v="1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07"/>
    <d v="2002-03-03T00:00:00"/>
    <s v="SO45881"/>
    <n v="310"/>
    <n v="23397"/>
    <n v="6"/>
    <n v="1"/>
    <n v="1"/>
    <n v="2"/>
    <s v="BK-R93R-62"/>
    <x v="1"/>
    <n v="2171.2941999999998"/>
    <n v="3578.27"/>
    <s v="MRS."/>
    <s v="ISABELLE"/>
    <s v="BRYANT"/>
    <s v="ISABELLE BRYANT"/>
    <d v="1960-04-18T00:00:00"/>
    <s v="M"/>
    <s v="F"/>
    <s v="isabelle16@adventure-works.com"/>
    <n v="60000"/>
    <n v="1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14"/>
    <d v="2002-03-12T00:00:00"/>
    <s v="SO45926"/>
    <n v="311"/>
    <n v="23486"/>
    <n v="6"/>
    <n v="1"/>
    <n v="1"/>
    <n v="2"/>
    <s v="BK-R93R-44"/>
    <x v="4"/>
    <n v="2171.2941999999998"/>
    <n v="3578.27"/>
    <s v="MR."/>
    <s v="BENJAMIN"/>
    <s v="COLEMAN"/>
    <s v="BENJAMIN COLEMAN"/>
    <d v="1962-11-26T00:00:00"/>
    <s v="S"/>
    <s v="M"/>
    <s v="benjamin7@adventure-works.com"/>
    <n v="80000"/>
    <n v="5"/>
    <s v="Partial Colleg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75"/>
    <d v="2002-02-04T00:00:00"/>
    <s v="SO46015"/>
    <n v="313"/>
    <n v="23511"/>
    <n v="6"/>
    <n v="1"/>
    <n v="1"/>
    <n v="2"/>
    <s v="BK-R93R-52"/>
    <x v="3"/>
    <n v="2171.2941999999998"/>
    <n v="3578.27"/>
    <s v="MR."/>
    <s v="JOSHUA"/>
    <s v="RODRIGUEZ"/>
    <s v="JOSHUA RODRIGUEZ"/>
    <d v="1953-09-17T00:00:00"/>
    <s v="M"/>
    <s v="M"/>
    <s v="joshua22@adventure-works.com"/>
    <n v="60000"/>
    <n v="3"/>
    <s v="Graduate Degree"/>
    <s v="Management"/>
    <s v="Y"/>
    <s v="Canada"/>
    <x v="5"/>
    <s v="North America"/>
    <x v="0"/>
    <s v="Bikes"/>
    <n v="3578.27"/>
    <n v="2171.2941999999998"/>
    <n v="1406.9757999999999"/>
    <n v="0.39320001006072802"/>
  </r>
  <r>
    <x v="335"/>
    <d v="2002-03-02T00:00:00"/>
    <s v="SO45845"/>
    <n v="311"/>
    <n v="23566"/>
    <n v="6"/>
    <n v="1"/>
    <n v="1"/>
    <n v="2"/>
    <s v="BK-R93R-44"/>
    <x v="4"/>
    <n v="2171.2941999999998"/>
    <n v="3578.27"/>
    <s v="MR."/>
    <s v="BENJAMIN"/>
    <s v="SHAN"/>
    <s v="BENJAMIN SHAN"/>
    <d v="1979-03-27T00:00:00"/>
    <s v="S"/>
    <s v="M"/>
    <s v="benjamin33@adventure-works.com"/>
    <n v="30000"/>
    <n v="0"/>
    <s v="Partial High School"/>
    <s v="Clerical"/>
    <s v="N"/>
    <s v="Canada"/>
    <x v="5"/>
    <s v="North America"/>
    <x v="0"/>
    <s v="Bikes"/>
    <n v="3578.27"/>
    <n v="2171.2941999999998"/>
    <n v="1406.9757999999999"/>
    <n v="0.39320001006072802"/>
  </r>
  <r>
    <x v="112"/>
    <d v="2002-01-04T00:00:00"/>
    <s v="SO45999"/>
    <n v="311"/>
    <n v="23583"/>
    <n v="6"/>
    <n v="1"/>
    <n v="1"/>
    <n v="2"/>
    <s v="BK-R93R-44"/>
    <x v="4"/>
    <n v="2171.2941999999998"/>
    <n v="3578.27"/>
    <s v="MS."/>
    <s v="BRIANNA"/>
    <s v="MARTIN"/>
    <s v="BRIANNA MARTIN"/>
    <d v="1973-12-08T00:00:00"/>
    <s v="M"/>
    <s v="F"/>
    <s v="brianna13@adventure-works.com"/>
    <n v="60000"/>
    <n v="0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335"/>
    <d v="2002-02-14T00:00:00"/>
    <s v="SO45846"/>
    <n v="314"/>
    <n v="23592"/>
    <n v="6"/>
    <n v="1"/>
    <n v="1"/>
    <n v="2"/>
    <s v="BK-R93R-56"/>
    <x v="2"/>
    <n v="2171.2941999999998"/>
    <n v="3578.27"/>
    <s v="MR."/>
    <s v="JOSEPH"/>
    <s v="JACKSON"/>
    <s v="JOSEPH JACKSON"/>
    <d v="1963-09-22T00:00:00"/>
    <s v="S"/>
    <s v="M"/>
    <s v="joseph18@adventure-works.com"/>
    <n v="80000"/>
    <n v="4"/>
    <s v="Bachelors"/>
    <s v="Management"/>
    <s v="Y"/>
    <s v="Canada"/>
    <x v="5"/>
    <s v="North America"/>
    <x v="0"/>
    <s v="Bikes"/>
    <n v="3578.27"/>
    <n v="2171.2941999999998"/>
    <n v="1406.9757999999999"/>
    <n v="0.39320001006072802"/>
  </r>
  <r>
    <x v="90"/>
    <d v="2002-01-14T00:00:00"/>
    <s v="SO45825"/>
    <n v="314"/>
    <n v="23725"/>
    <n v="6"/>
    <n v="1"/>
    <n v="1"/>
    <n v="2"/>
    <s v="BK-R93R-56"/>
    <x v="2"/>
    <n v="2171.2941999999998"/>
    <n v="3578.27"/>
    <s v=""/>
    <s v="DENNIS"/>
    <s v="WARE"/>
    <s v="DENNIS WARE"/>
    <d v="1950-10-04T00:00:00"/>
    <s v="M"/>
    <s v="NA"/>
    <s v="dennis0@adventure-works.com"/>
    <n v="40000"/>
    <n v="2"/>
    <s v="Partial High School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58"/>
    <d v="2002-02-04T00:00:00"/>
    <s v="SO45920"/>
    <n v="311"/>
    <n v="23730"/>
    <n v="6"/>
    <n v="1"/>
    <n v="1"/>
    <n v="2"/>
    <s v="BK-R93R-44"/>
    <x v="4"/>
    <n v="2171.2941999999998"/>
    <n v="3578.27"/>
    <s v="MRS."/>
    <s v="MORGAN"/>
    <s v="RODRIGUEZ"/>
    <s v="MORGAN RODRIGUEZ"/>
    <d v="1951-03-14T00:00:00"/>
    <s v="M"/>
    <s v="F"/>
    <s v="morgan41@adventure-works.com"/>
    <n v="60000"/>
    <n v="2"/>
    <s v="High School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58"/>
    <d v="2001-12-18T00:00:00"/>
    <s v="SO45922"/>
    <n v="314"/>
    <n v="23731"/>
    <n v="6"/>
    <n v="1"/>
    <n v="1"/>
    <n v="2"/>
    <s v="BK-R93R-56"/>
    <x v="2"/>
    <n v="2171.2941999999998"/>
    <n v="3578.27"/>
    <s v="MR."/>
    <s v="JOSE"/>
    <s v="THOMPSON"/>
    <s v="JOSE THOMPSON"/>
    <d v="1951-11-18T00:00:00"/>
    <s v="M"/>
    <s v="M"/>
    <s v="jose77@adventure-works.com"/>
    <n v="60000"/>
    <n v="2"/>
    <s v="High School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112"/>
    <d v="2002-02-05T00:00:00"/>
    <s v="SO46001"/>
    <n v="310"/>
    <n v="23806"/>
    <n v="6"/>
    <n v="1"/>
    <n v="1"/>
    <n v="2"/>
    <s v="BK-R93R-62"/>
    <x v="1"/>
    <n v="2171.2941999999998"/>
    <n v="3578.27"/>
    <s v="MRS."/>
    <s v="OLIVIA"/>
    <s v="FOSTER"/>
    <s v="OLIVIA FOSTER"/>
    <d v="1958-08-19T00:00:00"/>
    <s v="M"/>
    <s v="F"/>
    <s v="olivia61@adventure-works.com"/>
    <n v="30000"/>
    <n v="2"/>
    <s v="High School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11"/>
    <d v="2002-03-13T00:00:00"/>
    <s v="SO45912"/>
    <n v="312"/>
    <n v="23819"/>
    <n v="6"/>
    <n v="1"/>
    <n v="1"/>
    <n v="2"/>
    <s v="BK-R93R-48"/>
    <x v="0"/>
    <n v="2171.2941999999998"/>
    <n v="3578.27"/>
    <s v=""/>
    <s v="VANESSA"/>
    <s v="WASHINGTON"/>
    <s v="VANESSA WASHINGTON"/>
    <d v="1973-04-14T00:00:00"/>
    <s v="M"/>
    <s v="NA"/>
    <s v="vanessa14@adventure-works.com"/>
    <n v="40000"/>
    <n v="0"/>
    <s v="Graduate Degre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96"/>
    <d v="2002-03-24T00:00:00"/>
    <s v="SO45860"/>
    <n v="312"/>
    <n v="23829"/>
    <n v="6"/>
    <n v="1"/>
    <n v="1"/>
    <n v="2"/>
    <s v="BK-R93R-48"/>
    <x v="0"/>
    <n v="2171.2941999999998"/>
    <n v="3578.27"/>
    <s v="MR."/>
    <s v="ANTHONY"/>
    <s v="RODRIGUEZ"/>
    <s v="ANTHONY RODRIGUEZ"/>
    <d v="1972-11-23T00:00:00"/>
    <s v="M"/>
    <s v="M"/>
    <s v="anthony6@adventure-works.com"/>
    <n v="50000"/>
    <n v="1"/>
    <s v="Graduate Degre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09"/>
    <d v="2002-03-14T00:00:00"/>
    <s v="SO45898"/>
    <n v="310"/>
    <n v="23830"/>
    <n v="6"/>
    <n v="1"/>
    <n v="1"/>
    <n v="2"/>
    <s v="BK-R93R-62"/>
    <x v="1"/>
    <n v="2171.2941999999998"/>
    <n v="3578.27"/>
    <s v="MR."/>
    <s v="CAMERON"/>
    <s v="WHITE"/>
    <s v="CAMERON WHITE"/>
    <d v="1972-09-05T00:00:00"/>
    <s v="M"/>
    <s v="M"/>
    <s v="cameron31@adventure-works.com"/>
    <n v="50000"/>
    <n v="1"/>
    <s v="Graduate Degre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60"/>
    <d v="2001-12-18T00:00:00"/>
    <s v="SO45893"/>
    <n v="313"/>
    <n v="23842"/>
    <n v="6"/>
    <n v="1"/>
    <n v="1"/>
    <n v="2"/>
    <s v="BK-R93R-52"/>
    <x v="3"/>
    <n v="2171.2941999999998"/>
    <n v="3578.27"/>
    <s v="MR."/>
    <s v="CONNOR"/>
    <s v="BRYANT"/>
    <s v="CONNOR BRYANT"/>
    <d v="1970-09-26T00:00:00"/>
    <s v="M"/>
    <s v="M"/>
    <s v="connor12@adventure-works.com"/>
    <n v="40000"/>
    <n v="1"/>
    <s v="Bachelors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21"/>
    <d v="2002-03-30T00:00:00"/>
    <s v="SO45995"/>
    <n v="310"/>
    <n v="23846"/>
    <n v="6"/>
    <n v="1"/>
    <n v="1"/>
    <n v="2"/>
    <s v="BK-R93R-62"/>
    <x v="1"/>
    <n v="2171.2941999999998"/>
    <n v="3578.27"/>
    <s v="MR."/>
    <s v="AIDAN"/>
    <s v="DIAZ"/>
    <s v="AIDAN DIAZ"/>
    <d v="1969-06-20T00:00:00"/>
    <s v="M"/>
    <s v="M"/>
    <s v="aidan23@adventure-works.com"/>
    <n v="60000"/>
    <n v="2"/>
    <s v="Bachelors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90"/>
    <d v="2002-01-01T00:00:00"/>
    <s v="SO45826"/>
    <n v="310"/>
    <n v="23858"/>
    <n v="6"/>
    <n v="1"/>
    <n v="1"/>
    <n v="2"/>
    <s v="BK-R93R-62"/>
    <x v="1"/>
    <n v="2171.2941999999998"/>
    <n v="3578.27"/>
    <s v="MR."/>
    <s v="JONATHAN"/>
    <s v="POWELL"/>
    <s v="JONATHAN POWELL"/>
    <d v="1968-09-04T00:00:00"/>
    <s v="M"/>
    <s v="M"/>
    <s v="jonathan8@adventure-works.com"/>
    <n v="70000"/>
    <n v="2"/>
    <s v="Bachelors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18"/>
    <d v="2002-01-08T00:00:00"/>
    <s v="SO45953"/>
    <n v="314"/>
    <n v="23859"/>
    <n v="6"/>
    <n v="1"/>
    <n v="1"/>
    <n v="2"/>
    <s v="BK-R93R-56"/>
    <x v="2"/>
    <n v="2171.2941999999998"/>
    <n v="3578.27"/>
    <s v="MRS."/>
    <s v="MEGAN"/>
    <s v="ANDERSON"/>
    <s v="MEGAN ANDERSON"/>
    <d v="1968-11-19T00:00:00"/>
    <s v="M"/>
    <s v="F"/>
    <s v="megan13@adventure-works.com"/>
    <n v="70000"/>
    <n v="2"/>
    <s v="Bachelors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25"/>
    <d v="2002-02-01T00:00:00"/>
    <s v="SO46132"/>
    <n v="314"/>
    <n v="23865"/>
    <n v="6"/>
    <n v="1"/>
    <n v="1"/>
    <n v="2"/>
    <s v="BK-R93R-56"/>
    <x v="2"/>
    <n v="2171.2941999999998"/>
    <n v="3578.27"/>
    <s v="MRS."/>
    <s v="LORI"/>
    <s v="SANZ"/>
    <s v="LORI SANZ"/>
    <d v="1970-04-20T00:00:00"/>
    <s v="S"/>
    <s v="F"/>
    <s v="lori20@adventure-works.com"/>
    <n v="60000"/>
    <n v="1"/>
    <s v="Graduate Degre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133"/>
    <d v="2002-02-05T00:00:00"/>
    <s v="SO46221"/>
    <n v="314"/>
    <n v="23866"/>
    <n v="6"/>
    <n v="1"/>
    <n v="1"/>
    <n v="2"/>
    <s v="BK-R93R-56"/>
    <x v="2"/>
    <n v="2171.2941999999998"/>
    <n v="3578.27"/>
    <s v="MR."/>
    <s v="XAVIER"/>
    <s v="FLORES"/>
    <s v="XAVIER FLORES"/>
    <d v="1970-05-06T00:00:00"/>
    <s v="M"/>
    <s v="M"/>
    <s v="xavier52@adventure-works.com"/>
    <n v="60000"/>
    <n v="1"/>
    <s v="Graduate Degre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63"/>
    <d v="2002-02-06T00:00:00"/>
    <s v="SO46233"/>
    <n v="314"/>
    <n v="23867"/>
    <n v="6"/>
    <n v="1"/>
    <n v="1"/>
    <n v="2"/>
    <s v="BK-R93R-56"/>
    <x v="2"/>
    <n v="2171.2941999999998"/>
    <n v="3578.27"/>
    <s v="MRS."/>
    <s v="SARAH"/>
    <s v="HENDERSON"/>
    <s v="SARAH HENDERSON"/>
    <d v="1970-09-23T00:00:00"/>
    <s v="S"/>
    <s v="F"/>
    <s v="sarah30@adventure-works.com"/>
    <n v="60000"/>
    <n v="1"/>
    <s v="Graduate Degre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134"/>
    <d v="2002-04-03T00:00:00"/>
    <s v="SO46240"/>
    <n v="314"/>
    <n v="23868"/>
    <n v="6"/>
    <n v="1"/>
    <n v="1"/>
    <n v="2"/>
    <s v="BK-R93R-56"/>
    <x v="2"/>
    <n v="2171.2941999999998"/>
    <n v="3578.27"/>
    <s v="MRS."/>
    <s v="ABIGAIL"/>
    <s v="COLEMAN"/>
    <s v="ABIGAIL COLEMAN"/>
    <d v="1970-07-08T00:00:00"/>
    <s v="S"/>
    <s v="F"/>
    <s v="abigail74@adventure-works.com"/>
    <n v="60000"/>
    <n v="1"/>
    <s v="Graduate Degree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129"/>
    <d v="2002-04-09T00:00:00"/>
    <s v="SO46187"/>
    <n v="313"/>
    <n v="24235"/>
    <n v="6"/>
    <n v="1"/>
    <n v="1"/>
    <n v="2"/>
    <s v="BK-R93R-52"/>
    <x v="3"/>
    <n v="2171.2941999999998"/>
    <n v="3578.27"/>
    <s v="MS."/>
    <s v="JILL"/>
    <s v="MARTINEZ"/>
    <s v="JILL MARTINEZ"/>
    <d v="1978-08-23T00:00:00"/>
    <s v="S"/>
    <s v="F"/>
    <s v="jill7@adventure-works.com"/>
    <n v="4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123"/>
    <d v="2002-01-19T00:00:00"/>
    <s v="SO46122"/>
    <n v="313"/>
    <n v="24284"/>
    <n v="6"/>
    <n v="1"/>
    <n v="1"/>
    <n v="2"/>
    <s v="BK-R93R-52"/>
    <x v="3"/>
    <n v="2171.2941999999998"/>
    <n v="3578.27"/>
    <s v="MS."/>
    <s v="MELISSA"/>
    <s v="SANDERS"/>
    <s v="MELISSA SANDERS"/>
    <d v="1975-06-11T00:00:00"/>
    <s v="S"/>
    <s v="F"/>
    <s v="melissa26@adventure-works.com"/>
    <n v="40000"/>
    <n v="0"/>
    <s v="Partial College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139"/>
    <d v="2002-02-21T00:00:00"/>
    <s v="SO46270"/>
    <n v="312"/>
    <n v="24309"/>
    <n v="6"/>
    <n v="1"/>
    <n v="1"/>
    <n v="2"/>
    <s v="BK-R93R-48"/>
    <x v="0"/>
    <n v="2171.2941999999998"/>
    <n v="3578.27"/>
    <s v="MR."/>
    <s v="ETHAN"/>
    <s v="WILLIAMS"/>
    <s v="ETHAN WILLIAMS"/>
    <d v="1974-08-18T00:00:00"/>
    <s v="M"/>
    <s v="M"/>
    <s v="ethan32@adventure-works.com"/>
    <n v="50000"/>
    <n v="0"/>
    <s v="High School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363"/>
    <d v="2002-02-09T00:00:00"/>
    <s v="SO46142"/>
    <n v="311"/>
    <n v="24310"/>
    <n v="6"/>
    <n v="1"/>
    <n v="1"/>
    <n v="2"/>
    <s v="BK-R93R-44"/>
    <x v="4"/>
    <n v="2171.2941999999998"/>
    <n v="3578.27"/>
    <s v="MS."/>
    <s v="GABRIELLE"/>
    <s v="PETERSON"/>
    <s v="GABRIELLE PETERSON"/>
    <d v="1974-02-05T00:00:00"/>
    <s v="S"/>
    <s v="F"/>
    <s v="gabrielle14@adventure-works.com"/>
    <n v="50000"/>
    <n v="0"/>
    <s v="High School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133"/>
    <d v="2002-04-18T00:00:00"/>
    <s v="SO46219"/>
    <n v="313"/>
    <n v="24332"/>
    <n v="6"/>
    <n v="1"/>
    <n v="1"/>
    <n v="2"/>
    <s v="BK-R93R-52"/>
    <x v="3"/>
    <n v="2171.2941999999998"/>
    <n v="3578.27"/>
    <s v="MRS."/>
    <s v="ABIGAIL"/>
    <s v="THOMPSON"/>
    <s v="ABIGAIL THOMPSON"/>
    <d v="1963-06-03T00:00:00"/>
    <s v="M"/>
    <s v="F"/>
    <s v="abigail56@adventure-works.com"/>
    <n v="60000"/>
    <n v="3"/>
    <s v="Graduate Degree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127"/>
    <d v="2002-01-26T00:00:00"/>
    <s v="SO46171"/>
    <n v="310"/>
    <n v="24342"/>
    <n v="6"/>
    <n v="1"/>
    <n v="1"/>
    <n v="2"/>
    <s v="BK-R93R-62"/>
    <x v="1"/>
    <n v="2171.2941999999998"/>
    <n v="3578.27"/>
    <s v="MR."/>
    <s v="EVAN"/>
    <s v="CAMPBELL"/>
    <s v="EVAN CAMPBELL"/>
    <d v="1961-04-24T00:00:00"/>
    <s v="M"/>
    <s v="M"/>
    <s v="evan31@adventure-works.com"/>
    <n v="60000"/>
    <n v="1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33"/>
    <d v="2002-03-11T00:00:00"/>
    <s v="SO46220"/>
    <n v="313"/>
    <n v="24344"/>
    <n v="6"/>
    <n v="1"/>
    <n v="1"/>
    <n v="2"/>
    <s v="BK-R93R-52"/>
    <x v="3"/>
    <n v="2171.2941999999998"/>
    <n v="3578.27"/>
    <s v="MR."/>
    <s v="WAYNE"/>
    <s v="CHANDER"/>
    <s v="WAYNE CHANDER"/>
    <d v="1967-06-16T00:00:00"/>
    <s v="S"/>
    <s v="M"/>
    <s v="wayne18@adventure-works.com"/>
    <n v="50000"/>
    <n v="0"/>
    <s v="Partial College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163"/>
    <d v="2002-03-30T00:00:00"/>
    <s v="SO46510"/>
    <n v="311"/>
    <n v="24386"/>
    <n v="6"/>
    <n v="1"/>
    <n v="1"/>
    <n v="2"/>
    <s v="BK-R93R-44"/>
    <x v="4"/>
    <n v="2171.2941999999998"/>
    <n v="3578.27"/>
    <s v="MRS."/>
    <s v="ISABELLA"/>
    <s v="WALKER"/>
    <s v="ISABELLA WALKER"/>
    <d v="1957-05-12T00:00:00"/>
    <s v="S"/>
    <s v="F"/>
    <s v="isabella79@adventure-works.com"/>
    <n v="80000"/>
    <n v="2"/>
    <s v="Bachelors"/>
    <s v="Management"/>
    <s v="N"/>
    <s v="Canada"/>
    <x v="5"/>
    <s v="North America"/>
    <x v="0"/>
    <s v="Bikes"/>
    <n v="3578.27"/>
    <n v="2171.2941999999998"/>
    <n v="1406.9757999999999"/>
    <n v="0.39320001006072802"/>
  </r>
  <r>
    <x v="163"/>
    <d v="2002-02-26T00:00:00"/>
    <s v="SO46511"/>
    <n v="313"/>
    <n v="24392"/>
    <n v="6"/>
    <n v="1"/>
    <n v="1"/>
    <n v="2"/>
    <s v="BK-R93R-52"/>
    <x v="3"/>
    <n v="2171.2941999999998"/>
    <n v="3578.27"/>
    <s v="MRS."/>
    <s v="MOLLY"/>
    <s v="PRASAD"/>
    <s v="MOLLY PRASAD"/>
    <d v="1956-10-24T00:00:00"/>
    <s v="S"/>
    <s v="F"/>
    <s v="molly9@adventure-works.com"/>
    <n v="60000"/>
    <n v="2"/>
    <s v="High School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163"/>
    <d v="2002-03-16T00:00:00"/>
    <s v="SO46513"/>
    <n v="313"/>
    <n v="24418"/>
    <n v="6"/>
    <n v="1"/>
    <n v="1"/>
    <n v="2"/>
    <s v="BK-R93R-52"/>
    <x v="3"/>
    <n v="2171.2941999999998"/>
    <n v="3578.27"/>
    <s v="MR."/>
    <s v="BRANDON"/>
    <s v="GARCIA"/>
    <s v="BRANDON GARCIA"/>
    <d v="1955-06-20T00:00:00"/>
    <s v="S"/>
    <s v="M"/>
    <s v="brandon39@adventure-works.com"/>
    <n v="60000"/>
    <n v="2"/>
    <s v="High School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67"/>
    <d v="2002-03-19T00:00:00"/>
    <s v="SO46468"/>
    <n v="311"/>
    <n v="24431"/>
    <n v="6"/>
    <n v="1"/>
    <n v="1"/>
    <n v="2"/>
    <s v="BK-R93R-44"/>
    <x v="4"/>
    <n v="2171.2941999999998"/>
    <n v="3578.27"/>
    <s v="MRS."/>
    <s v="ABIGAIL"/>
    <s v="MORGAN"/>
    <s v="ABIGAIL MORGAN"/>
    <d v="1954-06-13T00:00:00"/>
    <s v="M"/>
    <s v="F"/>
    <s v="abigail8@adventure-works.com"/>
    <n v="60000"/>
    <n v="2"/>
    <s v="Partial High School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63"/>
    <d v="2002-03-26T00:00:00"/>
    <s v="SO46520"/>
    <n v="312"/>
    <n v="24491"/>
    <n v="6"/>
    <n v="1"/>
    <n v="1"/>
    <n v="2"/>
    <s v="BK-R93R-48"/>
    <x v="0"/>
    <n v="2171.2941999999998"/>
    <n v="3578.27"/>
    <s v="MS."/>
    <s v="KAITLYN"/>
    <s v="RUSSELL"/>
    <s v="KAITLYN RUSSELL"/>
    <d v="1980-05-05T00:00:00"/>
    <s v="S"/>
    <s v="F"/>
    <s v="kaitlyn87@adventure-works.com"/>
    <n v="3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340"/>
    <d v="2002-04-14T00:00:00"/>
    <s v="SO46412"/>
    <n v="311"/>
    <n v="24493"/>
    <n v="6"/>
    <n v="1"/>
    <n v="1"/>
    <n v="2"/>
    <s v="BK-R93R-44"/>
    <x v="4"/>
    <n v="2171.2941999999998"/>
    <n v="3578.27"/>
    <s v="MR."/>
    <s v="SETH"/>
    <s v="BENNETT"/>
    <s v="SETH BENNETT"/>
    <d v="1979-03-28T00:00:00"/>
    <s v="S"/>
    <s v="M"/>
    <s v="seth49@adventure-works.com"/>
    <n v="3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153"/>
    <d v="2002-04-05T00:00:00"/>
    <s v="SO46425"/>
    <n v="313"/>
    <n v="24496"/>
    <n v="6"/>
    <n v="1"/>
    <n v="1"/>
    <n v="2"/>
    <s v="BK-R93R-52"/>
    <x v="3"/>
    <n v="2171.2941999999998"/>
    <n v="3578.27"/>
    <s v="MS."/>
    <s v="KATELYN"/>
    <s v="MITCHELL"/>
    <s v="KATELYN MITCHELL"/>
    <d v="1978-04-09T00:00:00"/>
    <s v="S"/>
    <s v="F"/>
    <s v="katelyn34@adventure-works.com"/>
    <n v="4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157"/>
    <d v="2002-03-21T00:00:00"/>
    <s v="SO46590"/>
    <n v="312"/>
    <n v="24501"/>
    <n v="6"/>
    <n v="1"/>
    <n v="1"/>
    <n v="2"/>
    <s v="BK-R93R-48"/>
    <x v="0"/>
    <n v="2171.2941999999998"/>
    <n v="3578.27"/>
    <s v="MS."/>
    <s v="VICTORIA"/>
    <s v="GARCIA"/>
    <s v="VICTORIA GARCIA"/>
    <d v="1979-04-28T00:00:00"/>
    <s v="S"/>
    <s v="F"/>
    <s v="victoria17@adventure-works.com"/>
    <n v="30000"/>
    <n v="0"/>
    <s v="Partial High School"/>
    <s v="Clerical"/>
    <s v="N"/>
    <s v="Canada"/>
    <x v="5"/>
    <s v="North America"/>
    <x v="0"/>
    <s v="Bikes"/>
    <n v="3578.27"/>
    <n v="2171.2941999999998"/>
    <n v="1406.9757999999999"/>
    <n v="0.39320001006072802"/>
  </r>
  <r>
    <x v="229"/>
    <d v="2002-07-03T00:00:00"/>
    <s v="SO46874"/>
    <n v="381"/>
    <n v="24606"/>
    <n v="9"/>
    <n v="1"/>
    <n v="1"/>
    <n v="2"/>
    <s v="BK-R64Y-38"/>
    <x v="30"/>
    <n v="605.64919999999995"/>
    <n v="1000.4375"/>
    <s v="MS."/>
    <s v="CASSIE"/>
    <s v="NATH"/>
    <s v="CASSIE NATH"/>
    <d v="1972-10-02T00:00:00"/>
    <s v="M"/>
    <s v="F"/>
    <s v="cassie17@adventure-works.com"/>
    <n v="100000"/>
    <n v="0"/>
    <s v="High School"/>
    <s v="Management"/>
    <s v="Y"/>
    <s v="Australia"/>
    <x v="2"/>
    <s v="Pacific"/>
    <x v="0"/>
    <s v="Bikes"/>
    <n v="1000.4375"/>
    <n v="605.64919999999995"/>
    <n v="394.78829999999999"/>
    <n v="0.39461565565065299"/>
  </r>
  <r>
    <x v="223"/>
    <d v="2002-06-02T00:00:00"/>
    <s v="SO46824"/>
    <n v="385"/>
    <n v="24608"/>
    <n v="9"/>
    <n v="1"/>
    <n v="1"/>
    <n v="2"/>
    <s v="BK-R64Y-42"/>
    <x v="28"/>
    <n v="605.64919999999995"/>
    <n v="1000.4375"/>
    <s v="MS."/>
    <s v="KATRINA"/>
    <s v="NARA"/>
    <s v="KATRINA NARA"/>
    <d v="1972-10-02T00:00:00"/>
    <s v="M"/>
    <s v="F"/>
    <s v="katrina15@adventure-works.com"/>
    <n v="110000"/>
    <n v="0"/>
    <s v="High School"/>
    <s v="Management"/>
    <s v="Y"/>
    <s v="Australia"/>
    <x v="2"/>
    <s v="Pacific"/>
    <x v="0"/>
    <s v="Bikes"/>
    <n v="1000.4375"/>
    <n v="605.64919999999995"/>
    <n v="394.78829999999999"/>
    <n v="0.39461565565065299"/>
  </r>
  <r>
    <x v="247"/>
    <d v="2002-05-08T00:00:00"/>
    <s v="SO47210"/>
    <n v="389"/>
    <n v="24609"/>
    <n v="9"/>
    <n v="1"/>
    <n v="1"/>
    <n v="2"/>
    <s v="BK-R64Y-48"/>
    <x v="31"/>
    <n v="605.64919999999995"/>
    <n v="1000.4375"/>
    <s v="MS."/>
    <s v="JENNY"/>
    <s v="ZHANG"/>
    <s v="JENNY ZHANG"/>
    <d v="1972-04-10T00:00:00"/>
    <s v="M"/>
    <s v="F"/>
    <s v="jenny2@adventure-works.com"/>
    <n v="120000"/>
    <n v="0"/>
    <s v="Partial High School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106"/>
    <d v="2002-04-27T00:00:00"/>
    <s v="SO47116"/>
    <n v="387"/>
    <n v="24611"/>
    <n v="9"/>
    <n v="1"/>
    <n v="1"/>
    <n v="2"/>
    <s v="BK-R64Y-44"/>
    <x v="27"/>
    <n v="605.64919999999995"/>
    <n v="1000.4375"/>
    <s v="MR."/>
    <s v="PEDRO"/>
    <s v="SUAREZ"/>
    <s v="PEDRO SUAREZ"/>
    <d v="1971-08-27T00:00:00"/>
    <s v="S"/>
    <s v="M"/>
    <s v="pedro39@adventure-works.com"/>
    <n v="9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305"/>
    <d v="2002-06-25T00:00:00"/>
    <s v="SO47240"/>
    <n v="381"/>
    <n v="24612"/>
    <n v="9"/>
    <n v="1"/>
    <n v="1"/>
    <n v="2"/>
    <s v="BK-R64Y-38"/>
    <x v="30"/>
    <n v="605.64919999999995"/>
    <n v="1000.4375"/>
    <s v="MR."/>
    <s v="DEVON"/>
    <s v="CHANDER"/>
    <s v="DEVON CHANDER"/>
    <d v="1970-06-05T00:00:00"/>
    <s v="S"/>
    <s v="M"/>
    <s v="devon13@adventure-works.com"/>
    <n v="90000"/>
    <n v="0"/>
    <s v="Bachelors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346"/>
    <d v="2002-07-22T00:00:00"/>
    <s v="SO47566"/>
    <n v="389"/>
    <n v="24613"/>
    <n v="9"/>
    <n v="1"/>
    <n v="1"/>
    <n v="2"/>
    <s v="BK-R64Y-48"/>
    <x v="31"/>
    <n v="605.64919999999995"/>
    <n v="1000.4375"/>
    <s v="MS."/>
    <s v="STACY"/>
    <s v="SERRANO"/>
    <s v="STACY SERRANO"/>
    <d v="1970-09-23T00:00:00"/>
    <s v="M"/>
    <s v="F"/>
    <s v="stacy17@adventure-works.com"/>
    <n v="100000"/>
    <n v="0"/>
    <s v="Partial High School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306"/>
    <d v="2002-09-04T00:00:00"/>
    <s v="SO47592"/>
    <n v="385"/>
    <n v="24614"/>
    <n v="9"/>
    <n v="1"/>
    <n v="1"/>
    <n v="2"/>
    <s v="BK-R64Y-42"/>
    <x v="28"/>
    <n v="605.64919999999995"/>
    <n v="1000.4375"/>
    <s v="MS."/>
    <s v="LINDSEY"/>
    <s v="RAJE"/>
    <s v="LINDSEY RAJE"/>
    <d v="1970-08-15T00:00:00"/>
    <s v="M"/>
    <s v="F"/>
    <s v="lindsey15@adventure-works.com"/>
    <n v="120000"/>
    <n v="0"/>
    <s v="Partial High School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349"/>
    <d v="2002-08-29T00:00:00"/>
    <s v="SO47654"/>
    <n v="387"/>
    <n v="24615"/>
    <n v="9"/>
    <n v="1"/>
    <n v="1"/>
    <n v="2"/>
    <s v="BK-R64Y-44"/>
    <x v="27"/>
    <n v="605.64919999999995"/>
    <n v="1000.4375"/>
    <s v="MR."/>
    <s v="DWAYNE"/>
    <s v="ORTEGA"/>
    <s v="DWAYNE ORTEGA"/>
    <d v="1971-05-19T00:00:00"/>
    <s v="M"/>
    <s v="M"/>
    <s v="dwayne20@adventure-works.com"/>
    <n v="110000"/>
    <n v="0"/>
    <s v="Partial High School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70"/>
    <d v="2002-02-25T00:00:00"/>
    <s v="SO46545"/>
    <n v="310"/>
    <n v="24646"/>
    <n v="6"/>
    <n v="1"/>
    <n v="1"/>
    <n v="2"/>
    <s v="BK-R93R-62"/>
    <x v="1"/>
    <n v="2171.2941999999998"/>
    <n v="3578.27"/>
    <s v="MR."/>
    <s v="JUAN"/>
    <s v="MURPHY"/>
    <s v="JUAN MURPHY"/>
    <d v="1944-07-12T00:00:00"/>
    <s v="M"/>
    <s v="M"/>
    <s v="juan25@adventure-works.com"/>
    <n v="30000"/>
    <n v="4"/>
    <s v="High School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340"/>
    <d v="2002-02-04T00:00:00"/>
    <s v="SO46411"/>
    <n v="314"/>
    <n v="24661"/>
    <n v="6"/>
    <n v="1"/>
    <n v="1"/>
    <n v="2"/>
    <s v="BK-R93R-56"/>
    <x v="2"/>
    <n v="2171.2941999999998"/>
    <n v="3578.27"/>
    <s v="MRS."/>
    <s v="MADISON"/>
    <s v="JONES"/>
    <s v="MADISON JONES"/>
    <d v="1947-06-22T00:00:00"/>
    <s v="S"/>
    <s v="F"/>
    <s v="madison3@adventure-works.com"/>
    <n v="70000"/>
    <n v="2"/>
    <s v="Bachelors"/>
    <s v="Management"/>
    <s v="N"/>
    <s v="Canada"/>
    <x v="5"/>
    <s v="North America"/>
    <x v="0"/>
    <s v="Bikes"/>
    <n v="3578.27"/>
    <n v="2171.2941999999998"/>
    <n v="1406.9757999999999"/>
    <n v="0.39320001006072802"/>
  </r>
  <r>
    <x v="157"/>
    <d v="2002-03-15T00:00:00"/>
    <s v="SO46592"/>
    <n v="313"/>
    <n v="24664"/>
    <n v="6"/>
    <n v="1"/>
    <n v="1"/>
    <n v="2"/>
    <s v="BK-R93R-52"/>
    <x v="3"/>
    <n v="2171.2941999999998"/>
    <n v="3578.27"/>
    <s v="MR."/>
    <s v="IAN"/>
    <s v="WASHINGTON"/>
    <s v="IAN WASHINGTON"/>
    <d v="1948-05-13T00:00:00"/>
    <s v="M"/>
    <s v="M"/>
    <s v="ian54@adventure-works.com"/>
    <n v="40000"/>
    <n v="2"/>
    <s v="High School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160"/>
    <d v="2002-02-17T00:00:00"/>
    <s v="SO46489"/>
    <n v="313"/>
    <n v="24666"/>
    <n v="6"/>
    <n v="1"/>
    <n v="1"/>
    <n v="2"/>
    <s v="BK-R93R-52"/>
    <x v="3"/>
    <n v="2171.2941999999998"/>
    <n v="3578.27"/>
    <s v="MRS."/>
    <s v="HANNAH"/>
    <s v="MARTINEZ"/>
    <s v="HANNAH MARTINEZ"/>
    <d v="1948-05-11T00:00:00"/>
    <s v="M"/>
    <s v="F"/>
    <s v="hannah15@adventure-works.com"/>
    <n v="40000"/>
    <n v="2"/>
    <s v="High School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165"/>
    <d v="2002-03-18T00:00:00"/>
    <s v="SO46530"/>
    <n v="313"/>
    <n v="24671"/>
    <n v="6"/>
    <n v="1"/>
    <n v="1"/>
    <n v="2"/>
    <s v="BK-R93R-52"/>
    <x v="3"/>
    <n v="2171.2941999999998"/>
    <n v="3578.27"/>
    <s v="MR."/>
    <s v="CHRISTIAN"/>
    <s v="PERRY"/>
    <s v="CHRISTIAN PERRY"/>
    <d v="1949-11-14T00:00:00"/>
    <s v="M"/>
    <s v="M"/>
    <s v="christian22@adventure-works.com"/>
    <n v="40000"/>
    <n v="2"/>
    <s v="Partial High School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174"/>
    <d v="2002-04-21T00:00:00"/>
    <s v="SO46576"/>
    <n v="310"/>
    <n v="24757"/>
    <n v="6"/>
    <n v="1"/>
    <n v="1"/>
    <n v="2"/>
    <s v="BK-R93R-62"/>
    <x v="1"/>
    <n v="2171.2941999999998"/>
    <n v="3578.27"/>
    <s v="MRS."/>
    <s v="ALISHA"/>
    <s v="SHE"/>
    <s v="ALISHA SHE"/>
    <d v="1958-01-10T00:00:00"/>
    <s v="M"/>
    <s v="F"/>
    <s v="alisha24@adventure-works.com"/>
    <n v="40000"/>
    <n v="1"/>
    <s v="Partial College"/>
    <s v="Clerical"/>
    <s v="Y"/>
    <s v="Canada"/>
    <x v="5"/>
    <s v="North America"/>
    <x v="0"/>
    <s v="Bikes"/>
    <n v="3578.27"/>
    <n v="2171.2941999999998"/>
    <n v="1406.9757999999999"/>
    <n v="0.39320001006072802"/>
  </r>
  <r>
    <x v="161"/>
    <d v="2002-05-02T00:00:00"/>
    <s v="SO46491"/>
    <n v="314"/>
    <n v="24759"/>
    <n v="6"/>
    <n v="1"/>
    <n v="1"/>
    <n v="2"/>
    <s v="BK-R93R-56"/>
    <x v="2"/>
    <n v="2171.2941999999998"/>
    <n v="3578.27"/>
    <s v="MRS."/>
    <s v="BROOKE"/>
    <s v="STEWART"/>
    <s v="BROOKE STEWART"/>
    <d v="1959-04-17T00:00:00"/>
    <s v="S"/>
    <s v="F"/>
    <s v="brooke21@adventure-works.com"/>
    <n v="40000"/>
    <n v="2"/>
    <s v="Partial College"/>
    <s v="Clerical"/>
    <s v="N"/>
    <s v="Canada"/>
    <x v="5"/>
    <s v="North America"/>
    <x v="0"/>
    <s v="Bikes"/>
    <n v="3578.27"/>
    <n v="2171.2941999999998"/>
    <n v="1406.9757999999999"/>
    <n v="0.39320001006072802"/>
  </r>
  <r>
    <x v="74"/>
    <d v="2002-05-29T00:00:00"/>
    <s v="SO46713"/>
    <n v="371"/>
    <n v="24778"/>
    <n v="6"/>
    <n v="1"/>
    <n v="1"/>
    <n v="2"/>
    <s v="BK-R89R-58"/>
    <x v="24"/>
    <n v="1320.6838"/>
    <n v="2181.5625"/>
    <s v="MR."/>
    <s v="SEAN"/>
    <s v="BAKER"/>
    <s v="SEAN BAKER"/>
    <d v="1971-10-14T00:00:00"/>
    <s v="M"/>
    <s v="M"/>
    <s v="sean39@adventure-works.com"/>
    <n v="70000"/>
    <n v="1"/>
    <s v="Graduate Degree"/>
    <s v="Skilled Manual"/>
    <s v="Y"/>
    <s v="Canada"/>
    <x v="5"/>
    <s v="North America"/>
    <x v="0"/>
    <s v="Bikes"/>
    <n v="2181.5625"/>
    <n v="1320.6838"/>
    <n v="860.87869999999998"/>
    <n v="0.39461564818793898"/>
  </r>
  <r>
    <x v="193"/>
    <d v="2002-04-30T00:00:00"/>
    <s v="SO46733"/>
    <n v="375"/>
    <n v="24781"/>
    <n v="6"/>
    <n v="1"/>
    <n v="1"/>
    <n v="2"/>
    <s v="BK-R89B-48"/>
    <x v="25"/>
    <n v="1320.6838"/>
    <n v="2181.5625"/>
    <s v="MRS."/>
    <s v="CARMEN"/>
    <s v="GARCIA"/>
    <s v="CARMEN GARCIA"/>
    <d v="1972-10-22T00:00:00"/>
    <s v="M"/>
    <s v="F"/>
    <s v="carmen0@adventure-works.com"/>
    <n v="50000"/>
    <n v="1"/>
    <s v="Graduate Degree"/>
    <s v="Skilled Manual"/>
    <s v="Y"/>
    <s v="Canada"/>
    <x v="5"/>
    <s v="North America"/>
    <x v="0"/>
    <s v="Bikes"/>
    <n v="2181.5625"/>
    <n v="1320.6838"/>
    <n v="860.87869999999998"/>
    <n v="0.39461564818793898"/>
  </r>
  <r>
    <x v="224"/>
    <d v="2002-04-06T00:00:00"/>
    <s v="SO46829"/>
    <n v="369"/>
    <n v="24786"/>
    <n v="6"/>
    <n v="1"/>
    <n v="1"/>
    <n v="2"/>
    <s v="BK-R89R-48"/>
    <x v="21"/>
    <n v="1518.7864"/>
    <n v="2443.35"/>
    <s v="MRS."/>
    <s v="HALEY"/>
    <s v="ADAMS"/>
    <s v="HALEY ADAMS"/>
    <d v="1970-01-24T00:00:00"/>
    <s v="M"/>
    <s v="F"/>
    <s v="haley52@adventure-works.com"/>
    <n v="40000"/>
    <n v="1"/>
    <s v="Bachelors"/>
    <s v="Skilled Manual"/>
    <s v="Y"/>
    <s v="Canada"/>
    <x v="5"/>
    <s v="North America"/>
    <x v="0"/>
    <s v="Bikes"/>
    <n v="2443.35"/>
    <n v="1518.7864"/>
    <n v="924.56359999999995"/>
    <n v="0.37839998362903399"/>
  </r>
  <r>
    <x v="226"/>
    <d v="2002-04-28T00:00:00"/>
    <s v="SO46839"/>
    <n v="375"/>
    <n v="24817"/>
    <n v="6"/>
    <n v="1"/>
    <n v="1"/>
    <n v="2"/>
    <s v="BK-R89B-48"/>
    <x v="25"/>
    <n v="1320.6838"/>
    <n v="2181.5625"/>
    <s v="MRS."/>
    <s v="VICTORIA"/>
    <s v="RICHARDSON"/>
    <s v="VICTORIA RICHARDSON"/>
    <d v="1969-10-11T00:00:00"/>
    <s v="M"/>
    <s v="F"/>
    <s v="victoria36@adventure-works.com"/>
    <n v="60000"/>
    <n v="2"/>
    <s v="Graduate Degree"/>
    <s v="Professional"/>
    <s v="Y"/>
    <s v="Canada"/>
    <x v="5"/>
    <s v="North America"/>
    <x v="0"/>
    <s v="Bikes"/>
    <n v="2181.5625"/>
    <n v="1320.6838"/>
    <n v="860.87869999999998"/>
    <n v="0.39461564818793898"/>
  </r>
  <r>
    <x v="223"/>
    <d v="2002-04-11T00:00:00"/>
    <s v="SO46821"/>
    <n v="377"/>
    <n v="24824"/>
    <n v="6"/>
    <n v="1"/>
    <n v="1"/>
    <n v="2"/>
    <s v="BK-R89B-52"/>
    <x v="20"/>
    <n v="1320.6838"/>
    <n v="2181.5625"/>
    <s v="MS."/>
    <s v="ALEXANDRIA"/>
    <s v="WOOD"/>
    <s v="ALEXANDRIA WOOD"/>
    <d v="1965-09-08T00:00:00"/>
    <s v="S"/>
    <s v="F"/>
    <s v="alexandria2@adventure-works.com"/>
    <n v="40000"/>
    <n v="0"/>
    <s v="Bachelors"/>
    <s v="Professional"/>
    <s v="Y"/>
    <s v="Canada"/>
    <x v="5"/>
    <s v="North America"/>
    <x v="0"/>
    <s v="Bikes"/>
    <n v="2181.5625"/>
    <n v="1320.6838"/>
    <n v="860.87869999999998"/>
    <n v="0.39461564818793898"/>
  </r>
  <r>
    <x v="73"/>
    <d v="2002-05-05T00:00:00"/>
    <s v="SO46911"/>
    <n v="377"/>
    <n v="24832"/>
    <n v="6"/>
    <n v="1"/>
    <n v="1"/>
    <n v="2"/>
    <s v="BK-R89B-52"/>
    <x v="20"/>
    <n v="1320.6838"/>
    <n v="2181.5625"/>
    <s v="MS."/>
    <s v="MORGAN"/>
    <s v="MARTIN"/>
    <s v="MORGAN MARTIN"/>
    <d v="1965-08-02T00:00:00"/>
    <s v="M"/>
    <s v="F"/>
    <s v="morgan36@adventure-works.com"/>
    <n v="60000"/>
    <n v="0"/>
    <s v="Graduate Degree"/>
    <s v="Professional"/>
    <s v="N"/>
    <s v="Canada"/>
    <x v="5"/>
    <s v="North America"/>
    <x v="0"/>
    <s v="Bikes"/>
    <n v="2181.5625"/>
    <n v="1320.6838"/>
    <n v="860.87869999999998"/>
    <n v="0.39461564818793898"/>
  </r>
  <r>
    <x v="267"/>
    <d v="2002-06-19T00:00:00"/>
    <s v="SO47466"/>
    <n v="381"/>
    <n v="24887"/>
    <n v="9"/>
    <n v="1"/>
    <n v="1"/>
    <n v="2"/>
    <s v="BK-R64Y-38"/>
    <x v="30"/>
    <n v="605.64919999999995"/>
    <n v="1000.4375"/>
    <s v="MR."/>
    <s v="MICAH"/>
    <s v="SUN"/>
    <s v="MICAH SUN"/>
    <d v="1975-05-05T00:00:00"/>
    <s v="S"/>
    <s v="M"/>
    <s v="micah0@adventure-works.com"/>
    <n v="7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94"/>
    <d v="2002-06-11T00:00:00"/>
    <s v="SO47532"/>
    <n v="383"/>
    <n v="24888"/>
    <n v="9"/>
    <n v="1"/>
    <n v="1"/>
    <n v="2"/>
    <s v="BK-R64Y-40"/>
    <x v="29"/>
    <n v="605.64919999999995"/>
    <n v="1000.4375"/>
    <s v="MR."/>
    <s v="ROY"/>
    <s v="SRINI"/>
    <s v="ROY SRINI"/>
    <d v="1975-01-11T00:00:00"/>
    <s v="S"/>
    <s v="M"/>
    <s v="roy9@adventure-works.com"/>
    <n v="7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349"/>
    <d v="2002-08-25T00:00:00"/>
    <s v="SO47655"/>
    <n v="385"/>
    <n v="24889"/>
    <n v="9"/>
    <n v="1"/>
    <n v="1"/>
    <n v="2"/>
    <s v="BK-R64Y-42"/>
    <x v="28"/>
    <n v="605.64919999999995"/>
    <n v="1000.4375"/>
    <s v="MS."/>
    <s v="KELLI"/>
    <s v="SHE"/>
    <s v="KELLI SHE"/>
    <d v="1975-12-20T00:00:00"/>
    <s v="M"/>
    <s v="F"/>
    <s v="kelli23@adventure-works.com"/>
    <n v="70000"/>
    <n v="0"/>
    <s v="Bachelors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206"/>
    <d v="2002-08-25T00:00:00"/>
    <s v="SO47925"/>
    <n v="385"/>
    <n v="24900"/>
    <n v="9"/>
    <n v="1"/>
    <n v="1"/>
    <n v="2"/>
    <s v="BK-R64Y-42"/>
    <x v="28"/>
    <n v="605.64919999999995"/>
    <n v="1000.4375"/>
    <s v="MS."/>
    <s v="EBONY"/>
    <s v="PEREZ"/>
    <s v="EBONY PEREZ"/>
    <d v="1974-02-01T00:00:00"/>
    <s v="S"/>
    <s v="F"/>
    <s v="ebony21@adventure-works.com"/>
    <n v="90000"/>
    <n v="0"/>
    <s v="Bachelors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281"/>
    <d v="2002-06-28T00:00:00"/>
    <s v="SO47885"/>
    <n v="385"/>
    <n v="24901"/>
    <n v="9"/>
    <n v="1"/>
    <n v="1"/>
    <n v="2"/>
    <s v="BK-R64Y-42"/>
    <x v="28"/>
    <n v="605.64919999999995"/>
    <n v="1000.4375"/>
    <s v="MR."/>
    <s v="CLARENCE"/>
    <s v="SHE"/>
    <s v="CLARENCE SHE"/>
    <d v="1974-04-25T00:00:00"/>
    <s v="S"/>
    <s v="M"/>
    <s v="clarence16@adventure-works.com"/>
    <n v="110000"/>
    <n v="0"/>
    <s v="Partial College"/>
    <s v="Management"/>
    <s v="N"/>
    <s v="Australia"/>
    <x v="2"/>
    <s v="Pacific"/>
    <x v="0"/>
    <s v="Bikes"/>
    <n v="1000.4375"/>
    <n v="605.64919999999995"/>
    <n v="394.78829999999999"/>
    <n v="0.39461565565065299"/>
  </r>
  <r>
    <x v="265"/>
    <d v="2002-08-30T00:00:00"/>
    <s v="SO47767"/>
    <n v="381"/>
    <n v="24902"/>
    <n v="9"/>
    <n v="1"/>
    <n v="1"/>
    <n v="2"/>
    <s v="BK-R64Y-38"/>
    <x v="30"/>
    <n v="605.64919999999995"/>
    <n v="1000.4375"/>
    <s v="MS."/>
    <s v="JILL"/>
    <s v="MURPHY"/>
    <s v="JILL MURPHY"/>
    <d v="1973-08-06T00:00:00"/>
    <s v="S"/>
    <s v="F"/>
    <s v="jill31@adventure-works.com"/>
    <n v="90000"/>
    <n v="0"/>
    <s v="Bachelors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280"/>
    <d v="2002-10-01T00:00:00"/>
    <s v="SO47916"/>
    <n v="383"/>
    <n v="24903"/>
    <n v="9"/>
    <n v="1"/>
    <n v="1"/>
    <n v="2"/>
    <s v="BK-R64Y-40"/>
    <x v="29"/>
    <n v="605.64919999999995"/>
    <n v="1000.4375"/>
    <s v="MS."/>
    <s v="TRACY"/>
    <s v="BLACK"/>
    <s v="TRACY BLACK"/>
    <d v="1973-04-09T00:00:00"/>
    <s v="S"/>
    <s v="F"/>
    <s v="tracy19@adventure-works.com"/>
    <n v="9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205"/>
    <d v="2002-06-30T00:00:00"/>
    <s v="SO47835"/>
    <n v="383"/>
    <n v="24904"/>
    <n v="9"/>
    <n v="1"/>
    <n v="1"/>
    <n v="2"/>
    <s v="BK-R64Y-40"/>
    <x v="29"/>
    <n v="605.64919999999995"/>
    <n v="1000.4375"/>
    <s v="MS."/>
    <s v="JACLYN"/>
    <s v="YUAN"/>
    <s v="JACLYN YUAN"/>
    <d v="1973-10-13T00:00:00"/>
    <s v="M"/>
    <s v="F"/>
    <s v="jaclyn30@adventure-works.com"/>
    <n v="90000"/>
    <n v="0"/>
    <s v="Bachelors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348"/>
    <d v="2002-09-01T00:00:00"/>
    <s v="SO48108"/>
    <n v="389"/>
    <n v="24905"/>
    <n v="9"/>
    <n v="1"/>
    <n v="1"/>
    <n v="2"/>
    <s v="BK-R64Y-48"/>
    <x v="31"/>
    <n v="605.64919999999995"/>
    <n v="1000.4375"/>
    <s v="MS."/>
    <s v="KELSEY"/>
    <s v="NARA"/>
    <s v="KELSEY NARA"/>
    <d v="1973-10-22T00:00:00"/>
    <s v="M"/>
    <s v="F"/>
    <s v="kelsey15@adventure-works.com"/>
    <n v="90000"/>
    <n v="0"/>
    <s v="Bachelors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337"/>
    <d v="2002-09-20T00:00:00"/>
    <s v="SO48275"/>
    <n v="387"/>
    <n v="24907"/>
    <n v="9"/>
    <n v="1"/>
    <n v="1"/>
    <n v="2"/>
    <s v="BK-R64Y-44"/>
    <x v="27"/>
    <n v="605.64919999999995"/>
    <n v="1000.4375"/>
    <s v="MS."/>
    <s v="MEGAN"/>
    <s v="PRICE"/>
    <s v="MEGAN PRICE"/>
    <d v="1973-08-27T00:00:00"/>
    <s v="M"/>
    <s v="F"/>
    <s v="megan50@adventure-works.com"/>
    <n v="100000"/>
    <n v="0"/>
    <s v="High School"/>
    <s v="Management"/>
    <s v="Y"/>
    <s v="Australia"/>
    <x v="2"/>
    <s v="Pacific"/>
    <x v="0"/>
    <s v="Bikes"/>
    <n v="1000.4375"/>
    <n v="605.64919999999995"/>
    <n v="394.78829999999999"/>
    <n v="0.39461565565065299"/>
  </r>
  <r>
    <x v="167"/>
    <d v="2002-09-21T00:00:00"/>
    <s v="SO48184"/>
    <n v="381"/>
    <n v="24908"/>
    <n v="9"/>
    <n v="1"/>
    <n v="1"/>
    <n v="2"/>
    <s v="BK-R64Y-38"/>
    <x v="30"/>
    <n v="605.64919999999995"/>
    <n v="1000.4375"/>
    <s v="MR."/>
    <s v="MARC"/>
    <s v="BLANCO"/>
    <s v="MARC BLANCO"/>
    <d v="1972-05-22T00:00:00"/>
    <s v="S"/>
    <s v="M"/>
    <s v="marc19@adventure-works.com"/>
    <n v="90000"/>
    <n v="0"/>
    <s v="Bachelors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313"/>
    <d v="2002-09-11T00:00:00"/>
    <s v="SO48262"/>
    <n v="385"/>
    <n v="24909"/>
    <n v="9"/>
    <n v="1"/>
    <n v="1"/>
    <n v="2"/>
    <s v="BK-R64Y-42"/>
    <x v="28"/>
    <n v="605.64919999999995"/>
    <n v="1000.4375"/>
    <s v="MR."/>
    <s v="GRANT"/>
    <s v="YUAN"/>
    <s v="GRANT YUAN"/>
    <d v="1972-12-12T00:00:00"/>
    <s v="M"/>
    <s v="M"/>
    <s v="grant8@adventure-works.com"/>
    <n v="100000"/>
    <n v="0"/>
    <s v="High School"/>
    <s v="Management"/>
    <s v="N"/>
    <s v="Australia"/>
    <x v="2"/>
    <s v="Pacific"/>
    <x v="0"/>
    <s v="Bikes"/>
    <n v="1000.4375"/>
    <n v="605.64919999999995"/>
    <n v="394.78829999999999"/>
    <n v="0.39461565565065299"/>
  </r>
  <r>
    <x v="284"/>
    <d v="2002-10-18T00:00:00"/>
    <s v="SO48135"/>
    <n v="383"/>
    <n v="24910"/>
    <n v="9"/>
    <n v="1"/>
    <n v="1"/>
    <n v="2"/>
    <s v="BK-R64Y-40"/>
    <x v="29"/>
    <n v="605.64919999999995"/>
    <n v="1000.4375"/>
    <s v="MR."/>
    <s v="TERRANCE"/>
    <s v="MADAN"/>
    <s v="TERRANCE MADAN"/>
    <d v="1972-08-13T00:00:00"/>
    <s v="M"/>
    <s v="M"/>
    <s v="terrance5@adventure-works.com"/>
    <n v="100000"/>
    <n v="0"/>
    <s v="High School"/>
    <s v="Management"/>
    <s v="Y"/>
    <s v="Australia"/>
    <x v="2"/>
    <s v="Pacific"/>
    <x v="0"/>
    <s v="Bikes"/>
    <n v="1000.4375"/>
    <n v="605.64919999999995"/>
    <n v="394.78829999999999"/>
    <n v="0.39461565565065299"/>
  </r>
  <r>
    <x v="298"/>
    <d v="2002-08-15T00:00:00"/>
    <s v="SO48482"/>
    <n v="387"/>
    <n v="24912"/>
    <n v="9"/>
    <n v="1"/>
    <n v="1"/>
    <n v="2"/>
    <s v="BK-R64Y-44"/>
    <x v="27"/>
    <n v="605.64919999999995"/>
    <n v="1000.4375"/>
    <s v="MS."/>
    <s v="KRYSTAL"/>
    <s v="LI"/>
    <s v="KRYSTAL LI"/>
    <d v="1972-11-27T00:00:00"/>
    <s v="S"/>
    <s v="F"/>
    <s v="krystal3@adventure-works.com"/>
    <n v="110000"/>
    <n v="0"/>
    <s v="High School"/>
    <s v="Management"/>
    <s v="N"/>
    <s v="Australia"/>
    <x v="2"/>
    <s v="Pacific"/>
    <x v="0"/>
    <s v="Bikes"/>
    <n v="1000.4375"/>
    <n v="605.64919999999995"/>
    <n v="394.78829999999999"/>
    <n v="0.39461565565065299"/>
  </r>
  <r>
    <x v="187"/>
    <d v="2002-11-16T00:00:00"/>
    <s v="SO48490"/>
    <n v="381"/>
    <n v="24913"/>
    <n v="9"/>
    <n v="1"/>
    <n v="1"/>
    <n v="2"/>
    <s v="BK-R64Y-38"/>
    <x v="30"/>
    <n v="605.64919999999995"/>
    <n v="1000.4375"/>
    <s v="MS."/>
    <s v="KELSEY"/>
    <s v="LAL"/>
    <s v="KELSEY LAL"/>
    <d v="1971-08-14T00:00:00"/>
    <s v="M"/>
    <s v="F"/>
    <s v="kelsey8@adventure-works.com"/>
    <n v="9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219"/>
    <d v="2002-12-05T00:00:00"/>
    <s v="SO48689"/>
    <n v="385"/>
    <n v="24914"/>
    <n v="9"/>
    <n v="1"/>
    <n v="1"/>
    <n v="2"/>
    <s v="BK-R64Y-42"/>
    <x v="28"/>
    <n v="605.64919999999995"/>
    <n v="1000.4375"/>
    <s v="MS."/>
    <s v="HEATHER"/>
    <s v="ZHOU"/>
    <s v="HEATHER ZHOU"/>
    <d v="1971-12-18T00:00:00"/>
    <s v="M"/>
    <s v="F"/>
    <s v="heather8@adventure-works.com"/>
    <n v="9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288"/>
    <d v="2002-11-22T00:00:00"/>
    <s v="SO48726"/>
    <n v="383"/>
    <n v="24915"/>
    <n v="9"/>
    <n v="1"/>
    <n v="1"/>
    <n v="2"/>
    <s v="BK-R64Y-40"/>
    <x v="29"/>
    <n v="605.64919999999995"/>
    <n v="1000.4375"/>
    <s v="MR."/>
    <s v="STANLEY"/>
    <s v="PATEL"/>
    <s v="STANLEY PATEL"/>
    <d v="1971-03-23T00:00:00"/>
    <s v="S"/>
    <s v="M"/>
    <s v="stanley3@adventure-works.com"/>
    <n v="100000"/>
    <n v="0"/>
    <s v="High School"/>
    <s v="Management"/>
    <s v="Y"/>
    <s v="Australia"/>
    <x v="2"/>
    <s v="Pacific"/>
    <x v="0"/>
    <s v="Bikes"/>
    <n v="1000.4375"/>
    <n v="605.64919999999995"/>
    <n v="394.78829999999999"/>
    <n v="0.39461565565065299"/>
  </r>
  <r>
    <x v="230"/>
    <d v="2002-09-13T00:00:00"/>
    <s v="SO48629"/>
    <n v="389"/>
    <n v="24916"/>
    <n v="9"/>
    <n v="1"/>
    <n v="1"/>
    <n v="2"/>
    <s v="BK-R64Y-48"/>
    <x v="31"/>
    <n v="605.64919999999995"/>
    <n v="1000.4375"/>
    <s v="MS."/>
    <s v="KARA"/>
    <s v="PAL"/>
    <s v="KARA PAL"/>
    <d v="1970-11-16T00:00:00"/>
    <s v="S"/>
    <s v="F"/>
    <s v="kara11@adventure-works.com"/>
    <n v="9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298"/>
    <d v="2002-10-26T00:00:00"/>
    <s v="SO48483"/>
    <n v="381"/>
    <n v="24917"/>
    <n v="9"/>
    <n v="1"/>
    <n v="1"/>
    <n v="2"/>
    <s v="BK-R64Y-38"/>
    <x v="30"/>
    <n v="605.64919999999995"/>
    <n v="1000.4375"/>
    <s v="MR."/>
    <s v="ARTHUR"/>
    <s v="GOMEZ"/>
    <s v="ARTHUR GOMEZ"/>
    <d v="1970-07-21T00:00:00"/>
    <s v="S"/>
    <s v="M"/>
    <s v="arthur24@adventure-works.com"/>
    <n v="9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220"/>
    <d v="2002-09-04T00:00:00"/>
    <s v="SO48543"/>
    <n v="387"/>
    <n v="24918"/>
    <n v="9"/>
    <n v="1"/>
    <n v="1"/>
    <n v="2"/>
    <s v="BK-R64Y-44"/>
    <x v="27"/>
    <n v="605.64919999999995"/>
    <n v="1000.4375"/>
    <s v="MR."/>
    <s v="WARREN"/>
    <s v="CAI"/>
    <s v="WARREN CAI"/>
    <d v="1970-02-20T00:00:00"/>
    <s v="S"/>
    <s v="M"/>
    <s v="warren34@adventure-works.com"/>
    <n v="90000"/>
    <n v="0"/>
    <s v="Bachelors"/>
    <s v="Professional"/>
    <s v="N"/>
    <s v="Australia"/>
    <x v="2"/>
    <s v="Pacific"/>
    <x v="0"/>
    <s v="Bikes"/>
    <n v="1000.4375"/>
    <n v="605.64919999999995"/>
    <n v="394.78829999999999"/>
    <n v="0.39461565565065299"/>
  </r>
  <r>
    <x v="189"/>
    <d v="2002-10-02T00:00:00"/>
    <s v="SO48585"/>
    <n v="389"/>
    <n v="24919"/>
    <n v="9"/>
    <n v="1"/>
    <n v="1"/>
    <n v="2"/>
    <s v="BK-R64Y-48"/>
    <x v="31"/>
    <n v="605.64919999999995"/>
    <n v="1000.4375"/>
    <s v="MR."/>
    <s v="CARL"/>
    <s v="SHAN"/>
    <s v="CARL SHAN"/>
    <d v="1970-08-25T00:00:00"/>
    <s v="M"/>
    <s v="M"/>
    <s v="carl10@adventure-works.com"/>
    <n v="100000"/>
    <n v="0"/>
    <s v="Partial High School"/>
    <s v="Professional"/>
    <s v="Y"/>
    <s v="Australia"/>
    <x v="2"/>
    <s v="Pacific"/>
    <x v="0"/>
    <s v="Bikes"/>
    <n v="1000.4375"/>
    <n v="605.64919999999995"/>
    <n v="394.78829999999999"/>
    <n v="0.39461565565065299"/>
  </r>
  <r>
    <x v="293"/>
    <d v="2002-08-17T00:00:00"/>
    <s v="SO48498"/>
    <n v="387"/>
    <n v="24920"/>
    <n v="9"/>
    <n v="1"/>
    <n v="1"/>
    <n v="2"/>
    <s v="BK-R64Y-44"/>
    <x v="27"/>
    <n v="605.64919999999995"/>
    <n v="1000.4375"/>
    <s v="MS."/>
    <s v="AMY"/>
    <s v="CAI"/>
    <s v="AMY CAI"/>
    <d v="1970-10-26T00:00:00"/>
    <s v="M"/>
    <s v="F"/>
    <s v="amy28@adventure-works.com"/>
    <n v="110000"/>
    <n v="0"/>
    <s v="High School"/>
    <s v="Management"/>
    <s v="Y"/>
    <s v="Australia"/>
    <x v="2"/>
    <s v="Pacific"/>
    <x v="0"/>
    <s v="Bikes"/>
    <n v="1000.4375"/>
    <n v="605.64919999999995"/>
    <n v="394.78829999999999"/>
    <n v="0.39461565565065299"/>
  </r>
  <r>
    <x v="95"/>
    <d v="2002-04-07T00:00:00"/>
    <s v="SO46849"/>
    <n v="370"/>
    <n v="24960"/>
    <n v="6"/>
    <n v="1"/>
    <n v="1"/>
    <n v="2"/>
    <s v="BK-R89R-52"/>
    <x v="23"/>
    <n v="1518.7864"/>
    <n v="2443.35"/>
    <s v="MRS."/>
    <s v="BRIANNA"/>
    <s v="GRAY"/>
    <s v="BRIANNA GRAY"/>
    <d v="1946-02-08T00:00:00"/>
    <s v="S"/>
    <s v="F"/>
    <s v="brianna42@adventure-works.com"/>
    <n v="70000"/>
    <n v="5"/>
    <s v="Bachelors"/>
    <s v="Management"/>
    <s v="N"/>
    <s v="Canada"/>
    <x v="5"/>
    <s v="North America"/>
    <x v="0"/>
    <s v="Bikes"/>
    <n v="2443.35"/>
    <n v="1518.7864"/>
    <n v="924.56359999999995"/>
    <n v="0.37839998362903399"/>
  </r>
  <r>
    <x v="74"/>
    <d v="2002-04-27T00:00:00"/>
    <s v="SO46715"/>
    <n v="375"/>
    <n v="24976"/>
    <n v="6"/>
    <n v="1"/>
    <n v="1"/>
    <n v="2"/>
    <s v="BK-R89B-48"/>
    <x v="25"/>
    <n v="1320.6838"/>
    <n v="2181.5625"/>
    <s v="MRS."/>
    <s v="STEPHANIE"/>
    <s v="COOPER"/>
    <s v="STEPHANIE COOPER"/>
    <d v="1949-07-17T00:00:00"/>
    <s v="M"/>
    <s v="F"/>
    <s v="stephanie14@adventure-works.com"/>
    <n v="60000"/>
    <n v="2"/>
    <s v="Partial College"/>
    <s v="Professional"/>
    <s v="Y"/>
    <s v="Canada"/>
    <x v="5"/>
    <s v="North America"/>
    <x v="0"/>
    <s v="Bikes"/>
    <n v="2181.5625"/>
    <n v="1320.6838"/>
    <n v="860.87869999999998"/>
    <n v="0.39461564818793898"/>
  </r>
  <r>
    <x v="213"/>
    <d v="2002-06-26T00:00:00"/>
    <s v="SO46794"/>
    <n v="373"/>
    <n v="24977"/>
    <n v="6"/>
    <n v="1"/>
    <n v="1"/>
    <n v="2"/>
    <s v="BK-R89B-44"/>
    <x v="19"/>
    <n v="1320.6838"/>
    <n v="2181.5625"/>
    <s v="MRS."/>
    <s v="SOPHIA"/>
    <s v="GREEN"/>
    <s v="SOPHIA GREEN"/>
    <d v="1949-07-12T00:00:00"/>
    <s v="M"/>
    <s v="F"/>
    <s v="sophia14@adventure-works.com"/>
    <n v="60000"/>
    <n v="2"/>
    <s v="Partial College"/>
    <s v="Professional"/>
    <s v="Y"/>
    <s v="Canada"/>
    <x v="5"/>
    <s v="North America"/>
    <x v="0"/>
    <s v="Bikes"/>
    <n v="2181.5625"/>
    <n v="1320.6838"/>
    <n v="860.87869999999998"/>
    <n v="0.39461564818793898"/>
  </r>
  <r>
    <x v="74"/>
    <d v="2002-03-26T00:00:00"/>
    <s v="SO46716"/>
    <n v="375"/>
    <n v="25046"/>
    <n v="6"/>
    <n v="1"/>
    <n v="1"/>
    <n v="2"/>
    <s v="BK-R89B-48"/>
    <x v="25"/>
    <n v="1320.6838"/>
    <n v="2181.5625"/>
    <s v="MR."/>
    <s v="CALEB"/>
    <s v="LONG"/>
    <s v="CALEB LONG"/>
    <d v="1973-09-10T00:00:00"/>
    <s v="M"/>
    <s v="M"/>
    <s v="caleb6@adventure-works.com"/>
    <n v="60000"/>
    <n v="0"/>
    <s v="Partial College"/>
    <s v="Skilled Manual"/>
    <s v="Y"/>
    <s v="Canada"/>
    <x v="5"/>
    <s v="North America"/>
    <x v="0"/>
    <s v="Bikes"/>
    <n v="2181.5625"/>
    <n v="1320.6838"/>
    <n v="860.87869999999998"/>
    <n v="0.39461564818793898"/>
  </r>
  <r>
    <x v="74"/>
    <d v="2002-04-16T00:00:00"/>
    <s v="SO46717"/>
    <n v="368"/>
    <n v="25048"/>
    <n v="6"/>
    <n v="1"/>
    <n v="1"/>
    <n v="2"/>
    <s v="BK-R89R-44"/>
    <x v="22"/>
    <n v="1518.7864"/>
    <n v="2443.35"/>
    <s v="MS."/>
    <s v="YOLANDA"/>
    <s v="SHARMA"/>
    <s v="YOLANDA SHARMA"/>
    <d v="1973-02-10T00:00:00"/>
    <s v="S"/>
    <s v="F"/>
    <s v="yolanda8@adventure-works.com"/>
    <n v="70000"/>
    <n v="0"/>
    <s v="Partial College"/>
    <s v="Professional"/>
    <s v="N"/>
    <s v="Canada"/>
    <x v="5"/>
    <s v="North America"/>
    <x v="0"/>
    <s v="Bikes"/>
    <n v="2443.35"/>
    <n v="1518.7864"/>
    <n v="924.56359999999995"/>
    <n v="0.37839998362903399"/>
  </r>
  <r>
    <x v="72"/>
    <d v="2002-05-13T00:00:00"/>
    <s v="SO46878"/>
    <n v="369"/>
    <n v="25061"/>
    <n v="6"/>
    <n v="1"/>
    <n v="1"/>
    <n v="2"/>
    <s v="BK-R89R-48"/>
    <x v="21"/>
    <n v="1518.7864"/>
    <n v="2443.35"/>
    <s v="MS."/>
    <s v="JULIA"/>
    <s v="HUGHES"/>
    <s v="JULIA HUGHES"/>
    <d v="1974-07-23T00:00:00"/>
    <s v="S"/>
    <s v="F"/>
    <s v="julia77@adventure-works.com"/>
    <n v="50000"/>
    <n v="0"/>
    <s v="High School"/>
    <s v="Professional"/>
    <s v="N"/>
    <s v="Canada"/>
    <x v="5"/>
    <s v="North America"/>
    <x v="0"/>
    <s v="Bikes"/>
    <n v="2443.35"/>
    <n v="1518.7864"/>
    <n v="924.56359999999995"/>
    <n v="0.37839998362903399"/>
  </r>
  <r>
    <x v="221"/>
    <d v="2002-04-06T00:00:00"/>
    <s v="SO46815"/>
    <n v="375"/>
    <n v="25093"/>
    <n v="6"/>
    <n v="1"/>
    <n v="1"/>
    <n v="2"/>
    <s v="BK-R89B-48"/>
    <x v="25"/>
    <n v="1320.6838"/>
    <n v="2181.5625"/>
    <s v="MS."/>
    <s v="MADISON"/>
    <s v="GRIFFIN"/>
    <s v="MADISON GRIFFIN"/>
    <d v="1967-06-27T00:00:00"/>
    <s v="S"/>
    <s v="F"/>
    <s v="madison33@adventure-works.com"/>
    <n v="50000"/>
    <n v="0"/>
    <s v="Partial College"/>
    <s v="Skilled Manual"/>
    <s v="N"/>
    <s v="Canada"/>
    <x v="5"/>
    <s v="North America"/>
    <x v="0"/>
    <s v="Bikes"/>
    <n v="2181.5625"/>
    <n v="1320.6838"/>
    <n v="860.87869999999998"/>
    <n v="0.39461564818793898"/>
  </r>
  <r>
    <x v="215"/>
    <d v="2002-06-12T00:00:00"/>
    <s v="SO46801"/>
    <n v="368"/>
    <n v="25094"/>
    <n v="6"/>
    <n v="1"/>
    <n v="1"/>
    <n v="2"/>
    <s v="BK-R89R-44"/>
    <x v="22"/>
    <n v="1518.7864"/>
    <n v="2443.35"/>
    <s v="MR."/>
    <s v="CHARLES"/>
    <s v="THOMAS"/>
    <s v="CHARLES THOMAS"/>
    <d v="1967-03-15T00:00:00"/>
    <s v="S"/>
    <s v="M"/>
    <s v="charles14@adventure-works.com"/>
    <n v="50000"/>
    <n v="0"/>
    <s v="Partial College"/>
    <s v="Skilled Manual"/>
    <s v="N"/>
    <s v="Canada"/>
    <x v="5"/>
    <s v="North America"/>
    <x v="0"/>
    <s v="Bikes"/>
    <n v="2443.35"/>
    <n v="1518.7864"/>
    <n v="924.56359999999995"/>
    <n v="0.37839998362903399"/>
  </r>
  <r>
    <x v="239"/>
    <d v="2002-07-18T00:00:00"/>
    <s v="SO47095"/>
    <n v="370"/>
    <n v="25095"/>
    <n v="6"/>
    <n v="1"/>
    <n v="1"/>
    <n v="2"/>
    <s v="BK-R89R-52"/>
    <x v="23"/>
    <n v="1518.7864"/>
    <n v="2443.35"/>
    <s v="MR."/>
    <s v="ADAM"/>
    <s v="JAI"/>
    <s v="ADAM JAI"/>
    <d v="1967-07-14T00:00:00"/>
    <s v="S"/>
    <s v="M"/>
    <s v="adam28@adventure-works.com"/>
    <n v="50000"/>
    <n v="0"/>
    <s v="Partial College"/>
    <s v="Skilled Manual"/>
    <s v="N"/>
    <s v="Canada"/>
    <x v="5"/>
    <s v="North America"/>
    <x v="0"/>
    <s v="Bikes"/>
    <n v="2443.35"/>
    <n v="1518.7864"/>
    <n v="924.56359999999995"/>
    <n v="0.37839998362903399"/>
  </r>
  <r>
    <x v="106"/>
    <d v="2002-07-10T00:00:00"/>
    <s v="SO47111"/>
    <n v="369"/>
    <n v="25100"/>
    <n v="6"/>
    <n v="1"/>
    <n v="1"/>
    <n v="2"/>
    <s v="BK-R89R-48"/>
    <x v="21"/>
    <n v="1518.7864"/>
    <n v="2443.35"/>
    <s v="MRS."/>
    <s v="KRISTEN"/>
    <s v="HUANG"/>
    <s v="KRISTEN HUANG"/>
    <d v="1959-05-14T00:00:00"/>
    <s v="M"/>
    <s v="F"/>
    <s v="kristen5@adventure-works.com"/>
    <n v="60000"/>
    <n v="1"/>
    <s v="Partial College"/>
    <s v="Skilled Manual"/>
    <s v="Y"/>
    <s v="Canada"/>
    <x v="5"/>
    <s v="North America"/>
    <x v="0"/>
    <s v="Bikes"/>
    <n v="2443.35"/>
    <n v="1518.7864"/>
    <n v="924.56359999999995"/>
    <n v="0.37839998362903399"/>
  </r>
  <r>
    <x v="250"/>
    <d v="2002-06-24T00:00:00"/>
    <s v="SO47341"/>
    <n v="368"/>
    <n v="25104"/>
    <n v="6"/>
    <n v="1"/>
    <n v="1"/>
    <n v="2"/>
    <s v="BK-R89R-44"/>
    <x v="22"/>
    <n v="1518.7864"/>
    <n v="2443.35"/>
    <s v="MRS."/>
    <s v="NATALIE"/>
    <s v="PARKER"/>
    <s v="NATALIE PARKER"/>
    <d v="1959-10-13T00:00:00"/>
    <s v="S"/>
    <s v="F"/>
    <s v="natalie51@adventure-works.com"/>
    <n v="70000"/>
    <n v="2"/>
    <s v="Graduate Degree"/>
    <s v="Professional"/>
    <s v="N"/>
    <s v="Canada"/>
    <x v="5"/>
    <s v="North America"/>
    <x v="0"/>
    <s v="Bikes"/>
    <n v="2443.35"/>
    <n v="1518.7864"/>
    <n v="924.56359999999995"/>
    <n v="0.37839998362903399"/>
  </r>
  <r>
    <x v="236"/>
    <d v="2002-04-06T00:00:00"/>
    <s v="SO47073"/>
    <n v="369"/>
    <n v="25287"/>
    <n v="6"/>
    <n v="1"/>
    <n v="1"/>
    <n v="2"/>
    <s v="BK-R89R-48"/>
    <x v="21"/>
    <n v="1518.7864"/>
    <n v="2443.35"/>
    <s v="MS."/>
    <s v="PAIGE"/>
    <s v="SANDERS"/>
    <s v="PAIGE SANDERS"/>
    <d v="1972-11-16T00:00:00"/>
    <s v="S"/>
    <s v="F"/>
    <s v="paige26@adventure-works.com"/>
    <n v="80000"/>
    <n v="0"/>
    <s v="Bachelors"/>
    <s v="Management"/>
    <s v="N"/>
    <s v="Canada"/>
    <x v="5"/>
    <s v="North America"/>
    <x v="0"/>
    <s v="Bikes"/>
    <n v="2443.35"/>
    <n v="1518.7864"/>
    <n v="924.56359999999995"/>
    <n v="0.37839998362903399"/>
  </r>
  <r>
    <x v="86"/>
    <d v="2002-07-12T00:00:00"/>
    <s v="SO47227"/>
    <n v="375"/>
    <n v="25288"/>
    <n v="6"/>
    <n v="1"/>
    <n v="1"/>
    <n v="2"/>
    <s v="BK-R89B-48"/>
    <x v="25"/>
    <n v="1320.6838"/>
    <n v="2181.5625"/>
    <s v="MS."/>
    <s v="JORDYN"/>
    <s v="FLORES"/>
    <s v="JORDYN FLORES"/>
    <d v="1968-09-08T00:00:00"/>
    <s v="S"/>
    <s v="F"/>
    <s v="jordyn12@adventure-works.com"/>
    <n v="80000"/>
    <n v="0"/>
    <s v="Bachelors"/>
    <s v="Management"/>
    <s v="N"/>
    <s v="Canada"/>
    <x v="5"/>
    <s v="North America"/>
    <x v="0"/>
    <s v="Bikes"/>
    <n v="2181.5625"/>
    <n v="1320.6838"/>
    <n v="860.87869999999998"/>
    <n v="0.39461564818793898"/>
  </r>
  <r>
    <x v="102"/>
    <d v="2002-05-02T00:00:00"/>
    <s v="SO47106"/>
    <n v="369"/>
    <n v="25361"/>
    <n v="6"/>
    <n v="1"/>
    <n v="1"/>
    <n v="2"/>
    <s v="BK-R89R-48"/>
    <x v="21"/>
    <n v="1518.7864"/>
    <n v="2443.35"/>
    <s v="MRS."/>
    <s v="HALEY"/>
    <s v="ROSS"/>
    <s v="HALEY ROSS"/>
    <d v="1958-06-21T00:00:00"/>
    <s v="S"/>
    <s v="F"/>
    <s v="haley23@adventure-works.com"/>
    <n v="30000"/>
    <n v="2"/>
    <s v="High School"/>
    <s v="Skilled Manual"/>
    <s v="N"/>
    <s v="Canada"/>
    <x v="5"/>
    <s v="North America"/>
    <x v="0"/>
    <s v="Bikes"/>
    <n v="2443.35"/>
    <n v="1518.7864"/>
    <n v="924.56359999999995"/>
    <n v="0.37839998362903399"/>
  </r>
  <r>
    <x v="345"/>
    <d v="2002-06-19T00:00:00"/>
    <s v="SO47151"/>
    <n v="370"/>
    <n v="25363"/>
    <n v="6"/>
    <n v="1"/>
    <n v="1"/>
    <n v="2"/>
    <s v="BK-R89R-52"/>
    <x v="23"/>
    <n v="1518.7864"/>
    <n v="2443.35"/>
    <s v="MRS."/>
    <s v="ALEXANDRIA"/>
    <s v="GRAY"/>
    <s v="ALEXANDRIA GRAY"/>
    <d v="1958-02-19T00:00:00"/>
    <s v="M"/>
    <s v="F"/>
    <s v="alexandria29@adventure-works.com"/>
    <n v="30000"/>
    <n v="2"/>
    <s v="High School"/>
    <s v="Skilled Manual"/>
    <s v="Y"/>
    <s v="Canada"/>
    <x v="5"/>
    <s v="North America"/>
    <x v="0"/>
    <s v="Bikes"/>
    <n v="2443.35"/>
    <n v="1518.7864"/>
    <n v="924.56359999999995"/>
    <n v="0.37839998362903399"/>
  </r>
  <r>
    <x v="247"/>
    <d v="2002-05-29T00:00:00"/>
    <s v="SO47204"/>
    <n v="377"/>
    <n v="25371"/>
    <n v="6"/>
    <n v="1"/>
    <n v="1"/>
    <n v="2"/>
    <s v="BK-R89B-52"/>
    <x v="20"/>
    <n v="1320.6838"/>
    <n v="2181.5625"/>
    <s v="MS."/>
    <s v="RENEE"/>
    <s v="GOMEZ"/>
    <s v="RENEE GOMEZ"/>
    <d v="1972-02-22T00:00:00"/>
    <s v="M"/>
    <s v="F"/>
    <s v="renee1@adventure-works.com"/>
    <n v="50000"/>
    <n v="0"/>
    <s v="Graduate Degree"/>
    <s v="Skilled Manual"/>
    <s v="Y"/>
    <s v="Canada"/>
    <x v="5"/>
    <s v="North America"/>
    <x v="0"/>
    <s v="Bikes"/>
    <n v="2181.5625"/>
    <n v="1320.6838"/>
    <n v="860.87869999999998"/>
    <n v="0.39461564818793898"/>
  </r>
  <r>
    <x v="255"/>
    <d v="2002-06-23T00:00:00"/>
    <s v="SO47305"/>
    <n v="369"/>
    <n v="25393"/>
    <n v="6"/>
    <n v="1"/>
    <n v="1"/>
    <n v="2"/>
    <s v="BK-R89R-48"/>
    <x v="21"/>
    <n v="1518.7864"/>
    <n v="2443.35"/>
    <s v="MR."/>
    <s v="LUCAS"/>
    <s v="COX"/>
    <s v="LUCAS COX"/>
    <d v="1971-12-14T00:00:00"/>
    <s v="M"/>
    <s v="M"/>
    <s v="lucas82@adventure-works.com"/>
    <n v="60000"/>
    <n v="1"/>
    <s v="Graduate Degree"/>
    <s v="Professional"/>
    <s v="Y"/>
    <s v="Canada"/>
    <x v="5"/>
    <s v="North America"/>
    <x v="0"/>
    <s v="Bikes"/>
    <n v="2443.35"/>
    <n v="1518.7864"/>
    <n v="924.56359999999995"/>
    <n v="0.37839998362903399"/>
  </r>
  <r>
    <x v="240"/>
    <d v="2002-06-27T00:00:00"/>
    <s v="SO47123"/>
    <n v="371"/>
    <n v="25408"/>
    <n v="6"/>
    <n v="1"/>
    <n v="1"/>
    <n v="2"/>
    <s v="BK-R89R-58"/>
    <x v="24"/>
    <n v="1320.6838"/>
    <n v="2181.5625"/>
    <s v="MRS."/>
    <s v="KAREN"/>
    <s v="ZHAO"/>
    <s v="KAREN ZHAO"/>
    <d v="1968-06-13T00:00:00"/>
    <s v="M"/>
    <s v="F"/>
    <s v="karen20@adventure-works.com"/>
    <n v="70000"/>
    <n v="2"/>
    <s v="Bachelors"/>
    <s v="Skilled Manual"/>
    <s v="Y"/>
    <s v="Canada"/>
    <x v="5"/>
    <s v="North America"/>
    <x v="0"/>
    <s v="Bikes"/>
    <n v="2181.5625"/>
    <n v="1320.6838"/>
    <n v="860.87869999999998"/>
    <n v="0.39461564818793898"/>
  </r>
  <r>
    <x v="336"/>
    <d v="2002-01-01T00:00:00"/>
    <s v="SO45183"/>
    <n v="334"/>
    <n v="25711"/>
    <n v="9"/>
    <n v="1"/>
    <n v="1"/>
    <n v="2"/>
    <s v="BK-R50B-60"/>
    <x v="41"/>
    <n v="413.1463"/>
    <n v="699.09820000000002"/>
    <s v="MR."/>
    <s v="MARIO"/>
    <s v="LUO"/>
    <s v="MARIO LUO"/>
    <d v="1979-09-23T00:00:00"/>
    <s v="S"/>
    <s v="M"/>
    <s v="mario5@adventure-works.com"/>
    <n v="20000"/>
    <n v="0"/>
    <s v="Bachelors"/>
    <s v="Clerical"/>
    <s v="N"/>
    <s v="Australia"/>
    <x v="2"/>
    <s v="Pacific"/>
    <x v="0"/>
    <s v="Bikes"/>
    <n v="699.09820000000002"/>
    <n v="413.1463"/>
    <n v="285.95190000000002"/>
    <n v="0.409029661355157"/>
  </r>
  <r>
    <x v="314"/>
    <d v="2001-12-14T00:00:00"/>
    <s v="SO45258"/>
    <n v="340"/>
    <n v="25712"/>
    <n v="9"/>
    <n v="1"/>
    <n v="1"/>
    <n v="2"/>
    <s v="BK-R50B-48"/>
    <x v="37"/>
    <n v="413.1463"/>
    <n v="699.09820000000002"/>
    <s v="MR."/>
    <s v="BRENT"/>
    <s v="HE"/>
    <s v="BRENT HE"/>
    <d v="1979-08-16T00:00:00"/>
    <s v="S"/>
    <s v="M"/>
    <s v="brent18@adventure-works.com"/>
    <n v="20000"/>
    <n v="0"/>
    <s v="Bachelors"/>
    <s v="Clerical"/>
    <s v="Y"/>
    <s v="Australia"/>
    <x v="2"/>
    <s v="Pacific"/>
    <x v="0"/>
    <s v="Bikes"/>
    <n v="699.09820000000002"/>
    <n v="413.1463"/>
    <n v="285.95190000000002"/>
    <n v="0.409029661355157"/>
  </r>
  <r>
    <x v="338"/>
    <d v="2001-11-09T00:00:00"/>
    <s v="SO45111"/>
    <n v="326"/>
    <n v="25713"/>
    <n v="9"/>
    <n v="1"/>
    <n v="1"/>
    <n v="2"/>
    <s v="BK-R50R-44"/>
    <x v="43"/>
    <n v="413.1463"/>
    <n v="699.09820000000002"/>
    <s v="MS."/>
    <s v="LATASHA"/>
    <s v="GILL"/>
    <s v="LATASHA GILL"/>
    <d v="1979-03-19T00:00:00"/>
    <s v="S"/>
    <s v="F"/>
    <s v="latasha13@adventure-works.com"/>
    <n v="20000"/>
    <n v="0"/>
    <s v="Bachelors"/>
    <s v="Clerical"/>
    <s v="Y"/>
    <s v="Australia"/>
    <x v="2"/>
    <s v="Pacific"/>
    <x v="0"/>
    <s v="Bikes"/>
    <n v="699.09820000000002"/>
    <n v="413.1463"/>
    <n v="285.95190000000002"/>
    <n v="0.409029661355157"/>
  </r>
  <r>
    <x v="39"/>
    <d v="2001-10-19T00:00:00"/>
    <s v="SO45163"/>
    <n v="328"/>
    <n v="25714"/>
    <n v="9"/>
    <n v="1"/>
    <n v="1"/>
    <n v="2"/>
    <s v="BK-R50R-48"/>
    <x v="35"/>
    <n v="413.1463"/>
    <n v="699.09820000000002"/>
    <s v="MR."/>
    <s v="DARREN"/>
    <s v="GUTIERREZ"/>
    <s v="DARREN GUTIERREZ"/>
    <d v="1978-09-03T00:00:00"/>
    <s v="S"/>
    <s v="M"/>
    <s v="darren33@adventure-works.com"/>
    <n v="20000"/>
    <n v="0"/>
    <s v="Bachelors"/>
    <s v="Clerical"/>
    <s v="Y"/>
    <s v="Australia"/>
    <x v="2"/>
    <s v="Pacific"/>
    <x v="0"/>
    <s v="Bikes"/>
    <n v="699.09820000000002"/>
    <n v="413.1463"/>
    <n v="285.95190000000002"/>
    <n v="0.409029661355157"/>
  </r>
  <r>
    <x v="16"/>
    <d v="2001-12-25T00:00:00"/>
    <s v="SO45243"/>
    <n v="334"/>
    <n v="25715"/>
    <n v="9"/>
    <n v="1"/>
    <n v="1"/>
    <n v="2"/>
    <s v="BK-R50B-60"/>
    <x v="41"/>
    <n v="413.1463"/>
    <n v="699.09820000000002"/>
    <s v="MS."/>
    <s v="TABITHA"/>
    <s v="SARA"/>
    <s v="TABITHA SARA"/>
    <d v="1978-07-21T00:00:00"/>
    <s v="S"/>
    <s v="F"/>
    <s v="tabitha8@adventure-works.com"/>
    <n v="20000"/>
    <n v="0"/>
    <s v="Bachelors"/>
    <s v="Clerical"/>
    <s v="N"/>
    <s v="Australia"/>
    <x v="2"/>
    <s v="Pacific"/>
    <x v="0"/>
    <s v="Bikes"/>
    <n v="699.09820000000002"/>
    <n v="413.1463"/>
    <n v="285.95190000000002"/>
    <n v="0.409029661355157"/>
  </r>
  <r>
    <x v="25"/>
    <d v="2001-12-30T00:00:00"/>
    <s v="SO45247"/>
    <n v="334"/>
    <n v="25716"/>
    <n v="9"/>
    <n v="1"/>
    <n v="1"/>
    <n v="2"/>
    <s v="BK-R50B-60"/>
    <x v="41"/>
    <n v="413.1463"/>
    <n v="699.09820000000002"/>
    <s v="MR."/>
    <s v="EDWIN"/>
    <s v="GAO"/>
    <s v="EDWIN GAO"/>
    <d v="1978-11-25T00:00:00"/>
    <s v="S"/>
    <s v="M"/>
    <s v="edwin16@adventure-works.com"/>
    <n v="20000"/>
    <n v="0"/>
    <s v="Bachelors"/>
    <s v="Clerical"/>
    <s v="N"/>
    <s v="Australia"/>
    <x v="2"/>
    <s v="Pacific"/>
    <x v="0"/>
    <s v="Bikes"/>
    <n v="699.09820000000002"/>
    <n v="413.1463"/>
    <n v="285.95190000000002"/>
    <n v="0.409029661355157"/>
  </r>
  <r>
    <x v="336"/>
    <d v="2001-10-01T00:00:00"/>
    <s v="SO45184"/>
    <n v="320"/>
    <n v="25717"/>
    <n v="9"/>
    <n v="1"/>
    <n v="1"/>
    <n v="2"/>
    <s v="BK-R50R-58"/>
    <x v="40"/>
    <n v="413.1463"/>
    <n v="699.09820000000002"/>
    <s v="MR."/>
    <s v="ERNEST"/>
    <s v="GUO"/>
    <s v="ERNEST GUO"/>
    <d v="1978-03-18T00:00:00"/>
    <s v="M"/>
    <s v="M"/>
    <s v="ernest17@adventure-works.com"/>
    <n v="20000"/>
    <n v="0"/>
    <s v="Bachelors"/>
    <s v="Clerical"/>
    <s v="Y"/>
    <s v="Australia"/>
    <x v="2"/>
    <s v="Pacific"/>
    <x v="0"/>
    <s v="Bikes"/>
    <n v="699.09820000000002"/>
    <n v="413.1463"/>
    <n v="285.95190000000002"/>
    <n v="0.409029661355157"/>
  </r>
  <r>
    <x v="355"/>
    <d v="2002-01-31T00:00:00"/>
    <s v="SO45448"/>
    <n v="324"/>
    <n v="25718"/>
    <n v="9"/>
    <n v="1"/>
    <n v="1"/>
    <n v="2"/>
    <s v="BK-R50R-62"/>
    <x v="42"/>
    <n v="413.1463"/>
    <n v="699.09820000000002"/>
    <s v="MR."/>
    <s v="TERRANCE"/>
    <s v="MARTINEZ"/>
    <s v="TERRANCE MARTINEZ"/>
    <d v="1977-08-24T00:00:00"/>
    <s v="S"/>
    <s v="M"/>
    <s v="terrance15@adventure-works.com"/>
    <n v="20000"/>
    <n v="0"/>
    <s v="Partial College"/>
    <s v="Manual"/>
    <s v="N"/>
    <s v="Australia"/>
    <x v="2"/>
    <s v="Pacific"/>
    <x v="0"/>
    <s v="Bikes"/>
    <n v="699.09820000000002"/>
    <n v="413.1463"/>
    <n v="285.95190000000002"/>
    <n v="0.409029661355157"/>
  </r>
  <r>
    <x v="9"/>
    <d v="2001-12-11T00:00:00"/>
    <s v="SO45465"/>
    <n v="342"/>
    <n v="25819"/>
    <n v="9"/>
    <n v="1"/>
    <n v="1"/>
    <n v="2"/>
    <s v="BK-R50B-52"/>
    <x v="33"/>
    <n v="413.1463"/>
    <n v="699.09820000000002"/>
    <s v="MR."/>
    <s v="CARLOS"/>
    <s v="MORGAN"/>
    <s v="CARLOS MORGAN"/>
    <d v="1973-08-18T00:00:00"/>
    <s v="M"/>
    <s v="M"/>
    <s v="carlos15@adventure-works.com"/>
    <n v="90000"/>
    <n v="0"/>
    <s v="Bachelors"/>
    <s v="Professional"/>
    <s v="N"/>
    <s v="Australia"/>
    <x v="2"/>
    <s v="Pacific"/>
    <x v="0"/>
    <s v="Bikes"/>
    <n v="699.09820000000002"/>
    <n v="413.1463"/>
    <n v="285.95190000000002"/>
    <n v="0.409029661355157"/>
  </r>
  <r>
    <x v="330"/>
    <d v="2001-11-20T00:00:00"/>
    <s v="SO45495"/>
    <n v="342"/>
    <n v="25821"/>
    <n v="9"/>
    <n v="1"/>
    <n v="1"/>
    <n v="2"/>
    <s v="BK-R50B-52"/>
    <x v="33"/>
    <n v="413.1463"/>
    <n v="699.09820000000002"/>
    <s v="MS."/>
    <s v="KRYSTAL"/>
    <s v="GAO"/>
    <s v="KRYSTAL GAO"/>
    <d v="1973-07-16T00:00:00"/>
    <s v="S"/>
    <s v="F"/>
    <s v="krystal15@adventure-works.com"/>
    <n v="110000"/>
    <n v="0"/>
    <s v="Partial College"/>
    <s v="Management"/>
    <s v="Y"/>
    <s v="Australia"/>
    <x v="2"/>
    <s v="Pacific"/>
    <x v="0"/>
    <s v="Bikes"/>
    <n v="699.09820000000002"/>
    <n v="413.1463"/>
    <n v="285.95190000000002"/>
    <n v="0.409029661355157"/>
  </r>
  <r>
    <x v="7"/>
    <d v="2001-11-10T00:00:00"/>
    <s v="SO45439"/>
    <n v="326"/>
    <n v="25823"/>
    <n v="9"/>
    <n v="1"/>
    <n v="1"/>
    <n v="2"/>
    <s v="BK-R50R-44"/>
    <x v="43"/>
    <n v="413.1463"/>
    <n v="699.09820000000002"/>
    <s v="MR."/>
    <s v="JAIME"/>
    <s v="XIE"/>
    <s v="JAIME XIE"/>
    <d v="1973-07-26T00:00:00"/>
    <s v="S"/>
    <s v="M"/>
    <s v="jaime27@adventure-works.com"/>
    <n v="110000"/>
    <n v="0"/>
    <s v="Partial College"/>
    <s v="Management"/>
    <s v="Y"/>
    <s v="Australia"/>
    <x v="2"/>
    <s v="Pacific"/>
    <x v="0"/>
    <s v="Bikes"/>
    <n v="699.09820000000002"/>
    <n v="413.1463"/>
    <n v="285.95190000000002"/>
    <n v="0.409029661355157"/>
  </r>
  <r>
    <x v="57"/>
    <d v="2001-11-13T00:00:00"/>
    <s v="SO45652"/>
    <n v="334"/>
    <n v="25826"/>
    <n v="9"/>
    <n v="1"/>
    <n v="1"/>
    <n v="2"/>
    <s v="BK-R50B-60"/>
    <x v="41"/>
    <n v="413.1463"/>
    <n v="699.09820000000002"/>
    <s v="MR."/>
    <s v="NATHANIEL"/>
    <s v="WATSON"/>
    <s v="NATHANIEL WATSON"/>
    <d v="1972-04-10T00:00:00"/>
    <s v="M"/>
    <s v="M"/>
    <s v="nathaniel1@adventure-works.com"/>
    <n v="110000"/>
    <n v="0"/>
    <s v="Partial College"/>
    <s v="Management"/>
    <s v="N"/>
    <s v="Australia"/>
    <x v="2"/>
    <s v="Pacific"/>
    <x v="0"/>
    <s v="Bikes"/>
    <n v="699.09820000000002"/>
    <n v="413.1463"/>
    <n v="285.95190000000002"/>
    <n v="0.409029661355157"/>
  </r>
  <r>
    <x v="36"/>
    <d v="2002-02-01T00:00:00"/>
    <s v="SO45661"/>
    <n v="342"/>
    <n v="25827"/>
    <n v="9"/>
    <n v="1"/>
    <n v="1"/>
    <n v="2"/>
    <s v="BK-R50B-52"/>
    <x v="33"/>
    <n v="413.1463"/>
    <n v="699.09820000000002"/>
    <s v="MS."/>
    <s v="KARLA"/>
    <s v="NARA"/>
    <s v="KARLA NARA"/>
    <d v="1971-03-02T00:00:00"/>
    <s v="S"/>
    <s v="F"/>
    <s v="karla18@adventure-works.com"/>
    <n v="100000"/>
    <n v="0"/>
    <s v="High School"/>
    <s v="Management"/>
    <s v="Y"/>
    <s v="Australia"/>
    <x v="2"/>
    <s v="Pacific"/>
    <x v="0"/>
    <s v="Bikes"/>
    <n v="699.09820000000002"/>
    <n v="413.1463"/>
    <n v="285.95190000000002"/>
    <n v="0.409029661355157"/>
  </r>
  <r>
    <x v="35"/>
    <d v="2002-01-08T00:00:00"/>
    <s v="SO45584"/>
    <n v="336"/>
    <n v="25828"/>
    <n v="9"/>
    <n v="1"/>
    <n v="1"/>
    <n v="2"/>
    <s v="BK-R50B-62"/>
    <x v="36"/>
    <n v="413.1463"/>
    <n v="699.09820000000002"/>
    <s v="MR."/>
    <s v="RONALD"/>
    <s v="MADAN"/>
    <s v="RONALD MADAN"/>
    <d v="1970-09-03T00:00:00"/>
    <s v="M"/>
    <s v="M"/>
    <s v="ronald9@adventure-works.com"/>
    <n v="100000"/>
    <n v="0"/>
    <s v="Partial High School"/>
    <s v="Professional"/>
    <s v="Y"/>
    <s v="Australia"/>
    <x v="2"/>
    <s v="Pacific"/>
    <x v="0"/>
    <s v="Bikes"/>
    <n v="699.09820000000002"/>
    <n v="413.1463"/>
    <n v="285.95190000000002"/>
    <n v="0.409029661355157"/>
  </r>
  <r>
    <x v="52"/>
    <d v="2002-02-28T00:00:00"/>
    <s v="SO45675"/>
    <n v="340"/>
    <n v="25829"/>
    <n v="9"/>
    <n v="1"/>
    <n v="1"/>
    <n v="2"/>
    <s v="BK-R50B-48"/>
    <x v="37"/>
    <n v="413.1463"/>
    <n v="699.09820000000002"/>
    <s v="MS."/>
    <s v="TONI"/>
    <s v="PATEL"/>
    <s v="TONI PATEL"/>
    <d v="1970-03-16T00:00:00"/>
    <s v="M"/>
    <s v="F"/>
    <s v="toni2@adventure-works.com"/>
    <n v="110000"/>
    <n v="0"/>
    <s v="High School"/>
    <s v="Management"/>
    <s v="Y"/>
    <s v="Australia"/>
    <x v="2"/>
    <s v="Pacific"/>
    <x v="0"/>
    <s v="Bikes"/>
    <n v="699.09820000000002"/>
    <n v="413.1463"/>
    <n v="285.95190000000002"/>
    <n v="0.409029661355157"/>
  </r>
  <r>
    <x v="50"/>
    <d v="2001-12-27T00:00:00"/>
    <s v="SO45607"/>
    <n v="330"/>
    <n v="25830"/>
    <n v="9"/>
    <n v="1"/>
    <n v="1"/>
    <n v="2"/>
    <s v="BK-R50R-52"/>
    <x v="39"/>
    <n v="413.1463"/>
    <n v="699.09820000000002"/>
    <s v="MR."/>
    <s v="LOUIS"/>
    <s v="NATH"/>
    <s v="LOUIS NATH"/>
    <d v="1970-03-01T00:00:00"/>
    <s v="M"/>
    <s v="M"/>
    <s v="louis34@adventure-works.com"/>
    <n v="120000"/>
    <n v="0"/>
    <s v="Partial High School"/>
    <s v="Professional"/>
    <s v="Y"/>
    <s v="Australia"/>
    <x v="2"/>
    <s v="Pacific"/>
    <x v="0"/>
    <s v="Bikes"/>
    <n v="699.09820000000002"/>
    <n v="413.1463"/>
    <n v="285.95190000000002"/>
    <n v="0.409029661355157"/>
  </r>
  <r>
    <x v="41"/>
    <d v="2002-02-10T00:00:00"/>
    <s v="SO45591"/>
    <n v="326"/>
    <n v="25831"/>
    <n v="9"/>
    <n v="1"/>
    <n v="1"/>
    <n v="2"/>
    <s v="BK-R50R-44"/>
    <x v="43"/>
    <n v="413.1463"/>
    <n v="699.09820000000002"/>
    <s v="MR."/>
    <s v="SEBASTIAN"/>
    <s v="TORRES"/>
    <s v="SEBASTIAN TORRES"/>
    <d v="1971-06-25T00:00:00"/>
    <s v="M"/>
    <s v="M"/>
    <s v="sebastian5@adventure-works.com"/>
    <n v="110000"/>
    <n v="0"/>
    <s v="High School"/>
    <s v="Management"/>
    <s v="Y"/>
    <s v="Australia"/>
    <x v="2"/>
    <s v="Pacific"/>
    <x v="0"/>
    <s v="Bikes"/>
    <n v="699.09820000000002"/>
    <n v="413.1463"/>
    <n v="285.95190000000002"/>
    <n v="0.409029661355157"/>
  </r>
  <r>
    <x v="87"/>
    <d v="2002-01-09T00:00:00"/>
    <s v="SO45820"/>
    <n v="340"/>
    <n v="25832"/>
    <n v="9"/>
    <n v="1"/>
    <n v="1"/>
    <n v="2"/>
    <s v="BK-R50B-48"/>
    <x v="37"/>
    <n v="413.1463"/>
    <n v="699.09820000000002"/>
    <s v="MR."/>
    <s v="SHAWN"/>
    <s v="TANG"/>
    <s v="SHAWN TANG"/>
    <d v="1971-04-03T00:00:00"/>
    <s v="S"/>
    <s v="M"/>
    <s v="shawn6@adventure-works.com"/>
    <n v="110000"/>
    <n v="0"/>
    <s v="Partial High School"/>
    <s v="Professional"/>
    <s v="N"/>
    <s v="Australia"/>
    <x v="2"/>
    <s v="Pacific"/>
    <x v="0"/>
    <s v="Bikes"/>
    <n v="699.09820000000002"/>
    <n v="413.1463"/>
    <n v="285.95190000000002"/>
    <n v="0.409029661355157"/>
  </r>
  <r>
    <x v="244"/>
    <d v="2002-06-24T00:00:00"/>
    <s v="SO47157"/>
    <n v="369"/>
    <n v="25864"/>
    <n v="6"/>
    <n v="1"/>
    <n v="1"/>
    <n v="2"/>
    <s v="BK-R89R-48"/>
    <x v="21"/>
    <n v="1518.7864"/>
    <n v="2443.35"/>
    <s v="MRS."/>
    <s v="PETR"/>
    <s v="LAZECKY"/>
    <s v="PETR LAZECKY"/>
    <d v="1946-06-07T00:00:00"/>
    <s v="M"/>
    <s v="F"/>
    <s v="petr0@adventure-works.com"/>
    <n v="40000"/>
    <n v="5"/>
    <s v="High School"/>
    <s v="Professional"/>
    <s v="Y"/>
    <s v="Canada"/>
    <x v="5"/>
    <s v="North America"/>
    <x v="0"/>
    <s v="Bikes"/>
    <n v="2443.35"/>
    <n v="1518.7864"/>
    <n v="924.56359999999995"/>
    <n v="0.37839998362903399"/>
  </r>
  <r>
    <x v="86"/>
    <d v="2002-06-08T00:00:00"/>
    <s v="SO47223"/>
    <n v="370"/>
    <n v="25875"/>
    <n v="6"/>
    <n v="1"/>
    <n v="1"/>
    <n v="2"/>
    <s v="BK-R89R-52"/>
    <x v="23"/>
    <n v="1518.7864"/>
    <n v="2443.35"/>
    <s v="MRS."/>
    <s v="JOCELYN"/>
    <s v="PRICE"/>
    <s v="JOCELYN PRICE"/>
    <d v="1948-06-12T00:00:00"/>
    <s v="M"/>
    <s v="F"/>
    <s v="jocelyn0@adventure-works.com"/>
    <n v="40000"/>
    <n v="2"/>
    <s v="High School"/>
    <s v="Professional"/>
    <s v="N"/>
    <s v="Canada"/>
    <x v="5"/>
    <s v="North America"/>
    <x v="0"/>
    <s v="Bikes"/>
    <n v="2443.35"/>
    <n v="1518.7864"/>
    <n v="924.56359999999995"/>
    <n v="0.37839998362903399"/>
  </r>
  <r>
    <x v="247"/>
    <d v="2002-05-31T00:00:00"/>
    <s v="SO47203"/>
    <n v="370"/>
    <n v="25883"/>
    <n v="6"/>
    <n v="1"/>
    <n v="1"/>
    <n v="2"/>
    <s v="BK-R89R-52"/>
    <x v="23"/>
    <n v="1518.7864"/>
    <n v="2443.35"/>
    <s v="MR."/>
    <s v="LUIS"/>
    <s v="CARTER"/>
    <s v="LUIS CARTER"/>
    <d v="1949-02-03T00:00:00"/>
    <s v="M"/>
    <s v="M"/>
    <s v="luis43@adventure-works.com"/>
    <n v="60000"/>
    <n v="2"/>
    <s v="Partial College"/>
    <s v="Professional"/>
    <s v="Y"/>
    <s v="Canada"/>
    <x v="5"/>
    <s v="North America"/>
    <x v="0"/>
    <s v="Bikes"/>
    <n v="2443.35"/>
    <n v="1518.7864"/>
    <n v="924.56359999999995"/>
    <n v="0.37839998362903399"/>
  </r>
  <r>
    <x v="245"/>
    <d v="2002-07-01T00:00:00"/>
    <s v="SO47190"/>
    <n v="369"/>
    <n v="25892"/>
    <n v="6"/>
    <n v="1"/>
    <n v="1"/>
    <n v="2"/>
    <s v="BK-R89R-48"/>
    <x v="21"/>
    <n v="1518.7864"/>
    <n v="2443.35"/>
    <s v="MRS."/>
    <s v="STEPHANIE"/>
    <s v="PRICE"/>
    <s v="STEPHANIE PRICE"/>
    <d v="1951-03-21T00:00:00"/>
    <s v="M"/>
    <s v="F"/>
    <s v="stephanie28@adventure-works.com"/>
    <n v="60000"/>
    <n v="2"/>
    <s v="High School"/>
    <s v="Professional"/>
    <s v="Y"/>
    <s v="Canada"/>
    <x v="5"/>
    <s v="North America"/>
    <x v="0"/>
    <s v="Bikes"/>
    <n v="2443.35"/>
    <n v="1518.7864"/>
    <n v="924.56359999999995"/>
    <n v="0.37839998362903399"/>
  </r>
  <r>
    <x v="349"/>
    <d v="2002-08-26T00:00:00"/>
    <s v="SO47651"/>
    <n v="377"/>
    <n v="25911"/>
    <n v="6"/>
    <n v="1"/>
    <n v="1"/>
    <n v="2"/>
    <s v="BK-R89B-52"/>
    <x v="20"/>
    <n v="1320.6838"/>
    <n v="2181.5625"/>
    <s v="MS."/>
    <s v="ALEXANDRA"/>
    <s v="SANDERS"/>
    <s v="ALEXANDRA SANDERS"/>
    <d v="1978-04-02T00:00:00"/>
    <s v="S"/>
    <s v="F"/>
    <s v="alexandra22@adventure-works.com"/>
    <n v="40000"/>
    <n v="0"/>
    <s v="High School"/>
    <s v="Skilled Manual"/>
    <s v="N"/>
    <s v="Canada"/>
    <x v="5"/>
    <s v="North America"/>
    <x v="0"/>
    <s v="Bikes"/>
    <n v="2181.5625"/>
    <n v="1320.6838"/>
    <n v="860.87869999999998"/>
    <n v="0.39461564818793898"/>
  </r>
  <r>
    <x v="121"/>
    <d v="2002-03-20T00:00:00"/>
    <s v="SO45998"/>
    <n v="342"/>
    <n v="25918"/>
    <n v="9"/>
    <n v="1"/>
    <n v="1"/>
    <n v="2"/>
    <s v="BK-R50B-52"/>
    <x v="33"/>
    <n v="413.1463"/>
    <n v="699.09820000000002"/>
    <s v="MRS."/>
    <s v="CARLY"/>
    <s v="ANAND"/>
    <s v="CARLY ANAND"/>
    <d v="1946-02-10T00:00:00"/>
    <s v="S"/>
    <s v="F"/>
    <s v="carly20@adventure-works.com"/>
    <n v="30000"/>
    <n v="2"/>
    <s v="Partial College"/>
    <s v="Clerical"/>
    <s v="N"/>
    <s v="Australia"/>
    <x v="2"/>
    <s v="Pacific"/>
    <x v="0"/>
    <s v="Bikes"/>
    <n v="699.09820000000002"/>
    <n v="413.1463"/>
    <n v="285.95190000000002"/>
    <n v="0.409029661355157"/>
  </r>
  <r>
    <x v="101"/>
    <d v="2002-01-05T00:00:00"/>
    <s v="SO45871"/>
    <n v="326"/>
    <n v="25919"/>
    <n v="9"/>
    <n v="1"/>
    <n v="1"/>
    <n v="2"/>
    <s v="BK-R50R-44"/>
    <x v="43"/>
    <n v="413.1463"/>
    <n v="699.09820000000002"/>
    <s v="MRS."/>
    <s v="DANA"/>
    <s v="RAMOS"/>
    <s v="DANA RAMOS"/>
    <d v="1946-11-03T00:00:00"/>
    <s v="M"/>
    <s v="F"/>
    <s v="dana10@adventure-works.com"/>
    <n v="30000"/>
    <n v="2"/>
    <s v="Partial College"/>
    <s v="Clerical"/>
    <s v="N"/>
    <s v="Australia"/>
    <x v="2"/>
    <s v="Pacific"/>
    <x v="0"/>
    <s v="Bikes"/>
    <n v="699.09820000000002"/>
    <n v="413.1463"/>
    <n v="285.95190000000002"/>
    <n v="0.409029661355157"/>
  </r>
  <r>
    <x v="110"/>
    <d v="2002-01-28T00:00:00"/>
    <s v="SO45945"/>
    <n v="324"/>
    <n v="25920"/>
    <n v="9"/>
    <n v="1"/>
    <n v="1"/>
    <n v="2"/>
    <s v="BK-R50R-62"/>
    <x v="42"/>
    <n v="413.1463"/>
    <n v="699.09820000000002"/>
    <s v="MR."/>
    <s v="ORLANDO"/>
    <s v="GUTIERREZ"/>
    <s v="ORLANDO GUTIERREZ"/>
    <d v="1946-06-17T00:00:00"/>
    <s v="M"/>
    <s v="M"/>
    <s v="orlando10@adventure-works.com"/>
    <n v="40000"/>
    <n v="2"/>
    <s v="Bachelors"/>
    <s v="Management"/>
    <s v="N"/>
    <s v="Australia"/>
    <x v="2"/>
    <s v="Pacific"/>
    <x v="0"/>
    <s v="Bikes"/>
    <n v="699.09820000000002"/>
    <n v="413.1463"/>
    <n v="285.95190000000002"/>
    <n v="0.409029661355157"/>
  </r>
  <r>
    <x v="115"/>
    <d v="2002-01-07T00:00:00"/>
    <s v="SO45965"/>
    <n v="320"/>
    <n v="25921"/>
    <n v="9"/>
    <n v="1"/>
    <n v="1"/>
    <n v="2"/>
    <s v="BK-R50R-58"/>
    <x v="40"/>
    <n v="413.1463"/>
    <n v="699.09820000000002"/>
    <s v="MR."/>
    <s v="COLIN"/>
    <s v="SHAN"/>
    <s v="COLIN SHAN"/>
    <d v="1947-09-20T00:00:00"/>
    <s v="S"/>
    <s v="M"/>
    <s v="colin33@adventure-works.com"/>
    <n v="30000"/>
    <n v="2"/>
    <s v="Partial College"/>
    <s v="Clerical"/>
    <s v="N"/>
    <s v="Australia"/>
    <x v="2"/>
    <s v="Pacific"/>
    <x v="0"/>
    <s v="Bikes"/>
    <n v="699.09820000000002"/>
    <n v="413.1463"/>
    <n v="285.95190000000002"/>
    <n v="0.409029661355157"/>
  </r>
  <r>
    <x v="143"/>
    <d v="2002-01-30T00:00:00"/>
    <s v="SO46303"/>
    <n v="340"/>
    <n v="25922"/>
    <n v="9"/>
    <n v="1"/>
    <n v="1"/>
    <n v="2"/>
    <s v="BK-R50B-48"/>
    <x v="37"/>
    <n v="413.1463"/>
    <n v="699.09820000000002"/>
    <s v="MRS."/>
    <s v="VERONICA"/>
    <s v="MALHOTRA"/>
    <s v="VERONICA MALHOTRA"/>
    <d v="1947-09-14T00:00:00"/>
    <s v="S"/>
    <s v="F"/>
    <s v="veronica5@adventure-works.com"/>
    <n v="30000"/>
    <n v="2"/>
    <s v="Partial College"/>
    <s v="Clerical"/>
    <s v="Y"/>
    <s v="Australia"/>
    <x v="2"/>
    <s v="Pacific"/>
    <x v="0"/>
    <s v="Bikes"/>
    <n v="699.09820000000002"/>
    <n v="413.1463"/>
    <n v="285.95190000000002"/>
    <n v="0.409029661355157"/>
  </r>
  <r>
    <x v="126"/>
    <d v="2002-01-07T00:00:00"/>
    <s v="SO46158"/>
    <n v="320"/>
    <n v="25926"/>
    <n v="9"/>
    <n v="1"/>
    <n v="1"/>
    <n v="2"/>
    <s v="BK-R50R-58"/>
    <x v="40"/>
    <n v="413.1463"/>
    <n v="699.09820000000002"/>
    <s v="MR."/>
    <s v="LARRY"/>
    <s v="GUTIERREZ"/>
    <s v="LARRY GUTIERREZ"/>
    <d v="1948-09-15T00:00:00"/>
    <s v="M"/>
    <s v="M"/>
    <s v="larry13@adventure-works.com"/>
    <n v="20000"/>
    <n v="4"/>
    <s v="High School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122"/>
    <d v="2002-04-01T00:00:00"/>
    <s v="SO46119"/>
    <n v="326"/>
    <n v="25927"/>
    <n v="9"/>
    <n v="1"/>
    <n v="1"/>
    <n v="2"/>
    <s v="BK-R50R-44"/>
    <x v="43"/>
    <n v="413.1463"/>
    <n v="699.09820000000002"/>
    <s v="MRS."/>
    <s v="TIFFANY"/>
    <s v="GUO"/>
    <s v="TIFFANY GUO"/>
    <d v="1948-12-04T00:00:00"/>
    <s v="S"/>
    <s v="F"/>
    <s v="tiffany18@adventure-works.com"/>
    <n v="20000"/>
    <n v="2"/>
    <s v="High School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66"/>
    <d v="2002-01-06T00:00:00"/>
    <s v="SO46153"/>
    <n v="324"/>
    <n v="25928"/>
    <n v="9"/>
    <n v="1"/>
    <n v="1"/>
    <n v="2"/>
    <s v="BK-R50R-62"/>
    <x v="42"/>
    <n v="413.1463"/>
    <n v="699.09820000000002"/>
    <s v="MR."/>
    <s v="MARIO"/>
    <s v="SHARMA"/>
    <s v="MARIO SHARMA"/>
    <d v="1948-06-08T00:00:00"/>
    <s v="M"/>
    <s v="M"/>
    <s v="mario7@adventure-works.com"/>
    <n v="20000"/>
    <n v="2"/>
    <s v="High School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130"/>
    <d v="2002-04-19T00:00:00"/>
    <s v="SO46202"/>
    <n v="320"/>
    <n v="25935"/>
    <n v="9"/>
    <n v="1"/>
    <n v="1"/>
    <n v="2"/>
    <s v="BK-R50R-58"/>
    <x v="40"/>
    <n v="413.1463"/>
    <n v="699.09820000000002"/>
    <s v="MRS."/>
    <s v="APRIL"/>
    <s v="TANG"/>
    <s v="APRIL TANG"/>
    <d v="1949-03-18T00:00:00"/>
    <s v="M"/>
    <s v="F"/>
    <s v="april4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64"/>
    <d v="2002-03-10T00:00:00"/>
    <s v="SO46168"/>
    <n v="334"/>
    <n v="25936"/>
    <n v="9"/>
    <n v="1"/>
    <n v="1"/>
    <n v="2"/>
    <s v="BK-R50B-60"/>
    <x v="41"/>
    <n v="413.1463"/>
    <n v="699.09820000000002"/>
    <s v="MRS."/>
    <s v="DEANNA"/>
    <s v="SCHMIDT"/>
    <s v="DEANNA SCHMIDT"/>
    <d v="1949-10-27T00:00:00"/>
    <s v="S"/>
    <s v="F"/>
    <s v="deanna46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76"/>
    <d v="2002-01-31T00:00:00"/>
    <s v="SO46178"/>
    <n v="334"/>
    <n v="25937"/>
    <n v="9"/>
    <n v="1"/>
    <n v="1"/>
    <n v="2"/>
    <s v="BK-R50B-60"/>
    <x v="41"/>
    <n v="413.1463"/>
    <n v="699.09820000000002"/>
    <s v="MR."/>
    <s v="JON"/>
    <s v="YUAN"/>
    <s v="JON YUAN"/>
    <d v="1949-04-22T00:00:00"/>
    <s v="M"/>
    <s v="M"/>
    <s v="jon47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144"/>
    <d v="2002-02-24T00:00:00"/>
    <s v="SO46310"/>
    <n v="336"/>
    <n v="25938"/>
    <n v="9"/>
    <n v="1"/>
    <n v="1"/>
    <n v="2"/>
    <s v="BK-R50B-62"/>
    <x v="36"/>
    <n v="413.1463"/>
    <n v="699.09820000000002"/>
    <s v="MR."/>
    <s v="MARVIN"/>
    <s v="GUTIERREZ"/>
    <s v="MARVIN GUTIERREZ"/>
    <d v="1949-10-22T00:00:00"/>
    <s v="S"/>
    <s v="M"/>
    <s v="marvin11@adventure-works.com"/>
    <n v="30000"/>
    <n v="3"/>
    <s v="Partial College"/>
    <s v="Clerical"/>
    <s v="N"/>
    <s v="Australia"/>
    <x v="2"/>
    <s v="Pacific"/>
    <x v="0"/>
    <s v="Bikes"/>
    <n v="699.09820000000002"/>
    <n v="413.1463"/>
    <n v="285.95190000000002"/>
    <n v="0.409029661355157"/>
  </r>
  <r>
    <x v="152"/>
    <d v="2002-04-02T00:00:00"/>
    <s v="SO46478"/>
    <n v="326"/>
    <n v="25939"/>
    <n v="9"/>
    <n v="1"/>
    <n v="1"/>
    <n v="2"/>
    <s v="BK-R50R-44"/>
    <x v="43"/>
    <n v="413.1463"/>
    <n v="699.09820000000002"/>
    <s v="MR."/>
    <s v="WILLIE"/>
    <s v="TANG"/>
    <s v="WILLIE TANG"/>
    <d v="1950-10-24T00:00:00"/>
    <s v="M"/>
    <s v="M"/>
    <s v="willie23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164"/>
    <d v="2002-05-09T00:00:00"/>
    <s v="SO46527"/>
    <n v="334"/>
    <n v="25940"/>
    <n v="9"/>
    <n v="1"/>
    <n v="1"/>
    <n v="2"/>
    <s v="BK-R50B-60"/>
    <x v="41"/>
    <n v="413.1463"/>
    <n v="699.09820000000002"/>
    <s v="MR."/>
    <s v="GERALD"/>
    <s v="ARUN"/>
    <s v="GERALD ARUN"/>
    <d v="1951-08-14T00:00:00"/>
    <s v="S"/>
    <s v="M"/>
    <s v="gerald36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162"/>
    <d v="2002-05-19T00:00:00"/>
    <s v="SO46507"/>
    <n v="320"/>
    <n v="25941"/>
    <n v="9"/>
    <n v="1"/>
    <n v="1"/>
    <n v="2"/>
    <s v="BK-R50R-58"/>
    <x v="40"/>
    <n v="413.1463"/>
    <n v="699.09820000000002"/>
    <s v="MRS."/>
    <s v="MOLLY"/>
    <s v="PEREZ"/>
    <s v="MOLLY PEREZ"/>
    <d v="1951-05-17T00:00:00"/>
    <s v="M"/>
    <s v="F"/>
    <s v="molly20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67"/>
    <d v="2002-03-17T00:00:00"/>
    <s v="SO46474"/>
    <n v="342"/>
    <n v="25944"/>
    <n v="9"/>
    <n v="1"/>
    <n v="1"/>
    <n v="2"/>
    <s v="BK-R50B-52"/>
    <x v="33"/>
    <n v="413.1463"/>
    <n v="699.09820000000002"/>
    <s v="MR."/>
    <s v="RONALD"/>
    <s v="PEREZ"/>
    <s v="RONALD PEREZ"/>
    <d v="1952-10-18T00:00:00"/>
    <s v="S"/>
    <s v="M"/>
    <s v="ronald24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171"/>
    <d v="2002-06-09T00:00:00"/>
    <s v="SO46563"/>
    <n v="320"/>
    <n v="25945"/>
    <n v="9"/>
    <n v="1"/>
    <n v="1"/>
    <n v="2"/>
    <s v="BK-R50R-58"/>
    <x v="40"/>
    <n v="413.1463"/>
    <n v="699.09820000000002"/>
    <s v="MR."/>
    <s v="BRENT"/>
    <s v="GUO"/>
    <s v="BRENT GUO"/>
    <d v="1952-02-17T00:00:00"/>
    <s v="M"/>
    <s v="M"/>
    <s v="brent17@adventure-works.com"/>
    <n v="30000"/>
    <n v="3"/>
    <s v="High School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175"/>
    <d v="2002-04-16T00:00:00"/>
    <s v="SO46589"/>
    <n v="326"/>
    <n v="25946"/>
    <n v="9"/>
    <n v="1"/>
    <n v="1"/>
    <n v="2"/>
    <s v="BK-R50R-44"/>
    <x v="43"/>
    <n v="413.1463"/>
    <n v="699.09820000000002"/>
    <s v="MRS."/>
    <s v="BRITTA"/>
    <s v="SIMON"/>
    <s v="BRITTA SIMON"/>
    <d v="1953-03-23T00:00:00"/>
    <s v="M"/>
    <s v="F"/>
    <s v="britta1@adventure-works.com"/>
    <n v="40000"/>
    <n v="2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155"/>
    <d v="2002-03-05T00:00:00"/>
    <s v="SO46457"/>
    <n v="324"/>
    <n v="25947"/>
    <n v="9"/>
    <n v="1"/>
    <n v="1"/>
    <n v="2"/>
    <s v="BK-R50R-62"/>
    <x v="42"/>
    <n v="413.1463"/>
    <n v="699.09820000000002"/>
    <s v="MR."/>
    <s v="SAM"/>
    <s v="WILSON"/>
    <s v="SAM WILSON"/>
    <d v="1954-10-13T00:00:00"/>
    <s v="S"/>
    <s v="M"/>
    <s v="sam3@adventure-works.com"/>
    <n v="40000"/>
    <n v="3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70"/>
    <d v="2002-06-06T00:00:00"/>
    <s v="SO46556"/>
    <n v="326"/>
    <n v="25948"/>
    <n v="9"/>
    <n v="1"/>
    <n v="1"/>
    <n v="2"/>
    <s v="BK-R50R-44"/>
    <x v="43"/>
    <n v="413.1463"/>
    <n v="699.09820000000002"/>
    <s v="MRS."/>
    <s v="CHRISTINE"/>
    <s v="STONE"/>
    <s v="CHRISTINE STONE"/>
    <d v="1954-05-10T00:00:00"/>
    <s v="S"/>
    <s v="F"/>
    <s v="christine1@adventure-works.com"/>
    <n v="40000"/>
    <n v="3"/>
    <s v="Partial High School"/>
    <s v="Clerical"/>
    <s v="N"/>
    <s v="Australia"/>
    <x v="2"/>
    <s v="Pacific"/>
    <x v="0"/>
    <s v="Bikes"/>
    <n v="699.09820000000002"/>
    <n v="413.1463"/>
    <n v="285.95190000000002"/>
    <n v="0.409029661355157"/>
  </r>
  <r>
    <x v="150"/>
    <d v="2002-02-21T00:00:00"/>
    <s v="SO46421"/>
    <n v="336"/>
    <n v="25949"/>
    <n v="9"/>
    <n v="1"/>
    <n v="1"/>
    <n v="2"/>
    <s v="BK-R50B-62"/>
    <x v="36"/>
    <n v="413.1463"/>
    <n v="699.09820000000002"/>
    <s v="MRS."/>
    <s v="SUMMER"/>
    <s v="RAMAN"/>
    <s v="SUMMER RAMAN"/>
    <d v="1954-01-18T00:00:00"/>
    <s v="S"/>
    <s v="F"/>
    <s v="summer10@adventure-works.com"/>
    <n v="40000"/>
    <n v="3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199"/>
    <d v="2002-06-04T00:00:00"/>
    <s v="SO46754"/>
    <n v="320"/>
    <n v="25958"/>
    <n v="9"/>
    <n v="1"/>
    <n v="1"/>
    <n v="2"/>
    <s v="BK-R50R-58"/>
    <x v="40"/>
    <n v="413.1463"/>
    <n v="699.09820000000002"/>
    <s v="MR."/>
    <s v="ALFREDO"/>
    <s v="ORTEGA"/>
    <s v="ALFREDO ORTEGA"/>
    <d v="1956-03-11T00:00:00"/>
    <s v="S"/>
    <s v="M"/>
    <s v="alfredo23@adventure-works.com"/>
    <n v="80000"/>
    <n v="2"/>
    <s v="High School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72"/>
    <d v="2002-04-01T00:00:00"/>
    <s v="SO46882"/>
    <n v="342"/>
    <n v="25960"/>
    <n v="9"/>
    <n v="1"/>
    <n v="1"/>
    <n v="2"/>
    <s v="BK-R50B-52"/>
    <x v="33"/>
    <n v="413.1463"/>
    <n v="699.09820000000002"/>
    <s v="MR."/>
    <s v="WILLIE"/>
    <s v="CAI"/>
    <s v="WILLIE CAI"/>
    <d v="1957-06-05T00:00:00"/>
    <s v="M"/>
    <s v="M"/>
    <s v="willie19@adventure-works.com"/>
    <n v="70000"/>
    <n v="2"/>
    <s v="High School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179"/>
    <d v="2002-06-17T00:00:00"/>
    <s v="SO46699"/>
    <n v="328"/>
    <n v="25961"/>
    <n v="9"/>
    <n v="1"/>
    <n v="1"/>
    <n v="2"/>
    <s v="BK-R50R-48"/>
    <x v="35"/>
    <n v="413.1463"/>
    <n v="699.09820000000002"/>
    <s v="MR."/>
    <s v="RICARDO"/>
    <s v="GOEL"/>
    <s v="RICARDO GOEL"/>
    <d v="1957-03-27T00:00:00"/>
    <s v="S"/>
    <s v="M"/>
    <s v="ricardo18@adventure-works.com"/>
    <n v="70000"/>
    <n v="2"/>
    <s v="High School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318"/>
    <d v="2002-06-07T00:00:00"/>
    <s v="SO47597"/>
    <n v="373"/>
    <n v="25971"/>
    <n v="6"/>
    <n v="1"/>
    <n v="1"/>
    <n v="2"/>
    <s v="BK-R89B-44"/>
    <x v="19"/>
    <n v="1320.6838"/>
    <n v="2181.5625"/>
    <s v="MRS."/>
    <s v="SAVANNAH"/>
    <s v="YOUNG"/>
    <s v="SAVANNAH YOUNG"/>
    <d v="1963-04-08T00:00:00"/>
    <s v="S"/>
    <s v="F"/>
    <s v="savannah40@adventure-works.com"/>
    <n v="70000"/>
    <n v="4"/>
    <s v="Bachelors"/>
    <s v="Professional"/>
    <s v="Y"/>
    <s v="Canada"/>
    <x v="5"/>
    <s v="North America"/>
    <x v="0"/>
    <s v="Bikes"/>
    <n v="2181.5625"/>
    <n v="1320.6838"/>
    <n v="860.87869999999998"/>
    <n v="0.39461564818793898"/>
  </r>
  <r>
    <x v="18"/>
    <d v="2001-12-16T00:00:00"/>
    <s v="SO45089"/>
    <n v="351"/>
    <n v="25977"/>
    <n v="4"/>
    <n v="1"/>
    <n v="1"/>
    <n v="1"/>
    <s v="BK-M82B-48"/>
    <x v="7"/>
    <n v="1898.0944"/>
    <n v="3374.99"/>
    <s v="MRS."/>
    <s v="JENNA"/>
    <s v="LOPEZ"/>
    <s v="JENNA LOPEZ"/>
    <d v="1968-04-23T00:00:00"/>
    <s v="M"/>
    <s v="F"/>
    <s v="jenna20@adventure-works.com"/>
    <n v="60000"/>
    <n v="2"/>
    <s v="Graduate Degree"/>
    <s v="Professional"/>
    <s v="Y"/>
    <s v="Southwest"/>
    <x v="1"/>
    <s v="North America"/>
    <x v="1"/>
    <s v="Bikes"/>
    <n v="3374.99"/>
    <n v="1898.0944"/>
    <n v="1476.8956000000001"/>
    <n v="0.43759999288886797"/>
  </r>
  <r>
    <x v="39"/>
    <d v="2001-11-20T00:00:00"/>
    <s v="SO45161"/>
    <n v="349"/>
    <n v="25978"/>
    <n v="4"/>
    <n v="1"/>
    <n v="1"/>
    <n v="1"/>
    <s v="BK-M82B-42"/>
    <x v="11"/>
    <n v="1898.0944"/>
    <n v="3374.99"/>
    <s v="MRS."/>
    <s v="MORGAN"/>
    <s v="PEREZ"/>
    <s v="MORGAN PEREZ"/>
    <d v="1925-11-23T00:00:00"/>
    <s v="S"/>
    <s v="F"/>
    <s v="morgan9@adventure-works.com"/>
    <n v="90000"/>
    <n v="5"/>
    <s v="Bachelors"/>
    <s v="Professional"/>
    <s v="Y"/>
    <s v="Southwest"/>
    <x v="1"/>
    <s v="North America"/>
    <x v="1"/>
    <s v="Bikes"/>
    <n v="3374.99"/>
    <n v="1898.0944"/>
    <n v="1476.8956000000001"/>
    <n v="0.43759999288886797"/>
  </r>
  <r>
    <x v="37"/>
    <d v="2001-09-14T00:00:00"/>
    <s v="SO45131"/>
    <n v="344"/>
    <n v="25979"/>
    <n v="1"/>
    <n v="1"/>
    <n v="1"/>
    <n v="1"/>
    <s v="BK-M82S-38"/>
    <x v="8"/>
    <n v="1912.1543999999999"/>
    <n v="3399.99"/>
    <s v="MR."/>
    <s v="MIGUEL"/>
    <s v="EDWARDS"/>
    <s v="MIGUEL EDWARDS"/>
    <d v="1963-02-02T00:00:00"/>
    <s v="S"/>
    <s v="M"/>
    <s v="miguel44@adventure-works.com"/>
    <n v="70000"/>
    <n v="4"/>
    <s v="Bachelors"/>
    <s v="Professional"/>
    <s v="Y"/>
    <s v="Northwest"/>
    <x v="1"/>
    <s v="North America"/>
    <x v="1"/>
    <s v="Bikes"/>
    <n v="3399.99"/>
    <n v="1912.1543999999999"/>
    <n v="1487.8356000000001"/>
    <n v="0.43759999294115598"/>
  </r>
  <r>
    <x v="23"/>
    <d v="2001-09-18T00:00:00"/>
    <s v="SO45150"/>
    <n v="346"/>
    <n v="25980"/>
    <n v="1"/>
    <n v="1"/>
    <n v="1"/>
    <n v="1"/>
    <s v="BK-M82S-44"/>
    <x v="12"/>
    <n v="1912.1543999999999"/>
    <n v="3399.99"/>
    <s v="MRS."/>
    <s v="JULIA"/>
    <s v="JONES"/>
    <s v="JULIA JONES"/>
    <d v="1963-04-10T00:00:00"/>
    <s v="S"/>
    <s v="F"/>
    <s v="julia25@adventure-works.com"/>
    <n v="70000"/>
    <n v="4"/>
    <s v="Bachelors"/>
    <s v="Professional"/>
    <s v="Y"/>
    <s v="Northwest"/>
    <x v="1"/>
    <s v="North America"/>
    <x v="1"/>
    <s v="Bikes"/>
    <n v="3399.99"/>
    <n v="1912.1543999999999"/>
    <n v="1487.8356000000001"/>
    <n v="0.43759999294115598"/>
  </r>
  <r>
    <x v="261"/>
    <d v="2002-07-08T00:00:00"/>
    <s v="SO47558"/>
    <n v="370"/>
    <n v="25981"/>
    <n v="6"/>
    <n v="1"/>
    <n v="1"/>
    <n v="2"/>
    <s v="BK-R89R-52"/>
    <x v="23"/>
    <n v="1518.7864"/>
    <n v="2443.35"/>
    <s v="MR."/>
    <s v="ISAIAH"/>
    <s v="HOWARD"/>
    <s v="ISAIAH HOWARD"/>
    <d v="1963-11-15T00:00:00"/>
    <s v="M"/>
    <s v="M"/>
    <s v="isaiah10@adventure-works.com"/>
    <n v="70000"/>
    <n v="4"/>
    <s v="Bachelors"/>
    <s v="Professional"/>
    <s v="Y"/>
    <s v="Canada"/>
    <x v="5"/>
    <s v="North America"/>
    <x v="0"/>
    <s v="Bikes"/>
    <n v="2443.35"/>
    <n v="1518.7864"/>
    <n v="924.56359999999995"/>
    <n v="0.37839998362903399"/>
  </r>
  <r>
    <x v="328"/>
    <d v="2001-11-20T00:00:00"/>
    <s v="SO45218"/>
    <n v="345"/>
    <n v="25982"/>
    <n v="1"/>
    <n v="1"/>
    <n v="1"/>
    <n v="1"/>
    <s v="BK-M82S-42"/>
    <x v="6"/>
    <n v="1912.1543999999999"/>
    <n v="3399.99"/>
    <s v="MS."/>
    <s v="REBECCA"/>
    <s v="PHILLIPS"/>
    <s v="REBECCA PHILLIPS"/>
    <d v="1963-04-17T00:00:00"/>
    <s v="S"/>
    <s v="F"/>
    <s v="rebecca8@adventure-works.com"/>
    <n v="70000"/>
    <n v="0"/>
    <s v="Bachelors"/>
    <s v="Professional"/>
    <s v="N"/>
    <s v="Northwest"/>
    <x v="1"/>
    <s v="North America"/>
    <x v="1"/>
    <s v="Bikes"/>
    <n v="3399.99"/>
    <n v="1912.1543999999999"/>
    <n v="1487.8356000000001"/>
    <n v="0.43759999294115598"/>
  </r>
  <r>
    <x v="22"/>
    <d v="2001-09-20T00:00:00"/>
    <s v="SO45115"/>
    <n v="348"/>
    <n v="25984"/>
    <n v="4"/>
    <n v="1"/>
    <n v="1"/>
    <n v="1"/>
    <s v="BK-M82B-38"/>
    <x v="9"/>
    <n v="1898.0944"/>
    <n v="3374.99"/>
    <s v="MRS."/>
    <s v="ISABELLA"/>
    <s v="WRIGHT"/>
    <s v="ISABELLA WRIGHT"/>
    <d v="1963-11-26T00:00:00"/>
    <s v="S"/>
    <s v="F"/>
    <s v="isabella51@adventure-works.com"/>
    <n v="60000"/>
    <n v="3"/>
    <s v="Graduate Degree"/>
    <s v="Professional"/>
    <s v="Y"/>
    <s v="Southwest"/>
    <x v="1"/>
    <s v="North America"/>
    <x v="1"/>
    <s v="Bikes"/>
    <n v="3374.99"/>
    <n v="1898.0944"/>
    <n v="1476.8956000000001"/>
    <n v="0.43759999288886797"/>
  </r>
  <r>
    <x v="37"/>
    <d v="2001-12-07T00:00:00"/>
    <s v="SO45132"/>
    <n v="350"/>
    <n v="25985"/>
    <n v="4"/>
    <n v="1"/>
    <n v="1"/>
    <n v="1"/>
    <s v="BK-M82B-44"/>
    <x v="5"/>
    <n v="1898.0944"/>
    <n v="3374.99"/>
    <s v="MR."/>
    <s v="JUSTIN"/>
    <s v="HARRIS"/>
    <s v="JUSTIN HARRIS"/>
    <d v="1963-05-27T00:00:00"/>
    <s v="M"/>
    <s v="M"/>
    <s v="justin41@adventure-works.com"/>
    <n v="60000"/>
    <n v="3"/>
    <s v="Graduate Degree"/>
    <s v="Professional"/>
    <s v="N"/>
    <s v="Southwest"/>
    <x v="1"/>
    <s v="North America"/>
    <x v="1"/>
    <s v="Bikes"/>
    <n v="3374.99"/>
    <n v="1898.0944"/>
    <n v="1476.8956000000001"/>
    <n v="0.43759999288886797"/>
  </r>
  <r>
    <x v="5"/>
    <d v="2001-12-24T00:00:00"/>
    <s v="SO45388"/>
    <n v="350"/>
    <n v="25986"/>
    <n v="1"/>
    <n v="1"/>
    <n v="1"/>
    <n v="1"/>
    <s v="BK-M82B-44"/>
    <x v="5"/>
    <n v="1898.0944"/>
    <n v="3374.99"/>
    <s v="MRS."/>
    <s v="ISABEL"/>
    <s v="BRYANT"/>
    <s v="ISABEL BRYANT"/>
    <d v="1963-01-24T00:00:00"/>
    <s v="M"/>
    <s v="F"/>
    <s v="isabel17@adventure-works.com"/>
    <n v="60000"/>
    <n v="3"/>
    <s v="Graduate Degree"/>
    <s v="Professional"/>
    <s v="N"/>
    <s v="Northwest"/>
    <x v="1"/>
    <s v="North America"/>
    <x v="1"/>
    <s v="Bikes"/>
    <n v="3374.99"/>
    <n v="1898.0944"/>
    <n v="1476.8956000000001"/>
    <n v="0.43759999288886797"/>
  </r>
  <r>
    <x v="6"/>
    <d v="2001-12-24T00:00:00"/>
    <s v="SO45406"/>
    <n v="351"/>
    <n v="25987"/>
    <n v="4"/>
    <n v="1"/>
    <n v="1"/>
    <n v="1"/>
    <s v="BK-M82B-48"/>
    <x v="7"/>
    <n v="1898.0944"/>
    <n v="3374.99"/>
    <s v="MR."/>
    <s v="HUNTER"/>
    <s v="KUMAR"/>
    <s v="HUNTER KUMAR"/>
    <d v="1962-05-25T00:00:00"/>
    <s v="M"/>
    <s v="M"/>
    <s v="hunter23@adventure-works.com"/>
    <n v="40000"/>
    <n v="3"/>
    <s v="High School"/>
    <s v="Skilled Manual"/>
    <s v="Y"/>
    <s v="Southwest"/>
    <x v="1"/>
    <s v="North America"/>
    <x v="1"/>
    <s v="Bikes"/>
    <n v="3374.99"/>
    <n v="1898.0944"/>
    <n v="1476.8956000000001"/>
    <n v="0.43759999288886797"/>
  </r>
  <r>
    <x v="342"/>
    <d v="2002-07-26T00:00:00"/>
    <s v="SO47893"/>
    <n v="371"/>
    <n v="25989"/>
    <n v="6"/>
    <n v="1"/>
    <n v="1"/>
    <n v="2"/>
    <s v="BK-R89R-58"/>
    <x v="24"/>
    <n v="1320.6838"/>
    <n v="2181.5625"/>
    <s v="MR."/>
    <s v="JEREMY"/>
    <s v="PRICE"/>
    <s v="JEREMY PRICE"/>
    <d v="1962-01-18T00:00:00"/>
    <s v="M"/>
    <s v="M"/>
    <s v="jeremy21@adventure-works.com"/>
    <n v="70000"/>
    <n v="1"/>
    <s v="Bachelors"/>
    <s v="Professional"/>
    <s v="Y"/>
    <s v="Canada"/>
    <x v="5"/>
    <s v="North America"/>
    <x v="0"/>
    <s v="Bikes"/>
    <n v="2181.5625"/>
    <n v="1320.6838"/>
    <n v="860.87869999999998"/>
    <n v="0.39461564818793898"/>
  </r>
  <r>
    <x v="355"/>
    <d v="2001-12-21T00:00:00"/>
    <s v="SO45446"/>
    <n v="345"/>
    <n v="25990"/>
    <n v="1"/>
    <n v="1"/>
    <n v="1"/>
    <n v="1"/>
    <s v="BK-M82S-42"/>
    <x v="6"/>
    <n v="1912.1543999999999"/>
    <n v="3399.99"/>
    <s v="MRS."/>
    <s v="JENNA"/>
    <s v="PARKER"/>
    <s v="JENNA PARKER"/>
    <d v="1962-08-22T00:00:00"/>
    <s v="S"/>
    <s v="F"/>
    <s v="jenna7@adventure-works.com"/>
    <n v="70000"/>
    <n v="1"/>
    <s v="Bachelors"/>
    <s v="Professional"/>
    <s v="N"/>
    <s v="Northwest"/>
    <x v="1"/>
    <s v="North America"/>
    <x v="1"/>
    <s v="Bikes"/>
    <n v="3399.99"/>
    <n v="1912.1543999999999"/>
    <n v="1487.8356000000001"/>
    <n v="0.43759999294115598"/>
  </r>
  <r>
    <x v="209"/>
    <d v="2002-08-17T00:00:00"/>
    <s v="SO47781"/>
    <n v="379"/>
    <n v="25991"/>
    <n v="6"/>
    <n v="1"/>
    <n v="1"/>
    <n v="2"/>
    <s v="BK-R89B-58"/>
    <x v="26"/>
    <n v="1320.6838"/>
    <n v="2181.5625"/>
    <s v="MRS."/>
    <s v="ARIANNA"/>
    <s v="HAYES"/>
    <s v="ARIANNA HAYES"/>
    <d v="1962-03-12T00:00:00"/>
    <s v="M"/>
    <s v="F"/>
    <s v="arianna20@adventure-works.com"/>
    <n v="70000"/>
    <n v="1"/>
    <s v="Partial College"/>
    <s v="Skilled Manual"/>
    <s v="Y"/>
    <s v="Canada"/>
    <x v="5"/>
    <s v="North America"/>
    <x v="0"/>
    <s v="Bikes"/>
    <n v="2181.5625"/>
    <n v="1320.6838"/>
    <n v="860.87869999999998"/>
    <n v="0.39461564818793898"/>
  </r>
  <r>
    <x v="264"/>
    <d v="2002-09-01T00:00:00"/>
    <s v="SO47875"/>
    <n v="375"/>
    <n v="25992"/>
    <n v="6"/>
    <n v="1"/>
    <n v="1"/>
    <n v="2"/>
    <s v="BK-R89B-48"/>
    <x v="25"/>
    <n v="1320.6838"/>
    <n v="2181.5625"/>
    <s v="MRS."/>
    <s v="STEPHANIE"/>
    <s v="FLORES"/>
    <s v="STEPHANIE FLORES"/>
    <d v="1962-05-12T00:00:00"/>
    <s v="M"/>
    <s v="F"/>
    <s v="stephanie39@adventure-works.com"/>
    <n v="70000"/>
    <n v="1"/>
    <s v="Partial College"/>
    <s v="Skilled Manual"/>
    <s v="Y"/>
    <s v="Canada"/>
    <x v="5"/>
    <s v="North America"/>
    <x v="0"/>
    <s v="Bikes"/>
    <n v="2181.5625"/>
    <n v="1320.6838"/>
    <n v="860.87869999999998"/>
    <n v="0.39461564818793898"/>
  </r>
  <r>
    <x v="329"/>
    <d v="2002-02-04T00:00:00"/>
    <s v="SO45501"/>
    <n v="350"/>
    <n v="25993"/>
    <n v="1"/>
    <n v="1"/>
    <n v="1"/>
    <n v="1"/>
    <s v="BK-M82B-44"/>
    <x v="5"/>
    <n v="1898.0944"/>
    <n v="3374.99"/>
    <s v="MRS."/>
    <s v="HEIDI"/>
    <s v="CHANDRA"/>
    <s v="HEIDI CHANDRA"/>
    <d v="1961-05-27T00:00:00"/>
    <s v="S"/>
    <s v="F"/>
    <s v="heidi4@adventure-works.com"/>
    <n v="40000"/>
    <n v="4"/>
    <s v="High School"/>
    <s v="Skilled Manual"/>
    <s v="Y"/>
    <s v="Northwest"/>
    <x v="1"/>
    <s v="North America"/>
    <x v="1"/>
    <s v="Bikes"/>
    <n v="3374.99"/>
    <n v="1898.0944"/>
    <n v="1476.8956000000001"/>
    <n v="0.43759999288886797"/>
  </r>
  <r>
    <x v="26"/>
    <d v="2001-10-24T00:00:00"/>
    <s v="SO45373"/>
    <n v="349"/>
    <n v="25994"/>
    <n v="1"/>
    <n v="1"/>
    <n v="1"/>
    <n v="1"/>
    <s v="BK-M82B-42"/>
    <x v="11"/>
    <n v="1898.0944"/>
    <n v="3374.99"/>
    <s v="MR."/>
    <s v="RICHARD"/>
    <s v="GARCIA"/>
    <s v="RICHARD GARCIA"/>
    <d v="1961-03-17T00:00:00"/>
    <s v="S"/>
    <s v="M"/>
    <s v="richard10@adventure-works.com"/>
    <n v="40000"/>
    <n v="4"/>
    <s v="High School"/>
    <s v="Skilled Manual"/>
    <s v="Y"/>
    <s v="Northwest"/>
    <x v="1"/>
    <s v="North America"/>
    <x v="1"/>
    <s v="Bikes"/>
    <n v="3374.99"/>
    <n v="1898.0944"/>
    <n v="1476.8956000000001"/>
    <n v="0.43759999288886797"/>
  </r>
  <r>
    <x v="217"/>
    <d v="2002-10-04T00:00:00"/>
    <s v="SO48693"/>
    <n v="370"/>
    <n v="25995"/>
    <n v="6"/>
    <n v="1"/>
    <n v="1"/>
    <n v="2"/>
    <s v="BK-R89R-52"/>
    <x v="23"/>
    <n v="1518.7864"/>
    <n v="2443.35"/>
    <s v="MR."/>
    <s v="JACK"/>
    <s v="PHILLIPS"/>
    <s v="JACK PHILLIPS"/>
    <d v="1961-04-02T00:00:00"/>
    <s v="M"/>
    <s v="M"/>
    <s v="jack41@adventure-works.com"/>
    <n v="40000"/>
    <n v="4"/>
    <s v="High School"/>
    <s v="Skilled Manual"/>
    <s v="Y"/>
    <s v="Canada"/>
    <x v="5"/>
    <s v="North America"/>
    <x v="0"/>
    <s v="Bikes"/>
    <n v="2443.35"/>
    <n v="1518.7864"/>
    <n v="924.56359999999995"/>
    <n v="0.37839998362903399"/>
  </r>
  <r>
    <x v="11"/>
    <d v="2001-11-16T00:00:00"/>
    <s v="SO45513"/>
    <n v="348"/>
    <n v="25996"/>
    <n v="4"/>
    <n v="1"/>
    <n v="1"/>
    <n v="1"/>
    <s v="BK-M82B-38"/>
    <x v="9"/>
    <n v="1898.0944"/>
    <n v="3374.99"/>
    <s v="MRS."/>
    <s v="FAITH"/>
    <s v="MURPHY"/>
    <s v="FAITH MURPHY"/>
    <d v="1961-08-15T00:00:00"/>
    <s v="M"/>
    <s v="F"/>
    <s v="faith32@adventure-works.com"/>
    <n v="60000"/>
    <n v="1"/>
    <s v="Partial College"/>
    <s v="Skilled Manual"/>
    <s v="Y"/>
    <s v="Southwest"/>
    <x v="1"/>
    <s v="North America"/>
    <x v="1"/>
    <s v="Bikes"/>
    <n v="3374.99"/>
    <n v="1898.0944"/>
    <n v="1476.8956000000001"/>
    <n v="0.43759999288886797"/>
  </r>
  <r>
    <x v="46"/>
    <d v="2001-12-25T00:00:00"/>
    <s v="SO45647"/>
    <n v="347"/>
    <n v="25997"/>
    <n v="4"/>
    <n v="1"/>
    <n v="1"/>
    <n v="1"/>
    <s v="BK-M82S-48"/>
    <x v="10"/>
    <n v="1912.1543999999999"/>
    <n v="3399.99"/>
    <s v="MRS."/>
    <s v="KATHERINE"/>
    <s v="WRIGHT"/>
    <s v="KATHERINE WRIGHT"/>
    <d v="1961-11-21T00:00:00"/>
    <s v="M"/>
    <s v="F"/>
    <s v="katherine68@adventure-works.com"/>
    <n v="60000"/>
    <n v="1"/>
    <s v="Partial College"/>
    <s v="Skilled Manual"/>
    <s v="Y"/>
    <s v="Southwest"/>
    <x v="1"/>
    <s v="North America"/>
    <x v="1"/>
    <s v="Bikes"/>
    <n v="3399.99"/>
    <n v="1912.1543999999999"/>
    <n v="1487.8356000000001"/>
    <n v="0.43759999294115598"/>
  </r>
  <r>
    <x v="71"/>
    <d v="2002-02-28T00:00:00"/>
    <s v="SO45686"/>
    <n v="346"/>
    <n v="25998"/>
    <n v="1"/>
    <n v="1"/>
    <n v="1"/>
    <n v="1"/>
    <s v="BK-M82S-44"/>
    <x v="12"/>
    <n v="1912.1543999999999"/>
    <n v="3399.99"/>
    <s v="MR."/>
    <s v="RICHARD"/>
    <s v="RIVERA"/>
    <s v="RICHARD RIVERA"/>
    <d v="1961-03-04T00:00:00"/>
    <s v="M"/>
    <s v="M"/>
    <s v="richard89@adventure-works.com"/>
    <n v="60000"/>
    <n v="1"/>
    <s v="Partial College"/>
    <s v="Skilled Manual"/>
    <s v="Y"/>
    <s v="Northwest"/>
    <x v="1"/>
    <s v="North America"/>
    <x v="1"/>
    <s v="Bikes"/>
    <n v="3399.99"/>
    <n v="1912.1543999999999"/>
    <n v="1487.8356000000001"/>
    <n v="0.43759999294115598"/>
  </r>
  <r>
    <x v="219"/>
    <d v="2002-10-11T00:00:00"/>
    <s v="SO48686"/>
    <n v="371"/>
    <n v="25999"/>
    <n v="6"/>
    <n v="1"/>
    <n v="1"/>
    <n v="2"/>
    <s v="BK-R89R-58"/>
    <x v="24"/>
    <n v="1320.6838"/>
    <n v="2181.5625"/>
    <s v="MR."/>
    <s v="JOSHUA"/>
    <s v="THOMPSON"/>
    <s v="JOSHUA THOMPSON"/>
    <d v="1960-07-01T00:00:00"/>
    <s v="M"/>
    <s v="M"/>
    <s v="joshua17@adventure-works.com"/>
    <n v="40000"/>
    <n v="4"/>
    <s v="High School"/>
    <s v="Skilled Manual"/>
    <s v="Y"/>
    <s v="Canada"/>
    <x v="5"/>
    <s v="North America"/>
    <x v="0"/>
    <s v="Bikes"/>
    <n v="2181.5625"/>
    <n v="1320.6838"/>
    <n v="860.87869999999998"/>
    <n v="0.39461564818793898"/>
  </r>
  <r>
    <x v="82"/>
    <d v="2001-12-12T00:00:00"/>
    <s v="SO45750"/>
    <n v="345"/>
    <n v="26001"/>
    <n v="1"/>
    <n v="1"/>
    <n v="1"/>
    <n v="1"/>
    <s v="BK-M82S-42"/>
    <x v="6"/>
    <n v="1912.1543999999999"/>
    <n v="3399.99"/>
    <s v="MR."/>
    <s v="NICHOLAS"/>
    <s v="LEE"/>
    <s v="NICHOLAS LEE"/>
    <d v="1967-03-25T00:00:00"/>
    <s v="S"/>
    <s v="M"/>
    <s v="nicholas2@adventure-works.com"/>
    <n v="50000"/>
    <n v="0"/>
    <s v="Partial College"/>
    <s v="Skilled Manual"/>
    <s v="N"/>
    <s v="Northwest"/>
    <x v="1"/>
    <s v="North America"/>
    <x v="1"/>
    <s v="Bikes"/>
    <n v="3399.99"/>
    <n v="1912.1543999999999"/>
    <n v="1487.8356000000001"/>
    <n v="0.43759999294115598"/>
  </r>
  <r>
    <x v="84"/>
    <d v="2001-12-16T00:00:00"/>
    <s v="SO45778"/>
    <n v="351"/>
    <n v="26002"/>
    <n v="1"/>
    <n v="1"/>
    <n v="1"/>
    <n v="1"/>
    <s v="BK-M82B-48"/>
    <x v="7"/>
    <n v="1898.0944"/>
    <n v="3374.99"/>
    <s v="MR."/>
    <s v="SAMUEL"/>
    <s v="WALKER"/>
    <s v="SAMUEL WALKER"/>
    <d v="1967-10-03T00:00:00"/>
    <s v="S"/>
    <s v="M"/>
    <s v="samuel72@adventure-works.com"/>
    <n v="50000"/>
    <n v="0"/>
    <s v="Partial College"/>
    <s v="Skilled Manual"/>
    <s v="N"/>
    <s v="Northwest"/>
    <x v="1"/>
    <s v="North America"/>
    <x v="1"/>
    <s v="Bikes"/>
    <n v="3374.99"/>
    <n v="1898.0944"/>
    <n v="1476.8956000000001"/>
    <n v="0.43759999288886797"/>
  </r>
  <r>
    <x v="36"/>
    <d v="2001-12-22T00:00:00"/>
    <s v="SO45659"/>
    <n v="349"/>
    <n v="26003"/>
    <n v="4"/>
    <n v="1"/>
    <n v="1"/>
    <n v="1"/>
    <s v="BK-M82B-42"/>
    <x v="11"/>
    <n v="1898.0944"/>
    <n v="3374.99"/>
    <s v="MS."/>
    <s v="DENISE"/>
    <s v="SUBRAM"/>
    <s v="DENISE SUBRAM"/>
    <d v="1967-11-25T00:00:00"/>
    <s v="S"/>
    <s v="F"/>
    <s v="denise14@adventure-works.com"/>
    <n v="60000"/>
    <n v="0"/>
    <s v="Graduate Degree"/>
    <s v="Professional"/>
    <s v="N"/>
    <s v="Southwest"/>
    <x v="1"/>
    <s v="North America"/>
    <x v="1"/>
    <s v="Bikes"/>
    <n v="3374.99"/>
    <n v="1898.0944"/>
    <n v="1476.8956000000001"/>
    <n v="0.43759999288886797"/>
  </r>
  <r>
    <x v="326"/>
    <d v="2002-01-09T00:00:00"/>
    <s v="SO45665"/>
    <n v="346"/>
    <n v="26004"/>
    <n v="4"/>
    <n v="1"/>
    <n v="1"/>
    <n v="1"/>
    <s v="BK-M82S-44"/>
    <x v="12"/>
    <n v="1912.1543999999999"/>
    <n v="3399.99"/>
    <s v="MRS."/>
    <s v="ARTHUR"/>
    <s v="WASHINGTON"/>
    <s v="ARTHUR WASHINGTON"/>
    <d v="1960-11-08T00:00:00"/>
    <s v="M"/>
    <s v="F"/>
    <s v="arthur45@adventure-works.com"/>
    <n v="60000"/>
    <n v="1"/>
    <s v="Partial College"/>
    <s v="Skilled Manual"/>
    <s v="Y"/>
    <s v="Southwest"/>
    <x v="1"/>
    <s v="North America"/>
    <x v="1"/>
    <s v="Bikes"/>
    <n v="3399.99"/>
    <n v="1912.1543999999999"/>
    <n v="1487.8356000000001"/>
    <n v="0.43759999294115598"/>
  </r>
  <r>
    <x v="71"/>
    <d v="2001-12-27T00:00:00"/>
    <s v="SO45687"/>
    <n v="344"/>
    <n v="26005"/>
    <n v="1"/>
    <n v="1"/>
    <n v="1"/>
    <n v="1"/>
    <s v="BK-M82S-38"/>
    <x v="8"/>
    <n v="1912.1543999999999"/>
    <n v="3399.99"/>
    <s v="MRS."/>
    <s v="ELIZABETH"/>
    <s v="CLARK"/>
    <s v="ELIZABETH CLARK"/>
    <d v="1960-11-18T00:00:00"/>
    <s v="M"/>
    <s v="F"/>
    <s v="elizabeth23@adventure-works.com"/>
    <n v="60000"/>
    <n v="1"/>
    <s v="Partial College"/>
    <s v="Skilled Manual"/>
    <s v="Y"/>
    <s v="Northwest"/>
    <x v="1"/>
    <s v="North America"/>
    <x v="1"/>
    <s v="Bikes"/>
    <n v="3399.99"/>
    <n v="1912.1543999999999"/>
    <n v="1487.8356000000001"/>
    <n v="0.43759999294115598"/>
  </r>
  <r>
    <x v="28"/>
    <d v="2002-01-23T00:00:00"/>
    <s v="SO45633"/>
    <n v="351"/>
    <n v="26011"/>
    <n v="4"/>
    <n v="1"/>
    <n v="1"/>
    <n v="1"/>
    <s v="BK-M82B-48"/>
    <x v="7"/>
    <n v="1898.0944"/>
    <n v="3374.99"/>
    <s v="MRS."/>
    <s v="DAISUKE"/>
    <s v="YANAGISHIMA"/>
    <s v="DAISUKE YANAGISHIMA"/>
    <d v="1959-03-11T00:00:00"/>
    <s v="S"/>
    <s v="F"/>
    <s v="daisuke0@adventure-works.com"/>
    <n v="80000"/>
    <n v="2"/>
    <s v="Graduate Degree"/>
    <s v="Professional"/>
    <s v="N"/>
    <s v="Southwest"/>
    <x v="1"/>
    <s v="North America"/>
    <x v="1"/>
    <s v="Bikes"/>
    <n v="3374.99"/>
    <n v="1898.0944"/>
    <n v="1476.8956000000001"/>
    <n v="0.43759999288886797"/>
  </r>
  <r>
    <x v="101"/>
    <d v="2002-02-28T00:00:00"/>
    <s v="SO45870"/>
    <n v="349"/>
    <n v="26012"/>
    <n v="4"/>
    <n v="1"/>
    <n v="1"/>
    <n v="1"/>
    <s v="BK-M82B-42"/>
    <x v="11"/>
    <n v="1898.0944"/>
    <n v="3374.99"/>
    <s v="MR."/>
    <s v="MARK"/>
    <s v="BEBBINGTON"/>
    <s v="MARK BEBBINGTON"/>
    <d v="1958-08-16T00:00:00"/>
    <s v="M"/>
    <s v="M"/>
    <s v="mark8@adventure-works.com"/>
    <n v="80000"/>
    <n v="1"/>
    <s v="Partial College"/>
    <s v="Skilled Manual"/>
    <s v="Y"/>
    <s v="Southwest"/>
    <x v="1"/>
    <s v="North America"/>
    <x v="1"/>
    <s v="Bikes"/>
    <n v="3374.99"/>
    <n v="1898.0944"/>
    <n v="1476.8956000000001"/>
    <n v="0.43759999288886797"/>
  </r>
  <r>
    <x v="111"/>
    <d v="2002-01-31T00:00:00"/>
    <s v="SO45913"/>
    <n v="344"/>
    <n v="26014"/>
    <n v="4"/>
    <n v="1"/>
    <n v="1"/>
    <n v="1"/>
    <s v="BK-M82S-38"/>
    <x v="8"/>
    <n v="1912.1543999999999"/>
    <n v="3399.99"/>
    <s v="MRS."/>
    <s v="OLIVIA"/>
    <s v="TORRES"/>
    <s v="OLIVIA TORRES"/>
    <d v="1958-06-21T00:00:00"/>
    <s v="S"/>
    <s v="F"/>
    <s v="olivia39@adventure-works.com"/>
    <n v="60000"/>
    <n v="1"/>
    <s v="Bachelors"/>
    <s v="Professional"/>
    <s v="N"/>
    <s v="Southwest"/>
    <x v="1"/>
    <s v="North America"/>
    <x v="1"/>
    <s v="Bikes"/>
    <n v="3399.99"/>
    <n v="1912.1543999999999"/>
    <n v="1487.8356000000001"/>
    <n v="0.43759999294115598"/>
  </r>
  <r>
    <x v="335"/>
    <d v="2002-03-08T00:00:00"/>
    <s v="SO45847"/>
    <n v="345"/>
    <n v="26015"/>
    <n v="4"/>
    <n v="1"/>
    <n v="1"/>
    <n v="1"/>
    <s v="BK-M82S-42"/>
    <x v="6"/>
    <n v="1912.1543999999999"/>
    <n v="3399.99"/>
    <s v="MR."/>
    <s v="GABRIEL"/>
    <s v="CHOW"/>
    <s v="GABRIEL CHOW"/>
    <d v="1958-04-22T00:00:00"/>
    <s v="M"/>
    <s v="M"/>
    <s v="gabriel22@adventure-works.com"/>
    <n v="60000"/>
    <n v="1"/>
    <s v="Bachelors"/>
    <s v="Professional"/>
    <s v="Y"/>
    <s v="Southwest"/>
    <x v="1"/>
    <s v="North America"/>
    <x v="1"/>
    <s v="Bikes"/>
    <n v="3399.99"/>
    <n v="1912.1543999999999"/>
    <n v="1487.8356000000001"/>
    <n v="0.43759999294115598"/>
  </r>
  <r>
    <x v="113"/>
    <d v="2002-01-20T00:00:00"/>
    <s v="SO45936"/>
    <n v="349"/>
    <n v="26016"/>
    <n v="4"/>
    <n v="1"/>
    <n v="1"/>
    <n v="1"/>
    <s v="BK-M82B-42"/>
    <x v="11"/>
    <n v="1898.0944"/>
    <n v="3374.99"/>
    <s v="MR."/>
    <s v="FERNANDO"/>
    <s v="KING"/>
    <s v="FERNANDO KING"/>
    <d v="1958-05-09T00:00:00"/>
    <s v="S"/>
    <s v="M"/>
    <s v="fernando25@adventure-works.com"/>
    <n v="60000"/>
    <n v="1"/>
    <s v="Bachelors"/>
    <s v="Professional"/>
    <s v="N"/>
    <s v="Southwest"/>
    <x v="1"/>
    <s v="North America"/>
    <x v="1"/>
    <s v="Bikes"/>
    <n v="3374.99"/>
    <n v="1898.0944"/>
    <n v="1476.8956000000001"/>
    <n v="0.43759999288886797"/>
  </r>
  <r>
    <x v="59"/>
    <d v="2002-01-13T00:00:00"/>
    <s v="SO45974"/>
    <n v="347"/>
    <n v="26018"/>
    <n v="1"/>
    <n v="1"/>
    <n v="1"/>
    <n v="1"/>
    <s v="BK-M82S-48"/>
    <x v="10"/>
    <n v="1912.1543999999999"/>
    <n v="3399.99"/>
    <s v="MR."/>
    <s v="ZACHARY"/>
    <s v="THOMPSON"/>
    <s v="ZACHARY THOMPSON"/>
    <d v="1958-07-18T00:00:00"/>
    <s v="M"/>
    <s v="M"/>
    <s v="zachary46@adventure-works.com"/>
    <n v="80000"/>
    <n v="5"/>
    <s v="Graduate Degree"/>
    <s v="Professional"/>
    <s v="Y"/>
    <s v="Northwest"/>
    <x v="1"/>
    <s v="North America"/>
    <x v="1"/>
    <s v="Bikes"/>
    <n v="3399.99"/>
    <n v="1912.1543999999999"/>
    <n v="1487.8356000000001"/>
    <n v="0.43759999294115598"/>
  </r>
  <r>
    <x v="97"/>
    <d v="2002-05-22T00:00:00"/>
    <s v="SO46729"/>
    <n v="320"/>
    <n v="26019"/>
    <n v="9"/>
    <n v="1"/>
    <n v="1"/>
    <n v="2"/>
    <s v="BK-R50R-58"/>
    <x v="40"/>
    <n v="413.1463"/>
    <n v="699.09820000000002"/>
    <s v="MR."/>
    <s v="LUIS"/>
    <s v="ALLEN"/>
    <s v="LUIS ALLEN"/>
    <d v="1969-05-05T00:00:00"/>
    <s v="M"/>
    <s v="M"/>
    <s v="luis54@adventure-works.com"/>
    <n v="80000"/>
    <n v="4"/>
    <s v="Graduate Degree"/>
    <s v="Management"/>
    <s v="Y"/>
    <s v="Australia"/>
    <x v="2"/>
    <s v="Pacific"/>
    <x v="0"/>
    <s v="Bikes"/>
    <n v="699.09820000000002"/>
    <n v="413.1463"/>
    <n v="285.95190000000002"/>
    <n v="0.409029661355157"/>
  </r>
  <r>
    <x v="203"/>
    <d v="2002-04-22T00:00:00"/>
    <s v="SO46768"/>
    <n v="338"/>
    <n v="26020"/>
    <n v="9"/>
    <n v="1"/>
    <n v="1"/>
    <n v="2"/>
    <s v="BK-R50B-44"/>
    <x v="32"/>
    <n v="413.1463"/>
    <n v="699.09820000000002"/>
    <s v="MR."/>
    <s v="BARRY"/>
    <s v="LOPEZ"/>
    <s v="BARRY LOPEZ"/>
    <d v="1969-04-20T00:00:00"/>
    <s v="M"/>
    <s v="M"/>
    <s v="barry17@adventure-works.com"/>
    <n v="100000"/>
    <n v="1"/>
    <s v="Graduate Degree"/>
    <s v="Management"/>
    <s v="Y"/>
    <s v="Australia"/>
    <x v="2"/>
    <s v="Pacific"/>
    <x v="0"/>
    <s v="Bikes"/>
    <n v="699.09820000000002"/>
    <n v="413.1463"/>
    <n v="285.95190000000002"/>
    <n v="0.409029661355157"/>
  </r>
  <r>
    <x v="225"/>
    <d v="2002-06-08T00:00:00"/>
    <s v="SO46888"/>
    <n v="324"/>
    <n v="26021"/>
    <n v="9"/>
    <n v="1"/>
    <n v="1"/>
    <n v="2"/>
    <s v="BK-R50R-62"/>
    <x v="42"/>
    <n v="413.1463"/>
    <n v="699.09820000000002"/>
    <s v="MRS."/>
    <s v="MEGHAN"/>
    <s v="GUTIERREZ"/>
    <s v="MEGHAN GUTIERREZ"/>
    <d v="1969-07-28T00:00:00"/>
    <s v="S"/>
    <s v="F"/>
    <s v="meghan10@adventure-works.com"/>
    <n v="100000"/>
    <n v="1"/>
    <s v="Graduate Degree"/>
    <s v="Management"/>
    <s v="Y"/>
    <s v="Australia"/>
    <x v="2"/>
    <s v="Pacific"/>
    <x v="0"/>
    <s v="Bikes"/>
    <n v="699.09820000000002"/>
    <n v="413.1463"/>
    <n v="285.95190000000002"/>
    <n v="0.409029661355157"/>
  </r>
  <r>
    <x v="73"/>
    <d v="2002-04-28T00:00:00"/>
    <s v="SO46918"/>
    <n v="342"/>
    <n v="26022"/>
    <n v="9"/>
    <n v="1"/>
    <n v="1"/>
    <n v="2"/>
    <s v="BK-R50B-52"/>
    <x v="33"/>
    <n v="413.1463"/>
    <n v="699.09820000000002"/>
    <s v="MRS."/>
    <s v="JAMIE"/>
    <s v="GAO"/>
    <s v="JAMIE GAO"/>
    <d v="1969-04-04T00:00:00"/>
    <s v="M"/>
    <s v="F"/>
    <s v="jamie18@adventure-works.com"/>
    <n v="100000"/>
    <n v="1"/>
    <s v="Graduate Degree"/>
    <s v="Management"/>
    <s v="Y"/>
    <s v="Australia"/>
    <x v="2"/>
    <s v="Pacific"/>
    <x v="0"/>
    <s v="Bikes"/>
    <n v="699.09820000000002"/>
    <n v="413.1463"/>
    <n v="285.95190000000002"/>
    <n v="0.409029661355157"/>
  </r>
  <r>
    <x v="199"/>
    <d v="2002-04-07T00:00:00"/>
    <s v="SO46755"/>
    <n v="342"/>
    <n v="26023"/>
    <n v="9"/>
    <n v="1"/>
    <n v="1"/>
    <n v="2"/>
    <s v="BK-R50B-52"/>
    <x v="33"/>
    <n v="413.1463"/>
    <n v="699.09820000000002"/>
    <s v="MRS."/>
    <s v="CRYSTAL"/>
    <s v="HUANG"/>
    <s v="CRYSTAL HUANG"/>
    <d v="1968-11-09T00:00:00"/>
    <s v="M"/>
    <s v="F"/>
    <s v="crystal8@adventure-works.com"/>
    <n v="60000"/>
    <n v="2"/>
    <s v="Bachelors"/>
    <s v="Professional"/>
    <s v="N"/>
    <s v="Australia"/>
    <x v="2"/>
    <s v="Pacific"/>
    <x v="0"/>
    <s v="Bikes"/>
    <n v="699.09820000000002"/>
    <n v="413.1463"/>
    <n v="285.95190000000002"/>
    <n v="0.409029661355157"/>
  </r>
  <r>
    <x v="345"/>
    <d v="2002-06-28T00:00:00"/>
    <s v="SO47153"/>
    <n v="320"/>
    <n v="26024"/>
    <n v="9"/>
    <n v="1"/>
    <n v="1"/>
    <n v="2"/>
    <s v="BK-R50R-58"/>
    <x v="40"/>
    <n v="413.1463"/>
    <n v="699.09820000000002"/>
    <s v="MRS."/>
    <s v="JILL"/>
    <s v="GUTIERREZ"/>
    <s v="JILL GUTIERREZ"/>
    <d v="1970-10-21T00:00:00"/>
    <s v="S"/>
    <s v="F"/>
    <s v="jill18@adventure-works.com"/>
    <n v="80000"/>
    <n v="4"/>
    <s v="Graduate Degree"/>
    <s v="Management"/>
    <s v="Y"/>
    <s v="Australia"/>
    <x v="2"/>
    <s v="Pacific"/>
    <x v="0"/>
    <s v="Bikes"/>
    <n v="699.09820000000002"/>
    <n v="413.1463"/>
    <n v="285.95190000000002"/>
    <n v="0.409029661355157"/>
  </r>
  <r>
    <x v="250"/>
    <d v="2002-06-20T00:00:00"/>
    <s v="SO47347"/>
    <n v="320"/>
    <n v="26025"/>
    <n v="9"/>
    <n v="1"/>
    <n v="1"/>
    <n v="2"/>
    <s v="BK-R50R-58"/>
    <x v="40"/>
    <n v="413.1463"/>
    <n v="699.09820000000002"/>
    <s v="MRS."/>
    <s v="AIMEE"/>
    <s v="ZHANG"/>
    <s v="AIMEE ZHANG"/>
    <d v="1970-02-15T00:00:00"/>
    <s v="S"/>
    <s v="F"/>
    <s v="aimee0@adventure-works.com"/>
    <n v="90000"/>
    <n v="2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249"/>
    <d v="2002-07-04T00:00:00"/>
    <s v="SO47336"/>
    <n v="338"/>
    <n v="26027"/>
    <n v="9"/>
    <n v="1"/>
    <n v="1"/>
    <n v="2"/>
    <s v="BK-R50B-44"/>
    <x v="32"/>
    <n v="413.1463"/>
    <n v="699.09820000000002"/>
    <s v="MRS."/>
    <s v="MICHELE"/>
    <s v="LUO"/>
    <s v="MICHELE LUO"/>
    <d v="1969-12-24T00:00:00"/>
    <s v="S"/>
    <s v="F"/>
    <s v="michele6@adventure-works.com"/>
    <n v="110000"/>
    <n v="1"/>
    <s v="Graduate Degree"/>
    <s v="Management"/>
    <s v="N"/>
    <s v="Australia"/>
    <x v="2"/>
    <s v="Pacific"/>
    <x v="0"/>
    <s v="Bikes"/>
    <n v="699.09820000000002"/>
    <n v="413.1463"/>
    <n v="285.95190000000002"/>
    <n v="0.409029661355157"/>
  </r>
  <r>
    <x v="250"/>
    <d v="2002-07-19T00:00:00"/>
    <s v="SO47348"/>
    <n v="330"/>
    <n v="26028"/>
    <n v="9"/>
    <n v="1"/>
    <n v="1"/>
    <n v="2"/>
    <s v="BK-R50R-52"/>
    <x v="39"/>
    <n v="413.1463"/>
    <n v="699.09820000000002"/>
    <s v="MRS."/>
    <s v="BRANDY"/>
    <s v="GARCIA"/>
    <s v="BRANDY GARCIA"/>
    <d v="1969-10-14T00:00:00"/>
    <s v="S"/>
    <s v="F"/>
    <s v="brandy11@adventure-works.com"/>
    <n v="130000"/>
    <n v="1"/>
    <s v="Graduate Degree"/>
    <s v="Management"/>
    <s v="N"/>
    <s v="Australia"/>
    <x v="2"/>
    <s v="Pacific"/>
    <x v="0"/>
    <s v="Bikes"/>
    <n v="699.09820000000002"/>
    <n v="413.1463"/>
    <n v="285.95190000000002"/>
    <n v="0.409029661355157"/>
  </r>
  <r>
    <x v="254"/>
    <d v="2002-06-27T00:00:00"/>
    <s v="SO47303"/>
    <n v="322"/>
    <n v="26029"/>
    <n v="9"/>
    <n v="1"/>
    <n v="1"/>
    <n v="2"/>
    <s v="BK-R50R-60"/>
    <x v="38"/>
    <n v="413.1463"/>
    <n v="699.09820000000002"/>
    <s v="MR."/>
    <s v="ROY"/>
    <s v="VAZQUEZ"/>
    <s v="ROY VAZQUEZ"/>
    <d v="1966-07-19T00:00:00"/>
    <s v="M"/>
    <s v="M"/>
    <s v="roy34@adventure-works.com"/>
    <n v="80000"/>
    <n v="5"/>
    <s v="Graduate Degree"/>
    <s v="Management"/>
    <s v="N"/>
    <s v="Australia"/>
    <x v="2"/>
    <s v="Pacific"/>
    <x v="0"/>
    <s v="Bikes"/>
    <n v="699.09820000000002"/>
    <n v="413.1463"/>
    <n v="285.95190000000002"/>
    <n v="0.409029661355157"/>
  </r>
  <r>
    <x v="242"/>
    <d v="2002-05-04T00:00:00"/>
    <s v="SO47144"/>
    <n v="342"/>
    <n v="26033"/>
    <n v="9"/>
    <n v="1"/>
    <n v="1"/>
    <n v="2"/>
    <s v="BK-R50B-52"/>
    <x v="33"/>
    <n v="413.1463"/>
    <n v="699.09820000000002"/>
    <s v="MR."/>
    <s v="DANNY"/>
    <s v="VAZQUEZ"/>
    <s v="DANNY VAZQUEZ"/>
    <d v="1965-07-13T00:00:00"/>
    <s v="S"/>
    <s v="M"/>
    <s v="danny15@adventure-works.com"/>
    <n v="70000"/>
    <n v="0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359"/>
    <d v="2002-02-04T00:00:00"/>
    <s v="SO45821"/>
    <n v="346"/>
    <n v="26041"/>
    <n v="1"/>
    <n v="1"/>
    <n v="1"/>
    <n v="1"/>
    <s v="BK-M82S-44"/>
    <x v="12"/>
    <n v="1912.1543999999999"/>
    <n v="3399.99"/>
    <s v="MRS."/>
    <s v="GLORIA"/>
    <s v="TORRES"/>
    <s v="GLORIA TORRES"/>
    <d v="1957-07-05T00:00:00"/>
    <s v="M"/>
    <s v="F"/>
    <s v="gloria12@adventure-works.com"/>
    <n v="70000"/>
    <n v="3"/>
    <s v="Partial College"/>
    <s v="Professional"/>
    <s v="Y"/>
    <s v="Northwest"/>
    <x v="1"/>
    <s v="North America"/>
    <x v="1"/>
    <s v="Bikes"/>
    <n v="3399.99"/>
    <n v="1912.1543999999999"/>
    <n v="1487.8356000000001"/>
    <n v="0.43759999294115598"/>
  </r>
  <r>
    <x v="107"/>
    <d v="2002-01-22T00:00:00"/>
    <s v="SO45886"/>
    <n v="348"/>
    <n v="26042"/>
    <n v="4"/>
    <n v="1"/>
    <n v="1"/>
    <n v="1"/>
    <s v="BK-M82B-38"/>
    <x v="9"/>
    <n v="1898.0944"/>
    <n v="3374.99"/>
    <s v="MR."/>
    <s v="DEVIN"/>
    <s v="GRIFFIN"/>
    <s v="DEVIN GRIFFIN"/>
    <d v="1957-10-06T00:00:00"/>
    <s v="M"/>
    <s v="M"/>
    <s v="devin58@adventure-works.com"/>
    <n v="90000"/>
    <n v="2"/>
    <s v="Partial College"/>
    <s v="Professional"/>
    <s v="N"/>
    <s v="Southwest"/>
    <x v="1"/>
    <s v="North America"/>
    <x v="1"/>
    <s v="Bikes"/>
    <n v="3374.99"/>
    <n v="1898.0944"/>
    <n v="1476.8956000000001"/>
    <n v="0.43759999288886797"/>
  </r>
  <r>
    <x v="91"/>
    <d v="2002-03-08T00:00:00"/>
    <s v="SO45837"/>
    <n v="348"/>
    <n v="26050"/>
    <n v="1"/>
    <n v="1"/>
    <n v="1"/>
    <n v="1"/>
    <s v="BK-M82B-38"/>
    <x v="9"/>
    <n v="1898.0944"/>
    <n v="3374.99"/>
    <s v="MR."/>
    <s v="CLARENCE"/>
    <s v="YE"/>
    <s v="CLARENCE YE"/>
    <d v="1956-09-14T00:00:00"/>
    <s v="S"/>
    <s v="M"/>
    <s v="clarence5@adventure-works.com"/>
    <n v="60000"/>
    <n v="2"/>
    <s v="High School"/>
    <s v="Professional"/>
    <s v="N"/>
    <s v="Northwest"/>
    <x v="1"/>
    <s v="North America"/>
    <x v="1"/>
    <s v="Bikes"/>
    <n v="3374.99"/>
    <n v="1898.0944"/>
    <n v="1476.8956000000001"/>
    <n v="0.43759999288886797"/>
  </r>
  <r>
    <x v="118"/>
    <d v="2002-04-07T00:00:00"/>
    <s v="SO45955"/>
    <n v="344"/>
    <n v="26055"/>
    <n v="1"/>
    <n v="1"/>
    <n v="1"/>
    <n v="1"/>
    <s v="BK-M82S-38"/>
    <x v="8"/>
    <n v="1912.1543999999999"/>
    <n v="3399.99"/>
    <s v="MR."/>
    <s v="ETHAN"/>
    <s v="FOSTER"/>
    <s v="ETHAN FOSTER"/>
    <d v="1965-08-20T00:00:00"/>
    <s v="S"/>
    <s v="M"/>
    <s v="ethan12@adventure-works.com"/>
    <n v="100000"/>
    <n v="4"/>
    <s v="Partial College"/>
    <s v="Professional"/>
    <s v="Y"/>
    <s v="Northwest"/>
    <x v="1"/>
    <s v="North America"/>
    <x v="1"/>
    <s v="Bikes"/>
    <n v="3399.99"/>
    <n v="1912.1543999999999"/>
    <n v="1487.8356000000001"/>
    <n v="0.43759999294115598"/>
  </r>
  <r>
    <x v="126"/>
    <d v="2002-02-18T00:00:00"/>
    <s v="SO46157"/>
    <n v="345"/>
    <n v="26056"/>
    <n v="4"/>
    <n v="1"/>
    <n v="1"/>
    <n v="1"/>
    <s v="BK-M82S-42"/>
    <x v="6"/>
    <n v="1912.1543999999999"/>
    <n v="3399.99"/>
    <s v="MRS."/>
    <s v="KAREN"/>
    <s v="ZENG"/>
    <s v="KAREN ZENG"/>
    <d v="1965-12-15T00:00:00"/>
    <s v="S"/>
    <s v="F"/>
    <s v="karen31@adventure-works.com"/>
    <n v="100000"/>
    <n v="4"/>
    <s v="Partial College"/>
    <s v="Professional"/>
    <s v="Y"/>
    <s v="Southwest"/>
    <x v="1"/>
    <s v="North America"/>
    <x v="1"/>
    <s v="Bikes"/>
    <n v="3399.99"/>
    <n v="1912.1543999999999"/>
    <n v="1487.8356000000001"/>
    <n v="0.43759999294115598"/>
  </r>
  <r>
    <x v="140"/>
    <d v="2002-02-13T00:00:00"/>
    <s v="SO46281"/>
    <n v="347"/>
    <n v="26057"/>
    <n v="4"/>
    <n v="1"/>
    <n v="1"/>
    <n v="1"/>
    <s v="BK-M82S-48"/>
    <x v="10"/>
    <n v="1912.1543999999999"/>
    <n v="3399.99"/>
    <s v="MR."/>
    <s v="BARRY"/>
    <s v="SUBRAM"/>
    <s v="BARRY SUBRAM"/>
    <d v="1965-02-17T00:00:00"/>
    <s v="S"/>
    <s v="M"/>
    <s v="barry14@adventure-works.com"/>
    <n v="110000"/>
    <n v="2"/>
    <s v="Bachelors"/>
    <s v="Management"/>
    <s v="Y"/>
    <s v="Southwest"/>
    <x v="1"/>
    <s v="North America"/>
    <x v="1"/>
    <s v="Bikes"/>
    <n v="3399.99"/>
    <n v="1912.1543999999999"/>
    <n v="1487.8356000000001"/>
    <n v="0.43759999294115598"/>
  </r>
  <r>
    <x v="140"/>
    <d v="2002-03-11T00:00:00"/>
    <s v="SO46282"/>
    <n v="345"/>
    <n v="26058"/>
    <n v="4"/>
    <n v="1"/>
    <n v="1"/>
    <n v="1"/>
    <s v="BK-M82S-42"/>
    <x v="6"/>
    <n v="1912.1543999999999"/>
    <n v="3399.99"/>
    <s v="MRS."/>
    <s v="FAITH"/>
    <s v="STEWART"/>
    <s v="FAITH STEWART"/>
    <d v="1965-11-25T00:00:00"/>
    <s v="S"/>
    <s v="F"/>
    <s v="faith38@adventure-works.com"/>
    <n v="120000"/>
    <n v="3"/>
    <s v="Bachelors"/>
    <s v="Management"/>
    <s v="Y"/>
    <s v="Southwest"/>
    <x v="1"/>
    <s v="North America"/>
    <x v="1"/>
    <s v="Bikes"/>
    <n v="3399.99"/>
    <n v="1912.1543999999999"/>
    <n v="1487.8356000000001"/>
    <n v="0.43759999294115598"/>
  </r>
  <r>
    <x v="139"/>
    <d v="2002-03-10T00:00:00"/>
    <s v="SO46273"/>
    <n v="351"/>
    <n v="26060"/>
    <n v="4"/>
    <n v="1"/>
    <n v="1"/>
    <n v="1"/>
    <s v="BK-M82B-48"/>
    <x v="7"/>
    <n v="1898.0944"/>
    <n v="3374.99"/>
    <s v="MR."/>
    <s v="KYLE"/>
    <s v="EDWARDS"/>
    <s v="KYLE EDWARDS"/>
    <d v="1965-11-12T00:00:00"/>
    <s v="M"/>
    <s v="M"/>
    <s v="kyle31@adventure-works.com"/>
    <n v="130000"/>
    <n v="1"/>
    <s v="Graduate Degree"/>
    <s v="Management"/>
    <s v="Y"/>
    <s v="Southwest"/>
    <x v="1"/>
    <s v="North America"/>
    <x v="1"/>
    <s v="Bikes"/>
    <n v="3374.99"/>
    <n v="1898.0944"/>
    <n v="1476.8956000000001"/>
    <n v="0.43759999288886797"/>
  </r>
  <r>
    <x v="130"/>
    <d v="2002-02-21T00:00:00"/>
    <s v="SO46197"/>
    <n v="347"/>
    <n v="26061"/>
    <n v="4"/>
    <n v="1"/>
    <n v="1"/>
    <n v="1"/>
    <s v="BK-M82S-48"/>
    <x v="10"/>
    <n v="1912.1543999999999"/>
    <n v="3399.99"/>
    <s v="MR."/>
    <s v="CONNOR"/>
    <s v="BUTLER"/>
    <s v="CONNOR BUTLER"/>
    <d v="1965-04-18T00:00:00"/>
    <s v="S"/>
    <s v="M"/>
    <s v="connor9@adventure-works.com"/>
    <n v="170000"/>
    <n v="0"/>
    <s v="Graduate Degree"/>
    <s v="Management"/>
    <s v="N"/>
    <s v="Southwest"/>
    <x v="1"/>
    <s v="North America"/>
    <x v="1"/>
    <s v="Bikes"/>
    <n v="3399.99"/>
    <n v="1912.1543999999999"/>
    <n v="1487.8356000000001"/>
    <n v="0.43759999294115598"/>
  </r>
  <r>
    <x v="141"/>
    <d v="2002-02-04T00:00:00"/>
    <s v="SO46290"/>
    <n v="351"/>
    <n v="26066"/>
    <n v="4"/>
    <n v="1"/>
    <n v="1"/>
    <n v="1"/>
    <s v="BK-M82B-48"/>
    <x v="7"/>
    <n v="1898.0944"/>
    <n v="3374.99"/>
    <s v="MRS."/>
    <s v="ELIZABETH"/>
    <s v="MARTINEZ"/>
    <s v="ELIZABETH MARTINEZ"/>
    <d v="1956-07-27T00:00:00"/>
    <s v="M"/>
    <s v="F"/>
    <s v="elizabeth21@adventure-works.com"/>
    <n v="70000"/>
    <n v="3"/>
    <s v="Partial College"/>
    <s v="Professional"/>
    <s v="N"/>
    <s v="Southwest"/>
    <x v="1"/>
    <s v="North America"/>
    <x v="1"/>
    <s v="Bikes"/>
    <n v="3374.99"/>
    <n v="1898.0944"/>
    <n v="1476.8956000000001"/>
    <n v="0.43759999288886797"/>
  </r>
  <r>
    <x v="139"/>
    <d v="2002-02-21T00:00:00"/>
    <s v="SO46274"/>
    <n v="350"/>
    <n v="26070"/>
    <n v="4"/>
    <n v="1"/>
    <n v="1"/>
    <n v="1"/>
    <s v="BK-M82B-44"/>
    <x v="5"/>
    <n v="1898.0944"/>
    <n v="3374.99"/>
    <s v="MR."/>
    <s v="ELIJAH"/>
    <s v="PATTERSON"/>
    <s v="ELIJAH PATTERSON"/>
    <d v="1956-07-03T00:00:00"/>
    <s v="S"/>
    <s v="M"/>
    <s v="elijah14@adventure-works.com"/>
    <n v="90000"/>
    <n v="2"/>
    <s v="Partial College"/>
    <s v="Professional"/>
    <s v="Y"/>
    <s v="Southwest"/>
    <x v="1"/>
    <s v="North America"/>
    <x v="1"/>
    <s v="Bikes"/>
    <n v="3374.99"/>
    <n v="1898.0944"/>
    <n v="1476.8956000000001"/>
    <n v="0.43759999288886797"/>
  </r>
  <r>
    <x v="137"/>
    <d v="2002-03-22T00:00:00"/>
    <s v="SO46261"/>
    <n v="348"/>
    <n v="26075"/>
    <n v="1"/>
    <n v="1"/>
    <n v="1"/>
    <n v="1"/>
    <s v="BK-M82B-38"/>
    <x v="9"/>
    <n v="1898.0944"/>
    <n v="3374.99"/>
    <s v="MS."/>
    <s v="JESSICA"/>
    <s v="WALKER"/>
    <s v="JESSICA WALKER"/>
    <d v="1963-04-27T00:00:00"/>
    <s v="S"/>
    <s v="F"/>
    <s v="jessica71@adventure-works.com"/>
    <n v="90000"/>
    <n v="0"/>
    <s v="Partial College"/>
    <s v="Professional"/>
    <s v="Y"/>
    <s v="Northwest"/>
    <x v="1"/>
    <s v="North America"/>
    <x v="1"/>
    <s v="Bikes"/>
    <n v="3374.99"/>
    <n v="1898.0944"/>
    <n v="1476.8956000000001"/>
    <n v="0.43759999288886797"/>
  </r>
  <r>
    <x v="66"/>
    <d v="2002-03-10T00:00:00"/>
    <s v="SO46151"/>
    <n v="351"/>
    <n v="26082"/>
    <n v="4"/>
    <n v="1"/>
    <n v="1"/>
    <n v="1"/>
    <s v="BK-M82B-48"/>
    <x v="7"/>
    <n v="1898.0944"/>
    <n v="3374.99"/>
    <s v="MR."/>
    <s v="CHRISTIAN"/>
    <s v="JOHNSON"/>
    <s v="CHRISTIAN JOHNSON"/>
    <d v="1962-07-05T00:00:00"/>
    <s v="S"/>
    <s v="M"/>
    <s v="christian31@adventure-works.com"/>
    <n v="130000"/>
    <n v="1"/>
    <s v="Bachelors"/>
    <s v="Management"/>
    <s v="N"/>
    <s v="Southwest"/>
    <x v="1"/>
    <s v="North America"/>
    <x v="1"/>
    <s v="Bikes"/>
    <n v="3374.99"/>
    <n v="1898.0944"/>
    <n v="1476.8956000000001"/>
    <n v="0.43759999288886797"/>
  </r>
  <r>
    <x v="146"/>
    <d v="2002-05-10T00:00:00"/>
    <s v="SO46316"/>
    <n v="351"/>
    <n v="26083"/>
    <n v="4"/>
    <n v="1"/>
    <n v="1"/>
    <n v="1"/>
    <s v="BK-M82B-48"/>
    <x v="7"/>
    <n v="1898.0944"/>
    <n v="3374.99"/>
    <s v="MRS."/>
    <s v="ALYSSA"/>
    <s v="SMITH"/>
    <s v="ALYSSA SMITH"/>
    <d v="1962-02-05T00:00:00"/>
    <s v="S"/>
    <s v="F"/>
    <s v="alyssa0@adventure-works.com"/>
    <n v="150000"/>
    <n v="1"/>
    <s v="Partial College"/>
    <s v="Professional"/>
    <s v="N"/>
    <s v="Southwest"/>
    <x v="1"/>
    <s v="North America"/>
    <x v="1"/>
    <s v="Bikes"/>
    <n v="3374.99"/>
    <n v="1898.0944"/>
    <n v="1476.8956000000001"/>
    <n v="0.43759999288886797"/>
  </r>
  <r>
    <x v="147"/>
    <d v="2002-05-11T00:00:00"/>
    <s v="SO46320"/>
    <n v="351"/>
    <n v="26084"/>
    <n v="4"/>
    <n v="1"/>
    <n v="1"/>
    <n v="1"/>
    <s v="BK-M82B-48"/>
    <x v="7"/>
    <n v="1898.0944"/>
    <n v="3374.99"/>
    <s v="MR."/>
    <s v="LUKE"/>
    <s v="JENKINS"/>
    <s v="LUKE JENKINS"/>
    <d v="1962-04-26T00:00:00"/>
    <s v="M"/>
    <s v="M"/>
    <s v="luke25@adventure-works.com"/>
    <n v="160000"/>
    <n v="1"/>
    <s v="Bachelors"/>
    <s v="Management"/>
    <s v="N"/>
    <s v="Southwest"/>
    <x v="1"/>
    <s v="North America"/>
    <x v="1"/>
    <s v="Bikes"/>
    <n v="3374.99"/>
    <n v="1898.0944"/>
    <n v="1476.8956000000001"/>
    <n v="0.43759999288886797"/>
  </r>
  <r>
    <x v="130"/>
    <d v="2002-03-19T00:00:00"/>
    <s v="SO46198"/>
    <n v="344"/>
    <n v="26089"/>
    <n v="4"/>
    <n v="1"/>
    <n v="1"/>
    <n v="1"/>
    <s v="BK-M82S-38"/>
    <x v="8"/>
    <n v="1912.1543999999999"/>
    <n v="3399.99"/>
    <s v="MR."/>
    <s v="TERRY"/>
    <s v="RAI"/>
    <s v="TERRY RAI"/>
    <d v="1961-08-11T00:00:00"/>
    <s v="S"/>
    <s v="M"/>
    <s v="terry20@adventure-works.com"/>
    <n v="110000"/>
    <n v="1"/>
    <s v="Bachelors"/>
    <s v="Management"/>
    <s v="N"/>
    <s v="Southwest"/>
    <x v="1"/>
    <s v="North America"/>
    <x v="1"/>
    <s v="Bikes"/>
    <n v="3399.99"/>
    <n v="1912.1543999999999"/>
    <n v="1487.8356000000001"/>
    <n v="0.43759999294115598"/>
  </r>
  <r>
    <x v="363"/>
    <d v="2002-04-01T00:00:00"/>
    <s v="SO46143"/>
    <n v="347"/>
    <n v="26090"/>
    <n v="4"/>
    <n v="1"/>
    <n v="1"/>
    <n v="1"/>
    <s v="BK-M82S-48"/>
    <x v="10"/>
    <n v="1912.1543999999999"/>
    <n v="3399.99"/>
    <s v="MR."/>
    <s v="MATHEW"/>
    <s v="MORENO"/>
    <s v="MATHEW MORENO"/>
    <d v="1961-10-23T00:00:00"/>
    <s v="S"/>
    <s v="M"/>
    <s v="mathew2@adventure-works.com"/>
    <n v="110000"/>
    <n v="1"/>
    <s v="Bachelors"/>
    <s v="Management"/>
    <s v="Y"/>
    <s v="Southwest"/>
    <x v="1"/>
    <s v="North America"/>
    <x v="1"/>
    <s v="Bikes"/>
    <n v="3399.99"/>
    <n v="1912.1543999999999"/>
    <n v="1487.8356000000001"/>
    <n v="0.43759999294115598"/>
  </r>
  <r>
    <x v="131"/>
    <d v="2002-04-19T00:00:00"/>
    <s v="SO46207"/>
    <n v="348"/>
    <n v="26091"/>
    <n v="4"/>
    <n v="1"/>
    <n v="1"/>
    <n v="1"/>
    <s v="BK-M82B-38"/>
    <x v="9"/>
    <n v="1898.0944"/>
    <n v="3374.99"/>
    <s v="MRS."/>
    <s v="CHLOE"/>
    <s v="BENNETT"/>
    <s v="CHLOE BENNETT"/>
    <d v="1961-08-21T00:00:00"/>
    <s v="M"/>
    <s v="F"/>
    <s v="chloe67@adventure-works.com"/>
    <n v="160000"/>
    <n v="1"/>
    <s v="Bachelors"/>
    <s v="Management"/>
    <s v="N"/>
    <s v="Southwest"/>
    <x v="1"/>
    <s v="North America"/>
    <x v="1"/>
    <s v="Bikes"/>
    <n v="3374.99"/>
    <n v="1898.0944"/>
    <n v="1476.8956000000001"/>
    <n v="0.43759999288886797"/>
  </r>
  <r>
    <x v="140"/>
    <d v="2002-02-25T00:00:00"/>
    <s v="SO46283"/>
    <n v="351"/>
    <n v="26093"/>
    <n v="4"/>
    <n v="1"/>
    <n v="1"/>
    <n v="1"/>
    <s v="BK-M82B-48"/>
    <x v="7"/>
    <n v="1898.0944"/>
    <n v="3374.99"/>
    <s v="MRS."/>
    <s v="NICOLE"/>
    <s v="WASHINGTON"/>
    <s v="NICOLE WASHINGTON"/>
    <d v="1955-08-10T00:00:00"/>
    <s v="S"/>
    <s v="F"/>
    <s v="nicole62@adventure-works.com"/>
    <n v="60000"/>
    <n v="2"/>
    <s v="High School"/>
    <s v="Professional"/>
    <s v="N"/>
    <s v="Southwest"/>
    <x v="1"/>
    <s v="North America"/>
    <x v="1"/>
    <s v="Bikes"/>
    <n v="3374.99"/>
    <n v="1898.0944"/>
    <n v="1476.8956000000001"/>
    <n v="0.43759999288886797"/>
  </r>
  <r>
    <x v="363"/>
    <d v="2002-03-17T00:00:00"/>
    <s v="SO46144"/>
    <n v="350"/>
    <n v="26094"/>
    <n v="4"/>
    <n v="1"/>
    <n v="1"/>
    <n v="1"/>
    <s v="BK-M82B-44"/>
    <x v="5"/>
    <n v="1898.0944"/>
    <n v="3374.99"/>
    <s v="MRS."/>
    <s v="SARAH"/>
    <s v="BUTLER"/>
    <s v="SARAH BUTLER"/>
    <d v="1955-06-11T00:00:00"/>
    <s v="M"/>
    <s v="F"/>
    <s v="sarah39@adventure-works.com"/>
    <n v="60000"/>
    <n v="2"/>
    <s v="High School"/>
    <s v="Professional"/>
    <s v="N"/>
    <s v="Southwest"/>
    <x v="1"/>
    <s v="North America"/>
    <x v="1"/>
    <s v="Bikes"/>
    <n v="3374.99"/>
    <n v="1898.0944"/>
    <n v="1476.8956000000001"/>
    <n v="0.43759999288886797"/>
  </r>
  <r>
    <x v="171"/>
    <d v="2002-04-07T00:00:00"/>
    <s v="SO46560"/>
    <n v="344"/>
    <n v="26096"/>
    <n v="4"/>
    <n v="1"/>
    <n v="1"/>
    <n v="1"/>
    <s v="BK-M82S-38"/>
    <x v="8"/>
    <n v="1912.1543999999999"/>
    <n v="3399.99"/>
    <s v="MR."/>
    <s v="KEVIN"/>
    <s v="WRIGHT"/>
    <s v="KEVIN WRIGHT"/>
    <d v="1955-01-25T00:00:00"/>
    <s v="M"/>
    <s v="M"/>
    <s v="kevin55@adventure-works.com"/>
    <n v="90000"/>
    <n v="2"/>
    <s v="High School"/>
    <s v="Professional"/>
    <s v="Y"/>
    <s v="Southwest"/>
    <x v="1"/>
    <s v="North America"/>
    <x v="1"/>
    <s v="Bikes"/>
    <n v="3399.99"/>
    <n v="1912.1543999999999"/>
    <n v="1487.8356000000001"/>
    <n v="0.43759999294115598"/>
  </r>
  <r>
    <x v="70"/>
    <d v="2002-03-24T00:00:00"/>
    <s v="SO46550"/>
    <n v="350"/>
    <n v="26097"/>
    <n v="4"/>
    <n v="1"/>
    <n v="1"/>
    <n v="1"/>
    <s v="BK-M82B-44"/>
    <x v="5"/>
    <n v="1898.0944"/>
    <n v="3374.99"/>
    <s v="MR."/>
    <s v="ROBERT"/>
    <s v="FLORES"/>
    <s v="ROBERT FLORES"/>
    <d v="1935-06-11T00:00:00"/>
    <s v="S"/>
    <s v="M"/>
    <s v="robert25@adventure-works.com"/>
    <n v="130000"/>
    <n v="2"/>
    <s v="Graduate Degree"/>
    <s v="Management"/>
    <s v="N"/>
    <s v="Southwest"/>
    <x v="1"/>
    <s v="North America"/>
    <x v="1"/>
    <s v="Bikes"/>
    <n v="3374.99"/>
    <n v="1898.0944"/>
    <n v="1476.8956000000001"/>
    <n v="0.43759999288886797"/>
  </r>
  <r>
    <x v="176"/>
    <d v="2002-05-23T00:00:00"/>
    <s v="SO46601"/>
    <n v="345"/>
    <n v="26098"/>
    <n v="4"/>
    <n v="1"/>
    <n v="1"/>
    <n v="1"/>
    <s v="BK-M82S-42"/>
    <x v="6"/>
    <n v="1912.1543999999999"/>
    <n v="3399.99"/>
    <s v="MR."/>
    <s v="DANIEL"/>
    <s v="LEE"/>
    <s v="DANIEL LEE"/>
    <d v="1935-09-09T00:00:00"/>
    <s v="S"/>
    <s v="M"/>
    <s v="daniel13@adventure-works.com"/>
    <n v="130000"/>
    <n v="2"/>
    <s v="Graduate Degree"/>
    <s v="Management"/>
    <s v="N"/>
    <s v="Southwest"/>
    <x v="1"/>
    <s v="North America"/>
    <x v="1"/>
    <s v="Bikes"/>
    <n v="3399.99"/>
    <n v="1912.1543999999999"/>
    <n v="1487.8356000000001"/>
    <n v="0.43759999294115598"/>
  </r>
  <r>
    <x v="165"/>
    <d v="2002-05-21T00:00:00"/>
    <s v="SO46533"/>
    <n v="348"/>
    <n v="26106"/>
    <n v="4"/>
    <n v="1"/>
    <n v="1"/>
    <n v="1"/>
    <s v="BK-M82B-38"/>
    <x v="9"/>
    <n v="1898.0944"/>
    <n v="3374.99"/>
    <s v="MR."/>
    <s v="CONNOR"/>
    <s v="KING"/>
    <s v="CONNOR KING"/>
    <d v="1960-03-12T00:00:00"/>
    <s v="S"/>
    <s v="M"/>
    <s v="connor47@adventure-works.com"/>
    <n v="120000"/>
    <n v="5"/>
    <s v="High School"/>
    <s v="Professional"/>
    <s v="Y"/>
    <s v="Southwest"/>
    <x v="1"/>
    <s v="North America"/>
    <x v="1"/>
    <s v="Bikes"/>
    <n v="3374.99"/>
    <n v="1898.0944"/>
    <n v="1476.8956000000001"/>
    <n v="0.43759999288886797"/>
  </r>
  <r>
    <x v="153"/>
    <d v="2002-04-20T00:00:00"/>
    <s v="SO46426"/>
    <n v="344"/>
    <n v="26107"/>
    <n v="4"/>
    <n v="1"/>
    <n v="1"/>
    <n v="1"/>
    <s v="BK-M82S-38"/>
    <x v="8"/>
    <n v="1912.1543999999999"/>
    <n v="3399.99"/>
    <s v="MRS."/>
    <s v="ALEXIS"/>
    <s v="THOMAS"/>
    <s v="ALEXIS THOMAS"/>
    <d v="1960-04-12T00:00:00"/>
    <s v="M"/>
    <s v="F"/>
    <s v="alexis10@adventure-works.com"/>
    <n v="130000"/>
    <n v="4"/>
    <s v="Bachelors"/>
    <s v="Management"/>
    <s v="Y"/>
    <s v="Southwest"/>
    <x v="1"/>
    <s v="North America"/>
    <x v="1"/>
    <s v="Bikes"/>
    <n v="3399.99"/>
    <n v="1912.1543999999999"/>
    <n v="1487.8356000000001"/>
    <n v="0.43759999294115598"/>
  </r>
  <r>
    <x v="152"/>
    <d v="2002-03-18T00:00:00"/>
    <s v="SO46476"/>
    <n v="350"/>
    <n v="26110"/>
    <n v="1"/>
    <n v="1"/>
    <n v="1"/>
    <n v="1"/>
    <s v="BK-M82B-44"/>
    <x v="5"/>
    <n v="1898.0944"/>
    <n v="3374.99"/>
    <s v="MR."/>
    <s v="JAMES"/>
    <s v="ALEXANDER"/>
    <s v="JAMES ALEXANDER"/>
    <d v="1954-11-05T00:00:00"/>
    <s v="M"/>
    <s v="M"/>
    <s v="james34@adventure-works.com"/>
    <n v="70000"/>
    <n v="3"/>
    <s v="High School"/>
    <s v="Professional"/>
    <s v="Y"/>
    <s v="Northwest"/>
    <x v="1"/>
    <s v="North America"/>
    <x v="1"/>
    <s v="Bikes"/>
    <n v="3374.99"/>
    <n v="1898.0944"/>
    <n v="1476.8956000000001"/>
    <n v="0.43759999288886797"/>
  </r>
  <r>
    <x v="164"/>
    <d v="2002-04-18T00:00:00"/>
    <s v="SO46524"/>
    <n v="351"/>
    <n v="26111"/>
    <n v="4"/>
    <n v="1"/>
    <n v="1"/>
    <n v="1"/>
    <s v="BK-M82B-48"/>
    <x v="7"/>
    <n v="1898.0944"/>
    <n v="3374.99"/>
    <s v="MRS."/>
    <s v="SARAH"/>
    <s v="COLEMAN"/>
    <s v="SARAH COLEMAN"/>
    <d v="1954-07-10T00:00:00"/>
    <s v="M"/>
    <s v="F"/>
    <s v="sarah31@adventure-works.com"/>
    <n v="70000"/>
    <n v="3"/>
    <s v="High School"/>
    <s v="Professional"/>
    <s v="Y"/>
    <s v="Southwest"/>
    <x v="1"/>
    <s v="North America"/>
    <x v="1"/>
    <s v="Bikes"/>
    <n v="3374.99"/>
    <n v="1898.0944"/>
    <n v="1476.8956000000001"/>
    <n v="0.43759999288886797"/>
  </r>
  <r>
    <x v="155"/>
    <d v="2002-03-15T00:00:00"/>
    <s v="SO46452"/>
    <n v="349"/>
    <n v="26112"/>
    <n v="1"/>
    <n v="1"/>
    <n v="1"/>
    <n v="1"/>
    <s v="BK-M82B-42"/>
    <x v="11"/>
    <n v="1898.0944"/>
    <n v="3374.99"/>
    <s v="MR."/>
    <s v="LUKE"/>
    <s v="PERRY"/>
    <s v="LUKE PERRY"/>
    <d v="1953-08-10T00:00:00"/>
    <s v="M"/>
    <s v="M"/>
    <s v="luke26@adventure-works.com"/>
    <n v="70000"/>
    <n v="3"/>
    <s v="Graduate Degree"/>
    <s v="Management"/>
    <s v="Y"/>
    <s v="Northwest"/>
    <x v="1"/>
    <s v="North America"/>
    <x v="1"/>
    <s v="Bikes"/>
    <n v="3374.99"/>
    <n v="1898.0944"/>
    <n v="1476.8956000000001"/>
    <n v="0.43759999288886797"/>
  </r>
  <r>
    <x v="158"/>
    <d v="2002-03-20T00:00:00"/>
    <s v="SO46480"/>
    <n v="347"/>
    <n v="26114"/>
    <n v="4"/>
    <n v="1"/>
    <n v="1"/>
    <n v="1"/>
    <s v="BK-M82S-48"/>
    <x v="10"/>
    <n v="1912.1543999999999"/>
    <n v="3399.99"/>
    <s v="MR."/>
    <s v="ISAAC"/>
    <s v="PETERSON"/>
    <s v="ISAAC PETERSON"/>
    <d v="1953-02-17T00:00:00"/>
    <s v="S"/>
    <s v="M"/>
    <s v="isaac4@adventure-works.com"/>
    <n v="70000"/>
    <n v="3"/>
    <s v="Graduate Degree"/>
    <s v="Management"/>
    <s v="Y"/>
    <s v="Southwest"/>
    <x v="1"/>
    <s v="North America"/>
    <x v="1"/>
    <s v="Bikes"/>
    <n v="3399.99"/>
    <n v="1912.1543999999999"/>
    <n v="1487.8356000000001"/>
    <n v="0.43759999294115598"/>
  </r>
  <r>
    <x v="163"/>
    <d v="2002-05-05T00:00:00"/>
    <s v="SO46516"/>
    <n v="351"/>
    <n v="26116"/>
    <n v="1"/>
    <n v="1"/>
    <n v="1"/>
    <n v="1"/>
    <s v="BK-M82B-48"/>
    <x v="7"/>
    <n v="1898.0944"/>
    <n v="3374.99"/>
    <s v="MRS."/>
    <s v="ASHLEY"/>
    <s v="MARTIN"/>
    <s v="ASHLEY MARTIN"/>
    <d v="1953-07-05T00:00:00"/>
    <s v="S"/>
    <s v="F"/>
    <s v="ashley15@adventure-works.com"/>
    <n v="70000"/>
    <n v="3"/>
    <s v="Graduate Degree"/>
    <s v="Management"/>
    <s v="N"/>
    <s v="Northwest"/>
    <x v="1"/>
    <s v="North America"/>
    <x v="1"/>
    <s v="Bikes"/>
    <n v="3374.99"/>
    <n v="1898.0944"/>
    <n v="1476.8956000000001"/>
    <n v="0.43759999288886797"/>
  </r>
  <r>
    <x v="234"/>
    <d v="2002-05-25T00:00:00"/>
    <s v="SO46894"/>
    <n v="356"/>
    <n v="26120"/>
    <n v="4"/>
    <n v="1"/>
    <n v="1"/>
    <n v="1"/>
    <s v="BK-M68S-46"/>
    <x v="14"/>
    <n v="1117.8559"/>
    <n v="2071.4196000000002"/>
    <s v="MR."/>
    <s v="MIGUEL"/>
    <s v="LEWIS"/>
    <s v="MIGUEL LEWIS"/>
    <d v="1951-04-21T00:00:00"/>
    <s v="S"/>
    <s v="M"/>
    <s v="miguel21@adventure-works.com"/>
    <n v="40000"/>
    <n v="3"/>
    <s v="Partial College"/>
    <s v="Professional"/>
    <s v="N"/>
    <s v="Southwest"/>
    <x v="1"/>
    <s v="North America"/>
    <x v="1"/>
    <s v="Bikes"/>
    <n v="2071.4196000000002"/>
    <n v="1117.8559"/>
    <n v="953.56370000000004"/>
    <n v="0.460343090313522"/>
  </r>
  <r>
    <x v="221"/>
    <d v="2002-06-02T00:00:00"/>
    <s v="SO46817"/>
    <n v="356"/>
    <n v="26121"/>
    <n v="4"/>
    <n v="1"/>
    <n v="1"/>
    <n v="1"/>
    <s v="BK-M68S-46"/>
    <x v="14"/>
    <n v="1117.8559"/>
    <n v="2071.4196000000002"/>
    <s v="MRS."/>
    <s v="MADELINE"/>
    <s v="NELSON"/>
    <s v="MADELINE NELSON"/>
    <d v="1951-07-17T00:00:00"/>
    <s v="M"/>
    <s v="F"/>
    <s v="madeline9@adventure-works.com"/>
    <n v="40000"/>
    <n v="3"/>
    <s v="Partial College"/>
    <s v="Professional"/>
    <s v="N"/>
    <s v="Southwest"/>
    <x v="1"/>
    <s v="North America"/>
    <x v="1"/>
    <s v="Bikes"/>
    <n v="2071.4196000000002"/>
    <n v="1117.8559"/>
    <n v="953.56370000000004"/>
    <n v="0.460343090313522"/>
  </r>
  <r>
    <x v="195"/>
    <d v="2002-04-06T00:00:00"/>
    <s v="SO46747"/>
    <n v="360"/>
    <n v="26127"/>
    <n v="1"/>
    <n v="1"/>
    <n v="1"/>
    <n v="1"/>
    <s v="BK-M68B-42"/>
    <x v="17"/>
    <n v="1105.81"/>
    <n v="2049.0981999999999"/>
    <s v="MR."/>
    <s v="TERRY"/>
    <s v="CHANDER"/>
    <s v="TERRY CHANDER"/>
    <d v="1949-04-02T00:00:00"/>
    <s v="M"/>
    <s v="M"/>
    <s v="terry18@adventure-works.com"/>
    <n v="30000"/>
    <n v="4"/>
    <s v="High School"/>
    <s v="Professional"/>
    <s v="Y"/>
    <s v="Northwest"/>
    <x v="1"/>
    <s v="North America"/>
    <x v="1"/>
    <s v="Bikes"/>
    <n v="2049.0981999999999"/>
    <n v="1105.81"/>
    <n v="943.28819999999996"/>
    <n v="0.46034309141455498"/>
  </r>
  <r>
    <x v="242"/>
    <d v="2002-04-15T00:00:00"/>
    <s v="SO47145"/>
    <n v="338"/>
    <n v="26131"/>
    <n v="9"/>
    <n v="1"/>
    <n v="1"/>
    <n v="2"/>
    <s v="BK-R50B-44"/>
    <x v="32"/>
    <n v="413.1463"/>
    <n v="699.09820000000002"/>
    <s v="MR."/>
    <s v="LAWRENCE"/>
    <s v="SUAREZ"/>
    <s v="LAWRENCE SUAREZ"/>
    <d v="1963-10-26T00:00:00"/>
    <s v="M"/>
    <s v="M"/>
    <s v="lawrence18@adventure-works.com"/>
    <n v="60000"/>
    <n v="3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345"/>
    <d v="2002-06-08T00:00:00"/>
    <s v="SO47154"/>
    <n v="334"/>
    <n v="26133"/>
    <n v="9"/>
    <n v="1"/>
    <n v="1"/>
    <n v="2"/>
    <s v="BK-R50B-60"/>
    <x v="41"/>
    <n v="413.1463"/>
    <n v="699.09820000000002"/>
    <s v="MR."/>
    <s v="JESSE"/>
    <s v="HALL"/>
    <s v="JESSE HALL"/>
    <d v="1963-07-11T00:00:00"/>
    <s v="S"/>
    <s v="M"/>
    <s v="jesse46@adventure-works.com"/>
    <n v="70000"/>
    <n v="0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239"/>
    <d v="2002-04-14T00:00:00"/>
    <s v="SO47099"/>
    <n v="324"/>
    <n v="26134"/>
    <n v="9"/>
    <n v="1"/>
    <n v="1"/>
    <n v="2"/>
    <s v="BK-R50R-62"/>
    <x v="42"/>
    <n v="413.1463"/>
    <n v="699.09820000000002"/>
    <s v="MRS."/>
    <s v="BRIDGET"/>
    <s v="GOEL"/>
    <s v="BRIDGET GOEL"/>
    <d v="1967-05-05T00:00:00"/>
    <s v="M"/>
    <s v="F"/>
    <s v="bridget21@adventure-works.com"/>
    <n v="90000"/>
    <n v="3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306"/>
    <d v="2002-08-31T00:00:00"/>
    <s v="SO47593"/>
    <n v="324"/>
    <n v="26135"/>
    <n v="9"/>
    <n v="1"/>
    <n v="1"/>
    <n v="2"/>
    <s v="BK-R50R-62"/>
    <x v="42"/>
    <n v="413.1463"/>
    <n v="699.09820000000002"/>
    <s v="MRS."/>
    <s v="ERICA"/>
    <s v="SUN"/>
    <s v="ERICA SUN"/>
    <d v="1967-02-21T00:00:00"/>
    <s v="M"/>
    <s v="F"/>
    <s v="erica13@adventure-works.com"/>
    <n v="90000"/>
    <n v="3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349"/>
    <d v="2002-06-25T00:00:00"/>
    <s v="SO47657"/>
    <n v="326"/>
    <n v="26138"/>
    <n v="9"/>
    <n v="1"/>
    <n v="1"/>
    <n v="2"/>
    <s v="BK-R50R-44"/>
    <x v="43"/>
    <n v="413.1463"/>
    <n v="699.09820000000002"/>
    <s v="MRS."/>
    <s v="LATOYA"/>
    <s v="CHANDER"/>
    <s v="LATOYA CHANDER"/>
    <d v="1962-03-09T00:00:00"/>
    <s v="M"/>
    <s v="F"/>
    <s v="latoya14@adventure-works.com"/>
    <n v="70000"/>
    <n v="1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308"/>
    <d v="2002-07-14T00:00:00"/>
    <s v="SO47611"/>
    <n v="330"/>
    <n v="26140"/>
    <n v="9"/>
    <n v="1"/>
    <n v="1"/>
    <n v="2"/>
    <s v="BK-R50R-52"/>
    <x v="39"/>
    <n v="413.1463"/>
    <n v="699.09820000000002"/>
    <s v="MS."/>
    <s v="EMILY"/>
    <s v="LONG"/>
    <s v="EMILY LONG"/>
    <d v="1966-12-28T00:00:00"/>
    <s v="S"/>
    <s v="F"/>
    <s v="emily34@adventure-works.com"/>
    <n v="100000"/>
    <n v="0"/>
    <s v="Graduate Degree"/>
    <s v="Management"/>
    <s v="N"/>
    <s v="Australia"/>
    <x v="2"/>
    <s v="Pacific"/>
    <x v="0"/>
    <s v="Bikes"/>
    <n v="699.09820000000002"/>
    <n v="413.1463"/>
    <n v="285.95190000000002"/>
    <n v="0.409029661355157"/>
  </r>
  <r>
    <x v="89"/>
    <d v="2002-07-25T00:00:00"/>
    <s v="SO47636"/>
    <n v="330"/>
    <n v="26142"/>
    <n v="9"/>
    <n v="1"/>
    <n v="1"/>
    <n v="2"/>
    <s v="BK-R50R-52"/>
    <x v="39"/>
    <n v="413.1463"/>
    <n v="699.09820000000002"/>
    <s v="MR."/>
    <s v="MICHEAL"/>
    <s v="DOMINGUEZ"/>
    <s v="MICHEAL DOMINGUEZ"/>
    <d v="1960-12-26T00:00:00"/>
    <s v="M"/>
    <s v="M"/>
    <s v="micheal8@adventure-works.com"/>
    <n v="60000"/>
    <n v="1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94"/>
    <d v="2002-05-29T00:00:00"/>
    <s v="SO47534"/>
    <n v="328"/>
    <n v="26148"/>
    <n v="9"/>
    <n v="1"/>
    <n v="1"/>
    <n v="2"/>
    <s v="BK-R50R-48"/>
    <x v="35"/>
    <n v="413.1463"/>
    <n v="699.09820000000002"/>
    <s v="MR."/>
    <s v="MICHAEL"/>
    <s v="THOMPSON"/>
    <s v="MICHAEL THOMPSON"/>
    <d v="1965-03-27T00:00:00"/>
    <s v="M"/>
    <s v="M"/>
    <s v="michael47@adventure-works.com"/>
    <n v="80000"/>
    <n v="5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307"/>
    <d v="2002-09-01T00:00:00"/>
    <s v="SO47626"/>
    <n v="320"/>
    <n v="26150"/>
    <n v="9"/>
    <n v="1"/>
    <n v="1"/>
    <n v="2"/>
    <s v="BK-R50R-58"/>
    <x v="40"/>
    <n v="413.1463"/>
    <n v="699.09820000000002"/>
    <s v="MS."/>
    <s v="NANCY"/>
    <s v="RANA"/>
    <s v="NANCY RANA"/>
    <d v="1964-10-27T00:00:00"/>
    <s v="S"/>
    <s v="F"/>
    <s v="nancy14@adventure-works.com"/>
    <n v="70000"/>
    <n v="0"/>
    <s v="Bachelors"/>
    <s v="Professional"/>
    <s v="N"/>
    <s v="Australia"/>
    <x v="2"/>
    <s v="Pacific"/>
    <x v="0"/>
    <s v="Bikes"/>
    <n v="699.09820000000002"/>
    <n v="413.1463"/>
    <n v="285.95190000000002"/>
    <n v="0.409029661355157"/>
  </r>
  <r>
    <x v="267"/>
    <d v="2002-06-24T00:00:00"/>
    <s v="SO47468"/>
    <n v="328"/>
    <n v="26152"/>
    <n v="9"/>
    <n v="1"/>
    <n v="1"/>
    <n v="2"/>
    <s v="BK-R50R-48"/>
    <x v="35"/>
    <n v="413.1463"/>
    <n v="699.09820000000002"/>
    <s v="MS."/>
    <s v="JAIME"/>
    <s v="GILL"/>
    <s v="JAIME GILL"/>
    <d v="1963-08-13T00:00:00"/>
    <s v="S"/>
    <s v="F"/>
    <s v="jaime15@adventure-works.com"/>
    <n v="70000"/>
    <n v="0"/>
    <s v="Bachelors"/>
    <s v="Professional"/>
    <s v="N"/>
    <s v="Australia"/>
    <x v="2"/>
    <s v="Pacific"/>
    <x v="0"/>
    <s v="Bikes"/>
    <n v="699.09820000000002"/>
    <n v="413.1463"/>
    <n v="285.95190000000002"/>
    <n v="0.409029661355157"/>
  </r>
  <r>
    <x v="321"/>
    <d v="2002-08-10T00:00:00"/>
    <s v="SO47519"/>
    <n v="336"/>
    <n v="26153"/>
    <n v="9"/>
    <n v="1"/>
    <n v="1"/>
    <n v="2"/>
    <s v="BK-R50B-62"/>
    <x v="36"/>
    <n v="413.1463"/>
    <n v="699.09820000000002"/>
    <s v="MRS."/>
    <s v="REBECCA"/>
    <s v="COLLINS"/>
    <s v="REBECCA COLLINS"/>
    <d v="1962-05-10T00:00:00"/>
    <s v="M"/>
    <s v="F"/>
    <s v="rebecca5@adventure-works.com"/>
    <n v="60000"/>
    <n v="1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306"/>
    <d v="2002-07-20T00:00:00"/>
    <s v="SO47594"/>
    <n v="342"/>
    <n v="26154"/>
    <n v="9"/>
    <n v="1"/>
    <n v="1"/>
    <n v="2"/>
    <s v="BK-R50B-52"/>
    <x v="33"/>
    <n v="413.1463"/>
    <n v="699.09820000000002"/>
    <s v="MR."/>
    <s v="CORY"/>
    <s v="MADAN"/>
    <s v="CORY MADAN"/>
    <d v="1962-10-28T00:00:00"/>
    <s v="M"/>
    <s v="M"/>
    <s v="cory6@adventure-works.com"/>
    <n v="60000"/>
    <n v="1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201"/>
    <d v="2002-08-07T00:00:00"/>
    <s v="SO47823"/>
    <n v="336"/>
    <n v="26160"/>
    <n v="9"/>
    <n v="1"/>
    <n v="1"/>
    <n v="2"/>
    <s v="BK-R50B-62"/>
    <x v="36"/>
    <n v="413.1463"/>
    <n v="699.09820000000002"/>
    <s v="MR."/>
    <s v="LEONARD"/>
    <s v="LAL"/>
    <s v="LEONARD LAL"/>
    <d v="1957-08-26T00:00:00"/>
    <s v="M"/>
    <s v="M"/>
    <s v="leonard10@adventure-works.com"/>
    <n v="70000"/>
    <n v="1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197"/>
    <d v="2002-08-16T00:00:00"/>
    <s v="SO47808"/>
    <n v="342"/>
    <n v="26161"/>
    <n v="9"/>
    <n v="1"/>
    <n v="1"/>
    <n v="2"/>
    <s v="BK-R50B-52"/>
    <x v="33"/>
    <n v="413.1463"/>
    <n v="699.09820000000002"/>
    <s v="MR."/>
    <s v="WAYNE"/>
    <s v="RAJI"/>
    <s v="WAYNE RAJI"/>
    <d v="1960-10-19T00:00:00"/>
    <s v="M"/>
    <s v="M"/>
    <s v="wayne23@adventure-works.com"/>
    <n v="60000"/>
    <n v="3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208"/>
    <d v="2002-09-13T00:00:00"/>
    <s v="SO47738"/>
    <n v="326"/>
    <n v="26165"/>
    <n v="9"/>
    <n v="1"/>
    <n v="1"/>
    <n v="2"/>
    <s v="BK-R50R-44"/>
    <x v="43"/>
    <n v="413.1463"/>
    <n v="699.09820000000002"/>
    <s v="MRS."/>
    <s v="ALEXANDRA"/>
    <s v="FLORES"/>
    <s v="ALEXANDRA FLORES"/>
    <d v="1957-02-26T00:00:00"/>
    <s v="M"/>
    <s v="F"/>
    <s v="alexandra35@adventure-works.com"/>
    <n v="70000"/>
    <n v="1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277"/>
    <d v="2002-07-15T00:00:00"/>
    <s v="SO47942"/>
    <n v="336"/>
    <n v="26167"/>
    <n v="9"/>
    <n v="1"/>
    <n v="1"/>
    <n v="2"/>
    <s v="BK-R50B-62"/>
    <x v="36"/>
    <n v="413.1463"/>
    <n v="699.09820000000002"/>
    <s v="MRS."/>
    <s v="JACLYN"/>
    <s v="ZHAO"/>
    <s v="JACLYN ZHAO"/>
    <d v="1953-05-21T00:00:00"/>
    <s v="S"/>
    <s v="F"/>
    <s v="jaclyn11@adventure-works.com"/>
    <n v="40000"/>
    <n v="2"/>
    <s v="Bachelors"/>
    <s v="Management"/>
    <s v="N"/>
    <s v="Australia"/>
    <x v="2"/>
    <s v="Pacific"/>
    <x v="0"/>
    <s v="Bikes"/>
    <n v="699.09820000000002"/>
    <n v="413.1463"/>
    <n v="285.95190000000002"/>
    <n v="0.409029661355157"/>
  </r>
  <r>
    <x v="203"/>
    <d v="2002-05-25T00:00:00"/>
    <s v="SO46757"/>
    <n v="354"/>
    <n v="26174"/>
    <n v="1"/>
    <n v="1"/>
    <n v="1"/>
    <n v="1"/>
    <s v="BK-M68S-42"/>
    <x v="18"/>
    <n v="1117.8559"/>
    <n v="2071.4196000000002"/>
    <s v="MR."/>
    <s v="ISAAC"/>
    <s v="ADAMS"/>
    <s v="ISAAC ADAMS"/>
    <d v="1980-06-26T00:00:00"/>
    <s v="S"/>
    <s v="M"/>
    <s v="isaac36@adventure-works.com"/>
    <n v="30000"/>
    <n v="0"/>
    <s v="High School"/>
    <s v="Skilled Manual"/>
    <s v="N"/>
    <s v="Northwest"/>
    <x v="1"/>
    <s v="North America"/>
    <x v="1"/>
    <s v="Bikes"/>
    <n v="2071.4196000000002"/>
    <n v="1117.8559"/>
    <n v="953.56370000000004"/>
    <n v="0.460343090313522"/>
  </r>
  <r>
    <x v="234"/>
    <d v="2002-05-19T00:00:00"/>
    <s v="SO46895"/>
    <n v="354"/>
    <n v="26183"/>
    <n v="4"/>
    <n v="1"/>
    <n v="1"/>
    <n v="1"/>
    <s v="BK-M68S-42"/>
    <x v="18"/>
    <n v="1117.8559"/>
    <n v="2071.4196000000002"/>
    <s v="MR."/>
    <s v="ALLEN"/>
    <s v="ARTHUR"/>
    <s v="ALLEN ARTHUR"/>
    <d v="1977-02-04T00:00:00"/>
    <s v="S"/>
    <s v="M"/>
    <s v="allen6@adventure-works.com"/>
    <n v="30000"/>
    <n v="0"/>
    <s v="Partial High School"/>
    <s v="Clerical"/>
    <s v="N"/>
    <s v="Southwest"/>
    <x v="1"/>
    <s v="North America"/>
    <x v="1"/>
    <s v="Bikes"/>
    <n v="2071.4196000000002"/>
    <n v="1117.8559"/>
    <n v="953.56370000000004"/>
    <n v="0.460343090313522"/>
  </r>
  <r>
    <x v="197"/>
    <d v="2002-07-01T00:00:00"/>
    <s v="SO47809"/>
    <n v="338"/>
    <n v="26187"/>
    <n v="9"/>
    <n v="1"/>
    <n v="1"/>
    <n v="2"/>
    <s v="BK-R50B-44"/>
    <x v="32"/>
    <n v="413.1463"/>
    <n v="699.09820000000002"/>
    <s v="MR."/>
    <s v="HECTOR"/>
    <s v="GILL"/>
    <s v="HECTOR GILL"/>
    <d v="1940-05-22T00:00:00"/>
    <s v="S"/>
    <s v="M"/>
    <s v="hector11@adventure-works.com"/>
    <n v="40000"/>
    <n v="2"/>
    <s v="Bachelors"/>
    <s v="Management"/>
    <s v="Y"/>
    <s v="Australia"/>
    <x v="2"/>
    <s v="Pacific"/>
    <x v="0"/>
    <s v="Bikes"/>
    <n v="699.09820000000002"/>
    <n v="413.1463"/>
    <n v="285.95190000000002"/>
    <n v="0.409029661355157"/>
  </r>
  <r>
    <x v="206"/>
    <d v="2002-08-25T00:00:00"/>
    <s v="SO47927"/>
    <n v="330"/>
    <n v="26188"/>
    <n v="9"/>
    <n v="1"/>
    <n v="1"/>
    <n v="2"/>
    <s v="BK-R50R-52"/>
    <x v="39"/>
    <n v="413.1463"/>
    <n v="699.09820000000002"/>
    <s v="MR."/>
    <s v="GEOFFREY"/>
    <s v="SARA"/>
    <s v="GEOFFREY SARA"/>
    <d v="1940-10-08T00:00:00"/>
    <s v="M"/>
    <s v="M"/>
    <s v="geoffrey8@adventure-works.com"/>
    <n v="40000"/>
    <n v="2"/>
    <s v="Bachelors"/>
    <s v="Management"/>
    <s v="Y"/>
    <s v="Australia"/>
    <x v="2"/>
    <s v="Pacific"/>
    <x v="0"/>
    <s v="Bikes"/>
    <n v="699.09820000000002"/>
    <n v="413.1463"/>
    <n v="285.95190000000002"/>
    <n v="0.409029661355157"/>
  </r>
  <r>
    <x v="309"/>
    <d v="2002-10-09T00:00:00"/>
    <s v="SO47959"/>
    <n v="326"/>
    <n v="26189"/>
    <n v="9"/>
    <n v="1"/>
    <n v="1"/>
    <n v="2"/>
    <s v="BK-R50R-44"/>
    <x v="43"/>
    <n v="413.1463"/>
    <n v="699.09820000000002"/>
    <s v="MR."/>
    <s v="PEDRO"/>
    <s v="SERRANO"/>
    <s v="PEDRO SERRANO"/>
    <d v="1940-04-02T00:00:00"/>
    <s v="M"/>
    <s v="M"/>
    <s v="pedro37@adventure-works.com"/>
    <n v="40000"/>
    <n v="2"/>
    <s v="Bachelors"/>
    <s v="Management"/>
    <s v="N"/>
    <s v="Australia"/>
    <x v="2"/>
    <s v="Pacific"/>
    <x v="0"/>
    <s v="Bikes"/>
    <n v="699.09820000000002"/>
    <n v="413.1463"/>
    <n v="285.95190000000002"/>
    <n v="0.409029661355157"/>
  </r>
  <r>
    <x v="263"/>
    <d v="2002-07-08T00:00:00"/>
    <s v="SO47869"/>
    <n v="326"/>
    <n v="26190"/>
    <n v="9"/>
    <n v="1"/>
    <n v="1"/>
    <n v="2"/>
    <s v="BK-R50R-44"/>
    <x v="43"/>
    <n v="413.1463"/>
    <n v="699.09820000000002"/>
    <s v="MR."/>
    <s v="ARTHUR"/>
    <s v="SURI"/>
    <s v="ARTHUR SURI"/>
    <d v="1941-08-15T00:00:00"/>
    <s v="S"/>
    <s v="M"/>
    <s v="arthur2@adventure-works.com"/>
    <n v="40000"/>
    <n v="2"/>
    <s v="Bachelors"/>
    <s v="Management"/>
    <s v="N"/>
    <s v="Australia"/>
    <x v="2"/>
    <s v="Pacific"/>
    <x v="0"/>
    <s v="Bikes"/>
    <n v="699.09820000000002"/>
    <n v="413.1463"/>
    <n v="285.95190000000002"/>
    <n v="0.409029661355157"/>
  </r>
  <r>
    <x v="262"/>
    <d v="2002-08-14T00:00:00"/>
    <s v="SO47954"/>
    <n v="322"/>
    <n v="26191"/>
    <n v="9"/>
    <n v="1"/>
    <n v="1"/>
    <n v="2"/>
    <s v="BK-R50R-60"/>
    <x v="38"/>
    <n v="413.1463"/>
    <n v="699.09820000000002"/>
    <s v="MR."/>
    <s v="JON"/>
    <s v="WANG"/>
    <s v="JON WANG"/>
    <d v="1943-03-11T00:00:00"/>
    <s v="M"/>
    <s v="M"/>
    <s v="jon20@adventure-works.com"/>
    <n v="40000"/>
    <n v="2"/>
    <s v="Bachelors"/>
    <s v="Management"/>
    <s v="N"/>
    <s v="Australia"/>
    <x v="2"/>
    <s v="Pacific"/>
    <x v="0"/>
    <s v="Bikes"/>
    <n v="699.09820000000002"/>
    <n v="413.1463"/>
    <n v="285.95190000000002"/>
    <n v="0.409029661355157"/>
  </r>
  <r>
    <x v="310"/>
    <d v="2002-07-03T00:00:00"/>
    <s v="SO47936"/>
    <n v="324"/>
    <n v="26192"/>
    <n v="9"/>
    <n v="1"/>
    <n v="1"/>
    <n v="2"/>
    <s v="BK-R50R-62"/>
    <x v="42"/>
    <n v="413.1463"/>
    <n v="699.09820000000002"/>
    <s v="MR."/>
    <s v="NOAH"/>
    <s v="HILL"/>
    <s v="NOAH HILL"/>
    <d v="1943-07-12T00:00:00"/>
    <s v="M"/>
    <s v="M"/>
    <s v="noah39@adventure-works.com"/>
    <n v="40000"/>
    <n v="2"/>
    <s v="Bachelors"/>
    <s v="Management"/>
    <s v="Y"/>
    <s v="Australia"/>
    <x v="2"/>
    <s v="Pacific"/>
    <x v="0"/>
    <s v="Bikes"/>
    <n v="699.09820000000002"/>
    <n v="413.1463"/>
    <n v="285.95190000000002"/>
    <n v="0.409029661355157"/>
  </r>
  <r>
    <x v="88"/>
    <d v="2002-03-20T00:00:00"/>
    <s v="SO46786"/>
    <n v="354"/>
    <n v="26201"/>
    <n v="4"/>
    <n v="1"/>
    <n v="1"/>
    <n v="1"/>
    <s v="BK-M68S-42"/>
    <x v="18"/>
    <n v="1117.8559"/>
    <n v="2071.4196000000002"/>
    <s v="MR."/>
    <s v="DALTON"/>
    <s v="WATSON"/>
    <s v="DALTON WATSON"/>
    <d v="1968-10-22T00:00:00"/>
    <s v="S"/>
    <s v="M"/>
    <s v="dalton70@adventure-works.com"/>
    <n v="80000"/>
    <n v="0"/>
    <s v="Bachelors"/>
    <s v="Management"/>
    <s v="Y"/>
    <s v="Southwest"/>
    <x v="1"/>
    <s v="North America"/>
    <x v="1"/>
    <s v="Bikes"/>
    <n v="2071.4196000000002"/>
    <n v="1117.8559"/>
    <n v="953.56370000000004"/>
    <n v="0.460343090313522"/>
  </r>
  <r>
    <x v="197"/>
    <d v="2002-08-15T00:00:00"/>
    <s v="SO47810"/>
    <n v="332"/>
    <n v="26204"/>
    <n v="9"/>
    <n v="1"/>
    <n v="1"/>
    <n v="2"/>
    <s v="BK-R50B-58"/>
    <x v="34"/>
    <n v="413.1463"/>
    <n v="699.09820000000002"/>
    <s v="MRS."/>
    <s v="CHRISTY"/>
    <s v="GAO"/>
    <s v="CHRISTY GAO"/>
    <d v="1971-03-05T00:00:00"/>
    <s v="M"/>
    <s v="F"/>
    <s v="christy13@adventure-works.com"/>
    <n v="130000"/>
    <n v="5"/>
    <s v="Partial High School"/>
    <s v="Management"/>
    <s v="Y"/>
    <s v="Australia"/>
    <x v="2"/>
    <s v="Pacific"/>
    <x v="0"/>
    <s v="Bikes"/>
    <n v="699.09820000000002"/>
    <n v="413.1463"/>
    <n v="285.95190000000002"/>
    <n v="0.409029661355157"/>
  </r>
  <r>
    <x v="213"/>
    <d v="2002-03-31T00:00:00"/>
    <s v="SO46795"/>
    <n v="362"/>
    <n v="26234"/>
    <n v="4"/>
    <n v="1"/>
    <n v="1"/>
    <n v="1"/>
    <s v="BK-M68B-46"/>
    <x v="13"/>
    <n v="1105.81"/>
    <n v="2049.0981999999999"/>
    <s v="MR."/>
    <s v="ANTONIO"/>
    <s v="PERRY"/>
    <s v="ANTONIO PERRY"/>
    <d v="1975-12-27T00:00:00"/>
    <s v="S"/>
    <s v="M"/>
    <s v="antonio7@adventure-works.com"/>
    <n v="40000"/>
    <n v="3"/>
    <s v="Partial College"/>
    <s v="Clerical"/>
    <s v="Y"/>
    <s v="Southwest"/>
    <x v="1"/>
    <s v="North America"/>
    <x v="1"/>
    <s v="Bikes"/>
    <n v="2049.0981999999999"/>
    <n v="1105.81"/>
    <n v="943.28819999999996"/>
    <n v="0.46034309141455498"/>
  </r>
  <r>
    <x v="203"/>
    <d v="2002-03-19T00:00:00"/>
    <s v="SO46764"/>
    <n v="360"/>
    <n v="26238"/>
    <n v="4"/>
    <n v="1"/>
    <n v="1"/>
    <n v="1"/>
    <s v="BK-M68B-42"/>
    <x v="17"/>
    <n v="1105.81"/>
    <n v="2049.0981999999999"/>
    <s v="MRS."/>
    <s v="JULIA"/>
    <s v="FOSTER"/>
    <s v="JULIA FOSTER"/>
    <d v="1974-09-17T00:00:00"/>
    <s v="S"/>
    <s v="F"/>
    <s v="julia82@adventure-works.com"/>
    <n v="40000"/>
    <n v="3"/>
    <s v="Partial College"/>
    <s v="Clerical"/>
    <s v="Y"/>
    <s v="Southwest"/>
    <x v="1"/>
    <s v="North America"/>
    <x v="1"/>
    <s v="Bikes"/>
    <n v="2049.0981999999999"/>
    <n v="1105.81"/>
    <n v="943.28819999999996"/>
    <n v="0.46034309141455498"/>
  </r>
  <r>
    <x v="72"/>
    <d v="2002-05-16T00:00:00"/>
    <s v="SO46883"/>
    <n v="352"/>
    <n v="26241"/>
    <n v="4"/>
    <n v="1"/>
    <n v="1"/>
    <n v="1"/>
    <s v="BK-M68S-38"/>
    <x v="16"/>
    <n v="1117.8559"/>
    <n v="2071.4196000000002"/>
    <s v="MR."/>
    <s v="JAMES"/>
    <s v="LAL"/>
    <s v="JAMES LAL"/>
    <d v="1974-03-19T00:00:00"/>
    <s v="M"/>
    <s v="M"/>
    <s v="james45@adventure-works.com"/>
    <n v="50000"/>
    <n v="0"/>
    <s v="Graduate Degree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73"/>
    <d v="2002-05-11T00:00:00"/>
    <s v="SO46914"/>
    <n v="356"/>
    <n v="26245"/>
    <n v="4"/>
    <n v="1"/>
    <n v="1"/>
    <n v="1"/>
    <s v="BK-M68S-46"/>
    <x v="14"/>
    <n v="1117.8559"/>
    <n v="2071.4196000000002"/>
    <s v="MR."/>
    <s v="DEVIN"/>
    <s v="MURPHY"/>
    <s v="DEVIN MURPHY"/>
    <d v="1966-09-04T00:00:00"/>
    <s v="M"/>
    <s v="M"/>
    <s v="devin82@adventure-works.com"/>
    <n v="80000"/>
    <n v="0"/>
    <s v="Graduate Degree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213"/>
    <d v="2002-06-01T00:00:00"/>
    <s v="SO46796"/>
    <n v="360"/>
    <n v="26247"/>
    <n v="4"/>
    <n v="1"/>
    <n v="1"/>
    <n v="1"/>
    <s v="BK-M68B-42"/>
    <x v="17"/>
    <n v="1105.81"/>
    <n v="2049.0981999999999"/>
    <s v="MS."/>
    <s v="SOPHIA"/>
    <s v="TURNER"/>
    <s v="SOPHIA TURNER"/>
    <d v="1966-05-24T00:00:00"/>
    <s v="M"/>
    <s v="F"/>
    <s v="sophia3@adventure-works.com"/>
    <n v="80000"/>
    <n v="0"/>
    <s v="Graduate Degree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195"/>
    <d v="2002-04-29T00:00:00"/>
    <s v="SO46748"/>
    <n v="360"/>
    <n v="26252"/>
    <n v="4"/>
    <n v="1"/>
    <n v="1"/>
    <n v="1"/>
    <s v="BK-M68B-42"/>
    <x v="17"/>
    <n v="1105.81"/>
    <n v="2049.0981999999999"/>
    <s v="MRS."/>
    <s v="MORGAN"/>
    <s v="GARCIA"/>
    <s v="MORGAN GARCIA"/>
    <d v="1954-10-25T00:00:00"/>
    <s v="M"/>
    <s v="F"/>
    <s v="morgan38@adventure-works.com"/>
    <n v="40000"/>
    <n v="1"/>
    <s v="Partial College"/>
    <s v="Clerical"/>
    <s v="Y"/>
    <s v="Southwest"/>
    <x v="1"/>
    <s v="North America"/>
    <x v="1"/>
    <s v="Bikes"/>
    <n v="2049.0981999999999"/>
    <n v="1105.81"/>
    <n v="943.28819999999996"/>
    <n v="0.46034309141455498"/>
  </r>
  <r>
    <x v="73"/>
    <d v="2002-07-06T00:00:00"/>
    <s v="SO46915"/>
    <n v="362"/>
    <n v="26276"/>
    <n v="1"/>
    <n v="1"/>
    <n v="1"/>
    <n v="1"/>
    <s v="BK-M68B-46"/>
    <x v="13"/>
    <n v="1105.81"/>
    <n v="2049.0981999999999"/>
    <s v="MRS."/>
    <s v="HEATHER"/>
    <s v="HUANG"/>
    <s v="HEATHER HUANG"/>
    <d v="1958-02-08T00:00:00"/>
    <s v="M"/>
    <s v="F"/>
    <s v="heather5@adventure-works.com"/>
    <n v="40000"/>
    <n v="1"/>
    <s v="Partial College"/>
    <s v="Clerical"/>
    <s v="Y"/>
    <s v="Northwest"/>
    <x v="1"/>
    <s v="North America"/>
    <x v="1"/>
    <s v="Bikes"/>
    <n v="2049.0981999999999"/>
    <n v="1105.81"/>
    <n v="943.28819999999996"/>
    <n v="0.46034309141455498"/>
  </r>
  <r>
    <x v="246"/>
    <d v="2002-05-23T00:00:00"/>
    <s v="SO47201"/>
    <n v="356"/>
    <n v="26277"/>
    <n v="1"/>
    <n v="1"/>
    <n v="1"/>
    <n v="1"/>
    <s v="BK-M68S-46"/>
    <x v="14"/>
    <n v="1117.8559"/>
    <n v="2071.4196000000002"/>
    <s v="MRS."/>
    <s v="JACQUELINE"/>
    <s v="HUGHES"/>
    <s v="JACQUELINE HUGHES"/>
    <d v="1958-11-24T00:00:00"/>
    <s v="S"/>
    <s v="F"/>
    <s v="jacqueline12@adventure-works.com"/>
    <n v="40000"/>
    <n v="2"/>
    <s v="Partial College"/>
    <s v="Clerical"/>
    <s v="Y"/>
    <s v="Northwest"/>
    <x v="1"/>
    <s v="North America"/>
    <x v="1"/>
    <s v="Bikes"/>
    <n v="2071.4196000000002"/>
    <n v="1117.8559"/>
    <n v="953.56370000000004"/>
    <n v="0.460343090313522"/>
  </r>
  <r>
    <x v="244"/>
    <d v="2002-05-30T00:00:00"/>
    <s v="SO47158"/>
    <n v="360"/>
    <n v="26280"/>
    <n v="4"/>
    <n v="1"/>
    <n v="1"/>
    <n v="1"/>
    <s v="BK-M68B-42"/>
    <x v="17"/>
    <n v="1105.81"/>
    <n v="2049.0981999999999"/>
    <s v="MR."/>
    <s v="JACKSON"/>
    <s v="JENKINS"/>
    <s v="JACKSON JENKINS"/>
    <d v="1959-04-24T00:00:00"/>
    <s v="S"/>
    <s v="M"/>
    <s v="jackson9@adventure-works.com"/>
    <n v="40000"/>
    <n v="2"/>
    <s v="Partial College"/>
    <s v="Clerical"/>
    <s v="N"/>
    <s v="Southwest"/>
    <x v="1"/>
    <s v="North America"/>
    <x v="1"/>
    <s v="Bikes"/>
    <n v="2049.0981999999999"/>
    <n v="1105.81"/>
    <n v="943.28819999999996"/>
    <n v="0.46034309141455498"/>
  </r>
  <r>
    <x v="166"/>
    <d v="2002-07-15T00:00:00"/>
    <s v="SO47169"/>
    <n v="352"/>
    <n v="26281"/>
    <n v="4"/>
    <n v="1"/>
    <n v="1"/>
    <n v="1"/>
    <s v="BK-M68S-38"/>
    <x v="16"/>
    <n v="1117.8559"/>
    <n v="2071.4196000000002"/>
    <s v="MR."/>
    <s v="IAN"/>
    <s v="ALEXANDER"/>
    <s v="IAN ALEXANDER"/>
    <d v="1959-05-25T00:00:00"/>
    <s v="S"/>
    <s v="M"/>
    <s v="ian59@adventure-works.com"/>
    <n v="40000"/>
    <n v="2"/>
    <s v="Partial College"/>
    <s v="Clerical"/>
    <s v="Y"/>
    <s v="Southwest"/>
    <x v="1"/>
    <s v="North America"/>
    <x v="1"/>
    <s v="Bikes"/>
    <n v="2071.4196000000002"/>
    <n v="1117.8559"/>
    <n v="953.56370000000004"/>
    <n v="0.460343090313522"/>
  </r>
  <r>
    <x v="246"/>
    <d v="2002-06-07T00:00:00"/>
    <s v="SO47202"/>
    <n v="356"/>
    <n v="26285"/>
    <n v="1"/>
    <n v="1"/>
    <n v="1"/>
    <n v="1"/>
    <s v="BK-M68S-46"/>
    <x v="14"/>
    <n v="1117.8559"/>
    <n v="2071.4196000000002"/>
    <s v="MS."/>
    <s v="KAYLA"/>
    <s v="HAYES"/>
    <s v="KAYLA HAYES"/>
    <d v="1972-08-16T00:00:00"/>
    <s v="S"/>
    <s v="F"/>
    <s v="kayla47@adventure-works.com"/>
    <n v="50000"/>
    <n v="0"/>
    <s v="Graduate Degree"/>
    <s v="Skilled Manual"/>
    <s v="Y"/>
    <s v="Northwest"/>
    <x v="1"/>
    <s v="North America"/>
    <x v="1"/>
    <s v="Bikes"/>
    <n v="2071.4196000000002"/>
    <n v="1117.8559"/>
    <n v="953.56370000000004"/>
    <n v="0.460343090313522"/>
  </r>
  <r>
    <x v="245"/>
    <d v="2002-05-03T00:00:00"/>
    <s v="SO47196"/>
    <n v="362"/>
    <n v="26286"/>
    <n v="4"/>
    <n v="1"/>
    <n v="1"/>
    <n v="1"/>
    <s v="BK-M68B-46"/>
    <x v="13"/>
    <n v="1105.81"/>
    <n v="2049.0981999999999"/>
    <s v="MR."/>
    <s v="EVAN"/>
    <s v="PHILLIPS"/>
    <s v="EVAN PHILLIPS"/>
    <d v="1972-12-07T00:00:00"/>
    <s v="S"/>
    <s v="M"/>
    <s v="evan30@adventure-works.com"/>
    <n v="50000"/>
    <n v="0"/>
    <s v="Graduate Degree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242"/>
    <d v="2002-07-17T00:00:00"/>
    <s v="SO47140"/>
    <n v="356"/>
    <n v="26290"/>
    <n v="4"/>
    <n v="1"/>
    <n v="1"/>
    <n v="1"/>
    <s v="BK-M68S-46"/>
    <x v="14"/>
    <n v="1117.8559"/>
    <n v="2071.4196000000002"/>
    <s v="MR."/>
    <s v="NOAH"/>
    <s v="CHEN"/>
    <s v="NOAH CHEN"/>
    <d v="1973-07-02T00:00:00"/>
    <s v="S"/>
    <s v="M"/>
    <s v="noah22@adventure-works.com"/>
    <n v="60000"/>
    <n v="1"/>
    <s v="Graduate Degree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254"/>
    <d v="2002-05-30T00:00:00"/>
    <s v="SO47301"/>
    <n v="358"/>
    <n v="26292"/>
    <n v="1"/>
    <n v="1"/>
    <n v="1"/>
    <n v="1"/>
    <s v="BK-M68B-38"/>
    <x v="15"/>
    <n v="1105.81"/>
    <n v="2049.0981999999999"/>
    <s v="MRS."/>
    <s v="MARTY"/>
    <s v="SIMPSON"/>
    <s v="MARTY SIMPSON"/>
    <d v="1971-08-26T00:00:00"/>
    <s v="M"/>
    <s v="F"/>
    <s v="marty0@adventure-works.com"/>
    <n v="70000"/>
    <n v="1"/>
    <s v="Graduate Degree"/>
    <s v="Skilled Manual"/>
    <s v="Y"/>
    <s v="Northwest"/>
    <x v="1"/>
    <s v="North America"/>
    <x v="1"/>
    <s v="Bikes"/>
    <n v="2049.0981999999999"/>
    <n v="1105.81"/>
    <n v="943.28819999999996"/>
    <n v="0.46034309141455498"/>
  </r>
  <r>
    <x v="236"/>
    <d v="2002-05-10T00:00:00"/>
    <s v="SO47074"/>
    <n v="362"/>
    <n v="26293"/>
    <n v="1"/>
    <n v="1"/>
    <n v="1"/>
    <n v="1"/>
    <s v="BK-M68B-46"/>
    <x v="13"/>
    <n v="1105.81"/>
    <n v="2049.0981999999999"/>
    <s v="MR."/>
    <s v="CASEY"/>
    <s v="CARLSON"/>
    <s v="CASEY CARLSON"/>
    <d v="1971-07-09T00:00:00"/>
    <s v="M"/>
    <s v="M"/>
    <s v="casey42@adventure-works.com"/>
    <n v="70000"/>
    <n v="1"/>
    <s v="Graduate Degree"/>
    <s v="Skilled Manual"/>
    <s v="Y"/>
    <s v="Northwest"/>
    <x v="1"/>
    <s v="North America"/>
    <x v="1"/>
    <s v="Bikes"/>
    <n v="2049.0981999999999"/>
    <n v="1105.81"/>
    <n v="943.28819999999996"/>
    <n v="0.46034309141455498"/>
  </r>
  <r>
    <x v="86"/>
    <d v="2002-05-01T00:00:00"/>
    <s v="SO47229"/>
    <n v="358"/>
    <n v="26295"/>
    <n v="1"/>
    <n v="1"/>
    <n v="1"/>
    <n v="1"/>
    <s v="BK-M68B-38"/>
    <x v="15"/>
    <n v="1105.81"/>
    <n v="2049.0981999999999"/>
    <s v="MRS."/>
    <s v="TONI"/>
    <s v="KAPOOR"/>
    <s v="TONI KAPOOR"/>
    <d v="1972-01-22T00:00:00"/>
    <s v="M"/>
    <s v="F"/>
    <s v="toni1@adventure-works.com"/>
    <n v="50000"/>
    <n v="1"/>
    <s v="Bachelors"/>
    <s v="Skilled Manual"/>
    <s v="Y"/>
    <s v="Northwest"/>
    <x v="1"/>
    <s v="North America"/>
    <x v="1"/>
    <s v="Bikes"/>
    <n v="2049.0981999999999"/>
    <n v="1105.81"/>
    <n v="943.28819999999996"/>
    <n v="0.46034309141455498"/>
  </r>
  <r>
    <x v="241"/>
    <d v="2002-07-13T00:00:00"/>
    <s v="SO47134"/>
    <n v="354"/>
    <n v="26296"/>
    <n v="1"/>
    <n v="1"/>
    <n v="1"/>
    <n v="1"/>
    <s v="BK-M68S-42"/>
    <x v="18"/>
    <n v="1117.8559"/>
    <n v="2071.4196000000002"/>
    <s v="MRS."/>
    <s v="GRACE"/>
    <s v="SIMMONS"/>
    <s v="GRACE SIMMONS"/>
    <d v="1972-06-23T00:00:00"/>
    <s v="M"/>
    <s v="F"/>
    <s v="grace63@adventure-works.com"/>
    <n v="50000"/>
    <n v="1"/>
    <s v="Bachelors"/>
    <s v="Skilled Manual"/>
    <s v="Y"/>
    <s v="Northwest"/>
    <x v="1"/>
    <s v="North America"/>
    <x v="1"/>
    <s v="Bikes"/>
    <n v="2071.4196000000002"/>
    <n v="1117.8559"/>
    <n v="953.56370000000004"/>
    <n v="0.460343090313522"/>
  </r>
  <r>
    <x v="105"/>
    <d v="2002-05-26T00:00:00"/>
    <s v="SO47289"/>
    <n v="360"/>
    <n v="26297"/>
    <n v="1"/>
    <n v="1"/>
    <n v="1"/>
    <n v="1"/>
    <s v="BK-M68B-42"/>
    <x v="17"/>
    <n v="1105.81"/>
    <n v="2049.0981999999999"/>
    <s v="MR."/>
    <s v="JEREMIAH"/>
    <s v="LOPEZ"/>
    <s v="JEREMIAH LOPEZ"/>
    <d v="1972-12-26T00:00:00"/>
    <s v="M"/>
    <s v="M"/>
    <s v="jeremiah15@adventure-works.com"/>
    <n v="50000"/>
    <n v="1"/>
    <s v="Bachelors"/>
    <s v="Skilled Manual"/>
    <s v="Y"/>
    <s v="Northwest"/>
    <x v="1"/>
    <s v="North America"/>
    <x v="1"/>
    <s v="Bikes"/>
    <n v="2049.0981999999999"/>
    <n v="1105.81"/>
    <n v="943.28819999999996"/>
    <n v="0.46034309141455498"/>
  </r>
  <r>
    <x v="78"/>
    <d v="2002-04-25T00:00:00"/>
    <s v="SO47182"/>
    <n v="354"/>
    <n v="26298"/>
    <n v="1"/>
    <n v="1"/>
    <n v="1"/>
    <n v="1"/>
    <s v="BK-M68S-42"/>
    <x v="18"/>
    <n v="1117.8559"/>
    <n v="2071.4196000000002"/>
    <s v="MRS."/>
    <s v="JASMINE"/>
    <s v="PETERSON"/>
    <s v="JASMINE PETERSON"/>
    <d v="1972-01-11T00:00:00"/>
    <s v="M"/>
    <s v="F"/>
    <s v="jasmine33@adventure-works.com"/>
    <n v="50000"/>
    <n v="1"/>
    <s v="Bachelors"/>
    <s v="Skilled Manual"/>
    <s v="Y"/>
    <s v="Northwest"/>
    <x v="1"/>
    <s v="North America"/>
    <x v="1"/>
    <s v="Bikes"/>
    <n v="2071.4196000000002"/>
    <n v="1117.8559"/>
    <n v="953.56370000000004"/>
    <n v="0.460343090313522"/>
  </r>
  <r>
    <x v="248"/>
    <d v="2002-06-24T00:00:00"/>
    <s v="SO47216"/>
    <n v="360"/>
    <n v="26299"/>
    <n v="1"/>
    <n v="1"/>
    <n v="1"/>
    <n v="1"/>
    <s v="BK-M68B-42"/>
    <x v="17"/>
    <n v="1105.81"/>
    <n v="2049.0981999999999"/>
    <s v="MR."/>
    <s v="Y."/>
    <s v="YONG"/>
    <s v="Y. YONG"/>
    <d v="1972-07-27T00:00:00"/>
    <s v="S"/>
    <s v="M"/>
    <s v="y0@adventure-works.com"/>
    <n v="60000"/>
    <n v="1"/>
    <s v="Graduate Degree"/>
    <s v="Skilled Manual"/>
    <s v="N"/>
    <s v="Northwest"/>
    <x v="1"/>
    <s v="North America"/>
    <x v="1"/>
    <s v="Bikes"/>
    <n v="2049.0981999999999"/>
    <n v="1105.81"/>
    <n v="943.28819999999996"/>
    <n v="0.46034309141455498"/>
  </r>
  <r>
    <x v="244"/>
    <d v="2002-04-14T00:00:00"/>
    <s v="SO47159"/>
    <n v="362"/>
    <n v="26300"/>
    <n v="4"/>
    <n v="1"/>
    <n v="1"/>
    <n v="1"/>
    <s v="BK-M68B-46"/>
    <x v="13"/>
    <n v="1105.81"/>
    <n v="2049.0981999999999"/>
    <s v="MRS."/>
    <s v="AUDREY"/>
    <s v="ORTEGA"/>
    <s v="AUDREY ORTEGA"/>
    <d v="1972-04-15T00:00:00"/>
    <s v="S"/>
    <s v="F"/>
    <s v="audrey24@adventure-works.com"/>
    <n v="60000"/>
    <n v="1"/>
    <s v="Graduate Degree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247"/>
    <d v="2002-04-28T00:00:00"/>
    <s v="SO47205"/>
    <n v="352"/>
    <n v="26301"/>
    <n v="4"/>
    <n v="1"/>
    <n v="1"/>
    <n v="1"/>
    <s v="BK-M68S-38"/>
    <x v="16"/>
    <n v="1117.8559"/>
    <n v="2071.4196000000002"/>
    <s v="MR."/>
    <s v="ISAIAH"/>
    <s v="HALL"/>
    <s v="ISAIAH HALL"/>
    <d v="1972-01-15T00:00:00"/>
    <s v="S"/>
    <s v="M"/>
    <s v="isaiah46@adventure-works.com"/>
    <n v="70000"/>
    <n v="1"/>
    <s v="Graduate Degree"/>
    <s v="Professional"/>
    <s v="N"/>
    <s v="Southwest"/>
    <x v="1"/>
    <s v="North America"/>
    <x v="1"/>
    <s v="Bikes"/>
    <n v="2071.4196000000002"/>
    <n v="1117.8559"/>
    <n v="953.56370000000004"/>
    <n v="0.460343090313522"/>
  </r>
  <r>
    <x v="237"/>
    <d v="2002-05-30T00:00:00"/>
    <s v="SO47080"/>
    <n v="360"/>
    <n v="26302"/>
    <n v="4"/>
    <n v="1"/>
    <n v="1"/>
    <n v="1"/>
    <s v="BK-M68B-42"/>
    <x v="17"/>
    <n v="1105.81"/>
    <n v="2049.0981999999999"/>
    <s v="MR."/>
    <s v="JAMES"/>
    <s v="JACKSON"/>
    <s v="JAMES JACKSON"/>
    <d v="1970-07-12T00:00:00"/>
    <s v="M"/>
    <s v="M"/>
    <s v="james84@adventure-works.com"/>
    <n v="40000"/>
    <n v="1"/>
    <s v="Bachelors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255"/>
    <d v="2002-06-05T00:00:00"/>
    <s v="SO47310"/>
    <n v="354"/>
    <n v="26303"/>
    <n v="4"/>
    <n v="1"/>
    <n v="1"/>
    <n v="1"/>
    <s v="BK-M68S-42"/>
    <x v="18"/>
    <n v="1117.8559"/>
    <n v="2071.4196000000002"/>
    <s v="MR."/>
    <s v="DEVON"/>
    <s v="PAL"/>
    <s v="DEVON PAL"/>
    <d v="1970-05-16T00:00:00"/>
    <s v="M"/>
    <s v="M"/>
    <s v="devon10@adventure-works.com"/>
    <n v="40000"/>
    <n v="1"/>
    <s v="Bachelors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250"/>
    <d v="2002-07-31T00:00:00"/>
    <s v="SO47342"/>
    <n v="360"/>
    <n v="26304"/>
    <n v="1"/>
    <n v="1"/>
    <n v="1"/>
    <n v="1"/>
    <s v="BK-M68B-42"/>
    <x v="17"/>
    <n v="1105.81"/>
    <n v="2049.0981999999999"/>
    <s v="MRS."/>
    <s v="ANNA"/>
    <s v="LEWIS"/>
    <s v="ANNA LEWIS"/>
    <d v="1970-07-02T00:00:00"/>
    <s v="M"/>
    <s v="F"/>
    <s v="anna59@adventure-works.com"/>
    <n v="60000"/>
    <n v="1"/>
    <s v="Graduate Degree"/>
    <s v="Professional"/>
    <s v="Y"/>
    <s v="Northwest"/>
    <x v="1"/>
    <s v="North America"/>
    <x v="1"/>
    <s v="Bikes"/>
    <n v="2049.0981999999999"/>
    <n v="1105.81"/>
    <n v="943.28819999999996"/>
    <n v="0.46034309141455498"/>
  </r>
  <r>
    <x v="85"/>
    <d v="2002-07-04T00:00:00"/>
    <s v="SO47261"/>
    <n v="362"/>
    <n v="26305"/>
    <n v="1"/>
    <n v="1"/>
    <n v="1"/>
    <n v="1"/>
    <s v="BK-M68B-46"/>
    <x v="13"/>
    <n v="1105.81"/>
    <n v="2049.0981999999999"/>
    <s v="MRS."/>
    <s v="JULIA"/>
    <s v="ROGERS"/>
    <s v="JULIA ROGERS"/>
    <d v="1969-12-12T00:00:00"/>
    <s v="S"/>
    <s v="F"/>
    <s v="julia49@adventure-works.com"/>
    <n v="60000"/>
    <n v="2"/>
    <s v="Bachelors"/>
    <s v="Skilled Manual"/>
    <s v="N"/>
    <s v="Northwest"/>
    <x v="1"/>
    <s v="North America"/>
    <x v="1"/>
    <s v="Bikes"/>
    <n v="2049.0981999999999"/>
    <n v="1105.81"/>
    <n v="943.28819999999996"/>
    <n v="0.46034309141455498"/>
  </r>
  <r>
    <x v="318"/>
    <d v="2002-07-05T00:00:00"/>
    <s v="SO47598"/>
    <n v="358"/>
    <n v="26306"/>
    <n v="4"/>
    <n v="1"/>
    <n v="1"/>
    <n v="1"/>
    <s v="BK-M68B-38"/>
    <x v="15"/>
    <n v="1105.81"/>
    <n v="2049.0981999999999"/>
    <s v="MR."/>
    <s v="KYLE"/>
    <s v="HOLT"/>
    <s v="KYLE HOLT"/>
    <d v="1969-04-26T00:00:00"/>
    <s v="S"/>
    <s v="M"/>
    <s v="kyle6@adventure-works.com"/>
    <n v="60000"/>
    <n v="2"/>
    <s v="Bachelors"/>
    <s v="Skilled Manual"/>
    <s v="N"/>
    <s v="Southwest"/>
    <x v="1"/>
    <s v="North America"/>
    <x v="1"/>
    <s v="Bikes"/>
    <n v="2049.0981999999999"/>
    <n v="1105.81"/>
    <n v="943.28819999999996"/>
    <n v="0.46034309141455498"/>
  </r>
  <r>
    <x v="98"/>
    <d v="2002-06-28T00:00:00"/>
    <s v="SO47505"/>
    <n v="352"/>
    <n v="26307"/>
    <n v="4"/>
    <n v="1"/>
    <n v="1"/>
    <n v="1"/>
    <s v="BK-M68S-38"/>
    <x v="16"/>
    <n v="1117.8559"/>
    <n v="2071.4196000000002"/>
    <s v="MR."/>
    <s v="ALEXANDER"/>
    <s v="MILLER"/>
    <s v="ALEXANDER MILLER"/>
    <d v="1969-08-25T00:00:00"/>
    <s v="M"/>
    <s v="M"/>
    <s v="alexander11@adventure-works.com"/>
    <n v="60000"/>
    <n v="2"/>
    <s v="Bachelors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321"/>
    <d v="2002-08-25T00:00:00"/>
    <s v="SO47515"/>
    <n v="354"/>
    <n v="26308"/>
    <n v="1"/>
    <n v="1"/>
    <n v="1"/>
    <n v="1"/>
    <s v="BK-M68S-42"/>
    <x v="18"/>
    <n v="1117.8559"/>
    <n v="2071.4196000000002"/>
    <s v="MRS."/>
    <s v="SARA"/>
    <s v="KELLY"/>
    <s v="SARA KELLY"/>
    <d v="1969-09-17T00:00:00"/>
    <s v="S"/>
    <s v="F"/>
    <s v="sara3@adventure-works.com"/>
    <n v="60000"/>
    <n v="2"/>
    <s v="Bachelors"/>
    <s v="Skilled Manual"/>
    <s v="N"/>
    <s v="Northwest"/>
    <x v="1"/>
    <s v="North America"/>
    <x v="1"/>
    <s v="Bikes"/>
    <n v="2071.4196000000002"/>
    <n v="1117.8559"/>
    <n v="953.56370000000004"/>
    <n v="0.460343090313522"/>
  </r>
  <r>
    <x v="321"/>
    <d v="2002-06-01T00:00:00"/>
    <s v="SO47516"/>
    <n v="362"/>
    <n v="26309"/>
    <n v="4"/>
    <n v="1"/>
    <n v="1"/>
    <n v="1"/>
    <s v="BK-M68B-46"/>
    <x v="13"/>
    <n v="1105.81"/>
    <n v="2049.0981999999999"/>
    <s v="MR."/>
    <s v="JULIAN"/>
    <s v="POWELL"/>
    <s v="JULIAN POWELL"/>
    <d v="1969-07-23T00:00:00"/>
    <s v="S"/>
    <s v="M"/>
    <s v="julian10@adventure-works.com"/>
    <n v="60000"/>
    <n v="2"/>
    <s v="Bachelors"/>
    <s v="Skilled Manual"/>
    <s v="N"/>
    <s v="Southwest"/>
    <x v="1"/>
    <s v="North America"/>
    <x v="1"/>
    <s v="Bikes"/>
    <n v="2049.0981999999999"/>
    <n v="1105.81"/>
    <n v="943.28819999999996"/>
    <n v="0.46034309141455498"/>
  </r>
  <r>
    <x v="89"/>
    <d v="2002-09-05T00:00:00"/>
    <s v="SO47630"/>
    <n v="354"/>
    <n v="26311"/>
    <n v="1"/>
    <n v="1"/>
    <n v="1"/>
    <n v="1"/>
    <s v="BK-M68S-42"/>
    <x v="18"/>
    <n v="1117.8559"/>
    <n v="2071.4196000000002"/>
    <s v="MRS."/>
    <s v="BRENDA"/>
    <s v="RODRIGUEZ"/>
    <s v="BRENDA RODRIGUEZ"/>
    <d v="1971-08-21T00:00:00"/>
    <s v="S"/>
    <s v="F"/>
    <s v="brenda23@adventure-works.com"/>
    <n v="60000"/>
    <n v="1"/>
    <s v="Graduate Degree"/>
    <s v="Professional"/>
    <s v="Y"/>
    <s v="Northwest"/>
    <x v="1"/>
    <s v="North America"/>
    <x v="1"/>
    <s v="Bikes"/>
    <n v="2071.4196000000002"/>
    <n v="1117.8559"/>
    <n v="953.56370000000004"/>
    <n v="0.460343090313522"/>
  </r>
  <r>
    <x v="306"/>
    <d v="2002-07-31T00:00:00"/>
    <s v="SO47590"/>
    <n v="356"/>
    <n v="26312"/>
    <n v="1"/>
    <n v="1"/>
    <n v="1"/>
    <n v="1"/>
    <s v="BK-M68S-46"/>
    <x v="14"/>
    <n v="1117.8559"/>
    <n v="2071.4196000000002"/>
    <s v="MRS."/>
    <s v="ELIZABETH"/>
    <s v="WOOD"/>
    <s v="ELIZABETH WOOD"/>
    <d v="1971-07-01T00:00:00"/>
    <s v="M"/>
    <s v="F"/>
    <s v="elizabeth31@adventure-works.com"/>
    <n v="60000"/>
    <n v="1"/>
    <s v="Graduate Degree"/>
    <s v="Professional"/>
    <s v="Y"/>
    <s v="Northwest"/>
    <x v="1"/>
    <s v="North America"/>
    <x v="1"/>
    <s v="Bikes"/>
    <n v="2071.4196000000002"/>
    <n v="1117.8559"/>
    <n v="953.56370000000004"/>
    <n v="0.460343090313522"/>
  </r>
  <r>
    <x v="306"/>
    <d v="2002-08-14T00:00:00"/>
    <s v="SO47591"/>
    <n v="360"/>
    <n v="26313"/>
    <n v="4"/>
    <n v="1"/>
    <n v="1"/>
    <n v="1"/>
    <s v="BK-M68B-42"/>
    <x v="17"/>
    <n v="1105.81"/>
    <n v="2049.0981999999999"/>
    <s v="MR."/>
    <s v="DALTON"/>
    <s v="SIMMONS"/>
    <s v="DALTON SIMMONS"/>
    <d v="1971-11-02T00:00:00"/>
    <s v="M"/>
    <s v="M"/>
    <s v="dalton61@adventure-works.com"/>
    <n v="70000"/>
    <n v="3"/>
    <s v="Graduate Degree"/>
    <s v="Professional"/>
    <s v="Y"/>
    <s v="Southwest"/>
    <x v="1"/>
    <s v="North America"/>
    <x v="1"/>
    <s v="Bikes"/>
    <n v="2049.0981999999999"/>
    <n v="1105.81"/>
    <n v="943.28819999999996"/>
    <n v="0.46034309141455498"/>
  </r>
  <r>
    <x v="257"/>
    <d v="2002-07-02T00:00:00"/>
    <s v="SO47575"/>
    <n v="362"/>
    <n v="26315"/>
    <n v="4"/>
    <n v="1"/>
    <n v="1"/>
    <n v="1"/>
    <s v="BK-M68B-46"/>
    <x v="13"/>
    <n v="1105.81"/>
    <n v="2049.0981999999999"/>
    <s v="MRS."/>
    <s v="TAYLOR"/>
    <s v="PETERSON"/>
    <s v="TAYLOR PETERSON"/>
    <d v="1969-05-15T00:00:00"/>
    <s v="S"/>
    <s v="F"/>
    <s v="taylor17@adventure-works.com"/>
    <n v="60000"/>
    <n v="1"/>
    <s v="Graduate Degree"/>
    <s v="Professional"/>
    <s v="N"/>
    <s v="Southwest"/>
    <x v="1"/>
    <s v="North America"/>
    <x v="1"/>
    <s v="Bikes"/>
    <n v="2049.0981999999999"/>
    <n v="1105.81"/>
    <n v="943.28819999999996"/>
    <n v="0.46034309141455498"/>
  </r>
  <r>
    <x v="86"/>
    <d v="2002-06-30T00:00:00"/>
    <s v="SO47222"/>
    <n v="381"/>
    <n v="26316"/>
    <n v="6"/>
    <n v="1"/>
    <n v="1"/>
    <n v="2"/>
    <s v="BK-R64Y-38"/>
    <x v="30"/>
    <n v="605.64919999999995"/>
    <n v="1000.4375"/>
    <s v="MRS."/>
    <s v="STEPHANIE"/>
    <s v="HUGHES"/>
    <s v="STEPHANIE HUGHES"/>
    <d v="1969-10-07T00:00:00"/>
    <s v="S"/>
    <s v="F"/>
    <s v="stephanie38@adventure-works.com"/>
    <n v="60000"/>
    <n v="1"/>
    <s v="Graduate Degree"/>
    <s v="Professional"/>
    <s v="Y"/>
    <s v="Canada"/>
    <x v="5"/>
    <s v="North America"/>
    <x v="0"/>
    <s v="Bikes"/>
    <n v="1000.4375"/>
    <n v="605.64919999999995"/>
    <n v="394.78829999999999"/>
    <n v="0.39461565565065299"/>
  </r>
  <r>
    <x v="364"/>
    <d v="2002-07-16T00:00:00"/>
    <s v="SO47640"/>
    <n v="354"/>
    <n v="26317"/>
    <n v="1"/>
    <n v="1"/>
    <n v="1"/>
    <n v="1"/>
    <s v="BK-M68S-42"/>
    <x v="18"/>
    <n v="1117.8559"/>
    <n v="2071.4196000000002"/>
    <s v="MRS."/>
    <s v="AMANDA"/>
    <s v="WRIGHT"/>
    <s v="AMANDA WRIGHT"/>
    <d v="1969-05-18T00:00:00"/>
    <s v="M"/>
    <s v="F"/>
    <s v="amanda63@adventure-works.com"/>
    <n v="60000"/>
    <n v="1"/>
    <s v="Graduate Degree"/>
    <s v="Professional"/>
    <s v="Y"/>
    <s v="Northwest"/>
    <x v="1"/>
    <s v="North America"/>
    <x v="1"/>
    <s v="Bikes"/>
    <n v="2071.4196000000002"/>
    <n v="1117.8559"/>
    <n v="953.56370000000004"/>
    <n v="0.460343090313522"/>
  </r>
  <r>
    <x v="270"/>
    <d v="2002-08-16T00:00:00"/>
    <s v="SO47638"/>
    <n v="362"/>
    <n v="26319"/>
    <n v="4"/>
    <n v="1"/>
    <n v="1"/>
    <n v="1"/>
    <s v="BK-M68B-46"/>
    <x v="13"/>
    <n v="1105.81"/>
    <n v="2049.0981999999999"/>
    <s v="MR."/>
    <s v="DYLAN"/>
    <s v="MARTINEZ"/>
    <s v="DYLAN MARTINEZ"/>
    <d v="1968-11-17T00:00:00"/>
    <s v="S"/>
    <s v="M"/>
    <s v="dylan47@adventure-works.com"/>
    <n v="70000"/>
    <n v="2"/>
    <s v="Bachelors"/>
    <s v="Skilled Manual"/>
    <s v="N"/>
    <s v="Southwest"/>
    <x v="1"/>
    <s v="North America"/>
    <x v="1"/>
    <s v="Bikes"/>
    <n v="2049.0981999999999"/>
    <n v="1105.81"/>
    <n v="943.28819999999996"/>
    <n v="0.46034309141455498"/>
  </r>
  <r>
    <x v="353"/>
    <d v="2002-08-06T00:00:00"/>
    <s v="SO47461"/>
    <n v="356"/>
    <n v="26320"/>
    <n v="4"/>
    <n v="1"/>
    <n v="1"/>
    <n v="1"/>
    <s v="BK-M68S-46"/>
    <x v="14"/>
    <n v="1117.8559"/>
    <n v="2071.4196000000002"/>
    <s v="MRS."/>
    <s v="BRIANNA"/>
    <s v="DIAZ"/>
    <s v="BRIANNA DIAZ"/>
    <d v="1968-03-21T00:00:00"/>
    <s v="M"/>
    <s v="F"/>
    <s v="brianna67@adventure-works.com"/>
    <n v="70000"/>
    <n v="2"/>
    <s v="Bachelors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264"/>
    <d v="2002-08-11T00:00:00"/>
    <s v="SO47873"/>
    <n v="383"/>
    <n v="26321"/>
    <n v="6"/>
    <n v="1"/>
    <n v="1"/>
    <n v="2"/>
    <s v="BK-R64Y-40"/>
    <x v="29"/>
    <n v="605.64919999999995"/>
    <n v="1000.4375"/>
    <s v="MR."/>
    <s v="RANDALL"/>
    <s v="BLANCO"/>
    <s v="RANDALL BLANCO"/>
    <d v="1968-11-19T00:00:00"/>
    <s v="M"/>
    <s v="M"/>
    <s v="randall17@adventure-works.com"/>
    <n v="70000"/>
    <n v="2"/>
    <s v="Bachelors"/>
    <s v="Skilled Manual"/>
    <s v="Y"/>
    <s v="Canada"/>
    <x v="5"/>
    <s v="North America"/>
    <x v="0"/>
    <s v="Bikes"/>
    <n v="1000.4375"/>
    <n v="605.64919999999995"/>
    <n v="394.78829999999999"/>
    <n v="0.39461565565065299"/>
  </r>
  <r>
    <x v="308"/>
    <d v="2002-07-28T00:00:00"/>
    <s v="SO47608"/>
    <n v="352"/>
    <n v="26322"/>
    <n v="1"/>
    <n v="1"/>
    <n v="1"/>
    <n v="1"/>
    <s v="BK-M68S-38"/>
    <x v="16"/>
    <n v="1117.8559"/>
    <n v="2071.4196000000002"/>
    <s v="MR."/>
    <s v="JUSTIN"/>
    <s v="ZHANG"/>
    <s v="JUSTIN ZHANG"/>
    <d v="1967-09-14T00:00:00"/>
    <s v="S"/>
    <s v="M"/>
    <s v="justin21@adventure-works.com"/>
    <n v="40000"/>
    <n v="0"/>
    <s v="Bachelors"/>
    <s v="Professional"/>
    <s v="N"/>
    <s v="Northwest"/>
    <x v="1"/>
    <s v="North America"/>
    <x v="1"/>
    <s v="Bikes"/>
    <n v="2071.4196000000002"/>
    <n v="1117.8559"/>
    <n v="953.56370000000004"/>
    <n v="0.460343090313522"/>
  </r>
  <r>
    <x v="98"/>
    <d v="2002-05-14T00:00:00"/>
    <s v="SO47506"/>
    <n v="354"/>
    <n v="26324"/>
    <n v="1"/>
    <n v="1"/>
    <n v="1"/>
    <n v="1"/>
    <s v="BK-M68S-42"/>
    <x v="18"/>
    <n v="1117.8559"/>
    <n v="2071.4196000000002"/>
    <s v="MRS."/>
    <s v="FAITH"/>
    <s v="BROOKS"/>
    <s v="FAITH BROOKS"/>
    <d v="1970-11-07T00:00:00"/>
    <s v="S"/>
    <s v="F"/>
    <s v="faith23@adventure-works.com"/>
    <n v="70000"/>
    <n v="3"/>
    <s v="Graduate Degree"/>
    <s v="Professional"/>
    <s v="N"/>
    <s v="Northwest"/>
    <x v="1"/>
    <s v="North America"/>
    <x v="1"/>
    <s v="Bikes"/>
    <n v="2071.4196000000002"/>
    <n v="1117.8559"/>
    <n v="953.56370000000004"/>
    <n v="0.460343090313522"/>
  </r>
  <r>
    <x v="89"/>
    <d v="2002-07-31T00:00:00"/>
    <s v="SO47631"/>
    <n v="352"/>
    <n v="26325"/>
    <n v="1"/>
    <n v="1"/>
    <n v="1"/>
    <n v="1"/>
    <s v="BK-M68S-38"/>
    <x v="16"/>
    <n v="1117.8559"/>
    <n v="2071.4196000000002"/>
    <s v="MR."/>
    <s v="TYLER"/>
    <s v="ROBINSON"/>
    <s v="TYLER ROBINSON"/>
    <d v="1970-10-23T00:00:00"/>
    <s v="M"/>
    <s v="M"/>
    <s v="tyler16@adventure-works.com"/>
    <n v="70000"/>
    <n v="3"/>
    <s v="Graduate Degree"/>
    <s v="Professional"/>
    <s v="Y"/>
    <s v="Northwest"/>
    <x v="1"/>
    <s v="North America"/>
    <x v="1"/>
    <s v="Bikes"/>
    <n v="2071.4196000000002"/>
    <n v="1117.8559"/>
    <n v="953.56370000000004"/>
    <n v="0.460343090313522"/>
  </r>
  <r>
    <x v="260"/>
    <d v="2002-07-04T00:00:00"/>
    <s v="SO47540"/>
    <n v="362"/>
    <n v="26326"/>
    <n v="4"/>
    <n v="1"/>
    <n v="1"/>
    <n v="1"/>
    <s v="BK-M68B-46"/>
    <x v="13"/>
    <n v="1105.81"/>
    <n v="2049.0981999999999"/>
    <s v="MR."/>
    <s v="TREVOR"/>
    <s v="WASHINGTON"/>
    <s v="TREVOR WASHINGTON"/>
    <d v="1970-07-06T00:00:00"/>
    <s v="M"/>
    <s v="M"/>
    <s v="trevor13@adventure-works.com"/>
    <n v="70000"/>
    <n v="4"/>
    <s v="Graduate Degree"/>
    <s v="Professional"/>
    <s v="Y"/>
    <s v="Southwest"/>
    <x v="1"/>
    <s v="North America"/>
    <x v="1"/>
    <s v="Bikes"/>
    <n v="2049.0981999999999"/>
    <n v="1105.81"/>
    <n v="943.28819999999996"/>
    <n v="0.46034309141455498"/>
  </r>
  <r>
    <x v="318"/>
    <d v="2002-09-02T00:00:00"/>
    <s v="SO47599"/>
    <n v="362"/>
    <n v="26327"/>
    <n v="4"/>
    <n v="1"/>
    <n v="1"/>
    <n v="1"/>
    <s v="BK-M68B-46"/>
    <x v="13"/>
    <n v="1105.81"/>
    <n v="2049.0981999999999"/>
    <s v="MR."/>
    <s v="JACK"/>
    <s v="JAI"/>
    <s v="JACK JAI"/>
    <d v="1970-05-03T00:00:00"/>
    <s v="M"/>
    <s v="M"/>
    <s v="jack33@adventure-works.com"/>
    <n v="70000"/>
    <n v="4"/>
    <s v="Graduate Degree"/>
    <s v="Professional"/>
    <s v="Y"/>
    <s v="Southwest"/>
    <x v="1"/>
    <s v="North America"/>
    <x v="1"/>
    <s v="Bikes"/>
    <n v="2049.0981999999999"/>
    <n v="1105.81"/>
    <n v="943.28819999999996"/>
    <n v="0.46034309141455498"/>
  </r>
  <r>
    <x v="332"/>
    <d v="2002-08-16T00:00:00"/>
    <s v="SO47848"/>
    <n v="358"/>
    <n v="26328"/>
    <n v="4"/>
    <n v="1"/>
    <n v="1"/>
    <n v="1"/>
    <s v="BK-M68B-38"/>
    <x v="15"/>
    <n v="1105.81"/>
    <n v="2049.0981999999999"/>
    <s v="MR."/>
    <s v="EDWARD"/>
    <s v="ANDERSON"/>
    <s v="EDWARD ANDERSON"/>
    <d v="1970-04-08T00:00:00"/>
    <s v="S"/>
    <s v="M"/>
    <s v="edward32@adventure-works.com"/>
    <n v="80000"/>
    <n v="2"/>
    <s v="Graduate Degree"/>
    <s v="Professional"/>
    <s v="N"/>
    <s v="Southwest"/>
    <x v="1"/>
    <s v="North America"/>
    <x v="1"/>
    <s v="Bikes"/>
    <n v="2049.0981999999999"/>
    <n v="1105.81"/>
    <n v="943.28819999999996"/>
    <n v="0.46034309141455498"/>
  </r>
  <r>
    <x v="265"/>
    <d v="2002-09-09T00:00:00"/>
    <s v="SO47766"/>
    <n v="358"/>
    <n v="26329"/>
    <n v="4"/>
    <n v="1"/>
    <n v="1"/>
    <n v="1"/>
    <s v="BK-M68B-38"/>
    <x v="15"/>
    <n v="1105.81"/>
    <n v="2049.0981999999999"/>
    <s v="MRS."/>
    <s v="ANGELICA"/>
    <s v="BRYANT"/>
    <s v="ANGELICA BRYANT"/>
    <d v="1967-05-21T00:00:00"/>
    <s v="M"/>
    <s v="F"/>
    <s v="angelica17@adventure-works.com"/>
    <n v="50000"/>
    <n v="2"/>
    <s v="Bachelors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360"/>
    <d v="2002-09-13T00:00:00"/>
    <s v="SO47762"/>
    <n v="352"/>
    <n v="26330"/>
    <n v="1"/>
    <n v="1"/>
    <n v="1"/>
    <n v="1"/>
    <s v="BK-M68S-38"/>
    <x v="16"/>
    <n v="1117.8559"/>
    <n v="2071.4196000000002"/>
    <s v="MR."/>
    <s v="MARCUS"/>
    <s v="DIAZ"/>
    <s v="MARCUS DIAZ"/>
    <d v="1967-05-03T00:00:00"/>
    <s v="S"/>
    <s v="M"/>
    <s v="marcus71@adventure-works.com"/>
    <n v="50000"/>
    <n v="2"/>
    <s v="Bachelors"/>
    <s v="Skilled Manual"/>
    <s v="N"/>
    <s v="Northwest"/>
    <x v="1"/>
    <s v="North America"/>
    <x v="1"/>
    <s v="Bikes"/>
    <n v="2071.4196000000002"/>
    <n v="1117.8559"/>
    <n v="953.56370000000004"/>
    <n v="0.460343090313522"/>
  </r>
  <r>
    <x v="275"/>
    <d v="2002-08-21T00:00:00"/>
    <s v="SO47851"/>
    <n v="358"/>
    <n v="26331"/>
    <n v="1"/>
    <n v="1"/>
    <n v="1"/>
    <n v="1"/>
    <s v="BK-M68B-38"/>
    <x v="15"/>
    <n v="1105.81"/>
    <n v="2049.0981999999999"/>
    <s v="MRS."/>
    <s v="MELANIE"/>
    <s v="POWELL"/>
    <s v="MELANIE POWELL"/>
    <d v="1967-09-04T00:00:00"/>
    <s v="M"/>
    <s v="F"/>
    <s v="melanie24@adventure-works.com"/>
    <n v="50000"/>
    <n v="2"/>
    <s v="Bachelors"/>
    <s v="Skilled Manual"/>
    <s v="Y"/>
    <s v="Northwest"/>
    <x v="1"/>
    <s v="North America"/>
    <x v="1"/>
    <s v="Bikes"/>
    <n v="2049.0981999999999"/>
    <n v="1105.81"/>
    <n v="943.28819999999996"/>
    <n v="0.46034309141455498"/>
  </r>
  <r>
    <x v="201"/>
    <d v="2002-07-11T00:00:00"/>
    <s v="SO47814"/>
    <n v="360"/>
    <n v="26338"/>
    <n v="4"/>
    <n v="1"/>
    <n v="1"/>
    <n v="1"/>
    <s v="BK-M68B-42"/>
    <x v="17"/>
    <n v="1105.81"/>
    <n v="2049.0981999999999"/>
    <s v="MRS."/>
    <s v="ANNA"/>
    <s v="COLEMAN"/>
    <s v="ANNA COLEMAN"/>
    <d v="1966-04-09T00:00:00"/>
    <s v="M"/>
    <s v="F"/>
    <s v="anna30@adventure-works.com"/>
    <n v="70000"/>
    <n v="4"/>
    <s v="Graduate Degree"/>
    <s v="Professional"/>
    <s v="Y"/>
    <s v="Southwest"/>
    <x v="1"/>
    <s v="North America"/>
    <x v="1"/>
    <s v="Bikes"/>
    <n v="2049.0981999999999"/>
    <n v="1105.81"/>
    <n v="943.28819999999996"/>
    <n v="0.46034309141455498"/>
  </r>
  <r>
    <x v="263"/>
    <d v="2002-07-09T00:00:00"/>
    <s v="SO47860"/>
    <n v="352"/>
    <n v="26339"/>
    <n v="1"/>
    <n v="1"/>
    <n v="1"/>
    <n v="1"/>
    <s v="BK-M68S-38"/>
    <x v="16"/>
    <n v="1117.8559"/>
    <n v="2071.4196000000002"/>
    <s v="MRS."/>
    <s v="CINDY"/>
    <s v="JAMES"/>
    <s v="CINDY JAMES"/>
    <d v="1966-10-09T00:00:00"/>
    <s v="S"/>
    <s v="F"/>
    <s v="cindy26@adventure-works.com"/>
    <n v="70000"/>
    <n v="4"/>
    <s v="Graduate Degree"/>
    <s v="Professional"/>
    <s v="Y"/>
    <s v="Northwest"/>
    <x v="1"/>
    <s v="North America"/>
    <x v="1"/>
    <s v="Bikes"/>
    <n v="2071.4196000000002"/>
    <n v="1117.8559"/>
    <n v="953.56370000000004"/>
    <n v="0.460343090313522"/>
  </r>
  <r>
    <x v="275"/>
    <d v="2002-08-06T00:00:00"/>
    <s v="SO47852"/>
    <n v="354"/>
    <n v="26342"/>
    <n v="4"/>
    <n v="1"/>
    <n v="1"/>
    <n v="1"/>
    <s v="BK-M68S-42"/>
    <x v="18"/>
    <n v="1117.8559"/>
    <n v="2071.4196000000002"/>
    <s v="MR."/>
    <s v="EDUARDO"/>
    <s v="GRIFFIN"/>
    <s v="EDUARDO GRIFFIN"/>
    <d v="1969-08-16T00:00:00"/>
    <s v="S"/>
    <s v="M"/>
    <s v="eduardo64@adventure-works.com"/>
    <n v="80000"/>
    <n v="3"/>
    <s v="Graduate Degree"/>
    <s v="Professional"/>
    <s v="N"/>
    <s v="Southwest"/>
    <x v="1"/>
    <s v="North America"/>
    <x v="1"/>
    <s v="Bikes"/>
    <n v="2071.4196000000002"/>
    <n v="1117.8559"/>
    <n v="953.56370000000004"/>
    <n v="0.460343090313522"/>
  </r>
  <r>
    <x v="265"/>
    <d v="2002-09-07T00:00:00"/>
    <s v="SO47765"/>
    <n v="360"/>
    <n v="26343"/>
    <n v="1"/>
    <n v="1"/>
    <n v="1"/>
    <n v="1"/>
    <s v="BK-M68B-42"/>
    <x v="17"/>
    <n v="1105.81"/>
    <n v="2049.0981999999999"/>
    <s v="MS."/>
    <s v="MARIAH"/>
    <s v="WASHINGTON"/>
    <s v="MARIAH WASHINGTON"/>
    <d v="1965-09-15T00:00:00"/>
    <s v="S"/>
    <s v="F"/>
    <s v="mariah18@adventure-works.com"/>
    <n v="40000"/>
    <n v="0"/>
    <s v="Bachelors"/>
    <s v="Professional"/>
    <s v="N"/>
    <s v="Northwest"/>
    <x v="1"/>
    <s v="North America"/>
    <x v="1"/>
    <s v="Bikes"/>
    <n v="2049.0981999999999"/>
    <n v="1105.81"/>
    <n v="943.28819999999996"/>
    <n v="0.46034309141455498"/>
  </r>
  <r>
    <x v="342"/>
    <d v="2002-07-07T00:00:00"/>
    <s v="SO47894"/>
    <n v="358"/>
    <n v="26344"/>
    <n v="4"/>
    <n v="1"/>
    <n v="1"/>
    <n v="1"/>
    <s v="BK-M68B-38"/>
    <x v="15"/>
    <n v="1105.81"/>
    <n v="2049.0981999999999"/>
    <s v="MRS."/>
    <s v="NATALIE"/>
    <s v="HUGHES"/>
    <s v="NATALIE HUGHES"/>
    <d v="1965-06-26T00:00:00"/>
    <s v="S"/>
    <s v="F"/>
    <s v="natalie34@adventure-works.com"/>
    <n v="50000"/>
    <n v="3"/>
    <s v="Bachelors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280"/>
    <d v="2002-08-21T00:00:00"/>
    <s v="SO47915"/>
    <n v="360"/>
    <n v="26351"/>
    <n v="4"/>
    <n v="1"/>
    <n v="1"/>
    <n v="1"/>
    <s v="BK-M68B-42"/>
    <x v="17"/>
    <n v="1105.81"/>
    <n v="2049.0981999999999"/>
    <s v="MS."/>
    <s v="EMMA"/>
    <s v="MOORE"/>
    <s v="EMMA MOORE"/>
    <d v="1965-01-24T00:00:00"/>
    <s v="S"/>
    <s v="F"/>
    <s v="emma7@adventure-works.com"/>
    <n v="60000"/>
    <n v="0"/>
    <s v="Graduate Degree"/>
    <s v="Professional"/>
    <s v="N"/>
    <s v="Southwest"/>
    <x v="1"/>
    <s v="North America"/>
    <x v="1"/>
    <s v="Bikes"/>
    <n v="2049.0981999999999"/>
    <n v="1105.81"/>
    <n v="943.28819999999996"/>
    <n v="0.46034309141455498"/>
  </r>
  <r>
    <x v="342"/>
    <d v="2002-06-28T00:00:00"/>
    <s v="SO47892"/>
    <n v="389"/>
    <n v="26373"/>
    <n v="6"/>
    <n v="1"/>
    <n v="1"/>
    <n v="2"/>
    <s v="BK-R64Y-48"/>
    <x v="31"/>
    <n v="605.64919999999995"/>
    <n v="1000.4375"/>
    <s v="MS."/>
    <s v="MARIAH"/>
    <s v="REED"/>
    <s v="MARIAH REED"/>
    <d v="1972-06-12T00:00:00"/>
    <s v="M"/>
    <s v="F"/>
    <s v="mariah43@adventure-works.com"/>
    <n v="70000"/>
    <n v="0"/>
    <s v="Partial College"/>
    <s v="Skilled Manual"/>
    <s v="Y"/>
    <s v="Canada"/>
    <x v="5"/>
    <s v="North America"/>
    <x v="0"/>
    <s v="Bikes"/>
    <n v="1000.4375"/>
    <n v="605.64919999999995"/>
    <n v="394.78829999999999"/>
    <n v="0.39461565565065299"/>
  </r>
  <r>
    <x v="265"/>
    <d v="2002-08-03T00:00:00"/>
    <s v="SO47770"/>
    <n v="342"/>
    <n v="26375"/>
    <n v="9"/>
    <n v="1"/>
    <n v="1"/>
    <n v="2"/>
    <s v="BK-R50B-52"/>
    <x v="33"/>
    <n v="413.1463"/>
    <n v="699.09820000000002"/>
    <s v="MR."/>
    <s v="SHANNON"/>
    <s v="ORTEGA"/>
    <s v="SHANNON ORTEGA"/>
    <d v="1971-06-15T00:00:00"/>
    <s v="S"/>
    <s v="M"/>
    <s v="shannon41@adventure-works.com"/>
    <n v="130000"/>
    <n v="0"/>
    <s v="Partial High School"/>
    <s v="Management"/>
    <s v="Y"/>
    <s v="Australia"/>
    <x v="2"/>
    <s v="Pacific"/>
    <x v="0"/>
    <s v="Bikes"/>
    <n v="699.09820000000002"/>
    <n v="413.1463"/>
    <n v="285.95190000000002"/>
    <n v="0.409029661355157"/>
  </r>
  <r>
    <x v="300"/>
    <d v="2002-08-26T00:00:00"/>
    <s v="SO48197"/>
    <n v="322"/>
    <n v="26422"/>
    <n v="9"/>
    <n v="1"/>
    <n v="1"/>
    <n v="2"/>
    <s v="BK-R50R-60"/>
    <x v="38"/>
    <n v="413.1463"/>
    <n v="699.09820000000002"/>
    <s v="MR."/>
    <s v="PEDRO"/>
    <s v="SURI"/>
    <s v="PEDRO SURI"/>
    <d v="1975-09-03T00:00:00"/>
    <s v="S"/>
    <s v="M"/>
    <s v="pedro0@adventure-works.com"/>
    <n v="70000"/>
    <n v="0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333"/>
    <d v="2002-10-18T00:00:00"/>
    <s v="SO48236"/>
    <n v="338"/>
    <n v="26423"/>
    <n v="9"/>
    <n v="1"/>
    <n v="1"/>
    <n v="2"/>
    <s v="BK-R50B-44"/>
    <x v="32"/>
    <n v="413.1463"/>
    <n v="699.09820000000002"/>
    <s v="MR."/>
    <s v="HECTOR"/>
    <s v="GUTIERREZ"/>
    <s v="HECTOR GUTIERREZ"/>
    <d v="1975-11-05T00:00:00"/>
    <s v="S"/>
    <s v="M"/>
    <s v="hector9@adventure-works.com"/>
    <n v="70000"/>
    <n v="0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337"/>
    <d v="2002-10-26T00:00:00"/>
    <s v="SO48276"/>
    <n v="324"/>
    <n v="26429"/>
    <n v="9"/>
    <n v="1"/>
    <n v="1"/>
    <n v="2"/>
    <s v="BK-R50R-62"/>
    <x v="42"/>
    <n v="413.1463"/>
    <n v="699.09820000000002"/>
    <s v="MR."/>
    <s v="REGINALD"/>
    <s v="ORTEGA"/>
    <s v="REGINALD ORTEGA"/>
    <d v="1976-10-26T00:00:00"/>
    <s v="S"/>
    <s v="M"/>
    <s v="reginald7@adventure-works.com"/>
    <n v="80000"/>
    <n v="0"/>
    <s v="Bachelors"/>
    <s v="Professional"/>
    <s v="N"/>
    <s v="Australia"/>
    <x v="2"/>
    <s v="Pacific"/>
    <x v="0"/>
    <s v="Bikes"/>
    <n v="699.09820000000002"/>
    <n v="413.1463"/>
    <n v="285.95190000000002"/>
    <n v="0.409029661355157"/>
  </r>
  <r>
    <x v="104"/>
    <d v="2002-09-30T00:00:00"/>
    <s v="SO48158"/>
    <n v="328"/>
    <n v="26433"/>
    <n v="9"/>
    <n v="1"/>
    <n v="1"/>
    <n v="2"/>
    <s v="BK-R50R-48"/>
    <x v="35"/>
    <n v="413.1463"/>
    <n v="699.09820000000002"/>
    <s v="MR."/>
    <s v="NELSON"/>
    <s v="RUBIO"/>
    <s v="NELSON RUBIO"/>
    <d v="1975-07-27T00:00:00"/>
    <s v="M"/>
    <s v="M"/>
    <s v="nelson20@adventure-works.com"/>
    <n v="90000"/>
    <n v="0"/>
    <s v="Bachelors"/>
    <s v="Professional"/>
    <s v="Y"/>
    <s v="Australia"/>
    <x v="2"/>
    <s v="Pacific"/>
    <x v="0"/>
    <s v="Bikes"/>
    <n v="699.09820000000002"/>
    <n v="413.1463"/>
    <n v="285.95190000000002"/>
    <n v="0.409029661355157"/>
  </r>
  <r>
    <x v="313"/>
    <d v="2002-08-18T00:00:00"/>
    <s v="SO48263"/>
    <n v="328"/>
    <n v="26435"/>
    <n v="9"/>
    <n v="1"/>
    <n v="1"/>
    <n v="2"/>
    <s v="BK-R50R-48"/>
    <x v="35"/>
    <n v="413.1463"/>
    <n v="699.09820000000002"/>
    <s v="MS."/>
    <s v="YOLANDA"/>
    <s v="GOEL"/>
    <s v="YOLANDA GOEL"/>
    <d v="1973-10-06T00:00:00"/>
    <s v="M"/>
    <s v="F"/>
    <s v="yolanda18@adventure-works.com"/>
    <n v="90000"/>
    <n v="0"/>
    <s v="Bachelors"/>
    <s v="Professional"/>
    <s v="N"/>
    <s v="Australia"/>
    <x v="2"/>
    <s v="Pacific"/>
    <x v="0"/>
    <s v="Bikes"/>
    <n v="699.09820000000002"/>
    <n v="413.1463"/>
    <n v="285.95190000000002"/>
    <n v="0.409029661355157"/>
  </r>
  <r>
    <x v="282"/>
    <d v="2002-10-03T00:00:00"/>
    <s v="SO48124"/>
    <n v="326"/>
    <n v="26436"/>
    <n v="9"/>
    <n v="1"/>
    <n v="1"/>
    <n v="2"/>
    <s v="BK-R50R-44"/>
    <x v="43"/>
    <n v="413.1463"/>
    <n v="699.09820000000002"/>
    <s v="MS."/>
    <s v="BRIANA"/>
    <s v="CARLSON"/>
    <s v="BRIANA CARLSON"/>
    <d v="1973-12-26T00:00:00"/>
    <s v="S"/>
    <s v="F"/>
    <s v="briana15@adventure-works.com"/>
    <n v="110000"/>
    <n v="0"/>
    <s v="Partial College"/>
    <s v="Management"/>
    <s v="Y"/>
    <s v="Australia"/>
    <x v="2"/>
    <s v="Pacific"/>
    <x v="0"/>
    <s v="Bikes"/>
    <n v="699.09820000000002"/>
    <n v="413.1463"/>
    <n v="285.95190000000002"/>
    <n v="0.409029661355157"/>
  </r>
  <r>
    <x v="313"/>
    <d v="2002-10-19T00:00:00"/>
    <s v="SO48264"/>
    <n v="328"/>
    <n v="26437"/>
    <n v="9"/>
    <n v="1"/>
    <n v="1"/>
    <n v="2"/>
    <s v="BK-R50R-48"/>
    <x v="35"/>
    <n v="413.1463"/>
    <n v="699.09820000000002"/>
    <s v="MS."/>
    <s v="TIFFANY"/>
    <s v="ZHU"/>
    <s v="TIFFANY ZHU"/>
    <d v="1973-06-19T00:00:00"/>
    <s v="S"/>
    <s v="F"/>
    <s v="tiffany14@adventure-works.com"/>
    <n v="110000"/>
    <n v="0"/>
    <s v="Partial College"/>
    <s v="Management"/>
    <s v="Y"/>
    <s v="Australia"/>
    <x v="2"/>
    <s v="Pacific"/>
    <x v="0"/>
    <s v="Bikes"/>
    <n v="699.09820000000002"/>
    <n v="413.1463"/>
    <n v="285.95190000000002"/>
    <n v="0.409029661355157"/>
  </r>
  <r>
    <x v="302"/>
    <d v="2002-07-27T00:00:00"/>
    <s v="SO48164"/>
    <n v="328"/>
    <n v="26438"/>
    <n v="9"/>
    <n v="1"/>
    <n v="1"/>
    <n v="2"/>
    <s v="BK-R50R-48"/>
    <x v="35"/>
    <n v="413.1463"/>
    <n v="699.09820000000002"/>
    <s v="MRS."/>
    <s v="ALISHA"/>
    <s v="SHEN"/>
    <s v="ALISHA SHEN"/>
    <d v="1973-04-21T00:00:00"/>
    <s v="M"/>
    <s v="F"/>
    <s v="alisha26@adventure-works.com"/>
    <n v="130000"/>
    <n v="4"/>
    <s v="High School"/>
    <s v="Management"/>
    <s v="Y"/>
    <s v="Australia"/>
    <x v="2"/>
    <s v="Pacific"/>
    <x v="0"/>
    <s v="Bikes"/>
    <n v="699.09820000000002"/>
    <n v="413.1463"/>
    <n v="285.95190000000002"/>
    <n v="0.409029661355157"/>
  </r>
  <r>
    <x v="301"/>
    <d v="2002-10-13T00:00:00"/>
    <s v="SO48114"/>
    <n v="320"/>
    <n v="26439"/>
    <n v="9"/>
    <n v="1"/>
    <n v="1"/>
    <n v="2"/>
    <s v="BK-R50R-58"/>
    <x v="40"/>
    <n v="413.1463"/>
    <n v="699.09820000000002"/>
    <s v="MR."/>
    <s v="ISAAC"/>
    <s v="MORRIS"/>
    <s v="ISAAC MORRIS"/>
    <d v="1972-03-05T00:00:00"/>
    <s v="S"/>
    <s v="M"/>
    <s v="isaac18@adventure-works.com"/>
    <n v="100000"/>
    <n v="0"/>
    <s v="High School"/>
    <s v="Management"/>
    <s v="Y"/>
    <s v="Australia"/>
    <x v="2"/>
    <s v="Pacific"/>
    <x v="0"/>
    <s v="Bikes"/>
    <n v="699.09820000000002"/>
    <n v="413.1463"/>
    <n v="285.95190000000002"/>
    <n v="0.409029661355157"/>
  </r>
  <r>
    <x v="300"/>
    <d v="2002-08-21T00:00:00"/>
    <s v="SO48196"/>
    <n v="326"/>
    <n v="26440"/>
    <n v="9"/>
    <n v="1"/>
    <n v="1"/>
    <n v="2"/>
    <s v="BK-R50R-44"/>
    <x v="43"/>
    <n v="413.1463"/>
    <n v="699.09820000000002"/>
    <s v="MR."/>
    <s v="DEVIN"/>
    <s v="GREEN"/>
    <s v="DEVIN GREEN"/>
    <d v="1972-01-14T00:00:00"/>
    <s v="S"/>
    <s v="M"/>
    <s v="devin28@adventure-works.com"/>
    <n v="100000"/>
    <n v="0"/>
    <s v="High School"/>
    <s v="Management"/>
    <s v="N"/>
    <s v="Australia"/>
    <x v="2"/>
    <s v="Pacific"/>
    <x v="0"/>
    <s v="Bikes"/>
    <n v="699.09820000000002"/>
    <n v="413.1463"/>
    <n v="285.95190000000002"/>
    <n v="0.409029661355157"/>
  </r>
  <r>
    <x v="301"/>
    <d v="2002-07-25T00:00:00"/>
    <s v="SO48115"/>
    <n v="320"/>
    <n v="26442"/>
    <n v="9"/>
    <n v="1"/>
    <n v="1"/>
    <n v="2"/>
    <s v="BK-R50R-58"/>
    <x v="40"/>
    <n v="413.1463"/>
    <n v="699.09820000000002"/>
    <s v="MS."/>
    <s v="BARBARA"/>
    <s v="HUANG"/>
    <s v="BARBARA HUANG"/>
    <d v="1972-01-07T00:00:00"/>
    <s v="S"/>
    <s v="F"/>
    <s v="barbara15@adventure-works.com"/>
    <n v="120000"/>
    <n v="0"/>
    <s v="Partial High School"/>
    <s v="Professional"/>
    <s v="N"/>
    <s v="Australia"/>
    <x v="2"/>
    <s v="Pacific"/>
    <x v="0"/>
    <s v="Bikes"/>
    <n v="699.09820000000002"/>
    <n v="413.1463"/>
    <n v="285.95190000000002"/>
    <n v="0.409029661355157"/>
  </r>
  <r>
    <x v="210"/>
    <d v="2002-10-09T00:00:00"/>
    <s v="SO48190"/>
    <n v="322"/>
    <n v="26443"/>
    <n v="9"/>
    <n v="1"/>
    <n v="1"/>
    <n v="2"/>
    <s v="BK-R50R-60"/>
    <x v="38"/>
    <n v="413.1463"/>
    <n v="699.09820000000002"/>
    <s v="MS."/>
    <s v="KATHRYN"/>
    <s v="SHE"/>
    <s v="KATHRYN SHE"/>
    <d v="1971-07-26T00:00:00"/>
    <s v="M"/>
    <s v="F"/>
    <s v="kathryn0@adventure-works.com"/>
    <n v="100000"/>
    <n v="0"/>
    <s v="High School"/>
    <s v="Management"/>
    <s v="Y"/>
    <s v="Australia"/>
    <x v="2"/>
    <s v="Pacific"/>
    <x v="0"/>
    <s v="Bikes"/>
    <n v="699.09820000000002"/>
    <n v="413.1463"/>
    <n v="285.95190000000002"/>
    <n v="0.409029661355157"/>
  </r>
  <r>
    <x v="312"/>
    <d v="2002-08-15T00:00:00"/>
    <s v="SO48226"/>
    <n v="326"/>
    <n v="26444"/>
    <n v="9"/>
    <n v="1"/>
    <n v="1"/>
    <n v="2"/>
    <s v="BK-R50R-44"/>
    <x v="43"/>
    <n v="413.1463"/>
    <n v="699.09820000000002"/>
    <s v="MS."/>
    <s v="PAMELA"/>
    <s v="LOPEZ"/>
    <s v="PAMELA LOPEZ"/>
    <d v="1970-10-05T00:00:00"/>
    <s v="S"/>
    <s v="F"/>
    <s v="pamela20@adventure-works.com"/>
    <n v="100000"/>
    <n v="0"/>
    <s v="Partial High School"/>
    <s v="Professional"/>
    <s v="Y"/>
    <s v="Australia"/>
    <x v="2"/>
    <s v="Pacific"/>
    <x v="0"/>
    <s v="Bikes"/>
    <n v="699.09820000000002"/>
    <n v="413.1463"/>
    <n v="285.95190000000002"/>
    <n v="0.409029661355157"/>
  </r>
  <r>
    <x v="186"/>
    <d v="2002-08-06T00:00:00"/>
    <s v="SO48204"/>
    <n v="334"/>
    <n v="26445"/>
    <n v="9"/>
    <n v="1"/>
    <n v="1"/>
    <n v="2"/>
    <s v="BK-R50B-60"/>
    <x v="41"/>
    <n v="413.1463"/>
    <n v="699.09820000000002"/>
    <s v="MR."/>
    <s v="AIDAN"/>
    <s v="FOSTER"/>
    <s v="AIDAN FOSTER"/>
    <d v="1970-09-06T00:00:00"/>
    <s v="S"/>
    <s v="M"/>
    <s v="aidan17@adventure-works.com"/>
    <n v="110000"/>
    <n v="0"/>
    <s v="High School"/>
    <s v="Management"/>
    <s v="N"/>
    <s v="Australia"/>
    <x v="2"/>
    <s v="Pacific"/>
    <x v="0"/>
    <s v="Bikes"/>
    <n v="699.09820000000002"/>
    <n v="413.1463"/>
    <n v="285.95190000000002"/>
    <n v="0.409029661355157"/>
  </r>
  <r>
    <x v="304"/>
    <d v="2002-11-19T00:00:00"/>
    <s v="SO48474"/>
    <n v="328"/>
    <n v="26447"/>
    <n v="9"/>
    <n v="1"/>
    <n v="1"/>
    <n v="2"/>
    <s v="BK-R50R-48"/>
    <x v="35"/>
    <n v="413.1463"/>
    <n v="699.09820000000002"/>
    <s v="MR."/>
    <s v="NOAH"/>
    <s v="RUSSELL"/>
    <s v="NOAH RUSSELL"/>
    <d v="1971-04-20T00:00:00"/>
    <s v="S"/>
    <s v="M"/>
    <s v="noah17@adventure-works.com"/>
    <n v="110000"/>
    <n v="0"/>
    <s v="High School"/>
    <s v="Management"/>
    <s v="N"/>
    <s v="Australia"/>
    <x v="2"/>
    <s v="Pacific"/>
    <x v="0"/>
    <s v="Bikes"/>
    <n v="699.09820000000002"/>
    <n v="413.1463"/>
    <n v="285.95190000000002"/>
    <n v="0.409029661355157"/>
  </r>
  <r>
    <x v="281"/>
    <d v="2002-09-23T00:00:00"/>
    <s v="SO47883"/>
    <n v="352"/>
    <n v="26481"/>
    <n v="4"/>
    <n v="1"/>
    <n v="1"/>
    <n v="1"/>
    <s v="BK-M68S-38"/>
    <x v="16"/>
    <n v="1117.8559"/>
    <n v="2071.4196000000002"/>
    <s v="MR."/>
    <s v="LUKE"/>
    <s v="YOUNG"/>
    <s v="LUKE YOUNG"/>
    <d v="1945-10-03T00:00:00"/>
    <s v="M"/>
    <s v="M"/>
    <s v="luke48@adventure-works.com"/>
    <n v="30000"/>
    <n v="5"/>
    <s v="Partial High School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212"/>
    <d v="2002-10-24T00:00:00"/>
    <s v="SO48215"/>
    <n v="387"/>
    <n v="26482"/>
    <n v="6"/>
    <n v="1"/>
    <n v="1"/>
    <n v="2"/>
    <s v="BK-R64Y-44"/>
    <x v="27"/>
    <n v="605.64919999999995"/>
    <n v="1000.4375"/>
    <s v="MRS."/>
    <s v="SYDNEY"/>
    <s v="HILL"/>
    <s v="SYDNEY HILL"/>
    <d v="1945-05-17T00:00:00"/>
    <s v="M"/>
    <s v="F"/>
    <s v="sydney63@adventure-works.com"/>
    <n v="30000"/>
    <n v="5"/>
    <s v="Partial High School"/>
    <s v="Skilled Manual"/>
    <s v="Y"/>
    <s v="Canada"/>
    <x v="5"/>
    <s v="North America"/>
    <x v="0"/>
    <s v="Bikes"/>
    <n v="1000.4375"/>
    <n v="605.64919999999995"/>
    <n v="394.78829999999999"/>
    <n v="0.39461565565065299"/>
  </r>
  <r>
    <x v="262"/>
    <d v="2002-09-17T00:00:00"/>
    <s v="SO47950"/>
    <n v="356"/>
    <n v="26484"/>
    <n v="4"/>
    <n v="1"/>
    <n v="1"/>
    <n v="1"/>
    <s v="BK-M68S-46"/>
    <x v="14"/>
    <n v="1117.8559"/>
    <n v="2071.4196000000002"/>
    <s v="MR."/>
    <s v="FERNANDO"/>
    <s v="PATTERSON"/>
    <s v="FERNANDO PATTERSON"/>
    <d v="1946-04-03T00:00:00"/>
    <s v="S"/>
    <s v="M"/>
    <s v="fernando53@adventure-works.com"/>
    <n v="40000"/>
    <n v="5"/>
    <s v="High School"/>
    <s v="Professional"/>
    <s v="N"/>
    <s v="Southwest"/>
    <x v="1"/>
    <s v="North America"/>
    <x v="1"/>
    <s v="Bikes"/>
    <n v="2071.4196000000002"/>
    <n v="1117.8559"/>
    <n v="953.56370000000004"/>
    <n v="0.460343090313522"/>
  </r>
  <r>
    <x v="272"/>
    <d v="2002-06-27T00:00:00"/>
    <s v="SO47748"/>
    <n v="352"/>
    <n v="26485"/>
    <n v="1"/>
    <n v="1"/>
    <n v="1"/>
    <n v="1"/>
    <s v="BK-M68S-38"/>
    <x v="16"/>
    <n v="1117.8559"/>
    <n v="2071.4196000000002"/>
    <s v="MR."/>
    <s v="JASON"/>
    <s v="BRYANT"/>
    <s v="JASON BRYANT"/>
    <d v="1946-06-07T00:00:00"/>
    <s v="M"/>
    <s v="M"/>
    <s v="jason15@adventure-works.com"/>
    <n v="40000"/>
    <n v="5"/>
    <s v="High School"/>
    <s v="Professional"/>
    <s v="Y"/>
    <s v="Northwest"/>
    <x v="1"/>
    <s v="North America"/>
    <x v="1"/>
    <s v="Bikes"/>
    <n v="2071.4196000000002"/>
    <n v="1117.8559"/>
    <n v="953.56370000000004"/>
    <n v="0.460343090313522"/>
  </r>
  <r>
    <x v="206"/>
    <d v="2002-08-07T00:00:00"/>
    <s v="SO47923"/>
    <n v="358"/>
    <n v="26486"/>
    <n v="4"/>
    <n v="1"/>
    <n v="1"/>
    <n v="1"/>
    <s v="BK-M68B-38"/>
    <x v="15"/>
    <n v="1105.81"/>
    <n v="2049.0981999999999"/>
    <s v="MRS."/>
    <s v="ANDREA"/>
    <s v="COOK"/>
    <s v="ANDREA COOK"/>
    <d v="1946-07-04T00:00:00"/>
    <s v="M"/>
    <s v="F"/>
    <s v="andrea21@adventure-works.com"/>
    <n v="40000"/>
    <n v="5"/>
    <s v="High School"/>
    <s v="Professional"/>
    <s v="N"/>
    <s v="Southwest"/>
    <x v="1"/>
    <s v="North America"/>
    <x v="1"/>
    <s v="Bikes"/>
    <n v="2049.0981999999999"/>
    <n v="1105.81"/>
    <n v="943.28819999999996"/>
    <n v="0.46034309141455498"/>
  </r>
  <r>
    <x v="275"/>
    <d v="2002-06-24T00:00:00"/>
    <s v="SO47853"/>
    <n v="362"/>
    <n v="26487"/>
    <n v="1"/>
    <n v="1"/>
    <n v="1"/>
    <n v="1"/>
    <s v="BK-M68B-46"/>
    <x v="13"/>
    <n v="1105.81"/>
    <n v="2049.0981999999999"/>
    <s v="MR."/>
    <s v="VINCENT"/>
    <s v="MA"/>
    <s v="VINCENT MA"/>
    <d v="1946-04-18T00:00:00"/>
    <s v="S"/>
    <s v="M"/>
    <s v="vincent15@adventure-works.com"/>
    <n v="70000"/>
    <n v="5"/>
    <s v="Bachelors"/>
    <s v="Management"/>
    <s v="Y"/>
    <s v="Northwest"/>
    <x v="1"/>
    <s v="North America"/>
    <x v="1"/>
    <s v="Bikes"/>
    <n v="2049.0981999999999"/>
    <n v="1105.81"/>
    <n v="943.28819999999996"/>
    <n v="0.46034309141455498"/>
  </r>
  <r>
    <x v="204"/>
    <d v="2002-06-23T00:00:00"/>
    <s v="SO47841"/>
    <n v="362"/>
    <n v="26490"/>
    <n v="4"/>
    <n v="1"/>
    <n v="1"/>
    <n v="1"/>
    <s v="BK-M68B-46"/>
    <x v="13"/>
    <n v="1105.81"/>
    <n v="2049.0981999999999"/>
    <s v="MR."/>
    <s v="ANTONIO"/>
    <s v="SIMMONS"/>
    <s v="ANTONIO SIMMONS"/>
    <d v="1947-02-23T00:00:00"/>
    <s v="S"/>
    <s v="M"/>
    <s v="antonio15@adventure-works.com"/>
    <n v="70000"/>
    <n v="2"/>
    <s v="Bachelors"/>
    <s v="Management"/>
    <s v="N"/>
    <s v="Southwest"/>
    <x v="1"/>
    <s v="North America"/>
    <x v="1"/>
    <s v="Bikes"/>
    <n v="2049.0981999999999"/>
    <n v="1105.81"/>
    <n v="943.28819999999996"/>
    <n v="0.46034309141455498"/>
  </r>
  <r>
    <x v="181"/>
    <d v="2002-10-19T00:00:00"/>
    <s v="SO48145"/>
    <n v="362"/>
    <n v="26491"/>
    <n v="1"/>
    <n v="1"/>
    <n v="1"/>
    <n v="1"/>
    <s v="BK-M68B-46"/>
    <x v="13"/>
    <n v="1105.81"/>
    <n v="2049.0981999999999"/>
    <s v="MRS."/>
    <s v="RILEY"/>
    <s v="SANCHEZ"/>
    <s v="RILEY SANCHEZ"/>
    <d v="1947-11-19T00:00:00"/>
    <s v="S"/>
    <s v="F"/>
    <s v="riley37@adventure-works.com"/>
    <n v="70000"/>
    <n v="2"/>
    <s v="Bachelors"/>
    <s v="Management"/>
    <s v="N"/>
    <s v="Northwest"/>
    <x v="1"/>
    <s v="North America"/>
    <x v="1"/>
    <s v="Bikes"/>
    <n v="2049.0981999999999"/>
    <n v="1105.81"/>
    <n v="943.28819999999996"/>
    <n v="0.46034309141455498"/>
  </r>
  <r>
    <x v="313"/>
    <d v="2002-10-26T00:00:00"/>
    <s v="SO48255"/>
    <n v="385"/>
    <n v="26496"/>
    <n v="6"/>
    <n v="1"/>
    <n v="1"/>
    <n v="2"/>
    <s v="BK-R64Y-42"/>
    <x v="28"/>
    <n v="605.64919999999995"/>
    <n v="1000.4375"/>
    <s v="MRS."/>
    <s v="CASSIDY"/>
    <s v="GRIFFIN"/>
    <s v="CASSIDY GRIFFIN"/>
    <d v="1948-11-08T00:00:00"/>
    <s v="M"/>
    <s v="F"/>
    <s v="cassidy22@adventure-works.com"/>
    <n v="40000"/>
    <n v="2"/>
    <s v="High School"/>
    <s v="Professional"/>
    <s v="Y"/>
    <s v="Canada"/>
    <x v="5"/>
    <s v="North America"/>
    <x v="0"/>
    <s v="Bikes"/>
    <n v="1000.4375"/>
    <n v="605.64919999999995"/>
    <n v="394.78829999999999"/>
    <n v="0.39461565565065299"/>
  </r>
  <r>
    <x v="300"/>
    <d v="2002-11-03T00:00:00"/>
    <s v="SO48193"/>
    <n v="352"/>
    <n v="26499"/>
    <n v="4"/>
    <n v="1"/>
    <n v="1"/>
    <n v="1"/>
    <s v="BK-M68S-38"/>
    <x v="16"/>
    <n v="1117.8559"/>
    <n v="2071.4196000000002"/>
    <s v="MRS."/>
    <s v="RENEE"/>
    <s v="RUIZ"/>
    <s v="RENEE RUIZ"/>
    <d v="1948-02-18T00:00:00"/>
    <s v="M"/>
    <s v="F"/>
    <s v="renee2@adventure-works.com"/>
    <n v="60000"/>
    <n v="2"/>
    <s v="Partial College"/>
    <s v="Professional"/>
    <s v="Y"/>
    <s v="Southwest"/>
    <x v="1"/>
    <s v="North America"/>
    <x v="1"/>
    <s v="Bikes"/>
    <n v="2071.4196000000002"/>
    <n v="1117.8559"/>
    <n v="953.56370000000004"/>
    <n v="0.460343090313522"/>
  </r>
  <r>
    <x v="190"/>
    <d v="2002-09-10T00:00:00"/>
    <s v="SO48441"/>
    <n v="389"/>
    <n v="26503"/>
    <n v="6"/>
    <n v="1"/>
    <n v="1"/>
    <n v="2"/>
    <s v="BK-R64Y-48"/>
    <x v="31"/>
    <n v="605.64919999999995"/>
    <n v="1000.4375"/>
    <s v="MR."/>
    <s v="JEREMIAH"/>
    <s v="TOWNSEND"/>
    <s v="JEREMIAH TOWNSEND"/>
    <d v="1949-02-03T00:00:00"/>
    <s v="M"/>
    <s v="M"/>
    <s v="jeremiah41@adventure-works.com"/>
    <n v="40000"/>
    <n v="2"/>
    <s v="Partial High School"/>
    <s v="Skilled Manual"/>
    <s v="Y"/>
    <s v="Canada"/>
    <x v="5"/>
    <s v="North America"/>
    <x v="0"/>
    <s v="Bikes"/>
    <n v="1000.4375"/>
    <n v="605.64919999999995"/>
    <n v="394.78829999999999"/>
    <n v="0.39461565565065299"/>
  </r>
  <r>
    <x v="292"/>
    <d v="2002-10-11T00:00:00"/>
    <s v="SO48570"/>
    <n v="389"/>
    <n v="26504"/>
    <n v="6"/>
    <n v="1"/>
    <n v="1"/>
    <n v="2"/>
    <s v="BK-R64Y-48"/>
    <x v="31"/>
    <n v="605.64919999999995"/>
    <n v="1000.4375"/>
    <s v="MRS."/>
    <s v="JENNIFER"/>
    <s v="ROBINSON"/>
    <s v="JENNIFER ROBINSON"/>
    <d v="1949-08-20T00:00:00"/>
    <s v="M"/>
    <s v="F"/>
    <s v="jennifer45@adventure-works.com"/>
    <n v="40000"/>
    <n v="2"/>
    <s v="Partial High School"/>
    <s v="Skilled Manual"/>
    <s v="Y"/>
    <s v="Canada"/>
    <x v="5"/>
    <s v="North America"/>
    <x v="0"/>
    <s v="Bikes"/>
    <n v="1000.4375"/>
    <n v="605.64919999999995"/>
    <n v="394.78829999999999"/>
    <n v="0.39461565565065299"/>
  </r>
  <r>
    <x v="186"/>
    <d v="2002-08-17T00:00:00"/>
    <s v="SO48205"/>
    <n v="362"/>
    <n v="26509"/>
    <n v="1"/>
    <n v="1"/>
    <n v="1"/>
    <n v="1"/>
    <s v="BK-M68B-46"/>
    <x v="13"/>
    <n v="1105.81"/>
    <n v="2049.0981999999999"/>
    <s v="MR."/>
    <s v="SETH"/>
    <s v="TAYLOR"/>
    <s v="SETH TAYLOR"/>
    <d v="1949-03-05T00:00:00"/>
    <s v="S"/>
    <s v="M"/>
    <s v="seth9@adventure-works.com"/>
    <n v="60000"/>
    <n v="2"/>
    <s v="Partial College"/>
    <s v="Professional"/>
    <s v="N"/>
    <s v="Northwest"/>
    <x v="1"/>
    <s v="North America"/>
    <x v="1"/>
    <s v="Bikes"/>
    <n v="2049.0981999999999"/>
    <n v="1105.81"/>
    <n v="943.28819999999996"/>
    <n v="0.46034309141455498"/>
  </r>
  <r>
    <x v="333"/>
    <d v="2002-09-02T00:00:00"/>
    <s v="SO48229"/>
    <n v="354"/>
    <n v="26510"/>
    <n v="4"/>
    <n v="1"/>
    <n v="1"/>
    <n v="1"/>
    <s v="BK-M68S-42"/>
    <x v="18"/>
    <n v="1117.8559"/>
    <n v="2071.4196000000002"/>
    <s v="MR."/>
    <s v="JACK"/>
    <s v="SCOTT"/>
    <s v="JACK SCOTT"/>
    <d v="1949-03-18T00:00:00"/>
    <s v="S"/>
    <s v="M"/>
    <s v="jack50@adventure-works.com"/>
    <n v="60000"/>
    <n v="2"/>
    <s v="Partial College"/>
    <s v="Professional"/>
    <s v="Y"/>
    <s v="Southwest"/>
    <x v="1"/>
    <s v="North America"/>
    <x v="1"/>
    <s v="Bikes"/>
    <n v="2071.4196000000002"/>
    <n v="1117.8559"/>
    <n v="953.56370000000004"/>
    <n v="0.460343090313522"/>
  </r>
  <r>
    <x v="343"/>
    <d v="2002-10-26T00:00:00"/>
    <s v="SO48219"/>
    <n v="354"/>
    <n v="26511"/>
    <n v="4"/>
    <n v="1"/>
    <n v="1"/>
    <n v="1"/>
    <s v="BK-M68S-42"/>
    <x v="18"/>
    <n v="1117.8559"/>
    <n v="2071.4196000000002"/>
    <s v="MR."/>
    <s v="CHARLES"/>
    <s v="WEISMAN"/>
    <s v="CHARLES WEISMAN"/>
    <d v="1949-08-07T00:00:00"/>
    <s v="M"/>
    <s v="M"/>
    <s v="charles16@adventure-works.com"/>
    <n v="70000"/>
    <n v="5"/>
    <s v="Partial College"/>
    <s v="Professional"/>
    <s v="Y"/>
    <s v="Southwest"/>
    <x v="1"/>
    <s v="North America"/>
    <x v="1"/>
    <s v="Bikes"/>
    <n v="2071.4196000000002"/>
    <n v="1117.8559"/>
    <n v="953.56370000000004"/>
    <n v="0.460343090313522"/>
  </r>
  <r>
    <x v="298"/>
    <d v="2002-10-07T00:00:00"/>
    <s v="SO48476"/>
    <n v="385"/>
    <n v="26512"/>
    <n v="6"/>
    <n v="1"/>
    <n v="1"/>
    <n v="2"/>
    <s v="BK-R64Y-42"/>
    <x v="28"/>
    <n v="605.64919999999995"/>
    <n v="1000.4375"/>
    <s v="MRS."/>
    <s v="CHRISTINA"/>
    <s v="COOPER"/>
    <s v="CHRISTINA COOPER"/>
    <d v="1950-02-01T00:00:00"/>
    <s v="M"/>
    <s v="F"/>
    <s v="christina16@adventure-works.com"/>
    <n v="40000"/>
    <n v="2"/>
    <s v="Partial High School"/>
    <s v="Skilled Manual"/>
    <s v="N"/>
    <s v="Canada"/>
    <x v="5"/>
    <s v="North America"/>
    <x v="0"/>
    <s v="Bikes"/>
    <n v="1000.4375"/>
    <n v="605.64919999999995"/>
    <n v="394.78829999999999"/>
    <n v="0.39461565565065299"/>
  </r>
  <r>
    <x v="348"/>
    <d v="2002-08-20T00:00:00"/>
    <s v="SO48105"/>
    <n v="356"/>
    <n v="26513"/>
    <n v="1"/>
    <n v="1"/>
    <n v="1"/>
    <n v="1"/>
    <s v="BK-M68S-46"/>
    <x v="14"/>
    <n v="1117.8559"/>
    <n v="2071.4196000000002"/>
    <s v="MRS."/>
    <s v="STACY"/>
    <s v="MORENO"/>
    <s v="STACY MORENO"/>
    <d v="1950-02-03T00:00:00"/>
    <s v="S"/>
    <s v="F"/>
    <s v="stacy7@adventure-works.com"/>
    <n v="60000"/>
    <n v="2"/>
    <s v="Partial College"/>
    <s v="Professional"/>
    <s v="N"/>
    <s v="Northwest"/>
    <x v="1"/>
    <s v="North America"/>
    <x v="1"/>
    <s v="Bikes"/>
    <n v="2071.4196000000002"/>
    <n v="1117.8559"/>
    <n v="953.56370000000004"/>
    <n v="0.460343090313522"/>
  </r>
  <r>
    <x v="299"/>
    <d v="2002-09-04T00:00:00"/>
    <s v="SO48241"/>
    <n v="360"/>
    <n v="26520"/>
    <n v="1"/>
    <n v="1"/>
    <n v="1"/>
    <n v="1"/>
    <s v="BK-M68B-42"/>
    <x v="17"/>
    <n v="1105.81"/>
    <n v="2049.0981999999999"/>
    <s v="MRS."/>
    <s v="CHLOE"/>
    <s v="RAMIREZ"/>
    <s v="CHLOE RAMIREZ"/>
    <d v="1951-10-24T00:00:00"/>
    <s v="S"/>
    <s v="F"/>
    <s v="chloe61@adventure-works.com"/>
    <n v="60000"/>
    <n v="2"/>
    <s v="High School"/>
    <s v="Professional"/>
    <s v="N"/>
    <s v="Northwest"/>
    <x v="1"/>
    <s v="North America"/>
    <x v="1"/>
    <s v="Bikes"/>
    <n v="2049.0981999999999"/>
    <n v="1105.81"/>
    <n v="943.28819999999996"/>
    <n v="0.46034309141455498"/>
  </r>
  <r>
    <x v="284"/>
    <d v="2002-07-25T00:00:00"/>
    <s v="SO48132"/>
    <n v="352"/>
    <n v="26521"/>
    <n v="1"/>
    <n v="1"/>
    <n v="1"/>
    <n v="1"/>
    <s v="BK-M68S-38"/>
    <x v="16"/>
    <n v="1117.8559"/>
    <n v="2071.4196000000002"/>
    <s v="MR."/>
    <s v="NATHAN"/>
    <s v="TAYLOR"/>
    <s v="NATHAN TAYLOR"/>
    <d v="1951-06-01T00:00:00"/>
    <s v="M"/>
    <s v="M"/>
    <s v="nathan67@adventure-works.com"/>
    <n v="60000"/>
    <n v="2"/>
    <s v="High School"/>
    <s v="Professional"/>
    <s v="N"/>
    <s v="Northwest"/>
    <x v="1"/>
    <s v="North America"/>
    <x v="1"/>
    <s v="Bikes"/>
    <n v="2071.4196000000002"/>
    <n v="1117.8559"/>
    <n v="953.56370000000004"/>
    <n v="0.460343090313522"/>
  </r>
  <r>
    <x v="333"/>
    <d v="2002-08-09T00:00:00"/>
    <s v="SO48230"/>
    <n v="360"/>
    <n v="26530"/>
    <n v="1"/>
    <n v="1"/>
    <n v="1"/>
    <n v="1"/>
    <s v="BK-M68B-42"/>
    <x v="17"/>
    <n v="1105.81"/>
    <n v="2049.0981999999999"/>
    <s v="MRS."/>
    <s v="RILEY"/>
    <s v="MORGAN"/>
    <s v="RILEY MORGAN"/>
    <d v="1969-03-13T00:00:00"/>
    <s v="M"/>
    <s v="F"/>
    <s v="riley33@adventure-works.com"/>
    <n v="70000"/>
    <n v="5"/>
    <s v="Graduate Degree"/>
    <s v="Professional"/>
    <s v="N"/>
    <s v="Northwest"/>
    <x v="1"/>
    <s v="North America"/>
    <x v="1"/>
    <s v="Bikes"/>
    <n v="2049.0981999999999"/>
    <n v="1105.81"/>
    <n v="943.28819999999996"/>
    <n v="0.46034309141455498"/>
  </r>
  <r>
    <x v="299"/>
    <d v="2002-09-23T00:00:00"/>
    <s v="SO48242"/>
    <n v="356"/>
    <n v="26532"/>
    <n v="4"/>
    <n v="1"/>
    <n v="1"/>
    <n v="1"/>
    <s v="BK-M68S-46"/>
    <x v="14"/>
    <n v="1117.8559"/>
    <n v="2071.4196000000002"/>
    <s v="MS."/>
    <s v="ANGELA"/>
    <s v="BARNES"/>
    <s v="ANGELA BARNES"/>
    <d v="1968-09-12T00:00:00"/>
    <s v="S"/>
    <s v="F"/>
    <s v="angela5@adventure-works.com"/>
    <n v="80000"/>
    <n v="0"/>
    <s v="Bachelors"/>
    <s v="Management"/>
    <s v="N"/>
    <s v="Southwest"/>
    <x v="1"/>
    <s v="North America"/>
    <x v="1"/>
    <s v="Bikes"/>
    <n v="2071.4196000000002"/>
    <n v="1117.8559"/>
    <n v="953.56370000000004"/>
    <n v="0.460343090313522"/>
  </r>
  <r>
    <x v="311"/>
    <d v="2002-10-09T00:00:00"/>
    <s v="SO48128"/>
    <n v="352"/>
    <n v="26534"/>
    <n v="4"/>
    <n v="1"/>
    <n v="1"/>
    <n v="1"/>
    <s v="BK-M68S-38"/>
    <x v="16"/>
    <n v="1117.8559"/>
    <n v="2071.4196000000002"/>
    <s v="MR."/>
    <s v="FERNANDO"/>
    <s v="SMITH"/>
    <s v="FERNANDO SMITH"/>
    <d v="1968-02-11T00:00:00"/>
    <s v="S"/>
    <s v="M"/>
    <s v="fernando1@adventure-works.com"/>
    <n v="90000"/>
    <n v="4"/>
    <s v="Bachelors"/>
    <s v="Management"/>
    <s v="Y"/>
    <s v="Southwest"/>
    <x v="1"/>
    <s v="North America"/>
    <x v="1"/>
    <s v="Bikes"/>
    <n v="2071.4196000000002"/>
    <n v="1117.8559"/>
    <n v="953.56370000000004"/>
    <n v="0.460343090313522"/>
  </r>
  <r>
    <x v="104"/>
    <d v="2002-10-16T00:00:00"/>
    <s v="SO48152"/>
    <n v="352"/>
    <n v="26536"/>
    <n v="4"/>
    <n v="1"/>
    <n v="1"/>
    <n v="1"/>
    <s v="BK-M68S-38"/>
    <x v="16"/>
    <n v="1117.8559"/>
    <n v="2071.4196000000002"/>
    <s v="MS."/>
    <s v="KATHERINE"/>
    <s v="THOMAS"/>
    <s v="KATHERINE THOMAS"/>
    <d v="1967-10-05T00:00:00"/>
    <s v="S"/>
    <s v="F"/>
    <s v="katherine81@adventure-works.com"/>
    <n v="100000"/>
    <n v="0"/>
    <s v="Bachelors"/>
    <s v="Management"/>
    <s v="Y"/>
    <s v="Southwest"/>
    <x v="1"/>
    <s v="North America"/>
    <x v="1"/>
    <s v="Bikes"/>
    <n v="2071.4196000000002"/>
    <n v="1117.8559"/>
    <n v="953.56370000000004"/>
    <n v="0.460343090313522"/>
  </r>
  <r>
    <x v="350"/>
    <d v="2002-07-27T00:00:00"/>
    <s v="SO48200"/>
    <n v="358"/>
    <n v="26537"/>
    <n v="1"/>
    <n v="1"/>
    <n v="1"/>
    <n v="1"/>
    <s v="BK-M68B-38"/>
    <x v="15"/>
    <n v="1105.81"/>
    <n v="2049.0981999999999"/>
    <s v="MR."/>
    <s v="WYATT"/>
    <s v="PEREZ"/>
    <s v="WYATT PEREZ"/>
    <d v="1967-04-15T00:00:00"/>
    <s v="S"/>
    <s v="M"/>
    <s v="wyatt41@adventure-works.com"/>
    <n v="100000"/>
    <n v="1"/>
    <s v="Bachelors"/>
    <s v="Management"/>
    <s v="Y"/>
    <s v="Northwest"/>
    <x v="1"/>
    <s v="North America"/>
    <x v="1"/>
    <s v="Bikes"/>
    <n v="2049.0981999999999"/>
    <n v="1105.81"/>
    <n v="943.28819999999996"/>
    <n v="0.46034309141455498"/>
  </r>
  <r>
    <x v="186"/>
    <d v="2002-10-14T00:00:00"/>
    <s v="SO48206"/>
    <n v="352"/>
    <n v="26538"/>
    <n v="4"/>
    <n v="1"/>
    <n v="1"/>
    <n v="1"/>
    <s v="BK-M68S-38"/>
    <x v="16"/>
    <n v="1117.8559"/>
    <n v="2071.4196000000002"/>
    <s v="MR."/>
    <s v="WARREN"/>
    <s v="BLACK"/>
    <s v="WARREN BLACK"/>
    <d v="1968-11-18T00:00:00"/>
    <s v="M"/>
    <s v="M"/>
    <s v="warren10@adventure-works.com"/>
    <n v="110000"/>
    <n v="2"/>
    <s v="Graduate Degree"/>
    <s v="Management"/>
    <s v="Y"/>
    <s v="Southwest"/>
    <x v="1"/>
    <s v="North America"/>
    <x v="1"/>
    <s v="Bikes"/>
    <n v="2071.4196000000002"/>
    <n v="1117.8559"/>
    <n v="953.56370000000004"/>
    <n v="0.460343090313522"/>
  </r>
  <r>
    <x v="297"/>
    <d v="2002-09-16T00:00:00"/>
    <s v="SO48167"/>
    <n v="362"/>
    <n v="26539"/>
    <n v="4"/>
    <n v="1"/>
    <n v="1"/>
    <n v="1"/>
    <s v="BK-M68B-46"/>
    <x v="13"/>
    <n v="1105.81"/>
    <n v="2049.0981999999999"/>
    <s v="MRS."/>
    <s v="FAITH"/>
    <s v="HAYES"/>
    <s v="FAITH HAYES"/>
    <d v="1968-04-25T00:00:00"/>
    <s v="S"/>
    <s v="F"/>
    <s v="faith22@adventure-works.com"/>
    <n v="130000"/>
    <n v="1"/>
    <s v="Graduate Degree"/>
    <s v="Management"/>
    <s v="N"/>
    <s v="Southwest"/>
    <x v="1"/>
    <s v="North America"/>
    <x v="1"/>
    <s v="Bikes"/>
    <n v="2049.0981999999999"/>
    <n v="1105.81"/>
    <n v="943.28819999999996"/>
    <n v="0.46034309141455498"/>
  </r>
  <r>
    <x v="211"/>
    <d v="2002-09-15T00:00:00"/>
    <s v="SO48282"/>
    <n v="362"/>
    <n v="26540"/>
    <n v="4"/>
    <n v="1"/>
    <n v="1"/>
    <n v="1"/>
    <s v="BK-M68B-46"/>
    <x v="13"/>
    <n v="1105.81"/>
    <n v="2049.0981999999999"/>
    <s v="MRS."/>
    <s v="JADA"/>
    <s v="SANCHEZ"/>
    <s v="JADA SANCHEZ"/>
    <d v="1968-10-22T00:00:00"/>
    <s v="S"/>
    <s v="F"/>
    <s v="jada16@adventure-works.com"/>
    <n v="170000"/>
    <n v="1"/>
    <s v="Graduate Degree"/>
    <s v="Management"/>
    <s v="N"/>
    <s v="Southwest"/>
    <x v="1"/>
    <s v="North America"/>
    <x v="1"/>
    <s v="Bikes"/>
    <n v="2049.0981999999999"/>
    <n v="1105.81"/>
    <n v="943.28819999999996"/>
    <n v="0.46034309141455498"/>
  </r>
  <r>
    <x v="344"/>
    <d v="2002-09-12T00:00:00"/>
    <s v="SO48175"/>
    <n v="354"/>
    <n v="26545"/>
    <n v="4"/>
    <n v="1"/>
    <n v="1"/>
    <n v="1"/>
    <s v="BK-M68S-42"/>
    <x v="18"/>
    <n v="1117.8559"/>
    <n v="2071.4196000000002"/>
    <s v="MS."/>
    <s v="TAYLOR"/>
    <s v="ROSS"/>
    <s v="TAYLOR ROSS"/>
    <d v="1978-01-08T00:00:00"/>
    <s v="M"/>
    <s v="F"/>
    <s v="taylor29@adventure-works.com"/>
    <n v="60000"/>
    <n v="0"/>
    <s v="Partial College"/>
    <s v="Skilled Manual"/>
    <s v="N"/>
    <s v="Southwest"/>
    <x v="1"/>
    <s v="North America"/>
    <x v="1"/>
    <s v="Bikes"/>
    <n v="2071.4196000000002"/>
    <n v="1117.8559"/>
    <n v="953.56370000000004"/>
    <n v="0.460343090313522"/>
  </r>
  <r>
    <x v="168"/>
    <d v="2002-08-16T00:00:00"/>
    <s v="SO48100"/>
    <n v="356"/>
    <n v="26546"/>
    <n v="4"/>
    <n v="1"/>
    <n v="1"/>
    <n v="1"/>
    <s v="BK-M68S-46"/>
    <x v="14"/>
    <n v="1117.8559"/>
    <n v="2071.4196000000002"/>
    <s v="MR."/>
    <s v="MIGUEL"/>
    <s v="BENNETT"/>
    <s v="MIGUEL BENNETT"/>
    <d v="1978-06-26T00:00:00"/>
    <s v="M"/>
    <s v="M"/>
    <s v="miguel47@adventure-works.com"/>
    <n v="60000"/>
    <n v="0"/>
    <s v="Partial College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287"/>
    <d v="2002-09-14T00:00:00"/>
    <s v="SO48625"/>
    <n v="336"/>
    <n v="26547"/>
    <n v="9"/>
    <n v="1"/>
    <n v="1"/>
    <n v="2"/>
    <s v="BK-R50B-62"/>
    <x v="36"/>
    <n v="413.1463"/>
    <n v="699.09820000000002"/>
    <s v="MRS."/>
    <s v="BARBARA"/>
    <s v="BECK"/>
    <s v="BARBARA BECK"/>
    <d v="1946-05-09T00:00:00"/>
    <s v="S"/>
    <s v="F"/>
    <s v="barbara48@adventure-works.com"/>
    <n v="30000"/>
    <n v="2"/>
    <s v="Partial College"/>
    <s v="Clerical"/>
    <s v="N"/>
    <s v="Australia"/>
    <x v="2"/>
    <s v="Pacific"/>
    <x v="0"/>
    <s v="Bikes"/>
    <n v="699.09820000000002"/>
    <n v="413.1463"/>
    <n v="285.95190000000002"/>
    <n v="0.409029661355157"/>
  </r>
  <r>
    <x v="200"/>
    <d v="2002-09-02T00:00:00"/>
    <s v="SO48674"/>
    <n v="334"/>
    <n v="26548"/>
    <n v="9"/>
    <n v="1"/>
    <n v="1"/>
    <n v="2"/>
    <s v="BK-R50B-60"/>
    <x v="41"/>
    <n v="413.1463"/>
    <n v="699.09820000000002"/>
    <s v="MR."/>
    <s v="CASEY"/>
    <s v="SUAREZ"/>
    <s v="CASEY SUAREZ"/>
    <d v="1947-05-11T00:00:00"/>
    <s v="S"/>
    <s v="M"/>
    <s v="casey43@adventure-works.com"/>
    <n v="20000"/>
    <n v="4"/>
    <s v="High School"/>
    <s v="Skilled Manual"/>
    <s v="N"/>
    <s v="Australia"/>
    <x v="2"/>
    <s v="Pacific"/>
    <x v="0"/>
    <s v="Bikes"/>
    <n v="699.09820000000002"/>
    <n v="413.1463"/>
    <n v="285.95190000000002"/>
    <n v="0.409029661355157"/>
  </r>
  <r>
    <x v="219"/>
    <d v="2002-11-11T00:00:00"/>
    <s v="SO48691"/>
    <n v="338"/>
    <n v="26549"/>
    <n v="9"/>
    <n v="1"/>
    <n v="1"/>
    <n v="2"/>
    <s v="BK-R50B-44"/>
    <x v="32"/>
    <n v="413.1463"/>
    <n v="699.09820000000002"/>
    <s v="MR."/>
    <s v="JAMIE"/>
    <s v="SANZ"/>
    <s v="JAMIE SANZ"/>
    <d v="1948-08-15T00:00:00"/>
    <s v="S"/>
    <s v="M"/>
    <s v="jamie42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286"/>
    <d v="2002-09-01T00:00:00"/>
    <s v="SO48533"/>
    <n v="328"/>
    <n v="26560"/>
    <n v="9"/>
    <n v="1"/>
    <n v="1"/>
    <n v="2"/>
    <s v="BK-R50R-48"/>
    <x v="35"/>
    <n v="413.1463"/>
    <n v="699.09820000000002"/>
    <s v="MRS."/>
    <s v="LINDSEY"/>
    <s v="SHEN"/>
    <s v="LINDSEY SHEN"/>
    <d v="1951-06-04T00:00:00"/>
    <s v="M"/>
    <s v="F"/>
    <s v="lindsey2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291"/>
    <d v="2002-09-04T00:00:00"/>
    <s v="SO48560"/>
    <n v="326"/>
    <n v="26561"/>
    <n v="9"/>
    <n v="1"/>
    <n v="1"/>
    <n v="2"/>
    <s v="BK-R50R-44"/>
    <x v="43"/>
    <n v="413.1463"/>
    <n v="699.09820000000002"/>
    <s v="MRS."/>
    <s v="HANNAH"/>
    <s v="LEWIS"/>
    <s v="HANNAH LEWIS"/>
    <d v="1951-05-06T00:00:00"/>
    <s v="M"/>
    <s v="F"/>
    <s v="hannah19@adventure-works.com"/>
    <n v="20000"/>
    <n v="2"/>
    <s v="Partial High School"/>
    <s v="Clerical"/>
    <s v="Y"/>
    <s v="Australia"/>
    <x v="2"/>
    <s v="Pacific"/>
    <x v="0"/>
    <s v="Bikes"/>
    <n v="699.09820000000002"/>
    <n v="413.1463"/>
    <n v="285.95190000000002"/>
    <n v="0.409029661355157"/>
  </r>
  <r>
    <x v="291"/>
    <d v="2002-10-29T00:00:00"/>
    <s v="SO48561"/>
    <n v="340"/>
    <n v="26562"/>
    <n v="9"/>
    <n v="1"/>
    <n v="1"/>
    <n v="2"/>
    <s v="BK-R50B-48"/>
    <x v="37"/>
    <n v="413.1463"/>
    <n v="699.09820000000002"/>
    <s v="MR."/>
    <s v="EDWARD"/>
    <s v="WILSON"/>
    <s v="EDWARD WILSON"/>
    <d v="1953-01-24T00:00:00"/>
    <s v="M"/>
    <s v="M"/>
    <s v="edward29@adventure-works.com"/>
    <n v="40000"/>
    <n v="2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288"/>
    <d v="2002-11-14T00:00:00"/>
    <s v="SO48729"/>
    <n v="324"/>
    <n v="26563"/>
    <n v="9"/>
    <n v="1"/>
    <n v="1"/>
    <n v="2"/>
    <s v="BK-R50R-62"/>
    <x v="42"/>
    <n v="413.1463"/>
    <n v="699.09820000000002"/>
    <s v="MR."/>
    <s v="KEITH"/>
    <s v="SHE"/>
    <s v="KEITH SHE"/>
    <d v="1953-01-24T00:00:00"/>
    <s v="M"/>
    <s v="M"/>
    <s v="keith2@adventure-works.com"/>
    <n v="40000"/>
    <n v="2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293"/>
    <d v="2002-09-12T00:00:00"/>
    <s v="SO48502"/>
    <n v="334"/>
    <n v="26566"/>
    <n v="9"/>
    <n v="1"/>
    <n v="1"/>
    <n v="2"/>
    <s v="BK-R50B-60"/>
    <x v="41"/>
    <n v="413.1463"/>
    <n v="699.09820000000002"/>
    <s v="MRS."/>
    <s v="CRYSTAL"/>
    <s v="CHEN"/>
    <s v="CRYSTAL CHEN"/>
    <d v="1954-03-23T00:00:00"/>
    <s v="S"/>
    <s v="F"/>
    <s v="crystal4@adventure-works.com"/>
    <n v="40000"/>
    <n v="3"/>
    <s v="Partial High School"/>
    <s v="Clerical"/>
    <s v="N"/>
    <s v="Australia"/>
    <x v="2"/>
    <s v="Pacific"/>
    <x v="0"/>
    <s v="Bikes"/>
    <n v="699.09820000000002"/>
    <n v="413.1463"/>
    <n v="285.95190000000002"/>
    <n v="0.409029661355157"/>
  </r>
  <r>
    <x v="187"/>
    <d v="2002-11-06T00:00:00"/>
    <s v="SO48492"/>
    <n v="330"/>
    <n v="26567"/>
    <n v="9"/>
    <n v="1"/>
    <n v="1"/>
    <n v="2"/>
    <s v="BK-R50R-52"/>
    <x v="39"/>
    <n v="413.1463"/>
    <n v="699.09820000000002"/>
    <s v="MRS."/>
    <s v="MICHELE"/>
    <s v="RAI"/>
    <s v="MICHELE RAI"/>
    <d v="1955-10-07T00:00:00"/>
    <s v="S"/>
    <s v="F"/>
    <s v="michele18@adventure-works.com"/>
    <n v="80000"/>
    <n v="2"/>
    <s v="Partial College"/>
    <s v="Skilled Manual"/>
    <s v="N"/>
    <s v="Australia"/>
    <x v="2"/>
    <s v="Pacific"/>
    <x v="0"/>
    <s v="Bikes"/>
    <n v="699.09820000000002"/>
    <n v="413.1463"/>
    <n v="285.95190000000002"/>
    <n v="0.409029661355157"/>
  </r>
  <r>
    <x v="189"/>
    <d v="2002-08-27T00:00:00"/>
    <s v="SO48587"/>
    <n v="322"/>
    <n v="26568"/>
    <n v="9"/>
    <n v="1"/>
    <n v="1"/>
    <n v="2"/>
    <s v="BK-R50R-60"/>
    <x v="38"/>
    <n v="413.1463"/>
    <n v="699.09820000000002"/>
    <s v=""/>
    <s v="NANCY"/>
    <s v="KOVAR"/>
    <s v="NANCY KOVAR"/>
    <d v="1955-08-11T00:00:00"/>
    <s v="S"/>
    <s v="NA"/>
    <s v="nancy8@adventure-works.com"/>
    <n v="80000"/>
    <n v="2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189"/>
    <d v="2002-10-09T00:00:00"/>
    <s v="SO48588"/>
    <n v="338"/>
    <n v="26569"/>
    <n v="9"/>
    <n v="1"/>
    <n v="1"/>
    <n v="2"/>
    <s v="BK-R50B-44"/>
    <x v="32"/>
    <n v="413.1463"/>
    <n v="699.09820000000002"/>
    <s v="MRS."/>
    <s v="MICHELLE"/>
    <s v="SANCHEZ"/>
    <s v="MICHELLE SANCHEZ"/>
    <d v="1955-08-09T00:00:00"/>
    <s v="M"/>
    <s v="F"/>
    <s v="michelle24@adventure-works.com"/>
    <n v="80000"/>
    <n v="2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287"/>
    <d v="2002-11-29T00:00:00"/>
    <s v="SO48626"/>
    <n v="334"/>
    <n v="26570"/>
    <n v="9"/>
    <n v="1"/>
    <n v="1"/>
    <n v="2"/>
    <s v="BK-R50B-60"/>
    <x v="41"/>
    <n v="413.1463"/>
    <n v="699.09820000000002"/>
    <s v="MR."/>
    <s v="HUNTER"/>
    <s v="GONZALES"/>
    <s v="HUNTER GONZALES"/>
    <d v="1955-05-11T00:00:00"/>
    <s v="M"/>
    <s v="M"/>
    <s v="hunter14@adventure-works.com"/>
    <n v="80000"/>
    <n v="2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292"/>
    <d v="2002-08-20T00:00:00"/>
    <s v="SO48577"/>
    <n v="334"/>
    <n v="26571"/>
    <n v="9"/>
    <n v="1"/>
    <n v="1"/>
    <n v="2"/>
    <s v="BK-R50B-60"/>
    <x v="41"/>
    <n v="413.1463"/>
    <n v="699.09820000000002"/>
    <s v="MRS."/>
    <s v="LACEY"/>
    <s v="PAL"/>
    <s v="LACEY PAL"/>
    <d v="1955-02-16T00:00:00"/>
    <s v="S"/>
    <s v="F"/>
    <s v="lacey2@adventure-works.com"/>
    <n v="80000"/>
    <n v="2"/>
    <s v="Partial College"/>
    <s v="Skilled Manual"/>
    <s v="N"/>
    <s v="Australia"/>
    <x v="2"/>
    <s v="Pacific"/>
    <x v="0"/>
    <s v="Bikes"/>
    <n v="699.09820000000002"/>
    <n v="413.1463"/>
    <n v="285.95190000000002"/>
    <n v="0.409029661355157"/>
  </r>
  <r>
    <x v="104"/>
    <d v="2002-08-17T00:00:00"/>
    <s v="SO48153"/>
    <n v="362"/>
    <n v="26575"/>
    <n v="4"/>
    <n v="1"/>
    <n v="1"/>
    <n v="1"/>
    <s v="BK-M68B-46"/>
    <x v="13"/>
    <n v="1105.81"/>
    <n v="2049.0981999999999"/>
    <s v="MS."/>
    <s v="TONI"/>
    <s v="GONZALEZ"/>
    <s v="TONI GONZALEZ"/>
    <d v="1975-07-08T00:00:00"/>
    <s v="S"/>
    <s v="F"/>
    <s v="toni19@adventure-works.com"/>
    <n v="40000"/>
    <n v="0"/>
    <s v="High School"/>
    <s v="Skilled Manual"/>
    <s v="N"/>
    <s v="Southwest"/>
    <x v="1"/>
    <s v="North America"/>
    <x v="1"/>
    <s v="Bikes"/>
    <n v="2049.0981999999999"/>
    <n v="1105.81"/>
    <n v="943.28819999999996"/>
    <n v="0.46034309141455498"/>
  </r>
  <r>
    <x v="333"/>
    <d v="2002-10-05T00:00:00"/>
    <s v="SO48231"/>
    <n v="362"/>
    <n v="26579"/>
    <n v="4"/>
    <n v="1"/>
    <n v="1"/>
    <n v="1"/>
    <s v="BK-M68B-46"/>
    <x v="13"/>
    <n v="1105.81"/>
    <n v="2049.0981999999999"/>
    <s v="MR."/>
    <s v="HUNTER"/>
    <s v="HAYES"/>
    <s v="HUNTER HAYES"/>
    <d v="1974-05-22T00:00:00"/>
    <s v="S"/>
    <s v="M"/>
    <s v="hunter18@adventure-works.com"/>
    <n v="50000"/>
    <n v="0"/>
    <s v="High School"/>
    <s v="Skilled Manual"/>
    <s v="N"/>
    <s v="Southwest"/>
    <x v="1"/>
    <s v="North America"/>
    <x v="1"/>
    <s v="Bikes"/>
    <n v="2049.0981999999999"/>
    <n v="1105.81"/>
    <n v="943.28819999999996"/>
    <n v="0.46034309141455498"/>
  </r>
  <r>
    <x v="312"/>
    <d v="2002-10-10T00:00:00"/>
    <s v="SO48224"/>
    <n v="354"/>
    <n v="26581"/>
    <n v="1"/>
    <n v="1"/>
    <n v="1"/>
    <n v="1"/>
    <s v="BK-M68S-42"/>
    <x v="18"/>
    <n v="1117.8559"/>
    <n v="2071.4196000000002"/>
    <s v="MS."/>
    <s v="MARIAH"/>
    <s v="PATTERSON"/>
    <s v="MARIAH PATTERSON"/>
    <d v="1973-11-22T00:00:00"/>
    <s v="M"/>
    <s v="F"/>
    <s v="mariah15@adventure-works.com"/>
    <n v="60000"/>
    <n v="0"/>
    <s v="Partial College"/>
    <s v="Skilled Manual"/>
    <s v="Y"/>
    <s v="Northwest"/>
    <x v="1"/>
    <s v="North America"/>
    <x v="1"/>
    <s v="Bikes"/>
    <n v="2071.4196000000002"/>
    <n v="1117.8559"/>
    <n v="953.56370000000004"/>
    <n v="0.460343090313522"/>
  </r>
  <r>
    <x v="289"/>
    <d v="2002-08-12T00:00:00"/>
    <s v="SO48419"/>
    <n v="338"/>
    <n v="26585"/>
    <n v="9"/>
    <n v="1"/>
    <n v="1"/>
    <n v="2"/>
    <s v="BK-R50B-44"/>
    <x v="32"/>
    <n v="413.1463"/>
    <n v="699.09820000000002"/>
    <s v="MR."/>
    <s v="ALEJANDRO"/>
    <s v="XU"/>
    <s v="ALEJANDRO XU"/>
    <d v="1956-07-15T00:00:00"/>
    <s v="S"/>
    <s v="M"/>
    <s v="alejandro15@adventure-works.com"/>
    <n v="80000"/>
    <n v="2"/>
    <s v="High School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298"/>
    <d v="2002-10-30T00:00:00"/>
    <s v="SO48485"/>
    <n v="334"/>
    <n v="26587"/>
    <n v="9"/>
    <n v="1"/>
    <n v="1"/>
    <n v="2"/>
    <s v="BK-R50B-60"/>
    <x v="41"/>
    <n v="413.1463"/>
    <n v="699.09820000000002"/>
    <s v="MR."/>
    <s v="MARIO"/>
    <s v="JOHNSEN"/>
    <s v="MARIO JOHNSEN"/>
    <d v="1957-03-08T00:00:00"/>
    <s v="S"/>
    <s v="M"/>
    <s v="mario9@adventure-works.com"/>
    <n v="70000"/>
    <n v="2"/>
    <s v="High School"/>
    <s v="Skilled Manual"/>
    <s v="N"/>
    <s v="Australia"/>
    <x v="2"/>
    <s v="Pacific"/>
    <x v="0"/>
    <s v="Bikes"/>
    <n v="699.09820000000002"/>
    <n v="413.1463"/>
    <n v="285.95190000000002"/>
    <n v="0.409029661355157"/>
  </r>
  <r>
    <x v="167"/>
    <d v="2002-09-04T00:00:00"/>
    <s v="SO48182"/>
    <n v="360"/>
    <n v="26600"/>
    <n v="4"/>
    <n v="1"/>
    <n v="1"/>
    <n v="1"/>
    <s v="BK-M68B-42"/>
    <x v="17"/>
    <n v="1105.81"/>
    <n v="2049.0981999999999"/>
    <s v="MRS."/>
    <s v="MICHELLE"/>
    <s v="GRAY"/>
    <s v="MICHELLE GRAY"/>
    <d v="1964-07-22T00:00:00"/>
    <s v="S"/>
    <s v="F"/>
    <s v="michelle7@adventure-works.com"/>
    <n v="60000"/>
    <n v="4"/>
    <s v="Bachelors"/>
    <s v="Skilled Manual"/>
    <s v="N"/>
    <s v="Southwest"/>
    <x v="1"/>
    <s v="North America"/>
    <x v="1"/>
    <s v="Bikes"/>
    <n v="2049.0981999999999"/>
    <n v="1105.81"/>
    <n v="943.28819999999996"/>
    <n v="0.46034309141455498"/>
  </r>
  <r>
    <x v="350"/>
    <d v="2002-08-09T00:00:00"/>
    <s v="SO48201"/>
    <n v="356"/>
    <n v="26601"/>
    <n v="4"/>
    <n v="1"/>
    <n v="1"/>
    <n v="1"/>
    <s v="BK-M68S-46"/>
    <x v="14"/>
    <n v="1117.8559"/>
    <n v="2071.4196000000002"/>
    <s v="MR."/>
    <s v="KYLE"/>
    <s v="GONZALEZ"/>
    <s v="KYLE GONZALEZ"/>
    <d v="1964-06-24T00:00:00"/>
    <s v="S"/>
    <s v="M"/>
    <s v="kyle38@adventure-works.com"/>
    <n v="60000"/>
    <n v="4"/>
    <s v="Bachelors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293"/>
    <d v="2002-11-02T00:00:00"/>
    <s v="SO48495"/>
    <n v="360"/>
    <n v="26602"/>
    <n v="4"/>
    <n v="1"/>
    <n v="1"/>
    <n v="1"/>
    <s v="BK-M68B-42"/>
    <x v="17"/>
    <n v="1105.81"/>
    <n v="2049.0981999999999"/>
    <s v="MR."/>
    <s v="NOAH"/>
    <s v="YANG"/>
    <s v="NOAH YANG"/>
    <d v="1963-10-04T00:00:00"/>
    <s v="S"/>
    <s v="M"/>
    <s v="noah23@adventure-works.com"/>
    <n v="70000"/>
    <n v="4"/>
    <s v="Bachelors"/>
    <s v="Professional"/>
    <s v="Y"/>
    <s v="Southwest"/>
    <x v="1"/>
    <s v="North America"/>
    <x v="1"/>
    <s v="Bikes"/>
    <n v="2049.0981999999999"/>
    <n v="1105.81"/>
    <n v="943.28819999999996"/>
    <n v="0.46034309141455498"/>
  </r>
  <r>
    <x v="293"/>
    <d v="2002-11-15T00:00:00"/>
    <s v="SO48496"/>
    <n v="362"/>
    <n v="26603"/>
    <n v="4"/>
    <n v="1"/>
    <n v="1"/>
    <n v="1"/>
    <s v="BK-M68B-46"/>
    <x v="13"/>
    <n v="1105.81"/>
    <n v="2049.0981999999999"/>
    <s v="MRS."/>
    <s v="SHEILA"/>
    <s v="RUIZ"/>
    <s v="SHEILA RUIZ"/>
    <d v="1963-04-03T00:00:00"/>
    <s v="S"/>
    <s v="F"/>
    <s v="sheila2@adventure-works.com"/>
    <n v="70000"/>
    <n v="4"/>
    <s v="Bachelors"/>
    <s v="Professional"/>
    <s v="N"/>
    <s v="Southwest"/>
    <x v="1"/>
    <s v="North America"/>
    <x v="1"/>
    <s v="Bikes"/>
    <n v="2049.0981999999999"/>
    <n v="1105.81"/>
    <n v="943.28819999999996"/>
    <n v="0.46034309141455498"/>
  </r>
  <r>
    <x v="351"/>
    <d v="2002-10-21T00:00:00"/>
    <s v="SO48565"/>
    <n v="358"/>
    <n v="26604"/>
    <n v="4"/>
    <n v="1"/>
    <n v="1"/>
    <n v="1"/>
    <s v="BK-M68B-38"/>
    <x v="15"/>
    <n v="1105.81"/>
    <n v="2049.0981999999999"/>
    <s v="MS."/>
    <s v="ELIZABETH"/>
    <s v="WEST"/>
    <s v="ELIZABETH WEST"/>
    <d v="1968-11-07T00:00:00"/>
    <s v="S"/>
    <s v="F"/>
    <s v="elizabeth42@adventure-works.com"/>
    <n v="70000"/>
    <n v="0"/>
    <s v="Bachelors"/>
    <s v="Professional"/>
    <s v="N"/>
    <s v="Southwest"/>
    <x v="1"/>
    <s v="North America"/>
    <x v="1"/>
    <s v="Bikes"/>
    <n v="2049.0981999999999"/>
    <n v="1105.81"/>
    <n v="943.28819999999996"/>
    <n v="0.46034309141455498"/>
  </r>
  <r>
    <x v="293"/>
    <d v="2002-08-13T00:00:00"/>
    <s v="SO48497"/>
    <n v="360"/>
    <n v="26606"/>
    <n v="1"/>
    <n v="1"/>
    <n v="1"/>
    <n v="1"/>
    <s v="BK-M68B-42"/>
    <x v="17"/>
    <n v="1105.81"/>
    <n v="2049.0981999999999"/>
    <s v="MRS."/>
    <s v="HANNAH"/>
    <s v="HARRIS"/>
    <s v="HANNAH HARRIS"/>
    <d v="1963-12-03T00:00:00"/>
    <s v="S"/>
    <s v="F"/>
    <s v="hannah12@adventure-works.com"/>
    <n v="60000"/>
    <n v="3"/>
    <s v="Graduate Degree"/>
    <s v="Professional"/>
    <s v="Y"/>
    <s v="Northwest"/>
    <x v="1"/>
    <s v="North America"/>
    <x v="1"/>
    <s v="Bikes"/>
    <n v="2049.0981999999999"/>
    <n v="1105.81"/>
    <n v="943.28819999999996"/>
    <n v="0.46034309141455498"/>
  </r>
  <r>
    <x v="285"/>
    <d v="2002-10-30T00:00:00"/>
    <s v="SO48660"/>
    <n v="356"/>
    <n v="26607"/>
    <n v="4"/>
    <n v="1"/>
    <n v="1"/>
    <n v="1"/>
    <s v="BK-M68S-46"/>
    <x v="14"/>
    <n v="1117.8559"/>
    <n v="2071.4196000000002"/>
    <s v="MRS."/>
    <s v="NATALIE"/>
    <s v="POWELL"/>
    <s v="NATALIE POWELL"/>
    <d v="1963-07-11T00:00:00"/>
    <s v="M"/>
    <s v="F"/>
    <s v="natalie31@adventure-works.com"/>
    <n v="60000"/>
    <n v="3"/>
    <s v="Graduate Degree"/>
    <s v="Professional"/>
    <s v="Y"/>
    <s v="Southwest"/>
    <x v="1"/>
    <s v="North America"/>
    <x v="1"/>
    <s v="Bikes"/>
    <n v="2071.4196000000002"/>
    <n v="1117.8559"/>
    <n v="953.56370000000004"/>
    <n v="0.460343090313522"/>
  </r>
  <r>
    <x v="233"/>
    <d v="2002-11-30T00:00:00"/>
    <s v="SO48679"/>
    <n v="352"/>
    <n v="26608"/>
    <n v="4"/>
    <n v="1"/>
    <n v="1"/>
    <n v="1"/>
    <s v="BK-M68S-38"/>
    <x v="16"/>
    <n v="1117.8559"/>
    <n v="2071.4196000000002"/>
    <s v="MR."/>
    <s v="AARON"/>
    <s v="NELSON"/>
    <s v="AARON NELSON"/>
    <d v="1963-07-17T00:00:00"/>
    <s v="S"/>
    <s v="M"/>
    <s v="aaron42@adventure-works.com"/>
    <n v="60000"/>
    <n v="3"/>
    <s v="Graduate Degree"/>
    <s v="Professional"/>
    <s v="N"/>
    <s v="Southwest"/>
    <x v="1"/>
    <s v="North America"/>
    <x v="1"/>
    <s v="Bikes"/>
    <n v="2071.4196000000002"/>
    <n v="1117.8559"/>
    <n v="953.56370000000004"/>
    <n v="0.460343090313522"/>
  </r>
  <r>
    <x v="191"/>
    <d v="2002-11-23T00:00:00"/>
    <s v="SO48604"/>
    <n v="354"/>
    <n v="26609"/>
    <n v="1"/>
    <n v="1"/>
    <n v="1"/>
    <n v="1"/>
    <s v="BK-M68S-42"/>
    <x v="18"/>
    <n v="1117.8559"/>
    <n v="2071.4196000000002"/>
    <s v="MRS."/>
    <s v="ABIGAIL"/>
    <s v="KELLY"/>
    <s v="ABIGAIL KELLY"/>
    <d v="1962-04-11T00:00:00"/>
    <s v="M"/>
    <s v="F"/>
    <s v="abigail23@adventure-works.com"/>
    <n v="70000"/>
    <n v="1"/>
    <s v="Partial College"/>
    <s v="Skilled Manual"/>
    <s v="Y"/>
    <s v="Northwest"/>
    <x v="1"/>
    <s v="North America"/>
    <x v="1"/>
    <s v="Bikes"/>
    <n v="2071.4196000000002"/>
    <n v="1117.8559"/>
    <n v="953.56370000000004"/>
    <n v="0.460343090313522"/>
  </r>
  <r>
    <x v="303"/>
    <d v="2002-09-28T00:00:00"/>
    <s v="SO48648"/>
    <n v="354"/>
    <n v="26610"/>
    <n v="4"/>
    <n v="1"/>
    <n v="1"/>
    <n v="1"/>
    <s v="BK-M68S-42"/>
    <x v="18"/>
    <n v="1117.8559"/>
    <n v="2071.4196000000002"/>
    <s v="MRS."/>
    <s v="MARY"/>
    <s v="PEREZ"/>
    <s v="MARY PEREZ"/>
    <d v="1962-11-09T00:00:00"/>
    <s v="M"/>
    <s v="F"/>
    <s v="mary25@adventure-works.com"/>
    <n v="70000"/>
    <n v="1"/>
    <s v="Partial College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298"/>
    <d v="2002-08-16T00:00:00"/>
    <s v="SO48477"/>
    <n v="352"/>
    <n v="26611"/>
    <n v="4"/>
    <n v="1"/>
    <n v="1"/>
    <n v="1"/>
    <s v="BK-M68S-38"/>
    <x v="16"/>
    <n v="1117.8559"/>
    <n v="2071.4196000000002"/>
    <s v="MRS."/>
    <s v="KAYLA"/>
    <s v="HENDERSON"/>
    <s v="KAYLA HENDERSON"/>
    <d v="1962-04-19T00:00:00"/>
    <s v="M"/>
    <s v="F"/>
    <s v="kayla29@adventure-works.com"/>
    <n v="70000"/>
    <n v="1"/>
    <s v="Partial College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198"/>
    <d v="2002-10-07T00:00:00"/>
    <s v="SO48594"/>
    <n v="362"/>
    <n v="26614"/>
    <n v="1"/>
    <n v="1"/>
    <n v="1"/>
    <n v="1"/>
    <s v="BK-M68B-46"/>
    <x v="13"/>
    <n v="1105.81"/>
    <n v="2049.0981999999999"/>
    <s v="MR."/>
    <s v="RICHARD"/>
    <s v="ROBINSON"/>
    <s v="RICHARD ROBINSON"/>
    <d v="1961-06-05T00:00:00"/>
    <s v="S"/>
    <s v="M"/>
    <s v="richard12@adventure-works.com"/>
    <n v="40000"/>
    <n v="4"/>
    <s v="High School"/>
    <s v="Skilled Manual"/>
    <s v="Y"/>
    <s v="Northwest"/>
    <x v="1"/>
    <s v="North America"/>
    <x v="1"/>
    <s v="Bikes"/>
    <n v="2049.0981999999999"/>
    <n v="1105.81"/>
    <n v="943.28819999999996"/>
    <n v="0.46034309141455498"/>
  </r>
  <r>
    <x v="191"/>
    <d v="2002-10-05T00:00:00"/>
    <s v="SO48605"/>
    <n v="358"/>
    <n v="26616"/>
    <n v="1"/>
    <n v="1"/>
    <n v="1"/>
    <n v="1"/>
    <s v="BK-M68B-38"/>
    <x v="15"/>
    <n v="1105.81"/>
    <n v="2049.0981999999999"/>
    <s v="MR."/>
    <s v="COLIN"/>
    <s v="GOEL"/>
    <s v="COLIN GOEL"/>
    <d v="1960-03-18T00:00:00"/>
    <s v="M"/>
    <s v="M"/>
    <s v="colin42@adventure-works.com"/>
    <n v="40000"/>
    <n v="0"/>
    <s v="Bachelors"/>
    <s v="Professional"/>
    <s v="N"/>
    <s v="Northwest"/>
    <x v="1"/>
    <s v="North America"/>
    <x v="1"/>
    <s v="Bikes"/>
    <n v="2049.0981999999999"/>
    <n v="1105.81"/>
    <n v="943.28819999999996"/>
    <n v="0.46034309141455498"/>
  </r>
  <r>
    <x v="286"/>
    <d v="2002-10-04T00:00:00"/>
    <s v="SO48527"/>
    <n v="352"/>
    <n v="26617"/>
    <n v="4"/>
    <n v="1"/>
    <n v="1"/>
    <n v="1"/>
    <s v="BK-M68S-38"/>
    <x v="16"/>
    <n v="1117.8559"/>
    <n v="2071.4196000000002"/>
    <s v="MR."/>
    <s v="ISAIAH"/>
    <s v="PETERSON"/>
    <s v="ISAIAH PETERSON"/>
    <d v="1960-10-11T00:00:00"/>
    <s v="M"/>
    <s v="M"/>
    <s v="isaiah4@adventure-works.com"/>
    <n v="60000"/>
    <n v="1"/>
    <s v="Partial College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190"/>
    <d v="2002-09-20T00:00:00"/>
    <s v="SO48444"/>
    <n v="362"/>
    <n v="26618"/>
    <n v="4"/>
    <n v="1"/>
    <n v="1"/>
    <n v="1"/>
    <s v="BK-M68B-46"/>
    <x v="13"/>
    <n v="1105.81"/>
    <n v="2049.0981999999999"/>
    <s v="MRS."/>
    <s v="AMANDA"/>
    <s v="MORRIS"/>
    <s v="AMANDA MORRIS"/>
    <d v="1960-02-18T00:00:00"/>
    <s v="M"/>
    <s v="F"/>
    <s v="amanda1@adventure-works.com"/>
    <n v="60000"/>
    <n v="1"/>
    <s v="Partial College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232"/>
    <d v="2002-10-10T00:00:00"/>
    <s v="SO48431"/>
    <n v="354"/>
    <n v="26619"/>
    <n v="1"/>
    <n v="1"/>
    <n v="1"/>
    <n v="1"/>
    <s v="BK-M68S-42"/>
    <x v="18"/>
    <n v="1117.8559"/>
    <n v="2071.4196000000002"/>
    <s v="MR."/>
    <s v="THOMAS"/>
    <s v="HILL"/>
    <s v="THOMAS HILL"/>
    <d v="1960-03-26T00:00:00"/>
    <s v="M"/>
    <s v="M"/>
    <s v="thomas49@adventure-works.com"/>
    <n v="60000"/>
    <n v="1"/>
    <s v="Partial College"/>
    <s v="Skilled Manual"/>
    <s v="Y"/>
    <s v="Northwest"/>
    <x v="1"/>
    <s v="North America"/>
    <x v="1"/>
    <s v="Bikes"/>
    <n v="2071.4196000000002"/>
    <n v="1117.8559"/>
    <n v="953.56370000000004"/>
    <n v="0.460343090313522"/>
  </r>
  <r>
    <x v="291"/>
    <d v="2002-09-13T00:00:00"/>
    <s v="SO48554"/>
    <n v="362"/>
    <n v="26622"/>
    <n v="1"/>
    <n v="1"/>
    <n v="1"/>
    <n v="1"/>
    <s v="BK-M68B-46"/>
    <x v="13"/>
    <n v="1105.81"/>
    <n v="2049.0981999999999"/>
    <s v="MS."/>
    <s v="JAN"/>
    <s v="HOWARD"/>
    <s v="JAN HOWARD"/>
    <d v="1967-09-05T00:00:00"/>
    <s v="S"/>
    <s v="F"/>
    <s v="jan9@adventure-works.com"/>
    <n v="50000"/>
    <n v="0"/>
    <s v="Partial College"/>
    <s v="Skilled Manual"/>
    <s v="N"/>
    <s v="Northwest"/>
    <x v="1"/>
    <s v="North America"/>
    <x v="1"/>
    <s v="Bikes"/>
    <n v="2049.0981999999999"/>
    <n v="1105.81"/>
    <n v="943.28819999999996"/>
    <n v="0.46034309141455498"/>
  </r>
  <r>
    <x v="188"/>
    <d v="2002-08-31T00:00:00"/>
    <s v="SO48630"/>
    <n v="358"/>
    <n v="26623"/>
    <n v="1"/>
    <n v="1"/>
    <n v="1"/>
    <n v="1"/>
    <s v="BK-M68B-38"/>
    <x v="15"/>
    <n v="1105.81"/>
    <n v="2049.0981999999999"/>
    <s v="MS."/>
    <s v="ALEXANDRA"/>
    <s v="ROSS"/>
    <s v="ALEXANDRA ROSS"/>
    <d v="1967-02-11T00:00:00"/>
    <s v="S"/>
    <s v="F"/>
    <s v="alexandra27@adventure-works.com"/>
    <n v="50000"/>
    <n v="0"/>
    <s v="Partial College"/>
    <s v="Skilled Manual"/>
    <s v="N"/>
    <s v="Northwest"/>
    <x v="1"/>
    <s v="North America"/>
    <x v="1"/>
    <s v="Bikes"/>
    <n v="2049.0981999999999"/>
    <n v="1105.81"/>
    <n v="943.28819999999996"/>
    <n v="0.46034309141455498"/>
  </r>
  <r>
    <x v="217"/>
    <d v="2002-09-15T00:00:00"/>
    <s v="SO48695"/>
    <n v="362"/>
    <n v="26624"/>
    <n v="1"/>
    <n v="1"/>
    <n v="1"/>
    <n v="1"/>
    <s v="BK-M68B-46"/>
    <x v="13"/>
    <n v="1105.81"/>
    <n v="2049.0981999999999"/>
    <s v="MS."/>
    <s v="ELIZABETH"/>
    <s v="RUSSELL"/>
    <s v="ELIZABETH RUSSELL"/>
    <d v="1967-05-06T00:00:00"/>
    <s v="S"/>
    <s v="F"/>
    <s v="elizabeth48@adventure-works.com"/>
    <n v="50000"/>
    <n v="0"/>
    <s v="Partial College"/>
    <s v="Skilled Manual"/>
    <s v="N"/>
    <s v="Northwest"/>
    <x v="1"/>
    <s v="North America"/>
    <x v="1"/>
    <s v="Bikes"/>
    <n v="2049.0981999999999"/>
    <n v="1105.81"/>
    <n v="943.28819999999996"/>
    <n v="0.46034309141455498"/>
  </r>
  <r>
    <x v="303"/>
    <d v="2002-10-23T00:00:00"/>
    <s v="SO48647"/>
    <n v="354"/>
    <n v="26625"/>
    <n v="1"/>
    <n v="1"/>
    <n v="1"/>
    <n v="1"/>
    <s v="BK-M68S-42"/>
    <x v="18"/>
    <n v="1117.8559"/>
    <n v="2071.4196000000002"/>
    <s v="MS."/>
    <s v="LAUREN"/>
    <s v="BARNES"/>
    <s v="LAUREN BARNES"/>
    <d v="1967-12-19T00:00:00"/>
    <s v="S"/>
    <s v="F"/>
    <s v="lauren50@adventure-works.com"/>
    <n v="60000"/>
    <n v="0"/>
    <s v="Graduate Degree"/>
    <s v="Professional"/>
    <s v="Y"/>
    <s v="Northwest"/>
    <x v="1"/>
    <s v="North America"/>
    <x v="1"/>
    <s v="Bikes"/>
    <n v="2071.4196000000002"/>
    <n v="1117.8559"/>
    <n v="953.56370000000004"/>
    <n v="0.460343090313522"/>
  </r>
  <r>
    <x v="304"/>
    <d v="2002-10-24T00:00:00"/>
    <s v="SO48465"/>
    <n v="356"/>
    <n v="26626"/>
    <n v="4"/>
    <n v="1"/>
    <n v="1"/>
    <n v="1"/>
    <s v="BK-M68S-46"/>
    <x v="14"/>
    <n v="1117.8559"/>
    <n v="2071.4196000000002"/>
    <s v="MR."/>
    <s v="DALTON"/>
    <s v="TAYLOR"/>
    <s v="DALTON TAYLOR"/>
    <d v="1967-03-25T00:00:00"/>
    <s v="S"/>
    <s v="M"/>
    <s v="dalton8@adventure-works.com"/>
    <n v="60000"/>
    <n v="0"/>
    <s v="Graduate Degree"/>
    <s v="Professional"/>
    <s v="N"/>
    <s v="Southwest"/>
    <x v="1"/>
    <s v="North America"/>
    <x v="1"/>
    <s v="Bikes"/>
    <n v="2071.4196000000002"/>
    <n v="1117.8559"/>
    <n v="953.56370000000004"/>
    <n v="0.460343090313522"/>
  </r>
  <r>
    <x v="233"/>
    <d v="2002-10-11T00:00:00"/>
    <s v="SO48678"/>
    <n v="362"/>
    <n v="26627"/>
    <n v="4"/>
    <n v="1"/>
    <n v="1"/>
    <n v="1"/>
    <s v="BK-M68B-46"/>
    <x v="13"/>
    <n v="1105.81"/>
    <n v="2049.0981999999999"/>
    <s v="MR."/>
    <s v="JOSE"/>
    <s v="ALEXANDER"/>
    <s v="JOSE ALEXANDER"/>
    <d v="1967-08-07T00:00:00"/>
    <s v="M"/>
    <s v="M"/>
    <s v="jose13@adventure-works.com"/>
    <n v="60000"/>
    <n v="0"/>
    <s v="Graduate Degree"/>
    <s v="Professional"/>
    <s v="N"/>
    <s v="Southwest"/>
    <x v="1"/>
    <s v="North America"/>
    <x v="1"/>
    <s v="Bikes"/>
    <n v="2049.0981999999999"/>
    <n v="1105.81"/>
    <n v="943.28819999999996"/>
    <n v="0.46034309141455498"/>
  </r>
  <r>
    <x v="294"/>
    <d v="2002-11-23T00:00:00"/>
    <s v="SO48510"/>
    <n v="354"/>
    <n v="26631"/>
    <n v="4"/>
    <n v="1"/>
    <n v="1"/>
    <n v="1"/>
    <s v="BK-M68S-42"/>
    <x v="18"/>
    <n v="1117.8559"/>
    <n v="2071.4196000000002"/>
    <s v="MR."/>
    <s v="ISAIAH"/>
    <s v="STEWART"/>
    <s v="ISAIAH STEWART"/>
    <d v="1960-03-01T00:00:00"/>
    <s v="M"/>
    <s v="M"/>
    <s v="isaiah25@adventure-works.com"/>
    <n v="60000"/>
    <n v="1"/>
    <s v="Partial College"/>
    <s v="Skilled Manual"/>
    <s v="Y"/>
    <s v="Southwest"/>
    <x v="1"/>
    <s v="North America"/>
    <x v="1"/>
    <s v="Bikes"/>
    <n v="2071.4196000000002"/>
    <n v="1117.8559"/>
    <n v="953.56370000000004"/>
    <n v="0.460343090313522"/>
  </r>
  <r>
    <x v="189"/>
    <d v="2002-09-20T00:00:00"/>
    <s v="SO48581"/>
    <n v="352"/>
    <n v="26632"/>
    <n v="1"/>
    <n v="1"/>
    <n v="1"/>
    <n v="1"/>
    <s v="BK-M68S-38"/>
    <x v="16"/>
    <n v="1117.8559"/>
    <n v="2071.4196000000002"/>
    <s v="MRS."/>
    <s v="ISABELLA"/>
    <s v="MOORE"/>
    <s v="ISABELLA MOORE"/>
    <d v="1960-12-24T00:00:00"/>
    <s v="M"/>
    <s v="F"/>
    <s v="isabella63@adventure-works.com"/>
    <n v="60000"/>
    <n v="1"/>
    <s v="Partial College"/>
    <s v="Skilled Manual"/>
    <s v="Y"/>
    <s v="Northwest"/>
    <x v="1"/>
    <s v="North America"/>
    <x v="1"/>
    <s v="Bikes"/>
    <n v="2071.4196000000002"/>
    <n v="1117.8559"/>
    <n v="953.56370000000004"/>
    <n v="0.460343090313522"/>
  </r>
  <r>
    <x v="232"/>
    <d v="2002-09-27T00:00:00"/>
    <s v="SO48430"/>
    <n v="360"/>
    <n v="26633"/>
    <n v="4"/>
    <n v="1"/>
    <n v="1"/>
    <n v="1"/>
    <s v="BK-M68B-42"/>
    <x v="17"/>
    <n v="1105.81"/>
    <n v="2049.0981999999999"/>
    <s v="MRS."/>
    <s v="GABRIELLE"/>
    <s v="WARD"/>
    <s v="GABRIELLE WARD"/>
    <d v="1960-11-08T00:00:00"/>
    <s v="M"/>
    <s v="F"/>
    <s v="gabrielle12@adventure-works.com"/>
    <n v="60000"/>
    <n v="1"/>
    <s v="Partial College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289"/>
    <d v="2002-09-10T00:00:00"/>
    <s v="SO48415"/>
    <n v="356"/>
    <n v="26634"/>
    <n v="4"/>
    <n v="1"/>
    <n v="1"/>
    <n v="1"/>
    <s v="BK-M68S-46"/>
    <x v="14"/>
    <n v="1117.8559"/>
    <n v="2071.4196000000002"/>
    <s v="MR."/>
    <s v="DEVIN"/>
    <s v="WALKER"/>
    <s v="DEVIN WALKER"/>
    <d v="1960-05-12T00:00:00"/>
    <s v="M"/>
    <s v="M"/>
    <s v="devin20@adventure-works.com"/>
    <n v="60000"/>
    <n v="1"/>
    <s v="Partial College"/>
    <s v="Skilled Manual"/>
    <s v="N"/>
    <s v="Southwest"/>
    <x v="1"/>
    <s v="North America"/>
    <x v="1"/>
    <s v="Bikes"/>
    <n v="2071.4196000000002"/>
    <n v="1117.8559"/>
    <n v="953.56370000000004"/>
    <n v="0.460343090313522"/>
  </r>
  <r>
    <x v="294"/>
    <d v="2002-11-21T00:00:00"/>
    <s v="SO48511"/>
    <n v="362"/>
    <n v="26635"/>
    <n v="4"/>
    <n v="1"/>
    <n v="1"/>
    <n v="1"/>
    <s v="BK-M68B-46"/>
    <x v="13"/>
    <n v="1105.81"/>
    <n v="2049.0981999999999"/>
    <s v="MRS."/>
    <s v="JASMINE"/>
    <s v="HARRIS"/>
    <s v="JASMINE HARRIS"/>
    <d v="1959-05-14T00:00:00"/>
    <s v="M"/>
    <s v="F"/>
    <s v="jasmine12@adventure-works.com"/>
    <n v="60000"/>
    <n v="1"/>
    <s v="Partial College"/>
    <s v="Skilled Manual"/>
    <s v="Y"/>
    <s v="Southwest"/>
    <x v="1"/>
    <s v="North America"/>
    <x v="1"/>
    <s v="Bikes"/>
    <n v="2049.0981999999999"/>
    <n v="1105.81"/>
    <n v="943.28819999999996"/>
    <n v="0.46034309141455498"/>
  </r>
  <r>
    <x v="286"/>
    <d v="2002-11-24T00:00:00"/>
    <s v="SO48529"/>
    <n v="360"/>
    <n v="26638"/>
    <n v="1"/>
    <n v="1"/>
    <n v="1"/>
    <n v="1"/>
    <s v="BK-M68B-42"/>
    <x v="17"/>
    <n v="1105.81"/>
    <n v="2049.0981999999999"/>
    <s v="MRS."/>
    <s v="OLIVIA"/>
    <s v="FLORES"/>
    <s v="OLIVIA FLORES"/>
    <d v="1959-06-24T00:00:00"/>
    <s v="S"/>
    <s v="F"/>
    <s v="olivia58@adventure-works.com"/>
    <n v="70000"/>
    <n v="1"/>
    <s v="Graduate Degree"/>
    <s v="Professional"/>
    <s v="N"/>
    <s v="Northwest"/>
    <x v="1"/>
    <s v="North America"/>
    <x v="1"/>
    <s v="Bikes"/>
    <n v="2049.0981999999999"/>
    <n v="1105.81"/>
    <n v="943.28819999999996"/>
    <n v="0.46034309141455498"/>
  </r>
  <r>
    <x v="304"/>
    <d v="2002-09-23T00:00:00"/>
    <s v="SO48473"/>
    <n v="352"/>
    <n v="26641"/>
    <n v="4"/>
    <n v="1"/>
    <n v="1"/>
    <n v="1"/>
    <s v="BK-M68S-38"/>
    <x v="16"/>
    <n v="1117.8559"/>
    <n v="2071.4196000000002"/>
    <s v="MR."/>
    <s v="ARTURO"/>
    <s v="XIE"/>
    <s v="ARTURO XIE"/>
    <d v="1959-08-05T00:00:00"/>
    <s v="S"/>
    <s v="M"/>
    <s v="arturo27@adventure-works.com"/>
    <n v="80000"/>
    <n v="1"/>
    <s v="Graduate Degree"/>
    <s v="Professional"/>
    <s v="Y"/>
    <s v="Southwest"/>
    <x v="1"/>
    <s v="North America"/>
    <x v="1"/>
    <s v="Bikes"/>
    <n v="2071.4196000000002"/>
    <n v="1117.8559"/>
    <n v="953.56370000000004"/>
    <n v="0.460343090313522"/>
  </r>
  <r>
    <x v="298"/>
    <d v="2002-10-02T00:00:00"/>
    <s v="SO48480"/>
    <n v="352"/>
    <n v="26642"/>
    <n v="1"/>
    <n v="1"/>
    <n v="1"/>
    <n v="1"/>
    <s v="BK-M68S-38"/>
    <x v="16"/>
    <n v="1117.8559"/>
    <n v="2071.4196000000002"/>
    <s v="MRS."/>
    <s v="GABRIELLE"/>
    <s v="EVANS"/>
    <s v="GABRIELLE EVANS"/>
    <d v="1958-06-18T00:00:00"/>
    <s v="M"/>
    <s v="F"/>
    <s v="gabrielle45@adventure-works.com"/>
    <n v="80000"/>
    <n v="1"/>
    <s v="Partial College"/>
    <s v="Skilled Manual"/>
    <s v="Y"/>
    <s v="Northwest"/>
    <x v="1"/>
    <s v="North America"/>
    <x v="1"/>
    <s v="Bikes"/>
    <n v="2071.4196000000002"/>
    <n v="1117.8559"/>
    <n v="953.56370000000004"/>
    <n v="0.460343090313522"/>
  </r>
  <r>
    <x v="191"/>
    <d v="2002-12-02T00:00:00"/>
    <s v="SO48608"/>
    <n v="358"/>
    <n v="26644"/>
    <n v="1"/>
    <n v="1"/>
    <n v="1"/>
    <n v="1"/>
    <s v="BK-M68B-38"/>
    <x v="15"/>
    <n v="1105.81"/>
    <n v="2049.0981999999999"/>
    <s v="MRS."/>
    <s v="JENNA"/>
    <s v="HERNANDEZ"/>
    <s v="JENNA HERNANDEZ"/>
    <d v="1958-04-21T00:00:00"/>
    <s v="S"/>
    <s v="F"/>
    <s v="jenna17@adventure-works.com"/>
    <n v="60000"/>
    <n v="1"/>
    <s v="Bachelors"/>
    <s v="Professional"/>
    <s v="N"/>
    <s v="Northwest"/>
    <x v="1"/>
    <s v="North America"/>
    <x v="1"/>
    <s v="Bikes"/>
    <n v="2049.0981999999999"/>
    <n v="1105.81"/>
    <n v="943.28819999999996"/>
    <n v="0.46034309141455498"/>
  </r>
  <r>
    <x v="190"/>
    <d v="2002-09-25T00:00:00"/>
    <s v="SO48450"/>
    <n v="362"/>
    <n v="26645"/>
    <n v="4"/>
    <n v="1"/>
    <n v="1"/>
    <n v="1"/>
    <s v="BK-M68B-46"/>
    <x v="13"/>
    <n v="1105.81"/>
    <n v="2049.0981999999999"/>
    <s v="MRS."/>
    <s v="MORGAN"/>
    <s v="RICHARDSON"/>
    <s v="MORGAN RICHARDSON"/>
    <d v="1958-08-22T00:00:00"/>
    <s v="S"/>
    <s v="F"/>
    <s v="morgan57@adventure-works.com"/>
    <n v="60000"/>
    <n v="1"/>
    <s v="Bachelors"/>
    <s v="Professional"/>
    <s v="Y"/>
    <s v="Southwest"/>
    <x v="1"/>
    <s v="North America"/>
    <x v="1"/>
    <s v="Bikes"/>
    <n v="2049.0981999999999"/>
    <n v="1105.81"/>
    <n v="943.28819999999996"/>
    <n v="0.46034309141455498"/>
  </r>
  <r>
    <x v="191"/>
    <d v="2002-11-11T00:00:00"/>
    <s v="SO48609"/>
    <n v="356"/>
    <n v="26646"/>
    <n v="4"/>
    <n v="1"/>
    <n v="1"/>
    <n v="1"/>
    <s v="BK-M68S-46"/>
    <x v="14"/>
    <n v="1117.8559"/>
    <n v="2071.4196000000002"/>
    <s v="MRS."/>
    <s v="JORDYN"/>
    <s v="PERRY"/>
    <s v="JORDYN PERRY"/>
    <d v="1958-10-22T00:00:00"/>
    <s v="S"/>
    <s v="F"/>
    <s v="jordyn7@adventure-works.com"/>
    <n v="60000"/>
    <n v="1"/>
    <s v="Bachelors"/>
    <s v="Professional"/>
    <s v="Y"/>
    <s v="Southwest"/>
    <x v="1"/>
    <s v="North America"/>
    <x v="1"/>
    <s v="Bikes"/>
    <n v="2071.4196000000002"/>
    <n v="1117.8559"/>
    <n v="953.56370000000004"/>
    <n v="0.460343090313522"/>
  </r>
  <r>
    <x v="217"/>
    <d v="2002-12-04T00:00:00"/>
    <s v="SO48698"/>
    <n v="362"/>
    <n v="26647"/>
    <n v="4"/>
    <n v="1"/>
    <n v="1"/>
    <n v="1"/>
    <s v="BK-M68B-46"/>
    <x v="13"/>
    <n v="1105.81"/>
    <n v="2049.0981999999999"/>
    <s v="MRS."/>
    <s v="JASMINE"/>
    <s v="SIMMONS"/>
    <s v="JASMINE SIMMONS"/>
    <d v="1958-03-28T00:00:00"/>
    <s v="S"/>
    <s v="F"/>
    <s v="jasmine54@adventure-works.com"/>
    <n v="60000"/>
    <n v="1"/>
    <s v="Bachelors"/>
    <s v="Professional"/>
    <s v="Y"/>
    <s v="Southwest"/>
    <x v="1"/>
    <s v="North America"/>
    <x v="1"/>
    <s v="Bikes"/>
    <n v="2049.0981999999999"/>
    <n v="1105.81"/>
    <n v="943.28819999999996"/>
    <n v="0.46034309141455498"/>
  </r>
  <r>
    <x v="218"/>
    <d v="2002-10-09T00:00:00"/>
    <s v="SO48410"/>
    <n v="358"/>
    <n v="26649"/>
    <n v="4"/>
    <n v="1"/>
    <n v="1"/>
    <n v="1"/>
    <s v="BK-M68B-38"/>
    <x v="15"/>
    <n v="1105.81"/>
    <n v="2049.0981999999999"/>
    <s v="MRS."/>
    <s v="EMILY"/>
    <s v="PERRY"/>
    <s v="EMILY PERRY"/>
    <d v="1958-10-08T00:00:00"/>
    <s v="S"/>
    <s v="F"/>
    <s v="emily32@adventure-works.com"/>
    <n v="80000"/>
    <n v="5"/>
    <s v="Graduate Degree"/>
    <s v="Professional"/>
    <s v="N"/>
    <s v="Southwest"/>
    <x v="1"/>
    <s v="North America"/>
    <x v="1"/>
    <s v="Bikes"/>
    <n v="2049.0981999999999"/>
    <n v="1105.81"/>
    <n v="943.28819999999996"/>
    <n v="0.46034309141455498"/>
  </r>
  <r>
    <x v="198"/>
    <d v="2002-09-19T00:00:00"/>
    <s v="SO48597"/>
    <n v="352"/>
    <n v="26650"/>
    <n v="4"/>
    <n v="1"/>
    <n v="1"/>
    <n v="1"/>
    <s v="BK-M68S-38"/>
    <x v="16"/>
    <n v="1117.8559"/>
    <n v="2071.4196000000002"/>
    <s v="MR."/>
    <s v="KEVIN"/>
    <s v="COLLINS"/>
    <s v="KEVIN COLLINS"/>
    <d v="1958-05-28T00:00:00"/>
    <s v="S"/>
    <s v="M"/>
    <s v="kevin39@adventure-works.com"/>
    <n v="80000"/>
    <n v="5"/>
    <s v="Graduate Degree"/>
    <s v="Professional"/>
    <s v="Y"/>
    <s v="Southwest"/>
    <x v="1"/>
    <s v="North America"/>
    <x v="1"/>
    <s v="Bikes"/>
    <n v="2071.4196000000002"/>
    <n v="1117.8559"/>
    <n v="953.56370000000004"/>
    <n v="0.460343090313522"/>
  </r>
  <r>
    <x v="220"/>
    <d v="2002-11-21T00:00:00"/>
    <s v="SO48542"/>
    <n v="360"/>
    <n v="26676"/>
    <n v="4"/>
    <n v="1"/>
    <n v="1"/>
    <n v="1"/>
    <s v="BK-M68B-42"/>
    <x v="17"/>
    <n v="1105.81"/>
    <n v="2049.0981999999999"/>
    <s v="MRS."/>
    <s v="EMILY"/>
    <s v="JENKINS"/>
    <s v="EMILY JENKINS"/>
    <d v="1957-07-19T00:00:00"/>
    <s v="M"/>
    <s v="F"/>
    <s v="emily31@adventure-works.com"/>
    <n v="60000"/>
    <n v="2"/>
    <s v="High School"/>
    <s v="Professional"/>
    <s v="Y"/>
    <s v="Southwest"/>
    <x v="1"/>
    <s v="North America"/>
    <x v="1"/>
    <s v="Bikes"/>
    <n v="2049.0981999999999"/>
    <n v="1105.81"/>
    <n v="943.28819999999996"/>
    <n v="0.46034309141455498"/>
  </r>
  <r>
    <x v="188"/>
    <d v="2002-12-03T00:00:00"/>
    <s v="SO48640"/>
    <n v="356"/>
    <n v="26681"/>
    <n v="4"/>
    <n v="1"/>
    <n v="1"/>
    <n v="1"/>
    <s v="BK-M68S-46"/>
    <x v="14"/>
    <n v="1117.8559"/>
    <n v="2071.4196000000002"/>
    <s v="MR."/>
    <s v="ZACHARY"/>
    <s v="JACKSON"/>
    <s v="ZACHARY JACKSON"/>
    <d v="1956-04-03T00:00:00"/>
    <s v="S"/>
    <s v="M"/>
    <s v="zachary42@adventure-works.com"/>
    <n v="60000"/>
    <n v="2"/>
    <s v="High School"/>
    <s v="Professional"/>
    <s v="Y"/>
    <s v="Southwest"/>
    <x v="1"/>
    <s v="North America"/>
    <x v="1"/>
    <s v="Bikes"/>
    <n v="2071.4196000000002"/>
    <n v="1117.8559"/>
    <n v="953.56370000000004"/>
    <n v="0.460343090313522"/>
  </r>
  <r>
    <x v="291"/>
    <d v="2002-10-18T00:00:00"/>
    <s v="SO48558"/>
    <n v="360"/>
    <n v="26684"/>
    <n v="4"/>
    <n v="1"/>
    <n v="1"/>
    <n v="1"/>
    <s v="BK-M68B-42"/>
    <x v="17"/>
    <n v="1105.81"/>
    <n v="2049.0981999999999"/>
    <s v="MR."/>
    <s v="DUSTIN"/>
    <s v="ANDERSEN"/>
    <s v="DUSTIN ANDERSEN"/>
    <d v="1965-11-22T00:00:00"/>
    <s v="M"/>
    <s v="M"/>
    <s v="dustin13@adventure-works.com"/>
    <n v="110000"/>
    <n v="2"/>
    <s v="Bachelors"/>
    <s v="Management"/>
    <s v="Y"/>
    <s v="Southwest"/>
    <x v="1"/>
    <s v="North America"/>
    <x v="1"/>
    <s v="Bikes"/>
    <n v="2049.0981999999999"/>
    <n v="1105.81"/>
    <n v="943.28819999999996"/>
    <n v="0.46034309141455498"/>
  </r>
  <r>
    <x v="15"/>
    <d v="2001-11-16T00:00:00"/>
    <s v="SO45081"/>
    <n v="338"/>
    <n v="26782"/>
    <n v="6"/>
    <n v="1"/>
    <n v="1"/>
    <n v="2"/>
    <s v="BK-R50B-44"/>
    <x v="32"/>
    <n v="413.1463"/>
    <n v="699.09820000000002"/>
    <s v="MR."/>
    <s v="SETH"/>
    <s v="LEWIS"/>
    <s v="SETH LEWIS"/>
    <d v="1980-09-25T00:00:00"/>
    <s v="S"/>
    <s v="M"/>
    <s v="seth20@adventure-works.com"/>
    <n v="30000"/>
    <n v="0"/>
    <s v="High School"/>
    <s v="Skilled Manual"/>
    <s v="N"/>
    <s v="Canada"/>
    <x v="5"/>
    <s v="North America"/>
    <x v="0"/>
    <s v="Bikes"/>
    <n v="699.09820000000002"/>
    <n v="413.1463"/>
    <n v="285.95190000000002"/>
    <n v="0.409029661355157"/>
  </r>
  <r>
    <x v="8"/>
    <d v="2002-01-12T00:00:00"/>
    <s v="SO45384"/>
    <n v="338"/>
    <n v="26789"/>
    <n v="6"/>
    <n v="1"/>
    <n v="1"/>
    <n v="2"/>
    <s v="BK-R50B-44"/>
    <x v="32"/>
    <n v="413.1463"/>
    <n v="699.09820000000002"/>
    <s v="MR."/>
    <s v="CHASE"/>
    <s v="MORRIS"/>
    <s v="CHASE MORRIS"/>
    <d v="1978-11-10T00:00:00"/>
    <s v="S"/>
    <s v="M"/>
    <s v="chase19@adventure-works.com"/>
    <n v="40000"/>
    <n v="0"/>
    <s v="High School"/>
    <s v="Skilled Manual"/>
    <s v="N"/>
    <s v="Canada"/>
    <x v="5"/>
    <s v="North America"/>
    <x v="0"/>
    <s v="Bikes"/>
    <n v="699.09820000000002"/>
    <n v="413.1463"/>
    <n v="285.95190000000002"/>
    <n v="0.409029661355157"/>
  </r>
  <r>
    <x v="79"/>
    <d v="2002-05-13T00:00:00"/>
    <s v="SO46397"/>
    <n v="328"/>
    <n v="27014"/>
    <n v="6"/>
    <n v="1"/>
    <n v="1"/>
    <n v="2"/>
    <s v="BK-R50R-48"/>
    <x v="35"/>
    <n v="413.1463"/>
    <n v="699.09820000000002"/>
    <s v="MR."/>
    <s v="LUKE"/>
    <s v="HUGHES"/>
    <s v="LUKE HUGHES"/>
    <d v="1966-08-23T00:00:00"/>
    <s v="M"/>
    <s v="M"/>
    <s v="luke30@adventure-works.com"/>
    <n v="80000"/>
    <n v="0"/>
    <s v="Graduate Degree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149"/>
    <d v="2002-03-27T00:00:00"/>
    <s v="SO46407"/>
    <n v="342"/>
    <n v="27026"/>
    <n v="6"/>
    <n v="1"/>
    <n v="1"/>
    <n v="2"/>
    <s v="BK-R50B-52"/>
    <x v="33"/>
    <n v="413.1463"/>
    <n v="699.09820000000002"/>
    <s v="MR."/>
    <s v="JONATHAN"/>
    <s v="PERRY"/>
    <s v="JONATHAN PERRY"/>
    <d v="1955-07-11T00:00:00"/>
    <s v="S"/>
    <s v="M"/>
    <s v="jonathan7@adventure-works.com"/>
    <n v="30000"/>
    <n v="1"/>
    <s v="High School"/>
    <s v="Clerical"/>
    <s v="N"/>
    <s v="Canada"/>
    <x v="5"/>
    <s v="North America"/>
    <x v="0"/>
    <s v="Bikes"/>
    <n v="699.09820000000002"/>
    <n v="413.1463"/>
    <n v="285.95190000000002"/>
    <n v="0.409029661355157"/>
  </r>
  <r>
    <x v="241"/>
    <d v="2002-07-10T00:00:00"/>
    <s v="SO47135"/>
    <n v="342"/>
    <n v="27027"/>
    <n v="6"/>
    <n v="1"/>
    <n v="1"/>
    <n v="2"/>
    <s v="BK-R50B-52"/>
    <x v="33"/>
    <n v="413.1463"/>
    <n v="699.09820000000002"/>
    <s v="MRS."/>
    <s v="JENNIFER"/>
    <s v="WHITE"/>
    <s v="JENNIFER WHITE"/>
    <d v="1955-07-14T00:00:00"/>
    <s v="S"/>
    <s v="F"/>
    <s v="jennifer41@adventure-works.com"/>
    <n v="30000"/>
    <n v="1"/>
    <s v="High School"/>
    <s v="Clerical"/>
    <s v="N"/>
    <s v="Canada"/>
    <x v="5"/>
    <s v="North America"/>
    <x v="0"/>
    <s v="Bikes"/>
    <n v="699.09820000000002"/>
    <n v="413.1463"/>
    <n v="285.95190000000002"/>
    <n v="0.409029661355157"/>
  </r>
  <r>
    <x v="247"/>
    <d v="2002-06-09T00:00:00"/>
    <s v="SO47207"/>
    <n v="336"/>
    <n v="27043"/>
    <n v="6"/>
    <n v="1"/>
    <n v="1"/>
    <n v="2"/>
    <s v="BK-R50B-62"/>
    <x v="36"/>
    <n v="413.1463"/>
    <n v="699.09820000000002"/>
    <s v="MR."/>
    <s v="DALTON"/>
    <s v="MURPHY"/>
    <s v="DALTON MURPHY"/>
    <d v="1958-06-09T00:00:00"/>
    <s v="S"/>
    <s v="M"/>
    <s v="dalton86@adventure-works.com"/>
    <n v="30000"/>
    <n v="2"/>
    <s v="High School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180"/>
    <d v="2002-06-23T00:00:00"/>
    <s v="SO47560"/>
    <n v="324"/>
    <n v="27053"/>
    <n v="6"/>
    <n v="1"/>
    <n v="1"/>
    <n v="2"/>
    <s v="BK-R50R-62"/>
    <x v="42"/>
    <n v="413.1463"/>
    <n v="699.09820000000002"/>
    <s v="MR."/>
    <s v="STEVEN"/>
    <s v="COOK"/>
    <s v="STEVEN COOK"/>
    <d v="1959-03-24T00:00:00"/>
    <s v="S"/>
    <s v="M"/>
    <s v="steven31@adventure-works.com"/>
    <n v="40000"/>
    <n v="2"/>
    <s v="Partial College"/>
    <s v="Clerical"/>
    <s v="Y"/>
    <s v="Canada"/>
    <x v="5"/>
    <s v="North America"/>
    <x v="0"/>
    <s v="Bikes"/>
    <n v="699.09820000000002"/>
    <n v="413.1463"/>
    <n v="285.95190000000002"/>
    <n v="0.409029661355157"/>
  </r>
  <r>
    <x v="89"/>
    <d v="2002-08-27T00:00:00"/>
    <s v="SO47632"/>
    <n v="342"/>
    <n v="27060"/>
    <n v="6"/>
    <n v="1"/>
    <n v="1"/>
    <n v="2"/>
    <s v="BK-R50B-52"/>
    <x v="33"/>
    <n v="413.1463"/>
    <n v="699.09820000000002"/>
    <s v="MR."/>
    <s v="LUCAS"/>
    <s v="COLEMAN"/>
    <s v="LUCAS COLEMAN"/>
    <d v="1973-03-28T00:00:00"/>
    <s v="M"/>
    <s v="M"/>
    <s v="lucas55@adventure-works.com"/>
    <n v="40000"/>
    <n v="0"/>
    <s v="Graduate Degree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364"/>
    <d v="2002-06-12T00:00:00"/>
    <s v="SO47641"/>
    <n v="320"/>
    <n v="27062"/>
    <n v="6"/>
    <n v="1"/>
    <n v="1"/>
    <n v="2"/>
    <s v="BK-R50R-58"/>
    <x v="40"/>
    <n v="413.1463"/>
    <n v="699.09820000000002"/>
    <s v="MR."/>
    <s v="EDWARD"/>
    <s v="HARRIS"/>
    <s v="EDWARD HARRIS"/>
    <d v="1973-04-03T00:00:00"/>
    <s v="S"/>
    <s v="M"/>
    <s v="edward36@adventure-works.com"/>
    <n v="40000"/>
    <n v="0"/>
    <s v="Graduate Degree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182"/>
    <d v="2002-06-17T00:00:00"/>
    <s v="SO47498"/>
    <n v="324"/>
    <n v="27071"/>
    <n v="6"/>
    <n v="1"/>
    <n v="1"/>
    <n v="2"/>
    <s v="BK-R50R-62"/>
    <x v="42"/>
    <n v="413.1463"/>
    <n v="699.09820000000002"/>
    <s v="MR."/>
    <s v="ANTHONY"/>
    <s v="CLARK"/>
    <s v="ANTHONY CLARK"/>
    <d v="1971-01-09T00:00:00"/>
    <s v="S"/>
    <s v="M"/>
    <s v="anthony5@adventure-works.com"/>
    <n v="40000"/>
    <n v="4"/>
    <s v="High School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308"/>
    <d v="2002-06-20T00:00:00"/>
    <s v="SO47610"/>
    <n v="338"/>
    <n v="27075"/>
    <n v="6"/>
    <n v="1"/>
    <n v="1"/>
    <n v="2"/>
    <s v="BK-R50B-44"/>
    <x v="32"/>
    <n v="413.1463"/>
    <n v="699.09820000000002"/>
    <s v="MR."/>
    <s v="JACKSON"/>
    <s v="CHEN"/>
    <s v="JACKSON CHEN"/>
    <d v="1971-10-14T00:00:00"/>
    <s v="M"/>
    <s v="M"/>
    <s v="jackson27@adventure-works.com"/>
    <n v="70000"/>
    <n v="1"/>
    <s v="Graduate Degree"/>
    <s v="Skilled Manual"/>
    <s v="N"/>
    <s v="Canada"/>
    <x v="5"/>
    <s v="North America"/>
    <x v="0"/>
    <s v="Bikes"/>
    <n v="699.09820000000002"/>
    <n v="413.1463"/>
    <n v="285.95190000000002"/>
    <n v="0.409029661355157"/>
  </r>
  <r>
    <x v="279"/>
    <d v="2002-08-18T00:00:00"/>
    <s v="SO47906"/>
    <n v="338"/>
    <n v="27082"/>
    <n v="6"/>
    <n v="1"/>
    <n v="1"/>
    <n v="2"/>
    <s v="BK-R50B-44"/>
    <x v="32"/>
    <n v="413.1463"/>
    <n v="699.09820000000002"/>
    <s v="MR."/>
    <s v="ZACHARY"/>
    <s v="TAYLOR"/>
    <s v="ZACHARY TAYLOR"/>
    <d v="1970-03-08T00:00:00"/>
    <s v="M"/>
    <s v="M"/>
    <s v="zachary38@adventure-works.com"/>
    <n v="40000"/>
    <n v="1"/>
    <s v="Bachelors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208"/>
    <d v="2002-06-03T00:00:00"/>
    <s v="SO47735"/>
    <n v="342"/>
    <n v="27084"/>
    <n v="6"/>
    <n v="1"/>
    <n v="1"/>
    <n v="2"/>
    <s v="BK-R50B-52"/>
    <x v="33"/>
    <n v="413.1463"/>
    <n v="699.09820000000002"/>
    <s v="MR."/>
    <s v="FERNANDO"/>
    <s v="RUSSELL"/>
    <s v="FERNANDO RUSSELL"/>
    <d v="1970-03-03T00:00:00"/>
    <s v="M"/>
    <s v="M"/>
    <s v="fernando61@adventure-works.com"/>
    <n v="40000"/>
    <n v="1"/>
    <s v="Bachelors"/>
    <s v="Skilled Manual"/>
    <s v="N"/>
    <s v="Canada"/>
    <x v="5"/>
    <s v="North America"/>
    <x v="0"/>
    <s v="Bikes"/>
    <n v="699.09820000000002"/>
    <n v="413.1463"/>
    <n v="285.95190000000002"/>
    <n v="0.409029661355157"/>
  </r>
  <r>
    <x v="313"/>
    <d v="2002-11-03T00:00:00"/>
    <s v="SO48259"/>
    <n v="326"/>
    <n v="27085"/>
    <n v="6"/>
    <n v="1"/>
    <n v="1"/>
    <n v="2"/>
    <s v="BK-R50R-44"/>
    <x v="43"/>
    <n v="413.1463"/>
    <n v="699.09820000000002"/>
    <s v="MR."/>
    <s v="CHRISTIAN"/>
    <s v="WILSON"/>
    <s v="CHRISTIAN WILSON"/>
    <d v="1970-10-02T00:00:00"/>
    <s v="M"/>
    <s v="M"/>
    <s v="christian37@adventure-works.com"/>
    <n v="40000"/>
    <n v="1"/>
    <s v="Bachelors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313"/>
    <d v="2002-10-27T00:00:00"/>
    <s v="SO48260"/>
    <n v="322"/>
    <n v="27099"/>
    <n v="6"/>
    <n v="1"/>
    <n v="1"/>
    <n v="2"/>
    <s v="BK-R50R-60"/>
    <x v="38"/>
    <n v="413.1463"/>
    <n v="699.09820000000002"/>
    <s v="MR."/>
    <s v="ZACHARY"/>
    <s v="WILLIAMS"/>
    <s v="ZACHARY WILLIAMS"/>
    <d v="1970-10-03T00:00:00"/>
    <s v="M"/>
    <s v="M"/>
    <s v="zachary32@adventure-works.com"/>
    <n v="60000"/>
    <n v="1"/>
    <s v="Graduate Degree"/>
    <s v="Professional"/>
    <s v="Y"/>
    <s v="Canada"/>
    <x v="5"/>
    <s v="North America"/>
    <x v="0"/>
    <s v="Bikes"/>
    <n v="699.09820000000002"/>
    <n v="413.1463"/>
    <n v="285.95190000000002"/>
    <n v="0.409029661355157"/>
  </r>
  <r>
    <x v="313"/>
    <d v="2002-10-13T00:00:00"/>
    <s v="SO48261"/>
    <n v="328"/>
    <n v="27101"/>
    <n v="6"/>
    <n v="1"/>
    <n v="1"/>
    <n v="2"/>
    <s v="BK-R50R-48"/>
    <x v="35"/>
    <n v="413.1463"/>
    <n v="699.09820000000002"/>
    <s v="MR."/>
    <s v="EDUARDO"/>
    <s v="BELL"/>
    <s v="EDUARDO BELL"/>
    <d v="1970-03-05T00:00:00"/>
    <s v="S"/>
    <s v="M"/>
    <s v="eduardo81@adventure-works.com"/>
    <n v="60000"/>
    <n v="1"/>
    <s v="Graduate Degree"/>
    <s v="Professional"/>
    <s v="Y"/>
    <s v="Canada"/>
    <x v="5"/>
    <s v="North America"/>
    <x v="0"/>
    <s v="Bikes"/>
    <n v="699.09820000000002"/>
    <n v="413.1463"/>
    <n v="285.95190000000002"/>
    <n v="0.409029661355157"/>
  </r>
  <r>
    <x v="283"/>
    <d v="2002-10-02T00:00:00"/>
    <s v="SO48267"/>
    <n v="326"/>
    <n v="27102"/>
    <n v="6"/>
    <n v="1"/>
    <n v="1"/>
    <n v="2"/>
    <s v="BK-R50R-44"/>
    <x v="43"/>
    <n v="413.1463"/>
    <n v="699.09820000000002"/>
    <s v="MRS."/>
    <s v="KATHERINE"/>
    <s v="MILLER"/>
    <s v="KATHERINE MILLER"/>
    <d v="1970-07-12T00:00:00"/>
    <s v="S"/>
    <s v="F"/>
    <s v="katherine76@adventure-works.com"/>
    <n v="60000"/>
    <n v="1"/>
    <s v="Graduate Degree"/>
    <s v="Professional"/>
    <s v="N"/>
    <s v="Canada"/>
    <x v="5"/>
    <s v="North America"/>
    <x v="0"/>
    <s v="Bikes"/>
    <n v="699.09820000000002"/>
    <n v="413.1463"/>
    <n v="285.95190000000002"/>
    <n v="0.409029661355157"/>
  </r>
  <r>
    <x v="233"/>
    <d v="2002-09-04T00:00:00"/>
    <s v="SO48680"/>
    <n v="340"/>
    <n v="27242"/>
    <n v="6"/>
    <n v="1"/>
    <n v="1"/>
    <n v="2"/>
    <s v="BK-R50B-48"/>
    <x v="37"/>
    <n v="413.1463"/>
    <n v="699.09820000000002"/>
    <s v="MR."/>
    <s v="HUNTER"/>
    <s v="DIAZ"/>
    <s v="HUNTER DIAZ"/>
    <d v="1973-06-19T00:00:00"/>
    <s v="M"/>
    <s v="M"/>
    <s v="hunter17@adventure-works.com"/>
    <n v="40000"/>
    <n v="0"/>
    <s v="Graduate Degree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214"/>
    <d v="2002-09-22T00:00:00"/>
    <s v="SO48712"/>
    <n v="338"/>
    <n v="27252"/>
    <n v="6"/>
    <n v="1"/>
    <n v="1"/>
    <n v="2"/>
    <s v="BK-R50B-44"/>
    <x v="32"/>
    <n v="413.1463"/>
    <n v="699.09820000000002"/>
    <s v="MRS."/>
    <s v="ANDREA"/>
    <s v="STEWART"/>
    <s v="ANDREA STEWART"/>
    <d v="1971-07-17T00:00:00"/>
    <s v="M"/>
    <s v="F"/>
    <s v="andrea27@adventure-works.com"/>
    <n v="50000"/>
    <n v="1"/>
    <s v="Graduate Degree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214"/>
    <d v="2002-11-03T00:00:00"/>
    <s v="SO48713"/>
    <n v="334"/>
    <n v="27253"/>
    <n v="6"/>
    <n v="1"/>
    <n v="1"/>
    <n v="2"/>
    <s v="BK-R50B-60"/>
    <x v="41"/>
    <n v="413.1463"/>
    <n v="699.09820000000002"/>
    <s v="MR."/>
    <s v="CONNOR"/>
    <s v="JAI"/>
    <s v="CONNOR JAI"/>
    <d v="1972-04-15T00:00:00"/>
    <s v="M"/>
    <s v="M"/>
    <s v="connor27@adventure-works.com"/>
    <n v="50000"/>
    <n v="1"/>
    <s v="Graduate Degree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287"/>
    <d v="2002-12-04T00:00:00"/>
    <s v="SO48618"/>
    <n v="332"/>
    <n v="27259"/>
    <n v="6"/>
    <n v="1"/>
    <n v="1"/>
    <n v="2"/>
    <s v="BK-R50B-58"/>
    <x v="34"/>
    <n v="413.1463"/>
    <n v="699.09820000000002"/>
    <s v="MRS."/>
    <s v="ANGELA"/>
    <s v="DIAZ"/>
    <s v="ANGELA DIAZ"/>
    <d v="1970-02-28T00:00:00"/>
    <s v="M"/>
    <s v="F"/>
    <s v="angela24@adventure-works.com"/>
    <n v="40000"/>
    <n v="1"/>
    <s v="Bachelors"/>
    <s v="Skilled Manual"/>
    <s v="Y"/>
    <s v="Canada"/>
    <x v="5"/>
    <s v="North America"/>
    <x v="0"/>
    <s v="Bikes"/>
    <n v="699.09820000000002"/>
    <n v="413.1463"/>
    <n v="285.95190000000002"/>
    <n v="0.409029661355157"/>
  </r>
  <r>
    <x v="190"/>
    <d v="2002-11-19T00:00:00"/>
    <s v="SO48446"/>
    <n v="338"/>
    <n v="27265"/>
    <n v="6"/>
    <n v="1"/>
    <n v="1"/>
    <n v="2"/>
    <s v="BK-R50B-44"/>
    <x v="32"/>
    <n v="413.1463"/>
    <n v="699.09820000000002"/>
    <s v="MRS."/>
    <s v="ISABELLA"/>
    <s v="THOMAS"/>
    <s v="ISABELLA THOMAS"/>
    <d v="1969-09-08T00:00:00"/>
    <s v="S"/>
    <s v="F"/>
    <s v="isabella66@adventure-works.com"/>
    <n v="60000"/>
    <n v="2"/>
    <s v="Bachelors"/>
    <s v="Skilled Manual"/>
    <s v="N"/>
    <s v="Canada"/>
    <x v="5"/>
    <s v="North America"/>
    <x v="0"/>
    <s v="Bikes"/>
    <n v="699.09820000000002"/>
    <n v="413.1463"/>
    <n v="285.95190000000002"/>
    <n v="0.409029661355157"/>
  </r>
  <r>
    <x v="330"/>
    <d v="2002-01-11T00:00:00"/>
    <s v="SO45491"/>
    <n v="311"/>
    <n v="27672"/>
    <n v="6"/>
    <n v="1"/>
    <n v="1"/>
    <n v="2"/>
    <s v="BK-R93R-44"/>
    <x v="4"/>
    <n v="2171.2941999999998"/>
    <n v="3578.27"/>
    <s v="MR."/>
    <s v="JUSTIN"/>
    <s v="BROWN"/>
    <s v="JUSTIN BROWN"/>
    <d v="1953-04-07T00:00:00"/>
    <s v="S"/>
    <s v="M"/>
    <s v="justin35@adventure-works.com"/>
    <n v="60000"/>
    <n v="3"/>
    <s v="Graduate Degree"/>
    <s v="Management"/>
    <s v="Y"/>
    <s v="Canada"/>
    <x v="5"/>
    <s v="North America"/>
    <x v="0"/>
    <s v="Bikes"/>
    <n v="3578.27"/>
    <n v="2171.2941999999998"/>
    <n v="1406.9757999999999"/>
    <n v="0.39320001006072802"/>
  </r>
  <r>
    <x v="317"/>
    <d v="2001-11-28T00:00:00"/>
    <s v="SO45457"/>
    <n v="313"/>
    <n v="27752"/>
    <n v="6"/>
    <n v="1"/>
    <n v="1"/>
    <n v="2"/>
    <s v="BK-R93R-52"/>
    <x v="3"/>
    <n v="2171.2941999999998"/>
    <n v="3578.27"/>
    <s v="MR."/>
    <s v="CHRISTIAN"/>
    <s v="BUTLER"/>
    <s v="CHRISTIAN BUTLER"/>
    <d v="1975-05-23T00:00:00"/>
    <s v="S"/>
    <s v="M"/>
    <s v="christian29@adventure-works.com"/>
    <n v="4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53"/>
    <d v="2001-11-06T00:00:00"/>
    <s v="SO45431"/>
    <n v="311"/>
    <n v="28013"/>
    <n v="6"/>
    <n v="1"/>
    <n v="1"/>
    <n v="2"/>
    <s v="BK-R93R-44"/>
    <x v="4"/>
    <n v="2171.2941999999998"/>
    <n v="3578.27"/>
    <s v="MR."/>
    <s v="JAMES"/>
    <s v="MILLER"/>
    <s v="JAMES MILLER"/>
    <d v="1944-04-15T00:00:00"/>
    <s v="M"/>
    <s v="M"/>
    <s v="james81@adventure-works.com"/>
    <n v="30000"/>
    <n v="4"/>
    <s v="High School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13"/>
    <d v="2001-11-07T00:00:00"/>
    <s v="SO45360"/>
    <n v="313"/>
    <n v="28036"/>
    <n v="6"/>
    <n v="1"/>
    <n v="1"/>
    <n v="2"/>
    <s v="BK-R93R-52"/>
    <x v="3"/>
    <n v="2171.2941999999998"/>
    <n v="3578.27"/>
    <s v="MR."/>
    <s v="JONATHAN"/>
    <s v="GONZALES"/>
    <s v="JONATHAN GONZALES"/>
    <d v="1948-06-05T00:00:00"/>
    <s v="S"/>
    <s v="M"/>
    <s v="jonathan16@adventure-works.com"/>
    <n v="40000"/>
    <n v="2"/>
    <s v="High School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11"/>
    <d v="2001-12-31T00:00:00"/>
    <s v="SO45514"/>
    <n v="314"/>
    <n v="28051"/>
    <n v="6"/>
    <n v="1"/>
    <n v="1"/>
    <n v="2"/>
    <s v="BK-R93R-56"/>
    <x v="2"/>
    <n v="2171.2941999999998"/>
    <n v="3578.27"/>
    <s v="MR."/>
    <s v="THOMAS"/>
    <s v="YOUNG"/>
    <s v="THOMAS YOUNG"/>
    <d v="1951-01-15T00:00:00"/>
    <s v="S"/>
    <s v="M"/>
    <s v="thomas53@adventure-works.com"/>
    <n v="60000"/>
    <n v="2"/>
    <s v="High School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4"/>
    <d v="2001-11-02T00:00:00"/>
    <s v="SO45415"/>
    <n v="312"/>
    <n v="28092"/>
    <n v="6"/>
    <n v="1"/>
    <n v="1"/>
    <n v="2"/>
    <s v="BK-R93R-48"/>
    <x v="0"/>
    <n v="2171.2941999999998"/>
    <n v="3578.27"/>
    <s v="MS."/>
    <s v="MORGAN"/>
    <s v="HALL"/>
    <s v="MORGAN HALL"/>
    <d v="1978-12-16T00:00:00"/>
    <s v="S"/>
    <s v="F"/>
    <s v="morgan20@adventure-works.com"/>
    <n v="4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53"/>
    <d v="2001-12-14T00:00:00"/>
    <s v="SO45429"/>
    <n v="310"/>
    <n v="28129"/>
    <n v="6"/>
    <n v="1"/>
    <n v="1"/>
    <n v="2"/>
    <s v="BK-R93R-62"/>
    <x v="1"/>
    <n v="2171.2941999999998"/>
    <n v="3578.27"/>
    <s v="MR."/>
    <s v="JUSTIN"/>
    <s v="GRIFFIN"/>
    <s v="JUSTIN GRIFFIN"/>
    <d v="1974-03-06T00:00:00"/>
    <s v="S"/>
    <s v="M"/>
    <s v="justin18@adventure-works.com"/>
    <n v="50000"/>
    <n v="0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7"/>
    <d v="2001-10-21T00:00:00"/>
    <s v="SO45436"/>
    <n v="312"/>
    <n v="28130"/>
    <n v="6"/>
    <n v="1"/>
    <n v="1"/>
    <n v="2"/>
    <s v="BK-R93R-48"/>
    <x v="0"/>
    <n v="2171.2941999999998"/>
    <n v="3578.27"/>
    <s v="MR."/>
    <s v="JOSHUA"/>
    <s v="TAYLOR"/>
    <s v="JOSHUA TAYLOR"/>
    <d v="1973-02-02T00:00:00"/>
    <s v="S"/>
    <s v="M"/>
    <s v="joshua10@adventure-works.com"/>
    <n v="60000"/>
    <n v="0"/>
    <s v="Partial Colleg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4"/>
    <d v="2001-12-16T00:00:00"/>
    <s v="SO45416"/>
    <n v="310"/>
    <n v="28161"/>
    <n v="6"/>
    <n v="1"/>
    <n v="1"/>
    <n v="2"/>
    <s v="BK-R93R-62"/>
    <x v="1"/>
    <n v="2171.2941999999998"/>
    <n v="3578.27"/>
    <s v="MRS."/>
    <s v="JESSICA"/>
    <s v="PERRY"/>
    <s v="JESSICA PERRY"/>
    <d v="1962-03-14T00:00:00"/>
    <s v="S"/>
    <s v="F"/>
    <s v="jessica32@adventure-works.com"/>
    <n v="60000"/>
    <n v="1"/>
    <s v="Bachelors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358"/>
    <d v="2001-11-03T00:00:00"/>
    <s v="SO45424"/>
    <n v="311"/>
    <n v="28165"/>
    <n v="6"/>
    <n v="1"/>
    <n v="1"/>
    <n v="2"/>
    <s v="BK-R93R-44"/>
    <x v="4"/>
    <n v="2171.2941999999998"/>
    <n v="3578.27"/>
    <s v="MRS."/>
    <s v="ALEXA"/>
    <s v="RIVERA"/>
    <s v="ALEXA RIVERA"/>
    <d v="1961-09-09T00:00:00"/>
    <s v="M"/>
    <s v="F"/>
    <s v="alexa15@adventure-works.com"/>
    <n v="40000"/>
    <n v="4"/>
    <s v="High School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7"/>
    <d v="2002-01-19T00:00:00"/>
    <s v="SO45437"/>
    <n v="312"/>
    <n v="28169"/>
    <n v="6"/>
    <n v="1"/>
    <n v="1"/>
    <n v="2"/>
    <s v="BK-R93R-48"/>
    <x v="0"/>
    <n v="2171.2941999999998"/>
    <n v="3578.27"/>
    <s v="MR."/>
    <s v="LUCAS"/>
    <s v="BLUE"/>
    <s v="LUCAS BLUE"/>
    <d v="1961-03-18T00:00:00"/>
    <s v="M"/>
    <s v="M"/>
    <s v="lucas85@adventure-works.com"/>
    <n v="60000"/>
    <n v="1"/>
    <s v="Partial College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329"/>
    <d v="2001-11-10T00:00:00"/>
    <s v="SO45502"/>
    <n v="314"/>
    <n v="28173"/>
    <n v="6"/>
    <n v="1"/>
    <n v="1"/>
    <n v="2"/>
    <s v="BK-R93R-56"/>
    <x v="2"/>
    <n v="2171.2941999999998"/>
    <n v="3578.27"/>
    <s v="MR."/>
    <s v="TIMOTHY"/>
    <s v="YOUNG"/>
    <s v="TIMOTHY YOUNG"/>
    <d v="1960-02-01T00:00:00"/>
    <s v="S"/>
    <s v="M"/>
    <s v="timothy42@adventure-works.com"/>
    <n v="40000"/>
    <n v="4"/>
    <s v="High School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53"/>
    <d v="2001-11-07T00:00:00"/>
    <s v="SO45430"/>
    <n v="312"/>
    <n v="28176"/>
    <n v="6"/>
    <n v="1"/>
    <n v="1"/>
    <n v="2"/>
    <s v="BK-R93R-48"/>
    <x v="0"/>
    <n v="2171.2941999999998"/>
    <n v="3578.27"/>
    <s v="MS."/>
    <s v="NATALIE"/>
    <s v="ROBERTS"/>
    <s v="NATALIE ROBERTS"/>
    <d v="1967-07-04T00:00:00"/>
    <s v="S"/>
    <s v="F"/>
    <s v="natalie47@adventure-works.com"/>
    <n v="60000"/>
    <n v="0"/>
    <s v="Partial College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56"/>
    <d v="2001-11-24T00:00:00"/>
    <s v="SO45470"/>
    <n v="312"/>
    <n v="28177"/>
    <n v="6"/>
    <n v="1"/>
    <n v="1"/>
    <n v="2"/>
    <s v="BK-R93R-48"/>
    <x v="0"/>
    <n v="2171.2941999999998"/>
    <n v="3578.27"/>
    <s v="MR."/>
    <s v="CAMERON"/>
    <s v="HENDERSON"/>
    <s v="CAMERON HENDERSON"/>
    <d v="1967-08-18T00:00:00"/>
    <s v="S"/>
    <s v="M"/>
    <s v="cameron0@adventure-works.com"/>
    <n v="60000"/>
    <n v="0"/>
    <s v="Partial College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8"/>
    <d v="2001-12-06T00:00:00"/>
    <s v="SO45378"/>
    <n v="310"/>
    <n v="28178"/>
    <n v="6"/>
    <n v="1"/>
    <n v="1"/>
    <n v="2"/>
    <s v="BK-R93R-62"/>
    <x v="1"/>
    <n v="2171.2941999999998"/>
    <n v="3578.27"/>
    <s v="MS."/>
    <s v="KATHERINE"/>
    <s v="JAMES"/>
    <s v="KATHERINE JAMES"/>
    <d v="1967-04-27T00:00:00"/>
    <s v="S"/>
    <s v="F"/>
    <s v="katherine20@adventure-works.com"/>
    <n v="60000"/>
    <n v="0"/>
    <s v="Partial College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4"/>
    <d v="2001-11-08T00:00:00"/>
    <s v="SO45411"/>
    <n v="313"/>
    <n v="28197"/>
    <n v="6"/>
    <n v="1"/>
    <n v="1"/>
    <n v="2"/>
    <s v="BK-R93R-52"/>
    <x v="3"/>
    <n v="2171.2941999999998"/>
    <n v="3578.27"/>
    <s v="MRS."/>
    <s v="KAYLA"/>
    <s v="RODRIGUEZ"/>
    <s v="KAYLA RODRIGUEZ"/>
    <d v="1958-10-06T00:00:00"/>
    <s v="S"/>
    <s v="F"/>
    <s v="kayla19@adventure-works.com"/>
    <n v="60000"/>
    <n v="1"/>
    <s v="Bachelors"/>
    <s v="Professional"/>
    <s v="Y"/>
    <s v="Canada"/>
    <x v="5"/>
    <s v="North America"/>
    <x v="0"/>
    <s v="Bikes"/>
    <n v="3578.27"/>
    <n v="2171.2941999999998"/>
    <n v="1406.9757999999999"/>
    <n v="0.39320001006072802"/>
  </r>
  <r>
    <x v="358"/>
    <d v="2001-12-15T00:00:00"/>
    <s v="SO45422"/>
    <n v="310"/>
    <n v="28198"/>
    <n v="6"/>
    <n v="1"/>
    <n v="1"/>
    <n v="2"/>
    <s v="BK-R93R-62"/>
    <x v="1"/>
    <n v="2171.2941999999998"/>
    <n v="3578.27"/>
    <s v="MR."/>
    <s v="JARED"/>
    <s v="MOYER"/>
    <s v="JARED MOYER"/>
    <d v="1958-02-10T00:00:00"/>
    <s v="M"/>
    <s v="M"/>
    <s v="jared16@adventure-works.com"/>
    <n v="60000"/>
    <n v="1"/>
    <s v="Bachelors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329"/>
    <d v="2001-11-14T00:00:00"/>
    <s v="SO45497"/>
    <n v="311"/>
    <n v="28354"/>
    <n v="6"/>
    <n v="1"/>
    <n v="1"/>
    <n v="2"/>
    <s v="BK-R93R-44"/>
    <x v="4"/>
    <n v="2171.2941999999998"/>
    <n v="3578.27"/>
    <s v="MR."/>
    <s v="IAN"/>
    <s v="WILSON"/>
    <s v="IAN WILSON"/>
    <d v="1965-06-22T00:00:00"/>
    <s v="S"/>
    <s v="M"/>
    <s v="ian8@adventure-works.com"/>
    <n v="40000"/>
    <n v="0"/>
    <s v="Bachelors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8"/>
    <d v="2001-10-13T00:00:00"/>
    <s v="SO45379"/>
    <n v="313"/>
    <n v="28363"/>
    <n v="6"/>
    <n v="1"/>
    <n v="1"/>
    <n v="2"/>
    <s v="BK-R93R-52"/>
    <x v="3"/>
    <n v="2171.2941999999998"/>
    <n v="3578.27"/>
    <s v="MS."/>
    <s v="SAVANNAH"/>
    <s v="TRAVERS"/>
    <s v="SAVANNAH TRAVERS"/>
    <d v="1965-02-19T00:00:00"/>
    <s v="S"/>
    <s v="F"/>
    <s v="savannah12@adventure-works.com"/>
    <n v="60000"/>
    <n v="0"/>
    <s v="Graduate Degree"/>
    <s v="Professional"/>
    <s v="N"/>
    <s v="Canada"/>
    <x v="5"/>
    <s v="North America"/>
    <x v="0"/>
    <s v="Bikes"/>
    <n v="3578.27"/>
    <n v="2171.2941999999998"/>
    <n v="1406.9757999999999"/>
    <n v="0.39320001006072802"/>
  </r>
  <r>
    <x v="39"/>
    <d v="2001-12-05T00:00:00"/>
    <s v="SO45158"/>
    <n v="344"/>
    <n v="28419"/>
    <n v="7"/>
    <n v="1"/>
    <n v="1"/>
    <n v="1"/>
    <s v="BK-M82S-38"/>
    <x v="8"/>
    <n v="1912.1543999999999"/>
    <n v="3399.99"/>
    <s v="MRS."/>
    <s v="CHERYL"/>
    <s v="SUAREZ"/>
    <s v="CHERYL SUAREZ"/>
    <d v="1962-02-14T00:00:00"/>
    <s v="M"/>
    <s v="F"/>
    <s v="cheryl22@adventure-works.com"/>
    <n v="40000"/>
    <n v="1"/>
    <s v="Bachelors"/>
    <s v="Skilled Manual"/>
    <s v="Y"/>
    <s v="France"/>
    <x v="0"/>
    <s v="Europe"/>
    <x v="1"/>
    <s v="Bikes"/>
    <n v="3399.99"/>
    <n v="1912.1543999999999"/>
    <n v="1487.8356000000001"/>
    <n v="0.43759999294115598"/>
  </r>
  <r>
    <x v="10"/>
    <d v="2001-12-25T00:00:00"/>
    <s v="SO45205"/>
    <n v="344"/>
    <n v="28420"/>
    <n v="7"/>
    <n v="1"/>
    <n v="1"/>
    <n v="1"/>
    <s v="BK-M82S-38"/>
    <x v="8"/>
    <n v="1912.1543999999999"/>
    <n v="3399.99"/>
    <s v="MRS."/>
    <s v="TRACY"/>
    <s v="CHAPMAN"/>
    <s v="TRACY CHAPMAN"/>
    <d v="1962-09-10T00:00:00"/>
    <s v="M"/>
    <s v="F"/>
    <s v="tracy15@adventure-works.com"/>
    <n v="40000"/>
    <n v="1"/>
    <s v="Bachelors"/>
    <s v="Skilled Manual"/>
    <s v="Y"/>
    <s v="France"/>
    <x v="0"/>
    <s v="Europe"/>
    <x v="1"/>
    <s v="Bikes"/>
    <n v="3399.99"/>
    <n v="1912.1543999999999"/>
    <n v="1487.8356000000001"/>
    <n v="0.43759999294115598"/>
  </r>
  <r>
    <x v="13"/>
    <d v="2001-12-01T00:00:00"/>
    <s v="SO45357"/>
    <n v="351"/>
    <n v="28443"/>
    <n v="7"/>
    <n v="1"/>
    <n v="1"/>
    <n v="1"/>
    <s v="BK-M82B-48"/>
    <x v="7"/>
    <n v="1898.0944"/>
    <n v="3374.99"/>
    <s v="MR."/>
    <s v="ALFREDO"/>
    <s v="DOMINGUEZ"/>
    <s v="ALFREDO DOMINGUEZ"/>
    <d v="1975-12-18T00:00:00"/>
    <s v="S"/>
    <s v="M"/>
    <s v="alfredo14@adventure-works.com"/>
    <n v="30000"/>
    <n v="0"/>
    <s v="Partial College"/>
    <s v="Clerical"/>
    <s v="N"/>
    <s v="France"/>
    <x v="0"/>
    <s v="Europe"/>
    <x v="1"/>
    <s v="Bikes"/>
    <n v="3374.99"/>
    <n v="1898.0944"/>
    <n v="1476.8956000000001"/>
    <n v="0.43759999288886797"/>
  </r>
  <r>
    <x v="26"/>
    <d v="2001-11-28T00:00:00"/>
    <s v="SO45372"/>
    <n v="348"/>
    <n v="28449"/>
    <n v="7"/>
    <n v="1"/>
    <n v="1"/>
    <n v="1"/>
    <s v="BK-M82B-38"/>
    <x v="9"/>
    <n v="1898.0944"/>
    <n v="3374.99"/>
    <s v="MR."/>
    <s v="JARRED"/>
    <s v="GILL"/>
    <s v="JARRED GILL"/>
    <d v="1970-01-10T00:00:00"/>
    <s v="M"/>
    <s v="M"/>
    <s v="jarred1@adventure-works.com"/>
    <n v="10000"/>
    <n v="0"/>
    <s v="Graduate Degree"/>
    <s v="Manual"/>
    <s v="Y"/>
    <s v="France"/>
    <x v="0"/>
    <s v="Europe"/>
    <x v="1"/>
    <s v="Bikes"/>
    <n v="3374.99"/>
    <n v="1898.0944"/>
    <n v="1476.8956000000001"/>
    <n v="0.43759999288886797"/>
  </r>
  <r>
    <x v="46"/>
    <d v="2001-12-15T00:00:00"/>
    <s v="SO45644"/>
    <n v="350"/>
    <n v="28458"/>
    <n v="7"/>
    <n v="1"/>
    <n v="1"/>
    <n v="1"/>
    <s v="BK-M82B-44"/>
    <x v="5"/>
    <n v="1898.0944"/>
    <n v="3374.99"/>
    <s v="MRS."/>
    <s v="CASEY"/>
    <s v="SHE"/>
    <s v="CASEY SHE"/>
    <d v="1962-06-09T00:00:00"/>
    <s v="S"/>
    <s v="F"/>
    <s v="casey0@adventure-works.com"/>
    <n v="30000"/>
    <n v="4"/>
    <s v="Graduate Degree"/>
    <s v="Clerical"/>
    <s v="Y"/>
    <s v="France"/>
    <x v="0"/>
    <s v="Europe"/>
    <x v="1"/>
    <s v="Bikes"/>
    <n v="3374.99"/>
    <n v="1898.0944"/>
    <n v="1476.8956000000001"/>
    <n v="0.43759999288886797"/>
  </r>
  <r>
    <x v="33"/>
    <d v="2002-02-13T00:00:00"/>
    <s v="SO45622"/>
    <n v="344"/>
    <n v="28470"/>
    <n v="7"/>
    <n v="1"/>
    <n v="1"/>
    <n v="1"/>
    <s v="BK-M82S-38"/>
    <x v="8"/>
    <n v="1912.1543999999999"/>
    <n v="3399.99"/>
    <s v="MRS."/>
    <s v="TAMARA"/>
    <s v="TANG"/>
    <s v="TAMARA TANG"/>
    <d v="1954-02-19T00:00:00"/>
    <s v="M"/>
    <s v="F"/>
    <s v="tamara15@adventure-works.com"/>
    <n v="10000"/>
    <n v="2"/>
    <s v="Partial College"/>
    <s v="Manual"/>
    <s v="N"/>
    <s v="France"/>
    <x v="0"/>
    <s v="Europe"/>
    <x v="1"/>
    <s v="Bikes"/>
    <n v="3399.99"/>
    <n v="1912.1543999999999"/>
    <n v="1487.8356000000001"/>
    <n v="0.43759999294115598"/>
  </r>
  <r>
    <x v="45"/>
    <d v="2002-03-05T00:00:00"/>
    <s v="SO45730"/>
    <n v="350"/>
    <n v="28471"/>
    <n v="7"/>
    <n v="1"/>
    <n v="1"/>
    <n v="1"/>
    <s v="BK-M82B-44"/>
    <x v="5"/>
    <n v="1898.0944"/>
    <n v="3374.99"/>
    <s v="MR."/>
    <s v="PHILLIP"/>
    <s v="SULLIVAN"/>
    <s v="PHILLIP SULLIVAN"/>
    <d v="1954-08-24T00:00:00"/>
    <s v="S"/>
    <s v="M"/>
    <s v="phillip14@adventure-works.com"/>
    <n v="10000"/>
    <n v="2"/>
    <s v="Partial College"/>
    <s v="Manual"/>
    <s v="N"/>
    <s v="France"/>
    <x v="0"/>
    <s v="Europe"/>
    <x v="1"/>
    <s v="Bikes"/>
    <n v="3374.99"/>
    <n v="1898.0944"/>
    <n v="1476.8956000000001"/>
    <n v="0.43759999288886797"/>
  </r>
  <r>
    <x v="36"/>
    <d v="2002-02-07T00:00:00"/>
    <s v="SO45654"/>
    <n v="348"/>
    <n v="28478"/>
    <n v="7"/>
    <n v="1"/>
    <n v="1"/>
    <n v="1"/>
    <s v="BK-M82B-38"/>
    <x v="9"/>
    <n v="1898.0944"/>
    <n v="3374.99"/>
    <s v="MRS."/>
    <s v="RILEY"/>
    <s v="LONG"/>
    <s v="RILEY LONG"/>
    <d v="1943-10-16T00:00:00"/>
    <s v="S"/>
    <s v="F"/>
    <s v="riley7@adventure-works.com"/>
    <n v="10000"/>
    <n v="3"/>
    <s v="Partial College"/>
    <s v="Manual"/>
    <s v="Y"/>
    <s v="France"/>
    <x v="0"/>
    <s v="Europe"/>
    <x v="1"/>
    <s v="Bikes"/>
    <n v="3374.99"/>
    <n v="1898.0944"/>
    <n v="1476.8956000000001"/>
    <n v="0.43759999288886797"/>
  </r>
  <r>
    <x v="138"/>
    <d v="2002-05-02T00:00:00"/>
    <s v="SO46264"/>
    <n v="350"/>
    <n v="28491"/>
    <n v="7"/>
    <n v="1"/>
    <n v="1"/>
    <n v="1"/>
    <s v="BK-M82B-44"/>
    <x v="5"/>
    <n v="1898.0944"/>
    <n v="3374.99"/>
    <s v="MRS."/>
    <s v="CASSIE"/>
    <s v="JAI"/>
    <s v="CASSIE JAI"/>
    <d v="1961-04-22T00:00:00"/>
    <s v="S"/>
    <s v="F"/>
    <s v="cassie10@adventure-works.com"/>
    <n v="20000"/>
    <n v="1"/>
    <s v="Partial College"/>
    <s v="Manual"/>
    <s v="N"/>
    <s v="France"/>
    <x v="0"/>
    <s v="Europe"/>
    <x v="1"/>
    <s v="Bikes"/>
    <n v="3374.99"/>
    <n v="1898.0944"/>
    <n v="1476.8956000000001"/>
    <n v="0.43759999288886797"/>
  </r>
  <r>
    <x v="129"/>
    <d v="2002-03-05T00:00:00"/>
    <s v="SO46183"/>
    <n v="351"/>
    <n v="28492"/>
    <n v="7"/>
    <n v="1"/>
    <n v="1"/>
    <n v="1"/>
    <s v="BK-M82B-48"/>
    <x v="7"/>
    <n v="1898.0944"/>
    <n v="3374.99"/>
    <s v="MRS."/>
    <s v="BETHANY"/>
    <s v="TANG"/>
    <s v="BETHANY TANG"/>
    <d v="1961-05-07T00:00:00"/>
    <s v="M"/>
    <s v="F"/>
    <s v="bethany7@adventure-works.com"/>
    <n v="30000"/>
    <n v="4"/>
    <s v="Graduate Degree"/>
    <s v="Clerical"/>
    <s v="N"/>
    <s v="France"/>
    <x v="0"/>
    <s v="Europe"/>
    <x v="1"/>
    <s v="Bikes"/>
    <n v="3374.99"/>
    <n v="1898.0944"/>
    <n v="1476.8956000000001"/>
    <n v="0.43759999288886797"/>
  </r>
  <r>
    <x v="163"/>
    <d v="2002-05-25T00:00:00"/>
    <s v="SO46508"/>
    <n v="349"/>
    <n v="28504"/>
    <n v="7"/>
    <n v="1"/>
    <n v="1"/>
    <n v="1"/>
    <s v="BK-M82B-42"/>
    <x v="11"/>
    <n v="1898.0944"/>
    <n v="3374.99"/>
    <s v="MR."/>
    <s v="REGINALD"/>
    <s v="GOMEZ"/>
    <s v="REGINALD GOMEZ"/>
    <d v="1958-09-25T00:00:00"/>
    <s v="S"/>
    <s v="M"/>
    <s v="reginald9@adventure-works.com"/>
    <n v="20000"/>
    <n v="2"/>
    <s v="Partial College"/>
    <s v="Manual"/>
    <s v="N"/>
    <s v="France"/>
    <x v="0"/>
    <s v="Europe"/>
    <x v="1"/>
    <s v="Bikes"/>
    <n v="3374.99"/>
    <n v="1898.0944"/>
    <n v="1476.8956000000001"/>
    <n v="0.43759999288886797"/>
  </r>
  <r>
    <x v="223"/>
    <d v="2002-05-01T00:00:00"/>
    <s v="SO46820"/>
    <n v="352"/>
    <n v="28510"/>
    <n v="7"/>
    <n v="1"/>
    <n v="1"/>
    <n v="1"/>
    <s v="BK-M68S-38"/>
    <x v="16"/>
    <n v="1117.8559"/>
    <n v="2071.4196000000002"/>
    <s v="MR."/>
    <s v="GREGORY"/>
    <s v="ANDERSEN"/>
    <s v="GREGORY ANDERSEN"/>
    <d v="1959-03-23T00:00:00"/>
    <s v="S"/>
    <s v="M"/>
    <s v="gregory16@adventure-works.com"/>
    <n v="30000"/>
    <n v="0"/>
    <s v="Bachelors"/>
    <s v="Clerical"/>
    <s v="Y"/>
    <s v="France"/>
    <x v="0"/>
    <s v="Europe"/>
    <x v="1"/>
    <s v="Bikes"/>
    <n v="2071.4196000000002"/>
    <n v="1117.8559"/>
    <n v="953.56370000000004"/>
    <n v="0.460343090313522"/>
  </r>
  <r>
    <x v="253"/>
    <d v="2002-06-28T00:00:00"/>
    <s v="SO47269"/>
    <n v="362"/>
    <n v="28512"/>
    <n v="7"/>
    <n v="1"/>
    <n v="1"/>
    <n v="1"/>
    <s v="BK-M68B-46"/>
    <x v="13"/>
    <n v="1105.81"/>
    <n v="2049.0981999999999"/>
    <s v="MR."/>
    <s v="DWAYNE"/>
    <s v="ALONSO"/>
    <s v="DWAYNE ALONSO"/>
    <d v="1970-11-12T00:00:00"/>
    <s v="S"/>
    <s v="M"/>
    <s v="dwayne7@adventure-works.com"/>
    <n v="20000"/>
    <n v="0"/>
    <s v="Partial College"/>
    <s v="Manual"/>
    <s v="N"/>
    <s v="France"/>
    <x v="0"/>
    <s v="Europe"/>
    <x v="1"/>
    <s v="Bikes"/>
    <n v="2049.0981999999999"/>
    <n v="1105.81"/>
    <n v="943.28819999999996"/>
    <n v="0.46034309141455498"/>
  </r>
  <r>
    <x v="253"/>
    <d v="2002-06-29T00:00:00"/>
    <s v="SO47270"/>
    <n v="360"/>
    <n v="28519"/>
    <n v="7"/>
    <n v="1"/>
    <n v="1"/>
    <n v="1"/>
    <s v="BK-M68B-42"/>
    <x v="17"/>
    <n v="1105.81"/>
    <n v="2049.0981999999999"/>
    <s v="MR."/>
    <s v="J�SUS"/>
    <s v="RAMOS"/>
    <s v="J�SUS RAMOS"/>
    <d v="1969-10-15T00:00:00"/>
    <s v="M"/>
    <s v="M"/>
    <s v="j�sus16@adventure-works.com"/>
    <n v="30000"/>
    <n v="1"/>
    <s v="Bachelors"/>
    <s v="Clerical"/>
    <s v="Y"/>
    <s v="France"/>
    <x v="0"/>
    <s v="Europe"/>
    <x v="1"/>
    <s v="Bikes"/>
    <n v="2049.0981999999999"/>
    <n v="1105.81"/>
    <n v="943.28819999999996"/>
    <n v="0.46034309141455498"/>
  </r>
  <r>
    <x v="250"/>
    <d v="2002-06-25T00:00:00"/>
    <s v="SO47337"/>
    <n v="354"/>
    <n v="28520"/>
    <n v="7"/>
    <n v="1"/>
    <n v="1"/>
    <n v="1"/>
    <s v="BK-M68S-42"/>
    <x v="18"/>
    <n v="1117.8559"/>
    <n v="2071.4196000000002"/>
    <s v="MS."/>
    <s v="SUSAN"/>
    <s v="LIANG"/>
    <s v="SUSAN LIANG"/>
    <d v="1969-04-05T00:00:00"/>
    <s v="M"/>
    <s v="F"/>
    <s v="susan27@adventure-works.com"/>
    <n v="40000"/>
    <n v="0"/>
    <s v="Graduate Degree"/>
    <s v="Clerical"/>
    <s v="Y"/>
    <s v="France"/>
    <x v="0"/>
    <s v="Europe"/>
    <x v="1"/>
    <s v="Bikes"/>
    <n v="2071.4196000000002"/>
    <n v="1117.8559"/>
    <n v="953.56370000000004"/>
    <n v="0.460343090313522"/>
  </r>
  <r>
    <x v="256"/>
    <d v="2002-05-05T00:00:00"/>
    <s v="SO47323"/>
    <n v="362"/>
    <n v="28529"/>
    <n v="7"/>
    <n v="1"/>
    <n v="1"/>
    <n v="1"/>
    <s v="BK-M68B-46"/>
    <x v="13"/>
    <n v="1105.81"/>
    <n v="2049.0981999999999"/>
    <s v="MRS."/>
    <s v="TARA"/>
    <s v="CHANDE"/>
    <s v="TARA CHANDE"/>
    <d v="1968-06-08T00:00:00"/>
    <s v="S"/>
    <s v="F"/>
    <s v="tara15@adventure-works.com"/>
    <n v="20000"/>
    <n v="1"/>
    <s v="Partial College"/>
    <s v="Manual"/>
    <s v="Y"/>
    <s v="France"/>
    <x v="0"/>
    <s v="Europe"/>
    <x v="1"/>
    <s v="Bikes"/>
    <n v="2049.0981999999999"/>
    <n v="1105.81"/>
    <n v="943.28819999999996"/>
    <n v="0.46034309141455498"/>
  </r>
  <r>
    <x v="239"/>
    <d v="2002-05-06T00:00:00"/>
    <s v="SO47091"/>
    <n v="354"/>
    <n v="28532"/>
    <n v="7"/>
    <n v="1"/>
    <n v="1"/>
    <n v="1"/>
    <s v="BK-M68S-42"/>
    <x v="18"/>
    <n v="1117.8559"/>
    <n v="2071.4196000000002"/>
    <s v="MR."/>
    <s v="TONY"/>
    <s v="XIE"/>
    <s v="TONY XIE"/>
    <d v="1968-12-06T00:00:00"/>
    <s v="M"/>
    <s v="M"/>
    <s v="tony6@adventure-works.com"/>
    <n v="30000"/>
    <n v="1"/>
    <s v="Bachelors"/>
    <s v="Clerical"/>
    <s v="Y"/>
    <s v="France"/>
    <x v="0"/>
    <s v="Europe"/>
    <x v="1"/>
    <s v="Bikes"/>
    <n v="2071.4196000000002"/>
    <n v="1117.8559"/>
    <n v="953.56370000000004"/>
    <n v="0.460343090313522"/>
  </r>
  <r>
    <x v="305"/>
    <d v="2002-07-11T00:00:00"/>
    <s v="SO47242"/>
    <n v="362"/>
    <n v="28540"/>
    <n v="7"/>
    <n v="1"/>
    <n v="1"/>
    <n v="1"/>
    <s v="BK-M68B-46"/>
    <x v="13"/>
    <n v="1105.81"/>
    <n v="2049.0981999999999"/>
    <s v="MS."/>
    <s v="LEAH"/>
    <s v="ZHANG"/>
    <s v="LEAH ZHANG"/>
    <d v="1974-11-26T00:00:00"/>
    <s v="M"/>
    <s v="F"/>
    <s v="leah0@adventure-works.com"/>
    <n v="30000"/>
    <n v="0"/>
    <s v="Partial College"/>
    <s v="Clerical"/>
    <s v="N"/>
    <s v="France"/>
    <x v="0"/>
    <s v="Europe"/>
    <x v="1"/>
    <s v="Bikes"/>
    <n v="2049.0981999999999"/>
    <n v="1105.81"/>
    <n v="943.28819999999996"/>
    <n v="0.46034309141455498"/>
  </r>
  <r>
    <x v="106"/>
    <d v="2002-05-23T00:00:00"/>
    <s v="SO47118"/>
    <n v="362"/>
    <n v="28541"/>
    <n v="7"/>
    <n v="1"/>
    <n v="1"/>
    <n v="1"/>
    <s v="BK-M68B-46"/>
    <x v="13"/>
    <n v="1105.81"/>
    <n v="2049.0981999999999"/>
    <s v="MS."/>
    <s v="ISABELLA"/>
    <s v="PEREZ"/>
    <s v="ISABELLA PEREZ"/>
    <d v="1974-04-03T00:00:00"/>
    <s v="S"/>
    <s v="F"/>
    <s v="isabella42@adventure-works.com"/>
    <n v="30000"/>
    <n v="0"/>
    <s v="Partial College"/>
    <s v="Clerical"/>
    <s v="N"/>
    <s v="France"/>
    <x v="0"/>
    <s v="Europe"/>
    <x v="1"/>
    <s v="Bikes"/>
    <n v="2049.0981999999999"/>
    <n v="1105.81"/>
    <n v="943.28819999999996"/>
    <n v="0.46034309141455498"/>
  </r>
  <r>
    <x v="345"/>
    <d v="2002-06-28T00:00:00"/>
    <s v="SO47152"/>
    <n v="360"/>
    <n v="28547"/>
    <n v="7"/>
    <n v="1"/>
    <n v="1"/>
    <n v="1"/>
    <s v="BK-M68B-42"/>
    <x v="17"/>
    <n v="1105.81"/>
    <n v="2049.0981999999999"/>
    <s v="MS."/>
    <s v="APRIL"/>
    <s v="SHEN"/>
    <s v="APRIL SHEN"/>
    <d v="1980-07-12T00:00:00"/>
    <s v="S"/>
    <s v="F"/>
    <s v="april2@adventure-works.com"/>
    <n v="20000"/>
    <n v="0"/>
    <s v="Partial High School"/>
    <s v="Manual"/>
    <s v="N"/>
    <s v="France"/>
    <x v="0"/>
    <s v="Europe"/>
    <x v="1"/>
    <s v="Bikes"/>
    <n v="2049.0981999999999"/>
    <n v="1105.81"/>
    <n v="943.28819999999996"/>
    <n v="0.46034309141455498"/>
  </r>
  <r>
    <x v="260"/>
    <d v="2002-07-31T00:00:00"/>
    <s v="SO47545"/>
    <n v="354"/>
    <n v="28553"/>
    <n v="7"/>
    <n v="1"/>
    <n v="1"/>
    <n v="1"/>
    <s v="BK-M68S-42"/>
    <x v="18"/>
    <n v="1117.8559"/>
    <n v="2071.4196000000002"/>
    <s v="MRS."/>
    <s v="SABRINA"/>
    <s v="SERRANO"/>
    <s v="SABRINA SERRANO"/>
    <d v="1973-01-22T00:00:00"/>
    <s v="M"/>
    <s v="F"/>
    <s v="sabrina10@adventure-works.com"/>
    <n v="40000"/>
    <n v="1"/>
    <s v="Bachelors"/>
    <s v="Skilled Manual"/>
    <s v="Y"/>
    <s v="France"/>
    <x v="0"/>
    <s v="Europe"/>
    <x v="1"/>
    <s v="Bikes"/>
    <n v="2071.4196000000002"/>
    <n v="1117.8559"/>
    <n v="953.56370000000004"/>
    <n v="0.460343090313522"/>
  </r>
  <r>
    <x v="183"/>
    <d v="2002-06-13T00:00:00"/>
    <s v="SO47527"/>
    <n v="360"/>
    <n v="28559"/>
    <n v="7"/>
    <n v="1"/>
    <n v="1"/>
    <n v="1"/>
    <s v="BK-M68B-42"/>
    <x v="17"/>
    <n v="1105.81"/>
    <n v="2049.0981999999999"/>
    <s v="MR."/>
    <s v="BILLY"/>
    <s v="GUTIERREZ"/>
    <s v="BILLY GUTIERREZ"/>
    <d v="1972-07-27T00:00:00"/>
    <s v="M"/>
    <s v="M"/>
    <s v="billy12@adventure-works.com"/>
    <n v="30000"/>
    <n v="0"/>
    <s v="High School"/>
    <s v="Manual"/>
    <s v="N"/>
    <s v="France"/>
    <x v="0"/>
    <s v="Europe"/>
    <x v="1"/>
    <s v="Bikes"/>
    <n v="2049.0981999999999"/>
    <n v="1105.81"/>
    <n v="943.28819999999996"/>
    <n v="0.46034309141455498"/>
  </r>
  <r>
    <x v="361"/>
    <d v="2002-06-22T00:00:00"/>
    <s v="SO47477"/>
    <n v="352"/>
    <n v="28560"/>
    <n v="7"/>
    <n v="1"/>
    <n v="1"/>
    <n v="1"/>
    <s v="BK-M68S-38"/>
    <x v="16"/>
    <n v="1117.8559"/>
    <n v="2071.4196000000002"/>
    <s v="MS."/>
    <s v="PEGGY"/>
    <s v="SMITH"/>
    <s v="PEGGY SMITH"/>
    <d v="1972-04-06T00:00:00"/>
    <s v="S"/>
    <s v="F"/>
    <s v="peggy1@adventure-works.com"/>
    <n v="30000"/>
    <n v="0"/>
    <s v="High School"/>
    <s v="Manual"/>
    <s v="Y"/>
    <s v="France"/>
    <x v="0"/>
    <s v="Europe"/>
    <x v="1"/>
    <s v="Bikes"/>
    <n v="2071.4196000000002"/>
    <n v="1117.8559"/>
    <n v="953.56370000000004"/>
    <n v="0.460343090313522"/>
  </r>
  <r>
    <x v="257"/>
    <d v="2002-06-12T00:00:00"/>
    <s v="SO47570"/>
    <n v="352"/>
    <n v="28562"/>
    <n v="7"/>
    <n v="1"/>
    <n v="1"/>
    <n v="1"/>
    <s v="BK-M68S-38"/>
    <x v="16"/>
    <n v="1117.8559"/>
    <n v="2071.4196000000002"/>
    <s v="MR."/>
    <s v="PHILLIP"/>
    <s v="MARTINEZ"/>
    <s v="PHILLIP MARTINEZ"/>
    <d v="1972-07-10T00:00:00"/>
    <s v="M"/>
    <s v="M"/>
    <s v="phillip19@adventure-works.com"/>
    <n v="40000"/>
    <n v="1"/>
    <s v="Bachelors"/>
    <s v="Skilled Manual"/>
    <s v="Y"/>
    <s v="France"/>
    <x v="0"/>
    <s v="Europe"/>
    <x v="1"/>
    <s v="Bikes"/>
    <n v="2071.4196000000002"/>
    <n v="1117.8559"/>
    <n v="953.56370000000004"/>
    <n v="0.460343090313522"/>
  </r>
  <r>
    <x v="182"/>
    <d v="2002-08-14T00:00:00"/>
    <s v="SO47493"/>
    <n v="358"/>
    <n v="28569"/>
    <n v="7"/>
    <n v="1"/>
    <n v="1"/>
    <n v="1"/>
    <s v="BK-M68B-38"/>
    <x v="15"/>
    <n v="1105.81"/>
    <n v="2049.0981999999999"/>
    <s v="MR."/>
    <s v="DUSTIN"/>
    <s v="JAI"/>
    <s v="DUSTIN JAI"/>
    <d v="1971-09-25T00:00:00"/>
    <s v="M"/>
    <s v="M"/>
    <s v="dustin11@adventure-works.com"/>
    <n v="40000"/>
    <n v="2"/>
    <s v="Partial College"/>
    <s v="Clerical"/>
    <s v="Y"/>
    <s v="France"/>
    <x v="0"/>
    <s v="Europe"/>
    <x v="1"/>
    <s v="Bikes"/>
    <n v="2049.0981999999999"/>
    <n v="1105.81"/>
    <n v="943.28819999999996"/>
    <n v="0.46034309141455498"/>
  </r>
  <r>
    <x v="329"/>
    <d v="2001-12-07T00:00:00"/>
    <s v="SO45498"/>
    <n v="312"/>
    <n v="28574"/>
    <n v="6"/>
    <n v="1"/>
    <n v="1"/>
    <n v="2"/>
    <s v="BK-R93R-48"/>
    <x v="0"/>
    <n v="2171.2941999999998"/>
    <n v="3578.27"/>
    <s v="MS."/>
    <s v="KAYLA"/>
    <s v="FLORES"/>
    <s v="KAYLA FLORES"/>
    <d v="1974-05-19T00:00:00"/>
    <s v="S"/>
    <s v="F"/>
    <s v="kayla36@adventure-works.com"/>
    <n v="50000"/>
    <n v="0"/>
    <s v="Graduate Degre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4"/>
    <d v="2001-12-12T00:00:00"/>
    <s v="SO45417"/>
    <n v="310"/>
    <n v="28620"/>
    <n v="6"/>
    <n v="1"/>
    <n v="1"/>
    <n v="2"/>
    <s v="BK-R93R-62"/>
    <x v="1"/>
    <n v="2171.2941999999998"/>
    <n v="3578.27"/>
    <s v="MR."/>
    <s v="COLE"/>
    <s v="RICHARDSON"/>
    <s v="COLE RICHARDSON"/>
    <d v="1958-09-03T00:00:00"/>
    <s v="M"/>
    <s v="M"/>
    <s v="cole11@adventure-works.com"/>
    <n v="30000"/>
    <n v="2"/>
    <s v="High School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319"/>
    <d v="2002-01-28T00:00:00"/>
    <s v="SO45450"/>
    <n v="312"/>
    <n v="28624"/>
    <n v="6"/>
    <n v="1"/>
    <n v="1"/>
    <n v="2"/>
    <s v="BK-R93R-48"/>
    <x v="0"/>
    <n v="2171.2941999999998"/>
    <n v="3578.27"/>
    <s v="MR."/>
    <s v="CARSON"/>
    <s v="JENKINS"/>
    <s v="CARSON JENKINS"/>
    <d v="1958-07-25T00:00:00"/>
    <s v="S"/>
    <s v="M"/>
    <s v="carson5@adventure-works.com"/>
    <n v="40000"/>
    <n v="2"/>
    <s v="Partial College"/>
    <s v="Clerical"/>
    <s v="Y"/>
    <s v="Canada"/>
    <x v="5"/>
    <s v="North America"/>
    <x v="0"/>
    <s v="Bikes"/>
    <n v="3578.27"/>
    <n v="2171.2941999999998"/>
    <n v="1406.9757999999999"/>
    <n v="0.39320001006072802"/>
  </r>
  <r>
    <x v="329"/>
    <d v="2002-01-10T00:00:00"/>
    <s v="SO45499"/>
    <n v="314"/>
    <n v="28626"/>
    <n v="6"/>
    <n v="1"/>
    <n v="1"/>
    <n v="2"/>
    <s v="BK-R93R-56"/>
    <x v="2"/>
    <n v="2171.2941999999998"/>
    <n v="3578.27"/>
    <s v="MRS."/>
    <s v="BAILEY"/>
    <s v="HERNANDEZ"/>
    <s v="BAILEY HERNANDEZ"/>
    <d v="1959-02-24T00:00:00"/>
    <s v="S"/>
    <s v="F"/>
    <s v="bailey38@adventure-works.com"/>
    <n v="40000"/>
    <n v="2"/>
    <s v="Partial College"/>
    <s v="Clerical"/>
    <s v="N"/>
    <s v="Canada"/>
    <x v="5"/>
    <s v="North America"/>
    <x v="0"/>
    <s v="Bikes"/>
    <n v="3578.27"/>
    <n v="2171.2941999999998"/>
    <n v="1406.9757999999999"/>
    <n v="0.39320001006072802"/>
  </r>
  <r>
    <x v="12"/>
    <d v="2001-10-28T00:00:00"/>
    <s v="SO45353"/>
    <n v="310"/>
    <n v="28630"/>
    <n v="6"/>
    <n v="1"/>
    <n v="1"/>
    <n v="2"/>
    <s v="BK-R93R-62"/>
    <x v="1"/>
    <n v="2171.2941999999998"/>
    <n v="3578.27"/>
    <s v="MR."/>
    <s v="JACK"/>
    <s v="ZIMMERMAN"/>
    <s v="JACK ZIMMERMAN"/>
    <d v="1959-11-13T00:00:00"/>
    <s v="S"/>
    <s v="M"/>
    <s v="jack24@adventure-works.com"/>
    <n v="40000"/>
    <n v="2"/>
    <s v="Partial College"/>
    <s v="Clerical"/>
    <s v="Y"/>
    <s v="Canada"/>
    <x v="5"/>
    <s v="North America"/>
    <x v="0"/>
    <s v="Bikes"/>
    <n v="3578.27"/>
    <n v="2171.2941999999998"/>
    <n v="1406.9757999999999"/>
    <n v="0.39320001006072802"/>
  </r>
  <r>
    <x v="9"/>
    <d v="2001-11-10T00:00:00"/>
    <s v="SO45461"/>
    <n v="311"/>
    <n v="28646"/>
    <n v="6"/>
    <n v="1"/>
    <n v="1"/>
    <n v="2"/>
    <s v="BK-R93R-44"/>
    <x v="4"/>
    <n v="2171.2941999999998"/>
    <n v="3578.27"/>
    <s v="MRS."/>
    <s v="ALEXIS"/>
    <s v="MOORE"/>
    <s v="ALEXIS MOORE"/>
    <d v="1972-06-01T00:00:00"/>
    <s v="M"/>
    <s v="F"/>
    <s v="alexis7@adventure-works.com"/>
    <n v="50000"/>
    <n v="1"/>
    <s v="Graduate Degre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9"/>
    <d v="2002-01-09T00:00:00"/>
    <s v="SO45462"/>
    <n v="310"/>
    <n v="28647"/>
    <n v="6"/>
    <n v="1"/>
    <n v="1"/>
    <n v="2"/>
    <s v="BK-R93R-62"/>
    <x v="1"/>
    <n v="2171.2941999999998"/>
    <n v="3578.27"/>
    <s v="MRS."/>
    <s v="HANNAH"/>
    <s v="FOSTER"/>
    <s v="HANNAH FOSTER"/>
    <d v="1972-09-09T00:00:00"/>
    <s v="M"/>
    <s v="F"/>
    <s v="hannah37@adventure-works.com"/>
    <n v="50000"/>
    <n v="1"/>
    <s v="Graduate Degree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57"/>
    <d v="2001-11-17T00:00:00"/>
    <s v="SO45650"/>
    <n v="312"/>
    <n v="28652"/>
    <n v="6"/>
    <n v="1"/>
    <n v="1"/>
    <n v="2"/>
    <s v="BK-R93R-48"/>
    <x v="0"/>
    <n v="2171.2941999999998"/>
    <n v="3578.27"/>
    <s v="MRS."/>
    <s v="MARIAH"/>
    <s v="MURPHY"/>
    <s v="MARIAH MURPHY"/>
    <d v="1970-06-23T00:00:00"/>
    <s v="M"/>
    <s v="F"/>
    <s v="mariah39@adventure-works.com"/>
    <n v="40000"/>
    <n v="1"/>
    <s v="Bachelors"/>
    <s v="Skilled Manual"/>
    <s v="Y"/>
    <s v="Canada"/>
    <x v="5"/>
    <s v="North America"/>
    <x v="0"/>
    <s v="Bikes"/>
    <n v="3578.27"/>
    <n v="2171.2941999999998"/>
    <n v="1406.9757999999999"/>
    <n v="0.39320001006072802"/>
  </r>
  <r>
    <x v="35"/>
    <d v="2002-02-05T00:00:00"/>
    <s v="SO45582"/>
    <n v="312"/>
    <n v="28656"/>
    <n v="6"/>
    <n v="1"/>
    <n v="1"/>
    <n v="2"/>
    <s v="BK-R93R-48"/>
    <x v="0"/>
    <n v="2171.2941999999998"/>
    <n v="3578.27"/>
    <s v="MR."/>
    <s v="LUCAS"/>
    <s v="MURPHY"/>
    <s v="LUCAS MURPHY"/>
    <d v="1969-05-22T00:00:00"/>
    <s v="M"/>
    <s v="M"/>
    <s v="lucas86@adventure-works.com"/>
    <n v="60000"/>
    <n v="2"/>
    <s v="Bachelors"/>
    <s v="Skilled Manual"/>
    <s v="N"/>
    <s v="Canada"/>
    <x v="5"/>
    <s v="North America"/>
    <x v="0"/>
    <s v="Bikes"/>
    <n v="3578.27"/>
    <n v="2171.2941999999998"/>
    <n v="1406.9757999999999"/>
    <n v="0.39320001006072802"/>
  </r>
  <r>
    <x v="234"/>
    <d v="2002-04-29T00:00:00"/>
    <s v="SO46893"/>
    <n v="369"/>
    <n v="28659"/>
    <n v="6"/>
    <n v="1"/>
    <n v="1"/>
    <n v="2"/>
    <s v="BK-R89R-48"/>
    <x v="21"/>
    <n v="1518.7864"/>
    <n v="2443.35"/>
    <s v="MRS."/>
    <s v="VANESSA"/>
    <s v="SIMMONS"/>
    <s v="VANESSA SIMMONS"/>
    <d v="1969-03-12T00:00:00"/>
    <s v="S"/>
    <s v="F"/>
    <s v="vanessa16@adventure-works.com"/>
    <n v="60000"/>
    <n v="1"/>
    <s v="Graduate Degree"/>
    <s v="Professional"/>
    <s v="Y"/>
    <s v="Canada"/>
    <x v="5"/>
    <s v="North America"/>
    <x v="0"/>
    <s v="Bikes"/>
    <n v="2443.35"/>
    <n v="1518.7864"/>
    <n v="924.56359999999995"/>
    <n v="0.37839998362903399"/>
  </r>
  <r>
    <x v="225"/>
    <d v="2002-07-08T00:00:00"/>
    <s v="SO46886"/>
    <n v="377"/>
    <n v="28669"/>
    <n v="6"/>
    <n v="1"/>
    <n v="1"/>
    <n v="2"/>
    <s v="BK-R89B-52"/>
    <x v="20"/>
    <n v="1320.6838"/>
    <n v="2181.5625"/>
    <s v="MR."/>
    <s v="JORDAN"/>
    <s v="CARTER"/>
    <s v="JORDAN CARTER"/>
    <d v="1970-07-09T00:00:00"/>
    <s v="S"/>
    <s v="M"/>
    <s v="jordan64@adventure-works.com"/>
    <n v="60000"/>
    <n v="1"/>
    <s v="Graduate Degree"/>
    <s v="Professional"/>
    <s v="N"/>
    <s v="Canada"/>
    <x v="5"/>
    <s v="North America"/>
    <x v="0"/>
    <s v="Bikes"/>
    <n v="2181.5625"/>
    <n v="1320.6838"/>
    <n v="860.87869999999998"/>
    <n v="0.39461564818793898"/>
  </r>
  <r>
    <x v="185"/>
    <d v="2002-06-13T00:00:00"/>
    <s v="SO47546"/>
    <n v="360"/>
    <n v="28683"/>
    <n v="7"/>
    <n v="1"/>
    <n v="1"/>
    <n v="1"/>
    <s v="BK-M68B-42"/>
    <x v="17"/>
    <n v="1105.81"/>
    <n v="2049.0981999999999"/>
    <s v="MRS."/>
    <s v="MALLORY"/>
    <s v="MUNOZ"/>
    <s v="MALLORY MUNOZ"/>
    <d v="1970-10-09T00:00:00"/>
    <s v="S"/>
    <s v="F"/>
    <s v="mallory15@adventure-works.com"/>
    <n v="10000"/>
    <n v="1"/>
    <s v="High School"/>
    <s v="Manual"/>
    <s v="N"/>
    <s v="France"/>
    <x v="0"/>
    <s v="Europe"/>
    <x v="1"/>
    <s v="Bikes"/>
    <n v="2049.0981999999999"/>
    <n v="1105.81"/>
    <n v="943.28819999999996"/>
    <n v="0.46034309141455498"/>
  </r>
  <r>
    <x v="259"/>
    <d v="2002-08-11T00:00:00"/>
    <s v="SO47470"/>
    <n v="358"/>
    <n v="28685"/>
    <n v="7"/>
    <n v="1"/>
    <n v="1"/>
    <n v="1"/>
    <s v="BK-M68B-38"/>
    <x v="15"/>
    <n v="1105.81"/>
    <n v="2049.0981999999999"/>
    <s v="MR."/>
    <s v="MARSHALL"/>
    <s v="ZHU"/>
    <s v="MARSHALL ZHU"/>
    <d v="1970-03-16T00:00:00"/>
    <s v="M"/>
    <s v="M"/>
    <s v="marshall13@adventure-works.com"/>
    <n v="10000"/>
    <n v="2"/>
    <s v="High School"/>
    <s v="Manual"/>
    <s v="Y"/>
    <s v="France"/>
    <x v="0"/>
    <s v="Europe"/>
    <x v="1"/>
    <s v="Bikes"/>
    <n v="2049.0981999999999"/>
    <n v="1105.81"/>
    <n v="943.28819999999996"/>
    <n v="0.46034309141455498"/>
  </r>
  <r>
    <x v="281"/>
    <d v="2002-07-02T00:00:00"/>
    <s v="SO47880"/>
    <n v="360"/>
    <n v="28689"/>
    <n v="7"/>
    <n v="1"/>
    <n v="1"/>
    <n v="1"/>
    <s v="BK-M68B-42"/>
    <x v="17"/>
    <n v="1105.81"/>
    <n v="2049.0981999999999"/>
    <s v="MR."/>
    <s v="KELVIN"/>
    <s v="ZHANG"/>
    <s v="KELVIN ZHANG"/>
    <d v="1969-05-27T00:00:00"/>
    <s v="S"/>
    <s v="M"/>
    <s v="kelvin20@adventure-works.com"/>
    <n v="10000"/>
    <n v="2"/>
    <s v="High School"/>
    <s v="Manual"/>
    <s v="Y"/>
    <s v="France"/>
    <x v="0"/>
    <s v="Europe"/>
    <x v="1"/>
    <s v="Bikes"/>
    <n v="2049.0981999999999"/>
    <n v="1105.81"/>
    <n v="943.28819999999996"/>
    <n v="0.46034309141455498"/>
  </r>
  <r>
    <x v="262"/>
    <d v="2002-07-06T00:00:00"/>
    <s v="SO47944"/>
    <n v="362"/>
    <n v="28690"/>
    <n v="7"/>
    <n v="1"/>
    <n v="1"/>
    <n v="1"/>
    <s v="BK-M68B-46"/>
    <x v="13"/>
    <n v="1105.81"/>
    <n v="2049.0981999999999"/>
    <s v="MR."/>
    <s v="CORY"/>
    <s v="CHANDRA"/>
    <s v="CORY CHANDRA"/>
    <d v="1970-04-09T00:00:00"/>
    <s v="S"/>
    <s v="M"/>
    <s v="cory20@adventure-works.com"/>
    <n v="30000"/>
    <n v="0"/>
    <s v="Bachelors"/>
    <s v="Clerical"/>
    <s v="Y"/>
    <s v="France"/>
    <x v="0"/>
    <s v="Europe"/>
    <x v="1"/>
    <s v="Bikes"/>
    <n v="2049.0981999999999"/>
    <n v="1105.81"/>
    <n v="943.28819999999996"/>
    <n v="0.46034309141455498"/>
  </r>
  <r>
    <x v="204"/>
    <d v="2002-08-18T00:00:00"/>
    <s v="SO47836"/>
    <n v="356"/>
    <n v="28707"/>
    <n v="7"/>
    <n v="1"/>
    <n v="1"/>
    <n v="1"/>
    <s v="BK-M68S-46"/>
    <x v="14"/>
    <n v="1117.8559"/>
    <n v="2071.4196000000002"/>
    <s v="MRS."/>
    <s v="SHARON"/>
    <s v="RAJE"/>
    <s v="SHARON RAJE"/>
    <d v="1951-04-27T00:00:00"/>
    <s v="S"/>
    <s v="F"/>
    <s v="sharon19@adventure-works.com"/>
    <n v="10000"/>
    <n v="3"/>
    <s v="Partial College"/>
    <s v="Manual"/>
    <s v="N"/>
    <s v="France"/>
    <x v="0"/>
    <s v="Europe"/>
    <x v="1"/>
    <s v="Bikes"/>
    <n v="2071.4196000000002"/>
    <n v="1117.8559"/>
    <n v="953.56370000000004"/>
    <n v="0.460343090313522"/>
  </r>
  <r>
    <x v="327"/>
    <d v="2002-07-23T00:00:00"/>
    <s v="SO47785"/>
    <n v="356"/>
    <n v="28708"/>
    <n v="7"/>
    <n v="1"/>
    <n v="1"/>
    <n v="1"/>
    <s v="BK-M68S-46"/>
    <x v="14"/>
    <n v="1117.8559"/>
    <n v="2071.4196000000002"/>
    <s v="MR."/>
    <s v="DARRYL"/>
    <s v="SUN"/>
    <s v="DARRYL SUN"/>
    <d v="1951-09-09T00:00:00"/>
    <s v="S"/>
    <s v="M"/>
    <s v="darryl13@adventure-works.com"/>
    <n v="20000"/>
    <n v="2"/>
    <s v="Partial College"/>
    <s v="Manual"/>
    <s v="N"/>
    <s v="France"/>
    <x v="0"/>
    <s v="Europe"/>
    <x v="1"/>
    <s v="Bikes"/>
    <n v="2071.4196000000002"/>
    <n v="1117.8559"/>
    <n v="953.56370000000004"/>
    <n v="0.460343090313522"/>
  </r>
  <r>
    <x v="265"/>
    <d v="2002-09-05T00:00:00"/>
    <s v="SO47764"/>
    <n v="356"/>
    <n v="28711"/>
    <n v="7"/>
    <n v="1"/>
    <n v="1"/>
    <n v="1"/>
    <s v="BK-M68S-46"/>
    <x v="14"/>
    <n v="1117.8559"/>
    <n v="2071.4196000000002"/>
    <s v="MRS."/>
    <s v="REBEKAH"/>
    <s v="TORRES"/>
    <s v="REBEKAH TORRES"/>
    <d v="1968-11-25T00:00:00"/>
    <s v="M"/>
    <s v="F"/>
    <s v="rebekah32@adventure-works.com"/>
    <n v="30000"/>
    <n v="1"/>
    <s v="Bachelors"/>
    <s v="Clerical"/>
    <s v="Y"/>
    <s v="France"/>
    <x v="0"/>
    <s v="Europe"/>
    <x v="1"/>
    <s v="Bikes"/>
    <n v="2071.4196000000002"/>
    <n v="1117.8559"/>
    <n v="953.56370000000004"/>
    <n v="0.460343090313522"/>
  </r>
  <r>
    <x v="280"/>
    <d v="2002-08-10T00:00:00"/>
    <s v="SO47912"/>
    <n v="360"/>
    <n v="28724"/>
    <n v="7"/>
    <n v="1"/>
    <n v="1"/>
    <n v="1"/>
    <s v="BK-M68B-42"/>
    <x v="17"/>
    <n v="1105.81"/>
    <n v="2049.0981999999999"/>
    <s v="MR."/>
    <s v="MARVIN"/>
    <s v="NAVARRO"/>
    <s v="MARVIN NAVARRO"/>
    <d v="1974-10-07T00:00:00"/>
    <s v="S"/>
    <s v="M"/>
    <s v="marvin10@adventure-works.com"/>
    <n v="30000"/>
    <n v="0"/>
    <s v="Partial College"/>
    <s v="Clerical"/>
    <s v="N"/>
    <s v="France"/>
    <x v="0"/>
    <s v="Europe"/>
    <x v="1"/>
    <s v="Bikes"/>
    <n v="2049.0981999999999"/>
    <n v="1105.81"/>
    <n v="943.28819999999996"/>
    <n v="0.46034309141455498"/>
  </r>
  <r>
    <x v="337"/>
    <d v="2002-10-24T00:00:00"/>
    <s v="SO48271"/>
    <n v="356"/>
    <n v="28727"/>
    <n v="7"/>
    <n v="1"/>
    <n v="1"/>
    <n v="1"/>
    <s v="BK-M68S-46"/>
    <x v="14"/>
    <n v="1117.8559"/>
    <n v="2071.4196000000002"/>
    <s v="MR."/>
    <s v="BRETT"/>
    <s v="MADAN"/>
    <s v="BRETT MADAN"/>
    <d v="1980-11-01T00:00:00"/>
    <s v="S"/>
    <s v="M"/>
    <s v="brett7@adventure-works.com"/>
    <n v="20000"/>
    <n v="0"/>
    <s v="Partial High School"/>
    <s v="Manual"/>
    <s v="N"/>
    <s v="France"/>
    <x v="0"/>
    <s v="Europe"/>
    <x v="1"/>
    <s v="Bikes"/>
    <n v="2071.4196000000002"/>
    <n v="1117.8559"/>
    <n v="953.56370000000004"/>
    <n v="0.460343090313522"/>
  </r>
  <r>
    <x v="191"/>
    <d v="2002-08-26T00:00:00"/>
    <s v="SO48601"/>
    <n v="362"/>
    <n v="28728"/>
    <n v="7"/>
    <n v="1"/>
    <n v="1"/>
    <n v="1"/>
    <s v="BK-M68B-46"/>
    <x v="13"/>
    <n v="1105.81"/>
    <n v="2049.0981999999999"/>
    <s v="MR."/>
    <s v="DYLAN"/>
    <s v="LONG"/>
    <s v="DYLAN LONG"/>
    <d v="1980-02-12T00:00:00"/>
    <s v="S"/>
    <s v="M"/>
    <s v="dylan8@adventure-works.com"/>
    <n v="20000"/>
    <n v="0"/>
    <s v="Partial High School"/>
    <s v="Manual"/>
    <s v="N"/>
    <s v="France"/>
    <x v="0"/>
    <s v="Europe"/>
    <x v="1"/>
    <s v="Bikes"/>
    <n v="2049.0981999999999"/>
    <n v="1105.81"/>
    <n v="943.28819999999996"/>
    <n v="0.46034309141455498"/>
  </r>
  <r>
    <x v="231"/>
    <d v="2002-10-20T00:00:00"/>
    <s v="SO48717"/>
    <n v="352"/>
    <n v="28736"/>
    <n v="7"/>
    <n v="1"/>
    <n v="1"/>
    <n v="1"/>
    <s v="BK-M68S-38"/>
    <x v="16"/>
    <n v="1117.8559"/>
    <n v="2071.4196000000002"/>
    <s v="MS."/>
    <s v="PAULA"/>
    <s v="NAVARRO"/>
    <s v="PAULA NAVARRO"/>
    <d v="1973-04-23T00:00:00"/>
    <s v="S"/>
    <s v="F"/>
    <s v="paula13@adventure-works.com"/>
    <n v="30000"/>
    <n v="0"/>
    <s v="High School"/>
    <s v="Manual"/>
    <s v="N"/>
    <s v="France"/>
    <x v="0"/>
    <s v="Europe"/>
    <x v="1"/>
    <s v="Bikes"/>
    <n v="2071.4196000000002"/>
    <n v="1117.8559"/>
    <n v="953.56370000000004"/>
    <n v="0.460343090313522"/>
  </r>
  <r>
    <x v="198"/>
    <d v="2002-10-13T00:00:00"/>
    <s v="SO48591"/>
    <n v="358"/>
    <n v="28739"/>
    <n v="7"/>
    <n v="1"/>
    <n v="1"/>
    <n v="1"/>
    <s v="BK-M68B-38"/>
    <x v="15"/>
    <n v="1105.81"/>
    <n v="2049.0981999999999"/>
    <s v="MS."/>
    <s v="MYA"/>
    <s v="PERRY"/>
    <s v="MYA PERRY"/>
    <d v="1973-03-22T00:00:00"/>
    <s v="S"/>
    <s v="F"/>
    <s v="mya10@adventure-works.com"/>
    <n v="30000"/>
    <n v="0"/>
    <s v="High School"/>
    <s v="Manual"/>
    <s v="N"/>
    <s v="France"/>
    <x v="0"/>
    <s v="Europe"/>
    <x v="1"/>
    <s v="Bikes"/>
    <n v="2049.0981999999999"/>
    <n v="1105.81"/>
    <n v="943.28819999999996"/>
    <n v="0.46034309141455498"/>
  </r>
  <r>
    <x v="294"/>
    <d v="2002-11-18T00:00:00"/>
    <s v="SO48509"/>
    <n v="354"/>
    <n v="28740"/>
    <n v="7"/>
    <n v="1"/>
    <n v="1"/>
    <n v="1"/>
    <s v="BK-M68S-42"/>
    <x v="18"/>
    <n v="1117.8559"/>
    <n v="2071.4196000000002"/>
    <s v="MRS."/>
    <s v="ALISHA"/>
    <s v="ALAN"/>
    <s v="ALISHA ALAN"/>
    <d v="1973-04-05T00:00:00"/>
    <s v="M"/>
    <s v="F"/>
    <s v="alisha47@adventure-works.com"/>
    <n v="40000"/>
    <n v="1"/>
    <s v="Bachelors"/>
    <s v="Skilled Manual"/>
    <s v="Y"/>
    <s v="France"/>
    <x v="0"/>
    <s v="Europe"/>
    <x v="1"/>
    <s v="Bikes"/>
    <n v="2071.4196000000002"/>
    <n v="1117.8559"/>
    <n v="953.56370000000004"/>
    <n v="0.460343090313522"/>
  </r>
  <r>
    <x v="285"/>
    <d v="2002-10-06T00:00:00"/>
    <s v="SO48659"/>
    <n v="362"/>
    <n v="28749"/>
    <n v="7"/>
    <n v="1"/>
    <n v="1"/>
    <n v="1"/>
    <s v="BK-M68B-46"/>
    <x v="13"/>
    <n v="1105.81"/>
    <n v="2049.0981999999999"/>
    <s v="MR."/>
    <s v="FRANKLIN"/>
    <s v="ZHOU"/>
    <s v="FRANKLIN ZHOU"/>
    <d v="1972-10-08T00:00:00"/>
    <s v="S"/>
    <s v="M"/>
    <s v="franklin8@adventure-works.com"/>
    <n v="30000"/>
    <n v="0"/>
    <s v="High School"/>
    <s v="Manual"/>
    <s v="N"/>
    <s v="France"/>
    <x v="0"/>
    <s v="Europe"/>
    <x v="1"/>
    <s v="Bikes"/>
    <n v="2049.0981999999999"/>
    <n v="1105.81"/>
    <n v="943.28819999999996"/>
    <n v="0.46034309141455498"/>
  </r>
  <r>
    <x v="188"/>
    <d v="2002-11-24T00:00:00"/>
    <s v="SO48635"/>
    <n v="358"/>
    <n v="28750"/>
    <n v="7"/>
    <n v="1"/>
    <n v="1"/>
    <n v="1"/>
    <s v="BK-M68B-38"/>
    <x v="15"/>
    <n v="1105.81"/>
    <n v="2049.0981999999999"/>
    <s v="MR."/>
    <s v="ANDY"/>
    <s v="ROMERO"/>
    <s v="ANDY ROMERO"/>
    <d v="1972-12-22T00:00:00"/>
    <s v="M"/>
    <s v="M"/>
    <s v="andy13@adventure-works.com"/>
    <n v="40000"/>
    <n v="1"/>
    <s v="Bachelors"/>
    <s v="Skilled Manual"/>
    <s v="Y"/>
    <s v="France"/>
    <x v="0"/>
    <s v="Europe"/>
    <x v="1"/>
    <s v="Bikes"/>
    <n v="2049.0981999999999"/>
    <n v="1105.81"/>
    <n v="943.28819999999996"/>
    <n v="0.46034309141455498"/>
  </r>
  <r>
    <x v="191"/>
    <d v="2002-10-29T00:00:00"/>
    <s v="SO48603"/>
    <n v="356"/>
    <n v="28751"/>
    <n v="7"/>
    <n v="1"/>
    <n v="1"/>
    <n v="1"/>
    <s v="BK-M68S-46"/>
    <x v="14"/>
    <n v="1117.8559"/>
    <n v="2071.4196000000002"/>
    <s v="MR."/>
    <s v="JOE"/>
    <s v="BELSON"/>
    <s v="JOE BELSON"/>
    <d v="1972-05-28T00:00:00"/>
    <s v="M"/>
    <s v="M"/>
    <s v="joe18@adventure-works.com"/>
    <n v="40000"/>
    <n v="1"/>
    <s v="Bachelors"/>
    <s v="Skilled Manual"/>
    <s v="Y"/>
    <s v="France"/>
    <x v="0"/>
    <s v="Europe"/>
    <x v="1"/>
    <s v="Bikes"/>
    <n v="2071.4196000000002"/>
    <n v="1117.8559"/>
    <n v="953.56370000000004"/>
    <n v="0.460343090313522"/>
  </r>
  <r>
    <x v="292"/>
    <d v="2002-10-19T00:00:00"/>
    <s v="SO48572"/>
    <n v="362"/>
    <n v="28756"/>
    <n v="7"/>
    <n v="1"/>
    <n v="1"/>
    <n v="1"/>
    <s v="BK-M68B-46"/>
    <x v="13"/>
    <n v="1105.81"/>
    <n v="2049.0981999999999"/>
    <s v="MRS."/>
    <s v="STACEY"/>
    <s v="HEE"/>
    <s v="STACEY HEE"/>
    <d v="1970-06-01T00:00:00"/>
    <s v="S"/>
    <s v="F"/>
    <s v="stacey20@adventure-works.com"/>
    <n v="40000"/>
    <n v="2"/>
    <s v="Partial College"/>
    <s v="Clerical"/>
    <s v="Y"/>
    <s v="France"/>
    <x v="0"/>
    <s v="Europe"/>
    <x v="1"/>
    <s v="Bikes"/>
    <n v="2049.0981999999999"/>
    <n v="1105.81"/>
    <n v="943.28819999999996"/>
    <n v="0.46034309141455498"/>
  </r>
  <r>
    <x v="198"/>
    <d v="2002-08-25T00:00:00"/>
    <s v="SO48590"/>
    <n v="352"/>
    <n v="28757"/>
    <n v="7"/>
    <n v="1"/>
    <n v="1"/>
    <n v="1"/>
    <s v="BK-M68S-38"/>
    <x v="16"/>
    <n v="1117.8559"/>
    <n v="2071.4196000000002"/>
    <s v="MR."/>
    <s v="RONALD"/>
    <s v="RODRIGUEZ"/>
    <s v="RONALD RODRIGUEZ"/>
    <d v="1971-09-20T00:00:00"/>
    <s v="M"/>
    <s v="M"/>
    <s v="ronald22@adventure-works.com"/>
    <n v="40000"/>
    <n v="2"/>
    <s v="Partial College"/>
    <s v="Clerical"/>
    <s v="Y"/>
    <s v="France"/>
    <x v="0"/>
    <s v="Europe"/>
    <x v="1"/>
    <s v="Bikes"/>
    <n v="2071.4196000000002"/>
    <n v="1117.8559"/>
    <n v="953.56370000000004"/>
    <n v="0.460343090313522"/>
  </r>
  <r>
    <x v="230"/>
    <d v="2002-10-07T00:00:00"/>
    <s v="SO48627"/>
    <n v="362"/>
    <n v="28758"/>
    <n v="7"/>
    <n v="1"/>
    <n v="1"/>
    <n v="1"/>
    <s v="BK-M68B-46"/>
    <x v="13"/>
    <n v="1105.81"/>
    <n v="2049.0981999999999"/>
    <s v="MR."/>
    <s v="TROY"/>
    <s v="RODRIGUEZ"/>
    <s v="TROY RODRIGUEZ"/>
    <d v="1971-08-08T00:00:00"/>
    <s v="M"/>
    <s v="M"/>
    <s v="troy21@adventure-works.com"/>
    <n v="40000"/>
    <n v="2"/>
    <s v="Partial College"/>
    <s v="Clerical"/>
    <s v="Y"/>
    <s v="France"/>
    <x v="0"/>
    <s v="Europe"/>
    <x v="1"/>
    <s v="Bikes"/>
    <n v="2049.0981999999999"/>
    <n v="1105.81"/>
    <n v="943.28819999999996"/>
    <n v="0.46034309141455498"/>
  </r>
  <r>
    <x v="194"/>
    <d v="2002-05-23T00:00:00"/>
    <s v="SO46741"/>
    <n v="370"/>
    <n v="28766"/>
    <n v="6"/>
    <n v="1"/>
    <n v="1"/>
    <n v="2"/>
    <s v="BK-R89R-52"/>
    <x v="23"/>
    <n v="1518.7864"/>
    <n v="2443.35"/>
    <s v="MR."/>
    <s v="JOE"/>
    <s v="ALONSO"/>
    <s v="JOE ALONSO"/>
    <d v="1975-02-03T00:00:00"/>
    <s v="S"/>
    <s v="M"/>
    <s v="joe31@adventure-works.com"/>
    <n v="40000"/>
    <n v="3"/>
    <s v="Partial College"/>
    <s v="Clerical"/>
    <s v="Y"/>
    <s v="Canada"/>
    <x v="5"/>
    <s v="North America"/>
    <x v="0"/>
    <s v="Bikes"/>
    <n v="2443.35"/>
    <n v="1518.7864"/>
    <n v="924.56359999999995"/>
    <n v="0.37839998362903399"/>
  </r>
  <r>
    <x v="12"/>
    <d v="2002-01-07T00:00:00"/>
    <s v="SO45355"/>
    <n v="312"/>
    <n v="28778"/>
    <n v="6"/>
    <n v="1"/>
    <n v="1"/>
    <n v="2"/>
    <s v="BK-R93R-48"/>
    <x v="0"/>
    <n v="2171.2941999999998"/>
    <n v="3578.27"/>
    <s v="MR."/>
    <s v="MAURICE"/>
    <s v="SHARMA"/>
    <s v="MAURICE SHARMA"/>
    <d v="1955-09-10T00:00:00"/>
    <s v="M"/>
    <s v="M"/>
    <s v="maurice10@adventure-works.com"/>
    <n v="30000"/>
    <n v="1"/>
    <s v="High School"/>
    <s v="Clerical"/>
    <s v="Y"/>
    <s v="Canada"/>
    <x v="5"/>
    <s v="North America"/>
    <x v="0"/>
    <s v="Bikes"/>
    <n v="3578.27"/>
    <n v="2171.2941999999998"/>
    <n v="1406.9757999999999"/>
    <n v="0.39320001006072802"/>
  </r>
  <r>
    <x v="255"/>
    <d v="2002-05-30T00:00:00"/>
    <s v="SO47306"/>
    <n v="369"/>
    <n v="28798"/>
    <n v="6"/>
    <n v="1"/>
    <n v="1"/>
    <n v="2"/>
    <s v="BK-R89R-48"/>
    <x v="21"/>
    <n v="1518.7864"/>
    <n v="2443.35"/>
    <s v="MR."/>
    <s v="TIMOTHY"/>
    <s v="PHILLIPS"/>
    <s v="TIMOTHY PHILLIPS"/>
    <d v="1959-06-17T00:00:00"/>
    <s v="S"/>
    <s v="M"/>
    <s v="timothy31@adventure-works.com"/>
    <n v="40000"/>
    <n v="2"/>
    <s v="Partial College"/>
    <s v="Clerical"/>
    <s v="N"/>
    <s v="Canada"/>
    <x v="5"/>
    <s v="North America"/>
    <x v="0"/>
    <s v="Bikes"/>
    <n v="2443.35"/>
    <n v="1518.7864"/>
    <n v="924.56359999999995"/>
    <n v="0.37839998362903399"/>
  </r>
  <r>
    <x v="239"/>
    <d v="2002-05-11T00:00:00"/>
    <s v="SO47092"/>
    <n v="369"/>
    <n v="28802"/>
    <n v="6"/>
    <n v="1"/>
    <n v="1"/>
    <n v="2"/>
    <s v="BK-R89R-48"/>
    <x v="21"/>
    <n v="1518.7864"/>
    <n v="2443.35"/>
    <s v="MS."/>
    <s v="ALLISON"/>
    <s v="NELSON"/>
    <s v="ALLISON NELSON"/>
    <d v="1972-09-16T00:00:00"/>
    <s v="M"/>
    <s v="F"/>
    <s v="allison32@adventure-works.com"/>
    <n v="60000"/>
    <n v="0"/>
    <s v="Graduate Degree"/>
    <s v="Skilled Manual"/>
    <s v="Y"/>
    <s v="Canada"/>
    <x v="5"/>
    <s v="North America"/>
    <x v="0"/>
    <s v="Bikes"/>
    <n v="2443.35"/>
    <n v="1518.7864"/>
    <n v="924.56359999999995"/>
    <n v="0.37839998362903399"/>
  </r>
  <r>
    <x v="245"/>
    <d v="2002-06-26T00:00:00"/>
    <s v="SO47189"/>
    <n v="373"/>
    <n v="28818"/>
    <n v="6"/>
    <n v="1"/>
    <n v="1"/>
    <n v="2"/>
    <s v="BK-R89B-44"/>
    <x v="19"/>
    <n v="1320.6838"/>
    <n v="2181.5625"/>
    <s v="MR."/>
    <s v="DWAYNE"/>
    <s v="HERNANDEZ"/>
    <s v="DWAYNE HERNANDEZ"/>
    <d v="1972-05-02T00:00:00"/>
    <s v="M"/>
    <s v="M"/>
    <s v="dwayne3@adventure-works.com"/>
    <n v="60000"/>
    <n v="1"/>
    <s v="Graduate Degree"/>
    <s v="Skilled Manual"/>
    <s v="N"/>
    <s v="Canada"/>
    <x v="5"/>
    <s v="North America"/>
    <x v="0"/>
    <s v="Bikes"/>
    <n v="2181.5625"/>
    <n v="1320.6838"/>
    <n v="860.87869999999998"/>
    <n v="0.39461564818793898"/>
  </r>
  <r>
    <x v="106"/>
    <d v="2002-05-09T00:00:00"/>
    <s v="SO47109"/>
    <n v="375"/>
    <n v="28819"/>
    <n v="6"/>
    <n v="1"/>
    <n v="1"/>
    <n v="2"/>
    <s v="BK-R89B-48"/>
    <x v="25"/>
    <n v="1320.6838"/>
    <n v="2181.5625"/>
    <s v="MRS."/>
    <s v="GRACE"/>
    <s v="BENNETT"/>
    <s v="GRACE BENNETT"/>
    <d v="1972-10-11T00:00:00"/>
    <s v="M"/>
    <s v="F"/>
    <s v="grace48@adventure-works.com"/>
    <n v="60000"/>
    <n v="1"/>
    <s v="Graduate Degree"/>
    <s v="Skilled Manual"/>
    <s v="Y"/>
    <s v="Canada"/>
    <x v="5"/>
    <s v="North America"/>
    <x v="0"/>
    <s v="Bikes"/>
    <n v="2181.5625"/>
    <n v="1320.6838"/>
    <n v="860.87869999999998"/>
    <n v="0.39461564818793898"/>
  </r>
  <r>
    <x v="240"/>
    <d v="2002-04-25T00:00:00"/>
    <s v="SO47121"/>
    <n v="375"/>
    <n v="28832"/>
    <n v="6"/>
    <n v="1"/>
    <n v="1"/>
    <n v="2"/>
    <s v="BK-R89B-48"/>
    <x v="25"/>
    <n v="1320.6838"/>
    <n v="2181.5625"/>
    <s v="MR."/>
    <s v="JOSEPH"/>
    <s v="RODRIGUEZ"/>
    <s v="JOSEPH RODRIGUEZ"/>
    <d v="1970-05-05T00:00:00"/>
    <s v="M"/>
    <s v="M"/>
    <s v="joseph27@adventure-works.com"/>
    <n v="40000"/>
    <n v="1"/>
    <s v="Bachelors"/>
    <s v="Skilled Manual"/>
    <s v="Y"/>
    <s v="Canada"/>
    <x v="5"/>
    <s v="North America"/>
    <x v="0"/>
    <s v="Bikes"/>
    <n v="2181.5625"/>
    <n v="1320.6838"/>
    <n v="860.87869999999998"/>
    <n v="0.39461564818793898"/>
  </r>
  <r>
    <x v="305"/>
    <d v="2002-05-23T00:00:00"/>
    <s v="SO47237"/>
    <n v="368"/>
    <n v="28834"/>
    <n v="6"/>
    <n v="1"/>
    <n v="1"/>
    <n v="2"/>
    <s v="BK-R89R-44"/>
    <x v="22"/>
    <n v="1518.7864"/>
    <n v="2443.35"/>
    <s v="MRS."/>
    <s v="NATALIE"/>
    <s v="HILL"/>
    <s v="NATALIE HILL"/>
    <d v="1969-04-28T00:00:00"/>
    <s v="M"/>
    <s v="F"/>
    <s v="natalie65@adventure-works.com"/>
    <n v="60000"/>
    <n v="2"/>
    <s v="Bachelors"/>
    <s v="Skilled Manual"/>
    <s v="Y"/>
    <s v="Canada"/>
    <x v="5"/>
    <s v="North America"/>
    <x v="0"/>
    <s v="Bikes"/>
    <n v="2443.35"/>
    <n v="1518.7864"/>
    <n v="924.56359999999995"/>
    <n v="0.37839998362903399"/>
  </r>
  <r>
    <x v="248"/>
    <d v="2002-07-13T00:00:00"/>
    <s v="SO47215"/>
    <n v="368"/>
    <n v="28836"/>
    <n v="6"/>
    <n v="1"/>
    <n v="1"/>
    <n v="2"/>
    <s v="BK-R89R-44"/>
    <x v="22"/>
    <n v="1518.7864"/>
    <n v="2443.35"/>
    <s v="MRS."/>
    <s v="LAUREN"/>
    <s v="COOK"/>
    <s v="LAUREN COOK"/>
    <d v="1971-08-08T00:00:00"/>
    <s v="S"/>
    <s v="F"/>
    <s v="lauren3@adventure-works.com"/>
    <n v="60000"/>
    <n v="1"/>
    <s v="Graduate Degree"/>
    <s v="Professional"/>
    <s v="N"/>
    <s v="Canada"/>
    <x v="5"/>
    <s v="North America"/>
    <x v="0"/>
    <s v="Bikes"/>
    <n v="2443.35"/>
    <n v="1518.7864"/>
    <n v="924.56359999999995"/>
    <n v="0.37839998362903399"/>
  </r>
  <r>
    <x v="244"/>
    <d v="2002-04-16T00:00:00"/>
    <s v="SO47156"/>
    <n v="373"/>
    <n v="28837"/>
    <n v="6"/>
    <n v="1"/>
    <n v="1"/>
    <n v="2"/>
    <s v="BK-R89B-44"/>
    <x v="19"/>
    <n v="1320.6838"/>
    <n v="2181.5625"/>
    <s v="MRS."/>
    <s v="VICTORIA"/>
    <s v="RODRIGUEZ"/>
    <s v="VICTORIA RODRIGUEZ"/>
    <d v="1971-10-20T00:00:00"/>
    <s v="M"/>
    <s v="F"/>
    <s v="victoria19@adventure-works.com"/>
    <n v="60000"/>
    <n v="1"/>
    <s v="Graduate Degree"/>
    <s v="Professional"/>
    <s v="N"/>
    <s v="Canada"/>
    <x v="5"/>
    <s v="North America"/>
    <x v="0"/>
    <s v="Bikes"/>
    <n v="2181.5625"/>
    <n v="1320.6838"/>
    <n v="860.87869999999998"/>
    <n v="0.39461564818793898"/>
  </r>
  <r>
    <x v="78"/>
    <d v="2002-07-30T00:00:00"/>
    <s v="SO47179"/>
    <n v="377"/>
    <n v="28848"/>
    <n v="6"/>
    <n v="1"/>
    <n v="1"/>
    <n v="2"/>
    <s v="BK-R89B-52"/>
    <x v="20"/>
    <n v="1320.6838"/>
    <n v="2181.5625"/>
    <s v="MR."/>
    <s v="JUSTIN"/>
    <s v="BUTLER"/>
    <s v="JUSTIN BUTLER"/>
    <d v="1967-07-26T00:00:00"/>
    <s v="S"/>
    <s v="M"/>
    <s v="justin11@adventure-works.com"/>
    <n v="40000"/>
    <n v="0"/>
    <s v="Bachelors"/>
    <s v="Professional"/>
    <s v="N"/>
    <s v="Canada"/>
    <x v="5"/>
    <s v="North America"/>
    <x v="0"/>
    <s v="Bikes"/>
    <n v="2181.5625"/>
    <n v="1320.6838"/>
    <n v="860.87869999999998"/>
    <n v="0.39461564818793898"/>
  </r>
  <r>
    <x v="106"/>
    <d v="2002-07-18T00:00:00"/>
    <s v="SO47110"/>
    <n v="370"/>
    <n v="28850"/>
    <n v="6"/>
    <n v="1"/>
    <n v="1"/>
    <n v="2"/>
    <s v="BK-R89R-52"/>
    <x v="23"/>
    <n v="1518.7864"/>
    <n v="2443.35"/>
    <s v="MR."/>
    <s v="NELSON"/>
    <s v="HERNANDEZ"/>
    <s v="NELSON HERNANDEZ"/>
    <d v="1970-11-04T00:00:00"/>
    <s v="S"/>
    <s v="M"/>
    <s v="nelson4@adventure-works.com"/>
    <n v="60000"/>
    <n v="1"/>
    <s v="Graduate Degree"/>
    <s v="Professional"/>
    <s v="N"/>
    <s v="Canada"/>
    <x v="5"/>
    <s v="North America"/>
    <x v="0"/>
    <s v="Bikes"/>
    <n v="2443.35"/>
    <n v="1518.7864"/>
    <n v="924.56359999999995"/>
    <n v="0.37839998362903399"/>
  </r>
  <r>
    <x v="253"/>
    <d v="2002-05-12T00:00:00"/>
    <s v="SO47272"/>
    <n v="371"/>
    <n v="29013"/>
    <n v="6"/>
    <n v="1"/>
    <n v="1"/>
    <n v="2"/>
    <s v="BK-R89R-58"/>
    <x v="24"/>
    <n v="1320.6838"/>
    <n v="2181.5625"/>
    <s v="MRS."/>
    <s v="EMMA"/>
    <s v="HALL"/>
    <s v="EMMA HALL"/>
    <d v="1950-05-10T00:00:00"/>
    <s v="S"/>
    <s v="F"/>
    <s v="emma23@adventure-works.com"/>
    <n v="40000"/>
    <n v="2"/>
    <s v="Partial High School"/>
    <s v="Skilled Manual"/>
    <s v="Y"/>
    <s v="Canada"/>
    <x v="5"/>
    <s v="North America"/>
    <x v="0"/>
    <s v="Bikes"/>
    <n v="2181.5625"/>
    <n v="1320.6838"/>
    <n v="860.87869999999998"/>
    <n v="0.39461564818793898"/>
  </r>
  <r>
    <x v="105"/>
    <d v="2002-07-22T00:00:00"/>
    <s v="SO47285"/>
    <n v="373"/>
    <n v="29135"/>
    <n v="6"/>
    <n v="1"/>
    <n v="1"/>
    <n v="2"/>
    <s v="BK-R89B-44"/>
    <x v="19"/>
    <n v="1320.6838"/>
    <n v="2181.5625"/>
    <s v="MR."/>
    <s v="ADAM"/>
    <s v="ALLEN"/>
    <s v="ADAM ALLEN"/>
    <d v="1964-10-04T00:00:00"/>
    <s v="M"/>
    <s v="M"/>
    <s v="adam52@adventure-works.com"/>
    <n v="60000"/>
    <n v="4"/>
    <s v="Bachelors"/>
    <s v="Skilled Manual"/>
    <s v="Y"/>
    <s v="Canada"/>
    <x v="5"/>
    <s v="North America"/>
    <x v="0"/>
    <s v="Bikes"/>
    <n v="2181.5625"/>
    <n v="1320.6838"/>
    <n v="860.87869999999998"/>
    <n v="0.39461564818793898"/>
  </r>
  <r>
    <x v="357"/>
    <d v="2001-09-24T00:00:00"/>
    <s v="SO45103"/>
    <n v="310"/>
    <n v="29140"/>
    <n v="1"/>
    <n v="1"/>
    <n v="1"/>
    <n v="2"/>
    <s v="BK-R93R-62"/>
    <x v="1"/>
    <n v="2171.2941999999998"/>
    <n v="3578.27"/>
    <s v="MR."/>
    <s v="RICHARD"/>
    <s v="WARD"/>
    <s v="RICHARD WARD"/>
    <d v="1963-11-28T00:00:00"/>
    <s v="S"/>
    <s v="M"/>
    <s v="richard84@adventure-works.com"/>
    <n v="60000"/>
    <n v="3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22"/>
    <d v="2001-11-11T00:00:00"/>
    <s v="SO45113"/>
    <n v="313"/>
    <n v="29141"/>
    <n v="4"/>
    <n v="1"/>
    <n v="1"/>
    <n v="2"/>
    <s v="BK-R93R-52"/>
    <x v="3"/>
    <n v="2171.2941999999998"/>
    <n v="3578.27"/>
    <s v="MRS."/>
    <s v="SUZANNE"/>
    <s v="WANG"/>
    <s v="SUZANNE WANG"/>
    <d v="1962-07-17T00:00:00"/>
    <s v="S"/>
    <s v="F"/>
    <s v="suzanne2@adventure-works.com"/>
    <n v="60000"/>
    <n v="1"/>
    <s v="Bachelors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357"/>
    <d v="2001-10-17T00:00:00"/>
    <s v="SO45104"/>
    <n v="310"/>
    <n v="29142"/>
    <n v="4"/>
    <n v="1"/>
    <n v="1"/>
    <n v="2"/>
    <s v="BK-R93R-62"/>
    <x v="1"/>
    <n v="2171.2941999999998"/>
    <n v="3578.27"/>
    <s v="MRS."/>
    <s v="ASHLEY"/>
    <s v="SMITH"/>
    <s v="ASHLEY SMITH"/>
    <d v="1962-05-24T00:00:00"/>
    <s v="M"/>
    <s v="F"/>
    <s v="ashley0@adventure-works.com"/>
    <n v="60000"/>
    <n v="1"/>
    <s v="Bachelors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339"/>
    <d v="2001-10-12T00:00:00"/>
    <s v="SO45084"/>
    <n v="310"/>
    <n v="29143"/>
    <n v="4"/>
    <n v="1"/>
    <n v="1"/>
    <n v="2"/>
    <s v="BK-R93R-62"/>
    <x v="1"/>
    <n v="2171.2941999999998"/>
    <n v="3578.27"/>
    <s v="MRS."/>
    <s v="GRACE"/>
    <s v="JENKINS"/>
    <s v="GRACE JENKINS"/>
    <d v="1962-03-16T00:00:00"/>
    <s v="S"/>
    <s v="F"/>
    <s v="grace54@adventure-works.com"/>
    <n v="60000"/>
    <n v="1"/>
    <s v="Bachelors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328"/>
    <d v="2001-11-01T00:00:00"/>
    <s v="SO45217"/>
    <n v="314"/>
    <n v="29144"/>
    <n v="1"/>
    <n v="1"/>
    <n v="1"/>
    <n v="2"/>
    <s v="BK-R93R-56"/>
    <x v="2"/>
    <n v="2171.2941999999998"/>
    <n v="3578.27"/>
    <s v="MR."/>
    <s v="BRANDON"/>
    <s v="ZHANG"/>
    <s v="BRANDON ZHANG"/>
    <d v="1962-02-11T00:00:00"/>
    <s v="M"/>
    <s v="M"/>
    <s v="brandon20@adventure-works.com"/>
    <n v="60000"/>
    <n v="1"/>
    <s v="Partial Colleg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325"/>
    <d v="2001-12-03T00:00:00"/>
    <s v="SO45189"/>
    <n v="310"/>
    <n v="29145"/>
    <n v="1"/>
    <n v="1"/>
    <n v="1"/>
    <n v="2"/>
    <s v="BK-R93R-62"/>
    <x v="1"/>
    <n v="2171.2941999999998"/>
    <n v="3578.27"/>
    <s v="MRS."/>
    <s v="SHELBY"/>
    <s v="GRAY"/>
    <s v="SHELBY GRAY"/>
    <d v="1962-08-10T00:00:00"/>
    <s v="M"/>
    <s v="F"/>
    <s v="shelby6@adventure-works.com"/>
    <n v="60000"/>
    <n v="1"/>
    <s v="Partial Colleg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22"/>
    <d v="2001-11-01T00:00:00"/>
    <s v="SO45114"/>
    <n v="310"/>
    <n v="29146"/>
    <n v="1"/>
    <n v="1"/>
    <n v="1"/>
    <n v="2"/>
    <s v="BK-R93R-62"/>
    <x v="1"/>
    <n v="2171.2941999999998"/>
    <n v="3578.27"/>
    <s v="MR."/>
    <s v="IAN"/>
    <s v="HENDERSON"/>
    <s v="IAN HENDERSON"/>
    <d v="1962-10-08T00:00:00"/>
    <s v="M"/>
    <s v="M"/>
    <s v="ian45@adventure-works.com"/>
    <n v="60000"/>
    <n v="1"/>
    <s v="Partial Colleg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51"/>
    <d v="2001-11-27T00:00:00"/>
    <s v="SO45235"/>
    <n v="314"/>
    <n v="29147"/>
    <n v="1"/>
    <n v="1"/>
    <n v="1"/>
    <n v="2"/>
    <s v="BK-R93R-56"/>
    <x v="2"/>
    <n v="2171.2941999999998"/>
    <n v="3578.27"/>
    <s v="MRS."/>
    <s v="MARY"/>
    <s v="ROBERTS"/>
    <s v="MARY ROBERTS"/>
    <d v="1961-02-14T00:00:00"/>
    <s v="S"/>
    <s v="F"/>
    <s v="mary17@adventure-works.com"/>
    <n v="40000"/>
    <n v="4"/>
    <s v="High School"/>
    <s v="Skilled Manual"/>
    <s v="N"/>
    <s v="Northwest"/>
    <x v="1"/>
    <s v="North America"/>
    <x v="0"/>
    <s v="Bikes"/>
    <n v="3578.27"/>
    <n v="2171.2941999999998"/>
    <n v="1406.9757999999999"/>
    <n v="0.39320001006072802"/>
  </r>
  <r>
    <x v="20"/>
    <d v="2002-01-05T00:00:00"/>
    <s v="SO45200"/>
    <n v="311"/>
    <n v="29148"/>
    <n v="4"/>
    <n v="1"/>
    <n v="1"/>
    <n v="2"/>
    <s v="BK-R93R-44"/>
    <x v="4"/>
    <n v="2171.2941999999998"/>
    <n v="3578.27"/>
    <s v="MRS."/>
    <s v="GABRIELLA"/>
    <s v="MURPHY"/>
    <s v="GABRIELLA MURPHY"/>
    <d v="1961-11-13T00:00:00"/>
    <s v="S"/>
    <s v="F"/>
    <s v="gabriella13@adventure-works.com"/>
    <n v="40000"/>
    <n v="4"/>
    <s v="High School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257"/>
    <d v="2002-06-02T00:00:00"/>
    <s v="SO47572"/>
    <n v="368"/>
    <n v="29149"/>
    <n v="6"/>
    <n v="1"/>
    <n v="1"/>
    <n v="2"/>
    <s v="BK-R89R-44"/>
    <x v="22"/>
    <n v="1518.7864"/>
    <n v="2443.35"/>
    <s v="MRS."/>
    <s v="ARIANA"/>
    <s v="BELL"/>
    <s v="ARIANA BELL"/>
    <d v="1961-08-20T00:00:00"/>
    <s v="M"/>
    <s v="F"/>
    <s v="ariana12@adventure-works.com"/>
    <n v="60000"/>
    <n v="1"/>
    <s v="Partial College"/>
    <s v="Skilled Manual"/>
    <s v="Y"/>
    <s v="Canada"/>
    <x v="5"/>
    <s v="North America"/>
    <x v="0"/>
    <s v="Bikes"/>
    <n v="2443.35"/>
    <n v="1518.7864"/>
    <n v="924.56359999999995"/>
    <n v="0.37839998362903399"/>
  </r>
  <r>
    <x v="17"/>
    <d v="2001-10-05T00:00:00"/>
    <s v="SO45260"/>
    <n v="310"/>
    <n v="29150"/>
    <n v="1"/>
    <n v="1"/>
    <n v="1"/>
    <n v="2"/>
    <s v="BK-R93R-62"/>
    <x v="1"/>
    <n v="2171.2941999999998"/>
    <n v="3578.27"/>
    <s v="MR."/>
    <s v="WYATT"/>
    <s v="GRIFFIN"/>
    <s v="WYATT GRIFFIN"/>
    <d v="1961-07-12T00:00:00"/>
    <s v="M"/>
    <s v="M"/>
    <s v="wyatt49@adventure-works.com"/>
    <n v="60000"/>
    <n v="1"/>
    <s v="Partial Colleg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0"/>
    <d v="2001-10-30T00:00:00"/>
    <s v="SO45097"/>
    <n v="313"/>
    <n v="29151"/>
    <n v="4"/>
    <n v="1"/>
    <n v="1"/>
    <n v="2"/>
    <s v="BK-R93R-52"/>
    <x v="3"/>
    <n v="2171.2941999999998"/>
    <n v="3578.27"/>
    <s v="MRS."/>
    <s v="CAROLINE"/>
    <s v="LONG"/>
    <s v="CAROLINE LONG"/>
    <d v="1961-03-23T00:00:00"/>
    <s v="M"/>
    <s v="F"/>
    <s v="caroline10@adventure-works.com"/>
    <n v="60000"/>
    <n v="1"/>
    <s v="Partial College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269"/>
    <d v="2002-07-04T00:00:00"/>
    <s v="SO47581"/>
    <n v="375"/>
    <n v="29152"/>
    <n v="6"/>
    <n v="1"/>
    <n v="1"/>
    <n v="2"/>
    <s v="BK-R89B-48"/>
    <x v="25"/>
    <n v="1320.6838"/>
    <n v="2181.5625"/>
    <s v="MR."/>
    <s v="STEVEN"/>
    <s v="SANDERS"/>
    <s v="STEVEN SANDERS"/>
    <d v="1961-07-25T00:00:00"/>
    <s v="M"/>
    <s v="M"/>
    <s v="steven13@adventure-works.com"/>
    <n v="60000"/>
    <n v="1"/>
    <s v="Partial College"/>
    <s v="Skilled Manual"/>
    <s v="N"/>
    <s v="Canada"/>
    <x v="5"/>
    <s v="North America"/>
    <x v="0"/>
    <s v="Bikes"/>
    <n v="2181.5625"/>
    <n v="1320.6838"/>
    <n v="860.87869999999998"/>
    <n v="0.39461564818793898"/>
  </r>
  <r>
    <x v="362"/>
    <d v="2002-08-05T00:00:00"/>
    <s v="SO47928"/>
    <n v="377"/>
    <n v="29154"/>
    <n v="6"/>
    <n v="1"/>
    <n v="1"/>
    <n v="2"/>
    <s v="BK-R89B-52"/>
    <x v="20"/>
    <n v="1320.6838"/>
    <n v="2181.5625"/>
    <s v="MR."/>
    <s v="EDUARDO"/>
    <s v="BENNETT"/>
    <s v="EDUARDO BENNETT"/>
    <d v="1967-09-16T00:00:00"/>
    <s v="S"/>
    <s v="M"/>
    <s v="eduardo45@adventure-works.com"/>
    <n v="60000"/>
    <n v="0"/>
    <s v="Partial College"/>
    <s v="Skilled Manual"/>
    <s v="N"/>
    <s v="Canada"/>
    <x v="5"/>
    <s v="North America"/>
    <x v="0"/>
    <s v="Bikes"/>
    <n v="2181.5625"/>
    <n v="1320.6838"/>
    <n v="860.87869999999998"/>
    <n v="0.39461564818793898"/>
  </r>
  <r>
    <x v="16"/>
    <d v="2001-12-11T00:00:00"/>
    <s v="SO45240"/>
    <n v="310"/>
    <n v="29155"/>
    <n v="1"/>
    <n v="1"/>
    <n v="1"/>
    <n v="2"/>
    <s v="BK-R93R-62"/>
    <x v="1"/>
    <n v="2171.2941999999998"/>
    <n v="3578.27"/>
    <s v="MS."/>
    <s v="GABRIELLA"/>
    <s v="KELLY"/>
    <s v="GABRIELLA KELLY"/>
    <d v="1967-10-08T00:00:00"/>
    <s v="S"/>
    <s v="F"/>
    <s v="gabriella0@adventure-works.com"/>
    <n v="60000"/>
    <n v="0"/>
    <s v="Partial College"/>
    <s v="Skilled Manual"/>
    <s v="N"/>
    <s v="Northwest"/>
    <x v="1"/>
    <s v="North America"/>
    <x v="0"/>
    <s v="Bikes"/>
    <n v="3578.27"/>
    <n v="2171.2941999999998"/>
    <n v="1406.9757999999999"/>
    <n v="0.39320001006072802"/>
  </r>
  <r>
    <x v="10"/>
    <d v="2001-11-22T00:00:00"/>
    <s v="SO45207"/>
    <n v="312"/>
    <n v="29156"/>
    <n v="4"/>
    <n v="1"/>
    <n v="1"/>
    <n v="2"/>
    <s v="BK-R93R-48"/>
    <x v="0"/>
    <n v="2171.2941999999998"/>
    <n v="3578.27"/>
    <s v="MS."/>
    <s v="ASHLEY"/>
    <s v="BARNES"/>
    <s v="ASHLEY BARNES"/>
    <d v="1967-10-22T00:00:00"/>
    <s v="S"/>
    <s v="F"/>
    <s v="ashley29@adventure-works.com"/>
    <n v="60000"/>
    <n v="0"/>
    <s v="Graduate Degre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21"/>
    <d v="2001-10-30T00:00:00"/>
    <s v="SO45173"/>
    <n v="314"/>
    <n v="29157"/>
    <n v="4"/>
    <n v="1"/>
    <n v="1"/>
    <n v="2"/>
    <s v="BK-R93R-56"/>
    <x v="2"/>
    <n v="2171.2941999999998"/>
    <n v="3578.27"/>
    <s v="MR."/>
    <s v="SETH"/>
    <s v="POWELL"/>
    <s v="SETH POWELL"/>
    <d v="1967-04-27T00:00:00"/>
    <s v="S"/>
    <s v="M"/>
    <s v="seth56@adventure-works.com"/>
    <n v="60000"/>
    <n v="0"/>
    <s v="Graduate Degre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14"/>
    <d v="2001-12-12T00:00:00"/>
    <s v="SO45127"/>
    <n v="313"/>
    <n v="29158"/>
    <n v="1"/>
    <n v="1"/>
    <n v="1"/>
    <n v="2"/>
    <s v="BK-R93R-52"/>
    <x v="3"/>
    <n v="2171.2941999999998"/>
    <n v="3578.27"/>
    <s v="MR."/>
    <s v="IAN"/>
    <s v="EDWARDS"/>
    <s v="IAN EDWARDS"/>
    <d v="1960-12-11T00:00:00"/>
    <s v="M"/>
    <s v="M"/>
    <s v="ian38@adventure-works.com"/>
    <n v="60000"/>
    <n v="1"/>
    <s v="Partial College"/>
    <s v="Skilled Manual"/>
    <s v="Y"/>
    <s v="Northwest"/>
    <x v="1"/>
    <s v="North America"/>
    <x v="0"/>
    <s v="Bikes"/>
    <n v="3578.27"/>
    <n v="2171.2941999999998"/>
    <n v="1406.9757999999999"/>
    <n v="0.39320001006072802"/>
  </r>
  <r>
    <x v="280"/>
    <d v="2002-10-05T00:00:00"/>
    <s v="SO47913"/>
    <n v="368"/>
    <n v="29159"/>
    <n v="6"/>
    <n v="1"/>
    <n v="1"/>
    <n v="2"/>
    <s v="BK-R89R-44"/>
    <x v="22"/>
    <n v="1518.7864"/>
    <n v="2443.35"/>
    <s v="MRS."/>
    <s v="EMMA"/>
    <s v="MORGAN"/>
    <s v="EMMA MORGAN"/>
    <d v="1960-07-14T00:00:00"/>
    <s v="M"/>
    <s v="F"/>
    <s v="emma30@adventure-works.com"/>
    <n v="60000"/>
    <n v="1"/>
    <s v="Partial College"/>
    <s v="Skilled Manual"/>
    <s v="Y"/>
    <s v="Canada"/>
    <x v="5"/>
    <s v="North America"/>
    <x v="0"/>
    <s v="Bikes"/>
    <n v="2443.35"/>
    <n v="1518.7864"/>
    <n v="924.56359999999995"/>
    <n v="0.37839998362903399"/>
  </r>
  <r>
    <x v="37"/>
    <d v="2001-09-26T00:00:00"/>
    <s v="SO45133"/>
    <n v="314"/>
    <n v="29163"/>
    <n v="1"/>
    <n v="1"/>
    <n v="1"/>
    <n v="2"/>
    <s v="BK-R93R-56"/>
    <x v="2"/>
    <n v="2171.2941999999998"/>
    <n v="3578.27"/>
    <s v="MR."/>
    <s v="MASON"/>
    <s v="MURPHY"/>
    <s v="MASON MURPHY"/>
    <d v="1959-02-06T00:00:00"/>
    <s v="S"/>
    <s v="M"/>
    <s v="mason14@adventure-works.com"/>
    <n v="60000"/>
    <n v="4"/>
    <s v="Bachelors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324"/>
    <d v="2001-11-28T00:00:00"/>
    <s v="SO45147"/>
    <n v="312"/>
    <n v="29166"/>
    <n v="4"/>
    <n v="1"/>
    <n v="1"/>
    <n v="2"/>
    <s v="BK-R93R-48"/>
    <x v="0"/>
    <n v="2171.2941999999998"/>
    <n v="3578.27"/>
    <s v="MR."/>
    <s v="JAIME"/>
    <s v="HERNANDEZ"/>
    <s v="JAIME HERNANDEZ"/>
    <d v="1959-05-02T00:00:00"/>
    <s v="S"/>
    <s v="M"/>
    <s v="jaime46@adventure-works.com"/>
    <n v="80000"/>
    <n v="2"/>
    <s v="Graduate Degre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0"/>
    <d v="2001-09-15T00:00:00"/>
    <s v="SO45098"/>
    <n v="310"/>
    <n v="29167"/>
    <n v="1"/>
    <n v="1"/>
    <n v="1"/>
    <n v="2"/>
    <s v="BK-R93R-62"/>
    <x v="1"/>
    <n v="2171.2941999999998"/>
    <n v="3578.27"/>
    <s v="MRS."/>
    <s v="DAWN"/>
    <s v="SHEN"/>
    <s v="DAWN SHEN"/>
    <d v="1959-03-12T00:00:00"/>
    <s v="S"/>
    <s v="F"/>
    <s v="dawn26@adventure-works.com"/>
    <n v="80000"/>
    <n v="2"/>
    <s v="Graduate Degre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20"/>
    <d v="2001-11-22T00:00:00"/>
    <s v="SO45201"/>
    <n v="312"/>
    <n v="29168"/>
    <n v="4"/>
    <n v="1"/>
    <n v="1"/>
    <n v="2"/>
    <s v="BK-R93R-48"/>
    <x v="0"/>
    <n v="2171.2941999999998"/>
    <n v="3578.27"/>
    <s v="MR."/>
    <s v="DERRICK"/>
    <s v="ROMERO"/>
    <s v="DERRICK ROMERO"/>
    <d v="1959-02-26T00:00:00"/>
    <s v="S"/>
    <s v="M"/>
    <s v="derrick9@adventure-works.com"/>
    <n v="80000"/>
    <n v="4"/>
    <s v="Graduate Degre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352"/>
    <d v="2001-09-24T00:00:00"/>
    <s v="SO45121"/>
    <n v="310"/>
    <n v="29169"/>
    <n v="1"/>
    <n v="1"/>
    <n v="1"/>
    <n v="2"/>
    <s v="BK-R93R-62"/>
    <x v="1"/>
    <n v="2171.2941999999998"/>
    <n v="3578.27"/>
    <s v="MRS."/>
    <s v="VICTORIA"/>
    <s v="BAILEY"/>
    <s v="VICTORIA BAILEY"/>
    <d v="1958-09-18T00:00:00"/>
    <s v="S"/>
    <s v="F"/>
    <s v="victoria33@adventure-works.com"/>
    <n v="60000"/>
    <n v="1"/>
    <s v="Bachelors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18"/>
    <d v="2001-09-29T00:00:00"/>
    <s v="SO45090"/>
    <n v="310"/>
    <n v="29170"/>
    <n v="4"/>
    <n v="1"/>
    <n v="1"/>
    <n v="2"/>
    <s v="BK-R93R-62"/>
    <x v="1"/>
    <n v="2171.2941999999998"/>
    <n v="3578.27"/>
    <s v="MRS."/>
    <s v="ALEXANDRA"/>
    <s v="ADAMS"/>
    <s v="ALEXANDRA ADAMS"/>
    <d v="1958-10-16T00:00:00"/>
    <s v="S"/>
    <s v="F"/>
    <s v="alexandra57@adventure-works.com"/>
    <n v="60000"/>
    <n v="1"/>
    <s v="Bachelors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0"/>
    <d v="2001-12-20T00:00:00"/>
    <s v="SO45099"/>
    <n v="312"/>
    <n v="29174"/>
    <n v="1"/>
    <n v="1"/>
    <n v="1"/>
    <n v="2"/>
    <s v="BK-R93R-48"/>
    <x v="0"/>
    <n v="2171.2941999999998"/>
    <n v="3578.27"/>
    <s v="MR."/>
    <s v="RICHARD"/>
    <s v="PARKER"/>
    <s v="RICHARD PARKER"/>
    <d v="1958-11-15T00:00:00"/>
    <s v="S"/>
    <s v="M"/>
    <s v="richard36@adventure-works.com"/>
    <n v="80000"/>
    <n v="5"/>
    <s v="Graduate Degre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17"/>
    <d v="2001-12-10T00:00:00"/>
    <s v="SO45261"/>
    <n v="312"/>
    <n v="29175"/>
    <n v="1"/>
    <n v="1"/>
    <n v="1"/>
    <n v="2"/>
    <s v="BK-R93R-48"/>
    <x v="0"/>
    <n v="2171.2941999999998"/>
    <n v="3578.27"/>
    <s v="MR."/>
    <s v="SEAN"/>
    <s v="RIVERA"/>
    <s v="SEAN RIVERA"/>
    <d v="1958-08-06T00:00:00"/>
    <s v="M"/>
    <s v="M"/>
    <s v="sean24@adventure-works.com"/>
    <n v="80000"/>
    <n v="5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21"/>
    <d v="2001-11-29T00:00:00"/>
    <s v="SO45174"/>
    <n v="313"/>
    <n v="29198"/>
    <n v="4"/>
    <n v="1"/>
    <n v="1"/>
    <n v="2"/>
    <s v="BK-R93R-52"/>
    <x v="3"/>
    <n v="2171.2941999999998"/>
    <n v="3578.27"/>
    <s v="MRS."/>
    <s v="FAITH"/>
    <s v="RAMIREZ"/>
    <s v="FAITH RAMIREZ"/>
    <d v="1953-07-06T00:00:00"/>
    <s v="M"/>
    <s v="F"/>
    <s v="faith28@adventure-works.com"/>
    <n v="60000"/>
    <n v="3"/>
    <s v="Partial High School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10"/>
    <d v="2002-01-06T00:00:00"/>
    <s v="SO45209"/>
    <n v="314"/>
    <n v="29201"/>
    <n v="4"/>
    <n v="1"/>
    <n v="1"/>
    <n v="2"/>
    <s v="BK-R93R-56"/>
    <x v="2"/>
    <n v="2171.2941999999998"/>
    <n v="3578.27"/>
    <s v="MRS."/>
    <s v="KARA"/>
    <s v="JAI"/>
    <s v="KARA JAI"/>
    <d v="1957-05-18T00:00:00"/>
    <s v="S"/>
    <s v="F"/>
    <s v="kara10@adventure-works.com"/>
    <n v="70000"/>
    <n v="3"/>
    <s v="Partial Colleg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23"/>
    <d v="2001-11-27T00:00:00"/>
    <s v="SO45151"/>
    <n v="314"/>
    <n v="29202"/>
    <n v="1"/>
    <n v="1"/>
    <n v="1"/>
    <n v="2"/>
    <s v="BK-R93R-56"/>
    <x v="2"/>
    <n v="2171.2941999999998"/>
    <n v="3578.27"/>
    <s v="MR."/>
    <s v="JERRY"/>
    <s v="KUMAR"/>
    <s v="JERRY KUMAR"/>
    <d v="1957-11-18T00:00:00"/>
    <s v="M"/>
    <s v="M"/>
    <s v="jerry8@adventure-works.com"/>
    <n v="70000"/>
    <n v="3"/>
    <s v="Partial Colleg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6"/>
    <d v="2001-12-25T00:00:00"/>
    <s v="SO45241"/>
    <n v="311"/>
    <n v="29203"/>
    <n v="4"/>
    <n v="1"/>
    <n v="1"/>
    <n v="2"/>
    <s v="BK-R93R-44"/>
    <x v="4"/>
    <n v="2171.2941999999998"/>
    <n v="3578.27"/>
    <s v="MRS."/>
    <s v="LAURA"/>
    <s v="HU"/>
    <s v="LAURA HU"/>
    <d v="1957-04-28T00:00:00"/>
    <s v="M"/>
    <s v="F"/>
    <s v="laura26@adventure-works.com"/>
    <n v="70000"/>
    <n v="3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22"/>
    <d v="2001-11-24T00:00:00"/>
    <s v="SO45116"/>
    <n v="311"/>
    <n v="29204"/>
    <n v="1"/>
    <n v="1"/>
    <n v="1"/>
    <n v="2"/>
    <s v="BK-R93R-44"/>
    <x v="4"/>
    <n v="2171.2941999999998"/>
    <n v="3578.27"/>
    <s v="MR."/>
    <s v="AUSTIN"/>
    <s v="SHARMA"/>
    <s v="AUSTIN SHARMA"/>
    <d v="1957-11-26T00:00:00"/>
    <s v="S"/>
    <s v="M"/>
    <s v="austin27@adventure-works.com"/>
    <n v="90000"/>
    <n v="2"/>
    <s v="Partial Colleg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328"/>
    <d v="2001-12-04T00:00:00"/>
    <s v="SO45220"/>
    <n v="312"/>
    <n v="29207"/>
    <n v="1"/>
    <n v="1"/>
    <n v="1"/>
    <n v="2"/>
    <s v="BK-R93R-48"/>
    <x v="0"/>
    <n v="2171.2941999999998"/>
    <n v="3578.27"/>
    <s v="MRS."/>
    <s v="KATELYN"/>
    <s v="JAMES"/>
    <s v="KATELYN JAMES"/>
    <d v="1956-01-27T00:00:00"/>
    <s v="M"/>
    <s v="F"/>
    <s v="katelyn6@adventure-works.com"/>
    <n v="60000"/>
    <n v="2"/>
    <s v="High School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2"/>
    <d v="2001-11-11T00:00:00"/>
    <s v="SO45215"/>
    <n v="312"/>
    <n v="29208"/>
    <n v="1"/>
    <n v="1"/>
    <n v="1"/>
    <n v="2"/>
    <s v="BK-R93R-48"/>
    <x v="0"/>
    <n v="2171.2941999999998"/>
    <n v="3578.27"/>
    <s v="MRS."/>
    <s v="AMBER"/>
    <s v="LOPEZ"/>
    <s v="AMBER LOPEZ"/>
    <d v="1956-11-12T00:00:00"/>
    <s v="M"/>
    <s v="F"/>
    <s v="amber21@adventure-works.com"/>
    <n v="60000"/>
    <n v="2"/>
    <s v="High School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334"/>
    <d v="2001-11-21T00:00:00"/>
    <s v="SO45194"/>
    <n v="313"/>
    <n v="29221"/>
    <n v="4"/>
    <n v="1"/>
    <n v="1"/>
    <n v="2"/>
    <s v="BK-R93R-52"/>
    <x v="3"/>
    <n v="2171.2941999999998"/>
    <n v="3578.27"/>
    <s v="MRS."/>
    <s v="KELLY"/>
    <s v="BENNETT"/>
    <s v="KELLY BENNETT"/>
    <d v="1964-06-09T00:00:00"/>
    <s v="S"/>
    <s v="F"/>
    <s v="kelly5@adventure-works.com"/>
    <n v="150000"/>
    <n v="1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"/>
    <d v="2001-12-25T00:00:00"/>
    <s v="SO45141"/>
    <n v="312"/>
    <n v="29222"/>
    <n v="4"/>
    <n v="1"/>
    <n v="1"/>
    <n v="2"/>
    <s v="BK-R93R-48"/>
    <x v="0"/>
    <n v="2171.2941999999998"/>
    <n v="3578.27"/>
    <s v="MR."/>
    <s v="EVAN"/>
    <s v="PEREZ"/>
    <s v="EVAN PEREZ"/>
    <d v="1964-05-04T00:00:00"/>
    <s v="M"/>
    <s v="M"/>
    <s v="evan28@adventure-works.com"/>
    <n v="160000"/>
    <n v="0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16"/>
    <d v="2001-11-15T00:00:00"/>
    <s v="SO45242"/>
    <n v="311"/>
    <n v="29223"/>
    <n v="1"/>
    <n v="1"/>
    <n v="1"/>
    <n v="2"/>
    <s v="BK-R93R-44"/>
    <x v="4"/>
    <n v="2171.2941999999998"/>
    <n v="3578.27"/>
    <s v="MR."/>
    <s v="ANGEL"/>
    <s v="PHILLIPS"/>
    <s v="ANGEL PHILLIPS"/>
    <d v="1956-01-15T00:00:00"/>
    <s v="S"/>
    <s v="M"/>
    <s v="angel28@adventure-works.com"/>
    <n v="70000"/>
    <n v="4"/>
    <s v="Partial Colleg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17"/>
    <d v="2001-10-15T00:00:00"/>
    <s v="SO45259"/>
    <n v="314"/>
    <n v="29225"/>
    <n v="1"/>
    <n v="1"/>
    <n v="1"/>
    <n v="2"/>
    <s v="BK-R93R-56"/>
    <x v="2"/>
    <n v="2171.2941999999998"/>
    <n v="3578.27"/>
    <s v="MR."/>
    <s v="MATTHEW"/>
    <s v="LEE"/>
    <s v="MATTHEW LEE"/>
    <d v="1956-04-09T00:00:00"/>
    <s v="S"/>
    <s v="M"/>
    <s v="matthew26@adventure-works.com"/>
    <n v="80000"/>
    <n v="3"/>
    <s v="Partial Colleg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352"/>
    <d v="2001-12-23T00:00:00"/>
    <s v="SO45122"/>
    <n v="314"/>
    <n v="29236"/>
    <n v="4"/>
    <n v="1"/>
    <n v="1"/>
    <n v="2"/>
    <s v="BK-R93R-56"/>
    <x v="2"/>
    <n v="2171.2941999999998"/>
    <n v="3578.27"/>
    <s v="MR."/>
    <s v="ERIC"/>
    <s v="YOUNG"/>
    <s v="ERIC YOUNG"/>
    <d v="1963-04-04T00:00:00"/>
    <s v="S"/>
    <s v="M"/>
    <s v="eric58@adventure-works.com"/>
    <n v="12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314"/>
    <d v="2001-12-16T00:00:00"/>
    <s v="SO45253"/>
    <n v="314"/>
    <n v="29237"/>
    <n v="4"/>
    <n v="1"/>
    <n v="1"/>
    <n v="2"/>
    <s v="BK-R93R-56"/>
    <x v="2"/>
    <n v="2171.2941999999998"/>
    <n v="3578.27"/>
    <s v="MRS."/>
    <s v="JENNIFER"/>
    <s v="JENKINS"/>
    <s v="JENNIFER JENKINS"/>
    <d v="1963-08-17T00:00:00"/>
    <s v="S"/>
    <s v="F"/>
    <s v="jennifer81@adventure-works.com"/>
    <n v="120000"/>
    <n v="4"/>
    <s v="Partial College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21"/>
    <d v="2001-10-23T00:00:00"/>
    <s v="SO45175"/>
    <n v="313"/>
    <n v="29238"/>
    <n v="4"/>
    <n v="1"/>
    <n v="1"/>
    <n v="2"/>
    <s v="BK-R93R-52"/>
    <x v="3"/>
    <n v="2171.2941999999998"/>
    <n v="3578.27"/>
    <s v="MR."/>
    <s v="XAVIER"/>
    <s v="POWELL"/>
    <s v="XAVIER POWELL"/>
    <d v="1963-06-15T00:00:00"/>
    <s v="S"/>
    <s v="M"/>
    <s v="xavier50@adventure-works.com"/>
    <n v="150000"/>
    <n v="4"/>
    <s v="Partial Colleg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10"/>
    <d v="2001-10-11T00:00:00"/>
    <s v="SO45210"/>
    <n v="311"/>
    <n v="29239"/>
    <n v="4"/>
    <n v="1"/>
    <n v="1"/>
    <n v="2"/>
    <s v="BK-R93R-44"/>
    <x v="4"/>
    <n v="2171.2941999999998"/>
    <n v="3578.27"/>
    <s v="MRS."/>
    <s v="SAMANTHA"/>
    <s v="MILLER"/>
    <s v="SAMANTHA MILLER"/>
    <d v="1963-06-14T00:00:00"/>
    <s v="S"/>
    <s v="F"/>
    <s v="samantha7@adventure-works.com"/>
    <n v="150000"/>
    <n v="4"/>
    <s v="Partial Colleg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314"/>
    <d v="2001-10-19T00:00:00"/>
    <s v="SO45254"/>
    <n v="314"/>
    <n v="29252"/>
    <n v="4"/>
    <n v="1"/>
    <n v="1"/>
    <n v="2"/>
    <s v="BK-R93R-56"/>
    <x v="2"/>
    <n v="2171.2941999999998"/>
    <n v="3578.27"/>
    <s v="MR."/>
    <s v="ALEX"/>
    <s v="PARKER"/>
    <s v="ALEX PARKER"/>
    <d v="1961-09-08T00:00:00"/>
    <s v="M"/>
    <s v="M"/>
    <s v="alex26@adventure-works.com"/>
    <n v="130000"/>
    <n v="1"/>
    <s v="Bachelors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21"/>
    <d v="2001-11-22T00:00:00"/>
    <s v="SO45176"/>
    <n v="313"/>
    <n v="29254"/>
    <n v="1"/>
    <n v="1"/>
    <n v="1"/>
    <n v="2"/>
    <s v="BK-R93R-52"/>
    <x v="3"/>
    <n v="2171.2941999999998"/>
    <n v="3578.27"/>
    <s v="MRS."/>
    <s v="ERIN"/>
    <s v="SANCHEZ"/>
    <s v="ERIN SANCHEZ"/>
    <d v="1955-10-15T00:00:00"/>
    <s v="M"/>
    <s v="F"/>
    <s v="erin27@adventure-works.com"/>
    <n v="60000"/>
    <n v="2"/>
    <s v="High School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15"/>
    <d v="2001-12-05T00:00:00"/>
    <s v="SO45079"/>
    <n v="312"/>
    <n v="29255"/>
    <n v="4"/>
    <n v="1"/>
    <n v="1"/>
    <n v="2"/>
    <s v="BK-R93R-48"/>
    <x v="0"/>
    <n v="2171.2941999999998"/>
    <n v="3578.27"/>
    <s v="MR."/>
    <s v="KYLE"/>
    <s v="WASHINGTON"/>
    <s v="KYLE WASHINGTON"/>
    <d v="1955-04-11T00:00:00"/>
    <s v="S"/>
    <s v="M"/>
    <s v="kyle8@adventure-works.com"/>
    <n v="80000"/>
    <n v="3"/>
    <s v="Partial College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314"/>
    <d v="2001-10-16T00:00:00"/>
    <s v="SO45255"/>
    <n v="314"/>
    <n v="29258"/>
    <n v="1"/>
    <n v="1"/>
    <n v="1"/>
    <n v="2"/>
    <s v="BK-R93R-56"/>
    <x v="2"/>
    <n v="2171.2941999999998"/>
    <n v="3578.27"/>
    <s v="MRS."/>
    <s v="MAKAYLA"/>
    <s v="JAMES"/>
    <s v="MAKAYLA JAMES"/>
    <d v="1955-09-22T00:00:00"/>
    <s v="M"/>
    <s v="F"/>
    <s v="makayla8@adventure-works.com"/>
    <n v="90000"/>
    <n v="2"/>
    <s v="High School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2"/>
    <d v="2001-10-14T00:00:00"/>
    <s v="SO45216"/>
    <n v="313"/>
    <n v="29261"/>
    <n v="4"/>
    <n v="1"/>
    <n v="1"/>
    <n v="2"/>
    <s v="BK-R93R-52"/>
    <x v="3"/>
    <n v="2171.2941999999998"/>
    <n v="3578.27"/>
    <s v="MR."/>
    <s v="ROBERT"/>
    <s v="TURNER"/>
    <s v="ROBERT TURNER"/>
    <d v="1935-03-15T00:00:00"/>
    <s v="S"/>
    <s v="M"/>
    <s v="robert48@adventure-works.com"/>
    <n v="130000"/>
    <n v="2"/>
    <s v="Graduate Degree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37"/>
    <d v="2001-12-03T00:00:00"/>
    <s v="SO45135"/>
    <n v="310"/>
    <n v="29264"/>
    <n v="4"/>
    <n v="1"/>
    <n v="1"/>
    <n v="2"/>
    <s v="BK-R93R-62"/>
    <x v="1"/>
    <n v="2171.2941999999998"/>
    <n v="3578.27"/>
    <s v="MRS."/>
    <s v="RILEY"/>
    <s v="BROOKS"/>
    <s v="RILEY BROOKS"/>
    <d v="1936-01-27T00:00:00"/>
    <s v="M"/>
    <s v="F"/>
    <s v="riley21@adventure-works.com"/>
    <n v="90000"/>
    <n v="4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17"/>
    <d v="2001-11-30T00:00:00"/>
    <s v="SO45262"/>
    <n v="313"/>
    <n v="29265"/>
    <n v="4"/>
    <n v="1"/>
    <n v="1"/>
    <n v="2"/>
    <s v="BK-R93R-52"/>
    <x v="3"/>
    <n v="2171.2941999999998"/>
    <n v="3578.27"/>
    <s v="MRS."/>
    <s v="MARISSA"/>
    <s v="DIAZ"/>
    <s v="MARISSA DIAZ"/>
    <d v="1936-11-08T00:00:00"/>
    <s v="S"/>
    <s v="F"/>
    <s v="marissa17@adventure-works.com"/>
    <n v="90000"/>
    <n v="4"/>
    <s v="Bachelors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354"/>
    <d v="2001-11-24T00:00:00"/>
    <s v="SO45102"/>
    <n v="310"/>
    <n v="29274"/>
    <n v="4"/>
    <n v="1"/>
    <n v="1"/>
    <n v="2"/>
    <s v="BK-R93R-62"/>
    <x v="1"/>
    <n v="2171.2941999999998"/>
    <n v="3578.27"/>
    <s v="MR."/>
    <s v="MIGUEL"/>
    <s v="GREEN"/>
    <s v="MIGUEL GREEN"/>
    <d v="1960-07-22T00:00:00"/>
    <s v="S"/>
    <s v="M"/>
    <s v="miguel31@adventure-works.com"/>
    <n v="120000"/>
    <n v="5"/>
    <s v="High School"/>
    <s v="Professional"/>
    <s v="Y"/>
    <s v="Southwest"/>
    <x v="1"/>
    <s v="North America"/>
    <x v="0"/>
    <s v="Bikes"/>
    <n v="3578.27"/>
    <n v="2171.2941999999998"/>
    <n v="1406.9757999999999"/>
    <n v="0.39320001006072802"/>
  </r>
  <r>
    <x v="357"/>
    <d v="2001-12-14T00:00:00"/>
    <s v="SO45107"/>
    <n v="312"/>
    <n v="29275"/>
    <n v="4"/>
    <n v="1"/>
    <n v="1"/>
    <n v="2"/>
    <s v="BK-R93R-48"/>
    <x v="0"/>
    <n v="2171.2941999999998"/>
    <n v="3578.27"/>
    <s v="MRS."/>
    <s v="TAYLOR"/>
    <s v="THOMAS"/>
    <s v="TAYLOR THOMAS"/>
    <d v="1953-05-15T00:00:00"/>
    <s v="S"/>
    <s v="F"/>
    <s v="taylor58@adventure-works.com"/>
    <n v="70000"/>
    <n v="3"/>
    <s v="Graduate Degree"/>
    <s v="Management"/>
    <s v="N"/>
    <s v="Southwest"/>
    <x v="1"/>
    <s v="North America"/>
    <x v="0"/>
    <s v="Bikes"/>
    <n v="3578.27"/>
    <n v="2171.2941999999998"/>
    <n v="1406.9757999999999"/>
    <n v="0.39320001006072802"/>
  </r>
  <r>
    <x v="23"/>
    <d v="2001-12-25T00:00:00"/>
    <s v="SO45152"/>
    <n v="310"/>
    <n v="29276"/>
    <n v="1"/>
    <n v="1"/>
    <n v="1"/>
    <n v="2"/>
    <s v="BK-R93R-62"/>
    <x v="1"/>
    <n v="2171.2941999999998"/>
    <n v="3578.27"/>
    <s v="MRS."/>
    <s v="SYDNEY"/>
    <s v="FLORES"/>
    <s v="SYDNEY FLORES"/>
    <d v="1953-08-22T00:00:00"/>
    <s v="M"/>
    <s v="F"/>
    <s v="sydney34@adventure-works.com"/>
    <n v="70000"/>
    <n v="3"/>
    <s v="Graduate Degree"/>
    <s v="Management"/>
    <s v="Y"/>
    <s v="Northwest"/>
    <x v="1"/>
    <s v="North America"/>
    <x v="0"/>
    <s v="Bikes"/>
    <n v="3578.27"/>
    <n v="2171.2941999999998"/>
    <n v="1406.9757999999999"/>
    <n v="0.39320001006072802"/>
  </r>
  <r>
    <x v="1"/>
    <d v="2001-12-25T00:00:00"/>
    <s v="SO45143"/>
    <n v="310"/>
    <n v="29278"/>
    <n v="4"/>
    <n v="1"/>
    <n v="1"/>
    <n v="2"/>
    <s v="BK-R93R-62"/>
    <x v="1"/>
    <n v="2171.2941999999998"/>
    <n v="3578.27"/>
    <s v="MRS."/>
    <s v="JANET"/>
    <s v="SCOTT"/>
    <s v="JANET SCOTT"/>
    <d v="1953-08-18T00:00:00"/>
    <s v="S"/>
    <s v="F"/>
    <s v="janet33@adventure-works.com"/>
    <n v="70000"/>
    <n v="3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319"/>
    <d v="2002-01-18T00:00:00"/>
    <s v="SO45451"/>
    <n v="311"/>
    <n v="29279"/>
    <n v="4"/>
    <n v="1"/>
    <n v="1"/>
    <n v="2"/>
    <s v="BK-R93R-44"/>
    <x v="4"/>
    <n v="2171.2941999999998"/>
    <n v="3578.27"/>
    <s v="MRS."/>
    <s v="HAILEY"/>
    <s v="TURNER"/>
    <s v="HAILEY TURNER"/>
    <d v="1953-07-21T00:00:00"/>
    <s v="S"/>
    <s v="F"/>
    <s v="hailey47@adventure-works.com"/>
    <n v="70000"/>
    <n v="3"/>
    <s v="Graduate Degree"/>
    <s v="Management"/>
    <s v="Y"/>
    <s v="Southwest"/>
    <x v="1"/>
    <s v="North America"/>
    <x v="0"/>
    <s v="Bikes"/>
    <n v="3578.27"/>
    <n v="2171.2941999999998"/>
    <n v="1406.9757999999999"/>
    <n v="0.39320001006072802"/>
  </r>
  <r>
    <x v="56"/>
    <d v="2001-12-16T00:00:00"/>
    <s v="SO45471"/>
    <n v="313"/>
    <n v="29280"/>
    <n v="1"/>
    <n v="1"/>
    <n v="1"/>
    <n v="2"/>
    <s v="BK-R93R-52"/>
    <x v="3"/>
    <n v="2171.2941999999998"/>
    <n v="3578.27"/>
    <s v="MRS."/>
    <s v="ERIN"/>
    <s v="COOK"/>
    <s v="ERIN COOK"/>
    <d v="1951-02-09T00:00:00"/>
    <s v="S"/>
    <s v="F"/>
    <s v="erin25@adventure-works.com"/>
    <n v="40000"/>
    <n v="3"/>
    <s v="Partial College"/>
    <s v="Professional"/>
    <s v="N"/>
    <s v="Northwest"/>
    <x v="1"/>
    <s v="North America"/>
    <x v="0"/>
    <s v="Bikes"/>
    <n v="3578.27"/>
    <n v="2171.2941999999998"/>
    <n v="1406.9757999999999"/>
    <n v="0.39320001006072802"/>
  </r>
  <r>
    <x v="362"/>
    <d v="2002-07-02T00:00:00"/>
    <s v="SO47929"/>
    <n v="368"/>
    <n v="29281"/>
    <n v="6"/>
    <n v="1"/>
    <n v="1"/>
    <n v="2"/>
    <s v="BK-R89R-44"/>
    <x v="22"/>
    <n v="1518.7864"/>
    <n v="2443.35"/>
    <s v="MR."/>
    <s v="CHARLES"/>
    <s v="ANDERSON"/>
    <s v="CHARLES ANDERSON"/>
    <d v="1950-02-26T00:00:00"/>
    <s v="S"/>
    <s v="M"/>
    <s v="charles13@adventure-works.com"/>
    <n v="40000"/>
    <n v="4"/>
    <s v="Partial College"/>
    <s v="Professional"/>
    <s v="N"/>
    <s v="Canada"/>
    <x v="5"/>
    <s v="North America"/>
    <x v="0"/>
    <s v="Bikes"/>
    <n v="2443.35"/>
    <n v="1518.7864"/>
    <n v="924.56359999999995"/>
    <n v="0.37839998362903399"/>
  </r>
  <r>
    <x v="6"/>
    <d v="2001-12-21T00:00:00"/>
    <s v="SO45407"/>
    <n v="314"/>
    <n v="29285"/>
    <n v="4"/>
    <n v="1"/>
    <n v="1"/>
    <n v="2"/>
    <s v="BK-R93R-56"/>
    <x v="2"/>
    <n v="2171.2941999999998"/>
    <n v="3578.27"/>
    <s v="MR."/>
    <s v="THOMAS"/>
    <s v="ADAMS"/>
    <s v="THOMAS ADAMS"/>
    <d v="1949-01-14T00:00:00"/>
    <s v="S"/>
    <s v="M"/>
    <s v="thomas51@adventure-works.com"/>
    <n v="40000"/>
    <n v="4"/>
    <s v="High School"/>
    <s v="Professional"/>
    <s v="N"/>
    <s v="Southwest"/>
    <x v="1"/>
    <s v="North America"/>
    <x v="0"/>
    <s v="Bikes"/>
    <n v="3578.27"/>
    <n v="2171.2941999999998"/>
    <n v="1406.9757999999999"/>
    <n v="0.39320001006072802"/>
  </r>
  <r>
    <x v="6"/>
    <d v="2001-10-25T00:00:00"/>
    <s v="SO45408"/>
    <n v="314"/>
    <n v="29326"/>
    <n v="4"/>
    <n v="1"/>
    <n v="1"/>
    <n v="2"/>
    <s v="BK-R93R-56"/>
    <x v="2"/>
    <n v="2171.2941999999998"/>
    <n v="3578.27"/>
    <s v="MS."/>
    <s v="VICTORIA"/>
    <s v="DIAZ"/>
    <s v="VICTORIA DIAZ"/>
    <d v="1980-02-17T00:00:00"/>
    <s v="S"/>
    <s v="F"/>
    <s v="victoria68@adventure-works.com"/>
    <n v="30000"/>
    <n v="0"/>
    <s v="High School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7"/>
    <d v="2001-10-21T00:00:00"/>
    <s v="SO45438"/>
    <n v="310"/>
    <n v="29334"/>
    <n v="1"/>
    <n v="1"/>
    <n v="1"/>
    <n v="2"/>
    <s v="BK-R93R-62"/>
    <x v="1"/>
    <n v="2171.2941999999998"/>
    <n v="3578.27"/>
    <s v="MS."/>
    <s v="PAIGE"/>
    <s v="HOWARD"/>
    <s v="PAIGE HOWARD"/>
    <d v="1979-05-12T00:00:00"/>
    <s v="S"/>
    <s v="F"/>
    <s v="paige35@adventure-works.com"/>
    <n v="30000"/>
    <n v="0"/>
    <s v="Partial High School"/>
    <s v="Clerical"/>
    <s v="N"/>
    <s v="Northwest"/>
    <x v="1"/>
    <s v="North America"/>
    <x v="0"/>
    <s v="Bikes"/>
    <n v="3578.27"/>
    <n v="2171.2941999999998"/>
    <n v="1406.9757999999999"/>
    <n v="0.39320001006072802"/>
  </r>
  <r>
    <x v="3"/>
    <d v="2002-01-31T00:00:00"/>
    <s v="SO45442"/>
    <n v="314"/>
    <n v="29335"/>
    <n v="1"/>
    <n v="1"/>
    <n v="1"/>
    <n v="2"/>
    <s v="BK-R93R-56"/>
    <x v="2"/>
    <n v="2171.2941999999998"/>
    <n v="3578.27"/>
    <s v="MR."/>
    <s v="JUSTIN"/>
    <s v="BRYANT"/>
    <s v="JUSTIN BRYANT"/>
    <d v="1978-03-10T00:00:00"/>
    <s v="S"/>
    <s v="M"/>
    <s v="justin15@adventure-works.com"/>
    <n v="30000"/>
    <n v="0"/>
    <s v="Partial High School"/>
    <s v="Clerical"/>
    <s v="N"/>
    <s v="Northwest"/>
    <x v="1"/>
    <s v="North America"/>
    <x v="0"/>
    <s v="Bikes"/>
    <n v="3578.27"/>
    <n v="2171.2941999999998"/>
    <n v="1406.9757999999999"/>
    <n v="0.39320001006072802"/>
  </r>
  <r>
    <x v="279"/>
    <d v="2002-07-19T00:00:00"/>
    <s v="SO47905"/>
    <n v="373"/>
    <n v="29336"/>
    <n v="6"/>
    <n v="1"/>
    <n v="1"/>
    <n v="2"/>
    <s v="BK-R89B-44"/>
    <x v="19"/>
    <n v="1320.6838"/>
    <n v="2181.5625"/>
    <s v="MR."/>
    <s v="NATHANIEL"/>
    <s v="BAILEY"/>
    <s v="NATHANIEL BAILEY"/>
    <d v="1978-07-17T00:00:00"/>
    <s v="S"/>
    <s v="M"/>
    <s v="nathaniel17@adventure-works.com"/>
    <n v="40000"/>
    <n v="0"/>
    <s v="High School"/>
    <s v="Skilled Manual"/>
    <s v="N"/>
    <s v="Canada"/>
    <x v="5"/>
    <s v="North America"/>
    <x v="0"/>
    <s v="Bikes"/>
    <n v="2181.5625"/>
    <n v="1320.6838"/>
    <n v="860.87869999999998"/>
    <n v="0.39461564818793898"/>
  </r>
  <r>
    <x v="329"/>
    <d v="2002-02-07T00:00:00"/>
    <s v="SO45496"/>
    <n v="314"/>
    <n v="29340"/>
    <n v="6"/>
    <n v="1"/>
    <n v="1"/>
    <n v="2"/>
    <s v="BK-R93R-56"/>
    <x v="2"/>
    <n v="2171.2941999999998"/>
    <n v="3578.27"/>
    <s v="MS."/>
    <s v="RACHEL"/>
    <s v="COX"/>
    <s v="RACHEL COX"/>
    <d v="1979-10-05T00:00:00"/>
    <s v="S"/>
    <s v="F"/>
    <s v="rachel39@adventure-works.com"/>
    <n v="30000"/>
    <n v="0"/>
    <s v="Partial High School"/>
    <s v="Clerical"/>
    <s v="N"/>
    <s v="Canada"/>
    <x v="5"/>
    <s v="North America"/>
    <x v="0"/>
    <s v="Bikes"/>
    <n v="3578.27"/>
    <n v="2171.2941999999998"/>
    <n v="1406.9757999999999"/>
    <n v="0.39320001006072802"/>
  </r>
  <r>
    <x v="3"/>
    <d v="2001-12-11T00:00:00"/>
    <s v="SO45443"/>
    <n v="313"/>
    <n v="29350"/>
    <n v="4"/>
    <n v="1"/>
    <n v="1"/>
    <n v="2"/>
    <s v="BK-R93R-52"/>
    <x v="3"/>
    <n v="2171.2941999999998"/>
    <n v="3578.27"/>
    <s v="MRS."/>
    <s v="JULIA"/>
    <s v="THOMPSON"/>
    <s v="JULIA THOMPSON"/>
    <d v="1965-11-09T00:00:00"/>
    <s v="S"/>
    <s v="F"/>
    <s v="julia37@adventure-works.com"/>
    <n v="50000"/>
    <n v="3"/>
    <s v="Bachelors"/>
    <s v="Skilled Manual"/>
    <s v="Y"/>
    <s v="Southwest"/>
    <x v="1"/>
    <s v="North America"/>
    <x v="0"/>
    <s v="Bikes"/>
    <n v="3578.27"/>
    <n v="2171.2941999999998"/>
    <n v="1406.9757999999999"/>
    <n v="0.39320001006072802"/>
  </r>
  <r>
    <x v="27"/>
    <d v="2001-12-03T00:00:00"/>
    <s v="SO45395"/>
    <n v="313"/>
    <n v="29352"/>
    <n v="4"/>
    <n v="1"/>
    <n v="1"/>
    <n v="2"/>
    <s v="BK-R93R-52"/>
    <x v="3"/>
    <n v="2171.2941999999998"/>
    <n v="3578.27"/>
    <s v="MRS."/>
    <s v="LYDIA"/>
    <s v="GONZALEZ"/>
    <s v="LYDIA GONZALEZ"/>
    <d v="1965-08-11T00:00:00"/>
    <s v="S"/>
    <s v="F"/>
    <s v="lydia17@adventure-works.com"/>
    <n v="50000"/>
    <n v="3"/>
    <s v="Bachelors"/>
    <s v="Skilled Manual"/>
    <s v="N"/>
    <s v="Southwest"/>
    <x v="1"/>
    <s v="North America"/>
    <x v="0"/>
    <s v="Bikes"/>
    <n v="3578.27"/>
    <n v="2171.2941999999998"/>
    <n v="1406.9757999999999"/>
    <n v="0.39320001006072802"/>
  </r>
  <r>
    <x v="315"/>
    <d v="2001-11-01T00:00:00"/>
    <s v="SO45478"/>
    <n v="313"/>
    <n v="29354"/>
    <n v="1"/>
    <n v="1"/>
    <n v="1"/>
    <n v="2"/>
    <s v="BK-R93R-52"/>
    <x v="3"/>
    <n v="2171.2941999999998"/>
    <n v="3578.27"/>
    <s v="MR."/>
    <s v="ISAIAH"/>
    <s v="EDWARDS"/>
    <s v="ISAIAH EDWARDS"/>
    <d v="1965-09-11T00:00:00"/>
    <s v="S"/>
    <s v="M"/>
    <s v="isaiah23@adventure-works.com"/>
    <n v="60000"/>
    <n v="0"/>
    <s v="Graduate Degree"/>
    <s v="Professional"/>
    <s v="Y"/>
    <s v="Northwest"/>
    <x v="1"/>
    <s v="North America"/>
    <x v="0"/>
    <s v="Bikes"/>
    <n v="3578.27"/>
    <n v="2171.2941999999998"/>
    <n v="1406.9757999999999"/>
    <n v="0.39320001006072802"/>
  </r>
  <r>
    <x v="20"/>
    <d v="2001-12-19T00:00:00"/>
    <s v="SO45199"/>
    <n v="346"/>
    <n v="29476"/>
    <n v="8"/>
    <n v="1"/>
    <n v="1"/>
    <n v="1"/>
    <s v="BK-M82S-44"/>
    <x v="12"/>
    <n v="1912.1543999999999"/>
    <n v="3399.99"/>
    <s v="MRS."/>
    <s v="ELIZABETH"/>
    <s v="BRADLEY"/>
    <s v="ELIZABETH BRADLEY"/>
    <d v="1959-07-03T00:00:00"/>
    <s v="M"/>
    <s v="F"/>
    <s v="elizabeth30@adventure-works.com"/>
    <n v="20000"/>
    <n v="2"/>
    <s v="Partial College"/>
    <s v="Manual"/>
    <s v="N"/>
    <s v="Germany"/>
    <x v="4"/>
    <s v="Europe"/>
    <x v="1"/>
    <s v="Bikes"/>
    <n v="3399.99"/>
    <n v="1912.1543999999999"/>
    <n v="1487.8356000000001"/>
    <n v="0.43759999294115598"/>
  </r>
  <r>
    <x v="53"/>
    <d v="2001-11-15T00:00:00"/>
    <s v="SO45427"/>
    <n v="349"/>
    <n v="29481"/>
    <n v="8"/>
    <n v="1"/>
    <n v="1"/>
    <n v="1"/>
    <s v="BK-M82B-42"/>
    <x v="11"/>
    <n v="1898.0944"/>
    <n v="3374.99"/>
    <s v="MR."/>
    <s v="IVAN"/>
    <s v="SURI"/>
    <s v="IVAN SURI"/>
    <d v="1960-01-05T00:00:00"/>
    <s v="S"/>
    <s v="M"/>
    <s v="ivan0@adventure-works.com"/>
    <n v="30000"/>
    <n v="3"/>
    <s v="Graduate Degree"/>
    <s v="Clerical"/>
    <s v="N"/>
    <s v="Germany"/>
    <x v="4"/>
    <s v="Europe"/>
    <x v="1"/>
    <s v="Bikes"/>
    <n v="3374.99"/>
    <n v="1898.0944"/>
    <n v="1476.8956000000001"/>
    <n v="0.437599992888867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d v="2002-10-09T00:00:00"/>
    <s v="SO48723"/>
    <n v="369"/>
    <n v="14944"/>
    <n v="7"/>
    <n v="1"/>
    <n v="1"/>
    <n v="2"/>
    <s v="BK-R89R-48"/>
    <x v="0"/>
    <n v="1518.7864"/>
    <n v="2443.35"/>
    <s v="MR."/>
    <s v="SEBASTIAN"/>
    <s v="WATSON"/>
    <s v="SEBASTIAN WATSON"/>
    <d v="1965-08-10T00:00:00"/>
    <s v="S"/>
    <s v="M"/>
    <s v="sebastian1@adventure-works.com"/>
    <n v="10000"/>
    <n v="5"/>
    <s v="Partial High School"/>
    <s v="Manual"/>
    <s v="Y"/>
    <s v="France"/>
    <x v="0"/>
    <s v="Europe"/>
    <x v="0"/>
    <s v="Bikes"/>
    <n v="2443.35"/>
    <n v="1518.7864"/>
    <n v="924.56359999999995"/>
    <n v="0.37839998362903399"/>
  </r>
  <r>
    <x v="0"/>
    <d v="2002-12-02T00:00:00"/>
    <s v="SO48724"/>
    <n v="340"/>
    <n v="20722"/>
    <n v="8"/>
    <n v="1"/>
    <n v="1"/>
    <n v="2"/>
    <s v="BK-R50B-48"/>
    <x v="1"/>
    <n v="413.1463"/>
    <n v="699.09820000000002"/>
    <s v="MRS."/>
    <s v="KELLIE"/>
    <s v="SERRANO"/>
    <s v="KELLIE SERRANO"/>
    <d v="1972-04-24T00:00:00"/>
    <s v="S"/>
    <s v="F"/>
    <s v="kellie15@adventure-works.com"/>
    <n v="40000"/>
    <n v="2"/>
    <s v="Partial College"/>
    <s v="Clerical"/>
    <s v="Y"/>
    <s v="Germany"/>
    <x v="1"/>
    <s v="Europe"/>
    <x v="0"/>
    <s v="Bikes"/>
    <n v="699.09820000000002"/>
    <n v="413.1463"/>
    <n v="285.95190000000002"/>
    <n v="0.409029661355157"/>
  </r>
  <r>
    <x v="0"/>
    <d v="2002-11-22T00:00:00"/>
    <s v="SO48726"/>
    <n v="383"/>
    <n v="24915"/>
    <n v="9"/>
    <n v="1"/>
    <n v="1"/>
    <n v="2"/>
    <s v="BK-R64Y-40"/>
    <x v="2"/>
    <n v="605.64919999999995"/>
    <n v="1000.4375"/>
    <s v="MR."/>
    <s v="STANLEY"/>
    <s v="PATEL"/>
    <s v="STANLEY PATEL"/>
    <d v="1971-03-23T00:00:00"/>
    <s v="S"/>
    <s v="M"/>
    <s v="stanley3@adventure-works.com"/>
    <n v="100000"/>
    <n v="0"/>
    <s v="High School"/>
    <s v="Management"/>
    <s v="Y"/>
    <s v="Australia"/>
    <x v="2"/>
    <s v="Pacific"/>
    <x v="0"/>
    <s v="Bikes"/>
    <n v="1000.4375"/>
    <n v="605.64919999999995"/>
    <n v="394.78829999999999"/>
    <n v="0.39461565565065299"/>
  </r>
  <r>
    <x v="0"/>
    <d v="2002-11-14T00:00:00"/>
    <s v="SO48729"/>
    <n v="324"/>
    <n v="26563"/>
    <n v="9"/>
    <n v="1"/>
    <n v="1"/>
    <n v="2"/>
    <s v="BK-R50R-62"/>
    <x v="3"/>
    <n v="413.1463"/>
    <n v="699.09820000000002"/>
    <s v="MR."/>
    <s v="KEITH"/>
    <s v="SHE"/>
    <s v="KEITH SHE"/>
    <d v="1953-01-24T00:00:00"/>
    <s v="M"/>
    <s v="M"/>
    <s v="keith2@adventure-works.com"/>
    <n v="40000"/>
    <n v="2"/>
    <s v="Partial College"/>
    <s v="Skilled Manual"/>
    <s v="Y"/>
    <s v="Australia"/>
    <x v="2"/>
    <s v="Pacific"/>
    <x v="0"/>
    <s v="Bikes"/>
    <n v="699.09820000000002"/>
    <n v="413.1463"/>
    <n v="285.95190000000002"/>
    <n v="0.409029661355157"/>
  </r>
  <r>
    <x v="0"/>
    <d v="2002-11-09T00:00:00"/>
    <s v="SO48725"/>
    <n v="377"/>
    <n v="17202"/>
    <n v="10"/>
    <n v="1"/>
    <n v="1"/>
    <n v="2"/>
    <s v="BK-R89B-52"/>
    <x v="4"/>
    <n v="1320.6838"/>
    <n v="2181.5625"/>
    <s v="MRS."/>
    <s v="DEANNA"/>
    <s v="MARTINEZ"/>
    <s v="DEANNA MARTINEZ"/>
    <d v="1945-04-17T00:00:00"/>
    <s v="M"/>
    <s v="F"/>
    <s v="deanna21@adventure-works.com"/>
    <n v="110000"/>
    <n v="3"/>
    <s v="Bachelors"/>
    <s v="Management"/>
    <s v="Y"/>
    <s v="United Kingdom"/>
    <x v="3"/>
    <s v="Europe"/>
    <x v="0"/>
    <s v="Bikes"/>
    <n v="2181.5625"/>
    <n v="1320.6838"/>
    <n v="860.87869999999998"/>
    <n v="0.39461564818793898"/>
  </r>
  <r>
    <x v="0"/>
    <d v="2002-11-29T00:00:00"/>
    <s v="SO48728"/>
    <n v="354"/>
    <n v="13111"/>
    <n v="9"/>
    <n v="1"/>
    <n v="1"/>
    <n v="1"/>
    <s v="BK-M68S-42"/>
    <x v="5"/>
    <n v="1117.8559"/>
    <n v="2071.4196000000002"/>
    <s v="MRS."/>
    <s v="HANNAH"/>
    <s v="BUTLER"/>
    <s v="HANNAH BUTLER"/>
    <d v="1961-08-16T00:00:00"/>
    <s v="S"/>
    <s v="F"/>
    <s v="hannah36@adventure-works.com"/>
    <n v="60000"/>
    <n v="1"/>
    <s v="Partial College"/>
    <s v="Skilled Manual"/>
    <s v="Y"/>
    <s v="Australia"/>
    <x v="2"/>
    <s v="Pacific"/>
    <x v="1"/>
    <s v="Bikes"/>
    <n v="2071.4196000000002"/>
    <n v="1117.8559"/>
    <n v="953.56370000000004"/>
    <n v="0.460343090313522"/>
  </r>
  <r>
    <x v="0"/>
    <d v="2002-12-14T00:00:00"/>
    <s v="SO48727"/>
    <n v="360"/>
    <n v="13128"/>
    <n v="9"/>
    <n v="1"/>
    <n v="1"/>
    <n v="1"/>
    <s v="BK-M68B-42"/>
    <x v="6"/>
    <n v="1105.81"/>
    <n v="2049.0981999999999"/>
    <s v="MS."/>
    <s v="COLLEEN"/>
    <s v="WEST"/>
    <s v="COLLEEN WEST"/>
    <d v="1964-04-23T00:00:00"/>
    <s v="S"/>
    <s v="F"/>
    <s v="colleen1@adventure-works.com"/>
    <n v="70000"/>
    <n v="0"/>
    <s v="Bachelors"/>
    <s v="Professional"/>
    <s v="N"/>
    <s v="Australia"/>
    <x v="2"/>
    <s v="Pacific"/>
    <x v="1"/>
    <s v="Bikes"/>
    <n v="2049.0981999999999"/>
    <n v="1105.81"/>
    <n v="943.28819999999996"/>
    <n v="0.460343091414554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FD02A-0506-AB48-88C0-DA0599E9FAD8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7:K19" firstHeaderRow="1" firstDataRow="1" firstDataCol="1"/>
  <pivotFields count="37">
    <pivotField numFmtId="14" showAll="0">
      <items count="2"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0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6"/>
  </rowFields>
  <rowItems count="2">
    <i>
      <x v="12"/>
    </i>
    <i t="grand">
      <x/>
    </i>
  </rowItems>
  <colItems count="1">
    <i/>
  </colItems>
  <dataFields count="1">
    <dataField name="Sum of Revenue" fld="3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758CE-64F1-E84F-A23C-A129AB941CD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6:H19" firstHeaderRow="0" firstDataRow="1" firstDataCol="1"/>
  <pivotFields count="37">
    <pivotField numFmtId="14" showAll="0">
      <items count="2">
        <item x="0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dataField="1" numFmtId="164" showAll="0"/>
    <pivotField numFmtId="10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9"/>
  </rowFields>
  <rowItems count="3"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Number" fld="2" subtotal="count" baseField="0" baseItem="0"/>
    <dataField name="Sum of Revenue" fld="31" baseField="0" baseItem="0" numFmtId="164"/>
    <dataField name="Sum of Profit" fld="3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96D09-9D48-E448-93B6-0AA388343FBF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G26" firstHeaderRow="0" firstDataRow="1" firstDataCol="1"/>
  <pivotFields count="37">
    <pivotField numFmtId="14" showAll="0">
      <items count="2">
        <item x="0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4" showAll="0"/>
    <pivotField numFmtId="164" showAll="0"/>
    <pivotField numFmtId="164" showAll="0"/>
    <pivotField numFmtId="10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7"/>
  </rowFields>
  <rowItems count="5">
    <i>
      <x v="3"/>
    </i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1" baseField="0" baseItem="0" numFmtId="164"/>
    <dataField name="Count of Order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E267A-BE73-B64E-BB04-F9849728382E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0:F38" firstHeaderRow="1" firstDataRow="1" firstDataCol="1"/>
  <pivotFields count="37">
    <pivotField numFmtId="14" showAll="0">
      <items count="2"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8">
        <item x="6"/>
        <item x="5"/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0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8">
    <i>
      <x v="3"/>
    </i>
    <i>
      <x v="2"/>
    </i>
    <i>
      <x v="1"/>
    </i>
    <i>
      <x/>
    </i>
    <i>
      <x v="4"/>
    </i>
    <i>
      <x v="6"/>
    </i>
    <i>
      <x v="5"/>
    </i>
    <i t="grand">
      <x/>
    </i>
  </rowItems>
  <colItems count="1">
    <i/>
  </colItems>
  <dataFields count="1">
    <dataField name="Sum of Revenue" fld="31" baseField="0" baseItem="0" numFmtId="164"/>
  </dataFields>
  <pivotTableStyleInfo name="PivotStyleLight16" showRowHeaders="1" showColHeaders="1" showRowStripes="0" showColStripes="0" showLastColumn="1"/>
  <filters count="1"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131A5-20E0-744A-B33E-A6B18D581726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G22" firstHeaderRow="0" firstDataRow="1" firstDataCol="1"/>
  <pivotFields count="37">
    <pivotField numFmtId="14" showAll="0">
      <items count="366">
        <item x="15"/>
        <item x="339"/>
        <item x="18"/>
        <item x="0"/>
        <item x="354"/>
        <item x="357"/>
        <item x="338"/>
        <item x="22"/>
        <item x="352"/>
        <item x="14"/>
        <item x="37"/>
        <item x="1"/>
        <item x="324"/>
        <item x="23"/>
        <item x="39"/>
        <item x="19"/>
        <item x="21"/>
        <item x="336"/>
        <item x="325"/>
        <item x="334"/>
        <item x="20"/>
        <item x="10"/>
        <item x="2"/>
        <item x="328"/>
        <item x="323"/>
        <item x="24"/>
        <item x="51"/>
        <item x="16"/>
        <item x="25"/>
        <item x="314"/>
        <item x="17"/>
        <item x="331"/>
        <item x="12"/>
        <item x="13"/>
        <item x="316"/>
        <item x="26"/>
        <item x="8"/>
        <item x="5"/>
        <item x="27"/>
        <item x="341"/>
        <item x="6"/>
        <item x="4"/>
        <item x="358"/>
        <item x="53"/>
        <item x="7"/>
        <item x="3"/>
        <item x="355"/>
        <item x="319"/>
        <item x="31"/>
        <item x="317"/>
        <item x="9"/>
        <item x="356"/>
        <item x="56"/>
        <item x="315"/>
        <item x="32"/>
        <item x="330"/>
        <item x="329"/>
        <item x="61"/>
        <item x="11"/>
        <item x="35"/>
        <item x="41"/>
        <item x="44"/>
        <item x="50"/>
        <item x="55"/>
        <item x="62"/>
        <item x="33"/>
        <item x="28"/>
        <item x="54"/>
        <item x="65"/>
        <item x="46"/>
        <item x="57"/>
        <item x="36"/>
        <item x="326"/>
        <item x="52"/>
        <item x="43"/>
        <item x="71"/>
        <item x="48"/>
        <item x="42"/>
        <item x="38"/>
        <item x="77"/>
        <item x="40"/>
        <item x="47"/>
        <item x="45"/>
        <item x="80"/>
        <item x="82"/>
        <item x="81"/>
        <item x="49"/>
        <item x="29"/>
        <item x="34"/>
        <item x="84"/>
        <item x="87"/>
        <item x="359"/>
        <item x="90"/>
        <item x="91"/>
        <item x="92"/>
        <item x="335"/>
        <item x="93"/>
        <item x="96"/>
        <item x="100"/>
        <item x="101"/>
        <item x="30"/>
        <item x="107"/>
        <item x="60"/>
        <item x="108"/>
        <item x="109"/>
        <item x="111"/>
        <item x="58"/>
        <item x="114"/>
        <item x="113"/>
        <item x="110"/>
        <item x="117"/>
        <item x="118"/>
        <item x="115"/>
        <item x="119"/>
        <item x="59"/>
        <item x="120"/>
        <item x="116"/>
        <item x="121"/>
        <item x="112"/>
        <item x="75"/>
        <item x="122"/>
        <item x="123"/>
        <item x="124"/>
        <item x="125"/>
        <item x="363"/>
        <item x="66"/>
        <item x="126"/>
        <item x="64"/>
        <item x="127"/>
        <item x="76"/>
        <item x="128"/>
        <item x="129"/>
        <item x="130"/>
        <item x="131"/>
        <item x="132"/>
        <item x="133"/>
        <item x="6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79"/>
        <item x="149"/>
        <item x="340"/>
        <item x="150"/>
        <item x="153"/>
        <item x="69"/>
        <item x="156"/>
        <item x="151"/>
        <item x="155"/>
        <item x="154"/>
        <item x="67"/>
        <item x="152"/>
        <item x="158"/>
        <item x="159"/>
        <item x="160"/>
        <item x="161"/>
        <item x="162"/>
        <item x="163"/>
        <item x="164"/>
        <item x="165"/>
        <item x="68"/>
        <item x="70"/>
        <item x="171"/>
        <item x="172"/>
        <item x="173"/>
        <item x="174"/>
        <item x="175"/>
        <item x="157"/>
        <item x="176"/>
        <item x="177"/>
        <item x="178"/>
        <item x="179"/>
        <item x="184"/>
        <item x="74"/>
        <item x="97"/>
        <item x="193"/>
        <item x="194"/>
        <item x="195"/>
        <item x="199"/>
        <item x="203"/>
        <item x="207"/>
        <item x="88"/>
        <item x="213"/>
        <item x="215"/>
        <item x="216"/>
        <item x="221"/>
        <item x="223"/>
        <item x="224"/>
        <item x="226"/>
        <item x="95"/>
        <item x="228"/>
        <item x="83"/>
        <item x="229"/>
        <item x="72"/>
        <item x="225"/>
        <item x="234"/>
        <item x="227"/>
        <item x="235"/>
        <item x="73"/>
        <item x="99"/>
        <item x="236"/>
        <item x="237"/>
        <item x="238"/>
        <item x="239"/>
        <item x="102"/>
        <item x="106"/>
        <item x="240"/>
        <item x="241"/>
        <item x="242"/>
        <item x="243"/>
        <item x="345"/>
        <item x="244"/>
        <item x="166"/>
        <item x="78"/>
        <item x="245"/>
        <item x="246"/>
        <item x="247"/>
        <item x="248"/>
        <item x="86"/>
        <item x="305"/>
        <item x="251"/>
        <item x="85"/>
        <item x="252"/>
        <item x="253"/>
        <item x="105"/>
        <item x="254"/>
        <item x="255"/>
        <item x="258"/>
        <item x="256"/>
        <item x="249"/>
        <item x="250"/>
        <item x="353"/>
        <item x="267"/>
        <item x="259"/>
        <item x="361"/>
        <item x="322"/>
        <item x="268"/>
        <item x="347"/>
        <item x="182"/>
        <item x="98"/>
        <item x="321"/>
        <item x="183"/>
        <item x="94"/>
        <item x="260"/>
        <item x="185"/>
        <item x="261"/>
        <item x="180"/>
        <item x="346"/>
        <item x="257"/>
        <item x="269"/>
        <item x="306"/>
        <item x="318"/>
        <item x="320"/>
        <item x="308"/>
        <item x="192"/>
        <item x="307"/>
        <item x="89"/>
        <item x="270"/>
        <item x="364"/>
        <item x="196"/>
        <item x="349"/>
        <item x="208"/>
        <item x="271"/>
        <item x="272"/>
        <item x="202"/>
        <item x="360"/>
        <item x="265"/>
        <item x="273"/>
        <item x="209"/>
        <item x="327"/>
        <item x="274"/>
        <item x="276"/>
        <item x="197"/>
        <item x="201"/>
        <item x="266"/>
        <item x="205"/>
        <item x="204"/>
        <item x="332"/>
        <item x="275"/>
        <item x="263"/>
        <item x="264"/>
        <item x="281"/>
        <item x="342"/>
        <item x="278"/>
        <item x="279"/>
        <item x="280"/>
        <item x="206"/>
        <item x="362"/>
        <item x="310"/>
        <item x="277"/>
        <item x="262"/>
        <item x="309"/>
        <item x="295"/>
        <item x="168"/>
        <item x="348"/>
        <item x="296"/>
        <item x="301"/>
        <item x="282"/>
        <item x="311"/>
        <item x="284"/>
        <item x="170"/>
        <item x="181"/>
        <item x="104"/>
        <item x="302"/>
        <item x="297"/>
        <item x="103"/>
        <item x="344"/>
        <item x="167"/>
        <item x="210"/>
        <item x="300"/>
        <item x="350"/>
        <item x="186"/>
        <item x="212"/>
        <item x="343"/>
        <item x="312"/>
        <item x="333"/>
        <item x="299"/>
        <item x="169"/>
        <item x="313"/>
        <item x="283"/>
        <item x="337"/>
        <item x="211"/>
        <item x="218"/>
        <item x="289"/>
        <item x="232"/>
        <item x="290"/>
        <item x="190"/>
        <item x="222"/>
        <item x="304"/>
        <item x="298"/>
        <item x="187"/>
        <item x="293"/>
        <item x="294"/>
        <item x="286"/>
        <item x="220"/>
        <item x="291"/>
        <item x="351"/>
        <item x="292"/>
        <item x="189"/>
        <item x="198"/>
        <item x="191"/>
        <item x="287"/>
        <item x="230"/>
        <item x="188"/>
        <item x="303"/>
        <item x="285"/>
        <item x="200"/>
        <item x="233"/>
        <item x="219"/>
        <item x="217"/>
        <item x="214"/>
        <item x="231"/>
        <item x="288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dataField="1" numFmtId="164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9"/>
  </rowFields>
  <rowItems count="3"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Number" fld="2" subtotal="count" baseField="0" baseItem="0"/>
    <dataField name="Sum of Revenue" fld="31" baseField="0" baseItem="0" numFmtId="164"/>
    <dataField name="Sum of Profit" fld="3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67067-104D-494A-A56A-2E555478637E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:J33" firstHeaderRow="1" firstDataRow="1" firstDataCol="1"/>
  <pivotFields count="37">
    <pivotField numFmtId="14" showAll="0">
      <items count="366">
        <item x="15"/>
        <item x="339"/>
        <item x="18"/>
        <item x="0"/>
        <item x="354"/>
        <item x="357"/>
        <item x="338"/>
        <item x="22"/>
        <item x="352"/>
        <item x="14"/>
        <item x="37"/>
        <item x="1"/>
        <item x="324"/>
        <item x="23"/>
        <item x="39"/>
        <item x="19"/>
        <item x="21"/>
        <item x="336"/>
        <item x="325"/>
        <item x="334"/>
        <item x="20"/>
        <item x="10"/>
        <item x="2"/>
        <item x="328"/>
        <item x="323"/>
        <item x="24"/>
        <item x="51"/>
        <item x="16"/>
        <item x="25"/>
        <item x="314"/>
        <item x="17"/>
        <item x="331"/>
        <item x="12"/>
        <item x="13"/>
        <item x="316"/>
        <item x="26"/>
        <item x="8"/>
        <item x="5"/>
        <item x="27"/>
        <item x="341"/>
        <item x="6"/>
        <item x="4"/>
        <item x="358"/>
        <item x="53"/>
        <item x="7"/>
        <item x="3"/>
        <item x="355"/>
        <item x="319"/>
        <item x="31"/>
        <item x="317"/>
        <item x="9"/>
        <item x="356"/>
        <item x="56"/>
        <item x="315"/>
        <item x="32"/>
        <item x="330"/>
        <item x="329"/>
        <item x="61"/>
        <item x="11"/>
        <item x="35"/>
        <item x="41"/>
        <item x="44"/>
        <item x="50"/>
        <item x="55"/>
        <item x="62"/>
        <item x="33"/>
        <item x="28"/>
        <item x="54"/>
        <item x="65"/>
        <item x="46"/>
        <item x="57"/>
        <item x="36"/>
        <item x="326"/>
        <item x="52"/>
        <item x="43"/>
        <item x="71"/>
        <item x="48"/>
        <item x="42"/>
        <item x="38"/>
        <item x="77"/>
        <item x="40"/>
        <item x="47"/>
        <item x="45"/>
        <item x="80"/>
        <item x="82"/>
        <item x="81"/>
        <item x="49"/>
        <item x="29"/>
        <item x="34"/>
        <item x="84"/>
        <item x="87"/>
        <item x="359"/>
        <item x="90"/>
        <item x="91"/>
        <item x="92"/>
        <item x="335"/>
        <item x="93"/>
        <item x="96"/>
        <item x="100"/>
        <item x="101"/>
        <item x="30"/>
        <item x="107"/>
        <item x="60"/>
        <item x="108"/>
        <item x="109"/>
        <item x="111"/>
        <item x="58"/>
        <item x="114"/>
        <item x="113"/>
        <item x="110"/>
        <item x="117"/>
        <item x="118"/>
        <item x="115"/>
        <item x="119"/>
        <item x="59"/>
        <item x="120"/>
        <item x="116"/>
        <item x="121"/>
        <item x="112"/>
        <item x="75"/>
        <item x="122"/>
        <item x="123"/>
        <item x="124"/>
        <item x="125"/>
        <item x="363"/>
        <item x="66"/>
        <item x="126"/>
        <item x="64"/>
        <item x="127"/>
        <item x="76"/>
        <item x="128"/>
        <item x="129"/>
        <item x="130"/>
        <item x="131"/>
        <item x="132"/>
        <item x="133"/>
        <item x="6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79"/>
        <item x="149"/>
        <item x="340"/>
        <item x="150"/>
        <item x="153"/>
        <item x="69"/>
        <item x="156"/>
        <item x="151"/>
        <item x="155"/>
        <item x="154"/>
        <item x="67"/>
        <item x="152"/>
        <item x="158"/>
        <item x="159"/>
        <item x="160"/>
        <item x="161"/>
        <item x="162"/>
        <item x="163"/>
        <item x="164"/>
        <item x="165"/>
        <item x="68"/>
        <item x="70"/>
        <item x="171"/>
        <item x="172"/>
        <item x="173"/>
        <item x="174"/>
        <item x="175"/>
        <item x="157"/>
        <item x="176"/>
        <item x="177"/>
        <item x="178"/>
        <item x="179"/>
        <item x="184"/>
        <item x="74"/>
        <item x="97"/>
        <item x="193"/>
        <item x="194"/>
        <item x="195"/>
        <item x="199"/>
        <item x="203"/>
        <item x="207"/>
        <item x="88"/>
        <item x="213"/>
        <item x="215"/>
        <item x="216"/>
        <item x="221"/>
        <item x="223"/>
        <item x="224"/>
        <item x="226"/>
        <item x="95"/>
        <item x="228"/>
        <item x="83"/>
        <item x="229"/>
        <item x="72"/>
        <item x="225"/>
        <item x="234"/>
        <item x="227"/>
        <item x="235"/>
        <item x="73"/>
        <item x="99"/>
        <item x="236"/>
        <item x="237"/>
        <item x="238"/>
        <item x="239"/>
        <item x="102"/>
        <item x="106"/>
        <item x="240"/>
        <item x="241"/>
        <item x="242"/>
        <item x="243"/>
        <item x="345"/>
        <item x="244"/>
        <item x="166"/>
        <item x="78"/>
        <item x="245"/>
        <item x="246"/>
        <item x="247"/>
        <item x="248"/>
        <item x="86"/>
        <item x="305"/>
        <item x="251"/>
        <item x="85"/>
        <item x="252"/>
        <item x="253"/>
        <item x="105"/>
        <item x="254"/>
        <item x="255"/>
        <item x="258"/>
        <item x="256"/>
        <item x="249"/>
        <item x="250"/>
        <item x="353"/>
        <item x="267"/>
        <item x="259"/>
        <item x="361"/>
        <item x="322"/>
        <item x="268"/>
        <item x="347"/>
        <item x="182"/>
        <item x="98"/>
        <item x="321"/>
        <item x="183"/>
        <item x="94"/>
        <item x="260"/>
        <item x="185"/>
        <item x="261"/>
        <item x="180"/>
        <item x="346"/>
        <item x="257"/>
        <item x="269"/>
        <item x="306"/>
        <item x="318"/>
        <item x="320"/>
        <item x="308"/>
        <item x="192"/>
        <item x="307"/>
        <item x="89"/>
        <item x="270"/>
        <item x="364"/>
        <item x="196"/>
        <item x="349"/>
        <item x="208"/>
        <item x="271"/>
        <item x="272"/>
        <item x="202"/>
        <item x="360"/>
        <item x="265"/>
        <item x="273"/>
        <item x="209"/>
        <item x="327"/>
        <item x="274"/>
        <item x="276"/>
        <item x="197"/>
        <item x="201"/>
        <item x="266"/>
        <item x="205"/>
        <item x="204"/>
        <item x="332"/>
        <item x="275"/>
        <item x="263"/>
        <item x="264"/>
        <item x="281"/>
        <item x="342"/>
        <item x="278"/>
        <item x="279"/>
        <item x="280"/>
        <item x="206"/>
        <item x="362"/>
        <item x="310"/>
        <item x="277"/>
        <item x="262"/>
        <item x="309"/>
        <item x="295"/>
        <item x="168"/>
        <item x="348"/>
        <item x="296"/>
        <item x="301"/>
        <item x="282"/>
        <item x="311"/>
        <item x="284"/>
        <item x="170"/>
        <item x="181"/>
        <item x="104"/>
        <item x="302"/>
        <item x="297"/>
        <item x="103"/>
        <item x="344"/>
        <item x="167"/>
        <item x="210"/>
        <item x="300"/>
        <item x="350"/>
        <item x="186"/>
        <item x="212"/>
        <item x="343"/>
        <item x="312"/>
        <item x="333"/>
        <item x="299"/>
        <item x="169"/>
        <item x="313"/>
        <item x="283"/>
        <item x="337"/>
        <item x="211"/>
        <item x="218"/>
        <item x="289"/>
        <item x="232"/>
        <item x="290"/>
        <item x="190"/>
        <item x="222"/>
        <item x="304"/>
        <item x="298"/>
        <item x="187"/>
        <item x="293"/>
        <item x="294"/>
        <item x="286"/>
        <item x="220"/>
        <item x="291"/>
        <item x="351"/>
        <item x="292"/>
        <item x="189"/>
        <item x="198"/>
        <item x="191"/>
        <item x="287"/>
        <item x="230"/>
        <item x="188"/>
        <item x="303"/>
        <item x="285"/>
        <item x="200"/>
        <item x="233"/>
        <item x="219"/>
        <item x="217"/>
        <item x="214"/>
        <item x="231"/>
        <item x="28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0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3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D95C9B-7931-D24E-AD21-B9A452173E0A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3:E44" firstHeaderRow="1" firstDataRow="1" firstDataCol="1"/>
  <pivotFields count="37">
    <pivotField numFmtId="14" showAll="0">
      <items count="366">
        <item x="15"/>
        <item x="339"/>
        <item x="18"/>
        <item x="0"/>
        <item x="354"/>
        <item x="357"/>
        <item x="338"/>
        <item x="22"/>
        <item x="352"/>
        <item x="14"/>
        <item x="37"/>
        <item x="1"/>
        <item x="324"/>
        <item x="23"/>
        <item x="39"/>
        <item x="19"/>
        <item x="21"/>
        <item x="336"/>
        <item x="325"/>
        <item x="334"/>
        <item x="20"/>
        <item x="10"/>
        <item x="2"/>
        <item x="328"/>
        <item x="323"/>
        <item x="24"/>
        <item x="51"/>
        <item x="16"/>
        <item x="25"/>
        <item x="314"/>
        <item x="17"/>
        <item x="331"/>
        <item x="12"/>
        <item x="13"/>
        <item x="316"/>
        <item x="26"/>
        <item x="8"/>
        <item x="5"/>
        <item x="27"/>
        <item x="341"/>
        <item x="6"/>
        <item x="4"/>
        <item x="358"/>
        <item x="53"/>
        <item x="7"/>
        <item x="3"/>
        <item x="355"/>
        <item x="319"/>
        <item x="31"/>
        <item x="317"/>
        <item x="9"/>
        <item x="356"/>
        <item x="56"/>
        <item x="315"/>
        <item x="32"/>
        <item x="330"/>
        <item x="329"/>
        <item x="61"/>
        <item x="11"/>
        <item x="35"/>
        <item x="41"/>
        <item x="44"/>
        <item x="50"/>
        <item x="55"/>
        <item x="62"/>
        <item x="33"/>
        <item x="28"/>
        <item x="54"/>
        <item x="65"/>
        <item x="46"/>
        <item x="57"/>
        <item x="36"/>
        <item x="326"/>
        <item x="52"/>
        <item x="43"/>
        <item x="71"/>
        <item x="48"/>
        <item x="42"/>
        <item x="38"/>
        <item x="77"/>
        <item x="40"/>
        <item x="47"/>
        <item x="45"/>
        <item x="80"/>
        <item x="82"/>
        <item x="81"/>
        <item x="49"/>
        <item x="29"/>
        <item x="34"/>
        <item x="84"/>
        <item x="87"/>
        <item x="359"/>
        <item x="90"/>
        <item x="91"/>
        <item x="92"/>
        <item x="335"/>
        <item x="93"/>
        <item x="96"/>
        <item x="100"/>
        <item x="101"/>
        <item x="30"/>
        <item x="107"/>
        <item x="60"/>
        <item x="108"/>
        <item x="109"/>
        <item x="111"/>
        <item x="58"/>
        <item x="114"/>
        <item x="113"/>
        <item x="110"/>
        <item x="117"/>
        <item x="118"/>
        <item x="115"/>
        <item x="119"/>
        <item x="59"/>
        <item x="120"/>
        <item x="116"/>
        <item x="121"/>
        <item x="112"/>
        <item x="75"/>
        <item x="122"/>
        <item x="123"/>
        <item x="124"/>
        <item x="125"/>
        <item x="363"/>
        <item x="66"/>
        <item x="126"/>
        <item x="64"/>
        <item x="127"/>
        <item x="76"/>
        <item x="128"/>
        <item x="129"/>
        <item x="130"/>
        <item x="131"/>
        <item x="132"/>
        <item x="133"/>
        <item x="6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79"/>
        <item x="149"/>
        <item x="340"/>
        <item x="150"/>
        <item x="153"/>
        <item x="69"/>
        <item x="156"/>
        <item x="151"/>
        <item x="155"/>
        <item x="154"/>
        <item x="67"/>
        <item x="152"/>
        <item x="158"/>
        <item x="159"/>
        <item x="160"/>
        <item x="161"/>
        <item x="162"/>
        <item x="163"/>
        <item x="164"/>
        <item x="165"/>
        <item x="68"/>
        <item x="70"/>
        <item x="171"/>
        <item x="172"/>
        <item x="173"/>
        <item x="174"/>
        <item x="175"/>
        <item x="157"/>
        <item x="176"/>
        <item x="177"/>
        <item x="178"/>
        <item x="179"/>
        <item x="184"/>
        <item x="74"/>
        <item x="97"/>
        <item x="193"/>
        <item x="194"/>
        <item x="195"/>
        <item x="199"/>
        <item x="203"/>
        <item x="207"/>
        <item x="88"/>
        <item x="213"/>
        <item x="215"/>
        <item x="216"/>
        <item x="221"/>
        <item x="223"/>
        <item x="224"/>
        <item x="226"/>
        <item x="95"/>
        <item x="228"/>
        <item x="83"/>
        <item x="229"/>
        <item x="72"/>
        <item x="225"/>
        <item x="234"/>
        <item x="227"/>
        <item x="235"/>
        <item x="73"/>
        <item x="99"/>
        <item x="236"/>
        <item x="237"/>
        <item x="238"/>
        <item x="239"/>
        <item x="102"/>
        <item x="106"/>
        <item x="240"/>
        <item x="241"/>
        <item x="242"/>
        <item x="243"/>
        <item x="345"/>
        <item x="244"/>
        <item x="166"/>
        <item x="78"/>
        <item x="245"/>
        <item x="246"/>
        <item x="247"/>
        <item x="248"/>
        <item x="86"/>
        <item x="305"/>
        <item x="251"/>
        <item x="85"/>
        <item x="252"/>
        <item x="253"/>
        <item x="105"/>
        <item x="254"/>
        <item x="255"/>
        <item x="258"/>
        <item x="256"/>
        <item x="249"/>
        <item x="250"/>
        <item x="353"/>
        <item x="267"/>
        <item x="259"/>
        <item x="361"/>
        <item x="322"/>
        <item x="268"/>
        <item x="347"/>
        <item x="182"/>
        <item x="98"/>
        <item x="321"/>
        <item x="183"/>
        <item x="94"/>
        <item x="260"/>
        <item x="185"/>
        <item x="261"/>
        <item x="180"/>
        <item x="346"/>
        <item x="257"/>
        <item x="269"/>
        <item x="306"/>
        <item x="318"/>
        <item x="320"/>
        <item x="308"/>
        <item x="192"/>
        <item x="307"/>
        <item x="89"/>
        <item x="270"/>
        <item x="364"/>
        <item x="196"/>
        <item x="349"/>
        <item x="208"/>
        <item x="271"/>
        <item x="272"/>
        <item x="202"/>
        <item x="360"/>
        <item x="265"/>
        <item x="273"/>
        <item x="209"/>
        <item x="327"/>
        <item x="274"/>
        <item x="276"/>
        <item x="197"/>
        <item x="201"/>
        <item x="266"/>
        <item x="205"/>
        <item x="204"/>
        <item x="332"/>
        <item x="275"/>
        <item x="263"/>
        <item x="264"/>
        <item x="281"/>
        <item x="342"/>
        <item x="278"/>
        <item x="279"/>
        <item x="280"/>
        <item x="206"/>
        <item x="362"/>
        <item x="310"/>
        <item x="277"/>
        <item x="262"/>
        <item x="309"/>
        <item x="295"/>
        <item x="168"/>
        <item x="348"/>
        <item x="296"/>
        <item x="301"/>
        <item x="282"/>
        <item x="311"/>
        <item x="284"/>
        <item x="170"/>
        <item x="181"/>
        <item x="104"/>
        <item x="302"/>
        <item x="297"/>
        <item x="103"/>
        <item x="344"/>
        <item x="167"/>
        <item x="210"/>
        <item x="300"/>
        <item x="350"/>
        <item x="186"/>
        <item x="212"/>
        <item x="343"/>
        <item x="312"/>
        <item x="333"/>
        <item x="299"/>
        <item x="169"/>
        <item x="313"/>
        <item x="283"/>
        <item x="337"/>
        <item x="211"/>
        <item x="218"/>
        <item x="289"/>
        <item x="232"/>
        <item x="290"/>
        <item x="190"/>
        <item x="222"/>
        <item x="304"/>
        <item x="298"/>
        <item x="187"/>
        <item x="293"/>
        <item x="294"/>
        <item x="286"/>
        <item x="220"/>
        <item x="291"/>
        <item x="351"/>
        <item x="292"/>
        <item x="189"/>
        <item x="198"/>
        <item x="191"/>
        <item x="287"/>
        <item x="230"/>
        <item x="188"/>
        <item x="303"/>
        <item x="285"/>
        <item x="200"/>
        <item x="233"/>
        <item x="219"/>
        <item x="217"/>
        <item x="214"/>
        <item x="231"/>
        <item x="28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45">
        <item x="9"/>
        <item x="11"/>
        <item x="5"/>
        <item x="7"/>
        <item x="8"/>
        <item x="6"/>
        <item x="12"/>
        <item x="10"/>
        <item x="15"/>
        <item x="17"/>
        <item x="13"/>
        <item x="16"/>
        <item x="18"/>
        <item x="14"/>
        <item x="4"/>
        <item x="0"/>
        <item x="3"/>
        <item x="2"/>
        <item x="1"/>
        <item x="19"/>
        <item x="25"/>
        <item x="20"/>
        <item x="26"/>
        <item x="22"/>
        <item x="21"/>
        <item x="23"/>
        <item x="24"/>
        <item x="30"/>
        <item x="29"/>
        <item x="28"/>
        <item x="27"/>
        <item x="31"/>
        <item x="32"/>
        <item x="37"/>
        <item x="33"/>
        <item x="34"/>
        <item x="41"/>
        <item x="36"/>
        <item x="43"/>
        <item x="35"/>
        <item x="39"/>
        <item x="40"/>
        <item x="3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1">
    <i>
      <x v="15"/>
    </i>
    <i>
      <x v="18"/>
    </i>
    <i>
      <x v="16"/>
    </i>
    <i>
      <x v="17"/>
    </i>
    <i>
      <x v="14"/>
    </i>
    <i>
      <x v="21"/>
    </i>
    <i>
      <x v="26"/>
    </i>
    <i>
      <x v="24"/>
    </i>
    <i>
      <x v="25"/>
    </i>
    <i>
      <x v="20"/>
    </i>
    <i t="grand">
      <x/>
    </i>
  </rowItems>
  <colItems count="1">
    <i/>
  </colItems>
  <dataFields count="1">
    <dataField name="Sum of Revenue" fld="31" baseField="0" baseItem="0" numFmtId="164"/>
  </dataFields>
  <pivotTableStyleInfo name="PivotStyleLight16" showRowHeaders="1" showColHeaders="1" showRowStripes="0" showColStripes="0" showLastColumn="1"/>
  <filters count="1"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55A37-11E0-214E-A626-2318195B527C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4:F31" firstHeaderRow="0" firstDataRow="1" firstDataCol="1"/>
  <pivotFields count="37">
    <pivotField numFmtId="14" showAll="0">
      <items count="366">
        <item x="15"/>
        <item x="339"/>
        <item x="18"/>
        <item x="0"/>
        <item x="354"/>
        <item x="357"/>
        <item x="338"/>
        <item x="22"/>
        <item x="352"/>
        <item x="14"/>
        <item x="37"/>
        <item x="1"/>
        <item x="324"/>
        <item x="23"/>
        <item x="39"/>
        <item x="19"/>
        <item x="21"/>
        <item x="336"/>
        <item x="325"/>
        <item x="334"/>
        <item x="20"/>
        <item x="10"/>
        <item x="2"/>
        <item x="328"/>
        <item x="323"/>
        <item x="24"/>
        <item x="51"/>
        <item x="16"/>
        <item x="25"/>
        <item x="314"/>
        <item x="17"/>
        <item x="331"/>
        <item x="12"/>
        <item x="13"/>
        <item x="316"/>
        <item x="26"/>
        <item x="8"/>
        <item x="5"/>
        <item x="27"/>
        <item x="341"/>
        <item x="6"/>
        <item x="4"/>
        <item x="358"/>
        <item x="53"/>
        <item x="7"/>
        <item x="3"/>
        <item x="355"/>
        <item x="319"/>
        <item x="31"/>
        <item x="317"/>
        <item x="9"/>
        <item x="356"/>
        <item x="56"/>
        <item x="315"/>
        <item x="32"/>
        <item x="330"/>
        <item x="329"/>
        <item x="61"/>
        <item x="11"/>
        <item x="35"/>
        <item x="41"/>
        <item x="44"/>
        <item x="50"/>
        <item x="55"/>
        <item x="62"/>
        <item x="33"/>
        <item x="28"/>
        <item x="54"/>
        <item x="65"/>
        <item x="46"/>
        <item x="57"/>
        <item x="36"/>
        <item x="326"/>
        <item x="52"/>
        <item x="43"/>
        <item x="71"/>
        <item x="48"/>
        <item x="42"/>
        <item x="38"/>
        <item x="77"/>
        <item x="40"/>
        <item x="47"/>
        <item x="45"/>
        <item x="80"/>
        <item x="82"/>
        <item x="81"/>
        <item x="49"/>
        <item x="29"/>
        <item x="34"/>
        <item x="84"/>
        <item x="87"/>
        <item x="359"/>
        <item x="90"/>
        <item x="91"/>
        <item x="92"/>
        <item x="335"/>
        <item x="93"/>
        <item x="96"/>
        <item x="100"/>
        <item x="101"/>
        <item x="30"/>
        <item x="107"/>
        <item x="60"/>
        <item x="108"/>
        <item x="109"/>
        <item x="111"/>
        <item x="58"/>
        <item x="114"/>
        <item x="113"/>
        <item x="110"/>
        <item x="117"/>
        <item x="118"/>
        <item x="115"/>
        <item x="119"/>
        <item x="59"/>
        <item x="120"/>
        <item x="116"/>
        <item x="121"/>
        <item x="112"/>
        <item x="75"/>
        <item x="122"/>
        <item x="123"/>
        <item x="124"/>
        <item x="125"/>
        <item x="363"/>
        <item x="66"/>
        <item x="126"/>
        <item x="64"/>
        <item x="127"/>
        <item x="76"/>
        <item x="128"/>
        <item x="129"/>
        <item x="130"/>
        <item x="131"/>
        <item x="132"/>
        <item x="133"/>
        <item x="6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79"/>
        <item x="149"/>
        <item x="340"/>
        <item x="150"/>
        <item x="153"/>
        <item x="69"/>
        <item x="156"/>
        <item x="151"/>
        <item x="155"/>
        <item x="154"/>
        <item x="67"/>
        <item x="152"/>
        <item x="158"/>
        <item x="159"/>
        <item x="160"/>
        <item x="161"/>
        <item x="162"/>
        <item x="163"/>
        <item x="164"/>
        <item x="165"/>
        <item x="68"/>
        <item x="70"/>
        <item x="171"/>
        <item x="172"/>
        <item x="173"/>
        <item x="174"/>
        <item x="175"/>
        <item x="157"/>
        <item x="176"/>
        <item x="177"/>
        <item x="178"/>
        <item x="179"/>
        <item x="184"/>
        <item x="74"/>
        <item x="97"/>
        <item x="193"/>
        <item x="194"/>
        <item x="195"/>
        <item x="199"/>
        <item x="203"/>
        <item x="207"/>
        <item x="88"/>
        <item x="213"/>
        <item x="215"/>
        <item x="216"/>
        <item x="221"/>
        <item x="223"/>
        <item x="224"/>
        <item x="226"/>
        <item x="95"/>
        <item x="228"/>
        <item x="83"/>
        <item x="229"/>
        <item x="72"/>
        <item x="225"/>
        <item x="234"/>
        <item x="227"/>
        <item x="235"/>
        <item x="73"/>
        <item x="99"/>
        <item x="236"/>
        <item x="237"/>
        <item x="238"/>
        <item x="239"/>
        <item x="102"/>
        <item x="106"/>
        <item x="240"/>
        <item x="241"/>
        <item x="242"/>
        <item x="243"/>
        <item x="345"/>
        <item x="244"/>
        <item x="166"/>
        <item x="78"/>
        <item x="245"/>
        <item x="246"/>
        <item x="247"/>
        <item x="248"/>
        <item x="86"/>
        <item x="305"/>
        <item x="251"/>
        <item x="85"/>
        <item x="252"/>
        <item x="253"/>
        <item x="105"/>
        <item x="254"/>
        <item x="255"/>
        <item x="258"/>
        <item x="256"/>
        <item x="249"/>
        <item x="250"/>
        <item x="353"/>
        <item x="267"/>
        <item x="259"/>
        <item x="361"/>
        <item x="322"/>
        <item x="268"/>
        <item x="347"/>
        <item x="182"/>
        <item x="98"/>
        <item x="321"/>
        <item x="183"/>
        <item x="94"/>
        <item x="260"/>
        <item x="185"/>
        <item x="261"/>
        <item x="180"/>
        <item x="346"/>
        <item x="257"/>
        <item x="269"/>
        <item x="306"/>
        <item x="318"/>
        <item x="320"/>
        <item x="308"/>
        <item x="192"/>
        <item x="307"/>
        <item x="89"/>
        <item x="270"/>
        <item x="364"/>
        <item x="196"/>
        <item x="349"/>
        <item x="208"/>
        <item x="271"/>
        <item x="272"/>
        <item x="202"/>
        <item x="360"/>
        <item x="265"/>
        <item x="273"/>
        <item x="209"/>
        <item x="327"/>
        <item x="274"/>
        <item x="276"/>
        <item x="197"/>
        <item x="201"/>
        <item x="266"/>
        <item x="205"/>
        <item x="204"/>
        <item x="332"/>
        <item x="275"/>
        <item x="263"/>
        <item x="264"/>
        <item x="281"/>
        <item x="342"/>
        <item x="278"/>
        <item x="279"/>
        <item x="280"/>
        <item x="206"/>
        <item x="362"/>
        <item x="310"/>
        <item x="277"/>
        <item x="262"/>
        <item x="309"/>
        <item x="295"/>
        <item x="168"/>
        <item x="348"/>
        <item x="296"/>
        <item x="301"/>
        <item x="282"/>
        <item x="311"/>
        <item x="284"/>
        <item x="170"/>
        <item x="181"/>
        <item x="104"/>
        <item x="302"/>
        <item x="297"/>
        <item x="103"/>
        <item x="344"/>
        <item x="167"/>
        <item x="210"/>
        <item x="300"/>
        <item x="350"/>
        <item x="186"/>
        <item x="212"/>
        <item x="343"/>
        <item x="312"/>
        <item x="333"/>
        <item x="299"/>
        <item x="169"/>
        <item x="313"/>
        <item x="283"/>
        <item x="337"/>
        <item x="211"/>
        <item x="218"/>
        <item x="289"/>
        <item x="232"/>
        <item x="290"/>
        <item x="190"/>
        <item x="222"/>
        <item x="304"/>
        <item x="298"/>
        <item x="187"/>
        <item x="293"/>
        <item x="294"/>
        <item x="286"/>
        <item x="220"/>
        <item x="291"/>
        <item x="351"/>
        <item x="292"/>
        <item x="189"/>
        <item x="198"/>
        <item x="191"/>
        <item x="287"/>
        <item x="230"/>
        <item x="188"/>
        <item x="303"/>
        <item x="285"/>
        <item x="200"/>
        <item x="233"/>
        <item x="219"/>
        <item x="217"/>
        <item x="214"/>
        <item x="231"/>
        <item x="288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3"/>
        <item x="4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4" showAll="0"/>
    <pivotField numFmtId="164" showAll="0"/>
    <pivotField numFmtId="164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7"/>
  </rowFields>
  <rowItems count="7">
    <i>
      <x v="5"/>
    </i>
    <i>
      <x/>
    </i>
    <i>
      <x v="4"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1" baseField="0" baseItem="0" numFmtId="164"/>
    <dataField name="Count of Order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73A9FAFB-F5BC-BC42-9FB5-7FE4A2181AE2}" autoFormatId="16" applyNumberFormats="0" applyBorderFormats="0" applyFontFormats="0" applyPatternFormats="0" applyAlignmentFormats="0" applyWidthHeightFormats="0">
  <queryTableRefresh nextId="62">
    <queryTableFields count="35">
      <queryTableField id="1" name="OrderDate" tableColumnId="1"/>
      <queryTableField id="2" name="StockDate" tableColumnId="2"/>
      <queryTableField id="3" name="OrderNumber" tableColumnId="3"/>
      <queryTableField id="45" name="ProductKey" tableColumnId="21"/>
      <queryTableField id="46" name="CustomerKey" tableColumnId="27"/>
      <queryTableField id="47" name="TerritoryKey" tableColumnId="32"/>
      <queryTableField id="7" name="OrderLineItem" tableColumnId="7"/>
      <queryTableField id="8" name="OrderQuantity" tableColumnId="8"/>
      <queryTableField id="48" name="ProductSubcategoryKey" tableColumnId="34"/>
      <queryTableField id="49" name="ProductSKU" tableColumnId="35"/>
      <queryTableField id="11" name="ProductName" tableColumnId="11"/>
      <queryTableField id="12" name="ProductCost" tableColumnId="12"/>
      <queryTableField id="13" name="ProductPrice" tableColumnId="13"/>
      <queryTableField id="51" name="Prefix" tableColumnId="37"/>
      <queryTableField id="16" name="FirstName" tableColumnId="16"/>
      <queryTableField id="17" name="LastName" tableColumnId="17"/>
      <queryTableField id="37" name="Full Name" tableColumnId="5"/>
      <queryTableField id="18" name="BirthDate" tableColumnId="18"/>
      <queryTableField id="19" name="MaritalStatus" tableColumnId="19"/>
      <queryTableField id="20" name="Gender" tableColumnId="20"/>
      <queryTableField id="38" name="EmailAddress" tableColumnId="6"/>
      <queryTableField id="22" name="AnnualIncome" tableColumnId="22"/>
      <queryTableField id="23" name="TotalChildren" tableColumnId="23"/>
      <queryTableField id="24" name="EducationLevel" tableColumnId="24"/>
      <queryTableField id="25" name="Occupation" tableColumnId="25"/>
      <queryTableField id="26" name="HomeOwner" tableColumnId="26"/>
      <queryTableField id="28" name="Region" tableColumnId="28"/>
      <queryTableField id="29" name="Country" tableColumnId="29"/>
      <queryTableField id="30" name="Continent" tableColumnId="30"/>
      <queryTableField id="31" name="SubcategoryName" tableColumnId="31"/>
      <queryTableField id="33" name="CategoryName" tableColumnId="33"/>
      <queryTableField id="39" name="Revenue" tableColumnId="9"/>
      <queryTableField id="40" name="Cost" tableColumnId="10"/>
      <queryTableField id="41" name="Profit" tableColumnId="14"/>
      <queryTableField id="42" name="Profit %" tableColumnId="15"/>
    </queryTableFields>
    <queryTableDeletedFields count="9">
      <deletedField name="ProductCategoryKey"/>
      <deletedField name="ProductKey"/>
      <deletedField name="CustomerKey"/>
      <deletedField name="TerritoryKey"/>
      <deletedField name="ProductSubcategoryKey"/>
      <deletedField name="ProductSKU"/>
      <deletedField name="Prefix"/>
      <deletedField name="EmailAddress"/>
      <deletedField name="CustomerKey.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A73A3A3F-7289-F645-979D-92AC694A138D}" autoFormatId="16" applyNumberFormats="0" applyBorderFormats="0" applyFontFormats="0" applyPatternFormats="0" applyAlignmentFormats="0" applyWidthHeightFormats="0">
  <queryTableRefresh nextId="13">
    <queryTableFields count="12">
      <queryTableField id="1" name="ReturnDate" tableColumnId="1"/>
      <queryTableField id="2" name="ReturnQuantity" tableColumnId="2"/>
      <queryTableField id="3" name="ProductName" tableColumnId="3"/>
      <queryTableField id="4" name="ProductCost" tableColumnId="4"/>
      <queryTableField id="5" name="ProductPrice" tableColumnId="5"/>
      <queryTableField id="6" name="SubcategoryName" tableColumnId="6"/>
      <queryTableField id="7" name="CategoryName" tableColumnId="7"/>
      <queryTableField id="8" name="Region" tableColumnId="8"/>
      <queryTableField id="9" name="Country" tableColumnId="9"/>
      <queryTableField id="10" name="Continent" tableColumnId="10"/>
      <queryTableField id="11" name="Return_value" tableColumnId="11"/>
      <queryTableField id="12" name="Return_cost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5897A1F-5125-C547-956A-D8C4E5DBA635}" autoFormatId="16" applyNumberFormats="0" applyBorderFormats="0" applyFontFormats="0" applyPatternFormats="0" applyAlignmentFormats="0" applyWidthHeightFormats="0">
  <queryTableRefresh nextId="36">
    <queryTableFields count="35">
      <queryTableField id="1" name="OrderDate" tableColumnId="1"/>
      <queryTableField id="2" name="StockDate" tableColumnId="2"/>
      <queryTableField id="3" name="OrderNumber" tableColumnId="3"/>
      <queryTableField id="4" name="ProductKey" tableColumnId="4"/>
      <queryTableField id="5" name="CustomerKey" tableColumnId="5"/>
      <queryTableField id="6" name="TerritoryKey" tableColumnId="6"/>
      <queryTableField id="7" name="OrderLineItem" tableColumnId="7"/>
      <queryTableField id="8" name="OrderQuantity" tableColumnId="8"/>
      <queryTableField id="9" name="ProductSubcategoryKey" tableColumnId="9"/>
      <queryTableField id="10" name="ProductSKU" tableColumnId="10"/>
      <queryTableField id="11" name="ProductName" tableColumnId="11"/>
      <queryTableField id="12" name="ProductCost" tableColumnId="12"/>
      <queryTableField id="13" name="ProductPrice" tableColumnId="13"/>
      <queryTableField id="14" name="Prefix" tableColumnId="14"/>
      <queryTableField id="15" name="FirstName" tableColumnId="15"/>
      <queryTableField id="16" name="LastName" tableColumnId="16"/>
      <queryTableField id="17" name="Full Name" tableColumnId="17"/>
      <queryTableField id="18" name="BirthDate" tableColumnId="18"/>
      <queryTableField id="19" name="MaritalStatus" tableColumnId="19"/>
      <queryTableField id="20" name="Gender" tableColumnId="20"/>
      <queryTableField id="21" name="EmailAddress" tableColumnId="21"/>
      <queryTableField id="22" name="AnnualIncome" tableColumnId="22"/>
      <queryTableField id="23" name="TotalChildren" tableColumnId="23"/>
      <queryTableField id="24" name="EducationLevel" tableColumnId="24"/>
      <queryTableField id="25" name="Occupation" tableColumnId="25"/>
      <queryTableField id="26" name="HomeOwner" tableColumnId="26"/>
      <queryTableField id="27" name="Region" tableColumnId="27"/>
      <queryTableField id="28" name="Country" tableColumnId="28"/>
      <queryTableField id="29" name="Continent" tableColumnId="29"/>
      <queryTableField id="30" name="SubcategoryName" tableColumnId="30"/>
      <queryTableField id="31" name="CategoryName" tableColumnId="31"/>
      <queryTableField id="32" name="Revenue" tableColumnId="32"/>
      <queryTableField id="33" name="Cost" tableColumnId="33"/>
      <queryTableField id="34" name="Profit" tableColumnId="34"/>
      <queryTableField id="35" name="Profit %" tableColumnId="3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0F06E121-10F6-AE44-AA17-EC34A52F0AFB}" autoFormatId="16" applyNumberFormats="0" applyBorderFormats="0" applyFontFormats="0" applyPatternFormats="0" applyAlignmentFormats="0" applyWidthHeightFormats="0">
  <queryTableRefresh nextId="38">
    <queryTableFields count="37">
      <queryTableField id="1" name="OrderDate" tableColumnId="1"/>
      <queryTableField id="2" name="Week" tableColumnId="2"/>
      <queryTableField id="3" name="Year" tableColumnId="3"/>
      <queryTableField id="4" name="StockDate" tableColumnId="4"/>
      <queryTableField id="5" name="OrderNumber" tableColumnId="5"/>
      <queryTableField id="6" name="ProductKey" tableColumnId="6"/>
      <queryTableField id="7" name="CustomerKey" tableColumnId="7"/>
      <queryTableField id="8" name="TerritoryKey" tableColumnId="8"/>
      <queryTableField id="9" name="OrderLineItem" tableColumnId="9"/>
      <queryTableField id="10" name="OrderQuantity" tableColumnId="10"/>
      <queryTableField id="11" name="ProductSubcategoryKey" tableColumnId="11"/>
      <queryTableField id="12" name="ProductSKU" tableColumnId="12"/>
      <queryTableField id="13" name="ProductName" tableColumnId="13"/>
      <queryTableField id="14" name="ProductCost" tableColumnId="14"/>
      <queryTableField id="15" name="ProductPrice" tableColumnId="15"/>
      <queryTableField id="16" name="Prefix" tableColumnId="16"/>
      <queryTableField id="17" name="FirstName" tableColumnId="17"/>
      <queryTableField id="18" name="LastName" tableColumnId="18"/>
      <queryTableField id="19" name="Full Name" tableColumnId="19"/>
      <queryTableField id="20" name="BirthDate" tableColumnId="20"/>
      <queryTableField id="21" name="MaritalStatus" tableColumnId="21"/>
      <queryTableField id="22" name="Gender" tableColumnId="22"/>
      <queryTableField id="23" name="EmailAddress" tableColumnId="23"/>
      <queryTableField id="24" name="AnnualIncome" tableColumnId="24"/>
      <queryTableField id="25" name="TotalChildren" tableColumnId="25"/>
      <queryTableField id="26" name="EducationLevel" tableColumnId="26"/>
      <queryTableField id="27" name="Occupation" tableColumnId="27"/>
      <queryTableField id="28" name="HomeOwner" tableColumnId="28"/>
      <queryTableField id="29" name="Region" tableColumnId="29"/>
      <queryTableField id="30" name="Country" tableColumnId="30"/>
      <queryTableField id="31" name="Continent" tableColumnId="31"/>
      <queryTableField id="32" name="SubcategoryName" tableColumnId="32"/>
      <queryTableField id="33" name="CategoryName" tableColumnId="33"/>
      <queryTableField id="34" name="Revenue" tableColumnId="34"/>
      <queryTableField id="35" name="Cost" tableColumnId="35"/>
      <queryTableField id="36" name="Profit" tableColumnId="36"/>
      <queryTableField id="37" name="Profit %" tableColumnId="3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307D2F09-7D70-FE42-861C-C29CD67864CB}" autoFormatId="16" applyNumberFormats="0" applyBorderFormats="0" applyFontFormats="0" applyPatternFormats="0" applyAlignmentFormats="0" applyWidthHeightFormats="0">
  <queryTableRefresh nextId="39">
    <queryTableFields count="38">
      <queryTableField id="1" name="OrderDate" tableColumnId="1"/>
      <queryTableField id="2" name="Year" tableColumnId="2"/>
      <queryTableField id="3" name="MonthNo" tableColumnId="3"/>
      <queryTableField id="4" name="Month" tableColumnId="4"/>
      <queryTableField id="5" name="StockDate" tableColumnId="5"/>
      <queryTableField id="6" name="OrderNumber" tableColumnId="6"/>
      <queryTableField id="7" name="ProductKey" tableColumnId="7"/>
      <queryTableField id="8" name="CustomerKey" tableColumnId="8"/>
      <queryTableField id="9" name="TerritoryKey" tableColumnId="9"/>
      <queryTableField id="10" name="OrderLineItem" tableColumnId="10"/>
      <queryTableField id="11" name="OrderQuantity" tableColumnId="11"/>
      <queryTableField id="12" name="ProductSubcategoryKey" tableColumnId="12"/>
      <queryTableField id="13" name="ProductSKU" tableColumnId="13"/>
      <queryTableField id="14" name="ProductName" tableColumnId="14"/>
      <queryTableField id="15" name="ProductCost" tableColumnId="15"/>
      <queryTableField id="16" name="ProductPrice" tableColumnId="16"/>
      <queryTableField id="17" name="Prefix" tableColumnId="17"/>
      <queryTableField id="18" name="FirstName" tableColumnId="18"/>
      <queryTableField id="19" name="LastName" tableColumnId="19"/>
      <queryTableField id="20" name="Full Name" tableColumnId="20"/>
      <queryTableField id="21" name="BirthDate" tableColumnId="21"/>
      <queryTableField id="22" name="MaritalStatus" tableColumnId="22"/>
      <queryTableField id="23" name="Gender" tableColumnId="23"/>
      <queryTableField id="24" name="EmailAddress" tableColumnId="24"/>
      <queryTableField id="25" name="AnnualIncome" tableColumnId="25"/>
      <queryTableField id="26" name="TotalChildren" tableColumnId="26"/>
      <queryTableField id="27" name="EducationLevel" tableColumnId="27"/>
      <queryTableField id="28" name="Occupation" tableColumnId="28"/>
      <queryTableField id="29" name="HomeOwner" tableColumnId="29"/>
      <queryTableField id="30" name="Region" tableColumnId="30"/>
      <queryTableField id="31" name="Country" tableColumnId="31"/>
      <queryTableField id="32" name="Continent" tableColumnId="32"/>
      <queryTableField id="33" name="SubcategoryName" tableColumnId="33"/>
      <queryTableField id="34" name="CategoryName" tableColumnId="34"/>
      <queryTableField id="35" name="Revenue" tableColumnId="35"/>
      <queryTableField id="36" name="Cost" tableColumnId="36"/>
      <queryTableField id="37" name="Profit" tableColumnId="37"/>
      <queryTableField id="38" name="Profit %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184F79-800E-4A47-89C3-B1F4ABA09125}" name="FS" displayName="FS" ref="A1:AI2631" tableType="queryTable" totalsRowShown="0">
  <autoFilter ref="A1:AI2631" xr:uid="{97184F79-800E-4A47-89C3-B1F4ABA09125}"/>
  <tableColumns count="35">
    <tableColumn id="1" xr3:uid="{6ECDE7A0-D8F3-5842-8346-2D0360F7AF30}" uniqueName="1" name="OrderDate" queryTableFieldId="1" dataDxfId="101"/>
    <tableColumn id="2" xr3:uid="{A9D36037-DFC9-1049-BF8D-9BE0CCAE865F}" uniqueName="2" name="StockDate" queryTableFieldId="2" dataDxfId="100"/>
    <tableColumn id="3" xr3:uid="{27D603F7-3EDB-0442-924C-05D5F9F1A532}" uniqueName="3" name="OrderNumber" queryTableFieldId="3" dataDxfId="99"/>
    <tableColumn id="21" xr3:uid="{DBFF91E9-0F57-3940-9646-62799FCF2DF2}" uniqueName="21" name="ProductKey" queryTableFieldId="45"/>
    <tableColumn id="27" xr3:uid="{949C9513-5767-E74D-B75F-5B4F632BC24D}" uniqueName="27" name="CustomerKey" queryTableFieldId="46"/>
    <tableColumn id="32" xr3:uid="{1AF51EB2-C8F4-4549-A3DF-80722C972A9B}" uniqueName="32" name="TerritoryKey" queryTableFieldId="47"/>
    <tableColumn id="7" xr3:uid="{75C12201-3A82-EF4A-8CF7-DB4C7EA16319}" uniqueName="7" name="OrderLineItem" queryTableFieldId="7"/>
    <tableColumn id="8" xr3:uid="{B8384617-07E2-BD45-BB71-104D1E8E843E}" uniqueName="8" name="OrderQuantity" queryTableFieldId="8"/>
    <tableColumn id="34" xr3:uid="{D47E3E04-1F39-FF41-886E-D7B5E6C99217}" uniqueName="34" name="ProductSubcategoryKey" queryTableFieldId="48"/>
    <tableColumn id="35" xr3:uid="{E49D71B3-CFD6-7645-94BF-7D73E8527311}" uniqueName="35" name="ProductSKU" queryTableFieldId="49" dataDxfId="98"/>
    <tableColumn id="11" xr3:uid="{4D4390EE-57A4-2A4D-BC04-A50712611681}" uniqueName="11" name="ProductName" queryTableFieldId="11" dataDxfId="97"/>
    <tableColumn id="12" xr3:uid="{CDC68AD3-D0FF-3C43-BFBF-B8A8C45FB2B1}" uniqueName="12" name="ProductCost" queryTableFieldId="12" dataDxfId="96"/>
    <tableColumn id="13" xr3:uid="{F6C012FC-CBCB-B843-B79B-BF995B33070B}" uniqueName="13" name="ProductPrice" queryTableFieldId="13" dataDxfId="95"/>
    <tableColumn id="37" xr3:uid="{A040F496-254D-6A42-8E9B-73E2A8C9E439}" uniqueName="37" name="Prefix" queryTableFieldId="51" dataDxfId="94"/>
    <tableColumn id="16" xr3:uid="{B0A12E47-EE13-164B-AF5B-EBD14CF9F73A}" uniqueName="16" name="FirstName" queryTableFieldId="16" dataDxfId="93"/>
    <tableColumn id="17" xr3:uid="{0D17A475-DB35-1746-94A0-04DA29AC3D76}" uniqueName="17" name="LastName" queryTableFieldId="17" dataDxfId="92"/>
    <tableColumn id="5" xr3:uid="{AECB322C-B7A1-1345-9B2B-80C3B7BD7C7A}" uniqueName="5" name="Full Name" queryTableFieldId="37" dataDxfId="91"/>
    <tableColumn id="18" xr3:uid="{F3BB0E24-F28B-F142-AB1E-F5B177D9760B}" uniqueName="18" name="BirthDate" queryTableFieldId="18" dataDxfId="90"/>
    <tableColumn id="19" xr3:uid="{0893FA25-1331-EC4C-B044-BB31123379E3}" uniqueName="19" name="MaritalStatus" queryTableFieldId="19" dataDxfId="89"/>
    <tableColumn id="20" xr3:uid="{06AC2591-B06C-FF41-B11F-54DC794B5DFC}" uniqueName="20" name="Gender" queryTableFieldId="20" dataDxfId="88"/>
    <tableColumn id="6" xr3:uid="{A53B8001-90AE-A04D-86BB-7562588320B0}" uniqueName="6" name="EmailAddress" queryTableFieldId="38" dataDxfId="87"/>
    <tableColumn id="22" xr3:uid="{9EFEB1EE-25A7-2C42-A185-EB91E0FA6E94}" uniqueName="22" name="AnnualIncome" queryTableFieldId="22"/>
    <tableColumn id="23" xr3:uid="{7E0822AF-BE31-1947-9A35-DB76AA059622}" uniqueName="23" name="TotalChildren" queryTableFieldId="23"/>
    <tableColumn id="24" xr3:uid="{E04700FA-3005-7942-A2E7-32DB2BE30DDF}" uniqueName="24" name="EducationLevel" queryTableFieldId="24" dataDxfId="86"/>
    <tableColumn id="25" xr3:uid="{690D701E-85F3-2841-9D6D-4985BE9018A0}" uniqueName="25" name="Occupation" queryTableFieldId="25" dataDxfId="85"/>
    <tableColumn id="26" xr3:uid="{242B8F87-D90E-BC46-9D09-1FB1D8C564B7}" uniqueName="26" name="HomeOwner" queryTableFieldId="26" dataDxfId="84"/>
    <tableColumn id="28" xr3:uid="{C34ADDE2-19B2-8D4B-AC70-E31A876C28DE}" uniqueName="28" name="Region" queryTableFieldId="28" dataDxfId="83"/>
    <tableColumn id="29" xr3:uid="{A3C3A84F-486D-2848-AD79-4E8B5C86F5CE}" uniqueName="29" name="Country" queryTableFieldId="29" dataDxfId="82"/>
    <tableColumn id="30" xr3:uid="{45826615-6C65-F04C-BAD8-093481762146}" uniqueName="30" name="Continent" queryTableFieldId="30" dataDxfId="81"/>
    <tableColumn id="31" xr3:uid="{E28D5269-4787-4F4F-9B98-408AB97D5521}" uniqueName="31" name="SubcategoryName" queryTableFieldId="31" dataDxfId="80"/>
    <tableColumn id="33" xr3:uid="{126C82CD-6192-AC49-ACD5-3B72B44E004B}" uniqueName="33" name="CategoryName" queryTableFieldId="33" dataDxfId="79"/>
    <tableColumn id="9" xr3:uid="{CE80C65A-D1D8-9448-BEEC-10298D76A919}" uniqueName="9" name="Revenue" queryTableFieldId="39" dataDxfId="78"/>
    <tableColumn id="10" xr3:uid="{64775C2E-3A19-6949-87B7-F2D19EE5185A}" uniqueName="10" name="Cost" queryTableFieldId="40" dataDxfId="77"/>
    <tableColumn id="14" xr3:uid="{191B8666-8237-C846-AE59-5CEC248D1209}" uniqueName="14" name="Profit" queryTableFieldId="41" dataDxfId="76"/>
    <tableColumn id="15" xr3:uid="{96261DA2-A710-654F-963D-EE6DCD6D6540}" uniqueName="15" name="Profit %" queryTableFieldId="42" dataDxfId="75" dataCellStyle="Per 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9C810E-D86F-BB4C-90BF-E6E8260124EF}" name="Fact_Return" displayName="Fact_Return" ref="A1:L1810" tableType="queryTable" totalsRowShown="0">
  <autoFilter ref="A1:L1810" xr:uid="{809C810E-D86F-BB4C-90BF-E6E8260124EF}"/>
  <tableColumns count="12">
    <tableColumn id="1" xr3:uid="{10D4226F-71A6-2347-ABB1-4C0A74F0F189}" uniqueName="1" name="ReturnDate" queryTableFieldId="1" dataDxfId="74"/>
    <tableColumn id="2" xr3:uid="{4AF0E3A9-2ED2-E144-A36D-6D2D2A203DA3}" uniqueName="2" name="ReturnQuantity" queryTableFieldId="2"/>
    <tableColumn id="3" xr3:uid="{B30163C5-CB9E-3349-B592-F325A9735071}" uniqueName="3" name="ProductName" queryTableFieldId="3" dataDxfId="73"/>
    <tableColumn id="4" xr3:uid="{3CF4B789-E3E5-7245-B72B-8E1ADEA21BBB}" uniqueName="4" name="ProductCost" queryTableFieldId="4" dataDxfId="72" dataCellStyle="Currency"/>
    <tableColumn id="5" xr3:uid="{38DCBB16-A865-1F42-A0BA-09D1AB877E38}" uniqueName="5" name="ProductPrice" queryTableFieldId="5" dataDxfId="71" dataCellStyle="Currency"/>
    <tableColumn id="6" xr3:uid="{B922F7AB-0442-A348-A141-911BF340B7CA}" uniqueName="6" name="SubcategoryName" queryTableFieldId="6" dataDxfId="70"/>
    <tableColumn id="7" xr3:uid="{9FA9EC53-C1E1-B74B-83BB-EDFB9371B08F}" uniqueName="7" name="CategoryName" queryTableFieldId="7" dataDxfId="69"/>
    <tableColumn id="8" xr3:uid="{6B182CFD-C548-1247-931C-E55F5A1F1352}" uniqueName="8" name="Region" queryTableFieldId="8" dataDxfId="68"/>
    <tableColumn id="9" xr3:uid="{B43E0F5E-4BB7-374F-93BC-570B7E0A5538}" uniqueName="9" name="Country" queryTableFieldId="9" dataDxfId="67"/>
    <tableColumn id="10" xr3:uid="{DA7F2795-DBF1-014B-BA65-4F08D77CCD49}" uniqueName="10" name="Continent" queryTableFieldId="10" dataDxfId="66"/>
    <tableColumn id="11" xr3:uid="{C37079E2-F065-1C41-9B66-CE81E2535F65}" uniqueName="11" name="Return_value" queryTableFieldId="11" dataDxfId="65" dataCellStyle="Currency"/>
    <tableColumn id="12" xr3:uid="{1A8D11CC-A26C-374A-B4D7-205E1AAD35B8}" uniqueName="12" name="Return_cost" queryTableFieldId="12" dataDxfId="64" dataCellStyle="Currenc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E1C50-3FDC-CC4B-A24E-E1C3E55ED60E}" name="FD" displayName="FD" ref="A1:AI8" tableType="queryTable" totalsRowShown="0">
  <autoFilter ref="A1:AI8" xr:uid="{F0EE1C50-3FDC-CC4B-A24E-E1C3E55ED60E}"/>
  <tableColumns count="35">
    <tableColumn id="1" xr3:uid="{57B03F36-BC81-CC4B-A87B-92C4C95F6A83}" uniqueName="1" name="OrderDate" queryTableFieldId="1" dataDxfId="63"/>
    <tableColumn id="2" xr3:uid="{49143DBA-B0B8-6A41-B752-539CA412B87A}" uniqueName="2" name="StockDate" queryTableFieldId="2" dataDxfId="62"/>
    <tableColumn id="3" xr3:uid="{9F4586E0-FB45-4643-9500-E3EFA16C412A}" uniqueName="3" name="OrderNumber" queryTableFieldId="3" dataDxfId="61"/>
    <tableColumn id="4" xr3:uid="{A9431D66-B39C-AF4C-8F9B-50EC72CC5340}" uniqueName="4" name="ProductKey" queryTableFieldId="4"/>
    <tableColumn id="5" xr3:uid="{2F0BD9FD-D7A8-3740-A813-7B0666D1144A}" uniqueName="5" name="CustomerKey" queryTableFieldId="5"/>
    <tableColumn id="6" xr3:uid="{A5BE6B3B-051C-5243-B058-A4982E93ED50}" uniqueName="6" name="TerritoryKey" queryTableFieldId="6"/>
    <tableColumn id="7" xr3:uid="{A11D83EC-D428-344C-8B97-40EAF807B3CC}" uniqueName="7" name="OrderLineItem" queryTableFieldId="7"/>
    <tableColumn id="8" xr3:uid="{6692BA92-F1FD-4B47-8BBE-8FDD51BA0F1A}" uniqueName="8" name="OrderQuantity" queryTableFieldId="8"/>
    <tableColumn id="9" xr3:uid="{C6AA5470-A633-B547-9168-1A54821A7932}" uniqueName="9" name="ProductSubcategoryKey" queryTableFieldId="9"/>
    <tableColumn id="10" xr3:uid="{8ABDB9B1-9A7A-874A-8D12-A46B7B065BD6}" uniqueName="10" name="ProductSKU" queryTableFieldId="10" dataDxfId="60"/>
    <tableColumn id="11" xr3:uid="{99E34F83-0312-614E-B069-B5FCF423DEDC}" uniqueName="11" name="ProductName" queryTableFieldId="11" dataDxfId="59"/>
    <tableColumn id="12" xr3:uid="{C3588D9B-8ED9-E943-BCE6-8DC82A8EEFF6}" uniqueName="12" name="ProductCost" queryTableFieldId="12"/>
    <tableColumn id="13" xr3:uid="{74452834-1A10-1F4A-B913-5B87B7A02E9D}" uniqueName="13" name="ProductPrice" queryTableFieldId="13"/>
    <tableColumn id="14" xr3:uid="{CF812313-6878-1542-BC24-910B2ADC184D}" uniqueName="14" name="Prefix" queryTableFieldId="14" dataDxfId="58"/>
    <tableColumn id="15" xr3:uid="{2C85882D-C806-D844-938B-B30C4C4533EE}" uniqueName="15" name="FirstName" queryTableFieldId="15" dataDxfId="57"/>
    <tableColumn id="16" xr3:uid="{F6D5CE45-2481-0549-AFC6-B28B0B62F48E}" uniqueName="16" name="LastName" queryTableFieldId="16" dataDxfId="56"/>
    <tableColumn id="17" xr3:uid="{43B69273-1EC4-3B41-8EB6-4F39A1252365}" uniqueName="17" name="Full Name" queryTableFieldId="17" dataDxfId="55"/>
    <tableColumn id="18" xr3:uid="{97B0E85F-5E54-BC4B-AFE5-D490C51D3F2C}" uniqueName="18" name="BirthDate" queryTableFieldId="18" dataDxfId="54"/>
    <tableColumn id="19" xr3:uid="{9C464378-546D-E84E-A769-BB11DD5C070E}" uniqueName="19" name="MaritalStatus" queryTableFieldId="19" dataDxfId="53"/>
    <tableColumn id="20" xr3:uid="{61ECF754-F475-F145-82EA-28CF7B6F6D57}" uniqueName="20" name="Gender" queryTableFieldId="20" dataDxfId="52"/>
    <tableColumn id="21" xr3:uid="{49040242-AA0E-BC40-82EF-376018D581DA}" uniqueName="21" name="EmailAddress" queryTableFieldId="21" dataDxfId="51"/>
    <tableColumn id="22" xr3:uid="{E69890DF-28BF-9D4B-BA56-F5DDA08A0BA4}" uniqueName="22" name="AnnualIncome" queryTableFieldId="22"/>
    <tableColumn id="23" xr3:uid="{FCCEA25B-B45E-E149-881D-595D2F5E5C76}" uniqueName="23" name="TotalChildren" queryTableFieldId="23"/>
    <tableColumn id="24" xr3:uid="{BA24E9B8-CEF3-C149-9B35-02634CD6FF79}" uniqueName="24" name="EducationLevel" queryTableFieldId="24" dataDxfId="50"/>
    <tableColumn id="25" xr3:uid="{A89D9242-568B-7A49-9FFE-6B070B346FCD}" uniqueName="25" name="Occupation" queryTableFieldId="25" dataDxfId="49"/>
    <tableColumn id="26" xr3:uid="{2BC56CF0-0F36-D04F-B680-4D82933FD476}" uniqueName="26" name="HomeOwner" queryTableFieldId="26" dataDxfId="48"/>
    <tableColumn id="27" xr3:uid="{85BF5243-B7E1-B24C-BCFF-7E35D3179322}" uniqueName="27" name="Region" queryTableFieldId="27" dataDxfId="47"/>
    <tableColumn id="28" xr3:uid="{3306C371-2FC9-DC40-AD9A-861386CC197E}" uniqueName="28" name="Country" queryTableFieldId="28" dataDxfId="46"/>
    <tableColumn id="29" xr3:uid="{99E7C3C7-4577-4A44-A1F7-0900A1EEE63A}" uniqueName="29" name="Continent" queryTableFieldId="29" dataDxfId="45"/>
    <tableColumn id="30" xr3:uid="{E25086D3-BBA7-DB49-A088-1A48D28290CD}" uniqueName="30" name="SubcategoryName" queryTableFieldId="30" dataDxfId="44"/>
    <tableColumn id="31" xr3:uid="{1D81362C-5634-4B46-B069-71B4175EA6FB}" uniqueName="31" name="CategoryName" queryTableFieldId="31" dataDxfId="43"/>
    <tableColumn id="32" xr3:uid="{2407EC87-99A8-D140-B4C1-9A54342418DE}" uniqueName="32" name="Revenue" queryTableFieldId="32"/>
    <tableColumn id="33" xr3:uid="{955DEBA4-57CB-3340-BA85-6249EB23942D}" uniqueName="33" name="Cost" queryTableFieldId="33"/>
    <tableColumn id="34" xr3:uid="{876AD508-57CE-0747-A57A-F8F4EE08AC45}" uniqueName="34" name="Profit" queryTableFieldId="34"/>
    <tableColumn id="35" xr3:uid="{75776859-7347-BC4C-8C33-0230F68A6949}" uniqueName="35" name="Profit %" queryTableField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8BADE-2539-4547-8830-B001A1739D45}" name="Fact_Weekly_Sales" displayName="Fact_Weekly_Sales" ref="A1:AK39" tableType="queryTable" totalsRowShown="0">
  <autoFilter ref="A1:AK39" xr:uid="{1928BADE-2539-4547-8830-B001A1739D45}"/>
  <tableColumns count="37">
    <tableColumn id="1" xr3:uid="{424284BA-F842-5B4A-8162-F7D75264FFE6}" uniqueName="1" name="OrderDate" queryTableFieldId="1" dataDxfId="42"/>
    <tableColumn id="2" xr3:uid="{90087C67-97AE-A74D-8645-F30A88B8E51D}" uniqueName="2" name="Week" queryTableFieldId="2"/>
    <tableColumn id="3" xr3:uid="{7DB28F34-7013-214E-BC8B-7679E5C3D9CD}" uniqueName="3" name="Year" queryTableFieldId="3"/>
    <tableColumn id="4" xr3:uid="{87EBBD06-3793-4747-A2AA-8C1C924A646F}" uniqueName="4" name="StockDate" queryTableFieldId="4" dataDxfId="41"/>
    <tableColumn id="5" xr3:uid="{7D246715-83F2-B343-9BAA-1C72F28FEF84}" uniqueName="5" name="OrderNumber" queryTableFieldId="5" dataDxfId="40"/>
    <tableColumn id="6" xr3:uid="{55CA4363-B7E9-A14C-9849-C6703DA5E286}" uniqueName="6" name="ProductKey" queryTableFieldId="6"/>
    <tableColumn id="7" xr3:uid="{A73D4235-5341-3642-87F9-FB888B8E9881}" uniqueName="7" name="CustomerKey" queryTableFieldId="7"/>
    <tableColumn id="8" xr3:uid="{B9EB542A-F83D-B54D-8C50-EF6B1C5ECE1D}" uniqueName="8" name="TerritoryKey" queryTableFieldId="8"/>
    <tableColumn id="9" xr3:uid="{61CBB8D2-483E-B646-92C5-4CA55142C910}" uniqueName="9" name="OrderLineItem" queryTableFieldId="9"/>
    <tableColumn id="10" xr3:uid="{E903CA13-3E4B-2145-8545-D58CA70656FE}" uniqueName="10" name="OrderQuantity" queryTableFieldId="10"/>
    <tableColumn id="11" xr3:uid="{D3BD72F6-54D0-7A4F-B6DD-57453B365345}" uniqueName="11" name="ProductSubcategoryKey" queryTableFieldId="11"/>
    <tableColumn id="12" xr3:uid="{3C103B85-BA90-984E-8786-9F0FE24D7B97}" uniqueName="12" name="ProductSKU" queryTableFieldId="12" dataDxfId="39"/>
    <tableColumn id="13" xr3:uid="{6C225ED4-9797-5F42-9F4C-F3E957F778AB}" uniqueName="13" name="ProductName" queryTableFieldId="13" dataDxfId="38"/>
    <tableColumn id="14" xr3:uid="{2F77F651-1D8C-FD48-877A-944651DBC12C}" uniqueName="14" name="ProductCost" queryTableFieldId="14"/>
    <tableColumn id="15" xr3:uid="{A812DE5B-090F-934E-863E-E8A8A86F5E95}" uniqueName="15" name="ProductPrice" queryTableFieldId="15"/>
    <tableColumn id="16" xr3:uid="{9E715E1E-325B-8746-A78A-851F283FE3EA}" uniqueName="16" name="Prefix" queryTableFieldId="16" dataDxfId="37"/>
    <tableColumn id="17" xr3:uid="{387A80D1-5C6D-CF4B-A18E-1796020FD20D}" uniqueName="17" name="FirstName" queryTableFieldId="17" dataDxfId="36"/>
    <tableColumn id="18" xr3:uid="{4CB0D094-4754-4141-9B20-1B61C53E4C3A}" uniqueName="18" name="LastName" queryTableFieldId="18" dataDxfId="35"/>
    <tableColumn id="19" xr3:uid="{656633D9-C3C1-7D45-962A-669CD7E8D806}" uniqueName="19" name="Full Name" queryTableFieldId="19" dataDxfId="34"/>
    <tableColumn id="20" xr3:uid="{384A41A6-CEBA-CE47-AD12-AB71C83458CF}" uniqueName="20" name="BirthDate" queryTableFieldId="20" dataDxfId="33"/>
    <tableColumn id="21" xr3:uid="{02A4F400-7299-F345-9AFF-8BEC480D0E8D}" uniqueName="21" name="MaritalStatus" queryTableFieldId="21" dataDxfId="32"/>
    <tableColumn id="22" xr3:uid="{E9BD575B-A01C-D745-A3F0-0A880169AF1E}" uniqueName="22" name="Gender" queryTableFieldId="22" dataDxfId="31"/>
    <tableColumn id="23" xr3:uid="{45C0EDA3-7F4D-6E46-9078-926CA99C348B}" uniqueName="23" name="EmailAddress" queryTableFieldId="23" dataDxfId="30"/>
    <tableColumn id="24" xr3:uid="{9667D4F5-7310-6B4C-A7AA-016467B2721A}" uniqueName="24" name="AnnualIncome" queryTableFieldId="24"/>
    <tableColumn id="25" xr3:uid="{D258263D-3705-9C48-B319-D473F27BE73A}" uniqueName="25" name="TotalChildren" queryTableFieldId="25"/>
    <tableColumn id="26" xr3:uid="{49A1D955-A40A-C849-9F10-AA5C2CF382E5}" uniqueName="26" name="EducationLevel" queryTableFieldId="26" dataDxfId="29"/>
    <tableColumn id="27" xr3:uid="{225B87A1-824A-A546-A90F-F2F248ACF896}" uniqueName="27" name="Occupation" queryTableFieldId="27" dataDxfId="28"/>
    <tableColumn id="28" xr3:uid="{7A4475B7-E1AF-E246-964C-13ECF3E21F40}" uniqueName="28" name="HomeOwner" queryTableFieldId="28" dataDxfId="27"/>
    <tableColumn id="29" xr3:uid="{B97C21F2-4D42-5E43-9C45-3D99CF6A40B8}" uniqueName="29" name="Region" queryTableFieldId="29" dataDxfId="26"/>
    <tableColumn id="30" xr3:uid="{AF7B3827-8CB5-FC4E-9B2C-E5DE062EBB00}" uniqueName="30" name="Country" queryTableFieldId="30" dataDxfId="25"/>
    <tableColumn id="31" xr3:uid="{790180E5-46BE-7B4A-9AC4-98BBDCB7B1BE}" uniqueName="31" name="Continent" queryTableFieldId="31" dataDxfId="24"/>
    <tableColumn id="32" xr3:uid="{3E67804C-8A50-AA4E-8569-AB031F96C1F6}" uniqueName="32" name="SubcategoryName" queryTableFieldId="32" dataDxfId="23"/>
    <tableColumn id="33" xr3:uid="{3B03F925-83D3-3949-87AF-99FBE5AFF8B2}" uniqueName="33" name="CategoryName" queryTableFieldId="33" dataDxfId="22"/>
    <tableColumn id="34" xr3:uid="{DA696676-8E3E-7B42-80AB-7F393CC2BBD7}" uniqueName="34" name="Revenue" queryTableFieldId="34"/>
    <tableColumn id="35" xr3:uid="{40A05EE5-B757-6C4A-BDE8-78462326CB4E}" uniqueName="35" name="Cost" queryTableFieldId="35"/>
    <tableColumn id="36" xr3:uid="{22920451-AECF-7444-AEBA-E48C80E8F90B}" uniqueName="36" name="Profit" queryTableFieldId="36"/>
    <tableColumn id="37" xr3:uid="{F5436746-9915-1143-88D2-39B459303B6D}" uniqueName="37" name="Profit %" queryTableFieldId="3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5B8F59-CF2B-B049-90E0-534466B49C63}" name="Fact_Monthly_Sales" displayName="Fact_Monthly_Sales" ref="A1:AL327" tableType="queryTable" totalsRowShown="0">
  <autoFilter ref="A1:AL327" xr:uid="{BF5B8F59-CF2B-B049-90E0-534466B49C63}"/>
  <tableColumns count="38">
    <tableColumn id="1" xr3:uid="{013DD4F5-F4CF-854A-A18F-1A2FEDB6E777}" uniqueName="1" name="OrderDate" queryTableFieldId="1" dataDxfId="21"/>
    <tableColumn id="2" xr3:uid="{156B0B25-86BD-534A-8634-DCE27151E1B0}" uniqueName="2" name="Year" queryTableFieldId="2"/>
    <tableColumn id="3" xr3:uid="{79B5558C-CEE4-984F-B0D7-ACF1F25110BD}" uniqueName="3" name="MonthNo" queryTableFieldId="3"/>
    <tableColumn id="4" xr3:uid="{D40172FC-B127-FD4E-8940-63F952159A58}" uniqueName="4" name="Month" queryTableFieldId="4" dataDxfId="20"/>
    <tableColumn id="5" xr3:uid="{F43C9D16-8D3D-124F-9396-D69168F2037B}" uniqueName="5" name="StockDate" queryTableFieldId="5" dataDxfId="19"/>
    <tableColumn id="6" xr3:uid="{E4BCB991-06D4-824C-B12A-AD3496ED43A8}" uniqueName="6" name="OrderNumber" queryTableFieldId="6" dataDxfId="18"/>
    <tableColumn id="7" xr3:uid="{F5F22BD0-3126-404F-A01F-7CDC37654A54}" uniqueName="7" name="ProductKey" queryTableFieldId="7"/>
    <tableColumn id="8" xr3:uid="{31B22A85-04F8-3046-A084-D932028F5FB1}" uniqueName="8" name="CustomerKey" queryTableFieldId="8"/>
    <tableColumn id="9" xr3:uid="{09928020-103C-E44F-96AD-17125FA97A73}" uniqueName="9" name="TerritoryKey" queryTableFieldId="9"/>
    <tableColumn id="10" xr3:uid="{D001B5C0-1505-2949-9AAB-C8142359D2D3}" uniqueName="10" name="OrderLineItem" queryTableFieldId="10"/>
    <tableColumn id="11" xr3:uid="{6D87C836-8163-6D43-8EF1-E232F61B4020}" uniqueName="11" name="OrderQuantity" queryTableFieldId="11"/>
    <tableColumn id="12" xr3:uid="{C1ADC436-61AB-F045-83D6-5C23D4FC5622}" uniqueName="12" name="ProductSubcategoryKey" queryTableFieldId="12"/>
    <tableColumn id="13" xr3:uid="{1E865462-370E-5044-9151-957BC255CB47}" uniqueName="13" name="ProductSKU" queryTableFieldId="13" dataDxfId="17"/>
    <tableColumn id="14" xr3:uid="{050C2B67-70FB-A048-9C8F-7E0C6C245E20}" uniqueName="14" name="ProductName" queryTableFieldId="14" dataDxfId="16"/>
    <tableColumn id="15" xr3:uid="{10F9F2D5-131B-D547-BC9B-E64249546E8E}" uniqueName="15" name="ProductCost" queryTableFieldId="15"/>
    <tableColumn id="16" xr3:uid="{0D3814E2-5C69-D34D-86DA-13F622430D73}" uniqueName="16" name="ProductPrice" queryTableFieldId="16"/>
    <tableColumn id="17" xr3:uid="{28A6C9A6-DC5C-744E-A2C1-CF182C4C6C40}" uniqueName="17" name="Prefix" queryTableFieldId="17" dataDxfId="15"/>
    <tableColumn id="18" xr3:uid="{528D8DAD-3D05-B64C-B546-CF4FA9057AEE}" uniqueName="18" name="FirstName" queryTableFieldId="18" dataDxfId="14"/>
    <tableColumn id="19" xr3:uid="{006165F5-8B70-8141-AA0C-EBC4D5467B19}" uniqueName="19" name="LastName" queryTableFieldId="19" dataDxfId="13"/>
    <tableColumn id="20" xr3:uid="{6940EB3C-C1EA-C345-B909-13B13A1B3095}" uniqueName="20" name="Full Name" queryTableFieldId="20" dataDxfId="12"/>
    <tableColumn id="21" xr3:uid="{64BA7253-294E-F046-B0D1-BE2B33B7D763}" uniqueName="21" name="BirthDate" queryTableFieldId="21" dataDxfId="11"/>
    <tableColumn id="22" xr3:uid="{42860239-F60C-6E4F-8884-D7C348703010}" uniqueName="22" name="MaritalStatus" queryTableFieldId="22" dataDxfId="10"/>
    <tableColumn id="23" xr3:uid="{287B4B0D-C005-5C40-8042-4CA687D96FA3}" uniqueName="23" name="Gender" queryTableFieldId="23" dataDxfId="9"/>
    <tableColumn id="24" xr3:uid="{94E23714-835E-4E47-BF98-BCDEB742656E}" uniqueName="24" name="EmailAddress" queryTableFieldId="24" dataDxfId="8"/>
    <tableColumn id="25" xr3:uid="{BF08A75F-D0D6-2045-B28B-CB0CB1F20D91}" uniqueName="25" name="AnnualIncome" queryTableFieldId="25"/>
    <tableColumn id="26" xr3:uid="{75309975-4C84-7842-B131-8C2AC47CEF40}" uniqueName="26" name="TotalChildren" queryTableFieldId="26"/>
    <tableColumn id="27" xr3:uid="{6936A009-4FF9-004C-B9F2-B2BC84A96CBD}" uniqueName="27" name="EducationLevel" queryTableFieldId="27" dataDxfId="7"/>
    <tableColumn id="28" xr3:uid="{C3D53B54-D14D-C049-A135-5C3606123A68}" uniqueName="28" name="Occupation" queryTableFieldId="28" dataDxfId="6"/>
    <tableColumn id="29" xr3:uid="{7D84D181-D40B-8D45-92A6-3BA4D796DBEE}" uniqueName="29" name="HomeOwner" queryTableFieldId="29" dataDxfId="5"/>
    <tableColumn id="30" xr3:uid="{30B5853E-5B95-1248-919E-A1A390B7E65E}" uniqueName="30" name="Region" queryTableFieldId="30" dataDxfId="4"/>
    <tableColumn id="31" xr3:uid="{33E88B70-50F9-5D4B-82E1-445C88C2AF7F}" uniqueName="31" name="Country" queryTableFieldId="31" dataDxfId="3"/>
    <tableColumn id="32" xr3:uid="{9A3DFEFB-1668-EF4C-8090-ABF61647B606}" uniqueName="32" name="Continent" queryTableFieldId="32" dataDxfId="2"/>
    <tableColumn id="33" xr3:uid="{2AA3EDA3-DA09-3946-A83E-33FC684EFCE0}" uniqueName="33" name="SubcategoryName" queryTableFieldId="33" dataDxfId="1"/>
    <tableColumn id="34" xr3:uid="{4300EE50-579E-0641-A7A3-A8D81E77D875}" uniqueName="34" name="CategoryName" queryTableFieldId="34" dataDxfId="0"/>
    <tableColumn id="35" xr3:uid="{00D7EB41-1179-6543-B1BA-58B22BFD2D20}" uniqueName="35" name="Revenue" queryTableFieldId="35"/>
    <tableColumn id="36" xr3:uid="{C3317488-C346-EF41-91FB-71A0ABCD9E72}" uniqueName="36" name="Cost" queryTableFieldId="36"/>
    <tableColumn id="37" xr3:uid="{DAD19661-563B-CA44-865D-1A8A07908A9C}" uniqueName="37" name="Profit" queryTableFieldId="37"/>
    <tableColumn id="38" xr3:uid="{ED5F9705-B3B2-874D-936D-74B8DE5A4221}" uniqueName="38" name="Profit %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FDC9-6907-B741-9410-01E032C7851F}">
  <sheetPr codeName="Sheet1"/>
  <dimension ref="A1:AI2631"/>
  <sheetViews>
    <sheetView topLeftCell="A2" workbookViewId="0">
      <selection activeCell="C18" sqref="C18"/>
    </sheetView>
  </sheetViews>
  <sheetFormatPr baseColWidth="10" defaultRowHeight="18"/>
  <cols>
    <col min="1" max="1" width="12.6640625" bestFit="1" customWidth="1"/>
    <col min="2" max="2" width="12.5" bestFit="1" customWidth="1"/>
    <col min="3" max="3" width="15.83203125" bestFit="1" customWidth="1"/>
    <col min="4" max="4" width="13.83203125" bestFit="1" customWidth="1"/>
    <col min="5" max="5" width="15.1640625" bestFit="1" customWidth="1"/>
    <col min="6" max="6" width="14.1640625" bestFit="1" customWidth="1"/>
    <col min="7" max="7" width="16.1640625" style="2" bestFit="1" customWidth="1"/>
    <col min="8" max="8" width="16.33203125" style="2" bestFit="1" customWidth="1"/>
    <col min="9" max="9" width="25.1640625" bestFit="1" customWidth="1"/>
    <col min="10" max="10" width="14.1640625" bestFit="1" customWidth="1"/>
    <col min="11" max="11" width="22.1640625" bestFit="1" customWidth="1"/>
    <col min="12" max="12" width="14.5" bestFit="1" customWidth="1"/>
    <col min="13" max="13" width="15" bestFit="1" customWidth="1"/>
    <col min="14" max="14" width="8.6640625" bestFit="1" customWidth="1"/>
    <col min="15" max="15" width="13.83203125" bestFit="1" customWidth="1"/>
    <col min="16" max="16" width="14.5" bestFit="1" customWidth="1"/>
    <col min="17" max="17" width="25.33203125" bestFit="1" customWidth="1"/>
    <col min="18" max="18" width="11.83203125" bestFit="1" customWidth="1"/>
    <col min="19" max="19" width="15.1640625" bestFit="1" customWidth="1"/>
    <col min="20" max="20" width="10" bestFit="1" customWidth="1"/>
    <col min="21" max="21" width="34.83203125" bestFit="1" customWidth="1"/>
    <col min="22" max="22" width="16.5" bestFit="1" customWidth="1"/>
    <col min="23" max="23" width="15.33203125" bestFit="1" customWidth="1"/>
    <col min="24" max="24" width="18.1640625" bestFit="1" customWidth="1"/>
    <col min="25" max="25" width="14" style="2" bestFit="1" customWidth="1"/>
    <col min="26" max="26" width="14.83203125" style="2" bestFit="1" customWidth="1"/>
    <col min="27" max="27" width="15.5" style="2" bestFit="1" customWidth="1"/>
    <col min="28" max="28" width="15.5" bestFit="1" customWidth="1"/>
    <col min="29" max="29" width="14" bestFit="1" customWidth="1"/>
    <col min="30" max="30" width="20" bestFit="1" customWidth="1"/>
    <col min="31" max="31" width="16.6640625" bestFit="1" customWidth="1"/>
    <col min="32" max="32" width="11.1640625" bestFit="1" customWidth="1"/>
    <col min="33" max="34" width="9.5" bestFit="1" customWidth="1"/>
    <col min="35" max="35" width="10.6640625" bestFit="1" customWidth="1"/>
    <col min="36" max="36" width="10.6640625" customWidth="1"/>
    <col min="37" max="37" width="21.83203125" bestFit="1" customWidth="1"/>
    <col min="38" max="38" width="16.6640625" customWidth="1"/>
    <col min="39" max="39" width="16.6640625" bestFit="1" customWidth="1"/>
  </cols>
  <sheetData>
    <row r="1" spans="1:35">
      <c r="A1" t="s">
        <v>3589</v>
      </c>
      <c r="B1" t="s">
        <v>3590</v>
      </c>
      <c r="C1" t="s">
        <v>3591</v>
      </c>
      <c r="D1" t="s">
        <v>3480</v>
      </c>
      <c r="E1" t="s">
        <v>0</v>
      </c>
      <c r="F1" t="s">
        <v>3573</v>
      </c>
      <c r="G1" t="s">
        <v>3592</v>
      </c>
      <c r="H1" t="s">
        <v>3593</v>
      </c>
      <c r="I1" t="s">
        <v>3476</v>
      </c>
      <c r="J1" t="s">
        <v>3481</v>
      </c>
      <c r="K1" t="s">
        <v>3482</v>
      </c>
      <c r="L1" s="2" t="s">
        <v>3483</v>
      </c>
      <c r="M1" s="2" t="s">
        <v>3484</v>
      </c>
      <c r="N1" t="s">
        <v>1</v>
      </c>
      <c r="O1" t="s">
        <v>2</v>
      </c>
      <c r="P1" t="s">
        <v>3</v>
      </c>
      <c r="Q1" t="s">
        <v>6326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3574</v>
      </c>
      <c r="AB1" t="s">
        <v>3575</v>
      </c>
      <c r="AC1" t="s">
        <v>3576</v>
      </c>
      <c r="AD1" t="s">
        <v>3477</v>
      </c>
      <c r="AE1" t="s">
        <v>3474</v>
      </c>
      <c r="AF1" s="2" t="s">
        <v>6327</v>
      </c>
      <c r="AG1" s="2" t="s">
        <v>6328</v>
      </c>
      <c r="AH1" s="2" t="s">
        <v>6329</v>
      </c>
      <c r="AI1" t="s">
        <v>6330</v>
      </c>
    </row>
    <row r="2" spans="1:35">
      <c r="A2" s="1">
        <v>42008</v>
      </c>
      <c r="B2" s="1">
        <v>37194</v>
      </c>
      <c r="C2" t="s">
        <v>3610</v>
      </c>
      <c r="D2">
        <v>312</v>
      </c>
      <c r="E2">
        <v>12483</v>
      </c>
      <c r="F2">
        <v>7</v>
      </c>
      <c r="G2">
        <v>1</v>
      </c>
      <c r="H2">
        <v>1</v>
      </c>
      <c r="I2">
        <v>2</v>
      </c>
      <c r="J2" t="s">
        <v>3489</v>
      </c>
      <c r="K2" t="s">
        <v>3490</v>
      </c>
      <c r="L2" s="2">
        <v>2171.2941999999998</v>
      </c>
      <c r="M2" s="2">
        <v>3578.27</v>
      </c>
      <c r="N2" t="s">
        <v>30</v>
      </c>
      <c r="O2" t="s">
        <v>106</v>
      </c>
      <c r="P2" t="s">
        <v>187</v>
      </c>
      <c r="Q2" t="s">
        <v>6331</v>
      </c>
      <c r="R2" s="1">
        <v>23471</v>
      </c>
      <c r="S2" t="s">
        <v>22</v>
      </c>
      <c r="T2" t="s">
        <v>29</v>
      </c>
      <c r="U2" t="s">
        <v>1162</v>
      </c>
      <c r="V2">
        <v>20000</v>
      </c>
      <c r="W2">
        <v>2</v>
      </c>
      <c r="X2" t="s">
        <v>57</v>
      </c>
      <c r="Y2" t="s">
        <v>444</v>
      </c>
      <c r="Z2" t="s">
        <v>19</v>
      </c>
      <c r="AA2" t="s">
        <v>3583</v>
      </c>
      <c r="AB2" t="s">
        <v>3583</v>
      </c>
      <c r="AC2" t="s">
        <v>3584</v>
      </c>
      <c r="AD2" t="s">
        <v>3479</v>
      </c>
      <c r="AE2" t="s">
        <v>3475</v>
      </c>
      <c r="AF2" s="2">
        <v>3578.27</v>
      </c>
      <c r="AG2" s="2">
        <v>2171.2941999999998</v>
      </c>
      <c r="AH2" s="2">
        <v>1406.9757999999999</v>
      </c>
      <c r="AI2" s="3">
        <v>0.39320001006072802</v>
      </c>
    </row>
    <row r="3" spans="1:35">
      <c r="A3" s="1">
        <v>42016</v>
      </c>
      <c r="B3" s="1">
        <v>37212</v>
      </c>
      <c r="C3" t="s">
        <v>3658</v>
      </c>
      <c r="D3">
        <v>312</v>
      </c>
      <c r="E3">
        <v>12485</v>
      </c>
      <c r="F3">
        <v>7</v>
      </c>
      <c r="G3">
        <v>1</v>
      </c>
      <c r="H3">
        <v>1</v>
      </c>
      <c r="I3">
        <v>2</v>
      </c>
      <c r="J3" t="s">
        <v>3489</v>
      </c>
      <c r="K3" t="s">
        <v>3490</v>
      </c>
      <c r="L3" s="2">
        <v>2171.2941999999998</v>
      </c>
      <c r="M3" s="2">
        <v>3578.27</v>
      </c>
      <c r="N3" t="s">
        <v>30</v>
      </c>
      <c r="O3" t="s">
        <v>895</v>
      </c>
      <c r="P3" t="s">
        <v>561</v>
      </c>
      <c r="Q3" t="s">
        <v>6332</v>
      </c>
      <c r="R3" s="1">
        <v>23461</v>
      </c>
      <c r="S3" t="s">
        <v>22</v>
      </c>
      <c r="T3" t="s">
        <v>29</v>
      </c>
      <c r="U3" t="s">
        <v>1164</v>
      </c>
      <c r="V3">
        <v>20000</v>
      </c>
      <c r="W3">
        <v>3</v>
      </c>
      <c r="X3" t="s">
        <v>57</v>
      </c>
      <c r="Y3" t="s">
        <v>444</v>
      </c>
      <c r="Z3" t="s">
        <v>19</v>
      </c>
      <c r="AA3" t="s">
        <v>3583</v>
      </c>
      <c r="AB3" t="s">
        <v>3583</v>
      </c>
      <c r="AC3" t="s">
        <v>3584</v>
      </c>
      <c r="AD3" t="s">
        <v>3479</v>
      </c>
      <c r="AE3" t="s">
        <v>3475</v>
      </c>
      <c r="AF3" s="2">
        <v>3578.27</v>
      </c>
      <c r="AG3" s="2">
        <v>2171.2941999999998</v>
      </c>
      <c r="AH3" s="2">
        <v>1406.9757999999999</v>
      </c>
      <c r="AI3" s="3">
        <v>0.39320001006072802</v>
      </c>
    </row>
    <row r="4" spans="1:35">
      <c r="A4" s="1">
        <v>42027</v>
      </c>
      <c r="B4" s="1">
        <v>37170</v>
      </c>
      <c r="C4" t="s">
        <v>3729</v>
      </c>
      <c r="D4">
        <v>310</v>
      </c>
      <c r="E4">
        <v>12464</v>
      </c>
      <c r="F4">
        <v>7</v>
      </c>
      <c r="G4">
        <v>1</v>
      </c>
      <c r="H4">
        <v>1</v>
      </c>
      <c r="I4">
        <v>2</v>
      </c>
      <c r="J4" t="s">
        <v>3485</v>
      </c>
      <c r="K4" t="s">
        <v>3486</v>
      </c>
      <c r="L4" s="2">
        <v>2171.2941999999998</v>
      </c>
      <c r="M4" s="2">
        <v>3578.27</v>
      </c>
      <c r="N4" t="s">
        <v>13</v>
      </c>
      <c r="O4" t="s">
        <v>586</v>
      </c>
      <c r="P4" t="s">
        <v>334</v>
      </c>
      <c r="Q4" t="s">
        <v>6333</v>
      </c>
      <c r="R4" s="1">
        <v>24760</v>
      </c>
      <c r="S4" t="s">
        <v>22</v>
      </c>
      <c r="T4" t="s">
        <v>16</v>
      </c>
      <c r="U4" t="s">
        <v>1153</v>
      </c>
      <c r="V4">
        <v>10000</v>
      </c>
      <c r="W4">
        <v>3</v>
      </c>
      <c r="X4" t="s">
        <v>57</v>
      </c>
      <c r="Y4" t="s">
        <v>444</v>
      </c>
      <c r="Z4" t="s">
        <v>19</v>
      </c>
      <c r="AA4" t="s">
        <v>3583</v>
      </c>
      <c r="AB4" t="s">
        <v>3583</v>
      </c>
      <c r="AC4" t="s">
        <v>3584</v>
      </c>
      <c r="AD4" t="s">
        <v>3479</v>
      </c>
      <c r="AE4" t="s">
        <v>3475</v>
      </c>
      <c r="AF4" s="2">
        <v>3578.27</v>
      </c>
      <c r="AG4" s="2">
        <v>2171.2941999999998</v>
      </c>
      <c r="AH4" s="2">
        <v>1406.9757999999999</v>
      </c>
      <c r="AI4" s="3">
        <v>0.39320001006072802</v>
      </c>
    </row>
    <row r="5" spans="1:35">
      <c r="A5" s="1">
        <v>42050</v>
      </c>
      <c r="B5" s="1">
        <v>37278</v>
      </c>
      <c r="C5" t="s">
        <v>3871</v>
      </c>
      <c r="D5">
        <v>312</v>
      </c>
      <c r="E5">
        <v>11216</v>
      </c>
      <c r="F5">
        <v>1</v>
      </c>
      <c r="G5">
        <v>1</v>
      </c>
      <c r="H5">
        <v>1</v>
      </c>
      <c r="I5">
        <v>2</v>
      </c>
      <c r="J5" t="s">
        <v>3489</v>
      </c>
      <c r="K5" t="s">
        <v>3490</v>
      </c>
      <c r="L5" s="2">
        <v>2171.2941999999998</v>
      </c>
      <c r="M5" s="2">
        <v>3578.27</v>
      </c>
      <c r="N5" t="s">
        <v>30</v>
      </c>
      <c r="O5" t="s">
        <v>253</v>
      </c>
      <c r="P5" t="s">
        <v>25</v>
      </c>
      <c r="Q5" t="s">
        <v>6334</v>
      </c>
      <c r="R5" s="1">
        <v>18403</v>
      </c>
      <c r="S5" t="s">
        <v>22</v>
      </c>
      <c r="T5" t="s">
        <v>29</v>
      </c>
      <c r="U5" t="s">
        <v>330</v>
      </c>
      <c r="V5">
        <v>60000</v>
      </c>
      <c r="W5">
        <v>2</v>
      </c>
      <c r="X5" t="s">
        <v>52</v>
      </c>
      <c r="Y5" t="s">
        <v>18</v>
      </c>
      <c r="Z5" t="s">
        <v>19</v>
      </c>
      <c r="AA5" t="s">
        <v>3577</v>
      </c>
      <c r="AB5" t="s">
        <v>3578</v>
      </c>
      <c r="AC5" t="s">
        <v>3579</v>
      </c>
      <c r="AD5" t="s">
        <v>3479</v>
      </c>
      <c r="AE5" t="s">
        <v>3475</v>
      </c>
      <c r="AF5" s="2">
        <v>3578.27</v>
      </c>
      <c r="AG5" s="2">
        <v>2171.2941999999998</v>
      </c>
      <c r="AH5" s="2">
        <v>1406.9757999999999</v>
      </c>
      <c r="AI5" s="3">
        <v>0.39320001006072802</v>
      </c>
    </row>
    <row r="6" spans="1:35">
      <c r="A6" s="1">
        <v>42046</v>
      </c>
      <c r="B6" s="1">
        <v>37186</v>
      </c>
      <c r="C6" t="s">
        <v>3847</v>
      </c>
      <c r="D6">
        <v>312</v>
      </c>
      <c r="E6">
        <v>11191</v>
      </c>
      <c r="F6">
        <v>4</v>
      </c>
      <c r="G6">
        <v>1</v>
      </c>
      <c r="H6">
        <v>1</v>
      </c>
      <c r="I6">
        <v>2</v>
      </c>
      <c r="J6" t="s">
        <v>3489</v>
      </c>
      <c r="K6" t="s">
        <v>3490</v>
      </c>
      <c r="L6" s="2">
        <v>2171.2941999999998</v>
      </c>
      <c r="M6" s="2">
        <v>3578.27</v>
      </c>
      <c r="N6" t="s">
        <v>30</v>
      </c>
      <c r="O6" t="s">
        <v>312</v>
      </c>
      <c r="P6" t="s">
        <v>187</v>
      </c>
      <c r="Q6" t="s">
        <v>6335</v>
      </c>
      <c r="R6" s="1">
        <v>16789</v>
      </c>
      <c r="S6" t="s">
        <v>22</v>
      </c>
      <c r="T6" t="s">
        <v>29</v>
      </c>
      <c r="U6" t="s">
        <v>313</v>
      </c>
      <c r="V6">
        <v>70000</v>
      </c>
      <c r="W6">
        <v>5</v>
      </c>
      <c r="X6" t="s">
        <v>17</v>
      </c>
      <c r="Y6" t="s">
        <v>45</v>
      </c>
      <c r="Z6" t="s">
        <v>19</v>
      </c>
      <c r="AA6" t="s">
        <v>3580</v>
      </c>
      <c r="AB6" t="s">
        <v>3578</v>
      </c>
      <c r="AC6" t="s">
        <v>3579</v>
      </c>
      <c r="AD6" t="s">
        <v>3479</v>
      </c>
      <c r="AE6" t="s">
        <v>3475</v>
      </c>
      <c r="AF6" s="2">
        <v>3578.27</v>
      </c>
      <c r="AG6" s="2">
        <v>2171.2941999999998</v>
      </c>
      <c r="AH6" s="2">
        <v>1406.9757999999999</v>
      </c>
      <c r="AI6" s="3">
        <v>0.39320001006072802</v>
      </c>
    </row>
    <row r="7" spans="1:35">
      <c r="A7" s="1">
        <v>42042</v>
      </c>
      <c r="B7" s="1">
        <v>37264</v>
      </c>
      <c r="C7" t="s">
        <v>3824</v>
      </c>
      <c r="D7">
        <v>310</v>
      </c>
      <c r="E7">
        <v>11090</v>
      </c>
      <c r="F7">
        <v>4</v>
      </c>
      <c r="G7">
        <v>1</v>
      </c>
      <c r="H7">
        <v>1</v>
      </c>
      <c r="I7">
        <v>2</v>
      </c>
      <c r="J7" t="s">
        <v>3485</v>
      </c>
      <c r="K7" t="s">
        <v>3486</v>
      </c>
      <c r="L7" s="2">
        <v>2171.2941999999998</v>
      </c>
      <c r="M7" s="2">
        <v>3578.27</v>
      </c>
      <c r="N7" t="s">
        <v>13</v>
      </c>
      <c r="O7" t="s">
        <v>183</v>
      </c>
      <c r="P7" t="s">
        <v>184</v>
      </c>
      <c r="Q7" t="s">
        <v>6336</v>
      </c>
      <c r="R7" s="1">
        <v>21171</v>
      </c>
      <c r="S7" t="s">
        <v>22</v>
      </c>
      <c r="T7" t="s">
        <v>16</v>
      </c>
      <c r="U7" t="s">
        <v>185</v>
      </c>
      <c r="V7">
        <v>90000</v>
      </c>
      <c r="W7">
        <v>2</v>
      </c>
      <c r="X7" t="s">
        <v>52</v>
      </c>
      <c r="Y7" t="s">
        <v>18</v>
      </c>
      <c r="Z7" t="s">
        <v>19</v>
      </c>
      <c r="AA7" t="s">
        <v>3580</v>
      </c>
      <c r="AB7" t="s">
        <v>3578</v>
      </c>
      <c r="AC7" t="s">
        <v>3579</v>
      </c>
      <c r="AD7" t="s">
        <v>3479</v>
      </c>
      <c r="AE7" t="s">
        <v>3475</v>
      </c>
      <c r="AF7" s="2">
        <v>3578.27</v>
      </c>
      <c r="AG7" s="2">
        <v>2171.2941999999998</v>
      </c>
      <c r="AH7" s="2">
        <v>1406.9757999999999</v>
      </c>
      <c r="AI7" s="3">
        <v>0.39320001006072802</v>
      </c>
    </row>
    <row r="8" spans="1:35">
      <c r="A8" s="1">
        <v>42042</v>
      </c>
      <c r="B8" s="1">
        <v>37244</v>
      </c>
      <c r="C8" t="s">
        <v>3823</v>
      </c>
      <c r="D8">
        <v>310</v>
      </c>
      <c r="E8">
        <v>11224</v>
      </c>
      <c r="F8">
        <v>1</v>
      </c>
      <c r="G8">
        <v>1</v>
      </c>
      <c r="H8">
        <v>1</v>
      </c>
      <c r="I8">
        <v>2</v>
      </c>
      <c r="J8" t="s">
        <v>3485</v>
      </c>
      <c r="K8" t="s">
        <v>3486</v>
      </c>
      <c r="L8" s="2">
        <v>2171.2941999999998</v>
      </c>
      <c r="M8" s="2">
        <v>3578.27</v>
      </c>
      <c r="N8" t="s">
        <v>30</v>
      </c>
      <c r="O8" t="s">
        <v>150</v>
      </c>
      <c r="P8" t="s">
        <v>338</v>
      </c>
      <c r="Q8" t="s">
        <v>6337</v>
      </c>
      <c r="R8" s="1">
        <v>18877</v>
      </c>
      <c r="S8" t="s">
        <v>22</v>
      </c>
      <c r="T8" t="s">
        <v>29</v>
      </c>
      <c r="U8" t="s">
        <v>339</v>
      </c>
      <c r="V8">
        <v>70000</v>
      </c>
      <c r="W8">
        <v>2</v>
      </c>
      <c r="X8" t="s">
        <v>57</v>
      </c>
      <c r="Y8" t="s">
        <v>18</v>
      </c>
      <c r="Z8" t="s">
        <v>19</v>
      </c>
      <c r="AA8" t="s">
        <v>3577</v>
      </c>
      <c r="AB8" t="s">
        <v>3578</v>
      </c>
      <c r="AC8" t="s">
        <v>3579</v>
      </c>
      <c r="AD8" t="s">
        <v>3479</v>
      </c>
      <c r="AE8" t="s">
        <v>3475</v>
      </c>
      <c r="AF8" s="2">
        <v>3578.27</v>
      </c>
      <c r="AG8" s="2">
        <v>2171.2941999999998</v>
      </c>
      <c r="AH8" s="2">
        <v>1406.9757999999999</v>
      </c>
      <c r="AI8" s="3">
        <v>0.39320001006072802</v>
      </c>
    </row>
    <row r="9" spans="1:35">
      <c r="A9" s="1">
        <v>42045</v>
      </c>
      <c r="B9" s="1">
        <v>37225</v>
      </c>
      <c r="C9" t="s">
        <v>3837</v>
      </c>
      <c r="D9">
        <v>310</v>
      </c>
      <c r="E9">
        <v>11217</v>
      </c>
      <c r="F9">
        <v>1</v>
      </c>
      <c r="G9">
        <v>1</v>
      </c>
      <c r="H9">
        <v>1</v>
      </c>
      <c r="I9">
        <v>2</v>
      </c>
      <c r="J9" t="s">
        <v>3485</v>
      </c>
      <c r="K9" t="s">
        <v>3486</v>
      </c>
      <c r="L9" s="2">
        <v>2171.2941999999998</v>
      </c>
      <c r="M9" s="2">
        <v>3578.27</v>
      </c>
      <c r="N9" t="s">
        <v>30</v>
      </c>
      <c r="O9" t="s">
        <v>331</v>
      </c>
      <c r="P9" t="s">
        <v>297</v>
      </c>
      <c r="Q9" t="s">
        <v>6338</v>
      </c>
      <c r="R9" s="1">
        <v>18305</v>
      </c>
      <c r="S9" t="s">
        <v>22</v>
      </c>
      <c r="T9" t="s">
        <v>29</v>
      </c>
      <c r="U9" t="s">
        <v>332</v>
      </c>
      <c r="V9">
        <v>60000</v>
      </c>
      <c r="W9">
        <v>2</v>
      </c>
      <c r="X9" t="s">
        <v>52</v>
      </c>
      <c r="Y9" t="s">
        <v>18</v>
      </c>
      <c r="Z9" t="s">
        <v>19</v>
      </c>
      <c r="AA9" t="s">
        <v>3577</v>
      </c>
      <c r="AB9" t="s">
        <v>3578</v>
      </c>
      <c r="AC9" t="s">
        <v>3579</v>
      </c>
      <c r="AD9" t="s">
        <v>3479</v>
      </c>
      <c r="AE9" t="s">
        <v>3475</v>
      </c>
      <c r="AF9" s="2">
        <v>3578.27</v>
      </c>
      <c r="AG9" s="2">
        <v>2171.2941999999998</v>
      </c>
      <c r="AH9" s="2">
        <v>1406.9757999999999</v>
      </c>
      <c r="AI9" s="3">
        <v>0.39320001006072802</v>
      </c>
    </row>
    <row r="10" spans="1:35">
      <c r="A10" s="1">
        <v>42049</v>
      </c>
      <c r="B10" s="1">
        <v>37281</v>
      </c>
      <c r="C10" t="s">
        <v>3861</v>
      </c>
      <c r="D10">
        <v>310</v>
      </c>
      <c r="E10">
        <v>12547</v>
      </c>
      <c r="F10">
        <v>7</v>
      </c>
      <c r="G10">
        <v>1</v>
      </c>
      <c r="H10">
        <v>1</v>
      </c>
      <c r="I10">
        <v>2</v>
      </c>
      <c r="J10" t="s">
        <v>3485</v>
      </c>
      <c r="K10" t="s">
        <v>3486</v>
      </c>
      <c r="L10" s="2">
        <v>2171.2941999999998</v>
      </c>
      <c r="M10" s="2">
        <v>3578.27</v>
      </c>
      <c r="N10" t="s">
        <v>13</v>
      </c>
      <c r="O10" t="s">
        <v>1021</v>
      </c>
      <c r="P10" t="s">
        <v>115</v>
      </c>
      <c r="Q10" t="s">
        <v>6339</v>
      </c>
      <c r="R10" s="1">
        <v>20756</v>
      </c>
      <c r="S10" t="s">
        <v>16</v>
      </c>
      <c r="T10" t="s">
        <v>16</v>
      </c>
      <c r="U10" t="s">
        <v>1177</v>
      </c>
      <c r="V10">
        <v>20000</v>
      </c>
      <c r="W10">
        <v>1</v>
      </c>
      <c r="X10" t="s">
        <v>17</v>
      </c>
      <c r="Y10" t="s">
        <v>60</v>
      </c>
      <c r="Z10" t="s">
        <v>19</v>
      </c>
      <c r="AA10" t="s">
        <v>3583</v>
      </c>
      <c r="AB10" t="s">
        <v>3583</v>
      </c>
      <c r="AC10" t="s">
        <v>3584</v>
      </c>
      <c r="AD10" t="s">
        <v>3479</v>
      </c>
      <c r="AE10" t="s">
        <v>3475</v>
      </c>
      <c r="AF10" s="2">
        <v>3578.27</v>
      </c>
      <c r="AG10" s="2">
        <v>2171.2941999999998</v>
      </c>
      <c r="AH10" s="2">
        <v>1406.9757999999999</v>
      </c>
      <c r="AI10" s="3">
        <v>0.39320001006072802</v>
      </c>
    </row>
    <row r="11" spans="1:35">
      <c r="A11" s="1">
        <v>42016</v>
      </c>
      <c r="B11" s="1">
        <v>37159</v>
      </c>
      <c r="C11" t="s">
        <v>3659</v>
      </c>
      <c r="D11">
        <v>314</v>
      </c>
      <c r="E11">
        <v>12468</v>
      </c>
      <c r="F11">
        <v>7</v>
      </c>
      <c r="G11">
        <v>1</v>
      </c>
      <c r="H11">
        <v>1</v>
      </c>
      <c r="I11">
        <v>2</v>
      </c>
      <c r="J11" t="s">
        <v>3493</v>
      </c>
      <c r="K11" t="s">
        <v>3494</v>
      </c>
      <c r="L11" s="2">
        <v>2171.2941999999998</v>
      </c>
      <c r="M11" s="2">
        <v>3578.27</v>
      </c>
      <c r="N11" t="s">
        <v>13</v>
      </c>
      <c r="O11" t="s">
        <v>1155</v>
      </c>
      <c r="P11" t="s">
        <v>93</v>
      </c>
      <c r="Q11" t="s">
        <v>6340</v>
      </c>
      <c r="R11" s="1">
        <v>24770</v>
      </c>
      <c r="S11" t="s">
        <v>16</v>
      </c>
      <c r="T11" t="s">
        <v>16</v>
      </c>
      <c r="U11" t="s">
        <v>1156</v>
      </c>
      <c r="V11">
        <v>30000</v>
      </c>
      <c r="W11">
        <v>1</v>
      </c>
      <c r="X11" t="s">
        <v>17</v>
      </c>
      <c r="Y11" t="s">
        <v>60</v>
      </c>
      <c r="Z11" t="s">
        <v>19</v>
      </c>
      <c r="AA11" t="s">
        <v>3583</v>
      </c>
      <c r="AB11" t="s">
        <v>3583</v>
      </c>
      <c r="AC11" t="s">
        <v>3584</v>
      </c>
      <c r="AD11" t="s">
        <v>3479</v>
      </c>
      <c r="AE11" t="s">
        <v>3475</v>
      </c>
      <c r="AF11" s="2">
        <v>3578.27</v>
      </c>
      <c r="AG11" s="2">
        <v>2171.2941999999998</v>
      </c>
      <c r="AH11" s="2">
        <v>1406.9757999999999</v>
      </c>
      <c r="AI11" s="3">
        <v>0.39320001006072802</v>
      </c>
    </row>
    <row r="12" spans="1:35">
      <c r="A12" s="1">
        <v>42041</v>
      </c>
      <c r="B12" s="1">
        <v>37273</v>
      </c>
      <c r="C12" t="s">
        <v>3813</v>
      </c>
      <c r="D12">
        <v>313</v>
      </c>
      <c r="E12">
        <v>11129</v>
      </c>
      <c r="F12">
        <v>1</v>
      </c>
      <c r="G12">
        <v>1</v>
      </c>
      <c r="H12">
        <v>1</v>
      </c>
      <c r="I12">
        <v>2</v>
      </c>
      <c r="J12" t="s">
        <v>3491</v>
      </c>
      <c r="K12" t="s">
        <v>3492</v>
      </c>
      <c r="L12" s="2">
        <v>2171.2941999999998</v>
      </c>
      <c r="M12" s="2">
        <v>3578.27</v>
      </c>
      <c r="N12" t="s">
        <v>26</v>
      </c>
      <c r="O12" t="s">
        <v>202</v>
      </c>
      <c r="P12" t="s">
        <v>240</v>
      </c>
      <c r="Q12" t="s">
        <v>6341</v>
      </c>
      <c r="R12" s="1">
        <v>27611</v>
      </c>
      <c r="S12" t="s">
        <v>22</v>
      </c>
      <c r="T12" t="s">
        <v>29</v>
      </c>
      <c r="U12" t="s">
        <v>241</v>
      </c>
      <c r="V12">
        <v>40000</v>
      </c>
      <c r="W12">
        <v>0</v>
      </c>
      <c r="X12" t="s">
        <v>57</v>
      </c>
      <c r="Y12" t="s">
        <v>53</v>
      </c>
      <c r="Z12" t="s">
        <v>19</v>
      </c>
      <c r="AA12" t="s">
        <v>3577</v>
      </c>
      <c r="AB12" t="s">
        <v>3578</v>
      </c>
      <c r="AC12" t="s">
        <v>3579</v>
      </c>
      <c r="AD12" t="s">
        <v>3479</v>
      </c>
      <c r="AE12" t="s">
        <v>3475</v>
      </c>
      <c r="AF12" s="2">
        <v>3578.27</v>
      </c>
      <c r="AG12" s="2">
        <v>2171.2941999999998</v>
      </c>
      <c r="AH12" s="2">
        <v>1406.9757999999999</v>
      </c>
      <c r="AI12" s="3">
        <v>0.39320001006072802</v>
      </c>
    </row>
    <row r="13" spans="1:35">
      <c r="A13" s="1">
        <v>42055</v>
      </c>
      <c r="B13" s="1">
        <v>37286</v>
      </c>
      <c r="C13" t="s">
        <v>3893</v>
      </c>
      <c r="D13">
        <v>312</v>
      </c>
      <c r="E13">
        <v>11171</v>
      </c>
      <c r="F13">
        <v>4</v>
      </c>
      <c r="G13">
        <v>1</v>
      </c>
      <c r="H13">
        <v>1</v>
      </c>
      <c r="I13">
        <v>2</v>
      </c>
      <c r="J13" t="s">
        <v>3489</v>
      </c>
      <c r="K13" t="s">
        <v>3490</v>
      </c>
      <c r="L13" s="2">
        <v>2171.2941999999998</v>
      </c>
      <c r="M13" s="2">
        <v>3578.27</v>
      </c>
      <c r="N13" t="s">
        <v>13</v>
      </c>
      <c r="O13" t="s">
        <v>262</v>
      </c>
      <c r="P13" t="s">
        <v>55</v>
      </c>
      <c r="Q13" t="s">
        <v>6342</v>
      </c>
      <c r="R13" s="1">
        <v>24754</v>
      </c>
      <c r="S13" t="s">
        <v>22</v>
      </c>
      <c r="T13" t="s">
        <v>16</v>
      </c>
      <c r="U13" t="s">
        <v>295</v>
      </c>
      <c r="V13">
        <v>100000</v>
      </c>
      <c r="W13">
        <v>1</v>
      </c>
      <c r="X13" t="s">
        <v>17</v>
      </c>
      <c r="Y13" t="s">
        <v>45</v>
      </c>
      <c r="Z13" t="s">
        <v>19</v>
      </c>
      <c r="AA13" t="s">
        <v>3580</v>
      </c>
      <c r="AB13" t="s">
        <v>3578</v>
      </c>
      <c r="AC13" t="s">
        <v>3579</v>
      </c>
      <c r="AD13" t="s">
        <v>3479</v>
      </c>
      <c r="AE13" t="s">
        <v>3475</v>
      </c>
      <c r="AF13" s="2">
        <v>3578.27</v>
      </c>
      <c r="AG13" s="2">
        <v>2171.2941999999998</v>
      </c>
      <c r="AH13" s="2">
        <v>1406.9757999999999</v>
      </c>
      <c r="AI13" s="3">
        <v>0.39320001006072802</v>
      </c>
    </row>
    <row r="14" spans="1:35">
      <c r="A14" s="1">
        <v>42026</v>
      </c>
      <c r="B14" s="1">
        <v>37262</v>
      </c>
      <c r="C14" t="s">
        <v>3726</v>
      </c>
      <c r="D14">
        <v>313</v>
      </c>
      <c r="E14">
        <v>12474</v>
      </c>
      <c r="F14">
        <v>7</v>
      </c>
      <c r="G14">
        <v>1</v>
      </c>
      <c r="H14">
        <v>1</v>
      </c>
      <c r="I14">
        <v>2</v>
      </c>
      <c r="J14" t="s">
        <v>3491</v>
      </c>
      <c r="K14" t="s">
        <v>3492</v>
      </c>
      <c r="L14" s="2">
        <v>2171.2941999999998</v>
      </c>
      <c r="M14" s="2">
        <v>3578.27</v>
      </c>
      <c r="N14" t="s">
        <v>30</v>
      </c>
      <c r="O14" t="s">
        <v>977</v>
      </c>
      <c r="P14" t="s">
        <v>570</v>
      </c>
      <c r="Q14" t="s">
        <v>6343</v>
      </c>
      <c r="R14" s="1">
        <v>24463</v>
      </c>
      <c r="S14" t="s">
        <v>16</v>
      </c>
      <c r="T14" t="s">
        <v>29</v>
      </c>
      <c r="U14" t="s">
        <v>1158</v>
      </c>
      <c r="V14">
        <v>30000</v>
      </c>
      <c r="W14">
        <v>1</v>
      </c>
      <c r="X14" t="s">
        <v>17</v>
      </c>
      <c r="Y14" t="s">
        <v>53</v>
      </c>
      <c r="Z14" t="s">
        <v>19</v>
      </c>
      <c r="AA14" t="s">
        <v>3583</v>
      </c>
      <c r="AB14" t="s">
        <v>3583</v>
      </c>
      <c r="AC14" t="s">
        <v>3584</v>
      </c>
      <c r="AD14" t="s">
        <v>3479</v>
      </c>
      <c r="AE14" t="s">
        <v>3475</v>
      </c>
      <c r="AF14" s="2">
        <v>3578.27</v>
      </c>
      <c r="AG14" s="2">
        <v>2171.2941999999998</v>
      </c>
      <c r="AH14" s="2">
        <v>1406.9757999999999</v>
      </c>
      <c r="AI14" s="3">
        <v>0.39320001006072802</v>
      </c>
    </row>
    <row r="15" spans="1:35">
      <c r="A15" s="1">
        <v>42063</v>
      </c>
      <c r="B15" s="1">
        <v>37254</v>
      </c>
      <c r="C15" t="s">
        <v>3940</v>
      </c>
      <c r="D15">
        <v>312</v>
      </c>
      <c r="E15">
        <v>11175</v>
      </c>
      <c r="F15">
        <v>4</v>
      </c>
      <c r="G15">
        <v>1</v>
      </c>
      <c r="H15">
        <v>1</v>
      </c>
      <c r="I15">
        <v>2</v>
      </c>
      <c r="J15" t="s">
        <v>3489</v>
      </c>
      <c r="K15" t="s">
        <v>3490</v>
      </c>
      <c r="L15" s="2">
        <v>2171.2941999999998</v>
      </c>
      <c r="M15" s="2">
        <v>3578.27</v>
      </c>
      <c r="N15" t="s">
        <v>13</v>
      </c>
      <c r="O15" t="s">
        <v>301</v>
      </c>
      <c r="P15" t="s">
        <v>56</v>
      </c>
      <c r="Q15" t="s">
        <v>6344</v>
      </c>
      <c r="R15" s="1">
        <v>23075</v>
      </c>
      <c r="S15" t="s">
        <v>22</v>
      </c>
      <c r="T15" t="s">
        <v>16</v>
      </c>
      <c r="U15" t="s">
        <v>302</v>
      </c>
      <c r="V15">
        <v>70000</v>
      </c>
      <c r="W15">
        <v>0</v>
      </c>
      <c r="X15" t="s">
        <v>52</v>
      </c>
      <c r="Y15" t="s">
        <v>53</v>
      </c>
      <c r="Z15" t="s">
        <v>19</v>
      </c>
      <c r="AA15" t="s">
        <v>3580</v>
      </c>
      <c r="AB15" t="s">
        <v>3578</v>
      </c>
      <c r="AC15" t="s">
        <v>3579</v>
      </c>
      <c r="AD15" t="s">
        <v>3479</v>
      </c>
      <c r="AE15" t="s">
        <v>3475</v>
      </c>
      <c r="AF15" s="2">
        <v>3578.27</v>
      </c>
      <c r="AG15" s="2">
        <v>2171.2941999999998</v>
      </c>
      <c r="AH15" s="2">
        <v>1406.9757999999999</v>
      </c>
      <c r="AI15" s="3">
        <v>0.39320001006072802</v>
      </c>
    </row>
    <row r="16" spans="1:35">
      <c r="A16" s="1">
        <v>42037</v>
      </c>
      <c r="B16" s="1">
        <v>37239</v>
      </c>
      <c r="C16" t="s">
        <v>3788</v>
      </c>
      <c r="D16">
        <v>313</v>
      </c>
      <c r="E16">
        <v>12520</v>
      </c>
      <c r="F16">
        <v>7</v>
      </c>
      <c r="G16">
        <v>1</v>
      </c>
      <c r="H16">
        <v>1</v>
      </c>
      <c r="I16">
        <v>2</v>
      </c>
      <c r="J16" t="s">
        <v>3491</v>
      </c>
      <c r="K16" t="s">
        <v>3492</v>
      </c>
      <c r="L16" s="2">
        <v>2171.2941999999998</v>
      </c>
      <c r="M16" s="2">
        <v>3578.27</v>
      </c>
      <c r="N16" t="s">
        <v>13</v>
      </c>
      <c r="O16" t="s">
        <v>69</v>
      </c>
      <c r="P16" t="s">
        <v>393</v>
      </c>
      <c r="Q16" t="s">
        <v>6345</v>
      </c>
      <c r="R16" s="1">
        <v>28089</v>
      </c>
      <c r="S16" t="s">
        <v>22</v>
      </c>
      <c r="T16" t="s">
        <v>16</v>
      </c>
      <c r="U16" t="s">
        <v>1170</v>
      </c>
      <c r="V16">
        <v>20000</v>
      </c>
      <c r="W16">
        <v>0</v>
      </c>
      <c r="X16" t="s">
        <v>57</v>
      </c>
      <c r="Y16" t="s">
        <v>444</v>
      </c>
      <c r="Z16" t="s">
        <v>23</v>
      </c>
      <c r="AA16" t="s">
        <v>3583</v>
      </c>
      <c r="AB16" t="s">
        <v>3583</v>
      </c>
      <c r="AC16" t="s">
        <v>3584</v>
      </c>
      <c r="AD16" t="s">
        <v>3479</v>
      </c>
      <c r="AE16" t="s">
        <v>3475</v>
      </c>
      <c r="AF16" s="2">
        <v>3578.27</v>
      </c>
      <c r="AG16" s="2">
        <v>2171.2941999999998</v>
      </c>
      <c r="AH16" s="2">
        <v>1406.9757999999999</v>
      </c>
      <c r="AI16" s="3">
        <v>0.39320001006072802</v>
      </c>
    </row>
    <row r="17" spans="1:35">
      <c r="A17" s="1">
        <v>42038</v>
      </c>
      <c r="B17" s="1">
        <v>37246</v>
      </c>
      <c r="C17" t="s">
        <v>3794</v>
      </c>
      <c r="D17">
        <v>313</v>
      </c>
      <c r="E17">
        <v>11227</v>
      </c>
      <c r="F17">
        <v>4</v>
      </c>
      <c r="G17">
        <v>1</v>
      </c>
      <c r="H17">
        <v>1</v>
      </c>
      <c r="I17">
        <v>2</v>
      </c>
      <c r="J17" t="s">
        <v>3491</v>
      </c>
      <c r="K17" t="s">
        <v>3492</v>
      </c>
      <c r="L17" s="2">
        <v>2171.2941999999998</v>
      </c>
      <c r="M17" s="2">
        <v>3578.27</v>
      </c>
      <c r="N17" t="s">
        <v>13</v>
      </c>
      <c r="O17" t="s">
        <v>340</v>
      </c>
      <c r="P17" t="s">
        <v>341</v>
      </c>
      <c r="Q17" t="s">
        <v>6346</v>
      </c>
      <c r="R17" s="1">
        <v>18852</v>
      </c>
      <c r="S17" t="s">
        <v>22</v>
      </c>
      <c r="T17" t="s">
        <v>16</v>
      </c>
      <c r="U17" t="s">
        <v>342</v>
      </c>
      <c r="V17">
        <v>60000</v>
      </c>
      <c r="W17">
        <v>2</v>
      </c>
      <c r="X17" t="s">
        <v>52</v>
      </c>
      <c r="Y17" t="s">
        <v>18</v>
      </c>
      <c r="Z17" t="s">
        <v>19</v>
      </c>
      <c r="AA17" t="s">
        <v>3580</v>
      </c>
      <c r="AB17" t="s">
        <v>3578</v>
      </c>
      <c r="AC17" t="s">
        <v>3579</v>
      </c>
      <c r="AD17" t="s">
        <v>3479</v>
      </c>
      <c r="AE17" t="s">
        <v>3475</v>
      </c>
      <c r="AF17" s="2">
        <v>3578.27</v>
      </c>
      <c r="AG17" s="2">
        <v>2171.2941999999998</v>
      </c>
      <c r="AH17" s="2">
        <v>1406.9757999999999</v>
      </c>
      <c r="AI17" s="3">
        <v>0.39320001006072802</v>
      </c>
    </row>
    <row r="18" spans="1:35">
      <c r="A18" s="1">
        <v>42014</v>
      </c>
      <c r="B18" s="1">
        <v>37251</v>
      </c>
      <c r="C18" t="s">
        <v>3643</v>
      </c>
      <c r="D18">
        <v>311</v>
      </c>
      <c r="E18">
        <v>12480</v>
      </c>
      <c r="F18">
        <v>7</v>
      </c>
      <c r="G18">
        <v>1</v>
      </c>
      <c r="H18">
        <v>1</v>
      </c>
      <c r="I18">
        <v>2</v>
      </c>
      <c r="J18" t="s">
        <v>3487</v>
      </c>
      <c r="K18" t="s">
        <v>3488</v>
      </c>
      <c r="L18" s="2">
        <v>2171.2941999999998</v>
      </c>
      <c r="M18" s="2">
        <v>3578.27</v>
      </c>
      <c r="N18" t="s">
        <v>30</v>
      </c>
      <c r="O18" t="s">
        <v>216</v>
      </c>
      <c r="P18" t="s">
        <v>214</v>
      </c>
      <c r="Q18" t="s">
        <v>6347</v>
      </c>
      <c r="R18" s="1">
        <v>23483</v>
      </c>
      <c r="S18" t="s">
        <v>22</v>
      </c>
      <c r="T18" t="s">
        <v>29</v>
      </c>
      <c r="U18" t="s">
        <v>1160</v>
      </c>
      <c r="V18">
        <v>10000</v>
      </c>
      <c r="W18">
        <v>5</v>
      </c>
      <c r="X18" t="s">
        <v>77</v>
      </c>
      <c r="Y18" t="s">
        <v>444</v>
      </c>
      <c r="Z18" t="s">
        <v>19</v>
      </c>
      <c r="AA18" t="s">
        <v>3583</v>
      </c>
      <c r="AB18" t="s">
        <v>3583</v>
      </c>
      <c r="AC18" t="s">
        <v>3584</v>
      </c>
      <c r="AD18" t="s">
        <v>3479</v>
      </c>
      <c r="AE18" t="s">
        <v>3475</v>
      </c>
      <c r="AF18" s="2">
        <v>3578.27</v>
      </c>
      <c r="AG18" s="2">
        <v>2171.2941999999998</v>
      </c>
      <c r="AH18" s="2">
        <v>1406.9757999999999</v>
      </c>
      <c r="AI18" s="3">
        <v>0.39320001006072802</v>
      </c>
    </row>
    <row r="19" spans="1:35">
      <c r="A19" s="1">
        <v>42005</v>
      </c>
      <c r="B19" s="1">
        <v>37193</v>
      </c>
      <c r="C19" t="s">
        <v>3596</v>
      </c>
      <c r="D19">
        <v>350</v>
      </c>
      <c r="E19">
        <v>11455</v>
      </c>
      <c r="F19">
        <v>9</v>
      </c>
      <c r="G19">
        <v>1</v>
      </c>
      <c r="H19">
        <v>1</v>
      </c>
      <c r="I19">
        <v>1</v>
      </c>
      <c r="J19" t="s">
        <v>3531</v>
      </c>
      <c r="K19" t="s">
        <v>3532</v>
      </c>
      <c r="L19" s="2">
        <v>1898.0944</v>
      </c>
      <c r="M19" s="2">
        <v>3374.99</v>
      </c>
      <c r="N19" t="s">
        <v>13</v>
      </c>
      <c r="O19" t="s">
        <v>199</v>
      </c>
      <c r="P19" t="s">
        <v>538</v>
      </c>
      <c r="Q19" t="s">
        <v>6348</v>
      </c>
      <c r="R19" s="1">
        <v>27140</v>
      </c>
      <c r="S19" t="s">
        <v>16</v>
      </c>
      <c r="T19" t="s">
        <v>16</v>
      </c>
      <c r="U19" t="s">
        <v>539</v>
      </c>
      <c r="V19">
        <v>100000</v>
      </c>
      <c r="W19">
        <v>0</v>
      </c>
      <c r="X19" t="s">
        <v>57</v>
      </c>
      <c r="Y19" t="s">
        <v>45</v>
      </c>
      <c r="Z19" t="s">
        <v>19</v>
      </c>
      <c r="AA19" t="s">
        <v>3586</v>
      </c>
      <c r="AB19" t="s">
        <v>3586</v>
      </c>
      <c r="AC19" t="s">
        <v>3587</v>
      </c>
      <c r="AD19" t="s">
        <v>3478</v>
      </c>
      <c r="AE19" t="s">
        <v>3475</v>
      </c>
      <c r="AF19" s="2">
        <v>3374.99</v>
      </c>
      <c r="AG19" s="2">
        <v>1898.0944</v>
      </c>
      <c r="AH19" s="2">
        <v>1476.8956000000001</v>
      </c>
      <c r="AI19" s="3">
        <v>0.43759999288886797</v>
      </c>
    </row>
    <row r="20" spans="1:35">
      <c r="A20" s="1">
        <v>42014</v>
      </c>
      <c r="B20" s="1">
        <v>37215</v>
      </c>
      <c r="C20" t="s">
        <v>3640</v>
      </c>
      <c r="D20">
        <v>350</v>
      </c>
      <c r="E20">
        <v>11759</v>
      </c>
      <c r="F20">
        <v>9</v>
      </c>
      <c r="G20">
        <v>1</v>
      </c>
      <c r="H20">
        <v>1</v>
      </c>
      <c r="I20">
        <v>1</v>
      </c>
      <c r="J20" t="s">
        <v>3531</v>
      </c>
      <c r="K20" t="s">
        <v>3532</v>
      </c>
      <c r="L20" s="2">
        <v>1898.0944</v>
      </c>
      <c r="M20" s="2">
        <v>3374.99</v>
      </c>
      <c r="N20" t="s">
        <v>30</v>
      </c>
      <c r="O20" t="s">
        <v>580</v>
      </c>
      <c r="P20" t="s">
        <v>93</v>
      </c>
      <c r="Q20" t="s">
        <v>6349</v>
      </c>
      <c r="R20" s="1">
        <v>25529</v>
      </c>
      <c r="S20" t="s">
        <v>16</v>
      </c>
      <c r="T20" t="s">
        <v>29</v>
      </c>
      <c r="U20" t="s">
        <v>733</v>
      </c>
      <c r="V20">
        <v>110000</v>
      </c>
      <c r="W20">
        <v>1</v>
      </c>
      <c r="X20" t="s">
        <v>135</v>
      </c>
      <c r="Y20" t="s">
        <v>45</v>
      </c>
      <c r="Z20" t="s">
        <v>23</v>
      </c>
      <c r="AA20" t="s">
        <v>3586</v>
      </c>
      <c r="AB20" t="s">
        <v>3586</v>
      </c>
      <c r="AC20" t="s">
        <v>3587</v>
      </c>
      <c r="AD20" t="s">
        <v>3478</v>
      </c>
      <c r="AE20" t="s">
        <v>3475</v>
      </c>
      <c r="AF20" s="2">
        <v>3374.99</v>
      </c>
      <c r="AG20" s="2">
        <v>1898.0944</v>
      </c>
      <c r="AH20" s="2">
        <v>1476.8956000000001</v>
      </c>
      <c r="AI20" s="3">
        <v>0.43759999288886797</v>
      </c>
    </row>
    <row r="21" spans="1:35">
      <c r="A21" s="1">
        <v>42032</v>
      </c>
      <c r="B21" s="1">
        <v>37211</v>
      </c>
      <c r="C21" t="s">
        <v>3755</v>
      </c>
      <c r="D21">
        <v>350</v>
      </c>
      <c r="E21">
        <v>11756</v>
      </c>
      <c r="F21">
        <v>9</v>
      </c>
      <c r="G21">
        <v>1</v>
      </c>
      <c r="H21">
        <v>1</v>
      </c>
      <c r="I21">
        <v>1</v>
      </c>
      <c r="J21" t="s">
        <v>3531</v>
      </c>
      <c r="K21" t="s">
        <v>3532</v>
      </c>
      <c r="L21" s="2">
        <v>1898.0944</v>
      </c>
      <c r="M21" s="2">
        <v>3374.99</v>
      </c>
      <c r="N21" t="s">
        <v>30</v>
      </c>
      <c r="O21" t="s">
        <v>156</v>
      </c>
      <c r="P21" t="s">
        <v>460</v>
      </c>
      <c r="Q21" t="s">
        <v>6350</v>
      </c>
      <c r="R21" s="1">
        <v>25094</v>
      </c>
      <c r="S21" t="s">
        <v>22</v>
      </c>
      <c r="T21" t="s">
        <v>29</v>
      </c>
      <c r="U21" t="s">
        <v>731</v>
      </c>
      <c r="V21">
        <v>60000</v>
      </c>
      <c r="W21">
        <v>2</v>
      </c>
      <c r="X21" t="s">
        <v>17</v>
      </c>
      <c r="Y21" t="s">
        <v>18</v>
      </c>
      <c r="Z21" t="s">
        <v>23</v>
      </c>
      <c r="AA21" t="s">
        <v>3586</v>
      </c>
      <c r="AB21" t="s">
        <v>3586</v>
      </c>
      <c r="AC21" t="s">
        <v>3587</v>
      </c>
      <c r="AD21" t="s">
        <v>3478</v>
      </c>
      <c r="AE21" t="s">
        <v>3475</v>
      </c>
      <c r="AF21" s="2">
        <v>3374.99</v>
      </c>
      <c r="AG21" s="2">
        <v>1898.0944</v>
      </c>
      <c r="AH21" s="2">
        <v>1476.8956000000001</v>
      </c>
      <c r="AI21" s="3">
        <v>0.43759999288886797</v>
      </c>
    </row>
    <row r="22" spans="1:35">
      <c r="A22" s="1">
        <v>42035</v>
      </c>
      <c r="B22" s="1">
        <v>37172</v>
      </c>
      <c r="C22" t="s">
        <v>3776</v>
      </c>
      <c r="D22">
        <v>350</v>
      </c>
      <c r="E22">
        <v>11461</v>
      </c>
      <c r="F22">
        <v>9</v>
      </c>
      <c r="G22">
        <v>1</v>
      </c>
      <c r="H22">
        <v>1</v>
      </c>
      <c r="I22">
        <v>1</v>
      </c>
      <c r="J22" t="s">
        <v>3531</v>
      </c>
      <c r="K22" t="s">
        <v>3532</v>
      </c>
      <c r="L22" s="2">
        <v>1898.0944</v>
      </c>
      <c r="M22" s="2">
        <v>3374.99</v>
      </c>
      <c r="N22" t="s">
        <v>13</v>
      </c>
      <c r="O22" t="s">
        <v>546</v>
      </c>
      <c r="P22" t="s">
        <v>83</v>
      </c>
      <c r="Q22" t="s">
        <v>6351</v>
      </c>
      <c r="R22" s="1">
        <v>26383</v>
      </c>
      <c r="S22" t="s">
        <v>22</v>
      </c>
      <c r="T22" t="s">
        <v>16</v>
      </c>
      <c r="U22" t="s">
        <v>547</v>
      </c>
      <c r="V22">
        <v>90000</v>
      </c>
      <c r="W22">
        <v>0</v>
      </c>
      <c r="X22" t="s">
        <v>17</v>
      </c>
      <c r="Y22" t="s">
        <v>18</v>
      </c>
      <c r="Z22" t="s">
        <v>23</v>
      </c>
      <c r="AA22" t="s">
        <v>3586</v>
      </c>
      <c r="AB22" t="s">
        <v>3586</v>
      </c>
      <c r="AC22" t="s">
        <v>3587</v>
      </c>
      <c r="AD22" t="s">
        <v>3478</v>
      </c>
      <c r="AE22" t="s">
        <v>3475</v>
      </c>
      <c r="AF22" s="2">
        <v>3374.99</v>
      </c>
      <c r="AG22" s="2">
        <v>1898.0944</v>
      </c>
      <c r="AH22" s="2">
        <v>1476.8956000000001</v>
      </c>
      <c r="AI22" s="3">
        <v>0.43759999288886797</v>
      </c>
    </row>
    <row r="23" spans="1:35">
      <c r="A23" s="1">
        <v>42007</v>
      </c>
      <c r="B23" s="1">
        <v>37145</v>
      </c>
      <c r="C23" t="s">
        <v>3608</v>
      </c>
      <c r="D23">
        <v>350</v>
      </c>
      <c r="E23">
        <v>11388</v>
      </c>
      <c r="F23">
        <v>10</v>
      </c>
      <c r="G23">
        <v>1</v>
      </c>
      <c r="H23">
        <v>1</v>
      </c>
      <c r="I23">
        <v>1</v>
      </c>
      <c r="J23" t="s">
        <v>3531</v>
      </c>
      <c r="K23" t="s">
        <v>3532</v>
      </c>
      <c r="L23" s="2">
        <v>1898.0944</v>
      </c>
      <c r="M23" s="2">
        <v>3374.99</v>
      </c>
      <c r="N23" t="s">
        <v>13</v>
      </c>
      <c r="O23" t="s">
        <v>485</v>
      </c>
      <c r="P23" t="s">
        <v>103</v>
      </c>
      <c r="Q23" t="s">
        <v>6352</v>
      </c>
      <c r="R23" s="1">
        <v>21755</v>
      </c>
      <c r="S23" t="s">
        <v>16</v>
      </c>
      <c r="T23" t="s">
        <v>16</v>
      </c>
      <c r="U23" t="s">
        <v>486</v>
      </c>
      <c r="V23">
        <v>40000</v>
      </c>
      <c r="W23">
        <v>3</v>
      </c>
      <c r="X23" t="s">
        <v>135</v>
      </c>
      <c r="Y23" t="s">
        <v>60</v>
      </c>
      <c r="Z23" t="s">
        <v>19</v>
      </c>
      <c r="AA23" t="s">
        <v>3588</v>
      </c>
      <c r="AB23" t="s">
        <v>3588</v>
      </c>
      <c r="AC23" t="s">
        <v>3584</v>
      </c>
      <c r="AD23" t="s">
        <v>3478</v>
      </c>
      <c r="AE23" t="s">
        <v>3475</v>
      </c>
      <c r="AF23" s="2">
        <v>3374.99</v>
      </c>
      <c r="AG23" s="2">
        <v>1898.0944</v>
      </c>
      <c r="AH23" s="2">
        <v>1476.8956000000001</v>
      </c>
      <c r="AI23" s="3">
        <v>0.43759999288886797</v>
      </c>
    </row>
    <row r="24" spans="1:35">
      <c r="A24" s="1">
        <v>42007</v>
      </c>
      <c r="B24" s="1">
        <v>37236</v>
      </c>
      <c r="C24" t="s">
        <v>3604</v>
      </c>
      <c r="D24">
        <v>345</v>
      </c>
      <c r="E24">
        <v>11398</v>
      </c>
      <c r="F24">
        <v>10</v>
      </c>
      <c r="G24">
        <v>1</v>
      </c>
      <c r="H24">
        <v>1</v>
      </c>
      <c r="I24">
        <v>1</v>
      </c>
      <c r="J24" t="s">
        <v>3521</v>
      </c>
      <c r="K24" t="s">
        <v>3522</v>
      </c>
      <c r="L24" s="2">
        <v>1912.1543999999999</v>
      </c>
      <c r="M24" s="2">
        <v>3399.99</v>
      </c>
      <c r="N24" t="s">
        <v>13</v>
      </c>
      <c r="O24" t="s">
        <v>371</v>
      </c>
      <c r="P24" t="s">
        <v>93</v>
      </c>
      <c r="Q24" t="s">
        <v>6353</v>
      </c>
      <c r="R24" s="1">
        <v>25455</v>
      </c>
      <c r="S24" t="s">
        <v>22</v>
      </c>
      <c r="T24" t="s">
        <v>16</v>
      </c>
      <c r="U24" t="s">
        <v>496</v>
      </c>
      <c r="V24">
        <v>30000</v>
      </c>
      <c r="W24">
        <v>0</v>
      </c>
      <c r="X24" t="s">
        <v>17</v>
      </c>
      <c r="Y24" t="s">
        <v>60</v>
      </c>
      <c r="Z24" t="s">
        <v>19</v>
      </c>
      <c r="AA24" t="s">
        <v>3588</v>
      </c>
      <c r="AB24" t="s">
        <v>3588</v>
      </c>
      <c r="AC24" t="s">
        <v>3584</v>
      </c>
      <c r="AD24" t="s">
        <v>3478</v>
      </c>
      <c r="AE24" t="s">
        <v>3475</v>
      </c>
      <c r="AF24" s="2">
        <v>3399.99</v>
      </c>
      <c r="AG24" s="2">
        <v>1912.1543999999999</v>
      </c>
      <c r="AH24" s="2">
        <v>1487.8356000000001</v>
      </c>
      <c r="AI24" s="3">
        <v>0.43759999294115598</v>
      </c>
    </row>
    <row r="25" spans="1:35">
      <c r="A25" s="1">
        <v>42020</v>
      </c>
      <c r="B25" s="1">
        <v>37248</v>
      </c>
      <c r="C25" t="s">
        <v>3681</v>
      </c>
      <c r="D25">
        <v>345</v>
      </c>
      <c r="E25">
        <v>11754</v>
      </c>
      <c r="F25">
        <v>9</v>
      </c>
      <c r="G25">
        <v>1</v>
      </c>
      <c r="H25">
        <v>1</v>
      </c>
      <c r="I25">
        <v>1</v>
      </c>
      <c r="J25" t="s">
        <v>3521</v>
      </c>
      <c r="K25" t="s">
        <v>3522</v>
      </c>
      <c r="L25" s="2">
        <v>1912.1543999999999</v>
      </c>
      <c r="M25" s="2">
        <v>3399.99</v>
      </c>
      <c r="N25" t="s">
        <v>30</v>
      </c>
      <c r="O25" t="s">
        <v>526</v>
      </c>
      <c r="P25" t="s">
        <v>460</v>
      </c>
      <c r="Q25" t="s">
        <v>6354</v>
      </c>
      <c r="R25" s="1">
        <v>25757</v>
      </c>
      <c r="S25" t="s">
        <v>16</v>
      </c>
      <c r="T25" t="s">
        <v>29</v>
      </c>
      <c r="U25" t="s">
        <v>730</v>
      </c>
      <c r="V25">
        <v>90000</v>
      </c>
      <c r="W25">
        <v>2</v>
      </c>
      <c r="X25" t="s">
        <v>17</v>
      </c>
      <c r="Y25" t="s">
        <v>18</v>
      </c>
      <c r="Z25" t="s">
        <v>19</v>
      </c>
      <c r="AA25" t="s">
        <v>3586</v>
      </c>
      <c r="AB25" t="s">
        <v>3586</v>
      </c>
      <c r="AC25" t="s">
        <v>3587</v>
      </c>
      <c r="AD25" t="s">
        <v>3478</v>
      </c>
      <c r="AE25" t="s">
        <v>3475</v>
      </c>
      <c r="AF25" s="2">
        <v>3399.99</v>
      </c>
      <c r="AG25" s="2">
        <v>1912.1543999999999</v>
      </c>
      <c r="AH25" s="2">
        <v>1487.8356000000001</v>
      </c>
      <c r="AI25" s="3">
        <v>0.43759999294115598</v>
      </c>
    </row>
    <row r="26" spans="1:35">
      <c r="A26" s="1">
        <v>42025</v>
      </c>
      <c r="B26" s="1">
        <v>37212</v>
      </c>
      <c r="C26" t="s">
        <v>3715</v>
      </c>
      <c r="D26">
        <v>345</v>
      </c>
      <c r="E26">
        <v>11460</v>
      </c>
      <c r="F26">
        <v>9</v>
      </c>
      <c r="G26">
        <v>1</v>
      </c>
      <c r="H26">
        <v>1</v>
      </c>
      <c r="I26">
        <v>1</v>
      </c>
      <c r="J26" t="s">
        <v>3521</v>
      </c>
      <c r="K26" t="s">
        <v>3522</v>
      </c>
      <c r="L26" s="2">
        <v>1912.1543999999999</v>
      </c>
      <c r="M26" s="2">
        <v>3399.99</v>
      </c>
      <c r="N26" t="s">
        <v>13</v>
      </c>
      <c r="O26" t="s">
        <v>544</v>
      </c>
      <c r="P26" t="s">
        <v>205</v>
      </c>
      <c r="Q26" t="s">
        <v>6355</v>
      </c>
      <c r="R26" s="1">
        <v>26579</v>
      </c>
      <c r="S26" t="s">
        <v>22</v>
      </c>
      <c r="T26" t="s">
        <v>16</v>
      </c>
      <c r="U26" t="s">
        <v>545</v>
      </c>
      <c r="V26">
        <v>90000</v>
      </c>
      <c r="W26">
        <v>0</v>
      </c>
      <c r="X26" t="s">
        <v>17</v>
      </c>
      <c r="Y26" t="s">
        <v>18</v>
      </c>
      <c r="Z26" t="s">
        <v>23</v>
      </c>
      <c r="AA26" t="s">
        <v>3586</v>
      </c>
      <c r="AB26" t="s">
        <v>3586</v>
      </c>
      <c r="AC26" t="s">
        <v>3587</v>
      </c>
      <c r="AD26" t="s">
        <v>3478</v>
      </c>
      <c r="AE26" t="s">
        <v>3475</v>
      </c>
      <c r="AF26" s="2">
        <v>3399.99</v>
      </c>
      <c r="AG26" s="2">
        <v>1912.1543999999999</v>
      </c>
      <c r="AH26" s="2">
        <v>1487.8356000000001</v>
      </c>
      <c r="AI26" s="3">
        <v>0.43759999294115598</v>
      </c>
    </row>
    <row r="27" spans="1:35">
      <c r="A27" s="1">
        <v>42020</v>
      </c>
      <c r="B27" s="1">
        <v>37164</v>
      </c>
      <c r="C27" t="s">
        <v>3682</v>
      </c>
      <c r="D27">
        <v>351</v>
      </c>
      <c r="E27">
        <v>11462</v>
      </c>
      <c r="F27">
        <v>9</v>
      </c>
      <c r="G27">
        <v>1</v>
      </c>
      <c r="H27">
        <v>1</v>
      </c>
      <c r="I27">
        <v>1</v>
      </c>
      <c r="J27" t="s">
        <v>3533</v>
      </c>
      <c r="K27" t="s">
        <v>3534</v>
      </c>
      <c r="L27" s="2">
        <v>1898.0944</v>
      </c>
      <c r="M27" s="2">
        <v>3374.99</v>
      </c>
      <c r="N27" t="s">
        <v>26</v>
      </c>
      <c r="O27" t="s">
        <v>548</v>
      </c>
      <c r="P27" t="s">
        <v>212</v>
      </c>
      <c r="Q27" t="s">
        <v>6356</v>
      </c>
      <c r="R27" s="1">
        <v>26317</v>
      </c>
      <c r="S27" t="s">
        <v>16</v>
      </c>
      <c r="T27" t="s">
        <v>29</v>
      </c>
      <c r="U27" t="s">
        <v>549</v>
      </c>
      <c r="V27">
        <v>110000</v>
      </c>
      <c r="W27">
        <v>0</v>
      </c>
      <c r="X27" t="s">
        <v>57</v>
      </c>
      <c r="Y27" t="s">
        <v>45</v>
      </c>
      <c r="Z27" t="s">
        <v>19</v>
      </c>
      <c r="AA27" t="s">
        <v>3586</v>
      </c>
      <c r="AB27" t="s">
        <v>3586</v>
      </c>
      <c r="AC27" t="s">
        <v>3587</v>
      </c>
      <c r="AD27" t="s">
        <v>3478</v>
      </c>
      <c r="AE27" t="s">
        <v>3475</v>
      </c>
      <c r="AF27" s="2">
        <v>3374.99</v>
      </c>
      <c r="AG27" s="2">
        <v>1898.0944</v>
      </c>
      <c r="AH27" s="2">
        <v>1476.8956000000001</v>
      </c>
      <c r="AI27" s="3">
        <v>0.43759999288886797</v>
      </c>
    </row>
    <row r="28" spans="1:35">
      <c r="A28" s="1">
        <v>42021</v>
      </c>
      <c r="B28" s="1">
        <v>37194</v>
      </c>
      <c r="C28" t="s">
        <v>3689</v>
      </c>
      <c r="D28">
        <v>351</v>
      </c>
      <c r="E28">
        <v>11457</v>
      </c>
      <c r="F28">
        <v>9</v>
      </c>
      <c r="G28">
        <v>1</v>
      </c>
      <c r="H28">
        <v>1</v>
      </c>
      <c r="I28">
        <v>1</v>
      </c>
      <c r="J28" t="s">
        <v>3533</v>
      </c>
      <c r="K28" t="s">
        <v>3534</v>
      </c>
      <c r="L28" s="2">
        <v>1898.0944</v>
      </c>
      <c r="M28" s="2">
        <v>3374.99</v>
      </c>
      <c r="N28" t="s">
        <v>26</v>
      </c>
      <c r="O28" t="s">
        <v>92</v>
      </c>
      <c r="P28" t="s">
        <v>217</v>
      </c>
      <c r="Q28" t="s">
        <v>6357</v>
      </c>
      <c r="R28" s="1">
        <v>26805</v>
      </c>
      <c r="S28" t="s">
        <v>16</v>
      </c>
      <c r="T28" t="s">
        <v>29</v>
      </c>
      <c r="U28" t="s">
        <v>541</v>
      </c>
      <c r="V28">
        <v>90000</v>
      </c>
      <c r="W28">
        <v>0</v>
      </c>
      <c r="X28" t="s">
        <v>17</v>
      </c>
      <c r="Y28" t="s">
        <v>18</v>
      </c>
      <c r="Z28" t="s">
        <v>19</v>
      </c>
      <c r="AA28" t="s">
        <v>3586</v>
      </c>
      <c r="AB28" t="s">
        <v>3586</v>
      </c>
      <c r="AC28" t="s">
        <v>3587</v>
      </c>
      <c r="AD28" t="s">
        <v>3478</v>
      </c>
      <c r="AE28" t="s">
        <v>3475</v>
      </c>
      <c r="AF28" s="2">
        <v>3374.99</v>
      </c>
      <c r="AG28" s="2">
        <v>1898.0944</v>
      </c>
      <c r="AH28" s="2">
        <v>1476.8956000000001</v>
      </c>
      <c r="AI28" s="3">
        <v>0.43759999288886797</v>
      </c>
    </row>
    <row r="29" spans="1:35">
      <c r="A29" s="1">
        <v>42008</v>
      </c>
      <c r="B29" s="1">
        <v>37232</v>
      </c>
      <c r="C29" t="s">
        <v>3613</v>
      </c>
      <c r="D29">
        <v>344</v>
      </c>
      <c r="E29">
        <v>11394</v>
      </c>
      <c r="F29">
        <v>10</v>
      </c>
      <c r="G29">
        <v>1</v>
      </c>
      <c r="H29">
        <v>1</v>
      </c>
      <c r="I29">
        <v>1</v>
      </c>
      <c r="J29" t="s">
        <v>3519</v>
      </c>
      <c r="K29" t="s">
        <v>3520</v>
      </c>
      <c r="L29" s="2">
        <v>1912.1543999999999</v>
      </c>
      <c r="M29" s="2">
        <v>3399.99</v>
      </c>
      <c r="N29" t="s">
        <v>13</v>
      </c>
      <c r="O29" t="s">
        <v>491</v>
      </c>
      <c r="P29" t="s">
        <v>492</v>
      </c>
      <c r="Q29" t="s">
        <v>6358</v>
      </c>
      <c r="R29" s="1">
        <v>25499</v>
      </c>
      <c r="S29" t="s">
        <v>22</v>
      </c>
      <c r="T29" t="s">
        <v>16</v>
      </c>
      <c r="U29" t="s">
        <v>493</v>
      </c>
      <c r="V29">
        <v>10000</v>
      </c>
      <c r="W29">
        <v>2</v>
      </c>
      <c r="X29" t="s">
        <v>57</v>
      </c>
      <c r="Y29" t="s">
        <v>444</v>
      </c>
      <c r="Z29" t="s">
        <v>19</v>
      </c>
      <c r="AA29" t="s">
        <v>3588</v>
      </c>
      <c r="AB29" t="s">
        <v>3588</v>
      </c>
      <c r="AC29" t="s">
        <v>3584</v>
      </c>
      <c r="AD29" t="s">
        <v>3478</v>
      </c>
      <c r="AE29" t="s">
        <v>3475</v>
      </c>
      <c r="AF29" s="2">
        <v>3399.99</v>
      </c>
      <c r="AG29" s="2">
        <v>1912.1543999999999</v>
      </c>
      <c r="AH29" s="2">
        <v>1487.8356000000001</v>
      </c>
      <c r="AI29" s="3">
        <v>0.43759999294115598</v>
      </c>
    </row>
    <row r="30" spans="1:35">
      <c r="A30" s="1">
        <v>42012</v>
      </c>
      <c r="B30" s="1">
        <v>37220</v>
      </c>
      <c r="C30" t="s">
        <v>3635</v>
      </c>
      <c r="D30">
        <v>344</v>
      </c>
      <c r="E30">
        <v>11751</v>
      </c>
      <c r="F30">
        <v>9</v>
      </c>
      <c r="G30">
        <v>1</v>
      </c>
      <c r="H30">
        <v>1</v>
      </c>
      <c r="I30">
        <v>1</v>
      </c>
      <c r="J30" t="s">
        <v>3519</v>
      </c>
      <c r="K30" t="s">
        <v>3520</v>
      </c>
      <c r="L30" s="2">
        <v>1912.1543999999999</v>
      </c>
      <c r="M30" s="2">
        <v>3399.99</v>
      </c>
      <c r="N30" t="s">
        <v>30</v>
      </c>
      <c r="O30" t="s">
        <v>374</v>
      </c>
      <c r="P30" t="s">
        <v>422</v>
      </c>
      <c r="Q30" t="s">
        <v>6359</v>
      </c>
      <c r="R30" s="1">
        <v>25766</v>
      </c>
      <c r="S30" t="s">
        <v>16</v>
      </c>
      <c r="T30" t="s">
        <v>29</v>
      </c>
      <c r="U30" t="s">
        <v>729</v>
      </c>
      <c r="V30">
        <v>80000</v>
      </c>
      <c r="W30">
        <v>4</v>
      </c>
      <c r="X30" t="s">
        <v>135</v>
      </c>
      <c r="Y30" t="s">
        <v>45</v>
      </c>
      <c r="Z30" t="s">
        <v>19</v>
      </c>
      <c r="AA30" t="s">
        <v>3586</v>
      </c>
      <c r="AB30" t="s">
        <v>3586</v>
      </c>
      <c r="AC30" t="s">
        <v>3587</v>
      </c>
      <c r="AD30" t="s">
        <v>3478</v>
      </c>
      <c r="AE30" t="s">
        <v>3475</v>
      </c>
      <c r="AF30" s="2">
        <v>3399.99</v>
      </c>
      <c r="AG30" s="2">
        <v>1912.1543999999999</v>
      </c>
      <c r="AH30" s="2">
        <v>1487.8356000000001</v>
      </c>
      <c r="AI30" s="3">
        <v>0.43759999294115598</v>
      </c>
    </row>
    <row r="31" spans="1:35">
      <c r="A31" s="1">
        <v>42018</v>
      </c>
      <c r="B31" s="1">
        <v>37255</v>
      </c>
      <c r="C31" t="s">
        <v>3667</v>
      </c>
      <c r="D31">
        <v>344</v>
      </c>
      <c r="E31">
        <v>11750</v>
      </c>
      <c r="F31">
        <v>9</v>
      </c>
      <c r="G31">
        <v>1</v>
      </c>
      <c r="H31">
        <v>1</v>
      </c>
      <c r="I31">
        <v>1</v>
      </c>
      <c r="J31" t="s">
        <v>3519</v>
      </c>
      <c r="K31" t="s">
        <v>3520</v>
      </c>
      <c r="L31" s="2">
        <v>1912.1543999999999</v>
      </c>
      <c r="M31" s="2">
        <v>3399.99</v>
      </c>
      <c r="N31" t="s">
        <v>30</v>
      </c>
      <c r="O31" t="s">
        <v>354</v>
      </c>
      <c r="P31" t="s">
        <v>450</v>
      </c>
      <c r="Q31" t="s">
        <v>6360</v>
      </c>
      <c r="R31" s="1">
        <v>24921</v>
      </c>
      <c r="S31" t="s">
        <v>16</v>
      </c>
      <c r="T31" t="s">
        <v>29</v>
      </c>
      <c r="U31" t="s">
        <v>728</v>
      </c>
      <c r="V31">
        <v>60000</v>
      </c>
      <c r="W31">
        <v>2</v>
      </c>
      <c r="X31" t="s">
        <v>17</v>
      </c>
      <c r="Y31" t="s">
        <v>18</v>
      </c>
      <c r="Z31" t="s">
        <v>19</v>
      </c>
      <c r="AA31" t="s">
        <v>3586</v>
      </c>
      <c r="AB31" t="s">
        <v>3586</v>
      </c>
      <c r="AC31" t="s">
        <v>3587</v>
      </c>
      <c r="AD31" t="s">
        <v>3478</v>
      </c>
      <c r="AE31" t="s">
        <v>3475</v>
      </c>
      <c r="AF31" s="2">
        <v>3399.99</v>
      </c>
      <c r="AG31" s="2">
        <v>1912.1543999999999</v>
      </c>
      <c r="AH31" s="2">
        <v>1487.8356000000001</v>
      </c>
      <c r="AI31" s="3">
        <v>0.43759999294115598</v>
      </c>
    </row>
    <row r="32" spans="1:35">
      <c r="A32" s="1">
        <v>42018</v>
      </c>
      <c r="B32" s="1">
        <v>37177</v>
      </c>
      <c r="C32" t="s">
        <v>3668</v>
      </c>
      <c r="D32">
        <v>344</v>
      </c>
      <c r="E32">
        <v>11465</v>
      </c>
      <c r="F32">
        <v>9</v>
      </c>
      <c r="G32">
        <v>1</v>
      </c>
      <c r="H32">
        <v>1</v>
      </c>
      <c r="I32">
        <v>1</v>
      </c>
      <c r="J32" t="s">
        <v>3519</v>
      </c>
      <c r="K32" t="s">
        <v>3520</v>
      </c>
      <c r="L32" s="2">
        <v>1912.1543999999999</v>
      </c>
      <c r="M32" s="2">
        <v>3399.99</v>
      </c>
      <c r="N32" t="s">
        <v>13</v>
      </c>
      <c r="O32" t="s">
        <v>552</v>
      </c>
      <c r="P32" t="s">
        <v>159</v>
      </c>
      <c r="Q32" t="s">
        <v>6361</v>
      </c>
      <c r="R32" s="1">
        <v>25983</v>
      </c>
      <c r="S32" t="s">
        <v>16</v>
      </c>
      <c r="T32" t="s">
        <v>16</v>
      </c>
      <c r="U32" t="s">
        <v>553</v>
      </c>
      <c r="V32">
        <v>90000</v>
      </c>
      <c r="W32">
        <v>0</v>
      </c>
      <c r="X32" t="s">
        <v>17</v>
      </c>
      <c r="Y32" t="s">
        <v>18</v>
      </c>
      <c r="Z32" t="s">
        <v>23</v>
      </c>
      <c r="AA32" t="s">
        <v>3586</v>
      </c>
      <c r="AB32" t="s">
        <v>3586</v>
      </c>
      <c r="AC32" t="s">
        <v>3587</v>
      </c>
      <c r="AD32" t="s">
        <v>3478</v>
      </c>
      <c r="AE32" t="s">
        <v>3475</v>
      </c>
      <c r="AF32" s="2">
        <v>3399.99</v>
      </c>
      <c r="AG32" s="2">
        <v>1912.1543999999999</v>
      </c>
      <c r="AH32" s="2">
        <v>1487.8356000000001</v>
      </c>
      <c r="AI32" s="3">
        <v>0.43759999294115598</v>
      </c>
    </row>
    <row r="33" spans="1:35">
      <c r="A33" s="1">
        <v>42030</v>
      </c>
      <c r="B33" s="1">
        <v>37238</v>
      </c>
      <c r="C33" t="s">
        <v>3744</v>
      </c>
      <c r="D33">
        <v>344</v>
      </c>
      <c r="E33">
        <v>11472</v>
      </c>
      <c r="F33">
        <v>9</v>
      </c>
      <c r="G33">
        <v>1</v>
      </c>
      <c r="H33">
        <v>1</v>
      </c>
      <c r="I33">
        <v>1</v>
      </c>
      <c r="J33" t="s">
        <v>3519</v>
      </c>
      <c r="K33" t="s">
        <v>3520</v>
      </c>
      <c r="L33" s="2">
        <v>1912.1543999999999</v>
      </c>
      <c r="M33" s="2">
        <v>3399.99</v>
      </c>
      <c r="N33" t="s">
        <v>13</v>
      </c>
      <c r="O33" t="s">
        <v>558</v>
      </c>
      <c r="P33" t="s">
        <v>194</v>
      </c>
      <c r="Q33" t="s">
        <v>6362</v>
      </c>
      <c r="R33" s="1">
        <v>23104</v>
      </c>
      <c r="S33" t="s">
        <v>22</v>
      </c>
      <c r="T33" t="s">
        <v>16</v>
      </c>
      <c r="U33" t="s">
        <v>559</v>
      </c>
      <c r="V33">
        <v>60000</v>
      </c>
      <c r="W33">
        <v>3</v>
      </c>
      <c r="X33" t="s">
        <v>17</v>
      </c>
      <c r="Y33" t="s">
        <v>18</v>
      </c>
      <c r="Z33" t="s">
        <v>19</v>
      </c>
      <c r="AA33" t="s">
        <v>3586</v>
      </c>
      <c r="AB33" t="s">
        <v>3586</v>
      </c>
      <c r="AC33" t="s">
        <v>3587</v>
      </c>
      <c r="AD33" t="s">
        <v>3478</v>
      </c>
      <c r="AE33" t="s">
        <v>3475</v>
      </c>
      <c r="AF33" s="2">
        <v>3399.99</v>
      </c>
      <c r="AG33" s="2">
        <v>1912.1543999999999</v>
      </c>
      <c r="AH33" s="2">
        <v>1487.8356000000001</v>
      </c>
      <c r="AI33" s="3">
        <v>0.43759999294115598</v>
      </c>
    </row>
    <row r="34" spans="1:35">
      <c r="A34" s="1">
        <v>42033</v>
      </c>
      <c r="B34" s="1">
        <v>37263</v>
      </c>
      <c r="C34" t="s">
        <v>3760</v>
      </c>
      <c r="D34">
        <v>344</v>
      </c>
      <c r="E34">
        <v>11451</v>
      </c>
      <c r="F34">
        <v>9</v>
      </c>
      <c r="G34">
        <v>1</v>
      </c>
      <c r="H34">
        <v>1</v>
      </c>
      <c r="I34">
        <v>1</v>
      </c>
      <c r="J34" t="s">
        <v>3519</v>
      </c>
      <c r="K34" t="s">
        <v>3520</v>
      </c>
      <c r="L34" s="2">
        <v>1912.1543999999999</v>
      </c>
      <c r="M34" s="2">
        <v>3399.99</v>
      </c>
      <c r="N34" t="s">
        <v>13</v>
      </c>
      <c r="O34" t="s">
        <v>24</v>
      </c>
      <c r="P34" t="s">
        <v>532</v>
      </c>
      <c r="Q34" t="s">
        <v>6363</v>
      </c>
      <c r="R34" s="1">
        <v>27342</v>
      </c>
      <c r="S34" t="s">
        <v>22</v>
      </c>
      <c r="T34" t="s">
        <v>16</v>
      </c>
      <c r="U34" t="s">
        <v>533</v>
      </c>
      <c r="V34">
        <v>70000</v>
      </c>
      <c r="W34">
        <v>0</v>
      </c>
      <c r="X34" t="s">
        <v>17</v>
      </c>
      <c r="Y34" t="s">
        <v>18</v>
      </c>
      <c r="Z34" t="s">
        <v>23</v>
      </c>
      <c r="AA34" t="s">
        <v>3586</v>
      </c>
      <c r="AB34" t="s">
        <v>3586</v>
      </c>
      <c r="AC34" t="s">
        <v>3587</v>
      </c>
      <c r="AD34" t="s">
        <v>3478</v>
      </c>
      <c r="AE34" t="s">
        <v>3475</v>
      </c>
      <c r="AF34" s="2">
        <v>3399.99</v>
      </c>
      <c r="AG34" s="2">
        <v>1912.1543999999999</v>
      </c>
      <c r="AH34" s="2">
        <v>1487.8356000000001</v>
      </c>
      <c r="AI34" s="3">
        <v>0.43759999294115598</v>
      </c>
    </row>
    <row r="35" spans="1:35">
      <c r="A35" s="1">
        <v>42040</v>
      </c>
      <c r="B35" s="1">
        <v>37241</v>
      </c>
      <c r="C35" t="s">
        <v>3804</v>
      </c>
      <c r="D35">
        <v>344</v>
      </c>
      <c r="E35">
        <v>11761</v>
      </c>
      <c r="F35">
        <v>9</v>
      </c>
      <c r="G35">
        <v>1</v>
      </c>
      <c r="H35">
        <v>1</v>
      </c>
      <c r="I35">
        <v>1</v>
      </c>
      <c r="J35" t="s">
        <v>3519</v>
      </c>
      <c r="K35" t="s">
        <v>3520</v>
      </c>
      <c r="L35" s="2">
        <v>1912.1543999999999</v>
      </c>
      <c r="M35" s="2">
        <v>3399.99</v>
      </c>
      <c r="N35" t="s">
        <v>13</v>
      </c>
      <c r="O35" t="s">
        <v>206</v>
      </c>
      <c r="P35" t="s">
        <v>35</v>
      </c>
      <c r="Q35" t="s">
        <v>6364</v>
      </c>
      <c r="R35" s="1">
        <v>24581</v>
      </c>
      <c r="S35" t="s">
        <v>22</v>
      </c>
      <c r="T35" t="s">
        <v>16</v>
      </c>
      <c r="U35" t="s">
        <v>734</v>
      </c>
      <c r="V35">
        <v>70000</v>
      </c>
      <c r="W35">
        <v>5</v>
      </c>
      <c r="X35" t="s">
        <v>17</v>
      </c>
      <c r="Y35" t="s">
        <v>18</v>
      </c>
      <c r="Z35" t="s">
        <v>19</v>
      </c>
      <c r="AA35" t="s">
        <v>3586</v>
      </c>
      <c r="AB35" t="s">
        <v>3586</v>
      </c>
      <c r="AC35" t="s">
        <v>3587</v>
      </c>
      <c r="AD35" t="s">
        <v>3478</v>
      </c>
      <c r="AE35" t="s">
        <v>3475</v>
      </c>
      <c r="AF35" s="2">
        <v>3399.99</v>
      </c>
      <c r="AG35" s="2">
        <v>1912.1543999999999</v>
      </c>
      <c r="AH35" s="2">
        <v>1487.8356000000001</v>
      </c>
      <c r="AI35" s="3">
        <v>0.43759999294115598</v>
      </c>
    </row>
    <row r="36" spans="1:35">
      <c r="A36" s="1">
        <v>42042</v>
      </c>
      <c r="B36" s="1">
        <v>37270</v>
      </c>
      <c r="C36" t="s">
        <v>3821</v>
      </c>
      <c r="D36">
        <v>344</v>
      </c>
      <c r="E36">
        <v>11762</v>
      </c>
      <c r="F36">
        <v>9</v>
      </c>
      <c r="G36">
        <v>1</v>
      </c>
      <c r="H36">
        <v>1</v>
      </c>
      <c r="I36">
        <v>1</v>
      </c>
      <c r="J36" t="s">
        <v>3519</v>
      </c>
      <c r="K36" t="s">
        <v>3520</v>
      </c>
      <c r="L36" s="2">
        <v>1912.1543999999999</v>
      </c>
      <c r="M36" s="2">
        <v>3399.99</v>
      </c>
      <c r="N36" t="s">
        <v>13</v>
      </c>
      <c r="O36" t="s">
        <v>735</v>
      </c>
      <c r="P36" t="s">
        <v>529</v>
      </c>
      <c r="Q36" t="s">
        <v>6365</v>
      </c>
      <c r="R36" s="1">
        <v>24708</v>
      </c>
      <c r="S36" t="s">
        <v>16</v>
      </c>
      <c r="T36" t="s">
        <v>16</v>
      </c>
      <c r="U36" t="s">
        <v>736</v>
      </c>
      <c r="V36">
        <v>70000</v>
      </c>
      <c r="W36">
        <v>5</v>
      </c>
      <c r="X36" t="s">
        <v>17</v>
      </c>
      <c r="Y36" t="s">
        <v>18</v>
      </c>
      <c r="Z36" t="s">
        <v>19</v>
      </c>
      <c r="AA36" t="s">
        <v>3586</v>
      </c>
      <c r="AB36" t="s">
        <v>3586</v>
      </c>
      <c r="AC36" t="s">
        <v>3587</v>
      </c>
      <c r="AD36" t="s">
        <v>3478</v>
      </c>
      <c r="AE36" t="s">
        <v>3475</v>
      </c>
      <c r="AF36" s="2">
        <v>3399.99</v>
      </c>
      <c r="AG36" s="2">
        <v>1912.1543999999999</v>
      </c>
      <c r="AH36" s="2">
        <v>1487.8356000000001</v>
      </c>
      <c r="AI36" s="3">
        <v>0.43759999294115598</v>
      </c>
    </row>
    <row r="37" spans="1:35">
      <c r="A37" s="1">
        <v>42045</v>
      </c>
      <c r="B37" s="1">
        <v>37235</v>
      </c>
      <c r="C37" t="s">
        <v>3836</v>
      </c>
      <c r="D37">
        <v>344</v>
      </c>
      <c r="E37">
        <v>11413</v>
      </c>
      <c r="F37">
        <v>10</v>
      </c>
      <c r="G37">
        <v>1</v>
      </c>
      <c r="H37">
        <v>1</v>
      </c>
      <c r="I37">
        <v>1</v>
      </c>
      <c r="J37" t="s">
        <v>3519</v>
      </c>
      <c r="K37" t="s">
        <v>3520</v>
      </c>
      <c r="L37" s="2">
        <v>1912.1543999999999</v>
      </c>
      <c r="M37" s="2">
        <v>3399.99</v>
      </c>
      <c r="N37" t="s">
        <v>30</v>
      </c>
      <c r="O37" t="s">
        <v>108</v>
      </c>
      <c r="P37" t="s">
        <v>345</v>
      </c>
      <c r="Q37" t="s">
        <v>6366</v>
      </c>
      <c r="R37" s="1">
        <v>19829</v>
      </c>
      <c r="S37" t="s">
        <v>16</v>
      </c>
      <c r="T37" t="s">
        <v>29</v>
      </c>
      <c r="U37" t="s">
        <v>507</v>
      </c>
      <c r="V37">
        <v>80000</v>
      </c>
      <c r="W37">
        <v>4</v>
      </c>
      <c r="X37" t="s">
        <v>52</v>
      </c>
      <c r="Y37" t="s">
        <v>18</v>
      </c>
      <c r="Z37" t="s">
        <v>23</v>
      </c>
      <c r="AA37" t="s">
        <v>3588</v>
      </c>
      <c r="AB37" t="s">
        <v>3588</v>
      </c>
      <c r="AC37" t="s">
        <v>3584</v>
      </c>
      <c r="AD37" t="s">
        <v>3478</v>
      </c>
      <c r="AE37" t="s">
        <v>3475</v>
      </c>
      <c r="AF37" s="2">
        <v>3399.99</v>
      </c>
      <c r="AG37" s="2">
        <v>1912.1543999999999</v>
      </c>
      <c r="AH37" s="2">
        <v>1487.8356000000001</v>
      </c>
      <c r="AI37" s="3">
        <v>0.43759999294115598</v>
      </c>
    </row>
    <row r="38" spans="1:35">
      <c r="A38" s="1">
        <v>42043</v>
      </c>
      <c r="B38" s="1">
        <v>37276</v>
      </c>
      <c r="C38" t="s">
        <v>3825</v>
      </c>
      <c r="D38">
        <v>348</v>
      </c>
      <c r="E38">
        <v>11468</v>
      </c>
      <c r="F38">
        <v>10</v>
      </c>
      <c r="G38">
        <v>1</v>
      </c>
      <c r="H38">
        <v>1</v>
      </c>
      <c r="I38">
        <v>1</v>
      </c>
      <c r="J38" t="s">
        <v>3527</v>
      </c>
      <c r="K38" t="s">
        <v>3528</v>
      </c>
      <c r="L38" s="2">
        <v>1898.0944</v>
      </c>
      <c r="M38" s="2">
        <v>3374.99</v>
      </c>
      <c r="N38" t="s">
        <v>30</v>
      </c>
      <c r="O38" t="s">
        <v>117</v>
      </c>
      <c r="P38" t="s">
        <v>134</v>
      </c>
      <c r="Q38" t="s">
        <v>6367</v>
      </c>
      <c r="R38" s="1">
        <v>27563</v>
      </c>
      <c r="S38" t="s">
        <v>16</v>
      </c>
      <c r="T38" t="s">
        <v>29</v>
      </c>
      <c r="U38" t="s">
        <v>555</v>
      </c>
      <c r="V38">
        <v>40000</v>
      </c>
      <c r="W38">
        <v>1</v>
      </c>
      <c r="X38" t="s">
        <v>17</v>
      </c>
      <c r="Y38" t="s">
        <v>53</v>
      </c>
      <c r="Z38" t="s">
        <v>19</v>
      </c>
      <c r="AA38" t="s">
        <v>3588</v>
      </c>
      <c r="AB38" t="s">
        <v>3588</v>
      </c>
      <c r="AC38" t="s">
        <v>3584</v>
      </c>
      <c r="AD38" t="s">
        <v>3478</v>
      </c>
      <c r="AE38" t="s">
        <v>3475</v>
      </c>
      <c r="AF38" s="2">
        <v>3374.99</v>
      </c>
      <c r="AG38" s="2">
        <v>1898.0944</v>
      </c>
      <c r="AH38" s="2">
        <v>1476.8956000000001</v>
      </c>
      <c r="AI38" s="3">
        <v>0.43759999288886797</v>
      </c>
    </row>
    <row r="39" spans="1:35">
      <c r="A39" s="1">
        <v>42071</v>
      </c>
      <c r="B39" s="1">
        <v>37302</v>
      </c>
      <c r="C39" t="s">
        <v>3994</v>
      </c>
      <c r="D39">
        <v>350</v>
      </c>
      <c r="E39">
        <v>11237</v>
      </c>
      <c r="F39">
        <v>8</v>
      </c>
      <c r="G39">
        <v>1</v>
      </c>
      <c r="H39">
        <v>1</v>
      </c>
      <c r="I39">
        <v>1</v>
      </c>
      <c r="J39" t="s">
        <v>3531</v>
      </c>
      <c r="K39" t="s">
        <v>3532</v>
      </c>
      <c r="L39" s="2">
        <v>1898.0944</v>
      </c>
      <c r="M39" s="2">
        <v>3374.99</v>
      </c>
      <c r="N39" t="s">
        <v>13</v>
      </c>
      <c r="O39" t="s">
        <v>58</v>
      </c>
      <c r="P39" t="s">
        <v>195</v>
      </c>
      <c r="Q39" t="s">
        <v>6368</v>
      </c>
      <c r="R39" s="1">
        <v>21451</v>
      </c>
      <c r="S39" t="s">
        <v>22</v>
      </c>
      <c r="T39" t="s">
        <v>16</v>
      </c>
      <c r="U39" t="s">
        <v>351</v>
      </c>
      <c r="V39">
        <v>130000</v>
      </c>
      <c r="W39">
        <v>2</v>
      </c>
      <c r="X39" t="s">
        <v>17</v>
      </c>
      <c r="Y39" t="s">
        <v>45</v>
      </c>
      <c r="Z39" t="s">
        <v>23</v>
      </c>
      <c r="AA39" t="s">
        <v>3585</v>
      </c>
      <c r="AB39" t="s">
        <v>3585</v>
      </c>
      <c r="AC39" t="s">
        <v>3584</v>
      </c>
      <c r="AD39" t="s">
        <v>3478</v>
      </c>
      <c r="AE39" t="s">
        <v>3475</v>
      </c>
      <c r="AF39" s="2">
        <v>3374.99</v>
      </c>
      <c r="AG39" s="2">
        <v>1898.0944</v>
      </c>
      <c r="AH39" s="2">
        <v>1476.8956000000001</v>
      </c>
      <c r="AI39" s="3">
        <v>0.43759999288886797</v>
      </c>
    </row>
    <row r="40" spans="1:35">
      <c r="A40" s="1">
        <v>42092</v>
      </c>
      <c r="B40" s="1">
        <v>37261</v>
      </c>
      <c r="C40" t="s">
        <v>4130</v>
      </c>
      <c r="D40">
        <v>350</v>
      </c>
      <c r="E40">
        <v>11245</v>
      </c>
      <c r="F40">
        <v>8</v>
      </c>
      <c r="G40">
        <v>1</v>
      </c>
      <c r="H40">
        <v>1</v>
      </c>
      <c r="I40">
        <v>1</v>
      </c>
      <c r="J40" t="s">
        <v>3531</v>
      </c>
      <c r="K40" t="s">
        <v>3532</v>
      </c>
      <c r="L40" s="2">
        <v>1898.0944</v>
      </c>
      <c r="M40" s="2">
        <v>3374.99</v>
      </c>
      <c r="N40" t="s">
        <v>13</v>
      </c>
      <c r="O40" t="s">
        <v>358</v>
      </c>
      <c r="P40" t="s">
        <v>232</v>
      </c>
      <c r="Q40" t="s">
        <v>6369</v>
      </c>
      <c r="R40" s="1">
        <v>20755</v>
      </c>
      <c r="S40" t="s">
        <v>16</v>
      </c>
      <c r="T40" t="s">
        <v>16</v>
      </c>
      <c r="U40" t="s">
        <v>359</v>
      </c>
      <c r="V40">
        <v>120000</v>
      </c>
      <c r="W40">
        <v>3</v>
      </c>
      <c r="X40" t="s">
        <v>57</v>
      </c>
      <c r="Y40" t="s">
        <v>18</v>
      </c>
      <c r="Z40" t="s">
        <v>23</v>
      </c>
      <c r="AA40" t="s">
        <v>3585</v>
      </c>
      <c r="AB40" t="s">
        <v>3585</v>
      </c>
      <c r="AC40" t="s">
        <v>3584</v>
      </c>
      <c r="AD40" t="s">
        <v>3478</v>
      </c>
      <c r="AE40" t="s">
        <v>3475</v>
      </c>
      <c r="AF40" s="2">
        <v>3374.99</v>
      </c>
      <c r="AG40" s="2">
        <v>1898.0944</v>
      </c>
      <c r="AH40" s="2">
        <v>1476.8956000000001</v>
      </c>
      <c r="AI40" s="3">
        <v>0.43759999288886797</v>
      </c>
    </row>
    <row r="41" spans="1:35">
      <c r="A41" s="1">
        <v>42105</v>
      </c>
      <c r="B41" s="1">
        <v>37277</v>
      </c>
      <c r="C41" t="s">
        <v>4200</v>
      </c>
      <c r="D41">
        <v>347</v>
      </c>
      <c r="E41">
        <v>11249</v>
      </c>
      <c r="F41">
        <v>8</v>
      </c>
      <c r="G41">
        <v>1</v>
      </c>
      <c r="H41">
        <v>1</v>
      </c>
      <c r="I41">
        <v>1</v>
      </c>
      <c r="J41" t="s">
        <v>3525</v>
      </c>
      <c r="K41" t="s">
        <v>3526</v>
      </c>
      <c r="L41" s="2">
        <v>1912.1543999999999</v>
      </c>
      <c r="M41" s="2">
        <v>3399.99</v>
      </c>
      <c r="N41" t="s">
        <v>30</v>
      </c>
      <c r="O41" t="s">
        <v>362</v>
      </c>
      <c r="P41" t="s">
        <v>363</v>
      </c>
      <c r="Q41" t="s">
        <v>6370</v>
      </c>
      <c r="R41" s="1">
        <v>20283</v>
      </c>
      <c r="S41" t="s">
        <v>16</v>
      </c>
      <c r="T41" t="s">
        <v>29</v>
      </c>
      <c r="U41" t="s">
        <v>364</v>
      </c>
      <c r="V41">
        <v>130000</v>
      </c>
      <c r="W41">
        <v>3</v>
      </c>
      <c r="X41" t="s">
        <v>52</v>
      </c>
      <c r="Y41" t="s">
        <v>18</v>
      </c>
      <c r="Z41" t="s">
        <v>19</v>
      </c>
      <c r="AA41" t="s">
        <v>3585</v>
      </c>
      <c r="AB41" t="s">
        <v>3585</v>
      </c>
      <c r="AC41" t="s">
        <v>3584</v>
      </c>
      <c r="AD41" t="s">
        <v>3478</v>
      </c>
      <c r="AE41" t="s">
        <v>3475</v>
      </c>
      <c r="AF41" s="2">
        <v>3399.99</v>
      </c>
      <c r="AG41" s="2">
        <v>1912.1543999999999</v>
      </c>
      <c r="AH41" s="2">
        <v>1487.8356000000001</v>
      </c>
      <c r="AI41" s="3">
        <v>0.43759999294115598</v>
      </c>
    </row>
    <row r="42" spans="1:35">
      <c r="A42" s="1">
        <v>42049</v>
      </c>
      <c r="B42" s="1">
        <v>37272</v>
      </c>
      <c r="C42" t="s">
        <v>3866</v>
      </c>
      <c r="D42">
        <v>311</v>
      </c>
      <c r="E42">
        <v>11252</v>
      </c>
      <c r="F42">
        <v>4</v>
      </c>
      <c r="G42">
        <v>1</v>
      </c>
      <c r="H42">
        <v>1</v>
      </c>
      <c r="I42">
        <v>2</v>
      </c>
      <c r="J42" t="s">
        <v>3487</v>
      </c>
      <c r="K42" t="s">
        <v>3488</v>
      </c>
      <c r="L42" s="2">
        <v>2171.2941999999998</v>
      </c>
      <c r="M42" s="2">
        <v>3578.27</v>
      </c>
      <c r="N42" t="s">
        <v>13</v>
      </c>
      <c r="O42" t="s">
        <v>300</v>
      </c>
      <c r="P42" t="s">
        <v>366</v>
      </c>
      <c r="Q42" t="s">
        <v>6371</v>
      </c>
      <c r="R42" s="1">
        <v>11847</v>
      </c>
      <c r="S42" t="s">
        <v>22</v>
      </c>
      <c r="T42" t="s">
        <v>16</v>
      </c>
      <c r="U42" t="s">
        <v>367</v>
      </c>
      <c r="V42">
        <v>90000</v>
      </c>
      <c r="W42">
        <v>3</v>
      </c>
      <c r="X42" t="s">
        <v>135</v>
      </c>
      <c r="Y42" t="s">
        <v>45</v>
      </c>
      <c r="Z42" t="s">
        <v>19</v>
      </c>
      <c r="AA42" t="s">
        <v>3580</v>
      </c>
      <c r="AB42" t="s">
        <v>3578</v>
      </c>
      <c r="AC42" t="s">
        <v>3579</v>
      </c>
      <c r="AD42" t="s">
        <v>3479</v>
      </c>
      <c r="AE42" t="s">
        <v>3475</v>
      </c>
      <c r="AF42" s="2">
        <v>3578.27</v>
      </c>
      <c r="AG42" s="2">
        <v>2171.2941999999998</v>
      </c>
      <c r="AH42" s="2">
        <v>1406.9757999999999</v>
      </c>
      <c r="AI42" s="3">
        <v>0.39320001006072802</v>
      </c>
    </row>
    <row r="43" spans="1:35">
      <c r="A43" s="1">
        <v>42053</v>
      </c>
      <c r="B43" s="1">
        <v>37188</v>
      </c>
      <c r="C43" t="s">
        <v>3882</v>
      </c>
      <c r="D43">
        <v>311</v>
      </c>
      <c r="E43">
        <v>12549</v>
      </c>
      <c r="F43">
        <v>7</v>
      </c>
      <c r="G43">
        <v>1</v>
      </c>
      <c r="H43">
        <v>1</v>
      </c>
      <c r="I43">
        <v>2</v>
      </c>
      <c r="J43" t="s">
        <v>3487</v>
      </c>
      <c r="K43" t="s">
        <v>3488</v>
      </c>
      <c r="L43" s="2">
        <v>2171.2941999999998</v>
      </c>
      <c r="M43" s="2">
        <v>3578.27</v>
      </c>
      <c r="N43" t="s">
        <v>30</v>
      </c>
      <c r="O43" t="s">
        <v>899</v>
      </c>
      <c r="P43" t="s">
        <v>72</v>
      </c>
      <c r="Q43" t="s">
        <v>6372</v>
      </c>
      <c r="R43" s="1">
        <v>20127</v>
      </c>
      <c r="S43" t="s">
        <v>22</v>
      </c>
      <c r="T43" t="s">
        <v>29</v>
      </c>
      <c r="U43" t="s">
        <v>1178</v>
      </c>
      <c r="V43">
        <v>10000</v>
      </c>
      <c r="W43">
        <v>2</v>
      </c>
      <c r="X43" t="s">
        <v>52</v>
      </c>
      <c r="Y43" t="s">
        <v>444</v>
      </c>
      <c r="Z43" t="s">
        <v>19</v>
      </c>
      <c r="AA43" t="s">
        <v>3583</v>
      </c>
      <c r="AB43" t="s">
        <v>3583</v>
      </c>
      <c r="AC43" t="s">
        <v>3584</v>
      </c>
      <c r="AD43" t="s">
        <v>3479</v>
      </c>
      <c r="AE43" t="s">
        <v>3475</v>
      </c>
      <c r="AF43" s="2">
        <v>3578.27</v>
      </c>
      <c r="AG43" s="2">
        <v>2171.2941999999998</v>
      </c>
      <c r="AH43" s="2">
        <v>1406.9757999999999</v>
      </c>
      <c r="AI43" s="3">
        <v>0.39320001006072802</v>
      </c>
    </row>
    <row r="44" spans="1:35">
      <c r="A44" s="1">
        <v>42059</v>
      </c>
      <c r="B44" s="1">
        <v>37240</v>
      </c>
      <c r="C44" t="s">
        <v>3914</v>
      </c>
      <c r="D44">
        <v>312</v>
      </c>
      <c r="E44">
        <v>11257</v>
      </c>
      <c r="F44">
        <v>4</v>
      </c>
      <c r="G44">
        <v>1</v>
      </c>
      <c r="H44">
        <v>1</v>
      </c>
      <c r="I44">
        <v>2</v>
      </c>
      <c r="J44" t="s">
        <v>3489</v>
      </c>
      <c r="K44" t="s">
        <v>3490</v>
      </c>
      <c r="L44" s="2">
        <v>2171.2941999999998</v>
      </c>
      <c r="M44" s="2">
        <v>3578.27</v>
      </c>
      <c r="N44" t="s">
        <v>30</v>
      </c>
      <c r="O44" t="s">
        <v>315</v>
      </c>
      <c r="P44" t="s">
        <v>119</v>
      </c>
      <c r="Q44" t="s">
        <v>6373</v>
      </c>
      <c r="R44" s="1">
        <v>12060</v>
      </c>
      <c r="S44" t="s">
        <v>22</v>
      </c>
      <c r="T44" t="s">
        <v>29</v>
      </c>
      <c r="U44" t="s">
        <v>373</v>
      </c>
      <c r="V44">
        <v>120000</v>
      </c>
      <c r="W44">
        <v>1</v>
      </c>
      <c r="X44" t="s">
        <v>135</v>
      </c>
      <c r="Y44" t="s">
        <v>45</v>
      </c>
      <c r="Z44" t="s">
        <v>19</v>
      </c>
      <c r="AA44" t="s">
        <v>3580</v>
      </c>
      <c r="AB44" t="s">
        <v>3578</v>
      </c>
      <c r="AC44" t="s">
        <v>3579</v>
      </c>
      <c r="AD44" t="s">
        <v>3479</v>
      </c>
      <c r="AE44" t="s">
        <v>3475</v>
      </c>
      <c r="AF44" s="2">
        <v>3578.27</v>
      </c>
      <c r="AG44" s="2">
        <v>2171.2941999999998</v>
      </c>
      <c r="AH44" s="2">
        <v>1406.9757999999999</v>
      </c>
      <c r="AI44" s="3">
        <v>0.39320001006072802</v>
      </c>
    </row>
    <row r="45" spans="1:35">
      <c r="A45" s="1">
        <v>42070</v>
      </c>
      <c r="B45" s="1">
        <v>37274</v>
      </c>
      <c r="C45" t="s">
        <v>3992</v>
      </c>
      <c r="D45">
        <v>310</v>
      </c>
      <c r="E45">
        <v>11259</v>
      </c>
      <c r="F45">
        <v>1</v>
      </c>
      <c r="G45">
        <v>1</v>
      </c>
      <c r="H45">
        <v>1</v>
      </c>
      <c r="I45">
        <v>2</v>
      </c>
      <c r="J45" t="s">
        <v>3485</v>
      </c>
      <c r="K45" t="s">
        <v>3486</v>
      </c>
      <c r="L45" s="2">
        <v>2171.2941999999998</v>
      </c>
      <c r="M45" s="2">
        <v>3578.27</v>
      </c>
      <c r="N45" t="s">
        <v>30</v>
      </c>
      <c r="O45" t="s">
        <v>374</v>
      </c>
      <c r="P45" t="s">
        <v>345</v>
      </c>
      <c r="Q45" t="s">
        <v>6374</v>
      </c>
      <c r="R45" s="1">
        <v>23828</v>
      </c>
      <c r="S45" t="s">
        <v>16</v>
      </c>
      <c r="T45" t="s">
        <v>29</v>
      </c>
      <c r="U45" t="s">
        <v>375</v>
      </c>
      <c r="V45">
        <v>100000</v>
      </c>
      <c r="W45">
        <v>4</v>
      </c>
      <c r="X45" t="s">
        <v>52</v>
      </c>
      <c r="Y45" t="s">
        <v>18</v>
      </c>
      <c r="Z45" t="s">
        <v>19</v>
      </c>
      <c r="AA45" t="s">
        <v>3577</v>
      </c>
      <c r="AB45" t="s">
        <v>3578</v>
      </c>
      <c r="AC45" t="s">
        <v>3579</v>
      </c>
      <c r="AD45" t="s">
        <v>3479</v>
      </c>
      <c r="AE45" t="s">
        <v>3475</v>
      </c>
      <c r="AF45" s="2">
        <v>3578.27</v>
      </c>
      <c r="AG45" s="2">
        <v>2171.2941999999998</v>
      </c>
      <c r="AH45" s="2">
        <v>1406.9757999999999</v>
      </c>
      <c r="AI45" s="3">
        <v>0.39320001006072802</v>
      </c>
    </row>
    <row r="46" spans="1:35">
      <c r="A46" s="1">
        <v>42093</v>
      </c>
      <c r="B46" s="1">
        <v>37241</v>
      </c>
      <c r="C46" t="s">
        <v>4136</v>
      </c>
      <c r="D46">
        <v>312</v>
      </c>
      <c r="E46">
        <v>11261</v>
      </c>
      <c r="F46">
        <v>4</v>
      </c>
      <c r="G46">
        <v>1</v>
      </c>
      <c r="H46">
        <v>1</v>
      </c>
      <c r="I46">
        <v>2</v>
      </c>
      <c r="J46" t="s">
        <v>3489</v>
      </c>
      <c r="K46" t="s">
        <v>3490</v>
      </c>
      <c r="L46" s="2">
        <v>2171.2941999999998</v>
      </c>
      <c r="M46" s="2">
        <v>3578.27</v>
      </c>
      <c r="N46" t="s">
        <v>30</v>
      </c>
      <c r="O46" t="s">
        <v>306</v>
      </c>
      <c r="P46" t="s">
        <v>377</v>
      </c>
      <c r="Q46" t="s">
        <v>6375</v>
      </c>
      <c r="R46" s="1">
        <v>23856</v>
      </c>
      <c r="S46" t="s">
        <v>16</v>
      </c>
      <c r="T46" t="s">
        <v>29</v>
      </c>
      <c r="U46" t="s">
        <v>378</v>
      </c>
      <c r="V46">
        <v>130000</v>
      </c>
      <c r="W46">
        <v>1</v>
      </c>
      <c r="X46" t="s">
        <v>135</v>
      </c>
      <c r="Y46" t="s">
        <v>45</v>
      </c>
      <c r="Z46" t="s">
        <v>19</v>
      </c>
      <c r="AA46" t="s">
        <v>3580</v>
      </c>
      <c r="AB46" t="s">
        <v>3578</v>
      </c>
      <c r="AC46" t="s">
        <v>3579</v>
      </c>
      <c r="AD46" t="s">
        <v>3479</v>
      </c>
      <c r="AE46" t="s">
        <v>3475</v>
      </c>
      <c r="AF46" s="2">
        <v>3578.27</v>
      </c>
      <c r="AG46" s="2">
        <v>2171.2941999999998</v>
      </c>
      <c r="AH46" s="2">
        <v>1406.9757999999999</v>
      </c>
      <c r="AI46" s="3">
        <v>0.39320001006072802</v>
      </c>
    </row>
    <row r="47" spans="1:35">
      <c r="A47" s="1">
        <v>42064</v>
      </c>
      <c r="B47" s="1">
        <v>37265</v>
      </c>
      <c r="C47" t="s">
        <v>3948</v>
      </c>
      <c r="D47">
        <v>313</v>
      </c>
      <c r="E47">
        <v>11263</v>
      </c>
      <c r="F47">
        <v>1</v>
      </c>
      <c r="G47">
        <v>1</v>
      </c>
      <c r="H47">
        <v>1</v>
      </c>
      <c r="I47">
        <v>2</v>
      </c>
      <c r="J47" t="s">
        <v>3491</v>
      </c>
      <c r="K47" t="s">
        <v>3492</v>
      </c>
      <c r="L47" s="2">
        <v>2171.2941999999998</v>
      </c>
      <c r="M47" s="2">
        <v>3578.27</v>
      </c>
      <c r="N47" t="s">
        <v>30</v>
      </c>
      <c r="O47" t="s">
        <v>379</v>
      </c>
      <c r="P47" t="s">
        <v>245</v>
      </c>
      <c r="Q47" t="s">
        <v>6376</v>
      </c>
      <c r="R47" s="1">
        <v>23631</v>
      </c>
      <c r="S47" t="s">
        <v>16</v>
      </c>
      <c r="T47" t="s">
        <v>29</v>
      </c>
      <c r="U47" t="s">
        <v>380</v>
      </c>
      <c r="V47">
        <v>90000</v>
      </c>
      <c r="W47">
        <v>5</v>
      </c>
      <c r="X47" t="s">
        <v>52</v>
      </c>
      <c r="Y47" t="s">
        <v>18</v>
      </c>
      <c r="Z47" t="s">
        <v>19</v>
      </c>
      <c r="AA47" t="s">
        <v>3577</v>
      </c>
      <c r="AB47" t="s">
        <v>3578</v>
      </c>
      <c r="AC47" t="s">
        <v>3579</v>
      </c>
      <c r="AD47" t="s">
        <v>3479</v>
      </c>
      <c r="AE47" t="s">
        <v>3475</v>
      </c>
      <c r="AF47" s="2">
        <v>3578.27</v>
      </c>
      <c r="AG47" s="2">
        <v>2171.2941999999998</v>
      </c>
      <c r="AH47" s="2">
        <v>1406.9757999999999</v>
      </c>
      <c r="AI47" s="3">
        <v>0.39320001006072802</v>
      </c>
    </row>
    <row r="48" spans="1:35">
      <c r="A48" s="1">
        <v>42076</v>
      </c>
      <c r="B48" s="1">
        <v>37215</v>
      </c>
      <c r="C48" t="s">
        <v>4025</v>
      </c>
      <c r="D48">
        <v>311</v>
      </c>
      <c r="E48">
        <v>11266</v>
      </c>
      <c r="F48">
        <v>1</v>
      </c>
      <c r="G48">
        <v>1</v>
      </c>
      <c r="H48">
        <v>1</v>
      </c>
      <c r="I48">
        <v>2</v>
      </c>
      <c r="J48" t="s">
        <v>3487</v>
      </c>
      <c r="K48" t="s">
        <v>3488</v>
      </c>
      <c r="L48" s="2">
        <v>2171.2941999999998</v>
      </c>
      <c r="M48" s="2">
        <v>3578.27</v>
      </c>
      <c r="N48" t="s">
        <v>26</v>
      </c>
      <c r="O48" t="s">
        <v>254</v>
      </c>
      <c r="P48" t="s">
        <v>294</v>
      </c>
      <c r="Q48" t="s">
        <v>6377</v>
      </c>
      <c r="R48" s="1">
        <v>23502</v>
      </c>
      <c r="S48" t="s">
        <v>22</v>
      </c>
      <c r="T48" t="s">
        <v>29</v>
      </c>
      <c r="U48" t="s">
        <v>381</v>
      </c>
      <c r="V48">
        <v>90000</v>
      </c>
      <c r="W48">
        <v>0</v>
      </c>
      <c r="X48" t="s">
        <v>52</v>
      </c>
      <c r="Y48" t="s">
        <v>18</v>
      </c>
      <c r="Z48" t="s">
        <v>23</v>
      </c>
      <c r="AA48" t="s">
        <v>3577</v>
      </c>
      <c r="AB48" t="s">
        <v>3578</v>
      </c>
      <c r="AC48" t="s">
        <v>3579</v>
      </c>
      <c r="AD48" t="s">
        <v>3479</v>
      </c>
      <c r="AE48" t="s">
        <v>3475</v>
      </c>
      <c r="AF48" s="2">
        <v>3578.27</v>
      </c>
      <c r="AG48" s="2">
        <v>2171.2941999999998</v>
      </c>
      <c r="AH48" s="2">
        <v>1406.9757999999999</v>
      </c>
      <c r="AI48" s="3">
        <v>0.39320001006072802</v>
      </c>
    </row>
    <row r="49" spans="1:35">
      <c r="A49" s="1">
        <v>42015</v>
      </c>
      <c r="B49" s="1">
        <v>37208</v>
      </c>
      <c r="C49" t="s">
        <v>3647</v>
      </c>
      <c r="D49">
        <v>349</v>
      </c>
      <c r="E49">
        <v>11452</v>
      </c>
      <c r="F49">
        <v>9</v>
      </c>
      <c r="G49">
        <v>1</v>
      </c>
      <c r="H49">
        <v>1</v>
      </c>
      <c r="I49">
        <v>1</v>
      </c>
      <c r="J49" t="s">
        <v>3529</v>
      </c>
      <c r="K49" t="s">
        <v>3530</v>
      </c>
      <c r="L49" s="2">
        <v>1898.0944</v>
      </c>
      <c r="M49" s="2">
        <v>3374.99</v>
      </c>
      <c r="N49" t="s">
        <v>26</v>
      </c>
      <c r="O49" t="s">
        <v>528</v>
      </c>
      <c r="P49" t="s">
        <v>198</v>
      </c>
      <c r="Q49" t="s">
        <v>6378</v>
      </c>
      <c r="R49" s="1">
        <v>26973</v>
      </c>
      <c r="S49" t="s">
        <v>22</v>
      </c>
      <c r="T49" t="s">
        <v>29</v>
      </c>
      <c r="U49" t="s">
        <v>534</v>
      </c>
      <c r="V49">
        <v>80000</v>
      </c>
      <c r="W49">
        <v>0</v>
      </c>
      <c r="X49" t="s">
        <v>17</v>
      </c>
      <c r="Y49" t="s">
        <v>18</v>
      </c>
      <c r="Z49" t="s">
        <v>23</v>
      </c>
      <c r="AA49" t="s">
        <v>3586</v>
      </c>
      <c r="AB49" t="s">
        <v>3586</v>
      </c>
      <c r="AC49" t="s">
        <v>3587</v>
      </c>
      <c r="AD49" t="s">
        <v>3478</v>
      </c>
      <c r="AE49" t="s">
        <v>3475</v>
      </c>
      <c r="AF49" s="2">
        <v>3374.99</v>
      </c>
      <c r="AG49" s="2">
        <v>1898.0944</v>
      </c>
      <c r="AH49" s="2">
        <v>1476.8956000000001</v>
      </c>
      <c r="AI49" s="3">
        <v>0.43759999288886797</v>
      </c>
    </row>
    <row r="50" spans="1:35">
      <c r="A50" s="1">
        <v>42083</v>
      </c>
      <c r="B50" s="1">
        <v>37296</v>
      </c>
      <c r="C50" t="s">
        <v>4066</v>
      </c>
      <c r="D50">
        <v>313</v>
      </c>
      <c r="E50">
        <v>11267</v>
      </c>
      <c r="F50">
        <v>4</v>
      </c>
      <c r="G50">
        <v>1</v>
      </c>
      <c r="H50">
        <v>1</v>
      </c>
      <c r="I50">
        <v>2</v>
      </c>
      <c r="J50" t="s">
        <v>3491</v>
      </c>
      <c r="K50" t="s">
        <v>3492</v>
      </c>
      <c r="L50" s="2">
        <v>2171.2941999999998</v>
      </c>
      <c r="M50" s="2">
        <v>3578.27</v>
      </c>
      <c r="N50" t="s">
        <v>13</v>
      </c>
      <c r="O50" t="s">
        <v>292</v>
      </c>
      <c r="P50" t="s">
        <v>136</v>
      </c>
      <c r="Q50" t="s">
        <v>6379</v>
      </c>
      <c r="R50" s="1">
        <v>23652</v>
      </c>
      <c r="S50" t="s">
        <v>22</v>
      </c>
      <c r="T50" t="s">
        <v>16</v>
      </c>
      <c r="U50" t="s">
        <v>382</v>
      </c>
      <c r="V50">
        <v>120000</v>
      </c>
      <c r="W50">
        <v>4</v>
      </c>
      <c r="X50" t="s">
        <v>52</v>
      </c>
      <c r="Y50" t="s">
        <v>18</v>
      </c>
      <c r="Z50" t="s">
        <v>19</v>
      </c>
      <c r="AA50" t="s">
        <v>3580</v>
      </c>
      <c r="AB50" t="s">
        <v>3578</v>
      </c>
      <c r="AC50" t="s">
        <v>3579</v>
      </c>
      <c r="AD50" t="s">
        <v>3479</v>
      </c>
      <c r="AE50" t="s">
        <v>3475</v>
      </c>
      <c r="AF50" s="2">
        <v>3578.27</v>
      </c>
      <c r="AG50" s="2">
        <v>2171.2941999999998</v>
      </c>
      <c r="AH50" s="2">
        <v>1406.9757999999999</v>
      </c>
      <c r="AI50" s="3">
        <v>0.39320001006072802</v>
      </c>
    </row>
    <row r="51" spans="1:35">
      <c r="A51" s="1">
        <v>42019</v>
      </c>
      <c r="B51" s="1">
        <v>37190</v>
      </c>
      <c r="C51" t="s">
        <v>3675</v>
      </c>
      <c r="D51">
        <v>349</v>
      </c>
      <c r="E51">
        <v>11400</v>
      </c>
      <c r="F51">
        <v>10</v>
      </c>
      <c r="G51">
        <v>1</v>
      </c>
      <c r="H51">
        <v>1</v>
      </c>
      <c r="I51">
        <v>1</v>
      </c>
      <c r="J51" t="s">
        <v>3529</v>
      </c>
      <c r="K51" t="s">
        <v>3530</v>
      </c>
      <c r="L51" s="2">
        <v>1898.0944</v>
      </c>
      <c r="M51" s="2">
        <v>3374.99</v>
      </c>
      <c r="N51" t="s">
        <v>13</v>
      </c>
      <c r="O51" t="s">
        <v>498</v>
      </c>
      <c r="P51" t="s">
        <v>155</v>
      </c>
      <c r="Q51" t="s">
        <v>6380</v>
      </c>
      <c r="R51" s="1">
        <v>25312</v>
      </c>
      <c r="S51" t="s">
        <v>22</v>
      </c>
      <c r="T51" t="s">
        <v>16</v>
      </c>
      <c r="U51" t="s">
        <v>499</v>
      </c>
      <c r="V51">
        <v>40000</v>
      </c>
      <c r="W51">
        <v>0</v>
      </c>
      <c r="X51" t="s">
        <v>135</v>
      </c>
      <c r="Y51" t="s">
        <v>60</v>
      </c>
      <c r="Z51" t="s">
        <v>19</v>
      </c>
      <c r="AA51" t="s">
        <v>3588</v>
      </c>
      <c r="AB51" t="s">
        <v>3588</v>
      </c>
      <c r="AC51" t="s">
        <v>3584</v>
      </c>
      <c r="AD51" t="s">
        <v>3478</v>
      </c>
      <c r="AE51" t="s">
        <v>3475</v>
      </c>
      <c r="AF51" s="2">
        <v>3374.99</v>
      </c>
      <c r="AG51" s="2">
        <v>1898.0944</v>
      </c>
      <c r="AH51" s="2">
        <v>1476.8956000000001</v>
      </c>
      <c r="AI51" s="3">
        <v>0.43759999288886797</v>
      </c>
    </row>
    <row r="52" spans="1:35">
      <c r="A52" s="1">
        <v>42019</v>
      </c>
      <c r="B52" s="1">
        <v>37168</v>
      </c>
      <c r="C52" t="s">
        <v>3678</v>
      </c>
      <c r="D52">
        <v>349</v>
      </c>
      <c r="E52">
        <v>11453</v>
      </c>
      <c r="F52">
        <v>9</v>
      </c>
      <c r="G52">
        <v>1</v>
      </c>
      <c r="H52">
        <v>1</v>
      </c>
      <c r="I52">
        <v>1</v>
      </c>
      <c r="J52" t="s">
        <v>3529</v>
      </c>
      <c r="K52" t="s">
        <v>3530</v>
      </c>
      <c r="L52" s="2">
        <v>1898.0944</v>
      </c>
      <c r="M52" s="2">
        <v>3374.99</v>
      </c>
      <c r="N52" t="s">
        <v>13</v>
      </c>
      <c r="O52" t="s">
        <v>535</v>
      </c>
      <c r="P52" t="s">
        <v>465</v>
      </c>
      <c r="Q52" t="s">
        <v>6381</v>
      </c>
      <c r="R52" s="1">
        <v>26897</v>
      </c>
      <c r="S52" t="s">
        <v>22</v>
      </c>
      <c r="T52" t="s">
        <v>16</v>
      </c>
      <c r="U52" t="s">
        <v>536</v>
      </c>
      <c r="V52">
        <v>80000</v>
      </c>
      <c r="W52">
        <v>0</v>
      </c>
      <c r="X52" t="s">
        <v>17</v>
      </c>
      <c r="Y52" t="s">
        <v>18</v>
      </c>
      <c r="Z52" t="s">
        <v>23</v>
      </c>
      <c r="AA52" t="s">
        <v>3586</v>
      </c>
      <c r="AB52" t="s">
        <v>3586</v>
      </c>
      <c r="AC52" t="s">
        <v>3587</v>
      </c>
      <c r="AD52" t="s">
        <v>3478</v>
      </c>
      <c r="AE52" t="s">
        <v>3475</v>
      </c>
      <c r="AF52" s="2">
        <v>3374.99</v>
      </c>
      <c r="AG52" s="2">
        <v>1898.0944</v>
      </c>
      <c r="AH52" s="2">
        <v>1476.8956000000001</v>
      </c>
      <c r="AI52" s="3">
        <v>0.43759999288886797</v>
      </c>
    </row>
    <row r="53" spans="1:35">
      <c r="A53" s="1">
        <v>42076</v>
      </c>
      <c r="B53" s="1">
        <v>37311</v>
      </c>
      <c r="C53" t="s">
        <v>4022</v>
      </c>
      <c r="D53">
        <v>312</v>
      </c>
      <c r="E53">
        <v>11270</v>
      </c>
      <c r="F53">
        <v>4</v>
      </c>
      <c r="G53">
        <v>1</v>
      </c>
      <c r="H53">
        <v>1</v>
      </c>
      <c r="I53">
        <v>2</v>
      </c>
      <c r="J53" t="s">
        <v>3489</v>
      </c>
      <c r="K53" t="s">
        <v>3490</v>
      </c>
      <c r="L53" s="2">
        <v>2171.2941999999998</v>
      </c>
      <c r="M53" s="2">
        <v>3578.27</v>
      </c>
      <c r="N53" t="s">
        <v>13</v>
      </c>
      <c r="O53" t="s">
        <v>383</v>
      </c>
      <c r="P53" t="s">
        <v>307</v>
      </c>
      <c r="Q53" t="s">
        <v>6382</v>
      </c>
      <c r="R53" s="1">
        <v>23501</v>
      </c>
      <c r="S53" t="s">
        <v>16</v>
      </c>
      <c r="T53" t="s">
        <v>16</v>
      </c>
      <c r="U53" t="s">
        <v>384</v>
      </c>
      <c r="V53">
        <v>130000</v>
      </c>
      <c r="W53">
        <v>2</v>
      </c>
      <c r="X53" t="s">
        <v>135</v>
      </c>
      <c r="Y53" t="s">
        <v>45</v>
      </c>
      <c r="Z53" t="s">
        <v>19</v>
      </c>
      <c r="AA53" t="s">
        <v>3580</v>
      </c>
      <c r="AB53" t="s">
        <v>3578</v>
      </c>
      <c r="AC53" t="s">
        <v>3579</v>
      </c>
      <c r="AD53" t="s">
        <v>3479</v>
      </c>
      <c r="AE53" t="s">
        <v>3475</v>
      </c>
      <c r="AF53" s="2">
        <v>3578.27</v>
      </c>
      <c r="AG53" s="2">
        <v>2171.2941999999998</v>
      </c>
      <c r="AH53" s="2">
        <v>1406.9757999999999</v>
      </c>
      <c r="AI53" s="3">
        <v>0.39320001006072802</v>
      </c>
    </row>
    <row r="54" spans="1:35">
      <c r="A54" s="1">
        <v>42026</v>
      </c>
      <c r="B54" s="1">
        <v>37235</v>
      </c>
      <c r="C54" t="s">
        <v>3719</v>
      </c>
      <c r="D54">
        <v>349</v>
      </c>
      <c r="E54">
        <v>11464</v>
      </c>
      <c r="F54">
        <v>9</v>
      </c>
      <c r="G54">
        <v>1</v>
      </c>
      <c r="H54">
        <v>1</v>
      </c>
      <c r="I54">
        <v>1</v>
      </c>
      <c r="J54" t="s">
        <v>3529</v>
      </c>
      <c r="K54" t="s">
        <v>3530</v>
      </c>
      <c r="L54" s="2">
        <v>1898.0944</v>
      </c>
      <c r="M54" s="2">
        <v>3374.99</v>
      </c>
      <c r="N54" t="s">
        <v>13</v>
      </c>
      <c r="O54" t="s">
        <v>74</v>
      </c>
      <c r="P54" t="s">
        <v>21</v>
      </c>
      <c r="Q54" t="s">
        <v>6383</v>
      </c>
      <c r="R54" s="1">
        <v>26253</v>
      </c>
      <c r="S54" t="s">
        <v>16</v>
      </c>
      <c r="T54" t="s">
        <v>16</v>
      </c>
      <c r="U54" t="s">
        <v>551</v>
      </c>
      <c r="V54">
        <v>90000</v>
      </c>
      <c r="W54">
        <v>0</v>
      </c>
      <c r="X54" t="s">
        <v>17</v>
      </c>
      <c r="Y54" t="s">
        <v>18</v>
      </c>
      <c r="Z54" t="s">
        <v>19</v>
      </c>
      <c r="AA54" t="s">
        <v>3586</v>
      </c>
      <c r="AB54" t="s">
        <v>3586</v>
      </c>
      <c r="AC54" t="s">
        <v>3587</v>
      </c>
      <c r="AD54" t="s">
        <v>3478</v>
      </c>
      <c r="AE54" t="s">
        <v>3475</v>
      </c>
      <c r="AF54" s="2">
        <v>3374.99</v>
      </c>
      <c r="AG54" s="2">
        <v>1898.0944</v>
      </c>
      <c r="AH54" s="2">
        <v>1476.8956000000001</v>
      </c>
      <c r="AI54" s="3">
        <v>0.43759999288886797</v>
      </c>
    </row>
    <row r="55" spans="1:35">
      <c r="A55" s="1">
        <v>42093</v>
      </c>
      <c r="B55" s="1">
        <v>37322</v>
      </c>
      <c r="C55" t="s">
        <v>4133</v>
      </c>
      <c r="D55">
        <v>314</v>
      </c>
      <c r="E55">
        <v>11271</v>
      </c>
      <c r="F55">
        <v>4</v>
      </c>
      <c r="G55">
        <v>1</v>
      </c>
      <c r="H55">
        <v>1</v>
      </c>
      <c r="I55">
        <v>2</v>
      </c>
      <c r="J55" t="s">
        <v>3493</v>
      </c>
      <c r="K55" t="s">
        <v>3494</v>
      </c>
      <c r="L55" s="2">
        <v>2171.2941999999998</v>
      </c>
      <c r="M55" s="2">
        <v>3578.27</v>
      </c>
      <c r="N55" t="s">
        <v>30</v>
      </c>
      <c r="O55" t="s">
        <v>323</v>
      </c>
      <c r="P55" t="s">
        <v>144</v>
      </c>
      <c r="Q55" t="s">
        <v>6384</v>
      </c>
      <c r="R55" s="1">
        <v>23533</v>
      </c>
      <c r="S55" t="s">
        <v>22</v>
      </c>
      <c r="T55" t="s">
        <v>29</v>
      </c>
      <c r="U55" t="s">
        <v>385</v>
      </c>
      <c r="V55">
        <v>150000</v>
      </c>
      <c r="W55">
        <v>2</v>
      </c>
      <c r="X55" t="s">
        <v>17</v>
      </c>
      <c r="Y55" t="s">
        <v>45</v>
      </c>
      <c r="Z55" t="s">
        <v>23</v>
      </c>
      <c r="AA55" t="s">
        <v>3580</v>
      </c>
      <c r="AB55" t="s">
        <v>3578</v>
      </c>
      <c r="AC55" t="s">
        <v>3579</v>
      </c>
      <c r="AD55" t="s">
        <v>3479</v>
      </c>
      <c r="AE55" t="s">
        <v>3475</v>
      </c>
      <c r="AF55" s="2">
        <v>3578.27</v>
      </c>
      <c r="AG55" s="2">
        <v>2171.2941999999998</v>
      </c>
      <c r="AH55" s="2">
        <v>1406.9757999999999</v>
      </c>
      <c r="AI55" s="3">
        <v>0.39320001006072802</v>
      </c>
    </row>
    <row r="56" spans="1:35">
      <c r="A56" s="1">
        <v>42030</v>
      </c>
      <c r="B56" s="1">
        <v>37204</v>
      </c>
      <c r="C56" t="s">
        <v>3746</v>
      </c>
      <c r="D56">
        <v>349</v>
      </c>
      <c r="E56">
        <v>11387</v>
      </c>
      <c r="F56">
        <v>10</v>
      </c>
      <c r="G56">
        <v>1</v>
      </c>
      <c r="H56">
        <v>1</v>
      </c>
      <c r="I56">
        <v>1</v>
      </c>
      <c r="J56" t="s">
        <v>3529</v>
      </c>
      <c r="K56" t="s">
        <v>3530</v>
      </c>
      <c r="L56" s="2">
        <v>1898.0944</v>
      </c>
      <c r="M56" s="2">
        <v>3374.99</v>
      </c>
      <c r="N56" t="s">
        <v>30</v>
      </c>
      <c r="O56" t="s">
        <v>108</v>
      </c>
      <c r="P56" t="s">
        <v>259</v>
      </c>
      <c r="Q56" t="s">
        <v>6385</v>
      </c>
      <c r="R56" s="1">
        <v>21703</v>
      </c>
      <c r="S56" t="s">
        <v>22</v>
      </c>
      <c r="T56" t="s">
        <v>29</v>
      </c>
      <c r="U56" t="s">
        <v>484</v>
      </c>
      <c r="V56">
        <v>40000</v>
      </c>
      <c r="W56">
        <v>3</v>
      </c>
      <c r="X56" t="s">
        <v>135</v>
      </c>
      <c r="Y56" t="s">
        <v>60</v>
      </c>
      <c r="Z56" t="s">
        <v>19</v>
      </c>
      <c r="AA56" t="s">
        <v>3588</v>
      </c>
      <c r="AB56" t="s">
        <v>3588</v>
      </c>
      <c r="AC56" t="s">
        <v>3584</v>
      </c>
      <c r="AD56" t="s">
        <v>3478</v>
      </c>
      <c r="AE56" t="s">
        <v>3475</v>
      </c>
      <c r="AF56" s="2">
        <v>3374.99</v>
      </c>
      <c r="AG56" s="2">
        <v>1898.0944</v>
      </c>
      <c r="AH56" s="2">
        <v>1476.8956000000001</v>
      </c>
      <c r="AI56" s="3">
        <v>0.43759999288886797</v>
      </c>
    </row>
    <row r="57" spans="1:35">
      <c r="A57" s="1">
        <v>42085</v>
      </c>
      <c r="B57" s="1">
        <v>37295</v>
      </c>
      <c r="C57" t="s">
        <v>4082</v>
      </c>
      <c r="D57">
        <v>311</v>
      </c>
      <c r="E57">
        <v>11272</v>
      </c>
      <c r="F57">
        <v>4</v>
      </c>
      <c r="G57">
        <v>1</v>
      </c>
      <c r="H57">
        <v>1</v>
      </c>
      <c r="I57">
        <v>2</v>
      </c>
      <c r="J57" t="s">
        <v>3487</v>
      </c>
      <c r="K57" t="s">
        <v>3488</v>
      </c>
      <c r="L57" s="2">
        <v>2171.2941999999998</v>
      </c>
      <c r="M57" s="2">
        <v>3578.27</v>
      </c>
      <c r="N57" t="s">
        <v>30</v>
      </c>
      <c r="O57" t="s">
        <v>43</v>
      </c>
      <c r="P57" t="s">
        <v>290</v>
      </c>
      <c r="Q57" t="s">
        <v>6386</v>
      </c>
      <c r="R57" s="1">
        <v>20769</v>
      </c>
      <c r="S57" t="s">
        <v>22</v>
      </c>
      <c r="T57" t="s">
        <v>29</v>
      </c>
      <c r="U57" t="s">
        <v>386</v>
      </c>
      <c r="V57">
        <v>70000</v>
      </c>
      <c r="W57">
        <v>4</v>
      </c>
      <c r="X57" t="s">
        <v>52</v>
      </c>
      <c r="Y57" t="s">
        <v>18</v>
      </c>
      <c r="Z57" t="s">
        <v>19</v>
      </c>
      <c r="AA57" t="s">
        <v>3580</v>
      </c>
      <c r="AB57" t="s">
        <v>3578</v>
      </c>
      <c r="AC57" t="s">
        <v>3579</v>
      </c>
      <c r="AD57" t="s">
        <v>3479</v>
      </c>
      <c r="AE57" t="s">
        <v>3475</v>
      </c>
      <c r="AF57" s="2">
        <v>3578.27</v>
      </c>
      <c r="AG57" s="2">
        <v>2171.2941999999998</v>
      </c>
      <c r="AH57" s="2">
        <v>1406.9757999999999</v>
      </c>
      <c r="AI57" s="3">
        <v>0.39320001006072802</v>
      </c>
    </row>
    <row r="58" spans="1:35">
      <c r="A58" s="1">
        <v>42035</v>
      </c>
      <c r="B58" s="1">
        <v>37182</v>
      </c>
      <c r="C58" t="s">
        <v>3773</v>
      </c>
      <c r="D58">
        <v>349</v>
      </c>
      <c r="E58">
        <v>11454</v>
      </c>
      <c r="F58">
        <v>9</v>
      </c>
      <c r="G58">
        <v>1</v>
      </c>
      <c r="H58">
        <v>1</v>
      </c>
      <c r="I58">
        <v>1</v>
      </c>
      <c r="J58" t="s">
        <v>3529</v>
      </c>
      <c r="K58" t="s">
        <v>3530</v>
      </c>
      <c r="L58" s="2">
        <v>1898.0944</v>
      </c>
      <c r="M58" s="2">
        <v>3374.99</v>
      </c>
      <c r="N58" t="s">
        <v>26</v>
      </c>
      <c r="O58" t="s">
        <v>272</v>
      </c>
      <c r="P58" t="s">
        <v>153</v>
      </c>
      <c r="Q58" t="s">
        <v>6387</v>
      </c>
      <c r="R58" s="1">
        <v>27141</v>
      </c>
      <c r="S58" t="s">
        <v>22</v>
      </c>
      <c r="T58" t="s">
        <v>29</v>
      </c>
      <c r="U58" t="s">
        <v>537</v>
      </c>
      <c r="V58">
        <v>80000</v>
      </c>
      <c r="W58">
        <v>0</v>
      </c>
      <c r="X58" t="s">
        <v>17</v>
      </c>
      <c r="Y58" t="s">
        <v>18</v>
      </c>
      <c r="Z58" t="s">
        <v>23</v>
      </c>
      <c r="AA58" t="s">
        <v>3586</v>
      </c>
      <c r="AB58" t="s">
        <v>3586</v>
      </c>
      <c r="AC58" t="s">
        <v>3587</v>
      </c>
      <c r="AD58" t="s">
        <v>3478</v>
      </c>
      <c r="AE58" t="s">
        <v>3475</v>
      </c>
      <c r="AF58" s="2">
        <v>3374.99</v>
      </c>
      <c r="AG58" s="2">
        <v>1898.0944</v>
      </c>
      <c r="AH58" s="2">
        <v>1476.8956000000001</v>
      </c>
      <c r="AI58" s="3">
        <v>0.43759999288886797</v>
      </c>
    </row>
    <row r="59" spans="1:35">
      <c r="A59" s="1">
        <v>42064</v>
      </c>
      <c r="B59" s="1">
        <v>37211</v>
      </c>
      <c r="C59" t="s">
        <v>3945</v>
      </c>
      <c r="D59">
        <v>311</v>
      </c>
      <c r="E59">
        <v>11274</v>
      </c>
      <c r="F59">
        <v>1</v>
      </c>
      <c r="G59">
        <v>1</v>
      </c>
      <c r="H59">
        <v>1</v>
      </c>
      <c r="I59">
        <v>2</v>
      </c>
      <c r="J59" t="s">
        <v>3487</v>
      </c>
      <c r="K59" t="s">
        <v>3488</v>
      </c>
      <c r="L59" s="2">
        <v>2171.2941999999998</v>
      </c>
      <c r="M59" s="2">
        <v>3578.27</v>
      </c>
      <c r="N59" t="s">
        <v>13</v>
      </c>
      <c r="O59" t="s">
        <v>387</v>
      </c>
      <c r="P59" t="s">
        <v>321</v>
      </c>
      <c r="Q59" t="s">
        <v>6388</v>
      </c>
      <c r="R59" s="1">
        <v>12521</v>
      </c>
      <c r="S59" t="s">
        <v>16</v>
      </c>
      <c r="T59" t="s">
        <v>16</v>
      </c>
      <c r="U59" t="s">
        <v>388</v>
      </c>
      <c r="V59">
        <v>50000</v>
      </c>
      <c r="W59">
        <v>2</v>
      </c>
      <c r="X59" t="s">
        <v>135</v>
      </c>
      <c r="Y59" t="s">
        <v>45</v>
      </c>
      <c r="Z59" t="s">
        <v>19</v>
      </c>
      <c r="AA59" t="s">
        <v>3577</v>
      </c>
      <c r="AB59" t="s">
        <v>3578</v>
      </c>
      <c r="AC59" t="s">
        <v>3579</v>
      </c>
      <c r="AD59" t="s">
        <v>3479</v>
      </c>
      <c r="AE59" t="s">
        <v>3475</v>
      </c>
      <c r="AF59" s="2">
        <v>3578.27</v>
      </c>
      <c r="AG59" s="2">
        <v>2171.2941999999998</v>
      </c>
      <c r="AH59" s="2">
        <v>1406.9757999999999</v>
      </c>
      <c r="AI59" s="3">
        <v>0.39320001006072802</v>
      </c>
    </row>
    <row r="60" spans="1:35">
      <c r="A60" s="1">
        <v>42065</v>
      </c>
      <c r="B60" s="1">
        <v>37235</v>
      </c>
      <c r="C60" t="s">
        <v>3950</v>
      </c>
      <c r="D60">
        <v>313</v>
      </c>
      <c r="E60">
        <v>11275</v>
      </c>
      <c r="F60">
        <v>4</v>
      </c>
      <c r="G60">
        <v>1</v>
      </c>
      <c r="H60">
        <v>1</v>
      </c>
      <c r="I60">
        <v>2</v>
      </c>
      <c r="J60" t="s">
        <v>3491</v>
      </c>
      <c r="K60" t="s">
        <v>3492</v>
      </c>
      <c r="L60" s="2">
        <v>2171.2941999999998</v>
      </c>
      <c r="M60" s="2">
        <v>3578.27</v>
      </c>
      <c r="N60" t="s">
        <v>30</v>
      </c>
      <c r="O60" t="s">
        <v>389</v>
      </c>
      <c r="P60" t="s">
        <v>59</v>
      </c>
      <c r="Q60" t="s">
        <v>6389</v>
      </c>
      <c r="R60" s="1">
        <v>12437</v>
      </c>
      <c r="S60" t="s">
        <v>16</v>
      </c>
      <c r="T60" t="s">
        <v>29</v>
      </c>
      <c r="U60" t="s">
        <v>390</v>
      </c>
      <c r="V60">
        <v>80000</v>
      </c>
      <c r="W60">
        <v>4</v>
      </c>
      <c r="X60" t="s">
        <v>135</v>
      </c>
      <c r="Y60" t="s">
        <v>45</v>
      </c>
      <c r="Z60" t="s">
        <v>19</v>
      </c>
      <c r="AA60" t="s">
        <v>3580</v>
      </c>
      <c r="AB60" t="s">
        <v>3578</v>
      </c>
      <c r="AC60" t="s">
        <v>3579</v>
      </c>
      <c r="AD60" t="s">
        <v>3479</v>
      </c>
      <c r="AE60" t="s">
        <v>3475</v>
      </c>
      <c r="AF60" s="2">
        <v>3578.27</v>
      </c>
      <c r="AG60" s="2">
        <v>2171.2941999999998</v>
      </c>
      <c r="AH60" s="2">
        <v>1406.9757999999999</v>
      </c>
      <c r="AI60" s="3">
        <v>0.39320001006072802</v>
      </c>
    </row>
    <row r="61" spans="1:35">
      <c r="A61" s="1">
        <v>42082</v>
      </c>
      <c r="B61" s="1">
        <v>37221</v>
      </c>
      <c r="C61" t="s">
        <v>4064</v>
      </c>
      <c r="D61">
        <v>310</v>
      </c>
      <c r="E61">
        <v>11278</v>
      </c>
      <c r="F61">
        <v>1</v>
      </c>
      <c r="G61">
        <v>1</v>
      </c>
      <c r="H61">
        <v>1</v>
      </c>
      <c r="I61">
        <v>2</v>
      </c>
      <c r="J61" t="s">
        <v>3485</v>
      </c>
      <c r="K61" t="s">
        <v>3486</v>
      </c>
      <c r="L61" s="2">
        <v>2171.2941999999998</v>
      </c>
      <c r="M61" s="2">
        <v>3578.27</v>
      </c>
      <c r="N61" t="s">
        <v>13</v>
      </c>
      <c r="O61" t="s">
        <v>262</v>
      </c>
      <c r="P61" t="s">
        <v>177</v>
      </c>
      <c r="Q61" t="s">
        <v>6390</v>
      </c>
      <c r="R61" s="1">
        <v>23243</v>
      </c>
      <c r="S61" t="s">
        <v>22</v>
      </c>
      <c r="T61" t="s">
        <v>16</v>
      </c>
      <c r="U61" t="s">
        <v>394</v>
      </c>
      <c r="V61">
        <v>90000</v>
      </c>
      <c r="W61">
        <v>0</v>
      </c>
      <c r="X61" t="s">
        <v>52</v>
      </c>
      <c r="Y61" t="s">
        <v>18</v>
      </c>
      <c r="Z61" t="s">
        <v>23</v>
      </c>
      <c r="AA61" t="s">
        <v>3577</v>
      </c>
      <c r="AB61" t="s">
        <v>3578</v>
      </c>
      <c r="AC61" t="s">
        <v>3579</v>
      </c>
      <c r="AD61" t="s">
        <v>3479</v>
      </c>
      <c r="AE61" t="s">
        <v>3475</v>
      </c>
      <c r="AF61" s="2">
        <v>3578.27</v>
      </c>
      <c r="AG61" s="2">
        <v>2171.2941999999998</v>
      </c>
      <c r="AH61" s="2">
        <v>1406.9757999999999</v>
      </c>
      <c r="AI61" s="3">
        <v>0.39320001006072802</v>
      </c>
    </row>
    <row r="62" spans="1:35">
      <c r="A62" s="1">
        <v>42079</v>
      </c>
      <c r="B62" s="1">
        <v>37243</v>
      </c>
      <c r="C62" t="s">
        <v>4043</v>
      </c>
      <c r="D62">
        <v>313</v>
      </c>
      <c r="E62">
        <v>11281</v>
      </c>
      <c r="F62">
        <v>4</v>
      </c>
      <c r="G62">
        <v>1</v>
      </c>
      <c r="H62">
        <v>1</v>
      </c>
      <c r="I62">
        <v>2</v>
      </c>
      <c r="J62" t="s">
        <v>3491</v>
      </c>
      <c r="K62" t="s">
        <v>3492</v>
      </c>
      <c r="L62" s="2">
        <v>2171.2941999999998</v>
      </c>
      <c r="M62" s="2">
        <v>3578.27</v>
      </c>
      <c r="N62" t="s">
        <v>30</v>
      </c>
      <c r="O62" t="s">
        <v>108</v>
      </c>
      <c r="P62" t="s">
        <v>291</v>
      </c>
      <c r="Q62" t="s">
        <v>6391</v>
      </c>
      <c r="R62" s="1">
        <v>23294</v>
      </c>
      <c r="S62" t="s">
        <v>22</v>
      </c>
      <c r="T62" t="s">
        <v>29</v>
      </c>
      <c r="U62" t="s">
        <v>395</v>
      </c>
      <c r="V62">
        <v>110000</v>
      </c>
      <c r="W62">
        <v>4</v>
      </c>
      <c r="X62" t="s">
        <v>17</v>
      </c>
      <c r="Y62" t="s">
        <v>45</v>
      </c>
      <c r="Z62" t="s">
        <v>19</v>
      </c>
      <c r="AA62" t="s">
        <v>3580</v>
      </c>
      <c r="AB62" t="s">
        <v>3578</v>
      </c>
      <c r="AC62" t="s">
        <v>3579</v>
      </c>
      <c r="AD62" t="s">
        <v>3479</v>
      </c>
      <c r="AE62" t="s">
        <v>3475</v>
      </c>
      <c r="AF62" s="2">
        <v>3578.27</v>
      </c>
      <c r="AG62" s="2">
        <v>2171.2941999999998</v>
      </c>
      <c r="AH62" s="2">
        <v>1406.9757999999999</v>
      </c>
      <c r="AI62" s="3">
        <v>0.39320001006072802</v>
      </c>
    </row>
    <row r="63" spans="1:35">
      <c r="A63" s="1">
        <v>42066</v>
      </c>
      <c r="B63" s="1">
        <v>37247</v>
      </c>
      <c r="C63" t="s">
        <v>3956</v>
      </c>
      <c r="D63">
        <v>312</v>
      </c>
      <c r="E63">
        <v>11282</v>
      </c>
      <c r="F63">
        <v>1</v>
      </c>
      <c r="G63">
        <v>1</v>
      </c>
      <c r="H63">
        <v>1</v>
      </c>
      <c r="I63">
        <v>2</v>
      </c>
      <c r="J63" t="s">
        <v>3489</v>
      </c>
      <c r="K63" t="s">
        <v>3490</v>
      </c>
      <c r="L63" s="2">
        <v>2171.2941999999998</v>
      </c>
      <c r="M63" s="2">
        <v>3578.27</v>
      </c>
      <c r="N63" t="s">
        <v>13</v>
      </c>
      <c r="O63" t="s">
        <v>396</v>
      </c>
      <c r="P63" t="s">
        <v>299</v>
      </c>
      <c r="Q63" t="s">
        <v>6392</v>
      </c>
      <c r="R63" s="1">
        <v>22662</v>
      </c>
      <c r="S63" t="s">
        <v>16</v>
      </c>
      <c r="T63" t="s">
        <v>16</v>
      </c>
      <c r="U63" t="s">
        <v>397</v>
      </c>
      <c r="V63">
        <v>90000</v>
      </c>
      <c r="W63">
        <v>5</v>
      </c>
      <c r="X63" t="s">
        <v>52</v>
      </c>
      <c r="Y63" t="s">
        <v>18</v>
      </c>
      <c r="Z63" t="s">
        <v>19</v>
      </c>
      <c r="AA63" t="s">
        <v>3577</v>
      </c>
      <c r="AB63" t="s">
        <v>3578</v>
      </c>
      <c r="AC63" t="s">
        <v>3579</v>
      </c>
      <c r="AD63" t="s">
        <v>3479</v>
      </c>
      <c r="AE63" t="s">
        <v>3475</v>
      </c>
      <c r="AF63" s="2">
        <v>3578.27</v>
      </c>
      <c r="AG63" s="2">
        <v>2171.2941999999998</v>
      </c>
      <c r="AH63" s="2">
        <v>1406.9757999999999</v>
      </c>
      <c r="AI63" s="3">
        <v>0.39320001006072802</v>
      </c>
    </row>
    <row r="64" spans="1:35">
      <c r="A64" s="1">
        <v>42087</v>
      </c>
      <c r="B64" s="1">
        <v>37254</v>
      </c>
      <c r="C64" t="s">
        <v>4094</v>
      </c>
      <c r="D64">
        <v>310</v>
      </c>
      <c r="E64">
        <v>11286</v>
      </c>
      <c r="F64">
        <v>4</v>
      </c>
      <c r="G64">
        <v>1</v>
      </c>
      <c r="H64">
        <v>1</v>
      </c>
      <c r="I64">
        <v>2</v>
      </c>
      <c r="J64" t="s">
        <v>3485</v>
      </c>
      <c r="K64" t="s">
        <v>3486</v>
      </c>
      <c r="L64" s="2">
        <v>2171.2941999999998</v>
      </c>
      <c r="M64" s="2">
        <v>3578.27</v>
      </c>
      <c r="N64" t="s">
        <v>13</v>
      </c>
      <c r="O64" t="s">
        <v>274</v>
      </c>
      <c r="P64" t="s">
        <v>246</v>
      </c>
      <c r="Q64" t="s">
        <v>6393</v>
      </c>
      <c r="R64" s="1">
        <v>22708</v>
      </c>
      <c r="S64" t="s">
        <v>16</v>
      </c>
      <c r="T64" t="s">
        <v>16</v>
      </c>
      <c r="U64" t="s">
        <v>399</v>
      </c>
      <c r="V64">
        <v>170000</v>
      </c>
      <c r="W64">
        <v>0</v>
      </c>
      <c r="X64" t="s">
        <v>135</v>
      </c>
      <c r="Y64" t="s">
        <v>45</v>
      </c>
      <c r="Z64" t="s">
        <v>19</v>
      </c>
      <c r="AA64" t="s">
        <v>3580</v>
      </c>
      <c r="AB64" t="s">
        <v>3578</v>
      </c>
      <c r="AC64" t="s">
        <v>3579</v>
      </c>
      <c r="AD64" t="s">
        <v>3479</v>
      </c>
      <c r="AE64" t="s">
        <v>3475</v>
      </c>
      <c r="AF64" s="2">
        <v>3578.27</v>
      </c>
      <c r="AG64" s="2">
        <v>2171.2941999999998</v>
      </c>
      <c r="AH64" s="2">
        <v>1406.9757999999999</v>
      </c>
      <c r="AI64" s="3">
        <v>0.39320001006072802</v>
      </c>
    </row>
    <row r="65" spans="1:35">
      <c r="A65" s="1">
        <v>42074</v>
      </c>
      <c r="B65" s="1">
        <v>37263</v>
      </c>
      <c r="C65" t="s">
        <v>4009</v>
      </c>
      <c r="D65">
        <v>312</v>
      </c>
      <c r="E65">
        <v>11289</v>
      </c>
      <c r="F65">
        <v>4</v>
      </c>
      <c r="G65">
        <v>1</v>
      </c>
      <c r="H65">
        <v>1</v>
      </c>
      <c r="I65">
        <v>2</v>
      </c>
      <c r="J65" t="s">
        <v>3489</v>
      </c>
      <c r="K65" t="s">
        <v>3490</v>
      </c>
      <c r="L65" s="2">
        <v>2171.2941999999998</v>
      </c>
      <c r="M65" s="2">
        <v>3578.27</v>
      </c>
      <c r="N65" t="s">
        <v>30</v>
      </c>
      <c r="O65" t="s">
        <v>276</v>
      </c>
      <c r="P65" t="s">
        <v>107</v>
      </c>
      <c r="Q65" t="s">
        <v>6394</v>
      </c>
      <c r="R65" s="1">
        <v>22347</v>
      </c>
      <c r="S65" t="s">
        <v>16</v>
      </c>
      <c r="T65" t="s">
        <v>29</v>
      </c>
      <c r="U65" t="s">
        <v>401</v>
      </c>
      <c r="V65">
        <v>130000</v>
      </c>
      <c r="W65">
        <v>1</v>
      </c>
      <c r="X65" t="s">
        <v>17</v>
      </c>
      <c r="Y65" t="s">
        <v>45</v>
      </c>
      <c r="Z65" t="s">
        <v>19</v>
      </c>
      <c r="AA65" t="s">
        <v>3580</v>
      </c>
      <c r="AB65" t="s">
        <v>3578</v>
      </c>
      <c r="AC65" t="s">
        <v>3579</v>
      </c>
      <c r="AD65" t="s">
        <v>3479</v>
      </c>
      <c r="AE65" t="s">
        <v>3475</v>
      </c>
      <c r="AF65" s="2">
        <v>3578.27</v>
      </c>
      <c r="AG65" s="2">
        <v>2171.2941999999998</v>
      </c>
      <c r="AH65" s="2">
        <v>1406.9757999999999</v>
      </c>
      <c r="AI65" s="3">
        <v>0.39320001006072802</v>
      </c>
    </row>
    <row r="66" spans="1:35">
      <c r="A66" s="1">
        <v>42086</v>
      </c>
      <c r="B66" s="1">
        <v>37270</v>
      </c>
      <c r="C66" t="s">
        <v>4085</v>
      </c>
      <c r="D66">
        <v>311</v>
      </c>
      <c r="E66">
        <v>11290</v>
      </c>
      <c r="F66">
        <v>4</v>
      </c>
      <c r="G66">
        <v>1</v>
      </c>
      <c r="H66">
        <v>1</v>
      </c>
      <c r="I66">
        <v>2</v>
      </c>
      <c r="J66" t="s">
        <v>3487</v>
      </c>
      <c r="K66" t="s">
        <v>3488</v>
      </c>
      <c r="L66" s="2">
        <v>2171.2941999999998</v>
      </c>
      <c r="M66" s="2">
        <v>3578.27</v>
      </c>
      <c r="N66" t="s">
        <v>30</v>
      </c>
      <c r="O66" t="s">
        <v>372</v>
      </c>
      <c r="P66" t="s">
        <v>109</v>
      </c>
      <c r="Q66" t="s">
        <v>6395</v>
      </c>
      <c r="R66" s="1">
        <v>22511</v>
      </c>
      <c r="S66" t="s">
        <v>16</v>
      </c>
      <c r="T66" t="s">
        <v>29</v>
      </c>
      <c r="U66" t="s">
        <v>402</v>
      </c>
      <c r="V66">
        <v>130000</v>
      </c>
      <c r="W66">
        <v>1</v>
      </c>
      <c r="X66" t="s">
        <v>17</v>
      </c>
      <c r="Y66" t="s">
        <v>45</v>
      </c>
      <c r="Z66" t="s">
        <v>19</v>
      </c>
      <c r="AA66" t="s">
        <v>3580</v>
      </c>
      <c r="AB66" t="s">
        <v>3578</v>
      </c>
      <c r="AC66" t="s">
        <v>3579</v>
      </c>
      <c r="AD66" t="s">
        <v>3479</v>
      </c>
      <c r="AE66" t="s">
        <v>3475</v>
      </c>
      <c r="AF66" s="2">
        <v>3578.27</v>
      </c>
      <c r="AG66" s="2">
        <v>2171.2941999999998</v>
      </c>
      <c r="AH66" s="2">
        <v>1406.9757999999999</v>
      </c>
      <c r="AI66" s="3">
        <v>0.39320001006072802</v>
      </c>
    </row>
    <row r="67" spans="1:35">
      <c r="A67" s="1">
        <v>42070</v>
      </c>
      <c r="B67" s="1">
        <v>37251</v>
      </c>
      <c r="C67" t="s">
        <v>3987</v>
      </c>
      <c r="D67">
        <v>313</v>
      </c>
      <c r="E67">
        <v>11291</v>
      </c>
      <c r="F67">
        <v>4</v>
      </c>
      <c r="G67">
        <v>1</v>
      </c>
      <c r="H67">
        <v>1</v>
      </c>
      <c r="I67">
        <v>2</v>
      </c>
      <c r="J67" t="s">
        <v>3491</v>
      </c>
      <c r="K67" t="s">
        <v>3492</v>
      </c>
      <c r="L67" s="2">
        <v>2171.2941999999998</v>
      </c>
      <c r="M67" s="2">
        <v>3578.27</v>
      </c>
      <c r="N67" t="s">
        <v>30</v>
      </c>
      <c r="O67" t="s">
        <v>403</v>
      </c>
      <c r="P67" t="s">
        <v>240</v>
      </c>
      <c r="Q67" t="s">
        <v>6396</v>
      </c>
      <c r="R67" s="1">
        <v>22406</v>
      </c>
      <c r="S67" t="s">
        <v>16</v>
      </c>
      <c r="T67" t="s">
        <v>29</v>
      </c>
      <c r="U67" t="s">
        <v>404</v>
      </c>
      <c r="V67">
        <v>130000</v>
      </c>
      <c r="W67">
        <v>1</v>
      </c>
      <c r="X67" t="s">
        <v>17</v>
      </c>
      <c r="Y67" t="s">
        <v>45</v>
      </c>
      <c r="Z67" t="s">
        <v>19</v>
      </c>
      <c r="AA67" t="s">
        <v>3580</v>
      </c>
      <c r="AB67" t="s">
        <v>3578</v>
      </c>
      <c r="AC67" t="s">
        <v>3579</v>
      </c>
      <c r="AD67" t="s">
        <v>3479</v>
      </c>
      <c r="AE67" t="s">
        <v>3475</v>
      </c>
      <c r="AF67" s="2">
        <v>3578.27</v>
      </c>
      <c r="AG67" s="2">
        <v>2171.2941999999998</v>
      </c>
      <c r="AH67" s="2">
        <v>1406.9757999999999</v>
      </c>
      <c r="AI67" s="3">
        <v>0.39320001006072802</v>
      </c>
    </row>
    <row r="68" spans="1:35">
      <c r="A68" s="1">
        <v>42081</v>
      </c>
      <c r="B68" s="1">
        <v>37272</v>
      </c>
      <c r="C68" t="s">
        <v>4059</v>
      </c>
      <c r="D68">
        <v>311</v>
      </c>
      <c r="E68">
        <v>11292</v>
      </c>
      <c r="F68">
        <v>4</v>
      </c>
      <c r="G68">
        <v>1</v>
      </c>
      <c r="H68">
        <v>1</v>
      </c>
      <c r="I68">
        <v>2</v>
      </c>
      <c r="J68" t="s">
        <v>3487</v>
      </c>
      <c r="K68" t="s">
        <v>3488</v>
      </c>
      <c r="L68" s="2">
        <v>2171.2941999999998</v>
      </c>
      <c r="M68" s="2">
        <v>3578.27</v>
      </c>
      <c r="N68" t="s">
        <v>13</v>
      </c>
      <c r="O68" t="s">
        <v>69</v>
      </c>
      <c r="P68" t="s">
        <v>177</v>
      </c>
      <c r="Q68" t="s">
        <v>6397</v>
      </c>
      <c r="R68" s="1">
        <v>22590</v>
      </c>
      <c r="S68" t="s">
        <v>22</v>
      </c>
      <c r="T68" t="s">
        <v>16</v>
      </c>
      <c r="U68" t="s">
        <v>405</v>
      </c>
      <c r="V68">
        <v>150000</v>
      </c>
      <c r="W68">
        <v>1</v>
      </c>
      <c r="X68" t="s">
        <v>52</v>
      </c>
      <c r="Y68" t="s">
        <v>18</v>
      </c>
      <c r="Z68" t="s">
        <v>23</v>
      </c>
      <c r="AA68" t="s">
        <v>3580</v>
      </c>
      <c r="AB68" t="s">
        <v>3578</v>
      </c>
      <c r="AC68" t="s">
        <v>3579</v>
      </c>
      <c r="AD68" t="s">
        <v>3479</v>
      </c>
      <c r="AE68" t="s">
        <v>3475</v>
      </c>
      <c r="AF68" s="2">
        <v>3578.27</v>
      </c>
      <c r="AG68" s="2">
        <v>2171.2941999999998</v>
      </c>
      <c r="AH68" s="2">
        <v>1406.9757999999999</v>
      </c>
      <c r="AI68" s="3">
        <v>0.39320001006072802</v>
      </c>
    </row>
    <row r="69" spans="1:35">
      <c r="A69" s="1">
        <v>42091</v>
      </c>
      <c r="B69" s="1">
        <v>37289</v>
      </c>
      <c r="C69" t="s">
        <v>4125</v>
      </c>
      <c r="D69">
        <v>313</v>
      </c>
      <c r="E69">
        <v>11295</v>
      </c>
      <c r="F69">
        <v>4</v>
      </c>
      <c r="G69">
        <v>1</v>
      </c>
      <c r="H69">
        <v>1</v>
      </c>
      <c r="I69">
        <v>2</v>
      </c>
      <c r="J69" t="s">
        <v>3491</v>
      </c>
      <c r="K69" t="s">
        <v>3492</v>
      </c>
      <c r="L69" s="2">
        <v>2171.2941999999998</v>
      </c>
      <c r="M69" s="2">
        <v>3578.27</v>
      </c>
      <c r="N69" t="s">
        <v>30</v>
      </c>
      <c r="O69" t="s">
        <v>254</v>
      </c>
      <c r="P69" t="s">
        <v>407</v>
      </c>
      <c r="Q69" t="s">
        <v>6398</v>
      </c>
      <c r="R69" s="1">
        <v>19860</v>
      </c>
      <c r="S69" t="s">
        <v>22</v>
      </c>
      <c r="T69" t="s">
        <v>29</v>
      </c>
      <c r="U69" t="s">
        <v>408</v>
      </c>
      <c r="V69">
        <v>80000</v>
      </c>
      <c r="W69">
        <v>2</v>
      </c>
      <c r="X69" t="s">
        <v>77</v>
      </c>
      <c r="Y69" t="s">
        <v>53</v>
      </c>
      <c r="Z69" t="s">
        <v>19</v>
      </c>
      <c r="AA69" t="s">
        <v>3580</v>
      </c>
      <c r="AB69" t="s">
        <v>3578</v>
      </c>
      <c r="AC69" t="s">
        <v>3579</v>
      </c>
      <c r="AD69" t="s">
        <v>3479</v>
      </c>
      <c r="AE69" t="s">
        <v>3475</v>
      </c>
      <c r="AF69" s="2">
        <v>3578.27</v>
      </c>
      <c r="AG69" s="2">
        <v>2171.2941999999998</v>
      </c>
      <c r="AH69" s="2">
        <v>1406.9757999999999</v>
      </c>
      <c r="AI69" s="3">
        <v>0.39320001006072802</v>
      </c>
    </row>
    <row r="70" spans="1:35">
      <c r="A70" s="1">
        <v>42067</v>
      </c>
      <c r="B70" s="1">
        <v>37246</v>
      </c>
      <c r="C70" t="s">
        <v>3967</v>
      </c>
      <c r="D70">
        <v>312</v>
      </c>
      <c r="E70">
        <v>11296</v>
      </c>
      <c r="F70">
        <v>1</v>
      </c>
      <c r="G70">
        <v>1</v>
      </c>
      <c r="H70">
        <v>1</v>
      </c>
      <c r="I70">
        <v>2</v>
      </c>
      <c r="J70" t="s">
        <v>3489</v>
      </c>
      <c r="K70" t="s">
        <v>3490</v>
      </c>
      <c r="L70" s="2">
        <v>2171.2941999999998</v>
      </c>
      <c r="M70" s="2">
        <v>3578.27</v>
      </c>
      <c r="N70" t="s">
        <v>30</v>
      </c>
      <c r="O70" t="s">
        <v>409</v>
      </c>
      <c r="P70" t="s">
        <v>245</v>
      </c>
      <c r="Q70" t="s">
        <v>6399</v>
      </c>
      <c r="R70" s="1">
        <v>13064</v>
      </c>
      <c r="S70" t="s">
        <v>22</v>
      </c>
      <c r="T70" t="s">
        <v>29</v>
      </c>
      <c r="U70" t="s">
        <v>410</v>
      </c>
      <c r="V70">
        <v>50000</v>
      </c>
      <c r="W70">
        <v>2</v>
      </c>
      <c r="X70" t="s">
        <v>135</v>
      </c>
      <c r="Y70" t="s">
        <v>45</v>
      </c>
      <c r="Z70" t="s">
        <v>19</v>
      </c>
      <c r="AA70" t="s">
        <v>3577</v>
      </c>
      <c r="AB70" t="s">
        <v>3578</v>
      </c>
      <c r="AC70" t="s">
        <v>3579</v>
      </c>
      <c r="AD70" t="s">
        <v>3479</v>
      </c>
      <c r="AE70" t="s">
        <v>3475</v>
      </c>
      <c r="AF70" s="2">
        <v>3578.27</v>
      </c>
      <c r="AG70" s="2">
        <v>2171.2941999999998</v>
      </c>
      <c r="AH70" s="2">
        <v>1406.9757999999999</v>
      </c>
      <c r="AI70" s="3">
        <v>0.39320001006072802</v>
      </c>
    </row>
    <row r="71" spans="1:35">
      <c r="A71" s="1">
        <v>42092</v>
      </c>
      <c r="B71" s="1">
        <v>37291</v>
      </c>
      <c r="C71" t="s">
        <v>4128</v>
      </c>
      <c r="D71">
        <v>312</v>
      </c>
      <c r="E71">
        <v>11297</v>
      </c>
      <c r="F71">
        <v>4</v>
      </c>
      <c r="G71">
        <v>1</v>
      </c>
      <c r="H71">
        <v>1</v>
      </c>
      <c r="I71">
        <v>2</v>
      </c>
      <c r="J71" t="s">
        <v>3489</v>
      </c>
      <c r="K71" t="s">
        <v>3490</v>
      </c>
      <c r="L71" s="2">
        <v>2171.2941999999998</v>
      </c>
      <c r="M71" s="2">
        <v>3578.27</v>
      </c>
      <c r="N71" t="s">
        <v>13</v>
      </c>
      <c r="O71" t="s">
        <v>141</v>
      </c>
      <c r="P71" t="s">
        <v>264</v>
      </c>
      <c r="Q71" t="s">
        <v>6400</v>
      </c>
      <c r="R71" s="1">
        <v>12817</v>
      </c>
      <c r="S71" t="s">
        <v>22</v>
      </c>
      <c r="T71" t="s">
        <v>16</v>
      </c>
      <c r="U71" t="s">
        <v>411</v>
      </c>
      <c r="V71">
        <v>70000</v>
      </c>
      <c r="W71">
        <v>4</v>
      </c>
      <c r="X71" t="s">
        <v>135</v>
      </c>
      <c r="Y71" t="s">
        <v>45</v>
      </c>
      <c r="Z71" t="s">
        <v>19</v>
      </c>
      <c r="AA71" t="s">
        <v>3580</v>
      </c>
      <c r="AB71" t="s">
        <v>3578</v>
      </c>
      <c r="AC71" t="s">
        <v>3579</v>
      </c>
      <c r="AD71" t="s">
        <v>3479</v>
      </c>
      <c r="AE71" t="s">
        <v>3475</v>
      </c>
      <c r="AF71" s="2">
        <v>3578.27</v>
      </c>
      <c r="AG71" s="2">
        <v>2171.2941999999998</v>
      </c>
      <c r="AH71" s="2">
        <v>1406.9757999999999</v>
      </c>
      <c r="AI71" s="3">
        <v>0.39320001006072802</v>
      </c>
    </row>
    <row r="72" spans="1:35">
      <c r="A72" s="1">
        <v>42031</v>
      </c>
      <c r="B72" s="1">
        <v>37210</v>
      </c>
      <c r="C72" t="s">
        <v>3751</v>
      </c>
      <c r="D72">
        <v>346</v>
      </c>
      <c r="E72">
        <v>11459</v>
      </c>
      <c r="F72">
        <v>9</v>
      </c>
      <c r="G72">
        <v>1</v>
      </c>
      <c r="H72">
        <v>1</v>
      </c>
      <c r="I72">
        <v>1</v>
      </c>
      <c r="J72" t="s">
        <v>3523</v>
      </c>
      <c r="K72" t="s">
        <v>3524</v>
      </c>
      <c r="L72" s="2">
        <v>1912.1543999999999</v>
      </c>
      <c r="M72" s="2">
        <v>3399.99</v>
      </c>
      <c r="N72" t="s">
        <v>26</v>
      </c>
      <c r="O72" t="s">
        <v>542</v>
      </c>
      <c r="P72" t="s">
        <v>226</v>
      </c>
      <c r="Q72" t="s">
        <v>6401</v>
      </c>
      <c r="R72" s="1">
        <v>26585</v>
      </c>
      <c r="S72" t="s">
        <v>22</v>
      </c>
      <c r="T72" t="s">
        <v>29</v>
      </c>
      <c r="U72" t="s">
        <v>543</v>
      </c>
      <c r="V72">
        <v>80000</v>
      </c>
      <c r="W72">
        <v>0</v>
      </c>
      <c r="X72" t="s">
        <v>17</v>
      </c>
      <c r="Y72" t="s">
        <v>18</v>
      </c>
      <c r="Z72" t="s">
        <v>23</v>
      </c>
      <c r="AA72" t="s">
        <v>3586</v>
      </c>
      <c r="AB72" t="s">
        <v>3586</v>
      </c>
      <c r="AC72" t="s">
        <v>3587</v>
      </c>
      <c r="AD72" t="s">
        <v>3478</v>
      </c>
      <c r="AE72" t="s">
        <v>3475</v>
      </c>
      <c r="AF72" s="2">
        <v>3399.99</v>
      </c>
      <c r="AG72" s="2">
        <v>1912.1543999999999</v>
      </c>
      <c r="AH72" s="2">
        <v>1487.8356000000001</v>
      </c>
      <c r="AI72" s="3">
        <v>0.43759999294115598</v>
      </c>
    </row>
    <row r="73" spans="1:35">
      <c r="A73" s="1">
        <v>42078</v>
      </c>
      <c r="B73" s="1">
        <v>37307</v>
      </c>
      <c r="C73" t="s">
        <v>4034</v>
      </c>
      <c r="D73">
        <v>312</v>
      </c>
      <c r="E73">
        <v>11298</v>
      </c>
      <c r="F73">
        <v>4</v>
      </c>
      <c r="G73">
        <v>1</v>
      </c>
      <c r="H73">
        <v>1</v>
      </c>
      <c r="I73">
        <v>2</v>
      </c>
      <c r="J73" t="s">
        <v>3489</v>
      </c>
      <c r="K73" t="s">
        <v>3490</v>
      </c>
      <c r="L73" s="2">
        <v>2171.2941999999998</v>
      </c>
      <c r="M73" s="2">
        <v>3578.27</v>
      </c>
      <c r="N73" t="s">
        <v>13</v>
      </c>
      <c r="O73" t="s">
        <v>14</v>
      </c>
      <c r="P73" t="s">
        <v>159</v>
      </c>
      <c r="Q73" t="s">
        <v>6402</v>
      </c>
      <c r="R73" s="1">
        <v>12846</v>
      </c>
      <c r="S73" t="s">
        <v>16</v>
      </c>
      <c r="T73" t="s">
        <v>16</v>
      </c>
      <c r="U73" t="s">
        <v>412</v>
      </c>
      <c r="V73">
        <v>70000</v>
      </c>
      <c r="W73">
        <v>4</v>
      </c>
      <c r="X73" t="s">
        <v>135</v>
      </c>
      <c r="Y73" t="s">
        <v>45</v>
      </c>
      <c r="Z73" t="s">
        <v>19</v>
      </c>
      <c r="AA73" t="s">
        <v>3580</v>
      </c>
      <c r="AB73" t="s">
        <v>3578</v>
      </c>
      <c r="AC73" t="s">
        <v>3579</v>
      </c>
      <c r="AD73" t="s">
        <v>3479</v>
      </c>
      <c r="AE73" t="s">
        <v>3475</v>
      </c>
      <c r="AF73" s="2">
        <v>3578.27</v>
      </c>
      <c r="AG73" s="2">
        <v>2171.2941999999998</v>
      </c>
      <c r="AH73" s="2">
        <v>1406.9757999999999</v>
      </c>
      <c r="AI73" s="3">
        <v>0.39320001006072802</v>
      </c>
    </row>
    <row r="74" spans="1:35">
      <c r="A74" s="1">
        <v>42048</v>
      </c>
      <c r="B74" s="1">
        <v>37263</v>
      </c>
      <c r="C74" t="s">
        <v>3855</v>
      </c>
      <c r="D74">
        <v>346</v>
      </c>
      <c r="E74">
        <v>11414</v>
      </c>
      <c r="F74">
        <v>10</v>
      </c>
      <c r="G74">
        <v>1</v>
      </c>
      <c r="H74">
        <v>1</v>
      </c>
      <c r="I74">
        <v>1</v>
      </c>
      <c r="J74" t="s">
        <v>3523</v>
      </c>
      <c r="K74" t="s">
        <v>3524</v>
      </c>
      <c r="L74" s="2">
        <v>1912.1543999999999</v>
      </c>
      <c r="M74" s="2">
        <v>3399.99</v>
      </c>
      <c r="N74" t="s">
        <v>13</v>
      </c>
      <c r="O74" t="s">
        <v>46</v>
      </c>
      <c r="P74" t="s">
        <v>245</v>
      </c>
      <c r="Q74" t="s">
        <v>6403</v>
      </c>
      <c r="R74" s="1">
        <v>19801</v>
      </c>
      <c r="S74" t="s">
        <v>22</v>
      </c>
      <c r="T74" t="s">
        <v>16</v>
      </c>
      <c r="U74" t="s">
        <v>508</v>
      </c>
      <c r="V74">
        <v>80000</v>
      </c>
      <c r="W74">
        <v>4</v>
      </c>
      <c r="X74" t="s">
        <v>52</v>
      </c>
      <c r="Y74" t="s">
        <v>18</v>
      </c>
      <c r="Z74" t="s">
        <v>19</v>
      </c>
      <c r="AA74" t="s">
        <v>3588</v>
      </c>
      <c r="AB74" t="s">
        <v>3588</v>
      </c>
      <c r="AC74" t="s">
        <v>3584</v>
      </c>
      <c r="AD74" t="s">
        <v>3478</v>
      </c>
      <c r="AE74" t="s">
        <v>3475</v>
      </c>
      <c r="AF74" s="2">
        <v>3399.99</v>
      </c>
      <c r="AG74" s="2">
        <v>1912.1543999999999</v>
      </c>
      <c r="AH74" s="2">
        <v>1487.8356000000001</v>
      </c>
      <c r="AI74" s="3">
        <v>0.43759999294115598</v>
      </c>
    </row>
    <row r="75" spans="1:35">
      <c r="A75" s="1">
        <v>42092</v>
      </c>
      <c r="B75" s="1">
        <v>37275</v>
      </c>
      <c r="C75" t="s">
        <v>4129</v>
      </c>
      <c r="D75">
        <v>310</v>
      </c>
      <c r="E75">
        <v>11299</v>
      </c>
      <c r="F75">
        <v>4</v>
      </c>
      <c r="G75">
        <v>1</v>
      </c>
      <c r="H75">
        <v>1</v>
      </c>
      <c r="I75">
        <v>2</v>
      </c>
      <c r="J75" t="s">
        <v>3485</v>
      </c>
      <c r="K75" t="s">
        <v>3486</v>
      </c>
      <c r="L75" s="2">
        <v>2171.2941999999998</v>
      </c>
      <c r="M75" s="2">
        <v>3578.27</v>
      </c>
      <c r="N75" t="s">
        <v>13</v>
      </c>
      <c r="O75" t="s">
        <v>230</v>
      </c>
      <c r="P75" t="s">
        <v>232</v>
      </c>
      <c r="Q75" t="s">
        <v>6404</v>
      </c>
      <c r="R75" s="1">
        <v>13241</v>
      </c>
      <c r="S75" t="s">
        <v>16</v>
      </c>
      <c r="T75" t="s">
        <v>16</v>
      </c>
      <c r="U75" t="s">
        <v>413</v>
      </c>
      <c r="V75">
        <v>70000</v>
      </c>
      <c r="W75">
        <v>4</v>
      </c>
      <c r="X75" t="s">
        <v>135</v>
      </c>
      <c r="Y75" t="s">
        <v>45</v>
      </c>
      <c r="Z75" t="s">
        <v>19</v>
      </c>
      <c r="AA75" t="s">
        <v>3580</v>
      </c>
      <c r="AB75" t="s">
        <v>3578</v>
      </c>
      <c r="AC75" t="s">
        <v>3579</v>
      </c>
      <c r="AD75" t="s">
        <v>3479</v>
      </c>
      <c r="AE75" t="s">
        <v>3475</v>
      </c>
      <c r="AF75" s="2">
        <v>3578.27</v>
      </c>
      <c r="AG75" s="2">
        <v>2171.2941999999998</v>
      </c>
      <c r="AH75" s="2">
        <v>1406.9757999999999</v>
      </c>
      <c r="AI75" s="3">
        <v>0.39320001006072802</v>
      </c>
    </row>
    <row r="76" spans="1:35">
      <c r="A76" s="1">
        <v>42021</v>
      </c>
      <c r="B76" s="1">
        <v>37242</v>
      </c>
      <c r="C76" t="s">
        <v>3690</v>
      </c>
      <c r="D76">
        <v>347</v>
      </c>
      <c r="E76">
        <v>11456</v>
      </c>
      <c r="F76">
        <v>9</v>
      </c>
      <c r="G76">
        <v>1</v>
      </c>
      <c r="H76">
        <v>1</v>
      </c>
      <c r="I76">
        <v>1</v>
      </c>
      <c r="J76" t="s">
        <v>3525</v>
      </c>
      <c r="K76" t="s">
        <v>3526</v>
      </c>
      <c r="L76" s="2">
        <v>1912.1543999999999</v>
      </c>
      <c r="M76" s="2">
        <v>3399.99</v>
      </c>
      <c r="N76" t="s">
        <v>13</v>
      </c>
      <c r="O76" t="s">
        <v>14</v>
      </c>
      <c r="P76" t="s">
        <v>140</v>
      </c>
      <c r="Q76" t="s">
        <v>6405</v>
      </c>
      <c r="R76" s="1">
        <v>27218</v>
      </c>
      <c r="S76" t="s">
        <v>16</v>
      </c>
      <c r="T76" t="s">
        <v>16</v>
      </c>
      <c r="U76" t="s">
        <v>540</v>
      </c>
      <c r="V76">
        <v>120000</v>
      </c>
      <c r="W76">
        <v>5</v>
      </c>
      <c r="X76" t="s">
        <v>77</v>
      </c>
      <c r="Y76" t="s">
        <v>18</v>
      </c>
      <c r="Z76" t="s">
        <v>19</v>
      </c>
      <c r="AA76" t="s">
        <v>3586</v>
      </c>
      <c r="AB76" t="s">
        <v>3586</v>
      </c>
      <c r="AC76" t="s">
        <v>3587</v>
      </c>
      <c r="AD76" t="s">
        <v>3478</v>
      </c>
      <c r="AE76" t="s">
        <v>3475</v>
      </c>
      <c r="AF76" s="2">
        <v>3399.99</v>
      </c>
      <c r="AG76" s="2">
        <v>1912.1543999999999</v>
      </c>
      <c r="AH76" s="2">
        <v>1487.8356000000001</v>
      </c>
      <c r="AI76" s="3">
        <v>0.43759999294115598</v>
      </c>
    </row>
    <row r="77" spans="1:35">
      <c r="A77" s="1">
        <v>42072</v>
      </c>
      <c r="B77" s="1">
        <v>37263</v>
      </c>
      <c r="C77" t="s">
        <v>4002</v>
      </c>
      <c r="D77">
        <v>311</v>
      </c>
      <c r="E77">
        <v>11302</v>
      </c>
      <c r="F77">
        <v>1</v>
      </c>
      <c r="G77">
        <v>1</v>
      </c>
      <c r="H77">
        <v>1</v>
      </c>
      <c r="I77">
        <v>2</v>
      </c>
      <c r="J77" t="s">
        <v>3487</v>
      </c>
      <c r="K77" t="s">
        <v>3488</v>
      </c>
      <c r="L77" s="2">
        <v>2171.2941999999998</v>
      </c>
      <c r="M77" s="2">
        <v>3578.27</v>
      </c>
      <c r="N77" t="s">
        <v>13</v>
      </c>
      <c r="O77" t="s">
        <v>416</v>
      </c>
      <c r="P77" t="s">
        <v>71</v>
      </c>
      <c r="Q77" t="s">
        <v>6406</v>
      </c>
      <c r="R77" s="1">
        <v>22262</v>
      </c>
      <c r="S77" t="s">
        <v>22</v>
      </c>
      <c r="T77" t="s">
        <v>16</v>
      </c>
      <c r="U77" t="s">
        <v>417</v>
      </c>
      <c r="V77">
        <v>90000</v>
      </c>
      <c r="W77">
        <v>4</v>
      </c>
      <c r="X77" t="s">
        <v>57</v>
      </c>
      <c r="Y77" t="s">
        <v>18</v>
      </c>
      <c r="Z77" t="s">
        <v>23</v>
      </c>
      <c r="AA77" t="s">
        <v>3577</v>
      </c>
      <c r="AB77" t="s">
        <v>3578</v>
      </c>
      <c r="AC77" t="s">
        <v>3579</v>
      </c>
      <c r="AD77" t="s">
        <v>3479</v>
      </c>
      <c r="AE77" t="s">
        <v>3475</v>
      </c>
      <c r="AF77" s="2">
        <v>3578.27</v>
      </c>
      <c r="AG77" s="2">
        <v>2171.2941999999998</v>
      </c>
      <c r="AH77" s="2">
        <v>1406.9757999999999</v>
      </c>
      <c r="AI77" s="3">
        <v>0.39320001006072802</v>
      </c>
    </row>
    <row r="78" spans="1:35">
      <c r="A78" s="1">
        <v>42068</v>
      </c>
      <c r="B78" s="1">
        <v>37209</v>
      </c>
      <c r="C78" t="s">
        <v>3974</v>
      </c>
      <c r="D78">
        <v>310</v>
      </c>
      <c r="E78">
        <v>11303</v>
      </c>
      <c r="F78">
        <v>1</v>
      </c>
      <c r="G78">
        <v>1</v>
      </c>
      <c r="H78">
        <v>1</v>
      </c>
      <c r="I78">
        <v>2</v>
      </c>
      <c r="J78" t="s">
        <v>3485</v>
      </c>
      <c r="K78" t="s">
        <v>3486</v>
      </c>
      <c r="L78" s="2">
        <v>2171.2941999999998</v>
      </c>
      <c r="M78" s="2">
        <v>3578.27</v>
      </c>
      <c r="N78" t="s">
        <v>30</v>
      </c>
      <c r="O78" t="s">
        <v>202</v>
      </c>
      <c r="P78" t="s">
        <v>264</v>
      </c>
      <c r="Q78" t="s">
        <v>6407</v>
      </c>
      <c r="R78" s="1">
        <v>22200</v>
      </c>
      <c r="S78" t="s">
        <v>22</v>
      </c>
      <c r="T78" t="s">
        <v>29</v>
      </c>
      <c r="U78" t="s">
        <v>418</v>
      </c>
      <c r="V78">
        <v>90000</v>
      </c>
      <c r="W78">
        <v>4</v>
      </c>
      <c r="X78" t="s">
        <v>57</v>
      </c>
      <c r="Y78" t="s">
        <v>18</v>
      </c>
      <c r="Z78" t="s">
        <v>23</v>
      </c>
      <c r="AA78" t="s">
        <v>3577</v>
      </c>
      <c r="AB78" t="s">
        <v>3578</v>
      </c>
      <c r="AC78" t="s">
        <v>3579</v>
      </c>
      <c r="AD78" t="s">
        <v>3479</v>
      </c>
      <c r="AE78" t="s">
        <v>3475</v>
      </c>
      <c r="AF78" s="2">
        <v>3578.27</v>
      </c>
      <c r="AG78" s="2">
        <v>2171.2941999999998</v>
      </c>
      <c r="AH78" s="2">
        <v>1406.9757999999999</v>
      </c>
      <c r="AI78" s="3">
        <v>0.39320001006072802</v>
      </c>
    </row>
    <row r="79" spans="1:35">
      <c r="A79" s="1">
        <v>42070</v>
      </c>
      <c r="B79" s="1">
        <v>37234</v>
      </c>
      <c r="C79" t="s">
        <v>3986</v>
      </c>
      <c r="D79">
        <v>314</v>
      </c>
      <c r="E79">
        <v>11307</v>
      </c>
      <c r="F79">
        <v>4</v>
      </c>
      <c r="G79">
        <v>1</v>
      </c>
      <c r="H79">
        <v>1</v>
      </c>
      <c r="I79">
        <v>2</v>
      </c>
      <c r="J79" t="s">
        <v>3493</v>
      </c>
      <c r="K79" t="s">
        <v>3494</v>
      </c>
      <c r="L79" s="2">
        <v>2171.2941999999998</v>
      </c>
      <c r="M79" s="2">
        <v>3578.27</v>
      </c>
      <c r="N79" t="s">
        <v>13</v>
      </c>
      <c r="O79" t="s">
        <v>274</v>
      </c>
      <c r="P79" t="s">
        <v>293</v>
      </c>
      <c r="Q79" t="s">
        <v>6408</v>
      </c>
      <c r="R79" s="1">
        <v>20032</v>
      </c>
      <c r="S79" t="s">
        <v>16</v>
      </c>
      <c r="T79" t="s">
        <v>16</v>
      </c>
      <c r="U79" t="s">
        <v>421</v>
      </c>
      <c r="V79">
        <v>80000</v>
      </c>
      <c r="W79">
        <v>2</v>
      </c>
      <c r="X79" t="s">
        <v>77</v>
      </c>
      <c r="Y79" t="s">
        <v>53</v>
      </c>
      <c r="Z79" t="s">
        <v>19</v>
      </c>
      <c r="AA79" t="s">
        <v>3580</v>
      </c>
      <c r="AB79" t="s">
        <v>3578</v>
      </c>
      <c r="AC79" t="s">
        <v>3579</v>
      </c>
      <c r="AD79" t="s">
        <v>3479</v>
      </c>
      <c r="AE79" t="s">
        <v>3475</v>
      </c>
      <c r="AF79" s="2">
        <v>3578.27</v>
      </c>
      <c r="AG79" s="2">
        <v>2171.2941999999998</v>
      </c>
      <c r="AH79" s="2">
        <v>1406.9757999999999</v>
      </c>
      <c r="AI79" s="3">
        <v>0.39320001006072802</v>
      </c>
    </row>
    <row r="80" spans="1:35">
      <c r="A80" s="1">
        <v>42057</v>
      </c>
      <c r="B80" s="1">
        <v>37222</v>
      </c>
      <c r="C80" t="s">
        <v>3898</v>
      </c>
      <c r="D80">
        <v>345</v>
      </c>
      <c r="E80">
        <v>11422</v>
      </c>
      <c r="F80">
        <v>10</v>
      </c>
      <c r="G80">
        <v>1</v>
      </c>
      <c r="H80">
        <v>1</v>
      </c>
      <c r="I80">
        <v>1</v>
      </c>
      <c r="J80" t="s">
        <v>3521</v>
      </c>
      <c r="K80" t="s">
        <v>3522</v>
      </c>
      <c r="L80" s="2">
        <v>1912.1543999999999</v>
      </c>
      <c r="M80" s="2">
        <v>3399.99</v>
      </c>
      <c r="N80" t="s">
        <v>13</v>
      </c>
      <c r="O80" t="s">
        <v>514</v>
      </c>
      <c r="P80" t="s">
        <v>226</v>
      </c>
      <c r="Q80" t="s">
        <v>6409</v>
      </c>
      <c r="R80" s="1">
        <v>17046</v>
      </c>
      <c r="S80" t="s">
        <v>16</v>
      </c>
      <c r="T80" t="s">
        <v>16</v>
      </c>
      <c r="U80" t="s">
        <v>515</v>
      </c>
      <c r="V80">
        <v>170000</v>
      </c>
      <c r="W80">
        <v>4</v>
      </c>
      <c r="X80" t="s">
        <v>17</v>
      </c>
      <c r="Y80" t="s">
        <v>45</v>
      </c>
      <c r="Z80" t="s">
        <v>19</v>
      </c>
      <c r="AA80" t="s">
        <v>3588</v>
      </c>
      <c r="AB80" t="s">
        <v>3588</v>
      </c>
      <c r="AC80" t="s">
        <v>3584</v>
      </c>
      <c r="AD80" t="s">
        <v>3478</v>
      </c>
      <c r="AE80" t="s">
        <v>3475</v>
      </c>
      <c r="AF80" s="2">
        <v>3399.99</v>
      </c>
      <c r="AG80" s="2">
        <v>1912.1543999999999</v>
      </c>
      <c r="AH80" s="2">
        <v>1487.8356000000001</v>
      </c>
      <c r="AI80" s="3">
        <v>0.43759999294115598</v>
      </c>
    </row>
    <row r="81" spans="1:35">
      <c r="A81" s="1">
        <v>42067</v>
      </c>
      <c r="B81" s="1">
        <v>37244</v>
      </c>
      <c r="C81" t="s">
        <v>3971</v>
      </c>
      <c r="D81">
        <v>314</v>
      </c>
      <c r="E81">
        <v>11317</v>
      </c>
      <c r="F81">
        <v>1</v>
      </c>
      <c r="G81">
        <v>1</v>
      </c>
      <c r="H81">
        <v>1</v>
      </c>
      <c r="I81">
        <v>2</v>
      </c>
      <c r="J81" t="s">
        <v>3493</v>
      </c>
      <c r="K81" t="s">
        <v>3494</v>
      </c>
      <c r="L81" s="2">
        <v>2171.2941999999998</v>
      </c>
      <c r="M81" s="2">
        <v>3578.27</v>
      </c>
      <c r="N81" t="s">
        <v>30</v>
      </c>
      <c r="O81" t="s">
        <v>374</v>
      </c>
      <c r="P81" t="s">
        <v>71</v>
      </c>
      <c r="Q81" t="s">
        <v>6410</v>
      </c>
      <c r="R81" s="1">
        <v>19254</v>
      </c>
      <c r="S81" t="s">
        <v>22</v>
      </c>
      <c r="T81" t="s">
        <v>29</v>
      </c>
      <c r="U81" t="s">
        <v>426</v>
      </c>
      <c r="V81">
        <v>40000</v>
      </c>
      <c r="W81">
        <v>3</v>
      </c>
      <c r="X81" t="s">
        <v>52</v>
      </c>
      <c r="Y81" t="s">
        <v>18</v>
      </c>
      <c r="Z81" t="s">
        <v>23</v>
      </c>
      <c r="AA81" t="s">
        <v>3577</v>
      </c>
      <c r="AB81" t="s">
        <v>3578</v>
      </c>
      <c r="AC81" t="s">
        <v>3579</v>
      </c>
      <c r="AD81" t="s">
        <v>3479</v>
      </c>
      <c r="AE81" t="s">
        <v>3475</v>
      </c>
      <c r="AF81" s="2">
        <v>3578.27</v>
      </c>
      <c r="AG81" s="2">
        <v>2171.2941999999998</v>
      </c>
      <c r="AH81" s="2">
        <v>1406.9757999999999</v>
      </c>
      <c r="AI81" s="3">
        <v>0.39320001006072802</v>
      </c>
    </row>
    <row r="82" spans="1:35">
      <c r="A82" s="1">
        <v>42075</v>
      </c>
      <c r="B82" s="1">
        <v>37271</v>
      </c>
      <c r="C82" t="s">
        <v>4011</v>
      </c>
      <c r="D82">
        <v>310</v>
      </c>
      <c r="E82">
        <v>11319</v>
      </c>
      <c r="F82">
        <v>4</v>
      </c>
      <c r="G82">
        <v>1</v>
      </c>
      <c r="H82">
        <v>1</v>
      </c>
      <c r="I82">
        <v>2</v>
      </c>
      <c r="J82" t="s">
        <v>3485</v>
      </c>
      <c r="K82" t="s">
        <v>3486</v>
      </c>
      <c r="L82" s="2">
        <v>2171.2941999999998</v>
      </c>
      <c r="M82" s="2">
        <v>3578.27</v>
      </c>
      <c r="N82" t="s">
        <v>30</v>
      </c>
      <c r="O82" t="s">
        <v>427</v>
      </c>
      <c r="P82" t="s">
        <v>428</v>
      </c>
      <c r="Q82" t="s">
        <v>6411</v>
      </c>
      <c r="R82" s="1">
        <v>13632</v>
      </c>
      <c r="S82" t="s">
        <v>16</v>
      </c>
      <c r="T82" t="s">
        <v>29</v>
      </c>
      <c r="U82" t="s">
        <v>429</v>
      </c>
      <c r="V82">
        <v>70000</v>
      </c>
      <c r="W82">
        <v>4</v>
      </c>
      <c r="X82" t="s">
        <v>135</v>
      </c>
      <c r="Y82" t="s">
        <v>45</v>
      </c>
      <c r="Z82" t="s">
        <v>23</v>
      </c>
      <c r="AA82" t="s">
        <v>3580</v>
      </c>
      <c r="AB82" t="s">
        <v>3578</v>
      </c>
      <c r="AC82" t="s">
        <v>3579</v>
      </c>
      <c r="AD82" t="s">
        <v>3479</v>
      </c>
      <c r="AE82" t="s">
        <v>3475</v>
      </c>
      <c r="AF82" s="2">
        <v>3578.27</v>
      </c>
      <c r="AG82" s="2">
        <v>2171.2941999999998</v>
      </c>
      <c r="AH82" s="2">
        <v>1406.9757999999999</v>
      </c>
      <c r="AI82" s="3">
        <v>0.39320001006072802</v>
      </c>
    </row>
    <row r="83" spans="1:35">
      <c r="A83" s="1">
        <v>42076</v>
      </c>
      <c r="B83" s="1">
        <v>37298</v>
      </c>
      <c r="C83" t="s">
        <v>4019</v>
      </c>
      <c r="D83">
        <v>312</v>
      </c>
      <c r="E83">
        <v>11323</v>
      </c>
      <c r="F83">
        <v>4</v>
      </c>
      <c r="G83">
        <v>1</v>
      </c>
      <c r="H83">
        <v>1</v>
      </c>
      <c r="I83">
        <v>2</v>
      </c>
      <c r="J83" t="s">
        <v>3489</v>
      </c>
      <c r="K83" t="s">
        <v>3490</v>
      </c>
      <c r="L83" s="2">
        <v>2171.2941999999998</v>
      </c>
      <c r="M83" s="2">
        <v>3578.27</v>
      </c>
      <c r="N83" t="s">
        <v>13</v>
      </c>
      <c r="O83" t="s">
        <v>304</v>
      </c>
      <c r="P83" t="s">
        <v>261</v>
      </c>
      <c r="Q83" t="s">
        <v>6412</v>
      </c>
      <c r="R83" s="1">
        <v>14051</v>
      </c>
      <c r="S83" t="s">
        <v>22</v>
      </c>
      <c r="T83" t="s">
        <v>16</v>
      </c>
      <c r="U83" t="s">
        <v>432</v>
      </c>
      <c r="V83">
        <v>120000</v>
      </c>
      <c r="W83">
        <v>2</v>
      </c>
      <c r="X83" t="s">
        <v>135</v>
      </c>
      <c r="Y83" t="s">
        <v>45</v>
      </c>
      <c r="Z83" t="s">
        <v>19</v>
      </c>
      <c r="AA83" t="s">
        <v>3580</v>
      </c>
      <c r="AB83" t="s">
        <v>3578</v>
      </c>
      <c r="AC83" t="s">
        <v>3579</v>
      </c>
      <c r="AD83" t="s">
        <v>3479</v>
      </c>
      <c r="AE83" t="s">
        <v>3475</v>
      </c>
      <c r="AF83" s="2">
        <v>3578.27</v>
      </c>
      <c r="AG83" s="2">
        <v>2171.2941999999998</v>
      </c>
      <c r="AH83" s="2">
        <v>1406.9757999999999</v>
      </c>
      <c r="AI83" s="3">
        <v>0.39320001006072802</v>
      </c>
    </row>
    <row r="84" spans="1:35">
      <c r="A84" s="1">
        <v>42092</v>
      </c>
      <c r="B84" s="1">
        <v>37234</v>
      </c>
      <c r="C84" t="s">
        <v>4132</v>
      </c>
      <c r="D84">
        <v>310</v>
      </c>
      <c r="E84">
        <v>11324</v>
      </c>
      <c r="F84">
        <v>4</v>
      </c>
      <c r="G84">
        <v>1</v>
      </c>
      <c r="H84">
        <v>1</v>
      </c>
      <c r="I84">
        <v>2</v>
      </c>
      <c r="J84" t="s">
        <v>3485</v>
      </c>
      <c r="K84" t="s">
        <v>3486</v>
      </c>
      <c r="L84" s="2">
        <v>2171.2941999999998</v>
      </c>
      <c r="M84" s="2">
        <v>3578.27</v>
      </c>
      <c r="N84" t="s">
        <v>13</v>
      </c>
      <c r="O84" t="s">
        <v>433</v>
      </c>
      <c r="P84" t="s">
        <v>166</v>
      </c>
      <c r="Q84" t="s">
        <v>6413</v>
      </c>
      <c r="R84" s="1">
        <v>14379</v>
      </c>
      <c r="S84" t="s">
        <v>16</v>
      </c>
      <c r="T84" t="s">
        <v>16</v>
      </c>
      <c r="U84" t="s">
        <v>434</v>
      </c>
      <c r="V84">
        <v>90000</v>
      </c>
      <c r="W84">
        <v>5</v>
      </c>
      <c r="X84" t="s">
        <v>17</v>
      </c>
      <c r="Y84" t="s">
        <v>45</v>
      </c>
      <c r="Z84" t="s">
        <v>19</v>
      </c>
      <c r="AA84" t="s">
        <v>3580</v>
      </c>
      <c r="AB84" t="s">
        <v>3578</v>
      </c>
      <c r="AC84" t="s">
        <v>3579</v>
      </c>
      <c r="AD84" t="s">
        <v>3479</v>
      </c>
      <c r="AE84" t="s">
        <v>3475</v>
      </c>
      <c r="AF84" s="2">
        <v>3578.27</v>
      </c>
      <c r="AG84" s="2">
        <v>2171.2941999999998</v>
      </c>
      <c r="AH84" s="2">
        <v>1406.9757999999999</v>
      </c>
      <c r="AI84" s="3">
        <v>0.39320001006072802</v>
      </c>
    </row>
    <row r="85" spans="1:35">
      <c r="A85" s="1">
        <v>42059</v>
      </c>
      <c r="B85" s="1">
        <v>37212</v>
      </c>
      <c r="C85" t="s">
        <v>3911</v>
      </c>
      <c r="D85">
        <v>310</v>
      </c>
      <c r="E85">
        <v>12522</v>
      </c>
      <c r="F85">
        <v>7</v>
      </c>
      <c r="G85">
        <v>1</v>
      </c>
      <c r="H85">
        <v>1</v>
      </c>
      <c r="I85">
        <v>2</v>
      </c>
      <c r="J85" t="s">
        <v>3485</v>
      </c>
      <c r="K85" t="s">
        <v>3486</v>
      </c>
      <c r="L85" s="2">
        <v>2171.2941999999998</v>
      </c>
      <c r="M85" s="2">
        <v>3578.27</v>
      </c>
      <c r="N85" t="s">
        <v>26</v>
      </c>
      <c r="O85" t="s">
        <v>585</v>
      </c>
      <c r="P85" t="s">
        <v>109</v>
      </c>
      <c r="Q85" t="s">
        <v>6414</v>
      </c>
      <c r="R85" s="1">
        <v>28010</v>
      </c>
      <c r="S85" t="s">
        <v>22</v>
      </c>
      <c r="T85" t="s">
        <v>29</v>
      </c>
      <c r="U85" t="s">
        <v>1171</v>
      </c>
      <c r="V85">
        <v>20000</v>
      </c>
      <c r="W85">
        <v>0</v>
      </c>
      <c r="X85" t="s">
        <v>57</v>
      </c>
      <c r="Y85" t="s">
        <v>444</v>
      </c>
      <c r="Z85" t="s">
        <v>23</v>
      </c>
      <c r="AA85" t="s">
        <v>3583</v>
      </c>
      <c r="AB85" t="s">
        <v>3583</v>
      </c>
      <c r="AC85" t="s">
        <v>3584</v>
      </c>
      <c r="AD85" t="s">
        <v>3479</v>
      </c>
      <c r="AE85" t="s">
        <v>3475</v>
      </c>
      <c r="AF85" s="2">
        <v>3578.27</v>
      </c>
      <c r="AG85" s="2">
        <v>2171.2941999999998</v>
      </c>
      <c r="AH85" s="2">
        <v>1406.9757999999999</v>
      </c>
      <c r="AI85" s="3">
        <v>0.39320001006072802</v>
      </c>
    </row>
    <row r="86" spans="1:35">
      <c r="A86" s="1">
        <v>42085</v>
      </c>
      <c r="B86" s="1">
        <v>37222</v>
      </c>
      <c r="C86" t="s">
        <v>4080</v>
      </c>
      <c r="D86">
        <v>310</v>
      </c>
      <c r="E86">
        <v>11325</v>
      </c>
      <c r="F86">
        <v>1</v>
      </c>
      <c r="G86">
        <v>1</v>
      </c>
      <c r="H86">
        <v>1</v>
      </c>
      <c r="I86">
        <v>2</v>
      </c>
      <c r="J86" t="s">
        <v>3485</v>
      </c>
      <c r="K86" t="s">
        <v>3486</v>
      </c>
      <c r="L86" s="2">
        <v>2171.2941999999998</v>
      </c>
      <c r="M86" s="2">
        <v>3578.27</v>
      </c>
      <c r="N86" t="s">
        <v>13</v>
      </c>
      <c r="O86" t="s">
        <v>435</v>
      </c>
      <c r="P86" t="s">
        <v>199</v>
      </c>
      <c r="Q86" t="s">
        <v>6415</v>
      </c>
      <c r="R86" s="1">
        <v>14428</v>
      </c>
      <c r="S86" t="s">
        <v>22</v>
      </c>
      <c r="T86" t="s">
        <v>16</v>
      </c>
      <c r="U86" t="s">
        <v>436</v>
      </c>
      <c r="V86">
        <v>90000</v>
      </c>
      <c r="W86">
        <v>5</v>
      </c>
      <c r="X86" t="s">
        <v>17</v>
      </c>
      <c r="Y86" t="s">
        <v>45</v>
      </c>
      <c r="Z86" t="s">
        <v>19</v>
      </c>
      <c r="AA86" t="s">
        <v>3577</v>
      </c>
      <c r="AB86" t="s">
        <v>3578</v>
      </c>
      <c r="AC86" t="s">
        <v>3579</v>
      </c>
      <c r="AD86" t="s">
        <v>3479</v>
      </c>
      <c r="AE86" t="s">
        <v>3475</v>
      </c>
      <c r="AF86" s="2">
        <v>3578.27</v>
      </c>
      <c r="AG86" s="2">
        <v>2171.2941999999998</v>
      </c>
      <c r="AH86" s="2">
        <v>1406.9757999999999</v>
      </c>
      <c r="AI86" s="3">
        <v>0.39320001006072802</v>
      </c>
    </row>
    <row r="87" spans="1:35">
      <c r="A87" s="1">
        <v>42081</v>
      </c>
      <c r="B87" s="1">
        <v>37285</v>
      </c>
      <c r="C87" t="s">
        <v>4058</v>
      </c>
      <c r="D87">
        <v>314</v>
      </c>
      <c r="E87">
        <v>11326</v>
      </c>
      <c r="F87">
        <v>4</v>
      </c>
      <c r="G87">
        <v>1</v>
      </c>
      <c r="H87">
        <v>1</v>
      </c>
      <c r="I87">
        <v>2</v>
      </c>
      <c r="J87" t="s">
        <v>3493</v>
      </c>
      <c r="K87" t="s">
        <v>3494</v>
      </c>
      <c r="L87" s="2">
        <v>2171.2941999999998</v>
      </c>
      <c r="M87" s="2">
        <v>3578.27</v>
      </c>
      <c r="N87" t="s">
        <v>13</v>
      </c>
      <c r="O87" t="s">
        <v>437</v>
      </c>
      <c r="P87" t="s">
        <v>72</v>
      </c>
      <c r="Q87" t="s">
        <v>6416</v>
      </c>
      <c r="R87" s="1">
        <v>14422</v>
      </c>
      <c r="S87" t="s">
        <v>16</v>
      </c>
      <c r="T87" t="s">
        <v>16</v>
      </c>
      <c r="U87" t="s">
        <v>438</v>
      </c>
      <c r="V87">
        <v>130000</v>
      </c>
      <c r="W87">
        <v>2</v>
      </c>
      <c r="X87" t="s">
        <v>17</v>
      </c>
      <c r="Y87" t="s">
        <v>45</v>
      </c>
      <c r="Z87" t="s">
        <v>19</v>
      </c>
      <c r="AA87" t="s">
        <v>3580</v>
      </c>
      <c r="AB87" t="s">
        <v>3578</v>
      </c>
      <c r="AC87" t="s">
        <v>3579</v>
      </c>
      <c r="AD87" t="s">
        <v>3479</v>
      </c>
      <c r="AE87" t="s">
        <v>3475</v>
      </c>
      <c r="AF87" s="2">
        <v>3578.27</v>
      </c>
      <c r="AG87" s="2">
        <v>2171.2941999999998</v>
      </c>
      <c r="AH87" s="2">
        <v>1406.9757999999999</v>
      </c>
      <c r="AI87" s="3">
        <v>0.39320001006072802</v>
      </c>
    </row>
    <row r="88" spans="1:35">
      <c r="A88" s="1">
        <v>42092</v>
      </c>
      <c r="B88" s="1">
        <v>37276</v>
      </c>
      <c r="C88" t="s">
        <v>4127</v>
      </c>
      <c r="D88">
        <v>314</v>
      </c>
      <c r="E88">
        <v>11327</v>
      </c>
      <c r="F88">
        <v>4</v>
      </c>
      <c r="G88">
        <v>1</v>
      </c>
      <c r="H88">
        <v>1</v>
      </c>
      <c r="I88">
        <v>2</v>
      </c>
      <c r="J88" t="s">
        <v>3493</v>
      </c>
      <c r="K88" t="s">
        <v>3494</v>
      </c>
      <c r="L88" s="2">
        <v>2171.2941999999998</v>
      </c>
      <c r="M88" s="2">
        <v>3578.27</v>
      </c>
      <c r="N88" t="s">
        <v>13</v>
      </c>
      <c r="O88" t="s">
        <v>92</v>
      </c>
      <c r="P88" t="s">
        <v>85</v>
      </c>
      <c r="Q88" t="s">
        <v>6417</v>
      </c>
      <c r="R88" s="1">
        <v>14674</v>
      </c>
      <c r="S88" t="s">
        <v>16</v>
      </c>
      <c r="T88" t="s">
        <v>16</v>
      </c>
      <c r="U88" t="s">
        <v>439</v>
      </c>
      <c r="V88">
        <v>90000</v>
      </c>
      <c r="W88">
        <v>5</v>
      </c>
      <c r="X88" t="s">
        <v>17</v>
      </c>
      <c r="Y88" t="s">
        <v>45</v>
      </c>
      <c r="Z88" t="s">
        <v>19</v>
      </c>
      <c r="AA88" t="s">
        <v>3580</v>
      </c>
      <c r="AB88" t="s">
        <v>3578</v>
      </c>
      <c r="AC88" t="s">
        <v>3579</v>
      </c>
      <c r="AD88" t="s">
        <v>3479</v>
      </c>
      <c r="AE88" t="s">
        <v>3475</v>
      </c>
      <c r="AF88" s="2">
        <v>3578.27</v>
      </c>
      <c r="AG88" s="2">
        <v>2171.2941999999998</v>
      </c>
      <c r="AH88" s="2">
        <v>1406.9757999999999</v>
      </c>
      <c r="AI88" s="3">
        <v>0.39320001006072802</v>
      </c>
    </row>
    <row r="89" spans="1:35">
      <c r="A89" s="1">
        <v>42091</v>
      </c>
      <c r="B89" s="1">
        <v>37237</v>
      </c>
      <c r="C89" t="s">
        <v>4119</v>
      </c>
      <c r="D89">
        <v>311</v>
      </c>
      <c r="E89">
        <v>11329</v>
      </c>
      <c r="F89">
        <v>4</v>
      </c>
      <c r="G89">
        <v>1</v>
      </c>
      <c r="H89">
        <v>1</v>
      </c>
      <c r="I89">
        <v>2</v>
      </c>
      <c r="J89" t="s">
        <v>3487</v>
      </c>
      <c r="K89" t="s">
        <v>3488</v>
      </c>
      <c r="L89" s="2">
        <v>2171.2941999999998</v>
      </c>
      <c r="M89" s="2">
        <v>3578.27</v>
      </c>
      <c r="N89" t="s">
        <v>13</v>
      </c>
      <c r="O89" t="s">
        <v>441</v>
      </c>
      <c r="P89" t="s">
        <v>214</v>
      </c>
      <c r="Q89" t="s">
        <v>6418</v>
      </c>
      <c r="R89" s="1">
        <v>14817</v>
      </c>
      <c r="S89" t="s">
        <v>22</v>
      </c>
      <c r="T89" t="s">
        <v>16</v>
      </c>
      <c r="U89" t="s">
        <v>442</v>
      </c>
      <c r="V89">
        <v>90000</v>
      </c>
      <c r="W89">
        <v>5</v>
      </c>
      <c r="X89" t="s">
        <v>17</v>
      </c>
      <c r="Y89" t="s">
        <v>45</v>
      </c>
      <c r="Z89" t="s">
        <v>19</v>
      </c>
      <c r="AA89" t="s">
        <v>3580</v>
      </c>
      <c r="AB89" t="s">
        <v>3578</v>
      </c>
      <c r="AC89" t="s">
        <v>3579</v>
      </c>
      <c r="AD89" t="s">
        <v>3479</v>
      </c>
      <c r="AE89" t="s">
        <v>3475</v>
      </c>
      <c r="AF89" s="2">
        <v>3578.27</v>
      </c>
      <c r="AG89" s="2">
        <v>2171.2941999999998</v>
      </c>
      <c r="AH89" s="2">
        <v>1406.9757999999999</v>
      </c>
      <c r="AI89" s="3">
        <v>0.39320001006072802</v>
      </c>
    </row>
    <row r="90" spans="1:35">
      <c r="A90" s="1">
        <v>42111</v>
      </c>
      <c r="B90" s="1">
        <v>37249</v>
      </c>
      <c r="C90" t="s">
        <v>4242</v>
      </c>
      <c r="D90">
        <v>346</v>
      </c>
      <c r="E90">
        <v>11332</v>
      </c>
      <c r="F90">
        <v>8</v>
      </c>
      <c r="G90">
        <v>1</v>
      </c>
      <c r="H90">
        <v>1</v>
      </c>
      <c r="I90">
        <v>1</v>
      </c>
      <c r="J90" t="s">
        <v>3523</v>
      </c>
      <c r="K90" t="s">
        <v>3524</v>
      </c>
      <c r="L90" s="2">
        <v>1912.1543999999999</v>
      </c>
      <c r="M90" s="2">
        <v>3399.99</v>
      </c>
      <c r="N90" t="s">
        <v>30</v>
      </c>
      <c r="O90" t="s">
        <v>128</v>
      </c>
      <c r="P90" t="s">
        <v>89</v>
      </c>
      <c r="Q90" t="s">
        <v>6419</v>
      </c>
      <c r="R90" s="1">
        <v>22923</v>
      </c>
      <c r="S90" t="s">
        <v>22</v>
      </c>
      <c r="T90" t="s">
        <v>29</v>
      </c>
      <c r="U90" t="s">
        <v>443</v>
      </c>
      <c r="V90">
        <v>10000</v>
      </c>
      <c r="W90">
        <v>1</v>
      </c>
      <c r="X90" t="s">
        <v>135</v>
      </c>
      <c r="Y90" t="s">
        <v>444</v>
      </c>
      <c r="Z90" t="s">
        <v>19</v>
      </c>
      <c r="AA90" t="s">
        <v>3585</v>
      </c>
      <c r="AB90" t="s">
        <v>3585</v>
      </c>
      <c r="AC90" t="s">
        <v>3584</v>
      </c>
      <c r="AD90" t="s">
        <v>3478</v>
      </c>
      <c r="AE90" t="s">
        <v>3475</v>
      </c>
      <c r="AF90" s="2">
        <v>3399.99</v>
      </c>
      <c r="AG90" s="2">
        <v>1912.1543999999999</v>
      </c>
      <c r="AH90" s="2">
        <v>1487.8356000000001</v>
      </c>
      <c r="AI90" s="3">
        <v>0.43759999294115598</v>
      </c>
    </row>
    <row r="91" spans="1:35">
      <c r="A91" s="1">
        <v>42119</v>
      </c>
      <c r="B91" s="1">
        <v>37337</v>
      </c>
      <c r="C91" t="s">
        <v>4293</v>
      </c>
      <c r="D91">
        <v>345</v>
      </c>
      <c r="E91">
        <v>11335</v>
      </c>
      <c r="F91">
        <v>8</v>
      </c>
      <c r="G91">
        <v>1</v>
      </c>
      <c r="H91">
        <v>1</v>
      </c>
      <c r="I91">
        <v>1</v>
      </c>
      <c r="J91" t="s">
        <v>3521</v>
      </c>
      <c r="K91" t="s">
        <v>3522</v>
      </c>
      <c r="L91" s="2">
        <v>1912.1543999999999</v>
      </c>
      <c r="M91" s="2">
        <v>3399.99</v>
      </c>
      <c r="N91" t="s">
        <v>30</v>
      </c>
      <c r="O91" t="s">
        <v>445</v>
      </c>
      <c r="P91" t="s">
        <v>431</v>
      </c>
      <c r="Q91" t="s">
        <v>6420</v>
      </c>
      <c r="R91" s="1">
        <v>22456</v>
      </c>
      <c r="S91" t="s">
        <v>16</v>
      </c>
      <c r="T91" t="s">
        <v>29</v>
      </c>
      <c r="U91" t="s">
        <v>446</v>
      </c>
      <c r="V91">
        <v>10000</v>
      </c>
      <c r="W91">
        <v>1</v>
      </c>
      <c r="X91" t="s">
        <v>17</v>
      </c>
      <c r="Y91" t="s">
        <v>444</v>
      </c>
      <c r="Z91" t="s">
        <v>19</v>
      </c>
      <c r="AA91" t="s">
        <v>3585</v>
      </c>
      <c r="AB91" t="s">
        <v>3585</v>
      </c>
      <c r="AC91" t="s">
        <v>3584</v>
      </c>
      <c r="AD91" t="s">
        <v>3478</v>
      </c>
      <c r="AE91" t="s">
        <v>3475</v>
      </c>
      <c r="AF91" s="2">
        <v>3399.99</v>
      </c>
      <c r="AG91" s="2">
        <v>1912.1543999999999</v>
      </c>
      <c r="AH91" s="2">
        <v>1487.8356000000001</v>
      </c>
      <c r="AI91" s="3">
        <v>0.43759999294115598</v>
      </c>
    </row>
    <row r="92" spans="1:35">
      <c r="A92" s="1">
        <v>42107</v>
      </c>
      <c r="B92" s="1">
        <v>37317</v>
      </c>
      <c r="C92" t="s">
        <v>4214</v>
      </c>
      <c r="D92">
        <v>349</v>
      </c>
      <c r="E92">
        <v>11338</v>
      </c>
      <c r="F92">
        <v>8</v>
      </c>
      <c r="G92">
        <v>1</v>
      </c>
      <c r="H92">
        <v>1</v>
      </c>
      <c r="I92">
        <v>1</v>
      </c>
      <c r="J92" t="s">
        <v>3529</v>
      </c>
      <c r="K92" t="s">
        <v>3530</v>
      </c>
      <c r="L92" s="2">
        <v>1898.0944</v>
      </c>
      <c r="M92" s="2">
        <v>3374.99</v>
      </c>
      <c r="N92" t="s">
        <v>13</v>
      </c>
      <c r="O92" t="s">
        <v>448</v>
      </c>
      <c r="P92" t="s">
        <v>153</v>
      </c>
      <c r="Q92" t="s">
        <v>6421</v>
      </c>
      <c r="R92" s="1">
        <v>22503</v>
      </c>
      <c r="S92" t="s">
        <v>16</v>
      </c>
      <c r="T92" t="s">
        <v>16</v>
      </c>
      <c r="U92" t="s">
        <v>449</v>
      </c>
      <c r="V92">
        <v>20000</v>
      </c>
      <c r="W92">
        <v>1</v>
      </c>
      <c r="X92" t="s">
        <v>135</v>
      </c>
      <c r="Y92" t="s">
        <v>60</v>
      </c>
      <c r="Z92" t="s">
        <v>19</v>
      </c>
      <c r="AA92" t="s">
        <v>3585</v>
      </c>
      <c r="AB92" t="s">
        <v>3585</v>
      </c>
      <c r="AC92" t="s">
        <v>3584</v>
      </c>
      <c r="AD92" t="s">
        <v>3478</v>
      </c>
      <c r="AE92" t="s">
        <v>3475</v>
      </c>
      <c r="AF92" s="2">
        <v>3374.99</v>
      </c>
      <c r="AG92" s="2">
        <v>1898.0944</v>
      </c>
      <c r="AH92" s="2">
        <v>1476.8956000000001</v>
      </c>
      <c r="AI92" s="3">
        <v>0.43759999288886797</v>
      </c>
    </row>
    <row r="93" spans="1:35">
      <c r="A93" s="1">
        <v>42062</v>
      </c>
      <c r="B93" s="1">
        <v>37243</v>
      </c>
      <c r="C93" t="s">
        <v>3936</v>
      </c>
      <c r="D93">
        <v>310</v>
      </c>
      <c r="E93">
        <v>12510</v>
      </c>
      <c r="F93">
        <v>7</v>
      </c>
      <c r="G93">
        <v>1</v>
      </c>
      <c r="H93">
        <v>1</v>
      </c>
      <c r="I93">
        <v>2</v>
      </c>
      <c r="J93" t="s">
        <v>3485</v>
      </c>
      <c r="K93" t="s">
        <v>3486</v>
      </c>
      <c r="L93" s="2">
        <v>2171.2941999999998</v>
      </c>
      <c r="M93" s="2">
        <v>3578.27</v>
      </c>
      <c r="N93" t="s">
        <v>13</v>
      </c>
      <c r="O93" t="s">
        <v>461</v>
      </c>
      <c r="P93" t="s">
        <v>538</v>
      </c>
      <c r="Q93" t="s">
        <v>6422</v>
      </c>
      <c r="R93" s="1">
        <v>22970</v>
      </c>
      <c r="S93" t="s">
        <v>16</v>
      </c>
      <c r="T93" t="s">
        <v>16</v>
      </c>
      <c r="U93" t="s">
        <v>1168</v>
      </c>
      <c r="V93">
        <v>40000</v>
      </c>
      <c r="W93">
        <v>1</v>
      </c>
      <c r="X93" t="s">
        <v>17</v>
      </c>
      <c r="Y93" t="s">
        <v>53</v>
      </c>
      <c r="Z93" t="s">
        <v>19</v>
      </c>
      <c r="AA93" t="s">
        <v>3583</v>
      </c>
      <c r="AB93" t="s">
        <v>3583</v>
      </c>
      <c r="AC93" t="s">
        <v>3584</v>
      </c>
      <c r="AD93" t="s">
        <v>3479</v>
      </c>
      <c r="AE93" t="s">
        <v>3475</v>
      </c>
      <c r="AF93" s="2">
        <v>3578.27</v>
      </c>
      <c r="AG93" s="2">
        <v>2171.2941999999998</v>
      </c>
      <c r="AH93" s="2">
        <v>1406.9757999999999</v>
      </c>
      <c r="AI93" s="3">
        <v>0.39320001006072802</v>
      </c>
    </row>
    <row r="94" spans="1:35">
      <c r="A94" s="1">
        <v>42063</v>
      </c>
      <c r="B94" s="1">
        <v>37271</v>
      </c>
      <c r="C94" t="s">
        <v>3941</v>
      </c>
      <c r="D94">
        <v>311</v>
      </c>
      <c r="E94">
        <v>12523</v>
      </c>
      <c r="F94">
        <v>7</v>
      </c>
      <c r="G94">
        <v>1</v>
      </c>
      <c r="H94">
        <v>1</v>
      </c>
      <c r="I94">
        <v>2</v>
      </c>
      <c r="J94" t="s">
        <v>3487</v>
      </c>
      <c r="K94" t="s">
        <v>3488</v>
      </c>
      <c r="L94" s="2">
        <v>2171.2941999999998</v>
      </c>
      <c r="M94" s="2">
        <v>3578.27</v>
      </c>
      <c r="N94" t="s">
        <v>13</v>
      </c>
      <c r="O94" t="s">
        <v>1172</v>
      </c>
      <c r="P94" t="s">
        <v>1173</v>
      </c>
      <c r="Q94" t="s">
        <v>6423</v>
      </c>
      <c r="R94" s="1">
        <v>28097</v>
      </c>
      <c r="S94" t="s">
        <v>22</v>
      </c>
      <c r="T94" t="s">
        <v>16</v>
      </c>
      <c r="U94" t="s">
        <v>1174</v>
      </c>
      <c r="V94">
        <v>20000</v>
      </c>
      <c r="W94">
        <v>0</v>
      </c>
      <c r="X94" t="s">
        <v>57</v>
      </c>
      <c r="Y94" t="s">
        <v>444</v>
      </c>
      <c r="Z94" t="s">
        <v>23</v>
      </c>
      <c r="AA94" t="s">
        <v>3583</v>
      </c>
      <c r="AB94" t="s">
        <v>3583</v>
      </c>
      <c r="AC94" t="s">
        <v>3584</v>
      </c>
      <c r="AD94" t="s">
        <v>3479</v>
      </c>
      <c r="AE94" t="s">
        <v>3475</v>
      </c>
      <c r="AF94" s="2">
        <v>3578.27</v>
      </c>
      <c r="AG94" s="2">
        <v>2171.2941999999998</v>
      </c>
      <c r="AH94" s="2">
        <v>1406.9757999999999</v>
      </c>
      <c r="AI94" s="3">
        <v>0.39320001006072802</v>
      </c>
    </row>
    <row r="95" spans="1:35">
      <c r="A95" s="1">
        <v>42064</v>
      </c>
      <c r="B95" s="1">
        <v>37245</v>
      </c>
      <c r="C95" t="s">
        <v>3944</v>
      </c>
      <c r="D95">
        <v>351</v>
      </c>
      <c r="E95">
        <v>11905</v>
      </c>
      <c r="F95">
        <v>9</v>
      </c>
      <c r="G95">
        <v>1</v>
      </c>
      <c r="H95">
        <v>1</v>
      </c>
      <c r="I95">
        <v>1</v>
      </c>
      <c r="J95" t="s">
        <v>3533</v>
      </c>
      <c r="K95" t="s">
        <v>3534</v>
      </c>
      <c r="L95" s="2">
        <v>1898.0944</v>
      </c>
      <c r="M95" s="2">
        <v>3374.99</v>
      </c>
      <c r="N95" t="s">
        <v>13</v>
      </c>
      <c r="O95" t="s">
        <v>679</v>
      </c>
      <c r="P95" t="s">
        <v>259</v>
      </c>
      <c r="Q95" t="s">
        <v>6424</v>
      </c>
      <c r="R95" s="1">
        <v>25370</v>
      </c>
      <c r="S95" t="s">
        <v>22</v>
      </c>
      <c r="T95" t="s">
        <v>16</v>
      </c>
      <c r="U95" t="s">
        <v>820</v>
      </c>
      <c r="V95">
        <v>110000</v>
      </c>
      <c r="W95">
        <v>1</v>
      </c>
      <c r="X95" t="s">
        <v>135</v>
      </c>
      <c r="Y95" t="s">
        <v>45</v>
      </c>
      <c r="Z95" t="s">
        <v>19</v>
      </c>
      <c r="AA95" t="s">
        <v>3586</v>
      </c>
      <c r="AB95" t="s">
        <v>3586</v>
      </c>
      <c r="AC95" t="s">
        <v>3587</v>
      </c>
      <c r="AD95" t="s">
        <v>3478</v>
      </c>
      <c r="AE95" t="s">
        <v>3475</v>
      </c>
      <c r="AF95" s="2">
        <v>3374.99</v>
      </c>
      <c r="AG95" s="2">
        <v>1898.0944</v>
      </c>
      <c r="AH95" s="2">
        <v>1476.8956000000001</v>
      </c>
      <c r="AI95" s="3">
        <v>0.43759999288886797</v>
      </c>
    </row>
    <row r="96" spans="1:35">
      <c r="A96" s="1">
        <v>42065</v>
      </c>
      <c r="B96" s="1">
        <v>37259</v>
      </c>
      <c r="C96" t="s">
        <v>3951</v>
      </c>
      <c r="D96">
        <v>311</v>
      </c>
      <c r="E96">
        <v>12613</v>
      </c>
      <c r="F96">
        <v>7</v>
      </c>
      <c r="G96">
        <v>1</v>
      </c>
      <c r="H96">
        <v>1</v>
      </c>
      <c r="I96">
        <v>2</v>
      </c>
      <c r="J96" t="s">
        <v>3487</v>
      </c>
      <c r="K96" t="s">
        <v>3488</v>
      </c>
      <c r="L96" s="2">
        <v>2171.2941999999998</v>
      </c>
      <c r="M96" s="2">
        <v>3578.27</v>
      </c>
      <c r="N96" t="s">
        <v>13</v>
      </c>
      <c r="O96" t="s">
        <v>621</v>
      </c>
      <c r="P96" t="s">
        <v>353</v>
      </c>
      <c r="Q96" t="s">
        <v>6425</v>
      </c>
      <c r="R96" s="1">
        <v>25814</v>
      </c>
      <c r="S96" t="s">
        <v>16</v>
      </c>
      <c r="T96" t="s">
        <v>16</v>
      </c>
      <c r="U96" t="s">
        <v>1210</v>
      </c>
      <c r="V96">
        <v>30000</v>
      </c>
      <c r="W96">
        <v>0</v>
      </c>
      <c r="X96" t="s">
        <v>17</v>
      </c>
      <c r="Y96" t="s">
        <v>60</v>
      </c>
      <c r="Z96" t="s">
        <v>19</v>
      </c>
      <c r="AA96" t="s">
        <v>3583</v>
      </c>
      <c r="AB96" t="s">
        <v>3583</v>
      </c>
      <c r="AC96" t="s">
        <v>3584</v>
      </c>
      <c r="AD96" t="s">
        <v>3479</v>
      </c>
      <c r="AE96" t="s">
        <v>3475</v>
      </c>
      <c r="AF96" s="2">
        <v>3578.27</v>
      </c>
      <c r="AG96" s="2">
        <v>2171.2941999999998</v>
      </c>
      <c r="AH96" s="2">
        <v>1406.9757999999999</v>
      </c>
      <c r="AI96" s="3">
        <v>0.39320001006072802</v>
      </c>
    </row>
    <row r="97" spans="1:35">
      <c r="A97" s="1">
        <v>42065</v>
      </c>
      <c r="B97" s="1">
        <v>37223</v>
      </c>
      <c r="C97" t="s">
        <v>3952</v>
      </c>
      <c r="D97">
        <v>310</v>
      </c>
      <c r="E97">
        <v>11531</v>
      </c>
      <c r="F97">
        <v>4</v>
      </c>
      <c r="G97">
        <v>1</v>
      </c>
      <c r="H97">
        <v>1</v>
      </c>
      <c r="I97">
        <v>2</v>
      </c>
      <c r="J97" t="s">
        <v>3485</v>
      </c>
      <c r="K97" t="s">
        <v>3486</v>
      </c>
      <c r="L97" s="2">
        <v>2171.2941999999998</v>
      </c>
      <c r="M97" s="2">
        <v>3578.27</v>
      </c>
      <c r="N97" t="s">
        <v>30</v>
      </c>
      <c r="O97" t="s">
        <v>604</v>
      </c>
      <c r="P97" t="s">
        <v>87</v>
      </c>
      <c r="Q97" t="s">
        <v>6426</v>
      </c>
      <c r="R97" s="1">
        <v>20827</v>
      </c>
      <c r="S97" t="s">
        <v>16</v>
      </c>
      <c r="T97" t="s">
        <v>29</v>
      </c>
      <c r="U97" t="s">
        <v>605</v>
      </c>
      <c r="V97">
        <v>40000</v>
      </c>
      <c r="W97">
        <v>1</v>
      </c>
      <c r="X97" t="s">
        <v>52</v>
      </c>
      <c r="Y97" t="s">
        <v>60</v>
      </c>
      <c r="Z97" t="s">
        <v>19</v>
      </c>
      <c r="AA97" t="s">
        <v>3580</v>
      </c>
      <c r="AB97" t="s">
        <v>3578</v>
      </c>
      <c r="AC97" t="s">
        <v>3579</v>
      </c>
      <c r="AD97" t="s">
        <v>3479</v>
      </c>
      <c r="AE97" t="s">
        <v>3475</v>
      </c>
      <c r="AF97" s="2">
        <v>3578.27</v>
      </c>
      <c r="AG97" s="2">
        <v>2171.2941999999998</v>
      </c>
      <c r="AH97" s="2">
        <v>1406.9757999999999</v>
      </c>
      <c r="AI97" s="3">
        <v>0.39320001006072802</v>
      </c>
    </row>
    <row r="98" spans="1:35">
      <c r="A98" s="1">
        <v>42065</v>
      </c>
      <c r="B98" s="1">
        <v>37223</v>
      </c>
      <c r="C98" t="s">
        <v>3953</v>
      </c>
      <c r="D98">
        <v>345</v>
      </c>
      <c r="E98">
        <v>11897</v>
      </c>
      <c r="F98">
        <v>9</v>
      </c>
      <c r="G98">
        <v>1</v>
      </c>
      <c r="H98">
        <v>1</v>
      </c>
      <c r="I98">
        <v>1</v>
      </c>
      <c r="J98" t="s">
        <v>3521</v>
      </c>
      <c r="K98" t="s">
        <v>3522</v>
      </c>
      <c r="L98" s="2">
        <v>1912.1543999999999</v>
      </c>
      <c r="M98" s="2">
        <v>3399.99</v>
      </c>
      <c r="N98" t="s">
        <v>13</v>
      </c>
      <c r="O98" t="s">
        <v>230</v>
      </c>
      <c r="P98" t="s">
        <v>809</v>
      </c>
      <c r="Q98" t="s">
        <v>6427</v>
      </c>
      <c r="R98" s="1">
        <v>25170</v>
      </c>
      <c r="S98" t="s">
        <v>22</v>
      </c>
      <c r="T98" t="s">
        <v>16</v>
      </c>
      <c r="U98" t="s">
        <v>810</v>
      </c>
      <c r="V98">
        <v>60000</v>
      </c>
      <c r="W98">
        <v>2</v>
      </c>
      <c r="X98" t="s">
        <v>17</v>
      </c>
      <c r="Y98" t="s">
        <v>18</v>
      </c>
      <c r="Z98" t="s">
        <v>23</v>
      </c>
      <c r="AA98" t="s">
        <v>3586</v>
      </c>
      <c r="AB98" t="s">
        <v>3586</v>
      </c>
      <c r="AC98" t="s">
        <v>3587</v>
      </c>
      <c r="AD98" t="s">
        <v>3478</v>
      </c>
      <c r="AE98" t="s">
        <v>3475</v>
      </c>
      <c r="AF98" s="2">
        <v>3399.99</v>
      </c>
      <c r="AG98" s="2">
        <v>1912.1543999999999</v>
      </c>
      <c r="AH98" s="2">
        <v>1487.8356000000001</v>
      </c>
      <c r="AI98" s="3">
        <v>0.43759999294115598</v>
      </c>
    </row>
    <row r="99" spans="1:35">
      <c r="A99" s="1">
        <v>42066</v>
      </c>
      <c r="B99" s="1">
        <v>37288</v>
      </c>
      <c r="C99" t="s">
        <v>3962</v>
      </c>
      <c r="D99">
        <v>348</v>
      </c>
      <c r="E99">
        <v>11893</v>
      </c>
      <c r="F99">
        <v>9</v>
      </c>
      <c r="G99">
        <v>1</v>
      </c>
      <c r="H99">
        <v>1</v>
      </c>
      <c r="I99">
        <v>1</v>
      </c>
      <c r="J99" t="s">
        <v>3527</v>
      </c>
      <c r="K99" t="s">
        <v>3528</v>
      </c>
      <c r="L99" s="2">
        <v>1898.0944</v>
      </c>
      <c r="M99" s="2">
        <v>3374.99</v>
      </c>
      <c r="N99" t="s">
        <v>13</v>
      </c>
      <c r="O99" t="s">
        <v>230</v>
      </c>
      <c r="P99" t="s">
        <v>38</v>
      </c>
      <c r="Q99" t="s">
        <v>6428</v>
      </c>
      <c r="R99" s="1">
        <v>25243</v>
      </c>
      <c r="S99" t="s">
        <v>16</v>
      </c>
      <c r="T99" t="s">
        <v>16</v>
      </c>
      <c r="U99" t="s">
        <v>804</v>
      </c>
      <c r="V99">
        <v>90000</v>
      </c>
      <c r="W99">
        <v>2</v>
      </c>
      <c r="X99" t="s">
        <v>135</v>
      </c>
      <c r="Y99" t="s">
        <v>45</v>
      </c>
      <c r="Z99" t="s">
        <v>19</v>
      </c>
      <c r="AA99" t="s">
        <v>3586</v>
      </c>
      <c r="AB99" t="s">
        <v>3586</v>
      </c>
      <c r="AC99" t="s">
        <v>3587</v>
      </c>
      <c r="AD99" t="s">
        <v>3478</v>
      </c>
      <c r="AE99" t="s">
        <v>3475</v>
      </c>
      <c r="AF99" s="2">
        <v>3374.99</v>
      </c>
      <c r="AG99" s="2">
        <v>1898.0944</v>
      </c>
      <c r="AH99" s="2">
        <v>1476.8956000000001</v>
      </c>
      <c r="AI99" s="3">
        <v>0.43759999288886797</v>
      </c>
    </row>
    <row r="100" spans="1:35">
      <c r="A100" s="1">
        <v>42066</v>
      </c>
      <c r="B100" s="1">
        <v>37276</v>
      </c>
      <c r="C100" t="s">
        <v>3963</v>
      </c>
      <c r="D100">
        <v>314</v>
      </c>
      <c r="E100">
        <v>11515</v>
      </c>
      <c r="F100">
        <v>4</v>
      </c>
      <c r="G100">
        <v>1</v>
      </c>
      <c r="H100">
        <v>1</v>
      </c>
      <c r="I100">
        <v>2</v>
      </c>
      <c r="J100" t="s">
        <v>3493</v>
      </c>
      <c r="K100" t="s">
        <v>3494</v>
      </c>
      <c r="L100" s="2">
        <v>2171.2941999999998</v>
      </c>
      <c r="M100" s="2">
        <v>3578.27</v>
      </c>
      <c r="N100" t="s">
        <v>30</v>
      </c>
      <c r="O100" t="s">
        <v>37</v>
      </c>
      <c r="P100" t="s">
        <v>21</v>
      </c>
      <c r="Q100" t="s">
        <v>6429</v>
      </c>
      <c r="R100" s="1">
        <v>19780</v>
      </c>
      <c r="S100" t="s">
        <v>16</v>
      </c>
      <c r="T100" t="s">
        <v>29</v>
      </c>
      <c r="U100" t="s">
        <v>590</v>
      </c>
      <c r="V100">
        <v>30000</v>
      </c>
      <c r="W100">
        <v>1</v>
      </c>
      <c r="X100" t="s">
        <v>57</v>
      </c>
      <c r="Y100" t="s">
        <v>60</v>
      </c>
      <c r="Z100" t="s">
        <v>19</v>
      </c>
      <c r="AA100" t="s">
        <v>3580</v>
      </c>
      <c r="AB100" t="s">
        <v>3578</v>
      </c>
      <c r="AC100" t="s">
        <v>3579</v>
      </c>
      <c r="AD100" t="s">
        <v>3479</v>
      </c>
      <c r="AE100" t="s">
        <v>3475</v>
      </c>
      <c r="AF100" s="2">
        <v>3578.27</v>
      </c>
      <c r="AG100" s="2">
        <v>2171.2941999999998</v>
      </c>
      <c r="AH100" s="2">
        <v>1406.9757999999999</v>
      </c>
      <c r="AI100" s="3">
        <v>0.39320001006072802</v>
      </c>
    </row>
    <row r="101" spans="1:35">
      <c r="A101" s="1">
        <v>42067</v>
      </c>
      <c r="B101" s="1">
        <v>37241</v>
      </c>
      <c r="C101" t="s">
        <v>3964</v>
      </c>
      <c r="D101">
        <v>311</v>
      </c>
      <c r="E101">
        <v>11626</v>
      </c>
      <c r="F101">
        <v>4</v>
      </c>
      <c r="G101">
        <v>1</v>
      </c>
      <c r="H101">
        <v>1</v>
      </c>
      <c r="I101">
        <v>2</v>
      </c>
      <c r="J101" t="s">
        <v>3487</v>
      </c>
      <c r="K101" t="s">
        <v>3488</v>
      </c>
      <c r="L101" s="2">
        <v>2171.2941999999998</v>
      </c>
      <c r="M101" s="2">
        <v>3578.27</v>
      </c>
      <c r="N101" t="s">
        <v>30</v>
      </c>
      <c r="O101" t="s">
        <v>65</v>
      </c>
      <c r="P101" t="s">
        <v>572</v>
      </c>
      <c r="Q101" t="s">
        <v>6430</v>
      </c>
      <c r="R101" s="1">
        <v>26829</v>
      </c>
      <c r="S101" t="s">
        <v>16</v>
      </c>
      <c r="T101" t="s">
        <v>29</v>
      </c>
      <c r="U101" t="s">
        <v>676</v>
      </c>
      <c r="V101">
        <v>50000</v>
      </c>
      <c r="W101">
        <v>1</v>
      </c>
      <c r="X101" t="s">
        <v>135</v>
      </c>
      <c r="Y101" t="s">
        <v>53</v>
      </c>
      <c r="Z101" t="s">
        <v>19</v>
      </c>
      <c r="AA101" t="s">
        <v>3580</v>
      </c>
      <c r="AB101" t="s">
        <v>3578</v>
      </c>
      <c r="AC101" t="s">
        <v>3579</v>
      </c>
      <c r="AD101" t="s">
        <v>3479</v>
      </c>
      <c r="AE101" t="s">
        <v>3475</v>
      </c>
      <c r="AF101" s="2">
        <v>3578.27</v>
      </c>
      <c r="AG101" s="2">
        <v>2171.2941999999998</v>
      </c>
      <c r="AH101" s="2">
        <v>1406.9757999999999</v>
      </c>
      <c r="AI101" s="3">
        <v>0.39320001006072802</v>
      </c>
    </row>
    <row r="102" spans="1:35">
      <c r="A102" s="1">
        <v>42107</v>
      </c>
      <c r="B102" s="1">
        <v>37258</v>
      </c>
      <c r="C102" t="s">
        <v>4215</v>
      </c>
      <c r="D102">
        <v>346</v>
      </c>
      <c r="E102">
        <v>11380</v>
      </c>
      <c r="F102">
        <v>8</v>
      </c>
      <c r="G102">
        <v>1</v>
      </c>
      <c r="H102">
        <v>1</v>
      </c>
      <c r="I102">
        <v>1</v>
      </c>
      <c r="J102" t="s">
        <v>3523</v>
      </c>
      <c r="K102" t="s">
        <v>3524</v>
      </c>
      <c r="L102" s="2">
        <v>1912.1543999999999</v>
      </c>
      <c r="M102" s="2">
        <v>3399.99</v>
      </c>
      <c r="N102" t="s">
        <v>13</v>
      </c>
      <c r="O102" t="s">
        <v>481</v>
      </c>
      <c r="P102" t="s">
        <v>194</v>
      </c>
      <c r="Q102" t="s">
        <v>6431</v>
      </c>
      <c r="R102" s="1">
        <v>21611</v>
      </c>
      <c r="S102" t="s">
        <v>22</v>
      </c>
      <c r="T102" t="s">
        <v>16</v>
      </c>
      <c r="U102" t="s">
        <v>482</v>
      </c>
      <c r="V102">
        <v>20000</v>
      </c>
      <c r="W102">
        <v>2</v>
      </c>
      <c r="X102" t="s">
        <v>52</v>
      </c>
      <c r="Y102" t="s">
        <v>444</v>
      </c>
      <c r="Z102" t="s">
        <v>19</v>
      </c>
      <c r="AA102" t="s">
        <v>3585</v>
      </c>
      <c r="AB102" t="s">
        <v>3585</v>
      </c>
      <c r="AC102" t="s">
        <v>3584</v>
      </c>
      <c r="AD102" t="s">
        <v>3478</v>
      </c>
      <c r="AE102" t="s">
        <v>3475</v>
      </c>
      <c r="AF102" s="2">
        <v>3399.99</v>
      </c>
      <c r="AG102" s="2">
        <v>1912.1543999999999</v>
      </c>
      <c r="AH102" s="2">
        <v>1487.8356000000001</v>
      </c>
      <c r="AI102" s="3">
        <v>0.43759999294115598</v>
      </c>
    </row>
    <row r="103" spans="1:35">
      <c r="A103" s="1">
        <v>42067</v>
      </c>
      <c r="B103" s="1">
        <v>37284</v>
      </c>
      <c r="C103" t="s">
        <v>3966</v>
      </c>
      <c r="D103">
        <v>349</v>
      </c>
      <c r="E103">
        <v>11896</v>
      </c>
      <c r="F103">
        <v>9</v>
      </c>
      <c r="G103">
        <v>1</v>
      </c>
      <c r="H103">
        <v>1</v>
      </c>
      <c r="I103">
        <v>1</v>
      </c>
      <c r="J103" t="s">
        <v>3529</v>
      </c>
      <c r="K103" t="s">
        <v>3530</v>
      </c>
      <c r="L103" s="2">
        <v>1898.0944</v>
      </c>
      <c r="M103" s="2">
        <v>3374.99</v>
      </c>
      <c r="N103" t="s">
        <v>13</v>
      </c>
      <c r="O103" t="s">
        <v>448</v>
      </c>
      <c r="P103" t="s">
        <v>38</v>
      </c>
      <c r="Q103" t="s">
        <v>6432</v>
      </c>
      <c r="R103" s="1">
        <v>25525</v>
      </c>
      <c r="S103" t="s">
        <v>16</v>
      </c>
      <c r="T103" t="s">
        <v>16</v>
      </c>
      <c r="U103" t="s">
        <v>808</v>
      </c>
      <c r="V103">
        <v>100000</v>
      </c>
      <c r="W103">
        <v>1</v>
      </c>
      <c r="X103" t="s">
        <v>135</v>
      </c>
      <c r="Y103" t="s">
        <v>45</v>
      </c>
      <c r="Z103" t="s">
        <v>19</v>
      </c>
      <c r="AA103" t="s">
        <v>3586</v>
      </c>
      <c r="AB103" t="s">
        <v>3586</v>
      </c>
      <c r="AC103" t="s">
        <v>3587</v>
      </c>
      <c r="AD103" t="s">
        <v>3478</v>
      </c>
      <c r="AE103" t="s">
        <v>3475</v>
      </c>
      <c r="AF103" s="2">
        <v>3374.99</v>
      </c>
      <c r="AG103" s="2">
        <v>1898.0944</v>
      </c>
      <c r="AH103" s="2">
        <v>1476.8956000000001</v>
      </c>
      <c r="AI103" s="3">
        <v>0.43759999288886797</v>
      </c>
    </row>
    <row r="104" spans="1:35">
      <c r="A104" s="1">
        <v>42067</v>
      </c>
      <c r="B104" s="1">
        <v>37207</v>
      </c>
      <c r="C104" t="s">
        <v>3970</v>
      </c>
      <c r="D104">
        <v>312</v>
      </c>
      <c r="E104">
        <v>12607</v>
      </c>
      <c r="F104">
        <v>7</v>
      </c>
      <c r="G104">
        <v>1</v>
      </c>
      <c r="H104">
        <v>1</v>
      </c>
      <c r="I104">
        <v>2</v>
      </c>
      <c r="J104" t="s">
        <v>3489</v>
      </c>
      <c r="K104" t="s">
        <v>3490</v>
      </c>
      <c r="L104" s="2">
        <v>2171.2941999999998</v>
      </c>
      <c r="M104" s="2">
        <v>3578.27</v>
      </c>
      <c r="N104" t="s">
        <v>30</v>
      </c>
      <c r="O104" t="s">
        <v>181</v>
      </c>
      <c r="P104" t="s">
        <v>28</v>
      </c>
      <c r="Q104" t="s">
        <v>6433</v>
      </c>
      <c r="R104" s="1">
        <v>22181</v>
      </c>
      <c r="S104" t="s">
        <v>16</v>
      </c>
      <c r="T104" t="s">
        <v>29</v>
      </c>
      <c r="U104" t="s">
        <v>1209</v>
      </c>
      <c r="V104">
        <v>40000</v>
      </c>
      <c r="W104">
        <v>3</v>
      </c>
      <c r="X104" t="s">
        <v>135</v>
      </c>
      <c r="Y104" t="s">
        <v>60</v>
      </c>
      <c r="Z104" t="s">
        <v>19</v>
      </c>
      <c r="AA104" t="s">
        <v>3583</v>
      </c>
      <c r="AB104" t="s">
        <v>3583</v>
      </c>
      <c r="AC104" t="s">
        <v>3584</v>
      </c>
      <c r="AD104" t="s">
        <v>3479</v>
      </c>
      <c r="AE104" t="s">
        <v>3475</v>
      </c>
      <c r="AF104" s="2">
        <v>3578.27</v>
      </c>
      <c r="AG104" s="2">
        <v>2171.2941999999998</v>
      </c>
      <c r="AH104" s="2">
        <v>1406.9757999999999</v>
      </c>
      <c r="AI104" s="3">
        <v>0.39320001006072802</v>
      </c>
    </row>
    <row r="105" spans="1:35">
      <c r="A105" s="1">
        <v>42068</v>
      </c>
      <c r="B105" s="1">
        <v>37298</v>
      </c>
      <c r="C105" t="s">
        <v>3973</v>
      </c>
      <c r="D105">
        <v>310</v>
      </c>
      <c r="E105">
        <v>11535</v>
      </c>
      <c r="F105">
        <v>1</v>
      </c>
      <c r="G105">
        <v>1</v>
      </c>
      <c r="H105">
        <v>1</v>
      </c>
      <c r="I105">
        <v>2</v>
      </c>
      <c r="J105" t="s">
        <v>3485</v>
      </c>
      <c r="K105" t="s">
        <v>3486</v>
      </c>
      <c r="L105" s="2">
        <v>2171.2941999999998</v>
      </c>
      <c r="M105" s="2">
        <v>3578.27</v>
      </c>
      <c r="N105" t="s">
        <v>13</v>
      </c>
      <c r="O105" t="s">
        <v>285</v>
      </c>
      <c r="P105" t="s">
        <v>203</v>
      </c>
      <c r="Q105" t="s">
        <v>6434</v>
      </c>
      <c r="R105" s="1">
        <v>21369</v>
      </c>
      <c r="S105" t="s">
        <v>16</v>
      </c>
      <c r="T105" t="s">
        <v>16</v>
      </c>
      <c r="U105" t="s">
        <v>607</v>
      </c>
      <c r="V105">
        <v>60000</v>
      </c>
      <c r="W105">
        <v>4</v>
      </c>
      <c r="X105" t="s">
        <v>135</v>
      </c>
      <c r="Y105" t="s">
        <v>53</v>
      </c>
      <c r="Z105" t="s">
        <v>19</v>
      </c>
      <c r="AA105" t="s">
        <v>3577</v>
      </c>
      <c r="AB105" t="s">
        <v>3578</v>
      </c>
      <c r="AC105" t="s">
        <v>3579</v>
      </c>
      <c r="AD105" t="s">
        <v>3479</v>
      </c>
      <c r="AE105" t="s">
        <v>3475</v>
      </c>
      <c r="AF105" s="2">
        <v>3578.27</v>
      </c>
      <c r="AG105" s="2">
        <v>2171.2941999999998</v>
      </c>
      <c r="AH105" s="2">
        <v>1406.9757999999999</v>
      </c>
      <c r="AI105" s="3">
        <v>0.39320001006072802</v>
      </c>
    </row>
    <row r="106" spans="1:35">
      <c r="A106" s="1">
        <v>42069</v>
      </c>
      <c r="B106" s="1">
        <v>37306</v>
      </c>
      <c r="C106" t="s">
        <v>3977</v>
      </c>
      <c r="D106">
        <v>314</v>
      </c>
      <c r="E106">
        <v>11522</v>
      </c>
      <c r="F106">
        <v>1</v>
      </c>
      <c r="G106">
        <v>1</v>
      </c>
      <c r="H106">
        <v>1</v>
      </c>
      <c r="I106">
        <v>2</v>
      </c>
      <c r="J106" t="s">
        <v>3493</v>
      </c>
      <c r="K106" t="s">
        <v>3494</v>
      </c>
      <c r="L106" s="2">
        <v>2171.2941999999998</v>
      </c>
      <c r="M106" s="2">
        <v>3578.27</v>
      </c>
      <c r="N106" t="s">
        <v>13</v>
      </c>
      <c r="O106" t="s">
        <v>396</v>
      </c>
      <c r="P106" t="s">
        <v>280</v>
      </c>
      <c r="Q106" t="s">
        <v>6435</v>
      </c>
      <c r="R106" s="1">
        <v>20446</v>
      </c>
      <c r="S106" t="s">
        <v>16</v>
      </c>
      <c r="T106" t="s">
        <v>16</v>
      </c>
      <c r="U106" t="s">
        <v>596</v>
      </c>
      <c r="V106">
        <v>80000</v>
      </c>
      <c r="W106">
        <v>5</v>
      </c>
      <c r="X106" t="s">
        <v>135</v>
      </c>
      <c r="Y106" t="s">
        <v>53</v>
      </c>
      <c r="Z106" t="s">
        <v>19</v>
      </c>
      <c r="AA106" t="s">
        <v>3577</v>
      </c>
      <c r="AB106" t="s">
        <v>3578</v>
      </c>
      <c r="AC106" t="s">
        <v>3579</v>
      </c>
      <c r="AD106" t="s">
        <v>3479</v>
      </c>
      <c r="AE106" t="s">
        <v>3475</v>
      </c>
      <c r="AF106" s="2">
        <v>3578.27</v>
      </c>
      <c r="AG106" s="2">
        <v>2171.2941999999998</v>
      </c>
      <c r="AH106" s="2">
        <v>1406.9757999999999</v>
      </c>
      <c r="AI106" s="3">
        <v>0.39320001006072802</v>
      </c>
    </row>
    <row r="107" spans="1:35">
      <c r="A107" s="1">
        <v>42069</v>
      </c>
      <c r="B107" s="1">
        <v>37288</v>
      </c>
      <c r="C107" t="s">
        <v>3978</v>
      </c>
      <c r="D107">
        <v>346</v>
      </c>
      <c r="E107">
        <v>11768</v>
      </c>
      <c r="F107">
        <v>9</v>
      </c>
      <c r="G107">
        <v>1</v>
      </c>
      <c r="H107">
        <v>1</v>
      </c>
      <c r="I107">
        <v>1</v>
      </c>
      <c r="J107" t="s">
        <v>3523</v>
      </c>
      <c r="K107" t="s">
        <v>3524</v>
      </c>
      <c r="L107" s="2">
        <v>1912.1543999999999</v>
      </c>
      <c r="M107" s="2">
        <v>3399.99</v>
      </c>
      <c r="N107" t="s">
        <v>13</v>
      </c>
      <c r="O107" t="s">
        <v>645</v>
      </c>
      <c r="P107" t="s">
        <v>115</v>
      </c>
      <c r="Q107" t="s">
        <v>6436</v>
      </c>
      <c r="R107" s="1">
        <v>24388</v>
      </c>
      <c r="S107" t="s">
        <v>16</v>
      </c>
      <c r="T107" t="s">
        <v>16</v>
      </c>
      <c r="U107" t="s">
        <v>741</v>
      </c>
      <c r="V107">
        <v>90000</v>
      </c>
      <c r="W107">
        <v>2</v>
      </c>
      <c r="X107" t="s">
        <v>17</v>
      </c>
      <c r="Y107" t="s">
        <v>18</v>
      </c>
      <c r="Z107" t="s">
        <v>19</v>
      </c>
      <c r="AA107" t="s">
        <v>3586</v>
      </c>
      <c r="AB107" t="s">
        <v>3586</v>
      </c>
      <c r="AC107" t="s">
        <v>3587</v>
      </c>
      <c r="AD107" t="s">
        <v>3478</v>
      </c>
      <c r="AE107" t="s">
        <v>3475</v>
      </c>
      <c r="AF107" s="2">
        <v>3399.99</v>
      </c>
      <c r="AG107" s="2">
        <v>1912.1543999999999</v>
      </c>
      <c r="AH107" s="2">
        <v>1487.8356000000001</v>
      </c>
      <c r="AI107" s="3">
        <v>0.43759999294115598</v>
      </c>
    </row>
    <row r="108" spans="1:35">
      <c r="A108" s="1">
        <v>42141</v>
      </c>
      <c r="B108" s="1">
        <v>37320</v>
      </c>
      <c r="C108" t="s">
        <v>4461</v>
      </c>
      <c r="D108">
        <v>344</v>
      </c>
      <c r="E108">
        <v>11395</v>
      </c>
      <c r="F108">
        <v>8</v>
      </c>
      <c r="G108">
        <v>1</v>
      </c>
      <c r="H108">
        <v>1</v>
      </c>
      <c r="I108">
        <v>1</v>
      </c>
      <c r="J108" t="s">
        <v>3519</v>
      </c>
      <c r="K108" t="s">
        <v>3520</v>
      </c>
      <c r="L108" s="2">
        <v>1912.1543999999999</v>
      </c>
      <c r="M108" s="2">
        <v>3399.99</v>
      </c>
      <c r="N108" t="s">
        <v>26</v>
      </c>
      <c r="O108" t="s">
        <v>494</v>
      </c>
      <c r="P108" t="s">
        <v>217</v>
      </c>
      <c r="Q108" t="s">
        <v>6437</v>
      </c>
      <c r="R108" s="1">
        <v>25859</v>
      </c>
      <c r="S108" t="s">
        <v>22</v>
      </c>
      <c r="T108" t="s">
        <v>29</v>
      </c>
      <c r="U108" t="s">
        <v>495</v>
      </c>
      <c r="V108">
        <v>30000</v>
      </c>
      <c r="W108">
        <v>0</v>
      </c>
      <c r="X108" t="s">
        <v>17</v>
      </c>
      <c r="Y108" t="s">
        <v>60</v>
      </c>
      <c r="Z108" t="s">
        <v>19</v>
      </c>
      <c r="AA108" t="s">
        <v>3585</v>
      </c>
      <c r="AB108" t="s">
        <v>3585</v>
      </c>
      <c r="AC108" t="s">
        <v>3584</v>
      </c>
      <c r="AD108" t="s">
        <v>3478</v>
      </c>
      <c r="AE108" t="s">
        <v>3475</v>
      </c>
      <c r="AF108" s="2">
        <v>3399.99</v>
      </c>
      <c r="AG108" s="2">
        <v>1912.1543999999999</v>
      </c>
      <c r="AH108" s="2">
        <v>1487.8356000000001</v>
      </c>
      <c r="AI108" s="3">
        <v>0.43759999294115598</v>
      </c>
    </row>
    <row r="109" spans="1:35">
      <c r="A109" s="1">
        <v>42069</v>
      </c>
      <c r="B109" s="1">
        <v>37227</v>
      </c>
      <c r="C109" t="s">
        <v>3980</v>
      </c>
      <c r="D109">
        <v>311</v>
      </c>
      <c r="E109">
        <v>12618</v>
      </c>
      <c r="F109">
        <v>7</v>
      </c>
      <c r="G109">
        <v>1</v>
      </c>
      <c r="H109">
        <v>1</v>
      </c>
      <c r="I109">
        <v>2</v>
      </c>
      <c r="J109" t="s">
        <v>3487</v>
      </c>
      <c r="K109" t="s">
        <v>3488</v>
      </c>
      <c r="L109" s="2">
        <v>2171.2941999999998</v>
      </c>
      <c r="M109" s="2">
        <v>3578.27</v>
      </c>
      <c r="N109" t="s">
        <v>26</v>
      </c>
      <c r="O109" t="s">
        <v>580</v>
      </c>
      <c r="P109" t="s">
        <v>62</v>
      </c>
      <c r="Q109" t="s">
        <v>6438</v>
      </c>
      <c r="R109" s="1">
        <v>25377</v>
      </c>
      <c r="S109" t="s">
        <v>16</v>
      </c>
      <c r="T109" t="s">
        <v>29</v>
      </c>
      <c r="U109" t="s">
        <v>1212</v>
      </c>
      <c r="V109">
        <v>30000</v>
      </c>
      <c r="W109">
        <v>0</v>
      </c>
      <c r="X109" t="s">
        <v>17</v>
      </c>
      <c r="Y109" t="s">
        <v>60</v>
      </c>
      <c r="Z109" t="s">
        <v>19</v>
      </c>
      <c r="AA109" t="s">
        <v>3583</v>
      </c>
      <c r="AB109" t="s">
        <v>3583</v>
      </c>
      <c r="AC109" t="s">
        <v>3584</v>
      </c>
      <c r="AD109" t="s">
        <v>3479</v>
      </c>
      <c r="AE109" t="s">
        <v>3475</v>
      </c>
      <c r="AF109" s="2">
        <v>3578.27</v>
      </c>
      <c r="AG109" s="2">
        <v>2171.2941999999998</v>
      </c>
      <c r="AH109" s="2">
        <v>1406.9757999999999</v>
      </c>
      <c r="AI109" s="3">
        <v>0.39320001006072802</v>
      </c>
    </row>
    <row r="110" spans="1:35">
      <c r="A110" s="1">
        <v>42070</v>
      </c>
      <c r="B110" s="1">
        <v>37207</v>
      </c>
      <c r="C110" t="s">
        <v>3984</v>
      </c>
      <c r="D110">
        <v>351</v>
      </c>
      <c r="E110">
        <v>11899</v>
      </c>
      <c r="F110">
        <v>9</v>
      </c>
      <c r="G110">
        <v>1</v>
      </c>
      <c r="H110">
        <v>1</v>
      </c>
      <c r="I110">
        <v>1</v>
      </c>
      <c r="J110" t="s">
        <v>3533</v>
      </c>
      <c r="K110" t="s">
        <v>3534</v>
      </c>
      <c r="L110" s="2">
        <v>1898.0944</v>
      </c>
      <c r="M110" s="2">
        <v>3374.99</v>
      </c>
      <c r="N110" t="s">
        <v>30</v>
      </c>
      <c r="O110" t="s">
        <v>497</v>
      </c>
      <c r="P110" t="s">
        <v>187</v>
      </c>
      <c r="Q110" t="s">
        <v>6439</v>
      </c>
      <c r="R110" s="1">
        <v>25827</v>
      </c>
      <c r="S110" t="s">
        <v>22</v>
      </c>
      <c r="T110" t="s">
        <v>29</v>
      </c>
      <c r="U110" t="s">
        <v>812</v>
      </c>
      <c r="V110">
        <v>80000</v>
      </c>
      <c r="W110">
        <v>4</v>
      </c>
      <c r="X110" t="s">
        <v>135</v>
      </c>
      <c r="Y110" t="s">
        <v>45</v>
      </c>
      <c r="Z110" t="s">
        <v>19</v>
      </c>
      <c r="AA110" t="s">
        <v>3586</v>
      </c>
      <c r="AB110" t="s">
        <v>3586</v>
      </c>
      <c r="AC110" t="s">
        <v>3587</v>
      </c>
      <c r="AD110" t="s">
        <v>3478</v>
      </c>
      <c r="AE110" t="s">
        <v>3475</v>
      </c>
      <c r="AF110" s="2">
        <v>3374.99</v>
      </c>
      <c r="AG110" s="2">
        <v>1898.0944</v>
      </c>
      <c r="AH110" s="2">
        <v>1476.8956000000001</v>
      </c>
      <c r="AI110" s="3">
        <v>0.43759999288886797</v>
      </c>
    </row>
    <row r="111" spans="1:35">
      <c r="A111" s="1">
        <v>42070</v>
      </c>
      <c r="B111" s="1">
        <v>37257</v>
      </c>
      <c r="C111" t="s">
        <v>3989</v>
      </c>
      <c r="D111">
        <v>347</v>
      </c>
      <c r="E111">
        <v>11892</v>
      </c>
      <c r="F111">
        <v>9</v>
      </c>
      <c r="G111">
        <v>1</v>
      </c>
      <c r="H111">
        <v>1</v>
      </c>
      <c r="I111">
        <v>1</v>
      </c>
      <c r="J111" t="s">
        <v>3525</v>
      </c>
      <c r="K111" t="s">
        <v>3526</v>
      </c>
      <c r="L111" s="2">
        <v>1912.1543999999999</v>
      </c>
      <c r="M111" s="2">
        <v>3399.99</v>
      </c>
      <c r="N111" t="s">
        <v>13</v>
      </c>
      <c r="O111" t="s">
        <v>33</v>
      </c>
      <c r="P111" t="s">
        <v>460</v>
      </c>
      <c r="Q111" t="s">
        <v>6440</v>
      </c>
      <c r="R111" s="1">
        <v>25484</v>
      </c>
      <c r="S111" t="s">
        <v>16</v>
      </c>
      <c r="T111" t="s">
        <v>16</v>
      </c>
      <c r="U111" t="s">
        <v>803</v>
      </c>
      <c r="V111">
        <v>90000</v>
      </c>
      <c r="W111">
        <v>1</v>
      </c>
      <c r="X111" t="s">
        <v>135</v>
      </c>
      <c r="Y111" t="s">
        <v>45</v>
      </c>
      <c r="Z111" t="s">
        <v>19</v>
      </c>
      <c r="AA111" t="s">
        <v>3586</v>
      </c>
      <c r="AB111" t="s">
        <v>3586</v>
      </c>
      <c r="AC111" t="s">
        <v>3587</v>
      </c>
      <c r="AD111" t="s">
        <v>3478</v>
      </c>
      <c r="AE111" t="s">
        <v>3475</v>
      </c>
      <c r="AF111" s="2">
        <v>3399.99</v>
      </c>
      <c r="AG111" s="2">
        <v>1912.1543999999999</v>
      </c>
      <c r="AH111" s="2">
        <v>1487.8356000000001</v>
      </c>
      <c r="AI111" s="3">
        <v>0.43759999294115598</v>
      </c>
    </row>
    <row r="112" spans="1:35">
      <c r="A112" s="1">
        <v>42132</v>
      </c>
      <c r="B112" s="1">
        <v>37342</v>
      </c>
      <c r="C112" t="s">
        <v>4402</v>
      </c>
      <c r="D112">
        <v>351</v>
      </c>
      <c r="E112">
        <v>11412</v>
      </c>
      <c r="F112">
        <v>8</v>
      </c>
      <c r="G112">
        <v>1</v>
      </c>
      <c r="H112">
        <v>1</v>
      </c>
      <c r="I112">
        <v>1</v>
      </c>
      <c r="J112" t="s">
        <v>3533</v>
      </c>
      <c r="K112" t="s">
        <v>3534</v>
      </c>
      <c r="L112" s="2">
        <v>1898.0944</v>
      </c>
      <c r="M112" s="2">
        <v>3374.99</v>
      </c>
      <c r="N112" t="s">
        <v>30</v>
      </c>
      <c r="O112" t="s">
        <v>48</v>
      </c>
      <c r="P112" t="s">
        <v>184</v>
      </c>
      <c r="Q112" t="s">
        <v>6441</v>
      </c>
      <c r="R112" s="1">
        <v>19823</v>
      </c>
      <c r="S112" t="s">
        <v>22</v>
      </c>
      <c r="T112" t="s">
        <v>29</v>
      </c>
      <c r="U112" t="s">
        <v>506</v>
      </c>
      <c r="V112">
        <v>80000</v>
      </c>
      <c r="W112">
        <v>4</v>
      </c>
      <c r="X112" t="s">
        <v>52</v>
      </c>
      <c r="Y112" t="s">
        <v>18</v>
      </c>
      <c r="Z112" t="s">
        <v>19</v>
      </c>
      <c r="AA112" t="s">
        <v>3585</v>
      </c>
      <c r="AB112" t="s">
        <v>3585</v>
      </c>
      <c r="AC112" t="s">
        <v>3584</v>
      </c>
      <c r="AD112" t="s">
        <v>3478</v>
      </c>
      <c r="AE112" t="s">
        <v>3475</v>
      </c>
      <c r="AF112" s="2">
        <v>3374.99</v>
      </c>
      <c r="AG112" s="2">
        <v>1898.0944</v>
      </c>
      <c r="AH112" s="2">
        <v>1476.8956000000001</v>
      </c>
      <c r="AI112" s="3">
        <v>0.43759999288886797</v>
      </c>
    </row>
    <row r="113" spans="1:35">
      <c r="A113" s="1">
        <v>42072</v>
      </c>
      <c r="B113" s="1">
        <v>37275</v>
      </c>
      <c r="C113" t="s">
        <v>3997</v>
      </c>
      <c r="D113">
        <v>314</v>
      </c>
      <c r="E113">
        <v>11525</v>
      </c>
      <c r="F113">
        <v>1</v>
      </c>
      <c r="G113">
        <v>1</v>
      </c>
      <c r="H113">
        <v>1</v>
      </c>
      <c r="I113">
        <v>2</v>
      </c>
      <c r="J113" t="s">
        <v>3493</v>
      </c>
      <c r="K113" t="s">
        <v>3494</v>
      </c>
      <c r="L113" s="2">
        <v>2171.2941999999998</v>
      </c>
      <c r="M113" s="2">
        <v>3578.27</v>
      </c>
      <c r="N113" t="s">
        <v>30</v>
      </c>
      <c r="O113" t="s">
        <v>518</v>
      </c>
      <c r="P113" t="s">
        <v>334</v>
      </c>
      <c r="Q113" t="s">
        <v>6442</v>
      </c>
      <c r="R113" s="1">
        <v>20463</v>
      </c>
      <c r="S113" t="s">
        <v>16</v>
      </c>
      <c r="T113" t="s">
        <v>29</v>
      </c>
      <c r="U113" t="s">
        <v>597</v>
      </c>
      <c r="V113">
        <v>40000</v>
      </c>
      <c r="W113">
        <v>1</v>
      </c>
      <c r="X113" t="s">
        <v>52</v>
      </c>
      <c r="Y113" t="s">
        <v>60</v>
      </c>
      <c r="Z113" t="s">
        <v>19</v>
      </c>
      <c r="AA113" t="s">
        <v>3577</v>
      </c>
      <c r="AB113" t="s">
        <v>3578</v>
      </c>
      <c r="AC113" t="s">
        <v>3579</v>
      </c>
      <c r="AD113" t="s">
        <v>3479</v>
      </c>
      <c r="AE113" t="s">
        <v>3475</v>
      </c>
      <c r="AF113" s="2">
        <v>3578.27</v>
      </c>
      <c r="AG113" s="2">
        <v>2171.2941999999998</v>
      </c>
      <c r="AH113" s="2">
        <v>1406.9757999999999</v>
      </c>
      <c r="AI113" s="3">
        <v>0.39320001006072802</v>
      </c>
    </row>
    <row r="114" spans="1:35">
      <c r="A114" s="1">
        <v>42073</v>
      </c>
      <c r="B114" s="1">
        <v>37255</v>
      </c>
      <c r="C114" t="s">
        <v>4003</v>
      </c>
      <c r="D114">
        <v>313</v>
      </c>
      <c r="E114">
        <v>11623</v>
      </c>
      <c r="F114">
        <v>4</v>
      </c>
      <c r="G114">
        <v>1</v>
      </c>
      <c r="H114">
        <v>1</v>
      </c>
      <c r="I114">
        <v>2</v>
      </c>
      <c r="J114" t="s">
        <v>3491</v>
      </c>
      <c r="K114" t="s">
        <v>3492</v>
      </c>
      <c r="L114" s="2">
        <v>2171.2941999999998</v>
      </c>
      <c r="M114" s="2">
        <v>3578.27</v>
      </c>
      <c r="N114" t="s">
        <v>73</v>
      </c>
      <c r="O114" t="s">
        <v>142</v>
      </c>
      <c r="P114" t="s">
        <v>329</v>
      </c>
      <c r="Q114" t="s">
        <v>6443</v>
      </c>
      <c r="R114" s="1">
        <v>26842</v>
      </c>
      <c r="S114" t="s">
        <v>22</v>
      </c>
      <c r="T114" t="s">
        <v>76</v>
      </c>
      <c r="U114" t="s">
        <v>671</v>
      </c>
      <c r="V114">
        <v>50000</v>
      </c>
      <c r="W114">
        <v>1</v>
      </c>
      <c r="X114" t="s">
        <v>135</v>
      </c>
      <c r="Y114" t="s">
        <v>53</v>
      </c>
      <c r="Z114" t="s">
        <v>19</v>
      </c>
      <c r="AA114" t="s">
        <v>3580</v>
      </c>
      <c r="AB114" t="s">
        <v>3578</v>
      </c>
      <c r="AC114" t="s">
        <v>3579</v>
      </c>
      <c r="AD114" t="s">
        <v>3479</v>
      </c>
      <c r="AE114" t="s">
        <v>3475</v>
      </c>
      <c r="AF114" s="2">
        <v>3578.27</v>
      </c>
      <c r="AG114" s="2">
        <v>2171.2941999999998</v>
      </c>
      <c r="AH114" s="2">
        <v>1406.9757999999999</v>
      </c>
      <c r="AI114" s="3">
        <v>0.39320001006072802</v>
      </c>
    </row>
    <row r="115" spans="1:35">
      <c r="A115" s="1">
        <v>42130</v>
      </c>
      <c r="B115" s="1">
        <v>37269</v>
      </c>
      <c r="C115" t="s">
        <v>4380</v>
      </c>
      <c r="D115">
        <v>345</v>
      </c>
      <c r="E115">
        <v>11421</v>
      </c>
      <c r="F115">
        <v>8</v>
      </c>
      <c r="G115">
        <v>1</v>
      </c>
      <c r="H115">
        <v>1</v>
      </c>
      <c r="I115">
        <v>1</v>
      </c>
      <c r="J115" t="s">
        <v>3521</v>
      </c>
      <c r="K115" t="s">
        <v>3522</v>
      </c>
      <c r="L115" s="2">
        <v>1912.1543999999999</v>
      </c>
      <c r="M115" s="2">
        <v>3399.99</v>
      </c>
      <c r="N115" t="s">
        <v>30</v>
      </c>
      <c r="O115" t="s">
        <v>160</v>
      </c>
      <c r="P115" t="s">
        <v>470</v>
      </c>
      <c r="Q115" t="s">
        <v>6444</v>
      </c>
      <c r="R115" s="1">
        <v>17002</v>
      </c>
      <c r="S115" t="s">
        <v>16</v>
      </c>
      <c r="T115" t="s">
        <v>29</v>
      </c>
      <c r="U115" t="s">
        <v>513</v>
      </c>
      <c r="V115">
        <v>110000</v>
      </c>
      <c r="W115">
        <v>3</v>
      </c>
      <c r="X115" t="s">
        <v>17</v>
      </c>
      <c r="Y115" t="s">
        <v>45</v>
      </c>
      <c r="Z115" t="s">
        <v>19</v>
      </c>
      <c r="AA115" t="s">
        <v>3585</v>
      </c>
      <c r="AB115" t="s">
        <v>3585</v>
      </c>
      <c r="AC115" t="s">
        <v>3584</v>
      </c>
      <c r="AD115" t="s">
        <v>3478</v>
      </c>
      <c r="AE115" t="s">
        <v>3475</v>
      </c>
      <c r="AF115" s="2">
        <v>3399.99</v>
      </c>
      <c r="AG115" s="2">
        <v>1912.1543999999999</v>
      </c>
      <c r="AH115" s="2">
        <v>1487.8356000000001</v>
      </c>
      <c r="AI115" s="3">
        <v>0.43759999294115598</v>
      </c>
    </row>
    <row r="116" spans="1:35">
      <c r="A116" s="1">
        <v>42074</v>
      </c>
      <c r="B116" s="1">
        <v>37269</v>
      </c>
      <c r="C116" t="s">
        <v>4005</v>
      </c>
      <c r="D116">
        <v>351</v>
      </c>
      <c r="E116">
        <v>11482</v>
      </c>
      <c r="F116">
        <v>10</v>
      </c>
      <c r="G116">
        <v>1</v>
      </c>
      <c r="H116">
        <v>1</v>
      </c>
      <c r="I116">
        <v>1</v>
      </c>
      <c r="J116" t="s">
        <v>3533</v>
      </c>
      <c r="K116" t="s">
        <v>3534</v>
      </c>
      <c r="L116" s="2">
        <v>1898.0944</v>
      </c>
      <c r="M116" s="2">
        <v>3374.99</v>
      </c>
      <c r="N116" t="s">
        <v>26</v>
      </c>
      <c r="O116" t="s">
        <v>566</v>
      </c>
      <c r="P116" t="s">
        <v>25</v>
      </c>
      <c r="Q116" t="s">
        <v>6445</v>
      </c>
      <c r="R116" s="1">
        <v>26499</v>
      </c>
      <c r="S116" t="s">
        <v>22</v>
      </c>
      <c r="T116" t="s">
        <v>29</v>
      </c>
      <c r="U116" t="s">
        <v>567</v>
      </c>
      <c r="V116">
        <v>30000</v>
      </c>
      <c r="W116">
        <v>0</v>
      </c>
      <c r="X116" t="s">
        <v>57</v>
      </c>
      <c r="Y116" t="s">
        <v>444</v>
      </c>
      <c r="Z116" t="s">
        <v>23</v>
      </c>
      <c r="AA116" t="s">
        <v>3588</v>
      </c>
      <c r="AB116" t="s">
        <v>3588</v>
      </c>
      <c r="AC116" t="s">
        <v>3584</v>
      </c>
      <c r="AD116" t="s">
        <v>3478</v>
      </c>
      <c r="AE116" t="s">
        <v>3475</v>
      </c>
      <c r="AF116" s="2">
        <v>3374.99</v>
      </c>
      <c r="AG116" s="2">
        <v>1898.0944</v>
      </c>
      <c r="AH116" s="2">
        <v>1476.8956000000001</v>
      </c>
      <c r="AI116" s="3">
        <v>0.43759999288886797</v>
      </c>
    </row>
    <row r="117" spans="1:35">
      <c r="A117" s="1">
        <v>42167</v>
      </c>
      <c r="B117" s="1">
        <v>37324</v>
      </c>
      <c r="C117" t="s">
        <v>4626</v>
      </c>
      <c r="D117">
        <v>348</v>
      </c>
      <c r="E117">
        <v>11423</v>
      </c>
      <c r="F117">
        <v>8</v>
      </c>
      <c r="G117">
        <v>1</v>
      </c>
      <c r="H117">
        <v>1</v>
      </c>
      <c r="I117">
        <v>1</v>
      </c>
      <c r="J117" t="s">
        <v>3527</v>
      </c>
      <c r="K117" t="s">
        <v>3528</v>
      </c>
      <c r="L117" s="2">
        <v>1898.0944</v>
      </c>
      <c r="M117" s="2">
        <v>3374.99</v>
      </c>
      <c r="N117" t="s">
        <v>30</v>
      </c>
      <c r="O117" t="s">
        <v>253</v>
      </c>
      <c r="P117" t="s">
        <v>345</v>
      </c>
      <c r="Q117" t="s">
        <v>6446</v>
      </c>
      <c r="R117" s="1">
        <v>20033</v>
      </c>
      <c r="S117" t="s">
        <v>16</v>
      </c>
      <c r="T117" t="s">
        <v>29</v>
      </c>
      <c r="U117" t="s">
        <v>516</v>
      </c>
      <c r="V117">
        <v>80000</v>
      </c>
      <c r="W117">
        <v>4</v>
      </c>
      <c r="X117" t="s">
        <v>52</v>
      </c>
      <c r="Y117" t="s">
        <v>18</v>
      </c>
      <c r="Z117" t="s">
        <v>23</v>
      </c>
      <c r="AA117" t="s">
        <v>3585</v>
      </c>
      <c r="AB117" t="s">
        <v>3585</v>
      </c>
      <c r="AC117" t="s">
        <v>3584</v>
      </c>
      <c r="AD117" t="s">
        <v>3478</v>
      </c>
      <c r="AE117" t="s">
        <v>3475</v>
      </c>
      <c r="AF117" s="2">
        <v>3374.99</v>
      </c>
      <c r="AG117" s="2">
        <v>1898.0944</v>
      </c>
      <c r="AH117" s="2">
        <v>1476.8956000000001</v>
      </c>
      <c r="AI117" s="3">
        <v>0.43759999288886797</v>
      </c>
    </row>
    <row r="118" spans="1:35">
      <c r="A118" s="1">
        <v>42177</v>
      </c>
      <c r="B118" s="1">
        <v>37395</v>
      </c>
      <c r="C118" t="s">
        <v>4698</v>
      </c>
      <c r="D118">
        <v>344</v>
      </c>
      <c r="E118">
        <v>11427</v>
      </c>
      <c r="F118">
        <v>8</v>
      </c>
      <c r="G118">
        <v>1</v>
      </c>
      <c r="H118">
        <v>1</v>
      </c>
      <c r="I118">
        <v>1</v>
      </c>
      <c r="J118" t="s">
        <v>3519</v>
      </c>
      <c r="K118" t="s">
        <v>3520</v>
      </c>
      <c r="L118" s="2">
        <v>1912.1543999999999</v>
      </c>
      <c r="M118" s="2">
        <v>3399.99</v>
      </c>
      <c r="N118" t="s">
        <v>30</v>
      </c>
      <c r="O118" t="s">
        <v>520</v>
      </c>
      <c r="P118" t="s">
        <v>97</v>
      </c>
      <c r="Q118" t="s">
        <v>6447</v>
      </c>
      <c r="R118" s="1">
        <v>19711</v>
      </c>
      <c r="S118" t="s">
        <v>16</v>
      </c>
      <c r="T118" t="s">
        <v>29</v>
      </c>
      <c r="U118" t="s">
        <v>521</v>
      </c>
      <c r="V118">
        <v>110000</v>
      </c>
      <c r="W118">
        <v>2</v>
      </c>
      <c r="X118" t="s">
        <v>52</v>
      </c>
      <c r="Y118" t="s">
        <v>18</v>
      </c>
      <c r="Z118" t="s">
        <v>19</v>
      </c>
      <c r="AA118" t="s">
        <v>3585</v>
      </c>
      <c r="AB118" t="s">
        <v>3585</v>
      </c>
      <c r="AC118" t="s">
        <v>3584</v>
      </c>
      <c r="AD118" t="s">
        <v>3478</v>
      </c>
      <c r="AE118" t="s">
        <v>3475</v>
      </c>
      <c r="AF118" s="2">
        <v>3399.99</v>
      </c>
      <c r="AG118" s="2">
        <v>1912.1543999999999</v>
      </c>
      <c r="AH118" s="2">
        <v>1487.8356000000001</v>
      </c>
      <c r="AI118" s="3">
        <v>0.43759999294115598</v>
      </c>
    </row>
    <row r="119" spans="1:35">
      <c r="A119" s="1">
        <v>42162</v>
      </c>
      <c r="B119" s="1">
        <v>37334</v>
      </c>
      <c r="C119" t="s">
        <v>4590</v>
      </c>
      <c r="D119">
        <v>345</v>
      </c>
      <c r="E119">
        <v>11428</v>
      </c>
      <c r="F119">
        <v>8</v>
      </c>
      <c r="G119">
        <v>1</v>
      </c>
      <c r="H119">
        <v>1</v>
      </c>
      <c r="I119">
        <v>1</v>
      </c>
      <c r="J119" t="s">
        <v>3521</v>
      </c>
      <c r="K119" t="s">
        <v>3522</v>
      </c>
      <c r="L119" s="2">
        <v>1912.1543999999999</v>
      </c>
      <c r="M119" s="2">
        <v>3399.99</v>
      </c>
      <c r="N119" t="s">
        <v>30</v>
      </c>
      <c r="O119" t="s">
        <v>128</v>
      </c>
      <c r="P119" t="s">
        <v>187</v>
      </c>
      <c r="Q119" t="s">
        <v>6448</v>
      </c>
      <c r="R119" s="1">
        <v>19593</v>
      </c>
      <c r="S119" t="s">
        <v>22</v>
      </c>
      <c r="T119" t="s">
        <v>29</v>
      </c>
      <c r="U119" t="s">
        <v>522</v>
      </c>
      <c r="V119">
        <v>120000</v>
      </c>
      <c r="W119">
        <v>2</v>
      </c>
      <c r="X119" t="s">
        <v>17</v>
      </c>
      <c r="Y119" t="s">
        <v>45</v>
      </c>
      <c r="Z119" t="s">
        <v>19</v>
      </c>
      <c r="AA119" t="s">
        <v>3585</v>
      </c>
      <c r="AB119" t="s">
        <v>3585</v>
      </c>
      <c r="AC119" t="s">
        <v>3584</v>
      </c>
      <c r="AD119" t="s">
        <v>3478</v>
      </c>
      <c r="AE119" t="s">
        <v>3475</v>
      </c>
      <c r="AF119" s="2">
        <v>3399.99</v>
      </c>
      <c r="AG119" s="2">
        <v>1912.1543999999999</v>
      </c>
      <c r="AH119" s="2">
        <v>1487.8356000000001</v>
      </c>
      <c r="AI119" s="3">
        <v>0.43759999294115598</v>
      </c>
    </row>
    <row r="120" spans="1:35">
      <c r="A120" s="1">
        <v>42075</v>
      </c>
      <c r="B120" s="1">
        <v>37256</v>
      </c>
      <c r="C120" t="s">
        <v>4012</v>
      </c>
      <c r="D120">
        <v>347</v>
      </c>
      <c r="E120">
        <v>11764</v>
      </c>
      <c r="F120">
        <v>9</v>
      </c>
      <c r="G120">
        <v>1</v>
      </c>
      <c r="H120">
        <v>1</v>
      </c>
      <c r="I120">
        <v>1</v>
      </c>
      <c r="J120" t="s">
        <v>3525</v>
      </c>
      <c r="K120" t="s">
        <v>3526</v>
      </c>
      <c r="L120" s="2">
        <v>1912.1543999999999</v>
      </c>
      <c r="M120" s="2">
        <v>3399.99</v>
      </c>
      <c r="N120" t="s">
        <v>30</v>
      </c>
      <c r="O120" t="s">
        <v>80</v>
      </c>
      <c r="P120" t="s">
        <v>89</v>
      </c>
      <c r="Q120" t="s">
        <v>6449</v>
      </c>
      <c r="R120" s="1">
        <v>24670</v>
      </c>
      <c r="S120" t="s">
        <v>22</v>
      </c>
      <c r="T120" t="s">
        <v>29</v>
      </c>
      <c r="U120" t="s">
        <v>737</v>
      </c>
      <c r="V120">
        <v>80000</v>
      </c>
      <c r="W120">
        <v>5</v>
      </c>
      <c r="X120" t="s">
        <v>135</v>
      </c>
      <c r="Y120" t="s">
        <v>45</v>
      </c>
      <c r="Z120" t="s">
        <v>19</v>
      </c>
      <c r="AA120" t="s">
        <v>3586</v>
      </c>
      <c r="AB120" t="s">
        <v>3586</v>
      </c>
      <c r="AC120" t="s">
        <v>3587</v>
      </c>
      <c r="AD120" t="s">
        <v>3478</v>
      </c>
      <c r="AE120" t="s">
        <v>3475</v>
      </c>
      <c r="AF120" s="2">
        <v>3399.99</v>
      </c>
      <c r="AG120" s="2">
        <v>1912.1543999999999</v>
      </c>
      <c r="AH120" s="2">
        <v>1487.8356000000001</v>
      </c>
      <c r="AI120" s="3">
        <v>0.43759999294115598</v>
      </c>
    </row>
    <row r="121" spans="1:35">
      <c r="A121" s="1">
        <v>42178</v>
      </c>
      <c r="B121" s="1">
        <v>37388</v>
      </c>
      <c r="C121" t="s">
        <v>4705</v>
      </c>
      <c r="D121">
        <v>347</v>
      </c>
      <c r="E121">
        <v>11431</v>
      </c>
      <c r="F121">
        <v>8</v>
      </c>
      <c r="G121">
        <v>1</v>
      </c>
      <c r="H121">
        <v>1</v>
      </c>
      <c r="I121">
        <v>1</v>
      </c>
      <c r="J121" t="s">
        <v>3525</v>
      </c>
      <c r="K121" t="s">
        <v>3526</v>
      </c>
      <c r="L121" s="2">
        <v>1912.1543999999999</v>
      </c>
      <c r="M121" s="2">
        <v>3399.99</v>
      </c>
      <c r="N121" t="s">
        <v>13</v>
      </c>
      <c r="O121" t="s">
        <v>184</v>
      </c>
      <c r="P121" t="s">
        <v>99</v>
      </c>
      <c r="Q121" t="s">
        <v>6450</v>
      </c>
      <c r="R121" s="1">
        <v>19294</v>
      </c>
      <c r="S121" t="s">
        <v>16</v>
      </c>
      <c r="T121" t="s">
        <v>16</v>
      </c>
      <c r="U121" t="s">
        <v>523</v>
      </c>
      <c r="V121">
        <v>110000</v>
      </c>
      <c r="W121">
        <v>4</v>
      </c>
      <c r="X121" t="s">
        <v>52</v>
      </c>
      <c r="Y121" t="s">
        <v>18</v>
      </c>
      <c r="Z121" t="s">
        <v>19</v>
      </c>
      <c r="AA121" t="s">
        <v>3585</v>
      </c>
      <c r="AB121" t="s">
        <v>3585</v>
      </c>
      <c r="AC121" t="s">
        <v>3584</v>
      </c>
      <c r="AD121" t="s">
        <v>3478</v>
      </c>
      <c r="AE121" t="s">
        <v>3475</v>
      </c>
      <c r="AF121" s="2">
        <v>3399.99</v>
      </c>
      <c r="AG121" s="2">
        <v>1912.1543999999999</v>
      </c>
      <c r="AH121" s="2">
        <v>1487.8356000000001</v>
      </c>
      <c r="AI121" s="3">
        <v>0.43759999294115598</v>
      </c>
    </row>
    <row r="122" spans="1:35">
      <c r="A122" s="1">
        <v>42076</v>
      </c>
      <c r="B122" s="1">
        <v>37305</v>
      </c>
      <c r="C122" t="s">
        <v>4018</v>
      </c>
      <c r="D122">
        <v>350</v>
      </c>
      <c r="E122">
        <v>11906</v>
      </c>
      <c r="F122">
        <v>9</v>
      </c>
      <c r="G122">
        <v>1</v>
      </c>
      <c r="H122">
        <v>1</v>
      </c>
      <c r="I122">
        <v>1</v>
      </c>
      <c r="J122" t="s">
        <v>3531</v>
      </c>
      <c r="K122" t="s">
        <v>3532</v>
      </c>
      <c r="L122" s="2">
        <v>1898.0944</v>
      </c>
      <c r="M122" s="2">
        <v>3374.99</v>
      </c>
      <c r="N122" t="s">
        <v>30</v>
      </c>
      <c r="O122" t="s">
        <v>687</v>
      </c>
      <c r="P122" t="s">
        <v>320</v>
      </c>
      <c r="Q122" t="s">
        <v>6451</v>
      </c>
      <c r="R122" s="1">
        <v>24521</v>
      </c>
      <c r="S122" t="s">
        <v>16</v>
      </c>
      <c r="T122" t="s">
        <v>29</v>
      </c>
      <c r="U122" t="s">
        <v>821</v>
      </c>
      <c r="V122">
        <v>80000</v>
      </c>
      <c r="W122">
        <v>5</v>
      </c>
      <c r="X122" t="s">
        <v>135</v>
      </c>
      <c r="Y122" t="s">
        <v>45</v>
      </c>
      <c r="Z122" t="s">
        <v>19</v>
      </c>
      <c r="AA122" t="s">
        <v>3586</v>
      </c>
      <c r="AB122" t="s">
        <v>3586</v>
      </c>
      <c r="AC122" t="s">
        <v>3587</v>
      </c>
      <c r="AD122" t="s">
        <v>3478</v>
      </c>
      <c r="AE122" t="s">
        <v>3475</v>
      </c>
      <c r="AF122" s="2">
        <v>3374.99</v>
      </c>
      <c r="AG122" s="2">
        <v>1898.0944</v>
      </c>
      <c r="AH122" s="2">
        <v>1476.8956000000001</v>
      </c>
      <c r="AI122" s="3">
        <v>0.43759999288886797</v>
      </c>
    </row>
    <row r="123" spans="1:35">
      <c r="A123" s="1">
        <v>42076</v>
      </c>
      <c r="B123" s="1">
        <v>37230</v>
      </c>
      <c r="C123" t="s">
        <v>4023</v>
      </c>
      <c r="D123">
        <v>313</v>
      </c>
      <c r="E123">
        <v>11617</v>
      </c>
      <c r="F123">
        <v>4</v>
      </c>
      <c r="G123">
        <v>1</v>
      </c>
      <c r="H123">
        <v>1</v>
      </c>
      <c r="I123">
        <v>2</v>
      </c>
      <c r="J123" t="s">
        <v>3491</v>
      </c>
      <c r="K123" t="s">
        <v>3492</v>
      </c>
      <c r="L123" s="2">
        <v>2171.2941999999998</v>
      </c>
      <c r="M123" s="2">
        <v>3578.27</v>
      </c>
      <c r="N123" t="s">
        <v>13</v>
      </c>
      <c r="O123" t="s">
        <v>419</v>
      </c>
      <c r="P123" t="s">
        <v>286</v>
      </c>
      <c r="Q123" t="s">
        <v>6452</v>
      </c>
      <c r="R123" s="1">
        <v>21644</v>
      </c>
      <c r="S123" t="s">
        <v>22</v>
      </c>
      <c r="T123" t="s">
        <v>16</v>
      </c>
      <c r="U123" t="s">
        <v>669</v>
      </c>
      <c r="V123">
        <v>60000</v>
      </c>
      <c r="W123">
        <v>4</v>
      </c>
      <c r="X123" t="s">
        <v>135</v>
      </c>
      <c r="Y123" t="s">
        <v>53</v>
      </c>
      <c r="Z123" t="s">
        <v>23</v>
      </c>
      <c r="AA123" t="s">
        <v>3580</v>
      </c>
      <c r="AB123" t="s">
        <v>3578</v>
      </c>
      <c r="AC123" t="s">
        <v>3579</v>
      </c>
      <c r="AD123" t="s">
        <v>3479</v>
      </c>
      <c r="AE123" t="s">
        <v>3475</v>
      </c>
      <c r="AF123" s="2">
        <v>3578.27</v>
      </c>
      <c r="AG123" s="2">
        <v>2171.2941999999998</v>
      </c>
      <c r="AH123" s="2">
        <v>1406.9757999999999</v>
      </c>
      <c r="AI123" s="3">
        <v>0.39320001006072802</v>
      </c>
    </row>
    <row r="124" spans="1:35">
      <c r="A124" s="1">
        <v>42076</v>
      </c>
      <c r="B124" s="1">
        <v>37247</v>
      </c>
      <c r="C124" t="s">
        <v>4024</v>
      </c>
      <c r="D124">
        <v>347</v>
      </c>
      <c r="E124">
        <v>11901</v>
      </c>
      <c r="F124">
        <v>9</v>
      </c>
      <c r="G124">
        <v>1</v>
      </c>
      <c r="H124">
        <v>1</v>
      </c>
      <c r="I124">
        <v>1</v>
      </c>
      <c r="J124" t="s">
        <v>3525</v>
      </c>
      <c r="K124" t="s">
        <v>3526</v>
      </c>
      <c r="L124" s="2">
        <v>1912.1543999999999</v>
      </c>
      <c r="M124" s="2">
        <v>3399.99</v>
      </c>
      <c r="N124" t="s">
        <v>30</v>
      </c>
      <c r="O124" t="s">
        <v>814</v>
      </c>
      <c r="P124" t="s">
        <v>214</v>
      </c>
      <c r="Q124" t="s">
        <v>6453</v>
      </c>
      <c r="R124" s="1">
        <v>24887</v>
      </c>
      <c r="S124" t="s">
        <v>22</v>
      </c>
      <c r="T124" t="s">
        <v>29</v>
      </c>
      <c r="U124" t="s">
        <v>815</v>
      </c>
      <c r="V124">
        <v>60000</v>
      </c>
      <c r="W124">
        <v>2</v>
      </c>
      <c r="X124" t="s">
        <v>17</v>
      </c>
      <c r="Y124" t="s">
        <v>18</v>
      </c>
      <c r="Z124" t="s">
        <v>23</v>
      </c>
      <c r="AA124" t="s">
        <v>3586</v>
      </c>
      <c r="AB124" t="s">
        <v>3586</v>
      </c>
      <c r="AC124" t="s">
        <v>3587</v>
      </c>
      <c r="AD124" t="s">
        <v>3478</v>
      </c>
      <c r="AE124" t="s">
        <v>3475</v>
      </c>
      <c r="AF124" s="2">
        <v>3399.99</v>
      </c>
      <c r="AG124" s="2">
        <v>1912.1543999999999</v>
      </c>
      <c r="AH124" s="2">
        <v>1487.8356000000001</v>
      </c>
      <c r="AI124" s="3">
        <v>0.43759999294115598</v>
      </c>
    </row>
    <row r="125" spans="1:35">
      <c r="A125" s="1">
        <v>42078</v>
      </c>
      <c r="B125" s="1">
        <v>37304</v>
      </c>
      <c r="C125" t="s">
        <v>4030</v>
      </c>
      <c r="D125">
        <v>310</v>
      </c>
      <c r="E125">
        <v>11541</v>
      </c>
      <c r="F125">
        <v>1</v>
      </c>
      <c r="G125">
        <v>1</v>
      </c>
      <c r="H125">
        <v>1</v>
      </c>
      <c r="I125">
        <v>2</v>
      </c>
      <c r="J125" t="s">
        <v>3485</v>
      </c>
      <c r="K125" t="s">
        <v>3486</v>
      </c>
      <c r="L125" s="2">
        <v>2171.2941999999998</v>
      </c>
      <c r="M125" s="2">
        <v>3578.27</v>
      </c>
      <c r="N125" t="s">
        <v>13</v>
      </c>
      <c r="O125" t="s">
        <v>618</v>
      </c>
      <c r="P125" t="s">
        <v>199</v>
      </c>
      <c r="Q125" t="s">
        <v>6454</v>
      </c>
      <c r="R125" s="1">
        <v>21652</v>
      </c>
      <c r="S125" t="s">
        <v>22</v>
      </c>
      <c r="T125" t="s">
        <v>16</v>
      </c>
      <c r="U125" t="s">
        <v>619</v>
      </c>
      <c r="V125">
        <v>60000</v>
      </c>
      <c r="W125">
        <v>4</v>
      </c>
      <c r="X125" t="s">
        <v>135</v>
      </c>
      <c r="Y125" t="s">
        <v>53</v>
      </c>
      <c r="Z125" t="s">
        <v>23</v>
      </c>
      <c r="AA125" t="s">
        <v>3577</v>
      </c>
      <c r="AB125" t="s">
        <v>3578</v>
      </c>
      <c r="AC125" t="s">
        <v>3579</v>
      </c>
      <c r="AD125" t="s">
        <v>3479</v>
      </c>
      <c r="AE125" t="s">
        <v>3475</v>
      </c>
      <c r="AF125" s="2">
        <v>3578.27</v>
      </c>
      <c r="AG125" s="2">
        <v>2171.2941999999998</v>
      </c>
      <c r="AH125" s="2">
        <v>1406.9757999999999</v>
      </c>
      <c r="AI125" s="3">
        <v>0.39320001006072802</v>
      </c>
    </row>
    <row r="126" spans="1:35">
      <c r="A126" s="1">
        <v>42078</v>
      </c>
      <c r="B126" s="1">
        <v>37223</v>
      </c>
      <c r="C126" t="s">
        <v>4032</v>
      </c>
      <c r="D126">
        <v>348</v>
      </c>
      <c r="E126">
        <v>11895</v>
      </c>
      <c r="F126">
        <v>9</v>
      </c>
      <c r="G126">
        <v>1</v>
      </c>
      <c r="H126">
        <v>1</v>
      </c>
      <c r="I126">
        <v>1</v>
      </c>
      <c r="J126" t="s">
        <v>3527</v>
      </c>
      <c r="K126" t="s">
        <v>3528</v>
      </c>
      <c r="L126" s="2">
        <v>1898.0944</v>
      </c>
      <c r="M126" s="2">
        <v>3374.99</v>
      </c>
      <c r="N126" t="s">
        <v>13</v>
      </c>
      <c r="O126" t="s">
        <v>514</v>
      </c>
      <c r="P126" t="s">
        <v>171</v>
      </c>
      <c r="Q126" t="s">
        <v>6455</v>
      </c>
      <c r="R126" s="1">
        <v>25405</v>
      </c>
      <c r="S126" t="s">
        <v>16</v>
      </c>
      <c r="T126" t="s">
        <v>16</v>
      </c>
      <c r="U126" t="s">
        <v>807</v>
      </c>
      <c r="V126">
        <v>100000</v>
      </c>
      <c r="W126">
        <v>1</v>
      </c>
      <c r="X126" t="s">
        <v>135</v>
      </c>
      <c r="Y126" t="s">
        <v>45</v>
      </c>
      <c r="Z126" t="s">
        <v>19</v>
      </c>
      <c r="AA126" t="s">
        <v>3586</v>
      </c>
      <c r="AB126" t="s">
        <v>3586</v>
      </c>
      <c r="AC126" t="s">
        <v>3587</v>
      </c>
      <c r="AD126" t="s">
        <v>3478</v>
      </c>
      <c r="AE126" t="s">
        <v>3475</v>
      </c>
      <c r="AF126" s="2">
        <v>3374.99</v>
      </c>
      <c r="AG126" s="2">
        <v>1898.0944</v>
      </c>
      <c r="AH126" s="2">
        <v>1476.8956000000001</v>
      </c>
      <c r="AI126" s="3">
        <v>0.43759999288886797</v>
      </c>
    </row>
    <row r="127" spans="1:35">
      <c r="A127" s="1">
        <v>42078</v>
      </c>
      <c r="B127" s="1">
        <v>37295</v>
      </c>
      <c r="C127" t="s">
        <v>4033</v>
      </c>
      <c r="D127">
        <v>314</v>
      </c>
      <c r="E127">
        <v>11528</v>
      </c>
      <c r="F127">
        <v>4</v>
      </c>
      <c r="G127">
        <v>1</v>
      </c>
      <c r="H127">
        <v>1</v>
      </c>
      <c r="I127">
        <v>2</v>
      </c>
      <c r="J127" t="s">
        <v>3493</v>
      </c>
      <c r="K127" t="s">
        <v>3494</v>
      </c>
      <c r="L127" s="2">
        <v>2171.2941999999998</v>
      </c>
      <c r="M127" s="2">
        <v>3578.27</v>
      </c>
      <c r="N127" t="s">
        <v>30</v>
      </c>
      <c r="O127" t="s">
        <v>599</v>
      </c>
      <c r="P127" t="s">
        <v>594</v>
      </c>
      <c r="Q127" t="s">
        <v>6456</v>
      </c>
      <c r="R127" s="1">
        <v>21051</v>
      </c>
      <c r="S127" t="s">
        <v>16</v>
      </c>
      <c r="T127" t="s">
        <v>29</v>
      </c>
      <c r="U127" t="s">
        <v>600</v>
      </c>
      <c r="V127">
        <v>40000</v>
      </c>
      <c r="W127">
        <v>1</v>
      </c>
      <c r="X127" t="s">
        <v>52</v>
      </c>
      <c r="Y127" t="s">
        <v>60</v>
      </c>
      <c r="Z127" t="s">
        <v>19</v>
      </c>
      <c r="AA127" t="s">
        <v>3580</v>
      </c>
      <c r="AB127" t="s">
        <v>3578</v>
      </c>
      <c r="AC127" t="s">
        <v>3579</v>
      </c>
      <c r="AD127" t="s">
        <v>3479</v>
      </c>
      <c r="AE127" t="s">
        <v>3475</v>
      </c>
      <c r="AF127" s="2">
        <v>3578.27</v>
      </c>
      <c r="AG127" s="2">
        <v>2171.2941999999998</v>
      </c>
      <c r="AH127" s="2">
        <v>1406.9757999999999</v>
      </c>
      <c r="AI127" s="3">
        <v>0.39320001006072802</v>
      </c>
    </row>
    <row r="128" spans="1:35">
      <c r="A128" s="1">
        <v>42078</v>
      </c>
      <c r="B128" s="1">
        <v>37231</v>
      </c>
      <c r="C128" t="s">
        <v>4036</v>
      </c>
      <c r="D128">
        <v>349</v>
      </c>
      <c r="E128">
        <v>11765</v>
      </c>
      <c r="F128">
        <v>9</v>
      </c>
      <c r="G128">
        <v>1</v>
      </c>
      <c r="H128">
        <v>1</v>
      </c>
      <c r="I128">
        <v>1</v>
      </c>
      <c r="J128" t="s">
        <v>3529</v>
      </c>
      <c r="K128" t="s">
        <v>3530</v>
      </c>
      <c r="L128" s="2">
        <v>1898.0944</v>
      </c>
      <c r="M128" s="2">
        <v>3374.99</v>
      </c>
      <c r="N128" t="s">
        <v>13</v>
      </c>
      <c r="O128" t="s">
        <v>102</v>
      </c>
      <c r="P128" t="s">
        <v>25</v>
      </c>
      <c r="Q128" t="s">
        <v>6457</v>
      </c>
      <c r="R128" s="1">
        <v>24391</v>
      </c>
      <c r="S128" t="s">
        <v>16</v>
      </c>
      <c r="T128" t="s">
        <v>16</v>
      </c>
      <c r="U128" t="s">
        <v>738</v>
      </c>
      <c r="V128">
        <v>80000</v>
      </c>
      <c r="W128">
        <v>5</v>
      </c>
      <c r="X128" t="s">
        <v>17</v>
      </c>
      <c r="Y128" t="s">
        <v>18</v>
      </c>
      <c r="Z128" t="s">
        <v>19</v>
      </c>
      <c r="AA128" t="s">
        <v>3586</v>
      </c>
      <c r="AB128" t="s">
        <v>3586</v>
      </c>
      <c r="AC128" t="s">
        <v>3587</v>
      </c>
      <c r="AD128" t="s">
        <v>3478</v>
      </c>
      <c r="AE128" t="s">
        <v>3475</v>
      </c>
      <c r="AF128" s="2">
        <v>3374.99</v>
      </c>
      <c r="AG128" s="2">
        <v>1898.0944</v>
      </c>
      <c r="AH128" s="2">
        <v>1476.8956000000001</v>
      </c>
      <c r="AI128" s="3">
        <v>0.43759999288886797</v>
      </c>
    </row>
    <row r="129" spans="1:35">
      <c r="A129" s="1">
        <v>42078</v>
      </c>
      <c r="B129" s="1">
        <v>37312</v>
      </c>
      <c r="C129" t="s">
        <v>4037</v>
      </c>
      <c r="D129">
        <v>312</v>
      </c>
      <c r="E129">
        <v>11628</v>
      </c>
      <c r="F129">
        <v>4</v>
      </c>
      <c r="G129">
        <v>1</v>
      </c>
      <c r="H129">
        <v>1</v>
      </c>
      <c r="I129">
        <v>2</v>
      </c>
      <c r="J129" t="s">
        <v>3489</v>
      </c>
      <c r="K129" t="s">
        <v>3490</v>
      </c>
      <c r="L129" s="2">
        <v>2171.2941999999998</v>
      </c>
      <c r="M129" s="2">
        <v>3578.27</v>
      </c>
      <c r="N129" t="s">
        <v>30</v>
      </c>
      <c r="O129" t="s">
        <v>677</v>
      </c>
      <c r="P129" t="s">
        <v>283</v>
      </c>
      <c r="Q129" t="s">
        <v>6458</v>
      </c>
      <c r="R129" s="1">
        <v>26436</v>
      </c>
      <c r="S129" t="s">
        <v>22</v>
      </c>
      <c r="T129" t="s">
        <v>29</v>
      </c>
      <c r="U129" t="s">
        <v>678</v>
      </c>
      <c r="V129">
        <v>40000</v>
      </c>
      <c r="W129">
        <v>1</v>
      </c>
      <c r="X129" t="s">
        <v>135</v>
      </c>
      <c r="Y129" t="s">
        <v>53</v>
      </c>
      <c r="Z129" t="s">
        <v>19</v>
      </c>
      <c r="AA129" t="s">
        <v>3580</v>
      </c>
      <c r="AB129" t="s">
        <v>3578</v>
      </c>
      <c r="AC129" t="s">
        <v>3579</v>
      </c>
      <c r="AD129" t="s">
        <v>3479</v>
      </c>
      <c r="AE129" t="s">
        <v>3475</v>
      </c>
      <c r="AF129" s="2">
        <v>3578.27</v>
      </c>
      <c r="AG129" s="2">
        <v>2171.2941999999998</v>
      </c>
      <c r="AH129" s="2">
        <v>1406.9757999999999</v>
      </c>
      <c r="AI129" s="3">
        <v>0.39320001006072802</v>
      </c>
    </row>
    <row r="130" spans="1:35">
      <c r="A130" s="1">
        <v>42079</v>
      </c>
      <c r="B130" s="1">
        <v>37265</v>
      </c>
      <c r="C130" t="s">
        <v>4040</v>
      </c>
      <c r="D130">
        <v>314</v>
      </c>
      <c r="E130">
        <v>11540</v>
      </c>
      <c r="F130">
        <v>4</v>
      </c>
      <c r="G130">
        <v>1</v>
      </c>
      <c r="H130">
        <v>1</v>
      </c>
      <c r="I130">
        <v>2</v>
      </c>
      <c r="J130" t="s">
        <v>3493</v>
      </c>
      <c r="K130" t="s">
        <v>3494</v>
      </c>
      <c r="L130" s="2">
        <v>2171.2941999999998</v>
      </c>
      <c r="M130" s="2">
        <v>3578.27</v>
      </c>
      <c r="N130" t="s">
        <v>13</v>
      </c>
      <c r="O130" t="s">
        <v>616</v>
      </c>
      <c r="P130" t="s">
        <v>153</v>
      </c>
      <c r="Q130" t="s">
        <v>6459</v>
      </c>
      <c r="R130" s="1">
        <v>21578</v>
      </c>
      <c r="S130" t="s">
        <v>22</v>
      </c>
      <c r="T130" t="s">
        <v>16</v>
      </c>
      <c r="U130" t="s">
        <v>617</v>
      </c>
      <c r="V130">
        <v>60000</v>
      </c>
      <c r="W130">
        <v>4</v>
      </c>
      <c r="X130" t="s">
        <v>135</v>
      </c>
      <c r="Y130" t="s">
        <v>53</v>
      </c>
      <c r="Z130" t="s">
        <v>19</v>
      </c>
      <c r="AA130" t="s">
        <v>3580</v>
      </c>
      <c r="AB130" t="s">
        <v>3578</v>
      </c>
      <c r="AC130" t="s">
        <v>3579</v>
      </c>
      <c r="AD130" t="s">
        <v>3479</v>
      </c>
      <c r="AE130" t="s">
        <v>3475</v>
      </c>
      <c r="AF130" s="2">
        <v>3578.27</v>
      </c>
      <c r="AG130" s="2">
        <v>2171.2941999999998</v>
      </c>
      <c r="AH130" s="2">
        <v>1406.9757999999999</v>
      </c>
      <c r="AI130" s="3">
        <v>0.39320001006072802</v>
      </c>
    </row>
    <row r="131" spans="1:35">
      <c r="A131" s="1">
        <v>42080</v>
      </c>
      <c r="B131" s="1">
        <v>37287</v>
      </c>
      <c r="C131" t="s">
        <v>4046</v>
      </c>
      <c r="D131">
        <v>344</v>
      </c>
      <c r="E131">
        <v>11898</v>
      </c>
      <c r="F131">
        <v>9</v>
      </c>
      <c r="G131">
        <v>1</v>
      </c>
      <c r="H131">
        <v>1</v>
      </c>
      <c r="I131">
        <v>1</v>
      </c>
      <c r="J131" t="s">
        <v>3519</v>
      </c>
      <c r="K131" t="s">
        <v>3520</v>
      </c>
      <c r="L131" s="2">
        <v>1912.1543999999999</v>
      </c>
      <c r="M131" s="2">
        <v>3399.99</v>
      </c>
      <c r="N131" t="s">
        <v>30</v>
      </c>
      <c r="O131" t="s">
        <v>142</v>
      </c>
      <c r="P131" t="s">
        <v>146</v>
      </c>
      <c r="Q131" t="s">
        <v>6460</v>
      </c>
      <c r="R131" s="1">
        <v>25752</v>
      </c>
      <c r="S131" t="s">
        <v>16</v>
      </c>
      <c r="T131" t="s">
        <v>29</v>
      </c>
      <c r="U131" t="s">
        <v>811</v>
      </c>
      <c r="V131">
        <v>80000</v>
      </c>
      <c r="W131">
        <v>4</v>
      </c>
      <c r="X131" t="s">
        <v>135</v>
      </c>
      <c r="Y131" t="s">
        <v>45</v>
      </c>
      <c r="Z131" t="s">
        <v>19</v>
      </c>
      <c r="AA131" t="s">
        <v>3586</v>
      </c>
      <c r="AB131" t="s">
        <v>3586</v>
      </c>
      <c r="AC131" t="s">
        <v>3587</v>
      </c>
      <c r="AD131" t="s">
        <v>3478</v>
      </c>
      <c r="AE131" t="s">
        <v>3475</v>
      </c>
      <c r="AF131" s="2">
        <v>3399.99</v>
      </c>
      <c r="AG131" s="2">
        <v>1912.1543999999999</v>
      </c>
      <c r="AH131" s="2">
        <v>1487.8356000000001</v>
      </c>
      <c r="AI131" s="3">
        <v>0.43759999294115598</v>
      </c>
    </row>
    <row r="132" spans="1:35">
      <c r="A132" s="1">
        <v>42080</v>
      </c>
      <c r="B132" s="1">
        <v>37273</v>
      </c>
      <c r="C132" t="s">
        <v>4047</v>
      </c>
      <c r="D132">
        <v>345</v>
      </c>
      <c r="E132">
        <v>11485</v>
      </c>
      <c r="F132">
        <v>10</v>
      </c>
      <c r="G132">
        <v>1</v>
      </c>
      <c r="H132">
        <v>1</v>
      </c>
      <c r="I132">
        <v>1</v>
      </c>
      <c r="J132" t="s">
        <v>3521</v>
      </c>
      <c r="K132" t="s">
        <v>3522</v>
      </c>
      <c r="L132" s="2">
        <v>1912.1543999999999</v>
      </c>
      <c r="M132" s="2">
        <v>3399.99</v>
      </c>
      <c r="N132" t="s">
        <v>13</v>
      </c>
      <c r="O132" t="s">
        <v>169</v>
      </c>
      <c r="P132" t="s">
        <v>570</v>
      </c>
      <c r="Q132" t="s">
        <v>6461</v>
      </c>
      <c r="R132" s="1">
        <v>26518</v>
      </c>
      <c r="S132" t="s">
        <v>16</v>
      </c>
      <c r="T132" t="s">
        <v>16</v>
      </c>
      <c r="U132" t="s">
        <v>571</v>
      </c>
      <c r="V132">
        <v>40000</v>
      </c>
      <c r="W132">
        <v>2</v>
      </c>
      <c r="X132" t="s">
        <v>52</v>
      </c>
      <c r="Y132" t="s">
        <v>60</v>
      </c>
      <c r="Z132" t="s">
        <v>23</v>
      </c>
      <c r="AA132" t="s">
        <v>3588</v>
      </c>
      <c r="AB132" t="s">
        <v>3588</v>
      </c>
      <c r="AC132" t="s">
        <v>3584</v>
      </c>
      <c r="AD132" t="s">
        <v>3478</v>
      </c>
      <c r="AE132" t="s">
        <v>3475</v>
      </c>
      <c r="AF132" s="2">
        <v>3399.99</v>
      </c>
      <c r="AG132" s="2">
        <v>1912.1543999999999</v>
      </c>
      <c r="AH132" s="2">
        <v>1487.8356000000001</v>
      </c>
      <c r="AI132" s="3">
        <v>0.43759999294115598</v>
      </c>
    </row>
    <row r="133" spans="1:35">
      <c r="A133" s="1">
        <v>42210</v>
      </c>
      <c r="B133" s="1">
        <v>37440</v>
      </c>
      <c r="C133" t="s">
        <v>4960</v>
      </c>
      <c r="D133">
        <v>362</v>
      </c>
      <c r="E133">
        <v>11470</v>
      </c>
      <c r="F133">
        <v>8</v>
      </c>
      <c r="G133">
        <v>1</v>
      </c>
      <c r="H133">
        <v>1</v>
      </c>
      <c r="I133">
        <v>1</v>
      </c>
      <c r="J133" t="s">
        <v>3545</v>
      </c>
      <c r="K133" t="s">
        <v>3546</v>
      </c>
      <c r="L133" s="2">
        <v>1105.81</v>
      </c>
      <c r="M133" s="2">
        <v>2049.0981999999999</v>
      </c>
      <c r="N133" t="s">
        <v>13</v>
      </c>
      <c r="O133" t="s">
        <v>556</v>
      </c>
      <c r="P133" t="s">
        <v>40</v>
      </c>
      <c r="Q133" t="s">
        <v>6462</v>
      </c>
      <c r="R133" s="1">
        <v>26932</v>
      </c>
      <c r="S133" t="s">
        <v>22</v>
      </c>
      <c r="T133" t="s">
        <v>16</v>
      </c>
      <c r="U133" t="s">
        <v>557</v>
      </c>
      <c r="V133">
        <v>20000</v>
      </c>
      <c r="W133">
        <v>0</v>
      </c>
      <c r="X133" t="s">
        <v>77</v>
      </c>
      <c r="Y133" t="s">
        <v>444</v>
      </c>
      <c r="Z133" t="s">
        <v>23</v>
      </c>
      <c r="AA133" t="s">
        <v>3585</v>
      </c>
      <c r="AB133" t="s">
        <v>3585</v>
      </c>
      <c r="AC133" t="s">
        <v>3584</v>
      </c>
      <c r="AD133" t="s">
        <v>3478</v>
      </c>
      <c r="AE133" t="s">
        <v>3475</v>
      </c>
      <c r="AF133" s="2">
        <v>2049.0981999999999</v>
      </c>
      <c r="AG133" s="2">
        <v>1105.81</v>
      </c>
      <c r="AH133" s="2">
        <v>943.28819999999996</v>
      </c>
      <c r="AI133" s="3">
        <v>0.46034309141455498</v>
      </c>
    </row>
    <row r="134" spans="1:35">
      <c r="A134" s="1">
        <v>42081</v>
      </c>
      <c r="B134" s="1">
        <v>37297</v>
      </c>
      <c r="C134" t="s">
        <v>4057</v>
      </c>
      <c r="D134">
        <v>314</v>
      </c>
      <c r="E134">
        <v>11516</v>
      </c>
      <c r="F134">
        <v>4</v>
      </c>
      <c r="G134">
        <v>1</v>
      </c>
      <c r="H134">
        <v>1</v>
      </c>
      <c r="I134">
        <v>2</v>
      </c>
      <c r="J134" t="s">
        <v>3493</v>
      </c>
      <c r="K134" t="s">
        <v>3494</v>
      </c>
      <c r="L134" s="2">
        <v>2171.2941999999998</v>
      </c>
      <c r="M134" s="2">
        <v>3578.27</v>
      </c>
      <c r="N134" t="s">
        <v>30</v>
      </c>
      <c r="O134" t="s">
        <v>591</v>
      </c>
      <c r="P134" t="s">
        <v>422</v>
      </c>
      <c r="Q134" t="s">
        <v>6463</v>
      </c>
      <c r="R134" s="1">
        <v>20018</v>
      </c>
      <c r="S134" t="s">
        <v>16</v>
      </c>
      <c r="T134" t="s">
        <v>29</v>
      </c>
      <c r="U134" t="s">
        <v>592</v>
      </c>
      <c r="V134">
        <v>30000</v>
      </c>
      <c r="W134">
        <v>1</v>
      </c>
      <c r="X134" t="s">
        <v>57</v>
      </c>
      <c r="Y134" t="s">
        <v>60</v>
      </c>
      <c r="Z134" t="s">
        <v>19</v>
      </c>
      <c r="AA134" t="s">
        <v>3580</v>
      </c>
      <c r="AB134" t="s">
        <v>3578</v>
      </c>
      <c r="AC134" t="s">
        <v>3579</v>
      </c>
      <c r="AD134" t="s">
        <v>3479</v>
      </c>
      <c r="AE134" t="s">
        <v>3475</v>
      </c>
      <c r="AF134" s="2">
        <v>3578.27</v>
      </c>
      <c r="AG134" s="2">
        <v>2171.2941999999998</v>
      </c>
      <c r="AH134" s="2">
        <v>1406.9757999999999</v>
      </c>
      <c r="AI134" s="3">
        <v>0.39320001006072802</v>
      </c>
    </row>
    <row r="135" spans="1:35">
      <c r="A135" s="1">
        <v>42215</v>
      </c>
      <c r="B135" s="1">
        <v>37442</v>
      </c>
      <c r="C135" t="s">
        <v>4993</v>
      </c>
      <c r="D135">
        <v>362</v>
      </c>
      <c r="E135">
        <v>11481</v>
      </c>
      <c r="F135">
        <v>8</v>
      </c>
      <c r="G135">
        <v>1</v>
      </c>
      <c r="H135">
        <v>1</v>
      </c>
      <c r="I135">
        <v>1</v>
      </c>
      <c r="J135" t="s">
        <v>3545</v>
      </c>
      <c r="K135" t="s">
        <v>3546</v>
      </c>
      <c r="L135" s="2">
        <v>1105.81</v>
      </c>
      <c r="M135" s="2">
        <v>2049.0981999999999</v>
      </c>
      <c r="N135" t="s">
        <v>30</v>
      </c>
      <c r="O135" t="s">
        <v>335</v>
      </c>
      <c r="P135" t="s">
        <v>511</v>
      </c>
      <c r="Q135" t="s">
        <v>6464</v>
      </c>
      <c r="R135" s="1">
        <v>26807</v>
      </c>
      <c r="S135" t="s">
        <v>16</v>
      </c>
      <c r="T135" t="s">
        <v>29</v>
      </c>
      <c r="U135" t="s">
        <v>565</v>
      </c>
      <c r="V135">
        <v>40000</v>
      </c>
      <c r="W135">
        <v>1</v>
      </c>
      <c r="X135" t="s">
        <v>17</v>
      </c>
      <c r="Y135" t="s">
        <v>53</v>
      </c>
      <c r="Z135" t="s">
        <v>19</v>
      </c>
      <c r="AA135" t="s">
        <v>3585</v>
      </c>
      <c r="AB135" t="s">
        <v>3585</v>
      </c>
      <c r="AC135" t="s">
        <v>3584</v>
      </c>
      <c r="AD135" t="s">
        <v>3478</v>
      </c>
      <c r="AE135" t="s">
        <v>3475</v>
      </c>
      <c r="AF135" s="2">
        <v>2049.0981999999999</v>
      </c>
      <c r="AG135" s="2">
        <v>1105.81</v>
      </c>
      <c r="AH135" s="2">
        <v>943.28819999999996</v>
      </c>
      <c r="AI135" s="3">
        <v>0.46034309141455498</v>
      </c>
    </row>
    <row r="136" spans="1:35">
      <c r="A136" s="1">
        <v>42082</v>
      </c>
      <c r="B136" s="1">
        <v>37316</v>
      </c>
      <c r="C136" t="s">
        <v>4065</v>
      </c>
      <c r="D136">
        <v>311</v>
      </c>
      <c r="E136">
        <v>11538</v>
      </c>
      <c r="F136">
        <v>4</v>
      </c>
      <c r="G136">
        <v>1</v>
      </c>
      <c r="H136">
        <v>1</v>
      </c>
      <c r="I136">
        <v>2</v>
      </c>
      <c r="J136" t="s">
        <v>3487</v>
      </c>
      <c r="K136" t="s">
        <v>3488</v>
      </c>
      <c r="L136" s="2">
        <v>2171.2941999999998</v>
      </c>
      <c r="M136" s="2">
        <v>3578.27</v>
      </c>
      <c r="N136" t="s">
        <v>30</v>
      </c>
      <c r="O136" t="s">
        <v>258</v>
      </c>
      <c r="P136" t="s">
        <v>254</v>
      </c>
      <c r="Q136" t="s">
        <v>6465</v>
      </c>
      <c r="R136" s="1">
        <v>21790</v>
      </c>
      <c r="S136" t="s">
        <v>22</v>
      </c>
      <c r="T136" t="s">
        <v>29</v>
      </c>
      <c r="U136" t="s">
        <v>613</v>
      </c>
      <c r="V136">
        <v>60000</v>
      </c>
      <c r="W136">
        <v>4</v>
      </c>
      <c r="X136" t="s">
        <v>135</v>
      </c>
      <c r="Y136" t="s">
        <v>53</v>
      </c>
      <c r="Z136" t="s">
        <v>23</v>
      </c>
      <c r="AA136" t="s">
        <v>3580</v>
      </c>
      <c r="AB136" t="s">
        <v>3578</v>
      </c>
      <c r="AC136" t="s">
        <v>3579</v>
      </c>
      <c r="AD136" t="s">
        <v>3479</v>
      </c>
      <c r="AE136" t="s">
        <v>3475</v>
      </c>
      <c r="AF136" s="2">
        <v>3578.27</v>
      </c>
      <c r="AG136" s="2">
        <v>2171.2941999999998</v>
      </c>
      <c r="AH136" s="2">
        <v>1406.9757999999999</v>
      </c>
      <c r="AI136" s="3">
        <v>0.39320001006072802</v>
      </c>
    </row>
    <row r="137" spans="1:35">
      <c r="A137" s="1">
        <v>42190</v>
      </c>
      <c r="B137" s="1">
        <v>37331</v>
      </c>
      <c r="C137" t="s">
        <v>4799</v>
      </c>
      <c r="D137">
        <v>356</v>
      </c>
      <c r="E137">
        <v>11484</v>
      </c>
      <c r="F137">
        <v>8</v>
      </c>
      <c r="G137">
        <v>1</v>
      </c>
      <c r="H137">
        <v>1</v>
      </c>
      <c r="I137">
        <v>1</v>
      </c>
      <c r="J137" t="s">
        <v>3539</v>
      </c>
      <c r="K137" t="s">
        <v>3540</v>
      </c>
      <c r="L137" s="2">
        <v>1117.8559</v>
      </c>
      <c r="M137" s="2">
        <v>2071.4196000000002</v>
      </c>
      <c r="N137" t="s">
        <v>13</v>
      </c>
      <c r="O137" t="s">
        <v>568</v>
      </c>
      <c r="P137" t="s">
        <v>79</v>
      </c>
      <c r="Q137" t="s">
        <v>6466</v>
      </c>
      <c r="R137" s="1">
        <v>26364</v>
      </c>
      <c r="S137" t="s">
        <v>22</v>
      </c>
      <c r="T137" t="s">
        <v>16</v>
      </c>
      <c r="U137" t="s">
        <v>569</v>
      </c>
      <c r="V137">
        <v>40000</v>
      </c>
      <c r="W137">
        <v>2</v>
      </c>
      <c r="X137" t="s">
        <v>52</v>
      </c>
      <c r="Y137" t="s">
        <v>60</v>
      </c>
      <c r="Z137" t="s">
        <v>19</v>
      </c>
      <c r="AA137" t="s">
        <v>3585</v>
      </c>
      <c r="AB137" t="s">
        <v>3585</v>
      </c>
      <c r="AC137" t="s">
        <v>3584</v>
      </c>
      <c r="AD137" t="s">
        <v>3478</v>
      </c>
      <c r="AE137" t="s">
        <v>3475</v>
      </c>
      <c r="AF137" s="2">
        <v>2071.4196000000002</v>
      </c>
      <c r="AG137" s="2">
        <v>1117.8559</v>
      </c>
      <c r="AH137" s="2">
        <v>953.56370000000004</v>
      </c>
      <c r="AI137" s="3">
        <v>0.460343090313522</v>
      </c>
    </row>
    <row r="138" spans="1:35">
      <c r="A138" s="1">
        <v>42083</v>
      </c>
      <c r="B138" s="1">
        <v>37235</v>
      </c>
      <c r="C138" t="s">
        <v>4069</v>
      </c>
      <c r="D138">
        <v>345</v>
      </c>
      <c r="E138">
        <v>11904</v>
      </c>
      <c r="F138">
        <v>9</v>
      </c>
      <c r="G138">
        <v>1</v>
      </c>
      <c r="H138">
        <v>1</v>
      </c>
      <c r="I138">
        <v>1</v>
      </c>
      <c r="J138" t="s">
        <v>3521</v>
      </c>
      <c r="K138" t="s">
        <v>3522</v>
      </c>
      <c r="L138" s="2">
        <v>1912.1543999999999</v>
      </c>
      <c r="M138" s="2">
        <v>3399.99</v>
      </c>
      <c r="N138" t="s">
        <v>30</v>
      </c>
      <c r="O138" t="s">
        <v>702</v>
      </c>
      <c r="P138" t="s">
        <v>334</v>
      </c>
      <c r="Q138" t="s">
        <v>6467</v>
      </c>
      <c r="R138" s="1">
        <v>25516</v>
      </c>
      <c r="S138" t="s">
        <v>22</v>
      </c>
      <c r="T138" t="s">
        <v>29</v>
      </c>
      <c r="U138" t="s">
        <v>819</v>
      </c>
      <c r="V138">
        <v>110000</v>
      </c>
      <c r="W138">
        <v>1</v>
      </c>
      <c r="X138" t="s">
        <v>135</v>
      </c>
      <c r="Y138" t="s">
        <v>45</v>
      </c>
      <c r="Z138" t="s">
        <v>19</v>
      </c>
      <c r="AA138" t="s">
        <v>3586</v>
      </c>
      <c r="AB138" t="s">
        <v>3586</v>
      </c>
      <c r="AC138" t="s">
        <v>3587</v>
      </c>
      <c r="AD138" t="s">
        <v>3478</v>
      </c>
      <c r="AE138" t="s">
        <v>3475</v>
      </c>
      <c r="AF138" s="2">
        <v>3399.99</v>
      </c>
      <c r="AG138" s="2">
        <v>1912.1543999999999</v>
      </c>
      <c r="AH138" s="2">
        <v>1487.8356000000001</v>
      </c>
      <c r="AI138" s="3">
        <v>0.43759999294115598</v>
      </c>
    </row>
    <row r="139" spans="1:35">
      <c r="A139" s="1">
        <v>42083</v>
      </c>
      <c r="B139" s="1">
        <v>37286</v>
      </c>
      <c r="C139" t="s">
        <v>4071</v>
      </c>
      <c r="D139">
        <v>346</v>
      </c>
      <c r="E139">
        <v>11767</v>
      </c>
      <c r="F139">
        <v>9</v>
      </c>
      <c r="G139">
        <v>1</v>
      </c>
      <c r="H139">
        <v>1</v>
      </c>
      <c r="I139">
        <v>1</v>
      </c>
      <c r="J139" t="s">
        <v>3523</v>
      </c>
      <c r="K139" t="s">
        <v>3524</v>
      </c>
      <c r="L139" s="2">
        <v>1912.1543999999999</v>
      </c>
      <c r="M139" s="2">
        <v>3399.99</v>
      </c>
      <c r="N139" t="s">
        <v>26</v>
      </c>
      <c r="O139" t="s">
        <v>642</v>
      </c>
      <c r="P139" t="s">
        <v>658</v>
      </c>
      <c r="Q139" t="s">
        <v>6468</v>
      </c>
      <c r="R139" s="1">
        <v>24251</v>
      </c>
      <c r="S139" t="s">
        <v>22</v>
      </c>
      <c r="T139" t="s">
        <v>29</v>
      </c>
      <c r="U139" t="s">
        <v>740</v>
      </c>
      <c r="V139">
        <v>90000</v>
      </c>
      <c r="W139">
        <v>0</v>
      </c>
      <c r="X139" t="s">
        <v>17</v>
      </c>
      <c r="Y139" t="s">
        <v>18</v>
      </c>
      <c r="Z139" t="s">
        <v>23</v>
      </c>
      <c r="AA139" t="s">
        <v>3586</v>
      </c>
      <c r="AB139" t="s">
        <v>3586</v>
      </c>
      <c r="AC139" t="s">
        <v>3587</v>
      </c>
      <c r="AD139" t="s">
        <v>3478</v>
      </c>
      <c r="AE139" t="s">
        <v>3475</v>
      </c>
      <c r="AF139" s="2">
        <v>3399.99</v>
      </c>
      <c r="AG139" s="2">
        <v>1912.1543999999999</v>
      </c>
      <c r="AH139" s="2">
        <v>1487.8356000000001</v>
      </c>
      <c r="AI139" s="3">
        <v>0.43759999294115598</v>
      </c>
    </row>
    <row r="140" spans="1:35">
      <c r="A140" s="1">
        <v>42124</v>
      </c>
      <c r="B140" s="1">
        <v>37334</v>
      </c>
      <c r="C140" t="s">
        <v>4335</v>
      </c>
      <c r="D140">
        <v>348</v>
      </c>
      <c r="E140">
        <v>11488</v>
      </c>
      <c r="F140">
        <v>10</v>
      </c>
      <c r="G140">
        <v>1</v>
      </c>
      <c r="H140">
        <v>1</v>
      </c>
      <c r="I140">
        <v>1</v>
      </c>
      <c r="J140" t="s">
        <v>3527</v>
      </c>
      <c r="K140" t="s">
        <v>3528</v>
      </c>
      <c r="L140" s="2">
        <v>1898.0944</v>
      </c>
      <c r="M140" s="2">
        <v>3374.99</v>
      </c>
      <c r="N140" t="s">
        <v>13</v>
      </c>
      <c r="O140" t="s">
        <v>573</v>
      </c>
      <c r="P140" t="s">
        <v>125</v>
      </c>
      <c r="Q140" t="s">
        <v>6469</v>
      </c>
      <c r="R140" s="1">
        <v>26197</v>
      </c>
      <c r="S140" t="s">
        <v>22</v>
      </c>
      <c r="T140" t="s">
        <v>16</v>
      </c>
      <c r="U140" t="s">
        <v>574</v>
      </c>
      <c r="V140">
        <v>20000</v>
      </c>
      <c r="W140">
        <v>0</v>
      </c>
      <c r="X140" t="s">
        <v>77</v>
      </c>
      <c r="Y140" t="s">
        <v>444</v>
      </c>
      <c r="Z140" t="s">
        <v>19</v>
      </c>
      <c r="AA140" t="s">
        <v>3588</v>
      </c>
      <c r="AB140" t="s">
        <v>3588</v>
      </c>
      <c r="AC140" t="s">
        <v>3584</v>
      </c>
      <c r="AD140" t="s">
        <v>3478</v>
      </c>
      <c r="AE140" t="s">
        <v>3475</v>
      </c>
      <c r="AF140" s="2">
        <v>3374.99</v>
      </c>
      <c r="AG140" s="2">
        <v>1898.0944</v>
      </c>
      <c r="AH140" s="2">
        <v>1476.8956000000001</v>
      </c>
      <c r="AI140" s="3">
        <v>0.43759999288886797</v>
      </c>
    </row>
    <row r="141" spans="1:35">
      <c r="A141" s="1">
        <v>42124</v>
      </c>
      <c r="B141" s="1">
        <v>37316</v>
      </c>
      <c r="C141" t="s">
        <v>4333</v>
      </c>
      <c r="D141">
        <v>351</v>
      </c>
      <c r="E141">
        <v>11489</v>
      </c>
      <c r="F141">
        <v>10</v>
      </c>
      <c r="G141">
        <v>1</v>
      </c>
      <c r="H141">
        <v>1</v>
      </c>
      <c r="I141">
        <v>1</v>
      </c>
      <c r="J141" t="s">
        <v>3533</v>
      </c>
      <c r="K141" t="s">
        <v>3534</v>
      </c>
      <c r="L141" s="2">
        <v>1898.0944</v>
      </c>
      <c r="M141" s="2">
        <v>3374.99</v>
      </c>
      <c r="N141" t="s">
        <v>26</v>
      </c>
      <c r="O141" t="s">
        <v>575</v>
      </c>
      <c r="P141" t="s">
        <v>266</v>
      </c>
      <c r="Q141" t="s">
        <v>6470</v>
      </c>
      <c r="R141" s="1">
        <v>25999</v>
      </c>
      <c r="S141" t="s">
        <v>22</v>
      </c>
      <c r="T141" t="s">
        <v>29</v>
      </c>
      <c r="U141" t="s">
        <v>576</v>
      </c>
      <c r="V141">
        <v>20000</v>
      </c>
      <c r="W141">
        <v>0</v>
      </c>
      <c r="X141" t="s">
        <v>77</v>
      </c>
      <c r="Y141" t="s">
        <v>444</v>
      </c>
      <c r="Z141" t="s">
        <v>23</v>
      </c>
      <c r="AA141" t="s">
        <v>3588</v>
      </c>
      <c r="AB141" t="s">
        <v>3588</v>
      </c>
      <c r="AC141" t="s">
        <v>3584</v>
      </c>
      <c r="AD141" t="s">
        <v>3478</v>
      </c>
      <c r="AE141" t="s">
        <v>3475</v>
      </c>
      <c r="AF141" s="2">
        <v>3374.99</v>
      </c>
      <c r="AG141" s="2">
        <v>1898.0944</v>
      </c>
      <c r="AH141" s="2">
        <v>1476.8956000000001</v>
      </c>
      <c r="AI141" s="3">
        <v>0.43759999288886797</v>
      </c>
    </row>
    <row r="142" spans="1:35">
      <c r="A142" s="1">
        <v>42134</v>
      </c>
      <c r="B142" s="1">
        <v>37329</v>
      </c>
      <c r="C142" t="s">
        <v>4409</v>
      </c>
      <c r="D142">
        <v>349</v>
      </c>
      <c r="E142">
        <v>11491</v>
      </c>
      <c r="F142">
        <v>10</v>
      </c>
      <c r="G142">
        <v>1</v>
      </c>
      <c r="H142">
        <v>1</v>
      </c>
      <c r="I142">
        <v>1</v>
      </c>
      <c r="J142" t="s">
        <v>3529</v>
      </c>
      <c r="K142" t="s">
        <v>3530</v>
      </c>
      <c r="L142" s="2">
        <v>1898.0944</v>
      </c>
      <c r="M142" s="2">
        <v>3374.99</v>
      </c>
      <c r="N142" t="s">
        <v>13</v>
      </c>
      <c r="O142" t="s">
        <v>525</v>
      </c>
      <c r="P142" t="s">
        <v>187</v>
      </c>
      <c r="Q142" t="s">
        <v>6471</v>
      </c>
      <c r="R142" s="1">
        <v>26029</v>
      </c>
      <c r="S142" t="s">
        <v>16</v>
      </c>
      <c r="T142" t="s">
        <v>16</v>
      </c>
      <c r="U142" t="s">
        <v>578</v>
      </c>
      <c r="V142">
        <v>20000</v>
      </c>
      <c r="W142">
        <v>0</v>
      </c>
      <c r="X142" t="s">
        <v>77</v>
      </c>
      <c r="Y142" t="s">
        <v>444</v>
      </c>
      <c r="Z142" t="s">
        <v>23</v>
      </c>
      <c r="AA142" t="s">
        <v>3588</v>
      </c>
      <c r="AB142" t="s">
        <v>3588</v>
      </c>
      <c r="AC142" t="s">
        <v>3584</v>
      </c>
      <c r="AD142" t="s">
        <v>3478</v>
      </c>
      <c r="AE142" t="s">
        <v>3475</v>
      </c>
      <c r="AF142" s="2">
        <v>3374.99</v>
      </c>
      <c r="AG142" s="2">
        <v>1898.0944</v>
      </c>
      <c r="AH142" s="2">
        <v>1476.8956000000001</v>
      </c>
      <c r="AI142" s="3">
        <v>0.43759999288886797</v>
      </c>
    </row>
    <row r="143" spans="1:35">
      <c r="A143" s="1">
        <v>42084</v>
      </c>
      <c r="B143" s="1">
        <v>37320</v>
      </c>
      <c r="C143" t="s">
        <v>4075</v>
      </c>
      <c r="D143">
        <v>312</v>
      </c>
      <c r="E143">
        <v>11534</v>
      </c>
      <c r="F143">
        <v>4</v>
      </c>
      <c r="G143">
        <v>1</v>
      </c>
      <c r="H143">
        <v>1</v>
      </c>
      <c r="I143">
        <v>2</v>
      </c>
      <c r="J143" t="s">
        <v>3489</v>
      </c>
      <c r="K143" t="s">
        <v>3490</v>
      </c>
      <c r="L143" s="2">
        <v>2171.2941999999998</v>
      </c>
      <c r="M143" s="2">
        <v>3578.27</v>
      </c>
      <c r="N143" t="s">
        <v>13</v>
      </c>
      <c r="O143" t="s">
        <v>415</v>
      </c>
      <c r="P143" t="s">
        <v>407</v>
      </c>
      <c r="Q143" t="s">
        <v>6472</v>
      </c>
      <c r="R143" s="1">
        <v>21502</v>
      </c>
      <c r="S143" t="s">
        <v>22</v>
      </c>
      <c r="T143" t="s">
        <v>16</v>
      </c>
      <c r="U143" t="s">
        <v>606</v>
      </c>
      <c r="V143">
        <v>60000</v>
      </c>
      <c r="W143">
        <v>4</v>
      </c>
      <c r="X143" t="s">
        <v>135</v>
      </c>
      <c r="Y143" t="s">
        <v>53</v>
      </c>
      <c r="Z143" t="s">
        <v>19</v>
      </c>
      <c r="AA143" t="s">
        <v>3580</v>
      </c>
      <c r="AB143" t="s">
        <v>3578</v>
      </c>
      <c r="AC143" t="s">
        <v>3579</v>
      </c>
      <c r="AD143" t="s">
        <v>3479</v>
      </c>
      <c r="AE143" t="s">
        <v>3475</v>
      </c>
      <c r="AF143" s="2">
        <v>3578.27</v>
      </c>
      <c r="AG143" s="2">
        <v>2171.2941999999998</v>
      </c>
      <c r="AH143" s="2">
        <v>1406.9757999999999</v>
      </c>
      <c r="AI143" s="3">
        <v>0.39320001006072802</v>
      </c>
    </row>
    <row r="144" spans="1:35">
      <c r="A144" s="1">
        <v>42230</v>
      </c>
      <c r="B144" s="1">
        <v>37430</v>
      </c>
      <c r="C144" t="s">
        <v>5125</v>
      </c>
      <c r="D144">
        <v>358</v>
      </c>
      <c r="E144">
        <v>11492</v>
      </c>
      <c r="F144">
        <v>8</v>
      </c>
      <c r="G144">
        <v>1</v>
      </c>
      <c r="H144">
        <v>1</v>
      </c>
      <c r="I144">
        <v>1</v>
      </c>
      <c r="J144" t="s">
        <v>3541</v>
      </c>
      <c r="K144" t="s">
        <v>3542</v>
      </c>
      <c r="L144" s="2">
        <v>1105.81</v>
      </c>
      <c r="M144" s="2">
        <v>2049.0981999999999</v>
      </c>
      <c r="N144" t="s">
        <v>13</v>
      </c>
      <c r="O144" t="s">
        <v>462</v>
      </c>
      <c r="P144" t="s">
        <v>171</v>
      </c>
      <c r="Q144" t="s">
        <v>6473</v>
      </c>
      <c r="R144" s="1">
        <v>26256</v>
      </c>
      <c r="S144" t="s">
        <v>22</v>
      </c>
      <c r="T144" t="s">
        <v>16</v>
      </c>
      <c r="U144" t="s">
        <v>579</v>
      </c>
      <c r="V144">
        <v>30000</v>
      </c>
      <c r="W144">
        <v>0</v>
      </c>
      <c r="X144" t="s">
        <v>57</v>
      </c>
      <c r="Y144" t="s">
        <v>444</v>
      </c>
      <c r="Z144" t="s">
        <v>23</v>
      </c>
      <c r="AA144" t="s">
        <v>3585</v>
      </c>
      <c r="AB144" t="s">
        <v>3585</v>
      </c>
      <c r="AC144" t="s">
        <v>3584</v>
      </c>
      <c r="AD144" t="s">
        <v>3478</v>
      </c>
      <c r="AE144" t="s">
        <v>3475</v>
      </c>
      <c r="AF144" s="2">
        <v>2049.0981999999999</v>
      </c>
      <c r="AG144" s="2">
        <v>1105.81</v>
      </c>
      <c r="AH144" s="2">
        <v>943.28819999999996</v>
      </c>
      <c r="AI144" s="3">
        <v>0.46034309141455498</v>
      </c>
    </row>
    <row r="145" spans="1:35">
      <c r="A145" s="1">
        <v>42141</v>
      </c>
      <c r="B145" s="1">
        <v>37279</v>
      </c>
      <c r="C145" t="s">
        <v>4464</v>
      </c>
      <c r="D145">
        <v>344</v>
      </c>
      <c r="E145">
        <v>11493</v>
      </c>
      <c r="F145">
        <v>10</v>
      </c>
      <c r="G145">
        <v>1</v>
      </c>
      <c r="H145">
        <v>1</v>
      </c>
      <c r="I145">
        <v>1</v>
      </c>
      <c r="J145" t="s">
        <v>3519</v>
      </c>
      <c r="K145" t="s">
        <v>3520</v>
      </c>
      <c r="L145" s="2">
        <v>1912.1543999999999</v>
      </c>
      <c r="M145" s="2">
        <v>3399.99</v>
      </c>
      <c r="N145" t="s">
        <v>30</v>
      </c>
      <c r="O145" t="s">
        <v>580</v>
      </c>
      <c r="P145" t="s">
        <v>268</v>
      </c>
      <c r="Q145" t="s">
        <v>6474</v>
      </c>
      <c r="R145" s="1">
        <v>25904</v>
      </c>
      <c r="S145" t="s">
        <v>22</v>
      </c>
      <c r="T145" t="s">
        <v>29</v>
      </c>
      <c r="U145" t="s">
        <v>581</v>
      </c>
      <c r="V145">
        <v>40000</v>
      </c>
      <c r="W145">
        <v>2</v>
      </c>
      <c r="X145" t="s">
        <v>52</v>
      </c>
      <c r="Y145" t="s">
        <v>60</v>
      </c>
      <c r="Z145" t="s">
        <v>19</v>
      </c>
      <c r="AA145" t="s">
        <v>3588</v>
      </c>
      <c r="AB145" t="s">
        <v>3588</v>
      </c>
      <c r="AC145" t="s">
        <v>3584</v>
      </c>
      <c r="AD145" t="s">
        <v>3478</v>
      </c>
      <c r="AE145" t="s">
        <v>3475</v>
      </c>
      <c r="AF145" s="2">
        <v>3399.99</v>
      </c>
      <c r="AG145" s="2">
        <v>1912.1543999999999</v>
      </c>
      <c r="AH145" s="2">
        <v>1487.8356000000001</v>
      </c>
      <c r="AI145" s="3">
        <v>0.43759999294115598</v>
      </c>
    </row>
    <row r="146" spans="1:35">
      <c r="A146" s="1">
        <v>42157</v>
      </c>
      <c r="B146" s="1">
        <v>37339</v>
      </c>
      <c r="C146" t="s">
        <v>4557</v>
      </c>
      <c r="D146">
        <v>346</v>
      </c>
      <c r="E146">
        <v>11496</v>
      </c>
      <c r="F146">
        <v>10</v>
      </c>
      <c r="G146">
        <v>1</v>
      </c>
      <c r="H146">
        <v>1</v>
      </c>
      <c r="I146">
        <v>1</v>
      </c>
      <c r="J146" t="s">
        <v>3523</v>
      </c>
      <c r="K146" t="s">
        <v>3524</v>
      </c>
      <c r="L146" s="2">
        <v>1912.1543999999999</v>
      </c>
      <c r="M146" s="2">
        <v>3399.99</v>
      </c>
      <c r="N146" t="s">
        <v>13</v>
      </c>
      <c r="O146" t="s">
        <v>480</v>
      </c>
      <c r="P146" t="s">
        <v>460</v>
      </c>
      <c r="Q146" t="s">
        <v>6475</v>
      </c>
      <c r="R146" s="1">
        <v>25858</v>
      </c>
      <c r="S146" t="s">
        <v>22</v>
      </c>
      <c r="T146" t="s">
        <v>16</v>
      </c>
      <c r="U146" t="s">
        <v>583</v>
      </c>
      <c r="V146">
        <v>40000</v>
      </c>
      <c r="W146">
        <v>2</v>
      </c>
      <c r="X146" t="s">
        <v>52</v>
      </c>
      <c r="Y146" t="s">
        <v>60</v>
      </c>
      <c r="Z146" t="s">
        <v>19</v>
      </c>
      <c r="AA146" t="s">
        <v>3588</v>
      </c>
      <c r="AB146" t="s">
        <v>3588</v>
      </c>
      <c r="AC146" t="s">
        <v>3584</v>
      </c>
      <c r="AD146" t="s">
        <v>3478</v>
      </c>
      <c r="AE146" t="s">
        <v>3475</v>
      </c>
      <c r="AF146" s="2">
        <v>3399.99</v>
      </c>
      <c r="AG146" s="2">
        <v>1912.1543999999999</v>
      </c>
      <c r="AH146" s="2">
        <v>1487.8356000000001</v>
      </c>
      <c r="AI146" s="3">
        <v>0.43759999294115598</v>
      </c>
    </row>
    <row r="147" spans="1:35">
      <c r="A147" s="1">
        <v>42085</v>
      </c>
      <c r="B147" s="1">
        <v>37317</v>
      </c>
      <c r="C147" t="s">
        <v>4079</v>
      </c>
      <c r="D147">
        <v>345</v>
      </c>
      <c r="E147">
        <v>11766</v>
      </c>
      <c r="F147">
        <v>9</v>
      </c>
      <c r="G147">
        <v>1</v>
      </c>
      <c r="H147">
        <v>1</v>
      </c>
      <c r="I147">
        <v>1</v>
      </c>
      <c r="J147" t="s">
        <v>3521</v>
      </c>
      <c r="K147" t="s">
        <v>3522</v>
      </c>
      <c r="L147" s="2">
        <v>1912.1543999999999</v>
      </c>
      <c r="M147" s="2">
        <v>3399.99</v>
      </c>
      <c r="N147" t="s">
        <v>26</v>
      </c>
      <c r="O147" t="s">
        <v>208</v>
      </c>
      <c r="P147" t="s">
        <v>431</v>
      </c>
      <c r="Q147" t="s">
        <v>6476</v>
      </c>
      <c r="R147" s="1">
        <v>24292</v>
      </c>
      <c r="S147" t="s">
        <v>22</v>
      </c>
      <c r="T147" t="s">
        <v>29</v>
      </c>
      <c r="U147" t="s">
        <v>739</v>
      </c>
      <c r="V147">
        <v>90000</v>
      </c>
      <c r="W147">
        <v>0</v>
      </c>
      <c r="X147" t="s">
        <v>17</v>
      </c>
      <c r="Y147" t="s">
        <v>18</v>
      </c>
      <c r="Z147" t="s">
        <v>23</v>
      </c>
      <c r="AA147" t="s">
        <v>3586</v>
      </c>
      <c r="AB147" t="s">
        <v>3586</v>
      </c>
      <c r="AC147" t="s">
        <v>3587</v>
      </c>
      <c r="AD147" t="s">
        <v>3478</v>
      </c>
      <c r="AE147" t="s">
        <v>3475</v>
      </c>
      <c r="AF147" s="2">
        <v>3399.99</v>
      </c>
      <c r="AG147" s="2">
        <v>1912.1543999999999</v>
      </c>
      <c r="AH147" s="2">
        <v>1487.8356000000001</v>
      </c>
      <c r="AI147" s="3">
        <v>0.43759999294115598</v>
      </c>
    </row>
    <row r="148" spans="1:35">
      <c r="A148" s="1">
        <v>42085</v>
      </c>
      <c r="B148" s="1">
        <v>37321</v>
      </c>
      <c r="C148" t="s">
        <v>4083</v>
      </c>
      <c r="D148">
        <v>351</v>
      </c>
      <c r="E148">
        <v>11908</v>
      </c>
      <c r="F148">
        <v>9</v>
      </c>
      <c r="G148">
        <v>1</v>
      </c>
      <c r="H148">
        <v>1</v>
      </c>
      <c r="I148">
        <v>1</v>
      </c>
      <c r="J148" t="s">
        <v>3533</v>
      </c>
      <c r="K148" t="s">
        <v>3534</v>
      </c>
      <c r="L148" s="2">
        <v>1898.0944</v>
      </c>
      <c r="M148" s="2">
        <v>3374.99</v>
      </c>
      <c r="N148" t="s">
        <v>13</v>
      </c>
      <c r="O148" t="s">
        <v>437</v>
      </c>
      <c r="P148" t="s">
        <v>282</v>
      </c>
      <c r="Q148" t="s">
        <v>6477</v>
      </c>
      <c r="R148" s="1">
        <v>24299</v>
      </c>
      <c r="S148" t="s">
        <v>22</v>
      </c>
      <c r="T148" t="s">
        <v>16</v>
      </c>
      <c r="U148" t="s">
        <v>823</v>
      </c>
      <c r="V148">
        <v>80000</v>
      </c>
      <c r="W148">
        <v>5</v>
      </c>
      <c r="X148" t="s">
        <v>135</v>
      </c>
      <c r="Y148" t="s">
        <v>45</v>
      </c>
      <c r="Z148" t="s">
        <v>19</v>
      </c>
      <c r="AA148" t="s">
        <v>3586</v>
      </c>
      <c r="AB148" t="s">
        <v>3586</v>
      </c>
      <c r="AC148" t="s">
        <v>3587</v>
      </c>
      <c r="AD148" t="s">
        <v>3478</v>
      </c>
      <c r="AE148" t="s">
        <v>3475</v>
      </c>
      <c r="AF148" s="2">
        <v>3374.99</v>
      </c>
      <c r="AG148" s="2">
        <v>1898.0944</v>
      </c>
      <c r="AH148" s="2">
        <v>1476.8956000000001</v>
      </c>
      <c r="AI148" s="3">
        <v>0.43759999288886797</v>
      </c>
    </row>
    <row r="149" spans="1:35">
      <c r="A149" s="1">
        <v>42086</v>
      </c>
      <c r="B149" s="1">
        <v>37271</v>
      </c>
      <c r="C149" t="s">
        <v>4086</v>
      </c>
      <c r="D149">
        <v>313</v>
      </c>
      <c r="E149">
        <v>12614</v>
      </c>
      <c r="F149">
        <v>7</v>
      </c>
      <c r="G149">
        <v>1</v>
      </c>
      <c r="H149">
        <v>1</v>
      </c>
      <c r="I149">
        <v>2</v>
      </c>
      <c r="J149" t="s">
        <v>3491</v>
      </c>
      <c r="K149" t="s">
        <v>3492</v>
      </c>
      <c r="L149" s="2">
        <v>2171.2941999999998</v>
      </c>
      <c r="M149" s="2">
        <v>3578.27</v>
      </c>
      <c r="N149" t="s">
        <v>13</v>
      </c>
      <c r="O149" t="s">
        <v>479</v>
      </c>
      <c r="P149" t="s">
        <v>270</v>
      </c>
      <c r="Q149" t="s">
        <v>6478</v>
      </c>
      <c r="R149" s="1">
        <v>25733</v>
      </c>
      <c r="S149" t="s">
        <v>22</v>
      </c>
      <c r="T149" t="s">
        <v>16</v>
      </c>
      <c r="U149" t="s">
        <v>1211</v>
      </c>
      <c r="V149">
        <v>30000</v>
      </c>
      <c r="W149">
        <v>0</v>
      </c>
      <c r="X149" t="s">
        <v>17</v>
      </c>
      <c r="Y149" t="s">
        <v>60</v>
      </c>
      <c r="Z149" t="s">
        <v>19</v>
      </c>
      <c r="AA149" t="s">
        <v>3583</v>
      </c>
      <c r="AB149" t="s">
        <v>3583</v>
      </c>
      <c r="AC149" t="s">
        <v>3584</v>
      </c>
      <c r="AD149" t="s">
        <v>3479</v>
      </c>
      <c r="AE149" t="s">
        <v>3475</v>
      </c>
      <c r="AF149" s="2">
        <v>3578.27</v>
      </c>
      <c r="AG149" s="2">
        <v>2171.2941999999998</v>
      </c>
      <c r="AH149" s="2">
        <v>1406.9757999999999</v>
      </c>
      <c r="AI149" s="3">
        <v>0.39320001006072802</v>
      </c>
    </row>
    <row r="150" spans="1:35">
      <c r="A150" s="1">
        <v>42086</v>
      </c>
      <c r="B150" s="1">
        <v>37274</v>
      </c>
      <c r="C150" t="s">
        <v>4087</v>
      </c>
      <c r="D150">
        <v>312</v>
      </c>
      <c r="E150">
        <v>12620</v>
      </c>
      <c r="F150">
        <v>7</v>
      </c>
      <c r="G150">
        <v>1</v>
      </c>
      <c r="H150">
        <v>1</v>
      </c>
      <c r="I150">
        <v>2</v>
      </c>
      <c r="J150" t="s">
        <v>3489</v>
      </c>
      <c r="K150" t="s">
        <v>3490</v>
      </c>
      <c r="L150" s="2">
        <v>2171.2941999999998</v>
      </c>
      <c r="M150" s="2">
        <v>3578.27</v>
      </c>
      <c r="N150" t="s">
        <v>13</v>
      </c>
      <c r="O150" t="s">
        <v>281</v>
      </c>
      <c r="P150" t="s">
        <v>62</v>
      </c>
      <c r="Q150" t="s">
        <v>6479</v>
      </c>
      <c r="R150" s="1">
        <v>25310</v>
      </c>
      <c r="S150" t="s">
        <v>16</v>
      </c>
      <c r="T150" t="s">
        <v>16</v>
      </c>
      <c r="U150" t="s">
        <v>1213</v>
      </c>
      <c r="V150">
        <v>40000</v>
      </c>
      <c r="W150">
        <v>0</v>
      </c>
      <c r="X150" t="s">
        <v>135</v>
      </c>
      <c r="Y150" t="s">
        <v>60</v>
      </c>
      <c r="Z150" t="s">
        <v>19</v>
      </c>
      <c r="AA150" t="s">
        <v>3583</v>
      </c>
      <c r="AB150" t="s">
        <v>3583</v>
      </c>
      <c r="AC150" t="s">
        <v>3584</v>
      </c>
      <c r="AD150" t="s">
        <v>3479</v>
      </c>
      <c r="AE150" t="s">
        <v>3475</v>
      </c>
      <c r="AF150" s="2">
        <v>3578.27</v>
      </c>
      <c r="AG150" s="2">
        <v>2171.2941999999998</v>
      </c>
      <c r="AH150" s="2">
        <v>1406.9757999999999</v>
      </c>
      <c r="AI150" s="3">
        <v>0.39320001006072802</v>
      </c>
    </row>
    <row r="151" spans="1:35">
      <c r="A151" s="1">
        <v>42086</v>
      </c>
      <c r="B151" s="1">
        <v>37269</v>
      </c>
      <c r="C151" t="s">
        <v>4088</v>
      </c>
      <c r="D151">
        <v>350</v>
      </c>
      <c r="E151">
        <v>11909</v>
      </c>
      <c r="F151">
        <v>9</v>
      </c>
      <c r="G151">
        <v>1</v>
      </c>
      <c r="H151">
        <v>1</v>
      </c>
      <c r="I151">
        <v>1</v>
      </c>
      <c r="J151" t="s">
        <v>3531</v>
      </c>
      <c r="K151" t="s">
        <v>3532</v>
      </c>
      <c r="L151" s="2">
        <v>1898.0944</v>
      </c>
      <c r="M151" s="2">
        <v>3374.99</v>
      </c>
      <c r="N151" t="s">
        <v>30</v>
      </c>
      <c r="O151" t="s">
        <v>824</v>
      </c>
      <c r="P151" t="s">
        <v>450</v>
      </c>
      <c r="Q151" t="s">
        <v>6480</v>
      </c>
      <c r="R151" s="1">
        <v>24148</v>
      </c>
      <c r="S151" t="s">
        <v>16</v>
      </c>
      <c r="T151" t="s">
        <v>29</v>
      </c>
      <c r="U151" t="s">
        <v>825</v>
      </c>
      <c r="V151">
        <v>80000</v>
      </c>
      <c r="W151">
        <v>5</v>
      </c>
      <c r="X151" t="s">
        <v>135</v>
      </c>
      <c r="Y151" t="s">
        <v>45</v>
      </c>
      <c r="Z151" t="s">
        <v>23</v>
      </c>
      <c r="AA151" t="s">
        <v>3586</v>
      </c>
      <c r="AB151" t="s">
        <v>3586</v>
      </c>
      <c r="AC151" t="s">
        <v>3587</v>
      </c>
      <c r="AD151" t="s">
        <v>3478</v>
      </c>
      <c r="AE151" t="s">
        <v>3475</v>
      </c>
      <c r="AF151" s="2">
        <v>3374.99</v>
      </c>
      <c r="AG151" s="2">
        <v>1898.0944</v>
      </c>
      <c r="AH151" s="2">
        <v>1476.8956000000001</v>
      </c>
      <c r="AI151" s="3">
        <v>0.43759999288886797</v>
      </c>
    </row>
    <row r="152" spans="1:35">
      <c r="A152" s="1">
        <v>42087</v>
      </c>
      <c r="B152" s="1">
        <v>37236</v>
      </c>
      <c r="C152" t="s">
        <v>4090</v>
      </c>
      <c r="D152">
        <v>346</v>
      </c>
      <c r="E152">
        <v>11900</v>
      </c>
      <c r="F152">
        <v>9</v>
      </c>
      <c r="G152">
        <v>1</v>
      </c>
      <c r="H152">
        <v>1</v>
      </c>
      <c r="I152">
        <v>1</v>
      </c>
      <c r="J152" t="s">
        <v>3523</v>
      </c>
      <c r="K152" t="s">
        <v>3524</v>
      </c>
      <c r="L152" s="2">
        <v>1912.1543999999999</v>
      </c>
      <c r="M152" s="2">
        <v>3399.99</v>
      </c>
      <c r="N152" t="s">
        <v>13</v>
      </c>
      <c r="O152" t="s">
        <v>231</v>
      </c>
      <c r="P152" t="s">
        <v>38</v>
      </c>
      <c r="Q152" t="s">
        <v>6481</v>
      </c>
      <c r="R152" s="1">
        <v>25634</v>
      </c>
      <c r="S152" t="s">
        <v>22</v>
      </c>
      <c r="T152" t="s">
        <v>16</v>
      </c>
      <c r="U152" t="s">
        <v>813</v>
      </c>
      <c r="V152">
        <v>90000</v>
      </c>
      <c r="W152">
        <v>2</v>
      </c>
      <c r="X152" t="s">
        <v>17</v>
      </c>
      <c r="Y152" t="s">
        <v>18</v>
      </c>
      <c r="Z152" t="s">
        <v>19</v>
      </c>
      <c r="AA152" t="s">
        <v>3586</v>
      </c>
      <c r="AB152" t="s">
        <v>3586</v>
      </c>
      <c r="AC152" t="s">
        <v>3587</v>
      </c>
      <c r="AD152" t="s">
        <v>3478</v>
      </c>
      <c r="AE152" t="s">
        <v>3475</v>
      </c>
      <c r="AF152" s="2">
        <v>3399.99</v>
      </c>
      <c r="AG152" s="2">
        <v>1912.1543999999999</v>
      </c>
      <c r="AH152" s="2">
        <v>1487.8356000000001</v>
      </c>
      <c r="AI152" s="3">
        <v>0.43759999294115598</v>
      </c>
    </row>
    <row r="153" spans="1:35">
      <c r="A153" s="1">
        <v>42087</v>
      </c>
      <c r="B153" s="1">
        <v>37324</v>
      </c>
      <c r="C153" t="s">
        <v>4092</v>
      </c>
      <c r="D153">
        <v>311</v>
      </c>
      <c r="E153">
        <v>11537</v>
      </c>
      <c r="F153">
        <v>4</v>
      </c>
      <c r="G153">
        <v>1</v>
      </c>
      <c r="H153">
        <v>1</v>
      </c>
      <c r="I153">
        <v>2</v>
      </c>
      <c r="J153" t="s">
        <v>3487</v>
      </c>
      <c r="K153" t="s">
        <v>3488</v>
      </c>
      <c r="L153" s="2">
        <v>2171.2941999999998</v>
      </c>
      <c r="M153" s="2">
        <v>3578.27</v>
      </c>
      <c r="N153" t="s">
        <v>13</v>
      </c>
      <c r="O153" t="s">
        <v>611</v>
      </c>
      <c r="P153" t="s">
        <v>199</v>
      </c>
      <c r="Q153" t="s">
        <v>6482</v>
      </c>
      <c r="R153" s="1">
        <v>21268</v>
      </c>
      <c r="S153" t="s">
        <v>16</v>
      </c>
      <c r="T153" t="s">
        <v>16</v>
      </c>
      <c r="U153" t="s">
        <v>612</v>
      </c>
      <c r="V153">
        <v>60000</v>
      </c>
      <c r="W153">
        <v>4</v>
      </c>
      <c r="X153" t="s">
        <v>135</v>
      </c>
      <c r="Y153" t="s">
        <v>53</v>
      </c>
      <c r="Z153" t="s">
        <v>19</v>
      </c>
      <c r="AA153" t="s">
        <v>3580</v>
      </c>
      <c r="AB153" t="s">
        <v>3578</v>
      </c>
      <c r="AC153" t="s">
        <v>3579</v>
      </c>
      <c r="AD153" t="s">
        <v>3479</v>
      </c>
      <c r="AE153" t="s">
        <v>3475</v>
      </c>
      <c r="AF153" s="2">
        <v>3578.27</v>
      </c>
      <c r="AG153" s="2">
        <v>2171.2941999999998</v>
      </c>
      <c r="AH153" s="2">
        <v>1406.9757999999999</v>
      </c>
      <c r="AI153" s="3">
        <v>0.39320001006072802</v>
      </c>
    </row>
    <row r="154" spans="1:35">
      <c r="A154" s="1">
        <v>42087</v>
      </c>
      <c r="B154" s="1">
        <v>37249</v>
      </c>
      <c r="C154" t="s">
        <v>4093</v>
      </c>
      <c r="D154">
        <v>314</v>
      </c>
      <c r="E154">
        <v>11630</v>
      </c>
      <c r="F154">
        <v>1</v>
      </c>
      <c r="G154">
        <v>1</v>
      </c>
      <c r="H154">
        <v>1</v>
      </c>
      <c r="I154">
        <v>2</v>
      </c>
      <c r="J154" t="s">
        <v>3493</v>
      </c>
      <c r="K154" t="s">
        <v>3494</v>
      </c>
      <c r="L154" s="2">
        <v>2171.2941999999998</v>
      </c>
      <c r="M154" s="2">
        <v>3578.27</v>
      </c>
      <c r="N154" t="s">
        <v>30</v>
      </c>
      <c r="O154" t="s">
        <v>409</v>
      </c>
      <c r="P154" t="s">
        <v>119</v>
      </c>
      <c r="Q154" t="s">
        <v>6483</v>
      </c>
      <c r="R154" s="1">
        <v>26292</v>
      </c>
      <c r="S154" t="s">
        <v>16</v>
      </c>
      <c r="T154" t="s">
        <v>29</v>
      </c>
      <c r="U154" t="s">
        <v>681</v>
      </c>
      <c r="V154">
        <v>60000</v>
      </c>
      <c r="W154">
        <v>1</v>
      </c>
      <c r="X154" t="s">
        <v>135</v>
      </c>
      <c r="Y154" t="s">
        <v>53</v>
      </c>
      <c r="Z154" t="s">
        <v>19</v>
      </c>
      <c r="AA154" t="s">
        <v>3577</v>
      </c>
      <c r="AB154" t="s">
        <v>3578</v>
      </c>
      <c r="AC154" t="s">
        <v>3579</v>
      </c>
      <c r="AD154" t="s">
        <v>3479</v>
      </c>
      <c r="AE154" t="s">
        <v>3475</v>
      </c>
      <c r="AF154" s="2">
        <v>3578.27</v>
      </c>
      <c r="AG154" s="2">
        <v>2171.2941999999998</v>
      </c>
      <c r="AH154" s="2">
        <v>1406.9757999999999</v>
      </c>
      <c r="AI154" s="3">
        <v>0.39320001006072802</v>
      </c>
    </row>
    <row r="155" spans="1:35">
      <c r="A155" s="1">
        <v>42087</v>
      </c>
      <c r="B155" s="1">
        <v>37316</v>
      </c>
      <c r="C155" t="s">
        <v>4096</v>
      </c>
      <c r="D155">
        <v>348</v>
      </c>
      <c r="E155">
        <v>11903</v>
      </c>
      <c r="F155">
        <v>9</v>
      </c>
      <c r="G155">
        <v>1</v>
      </c>
      <c r="H155">
        <v>1</v>
      </c>
      <c r="I155">
        <v>1</v>
      </c>
      <c r="J155" t="s">
        <v>3527</v>
      </c>
      <c r="K155" t="s">
        <v>3528</v>
      </c>
      <c r="L155" s="2">
        <v>1898.0944</v>
      </c>
      <c r="M155" s="2">
        <v>3374.99</v>
      </c>
      <c r="N155" t="s">
        <v>30</v>
      </c>
      <c r="O155" t="s">
        <v>817</v>
      </c>
      <c r="P155" t="s">
        <v>155</v>
      </c>
      <c r="Q155" t="s">
        <v>6484</v>
      </c>
      <c r="R155" s="1">
        <v>25320</v>
      </c>
      <c r="S155" t="s">
        <v>22</v>
      </c>
      <c r="T155" t="s">
        <v>29</v>
      </c>
      <c r="U155" t="s">
        <v>818</v>
      </c>
      <c r="V155">
        <v>110000</v>
      </c>
      <c r="W155">
        <v>1</v>
      </c>
      <c r="X155" t="s">
        <v>135</v>
      </c>
      <c r="Y155" t="s">
        <v>45</v>
      </c>
      <c r="Z155" t="s">
        <v>19</v>
      </c>
      <c r="AA155" t="s">
        <v>3586</v>
      </c>
      <c r="AB155" t="s">
        <v>3586</v>
      </c>
      <c r="AC155" t="s">
        <v>3587</v>
      </c>
      <c r="AD155" t="s">
        <v>3478</v>
      </c>
      <c r="AE155" t="s">
        <v>3475</v>
      </c>
      <c r="AF155" s="2">
        <v>3374.99</v>
      </c>
      <c r="AG155" s="2">
        <v>1898.0944</v>
      </c>
      <c r="AH155" s="2">
        <v>1476.8956000000001</v>
      </c>
      <c r="AI155" s="3">
        <v>0.43759999288886797</v>
      </c>
    </row>
    <row r="156" spans="1:35">
      <c r="A156" s="1">
        <v>42087</v>
      </c>
      <c r="B156" s="1">
        <v>37246</v>
      </c>
      <c r="C156" t="s">
        <v>4101</v>
      </c>
      <c r="D156">
        <v>311</v>
      </c>
      <c r="E156">
        <v>11624</v>
      </c>
      <c r="F156">
        <v>4</v>
      </c>
      <c r="G156">
        <v>1</v>
      </c>
      <c r="H156">
        <v>1</v>
      </c>
      <c r="I156">
        <v>2</v>
      </c>
      <c r="J156" t="s">
        <v>3487</v>
      </c>
      <c r="K156" t="s">
        <v>3488</v>
      </c>
      <c r="L156" s="2">
        <v>2171.2941999999998</v>
      </c>
      <c r="M156" s="2">
        <v>3578.27</v>
      </c>
      <c r="N156" t="s">
        <v>13</v>
      </c>
      <c r="O156" t="s">
        <v>179</v>
      </c>
      <c r="P156" t="s">
        <v>672</v>
      </c>
      <c r="Q156" t="s">
        <v>6485</v>
      </c>
      <c r="R156" s="1">
        <v>26746</v>
      </c>
      <c r="S156" t="s">
        <v>22</v>
      </c>
      <c r="T156" t="s">
        <v>16</v>
      </c>
      <c r="U156" t="s">
        <v>673</v>
      </c>
      <c r="V156">
        <v>50000</v>
      </c>
      <c r="W156">
        <v>1</v>
      </c>
      <c r="X156" t="s">
        <v>135</v>
      </c>
      <c r="Y156" t="s">
        <v>53</v>
      </c>
      <c r="Z156" t="s">
        <v>19</v>
      </c>
      <c r="AA156" t="s">
        <v>3580</v>
      </c>
      <c r="AB156" t="s">
        <v>3578</v>
      </c>
      <c r="AC156" t="s">
        <v>3579</v>
      </c>
      <c r="AD156" t="s">
        <v>3479</v>
      </c>
      <c r="AE156" t="s">
        <v>3475</v>
      </c>
      <c r="AF156" s="2">
        <v>3578.27</v>
      </c>
      <c r="AG156" s="2">
        <v>2171.2941999999998</v>
      </c>
      <c r="AH156" s="2">
        <v>1406.9757999999999</v>
      </c>
      <c r="AI156" s="3">
        <v>0.39320001006072802</v>
      </c>
    </row>
    <row r="157" spans="1:35">
      <c r="A157" s="1">
        <v>42088</v>
      </c>
      <c r="B157" s="1">
        <v>37221</v>
      </c>
      <c r="C157" t="s">
        <v>4103</v>
      </c>
      <c r="D157">
        <v>351</v>
      </c>
      <c r="E157">
        <v>11894</v>
      </c>
      <c r="F157">
        <v>9</v>
      </c>
      <c r="G157">
        <v>1</v>
      </c>
      <c r="H157">
        <v>1</v>
      </c>
      <c r="I157">
        <v>1</v>
      </c>
      <c r="J157" t="s">
        <v>3533</v>
      </c>
      <c r="K157" t="s">
        <v>3534</v>
      </c>
      <c r="L157" s="2">
        <v>1898.0944</v>
      </c>
      <c r="M157" s="2">
        <v>3374.99</v>
      </c>
      <c r="N157" t="s">
        <v>30</v>
      </c>
      <c r="O157" t="s">
        <v>805</v>
      </c>
      <c r="P157" t="s">
        <v>95</v>
      </c>
      <c r="Q157" t="s">
        <v>6486</v>
      </c>
      <c r="R157" s="1">
        <v>25327</v>
      </c>
      <c r="S157" t="s">
        <v>16</v>
      </c>
      <c r="T157" t="s">
        <v>29</v>
      </c>
      <c r="U157" t="s">
        <v>806</v>
      </c>
      <c r="V157">
        <v>100000</v>
      </c>
      <c r="W157">
        <v>1</v>
      </c>
      <c r="X157" t="s">
        <v>135</v>
      </c>
      <c r="Y157" t="s">
        <v>45</v>
      </c>
      <c r="Z157" t="s">
        <v>19</v>
      </c>
      <c r="AA157" t="s">
        <v>3586</v>
      </c>
      <c r="AB157" t="s">
        <v>3586</v>
      </c>
      <c r="AC157" t="s">
        <v>3587</v>
      </c>
      <c r="AD157" t="s">
        <v>3478</v>
      </c>
      <c r="AE157" t="s">
        <v>3475</v>
      </c>
      <c r="AF157" s="2">
        <v>3374.99</v>
      </c>
      <c r="AG157" s="2">
        <v>1898.0944</v>
      </c>
      <c r="AH157" s="2">
        <v>1476.8956000000001</v>
      </c>
      <c r="AI157" s="3">
        <v>0.43759999288886797</v>
      </c>
    </row>
    <row r="158" spans="1:35">
      <c r="A158" s="1">
        <v>42090</v>
      </c>
      <c r="B158" s="1">
        <v>37289</v>
      </c>
      <c r="C158" t="s">
        <v>4116</v>
      </c>
      <c r="D158">
        <v>311</v>
      </c>
      <c r="E158">
        <v>11529</v>
      </c>
      <c r="F158">
        <v>1</v>
      </c>
      <c r="G158">
        <v>1</v>
      </c>
      <c r="H158">
        <v>1</v>
      </c>
      <c r="I158">
        <v>2</v>
      </c>
      <c r="J158" t="s">
        <v>3487</v>
      </c>
      <c r="K158" t="s">
        <v>3488</v>
      </c>
      <c r="L158" s="2">
        <v>2171.2941999999998</v>
      </c>
      <c r="M158" s="2">
        <v>3578.27</v>
      </c>
      <c r="N158" t="s">
        <v>13</v>
      </c>
      <c r="O158" t="s">
        <v>601</v>
      </c>
      <c r="P158" t="s">
        <v>184</v>
      </c>
      <c r="Q158" t="s">
        <v>6487</v>
      </c>
      <c r="R158" s="1">
        <v>21140</v>
      </c>
      <c r="S158" t="s">
        <v>16</v>
      </c>
      <c r="T158" t="s">
        <v>16</v>
      </c>
      <c r="U158" t="s">
        <v>602</v>
      </c>
      <c r="V158">
        <v>40000</v>
      </c>
      <c r="W158">
        <v>1</v>
      </c>
      <c r="X158" t="s">
        <v>52</v>
      </c>
      <c r="Y158" t="s">
        <v>60</v>
      </c>
      <c r="Z158" t="s">
        <v>19</v>
      </c>
      <c r="AA158" t="s">
        <v>3577</v>
      </c>
      <c r="AB158" t="s">
        <v>3578</v>
      </c>
      <c r="AC158" t="s">
        <v>3579</v>
      </c>
      <c r="AD158" t="s">
        <v>3479</v>
      </c>
      <c r="AE158" t="s">
        <v>3475</v>
      </c>
      <c r="AF158" s="2">
        <v>3578.27</v>
      </c>
      <c r="AG158" s="2">
        <v>2171.2941999999998</v>
      </c>
      <c r="AH158" s="2">
        <v>1406.9757999999999</v>
      </c>
      <c r="AI158" s="3">
        <v>0.39320001006072802</v>
      </c>
    </row>
    <row r="159" spans="1:35">
      <c r="A159" s="1">
        <v>42089</v>
      </c>
      <c r="B159" s="1">
        <v>37229</v>
      </c>
      <c r="C159" t="s">
        <v>4110</v>
      </c>
      <c r="D159">
        <v>314</v>
      </c>
      <c r="E159">
        <v>11539</v>
      </c>
      <c r="F159">
        <v>4</v>
      </c>
      <c r="G159">
        <v>1</v>
      </c>
      <c r="H159">
        <v>1</v>
      </c>
      <c r="I159">
        <v>2</v>
      </c>
      <c r="J159" t="s">
        <v>3493</v>
      </c>
      <c r="K159" t="s">
        <v>3494</v>
      </c>
      <c r="L159" s="2">
        <v>2171.2941999999998</v>
      </c>
      <c r="M159" s="2">
        <v>3578.27</v>
      </c>
      <c r="N159" t="s">
        <v>13</v>
      </c>
      <c r="O159" t="s">
        <v>614</v>
      </c>
      <c r="P159" t="s">
        <v>594</v>
      </c>
      <c r="Q159" t="s">
        <v>6488</v>
      </c>
      <c r="R159" s="1">
        <v>21784</v>
      </c>
      <c r="S159" t="s">
        <v>16</v>
      </c>
      <c r="T159" t="s">
        <v>16</v>
      </c>
      <c r="U159" t="s">
        <v>615</v>
      </c>
      <c r="V159">
        <v>60000</v>
      </c>
      <c r="W159">
        <v>4</v>
      </c>
      <c r="X159" t="s">
        <v>135</v>
      </c>
      <c r="Y159" t="s">
        <v>53</v>
      </c>
      <c r="Z159" t="s">
        <v>19</v>
      </c>
      <c r="AA159" t="s">
        <v>3580</v>
      </c>
      <c r="AB159" t="s">
        <v>3578</v>
      </c>
      <c r="AC159" t="s">
        <v>3579</v>
      </c>
      <c r="AD159" t="s">
        <v>3479</v>
      </c>
      <c r="AE159" t="s">
        <v>3475</v>
      </c>
      <c r="AF159" s="2">
        <v>3578.27</v>
      </c>
      <c r="AG159" s="2">
        <v>2171.2941999999998</v>
      </c>
      <c r="AH159" s="2">
        <v>1406.9757999999999</v>
      </c>
      <c r="AI159" s="3">
        <v>0.39320001006072802</v>
      </c>
    </row>
    <row r="160" spans="1:35">
      <c r="A160" s="1">
        <v>42090</v>
      </c>
      <c r="B160" s="1">
        <v>37287</v>
      </c>
      <c r="C160" t="s">
        <v>4117</v>
      </c>
      <c r="D160">
        <v>314</v>
      </c>
      <c r="E160">
        <v>11536</v>
      </c>
      <c r="F160">
        <v>4</v>
      </c>
      <c r="G160">
        <v>1</v>
      </c>
      <c r="H160">
        <v>1</v>
      </c>
      <c r="I160">
        <v>2</v>
      </c>
      <c r="J160" t="s">
        <v>3493</v>
      </c>
      <c r="K160" t="s">
        <v>3494</v>
      </c>
      <c r="L160" s="2">
        <v>2171.2941999999998</v>
      </c>
      <c r="M160" s="2">
        <v>3578.27</v>
      </c>
      <c r="N160" t="s">
        <v>13</v>
      </c>
      <c r="O160" t="s">
        <v>608</v>
      </c>
      <c r="P160" t="s">
        <v>609</v>
      </c>
      <c r="Q160" t="s">
        <v>6489</v>
      </c>
      <c r="R160" s="1">
        <v>21292</v>
      </c>
      <c r="S160" t="s">
        <v>16</v>
      </c>
      <c r="T160" t="s">
        <v>16</v>
      </c>
      <c r="U160" t="s">
        <v>610</v>
      </c>
      <c r="V160">
        <v>60000</v>
      </c>
      <c r="W160">
        <v>4</v>
      </c>
      <c r="X160" t="s">
        <v>135</v>
      </c>
      <c r="Y160" t="s">
        <v>53</v>
      </c>
      <c r="Z160" t="s">
        <v>19</v>
      </c>
      <c r="AA160" t="s">
        <v>3580</v>
      </c>
      <c r="AB160" t="s">
        <v>3578</v>
      </c>
      <c r="AC160" t="s">
        <v>3579</v>
      </c>
      <c r="AD160" t="s">
        <v>3479</v>
      </c>
      <c r="AE160" t="s">
        <v>3475</v>
      </c>
      <c r="AF160" s="2">
        <v>3578.27</v>
      </c>
      <c r="AG160" s="2">
        <v>2171.2941999999998</v>
      </c>
      <c r="AH160" s="2">
        <v>1406.9757999999999</v>
      </c>
      <c r="AI160" s="3">
        <v>0.39320001006072802</v>
      </c>
    </row>
    <row r="161" spans="1:35">
      <c r="A161" s="1">
        <v>42090</v>
      </c>
      <c r="B161" s="1">
        <v>37314</v>
      </c>
      <c r="C161" t="s">
        <v>4118</v>
      </c>
      <c r="D161">
        <v>313</v>
      </c>
      <c r="E161">
        <v>11625</v>
      </c>
      <c r="F161">
        <v>4</v>
      </c>
      <c r="G161">
        <v>1</v>
      </c>
      <c r="H161">
        <v>1</v>
      </c>
      <c r="I161">
        <v>2</v>
      </c>
      <c r="J161" t="s">
        <v>3491</v>
      </c>
      <c r="K161" t="s">
        <v>3492</v>
      </c>
      <c r="L161" s="2">
        <v>2171.2941999999998</v>
      </c>
      <c r="M161" s="2">
        <v>3578.27</v>
      </c>
      <c r="N161" t="s">
        <v>13</v>
      </c>
      <c r="O161" t="s">
        <v>433</v>
      </c>
      <c r="P161" t="s">
        <v>674</v>
      </c>
      <c r="Q161" t="s">
        <v>6490</v>
      </c>
      <c r="R161" s="1">
        <v>26683</v>
      </c>
      <c r="S161" t="s">
        <v>16</v>
      </c>
      <c r="T161" t="s">
        <v>16</v>
      </c>
      <c r="U161" t="s">
        <v>675</v>
      </c>
      <c r="V161">
        <v>50000</v>
      </c>
      <c r="W161">
        <v>1</v>
      </c>
      <c r="X161" t="s">
        <v>135</v>
      </c>
      <c r="Y161" t="s">
        <v>53</v>
      </c>
      <c r="Z161" t="s">
        <v>19</v>
      </c>
      <c r="AA161" t="s">
        <v>3580</v>
      </c>
      <c r="AB161" t="s">
        <v>3578</v>
      </c>
      <c r="AC161" t="s">
        <v>3579</v>
      </c>
      <c r="AD161" t="s">
        <v>3479</v>
      </c>
      <c r="AE161" t="s">
        <v>3475</v>
      </c>
      <c r="AF161" s="2">
        <v>3578.27</v>
      </c>
      <c r="AG161" s="2">
        <v>2171.2941999999998</v>
      </c>
      <c r="AH161" s="2">
        <v>1406.9757999999999</v>
      </c>
      <c r="AI161" s="3">
        <v>0.39320001006072802</v>
      </c>
    </row>
    <row r="162" spans="1:35">
      <c r="A162" s="1">
        <v>42091</v>
      </c>
      <c r="B162" s="1">
        <v>37323</v>
      </c>
      <c r="C162" t="s">
        <v>4120</v>
      </c>
      <c r="D162">
        <v>312</v>
      </c>
      <c r="E162">
        <v>12621</v>
      </c>
      <c r="F162">
        <v>7</v>
      </c>
      <c r="G162">
        <v>1</v>
      </c>
      <c r="H162">
        <v>1</v>
      </c>
      <c r="I162">
        <v>2</v>
      </c>
      <c r="J162" t="s">
        <v>3489</v>
      </c>
      <c r="K162" t="s">
        <v>3490</v>
      </c>
      <c r="L162" s="2">
        <v>2171.2941999999998</v>
      </c>
      <c r="M162" s="2">
        <v>3578.27</v>
      </c>
      <c r="N162" t="s">
        <v>13</v>
      </c>
      <c r="O162" t="s">
        <v>1180</v>
      </c>
      <c r="P162" t="s">
        <v>290</v>
      </c>
      <c r="Q162" t="s">
        <v>6491</v>
      </c>
      <c r="R162" s="1">
        <v>25549</v>
      </c>
      <c r="S162" t="s">
        <v>16</v>
      </c>
      <c r="T162" t="s">
        <v>16</v>
      </c>
      <c r="U162" t="s">
        <v>1214</v>
      </c>
      <c r="V162">
        <v>40000</v>
      </c>
      <c r="W162">
        <v>0</v>
      </c>
      <c r="X162" t="s">
        <v>135</v>
      </c>
      <c r="Y162" t="s">
        <v>60</v>
      </c>
      <c r="Z162" t="s">
        <v>19</v>
      </c>
      <c r="AA162" t="s">
        <v>3583</v>
      </c>
      <c r="AB162" t="s">
        <v>3583</v>
      </c>
      <c r="AC162" t="s">
        <v>3584</v>
      </c>
      <c r="AD162" t="s">
        <v>3479</v>
      </c>
      <c r="AE162" t="s">
        <v>3475</v>
      </c>
      <c r="AF162" s="2">
        <v>3578.27</v>
      </c>
      <c r="AG162" s="2">
        <v>2171.2941999999998</v>
      </c>
      <c r="AH162" s="2">
        <v>1406.9757999999999</v>
      </c>
      <c r="AI162" s="3">
        <v>0.39320001006072802</v>
      </c>
    </row>
    <row r="163" spans="1:35">
      <c r="A163" s="1">
        <v>42091</v>
      </c>
      <c r="B163" s="1">
        <v>37311</v>
      </c>
      <c r="C163" t="s">
        <v>4122</v>
      </c>
      <c r="D163">
        <v>314</v>
      </c>
      <c r="E163">
        <v>11629</v>
      </c>
      <c r="F163">
        <v>4</v>
      </c>
      <c r="G163">
        <v>1</v>
      </c>
      <c r="H163">
        <v>1</v>
      </c>
      <c r="I163">
        <v>2</v>
      </c>
      <c r="J163" t="s">
        <v>3493</v>
      </c>
      <c r="K163" t="s">
        <v>3494</v>
      </c>
      <c r="L163" s="2">
        <v>2171.2941999999998</v>
      </c>
      <c r="M163" s="2">
        <v>3578.27</v>
      </c>
      <c r="N163" t="s">
        <v>13</v>
      </c>
      <c r="O163" t="s">
        <v>679</v>
      </c>
      <c r="P163" t="s">
        <v>240</v>
      </c>
      <c r="Q163" t="s">
        <v>6492</v>
      </c>
      <c r="R163" s="1">
        <v>25972</v>
      </c>
      <c r="S163" t="s">
        <v>22</v>
      </c>
      <c r="T163" t="s">
        <v>16</v>
      </c>
      <c r="U163" t="s">
        <v>680</v>
      </c>
      <c r="V163">
        <v>40000</v>
      </c>
      <c r="W163">
        <v>4</v>
      </c>
      <c r="X163" t="s">
        <v>57</v>
      </c>
      <c r="Y163" t="s">
        <v>53</v>
      </c>
      <c r="Z163" t="s">
        <v>19</v>
      </c>
      <c r="AA163" t="s">
        <v>3580</v>
      </c>
      <c r="AB163" t="s">
        <v>3578</v>
      </c>
      <c r="AC163" t="s">
        <v>3579</v>
      </c>
      <c r="AD163" t="s">
        <v>3479</v>
      </c>
      <c r="AE163" t="s">
        <v>3475</v>
      </c>
      <c r="AF163" s="2">
        <v>3578.27</v>
      </c>
      <c r="AG163" s="2">
        <v>2171.2941999999998</v>
      </c>
      <c r="AH163" s="2">
        <v>1406.9757999999999</v>
      </c>
      <c r="AI163" s="3">
        <v>0.39320001006072802</v>
      </c>
    </row>
    <row r="164" spans="1:35">
      <c r="A164" s="1">
        <v>42091</v>
      </c>
      <c r="B164" s="1">
        <v>37310</v>
      </c>
      <c r="C164" t="s">
        <v>4126</v>
      </c>
      <c r="D164">
        <v>312</v>
      </c>
      <c r="E164">
        <v>12561</v>
      </c>
      <c r="F164">
        <v>7</v>
      </c>
      <c r="G164">
        <v>1</v>
      </c>
      <c r="H164">
        <v>1</v>
      </c>
      <c r="I164">
        <v>2</v>
      </c>
      <c r="J164" t="s">
        <v>3489</v>
      </c>
      <c r="K164" t="s">
        <v>3490</v>
      </c>
      <c r="L164" s="2">
        <v>2171.2941999999998</v>
      </c>
      <c r="M164" s="2">
        <v>3578.27</v>
      </c>
      <c r="N164" t="s">
        <v>30</v>
      </c>
      <c r="O164" t="s">
        <v>644</v>
      </c>
      <c r="P164" t="s">
        <v>212</v>
      </c>
      <c r="Q164" t="s">
        <v>6493</v>
      </c>
      <c r="R164" s="1">
        <v>15176</v>
      </c>
      <c r="S164" t="s">
        <v>22</v>
      </c>
      <c r="T164" t="s">
        <v>29</v>
      </c>
      <c r="U164" t="s">
        <v>1183</v>
      </c>
      <c r="V164">
        <v>10000</v>
      </c>
      <c r="W164">
        <v>2</v>
      </c>
      <c r="X164" t="s">
        <v>52</v>
      </c>
      <c r="Y164" t="s">
        <v>444</v>
      </c>
      <c r="Z164" t="s">
        <v>19</v>
      </c>
      <c r="AA164" t="s">
        <v>3583</v>
      </c>
      <c r="AB164" t="s">
        <v>3583</v>
      </c>
      <c r="AC164" t="s">
        <v>3584</v>
      </c>
      <c r="AD164" t="s">
        <v>3479</v>
      </c>
      <c r="AE164" t="s">
        <v>3475</v>
      </c>
      <c r="AF164" s="2">
        <v>3578.27</v>
      </c>
      <c r="AG164" s="2">
        <v>2171.2941999999998</v>
      </c>
      <c r="AH164" s="2">
        <v>1406.9757999999999</v>
      </c>
      <c r="AI164" s="3">
        <v>0.39320001006072802</v>
      </c>
    </row>
    <row r="165" spans="1:35">
      <c r="A165" s="1">
        <v>42178</v>
      </c>
      <c r="B165" s="1">
        <v>37383</v>
      </c>
      <c r="C165" t="s">
        <v>4707</v>
      </c>
      <c r="D165">
        <v>345</v>
      </c>
      <c r="E165">
        <v>11549</v>
      </c>
      <c r="F165">
        <v>10</v>
      </c>
      <c r="G165">
        <v>1</v>
      </c>
      <c r="H165">
        <v>1</v>
      </c>
      <c r="I165">
        <v>1</v>
      </c>
      <c r="J165" t="s">
        <v>3521</v>
      </c>
      <c r="K165" t="s">
        <v>3522</v>
      </c>
      <c r="L165" s="2">
        <v>1912.1543999999999</v>
      </c>
      <c r="M165" s="2">
        <v>3399.99</v>
      </c>
      <c r="N165" t="s">
        <v>26</v>
      </c>
      <c r="O165" t="s">
        <v>218</v>
      </c>
      <c r="P165" t="s">
        <v>151</v>
      </c>
      <c r="Q165" t="s">
        <v>6494</v>
      </c>
      <c r="R165" s="1">
        <v>25087</v>
      </c>
      <c r="S165" t="s">
        <v>16</v>
      </c>
      <c r="T165" t="s">
        <v>29</v>
      </c>
      <c r="U165" t="s">
        <v>623</v>
      </c>
      <c r="V165">
        <v>40000</v>
      </c>
      <c r="W165">
        <v>0</v>
      </c>
      <c r="X165" t="s">
        <v>17</v>
      </c>
      <c r="Y165" t="s">
        <v>60</v>
      </c>
      <c r="Z165" t="s">
        <v>19</v>
      </c>
      <c r="AA165" t="s">
        <v>3588</v>
      </c>
      <c r="AB165" t="s">
        <v>3588</v>
      </c>
      <c r="AC165" t="s">
        <v>3584</v>
      </c>
      <c r="AD165" t="s">
        <v>3478</v>
      </c>
      <c r="AE165" t="s">
        <v>3475</v>
      </c>
      <c r="AF165" s="2">
        <v>3399.99</v>
      </c>
      <c r="AG165" s="2">
        <v>1912.1543999999999</v>
      </c>
      <c r="AH165" s="2">
        <v>1487.8356000000001</v>
      </c>
      <c r="AI165" s="3">
        <v>0.43759999294115598</v>
      </c>
    </row>
    <row r="166" spans="1:35">
      <c r="A166" s="1">
        <v>42208</v>
      </c>
      <c r="B166" s="1">
        <v>37386</v>
      </c>
      <c r="C166" t="s">
        <v>4944</v>
      </c>
      <c r="D166">
        <v>362</v>
      </c>
      <c r="E166">
        <v>11550</v>
      </c>
      <c r="F166">
        <v>10</v>
      </c>
      <c r="G166">
        <v>1</v>
      </c>
      <c r="H166">
        <v>1</v>
      </c>
      <c r="I166">
        <v>1</v>
      </c>
      <c r="J166" t="s">
        <v>3545</v>
      </c>
      <c r="K166" t="s">
        <v>3546</v>
      </c>
      <c r="L166" s="2">
        <v>1105.81</v>
      </c>
      <c r="M166" s="2">
        <v>2049.0981999999999</v>
      </c>
      <c r="N166" t="s">
        <v>26</v>
      </c>
      <c r="O166" t="s">
        <v>624</v>
      </c>
      <c r="P166" t="s">
        <v>25</v>
      </c>
      <c r="Q166" t="s">
        <v>6495</v>
      </c>
      <c r="R166" s="1">
        <v>25058</v>
      </c>
      <c r="S166" t="s">
        <v>22</v>
      </c>
      <c r="T166" t="s">
        <v>29</v>
      </c>
      <c r="U166" t="s">
        <v>625</v>
      </c>
      <c r="V166">
        <v>40000</v>
      </c>
      <c r="W166">
        <v>0</v>
      </c>
      <c r="X166" t="s">
        <v>17</v>
      </c>
      <c r="Y166" t="s">
        <v>60</v>
      </c>
      <c r="Z166" t="s">
        <v>19</v>
      </c>
      <c r="AA166" t="s">
        <v>3588</v>
      </c>
      <c r="AB166" t="s">
        <v>3588</v>
      </c>
      <c r="AC166" t="s">
        <v>3584</v>
      </c>
      <c r="AD166" t="s">
        <v>3478</v>
      </c>
      <c r="AE166" t="s">
        <v>3475</v>
      </c>
      <c r="AF166" s="2">
        <v>2049.0981999999999</v>
      </c>
      <c r="AG166" s="2">
        <v>1105.81</v>
      </c>
      <c r="AH166" s="2">
        <v>943.28819999999996</v>
      </c>
      <c r="AI166" s="3">
        <v>0.46034309141455498</v>
      </c>
    </row>
    <row r="167" spans="1:35">
      <c r="A167" s="1">
        <v>42094</v>
      </c>
      <c r="B167" s="1">
        <v>37247</v>
      </c>
      <c r="C167" t="s">
        <v>4140</v>
      </c>
      <c r="D167">
        <v>346</v>
      </c>
      <c r="E167">
        <v>11907</v>
      </c>
      <c r="F167">
        <v>9</v>
      </c>
      <c r="G167">
        <v>1</v>
      </c>
      <c r="H167">
        <v>1</v>
      </c>
      <c r="I167">
        <v>1</v>
      </c>
      <c r="J167" t="s">
        <v>3523</v>
      </c>
      <c r="K167" t="s">
        <v>3524</v>
      </c>
      <c r="L167" s="2">
        <v>1912.1543999999999</v>
      </c>
      <c r="M167" s="2">
        <v>3399.99</v>
      </c>
      <c r="N167" t="s">
        <v>30</v>
      </c>
      <c r="O167" t="s">
        <v>298</v>
      </c>
      <c r="P167" t="s">
        <v>99</v>
      </c>
      <c r="Q167" t="s">
        <v>6496</v>
      </c>
      <c r="R167" s="1">
        <v>24723</v>
      </c>
      <c r="S167" t="s">
        <v>22</v>
      </c>
      <c r="T167" t="s">
        <v>29</v>
      </c>
      <c r="U167" t="s">
        <v>822</v>
      </c>
      <c r="V167">
        <v>80000</v>
      </c>
      <c r="W167">
        <v>5</v>
      </c>
      <c r="X167" t="s">
        <v>135</v>
      </c>
      <c r="Y167" t="s">
        <v>45</v>
      </c>
      <c r="Z167" t="s">
        <v>19</v>
      </c>
      <c r="AA167" t="s">
        <v>3586</v>
      </c>
      <c r="AB167" t="s">
        <v>3586</v>
      </c>
      <c r="AC167" t="s">
        <v>3587</v>
      </c>
      <c r="AD167" t="s">
        <v>3478</v>
      </c>
      <c r="AE167" t="s">
        <v>3475</v>
      </c>
      <c r="AF167" s="2">
        <v>3399.99</v>
      </c>
      <c r="AG167" s="2">
        <v>1912.1543999999999</v>
      </c>
      <c r="AH167" s="2">
        <v>1487.8356000000001</v>
      </c>
      <c r="AI167" s="3">
        <v>0.43759999294115598</v>
      </c>
    </row>
    <row r="168" spans="1:35">
      <c r="A168" s="1">
        <v>42238</v>
      </c>
      <c r="B168" s="1">
        <v>37427</v>
      </c>
      <c r="C168" t="s">
        <v>5196</v>
      </c>
      <c r="D168">
        <v>358</v>
      </c>
      <c r="E168">
        <v>11561</v>
      </c>
      <c r="F168">
        <v>8</v>
      </c>
      <c r="G168">
        <v>1</v>
      </c>
      <c r="H168">
        <v>1</v>
      </c>
      <c r="I168">
        <v>1</v>
      </c>
      <c r="J168" t="s">
        <v>3541</v>
      </c>
      <c r="K168" t="s">
        <v>3542</v>
      </c>
      <c r="L168" s="2">
        <v>1105.81</v>
      </c>
      <c r="M168" s="2">
        <v>2049.0981999999999</v>
      </c>
      <c r="N168" t="s">
        <v>30</v>
      </c>
      <c r="O168" t="s">
        <v>633</v>
      </c>
      <c r="P168" t="s">
        <v>97</v>
      </c>
      <c r="Q168" t="s">
        <v>6497</v>
      </c>
      <c r="R168" s="1">
        <v>24312</v>
      </c>
      <c r="S168" t="s">
        <v>22</v>
      </c>
      <c r="T168" t="s">
        <v>29</v>
      </c>
      <c r="U168" t="s">
        <v>634</v>
      </c>
      <c r="V168">
        <v>10000</v>
      </c>
      <c r="W168">
        <v>5</v>
      </c>
      <c r="X168" t="s">
        <v>77</v>
      </c>
      <c r="Y168" t="s">
        <v>444</v>
      </c>
      <c r="Z168" t="s">
        <v>19</v>
      </c>
      <c r="AA168" t="s">
        <v>3585</v>
      </c>
      <c r="AB168" t="s">
        <v>3585</v>
      </c>
      <c r="AC168" t="s">
        <v>3584</v>
      </c>
      <c r="AD168" t="s">
        <v>3478</v>
      </c>
      <c r="AE168" t="s">
        <v>3475</v>
      </c>
      <c r="AF168" s="2">
        <v>2049.0981999999999</v>
      </c>
      <c r="AG168" s="2">
        <v>1105.81</v>
      </c>
      <c r="AH168" s="2">
        <v>943.28819999999996</v>
      </c>
      <c r="AI168" s="3">
        <v>0.46034309141455498</v>
      </c>
    </row>
    <row r="169" spans="1:35">
      <c r="A169" s="1">
        <v>42235</v>
      </c>
      <c r="B169" s="1">
        <v>37442</v>
      </c>
      <c r="C169" t="s">
        <v>5166</v>
      </c>
      <c r="D169">
        <v>362</v>
      </c>
      <c r="E169">
        <v>11564</v>
      </c>
      <c r="F169">
        <v>8</v>
      </c>
      <c r="G169">
        <v>1</v>
      </c>
      <c r="H169">
        <v>1</v>
      </c>
      <c r="I169">
        <v>1</v>
      </c>
      <c r="J169" t="s">
        <v>3545</v>
      </c>
      <c r="K169" t="s">
        <v>3546</v>
      </c>
      <c r="L169" s="2">
        <v>1105.81</v>
      </c>
      <c r="M169" s="2">
        <v>2049.0981999999999</v>
      </c>
      <c r="N169" t="s">
        <v>13</v>
      </c>
      <c r="O169" t="s">
        <v>635</v>
      </c>
      <c r="P169" t="s">
        <v>151</v>
      </c>
      <c r="Q169" t="s">
        <v>6498</v>
      </c>
      <c r="R169" s="1">
        <v>24300</v>
      </c>
      <c r="S169" t="s">
        <v>22</v>
      </c>
      <c r="T169" t="s">
        <v>16</v>
      </c>
      <c r="U169" t="s">
        <v>636</v>
      </c>
      <c r="V169">
        <v>20000</v>
      </c>
      <c r="W169">
        <v>1</v>
      </c>
      <c r="X169" t="s">
        <v>57</v>
      </c>
      <c r="Y169" t="s">
        <v>444</v>
      </c>
      <c r="Z169" t="s">
        <v>23</v>
      </c>
      <c r="AA169" t="s">
        <v>3585</v>
      </c>
      <c r="AB169" t="s">
        <v>3585</v>
      </c>
      <c r="AC169" t="s">
        <v>3584</v>
      </c>
      <c r="AD169" t="s">
        <v>3478</v>
      </c>
      <c r="AE169" t="s">
        <v>3475</v>
      </c>
      <c r="AF169" s="2">
        <v>2049.0981999999999</v>
      </c>
      <c r="AG169" s="2">
        <v>1105.81</v>
      </c>
      <c r="AH169" s="2">
        <v>943.28819999999996</v>
      </c>
      <c r="AI169" s="3">
        <v>0.46034309141455498</v>
      </c>
    </row>
    <row r="170" spans="1:35">
      <c r="A170" s="1">
        <v>42095</v>
      </c>
      <c r="B170" s="1">
        <v>37245</v>
      </c>
      <c r="C170" t="s">
        <v>4145</v>
      </c>
      <c r="D170">
        <v>313</v>
      </c>
      <c r="E170">
        <v>11830</v>
      </c>
      <c r="F170">
        <v>4</v>
      </c>
      <c r="G170">
        <v>1</v>
      </c>
      <c r="H170">
        <v>1</v>
      </c>
      <c r="I170">
        <v>2</v>
      </c>
      <c r="J170" t="s">
        <v>3491</v>
      </c>
      <c r="K170" t="s">
        <v>3492</v>
      </c>
      <c r="L170" s="2">
        <v>2171.2941999999998</v>
      </c>
      <c r="M170" s="2">
        <v>3578.27</v>
      </c>
      <c r="N170" t="s">
        <v>30</v>
      </c>
      <c r="O170" t="s">
        <v>254</v>
      </c>
      <c r="P170" t="s">
        <v>99</v>
      </c>
      <c r="Q170" t="s">
        <v>6499</v>
      </c>
      <c r="R170" s="1">
        <v>25218</v>
      </c>
      <c r="S170" t="s">
        <v>16</v>
      </c>
      <c r="T170" t="s">
        <v>29</v>
      </c>
      <c r="U170" t="s">
        <v>782</v>
      </c>
      <c r="V170">
        <v>80000</v>
      </c>
      <c r="W170">
        <v>3</v>
      </c>
      <c r="X170" t="s">
        <v>135</v>
      </c>
      <c r="Y170" t="s">
        <v>18</v>
      </c>
      <c r="Z170" t="s">
        <v>19</v>
      </c>
      <c r="AA170" t="s">
        <v>3580</v>
      </c>
      <c r="AB170" t="s">
        <v>3578</v>
      </c>
      <c r="AC170" t="s">
        <v>3579</v>
      </c>
      <c r="AD170" t="s">
        <v>3479</v>
      </c>
      <c r="AE170" t="s">
        <v>3475</v>
      </c>
      <c r="AF170" s="2">
        <v>3578.27</v>
      </c>
      <c r="AG170" s="2">
        <v>2171.2941999999998</v>
      </c>
      <c r="AH170" s="2">
        <v>1406.9757999999999</v>
      </c>
      <c r="AI170" s="3">
        <v>0.39320001006072802</v>
      </c>
    </row>
    <row r="171" spans="1:35">
      <c r="A171" s="1">
        <v>42198</v>
      </c>
      <c r="B171" s="1">
        <v>37423</v>
      </c>
      <c r="C171" t="s">
        <v>4862</v>
      </c>
      <c r="D171">
        <v>356</v>
      </c>
      <c r="E171">
        <v>11568</v>
      </c>
      <c r="F171">
        <v>10</v>
      </c>
      <c r="G171">
        <v>1</v>
      </c>
      <c r="H171">
        <v>1</v>
      </c>
      <c r="I171">
        <v>1</v>
      </c>
      <c r="J171" t="s">
        <v>3539</v>
      </c>
      <c r="K171" t="s">
        <v>3540</v>
      </c>
      <c r="L171" s="2">
        <v>1117.8559</v>
      </c>
      <c r="M171" s="2">
        <v>2071.4196000000002</v>
      </c>
      <c r="N171" t="s">
        <v>30</v>
      </c>
      <c r="O171" t="s">
        <v>322</v>
      </c>
      <c r="P171" t="s">
        <v>321</v>
      </c>
      <c r="Q171" t="s">
        <v>6500</v>
      </c>
      <c r="R171" s="1">
        <v>24403</v>
      </c>
      <c r="S171" t="s">
        <v>22</v>
      </c>
      <c r="T171" t="s">
        <v>29</v>
      </c>
      <c r="U171" t="s">
        <v>638</v>
      </c>
      <c r="V171">
        <v>20000</v>
      </c>
      <c r="W171">
        <v>2</v>
      </c>
      <c r="X171" t="s">
        <v>57</v>
      </c>
      <c r="Y171" t="s">
        <v>444</v>
      </c>
      <c r="Z171" t="s">
        <v>19</v>
      </c>
      <c r="AA171" t="s">
        <v>3588</v>
      </c>
      <c r="AB171" t="s">
        <v>3588</v>
      </c>
      <c r="AC171" t="s">
        <v>3584</v>
      </c>
      <c r="AD171" t="s">
        <v>3478</v>
      </c>
      <c r="AE171" t="s">
        <v>3475</v>
      </c>
      <c r="AF171" s="2">
        <v>2071.4196000000002</v>
      </c>
      <c r="AG171" s="2">
        <v>1117.8559</v>
      </c>
      <c r="AH171" s="2">
        <v>953.56370000000004</v>
      </c>
      <c r="AI171" s="3">
        <v>0.460343090313522</v>
      </c>
    </row>
    <row r="172" spans="1:35">
      <c r="A172" s="1">
        <v>42273</v>
      </c>
      <c r="B172" s="1">
        <v>37482</v>
      </c>
      <c r="C172" t="s">
        <v>5457</v>
      </c>
      <c r="D172">
        <v>356</v>
      </c>
      <c r="E172">
        <v>11570</v>
      </c>
      <c r="F172">
        <v>8</v>
      </c>
      <c r="G172">
        <v>1</v>
      </c>
      <c r="H172">
        <v>1</v>
      </c>
      <c r="I172">
        <v>1</v>
      </c>
      <c r="J172" t="s">
        <v>3539</v>
      </c>
      <c r="K172" t="s">
        <v>3540</v>
      </c>
      <c r="L172" s="2">
        <v>1117.8559</v>
      </c>
      <c r="M172" s="2">
        <v>2071.4196000000002</v>
      </c>
      <c r="N172" t="s">
        <v>30</v>
      </c>
      <c r="O172" t="s">
        <v>640</v>
      </c>
      <c r="P172" t="s">
        <v>134</v>
      </c>
      <c r="Q172" t="s">
        <v>6501</v>
      </c>
      <c r="R172" s="1">
        <v>24129</v>
      </c>
      <c r="S172" t="s">
        <v>16</v>
      </c>
      <c r="T172" t="s">
        <v>29</v>
      </c>
      <c r="U172" t="s">
        <v>641</v>
      </c>
      <c r="V172">
        <v>30000</v>
      </c>
      <c r="W172">
        <v>1</v>
      </c>
      <c r="X172" t="s">
        <v>17</v>
      </c>
      <c r="Y172" t="s">
        <v>53</v>
      </c>
      <c r="Z172" t="s">
        <v>19</v>
      </c>
      <c r="AA172" t="s">
        <v>3585</v>
      </c>
      <c r="AB172" t="s">
        <v>3585</v>
      </c>
      <c r="AC172" t="s">
        <v>3584</v>
      </c>
      <c r="AD172" t="s">
        <v>3478</v>
      </c>
      <c r="AE172" t="s">
        <v>3475</v>
      </c>
      <c r="AF172" s="2">
        <v>2071.4196000000002</v>
      </c>
      <c r="AG172" s="2">
        <v>1117.8559</v>
      </c>
      <c r="AH172" s="2">
        <v>953.56370000000004</v>
      </c>
      <c r="AI172" s="3">
        <v>0.460343090313522</v>
      </c>
    </row>
    <row r="173" spans="1:35">
      <c r="A173" s="1">
        <v>42097</v>
      </c>
      <c r="B173" s="1">
        <v>37327</v>
      </c>
      <c r="C173" t="s">
        <v>4153</v>
      </c>
      <c r="D173">
        <v>351</v>
      </c>
      <c r="E173">
        <v>11916</v>
      </c>
      <c r="F173">
        <v>9</v>
      </c>
      <c r="G173">
        <v>1</v>
      </c>
      <c r="H173">
        <v>1</v>
      </c>
      <c r="I173">
        <v>1</v>
      </c>
      <c r="J173" t="s">
        <v>3533</v>
      </c>
      <c r="K173" t="s">
        <v>3534</v>
      </c>
      <c r="L173" s="2">
        <v>1898.0944</v>
      </c>
      <c r="M173" s="2">
        <v>3374.99</v>
      </c>
      <c r="N173" t="s">
        <v>13</v>
      </c>
      <c r="O173" t="s">
        <v>774</v>
      </c>
      <c r="P173" t="s">
        <v>830</v>
      </c>
      <c r="Q173" t="s">
        <v>6502</v>
      </c>
      <c r="R173" s="1">
        <v>23992</v>
      </c>
      <c r="S173" t="s">
        <v>22</v>
      </c>
      <c r="T173" t="s">
        <v>16</v>
      </c>
      <c r="U173" t="s">
        <v>833</v>
      </c>
      <c r="V173">
        <v>70000</v>
      </c>
      <c r="W173">
        <v>0</v>
      </c>
      <c r="X173" t="s">
        <v>17</v>
      </c>
      <c r="Y173" t="s">
        <v>18</v>
      </c>
      <c r="Z173" t="s">
        <v>23</v>
      </c>
      <c r="AA173" t="s">
        <v>3586</v>
      </c>
      <c r="AB173" t="s">
        <v>3586</v>
      </c>
      <c r="AC173" t="s">
        <v>3587</v>
      </c>
      <c r="AD173" t="s">
        <v>3478</v>
      </c>
      <c r="AE173" t="s">
        <v>3475</v>
      </c>
      <c r="AF173" s="2">
        <v>3374.99</v>
      </c>
      <c r="AG173" s="2">
        <v>1898.0944</v>
      </c>
      <c r="AH173" s="2">
        <v>1476.8956000000001</v>
      </c>
      <c r="AI173" s="3">
        <v>0.43759999288886797</v>
      </c>
    </row>
    <row r="174" spans="1:35">
      <c r="A174" s="1">
        <v>42208</v>
      </c>
      <c r="B174" s="1">
        <v>37423</v>
      </c>
      <c r="C174" t="s">
        <v>4948</v>
      </c>
      <c r="D174">
        <v>362</v>
      </c>
      <c r="E174">
        <v>11575</v>
      </c>
      <c r="F174">
        <v>10</v>
      </c>
      <c r="G174">
        <v>1</v>
      </c>
      <c r="H174">
        <v>1</v>
      </c>
      <c r="I174">
        <v>1</v>
      </c>
      <c r="J174" t="s">
        <v>3545</v>
      </c>
      <c r="K174" t="s">
        <v>3546</v>
      </c>
      <c r="L174" s="2">
        <v>1105.81</v>
      </c>
      <c r="M174" s="2">
        <v>2049.0981999999999</v>
      </c>
      <c r="N174" t="s">
        <v>13</v>
      </c>
      <c r="O174" t="s">
        <v>393</v>
      </c>
      <c r="P174" t="s">
        <v>326</v>
      </c>
      <c r="Q174" t="s">
        <v>6503</v>
      </c>
      <c r="R174" s="1">
        <v>23853</v>
      </c>
      <c r="S174" t="s">
        <v>22</v>
      </c>
      <c r="T174" t="s">
        <v>16</v>
      </c>
      <c r="U174" t="s">
        <v>643</v>
      </c>
      <c r="V174">
        <v>20000</v>
      </c>
      <c r="W174">
        <v>2</v>
      </c>
      <c r="X174" t="s">
        <v>57</v>
      </c>
      <c r="Y174" t="s">
        <v>444</v>
      </c>
      <c r="Z174" t="s">
        <v>19</v>
      </c>
      <c r="AA174" t="s">
        <v>3588</v>
      </c>
      <c r="AB174" t="s">
        <v>3588</v>
      </c>
      <c r="AC174" t="s">
        <v>3584</v>
      </c>
      <c r="AD174" t="s">
        <v>3478</v>
      </c>
      <c r="AE174" t="s">
        <v>3475</v>
      </c>
      <c r="AF174" s="2">
        <v>2049.0981999999999</v>
      </c>
      <c r="AG174" s="2">
        <v>1105.81</v>
      </c>
      <c r="AH174" s="2">
        <v>943.28819999999996</v>
      </c>
      <c r="AI174" s="3">
        <v>0.46034309141455498</v>
      </c>
    </row>
    <row r="175" spans="1:35">
      <c r="A175" s="1">
        <v>42097</v>
      </c>
      <c r="B175" s="1">
        <v>37234</v>
      </c>
      <c r="C175" t="s">
        <v>4156</v>
      </c>
      <c r="D175">
        <v>312</v>
      </c>
      <c r="E175">
        <v>11696</v>
      </c>
      <c r="F175">
        <v>1</v>
      </c>
      <c r="G175">
        <v>1</v>
      </c>
      <c r="H175">
        <v>1</v>
      </c>
      <c r="I175">
        <v>2</v>
      </c>
      <c r="J175" t="s">
        <v>3489</v>
      </c>
      <c r="K175" t="s">
        <v>3490</v>
      </c>
      <c r="L175" s="2">
        <v>2171.2941999999998</v>
      </c>
      <c r="M175" s="2">
        <v>3578.27</v>
      </c>
      <c r="N175" t="s">
        <v>30</v>
      </c>
      <c r="O175" t="s">
        <v>712</v>
      </c>
      <c r="P175" t="s">
        <v>326</v>
      </c>
      <c r="Q175" t="s">
        <v>6504</v>
      </c>
      <c r="R175" s="1">
        <v>23472</v>
      </c>
      <c r="S175" t="s">
        <v>22</v>
      </c>
      <c r="T175" t="s">
        <v>29</v>
      </c>
      <c r="U175" t="s">
        <v>713</v>
      </c>
      <c r="V175">
        <v>50000</v>
      </c>
      <c r="W175">
        <v>5</v>
      </c>
      <c r="X175" t="s">
        <v>17</v>
      </c>
      <c r="Y175" t="s">
        <v>53</v>
      </c>
      <c r="Z175" t="s">
        <v>19</v>
      </c>
      <c r="AA175" t="s">
        <v>3577</v>
      </c>
      <c r="AB175" t="s">
        <v>3578</v>
      </c>
      <c r="AC175" t="s">
        <v>3579</v>
      </c>
      <c r="AD175" t="s">
        <v>3479</v>
      </c>
      <c r="AE175" t="s">
        <v>3475</v>
      </c>
      <c r="AF175" s="2">
        <v>3578.27</v>
      </c>
      <c r="AG175" s="2">
        <v>2171.2941999999998</v>
      </c>
      <c r="AH175" s="2">
        <v>1406.9757999999999</v>
      </c>
      <c r="AI175" s="3">
        <v>0.39320001006072802</v>
      </c>
    </row>
    <row r="176" spans="1:35">
      <c r="A176" s="1">
        <v>42098</v>
      </c>
      <c r="B176" s="1">
        <v>37296</v>
      </c>
      <c r="C176" t="s">
        <v>4160</v>
      </c>
      <c r="D176">
        <v>313</v>
      </c>
      <c r="E176">
        <v>11815</v>
      </c>
      <c r="F176">
        <v>1</v>
      </c>
      <c r="G176">
        <v>1</v>
      </c>
      <c r="H176">
        <v>1</v>
      </c>
      <c r="I176">
        <v>2</v>
      </c>
      <c r="J176" t="s">
        <v>3491</v>
      </c>
      <c r="K176" t="s">
        <v>3492</v>
      </c>
      <c r="L176" s="2">
        <v>2171.2941999999998</v>
      </c>
      <c r="M176" s="2">
        <v>3578.27</v>
      </c>
      <c r="N176" t="s">
        <v>30</v>
      </c>
      <c r="O176" t="s">
        <v>278</v>
      </c>
      <c r="P176" t="s">
        <v>261</v>
      </c>
      <c r="Q176" t="s">
        <v>6505</v>
      </c>
      <c r="R176" s="1">
        <v>25682</v>
      </c>
      <c r="S176" t="s">
        <v>16</v>
      </c>
      <c r="T176" t="s">
        <v>29</v>
      </c>
      <c r="U176" t="s">
        <v>773</v>
      </c>
      <c r="V176">
        <v>70000</v>
      </c>
      <c r="W176">
        <v>3</v>
      </c>
      <c r="X176" t="s">
        <v>135</v>
      </c>
      <c r="Y176" t="s">
        <v>18</v>
      </c>
      <c r="Z176" t="s">
        <v>19</v>
      </c>
      <c r="AA176" t="s">
        <v>3577</v>
      </c>
      <c r="AB176" t="s">
        <v>3578</v>
      </c>
      <c r="AC176" t="s">
        <v>3579</v>
      </c>
      <c r="AD176" t="s">
        <v>3479</v>
      </c>
      <c r="AE176" t="s">
        <v>3475</v>
      </c>
      <c r="AF176" s="2">
        <v>3578.27</v>
      </c>
      <c r="AG176" s="2">
        <v>2171.2941999999998</v>
      </c>
      <c r="AH176" s="2">
        <v>1406.9757999999999</v>
      </c>
      <c r="AI176" s="3">
        <v>0.39320001006072802</v>
      </c>
    </row>
    <row r="177" spans="1:35">
      <c r="A177" s="1">
        <v>42098</v>
      </c>
      <c r="B177" s="1">
        <v>37248</v>
      </c>
      <c r="C177" t="s">
        <v>4161</v>
      </c>
      <c r="D177">
        <v>312</v>
      </c>
      <c r="E177">
        <v>11816</v>
      </c>
      <c r="F177">
        <v>4</v>
      </c>
      <c r="G177">
        <v>1</v>
      </c>
      <c r="H177">
        <v>1</v>
      </c>
      <c r="I177">
        <v>2</v>
      </c>
      <c r="J177" t="s">
        <v>3489</v>
      </c>
      <c r="K177" t="s">
        <v>3490</v>
      </c>
      <c r="L177" s="2">
        <v>2171.2941999999998</v>
      </c>
      <c r="M177" s="2">
        <v>3578.27</v>
      </c>
      <c r="N177" t="s">
        <v>13</v>
      </c>
      <c r="O177" t="s">
        <v>774</v>
      </c>
      <c r="P177" t="s">
        <v>25</v>
      </c>
      <c r="Q177" t="s">
        <v>6506</v>
      </c>
      <c r="R177" s="1">
        <v>25864</v>
      </c>
      <c r="S177" t="s">
        <v>16</v>
      </c>
      <c r="T177" t="s">
        <v>16</v>
      </c>
      <c r="U177" t="s">
        <v>775</v>
      </c>
      <c r="V177">
        <v>70000</v>
      </c>
      <c r="W177">
        <v>4</v>
      </c>
      <c r="X177" t="s">
        <v>135</v>
      </c>
      <c r="Y177" t="s">
        <v>18</v>
      </c>
      <c r="Z177" t="s">
        <v>19</v>
      </c>
      <c r="AA177" t="s">
        <v>3580</v>
      </c>
      <c r="AB177" t="s">
        <v>3578</v>
      </c>
      <c r="AC177" t="s">
        <v>3579</v>
      </c>
      <c r="AD177" t="s">
        <v>3479</v>
      </c>
      <c r="AE177" t="s">
        <v>3475</v>
      </c>
      <c r="AF177" s="2">
        <v>3578.27</v>
      </c>
      <c r="AG177" s="2">
        <v>2171.2941999999998</v>
      </c>
      <c r="AH177" s="2">
        <v>1406.9757999999999</v>
      </c>
      <c r="AI177" s="3">
        <v>0.39320001006072802</v>
      </c>
    </row>
    <row r="178" spans="1:35">
      <c r="A178" s="1">
        <v>42098</v>
      </c>
      <c r="B178" s="1">
        <v>37326</v>
      </c>
      <c r="C178" t="s">
        <v>4163</v>
      </c>
      <c r="D178">
        <v>349</v>
      </c>
      <c r="E178">
        <v>11915</v>
      </c>
      <c r="F178">
        <v>9</v>
      </c>
      <c r="G178">
        <v>1</v>
      </c>
      <c r="H178">
        <v>1</v>
      </c>
      <c r="I178">
        <v>1</v>
      </c>
      <c r="J178" t="s">
        <v>3529</v>
      </c>
      <c r="K178" t="s">
        <v>3530</v>
      </c>
      <c r="L178" s="2">
        <v>1898.0944</v>
      </c>
      <c r="M178" s="2">
        <v>3374.99</v>
      </c>
      <c r="N178" t="s">
        <v>13</v>
      </c>
      <c r="O178" t="s">
        <v>233</v>
      </c>
      <c r="P178" t="s">
        <v>38</v>
      </c>
      <c r="Q178" t="s">
        <v>6507</v>
      </c>
      <c r="R178" s="1">
        <v>24913</v>
      </c>
      <c r="S178" t="s">
        <v>22</v>
      </c>
      <c r="T178" t="s">
        <v>16</v>
      </c>
      <c r="U178" t="s">
        <v>832</v>
      </c>
      <c r="V178">
        <v>70000</v>
      </c>
      <c r="W178">
        <v>0</v>
      </c>
      <c r="X178" t="s">
        <v>17</v>
      </c>
      <c r="Y178" t="s">
        <v>18</v>
      </c>
      <c r="Z178" t="s">
        <v>19</v>
      </c>
      <c r="AA178" t="s">
        <v>3586</v>
      </c>
      <c r="AB178" t="s">
        <v>3586</v>
      </c>
      <c r="AC178" t="s">
        <v>3587</v>
      </c>
      <c r="AD178" t="s">
        <v>3478</v>
      </c>
      <c r="AE178" t="s">
        <v>3475</v>
      </c>
      <c r="AF178" s="2">
        <v>3374.99</v>
      </c>
      <c r="AG178" s="2">
        <v>1898.0944</v>
      </c>
      <c r="AH178" s="2">
        <v>1476.8956000000001</v>
      </c>
      <c r="AI178" s="3">
        <v>0.43759999288886797</v>
      </c>
    </row>
    <row r="179" spans="1:35">
      <c r="A179" s="1">
        <v>42098</v>
      </c>
      <c r="B179" s="1">
        <v>37269</v>
      </c>
      <c r="C179" t="s">
        <v>4164</v>
      </c>
      <c r="D179">
        <v>313</v>
      </c>
      <c r="E179">
        <v>11688</v>
      </c>
      <c r="F179">
        <v>1</v>
      </c>
      <c r="G179">
        <v>1</v>
      </c>
      <c r="H179">
        <v>1</v>
      </c>
      <c r="I179">
        <v>2</v>
      </c>
      <c r="J179" t="s">
        <v>3491</v>
      </c>
      <c r="K179" t="s">
        <v>3492</v>
      </c>
      <c r="L179" s="2">
        <v>2171.2941999999998</v>
      </c>
      <c r="M179" s="2">
        <v>3578.27</v>
      </c>
      <c r="N179" t="s">
        <v>30</v>
      </c>
      <c r="O179" t="s">
        <v>374</v>
      </c>
      <c r="P179" t="s">
        <v>311</v>
      </c>
      <c r="Q179" t="s">
        <v>6508</v>
      </c>
      <c r="R179" s="1">
        <v>24101</v>
      </c>
      <c r="S179" t="s">
        <v>22</v>
      </c>
      <c r="T179" t="s">
        <v>29</v>
      </c>
      <c r="U179" t="s">
        <v>709</v>
      </c>
      <c r="V179">
        <v>80000</v>
      </c>
      <c r="W179">
        <v>3</v>
      </c>
      <c r="X179" t="s">
        <v>17</v>
      </c>
      <c r="Y179" t="s">
        <v>53</v>
      </c>
      <c r="Z179" t="s">
        <v>19</v>
      </c>
      <c r="AA179" t="s">
        <v>3577</v>
      </c>
      <c r="AB179" t="s">
        <v>3578</v>
      </c>
      <c r="AC179" t="s">
        <v>3579</v>
      </c>
      <c r="AD179" t="s">
        <v>3479</v>
      </c>
      <c r="AE179" t="s">
        <v>3475</v>
      </c>
      <c r="AF179" s="2">
        <v>3578.27</v>
      </c>
      <c r="AG179" s="2">
        <v>2171.2941999999998</v>
      </c>
      <c r="AH179" s="2">
        <v>1406.9757999999999</v>
      </c>
      <c r="AI179" s="3">
        <v>0.39320001006072802</v>
      </c>
    </row>
    <row r="180" spans="1:35">
      <c r="A180" s="1">
        <v>42099</v>
      </c>
      <c r="B180" s="1">
        <v>37270</v>
      </c>
      <c r="C180" t="s">
        <v>4165</v>
      </c>
      <c r="D180">
        <v>312</v>
      </c>
      <c r="E180">
        <v>11812</v>
      </c>
      <c r="F180">
        <v>1</v>
      </c>
      <c r="G180">
        <v>1</v>
      </c>
      <c r="H180">
        <v>1</v>
      </c>
      <c r="I180">
        <v>2</v>
      </c>
      <c r="J180" t="s">
        <v>3489</v>
      </c>
      <c r="K180" t="s">
        <v>3490</v>
      </c>
      <c r="L180" s="2">
        <v>2171.2941999999998</v>
      </c>
      <c r="M180" s="2">
        <v>3578.27</v>
      </c>
      <c r="N180" t="s">
        <v>13</v>
      </c>
      <c r="O180" t="s">
        <v>603</v>
      </c>
      <c r="P180" t="s">
        <v>293</v>
      </c>
      <c r="Q180" t="s">
        <v>6509</v>
      </c>
      <c r="R180" s="1">
        <v>24737</v>
      </c>
      <c r="S180" t="s">
        <v>16</v>
      </c>
      <c r="T180" t="s">
        <v>16</v>
      </c>
      <c r="U180" t="s">
        <v>770</v>
      </c>
      <c r="V180">
        <v>40000</v>
      </c>
      <c r="W180">
        <v>0</v>
      </c>
      <c r="X180" t="s">
        <v>17</v>
      </c>
      <c r="Y180" t="s">
        <v>18</v>
      </c>
      <c r="Z180" t="s">
        <v>23</v>
      </c>
      <c r="AA180" t="s">
        <v>3577</v>
      </c>
      <c r="AB180" t="s">
        <v>3578</v>
      </c>
      <c r="AC180" t="s">
        <v>3579</v>
      </c>
      <c r="AD180" t="s">
        <v>3479</v>
      </c>
      <c r="AE180" t="s">
        <v>3475</v>
      </c>
      <c r="AF180" s="2">
        <v>3578.27</v>
      </c>
      <c r="AG180" s="2">
        <v>2171.2941999999998</v>
      </c>
      <c r="AH180" s="2">
        <v>1406.9757999999999</v>
      </c>
      <c r="AI180" s="3">
        <v>0.39320001006072802</v>
      </c>
    </row>
    <row r="181" spans="1:35">
      <c r="A181" s="1">
        <v>42099</v>
      </c>
      <c r="B181" s="1">
        <v>37329</v>
      </c>
      <c r="C181" t="s">
        <v>4166</v>
      </c>
      <c r="D181">
        <v>314</v>
      </c>
      <c r="E181">
        <v>11742</v>
      </c>
      <c r="F181">
        <v>4</v>
      </c>
      <c r="G181">
        <v>1</v>
      </c>
      <c r="H181">
        <v>1</v>
      </c>
      <c r="I181">
        <v>2</v>
      </c>
      <c r="J181" t="s">
        <v>3493</v>
      </c>
      <c r="K181" t="s">
        <v>3494</v>
      </c>
      <c r="L181" s="2">
        <v>2171.2941999999998</v>
      </c>
      <c r="M181" s="2">
        <v>3578.27</v>
      </c>
      <c r="N181" t="s">
        <v>13</v>
      </c>
      <c r="O181" t="s">
        <v>263</v>
      </c>
      <c r="P181" t="s">
        <v>407</v>
      </c>
      <c r="Q181" t="s">
        <v>6510</v>
      </c>
      <c r="R181" s="1">
        <v>21491</v>
      </c>
      <c r="S181" t="s">
        <v>22</v>
      </c>
      <c r="T181" t="s">
        <v>16</v>
      </c>
      <c r="U181" t="s">
        <v>725</v>
      </c>
      <c r="V181">
        <v>60000</v>
      </c>
      <c r="W181">
        <v>3</v>
      </c>
      <c r="X181" t="s">
        <v>17</v>
      </c>
      <c r="Y181" t="s">
        <v>18</v>
      </c>
      <c r="Z181" t="s">
        <v>23</v>
      </c>
      <c r="AA181" t="s">
        <v>3580</v>
      </c>
      <c r="AB181" t="s">
        <v>3578</v>
      </c>
      <c r="AC181" t="s">
        <v>3579</v>
      </c>
      <c r="AD181" t="s">
        <v>3479</v>
      </c>
      <c r="AE181" t="s">
        <v>3475</v>
      </c>
      <c r="AF181" s="2">
        <v>3578.27</v>
      </c>
      <c r="AG181" s="2">
        <v>2171.2941999999998</v>
      </c>
      <c r="AH181" s="2">
        <v>1406.9757999999999</v>
      </c>
      <c r="AI181" s="3">
        <v>0.39320001006072802</v>
      </c>
    </row>
    <row r="182" spans="1:35">
      <c r="A182" s="1">
        <v>42099</v>
      </c>
      <c r="B182" s="1">
        <v>37274</v>
      </c>
      <c r="C182" t="s">
        <v>4167</v>
      </c>
      <c r="D182">
        <v>311</v>
      </c>
      <c r="E182">
        <v>12804</v>
      </c>
      <c r="F182">
        <v>7</v>
      </c>
      <c r="G182">
        <v>1</v>
      </c>
      <c r="H182">
        <v>1</v>
      </c>
      <c r="I182">
        <v>2</v>
      </c>
      <c r="J182" t="s">
        <v>3487</v>
      </c>
      <c r="K182" t="s">
        <v>3488</v>
      </c>
      <c r="L182" s="2">
        <v>2171.2941999999998</v>
      </c>
      <c r="M182" s="2">
        <v>3578.27</v>
      </c>
      <c r="N182" t="s">
        <v>30</v>
      </c>
      <c r="O182" t="s">
        <v>117</v>
      </c>
      <c r="P182" t="s">
        <v>171</v>
      </c>
      <c r="Q182" t="s">
        <v>6511</v>
      </c>
      <c r="R182" s="1">
        <v>24993</v>
      </c>
      <c r="S182" t="s">
        <v>22</v>
      </c>
      <c r="T182" t="s">
        <v>29</v>
      </c>
      <c r="U182" t="s">
        <v>1287</v>
      </c>
      <c r="V182">
        <v>30000</v>
      </c>
      <c r="W182">
        <v>1</v>
      </c>
      <c r="X182" t="s">
        <v>17</v>
      </c>
      <c r="Y182" t="s">
        <v>60</v>
      </c>
      <c r="Z182" t="s">
        <v>23</v>
      </c>
      <c r="AA182" t="s">
        <v>3583</v>
      </c>
      <c r="AB182" t="s">
        <v>3583</v>
      </c>
      <c r="AC182" t="s">
        <v>3584</v>
      </c>
      <c r="AD182" t="s">
        <v>3479</v>
      </c>
      <c r="AE182" t="s">
        <v>3475</v>
      </c>
      <c r="AF182" s="2">
        <v>3578.27</v>
      </c>
      <c r="AG182" s="2">
        <v>2171.2941999999998</v>
      </c>
      <c r="AH182" s="2">
        <v>1406.9757999999999</v>
      </c>
      <c r="AI182" s="3">
        <v>0.39320001006072802</v>
      </c>
    </row>
    <row r="183" spans="1:35">
      <c r="A183" s="1">
        <v>42099</v>
      </c>
      <c r="B183" s="1">
        <v>37287</v>
      </c>
      <c r="C183" t="s">
        <v>4168</v>
      </c>
      <c r="D183">
        <v>312</v>
      </c>
      <c r="E183">
        <v>11775</v>
      </c>
      <c r="F183">
        <v>4</v>
      </c>
      <c r="G183">
        <v>1</v>
      </c>
      <c r="H183">
        <v>1</v>
      </c>
      <c r="I183">
        <v>2</v>
      </c>
      <c r="J183" t="s">
        <v>3489</v>
      </c>
      <c r="K183" t="s">
        <v>3490</v>
      </c>
      <c r="L183" s="2">
        <v>2171.2941999999998</v>
      </c>
      <c r="M183" s="2">
        <v>3578.27</v>
      </c>
      <c r="N183" t="s">
        <v>30</v>
      </c>
      <c r="O183" t="s">
        <v>670</v>
      </c>
      <c r="P183" t="s">
        <v>277</v>
      </c>
      <c r="Q183" t="s">
        <v>6512</v>
      </c>
      <c r="R183" s="1">
        <v>26809</v>
      </c>
      <c r="S183" t="s">
        <v>22</v>
      </c>
      <c r="T183" t="s">
        <v>29</v>
      </c>
      <c r="U183" t="s">
        <v>748</v>
      </c>
      <c r="V183">
        <v>50000</v>
      </c>
      <c r="W183">
        <v>1</v>
      </c>
      <c r="X183" t="s">
        <v>135</v>
      </c>
      <c r="Y183" t="s">
        <v>53</v>
      </c>
      <c r="Z183" t="s">
        <v>19</v>
      </c>
      <c r="AA183" t="s">
        <v>3580</v>
      </c>
      <c r="AB183" t="s">
        <v>3578</v>
      </c>
      <c r="AC183" t="s">
        <v>3579</v>
      </c>
      <c r="AD183" t="s">
        <v>3479</v>
      </c>
      <c r="AE183" t="s">
        <v>3475</v>
      </c>
      <c r="AF183" s="2">
        <v>3578.27</v>
      </c>
      <c r="AG183" s="2">
        <v>2171.2941999999998</v>
      </c>
      <c r="AH183" s="2">
        <v>1406.9757999999999</v>
      </c>
      <c r="AI183" s="3">
        <v>0.39320001006072802</v>
      </c>
    </row>
    <row r="184" spans="1:35">
      <c r="A184" s="1">
        <v>42101</v>
      </c>
      <c r="B184" s="1">
        <v>37251</v>
      </c>
      <c r="C184" t="s">
        <v>4176</v>
      </c>
      <c r="D184">
        <v>350</v>
      </c>
      <c r="E184">
        <v>11952</v>
      </c>
      <c r="F184">
        <v>9</v>
      </c>
      <c r="G184">
        <v>1</v>
      </c>
      <c r="H184">
        <v>1</v>
      </c>
      <c r="I184">
        <v>1</v>
      </c>
      <c r="J184" t="s">
        <v>3531</v>
      </c>
      <c r="K184" t="s">
        <v>3532</v>
      </c>
      <c r="L184" s="2">
        <v>1898.0944</v>
      </c>
      <c r="M184" s="2">
        <v>3374.99</v>
      </c>
      <c r="N184" t="s">
        <v>13</v>
      </c>
      <c r="O184" t="s">
        <v>855</v>
      </c>
      <c r="P184" t="s">
        <v>275</v>
      </c>
      <c r="Q184" t="s">
        <v>6513</v>
      </c>
      <c r="R184" s="1">
        <v>19990</v>
      </c>
      <c r="S184" t="s">
        <v>22</v>
      </c>
      <c r="T184" t="s">
        <v>16</v>
      </c>
      <c r="U184" t="s">
        <v>856</v>
      </c>
      <c r="V184">
        <v>80000</v>
      </c>
      <c r="W184">
        <v>2</v>
      </c>
      <c r="X184" t="s">
        <v>52</v>
      </c>
      <c r="Y184" t="s">
        <v>53</v>
      </c>
      <c r="Z184" t="s">
        <v>23</v>
      </c>
      <c r="AA184" t="s">
        <v>3586</v>
      </c>
      <c r="AB184" t="s">
        <v>3586</v>
      </c>
      <c r="AC184" t="s">
        <v>3587</v>
      </c>
      <c r="AD184" t="s">
        <v>3478</v>
      </c>
      <c r="AE184" t="s">
        <v>3475</v>
      </c>
      <c r="AF184" s="2">
        <v>3374.99</v>
      </c>
      <c r="AG184" s="2">
        <v>1898.0944</v>
      </c>
      <c r="AH184" s="2">
        <v>1476.8956000000001</v>
      </c>
      <c r="AI184" s="3">
        <v>0.43759999288886797</v>
      </c>
    </row>
    <row r="185" spans="1:35">
      <c r="A185" s="1">
        <v>42259</v>
      </c>
      <c r="B185" s="1">
        <v>37494</v>
      </c>
      <c r="C185" t="s">
        <v>5359</v>
      </c>
      <c r="D185">
        <v>352</v>
      </c>
      <c r="E185">
        <v>11598</v>
      </c>
      <c r="F185">
        <v>8</v>
      </c>
      <c r="G185">
        <v>1</v>
      </c>
      <c r="H185">
        <v>1</v>
      </c>
      <c r="I185">
        <v>1</v>
      </c>
      <c r="J185" t="s">
        <v>3535</v>
      </c>
      <c r="K185" t="s">
        <v>3536</v>
      </c>
      <c r="L185" s="2">
        <v>1117.8559</v>
      </c>
      <c r="M185" s="2">
        <v>2071.4196000000002</v>
      </c>
      <c r="N185" t="s">
        <v>30</v>
      </c>
      <c r="O185" t="s">
        <v>216</v>
      </c>
      <c r="P185" t="s">
        <v>34</v>
      </c>
      <c r="Q185" t="s">
        <v>6514</v>
      </c>
      <c r="R185" s="1">
        <v>28673</v>
      </c>
      <c r="S185" t="s">
        <v>22</v>
      </c>
      <c r="T185" t="s">
        <v>29</v>
      </c>
      <c r="U185" t="s">
        <v>653</v>
      </c>
      <c r="V185">
        <v>30000</v>
      </c>
      <c r="W185">
        <v>3</v>
      </c>
      <c r="X185" t="s">
        <v>52</v>
      </c>
      <c r="Y185" t="s">
        <v>60</v>
      </c>
      <c r="Z185" t="s">
        <v>19</v>
      </c>
      <c r="AA185" t="s">
        <v>3585</v>
      </c>
      <c r="AB185" t="s">
        <v>3585</v>
      </c>
      <c r="AC185" t="s">
        <v>3584</v>
      </c>
      <c r="AD185" t="s">
        <v>3478</v>
      </c>
      <c r="AE185" t="s">
        <v>3475</v>
      </c>
      <c r="AF185" s="2">
        <v>2071.4196000000002</v>
      </c>
      <c r="AG185" s="2">
        <v>1117.8559</v>
      </c>
      <c r="AH185" s="2">
        <v>953.56370000000004</v>
      </c>
      <c r="AI185" s="3">
        <v>0.460343090313522</v>
      </c>
    </row>
    <row r="186" spans="1:35">
      <c r="A186" s="1">
        <v>42101</v>
      </c>
      <c r="B186" s="1">
        <v>37240</v>
      </c>
      <c r="C186" t="s">
        <v>4178</v>
      </c>
      <c r="D186">
        <v>312</v>
      </c>
      <c r="E186">
        <v>11683</v>
      </c>
      <c r="F186">
        <v>4</v>
      </c>
      <c r="G186">
        <v>1</v>
      </c>
      <c r="H186">
        <v>1</v>
      </c>
      <c r="I186">
        <v>2</v>
      </c>
      <c r="J186" t="s">
        <v>3489</v>
      </c>
      <c r="K186" t="s">
        <v>3490</v>
      </c>
      <c r="L186" s="2">
        <v>2171.2941999999998</v>
      </c>
      <c r="M186" s="2">
        <v>3578.27</v>
      </c>
      <c r="N186" t="s">
        <v>13</v>
      </c>
      <c r="O186" t="s">
        <v>705</v>
      </c>
      <c r="P186" t="s">
        <v>254</v>
      </c>
      <c r="Q186" t="s">
        <v>6515</v>
      </c>
      <c r="R186" s="1">
        <v>25208</v>
      </c>
      <c r="S186" t="s">
        <v>16</v>
      </c>
      <c r="T186" t="s">
        <v>16</v>
      </c>
      <c r="U186" t="s">
        <v>706</v>
      </c>
      <c r="V186">
        <v>80000</v>
      </c>
      <c r="W186">
        <v>2</v>
      </c>
      <c r="X186" t="s">
        <v>135</v>
      </c>
      <c r="Y186" t="s">
        <v>18</v>
      </c>
      <c r="Z186" t="s">
        <v>19</v>
      </c>
      <c r="AA186" t="s">
        <v>3580</v>
      </c>
      <c r="AB186" t="s">
        <v>3578</v>
      </c>
      <c r="AC186" t="s">
        <v>3579</v>
      </c>
      <c r="AD186" t="s">
        <v>3479</v>
      </c>
      <c r="AE186" t="s">
        <v>3475</v>
      </c>
      <c r="AF186" s="2">
        <v>3578.27</v>
      </c>
      <c r="AG186" s="2">
        <v>2171.2941999999998</v>
      </c>
      <c r="AH186" s="2">
        <v>1406.9757999999999</v>
      </c>
      <c r="AI186" s="3">
        <v>0.39320001006072802</v>
      </c>
    </row>
    <row r="187" spans="1:35">
      <c r="A187" s="1">
        <v>42101</v>
      </c>
      <c r="B187" s="1">
        <v>37251</v>
      </c>
      <c r="C187" t="s">
        <v>4181</v>
      </c>
      <c r="D187">
        <v>310</v>
      </c>
      <c r="E187">
        <v>11776</v>
      </c>
      <c r="F187">
        <v>4</v>
      </c>
      <c r="G187">
        <v>1</v>
      </c>
      <c r="H187">
        <v>1</v>
      </c>
      <c r="I187">
        <v>2</v>
      </c>
      <c r="J187" t="s">
        <v>3485</v>
      </c>
      <c r="K187" t="s">
        <v>3486</v>
      </c>
      <c r="L187" s="2">
        <v>2171.2941999999998</v>
      </c>
      <c r="M187" s="2">
        <v>3578.27</v>
      </c>
      <c r="N187" t="s">
        <v>13</v>
      </c>
      <c r="O187" t="s">
        <v>69</v>
      </c>
      <c r="P187" t="s">
        <v>481</v>
      </c>
      <c r="Q187" t="s">
        <v>6516</v>
      </c>
      <c r="R187" s="1">
        <v>26848</v>
      </c>
      <c r="S187" t="s">
        <v>16</v>
      </c>
      <c r="T187" t="s">
        <v>16</v>
      </c>
      <c r="U187" t="s">
        <v>749</v>
      </c>
      <c r="V187">
        <v>50000</v>
      </c>
      <c r="W187">
        <v>1</v>
      </c>
      <c r="X187" t="s">
        <v>135</v>
      </c>
      <c r="Y187" t="s">
        <v>53</v>
      </c>
      <c r="Z187" t="s">
        <v>19</v>
      </c>
      <c r="AA187" t="s">
        <v>3580</v>
      </c>
      <c r="AB187" t="s">
        <v>3578</v>
      </c>
      <c r="AC187" t="s">
        <v>3579</v>
      </c>
      <c r="AD187" t="s">
        <v>3479</v>
      </c>
      <c r="AE187" t="s">
        <v>3475</v>
      </c>
      <c r="AF187" s="2">
        <v>3578.27</v>
      </c>
      <c r="AG187" s="2">
        <v>2171.2941999999998</v>
      </c>
      <c r="AH187" s="2">
        <v>1406.9757999999999</v>
      </c>
      <c r="AI187" s="3">
        <v>0.39320001006072802</v>
      </c>
    </row>
    <row r="188" spans="1:35">
      <c r="A188" s="1">
        <v>42101</v>
      </c>
      <c r="B188" s="1">
        <v>37259</v>
      </c>
      <c r="C188" t="s">
        <v>4182</v>
      </c>
      <c r="D188">
        <v>351</v>
      </c>
      <c r="E188">
        <v>11919</v>
      </c>
      <c r="F188">
        <v>9</v>
      </c>
      <c r="G188">
        <v>1</v>
      </c>
      <c r="H188">
        <v>1</v>
      </c>
      <c r="I188">
        <v>1</v>
      </c>
      <c r="J188" t="s">
        <v>3533</v>
      </c>
      <c r="K188" t="s">
        <v>3534</v>
      </c>
      <c r="L188" s="2">
        <v>1898.0944</v>
      </c>
      <c r="M188" s="2">
        <v>3374.99</v>
      </c>
      <c r="N188" t="s">
        <v>13</v>
      </c>
      <c r="O188" t="s">
        <v>836</v>
      </c>
      <c r="P188" t="s">
        <v>134</v>
      </c>
      <c r="Q188" t="s">
        <v>6517</v>
      </c>
      <c r="R188" s="1">
        <v>23425</v>
      </c>
      <c r="S188" t="s">
        <v>16</v>
      </c>
      <c r="T188" t="s">
        <v>16</v>
      </c>
      <c r="U188" t="s">
        <v>837</v>
      </c>
      <c r="V188">
        <v>60000</v>
      </c>
      <c r="W188">
        <v>4</v>
      </c>
      <c r="X188" t="s">
        <v>17</v>
      </c>
      <c r="Y188" t="s">
        <v>18</v>
      </c>
      <c r="Z188" t="s">
        <v>19</v>
      </c>
      <c r="AA188" t="s">
        <v>3586</v>
      </c>
      <c r="AB188" t="s">
        <v>3586</v>
      </c>
      <c r="AC188" t="s">
        <v>3587</v>
      </c>
      <c r="AD188" t="s">
        <v>3478</v>
      </c>
      <c r="AE188" t="s">
        <v>3475</v>
      </c>
      <c r="AF188" s="2">
        <v>3374.99</v>
      </c>
      <c r="AG188" s="2">
        <v>1898.0944</v>
      </c>
      <c r="AH188" s="2">
        <v>1476.8956000000001</v>
      </c>
      <c r="AI188" s="3">
        <v>0.43759999288886797</v>
      </c>
    </row>
    <row r="189" spans="1:35">
      <c r="A189" s="1">
        <v>42206</v>
      </c>
      <c r="B189" s="1">
        <v>37401</v>
      </c>
      <c r="C189" t="s">
        <v>4931</v>
      </c>
      <c r="D189">
        <v>358</v>
      </c>
      <c r="E189">
        <v>11603</v>
      </c>
      <c r="F189">
        <v>10</v>
      </c>
      <c r="G189">
        <v>1</v>
      </c>
      <c r="H189">
        <v>1</v>
      </c>
      <c r="I189">
        <v>1</v>
      </c>
      <c r="J189" t="s">
        <v>3541</v>
      </c>
      <c r="K189" t="s">
        <v>3542</v>
      </c>
      <c r="L189" s="2">
        <v>1105.81</v>
      </c>
      <c r="M189" s="2">
        <v>2049.0981999999999</v>
      </c>
      <c r="N189" t="s">
        <v>13</v>
      </c>
      <c r="O189" t="s">
        <v>654</v>
      </c>
      <c r="P189" t="s">
        <v>95</v>
      </c>
      <c r="Q189" t="s">
        <v>6518</v>
      </c>
      <c r="R189" s="1">
        <v>28162</v>
      </c>
      <c r="S189" t="s">
        <v>22</v>
      </c>
      <c r="T189" t="s">
        <v>16</v>
      </c>
      <c r="U189" t="s">
        <v>655</v>
      </c>
      <c r="V189">
        <v>30000</v>
      </c>
      <c r="W189">
        <v>0</v>
      </c>
      <c r="X189" t="s">
        <v>52</v>
      </c>
      <c r="Y189" t="s">
        <v>60</v>
      </c>
      <c r="Z189" t="s">
        <v>23</v>
      </c>
      <c r="AA189" t="s">
        <v>3588</v>
      </c>
      <c r="AB189" t="s">
        <v>3588</v>
      </c>
      <c r="AC189" t="s">
        <v>3584</v>
      </c>
      <c r="AD189" t="s">
        <v>3478</v>
      </c>
      <c r="AE189" t="s">
        <v>3475</v>
      </c>
      <c r="AF189" s="2">
        <v>2049.0981999999999</v>
      </c>
      <c r="AG189" s="2">
        <v>1105.81</v>
      </c>
      <c r="AH189" s="2">
        <v>943.28819999999996</v>
      </c>
      <c r="AI189" s="3">
        <v>0.46034309141455498</v>
      </c>
    </row>
    <row r="190" spans="1:35">
      <c r="A190" s="1">
        <v>42102</v>
      </c>
      <c r="B190" s="1">
        <v>37264</v>
      </c>
      <c r="C190" t="s">
        <v>4183</v>
      </c>
      <c r="D190">
        <v>311</v>
      </c>
      <c r="E190">
        <v>12650</v>
      </c>
      <c r="F190">
        <v>7</v>
      </c>
      <c r="G190">
        <v>1</v>
      </c>
      <c r="H190">
        <v>1</v>
      </c>
      <c r="I190">
        <v>2</v>
      </c>
      <c r="J190" t="s">
        <v>3487</v>
      </c>
      <c r="K190" t="s">
        <v>3488</v>
      </c>
      <c r="L190" s="2">
        <v>2171.2941999999998</v>
      </c>
      <c r="M190" s="2">
        <v>3578.27</v>
      </c>
      <c r="N190" t="s">
        <v>13</v>
      </c>
      <c r="O190" t="s">
        <v>723</v>
      </c>
      <c r="P190" t="s">
        <v>240</v>
      </c>
      <c r="Q190" t="s">
        <v>6519</v>
      </c>
      <c r="R190" s="1">
        <v>18328</v>
      </c>
      <c r="S190" t="s">
        <v>16</v>
      </c>
      <c r="T190" t="s">
        <v>16</v>
      </c>
      <c r="U190" t="s">
        <v>1219</v>
      </c>
      <c r="V190">
        <v>90000</v>
      </c>
      <c r="W190">
        <v>4</v>
      </c>
      <c r="X190" t="s">
        <v>57</v>
      </c>
      <c r="Y190" t="s">
        <v>45</v>
      </c>
      <c r="Z190" t="s">
        <v>19</v>
      </c>
      <c r="AA190" t="s">
        <v>3583</v>
      </c>
      <c r="AB190" t="s">
        <v>3583</v>
      </c>
      <c r="AC190" t="s">
        <v>3584</v>
      </c>
      <c r="AD190" t="s">
        <v>3479</v>
      </c>
      <c r="AE190" t="s">
        <v>3475</v>
      </c>
      <c r="AF190" s="2">
        <v>3578.27</v>
      </c>
      <c r="AG190" s="2">
        <v>2171.2941999999998</v>
      </c>
      <c r="AH190" s="2">
        <v>1406.9757999999999</v>
      </c>
      <c r="AI190" s="3">
        <v>0.39320001006072802</v>
      </c>
    </row>
    <row r="191" spans="1:35">
      <c r="A191" s="1">
        <v>42191</v>
      </c>
      <c r="B191" s="1">
        <v>37345</v>
      </c>
      <c r="C191" t="s">
        <v>4810</v>
      </c>
      <c r="D191">
        <v>362</v>
      </c>
      <c r="E191">
        <v>11604</v>
      </c>
      <c r="F191">
        <v>10</v>
      </c>
      <c r="G191">
        <v>1</v>
      </c>
      <c r="H191">
        <v>1</v>
      </c>
      <c r="I191">
        <v>1</v>
      </c>
      <c r="J191" t="s">
        <v>3545</v>
      </c>
      <c r="K191" t="s">
        <v>3546</v>
      </c>
      <c r="L191" s="2">
        <v>1105.81</v>
      </c>
      <c r="M191" s="2">
        <v>2049.0981999999999</v>
      </c>
      <c r="N191" t="s">
        <v>13</v>
      </c>
      <c r="O191" t="s">
        <v>206</v>
      </c>
      <c r="P191" t="s">
        <v>109</v>
      </c>
      <c r="Q191" t="s">
        <v>6520</v>
      </c>
      <c r="R191" s="1">
        <v>28279</v>
      </c>
      <c r="S191" t="s">
        <v>22</v>
      </c>
      <c r="T191" t="s">
        <v>16</v>
      </c>
      <c r="U191" t="s">
        <v>656</v>
      </c>
      <c r="V191">
        <v>30000</v>
      </c>
      <c r="W191">
        <v>0</v>
      </c>
      <c r="X191" t="s">
        <v>52</v>
      </c>
      <c r="Y191" t="s">
        <v>60</v>
      </c>
      <c r="Z191" t="s">
        <v>19</v>
      </c>
      <c r="AA191" t="s">
        <v>3588</v>
      </c>
      <c r="AB191" t="s">
        <v>3588</v>
      </c>
      <c r="AC191" t="s">
        <v>3584</v>
      </c>
      <c r="AD191" t="s">
        <v>3478</v>
      </c>
      <c r="AE191" t="s">
        <v>3475</v>
      </c>
      <c r="AF191" s="2">
        <v>2049.0981999999999</v>
      </c>
      <c r="AG191" s="2">
        <v>1105.81</v>
      </c>
      <c r="AH191" s="2">
        <v>943.28819999999996</v>
      </c>
      <c r="AI191" s="3">
        <v>0.46034309141455498</v>
      </c>
    </row>
    <row r="192" spans="1:35">
      <c r="A192" s="1">
        <v>42256</v>
      </c>
      <c r="B192" s="1">
        <v>37443</v>
      </c>
      <c r="C192" t="s">
        <v>5333</v>
      </c>
      <c r="D192">
        <v>360</v>
      </c>
      <c r="E192">
        <v>11605</v>
      </c>
      <c r="F192">
        <v>8</v>
      </c>
      <c r="G192">
        <v>1</v>
      </c>
      <c r="H192">
        <v>1</v>
      </c>
      <c r="I192">
        <v>1</v>
      </c>
      <c r="J192" t="s">
        <v>3543</v>
      </c>
      <c r="K192" t="s">
        <v>3544</v>
      </c>
      <c r="L192" s="2">
        <v>1105.81</v>
      </c>
      <c r="M192" s="2">
        <v>2049.0981999999999</v>
      </c>
      <c r="N192" t="s">
        <v>26</v>
      </c>
      <c r="O192" t="s">
        <v>124</v>
      </c>
      <c r="P192" t="s">
        <v>561</v>
      </c>
      <c r="Q192" t="s">
        <v>6521</v>
      </c>
      <c r="R192" s="1">
        <v>28084</v>
      </c>
      <c r="S192" t="s">
        <v>22</v>
      </c>
      <c r="T192" t="s">
        <v>29</v>
      </c>
      <c r="U192" t="s">
        <v>657</v>
      </c>
      <c r="V192">
        <v>20000</v>
      </c>
      <c r="W192">
        <v>0</v>
      </c>
      <c r="X192" t="s">
        <v>57</v>
      </c>
      <c r="Y192" t="s">
        <v>444</v>
      </c>
      <c r="Z192" t="s">
        <v>23</v>
      </c>
      <c r="AA192" t="s">
        <v>3585</v>
      </c>
      <c r="AB192" t="s">
        <v>3585</v>
      </c>
      <c r="AC192" t="s">
        <v>3584</v>
      </c>
      <c r="AD192" t="s">
        <v>3478</v>
      </c>
      <c r="AE192" t="s">
        <v>3475</v>
      </c>
      <c r="AF192" s="2">
        <v>2049.0981999999999</v>
      </c>
      <c r="AG192" s="2">
        <v>1105.81</v>
      </c>
      <c r="AH192" s="2">
        <v>943.28819999999996</v>
      </c>
      <c r="AI192" s="3">
        <v>0.46034309141455498</v>
      </c>
    </row>
    <row r="193" spans="1:35">
      <c r="A193" s="1">
        <v>42102</v>
      </c>
      <c r="B193" s="1">
        <v>37274</v>
      </c>
      <c r="C193" t="s">
        <v>4185</v>
      </c>
      <c r="D193">
        <v>314</v>
      </c>
      <c r="E193">
        <v>12754</v>
      </c>
      <c r="F193">
        <v>7</v>
      </c>
      <c r="G193">
        <v>1</v>
      </c>
      <c r="H193">
        <v>1</v>
      </c>
      <c r="I193">
        <v>2</v>
      </c>
      <c r="J193" t="s">
        <v>3493</v>
      </c>
      <c r="K193" t="s">
        <v>3494</v>
      </c>
      <c r="L193" s="2">
        <v>2171.2941999999998</v>
      </c>
      <c r="M193" s="2">
        <v>3578.27</v>
      </c>
      <c r="N193" t="s">
        <v>30</v>
      </c>
      <c r="O193" t="s">
        <v>1265</v>
      </c>
      <c r="P193" t="s">
        <v>226</v>
      </c>
      <c r="Q193" t="s">
        <v>6522</v>
      </c>
      <c r="R193" s="1">
        <v>25739</v>
      </c>
      <c r="S193" t="s">
        <v>16</v>
      </c>
      <c r="T193" t="s">
        <v>29</v>
      </c>
      <c r="U193" t="s">
        <v>1266</v>
      </c>
      <c r="V193">
        <v>40000</v>
      </c>
      <c r="W193">
        <v>2</v>
      </c>
      <c r="X193" t="s">
        <v>52</v>
      </c>
      <c r="Y193" t="s">
        <v>60</v>
      </c>
      <c r="Z193" t="s">
        <v>23</v>
      </c>
      <c r="AA193" t="s">
        <v>3583</v>
      </c>
      <c r="AB193" t="s">
        <v>3583</v>
      </c>
      <c r="AC193" t="s">
        <v>3584</v>
      </c>
      <c r="AD193" t="s">
        <v>3479</v>
      </c>
      <c r="AE193" t="s">
        <v>3475</v>
      </c>
      <c r="AF193" s="2">
        <v>3578.27</v>
      </c>
      <c r="AG193" s="2">
        <v>2171.2941999999998</v>
      </c>
      <c r="AH193" s="2">
        <v>1406.9757999999999</v>
      </c>
      <c r="AI193" s="3">
        <v>0.39320001006072802</v>
      </c>
    </row>
    <row r="194" spans="1:35">
      <c r="A194" s="1">
        <v>42216</v>
      </c>
      <c r="B194" s="1">
        <v>37437</v>
      </c>
      <c r="C194" t="s">
        <v>5002</v>
      </c>
      <c r="D194">
        <v>362</v>
      </c>
      <c r="E194">
        <v>11609</v>
      </c>
      <c r="F194">
        <v>10</v>
      </c>
      <c r="G194">
        <v>1</v>
      </c>
      <c r="H194">
        <v>1</v>
      </c>
      <c r="I194">
        <v>1</v>
      </c>
      <c r="J194" t="s">
        <v>3545</v>
      </c>
      <c r="K194" t="s">
        <v>3546</v>
      </c>
      <c r="L194" s="2">
        <v>1105.81</v>
      </c>
      <c r="M194" s="2">
        <v>2049.0981999999999</v>
      </c>
      <c r="N194" t="s">
        <v>13</v>
      </c>
      <c r="O194" t="s">
        <v>20</v>
      </c>
      <c r="P194" t="s">
        <v>161</v>
      </c>
      <c r="Q194" t="s">
        <v>6523</v>
      </c>
      <c r="R194" s="1">
        <v>27937</v>
      </c>
      <c r="S194" t="s">
        <v>22</v>
      </c>
      <c r="T194" t="s">
        <v>16</v>
      </c>
      <c r="U194" t="s">
        <v>659</v>
      </c>
      <c r="V194">
        <v>30000</v>
      </c>
      <c r="W194">
        <v>0</v>
      </c>
      <c r="X194" t="s">
        <v>52</v>
      </c>
      <c r="Y194" t="s">
        <v>60</v>
      </c>
      <c r="Z194" t="s">
        <v>23</v>
      </c>
      <c r="AA194" t="s">
        <v>3588</v>
      </c>
      <c r="AB194" t="s">
        <v>3588</v>
      </c>
      <c r="AC194" t="s">
        <v>3584</v>
      </c>
      <c r="AD194" t="s">
        <v>3478</v>
      </c>
      <c r="AE194" t="s">
        <v>3475</v>
      </c>
      <c r="AF194" s="2">
        <v>2049.0981999999999</v>
      </c>
      <c r="AG194" s="2">
        <v>1105.81</v>
      </c>
      <c r="AH194" s="2">
        <v>943.28819999999996</v>
      </c>
      <c r="AI194" s="3">
        <v>0.46034309141455498</v>
      </c>
    </row>
    <row r="195" spans="1:35">
      <c r="A195" s="1">
        <v>42198</v>
      </c>
      <c r="B195" s="1">
        <v>37432</v>
      </c>
      <c r="C195" t="s">
        <v>4863</v>
      </c>
      <c r="D195">
        <v>352</v>
      </c>
      <c r="E195">
        <v>11610</v>
      </c>
      <c r="F195">
        <v>10</v>
      </c>
      <c r="G195">
        <v>1</v>
      </c>
      <c r="H195">
        <v>1</v>
      </c>
      <c r="I195">
        <v>1</v>
      </c>
      <c r="J195" t="s">
        <v>3535</v>
      </c>
      <c r="K195" t="s">
        <v>3536</v>
      </c>
      <c r="L195" s="2">
        <v>1117.8559</v>
      </c>
      <c r="M195" s="2">
        <v>2071.4196000000002</v>
      </c>
      <c r="N195" t="s">
        <v>13</v>
      </c>
      <c r="O195" t="s">
        <v>165</v>
      </c>
      <c r="P195" t="s">
        <v>377</v>
      </c>
      <c r="Q195" t="s">
        <v>6524</v>
      </c>
      <c r="R195" s="1">
        <v>27507</v>
      </c>
      <c r="S195" t="s">
        <v>22</v>
      </c>
      <c r="T195" t="s">
        <v>16</v>
      </c>
      <c r="U195" t="s">
        <v>660</v>
      </c>
      <c r="V195">
        <v>30000</v>
      </c>
      <c r="W195">
        <v>0</v>
      </c>
      <c r="X195" t="s">
        <v>52</v>
      </c>
      <c r="Y195" t="s">
        <v>60</v>
      </c>
      <c r="Z195" t="s">
        <v>23</v>
      </c>
      <c r="AA195" t="s">
        <v>3588</v>
      </c>
      <c r="AB195" t="s">
        <v>3588</v>
      </c>
      <c r="AC195" t="s">
        <v>3584</v>
      </c>
      <c r="AD195" t="s">
        <v>3478</v>
      </c>
      <c r="AE195" t="s">
        <v>3475</v>
      </c>
      <c r="AF195" s="2">
        <v>2071.4196000000002</v>
      </c>
      <c r="AG195" s="2">
        <v>1117.8559</v>
      </c>
      <c r="AH195" s="2">
        <v>953.56370000000004</v>
      </c>
      <c r="AI195" s="3">
        <v>0.460343090313522</v>
      </c>
    </row>
    <row r="196" spans="1:35">
      <c r="A196" s="1">
        <v>42103</v>
      </c>
      <c r="B196" s="1">
        <v>37257</v>
      </c>
      <c r="C196" t="s">
        <v>4190</v>
      </c>
      <c r="D196">
        <v>314</v>
      </c>
      <c r="E196">
        <v>11873</v>
      </c>
      <c r="F196">
        <v>4</v>
      </c>
      <c r="G196">
        <v>1</v>
      </c>
      <c r="H196">
        <v>1</v>
      </c>
      <c r="I196">
        <v>2</v>
      </c>
      <c r="J196" t="s">
        <v>3493</v>
      </c>
      <c r="K196" t="s">
        <v>3494</v>
      </c>
      <c r="L196" s="2">
        <v>2171.2941999999998</v>
      </c>
      <c r="M196" s="2">
        <v>3578.27</v>
      </c>
      <c r="N196" t="s">
        <v>13</v>
      </c>
      <c r="O196" t="s">
        <v>179</v>
      </c>
      <c r="P196" t="s">
        <v>68</v>
      </c>
      <c r="Q196" t="s">
        <v>6525</v>
      </c>
      <c r="R196" s="1">
        <v>24574</v>
      </c>
      <c r="S196" t="s">
        <v>16</v>
      </c>
      <c r="T196" t="s">
        <v>16</v>
      </c>
      <c r="U196" t="s">
        <v>797</v>
      </c>
      <c r="V196">
        <v>60000</v>
      </c>
      <c r="W196">
        <v>0</v>
      </c>
      <c r="X196" t="s">
        <v>135</v>
      </c>
      <c r="Y196" t="s">
        <v>18</v>
      </c>
      <c r="Z196" t="s">
        <v>23</v>
      </c>
      <c r="AA196" t="s">
        <v>3580</v>
      </c>
      <c r="AB196" t="s">
        <v>3578</v>
      </c>
      <c r="AC196" t="s">
        <v>3579</v>
      </c>
      <c r="AD196" t="s">
        <v>3479</v>
      </c>
      <c r="AE196" t="s">
        <v>3475</v>
      </c>
      <c r="AF196" s="2">
        <v>3578.27</v>
      </c>
      <c r="AG196" s="2">
        <v>2171.2941999999998</v>
      </c>
      <c r="AH196" s="2">
        <v>1406.9757999999999</v>
      </c>
      <c r="AI196" s="3">
        <v>0.39320001006072802</v>
      </c>
    </row>
    <row r="197" spans="1:35">
      <c r="A197" s="1">
        <v>42104</v>
      </c>
      <c r="B197" s="1">
        <v>37306</v>
      </c>
      <c r="C197" t="s">
        <v>4191</v>
      </c>
      <c r="D197">
        <v>312</v>
      </c>
      <c r="E197">
        <v>11772</v>
      </c>
      <c r="F197">
        <v>1</v>
      </c>
      <c r="G197">
        <v>1</v>
      </c>
      <c r="H197">
        <v>1</v>
      </c>
      <c r="I197">
        <v>2</v>
      </c>
      <c r="J197" t="s">
        <v>3489</v>
      </c>
      <c r="K197" t="s">
        <v>3490</v>
      </c>
      <c r="L197" s="2">
        <v>2171.2941999999998</v>
      </c>
      <c r="M197" s="2">
        <v>3578.27</v>
      </c>
      <c r="N197" t="s">
        <v>13</v>
      </c>
      <c r="O197" t="s">
        <v>415</v>
      </c>
      <c r="P197" t="s">
        <v>674</v>
      </c>
      <c r="Q197" t="s">
        <v>6526</v>
      </c>
      <c r="R197" s="1">
        <v>26688</v>
      </c>
      <c r="S197" t="s">
        <v>16</v>
      </c>
      <c r="T197" t="s">
        <v>16</v>
      </c>
      <c r="U197" t="s">
        <v>744</v>
      </c>
      <c r="V197">
        <v>50000</v>
      </c>
      <c r="W197">
        <v>1</v>
      </c>
      <c r="X197" t="s">
        <v>135</v>
      </c>
      <c r="Y197" t="s">
        <v>53</v>
      </c>
      <c r="Z197" t="s">
        <v>19</v>
      </c>
      <c r="AA197" t="s">
        <v>3577</v>
      </c>
      <c r="AB197" t="s">
        <v>3578</v>
      </c>
      <c r="AC197" t="s">
        <v>3579</v>
      </c>
      <c r="AD197" t="s">
        <v>3479</v>
      </c>
      <c r="AE197" t="s">
        <v>3475</v>
      </c>
      <c r="AF197" s="2">
        <v>3578.27</v>
      </c>
      <c r="AG197" s="2">
        <v>2171.2941999999998</v>
      </c>
      <c r="AH197" s="2">
        <v>1406.9757999999999</v>
      </c>
      <c r="AI197" s="3">
        <v>0.39320001006072802</v>
      </c>
    </row>
    <row r="198" spans="1:35">
      <c r="A198" s="1">
        <v>42221</v>
      </c>
      <c r="B198" s="1">
        <v>37358</v>
      </c>
      <c r="C198" t="s">
        <v>5044</v>
      </c>
      <c r="D198">
        <v>360</v>
      </c>
      <c r="E198">
        <v>11612</v>
      </c>
      <c r="F198">
        <v>10</v>
      </c>
      <c r="G198">
        <v>1</v>
      </c>
      <c r="H198">
        <v>1</v>
      </c>
      <c r="I198">
        <v>1</v>
      </c>
      <c r="J198" t="s">
        <v>3543</v>
      </c>
      <c r="K198" t="s">
        <v>3544</v>
      </c>
      <c r="L198" s="2">
        <v>1105.81</v>
      </c>
      <c r="M198" s="2">
        <v>2049.0981999999999</v>
      </c>
      <c r="N198" t="s">
        <v>13</v>
      </c>
      <c r="O198" t="s">
        <v>661</v>
      </c>
      <c r="P198" t="s">
        <v>134</v>
      </c>
      <c r="Q198" t="s">
        <v>6527</v>
      </c>
      <c r="R198" s="1">
        <v>27313</v>
      </c>
      <c r="S198" t="s">
        <v>22</v>
      </c>
      <c r="T198" t="s">
        <v>16</v>
      </c>
      <c r="U198" t="s">
        <v>662</v>
      </c>
      <c r="V198">
        <v>20000</v>
      </c>
      <c r="W198">
        <v>0</v>
      </c>
      <c r="X198" t="s">
        <v>77</v>
      </c>
      <c r="Y198" t="s">
        <v>444</v>
      </c>
      <c r="Z198" t="s">
        <v>23</v>
      </c>
      <c r="AA198" t="s">
        <v>3588</v>
      </c>
      <c r="AB198" t="s">
        <v>3588</v>
      </c>
      <c r="AC198" t="s">
        <v>3584</v>
      </c>
      <c r="AD198" t="s">
        <v>3478</v>
      </c>
      <c r="AE198" t="s">
        <v>3475</v>
      </c>
      <c r="AF198" s="2">
        <v>2049.0981999999999</v>
      </c>
      <c r="AG198" s="2">
        <v>1105.81</v>
      </c>
      <c r="AH198" s="2">
        <v>943.28819999999996</v>
      </c>
      <c r="AI198" s="3">
        <v>0.46034309141455498</v>
      </c>
    </row>
    <row r="199" spans="1:35">
      <c r="A199" s="1">
        <v>42322</v>
      </c>
      <c r="B199" s="1">
        <v>37551</v>
      </c>
      <c r="C199" t="s">
        <v>5783</v>
      </c>
      <c r="D199">
        <v>354</v>
      </c>
      <c r="E199">
        <v>11613</v>
      </c>
      <c r="F199">
        <v>8</v>
      </c>
      <c r="G199">
        <v>1</v>
      </c>
      <c r="H199">
        <v>1</v>
      </c>
      <c r="I199">
        <v>1</v>
      </c>
      <c r="J199" t="s">
        <v>3537</v>
      </c>
      <c r="K199" t="s">
        <v>3538</v>
      </c>
      <c r="L199" s="2">
        <v>1117.8559</v>
      </c>
      <c r="M199" s="2">
        <v>2071.4196000000002</v>
      </c>
      <c r="N199" t="s">
        <v>26</v>
      </c>
      <c r="O199" t="s">
        <v>216</v>
      </c>
      <c r="P199" t="s">
        <v>353</v>
      </c>
      <c r="Q199" t="s">
        <v>6528</v>
      </c>
      <c r="R199" s="1">
        <v>27701</v>
      </c>
      <c r="S199" t="s">
        <v>22</v>
      </c>
      <c r="T199" t="s">
        <v>29</v>
      </c>
      <c r="U199" t="s">
        <v>663</v>
      </c>
      <c r="V199">
        <v>30000</v>
      </c>
      <c r="W199">
        <v>0</v>
      </c>
      <c r="X199" t="s">
        <v>52</v>
      </c>
      <c r="Y199" t="s">
        <v>60</v>
      </c>
      <c r="Z199" t="s">
        <v>23</v>
      </c>
      <c r="AA199" t="s">
        <v>3585</v>
      </c>
      <c r="AB199" t="s">
        <v>3585</v>
      </c>
      <c r="AC199" t="s">
        <v>3584</v>
      </c>
      <c r="AD199" t="s">
        <v>3478</v>
      </c>
      <c r="AE199" t="s">
        <v>3475</v>
      </c>
      <c r="AF199" s="2">
        <v>2071.4196000000002</v>
      </c>
      <c r="AG199" s="2">
        <v>1117.8559</v>
      </c>
      <c r="AH199" s="2">
        <v>953.56370000000004</v>
      </c>
      <c r="AI199" s="3">
        <v>0.460343090313522</v>
      </c>
    </row>
    <row r="200" spans="1:35">
      <c r="A200" s="1">
        <v>42319</v>
      </c>
      <c r="B200" s="1">
        <v>37514</v>
      </c>
      <c r="C200" t="s">
        <v>5766</v>
      </c>
      <c r="D200">
        <v>362</v>
      </c>
      <c r="E200">
        <v>11614</v>
      </c>
      <c r="F200">
        <v>8</v>
      </c>
      <c r="G200">
        <v>1</v>
      </c>
      <c r="H200">
        <v>1</v>
      </c>
      <c r="I200">
        <v>1</v>
      </c>
      <c r="J200" t="s">
        <v>3545</v>
      </c>
      <c r="K200" t="s">
        <v>3546</v>
      </c>
      <c r="L200" s="2">
        <v>1105.81</v>
      </c>
      <c r="M200" s="2">
        <v>2049.0981999999999</v>
      </c>
      <c r="N200" t="s">
        <v>26</v>
      </c>
      <c r="O200" t="s">
        <v>509</v>
      </c>
      <c r="P200" t="s">
        <v>664</v>
      </c>
      <c r="Q200" t="s">
        <v>6529</v>
      </c>
      <c r="R200" s="1">
        <v>27623</v>
      </c>
      <c r="S200" t="s">
        <v>22</v>
      </c>
      <c r="T200" t="s">
        <v>29</v>
      </c>
      <c r="U200" t="s">
        <v>665</v>
      </c>
      <c r="V200">
        <v>30000</v>
      </c>
      <c r="W200">
        <v>0</v>
      </c>
      <c r="X200" t="s">
        <v>52</v>
      </c>
      <c r="Y200" t="s">
        <v>60</v>
      </c>
      <c r="Z200" t="s">
        <v>23</v>
      </c>
      <c r="AA200" t="s">
        <v>3585</v>
      </c>
      <c r="AB200" t="s">
        <v>3585</v>
      </c>
      <c r="AC200" t="s">
        <v>3584</v>
      </c>
      <c r="AD200" t="s">
        <v>3478</v>
      </c>
      <c r="AE200" t="s">
        <v>3475</v>
      </c>
      <c r="AF200" s="2">
        <v>2049.0981999999999</v>
      </c>
      <c r="AG200" s="2">
        <v>1105.81</v>
      </c>
      <c r="AH200" s="2">
        <v>943.28819999999996</v>
      </c>
      <c r="AI200" s="3">
        <v>0.46034309141455498</v>
      </c>
    </row>
    <row r="201" spans="1:35">
      <c r="A201" s="1">
        <v>42241</v>
      </c>
      <c r="B201" s="1">
        <v>37461</v>
      </c>
      <c r="C201" t="s">
        <v>5223</v>
      </c>
      <c r="D201">
        <v>352</v>
      </c>
      <c r="E201">
        <v>11615</v>
      </c>
      <c r="F201">
        <v>10</v>
      </c>
      <c r="G201">
        <v>1</v>
      </c>
      <c r="H201">
        <v>1</v>
      </c>
      <c r="I201">
        <v>1</v>
      </c>
      <c r="J201" t="s">
        <v>3535</v>
      </c>
      <c r="K201" t="s">
        <v>3536</v>
      </c>
      <c r="L201" s="2">
        <v>1117.8559</v>
      </c>
      <c r="M201" s="2">
        <v>2071.4196000000002</v>
      </c>
      <c r="N201" t="s">
        <v>13</v>
      </c>
      <c r="O201" t="s">
        <v>666</v>
      </c>
      <c r="P201" t="s">
        <v>153</v>
      </c>
      <c r="Q201" t="s">
        <v>6530</v>
      </c>
      <c r="R201" s="1">
        <v>27719</v>
      </c>
      <c r="S201" t="s">
        <v>16</v>
      </c>
      <c r="T201" t="s">
        <v>16</v>
      </c>
      <c r="U201" t="s">
        <v>667</v>
      </c>
      <c r="V201">
        <v>40000</v>
      </c>
      <c r="W201">
        <v>1</v>
      </c>
      <c r="X201" t="s">
        <v>17</v>
      </c>
      <c r="Y201" t="s">
        <v>53</v>
      </c>
      <c r="Z201" t="s">
        <v>19</v>
      </c>
      <c r="AA201" t="s">
        <v>3588</v>
      </c>
      <c r="AB201" t="s">
        <v>3588</v>
      </c>
      <c r="AC201" t="s">
        <v>3584</v>
      </c>
      <c r="AD201" t="s">
        <v>3478</v>
      </c>
      <c r="AE201" t="s">
        <v>3475</v>
      </c>
      <c r="AF201" s="2">
        <v>2071.4196000000002</v>
      </c>
      <c r="AG201" s="2">
        <v>1117.8559</v>
      </c>
      <c r="AH201" s="2">
        <v>953.56370000000004</v>
      </c>
      <c r="AI201" s="3">
        <v>0.460343090313522</v>
      </c>
    </row>
    <row r="202" spans="1:35">
      <c r="A202" s="1">
        <v>42222</v>
      </c>
      <c r="B202" s="1">
        <v>37444</v>
      </c>
      <c r="C202" t="s">
        <v>5049</v>
      </c>
      <c r="D202">
        <v>352</v>
      </c>
      <c r="E202">
        <v>11616</v>
      </c>
      <c r="F202">
        <v>10</v>
      </c>
      <c r="G202">
        <v>1</v>
      </c>
      <c r="H202">
        <v>1</v>
      </c>
      <c r="I202">
        <v>1</v>
      </c>
      <c r="J202" t="s">
        <v>3535</v>
      </c>
      <c r="K202" t="s">
        <v>3536</v>
      </c>
      <c r="L202" s="2">
        <v>1117.8559</v>
      </c>
      <c r="M202" s="2">
        <v>2071.4196000000002</v>
      </c>
      <c r="N202" t="s">
        <v>30</v>
      </c>
      <c r="O202" t="s">
        <v>158</v>
      </c>
      <c r="P202" t="s">
        <v>93</v>
      </c>
      <c r="Q202" t="s">
        <v>6531</v>
      </c>
      <c r="R202" s="1">
        <v>27462</v>
      </c>
      <c r="S202" t="s">
        <v>16</v>
      </c>
      <c r="T202" t="s">
        <v>29</v>
      </c>
      <c r="U202" t="s">
        <v>668</v>
      </c>
      <c r="V202">
        <v>40000</v>
      </c>
      <c r="W202">
        <v>1</v>
      </c>
      <c r="X202" t="s">
        <v>17</v>
      </c>
      <c r="Y202" t="s">
        <v>53</v>
      </c>
      <c r="Z202" t="s">
        <v>19</v>
      </c>
      <c r="AA202" t="s">
        <v>3588</v>
      </c>
      <c r="AB202" t="s">
        <v>3588</v>
      </c>
      <c r="AC202" t="s">
        <v>3584</v>
      </c>
      <c r="AD202" t="s">
        <v>3478</v>
      </c>
      <c r="AE202" t="s">
        <v>3475</v>
      </c>
      <c r="AF202" s="2">
        <v>2071.4196000000002</v>
      </c>
      <c r="AG202" s="2">
        <v>1117.8559</v>
      </c>
      <c r="AH202" s="2">
        <v>953.56370000000004</v>
      </c>
      <c r="AI202" s="3">
        <v>0.460343090313522</v>
      </c>
    </row>
    <row r="203" spans="1:35">
      <c r="A203" s="1">
        <v>42105</v>
      </c>
      <c r="B203" s="1">
        <v>37244</v>
      </c>
      <c r="C203" t="s">
        <v>4196</v>
      </c>
      <c r="D203">
        <v>314</v>
      </c>
      <c r="E203">
        <v>11925</v>
      </c>
      <c r="F203">
        <v>1</v>
      </c>
      <c r="G203">
        <v>1</v>
      </c>
      <c r="H203">
        <v>1</v>
      </c>
      <c r="I203">
        <v>2</v>
      </c>
      <c r="J203" t="s">
        <v>3493</v>
      </c>
      <c r="K203" t="s">
        <v>3494</v>
      </c>
      <c r="L203" s="2">
        <v>2171.2941999999998</v>
      </c>
      <c r="M203" s="2">
        <v>3578.27</v>
      </c>
      <c r="N203" t="s">
        <v>26</v>
      </c>
      <c r="O203" t="s">
        <v>137</v>
      </c>
      <c r="P203" t="s">
        <v>476</v>
      </c>
      <c r="Q203" t="s">
        <v>6532</v>
      </c>
      <c r="R203" s="1">
        <v>28800</v>
      </c>
      <c r="S203" t="s">
        <v>22</v>
      </c>
      <c r="T203" t="s">
        <v>29</v>
      </c>
      <c r="U203" t="s">
        <v>840</v>
      </c>
      <c r="V203">
        <v>40000</v>
      </c>
      <c r="W203">
        <v>0</v>
      </c>
      <c r="X203" t="s">
        <v>52</v>
      </c>
      <c r="Y203" t="s">
        <v>53</v>
      </c>
      <c r="Z203" t="s">
        <v>19</v>
      </c>
      <c r="AA203" t="s">
        <v>3577</v>
      </c>
      <c r="AB203" t="s">
        <v>3578</v>
      </c>
      <c r="AC203" t="s">
        <v>3579</v>
      </c>
      <c r="AD203" t="s">
        <v>3479</v>
      </c>
      <c r="AE203" t="s">
        <v>3475</v>
      </c>
      <c r="AF203" s="2">
        <v>3578.27</v>
      </c>
      <c r="AG203" s="2">
        <v>2171.2941999999998</v>
      </c>
      <c r="AH203" s="2">
        <v>1406.9757999999999</v>
      </c>
      <c r="AI203" s="3">
        <v>0.39320001006072802</v>
      </c>
    </row>
    <row r="204" spans="1:35">
      <c r="A204" s="1">
        <v>42105</v>
      </c>
      <c r="B204" s="1">
        <v>37261</v>
      </c>
      <c r="C204" t="s">
        <v>4201</v>
      </c>
      <c r="D204">
        <v>351</v>
      </c>
      <c r="E204">
        <v>11910</v>
      </c>
      <c r="F204">
        <v>9</v>
      </c>
      <c r="G204">
        <v>1</v>
      </c>
      <c r="H204">
        <v>1</v>
      </c>
      <c r="I204">
        <v>1</v>
      </c>
      <c r="J204" t="s">
        <v>3533</v>
      </c>
      <c r="K204" t="s">
        <v>3534</v>
      </c>
      <c r="L204" s="2">
        <v>1898.0944</v>
      </c>
      <c r="M204" s="2">
        <v>3374.99</v>
      </c>
      <c r="N204" t="s">
        <v>30</v>
      </c>
      <c r="O204" t="s">
        <v>117</v>
      </c>
      <c r="P204" t="s">
        <v>122</v>
      </c>
      <c r="Q204" t="s">
        <v>6533</v>
      </c>
      <c r="R204" s="1">
        <v>24270</v>
      </c>
      <c r="S204" t="s">
        <v>16</v>
      </c>
      <c r="T204" t="s">
        <v>29</v>
      </c>
      <c r="U204" t="s">
        <v>826</v>
      </c>
      <c r="V204">
        <v>80000</v>
      </c>
      <c r="W204">
        <v>5</v>
      </c>
      <c r="X204" t="s">
        <v>135</v>
      </c>
      <c r="Y204" t="s">
        <v>45</v>
      </c>
      <c r="Z204" t="s">
        <v>19</v>
      </c>
      <c r="AA204" t="s">
        <v>3586</v>
      </c>
      <c r="AB204" t="s">
        <v>3586</v>
      </c>
      <c r="AC204" t="s">
        <v>3587</v>
      </c>
      <c r="AD204" t="s">
        <v>3478</v>
      </c>
      <c r="AE204" t="s">
        <v>3475</v>
      </c>
      <c r="AF204" s="2">
        <v>3374.99</v>
      </c>
      <c r="AG204" s="2">
        <v>1898.0944</v>
      </c>
      <c r="AH204" s="2">
        <v>1476.8956000000001</v>
      </c>
      <c r="AI204" s="3">
        <v>0.43759999288886797</v>
      </c>
    </row>
    <row r="205" spans="1:35">
      <c r="A205" s="1">
        <v>42106</v>
      </c>
      <c r="B205" s="1">
        <v>37278</v>
      </c>
      <c r="C205" t="s">
        <v>4202</v>
      </c>
      <c r="D205">
        <v>350</v>
      </c>
      <c r="E205">
        <v>11920</v>
      </c>
      <c r="F205">
        <v>9</v>
      </c>
      <c r="G205">
        <v>1</v>
      </c>
      <c r="H205">
        <v>1</v>
      </c>
      <c r="I205">
        <v>1</v>
      </c>
      <c r="J205" t="s">
        <v>3531</v>
      </c>
      <c r="K205" t="s">
        <v>3532</v>
      </c>
      <c r="L205" s="2">
        <v>1898.0944</v>
      </c>
      <c r="M205" s="2">
        <v>3374.99</v>
      </c>
      <c r="N205" t="s">
        <v>30</v>
      </c>
      <c r="O205" t="s">
        <v>566</v>
      </c>
      <c r="P205" t="s">
        <v>529</v>
      </c>
      <c r="Q205" t="s">
        <v>6534</v>
      </c>
      <c r="R205" s="1">
        <v>23435</v>
      </c>
      <c r="S205" t="s">
        <v>22</v>
      </c>
      <c r="T205" t="s">
        <v>29</v>
      </c>
      <c r="U205" t="s">
        <v>838</v>
      </c>
      <c r="V205">
        <v>60000</v>
      </c>
      <c r="W205">
        <v>4</v>
      </c>
      <c r="X205" t="s">
        <v>17</v>
      </c>
      <c r="Y205" t="s">
        <v>18</v>
      </c>
      <c r="Z205" t="s">
        <v>19</v>
      </c>
      <c r="AA205" t="s">
        <v>3586</v>
      </c>
      <c r="AB205" t="s">
        <v>3586</v>
      </c>
      <c r="AC205" t="s">
        <v>3587</v>
      </c>
      <c r="AD205" t="s">
        <v>3478</v>
      </c>
      <c r="AE205" t="s">
        <v>3475</v>
      </c>
      <c r="AF205" s="2">
        <v>3374.99</v>
      </c>
      <c r="AG205" s="2">
        <v>1898.0944</v>
      </c>
      <c r="AH205" s="2">
        <v>1476.8956000000001</v>
      </c>
      <c r="AI205" s="3">
        <v>0.43759999288886797</v>
      </c>
    </row>
    <row r="206" spans="1:35">
      <c r="A206" s="1">
        <v>42106</v>
      </c>
      <c r="B206" s="1">
        <v>37303</v>
      </c>
      <c r="C206" t="s">
        <v>4203</v>
      </c>
      <c r="D206">
        <v>312</v>
      </c>
      <c r="E206">
        <v>11745</v>
      </c>
      <c r="F206">
        <v>1</v>
      </c>
      <c r="G206">
        <v>1</v>
      </c>
      <c r="H206">
        <v>1</v>
      </c>
      <c r="I206">
        <v>2</v>
      </c>
      <c r="J206" t="s">
        <v>3489</v>
      </c>
      <c r="K206" t="s">
        <v>3490</v>
      </c>
      <c r="L206" s="2">
        <v>2171.2941999999998</v>
      </c>
      <c r="M206" s="2">
        <v>3578.27</v>
      </c>
      <c r="N206" t="s">
        <v>30</v>
      </c>
      <c r="O206" t="s">
        <v>324</v>
      </c>
      <c r="P206" t="s">
        <v>95</v>
      </c>
      <c r="Q206" t="s">
        <v>6535</v>
      </c>
      <c r="R206" s="1">
        <v>21471</v>
      </c>
      <c r="S206" t="s">
        <v>16</v>
      </c>
      <c r="T206" t="s">
        <v>29</v>
      </c>
      <c r="U206" t="s">
        <v>727</v>
      </c>
      <c r="V206">
        <v>60000</v>
      </c>
      <c r="W206">
        <v>1</v>
      </c>
      <c r="X206" t="s">
        <v>17</v>
      </c>
      <c r="Y206" t="s">
        <v>18</v>
      </c>
      <c r="Z206" t="s">
        <v>19</v>
      </c>
      <c r="AA206" t="s">
        <v>3577</v>
      </c>
      <c r="AB206" t="s">
        <v>3578</v>
      </c>
      <c r="AC206" t="s">
        <v>3579</v>
      </c>
      <c r="AD206" t="s">
        <v>3479</v>
      </c>
      <c r="AE206" t="s">
        <v>3475</v>
      </c>
      <c r="AF206" s="2">
        <v>3578.27</v>
      </c>
      <c r="AG206" s="2">
        <v>2171.2941999999998</v>
      </c>
      <c r="AH206" s="2">
        <v>1406.9757999999999</v>
      </c>
      <c r="AI206" s="3">
        <v>0.39320001006072802</v>
      </c>
    </row>
    <row r="207" spans="1:35">
      <c r="A207" s="1">
        <v>42106</v>
      </c>
      <c r="B207" s="1">
        <v>37259</v>
      </c>
      <c r="C207" t="s">
        <v>4208</v>
      </c>
      <c r="D207">
        <v>313</v>
      </c>
      <c r="E207">
        <v>11799</v>
      </c>
      <c r="F207">
        <v>1</v>
      </c>
      <c r="G207">
        <v>1</v>
      </c>
      <c r="H207">
        <v>1</v>
      </c>
      <c r="I207">
        <v>2</v>
      </c>
      <c r="J207" t="s">
        <v>3491</v>
      </c>
      <c r="K207" t="s">
        <v>3492</v>
      </c>
      <c r="L207" s="2">
        <v>2171.2941999999998</v>
      </c>
      <c r="M207" s="2">
        <v>3578.27</v>
      </c>
      <c r="N207" t="s">
        <v>13</v>
      </c>
      <c r="O207" t="s">
        <v>80</v>
      </c>
      <c r="P207" t="s">
        <v>56</v>
      </c>
      <c r="Q207" t="s">
        <v>6536</v>
      </c>
      <c r="R207" s="1">
        <v>25459</v>
      </c>
      <c r="S207" t="s">
        <v>16</v>
      </c>
      <c r="T207" t="s">
        <v>16</v>
      </c>
      <c r="U207" t="s">
        <v>763</v>
      </c>
      <c r="V207">
        <v>40000</v>
      </c>
      <c r="W207">
        <v>2</v>
      </c>
      <c r="X207" t="s">
        <v>17</v>
      </c>
      <c r="Y207" t="s">
        <v>53</v>
      </c>
      <c r="Z207" t="s">
        <v>19</v>
      </c>
      <c r="AA207" t="s">
        <v>3577</v>
      </c>
      <c r="AB207" t="s">
        <v>3578</v>
      </c>
      <c r="AC207" t="s">
        <v>3579</v>
      </c>
      <c r="AD207" t="s">
        <v>3479</v>
      </c>
      <c r="AE207" t="s">
        <v>3475</v>
      </c>
      <c r="AF207" s="2">
        <v>3578.27</v>
      </c>
      <c r="AG207" s="2">
        <v>2171.2941999999998</v>
      </c>
      <c r="AH207" s="2">
        <v>1406.9757999999999</v>
      </c>
      <c r="AI207" s="3">
        <v>0.39320001006072802</v>
      </c>
    </row>
    <row r="208" spans="1:35">
      <c r="A208" s="1">
        <v>42106</v>
      </c>
      <c r="B208" s="1">
        <v>37319</v>
      </c>
      <c r="C208" t="s">
        <v>4209</v>
      </c>
      <c r="D208">
        <v>313</v>
      </c>
      <c r="E208">
        <v>11678</v>
      </c>
      <c r="F208">
        <v>1</v>
      </c>
      <c r="G208">
        <v>1</v>
      </c>
      <c r="H208">
        <v>1</v>
      </c>
      <c r="I208">
        <v>2</v>
      </c>
      <c r="J208" t="s">
        <v>3491</v>
      </c>
      <c r="K208" t="s">
        <v>3492</v>
      </c>
      <c r="L208" s="2">
        <v>2171.2941999999998</v>
      </c>
      <c r="M208" s="2">
        <v>3578.27</v>
      </c>
      <c r="N208" t="s">
        <v>13</v>
      </c>
      <c r="O208" t="s">
        <v>700</v>
      </c>
      <c r="P208" t="s">
        <v>341</v>
      </c>
      <c r="Q208" t="s">
        <v>6537</v>
      </c>
      <c r="R208" s="1">
        <v>25231</v>
      </c>
      <c r="S208" t="s">
        <v>16</v>
      </c>
      <c r="T208" t="s">
        <v>16</v>
      </c>
      <c r="U208" t="s">
        <v>701</v>
      </c>
      <c r="V208">
        <v>70000</v>
      </c>
      <c r="W208">
        <v>5</v>
      </c>
      <c r="X208" t="s">
        <v>135</v>
      </c>
      <c r="Y208" t="s">
        <v>18</v>
      </c>
      <c r="Z208" t="s">
        <v>19</v>
      </c>
      <c r="AA208" t="s">
        <v>3577</v>
      </c>
      <c r="AB208" t="s">
        <v>3578</v>
      </c>
      <c r="AC208" t="s">
        <v>3579</v>
      </c>
      <c r="AD208" t="s">
        <v>3479</v>
      </c>
      <c r="AE208" t="s">
        <v>3475</v>
      </c>
      <c r="AF208" s="2">
        <v>3578.27</v>
      </c>
      <c r="AG208" s="2">
        <v>2171.2941999999998</v>
      </c>
      <c r="AH208" s="2">
        <v>1406.9757999999999</v>
      </c>
      <c r="AI208" s="3">
        <v>0.39320001006072802</v>
      </c>
    </row>
    <row r="209" spans="1:35">
      <c r="A209" s="1">
        <v>42106</v>
      </c>
      <c r="B209" s="1">
        <v>37275</v>
      </c>
      <c r="C209" t="s">
        <v>4210</v>
      </c>
      <c r="D209">
        <v>313</v>
      </c>
      <c r="E209">
        <v>12655</v>
      </c>
      <c r="F209">
        <v>7</v>
      </c>
      <c r="G209">
        <v>1</v>
      </c>
      <c r="H209">
        <v>1</v>
      </c>
      <c r="I209">
        <v>2</v>
      </c>
      <c r="J209" t="s">
        <v>3491</v>
      </c>
      <c r="K209" t="s">
        <v>3492</v>
      </c>
      <c r="L209" s="2">
        <v>2171.2941999999998</v>
      </c>
      <c r="M209" s="2">
        <v>3578.27</v>
      </c>
      <c r="N209" t="s">
        <v>13</v>
      </c>
      <c r="O209" t="s">
        <v>247</v>
      </c>
      <c r="P209" t="s">
        <v>232</v>
      </c>
      <c r="Q209" t="s">
        <v>6538</v>
      </c>
      <c r="R209" s="1">
        <v>17949</v>
      </c>
      <c r="S209" t="s">
        <v>16</v>
      </c>
      <c r="T209" t="s">
        <v>16</v>
      </c>
      <c r="U209" t="s">
        <v>1220</v>
      </c>
      <c r="V209">
        <v>80000</v>
      </c>
      <c r="W209">
        <v>5</v>
      </c>
      <c r="X209" t="s">
        <v>57</v>
      </c>
      <c r="Y209" t="s">
        <v>45</v>
      </c>
      <c r="Z209" t="s">
        <v>19</v>
      </c>
      <c r="AA209" t="s">
        <v>3583</v>
      </c>
      <c r="AB209" t="s">
        <v>3583</v>
      </c>
      <c r="AC209" t="s">
        <v>3584</v>
      </c>
      <c r="AD209" t="s">
        <v>3479</v>
      </c>
      <c r="AE209" t="s">
        <v>3475</v>
      </c>
      <c r="AF209" s="2">
        <v>3578.27</v>
      </c>
      <c r="AG209" s="2">
        <v>2171.2941999999998</v>
      </c>
      <c r="AH209" s="2">
        <v>1406.9757999999999</v>
      </c>
      <c r="AI209" s="3">
        <v>0.39320001006072802</v>
      </c>
    </row>
    <row r="210" spans="1:35">
      <c r="A210" s="1">
        <v>42106</v>
      </c>
      <c r="B210" s="1">
        <v>37287</v>
      </c>
      <c r="C210" t="s">
        <v>4211</v>
      </c>
      <c r="D210">
        <v>313</v>
      </c>
      <c r="E210">
        <v>11707</v>
      </c>
      <c r="F210">
        <v>4</v>
      </c>
      <c r="G210">
        <v>1</v>
      </c>
      <c r="H210">
        <v>1</v>
      </c>
      <c r="I210">
        <v>2</v>
      </c>
      <c r="J210" t="s">
        <v>3491</v>
      </c>
      <c r="K210" t="s">
        <v>3492</v>
      </c>
      <c r="L210" s="2">
        <v>2171.2941999999998</v>
      </c>
      <c r="M210" s="2">
        <v>3578.27</v>
      </c>
      <c r="N210" t="s">
        <v>30</v>
      </c>
      <c r="O210" t="s">
        <v>331</v>
      </c>
      <c r="P210" t="s">
        <v>334</v>
      </c>
      <c r="Q210" t="s">
        <v>6539</v>
      </c>
      <c r="R210" s="1">
        <v>23367</v>
      </c>
      <c r="S210" t="s">
        <v>22</v>
      </c>
      <c r="T210" t="s">
        <v>29</v>
      </c>
      <c r="U210" t="s">
        <v>715</v>
      </c>
      <c r="V210">
        <v>60000</v>
      </c>
      <c r="W210">
        <v>4</v>
      </c>
      <c r="X210" t="s">
        <v>17</v>
      </c>
      <c r="Y210" t="s">
        <v>18</v>
      </c>
      <c r="Z210" t="s">
        <v>19</v>
      </c>
      <c r="AA210" t="s">
        <v>3580</v>
      </c>
      <c r="AB210" t="s">
        <v>3578</v>
      </c>
      <c r="AC210" t="s">
        <v>3579</v>
      </c>
      <c r="AD210" t="s">
        <v>3479</v>
      </c>
      <c r="AE210" t="s">
        <v>3475</v>
      </c>
      <c r="AF210" s="2">
        <v>3578.27</v>
      </c>
      <c r="AG210" s="2">
        <v>2171.2941999999998</v>
      </c>
      <c r="AH210" s="2">
        <v>1406.9757999999999</v>
      </c>
      <c r="AI210" s="3">
        <v>0.39320001006072802</v>
      </c>
    </row>
    <row r="211" spans="1:35">
      <c r="A211" s="1">
        <v>42106</v>
      </c>
      <c r="B211" s="1">
        <v>37254</v>
      </c>
      <c r="C211" t="s">
        <v>4212</v>
      </c>
      <c r="D211">
        <v>310</v>
      </c>
      <c r="E211">
        <v>12750</v>
      </c>
      <c r="F211">
        <v>7</v>
      </c>
      <c r="G211">
        <v>1</v>
      </c>
      <c r="H211">
        <v>1</v>
      </c>
      <c r="I211">
        <v>2</v>
      </c>
      <c r="J211" t="s">
        <v>3485</v>
      </c>
      <c r="K211" t="s">
        <v>3486</v>
      </c>
      <c r="L211" s="2">
        <v>2171.2941999999998</v>
      </c>
      <c r="M211" s="2">
        <v>3578.27</v>
      </c>
      <c r="N211" t="s">
        <v>30</v>
      </c>
      <c r="O211" t="s">
        <v>1263</v>
      </c>
      <c r="P211" t="s">
        <v>232</v>
      </c>
      <c r="Q211" t="s">
        <v>6540</v>
      </c>
      <c r="R211" s="1">
        <v>25791</v>
      </c>
      <c r="S211" t="s">
        <v>22</v>
      </c>
      <c r="T211" t="s">
        <v>29</v>
      </c>
      <c r="U211" t="s">
        <v>1264</v>
      </c>
      <c r="V211">
        <v>40000</v>
      </c>
      <c r="W211">
        <v>2</v>
      </c>
      <c r="X211" t="s">
        <v>52</v>
      </c>
      <c r="Y211" t="s">
        <v>60</v>
      </c>
      <c r="Z211" t="s">
        <v>19</v>
      </c>
      <c r="AA211" t="s">
        <v>3583</v>
      </c>
      <c r="AB211" t="s">
        <v>3583</v>
      </c>
      <c r="AC211" t="s">
        <v>3584</v>
      </c>
      <c r="AD211" t="s">
        <v>3479</v>
      </c>
      <c r="AE211" t="s">
        <v>3475</v>
      </c>
      <c r="AF211" s="2">
        <v>3578.27</v>
      </c>
      <c r="AG211" s="2">
        <v>2171.2941999999998</v>
      </c>
      <c r="AH211" s="2">
        <v>1406.9757999999999</v>
      </c>
      <c r="AI211" s="3">
        <v>0.39320001006072802</v>
      </c>
    </row>
    <row r="212" spans="1:35">
      <c r="A212" s="1">
        <v>42108</v>
      </c>
      <c r="B212" s="1">
        <v>37248</v>
      </c>
      <c r="C212" t="s">
        <v>4217</v>
      </c>
      <c r="D212">
        <v>311</v>
      </c>
      <c r="E212">
        <v>11727</v>
      </c>
      <c r="F212">
        <v>4</v>
      </c>
      <c r="G212">
        <v>1</v>
      </c>
      <c r="H212">
        <v>1</v>
      </c>
      <c r="I212">
        <v>2</v>
      </c>
      <c r="J212" t="s">
        <v>3487</v>
      </c>
      <c r="K212" t="s">
        <v>3488</v>
      </c>
      <c r="L212" s="2">
        <v>2171.2941999999998</v>
      </c>
      <c r="M212" s="2">
        <v>3578.27</v>
      </c>
      <c r="N212" t="s">
        <v>13</v>
      </c>
      <c r="O212" t="s">
        <v>719</v>
      </c>
      <c r="P212" t="s">
        <v>254</v>
      </c>
      <c r="Q212" t="s">
        <v>6541</v>
      </c>
      <c r="R212" s="1">
        <v>24662</v>
      </c>
      <c r="S212" t="s">
        <v>22</v>
      </c>
      <c r="T212" t="s">
        <v>16</v>
      </c>
      <c r="U212" t="s">
        <v>720</v>
      </c>
      <c r="V212">
        <v>60000</v>
      </c>
      <c r="W212">
        <v>0</v>
      </c>
      <c r="X212" t="s">
        <v>135</v>
      </c>
      <c r="Y212" t="s">
        <v>18</v>
      </c>
      <c r="Z212" t="s">
        <v>23</v>
      </c>
      <c r="AA212" t="s">
        <v>3580</v>
      </c>
      <c r="AB212" t="s">
        <v>3578</v>
      </c>
      <c r="AC212" t="s">
        <v>3579</v>
      </c>
      <c r="AD212" t="s">
        <v>3479</v>
      </c>
      <c r="AE212" t="s">
        <v>3475</v>
      </c>
      <c r="AF212" s="2">
        <v>3578.27</v>
      </c>
      <c r="AG212" s="2">
        <v>2171.2941999999998</v>
      </c>
      <c r="AH212" s="2">
        <v>1406.9757999999999</v>
      </c>
      <c r="AI212" s="3">
        <v>0.39320001006072802</v>
      </c>
    </row>
    <row r="213" spans="1:35">
      <c r="A213" s="1">
        <v>42108</v>
      </c>
      <c r="B213" s="1">
        <v>37313</v>
      </c>
      <c r="C213" t="s">
        <v>4218</v>
      </c>
      <c r="D213">
        <v>311</v>
      </c>
      <c r="E213">
        <v>12632</v>
      </c>
      <c r="F213">
        <v>7</v>
      </c>
      <c r="G213">
        <v>1</v>
      </c>
      <c r="H213">
        <v>1</v>
      </c>
      <c r="I213">
        <v>2</v>
      </c>
      <c r="J213" t="s">
        <v>3487</v>
      </c>
      <c r="K213" t="s">
        <v>3488</v>
      </c>
      <c r="L213" s="2">
        <v>2171.2941999999998</v>
      </c>
      <c r="M213" s="2">
        <v>3578.27</v>
      </c>
      <c r="N213" t="s">
        <v>30</v>
      </c>
      <c r="O213" t="s">
        <v>502</v>
      </c>
      <c r="P213" t="s">
        <v>93</v>
      </c>
      <c r="Q213" t="s">
        <v>6542</v>
      </c>
      <c r="R213" s="1">
        <v>16302</v>
      </c>
      <c r="S213" t="s">
        <v>16</v>
      </c>
      <c r="T213" t="s">
        <v>29</v>
      </c>
      <c r="U213" t="s">
        <v>1216</v>
      </c>
      <c r="V213">
        <v>80000</v>
      </c>
      <c r="W213">
        <v>5</v>
      </c>
      <c r="X213" t="s">
        <v>17</v>
      </c>
      <c r="Y213" t="s">
        <v>45</v>
      </c>
      <c r="Z213" t="s">
        <v>19</v>
      </c>
      <c r="AA213" t="s">
        <v>3583</v>
      </c>
      <c r="AB213" t="s">
        <v>3583</v>
      </c>
      <c r="AC213" t="s">
        <v>3584</v>
      </c>
      <c r="AD213" t="s">
        <v>3479</v>
      </c>
      <c r="AE213" t="s">
        <v>3475</v>
      </c>
      <c r="AF213" s="2">
        <v>3578.27</v>
      </c>
      <c r="AG213" s="2">
        <v>2171.2941999999998</v>
      </c>
      <c r="AH213" s="2">
        <v>1406.9757999999999</v>
      </c>
      <c r="AI213" s="3">
        <v>0.39320001006072802</v>
      </c>
    </row>
    <row r="214" spans="1:35">
      <c r="A214" s="1">
        <v>42109</v>
      </c>
      <c r="B214" s="1">
        <v>37315</v>
      </c>
      <c r="C214" t="s">
        <v>4224</v>
      </c>
      <c r="D214">
        <v>312</v>
      </c>
      <c r="E214">
        <v>11837</v>
      </c>
      <c r="F214">
        <v>4</v>
      </c>
      <c r="G214">
        <v>1</v>
      </c>
      <c r="H214">
        <v>1</v>
      </c>
      <c r="I214">
        <v>2</v>
      </c>
      <c r="J214" t="s">
        <v>3489</v>
      </c>
      <c r="K214" t="s">
        <v>3490</v>
      </c>
      <c r="L214" s="2">
        <v>2171.2941999999998</v>
      </c>
      <c r="M214" s="2">
        <v>3578.27</v>
      </c>
      <c r="N214" t="s">
        <v>30</v>
      </c>
      <c r="O214" t="s">
        <v>409</v>
      </c>
      <c r="P214" t="s">
        <v>288</v>
      </c>
      <c r="Q214" t="s">
        <v>6543</v>
      </c>
      <c r="R214" s="1">
        <v>23963</v>
      </c>
      <c r="S214" t="s">
        <v>22</v>
      </c>
      <c r="T214" t="s">
        <v>29</v>
      </c>
      <c r="U214" t="s">
        <v>788</v>
      </c>
      <c r="V214">
        <v>80000</v>
      </c>
      <c r="W214">
        <v>3</v>
      </c>
      <c r="X214" t="s">
        <v>17</v>
      </c>
      <c r="Y214" t="s">
        <v>53</v>
      </c>
      <c r="Z214" t="s">
        <v>19</v>
      </c>
      <c r="AA214" t="s">
        <v>3580</v>
      </c>
      <c r="AB214" t="s">
        <v>3578</v>
      </c>
      <c r="AC214" t="s">
        <v>3579</v>
      </c>
      <c r="AD214" t="s">
        <v>3479</v>
      </c>
      <c r="AE214" t="s">
        <v>3475</v>
      </c>
      <c r="AF214" s="2">
        <v>3578.27</v>
      </c>
      <c r="AG214" s="2">
        <v>2171.2941999999998</v>
      </c>
      <c r="AH214" s="2">
        <v>1406.9757999999999</v>
      </c>
      <c r="AI214" s="3">
        <v>0.39320001006072802</v>
      </c>
    </row>
    <row r="215" spans="1:35">
      <c r="A215" s="1">
        <v>42109</v>
      </c>
      <c r="B215" s="1">
        <v>37262</v>
      </c>
      <c r="C215" t="s">
        <v>4225</v>
      </c>
      <c r="D215">
        <v>312</v>
      </c>
      <c r="E215">
        <v>11665</v>
      </c>
      <c r="F215">
        <v>4</v>
      </c>
      <c r="G215">
        <v>1</v>
      </c>
      <c r="H215">
        <v>1</v>
      </c>
      <c r="I215">
        <v>2</v>
      </c>
      <c r="J215" t="s">
        <v>3489</v>
      </c>
      <c r="K215" t="s">
        <v>3490</v>
      </c>
      <c r="L215" s="2">
        <v>2171.2941999999998</v>
      </c>
      <c r="M215" s="2">
        <v>3578.27</v>
      </c>
      <c r="N215" t="s">
        <v>30</v>
      </c>
      <c r="O215" t="s">
        <v>526</v>
      </c>
      <c r="P215" t="s">
        <v>97</v>
      </c>
      <c r="Q215" t="s">
        <v>6544</v>
      </c>
      <c r="R215" s="1">
        <v>25915</v>
      </c>
      <c r="S215" t="s">
        <v>16</v>
      </c>
      <c r="T215" t="s">
        <v>29</v>
      </c>
      <c r="U215" t="s">
        <v>695</v>
      </c>
      <c r="V215">
        <v>70000</v>
      </c>
      <c r="W215">
        <v>4</v>
      </c>
      <c r="X215" t="s">
        <v>135</v>
      </c>
      <c r="Y215" t="s">
        <v>18</v>
      </c>
      <c r="Z215" t="s">
        <v>19</v>
      </c>
      <c r="AA215" t="s">
        <v>3580</v>
      </c>
      <c r="AB215" t="s">
        <v>3578</v>
      </c>
      <c r="AC215" t="s">
        <v>3579</v>
      </c>
      <c r="AD215" t="s">
        <v>3479</v>
      </c>
      <c r="AE215" t="s">
        <v>3475</v>
      </c>
      <c r="AF215" s="2">
        <v>3578.27</v>
      </c>
      <c r="AG215" s="2">
        <v>2171.2941999999998</v>
      </c>
      <c r="AH215" s="2">
        <v>1406.9757999999999</v>
      </c>
      <c r="AI215" s="3">
        <v>0.39320001006072802</v>
      </c>
    </row>
    <row r="216" spans="1:35">
      <c r="A216" s="1">
        <v>42109</v>
      </c>
      <c r="B216" s="1">
        <v>37334</v>
      </c>
      <c r="C216" t="s">
        <v>4226</v>
      </c>
      <c r="D216">
        <v>349</v>
      </c>
      <c r="E216">
        <v>11947</v>
      </c>
      <c r="F216">
        <v>9</v>
      </c>
      <c r="G216">
        <v>1</v>
      </c>
      <c r="H216">
        <v>1</v>
      </c>
      <c r="I216">
        <v>1</v>
      </c>
      <c r="J216" t="s">
        <v>3529</v>
      </c>
      <c r="K216" t="s">
        <v>3530</v>
      </c>
      <c r="L216" s="2">
        <v>1898.0944</v>
      </c>
      <c r="M216" s="2">
        <v>3374.99</v>
      </c>
      <c r="N216" t="s">
        <v>30</v>
      </c>
      <c r="O216" t="s">
        <v>389</v>
      </c>
      <c r="P216" t="s">
        <v>122</v>
      </c>
      <c r="Q216" t="s">
        <v>6545</v>
      </c>
      <c r="R216" s="1">
        <v>18923</v>
      </c>
      <c r="S216" t="s">
        <v>22</v>
      </c>
      <c r="T216" t="s">
        <v>29</v>
      </c>
      <c r="U216" t="s">
        <v>854</v>
      </c>
      <c r="V216">
        <v>30000</v>
      </c>
      <c r="W216">
        <v>3</v>
      </c>
      <c r="X216" t="s">
        <v>57</v>
      </c>
      <c r="Y216" t="s">
        <v>53</v>
      </c>
      <c r="Z216" t="s">
        <v>23</v>
      </c>
      <c r="AA216" t="s">
        <v>3586</v>
      </c>
      <c r="AB216" t="s">
        <v>3586</v>
      </c>
      <c r="AC216" t="s">
        <v>3587</v>
      </c>
      <c r="AD216" t="s">
        <v>3478</v>
      </c>
      <c r="AE216" t="s">
        <v>3475</v>
      </c>
      <c r="AF216" s="2">
        <v>3374.99</v>
      </c>
      <c r="AG216" s="2">
        <v>1898.0944</v>
      </c>
      <c r="AH216" s="2">
        <v>1476.8956000000001</v>
      </c>
      <c r="AI216" s="3">
        <v>0.43759999288886797</v>
      </c>
    </row>
    <row r="217" spans="1:35">
      <c r="A217" s="1">
        <v>42109</v>
      </c>
      <c r="B217" s="1">
        <v>37241</v>
      </c>
      <c r="C217" t="s">
        <v>4227</v>
      </c>
      <c r="D217">
        <v>347</v>
      </c>
      <c r="E217">
        <v>11918</v>
      </c>
      <c r="F217">
        <v>9</v>
      </c>
      <c r="G217">
        <v>1</v>
      </c>
      <c r="H217">
        <v>1</v>
      </c>
      <c r="I217">
        <v>1</v>
      </c>
      <c r="J217" t="s">
        <v>3525</v>
      </c>
      <c r="K217" t="s">
        <v>3526</v>
      </c>
      <c r="L217" s="2">
        <v>1912.1543999999999</v>
      </c>
      <c r="M217" s="2">
        <v>3399.99</v>
      </c>
      <c r="N217" t="s">
        <v>30</v>
      </c>
      <c r="O217" t="s">
        <v>702</v>
      </c>
      <c r="P217" t="s">
        <v>55</v>
      </c>
      <c r="Q217" t="s">
        <v>6546</v>
      </c>
      <c r="R217" s="1">
        <v>23439</v>
      </c>
      <c r="S217" t="s">
        <v>16</v>
      </c>
      <c r="T217" t="s">
        <v>29</v>
      </c>
      <c r="U217" t="s">
        <v>835</v>
      </c>
      <c r="V217">
        <v>60000</v>
      </c>
      <c r="W217">
        <v>3</v>
      </c>
      <c r="X217" t="s">
        <v>17</v>
      </c>
      <c r="Y217" t="s">
        <v>18</v>
      </c>
      <c r="Z217" t="s">
        <v>19</v>
      </c>
      <c r="AA217" t="s">
        <v>3586</v>
      </c>
      <c r="AB217" t="s">
        <v>3586</v>
      </c>
      <c r="AC217" t="s">
        <v>3587</v>
      </c>
      <c r="AD217" t="s">
        <v>3478</v>
      </c>
      <c r="AE217" t="s">
        <v>3475</v>
      </c>
      <c r="AF217" s="2">
        <v>3399.99</v>
      </c>
      <c r="AG217" s="2">
        <v>1912.1543999999999</v>
      </c>
      <c r="AH217" s="2">
        <v>1487.8356000000001</v>
      </c>
      <c r="AI217" s="3">
        <v>0.43759999294115598</v>
      </c>
    </row>
    <row r="218" spans="1:35">
      <c r="A218" s="1">
        <v>42109</v>
      </c>
      <c r="B218" s="1">
        <v>37326</v>
      </c>
      <c r="C218" t="s">
        <v>4229</v>
      </c>
      <c r="D218">
        <v>313</v>
      </c>
      <c r="E218">
        <v>11933</v>
      </c>
      <c r="F218">
        <v>1</v>
      </c>
      <c r="G218">
        <v>1</v>
      </c>
      <c r="H218">
        <v>1</v>
      </c>
      <c r="I218">
        <v>2</v>
      </c>
      <c r="J218" t="s">
        <v>3491</v>
      </c>
      <c r="K218" t="s">
        <v>3492</v>
      </c>
      <c r="L218" s="2">
        <v>2171.2941999999998</v>
      </c>
      <c r="M218" s="2">
        <v>3578.27</v>
      </c>
      <c r="N218" t="s">
        <v>13</v>
      </c>
      <c r="O218" t="s">
        <v>843</v>
      </c>
      <c r="P218" t="s">
        <v>198</v>
      </c>
      <c r="Q218" t="s">
        <v>6547</v>
      </c>
      <c r="R218" s="1">
        <v>28188</v>
      </c>
      <c r="S218" t="s">
        <v>22</v>
      </c>
      <c r="T218" t="s">
        <v>16</v>
      </c>
      <c r="U218" t="s">
        <v>844</v>
      </c>
      <c r="V218">
        <v>40000</v>
      </c>
      <c r="W218">
        <v>0</v>
      </c>
      <c r="X218" t="s">
        <v>77</v>
      </c>
      <c r="Y218" t="s">
        <v>60</v>
      </c>
      <c r="Z218" t="s">
        <v>23</v>
      </c>
      <c r="AA218" t="s">
        <v>3577</v>
      </c>
      <c r="AB218" t="s">
        <v>3578</v>
      </c>
      <c r="AC218" t="s">
        <v>3579</v>
      </c>
      <c r="AD218" t="s">
        <v>3479</v>
      </c>
      <c r="AE218" t="s">
        <v>3475</v>
      </c>
      <c r="AF218" s="2">
        <v>3578.27</v>
      </c>
      <c r="AG218" s="2">
        <v>2171.2941999999998</v>
      </c>
      <c r="AH218" s="2">
        <v>1406.9757999999999</v>
      </c>
      <c r="AI218" s="3">
        <v>0.39320001006072802</v>
      </c>
    </row>
    <row r="219" spans="1:35">
      <c r="A219" s="1">
        <v>42109</v>
      </c>
      <c r="B219" s="1">
        <v>37247</v>
      </c>
      <c r="C219" t="s">
        <v>4230</v>
      </c>
      <c r="D219">
        <v>310</v>
      </c>
      <c r="E219">
        <v>11817</v>
      </c>
      <c r="F219">
        <v>4</v>
      </c>
      <c r="G219">
        <v>1</v>
      </c>
      <c r="H219">
        <v>1</v>
      </c>
      <c r="I219">
        <v>2</v>
      </c>
      <c r="J219" t="s">
        <v>3485</v>
      </c>
      <c r="K219" t="s">
        <v>3486</v>
      </c>
      <c r="L219" s="2">
        <v>2171.2941999999998</v>
      </c>
      <c r="M219" s="2">
        <v>3578.27</v>
      </c>
      <c r="N219" t="s">
        <v>30</v>
      </c>
      <c r="O219" t="s">
        <v>252</v>
      </c>
      <c r="P219" t="s">
        <v>328</v>
      </c>
      <c r="Q219" t="s">
        <v>6548</v>
      </c>
      <c r="R219" s="1">
        <v>25899</v>
      </c>
      <c r="S219" t="s">
        <v>22</v>
      </c>
      <c r="T219" t="s">
        <v>29</v>
      </c>
      <c r="U219" t="s">
        <v>776</v>
      </c>
      <c r="V219">
        <v>70000</v>
      </c>
      <c r="W219">
        <v>4</v>
      </c>
      <c r="X219" t="s">
        <v>135</v>
      </c>
      <c r="Y219" t="s">
        <v>18</v>
      </c>
      <c r="Z219" t="s">
        <v>19</v>
      </c>
      <c r="AA219" t="s">
        <v>3580</v>
      </c>
      <c r="AB219" t="s">
        <v>3578</v>
      </c>
      <c r="AC219" t="s">
        <v>3579</v>
      </c>
      <c r="AD219" t="s">
        <v>3479</v>
      </c>
      <c r="AE219" t="s">
        <v>3475</v>
      </c>
      <c r="AF219" s="2">
        <v>3578.27</v>
      </c>
      <c r="AG219" s="2">
        <v>2171.2941999999998</v>
      </c>
      <c r="AH219" s="2">
        <v>1406.9757999999999</v>
      </c>
      <c r="AI219" s="3">
        <v>0.39320001006072802</v>
      </c>
    </row>
    <row r="220" spans="1:35">
      <c r="A220" s="1">
        <v>42114</v>
      </c>
      <c r="B220" s="1">
        <v>37246</v>
      </c>
      <c r="C220" t="s">
        <v>4260</v>
      </c>
      <c r="D220">
        <v>311</v>
      </c>
      <c r="E220">
        <v>11654</v>
      </c>
      <c r="F220">
        <v>4</v>
      </c>
      <c r="G220">
        <v>1</v>
      </c>
      <c r="H220">
        <v>1</v>
      </c>
      <c r="I220">
        <v>2</v>
      </c>
      <c r="J220" t="s">
        <v>3487</v>
      </c>
      <c r="K220" t="s">
        <v>3488</v>
      </c>
      <c r="L220" s="2">
        <v>2171.2941999999998</v>
      </c>
      <c r="M220" s="2">
        <v>3578.27</v>
      </c>
      <c r="N220" t="s">
        <v>30</v>
      </c>
      <c r="O220" t="s">
        <v>518</v>
      </c>
      <c r="P220" t="s">
        <v>109</v>
      </c>
      <c r="Q220" t="s">
        <v>6549</v>
      </c>
      <c r="R220" s="1">
        <v>26195</v>
      </c>
      <c r="S220" t="s">
        <v>16</v>
      </c>
      <c r="T220" t="s">
        <v>29</v>
      </c>
      <c r="U220" t="s">
        <v>690</v>
      </c>
      <c r="V220">
        <v>60000</v>
      </c>
      <c r="W220">
        <v>1</v>
      </c>
      <c r="X220" t="s">
        <v>135</v>
      </c>
      <c r="Y220" t="s">
        <v>18</v>
      </c>
      <c r="Z220" t="s">
        <v>19</v>
      </c>
      <c r="AA220" t="s">
        <v>3580</v>
      </c>
      <c r="AB220" t="s">
        <v>3578</v>
      </c>
      <c r="AC220" t="s">
        <v>3579</v>
      </c>
      <c r="AD220" t="s">
        <v>3479</v>
      </c>
      <c r="AE220" t="s">
        <v>3475</v>
      </c>
      <c r="AF220" s="2">
        <v>3578.27</v>
      </c>
      <c r="AG220" s="2">
        <v>2171.2941999999998</v>
      </c>
      <c r="AH220" s="2">
        <v>1406.9757999999999</v>
      </c>
      <c r="AI220" s="3">
        <v>0.39320001006072802</v>
      </c>
    </row>
    <row r="221" spans="1:35">
      <c r="A221" s="1">
        <v>42110</v>
      </c>
      <c r="B221" s="1">
        <v>37298</v>
      </c>
      <c r="C221" t="s">
        <v>4233</v>
      </c>
      <c r="D221">
        <v>314</v>
      </c>
      <c r="E221">
        <v>11797</v>
      </c>
      <c r="F221">
        <v>4</v>
      </c>
      <c r="G221">
        <v>1</v>
      </c>
      <c r="H221">
        <v>1</v>
      </c>
      <c r="I221">
        <v>2</v>
      </c>
      <c r="J221" t="s">
        <v>3493</v>
      </c>
      <c r="K221" t="s">
        <v>3494</v>
      </c>
      <c r="L221" s="2">
        <v>2171.2941999999998</v>
      </c>
      <c r="M221" s="2">
        <v>3578.27</v>
      </c>
      <c r="N221" t="s">
        <v>13</v>
      </c>
      <c r="O221" t="s">
        <v>285</v>
      </c>
      <c r="P221" t="s">
        <v>264</v>
      </c>
      <c r="Q221" t="s">
        <v>6550</v>
      </c>
      <c r="R221" s="1">
        <v>25269</v>
      </c>
      <c r="S221" t="s">
        <v>22</v>
      </c>
      <c r="T221" t="s">
        <v>16</v>
      </c>
      <c r="U221" t="s">
        <v>760</v>
      </c>
      <c r="V221">
        <v>40000</v>
      </c>
      <c r="W221">
        <v>2</v>
      </c>
      <c r="X221" t="s">
        <v>17</v>
      </c>
      <c r="Y221" t="s">
        <v>53</v>
      </c>
      <c r="Z221" t="s">
        <v>19</v>
      </c>
      <c r="AA221" t="s">
        <v>3580</v>
      </c>
      <c r="AB221" t="s">
        <v>3578</v>
      </c>
      <c r="AC221" t="s">
        <v>3579</v>
      </c>
      <c r="AD221" t="s">
        <v>3479</v>
      </c>
      <c r="AE221" t="s">
        <v>3475</v>
      </c>
      <c r="AF221" s="2">
        <v>3578.27</v>
      </c>
      <c r="AG221" s="2">
        <v>2171.2941999999998</v>
      </c>
      <c r="AH221" s="2">
        <v>1406.9757999999999</v>
      </c>
      <c r="AI221" s="3">
        <v>0.39320001006072802</v>
      </c>
    </row>
    <row r="222" spans="1:35">
      <c r="A222" s="1">
        <v>42110</v>
      </c>
      <c r="B222" s="1">
        <v>37304</v>
      </c>
      <c r="C222" t="s">
        <v>4234</v>
      </c>
      <c r="D222">
        <v>347</v>
      </c>
      <c r="E222">
        <v>11930</v>
      </c>
      <c r="F222">
        <v>9</v>
      </c>
      <c r="G222">
        <v>1</v>
      </c>
      <c r="H222">
        <v>1</v>
      </c>
      <c r="I222">
        <v>1</v>
      </c>
      <c r="J222" t="s">
        <v>3525</v>
      </c>
      <c r="K222" t="s">
        <v>3526</v>
      </c>
      <c r="L222" s="2">
        <v>1912.1543999999999</v>
      </c>
      <c r="M222" s="2">
        <v>3399.99</v>
      </c>
      <c r="N222" t="s">
        <v>30</v>
      </c>
      <c r="O222" t="s">
        <v>117</v>
      </c>
      <c r="P222" t="s">
        <v>115</v>
      </c>
      <c r="Q222" t="s">
        <v>6551</v>
      </c>
      <c r="R222" s="1">
        <v>17291</v>
      </c>
      <c r="S222" t="s">
        <v>16</v>
      </c>
      <c r="T222" t="s">
        <v>29</v>
      </c>
      <c r="U222" t="s">
        <v>842</v>
      </c>
      <c r="V222">
        <v>20000</v>
      </c>
      <c r="W222">
        <v>4</v>
      </c>
      <c r="X222" t="s">
        <v>57</v>
      </c>
      <c r="Y222" t="s">
        <v>53</v>
      </c>
      <c r="Z222" t="s">
        <v>23</v>
      </c>
      <c r="AA222" t="s">
        <v>3586</v>
      </c>
      <c r="AB222" t="s">
        <v>3586</v>
      </c>
      <c r="AC222" t="s">
        <v>3587</v>
      </c>
      <c r="AD222" t="s">
        <v>3478</v>
      </c>
      <c r="AE222" t="s">
        <v>3475</v>
      </c>
      <c r="AF222" s="2">
        <v>3399.99</v>
      </c>
      <c r="AG222" s="2">
        <v>1912.1543999999999</v>
      </c>
      <c r="AH222" s="2">
        <v>1487.8356000000001</v>
      </c>
      <c r="AI222" s="3">
        <v>0.43759999294115598</v>
      </c>
    </row>
    <row r="223" spans="1:35">
      <c r="A223" s="1">
        <v>42110</v>
      </c>
      <c r="B223" s="1">
        <v>37325</v>
      </c>
      <c r="C223" t="s">
        <v>4235</v>
      </c>
      <c r="D223">
        <v>311</v>
      </c>
      <c r="E223">
        <v>11777</v>
      </c>
      <c r="F223">
        <v>4</v>
      </c>
      <c r="G223">
        <v>1</v>
      </c>
      <c r="H223">
        <v>1</v>
      </c>
      <c r="I223">
        <v>2</v>
      </c>
      <c r="J223" t="s">
        <v>3487</v>
      </c>
      <c r="K223" t="s">
        <v>3488</v>
      </c>
      <c r="L223" s="2">
        <v>2171.2941999999998</v>
      </c>
      <c r="M223" s="2">
        <v>3578.27</v>
      </c>
      <c r="N223" t="s">
        <v>30</v>
      </c>
      <c r="O223" t="s">
        <v>691</v>
      </c>
      <c r="P223" t="s">
        <v>239</v>
      </c>
      <c r="Q223" t="s">
        <v>6552</v>
      </c>
      <c r="R223" s="1">
        <v>26504</v>
      </c>
      <c r="S223" t="s">
        <v>22</v>
      </c>
      <c r="T223" t="s">
        <v>29</v>
      </c>
      <c r="U223" t="s">
        <v>750</v>
      </c>
      <c r="V223">
        <v>40000</v>
      </c>
      <c r="W223">
        <v>1</v>
      </c>
      <c r="X223" t="s">
        <v>135</v>
      </c>
      <c r="Y223" t="s">
        <v>53</v>
      </c>
      <c r="Z223" t="s">
        <v>19</v>
      </c>
      <c r="AA223" t="s">
        <v>3580</v>
      </c>
      <c r="AB223" t="s">
        <v>3578</v>
      </c>
      <c r="AC223" t="s">
        <v>3579</v>
      </c>
      <c r="AD223" t="s">
        <v>3479</v>
      </c>
      <c r="AE223" t="s">
        <v>3475</v>
      </c>
      <c r="AF223" s="2">
        <v>3578.27</v>
      </c>
      <c r="AG223" s="2">
        <v>2171.2941999999998</v>
      </c>
      <c r="AH223" s="2">
        <v>1406.9757999999999</v>
      </c>
      <c r="AI223" s="3">
        <v>0.39320001006072802</v>
      </c>
    </row>
    <row r="224" spans="1:35">
      <c r="A224" s="1">
        <v>42110</v>
      </c>
      <c r="B224" s="1">
        <v>37247</v>
      </c>
      <c r="C224" t="s">
        <v>4237</v>
      </c>
      <c r="D224">
        <v>346</v>
      </c>
      <c r="E224">
        <v>11964</v>
      </c>
      <c r="F224">
        <v>9</v>
      </c>
      <c r="G224">
        <v>1</v>
      </c>
      <c r="H224">
        <v>1</v>
      </c>
      <c r="I224">
        <v>1</v>
      </c>
      <c r="J224" t="s">
        <v>3523</v>
      </c>
      <c r="K224" t="s">
        <v>3524</v>
      </c>
      <c r="L224" s="2">
        <v>1912.1543999999999</v>
      </c>
      <c r="M224" s="2">
        <v>3399.99</v>
      </c>
      <c r="N224" t="s">
        <v>13</v>
      </c>
      <c r="O224" t="s">
        <v>627</v>
      </c>
      <c r="P224" t="s">
        <v>863</v>
      </c>
      <c r="Q224" t="s">
        <v>6553</v>
      </c>
      <c r="R224" s="1">
        <v>20502</v>
      </c>
      <c r="S224" t="s">
        <v>22</v>
      </c>
      <c r="T224" t="s">
        <v>16</v>
      </c>
      <c r="U224" t="s">
        <v>864</v>
      </c>
      <c r="V224">
        <v>70000</v>
      </c>
      <c r="W224">
        <v>2</v>
      </c>
      <c r="X224" t="s">
        <v>57</v>
      </c>
      <c r="Y224" t="s">
        <v>53</v>
      </c>
      <c r="Z224" t="s">
        <v>23</v>
      </c>
      <c r="AA224" t="s">
        <v>3586</v>
      </c>
      <c r="AB224" t="s">
        <v>3586</v>
      </c>
      <c r="AC224" t="s">
        <v>3587</v>
      </c>
      <c r="AD224" t="s">
        <v>3478</v>
      </c>
      <c r="AE224" t="s">
        <v>3475</v>
      </c>
      <c r="AF224" s="2">
        <v>3399.99</v>
      </c>
      <c r="AG224" s="2">
        <v>1912.1543999999999</v>
      </c>
      <c r="AH224" s="2">
        <v>1487.8356000000001</v>
      </c>
      <c r="AI224" s="3">
        <v>0.43759999294115598</v>
      </c>
    </row>
    <row r="225" spans="1:35">
      <c r="A225" s="1">
        <v>42110</v>
      </c>
      <c r="B225" s="1">
        <v>37266</v>
      </c>
      <c r="C225" t="s">
        <v>4239</v>
      </c>
      <c r="D225">
        <v>349</v>
      </c>
      <c r="E225">
        <v>11929</v>
      </c>
      <c r="F225">
        <v>9</v>
      </c>
      <c r="G225">
        <v>1</v>
      </c>
      <c r="H225">
        <v>1</v>
      </c>
      <c r="I225">
        <v>1</v>
      </c>
      <c r="J225" t="s">
        <v>3529</v>
      </c>
      <c r="K225" t="s">
        <v>3530</v>
      </c>
      <c r="L225" s="2">
        <v>1898.0944</v>
      </c>
      <c r="M225" s="2">
        <v>3374.99</v>
      </c>
      <c r="N225" t="s">
        <v>30</v>
      </c>
      <c r="O225" t="s">
        <v>471</v>
      </c>
      <c r="P225" t="s">
        <v>95</v>
      </c>
      <c r="Q225" t="s">
        <v>6554</v>
      </c>
      <c r="R225" s="1">
        <v>16845</v>
      </c>
      <c r="S225" t="s">
        <v>22</v>
      </c>
      <c r="T225" t="s">
        <v>29</v>
      </c>
      <c r="U225" t="s">
        <v>841</v>
      </c>
      <c r="V225">
        <v>30000</v>
      </c>
      <c r="W225">
        <v>2</v>
      </c>
      <c r="X225" t="s">
        <v>52</v>
      </c>
      <c r="Y225" t="s">
        <v>60</v>
      </c>
      <c r="Z225" t="s">
        <v>19</v>
      </c>
      <c r="AA225" t="s">
        <v>3586</v>
      </c>
      <c r="AB225" t="s">
        <v>3586</v>
      </c>
      <c r="AC225" t="s">
        <v>3587</v>
      </c>
      <c r="AD225" t="s">
        <v>3478</v>
      </c>
      <c r="AE225" t="s">
        <v>3475</v>
      </c>
      <c r="AF225" s="2">
        <v>3374.99</v>
      </c>
      <c r="AG225" s="2">
        <v>1898.0944</v>
      </c>
      <c r="AH225" s="2">
        <v>1476.8956000000001</v>
      </c>
      <c r="AI225" s="3">
        <v>0.43759999288886797</v>
      </c>
    </row>
    <row r="226" spans="1:35">
      <c r="A226" s="1">
        <v>42111</v>
      </c>
      <c r="B226" s="1">
        <v>37244</v>
      </c>
      <c r="C226" t="s">
        <v>4240</v>
      </c>
      <c r="D226">
        <v>313</v>
      </c>
      <c r="E226">
        <v>11811</v>
      </c>
      <c r="F226">
        <v>4</v>
      </c>
      <c r="G226">
        <v>1</v>
      </c>
      <c r="H226">
        <v>1</v>
      </c>
      <c r="I226">
        <v>2</v>
      </c>
      <c r="J226" t="s">
        <v>3491</v>
      </c>
      <c r="K226" t="s">
        <v>3492</v>
      </c>
      <c r="L226" s="2">
        <v>2171.2941999999998</v>
      </c>
      <c r="M226" s="2">
        <v>3578.27</v>
      </c>
      <c r="N226" t="s">
        <v>26</v>
      </c>
      <c r="O226" t="s">
        <v>182</v>
      </c>
      <c r="P226" t="s">
        <v>286</v>
      </c>
      <c r="Q226" t="s">
        <v>6555</v>
      </c>
      <c r="R226" s="1">
        <v>24638</v>
      </c>
      <c r="S226" t="s">
        <v>22</v>
      </c>
      <c r="T226" t="s">
        <v>29</v>
      </c>
      <c r="U226" t="s">
        <v>769</v>
      </c>
      <c r="V226">
        <v>40000</v>
      </c>
      <c r="W226">
        <v>0</v>
      </c>
      <c r="X226" t="s">
        <v>17</v>
      </c>
      <c r="Y226" t="s">
        <v>18</v>
      </c>
      <c r="Z226" t="s">
        <v>19</v>
      </c>
      <c r="AA226" t="s">
        <v>3580</v>
      </c>
      <c r="AB226" t="s">
        <v>3578</v>
      </c>
      <c r="AC226" t="s">
        <v>3579</v>
      </c>
      <c r="AD226" t="s">
        <v>3479</v>
      </c>
      <c r="AE226" t="s">
        <v>3475</v>
      </c>
      <c r="AF226" s="2">
        <v>3578.27</v>
      </c>
      <c r="AG226" s="2">
        <v>2171.2941999999998</v>
      </c>
      <c r="AH226" s="2">
        <v>1406.9757999999999</v>
      </c>
      <c r="AI226" s="3">
        <v>0.39320001006072802</v>
      </c>
    </row>
    <row r="227" spans="1:35">
      <c r="A227" s="1">
        <v>42111</v>
      </c>
      <c r="B227" s="1">
        <v>37333</v>
      </c>
      <c r="C227" t="s">
        <v>4241</v>
      </c>
      <c r="D227">
        <v>312</v>
      </c>
      <c r="E227">
        <v>11798</v>
      </c>
      <c r="F227">
        <v>1</v>
      </c>
      <c r="G227">
        <v>1</v>
      </c>
      <c r="H227">
        <v>1</v>
      </c>
      <c r="I227">
        <v>2</v>
      </c>
      <c r="J227" t="s">
        <v>3489</v>
      </c>
      <c r="K227" t="s">
        <v>3490</v>
      </c>
      <c r="L227" s="2">
        <v>2171.2941999999998</v>
      </c>
      <c r="M227" s="2">
        <v>3578.27</v>
      </c>
      <c r="N227" t="s">
        <v>13</v>
      </c>
      <c r="O227" t="s">
        <v>761</v>
      </c>
      <c r="P227" t="s">
        <v>205</v>
      </c>
      <c r="Q227" t="s">
        <v>6556</v>
      </c>
      <c r="R227" s="1">
        <v>25246</v>
      </c>
      <c r="S227" t="s">
        <v>16</v>
      </c>
      <c r="T227" t="s">
        <v>16</v>
      </c>
      <c r="U227" t="s">
        <v>762</v>
      </c>
      <c r="V227">
        <v>40000</v>
      </c>
      <c r="W227">
        <v>2</v>
      </c>
      <c r="X227" t="s">
        <v>17</v>
      </c>
      <c r="Y227" t="s">
        <v>53</v>
      </c>
      <c r="Z227" t="s">
        <v>19</v>
      </c>
      <c r="AA227" t="s">
        <v>3577</v>
      </c>
      <c r="AB227" t="s">
        <v>3578</v>
      </c>
      <c r="AC227" t="s">
        <v>3579</v>
      </c>
      <c r="AD227" t="s">
        <v>3479</v>
      </c>
      <c r="AE227" t="s">
        <v>3475</v>
      </c>
      <c r="AF227" s="2">
        <v>3578.27</v>
      </c>
      <c r="AG227" s="2">
        <v>2171.2941999999998</v>
      </c>
      <c r="AH227" s="2">
        <v>1406.9757999999999</v>
      </c>
      <c r="AI227" s="3">
        <v>0.39320001006072802</v>
      </c>
    </row>
    <row r="228" spans="1:35">
      <c r="A228" s="1">
        <v>42124</v>
      </c>
      <c r="B228" s="1">
        <v>37316</v>
      </c>
      <c r="C228" t="s">
        <v>4342</v>
      </c>
      <c r="D228">
        <v>312</v>
      </c>
      <c r="E228">
        <v>11663</v>
      </c>
      <c r="F228">
        <v>1</v>
      </c>
      <c r="G228">
        <v>1</v>
      </c>
      <c r="H228">
        <v>1</v>
      </c>
      <c r="I228">
        <v>2</v>
      </c>
      <c r="J228" t="s">
        <v>3489</v>
      </c>
      <c r="K228" t="s">
        <v>3490</v>
      </c>
      <c r="L228" s="2">
        <v>2171.2941999999998</v>
      </c>
      <c r="M228" s="2">
        <v>3578.27</v>
      </c>
      <c r="N228" t="s">
        <v>13</v>
      </c>
      <c r="O228" t="s">
        <v>69</v>
      </c>
      <c r="P228" t="s">
        <v>273</v>
      </c>
      <c r="Q228" t="s">
        <v>6557</v>
      </c>
      <c r="R228" s="1">
        <v>25624</v>
      </c>
      <c r="S228" t="s">
        <v>16</v>
      </c>
      <c r="T228" t="s">
        <v>16</v>
      </c>
      <c r="U228" t="s">
        <v>693</v>
      </c>
      <c r="V228">
        <v>70000</v>
      </c>
      <c r="W228">
        <v>4</v>
      </c>
      <c r="X228" t="s">
        <v>135</v>
      </c>
      <c r="Y228" t="s">
        <v>18</v>
      </c>
      <c r="Z228" t="s">
        <v>19</v>
      </c>
      <c r="AA228" t="s">
        <v>3577</v>
      </c>
      <c r="AB228" t="s">
        <v>3578</v>
      </c>
      <c r="AC228" t="s">
        <v>3579</v>
      </c>
      <c r="AD228" t="s">
        <v>3479</v>
      </c>
      <c r="AE228" t="s">
        <v>3475</v>
      </c>
      <c r="AF228" s="2">
        <v>3578.27</v>
      </c>
      <c r="AG228" s="2">
        <v>2171.2941999999998</v>
      </c>
      <c r="AH228" s="2">
        <v>1406.9757999999999</v>
      </c>
      <c r="AI228" s="3">
        <v>0.39320001006072802</v>
      </c>
    </row>
    <row r="229" spans="1:35">
      <c r="A229" s="1">
        <v>42123</v>
      </c>
      <c r="B229" s="1">
        <v>37351</v>
      </c>
      <c r="C229" t="s">
        <v>4321</v>
      </c>
      <c r="D229">
        <v>311</v>
      </c>
      <c r="E229">
        <v>11664</v>
      </c>
      <c r="F229">
        <v>4</v>
      </c>
      <c r="G229">
        <v>1</v>
      </c>
      <c r="H229">
        <v>1</v>
      </c>
      <c r="I229">
        <v>2</v>
      </c>
      <c r="J229" t="s">
        <v>3487</v>
      </c>
      <c r="K229" t="s">
        <v>3488</v>
      </c>
      <c r="L229" s="2">
        <v>2171.2941999999998</v>
      </c>
      <c r="M229" s="2">
        <v>3578.27</v>
      </c>
      <c r="N229" t="s">
        <v>30</v>
      </c>
      <c r="O229" t="s">
        <v>174</v>
      </c>
      <c r="P229" t="s">
        <v>252</v>
      </c>
      <c r="Q229" t="s">
        <v>6558</v>
      </c>
      <c r="R229" s="1">
        <v>25608</v>
      </c>
      <c r="S229" t="s">
        <v>22</v>
      </c>
      <c r="T229" t="s">
        <v>29</v>
      </c>
      <c r="U229" t="s">
        <v>694</v>
      </c>
      <c r="V229">
        <v>70000</v>
      </c>
      <c r="W229">
        <v>4</v>
      </c>
      <c r="X229" t="s">
        <v>135</v>
      </c>
      <c r="Y229" t="s">
        <v>18</v>
      </c>
      <c r="Z229" t="s">
        <v>19</v>
      </c>
      <c r="AA229" t="s">
        <v>3580</v>
      </c>
      <c r="AB229" t="s">
        <v>3578</v>
      </c>
      <c r="AC229" t="s">
        <v>3579</v>
      </c>
      <c r="AD229" t="s">
        <v>3479</v>
      </c>
      <c r="AE229" t="s">
        <v>3475</v>
      </c>
      <c r="AF229" s="2">
        <v>3578.27</v>
      </c>
      <c r="AG229" s="2">
        <v>2171.2941999999998</v>
      </c>
      <c r="AH229" s="2">
        <v>1406.9757999999999</v>
      </c>
      <c r="AI229" s="3">
        <v>0.39320001006072802</v>
      </c>
    </row>
    <row r="230" spans="1:35">
      <c r="A230" s="1">
        <v>42111</v>
      </c>
      <c r="B230" s="1">
        <v>37280</v>
      </c>
      <c r="C230" t="s">
        <v>4243</v>
      </c>
      <c r="D230">
        <v>347</v>
      </c>
      <c r="E230">
        <v>11942</v>
      </c>
      <c r="F230">
        <v>9</v>
      </c>
      <c r="G230">
        <v>1</v>
      </c>
      <c r="H230">
        <v>1</v>
      </c>
      <c r="I230">
        <v>1</v>
      </c>
      <c r="J230" t="s">
        <v>3525</v>
      </c>
      <c r="K230" t="s">
        <v>3526</v>
      </c>
      <c r="L230" s="2">
        <v>1912.1543999999999</v>
      </c>
      <c r="M230" s="2">
        <v>3399.99</v>
      </c>
      <c r="N230" t="s">
        <v>13</v>
      </c>
      <c r="O230" t="s">
        <v>491</v>
      </c>
      <c r="P230" t="s">
        <v>95</v>
      </c>
      <c r="Q230" t="s">
        <v>6559</v>
      </c>
      <c r="R230" s="1">
        <v>18062</v>
      </c>
      <c r="S230" t="s">
        <v>16</v>
      </c>
      <c r="T230" t="s">
        <v>16</v>
      </c>
      <c r="U230" t="s">
        <v>848</v>
      </c>
      <c r="V230">
        <v>20000</v>
      </c>
      <c r="W230">
        <v>2</v>
      </c>
      <c r="X230" t="s">
        <v>77</v>
      </c>
      <c r="Y230" t="s">
        <v>60</v>
      </c>
      <c r="Z230" t="s">
        <v>19</v>
      </c>
      <c r="AA230" t="s">
        <v>3586</v>
      </c>
      <c r="AB230" t="s">
        <v>3586</v>
      </c>
      <c r="AC230" t="s">
        <v>3587</v>
      </c>
      <c r="AD230" t="s">
        <v>3478</v>
      </c>
      <c r="AE230" t="s">
        <v>3475</v>
      </c>
      <c r="AF230" s="2">
        <v>3399.99</v>
      </c>
      <c r="AG230" s="2">
        <v>1912.1543999999999</v>
      </c>
      <c r="AH230" s="2">
        <v>1487.8356000000001</v>
      </c>
      <c r="AI230" s="3">
        <v>0.43759999294115598</v>
      </c>
    </row>
    <row r="231" spans="1:35">
      <c r="A231" s="1">
        <v>42111</v>
      </c>
      <c r="B231" s="1">
        <v>37330</v>
      </c>
      <c r="C231" t="s">
        <v>4244</v>
      </c>
      <c r="D231">
        <v>312</v>
      </c>
      <c r="E231">
        <v>11780</v>
      </c>
      <c r="F231">
        <v>1</v>
      </c>
      <c r="G231">
        <v>1</v>
      </c>
      <c r="H231">
        <v>1</v>
      </c>
      <c r="I231">
        <v>2</v>
      </c>
      <c r="J231" t="s">
        <v>3489</v>
      </c>
      <c r="K231" t="s">
        <v>3490</v>
      </c>
      <c r="L231" s="2">
        <v>2171.2941999999998</v>
      </c>
      <c r="M231" s="2">
        <v>3578.27</v>
      </c>
      <c r="N231" t="s">
        <v>30</v>
      </c>
      <c r="O231" t="s">
        <v>145</v>
      </c>
      <c r="P231" t="s">
        <v>288</v>
      </c>
      <c r="Q231" t="s">
        <v>6560</v>
      </c>
      <c r="R231" s="1">
        <v>26257</v>
      </c>
      <c r="S231" t="s">
        <v>22</v>
      </c>
      <c r="T231" t="s">
        <v>29</v>
      </c>
      <c r="U231" t="s">
        <v>753</v>
      </c>
      <c r="V231">
        <v>60000</v>
      </c>
      <c r="W231">
        <v>1</v>
      </c>
      <c r="X231" t="s">
        <v>135</v>
      </c>
      <c r="Y231" t="s">
        <v>53</v>
      </c>
      <c r="Z231" t="s">
        <v>19</v>
      </c>
      <c r="AA231" t="s">
        <v>3577</v>
      </c>
      <c r="AB231" t="s">
        <v>3578</v>
      </c>
      <c r="AC231" t="s">
        <v>3579</v>
      </c>
      <c r="AD231" t="s">
        <v>3479</v>
      </c>
      <c r="AE231" t="s">
        <v>3475</v>
      </c>
      <c r="AF231" s="2">
        <v>3578.27</v>
      </c>
      <c r="AG231" s="2">
        <v>2171.2941999999998</v>
      </c>
      <c r="AH231" s="2">
        <v>1406.9757999999999</v>
      </c>
      <c r="AI231" s="3">
        <v>0.39320001006072802</v>
      </c>
    </row>
    <row r="232" spans="1:35">
      <c r="A232" s="1">
        <v>42113</v>
      </c>
      <c r="B232" s="1">
        <v>37323</v>
      </c>
      <c r="C232" t="s">
        <v>4256</v>
      </c>
      <c r="D232">
        <v>313</v>
      </c>
      <c r="E232">
        <v>11666</v>
      </c>
      <c r="F232">
        <v>4</v>
      </c>
      <c r="G232">
        <v>1</v>
      </c>
      <c r="H232">
        <v>1</v>
      </c>
      <c r="I232">
        <v>2</v>
      </c>
      <c r="J232" t="s">
        <v>3491</v>
      </c>
      <c r="K232" t="s">
        <v>3492</v>
      </c>
      <c r="L232" s="2">
        <v>2171.2941999999998</v>
      </c>
      <c r="M232" s="2">
        <v>3578.27</v>
      </c>
      <c r="N232" t="s">
        <v>13</v>
      </c>
      <c r="O232" t="s">
        <v>350</v>
      </c>
      <c r="P232" t="s">
        <v>173</v>
      </c>
      <c r="Q232" t="s">
        <v>6561</v>
      </c>
      <c r="R232" s="1">
        <v>25919</v>
      </c>
      <c r="S232" t="s">
        <v>16</v>
      </c>
      <c r="T232" t="s">
        <v>16</v>
      </c>
      <c r="U232" t="s">
        <v>696</v>
      </c>
      <c r="V232">
        <v>80000</v>
      </c>
      <c r="W232">
        <v>2</v>
      </c>
      <c r="X232" t="s">
        <v>135</v>
      </c>
      <c r="Y232" t="s">
        <v>18</v>
      </c>
      <c r="Z232" t="s">
        <v>19</v>
      </c>
      <c r="AA232" t="s">
        <v>3580</v>
      </c>
      <c r="AB232" t="s">
        <v>3578</v>
      </c>
      <c r="AC232" t="s">
        <v>3579</v>
      </c>
      <c r="AD232" t="s">
        <v>3479</v>
      </c>
      <c r="AE232" t="s">
        <v>3475</v>
      </c>
      <c r="AF232" s="2">
        <v>3578.27</v>
      </c>
      <c r="AG232" s="2">
        <v>2171.2941999999998</v>
      </c>
      <c r="AH232" s="2">
        <v>1406.9757999999999</v>
      </c>
      <c r="AI232" s="3">
        <v>0.39320001006072802</v>
      </c>
    </row>
    <row r="233" spans="1:35">
      <c r="A233" s="1">
        <v>42111</v>
      </c>
      <c r="B233" s="1">
        <v>37323</v>
      </c>
      <c r="C233" t="s">
        <v>4248</v>
      </c>
      <c r="D233">
        <v>313</v>
      </c>
      <c r="E233">
        <v>11741</v>
      </c>
      <c r="F233">
        <v>4</v>
      </c>
      <c r="G233">
        <v>1</v>
      </c>
      <c r="H233">
        <v>1</v>
      </c>
      <c r="I233">
        <v>2</v>
      </c>
      <c r="J233" t="s">
        <v>3491</v>
      </c>
      <c r="K233" t="s">
        <v>3492</v>
      </c>
      <c r="L233" s="2">
        <v>2171.2941999999998</v>
      </c>
      <c r="M233" s="2">
        <v>3578.27</v>
      </c>
      <c r="N233" t="s">
        <v>30</v>
      </c>
      <c r="O233" t="s">
        <v>181</v>
      </c>
      <c r="P233" t="s">
        <v>171</v>
      </c>
      <c r="Q233" t="s">
        <v>6562</v>
      </c>
      <c r="R233" s="1">
        <v>21757</v>
      </c>
      <c r="S233" t="s">
        <v>16</v>
      </c>
      <c r="T233" t="s">
        <v>29</v>
      </c>
      <c r="U233" t="s">
        <v>724</v>
      </c>
      <c r="V233">
        <v>80000</v>
      </c>
      <c r="W233">
        <v>4</v>
      </c>
      <c r="X233" t="s">
        <v>135</v>
      </c>
      <c r="Y233" t="s">
        <v>18</v>
      </c>
      <c r="Z233" t="s">
        <v>19</v>
      </c>
      <c r="AA233" t="s">
        <v>3580</v>
      </c>
      <c r="AB233" t="s">
        <v>3578</v>
      </c>
      <c r="AC233" t="s">
        <v>3579</v>
      </c>
      <c r="AD233" t="s">
        <v>3479</v>
      </c>
      <c r="AE233" t="s">
        <v>3475</v>
      </c>
      <c r="AF233" s="2">
        <v>3578.27</v>
      </c>
      <c r="AG233" s="2">
        <v>2171.2941999999998</v>
      </c>
      <c r="AH233" s="2">
        <v>1406.9757999999999</v>
      </c>
      <c r="AI233" s="3">
        <v>0.39320001006072802</v>
      </c>
    </row>
    <row r="234" spans="1:35">
      <c r="A234" s="1">
        <v>42112</v>
      </c>
      <c r="B234" s="1">
        <v>37346</v>
      </c>
      <c r="C234" t="s">
        <v>4249</v>
      </c>
      <c r="D234">
        <v>310</v>
      </c>
      <c r="E234">
        <v>11825</v>
      </c>
      <c r="F234">
        <v>4</v>
      </c>
      <c r="G234">
        <v>1</v>
      </c>
      <c r="H234">
        <v>1</v>
      </c>
      <c r="I234">
        <v>2</v>
      </c>
      <c r="J234" t="s">
        <v>3485</v>
      </c>
      <c r="K234" t="s">
        <v>3486</v>
      </c>
      <c r="L234" s="2">
        <v>2171.2941999999998</v>
      </c>
      <c r="M234" s="2">
        <v>3578.27</v>
      </c>
      <c r="N234" t="s">
        <v>30</v>
      </c>
      <c r="O234" t="s">
        <v>189</v>
      </c>
      <c r="P234" t="s">
        <v>450</v>
      </c>
      <c r="Q234" t="s">
        <v>6563</v>
      </c>
      <c r="R234" s="1">
        <v>24245</v>
      </c>
      <c r="S234" t="s">
        <v>22</v>
      </c>
      <c r="T234" t="s">
        <v>29</v>
      </c>
      <c r="U234" t="s">
        <v>778</v>
      </c>
      <c r="V234">
        <v>70000</v>
      </c>
      <c r="W234">
        <v>5</v>
      </c>
      <c r="X234" t="s">
        <v>135</v>
      </c>
      <c r="Y234" t="s">
        <v>18</v>
      </c>
      <c r="Z234" t="s">
        <v>19</v>
      </c>
      <c r="AA234" t="s">
        <v>3580</v>
      </c>
      <c r="AB234" t="s">
        <v>3578</v>
      </c>
      <c r="AC234" t="s">
        <v>3579</v>
      </c>
      <c r="AD234" t="s">
        <v>3479</v>
      </c>
      <c r="AE234" t="s">
        <v>3475</v>
      </c>
      <c r="AF234" s="2">
        <v>3578.27</v>
      </c>
      <c r="AG234" s="2">
        <v>2171.2941999999998</v>
      </c>
      <c r="AH234" s="2">
        <v>1406.9757999999999</v>
      </c>
      <c r="AI234" s="3">
        <v>0.39320001006072802</v>
      </c>
    </row>
    <row r="235" spans="1:35">
      <c r="A235" s="1">
        <v>42117</v>
      </c>
      <c r="B235" s="1">
        <v>37334</v>
      </c>
      <c r="C235" t="s">
        <v>4287</v>
      </c>
      <c r="D235">
        <v>314</v>
      </c>
      <c r="E235">
        <v>11671</v>
      </c>
      <c r="F235">
        <v>4</v>
      </c>
      <c r="G235">
        <v>1</v>
      </c>
      <c r="H235">
        <v>1</v>
      </c>
      <c r="I235">
        <v>2</v>
      </c>
      <c r="J235" t="s">
        <v>3493</v>
      </c>
      <c r="K235" t="s">
        <v>3494</v>
      </c>
      <c r="L235" s="2">
        <v>2171.2941999999998</v>
      </c>
      <c r="M235" s="2">
        <v>3578.27</v>
      </c>
      <c r="N235" t="s">
        <v>30</v>
      </c>
      <c r="O235" t="s">
        <v>145</v>
      </c>
      <c r="P235" t="s">
        <v>180</v>
      </c>
      <c r="Q235" t="s">
        <v>6564</v>
      </c>
      <c r="R235" s="1">
        <v>24245</v>
      </c>
      <c r="S235" t="s">
        <v>22</v>
      </c>
      <c r="T235" t="s">
        <v>29</v>
      </c>
      <c r="U235" t="s">
        <v>697</v>
      </c>
      <c r="V235">
        <v>60000</v>
      </c>
      <c r="W235">
        <v>3</v>
      </c>
      <c r="X235" t="s">
        <v>17</v>
      </c>
      <c r="Y235" t="s">
        <v>53</v>
      </c>
      <c r="Z235" t="s">
        <v>23</v>
      </c>
      <c r="AA235" t="s">
        <v>3580</v>
      </c>
      <c r="AB235" t="s">
        <v>3578</v>
      </c>
      <c r="AC235" t="s">
        <v>3579</v>
      </c>
      <c r="AD235" t="s">
        <v>3479</v>
      </c>
      <c r="AE235" t="s">
        <v>3475</v>
      </c>
      <c r="AF235" s="2">
        <v>3578.27</v>
      </c>
      <c r="AG235" s="2">
        <v>2171.2941999999998</v>
      </c>
      <c r="AH235" s="2">
        <v>1406.9757999999999</v>
      </c>
      <c r="AI235" s="3">
        <v>0.39320001006072802</v>
      </c>
    </row>
    <row r="236" spans="1:35">
      <c r="A236" s="1">
        <v>42112</v>
      </c>
      <c r="B236" s="1">
        <v>37331</v>
      </c>
      <c r="C236" t="s">
        <v>4251</v>
      </c>
      <c r="D236">
        <v>312</v>
      </c>
      <c r="E236">
        <v>11796</v>
      </c>
      <c r="F236">
        <v>4</v>
      </c>
      <c r="G236">
        <v>1</v>
      </c>
      <c r="H236">
        <v>1</v>
      </c>
      <c r="I236">
        <v>2</v>
      </c>
      <c r="J236" t="s">
        <v>3489</v>
      </c>
      <c r="K236" t="s">
        <v>3490</v>
      </c>
      <c r="L236" s="2">
        <v>2171.2941999999998</v>
      </c>
      <c r="M236" s="2">
        <v>3578.27</v>
      </c>
      <c r="N236" t="s">
        <v>30</v>
      </c>
      <c r="O236" t="s">
        <v>758</v>
      </c>
      <c r="P236" t="s">
        <v>47</v>
      </c>
      <c r="Q236" t="s">
        <v>6565</v>
      </c>
      <c r="R236" s="1">
        <v>25241</v>
      </c>
      <c r="S236" t="s">
        <v>22</v>
      </c>
      <c r="T236" t="s">
        <v>29</v>
      </c>
      <c r="U236" t="s">
        <v>759</v>
      </c>
      <c r="V236">
        <v>40000</v>
      </c>
      <c r="W236">
        <v>2</v>
      </c>
      <c r="X236" t="s">
        <v>17</v>
      </c>
      <c r="Y236" t="s">
        <v>53</v>
      </c>
      <c r="Z236" t="s">
        <v>23</v>
      </c>
      <c r="AA236" t="s">
        <v>3580</v>
      </c>
      <c r="AB236" t="s">
        <v>3578</v>
      </c>
      <c r="AC236" t="s">
        <v>3579</v>
      </c>
      <c r="AD236" t="s">
        <v>3479</v>
      </c>
      <c r="AE236" t="s">
        <v>3475</v>
      </c>
      <c r="AF236" s="2">
        <v>3578.27</v>
      </c>
      <c r="AG236" s="2">
        <v>2171.2941999999998</v>
      </c>
      <c r="AH236" s="2">
        <v>1406.9757999999999</v>
      </c>
      <c r="AI236" s="3">
        <v>0.39320001006072802</v>
      </c>
    </row>
    <row r="237" spans="1:35">
      <c r="A237" s="1">
        <v>42112</v>
      </c>
      <c r="B237" s="1">
        <v>37265</v>
      </c>
      <c r="C237" t="s">
        <v>4253</v>
      </c>
      <c r="D237">
        <v>313</v>
      </c>
      <c r="E237">
        <v>11813</v>
      </c>
      <c r="F237">
        <v>1</v>
      </c>
      <c r="G237">
        <v>1</v>
      </c>
      <c r="H237">
        <v>1</v>
      </c>
      <c r="I237">
        <v>2</v>
      </c>
      <c r="J237" t="s">
        <v>3491</v>
      </c>
      <c r="K237" t="s">
        <v>3492</v>
      </c>
      <c r="L237" s="2">
        <v>2171.2941999999998</v>
      </c>
      <c r="M237" s="2">
        <v>3578.27</v>
      </c>
      <c r="N237" t="s">
        <v>26</v>
      </c>
      <c r="O237" t="s">
        <v>771</v>
      </c>
      <c r="P237" t="s">
        <v>261</v>
      </c>
      <c r="Q237" t="s">
        <v>6566</v>
      </c>
      <c r="R237" s="1">
        <v>24788</v>
      </c>
      <c r="S237" t="s">
        <v>16</v>
      </c>
      <c r="T237" t="s">
        <v>29</v>
      </c>
      <c r="U237" t="s">
        <v>772</v>
      </c>
      <c r="V237">
        <v>40000</v>
      </c>
      <c r="W237">
        <v>0</v>
      </c>
      <c r="X237" t="s">
        <v>17</v>
      </c>
      <c r="Y237" t="s">
        <v>18</v>
      </c>
      <c r="Z237" t="s">
        <v>23</v>
      </c>
      <c r="AA237" t="s">
        <v>3577</v>
      </c>
      <c r="AB237" t="s">
        <v>3578</v>
      </c>
      <c r="AC237" t="s">
        <v>3579</v>
      </c>
      <c r="AD237" t="s">
        <v>3479</v>
      </c>
      <c r="AE237" t="s">
        <v>3475</v>
      </c>
      <c r="AF237" s="2">
        <v>3578.27</v>
      </c>
      <c r="AG237" s="2">
        <v>2171.2941999999998</v>
      </c>
      <c r="AH237" s="2">
        <v>1406.9757999999999</v>
      </c>
      <c r="AI237" s="3">
        <v>0.39320001006072802</v>
      </c>
    </row>
    <row r="238" spans="1:35">
      <c r="A238" s="1">
        <v>42121</v>
      </c>
      <c r="B238" s="1">
        <v>37314</v>
      </c>
      <c r="C238" t="s">
        <v>4309</v>
      </c>
      <c r="D238">
        <v>314</v>
      </c>
      <c r="E238">
        <v>11675</v>
      </c>
      <c r="F238">
        <v>1</v>
      </c>
      <c r="G238">
        <v>1</v>
      </c>
      <c r="H238">
        <v>1</v>
      </c>
      <c r="I238">
        <v>2</v>
      </c>
      <c r="J238" t="s">
        <v>3493</v>
      </c>
      <c r="K238" t="s">
        <v>3494</v>
      </c>
      <c r="L238" s="2">
        <v>2171.2941999999998</v>
      </c>
      <c r="M238" s="2">
        <v>3578.27</v>
      </c>
      <c r="N238" t="s">
        <v>13</v>
      </c>
      <c r="O238" t="s">
        <v>285</v>
      </c>
      <c r="P238" t="s">
        <v>290</v>
      </c>
      <c r="Q238" t="s">
        <v>6567</v>
      </c>
      <c r="R238" s="1">
        <v>24140</v>
      </c>
      <c r="S238" t="s">
        <v>22</v>
      </c>
      <c r="T238" t="s">
        <v>16</v>
      </c>
      <c r="U238" t="s">
        <v>699</v>
      </c>
      <c r="V238">
        <v>70000</v>
      </c>
      <c r="W238">
        <v>4</v>
      </c>
      <c r="X238" t="s">
        <v>135</v>
      </c>
      <c r="Y238" t="s">
        <v>18</v>
      </c>
      <c r="Z238" t="s">
        <v>19</v>
      </c>
      <c r="AA238" t="s">
        <v>3577</v>
      </c>
      <c r="AB238" t="s">
        <v>3578</v>
      </c>
      <c r="AC238" t="s">
        <v>3579</v>
      </c>
      <c r="AD238" t="s">
        <v>3479</v>
      </c>
      <c r="AE238" t="s">
        <v>3475</v>
      </c>
      <c r="AF238" s="2">
        <v>3578.27</v>
      </c>
      <c r="AG238" s="2">
        <v>2171.2941999999998</v>
      </c>
      <c r="AH238" s="2">
        <v>1406.9757999999999</v>
      </c>
      <c r="AI238" s="3">
        <v>0.39320001006072802</v>
      </c>
    </row>
    <row r="239" spans="1:35">
      <c r="A239" s="1">
        <v>42113</v>
      </c>
      <c r="B239" s="1">
        <v>37317</v>
      </c>
      <c r="C239" t="s">
        <v>4259</v>
      </c>
      <c r="D239">
        <v>313</v>
      </c>
      <c r="E239">
        <v>11779</v>
      </c>
      <c r="F239">
        <v>1</v>
      </c>
      <c r="G239">
        <v>1</v>
      </c>
      <c r="H239">
        <v>1</v>
      </c>
      <c r="I239">
        <v>2</v>
      </c>
      <c r="J239" t="s">
        <v>3491</v>
      </c>
      <c r="K239" t="s">
        <v>3492</v>
      </c>
      <c r="L239" s="2">
        <v>2171.2941999999998</v>
      </c>
      <c r="M239" s="2">
        <v>3578.27</v>
      </c>
      <c r="N239" t="s">
        <v>30</v>
      </c>
      <c r="O239" t="s">
        <v>298</v>
      </c>
      <c r="P239" t="s">
        <v>393</v>
      </c>
      <c r="Q239" t="s">
        <v>6568</v>
      </c>
      <c r="R239" s="1">
        <v>26133</v>
      </c>
      <c r="S239" t="s">
        <v>22</v>
      </c>
      <c r="T239" t="s">
        <v>29</v>
      </c>
      <c r="U239" t="s">
        <v>752</v>
      </c>
      <c r="V239">
        <v>60000</v>
      </c>
      <c r="W239">
        <v>1</v>
      </c>
      <c r="X239" t="s">
        <v>135</v>
      </c>
      <c r="Y239" t="s">
        <v>53</v>
      </c>
      <c r="Z239" t="s">
        <v>19</v>
      </c>
      <c r="AA239" t="s">
        <v>3577</v>
      </c>
      <c r="AB239" t="s">
        <v>3578</v>
      </c>
      <c r="AC239" t="s">
        <v>3579</v>
      </c>
      <c r="AD239" t="s">
        <v>3479</v>
      </c>
      <c r="AE239" t="s">
        <v>3475</v>
      </c>
      <c r="AF239" s="2">
        <v>3578.27</v>
      </c>
      <c r="AG239" s="2">
        <v>2171.2941999999998</v>
      </c>
      <c r="AH239" s="2">
        <v>1406.9757999999999</v>
      </c>
      <c r="AI239" s="3">
        <v>0.39320001006072802</v>
      </c>
    </row>
    <row r="240" spans="1:35">
      <c r="A240" s="1">
        <v>42114</v>
      </c>
      <c r="B240" s="1">
        <v>37296</v>
      </c>
      <c r="C240" t="s">
        <v>4263</v>
      </c>
      <c r="D240">
        <v>351</v>
      </c>
      <c r="E240">
        <v>11943</v>
      </c>
      <c r="F240">
        <v>9</v>
      </c>
      <c r="G240">
        <v>1</v>
      </c>
      <c r="H240">
        <v>1</v>
      </c>
      <c r="I240">
        <v>1</v>
      </c>
      <c r="J240" t="s">
        <v>3533</v>
      </c>
      <c r="K240" t="s">
        <v>3534</v>
      </c>
      <c r="L240" s="2">
        <v>1898.0944</v>
      </c>
      <c r="M240" s="2">
        <v>3374.99</v>
      </c>
      <c r="N240" t="s">
        <v>30</v>
      </c>
      <c r="O240" t="s">
        <v>580</v>
      </c>
      <c r="P240" t="s">
        <v>21</v>
      </c>
      <c r="Q240" t="s">
        <v>6569</v>
      </c>
      <c r="R240" s="1">
        <v>17956</v>
      </c>
      <c r="S240" t="s">
        <v>16</v>
      </c>
      <c r="T240" t="s">
        <v>29</v>
      </c>
      <c r="U240" t="s">
        <v>849</v>
      </c>
      <c r="V240">
        <v>20000</v>
      </c>
      <c r="W240">
        <v>2</v>
      </c>
      <c r="X240" t="s">
        <v>77</v>
      </c>
      <c r="Y240" t="s">
        <v>60</v>
      </c>
      <c r="Z240" t="s">
        <v>19</v>
      </c>
      <c r="AA240" t="s">
        <v>3586</v>
      </c>
      <c r="AB240" t="s">
        <v>3586</v>
      </c>
      <c r="AC240" t="s">
        <v>3587</v>
      </c>
      <c r="AD240" t="s">
        <v>3478</v>
      </c>
      <c r="AE240" t="s">
        <v>3475</v>
      </c>
      <c r="AF240" s="2">
        <v>3374.99</v>
      </c>
      <c r="AG240" s="2">
        <v>1898.0944</v>
      </c>
      <c r="AH240" s="2">
        <v>1476.8956000000001</v>
      </c>
      <c r="AI240" s="3">
        <v>0.43759999288886797</v>
      </c>
    </row>
    <row r="241" spans="1:35">
      <c r="A241" s="1">
        <v>42114</v>
      </c>
      <c r="B241" s="1">
        <v>37312</v>
      </c>
      <c r="C241" t="s">
        <v>4267</v>
      </c>
      <c r="D241">
        <v>350</v>
      </c>
      <c r="E241">
        <v>11914</v>
      </c>
      <c r="F241">
        <v>9</v>
      </c>
      <c r="G241">
        <v>1</v>
      </c>
      <c r="H241">
        <v>1</v>
      </c>
      <c r="I241">
        <v>1</v>
      </c>
      <c r="J241" t="s">
        <v>3531</v>
      </c>
      <c r="K241" t="s">
        <v>3532</v>
      </c>
      <c r="L241" s="2">
        <v>1898.0944</v>
      </c>
      <c r="M241" s="2">
        <v>3374.99</v>
      </c>
      <c r="N241" t="s">
        <v>26</v>
      </c>
      <c r="O241" t="s">
        <v>642</v>
      </c>
      <c r="P241" t="s">
        <v>830</v>
      </c>
      <c r="Q241" t="s">
        <v>6570</v>
      </c>
      <c r="R241" s="1">
        <v>24966</v>
      </c>
      <c r="S241" t="s">
        <v>22</v>
      </c>
      <c r="T241" t="s">
        <v>29</v>
      </c>
      <c r="U241" t="s">
        <v>831</v>
      </c>
      <c r="V241">
        <v>70000</v>
      </c>
      <c r="W241">
        <v>0</v>
      </c>
      <c r="X241" t="s">
        <v>17</v>
      </c>
      <c r="Y241" t="s">
        <v>18</v>
      </c>
      <c r="Z241" t="s">
        <v>23</v>
      </c>
      <c r="AA241" t="s">
        <v>3586</v>
      </c>
      <c r="AB241" t="s">
        <v>3586</v>
      </c>
      <c r="AC241" t="s">
        <v>3587</v>
      </c>
      <c r="AD241" t="s">
        <v>3478</v>
      </c>
      <c r="AE241" t="s">
        <v>3475</v>
      </c>
      <c r="AF241" s="2">
        <v>3374.99</v>
      </c>
      <c r="AG241" s="2">
        <v>1898.0944</v>
      </c>
      <c r="AH241" s="2">
        <v>1476.8956000000001</v>
      </c>
      <c r="AI241" s="3">
        <v>0.43759999288886797</v>
      </c>
    </row>
    <row r="242" spans="1:35">
      <c r="A242" s="1">
        <v>42121</v>
      </c>
      <c r="B242" s="1">
        <v>37316</v>
      </c>
      <c r="C242" t="s">
        <v>4306</v>
      </c>
      <c r="D242">
        <v>313</v>
      </c>
      <c r="E242">
        <v>11690</v>
      </c>
      <c r="F242">
        <v>1</v>
      </c>
      <c r="G242">
        <v>1</v>
      </c>
      <c r="H242">
        <v>1</v>
      </c>
      <c r="I242">
        <v>2</v>
      </c>
      <c r="J242" t="s">
        <v>3491</v>
      </c>
      <c r="K242" t="s">
        <v>3492</v>
      </c>
      <c r="L242" s="2">
        <v>2171.2941999999998</v>
      </c>
      <c r="M242" s="2">
        <v>3578.27</v>
      </c>
      <c r="N242" t="s">
        <v>26</v>
      </c>
      <c r="O242" t="s">
        <v>242</v>
      </c>
      <c r="P242" t="s">
        <v>148</v>
      </c>
      <c r="Q242" t="s">
        <v>6571</v>
      </c>
      <c r="R242" s="1">
        <v>23755</v>
      </c>
      <c r="S242" t="s">
        <v>16</v>
      </c>
      <c r="T242" t="s">
        <v>29</v>
      </c>
      <c r="U242" t="s">
        <v>710</v>
      </c>
      <c r="V242">
        <v>60000</v>
      </c>
      <c r="W242">
        <v>0</v>
      </c>
      <c r="X242" t="s">
        <v>135</v>
      </c>
      <c r="Y242" t="s">
        <v>18</v>
      </c>
      <c r="Z242" t="s">
        <v>19</v>
      </c>
      <c r="AA242" t="s">
        <v>3577</v>
      </c>
      <c r="AB242" t="s">
        <v>3578</v>
      </c>
      <c r="AC242" t="s">
        <v>3579</v>
      </c>
      <c r="AD242" t="s">
        <v>3479</v>
      </c>
      <c r="AE242" t="s">
        <v>3475</v>
      </c>
      <c r="AF242" s="2">
        <v>3578.27</v>
      </c>
      <c r="AG242" s="2">
        <v>2171.2941999999998</v>
      </c>
      <c r="AH242" s="2">
        <v>1406.9757999999999</v>
      </c>
      <c r="AI242" s="3">
        <v>0.39320001006072802</v>
      </c>
    </row>
    <row r="243" spans="1:35">
      <c r="A243" s="1">
        <v>42115</v>
      </c>
      <c r="B243" s="1">
        <v>37321</v>
      </c>
      <c r="C243" t="s">
        <v>4273</v>
      </c>
      <c r="D243">
        <v>348</v>
      </c>
      <c r="E243">
        <v>11944</v>
      </c>
      <c r="F243">
        <v>9</v>
      </c>
      <c r="G243">
        <v>1</v>
      </c>
      <c r="H243">
        <v>1</v>
      </c>
      <c r="I243">
        <v>1</v>
      </c>
      <c r="J243" t="s">
        <v>3527</v>
      </c>
      <c r="K243" t="s">
        <v>3528</v>
      </c>
      <c r="L243" s="2">
        <v>1898.0944</v>
      </c>
      <c r="M243" s="2">
        <v>3374.99</v>
      </c>
      <c r="N243" t="s">
        <v>30</v>
      </c>
      <c r="O243" t="s">
        <v>827</v>
      </c>
      <c r="P243" t="s">
        <v>293</v>
      </c>
      <c r="Q243" t="s">
        <v>6572</v>
      </c>
      <c r="R243" s="1">
        <v>18551</v>
      </c>
      <c r="S243" t="s">
        <v>22</v>
      </c>
      <c r="T243" t="s">
        <v>29</v>
      </c>
      <c r="U243" t="s">
        <v>850</v>
      </c>
      <c r="V243">
        <v>30000</v>
      </c>
      <c r="W243">
        <v>3</v>
      </c>
      <c r="X243" t="s">
        <v>52</v>
      </c>
      <c r="Y243" t="s">
        <v>60</v>
      </c>
      <c r="Z243" t="s">
        <v>23</v>
      </c>
      <c r="AA243" t="s">
        <v>3586</v>
      </c>
      <c r="AB243" t="s">
        <v>3586</v>
      </c>
      <c r="AC243" t="s">
        <v>3587</v>
      </c>
      <c r="AD243" t="s">
        <v>3478</v>
      </c>
      <c r="AE243" t="s">
        <v>3475</v>
      </c>
      <c r="AF243" s="2">
        <v>3374.99</v>
      </c>
      <c r="AG243" s="2">
        <v>1898.0944</v>
      </c>
      <c r="AH243" s="2">
        <v>1476.8956000000001</v>
      </c>
      <c r="AI243" s="3">
        <v>0.43759999288886797</v>
      </c>
    </row>
    <row r="244" spans="1:35">
      <c r="A244" s="1">
        <v>42115</v>
      </c>
      <c r="B244" s="1">
        <v>37337</v>
      </c>
      <c r="C244" t="s">
        <v>4274</v>
      </c>
      <c r="D244">
        <v>347</v>
      </c>
      <c r="E244">
        <v>11969</v>
      </c>
      <c r="F244">
        <v>9</v>
      </c>
      <c r="G244">
        <v>1</v>
      </c>
      <c r="H244">
        <v>1</v>
      </c>
      <c r="I244">
        <v>1</v>
      </c>
      <c r="J244" t="s">
        <v>3525</v>
      </c>
      <c r="K244" t="s">
        <v>3526</v>
      </c>
      <c r="L244" s="2">
        <v>1912.1543999999999</v>
      </c>
      <c r="M244" s="2">
        <v>3399.99</v>
      </c>
      <c r="N244" t="s">
        <v>13</v>
      </c>
      <c r="O244" t="s">
        <v>452</v>
      </c>
      <c r="P244" t="s">
        <v>474</v>
      </c>
      <c r="Q244" t="s">
        <v>6573</v>
      </c>
      <c r="R244" s="1">
        <v>21391</v>
      </c>
      <c r="S244" t="s">
        <v>22</v>
      </c>
      <c r="T244" t="s">
        <v>16</v>
      </c>
      <c r="U244" t="s">
        <v>870</v>
      </c>
      <c r="V244">
        <v>130000</v>
      </c>
      <c r="W244">
        <v>0</v>
      </c>
      <c r="X244" t="s">
        <v>135</v>
      </c>
      <c r="Y244" t="s">
        <v>45</v>
      </c>
      <c r="Z244" t="s">
        <v>23</v>
      </c>
      <c r="AA244" t="s">
        <v>3586</v>
      </c>
      <c r="AB244" t="s">
        <v>3586</v>
      </c>
      <c r="AC244" t="s">
        <v>3587</v>
      </c>
      <c r="AD244" t="s">
        <v>3478</v>
      </c>
      <c r="AE244" t="s">
        <v>3475</v>
      </c>
      <c r="AF244" s="2">
        <v>3399.99</v>
      </c>
      <c r="AG244" s="2">
        <v>1912.1543999999999</v>
      </c>
      <c r="AH244" s="2">
        <v>1487.8356000000001</v>
      </c>
      <c r="AI244" s="3">
        <v>0.43759999294115598</v>
      </c>
    </row>
    <row r="245" spans="1:35">
      <c r="A245" s="1">
        <v>42116</v>
      </c>
      <c r="B245" s="1">
        <v>37260</v>
      </c>
      <c r="C245" t="s">
        <v>4276</v>
      </c>
      <c r="D245">
        <v>314</v>
      </c>
      <c r="E245">
        <v>11810</v>
      </c>
      <c r="F245">
        <v>1</v>
      </c>
      <c r="G245">
        <v>1</v>
      </c>
      <c r="H245">
        <v>1</v>
      </c>
      <c r="I245">
        <v>2</v>
      </c>
      <c r="J245" t="s">
        <v>3493</v>
      </c>
      <c r="K245" t="s">
        <v>3494</v>
      </c>
      <c r="L245" s="2">
        <v>2171.2941999999998</v>
      </c>
      <c r="M245" s="2">
        <v>3578.27</v>
      </c>
      <c r="N245" t="s">
        <v>13</v>
      </c>
      <c r="O245" t="s">
        <v>682</v>
      </c>
      <c r="P245" t="s">
        <v>594</v>
      </c>
      <c r="Q245" t="s">
        <v>6574</v>
      </c>
      <c r="R245" s="1">
        <v>24479</v>
      </c>
      <c r="S245" t="s">
        <v>22</v>
      </c>
      <c r="T245" t="s">
        <v>16</v>
      </c>
      <c r="U245" t="s">
        <v>768</v>
      </c>
      <c r="V245">
        <v>40000</v>
      </c>
      <c r="W245">
        <v>0</v>
      </c>
      <c r="X245" t="s">
        <v>17</v>
      </c>
      <c r="Y245" t="s">
        <v>18</v>
      </c>
      <c r="Z245" t="s">
        <v>23</v>
      </c>
      <c r="AA245" t="s">
        <v>3577</v>
      </c>
      <c r="AB245" t="s">
        <v>3578</v>
      </c>
      <c r="AC245" t="s">
        <v>3579</v>
      </c>
      <c r="AD245" t="s">
        <v>3479</v>
      </c>
      <c r="AE245" t="s">
        <v>3475</v>
      </c>
      <c r="AF245" s="2">
        <v>3578.27</v>
      </c>
      <c r="AG245" s="2">
        <v>2171.2941999999998</v>
      </c>
      <c r="AH245" s="2">
        <v>1406.9757999999999</v>
      </c>
      <c r="AI245" s="3">
        <v>0.39320001006072802</v>
      </c>
    </row>
    <row r="246" spans="1:35">
      <c r="A246" s="1">
        <v>42117</v>
      </c>
      <c r="B246" s="1">
        <v>37271</v>
      </c>
      <c r="C246" t="s">
        <v>4281</v>
      </c>
      <c r="D246">
        <v>345</v>
      </c>
      <c r="E246">
        <v>11946</v>
      </c>
      <c r="F246">
        <v>9</v>
      </c>
      <c r="G246">
        <v>1</v>
      </c>
      <c r="H246">
        <v>1</v>
      </c>
      <c r="I246">
        <v>1</v>
      </c>
      <c r="J246" t="s">
        <v>3521</v>
      </c>
      <c r="K246" t="s">
        <v>3522</v>
      </c>
      <c r="L246" s="2">
        <v>1912.1543999999999</v>
      </c>
      <c r="M246" s="2">
        <v>3399.99</v>
      </c>
      <c r="N246" t="s">
        <v>30</v>
      </c>
      <c r="O246" t="s">
        <v>585</v>
      </c>
      <c r="P246" t="s">
        <v>852</v>
      </c>
      <c r="Q246" t="s">
        <v>6575</v>
      </c>
      <c r="R246" s="1">
        <v>18631</v>
      </c>
      <c r="S246" t="s">
        <v>22</v>
      </c>
      <c r="T246" t="s">
        <v>29</v>
      </c>
      <c r="U246" t="s">
        <v>853</v>
      </c>
      <c r="V246">
        <v>30000</v>
      </c>
      <c r="W246">
        <v>3</v>
      </c>
      <c r="X246" t="s">
        <v>57</v>
      </c>
      <c r="Y246" t="s">
        <v>53</v>
      </c>
      <c r="Z246" t="s">
        <v>19</v>
      </c>
      <c r="AA246" t="s">
        <v>3586</v>
      </c>
      <c r="AB246" t="s">
        <v>3586</v>
      </c>
      <c r="AC246" t="s">
        <v>3587</v>
      </c>
      <c r="AD246" t="s">
        <v>3478</v>
      </c>
      <c r="AE246" t="s">
        <v>3475</v>
      </c>
      <c r="AF246" s="2">
        <v>3399.99</v>
      </c>
      <c r="AG246" s="2">
        <v>1912.1543999999999</v>
      </c>
      <c r="AH246" s="2">
        <v>1487.8356000000001</v>
      </c>
      <c r="AI246" s="3">
        <v>0.43759999294115598</v>
      </c>
    </row>
    <row r="247" spans="1:35">
      <c r="A247" s="1">
        <v>42124</v>
      </c>
      <c r="B247" s="1">
        <v>37257</v>
      </c>
      <c r="C247" t="s">
        <v>4332</v>
      </c>
      <c r="D247">
        <v>311</v>
      </c>
      <c r="E247">
        <v>11705</v>
      </c>
      <c r="F247">
        <v>4</v>
      </c>
      <c r="G247">
        <v>1</v>
      </c>
      <c r="H247">
        <v>1</v>
      </c>
      <c r="I247">
        <v>2</v>
      </c>
      <c r="J247" t="s">
        <v>3487</v>
      </c>
      <c r="K247" t="s">
        <v>3488</v>
      </c>
      <c r="L247" s="2">
        <v>2171.2941999999998</v>
      </c>
      <c r="M247" s="2">
        <v>3578.27</v>
      </c>
      <c r="N247" t="s">
        <v>30</v>
      </c>
      <c r="O247" t="s">
        <v>319</v>
      </c>
      <c r="P247" t="s">
        <v>245</v>
      </c>
      <c r="Q247" t="s">
        <v>6576</v>
      </c>
      <c r="R247" s="1">
        <v>24979</v>
      </c>
      <c r="S247" t="s">
        <v>22</v>
      </c>
      <c r="T247" t="s">
        <v>29</v>
      </c>
      <c r="U247" t="s">
        <v>714</v>
      </c>
      <c r="V247">
        <v>60000</v>
      </c>
      <c r="W247">
        <v>2</v>
      </c>
      <c r="X247" t="s">
        <v>135</v>
      </c>
      <c r="Y247" t="s">
        <v>18</v>
      </c>
      <c r="Z247" t="s">
        <v>19</v>
      </c>
      <c r="AA247" t="s">
        <v>3580</v>
      </c>
      <c r="AB247" t="s">
        <v>3578</v>
      </c>
      <c r="AC247" t="s">
        <v>3579</v>
      </c>
      <c r="AD247" t="s">
        <v>3479</v>
      </c>
      <c r="AE247" t="s">
        <v>3475</v>
      </c>
      <c r="AF247" s="2">
        <v>3578.27</v>
      </c>
      <c r="AG247" s="2">
        <v>2171.2941999999998</v>
      </c>
      <c r="AH247" s="2">
        <v>1406.9757999999999</v>
      </c>
      <c r="AI247" s="3">
        <v>0.39320001006072802</v>
      </c>
    </row>
    <row r="248" spans="1:35">
      <c r="A248" s="1">
        <v>42117</v>
      </c>
      <c r="B248" s="1">
        <v>37350</v>
      </c>
      <c r="C248" t="s">
        <v>4283</v>
      </c>
      <c r="D248">
        <v>311</v>
      </c>
      <c r="E248">
        <v>11818</v>
      </c>
      <c r="F248">
        <v>4</v>
      </c>
      <c r="G248">
        <v>1</v>
      </c>
      <c r="H248">
        <v>1</v>
      </c>
      <c r="I248">
        <v>2</v>
      </c>
      <c r="J248" t="s">
        <v>3487</v>
      </c>
      <c r="K248" t="s">
        <v>3488</v>
      </c>
      <c r="L248" s="2">
        <v>2171.2941999999998</v>
      </c>
      <c r="M248" s="2">
        <v>3578.27</v>
      </c>
      <c r="N248" t="s">
        <v>13</v>
      </c>
      <c r="O248" t="s">
        <v>123</v>
      </c>
      <c r="P248" t="s">
        <v>99</v>
      </c>
      <c r="Q248" t="s">
        <v>6577</v>
      </c>
      <c r="R248" s="1">
        <v>25680</v>
      </c>
      <c r="S248" t="s">
        <v>16</v>
      </c>
      <c r="T248" t="s">
        <v>16</v>
      </c>
      <c r="U248" t="s">
        <v>777</v>
      </c>
      <c r="V248">
        <v>70000</v>
      </c>
      <c r="W248">
        <v>4</v>
      </c>
      <c r="X248" t="s">
        <v>135</v>
      </c>
      <c r="Y248" t="s">
        <v>18</v>
      </c>
      <c r="Z248" t="s">
        <v>19</v>
      </c>
      <c r="AA248" t="s">
        <v>3580</v>
      </c>
      <c r="AB248" t="s">
        <v>3578</v>
      </c>
      <c r="AC248" t="s">
        <v>3579</v>
      </c>
      <c r="AD248" t="s">
        <v>3479</v>
      </c>
      <c r="AE248" t="s">
        <v>3475</v>
      </c>
      <c r="AF248" s="2">
        <v>3578.27</v>
      </c>
      <c r="AG248" s="2">
        <v>2171.2941999999998</v>
      </c>
      <c r="AH248" s="2">
        <v>1406.9757999999999</v>
      </c>
      <c r="AI248" s="3">
        <v>0.39320001006072802</v>
      </c>
    </row>
    <row r="249" spans="1:35">
      <c r="A249" s="1">
        <v>42117</v>
      </c>
      <c r="B249" s="1">
        <v>37264</v>
      </c>
      <c r="C249" t="s">
        <v>4284</v>
      </c>
      <c r="D249">
        <v>311</v>
      </c>
      <c r="E249">
        <v>11872</v>
      </c>
      <c r="F249">
        <v>4</v>
      </c>
      <c r="G249">
        <v>1</v>
      </c>
      <c r="H249">
        <v>1</v>
      </c>
      <c r="I249">
        <v>2</v>
      </c>
      <c r="J249" t="s">
        <v>3487</v>
      </c>
      <c r="K249" t="s">
        <v>3488</v>
      </c>
      <c r="L249" s="2">
        <v>2171.2941999999998</v>
      </c>
      <c r="M249" s="2">
        <v>3578.27</v>
      </c>
      <c r="N249" t="s">
        <v>26</v>
      </c>
      <c r="O249" t="s">
        <v>793</v>
      </c>
      <c r="P249" t="s">
        <v>261</v>
      </c>
      <c r="Q249" t="s">
        <v>6578</v>
      </c>
      <c r="R249" s="1">
        <v>24674</v>
      </c>
      <c r="S249" t="s">
        <v>22</v>
      </c>
      <c r="T249" t="s">
        <v>29</v>
      </c>
      <c r="U249" t="s">
        <v>796</v>
      </c>
      <c r="V249">
        <v>60000</v>
      </c>
      <c r="W249">
        <v>0</v>
      </c>
      <c r="X249" t="s">
        <v>135</v>
      </c>
      <c r="Y249" t="s">
        <v>18</v>
      </c>
      <c r="Z249" t="s">
        <v>23</v>
      </c>
      <c r="AA249" t="s">
        <v>3580</v>
      </c>
      <c r="AB249" t="s">
        <v>3578</v>
      </c>
      <c r="AC249" t="s">
        <v>3579</v>
      </c>
      <c r="AD249" t="s">
        <v>3479</v>
      </c>
      <c r="AE249" t="s">
        <v>3475</v>
      </c>
      <c r="AF249" s="2">
        <v>3578.27</v>
      </c>
      <c r="AG249" s="2">
        <v>2171.2941999999998</v>
      </c>
      <c r="AH249" s="2">
        <v>1406.9757999999999</v>
      </c>
      <c r="AI249" s="3">
        <v>0.39320001006072802</v>
      </c>
    </row>
    <row r="250" spans="1:35">
      <c r="A250" s="1">
        <v>42121</v>
      </c>
      <c r="B250" s="1">
        <v>37313</v>
      </c>
      <c r="C250" t="s">
        <v>4310</v>
      </c>
      <c r="D250">
        <v>314</v>
      </c>
      <c r="E250">
        <v>11708</v>
      </c>
      <c r="F250">
        <v>4</v>
      </c>
      <c r="G250">
        <v>1</v>
      </c>
      <c r="H250">
        <v>1</v>
      </c>
      <c r="I250">
        <v>2</v>
      </c>
      <c r="J250" t="s">
        <v>3493</v>
      </c>
      <c r="K250" t="s">
        <v>3494</v>
      </c>
      <c r="L250" s="2">
        <v>2171.2941999999998</v>
      </c>
      <c r="M250" s="2">
        <v>3578.27</v>
      </c>
      <c r="N250" t="s">
        <v>30</v>
      </c>
      <c r="O250" t="s">
        <v>31</v>
      </c>
      <c r="P250" t="s">
        <v>716</v>
      </c>
      <c r="Q250" t="s">
        <v>6579</v>
      </c>
      <c r="R250" s="1">
        <v>23273</v>
      </c>
      <c r="S250" t="s">
        <v>22</v>
      </c>
      <c r="T250" t="s">
        <v>29</v>
      </c>
      <c r="U250" t="s">
        <v>717</v>
      </c>
      <c r="V250">
        <v>60000</v>
      </c>
      <c r="W250">
        <v>4</v>
      </c>
      <c r="X250" t="s">
        <v>17</v>
      </c>
      <c r="Y250" t="s">
        <v>18</v>
      </c>
      <c r="Z250" t="s">
        <v>19</v>
      </c>
      <c r="AA250" t="s">
        <v>3580</v>
      </c>
      <c r="AB250" t="s">
        <v>3578</v>
      </c>
      <c r="AC250" t="s">
        <v>3579</v>
      </c>
      <c r="AD250" t="s">
        <v>3479</v>
      </c>
      <c r="AE250" t="s">
        <v>3475</v>
      </c>
      <c r="AF250" s="2">
        <v>3578.27</v>
      </c>
      <c r="AG250" s="2">
        <v>2171.2941999999998</v>
      </c>
      <c r="AH250" s="2">
        <v>1406.9757999999999</v>
      </c>
      <c r="AI250" s="3">
        <v>0.39320001006072802</v>
      </c>
    </row>
    <row r="251" spans="1:35">
      <c r="A251" s="1">
        <v>42117</v>
      </c>
      <c r="B251" s="1">
        <v>37268</v>
      </c>
      <c r="C251" t="s">
        <v>4285</v>
      </c>
      <c r="D251">
        <v>312</v>
      </c>
      <c r="E251">
        <v>12717</v>
      </c>
      <c r="F251">
        <v>7</v>
      </c>
      <c r="G251">
        <v>1</v>
      </c>
      <c r="H251">
        <v>1</v>
      </c>
      <c r="I251">
        <v>2</v>
      </c>
      <c r="J251" t="s">
        <v>3489</v>
      </c>
      <c r="K251" t="s">
        <v>3490</v>
      </c>
      <c r="L251" s="2">
        <v>2171.2941999999998</v>
      </c>
      <c r="M251" s="2">
        <v>3578.27</v>
      </c>
      <c r="N251" t="s">
        <v>26</v>
      </c>
      <c r="O251" t="s">
        <v>278</v>
      </c>
      <c r="P251" t="s">
        <v>283</v>
      </c>
      <c r="Q251" t="s">
        <v>6580</v>
      </c>
      <c r="R251" s="1">
        <v>27187</v>
      </c>
      <c r="S251" t="s">
        <v>16</v>
      </c>
      <c r="T251" t="s">
        <v>29</v>
      </c>
      <c r="U251" t="s">
        <v>1259</v>
      </c>
      <c r="V251">
        <v>30000</v>
      </c>
      <c r="W251">
        <v>0</v>
      </c>
      <c r="X251" t="s">
        <v>52</v>
      </c>
      <c r="Y251" t="s">
        <v>60</v>
      </c>
      <c r="Z251" t="s">
        <v>23</v>
      </c>
      <c r="AA251" t="s">
        <v>3583</v>
      </c>
      <c r="AB251" t="s">
        <v>3583</v>
      </c>
      <c r="AC251" t="s">
        <v>3584</v>
      </c>
      <c r="AD251" t="s">
        <v>3479</v>
      </c>
      <c r="AE251" t="s">
        <v>3475</v>
      </c>
      <c r="AF251" s="2">
        <v>3578.27</v>
      </c>
      <c r="AG251" s="2">
        <v>2171.2941999999998</v>
      </c>
      <c r="AH251" s="2">
        <v>1406.9757999999999</v>
      </c>
      <c r="AI251" s="3">
        <v>0.39320001006072802</v>
      </c>
    </row>
    <row r="252" spans="1:35">
      <c r="A252" s="1">
        <v>42117</v>
      </c>
      <c r="B252" s="1">
        <v>37263</v>
      </c>
      <c r="C252" t="s">
        <v>4288</v>
      </c>
      <c r="D252">
        <v>312</v>
      </c>
      <c r="E252">
        <v>11809</v>
      </c>
      <c r="F252">
        <v>4</v>
      </c>
      <c r="G252">
        <v>1</v>
      </c>
      <c r="H252">
        <v>1</v>
      </c>
      <c r="I252">
        <v>2</v>
      </c>
      <c r="J252" t="s">
        <v>3489</v>
      </c>
      <c r="K252" t="s">
        <v>3490</v>
      </c>
      <c r="L252" s="2">
        <v>2171.2941999999998</v>
      </c>
      <c r="M252" s="2">
        <v>3578.27</v>
      </c>
      <c r="N252" t="s">
        <v>13</v>
      </c>
      <c r="O252" t="s">
        <v>766</v>
      </c>
      <c r="P252" t="s">
        <v>314</v>
      </c>
      <c r="Q252" t="s">
        <v>6581</v>
      </c>
      <c r="R252" s="1">
        <v>24839</v>
      </c>
      <c r="S252" t="s">
        <v>16</v>
      </c>
      <c r="T252" t="s">
        <v>16</v>
      </c>
      <c r="U252" t="s">
        <v>767</v>
      </c>
      <c r="V252">
        <v>60000</v>
      </c>
      <c r="W252">
        <v>2</v>
      </c>
      <c r="X252" t="s">
        <v>17</v>
      </c>
      <c r="Y252" t="s">
        <v>53</v>
      </c>
      <c r="Z252" t="s">
        <v>19</v>
      </c>
      <c r="AA252" t="s">
        <v>3580</v>
      </c>
      <c r="AB252" t="s">
        <v>3578</v>
      </c>
      <c r="AC252" t="s">
        <v>3579</v>
      </c>
      <c r="AD252" t="s">
        <v>3479</v>
      </c>
      <c r="AE252" t="s">
        <v>3475</v>
      </c>
      <c r="AF252" s="2">
        <v>3578.27</v>
      </c>
      <c r="AG252" s="2">
        <v>2171.2941999999998</v>
      </c>
      <c r="AH252" s="2">
        <v>1406.9757999999999</v>
      </c>
      <c r="AI252" s="3">
        <v>0.39320001006072802</v>
      </c>
    </row>
    <row r="253" spans="1:35">
      <c r="A253" s="1">
        <v>42118</v>
      </c>
      <c r="B253" s="1">
        <v>37354</v>
      </c>
      <c r="C253" t="s">
        <v>4290</v>
      </c>
      <c r="D253">
        <v>311</v>
      </c>
      <c r="E253">
        <v>11834</v>
      </c>
      <c r="F253">
        <v>4</v>
      </c>
      <c r="G253">
        <v>1</v>
      </c>
      <c r="H253">
        <v>1</v>
      </c>
      <c r="I253">
        <v>2</v>
      </c>
      <c r="J253" t="s">
        <v>3487</v>
      </c>
      <c r="K253" t="s">
        <v>3488</v>
      </c>
      <c r="L253" s="2">
        <v>2171.2941999999998</v>
      </c>
      <c r="M253" s="2">
        <v>3578.27</v>
      </c>
      <c r="N253" t="s">
        <v>13</v>
      </c>
      <c r="O253" t="s">
        <v>414</v>
      </c>
      <c r="P253" t="s">
        <v>113</v>
      </c>
      <c r="Q253" t="s">
        <v>6582</v>
      </c>
      <c r="R253" s="1">
        <v>24040</v>
      </c>
      <c r="S253" t="s">
        <v>22</v>
      </c>
      <c r="T253" t="s">
        <v>16</v>
      </c>
      <c r="U253" t="s">
        <v>785</v>
      </c>
      <c r="V253">
        <v>80000</v>
      </c>
      <c r="W253">
        <v>3</v>
      </c>
      <c r="X253" t="s">
        <v>17</v>
      </c>
      <c r="Y253" t="s">
        <v>53</v>
      </c>
      <c r="Z253" t="s">
        <v>23</v>
      </c>
      <c r="AA253" t="s">
        <v>3580</v>
      </c>
      <c r="AB253" t="s">
        <v>3578</v>
      </c>
      <c r="AC253" t="s">
        <v>3579</v>
      </c>
      <c r="AD253" t="s">
        <v>3479</v>
      </c>
      <c r="AE253" t="s">
        <v>3475</v>
      </c>
      <c r="AF253" s="2">
        <v>3578.27</v>
      </c>
      <c r="AG253" s="2">
        <v>2171.2941999999998</v>
      </c>
      <c r="AH253" s="2">
        <v>1406.9757999999999</v>
      </c>
      <c r="AI253" s="3">
        <v>0.39320001006072802</v>
      </c>
    </row>
    <row r="254" spans="1:35">
      <c r="A254" s="1">
        <v>42119</v>
      </c>
      <c r="B254" s="1">
        <v>37351</v>
      </c>
      <c r="C254" t="s">
        <v>4294</v>
      </c>
      <c r="D254">
        <v>313</v>
      </c>
      <c r="E254">
        <v>11773</v>
      </c>
      <c r="F254">
        <v>4</v>
      </c>
      <c r="G254">
        <v>1</v>
      </c>
      <c r="H254">
        <v>1</v>
      </c>
      <c r="I254">
        <v>2</v>
      </c>
      <c r="J254" t="s">
        <v>3491</v>
      </c>
      <c r="K254" t="s">
        <v>3492</v>
      </c>
      <c r="L254" s="2">
        <v>2171.2941999999998</v>
      </c>
      <c r="M254" s="2">
        <v>3578.27</v>
      </c>
      <c r="N254" t="s">
        <v>13</v>
      </c>
      <c r="O254" t="s">
        <v>745</v>
      </c>
      <c r="P254" t="s">
        <v>136</v>
      </c>
      <c r="Q254" t="s">
        <v>6583</v>
      </c>
      <c r="R254" s="1">
        <v>26851</v>
      </c>
      <c r="S254" t="s">
        <v>22</v>
      </c>
      <c r="T254" t="s">
        <v>16</v>
      </c>
      <c r="U254" t="s">
        <v>746</v>
      </c>
      <c r="V254">
        <v>50000</v>
      </c>
      <c r="W254">
        <v>1</v>
      </c>
      <c r="X254" t="s">
        <v>135</v>
      </c>
      <c r="Y254" t="s">
        <v>53</v>
      </c>
      <c r="Z254" t="s">
        <v>19</v>
      </c>
      <c r="AA254" t="s">
        <v>3580</v>
      </c>
      <c r="AB254" t="s">
        <v>3578</v>
      </c>
      <c r="AC254" t="s">
        <v>3579</v>
      </c>
      <c r="AD254" t="s">
        <v>3479</v>
      </c>
      <c r="AE254" t="s">
        <v>3475</v>
      </c>
      <c r="AF254" s="2">
        <v>3578.27</v>
      </c>
      <c r="AG254" s="2">
        <v>2171.2941999999998</v>
      </c>
      <c r="AH254" s="2">
        <v>1406.9757999999999</v>
      </c>
      <c r="AI254" s="3">
        <v>0.39320001006072802</v>
      </c>
    </row>
    <row r="255" spans="1:35">
      <c r="A255" s="1">
        <v>42119</v>
      </c>
      <c r="B255" s="1">
        <v>37283</v>
      </c>
      <c r="C255" t="s">
        <v>4297</v>
      </c>
      <c r="D255">
        <v>350</v>
      </c>
      <c r="E255">
        <v>11967</v>
      </c>
      <c r="F255">
        <v>9</v>
      </c>
      <c r="G255">
        <v>1</v>
      </c>
      <c r="H255">
        <v>1</v>
      </c>
      <c r="I255">
        <v>1</v>
      </c>
      <c r="J255" t="s">
        <v>3531</v>
      </c>
      <c r="K255" t="s">
        <v>3532</v>
      </c>
      <c r="L255" s="2">
        <v>1898.0944</v>
      </c>
      <c r="M255" s="2">
        <v>3374.99</v>
      </c>
      <c r="N255" t="s">
        <v>30</v>
      </c>
      <c r="O255" t="s">
        <v>200</v>
      </c>
      <c r="P255" t="s">
        <v>129</v>
      </c>
      <c r="Q255" t="s">
        <v>6584</v>
      </c>
      <c r="R255" s="1">
        <v>20861</v>
      </c>
      <c r="S255" t="s">
        <v>22</v>
      </c>
      <c r="T255" t="s">
        <v>29</v>
      </c>
      <c r="U255" t="s">
        <v>867</v>
      </c>
      <c r="V255">
        <v>80000</v>
      </c>
      <c r="W255">
        <v>2</v>
      </c>
      <c r="X255" t="s">
        <v>57</v>
      </c>
      <c r="Y255" t="s">
        <v>18</v>
      </c>
      <c r="Z255" t="s">
        <v>19</v>
      </c>
      <c r="AA255" t="s">
        <v>3586</v>
      </c>
      <c r="AB255" t="s">
        <v>3586</v>
      </c>
      <c r="AC255" t="s">
        <v>3587</v>
      </c>
      <c r="AD255" t="s">
        <v>3478</v>
      </c>
      <c r="AE255" t="s">
        <v>3475</v>
      </c>
      <c r="AF255" s="2">
        <v>3374.99</v>
      </c>
      <c r="AG255" s="2">
        <v>1898.0944</v>
      </c>
      <c r="AH255" s="2">
        <v>1476.8956000000001</v>
      </c>
      <c r="AI255" s="3">
        <v>0.43759999288886797</v>
      </c>
    </row>
    <row r="256" spans="1:35">
      <c r="A256" s="1">
        <v>42120</v>
      </c>
      <c r="B256" s="1">
        <v>37266</v>
      </c>
      <c r="C256" t="s">
        <v>4303</v>
      </c>
      <c r="D256">
        <v>310</v>
      </c>
      <c r="E256">
        <v>12805</v>
      </c>
      <c r="F256">
        <v>7</v>
      </c>
      <c r="G256">
        <v>1</v>
      </c>
      <c r="H256">
        <v>1</v>
      </c>
      <c r="I256">
        <v>2</v>
      </c>
      <c r="J256" t="s">
        <v>3485</v>
      </c>
      <c r="K256" t="s">
        <v>3486</v>
      </c>
      <c r="L256" s="2">
        <v>2171.2941999999998</v>
      </c>
      <c r="M256" s="2">
        <v>3578.27</v>
      </c>
      <c r="N256" t="s">
        <v>13</v>
      </c>
      <c r="O256" t="s">
        <v>1288</v>
      </c>
      <c r="P256" t="s">
        <v>85</v>
      </c>
      <c r="Q256" t="s">
        <v>6585</v>
      </c>
      <c r="R256" s="1">
        <v>25002</v>
      </c>
      <c r="S256" t="s">
        <v>16</v>
      </c>
      <c r="T256" t="s">
        <v>16</v>
      </c>
      <c r="U256" t="s">
        <v>1289</v>
      </c>
      <c r="V256">
        <v>40000</v>
      </c>
      <c r="W256">
        <v>0</v>
      </c>
      <c r="X256" t="s">
        <v>135</v>
      </c>
      <c r="Y256" t="s">
        <v>60</v>
      </c>
      <c r="Z256" t="s">
        <v>19</v>
      </c>
      <c r="AA256" t="s">
        <v>3583</v>
      </c>
      <c r="AB256" t="s">
        <v>3583</v>
      </c>
      <c r="AC256" t="s">
        <v>3584</v>
      </c>
      <c r="AD256" t="s">
        <v>3479</v>
      </c>
      <c r="AE256" t="s">
        <v>3475</v>
      </c>
      <c r="AF256" s="2">
        <v>3578.27</v>
      </c>
      <c r="AG256" s="2">
        <v>2171.2941999999998</v>
      </c>
      <c r="AH256" s="2">
        <v>1406.9757999999999</v>
      </c>
      <c r="AI256" s="3">
        <v>0.39320001006072802</v>
      </c>
    </row>
    <row r="257" spans="1:35">
      <c r="A257" s="1">
        <v>42121</v>
      </c>
      <c r="B257" s="1">
        <v>37265</v>
      </c>
      <c r="C257" t="s">
        <v>4305</v>
      </c>
      <c r="D257">
        <v>351</v>
      </c>
      <c r="E257">
        <v>11976</v>
      </c>
      <c r="F257">
        <v>9</v>
      </c>
      <c r="G257">
        <v>1</v>
      </c>
      <c r="H257">
        <v>1</v>
      </c>
      <c r="I257">
        <v>1</v>
      </c>
      <c r="J257" t="s">
        <v>3533</v>
      </c>
      <c r="K257" t="s">
        <v>3534</v>
      </c>
      <c r="L257" s="2">
        <v>1898.0944</v>
      </c>
      <c r="M257" s="2">
        <v>3374.99</v>
      </c>
      <c r="N257" t="s">
        <v>30</v>
      </c>
      <c r="O257" t="s">
        <v>871</v>
      </c>
      <c r="P257" t="s">
        <v>89</v>
      </c>
      <c r="Q257" t="s">
        <v>6586</v>
      </c>
      <c r="R257" s="1">
        <v>21696</v>
      </c>
      <c r="S257" t="s">
        <v>22</v>
      </c>
      <c r="T257" t="s">
        <v>29</v>
      </c>
      <c r="U257" t="s">
        <v>872</v>
      </c>
      <c r="V257">
        <v>120000</v>
      </c>
      <c r="W257">
        <v>1</v>
      </c>
      <c r="X257" t="s">
        <v>17</v>
      </c>
      <c r="Y257" t="s">
        <v>45</v>
      </c>
      <c r="Z257" t="s">
        <v>23</v>
      </c>
      <c r="AA257" t="s">
        <v>3586</v>
      </c>
      <c r="AB257" t="s">
        <v>3586</v>
      </c>
      <c r="AC257" t="s">
        <v>3587</v>
      </c>
      <c r="AD257" t="s">
        <v>3478</v>
      </c>
      <c r="AE257" t="s">
        <v>3475</v>
      </c>
      <c r="AF257" s="2">
        <v>3374.99</v>
      </c>
      <c r="AG257" s="2">
        <v>1898.0944</v>
      </c>
      <c r="AH257" s="2">
        <v>1476.8956000000001</v>
      </c>
      <c r="AI257" s="3">
        <v>0.43759999288886797</v>
      </c>
    </row>
    <row r="258" spans="1:35">
      <c r="A258" s="1">
        <v>42121</v>
      </c>
      <c r="B258" s="1">
        <v>37338</v>
      </c>
      <c r="C258" t="s">
        <v>4307</v>
      </c>
      <c r="D258">
        <v>314</v>
      </c>
      <c r="E258">
        <v>11743</v>
      </c>
      <c r="F258">
        <v>4</v>
      </c>
      <c r="G258">
        <v>1</v>
      </c>
      <c r="H258">
        <v>1</v>
      </c>
      <c r="I258">
        <v>2</v>
      </c>
      <c r="J258" t="s">
        <v>3493</v>
      </c>
      <c r="K258" t="s">
        <v>3494</v>
      </c>
      <c r="L258" s="2">
        <v>2171.2941999999998</v>
      </c>
      <c r="M258" s="2">
        <v>3578.27</v>
      </c>
      <c r="N258" t="s">
        <v>13</v>
      </c>
      <c r="O258" t="s">
        <v>143</v>
      </c>
      <c r="P258" t="s">
        <v>376</v>
      </c>
      <c r="Q258" t="s">
        <v>6587</v>
      </c>
      <c r="R258" s="1">
        <v>21260</v>
      </c>
      <c r="S258" t="s">
        <v>16</v>
      </c>
      <c r="T258" t="s">
        <v>16</v>
      </c>
      <c r="U258" t="s">
        <v>726</v>
      </c>
      <c r="V258">
        <v>60000</v>
      </c>
      <c r="W258">
        <v>1</v>
      </c>
      <c r="X258" t="s">
        <v>17</v>
      </c>
      <c r="Y258" t="s">
        <v>18</v>
      </c>
      <c r="Z258" t="s">
        <v>19</v>
      </c>
      <c r="AA258" t="s">
        <v>3580</v>
      </c>
      <c r="AB258" t="s">
        <v>3578</v>
      </c>
      <c r="AC258" t="s">
        <v>3579</v>
      </c>
      <c r="AD258" t="s">
        <v>3479</v>
      </c>
      <c r="AE258" t="s">
        <v>3475</v>
      </c>
      <c r="AF258" s="2">
        <v>3578.27</v>
      </c>
      <c r="AG258" s="2">
        <v>2171.2941999999998</v>
      </c>
      <c r="AH258" s="2">
        <v>1406.9757999999999</v>
      </c>
      <c r="AI258" s="3">
        <v>0.39320001006072802</v>
      </c>
    </row>
    <row r="259" spans="1:35">
      <c r="A259" s="1">
        <v>42121</v>
      </c>
      <c r="B259" s="1">
        <v>37255</v>
      </c>
      <c r="C259" t="s">
        <v>4308</v>
      </c>
      <c r="D259">
        <v>311</v>
      </c>
      <c r="E259">
        <v>12631</v>
      </c>
      <c r="F259">
        <v>7</v>
      </c>
      <c r="G259">
        <v>1</v>
      </c>
      <c r="H259">
        <v>1</v>
      </c>
      <c r="I259">
        <v>2</v>
      </c>
      <c r="J259" t="s">
        <v>3487</v>
      </c>
      <c r="K259" t="s">
        <v>3488</v>
      </c>
      <c r="L259" s="2">
        <v>2171.2941999999998</v>
      </c>
      <c r="M259" s="2">
        <v>3578.27</v>
      </c>
      <c r="N259" t="s">
        <v>13</v>
      </c>
      <c r="O259" t="s">
        <v>58</v>
      </c>
      <c r="P259" t="s">
        <v>140</v>
      </c>
      <c r="Q259" t="s">
        <v>6588</v>
      </c>
      <c r="R259" s="1">
        <v>16209</v>
      </c>
      <c r="S259" t="s">
        <v>22</v>
      </c>
      <c r="T259" t="s">
        <v>16</v>
      </c>
      <c r="U259" t="s">
        <v>1215</v>
      </c>
      <c r="V259">
        <v>70000</v>
      </c>
      <c r="W259">
        <v>5</v>
      </c>
      <c r="X259" t="s">
        <v>57</v>
      </c>
      <c r="Y259" t="s">
        <v>18</v>
      </c>
      <c r="Z259" t="s">
        <v>19</v>
      </c>
      <c r="AA259" t="s">
        <v>3583</v>
      </c>
      <c r="AB259" t="s">
        <v>3583</v>
      </c>
      <c r="AC259" t="s">
        <v>3584</v>
      </c>
      <c r="AD259" t="s">
        <v>3479</v>
      </c>
      <c r="AE259" t="s">
        <v>3475</v>
      </c>
      <c r="AF259" s="2">
        <v>3578.27</v>
      </c>
      <c r="AG259" s="2">
        <v>2171.2941999999998</v>
      </c>
      <c r="AH259" s="2">
        <v>1406.9757999999999</v>
      </c>
      <c r="AI259" s="3">
        <v>0.39320001006072802</v>
      </c>
    </row>
    <row r="260" spans="1:35">
      <c r="A260" s="1">
        <v>42121</v>
      </c>
      <c r="B260" s="1">
        <v>37346</v>
      </c>
      <c r="C260" t="s">
        <v>4311</v>
      </c>
      <c r="D260">
        <v>314</v>
      </c>
      <c r="E260">
        <v>12711</v>
      </c>
      <c r="F260">
        <v>7</v>
      </c>
      <c r="G260">
        <v>1</v>
      </c>
      <c r="H260">
        <v>1</v>
      </c>
      <c r="I260">
        <v>2</v>
      </c>
      <c r="J260" t="s">
        <v>3493</v>
      </c>
      <c r="K260" t="s">
        <v>3494</v>
      </c>
      <c r="L260" s="2">
        <v>2171.2941999999998</v>
      </c>
      <c r="M260" s="2">
        <v>3578.27</v>
      </c>
      <c r="N260" t="s">
        <v>26</v>
      </c>
      <c r="O260" t="s">
        <v>1165</v>
      </c>
      <c r="P260" t="s">
        <v>122</v>
      </c>
      <c r="Q260" t="s">
        <v>6589</v>
      </c>
      <c r="R260" s="1">
        <v>26774</v>
      </c>
      <c r="S260" t="s">
        <v>22</v>
      </c>
      <c r="T260" t="s">
        <v>29</v>
      </c>
      <c r="U260" t="s">
        <v>1258</v>
      </c>
      <c r="V260">
        <v>20000</v>
      </c>
      <c r="W260">
        <v>0</v>
      </c>
      <c r="X260" t="s">
        <v>77</v>
      </c>
      <c r="Y260" t="s">
        <v>444</v>
      </c>
      <c r="Z260" t="s">
        <v>23</v>
      </c>
      <c r="AA260" t="s">
        <v>3583</v>
      </c>
      <c r="AB260" t="s">
        <v>3583</v>
      </c>
      <c r="AC260" t="s">
        <v>3584</v>
      </c>
      <c r="AD260" t="s">
        <v>3479</v>
      </c>
      <c r="AE260" t="s">
        <v>3475</v>
      </c>
      <c r="AF260" s="2">
        <v>3578.27</v>
      </c>
      <c r="AG260" s="2">
        <v>2171.2941999999998</v>
      </c>
      <c r="AH260" s="2">
        <v>1406.9757999999999</v>
      </c>
      <c r="AI260" s="3">
        <v>0.39320001006072802</v>
      </c>
    </row>
    <row r="261" spans="1:35">
      <c r="A261" s="1">
        <v>42121</v>
      </c>
      <c r="B261" s="1">
        <v>37253</v>
      </c>
      <c r="C261" t="s">
        <v>4313</v>
      </c>
      <c r="D261">
        <v>310</v>
      </c>
      <c r="E261">
        <v>11854</v>
      </c>
      <c r="F261">
        <v>4</v>
      </c>
      <c r="G261">
        <v>1</v>
      </c>
      <c r="H261">
        <v>1</v>
      </c>
      <c r="I261">
        <v>2</v>
      </c>
      <c r="J261" t="s">
        <v>3485</v>
      </c>
      <c r="K261" t="s">
        <v>3486</v>
      </c>
      <c r="L261" s="2">
        <v>2171.2941999999998</v>
      </c>
      <c r="M261" s="2">
        <v>3578.27</v>
      </c>
      <c r="N261" t="s">
        <v>13</v>
      </c>
      <c r="O261" t="s">
        <v>279</v>
      </c>
      <c r="P261" t="s">
        <v>481</v>
      </c>
      <c r="Q261" t="s">
        <v>6590</v>
      </c>
      <c r="R261" s="1">
        <v>24946</v>
      </c>
      <c r="S261" t="s">
        <v>22</v>
      </c>
      <c r="T261" t="s">
        <v>16</v>
      </c>
      <c r="U261" t="s">
        <v>794</v>
      </c>
      <c r="V261">
        <v>60000</v>
      </c>
      <c r="W261">
        <v>2</v>
      </c>
      <c r="X261" t="s">
        <v>135</v>
      </c>
      <c r="Y261" t="s">
        <v>18</v>
      </c>
      <c r="Z261" t="s">
        <v>23</v>
      </c>
      <c r="AA261" t="s">
        <v>3580</v>
      </c>
      <c r="AB261" t="s">
        <v>3578</v>
      </c>
      <c r="AC261" t="s">
        <v>3579</v>
      </c>
      <c r="AD261" t="s">
        <v>3479</v>
      </c>
      <c r="AE261" t="s">
        <v>3475</v>
      </c>
      <c r="AF261" s="2">
        <v>3578.27</v>
      </c>
      <c r="AG261" s="2">
        <v>2171.2941999999998</v>
      </c>
      <c r="AH261" s="2">
        <v>1406.9757999999999</v>
      </c>
      <c r="AI261" s="3">
        <v>0.39320001006072802</v>
      </c>
    </row>
    <row r="262" spans="1:35">
      <c r="A262" s="1">
        <v>42122</v>
      </c>
      <c r="B262" s="1">
        <v>37306</v>
      </c>
      <c r="C262" t="s">
        <v>4317</v>
      </c>
      <c r="D262">
        <v>311</v>
      </c>
      <c r="E262">
        <v>11774</v>
      </c>
      <c r="F262">
        <v>4</v>
      </c>
      <c r="G262">
        <v>1</v>
      </c>
      <c r="H262">
        <v>1</v>
      </c>
      <c r="I262">
        <v>2</v>
      </c>
      <c r="J262" t="s">
        <v>3487</v>
      </c>
      <c r="K262" t="s">
        <v>3488</v>
      </c>
      <c r="L262" s="2">
        <v>2171.2941999999998</v>
      </c>
      <c r="M262" s="2">
        <v>3578.27</v>
      </c>
      <c r="N262" t="s">
        <v>30</v>
      </c>
      <c r="O262" t="s">
        <v>721</v>
      </c>
      <c r="P262" t="s">
        <v>109</v>
      </c>
      <c r="Q262" t="s">
        <v>6591</v>
      </c>
      <c r="R262" s="1">
        <v>26766</v>
      </c>
      <c r="S262" t="s">
        <v>16</v>
      </c>
      <c r="T262" t="s">
        <v>29</v>
      </c>
      <c r="U262" t="s">
        <v>747</v>
      </c>
      <c r="V262">
        <v>50000</v>
      </c>
      <c r="W262">
        <v>1</v>
      </c>
      <c r="X262" t="s">
        <v>135</v>
      </c>
      <c r="Y262" t="s">
        <v>53</v>
      </c>
      <c r="Z262" t="s">
        <v>19</v>
      </c>
      <c r="AA262" t="s">
        <v>3580</v>
      </c>
      <c r="AB262" t="s">
        <v>3578</v>
      </c>
      <c r="AC262" t="s">
        <v>3579</v>
      </c>
      <c r="AD262" t="s">
        <v>3479</v>
      </c>
      <c r="AE262" t="s">
        <v>3475</v>
      </c>
      <c r="AF262" s="2">
        <v>3578.27</v>
      </c>
      <c r="AG262" s="2">
        <v>2171.2941999999998</v>
      </c>
      <c r="AH262" s="2">
        <v>1406.9757999999999</v>
      </c>
      <c r="AI262" s="3">
        <v>0.39320001006072802</v>
      </c>
    </row>
    <row r="263" spans="1:35">
      <c r="A263" s="1">
        <v>42122</v>
      </c>
      <c r="B263" s="1">
        <v>37284</v>
      </c>
      <c r="C263" t="s">
        <v>4318</v>
      </c>
      <c r="D263">
        <v>313</v>
      </c>
      <c r="E263">
        <v>11924</v>
      </c>
      <c r="F263">
        <v>4</v>
      </c>
      <c r="G263">
        <v>1</v>
      </c>
      <c r="H263">
        <v>1</v>
      </c>
      <c r="I263">
        <v>2</v>
      </c>
      <c r="J263" t="s">
        <v>3491</v>
      </c>
      <c r="K263" t="s">
        <v>3492</v>
      </c>
      <c r="L263" s="2">
        <v>2171.2941999999998</v>
      </c>
      <c r="M263" s="2">
        <v>3578.27</v>
      </c>
      <c r="N263" t="s">
        <v>13</v>
      </c>
      <c r="O263" t="s">
        <v>46</v>
      </c>
      <c r="P263" t="s">
        <v>239</v>
      </c>
      <c r="Q263" t="s">
        <v>6592</v>
      </c>
      <c r="R263" s="1">
        <v>29153</v>
      </c>
      <c r="S263" t="s">
        <v>22</v>
      </c>
      <c r="T263" t="s">
        <v>16</v>
      </c>
      <c r="U263" t="s">
        <v>839</v>
      </c>
      <c r="V263">
        <v>60000</v>
      </c>
      <c r="W263">
        <v>0</v>
      </c>
      <c r="X263" t="s">
        <v>52</v>
      </c>
      <c r="Y263" t="s">
        <v>53</v>
      </c>
      <c r="Z263" t="s">
        <v>23</v>
      </c>
      <c r="AA263" t="s">
        <v>3580</v>
      </c>
      <c r="AB263" t="s">
        <v>3578</v>
      </c>
      <c r="AC263" t="s">
        <v>3579</v>
      </c>
      <c r="AD263" t="s">
        <v>3479</v>
      </c>
      <c r="AE263" t="s">
        <v>3475</v>
      </c>
      <c r="AF263" s="2">
        <v>3578.27</v>
      </c>
      <c r="AG263" s="2">
        <v>2171.2941999999998</v>
      </c>
      <c r="AH263" s="2">
        <v>1406.9757999999999</v>
      </c>
      <c r="AI263" s="3">
        <v>0.39320001006072802</v>
      </c>
    </row>
    <row r="264" spans="1:35">
      <c r="A264" s="1">
        <v>42122</v>
      </c>
      <c r="B264" s="1">
        <v>37303</v>
      </c>
      <c r="C264" t="s">
        <v>4320</v>
      </c>
      <c r="D264">
        <v>312</v>
      </c>
      <c r="E264">
        <v>11839</v>
      </c>
      <c r="F264">
        <v>4</v>
      </c>
      <c r="G264">
        <v>1</v>
      </c>
      <c r="H264">
        <v>1</v>
      </c>
      <c r="I264">
        <v>2</v>
      </c>
      <c r="J264" t="s">
        <v>3489</v>
      </c>
      <c r="K264" t="s">
        <v>3490</v>
      </c>
      <c r="L264" s="2">
        <v>2171.2941999999998</v>
      </c>
      <c r="M264" s="2">
        <v>3578.27</v>
      </c>
      <c r="N264" t="s">
        <v>13</v>
      </c>
      <c r="O264" t="s">
        <v>789</v>
      </c>
      <c r="P264" t="s">
        <v>180</v>
      </c>
      <c r="Q264" t="s">
        <v>6593</v>
      </c>
      <c r="R264" s="1">
        <v>23948</v>
      </c>
      <c r="S264" t="s">
        <v>22</v>
      </c>
      <c r="T264" t="s">
        <v>16</v>
      </c>
      <c r="U264" t="s">
        <v>790</v>
      </c>
      <c r="V264">
        <v>60000</v>
      </c>
      <c r="W264">
        <v>0</v>
      </c>
      <c r="X264" t="s">
        <v>135</v>
      </c>
      <c r="Y264" t="s">
        <v>18</v>
      </c>
      <c r="Z264" t="s">
        <v>19</v>
      </c>
      <c r="AA264" t="s">
        <v>3580</v>
      </c>
      <c r="AB264" t="s">
        <v>3578</v>
      </c>
      <c r="AC264" t="s">
        <v>3579</v>
      </c>
      <c r="AD264" t="s">
        <v>3479</v>
      </c>
      <c r="AE264" t="s">
        <v>3475</v>
      </c>
      <c r="AF264" s="2">
        <v>3578.27</v>
      </c>
      <c r="AG264" s="2">
        <v>2171.2941999999998</v>
      </c>
      <c r="AH264" s="2">
        <v>1406.9757999999999</v>
      </c>
      <c r="AI264" s="3">
        <v>0.39320001006072802</v>
      </c>
    </row>
    <row r="265" spans="1:35">
      <c r="A265" s="1">
        <v>42123</v>
      </c>
      <c r="B265" s="1">
        <v>37255</v>
      </c>
      <c r="C265" t="s">
        <v>4324</v>
      </c>
      <c r="D265">
        <v>312</v>
      </c>
      <c r="E265">
        <v>11831</v>
      </c>
      <c r="F265">
        <v>4</v>
      </c>
      <c r="G265">
        <v>1</v>
      </c>
      <c r="H265">
        <v>1</v>
      </c>
      <c r="I265">
        <v>2</v>
      </c>
      <c r="J265" t="s">
        <v>3489</v>
      </c>
      <c r="K265" t="s">
        <v>3490</v>
      </c>
      <c r="L265" s="2">
        <v>2171.2941999999998</v>
      </c>
      <c r="M265" s="2">
        <v>3578.27</v>
      </c>
      <c r="N265" t="s">
        <v>13</v>
      </c>
      <c r="O265" t="s">
        <v>396</v>
      </c>
      <c r="P265" t="s">
        <v>199</v>
      </c>
      <c r="Q265" t="s">
        <v>6594</v>
      </c>
      <c r="R265" s="1">
        <v>25531</v>
      </c>
      <c r="S265" t="s">
        <v>16</v>
      </c>
      <c r="T265" t="s">
        <v>16</v>
      </c>
      <c r="U265" t="s">
        <v>783</v>
      </c>
      <c r="V265">
        <v>80000</v>
      </c>
      <c r="W265">
        <v>3</v>
      </c>
      <c r="X265" t="s">
        <v>135</v>
      </c>
      <c r="Y265" t="s">
        <v>18</v>
      </c>
      <c r="Z265" t="s">
        <v>19</v>
      </c>
      <c r="AA265" t="s">
        <v>3580</v>
      </c>
      <c r="AB265" t="s">
        <v>3578</v>
      </c>
      <c r="AC265" t="s">
        <v>3579</v>
      </c>
      <c r="AD265" t="s">
        <v>3479</v>
      </c>
      <c r="AE265" t="s">
        <v>3475</v>
      </c>
      <c r="AF265" s="2">
        <v>3578.27</v>
      </c>
      <c r="AG265" s="2">
        <v>2171.2941999999998</v>
      </c>
      <c r="AH265" s="2">
        <v>1406.9757999999999</v>
      </c>
      <c r="AI265" s="3">
        <v>0.39320001006072802</v>
      </c>
    </row>
    <row r="266" spans="1:35">
      <c r="A266" s="1">
        <v>42123</v>
      </c>
      <c r="B266" s="1">
        <v>37274</v>
      </c>
      <c r="C266" t="s">
        <v>4325</v>
      </c>
      <c r="D266">
        <v>310</v>
      </c>
      <c r="E266">
        <v>11778</v>
      </c>
      <c r="F266">
        <v>1</v>
      </c>
      <c r="G266">
        <v>1</v>
      </c>
      <c r="H266">
        <v>1</v>
      </c>
      <c r="I266">
        <v>2</v>
      </c>
      <c r="J266" t="s">
        <v>3485</v>
      </c>
      <c r="K266" t="s">
        <v>3486</v>
      </c>
      <c r="L266" s="2">
        <v>2171.2941999999998</v>
      </c>
      <c r="M266" s="2">
        <v>3578.27</v>
      </c>
      <c r="N266" t="s">
        <v>30</v>
      </c>
      <c r="O266" t="s">
        <v>409</v>
      </c>
      <c r="P266" t="s">
        <v>146</v>
      </c>
      <c r="Q266" t="s">
        <v>6595</v>
      </c>
      <c r="R266" s="1">
        <v>26013</v>
      </c>
      <c r="S266" t="s">
        <v>22</v>
      </c>
      <c r="T266" t="s">
        <v>29</v>
      </c>
      <c r="U266" t="s">
        <v>751</v>
      </c>
      <c r="V266">
        <v>60000</v>
      </c>
      <c r="W266">
        <v>1</v>
      </c>
      <c r="X266" t="s">
        <v>135</v>
      </c>
      <c r="Y266" t="s">
        <v>53</v>
      </c>
      <c r="Z266" t="s">
        <v>19</v>
      </c>
      <c r="AA266" t="s">
        <v>3577</v>
      </c>
      <c r="AB266" t="s">
        <v>3578</v>
      </c>
      <c r="AC266" t="s">
        <v>3579</v>
      </c>
      <c r="AD266" t="s">
        <v>3479</v>
      </c>
      <c r="AE266" t="s">
        <v>3475</v>
      </c>
      <c r="AF266" s="2">
        <v>3578.27</v>
      </c>
      <c r="AG266" s="2">
        <v>2171.2941999999998</v>
      </c>
      <c r="AH266" s="2">
        <v>1406.9757999999999</v>
      </c>
      <c r="AI266" s="3">
        <v>0.39320001006072802</v>
      </c>
    </row>
    <row r="267" spans="1:35">
      <c r="A267" s="1">
        <v>42123</v>
      </c>
      <c r="B267" s="1">
        <v>37360</v>
      </c>
      <c r="C267" t="s">
        <v>4326</v>
      </c>
      <c r="D267">
        <v>310</v>
      </c>
      <c r="E267">
        <v>11826</v>
      </c>
      <c r="F267">
        <v>4</v>
      </c>
      <c r="G267">
        <v>1</v>
      </c>
      <c r="H267">
        <v>1</v>
      </c>
      <c r="I267">
        <v>2</v>
      </c>
      <c r="J267" t="s">
        <v>3485</v>
      </c>
      <c r="K267" t="s">
        <v>3486</v>
      </c>
      <c r="L267" s="2">
        <v>2171.2941999999998</v>
      </c>
      <c r="M267" s="2">
        <v>3578.27</v>
      </c>
      <c r="N267" t="s">
        <v>30</v>
      </c>
      <c r="O267" t="s">
        <v>80</v>
      </c>
      <c r="P267" t="s">
        <v>779</v>
      </c>
      <c r="Q267" t="s">
        <v>6596</v>
      </c>
      <c r="R267" s="1">
        <v>24153</v>
      </c>
      <c r="S267" t="s">
        <v>16</v>
      </c>
      <c r="T267" t="s">
        <v>29</v>
      </c>
      <c r="U267" t="s">
        <v>780</v>
      </c>
      <c r="V267">
        <v>70000</v>
      </c>
      <c r="W267">
        <v>5</v>
      </c>
      <c r="X267" t="s">
        <v>135</v>
      </c>
      <c r="Y267" t="s">
        <v>18</v>
      </c>
      <c r="Z267" t="s">
        <v>19</v>
      </c>
      <c r="AA267" t="s">
        <v>3580</v>
      </c>
      <c r="AB267" t="s">
        <v>3578</v>
      </c>
      <c r="AC267" t="s">
        <v>3579</v>
      </c>
      <c r="AD267" t="s">
        <v>3479</v>
      </c>
      <c r="AE267" t="s">
        <v>3475</v>
      </c>
      <c r="AF267" s="2">
        <v>3578.27</v>
      </c>
      <c r="AG267" s="2">
        <v>2171.2941999999998</v>
      </c>
      <c r="AH267" s="2">
        <v>1406.9757999999999</v>
      </c>
      <c r="AI267" s="3">
        <v>0.39320001006072802</v>
      </c>
    </row>
    <row r="268" spans="1:35">
      <c r="A268" s="1">
        <v>42123</v>
      </c>
      <c r="B268" s="1">
        <v>37285</v>
      </c>
      <c r="C268" t="s">
        <v>4327</v>
      </c>
      <c r="D268">
        <v>312</v>
      </c>
      <c r="E268">
        <v>12749</v>
      </c>
      <c r="F268">
        <v>7</v>
      </c>
      <c r="G268">
        <v>1</v>
      </c>
      <c r="H268">
        <v>1</v>
      </c>
      <c r="I268">
        <v>2</v>
      </c>
      <c r="J268" t="s">
        <v>3489</v>
      </c>
      <c r="K268" t="s">
        <v>3490</v>
      </c>
      <c r="L268" s="2">
        <v>2171.2941999999998</v>
      </c>
      <c r="M268" s="2">
        <v>3578.27</v>
      </c>
      <c r="N268" t="s">
        <v>13</v>
      </c>
      <c r="O268" t="s">
        <v>483</v>
      </c>
      <c r="P268" t="s">
        <v>307</v>
      </c>
      <c r="Q268" t="s">
        <v>6597</v>
      </c>
      <c r="R268" s="1">
        <v>25994</v>
      </c>
      <c r="S268" t="s">
        <v>22</v>
      </c>
      <c r="T268" t="s">
        <v>16</v>
      </c>
      <c r="U268" t="s">
        <v>1262</v>
      </c>
      <c r="V268">
        <v>30000</v>
      </c>
      <c r="W268">
        <v>0</v>
      </c>
      <c r="X268" t="s">
        <v>57</v>
      </c>
      <c r="Y268" t="s">
        <v>444</v>
      </c>
      <c r="Z268" t="s">
        <v>23</v>
      </c>
      <c r="AA268" t="s">
        <v>3583</v>
      </c>
      <c r="AB268" t="s">
        <v>3583</v>
      </c>
      <c r="AC268" t="s">
        <v>3584</v>
      </c>
      <c r="AD268" t="s">
        <v>3479</v>
      </c>
      <c r="AE268" t="s">
        <v>3475</v>
      </c>
      <c r="AF268" s="2">
        <v>3578.27</v>
      </c>
      <c r="AG268" s="2">
        <v>2171.2941999999998</v>
      </c>
      <c r="AH268" s="2">
        <v>1406.9757999999999</v>
      </c>
      <c r="AI268" s="3">
        <v>0.39320001006072802</v>
      </c>
    </row>
    <row r="269" spans="1:35">
      <c r="A269" s="1">
        <v>42123</v>
      </c>
      <c r="B269" s="1">
        <v>37321</v>
      </c>
      <c r="C269" t="s">
        <v>4329</v>
      </c>
      <c r="D269">
        <v>348</v>
      </c>
      <c r="E269">
        <v>11912</v>
      </c>
      <c r="F269">
        <v>9</v>
      </c>
      <c r="G269">
        <v>1</v>
      </c>
      <c r="H269">
        <v>1</v>
      </c>
      <c r="I269">
        <v>1</v>
      </c>
      <c r="J269" t="s">
        <v>3527</v>
      </c>
      <c r="K269" t="s">
        <v>3528</v>
      </c>
      <c r="L269" s="2">
        <v>1898.0944</v>
      </c>
      <c r="M269" s="2">
        <v>3374.99</v>
      </c>
      <c r="N269" t="s">
        <v>30</v>
      </c>
      <c r="O269" t="s">
        <v>827</v>
      </c>
      <c r="P269" t="s">
        <v>79</v>
      </c>
      <c r="Q269" t="s">
        <v>6598</v>
      </c>
      <c r="R269" s="1">
        <v>24093</v>
      </c>
      <c r="S269" t="s">
        <v>22</v>
      </c>
      <c r="T269" t="s">
        <v>29</v>
      </c>
      <c r="U269" t="s">
        <v>828</v>
      </c>
      <c r="V269">
        <v>60000</v>
      </c>
      <c r="W269">
        <v>3</v>
      </c>
      <c r="X269" t="s">
        <v>17</v>
      </c>
      <c r="Y269" t="s">
        <v>18</v>
      </c>
      <c r="Z269" t="s">
        <v>19</v>
      </c>
      <c r="AA269" t="s">
        <v>3586</v>
      </c>
      <c r="AB269" t="s">
        <v>3586</v>
      </c>
      <c r="AC269" t="s">
        <v>3587</v>
      </c>
      <c r="AD269" t="s">
        <v>3478</v>
      </c>
      <c r="AE269" t="s">
        <v>3475</v>
      </c>
      <c r="AF269" s="2">
        <v>3374.99</v>
      </c>
      <c r="AG269" s="2">
        <v>1898.0944</v>
      </c>
      <c r="AH269" s="2">
        <v>1476.8956000000001</v>
      </c>
      <c r="AI269" s="3">
        <v>0.43759999288886797</v>
      </c>
    </row>
    <row r="270" spans="1:35">
      <c r="A270" s="1">
        <v>42123</v>
      </c>
      <c r="B270" s="1">
        <v>37343</v>
      </c>
      <c r="C270" t="s">
        <v>4330</v>
      </c>
      <c r="D270">
        <v>344</v>
      </c>
      <c r="E270">
        <v>11917</v>
      </c>
      <c r="F270">
        <v>9</v>
      </c>
      <c r="G270">
        <v>1</v>
      </c>
      <c r="H270">
        <v>1</v>
      </c>
      <c r="I270">
        <v>1</v>
      </c>
      <c r="J270" t="s">
        <v>3519</v>
      </c>
      <c r="K270" t="s">
        <v>3520</v>
      </c>
      <c r="L270" s="2">
        <v>1912.1543999999999</v>
      </c>
      <c r="M270" s="2">
        <v>3399.99</v>
      </c>
      <c r="N270" t="s">
        <v>13</v>
      </c>
      <c r="O270" t="s">
        <v>454</v>
      </c>
      <c r="P270" t="s">
        <v>538</v>
      </c>
      <c r="Q270" t="s">
        <v>6599</v>
      </c>
      <c r="R270" s="1">
        <v>24037</v>
      </c>
      <c r="S270" t="s">
        <v>22</v>
      </c>
      <c r="T270" t="s">
        <v>16</v>
      </c>
      <c r="U270" t="s">
        <v>834</v>
      </c>
      <c r="V270">
        <v>70000</v>
      </c>
      <c r="W270">
        <v>0</v>
      </c>
      <c r="X270" t="s">
        <v>17</v>
      </c>
      <c r="Y270" t="s">
        <v>18</v>
      </c>
      <c r="Z270" t="s">
        <v>19</v>
      </c>
      <c r="AA270" t="s">
        <v>3586</v>
      </c>
      <c r="AB270" t="s">
        <v>3586</v>
      </c>
      <c r="AC270" t="s">
        <v>3587</v>
      </c>
      <c r="AD270" t="s">
        <v>3478</v>
      </c>
      <c r="AE270" t="s">
        <v>3475</v>
      </c>
      <c r="AF270" s="2">
        <v>3399.99</v>
      </c>
      <c r="AG270" s="2">
        <v>1912.1543999999999</v>
      </c>
      <c r="AH270" s="2">
        <v>1487.8356000000001</v>
      </c>
      <c r="AI270" s="3">
        <v>0.43759999294115598</v>
      </c>
    </row>
    <row r="271" spans="1:35">
      <c r="A271" s="1">
        <v>42124</v>
      </c>
      <c r="B271" s="1">
        <v>37270</v>
      </c>
      <c r="C271" t="s">
        <v>4338</v>
      </c>
      <c r="D271">
        <v>314</v>
      </c>
      <c r="E271">
        <v>11886</v>
      </c>
      <c r="F271">
        <v>4</v>
      </c>
      <c r="G271">
        <v>1</v>
      </c>
      <c r="H271">
        <v>1</v>
      </c>
      <c r="I271">
        <v>2</v>
      </c>
      <c r="J271" t="s">
        <v>3493</v>
      </c>
      <c r="K271" t="s">
        <v>3494</v>
      </c>
      <c r="L271" s="2">
        <v>2171.2941999999998</v>
      </c>
      <c r="M271" s="2">
        <v>3578.27</v>
      </c>
      <c r="N271" t="s">
        <v>30</v>
      </c>
      <c r="O271" t="s">
        <v>372</v>
      </c>
      <c r="P271" t="s">
        <v>707</v>
      </c>
      <c r="Q271" t="s">
        <v>6600</v>
      </c>
      <c r="R271" s="1">
        <v>21205</v>
      </c>
      <c r="S271" t="s">
        <v>16</v>
      </c>
      <c r="T271" t="s">
        <v>29</v>
      </c>
      <c r="U271" t="s">
        <v>801</v>
      </c>
      <c r="V271">
        <v>60000</v>
      </c>
      <c r="W271">
        <v>3</v>
      </c>
      <c r="X271" t="s">
        <v>17</v>
      </c>
      <c r="Y271" t="s">
        <v>18</v>
      </c>
      <c r="Z271" t="s">
        <v>19</v>
      </c>
      <c r="AA271" t="s">
        <v>3580</v>
      </c>
      <c r="AB271" t="s">
        <v>3578</v>
      </c>
      <c r="AC271" t="s">
        <v>3579</v>
      </c>
      <c r="AD271" t="s">
        <v>3479</v>
      </c>
      <c r="AE271" t="s">
        <v>3475</v>
      </c>
      <c r="AF271" s="2">
        <v>3578.27</v>
      </c>
      <c r="AG271" s="2">
        <v>2171.2941999999998</v>
      </c>
      <c r="AH271" s="2">
        <v>1406.9757999999999</v>
      </c>
      <c r="AI271" s="3">
        <v>0.39320001006072802</v>
      </c>
    </row>
    <row r="272" spans="1:35">
      <c r="A272" s="1">
        <v>42124</v>
      </c>
      <c r="B272" s="1">
        <v>37313</v>
      </c>
      <c r="C272" t="s">
        <v>4339</v>
      </c>
      <c r="D272">
        <v>346</v>
      </c>
      <c r="E272">
        <v>11968</v>
      </c>
      <c r="F272">
        <v>9</v>
      </c>
      <c r="G272">
        <v>1</v>
      </c>
      <c r="H272">
        <v>1</v>
      </c>
      <c r="I272">
        <v>1</v>
      </c>
      <c r="J272" t="s">
        <v>3523</v>
      </c>
      <c r="K272" t="s">
        <v>3524</v>
      </c>
      <c r="L272" s="2">
        <v>1912.1543999999999</v>
      </c>
      <c r="M272" s="2">
        <v>3399.99</v>
      </c>
      <c r="N272" t="s">
        <v>26</v>
      </c>
      <c r="O272" t="s">
        <v>868</v>
      </c>
      <c r="P272" t="s">
        <v>510</v>
      </c>
      <c r="Q272" t="s">
        <v>6601</v>
      </c>
      <c r="R272" s="1">
        <v>21479</v>
      </c>
      <c r="S272" t="s">
        <v>22</v>
      </c>
      <c r="T272" t="s">
        <v>29</v>
      </c>
      <c r="U272" t="s">
        <v>869</v>
      </c>
      <c r="V272">
        <v>130000</v>
      </c>
      <c r="W272">
        <v>0</v>
      </c>
      <c r="X272" t="s">
        <v>135</v>
      </c>
      <c r="Y272" t="s">
        <v>45</v>
      </c>
      <c r="Z272" t="s">
        <v>23</v>
      </c>
      <c r="AA272" t="s">
        <v>3586</v>
      </c>
      <c r="AB272" t="s">
        <v>3586</v>
      </c>
      <c r="AC272" t="s">
        <v>3587</v>
      </c>
      <c r="AD272" t="s">
        <v>3478</v>
      </c>
      <c r="AE272" t="s">
        <v>3475</v>
      </c>
      <c r="AF272" s="2">
        <v>3399.99</v>
      </c>
      <c r="AG272" s="2">
        <v>1912.1543999999999</v>
      </c>
      <c r="AH272" s="2">
        <v>1487.8356000000001</v>
      </c>
      <c r="AI272" s="3">
        <v>0.43759999294115598</v>
      </c>
    </row>
    <row r="273" spans="1:35">
      <c r="A273" s="1">
        <v>42124</v>
      </c>
      <c r="B273" s="1">
        <v>37313</v>
      </c>
      <c r="C273" t="s">
        <v>4340</v>
      </c>
      <c r="D273">
        <v>312</v>
      </c>
      <c r="E273">
        <v>11885</v>
      </c>
      <c r="F273">
        <v>4</v>
      </c>
      <c r="G273">
        <v>1</v>
      </c>
      <c r="H273">
        <v>1</v>
      </c>
      <c r="I273">
        <v>2</v>
      </c>
      <c r="J273" t="s">
        <v>3489</v>
      </c>
      <c r="K273" t="s">
        <v>3490</v>
      </c>
      <c r="L273" s="2">
        <v>2171.2941999999998</v>
      </c>
      <c r="M273" s="2">
        <v>3578.27</v>
      </c>
      <c r="N273" t="s">
        <v>13</v>
      </c>
      <c r="O273" t="s">
        <v>489</v>
      </c>
      <c r="P273" t="s">
        <v>664</v>
      </c>
      <c r="Q273" t="s">
        <v>6602</v>
      </c>
      <c r="R273" s="1">
        <v>21818</v>
      </c>
      <c r="S273" t="s">
        <v>16</v>
      </c>
      <c r="T273" t="s">
        <v>16</v>
      </c>
      <c r="U273" t="s">
        <v>800</v>
      </c>
      <c r="V273">
        <v>80000</v>
      </c>
      <c r="W273">
        <v>2</v>
      </c>
      <c r="X273" t="s">
        <v>135</v>
      </c>
      <c r="Y273" t="s">
        <v>18</v>
      </c>
      <c r="Z273" t="s">
        <v>19</v>
      </c>
      <c r="AA273" t="s">
        <v>3580</v>
      </c>
      <c r="AB273" t="s">
        <v>3578</v>
      </c>
      <c r="AC273" t="s">
        <v>3579</v>
      </c>
      <c r="AD273" t="s">
        <v>3479</v>
      </c>
      <c r="AE273" t="s">
        <v>3475</v>
      </c>
      <c r="AF273" s="2">
        <v>3578.27</v>
      </c>
      <c r="AG273" s="2">
        <v>2171.2941999999998</v>
      </c>
      <c r="AH273" s="2">
        <v>1406.9757999999999</v>
      </c>
      <c r="AI273" s="3">
        <v>0.39320001006072802</v>
      </c>
    </row>
    <row r="274" spans="1:35">
      <c r="A274" s="1">
        <v>42125</v>
      </c>
      <c r="B274" s="1">
        <v>37257</v>
      </c>
      <c r="C274" t="s">
        <v>4345</v>
      </c>
      <c r="D274">
        <v>311</v>
      </c>
      <c r="E274">
        <v>12169</v>
      </c>
      <c r="F274">
        <v>4</v>
      </c>
      <c r="G274">
        <v>1</v>
      </c>
      <c r="H274">
        <v>1</v>
      </c>
      <c r="I274">
        <v>2</v>
      </c>
      <c r="J274" t="s">
        <v>3487</v>
      </c>
      <c r="K274" t="s">
        <v>3488</v>
      </c>
      <c r="L274" s="2">
        <v>2171.2941999999998</v>
      </c>
      <c r="M274" s="2">
        <v>3578.27</v>
      </c>
      <c r="N274" t="s">
        <v>30</v>
      </c>
      <c r="O274" t="s">
        <v>182</v>
      </c>
      <c r="P274" t="s">
        <v>294</v>
      </c>
      <c r="Q274" t="s">
        <v>6603</v>
      </c>
      <c r="R274" s="1">
        <v>22601</v>
      </c>
      <c r="S274" t="s">
        <v>22</v>
      </c>
      <c r="T274" t="s">
        <v>29</v>
      </c>
      <c r="U274" t="s">
        <v>1001</v>
      </c>
      <c r="V274">
        <v>120000</v>
      </c>
      <c r="W274">
        <v>1</v>
      </c>
      <c r="X274" t="s">
        <v>57</v>
      </c>
      <c r="Y274" t="s">
        <v>18</v>
      </c>
      <c r="Z274" t="s">
        <v>19</v>
      </c>
      <c r="AA274" t="s">
        <v>3580</v>
      </c>
      <c r="AB274" t="s">
        <v>3578</v>
      </c>
      <c r="AC274" t="s">
        <v>3579</v>
      </c>
      <c r="AD274" t="s">
        <v>3479</v>
      </c>
      <c r="AE274" t="s">
        <v>3475</v>
      </c>
      <c r="AF274" s="2">
        <v>3578.27</v>
      </c>
      <c r="AG274" s="2">
        <v>2171.2941999999998</v>
      </c>
      <c r="AH274" s="2">
        <v>1406.9757999999999</v>
      </c>
      <c r="AI274" s="3">
        <v>0.39320001006072802</v>
      </c>
    </row>
    <row r="275" spans="1:35">
      <c r="A275" s="1">
        <v>42125</v>
      </c>
      <c r="B275" s="1">
        <v>37358</v>
      </c>
      <c r="C275" t="s">
        <v>4347</v>
      </c>
      <c r="D275">
        <v>313</v>
      </c>
      <c r="E275">
        <v>12053</v>
      </c>
      <c r="F275">
        <v>4</v>
      </c>
      <c r="G275">
        <v>1</v>
      </c>
      <c r="H275">
        <v>1</v>
      </c>
      <c r="I275">
        <v>2</v>
      </c>
      <c r="J275" t="s">
        <v>3491</v>
      </c>
      <c r="K275" t="s">
        <v>3492</v>
      </c>
      <c r="L275" s="2">
        <v>2171.2941999999998</v>
      </c>
      <c r="M275" s="2">
        <v>3578.27</v>
      </c>
      <c r="N275" t="s">
        <v>13</v>
      </c>
      <c r="O275" t="s">
        <v>191</v>
      </c>
      <c r="P275" t="s">
        <v>140</v>
      </c>
      <c r="Q275" t="s">
        <v>6604</v>
      </c>
      <c r="R275" s="1">
        <v>24607</v>
      </c>
      <c r="S275" t="s">
        <v>22</v>
      </c>
      <c r="T275" t="s">
        <v>16</v>
      </c>
      <c r="U275" t="s">
        <v>943</v>
      </c>
      <c r="V275">
        <v>130000</v>
      </c>
      <c r="W275">
        <v>0</v>
      </c>
      <c r="X275" t="s">
        <v>135</v>
      </c>
      <c r="Y275" t="s">
        <v>45</v>
      </c>
      <c r="Z275" t="s">
        <v>19</v>
      </c>
      <c r="AA275" t="s">
        <v>3580</v>
      </c>
      <c r="AB275" t="s">
        <v>3578</v>
      </c>
      <c r="AC275" t="s">
        <v>3579</v>
      </c>
      <c r="AD275" t="s">
        <v>3479</v>
      </c>
      <c r="AE275" t="s">
        <v>3475</v>
      </c>
      <c r="AF275" s="2">
        <v>3578.27</v>
      </c>
      <c r="AG275" s="2">
        <v>2171.2941999999998</v>
      </c>
      <c r="AH275" s="2">
        <v>1406.9757999999999</v>
      </c>
      <c r="AI275" s="3">
        <v>0.39320001006072802</v>
      </c>
    </row>
    <row r="276" spans="1:35">
      <c r="A276" s="1">
        <v>42125</v>
      </c>
      <c r="B276" s="1">
        <v>37303</v>
      </c>
      <c r="C276" t="s">
        <v>4349</v>
      </c>
      <c r="D276">
        <v>312</v>
      </c>
      <c r="E276">
        <v>11945</v>
      </c>
      <c r="F276">
        <v>4</v>
      </c>
      <c r="G276">
        <v>1</v>
      </c>
      <c r="H276">
        <v>1</v>
      </c>
      <c r="I276">
        <v>2</v>
      </c>
      <c r="J276" t="s">
        <v>3489</v>
      </c>
      <c r="K276" t="s">
        <v>3490</v>
      </c>
      <c r="L276" s="2">
        <v>2171.2941999999998</v>
      </c>
      <c r="M276" s="2">
        <v>3578.27</v>
      </c>
      <c r="N276" t="s">
        <v>13</v>
      </c>
      <c r="O276" t="s">
        <v>348</v>
      </c>
      <c r="P276" t="s">
        <v>21</v>
      </c>
      <c r="Q276" t="s">
        <v>6605</v>
      </c>
      <c r="R276" s="1">
        <v>29475</v>
      </c>
      <c r="S276" t="s">
        <v>16</v>
      </c>
      <c r="T276" t="s">
        <v>16</v>
      </c>
      <c r="U276" t="s">
        <v>851</v>
      </c>
      <c r="V276">
        <v>20000</v>
      </c>
      <c r="W276">
        <v>0</v>
      </c>
      <c r="X276" t="s">
        <v>52</v>
      </c>
      <c r="Y276" t="s">
        <v>53</v>
      </c>
      <c r="Z276" t="s">
        <v>23</v>
      </c>
      <c r="AA276" t="s">
        <v>3580</v>
      </c>
      <c r="AB276" t="s">
        <v>3578</v>
      </c>
      <c r="AC276" t="s">
        <v>3579</v>
      </c>
      <c r="AD276" t="s">
        <v>3479</v>
      </c>
      <c r="AE276" t="s">
        <v>3475</v>
      </c>
      <c r="AF276" s="2">
        <v>3578.27</v>
      </c>
      <c r="AG276" s="2">
        <v>2171.2941999999998</v>
      </c>
      <c r="AH276" s="2">
        <v>1406.9757999999999</v>
      </c>
      <c r="AI276" s="3">
        <v>0.39320001006072802</v>
      </c>
    </row>
    <row r="277" spans="1:35">
      <c r="A277" s="1">
        <v>42125</v>
      </c>
      <c r="B277" s="1">
        <v>37338</v>
      </c>
      <c r="C277" t="s">
        <v>4350</v>
      </c>
      <c r="D277">
        <v>310</v>
      </c>
      <c r="E277">
        <v>12018</v>
      </c>
      <c r="F277">
        <v>4</v>
      </c>
      <c r="G277">
        <v>1</v>
      </c>
      <c r="H277">
        <v>1</v>
      </c>
      <c r="I277">
        <v>2</v>
      </c>
      <c r="J277" t="s">
        <v>3485</v>
      </c>
      <c r="K277" t="s">
        <v>3486</v>
      </c>
      <c r="L277" s="2">
        <v>2171.2941999999998</v>
      </c>
      <c r="M277" s="2">
        <v>3578.27</v>
      </c>
      <c r="N277" t="s">
        <v>13</v>
      </c>
      <c r="O277" t="s">
        <v>285</v>
      </c>
      <c r="P277" t="s">
        <v>146</v>
      </c>
      <c r="Q277" t="s">
        <v>6606</v>
      </c>
      <c r="R277" s="1">
        <v>29435</v>
      </c>
      <c r="S277" t="s">
        <v>16</v>
      </c>
      <c r="T277" t="s">
        <v>16</v>
      </c>
      <c r="U277" t="s">
        <v>921</v>
      </c>
      <c r="V277">
        <v>30000</v>
      </c>
      <c r="W277">
        <v>0</v>
      </c>
      <c r="X277" t="s">
        <v>57</v>
      </c>
      <c r="Y277" t="s">
        <v>53</v>
      </c>
      <c r="Z277" t="s">
        <v>19</v>
      </c>
      <c r="AA277" t="s">
        <v>3580</v>
      </c>
      <c r="AB277" t="s">
        <v>3578</v>
      </c>
      <c r="AC277" t="s">
        <v>3579</v>
      </c>
      <c r="AD277" t="s">
        <v>3479</v>
      </c>
      <c r="AE277" t="s">
        <v>3475</v>
      </c>
      <c r="AF277" s="2">
        <v>3578.27</v>
      </c>
      <c r="AG277" s="2">
        <v>2171.2941999999998</v>
      </c>
      <c r="AH277" s="2">
        <v>1406.9757999999999</v>
      </c>
      <c r="AI277" s="3">
        <v>0.39320001006072802</v>
      </c>
    </row>
    <row r="278" spans="1:35">
      <c r="A278" s="1">
        <v>42125</v>
      </c>
      <c r="B278" s="1">
        <v>37276</v>
      </c>
      <c r="C278" t="s">
        <v>4351</v>
      </c>
      <c r="D278">
        <v>311</v>
      </c>
      <c r="E278">
        <v>11937</v>
      </c>
      <c r="F278">
        <v>1</v>
      </c>
      <c r="G278">
        <v>1</v>
      </c>
      <c r="H278">
        <v>1</v>
      </c>
      <c r="I278">
        <v>2</v>
      </c>
      <c r="J278" t="s">
        <v>3487</v>
      </c>
      <c r="K278" t="s">
        <v>3488</v>
      </c>
      <c r="L278" s="2">
        <v>2171.2941999999998</v>
      </c>
      <c r="M278" s="2">
        <v>3578.27</v>
      </c>
      <c r="N278" t="s">
        <v>13</v>
      </c>
      <c r="O278" t="s">
        <v>285</v>
      </c>
      <c r="P278" t="s">
        <v>187</v>
      </c>
      <c r="Q278" t="s">
        <v>6607</v>
      </c>
      <c r="R278" s="1">
        <v>28281</v>
      </c>
      <c r="S278" t="s">
        <v>16</v>
      </c>
      <c r="T278" t="s">
        <v>16</v>
      </c>
      <c r="U278" t="s">
        <v>846</v>
      </c>
      <c r="V278">
        <v>30000</v>
      </c>
      <c r="W278">
        <v>0</v>
      </c>
      <c r="X278" t="s">
        <v>52</v>
      </c>
      <c r="Y278" t="s">
        <v>53</v>
      </c>
      <c r="Z278" t="s">
        <v>23</v>
      </c>
      <c r="AA278" t="s">
        <v>3577</v>
      </c>
      <c r="AB278" t="s">
        <v>3578</v>
      </c>
      <c r="AC278" t="s">
        <v>3579</v>
      </c>
      <c r="AD278" t="s">
        <v>3479</v>
      </c>
      <c r="AE278" t="s">
        <v>3475</v>
      </c>
      <c r="AF278" s="2">
        <v>3578.27</v>
      </c>
      <c r="AG278" s="2">
        <v>2171.2941999999998</v>
      </c>
      <c r="AH278" s="2">
        <v>1406.9757999999999</v>
      </c>
      <c r="AI278" s="3">
        <v>0.39320001006072802</v>
      </c>
    </row>
    <row r="279" spans="1:35">
      <c r="A279" s="1">
        <v>42125</v>
      </c>
      <c r="B279" s="1">
        <v>37260</v>
      </c>
      <c r="C279" t="s">
        <v>4353</v>
      </c>
      <c r="D279">
        <v>310</v>
      </c>
      <c r="E279">
        <v>11955</v>
      </c>
      <c r="F279">
        <v>4</v>
      </c>
      <c r="G279">
        <v>1</v>
      </c>
      <c r="H279">
        <v>1</v>
      </c>
      <c r="I279">
        <v>2</v>
      </c>
      <c r="J279" t="s">
        <v>3485</v>
      </c>
      <c r="K279" t="s">
        <v>3486</v>
      </c>
      <c r="L279" s="2">
        <v>2171.2941999999998</v>
      </c>
      <c r="M279" s="2">
        <v>3578.27</v>
      </c>
      <c r="N279" t="s">
        <v>13</v>
      </c>
      <c r="O279" t="s">
        <v>284</v>
      </c>
      <c r="P279" t="s">
        <v>598</v>
      </c>
      <c r="Q279" t="s">
        <v>6608</v>
      </c>
      <c r="R279" s="1">
        <v>27489</v>
      </c>
      <c r="S279" t="s">
        <v>22</v>
      </c>
      <c r="T279" t="s">
        <v>16</v>
      </c>
      <c r="U279" t="s">
        <v>859</v>
      </c>
      <c r="V279">
        <v>60000</v>
      </c>
      <c r="W279">
        <v>0</v>
      </c>
      <c r="X279" t="s">
        <v>52</v>
      </c>
      <c r="Y279" t="s">
        <v>53</v>
      </c>
      <c r="Z279" t="s">
        <v>19</v>
      </c>
      <c r="AA279" t="s">
        <v>3580</v>
      </c>
      <c r="AB279" t="s">
        <v>3578</v>
      </c>
      <c r="AC279" t="s">
        <v>3579</v>
      </c>
      <c r="AD279" t="s">
        <v>3479</v>
      </c>
      <c r="AE279" t="s">
        <v>3475</v>
      </c>
      <c r="AF279" s="2">
        <v>3578.27</v>
      </c>
      <c r="AG279" s="2">
        <v>2171.2941999999998</v>
      </c>
      <c r="AH279" s="2">
        <v>1406.9757999999999</v>
      </c>
      <c r="AI279" s="3">
        <v>0.39320001006072802</v>
      </c>
    </row>
    <row r="280" spans="1:35">
      <c r="A280" s="1">
        <v>42125</v>
      </c>
      <c r="B280" s="1">
        <v>37300</v>
      </c>
      <c r="C280" t="s">
        <v>4354</v>
      </c>
      <c r="D280">
        <v>312</v>
      </c>
      <c r="E280">
        <v>12104</v>
      </c>
      <c r="F280">
        <v>4</v>
      </c>
      <c r="G280">
        <v>1</v>
      </c>
      <c r="H280">
        <v>1</v>
      </c>
      <c r="I280">
        <v>2</v>
      </c>
      <c r="J280" t="s">
        <v>3489</v>
      </c>
      <c r="K280" t="s">
        <v>3490</v>
      </c>
      <c r="L280" s="2">
        <v>2171.2941999999998</v>
      </c>
      <c r="M280" s="2">
        <v>3578.27</v>
      </c>
      <c r="N280" t="s">
        <v>30</v>
      </c>
      <c r="O280" t="s">
        <v>677</v>
      </c>
      <c r="P280" t="s">
        <v>199</v>
      </c>
      <c r="Q280" t="s">
        <v>6609</v>
      </c>
      <c r="R280" s="1">
        <v>17909</v>
      </c>
      <c r="S280" t="s">
        <v>16</v>
      </c>
      <c r="T280" t="s">
        <v>29</v>
      </c>
      <c r="U280" t="s">
        <v>963</v>
      </c>
      <c r="V280">
        <v>70000</v>
      </c>
      <c r="W280">
        <v>4</v>
      </c>
      <c r="X280" t="s">
        <v>52</v>
      </c>
      <c r="Y280" t="s">
        <v>18</v>
      </c>
      <c r="Z280" t="s">
        <v>19</v>
      </c>
      <c r="AA280" t="s">
        <v>3580</v>
      </c>
      <c r="AB280" t="s">
        <v>3578</v>
      </c>
      <c r="AC280" t="s">
        <v>3579</v>
      </c>
      <c r="AD280" t="s">
        <v>3479</v>
      </c>
      <c r="AE280" t="s">
        <v>3475</v>
      </c>
      <c r="AF280" s="2">
        <v>3578.27</v>
      </c>
      <c r="AG280" s="2">
        <v>2171.2941999999998</v>
      </c>
      <c r="AH280" s="2">
        <v>1406.9757999999999</v>
      </c>
      <c r="AI280" s="3">
        <v>0.39320001006072802</v>
      </c>
    </row>
    <row r="281" spans="1:35">
      <c r="A281" s="1">
        <v>42125</v>
      </c>
      <c r="B281" s="1">
        <v>37319</v>
      </c>
      <c r="C281" t="s">
        <v>4355</v>
      </c>
      <c r="D281">
        <v>312</v>
      </c>
      <c r="E281">
        <v>12167</v>
      </c>
      <c r="F281">
        <v>1</v>
      </c>
      <c r="G281">
        <v>1</v>
      </c>
      <c r="H281">
        <v>1</v>
      </c>
      <c r="I281">
        <v>2</v>
      </c>
      <c r="J281" t="s">
        <v>3489</v>
      </c>
      <c r="K281" t="s">
        <v>3490</v>
      </c>
      <c r="L281" s="2">
        <v>2171.2941999999998</v>
      </c>
      <c r="M281" s="2">
        <v>3578.27</v>
      </c>
      <c r="N281" t="s">
        <v>13</v>
      </c>
      <c r="O281" t="s">
        <v>651</v>
      </c>
      <c r="P281" t="s">
        <v>345</v>
      </c>
      <c r="Q281" t="s">
        <v>6610</v>
      </c>
      <c r="R281" s="1">
        <v>22910</v>
      </c>
      <c r="S281" t="s">
        <v>22</v>
      </c>
      <c r="T281" t="s">
        <v>16</v>
      </c>
      <c r="U281" t="s">
        <v>1000</v>
      </c>
      <c r="V281">
        <v>100000</v>
      </c>
      <c r="W281">
        <v>1</v>
      </c>
      <c r="X281" t="s">
        <v>52</v>
      </c>
      <c r="Y281" t="s">
        <v>18</v>
      </c>
      <c r="Z281" t="s">
        <v>19</v>
      </c>
      <c r="AA281" t="s">
        <v>3577</v>
      </c>
      <c r="AB281" t="s">
        <v>3578</v>
      </c>
      <c r="AC281" t="s">
        <v>3579</v>
      </c>
      <c r="AD281" t="s">
        <v>3479</v>
      </c>
      <c r="AE281" t="s">
        <v>3475</v>
      </c>
      <c r="AF281" s="2">
        <v>3578.27</v>
      </c>
      <c r="AG281" s="2">
        <v>2171.2941999999998</v>
      </c>
      <c r="AH281" s="2">
        <v>1406.9757999999999</v>
      </c>
      <c r="AI281" s="3">
        <v>0.39320001006072802</v>
      </c>
    </row>
    <row r="282" spans="1:35">
      <c r="A282" s="1">
        <v>42126</v>
      </c>
      <c r="B282" s="1">
        <v>37264</v>
      </c>
      <c r="C282" t="s">
        <v>4357</v>
      </c>
      <c r="D282">
        <v>312</v>
      </c>
      <c r="E282">
        <v>12152</v>
      </c>
      <c r="F282">
        <v>4</v>
      </c>
      <c r="G282">
        <v>1</v>
      </c>
      <c r="H282">
        <v>1</v>
      </c>
      <c r="I282">
        <v>2</v>
      </c>
      <c r="J282" t="s">
        <v>3489</v>
      </c>
      <c r="K282" t="s">
        <v>3490</v>
      </c>
      <c r="L282" s="2">
        <v>2171.2941999999998</v>
      </c>
      <c r="M282" s="2">
        <v>3578.27</v>
      </c>
      <c r="N282" t="s">
        <v>13</v>
      </c>
      <c r="O282" t="s">
        <v>344</v>
      </c>
      <c r="P282" t="s">
        <v>259</v>
      </c>
      <c r="Q282" t="s">
        <v>6611</v>
      </c>
      <c r="R282" s="1">
        <v>23462</v>
      </c>
      <c r="S282" t="s">
        <v>16</v>
      </c>
      <c r="T282" t="s">
        <v>16</v>
      </c>
      <c r="U282" t="s">
        <v>992</v>
      </c>
      <c r="V282">
        <v>130000</v>
      </c>
      <c r="W282">
        <v>2</v>
      </c>
      <c r="X282" t="s">
        <v>17</v>
      </c>
      <c r="Y282" t="s">
        <v>45</v>
      </c>
      <c r="Z282" t="s">
        <v>19</v>
      </c>
      <c r="AA282" t="s">
        <v>3580</v>
      </c>
      <c r="AB282" t="s">
        <v>3578</v>
      </c>
      <c r="AC282" t="s">
        <v>3579</v>
      </c>
      <c r="AD282" t="s">
        <v>3479</v>
      </c>
      <c r="AE282" t="s">
        <v>3475</v>
      </c>
      <c r="AF282" s="2">
        <v>3578.27</v>
      </c>
      <c r="AG282" s="2">
        <v>2171.2941999999998</v>
      </c>
      <c r="AH282" s="2">
        <v>1406.9757999999999</v>
      </c>
      <c r="AI282" s="3">
        <v>0.39320001006072802</v>
      </c>
    </row>
    <row r="283" spans="1:35">
      <c r="A283" s="1">
        <v>42126</v>
      </c>
      <c r="B283" s="1">
        <v>37261</v>
      </c>
      <c r="C283" t="s">
        <v>4358</v>
      </c>
      <c r="D283">
        <v>313</v>
      </c>
      <c r="E283">
        <v>12023</v>
      </c>
      <c r="F283">
        <v>4</v>
      </c>
      <c r="G283">
        <v>1</v>
      </c>
      <c r="H283">
        <v>1</v>
      </c>
      <c r="I283">
        <v>2</v>
      </c>
      <c r="J283" t="s">
        <v>3491</v>
      </c>
      <c r="K283" t="s">
        <v>3492</v>
      </c>
      <c r="L283" s="2">
        <v>2171.2941999999998</v>
      </c>
      <c r="M283" s="2">
        <v>3578.27</v>
      </c>
      <c r="N283" t="s">
        <v>13</v>
      </c>
      <c r="O283" t="s">
        <v>414</v>
      </c>
      <c r="P283" t="s">
        <v>32</v>
      </c>
      <c r="Q283" t="s">
        <v>6612</v>
      </c>
      <c r="R283" s="1">
        <v>28679</v>
      </c>
      <c r="S283" t="s">
        <v>22</v>
      </c>
      <c r="T283" t="s">
        <v>16</v>
      </c>
      <c r="U283" t="s">
        <v>923</v>
      </c>
      <c r="V283">
        <v>30000</v>
      </c>
      <c r="W283">
        <v>0</v>
      </c>
      <c r="X283" t="s">
        <v>77</v>
      </c>
      <c r="Y283" t="s">
        <v>60</v>
      </c>
      <c r="Z283" t="s">
        <v>23</v>
      </c>
      <c r="AA283" t="s">
        <v>3580</v>
      </c>
      <c r="AB283" t="s">
        <v>3578</v>
      </c>
      <c r="AC283" t="s">
        <v>3579</v>
      </c>
      <c r="AD283" t="s">
        <v>3479</v>
      </c>
      <c r="AE283" t="s">
        <v>3475</v>
      </c>
      <c r="AF283" s="2">
        <v>3578.27</v>
      </c>
      <c r="AG283" s="2">
        <v>2171.2941999999998</v>
      </c>
      <c r="AH283" s="2">
        <v>1406.9757999999999</v>
      </c>
      <c r="AI283" s="3">
        <v>0.39320001006072802</v>
      </c>
    </row>
    <row r="284" spans="1:35">
      <c r="A284" s="1">
        <v>42126</v>
      </c>
      <c r="B284" s="1">
        <v>37283</v>
      </c>
      <c r="C284" t="s">
        <v>4359</v>
      </c>
      <c r="D284">
        <v>312</v>
      </c>
      <c r="E284">
        <v>12069</v>
      </c>
      <c r="F284">
        <v>4</v>
      </c>
      <c r="G284">
        <v>1</v>
      </c>
      <c r="H284">
        <v>1</v>
      </c>
      <c r="I284">
        <v>2</v>
      </c>
      <c r="J284" t="s">
        <v>3489</v>
      </c>
      <c r="K284" t="s">
        <v>3490</v>
      </c>
      <c r="L284" s="2">
        <v>2171.2941999999998</v>
      </c>
      <c r="M284" s="2">
        <v>3578.27</v>
      </c>
      <c r="N284" t="s">
        <v>13</v>
      </c>
      <c r="O284" t="s">
        <v>786</v>
      </c>
      <c r="P284" t="s">
        <v>376</v>
      </c>
      <c r="Q284" t="s">
        <v>6613</v>
      </c>
      <c r="R284" s="1">
        <v>16377</v>
      </c>
      <c r="S284" t="s">
        <v>16</v>
      </c>
      <c r="T284" t="s">
        <v>16</v>
      </c>
      <c r="U284" t="s">
        <v>948</v>
      </c>
      <c r="V284">
        <v>70000</v>
      </c>
      <c r="W284">
        <v>4</v>
      </c>
      <c r="X284" t="s">
        <v>17</v>
      </c>
      <c r="Y284" t="s">
        <v>45</v>
      </c>
      <c r="Z284" t="s">
        <v>23</v>
      </c>
      <c r="AA284" t="s">
        <v>3580</v>
      </c>
      <c r="AB284" t="s">
        <v>3578</v>
      </c>
      <c r="AC284" t="s">
        <v>3579</v>
      </c>
      <c r="AD284" t="s">
        <v>3479</v>
      </c>
      <c r="AE284" t="s">
        <v>3475</v>
      </c>
      <c r="AF284" s="2">
        <v>3578.27</v>
      </c>
      <c r="AG284" s="2">
        <v>2171.2941999999998</v>
      </c>
      <c r="AH284" s="2">
        <v>1406.9757999999999</v>
      </c>
      <c r="AI284" s="3">
        <v>0.39320001006072802</v>
      </c>
    </row>
    <row r="285" spans="1:35">
      <c r="A285" s="1">
        <v>42127</v>
      </c>
      <c r="B285" s="1">
        <v>37268</v>
      </c>
      <c r="C285" t="s">
        <v>4362</v>
      </c>
      <c r="D285">
        <v>310</v>
      </c>
      <c r="E285">
        <v>11956</v>
      </c>
      <c r="F285">
        <v>4</v>
      </c>
      <c r="G285">
        <v>1</v>
      </c>
      <c r="H285">
        <v>1</v>
      </c>
      <c r="I285">
        <v>2</v>
      </c>
      <c r="J285" t="s">
        <v>3485</v>
      </c>
      <c r="K285" t="s">
        <v>3486</v>
      </c>
      <c r="L285" s="2">
        <v>2171.2941999999998</v>
      </c>
      <c r="M285" s="2">
        <v>3578.27</v>
      </c>
      <c r="N285" t="s">
        <v>26</v>
      </c>
      <c r="O285" t="s">
        <v>628</v>
      </c>
      <c r="P285" t="s">
        <v>860</v>
      </c>
      <c r="Q285" t="s">
        <v>6614</v>
      </c>
      <c r="R285" s="1">
        <v>27275</v>
      </c>
      <c r="S285" t="s">
        <v>22</v>
      </c>
      <c r="T285" t="s">
        <v>29</v>
      </c>
      <c r="U285" t="s">
        <v>861</v>
      </c>
      <c r="V285">
        <v>40000</v>
      </c>
      <c r="W285">
        <v>0</v>
      </c>
      <c r="X285" t="s">
        <v>57</v>
      </c>
      <c r="Y285" t="s">
        <v>53</v>
      </c>
      <c r="Z285" t="s">
        <v>19</v>
      </c>
      <c r="AA285" t="s">
        <v>3580</v>
      </c>
      <c r="AB285" t="s">
        <v>3578</v>
      </c>
      <c r="AC285" t="s">
        <v>3579</v>
      </c>
      <c r="AD285" t="s">
        <v>3479</v>
      </c>
      <c r="AE285" t="s">
        <v>3475</v>
      </c>
      <c r="AF285" s="2">
        <v>3578.27</v>
      </c>
      <c r="AG285" s="2">
        <v>2171.2941999999998</v>
      </c>
      <c r="AH285" s="2">
        <v>1406.9757999999999</v>
      </c>
      <c r="AI285" s="3">
        <v>0.39320001006072802</v>
      </c>
    </row>
    <row r="286" spans="1:35">
      <c r="A286" s="1">
        <v>42128</v>
      </c>
      <c r="B286" s="1">
        <v>37349</v>
      </c>
      <c r="C286" t="s">
        <v>4366</v>
      </c>
      <c r="D286">
        <v>312</v>
      </c>
      <c r="E286">
        <v>12105</v>
      </c>
      <c r="F286">
        <v>4</v>
      </c>
      <c r="G286">
        <v>1</v>
      </c>
      <c r="H286">
        <v>1</v>
      </c>
      <c r="I286">
        <v>2</v>
      </c>
      <c r="J286" t="s">
        <v>3489</v>
      </c>
      <c r="K286" t="s">
        <v>3490</v>
      </c>
      <c r="L286" s="2">
        <v>2171.2941999999998</v>
      </c>
      <c r="M286" s="2">
        <v>3578.27</v>
      </c>
      <c r="N286" t="s">
        <v>30</v>
      </c>
      <c r="O286" t="s">
        <v>182</v>
      </c>
      <c r="P286" t="s">
        <v>321</v>
      </c>
      <c r="Q286" t="s">
        <v>6615</v>
      </c>
      <c r="R286" s="1">
        <v>18034</v>
      </c>
      <c r="S286" t="s">
        <v>22</v>
      </c>
      <c r="T286" t="s">
        <v>29</v>
      </c>
      <c r="U286" t="s">
        <v>964</v>
      </c>
      <c r="V286">
        <v>70000</v>
      </c>
      <c r="W286">
        <v>5</v>
      </c>
      <c r="X286" t="s">
        <v>52</v>
      </c>
      <c r="Y286" t="s">
        <v>18</v>
      </c>
      <c r="Z286" t="s">
        <v>19</v>
      </c>
      <c r="AA286" t="s">
        <v>3580</v>
      </c>
      <c r="AB286" t="s">
        <v>3578</v>
      </c>
      <c r="AC286" t="s">
        <v>3579</v>
      </c>
      <c r="AD286" t="s">
        <v>3479</v>
      </c>
      <c r="AE286" t="s">
        <v>3475</v>
      </c>
      <c r="AF286" s="2">
        <v>3578.27</v>
      </c>
      <c r="AG286" s="2">
        <v>2171.2941999999998</v>
      </c>
      <c r="AH286" s="2">
        <v>1406.9757999999999</v>
      </c>
      <c r="AI286" s="3">
        <v>0.39320001006072802</v>
      </c>
    </row>
    <row r="287" spans="1:35">
      <c r="A287" s="1">
        <v>42128</v>
      </c>
      <c r="B287" s="1">
        <v>37323</v>
      </c>
      <c r="C287" t="s">
        <v>4367</v>
      </c>
      <c r="D287">
        <v>311</v>
      </c>
      <c r="E287">
        <v>12171</v>
      </c>
      <c r="F287">
        <v>4</v>
      </c>
      <c r="G287">
        <v>1</v>
      </c>
      <c r="H287">
        <v>1</v>
      </c>
      <c r="I287">
        <v>2</v>
      </c>
      <c r="J287" t="s">
        <v>3487</v>
      </c>
      <c r="K287" t="s">
        <v>3488</v>
      </c>
      <c r="L287" s="2">
        <v>2171.2941999999998</v>
      </c>
      <c r="M287" s="2">
        <v>3578.27</v>
      </c>
      <c r="N287" t="s">
        <v>30</v>
      </c>
      <c r="O287" t="s">
        <v>174</v>
      </c>
      <c r="P287" t="s">
        <v>309</v>
      </c>
      <c r="Q287" t="s">
        <v>6616</v>
      </c>
      <c r="R287" s="1">
        <v>22315</v>
      </c>
      <c r="S287" t="s">
        <v>22</v>
      </c>
      <c r="T287" t="s">
        <v>29</v>
      </c>
      <c r="U287" t="s">
        <v>1003</v>
      </c>
      <c r="V287">
        <v>130000</v>
      </c>
      <c r="W287">
        <v>1</v>
      </c>
      <c r="X287" t="s">
        <v>17</v>
      </c>
      <c r="Y287" t="s">
        <v>45</v>
      </c>
      <c r="Z287" t="s">
        <v>23</v>
      </c>
      <c r="AA287" t="s">
        <v>3580</v>
      </c>
      <c r="AB287" t="s">
        <v>3578</v>
      </c>
      <c r="AC287" t="s">
        <v>3579</v>
      </c>
      <c r="AD287" t="s">
        <v>3479</v>
      </c>
      <c r="AE287" t="s">
        <v>3475</v>
      </c>
      <c r="AF287" s="2">
        <v>3578.27</v>
      </c>
      <c r="AG287" s="2">
        <v>2171.2941999999998</v>
      </c>
      <c r="AH287" s="2">
        <v>1406.9757999999999</v>
      </c>
      <c r="AI287" s="3">
        <v>0.39320001006072802</v>
      </c>
    </row>
    <row r="288" spans="1:35">
      <c r="A288" s="1">
        <v>42128</v>
      </c>
      <c r="B288" s="1">
        <v>37292</v>
      </c>
      <c r="C288" t="s">
        <v>4368</v>
      </c>
      <c r="D288">
        <v>347</v>
      </c>
      <c r="E288">
        <v>11977</v>
      </c>
      <c r="F288">
        <v>9</v>
      </c>
      <c r="G288">
        <v>1</v>
      </c>
      <c r="H288">
        <v>1</v>
      </c>
      <c r="I288">
        <v>1</v>
      </c>
      <c r="J288" t="s">
        <v>3525</v>
      </c>
      <c r="K288" t="s">
        <v>3526</v>
      </c>
      <c r="L288" s="2">
        <v>1912.1543999999999</v>
      </c>
      <c r="M288" s="2">
        <v>3399.99</v>
      </c>
      <c r="N288" t="s">
        <v>26</v>
      </c>
      <c r="O288" t="s">
        <v>502</v>
      </c>
      <c r="P288" t="s">
        <v>476</v>
      </c>
      <c r="Q288" t="s">
        <v>6617</v>
      </c>
      <c r="R288" s="1">
        <v>21693</v>
      </c>
      <c r="S288" t="s">
        <v>16</v>
      </c>
      <c r="T288" t="s">
        <v>29</v>
      </c>
      <c r="U288" t="s">
        <v>873</v>
      </c>
      <c r="V288">
        <v>130000</v>
      </c>
      <c r="W288">
        <v>0</v>
      </c>
      <c r="X288" t="s">
        <v>135</v>
      </c>
      <c r="Y288" t="s">
        <v>45</v>
      </c>
      <c r="Z288" t="s">
        <v>19</v>
      </c>
      <c r="AA288" t="s">
        <v>3586</v>
      </c>
      <c r="AB288" t="s">
        <v>3586</v>
      </c>
      <c r="AC288" t="s">
        <v>3587</v>
      </c>
      <c r="AD288" t="s">
        <v>3478</v>
      </c>
      <c r="AE288" t="s">
        <v>3475</v>
      </c>
      <c r="AF288" s="2">
        <v>3399.99</v>
      </c>
      <c r="AG288" s="2">
        <v>1912.1543999999999</v>
      </c>
      <c r="AH288" s="2">
        <v>1487.8356000000001</v>
      </c>
      <c r="AI288" s="3">
        <v>0.43759999294115598</v>
      </c>
    </row>
    <row r="289" spans="1:35">
      <c r="A289" s="1">
        <v>42128</v>
      </c>
      <c r="B289" s="1">
        <v>37353</v>
      </c>
      <c r="C289" t="s">
        <v>4371</v>
      </c>
      <c r="D289">
        <v>311</v>
      </c>
      <c r="E289">
        <v>13405</v>
      </c>
      <c r="F289">
        <v>7</v>
      </c>
      <c r="G289">
        <v>1</v>
      </c>
      <c r="H289">
        <v>1</v>
      </c>
      <c r="I289">
        <v>2</v>
      </c>
      <c r="J289" t="s">
        <v>3487</v>
      </c>
      <c r="K289" t="s">
        <v>3488</v>
      </c>
      <c r="L289" s="2">
        <v>2171.2941999999998</v>
      </c>
      <c r="M289" s="2">
        <v>3578.27</v>
      </c>
      <c r="N289" t="s">
        <v>13</v>
      </c>
      <c r="O289" t="s">
        <v>67</v>
      </c>
      <c r="P289" t="s">
        <v>184</v>
      </c>
      <c r="Q289" t="s">
        <v>6618</v>
      </c>
      <c r="R289" s="1">
        <v>21098</v>
      </c>
      <c r="S289" t="s">
        <v>16</v>
      </c>
      <c r="T289" t="s">
        <v>16</v>
      </c>
      <c r="U289" t="s">
        <v>1526</v>
      </c>
      <c r="V289">
        <v>110000</v>
      </c>
      <c r="W289">
        <v>2</v>
      </c>
      <c r="X289" t="s">
        <v>52</v>
      </c>
      <c r="Y289" t="s">
        <v>18</v>
      </c>
      <c r="Z289" t="s">
        <v>19</v>
      </c>
      <c r="AA289" t="s">
        <v>3583</v>
      </c>
      <c r="AB289" t="s">
        <v>3583</v>
      </c>
      <c r="AC289" t="s">
        <v>3584</v>
      </c>
      <c r="AD289" t="s">
        <v>3479</v>
      </c>
      <c r="AE289" t="s">
        <v>3475</v>
      </c>
      <c r="AF289" s="2">
        <v>3578.27</v>
      </c>
      <c r="AG289" s="2">
        <v>2171.2941999999998</v>
      </c>
      <c r="AH289" s="2">
        <v>1406.9757999999999</v>
      </c>
      <c r="AI289" s="3">
        <v>0.39320001006072802</v>
      </c>
    </row>
    <row r="290" spans="1:35">
      <c r="A290" s="1">
        <v>42128</v>
      </c>
      <c r="B290" s="1">
        <v>37275</v>
      </c>
      <c r="C290" t="s">
        <v>4372</v>
      </c>
      <c r="D290">
        <v>350</v>
      </c>
      <c r="E290">
        <v>11991</v>
      </c>
      <c r="F290">
        <v>9</v>
      </c>
      <c r="G290">
        <v>1</v>
      </c>
      <c r="H290">
        <v>1</v>
      </c>
      <c r="I290">
        <v>1</v>
      </c>
      <c r="J290" t="s">
        <v>3531</v>
      </c>
      <c r="K290" t="s">
        <v>3532</v>
      </c>
      <c r="L290" s="2">
        <v>1898.0944</v>
      </c>
      <c r="M290" s="2">
        <v>3374.99</v>
      </c>
      <c r="N290" t="s">
        <v>13</v>
      </c>
      <c r="O290" t="s">
        <v>630</v>
      </c>
      <c r="P290" t="s">
        <v>290</v>
      </c>
      <c r="Q290" t="s">
        <v>6619</v>
      </c>
      <c r="R290" s="1">
        <v>22868</v>
      </c>
      <c r="S290" t="s">
        <v>16</v>
      </c>
      <c r="T290" t="s">
        <v>16</v>
      </c>
      <c r="U290" t="s">
        <v>887</v>
      </c>
      <c r="V290">
        <v>60000</v>
      </c>
      <c r="W290">
        <v>1</v>
      </c>
      <c r="X290" t="s">
        <v>17</v>
      </c>
      <c r="Y290" t="s">
        <v>18</v>
      </c>
      <c r="Z290" t="s">
        <v>19</v>
      </c>
      <c r="AA290" t="s">
        <v>3586</v>
      </c>
      <c r="AB290" t="s">
        <v>3586</v>
      </c>
      <c r="AC290" t="s">
        <v>3587</v>
      </c>
      <c r="AD290" t="s">
        <v>3478</v>
      </c>
      <c r="AE290" t="s">
        <v>3475</v>
      </c>
      <c r="AF290" s="2">
        <v>3374.99</v>
      </c>
      <c r="AG290" s="2">
        <v>1898.0944</v>
      </c>
      <c r="AH290" s="2">
        <v>1476.8956000000001</v>
      </c>
      <c r="AI290" s="3">
        <v>0.43759999288886797</v>
      </c>
    </row>
    <row r="291" spans="1:35">
      <c r="A291" s="1">
        <v>42128</v>
      </c>
      <c r="B291" s="1">
        <v>37264</v>
      </c>
      <c r="C291" t="s">
        <v>4375</v>
      </c>
      <c r="D291">
        <v>312</v>
      </c>
      <c r="E291">
        <v>11954</v>
      </c>
      <c r="F291">
        <v>4</v>
      </c>
      <c r="G291">
        <v>1</v>
      </c>
      <c r="H291">
        <v>1</v>
      </c>
      <c r="I291">
        <v>2</v>
      </c>
      <c r="J291" t="s">
        <v>3489</v>
      </c>
      <c r="K291" t="s">
        <v>3490</v>
      </c>
      <c r="L291" s="2">
        <v>2171.2941999999998</v>
      </c>
      <c r="M291" s="2">
        <v>3578.27</v>
      </c>
      <c r="N291" t="s">
        <v>13</v>
      </c>
      <c r="O291" t="s">
        <v>485</v>
      </c>
      <c r="P291" t="s">
        <v>99</v>
      </c>
      <c r="Q291" t="s">
        <v>6620</v>
      </c>
      <c r="R291" s="1">
        <v>27623</v>
      </c>
      <c r="S291" t="s">
        <v>16</v>
      </c>
      <c r="T291" t="s">
        <v>16</v>
      </c>
      <c r="U291" t="s">
        <v>858</v>
      </c>
      <c r="V291">
        <v>60000</v>
      </c>
      <c r="W291">
        <v>0</v>
      </c>
      <c r="X291" t="s">
        <v>52</v>
      </c>
      <c r="Y291" t="s">
        <v>53</v>
      </c>
      <c r="Z291" t="s">
        <v>19</v>
      </c>
      <c r="AA291" t="s">
        <v>3580</v>
      </c>
      <c r="AB291" t="s">
        <v>3578</v>
      </c>
      <c r="AC291" t="s">
        <v>3579</v>
      </c>
      <c r="AD291" t="s">
        <v>3479</v>
      </c>
      <c r="AE291" t="s">
        <v>3475</v>
      </c>
      <c r="AF291" s="2">
        <v>3578.27</v>
      </c>
      <c r="AG291" s="2">
        <v>2171.2941999999998</v>
      </c>
      <c r="AH291" s="2">
        <v>1406.9757999999999</v>
      </c>
      <c r="AI291" s="3">
        <v>0.39320001006072802</v>
      </c>
    </row>
    <row r="292" spans="1:35">
      <c r="A292" s="1">
        <v>42130</v>
      </c>
      <c r="B292" s="1">
        <v>37307</v>
      </c>
      <c r="C292" t="s">
        <v>4382</v>
      </c>
      <c r="D292">
        <v>349</v>
      </c>
      <c r="E292">
        <v>11989</v>
      </c>
      <c r="F292">
        <v>9</v>
      </c>
      <c r="G292">
        <v>1</v>
      </c>
      <c r="H292">
        <v>1</v>
      </c>
      <c r="I292">
        <v>1</v>
      </c>
      <c r="J292" t="s">
        <v>3529</v>
      </c>
      <c r="K292" t="s">
        <v>3530</v>
      </c>
      <c r="L292" s="2">
        <v>1898.0944</v>
      </c>
      <c r="M292" s="2">
        <v>3374.99</v>
      </c>
      <c r="N292" t="s">
        <v>30</v>
      </c>
      <c r="O292" t="s">
        <v>883</v>
      </c>
      <c r="P292" t="s">
        <v>195</v>
      </c>
      <c r="Q292" t="s">
        <v>6621</v>
      </c>
      <c r="R292" s="1">
        <v>22733</v>
      </c>
      <c r="S292" t="s">
        <v>22</v>
      </c>
      <c r="T292" t="s">
        <v>29</v>
      </c>
      <c r="U292" t="s">
        <v>884</v>
      </c>
      <c r="V292">
        <v>70000</v>
      </c>
      <c r="W292">
        <v>1</v>
      </c>
      <c r="X292" t="s">
        <v>52</v>
      </c>
      <c r="Y292" t="s">
        <v>53</v>
      </c>
      <c r="Z292" t="s">
        <v>19</v>
      </c>
      <c r="AA292" t="s">
        <v>3586</v>
      </c>
      <c r="AB292" t="s">
        <v>3586</v>
      </c>
      <c r="AC292" t="s">
        <v>3587</v>
      </c>
      <c r="AD292" t="s">
        <v>3478</v>
      </c>
      <c r="AE292" t="s">
        <v>3475</v>
      </c>
      <c r="AF292" s="2">
        <v>3374.99</v>
      </c>
      <c r="AG292" s="2">
        <v>1898.0944</v>
      </c>
      <c r="AH292" s="2">
        <v>1476.8956000000001</v>
      </c>
      <c r="AI292" s="3">
        <v>0.43759999288886797</v>
      </c>
    </row>
    <row r="293" spans="1:35">
      <c r="A293" s="1">
        <v>42130</v>
      </c>
      <c r="B293" s="1">
        <v>37357</v>
      </c>
      <c r="C293" t="s">
        <v>4383</v>
      </c>
      <c r="D293">
        <v>310</v>
      </c>
      <c r="E293">
        <v>12052</v>
      </c>
      <c r="F293">
        <v>4</v>
      </c>
      <c r="G293">
        <v>1</v>
      </c>
      <c r="H293">
        <v>1</v>
      </c>
      <c r="I293">
        <v>2</v>
      </c>
      <c r="J293" t="s">
        <v>3485</v>
      </c>
      <c r="K293" t="s">
        <v>3486</v>
      </c>
      <c r="L293" s="2">
        <v>2171.2941999999998</v>
      </c>
      <c r="M293" s="2">
        <v>3578.27</v>
      </c>
      <c r="N293" t="s">
        <v>26</v>
      </c>
      <c r="O293" t="s">
        <v>941</v>
      </c>
      <c r="P293" t="s">
        <v>424</v>
      </c>
      <c r="Q293" t="s">
        <v>6622</v>
      </c>
      <c r="R293" s="1">
        <v>24619</v>
      </c>
      <c r="S293" t="s">
        <v>22</v>
      </c>
      <c r="T293" t="s">
        <v>29</v>
      </c>
      <c r="U293" t="s">
        <v>942</v>
      </c>
      <c r="V293">
        <v>120000</v>
      </c>
      <c r="W293">
        <v>0</v>
      </c>
      <c r="X293" t="s">
        <v>17</v>
      </c>
      <c r="Y293" t="s">
        <v>45</v>
      </c>
      <c r="Z293" t="s">
        <v>23</v>
      </c>
      <c r="AA293" t="s">
        <v>3580</v>
      </c>
      <c r="AB293" t="s">
        <v>3578</v>
      </c>
      <c r="AC293" t="s">
        <v>3579</v>
      </c>
      <c r="AD293" t="s">
        <v>3479</v>
      </c>
      <c r="AE293" t="s">
        <v>3475</v>
      </c>
      <c r="AF293" s="2">
        <v>3578.27</v>
      </c>
      <c r="AG293" s="2">
        <v>2171.2941999999998</v>
      </c>
      <c r="AH293" s="2">
        <v>1406.9757999999999</v>
      </c>
      <c r="AI293" s="3">
        <v>0.39320001006072802</v>
      </c>
    </row>
    <row r="294" spans="1:35">
      <c r="A294" s="1">
        <v>42130</v>
      </c>
      <c r="B294" s="1">
        <v>37335</v>
      </c>
      <c r="C294" t="s">
        <v>4387</v>
      </c>
      <c r="D294">
        <v>311</v>
      </c>
      <c r="E294">
        <v>12120</v>
      </c>
      <c r="F294">
        <v>1</v>
      </c>
      <c r="G294">
        <v>1</v>
      </c>
      <c r="H294">
        <v>1</v>
      </c>
      <c r="I294">
        <v>2</v>
      </c>
      <c r="J294" t="s">
        <v>3487</v>
      </c>
      <c r="K294" t="s">
        <v>3488</v>
      </c>
      <c r="L294" s="2">
        <v>2171.2941999999998</v>
      </c>
      <c r="M294" s="2">
        <v>3578.27</v>
      </c>
      <c r="N294" t="s">
        <v>13</v>
      </c>
      <c r="O294" t="s">
        <v>365</v>
      </c>
      <c r="P294" t="s">
        <v>111</v>
      </c>
      <c r="Q294" t="s">
        <v>6623</v>
      </c>
      <c r="R294" s="1">
        <v>19186</v>
      </c>
      <c r="S294" t="s">
        <v>16</v>
      </c>
      <c r="T294" t="s">
        <v>16</v>
      </c>
      <c r="U294" t="s">
        <v>971</v>
      </c>
      <c r="V294">
        <v>60000</v>
      </c>
      <c r="W294">
        <v>3</v>
      </c>
      <c r="X294" t="s">
        <v>57</v>
      </c>
      <c r="Y294" t="s">
        <v>18</v>
      </c>
      <c r="Z294" t="s">
        <v>19</v>
      </c>
      <c r="AA294" t="s">
        <v>3577</v>
      </c>
      <c r="AB294" t="s">
        <v>3578</v>
      </c>
      <c r="AC294" t="s">
        <v>3579</v>
      </c>
      <c r="AD294" t="s">
        <v>3479</v>
      </c>
      <c r="AE294" t="s">
        <v>3475</v>
      </c>
      <c r="AF294" s="2">
        <v>3578.27</v>
      </c>
      <c r="AG294" s="2">
        <v>2171.2941999999998</v>
      </c>
      <c r="AH294" s="2">
        <v>1406.9757999999999</v>
      </c>
      <c r="AI294" s="3">
        <v>0.39320001006072802</v>
      </c>
    </row>
    <row r="295" spans="1:35">
      <c r="A295" s="1">
        <v>42131</v>
      </c>
      <c r="B295" s="1">
        <v>37323</v>
      </c>
      <c r="C295" t="s">
        <v>4388</v>
      </c>
      <c r="D295">
        <v>310</v>
      </c>
      <c r="E295">
        <v>12076</v>
      </c>
      <c r="F295">
        <v>4</v>
      </c>
      <c r="G295">
        <v>1</v>
      </c>
      <c r="H295">
        <v>1</v>
      </c>
      <c r="I295">
        <v>2</v>
      </c>
      <c r="J295" t="s">
        <v>3485</v>
      </c>
      <c r="K295" t="s">
        <v>3486</v>
      </c>
      <c r="L295" s="2">
        <v>2171.2941999999998</v>
      </c>
      <c r="M295" s="2">
        <v>3578.27</v>
      </c>
      <c r="N295" t="s">
        <v>30</v>
      </c>
      <c r="O295" t="s">
        <v>50</v>
      </c>
      <c r="P295" t="s">
        <v>594</v>
      </c>
      <c r="Q295" t="s">
        <v>6624</v>
      </c>
      <c r="R295" s="1">
        <v>16128</v>
      </c>
      <c r="S295" t="s">
        <v>16</v>
      </c>
      <c r="T295" t="s">
        <v>29</v>
      </c>
      <c r="U295" t="s">
        <v>952</v>
      </c>
      <c r="V295">
        <v>70000</v>
      </c>
      <c r="W295">
        <v>5</v>
      </c>
      <c r="X295" t="s">
        <v>17</v>
      </c>
      <c r="Y295" t="s">
        <v>45</v>
      </c>
      <c r="Z295" t="s">
        <v>19</v>
      </c>
      <c r="AA295" t="s">
        <v>3580</v>
      </c>
      <c r="AB295" t="s">
        <v>3578</v>
      </c>
      <c r="AC295" t="s">
        <v>3579</v>
      </c>
      <c r="AD295" t="s">
        <v>3479</v>
      </c>
      <c r="AE295" t="s">
        <v>3475</v>
      </c>
      <c r="AF295" s="2">
        <v>3578.27</v>
      </c>
      <c r="AG295" s="2">
        <v>2171.2941999999998</v>
      </c>
      <c r="AH295" s="2">
        <v>1406.9757999999999</v>
      </c>
      <c r="AI295" s="3">
        <v>0.39320001006072802</v>
      </c>
    </row>
    <row r="296" spans="1:35">
      <c r="A296" s="1">
        <v>42131</v>
      </c>
      <c r="B296" s="1">
        <v>37352</v>
      </c>
      <c r="C296" t="s">
        <v>4391</v>
      </c>
      <c r="D296">
        <v>314</v>
      </c>
      <c r="E296">
        <v>12118</v>
      </c>
      <c r="F296">
        <v>4</v>
      </c>
      <c r="G296">
        <v>1</v>
      </c>
      <c r="H296">
        <v>1</v>
      </c>
      <c r="I296">
        <v>2</v>
      </c>
      <c r="J296" t="s">
        <v>3493</v>
      </c>
      <c r="K296" t="s">
        <v>3494</v>
      </c>
      <c r="L296" s="2">
        <v>2171.2941999999998</v>
      </c>
      <c r="M296" s="2">
        <v>3578.27</v>
      </c>
      <c r="N296" t="s">
        <v>30</v>
      </c>
      <c r="O296" t="s">
        <v>483</v>
      </c>
      <c r="P296" t="s">
        <v>109</v>
      </c>
      <c r="Q296" t="s">
        <v>6625</v>
      </c>
      <c r="R296" s="1">
        <v>18655</v>
      </c>
      <c r="S296" t="s">
        <v>16</v>
      </c>
      <c r="T296" t="s">
        <v>29</v>
      </c>
      <c r="U296" t="s">
        <v>970</v>
      </c>
      <c r="V296">
        <v>60000</v>
      </c>
      <c r="W296">
        <v>2</v>
      </c>
      <c r="X296" t="s">
        <v>52</v>
      </c>
      <c r="Y296" t="s">
        <v>18</v>
      </c>
      <c r="Z296" t="s">
        <v>19</v>
      </c>
      <c r="AA296" t="s">
        <v>3580</v>
      </c>
      <c r="AB296" t="s">
        <v>3578</v>
      </c>
      <c r="AC296" t="s">
        <v>3579</v>
      </c>
      <c r="AD296" t="s">
        <v>3479</v>
      </c>
      <c r="AE296" t="s">
        <v>3475</v>
      </c>
      <c r="AF296" s="2">
        <v>3578.27</v>
      </c>
      <c r="AG296" s="2">
        <v>2171.2941999999998</v>
      </c>
      <c r="AH296" s="2">
        <v>1406.9757999999999</v>
      </c>
      <c r="AI296" s="3">
        <v>0.39320001006072802</v>
      </c>
    </row>
    <row r="297" spans="1:35">
      <c r="A297" s="1">
        <v>42131</v>
      </c>
      <c r="B297" s="1">
        <v>37351</v>
      </c>
      <c r="C297" t="s">
        <v>4392</v>
      </c>
      <c r="D297">
        <v>351</v>
      </c>
      <c r="E297">
        <v>11996</v>
      </c>
      <c r="F297">
        <v>9</v>
      </c>
      <c r="G297">
        <v>1</v>
      </c>
      <c r="H297">
        <v>1</v>
      </c>
      <c r="I297">
        <v>1</v>
      </c>
      <c r="J297" t="s">
        <v>3533</v>
      </c>
      <c r="K297" t="s">
        <v>3534</v>
      </c>
      <c r="L297" s="2">
        <v>1898.0944</v>
      </c>
      <c r="M297" s="2">
        <v>3374.99</v>
      </c>
      <c r="N297" t="s">
        <v>30</v>
      </c>
      <c r="O297" t="s">
        <v>895</v>
      </c>
      <c r="P297" t="s">
        <v>632</v>
      </c>
      <c r="Q297" t="s">
        <v>6626</v>
      </c>
      <c r="R297" s="1">
        <v>22130</v>
      </c>
      <c r="S297" t="s">
        <v>22</v>
      </c>
      <c r="T297" t="s">
        <v>29</v>
      </c>
      <c r="U297" t="s">
        <v>896</v>
      </c>
      <c r="V297">
        <v>60000</v>
      </c>
      <c r="W297">
        <v>1</v>
      </c>
      <c r="X297" t="s">
        <v>52</v>
      </c>
      <c r="Y297" t="s">
        <v>53</v>
      </c>
      <c r="Z297" t="s">
        <v>19</v>
      </c>
      <c r="AA297" t="s">
        <v>3586</v>
      </c>
      <c r="AB297" t="s">
        <v>3586</v>
      </c>
      <c r="AC297" t="s">
        <v>3587</v>
      </c>
      <c r="AD297" t="s">
        <v>3478</v>
      </c>
      <c r="AE297" t="s">
        <v>3475</v>
      </c>
      <c r="AF297" s="2">
        <v>3374.99</v>
      </c>
      <c r="AG297" s="2">
        <v>1898.0944</v>
      </c>
      <c r="AH297" s="2">
        <v>1476.8956000000001</v>
      </c>
      <c r="AI297" s="3">
        <v>0.43759999288886797</v>
      </c>
    </row>
    <row r="298" spans="1:35">
      <c r="A298" s="1">
        <v>42132</v>
      </c>
      <c r="B298" s="1">
        <v>37317</v>
      </c>
      <c r="C298" t="s">
        <v>4393</v>
      </c>
      <c r="D298">
        <v>313</v>
      </c>
      <c r="E298">
        <v>12163</v>
      </c>
      <c r="F298">
        <v>4</v>
      </c>
      <c r="G298">
        <v>1</v>
      </c>
      <c r="H298">
        <v>1</v>
      </c>
      <c r="I298">
        <v>2</v>
      </c>
      <c r="J298" t="s">
        <v>3491</v>
      </c>
      <c r="K298" t="s">
        <v>3492</v>
      </c>
      <c r="L298" s="2">
        <v>2171.2941999999998</v>
      </c>
      <c r="M298" s="2">
        <v>3578.27</v>
      </c>
      <c r="N298" t="s">
        <v>13</v>
      </c>
      <c r="O298" t="s">
        <v>723</v>
      </c>
      <c r="P298" t="s">
        <v>56</v>
      </c>
      <c r="Q298" t="s">
        <v>6627</v>
      </c>
      <c r="R298" s="1">
        <v>23259</v>
      </c>
      <c r="S298" t="s">
        <v>22</v>
      </c>
      <c r="T298" t="s">
        <v>16</v>
      </c>
      <c r="U298" t="s">
        <v>998</v>
      </c>
      <c r="V298">
        <v>150000</v>
      </c>
      <c r="W298">
        <v>2</v>
      </c>
      <c r="X298" t="s">
        <v>17</v>
      </c>
      <c r="Y298" t="s">
        <v>45</v>
      </c>
      <c r="Z298" t="s">
        <v>23</v>
      </c>
      <c r="AA298" t="s">
        <v>3580</v>
      </c>
      <c r="AB298" t="s">
        <v>3578</v>
      </c>
      <c r="AC298" t="s">
        <v>3579</v>
      </c>
      <c r="AD298" t="s">
        <v>3479</v>
      </c>
      <c r="AE298" t="s">
        <v>3475</v>
      </c>
      <c r="AF298" s="2">
        <v>3578.27</v>
      </c>
      <c r="AG298" s="2">
        <v>2171.2941999999998</v>
      </c>
      <c r="AH298" s="2">
        <v>1406.9757999999999</v>
      </c>
      <c r="AI298" s="3">
        <v>0.39320001006072802</v>
      </c>
    </row>
    <row r="299" spans="1:35">
      <c r="A299" s="1">
        <v>42132</v>
      </c>
      <c r="B299" s="1">
        <v>37348</v>
      </c>
      <c r="C299" t="s">
        <v>4394</v>
      </c>
      <c r="D299">
        <v>312</v>
      </c>
      <c r="E299">
        <v>12042</v>
      </c>
      <c r="F299">
        <v>1</v>
      </c>
      <c r="G299">
        <v>1</v>
      </c>
      <c r="H299">
        <v>1</v>
      </c>
      <c r="I299">
        <v>2</v>
      </c>
      <c r="J299" t="s">
        <v>3489</v>
      </c>
      <c r="K299" t="s">
        <v>3490</v>
      </c>
      <c r="L299" s="2">
        <v>2171.2941999999998</v>
      </c>
      <c r="M299" s="2">
        <v>3578.27</v>
      </c>
      <c r="N299" t="s">
        <v>13</v>
      </c>
      <c r="O299" t="s">
        <v>876</v>
      </c>
      <c r="P299" t="s">
        <v>107</v>
      </c>
      <c r="Q299" t="s">
        <v>6628</v>
      </c>
      <c r="R299" s="1">
        <v>27664</v>
      </c>
      <c r="S299" t="s">
        <v>16</v>
      </c>
      <c r="T299" t="s">
        <v>16</v>
      </c>
      <c r="U299" t="s">
        <v>937</v>
      </c>
      <c r="V299">
        <v>40000</v>
      </c>
      <c r="W299">
        <v>0</v>
      </c>
      <c r="X299" t="s">
        <v>57</v>
      </c>
      <c r="Y299" t="s">
        <v>53</v>
      </c>
      <c r="Z299" t="s">
        <v>19</v>
      </c>
      <c r="AA299" t="s">
        <v>3577</v>
      </c>
      <c r="AB299" t="s">
        <v>3578</v>
      </c>
      <c r="AC299" t="s">
        <v>3579</v>
      </c>
      <c r="AD299" t="s">
        <v>3479</v>
      </c>
      <c r="AE299" t="s">
        <v>3475</v>
      </c>
      <c r="AF299" s="2">
        <v>3578.27</v>
      </c>
      <c r="AG299" s="2">
        <v>2171.2941999999998</v>
      </c>
      <c r="AH299" s="2">
        <v>1406.9757999999999</v>
      </c>
      <c r="AI299" s="3">
        <v>0.39320001006072802</v>
      </c>
    </row>
    <row r="300" spans="1:35">
      <c r="A300" s="1">
        <v>42132</v>
      </c>
      <c r="B300" s="1">
        <v>37333</v>
      </c>
      <c r="C300" t="s">
        <v>4395</v>
      </c>
      <c r="D300">
        <v>313</v>
      </c>
      <c r="E300">
        <v>12094</v>
      </c>
      <c r="F300">
        <v>4</v>
      </c>
      <c r="G300">
        <v>1</v>
      </c>
      <c r="H300">
        <v>1</v>
      </c>
      <c r="I300">
        <v>2</v>
      </c>
      <c r="J300" t="s">
        <v>3491</v>
      </c>
      <c r="K300" t="s">
        <v>3492</v>
      </c>
      <c r="L300" s="2">
        <v>2171.2941999999998</v>
      </c>
      <c r="M300" s="2">
        <v>3578.27</v>
      </c>
      <c r="N300" t="s">
        <v>30</v>
      </c>
      <c r="O300" t="s">
        <v>428</v>
      </c>
      <c r="P300" t="s">
        <v>428</v>
      </c>
      <c r="Q300" t="s">
        <v>6629</v>
      </c>
      <c r="R300" s="1">
        <v>17795</v>
      </c>
      <c r="S300" t="s">
        <v>16</v>
      </c>
      <c r="T300" t="s">
        <v>29</v>
      </c>
      <c r="U300" t="s">
        <v>958</v>
      </c>
      <c r="V300">
        <v>60000</v>
      </c>
      <c r="W300">
        <v>2</v>
      </c>
      <c r="X300" t="s">
        <v>17</v>
      </c>
      <c r="Y300" t="s">
        <v>45</v>
      </c>
      <c r="Z300" t="s">
        <v>19</v>
      </c>
      <c r="AA300" t="s">
        <v>3580</v>
      </c>
      <c r="AB300" t="s">
        <v>3578</v>
      </c>
      <c r="AC300" t="s">
        <v>3579</v>
      </c>
      <c r="AD300" t="s">
        <v>3479</v>
      </c>
      <c r="AE300" t="s">
        <v>3475</v>
      </c>
      <c r="AF300" s="2">
        <v>3578.27</v>
      </c>
      <c r="AG300" s="2">
        <v>2171.2941999999998</v>
      </c>
      <c r="AH300" s="2">
        <v>1406.9757999999999</v>
      </c>
      <c r="AI300" s="3">
        <v>0.39320001006072802</v>
      </c>
    </row>
    <row r="301" spans="1:35">
      <c r="A301" s="1">
        <v>42132</v>
      </c>
      <c r="B301" s="1">
        <v>37286</v>
      </c>
      <c r="C301" t="s">
        <v>4397</v>
      </c>
      <c r="D301">
        <v>310</v>
      </c>
      <c r="E301">
        <v>12141</v>
      </c>
      <c r="F301">
        <v>1</v>
      </c>
      <c r="G301">
        <v>1</v>
      </c>
      <c r="H301">
        <v>1</v>
      </c>
      <c r="I301">
        <v>2</v>
      </c>
      <c r="J301" t="s">
        <v>3485</v>
      </c>
      <c r="K301" t="s">
        <v>3486</v>
      </c>
      <c r="L301" s="2">
        <v>2171.2941999999998</v>
      </c>
      <c r="M301" s="2">
        <v>3578.27</v>
      </c>
      <c r="N301" t="s">
        <v>30</v>
      </c>
      <c r="O301" t="s">
        <v>703</v>
      </c>
      <c r="P301" t="s">
        <v>307</v>
      </c>
      <c r="Q301" t="s">
        <v>6630</v>
      </c>
      <c r="R301" s="1">
        <v>24005</v>
      </c>
      <c r="S301" t="s">
        <v>22</v>
      </c>
      <c r="T301" t="s">
        <v>29</v>
      </c>
      <c r="U301" t="s">
        <v>986</v>
      </c>
      <c r="V301">
        <v>90000</v>
      </c>
      <c r="W301">
        <v>4</v>
      </c>
      <c r="X301" t="s">
        <v>52</v>
      </c>
      <c r="Y301" t="s">
        <v>18</v>
      </c>
      <c r="Z301" t="s">
        <v>19</v>
      </c>
      <c r="AA301" t="s">
        <v>3577</v>
      </c>
      <c r="AB301" t="s">
        <v>3578</v>
      </c>
      <c r="AC301" t="s">
        <v>3579</v>
      </c>
      <c r="AD301" t="s">
        <v>3479</v>
      </c>
      <c r="AE301" t="s">
        <v>3475</v>
      </c>
      <c r="AF301" s="2">
        <v>3578.27</v>
      </c>
      <c r="AG301" s="2">
        <v>2171.2941999999998</v>
      </c>
      <c r="AH301" s="2">
        <v>1406.9757999999999</v>
      </c>
      <c r="AI301" s="3">
        <v>0.39320001006072802</v>
      </c>
    </row>
    <row r="302" spans="1:35">
      <c r="A302" s="1">
        <v>42132</v>
      </c>
      <c r="B302" s="1">
        <v>37270</v>
      </c>
      <c r="C302" t="s">
        <v>4398</v>
      </c>
      <c r="D302">
        <v>347</v>
      </c>
      <c r="E302">
        <v>11997</v>
      </c>
      <c r="F302">
        <v>9</v>
      </c>
      <c r="G302">
        <v>1</v>
      </c>
      <c r="H302">
        <v>1</v>
      </c>
      <c r="I302">
        <v>1</v>
      </c>
      <c r="J302" t="s">
        <v>3525</v>
      </c>
      <c r="K302" t="s">
        <v>3526</v>
      </c>
      <c r="L302" s="2">
        <v>1912.1543999999999</v>
      </c>
      <c r="M302" s="2">
        <v>3399.99</v>
      </c>
      <c r="N302" t="s">
        <v>30</v>
      </c>
      <c r="O302" t="s">
        <v>897</v>
      </c>
      <c r="P302" t="s">
        <v>215</v>
      </c>
      <c r="Q302" t="s">
        <v>6631</v>
      </c>
      <c r="R302" s="1">
        <v>22013</v>
      </c>
      <c r="S302" t="s">
        <v>16</v>
      </c>
      <c r="T302" t="s">
        <v>29</v>
      </c>
      <c r="U302" t="s">
        <v>898</v>
      </c>
      <c r="V302">
        <v>60000</v>
      </c>
      <c r="W302">
        <v>1</v>
      </c>
      <c r="X302" t="s">
        <v>52</v>
      </c>
      <c r="Y302" t="s">
        <v>53</v>
      </c>
      <c r="Z302" t="s">
        <v>19</v>
      </c>
      <c r="AA302" t="s">
        <v>3586</v>
      </c>
      <c r="AB302" t="s">
        <v>3586</v>
      </c>
      <c r="AC302" t="s">
        <v>3587</v>
      </c>
      <c r="AD302" t="s">
        <v>3478</v>
      </c>
      <c r="AE302" t="s">
        <v>3475</v>
      </c>
      <c r="AF302" s="2">
        <v>3399.99</v>
      </c>
      <c r="AG302" s="2">
        <v>1912.1543999999999</v>
      </c>
      <c r="AH302" s="2">
        <v>1487.8356000000001</v>
      </c>
      <c r="AI302" s="3">
        <v>0.43759999294115598</v>
      </c>
    </row>
    <row r="303" spans="1:35">
      <c r="A303" s="1">
        <v>42132</v>
      </c>
      <c r="B303" s="1">
        <v>37356</v>
      </c>
      <c r="C303" t="s">
        <v>4400</v>
      </c>
      <c r="D303">
        <v>312</v>
      </c>
      <c r="E303">
        <v>12079</v>
      </c>
      <c r="F303">
        <v>4</v>
      </c>
      <c r="G303">
        <v>1</v>
      </c>
      <c r="H303">
        <v>1</v>
      </c>
      <c r="I303">
        <v>2</v>
      </c>
      <c r="J303" t="s">
        <v>3489</v>
      </c>
      <c r="K303" t="s">
        <v>3490</v>
      </c>
      <c r="L303" s="2">
        <v>2171.2941999999998</v>
      </c>
      <c r="M303" s="2">
        <v>3578.27</v>
      </c>
      <c r="N303" t="s">
        <v>13</v>
      </c>
      <c r="O303" t="s">
        <v>795</v>
      </c>
      <c r="P303" t="s">
        <v>309</v>
      </c>
      <c r="Q303" t="s">
        <v>6632</v>
      </c>
      <c r="R303" s="1">
        <v>16723</v>
      </c>
      <c r="S303" t="s">
        <v>16</v>
      </c>
      <c r="T303" t="s">
        <v>16</v>
      </c>
      <c r="U303" t="s">
        <v>954</v>
      </c>
      <c r="V303">
        <v>60000</v>
      </c>
      <c r="W303">
        <v>4</v>
      </c>
      <c r="X303" t="s">
        <v>17</v>
      </c>
      <c r="Y303" t="s">
        <v>45</v>
      </c>
      <c r="Z303" t="s">
        <v>23</v>
      </c>
      <c r="AA303" t="s">
        <v>3580</v>
      </c>
      <c r="AB303" t="s">
        <v>3578</v>
      </c>
      <c r="AC303" t="s">
        <v>3579</v>
      </c>
      <c r="AD303" t="s">
        <v>3479</v>
      </c>
      <c r="AE303" t="s">
        <v>3475</v>
      </c>
      <c r="AF303" s="2">
        <v>3578.27</v>
      </c>
      <c r="AG303" s="2">
        <v>2171.2941999999998</v>
      </c>
      <c r="AH303" s="2">
        <v>1406.9757999999999</v>
      </c>
      <c r="AI303" s="3">
        <v>0.39320001006072802</v>
      </c>
    </row>
    <row r="304" spans="1:35">
      <c r="A304" s="1">
        <v>42132</v>
      </c>
      <c r="B304" s="1">
        <v>37305</v>
      </c>
      <c r="C304" t="s">
        <v>4401</v>
      </c>
      <c r="D304">
        <v>311</v>
      </c>
      <c r="E304">
        <v>12819</v>
      </c>
      <c r="F304">
        <v>7</v>
      </c>
      <c r="G304">
        <v>1</v>
      </c>
      <c r="H304">
        <v>1</v>
      </c>
      <c r="I304">
        <v>2</v>
      </c>
      <c r="J304" t="s">
        <v>3487</v>
      </c>
      <c r="K304" t="s">
        <v>3488</v>
      </c>
      <c r="L304" s="2">
        <v>2171.2941999999998</v>
      </c>
      <c r="M304" s="2">
        <v>3578.27</v>
      </c>
      <c r="N304" t="s">
        <v>13</v>
      </c>
      <c r="O304" t="s">
        <v>1073</v>
      </c>
      <c r="P304" t="s">
        <v>171</v>
      </c>
      <c r="Q304" t="s">
        <v>6633</v>
      </c>
      <c r="R304" s="1">
        <v>24220</v>
      </c>
      <c r="S304" t="s">
        <v>22</v>
      </c>
      <c r="T304" t="s">
        <v>16</v>
      </c>
      <c r="U304" t="s">
        <v>1292</v>
      </c>
      <c r="V304">
        <v>20000</v>
      </c>
      <c r="W304">
        <v>2</v>
      </c>
      <c r="X304" t="s">
        <v>57</v>
      </c>
      <c r="Y304" t="s">
        <v>444</v>
      </c>
      <c r="Z304" t="s">
        <v>19</v>
      </c>
      <c r="AA304" t="s">
        <v>3583</v>
      </c>
      <c r="AB304" t="s">
        <v>3583</v>
      </c>
      <c r="AC304" t="s">
        <v>3584</v>
      </c>
      <c r="AD304" t="s">
        <v>3479</v>
      </c>
      <c r="AE304" t="s">
        <v>3475</v>
      </c>
      <c r="AF304" s="2">
        <v>3578.27</v>
      </c>
      <c r="AG304" s="2">
        <v>2171.2941999999998</v>
      </c>
      <c r="AH304" s="2">
        <v>1406.9757999999999</v>
      </c>
      <c r="AI304" s="3">
        <v>0.39320001006072802</v>
      </c>
    </row>
    <row r="305" spans="1:35">
      <c r="A305" s="1">
        <v>42133</v>
      </c>
      <c r="B305" s="1">
        <v>37283</v>
      </c>
      <c r="C305" t="s">
        <v>4403</v>
      </c>
      <c r="D305">
        <v>310</v>
      </c>
      <c r="E305">
        <v>12030</v>
      </c>
      <c r="F305">
        <v>1</v>
      </c>
      <c r="G305">
        <v>1</v>
      </c>
      <c r="H305">
        <v>1</v>
      </c>
      <c r="I305">
        <v>2</v>
      </c>
      <c r="J305" t="s">
        <v>3485</v>
      </c>
      <c r="K305" t="s">
        <v>3486</v>
      </c>
      <c r="L305" s="2">
        <v>2171.2941999999998</v>
      </c>
      <c r="M305" s="2">
        <v>3578.27</v>
      </c>
      <c r="N305" t="s">
        <v>26</v>
      </c>
      <c r="O305" t="s">
        <v>126</v>
      </c>
      <c r="P305" t="s">
        <v>594</v>
      </c>
      <c r="Q305" t="s">
        <v>6634</v>
      </c>
      <c r="R305" s="1">
        <v>28161</v>
      </c>
      <c r="S305" t="s">
        <v>22</v>
      </c>
      <c r="T305" t="s">
        <v>29</v>
      </c>
      <c r="U305" t="s">
        <v>927</v>
      </c>
      <c r="V305">
        <v>40000</v>
      </c>
      <c r="W305">
        <v>0</v>
      </c>
      <c r="X305" t="s">
        <v>57</v>
      </c>
      <c r="Y305" t="s">
        <v>53</v>
      </c>
      <c r="Z305" t="s">
        <v>19</v>
      </c>
      <c r="AA305" t="s">
        <v>3577</v>
      </c>
      <c r="AB305" t="s">
        <v>3578</v>
      </c>
      <c r="AC305" t="s">
        <v>3579</v>
      </c>
      <c r="AD305" t="s">
        <v>3479</v>
      </c>
      <c r="AE305" t="s">
        <v>3475</v>
      </c>
      <c r="AF305" s="2">
        <v>3578.27</v>
      </c>
      <c r="AG305" s="2">
        <v>2171.2941999999998</v>
      </c>
      <c r="AH305" s="2">
        <v>1406.9757999999999</v>
      </c>
      <c r="AI305" s="3">
        <v>0.39320001006072802</v>
      </c>
    </row>
    <row r="306" spans="1:35">
      <c r="A306" s="1">
        <v>42133</v>
      </c>
      <c r="B306" s="1">
        <v>37295</v>
      </c>
      <c r="C306" t="s">
        <v>4404</v>
      </c>
      <c r="D306">
        <v>349</v>
      </c>
      <c r="E306">
        <v>12003</v>
      </c>
      <c r="F306">
        <v>9</v>
      </c>
      <c r="G306">
        <v>1</v>
      </c>
      <c r="H306">
        <v>1</v>
      </c>
      <c r="I306">
        <v>1</v>
      </c>
      <c r="J306" t="s">
        <v>3529</v>
      </c>
      <c r="K306" t="s">
        <v>3530</v>
      </c>
      <c r="L306" s="2">
        <v>1898.0944</v>
      </c>
      <c r="M306" s="2">
        <v>3374.99</v>
      </c>
      <c r="N306" t="s">
        <v>26</v>
      </c>
      <c r="O306" t="s">
        <v>871</v>
      </c>
      <c r="P306" t="s">
        <v>129</v>
      </c>
      <c r="Q306" t="s">
        <v>6635</v>
      </c>
      <c r="R306" s="1">
        <v>23081</v>
      </c>
      <c r="S306" t="s">
        <v>22</v>
      </c>
      <c r="T306" t="s">
        <v>29</v>
      </c>
      <c r="U306" t="s">
        <v>906</v>
      </c>
      <c r="V306">
        <v>70000</v>
      </c>
      <c r="W306">
        <v>0</v>
      </c>
      <c r="X306" t="s">
        <v>17</v>
      </c>
      <c r="Y306" t="s">
        <v>18</v>
      </c>
      <c r="Z306" t="s">
        <v>19</v>
      </c>
      <c r="AA306" t="s">
        <v>3586</v>
      </c>
      <c r="AB306" t="s">
        <v>3586</v>
      </c>
      <c r="AC306" t="s">
        <v>3587</v>
      </c>
      <c r="AD306" t="s">
        <v>3478</v>
      </c>
      <c r="AE306" t="s">
        <v>3475</v>
      </c>
      <c r="AF306" s="2">
        <v>3374.99</v>
      </c>
      <c r="AG306" s="2">
        <v>1898.0944</v>
      </c>
      <c r="AH306" s="2">
        <v>1476.8956000000001</v>
      </c>
      <c r="AI306" s="3">
        <v>0.43759999288886797</v>
      </c>
    </row>
    <row r="307" spans="1:35">
      <c r="A307" s="1">
        <v>42133</v>
      </c>
      <c r="B307" s="1">
        <v>37361</v>
      </c>
      <c r="C307" t="s">
        <v>4405</v>
      </c>
      <c r="D307">
        <v>312</v>
      </c>
      <c r="E307">
        <v>12156</v>
      </c>
      <c r="F307">
        <v>4</v>
      </c>
      <c r="G307">
        <v>1</v>
      </c>
      <c r="H307">
        <v>1</v>
      </c>
      <c r="I307">
        <v>2</v>
      </c>
      <c r="J307" t="s">
        <v>3489</v>
      </c>
      <c r="K307" t="s">
        <v>3490</v>
      </c>
      <c r="L307" s="2">
        <v>2171.2941999999998</v>
      </c>
      <c r="M307" s="2">
        <v>3578.27</v>
      </c>
      <c r="N307" t="s">
        <v>30</v>
      </c>
      <c r="O307" t="s">
        <v>502</v>
      </c>
      <c r="P307" t="s">
        <v>155</v>
      </c>
      <c r="Q307" t="s">
        <v>6636</v>
      </c>
      <c r="R307" s="1">
        <v>12431</v>
      </c>
      <c r="S307" t="s">
        <v>16</v>
      </c>
      <c r="T307" t="s">
        <v>29</v>
      </c>
      <c r="U307" t="s">
        <v>995</v>
      </c>
      <c r="V307">
        <v>70000</v>
      </c>
      <c r="W307">
        <v>4</v>
      </c>
      <c r="X307" t="s">
        <v>135</v>
      </c>
      <c r="Y307" t="s">
        <v>45</v>
      </c>
      <c r="Z307" t="s">
        <v>19</v>
      </c>
      <c r="AA307" t="s">
        <v>3580</v>
      </c>
      <c r="AB307" t="s">
        <v>3578</v>
      </c>
      <c r="AC307" t="s">
        <v>3579</v>
      </c>
      <c r="AD307" t="s">
        <v>3479</v>
      </c>
      <c r="AE307" t="s">
        <v>3475</v>
      </c>
      <c r="AF307" s="2">
        <v>3578.27</v>
      </c>
      <c r="AG307" s="2">
        <v>2171.2941999999998</v>
      </c>
      <c r="AH307" s="2">
        <v>1406.9757999999999</v>
      </c>
      <c r="AI307" s="3">
        <v>0.39320001006072802</v>
      </c>
    </row>
    <row r="308" spans="1:35">
      <c r="A308" s="1">
        <v>42134</v>
      </c>
      <c r="B308" s="1">
        <v>37364</v>
      </c>
      <c r="C308" t="s">
        <v>4410</v>
      </c>
      <c r="D308">
        <v>312</v>
      </c>
      <c r="E308">
        <v>12102</v>
      </c>
      <c r="F308">
        <v>4</v>
      </c>
      <c r="G308">
        <v>1</v>
      </c>
      <c r="H308">
        <v>1</v>
      </c>
      <c r="I308">
        <v>2</v>
      </c>
      <c r="J308" t="s">
        <v>3489</v>
      </c>
      <c r="K308" t="s">
        <v>3490</v>
      </c>
      <c r="L308" s="2">
        <v>2171.2941999999998</v>
      </c>
      <c r="M308" s="2">
        <v>3578.27</v>
      </c>
      <c r="N308" t="s">
        <v>13</v>
      </c>
      <c r="O308" t="s">
        <v>285</v>
      </c>
      <c r="P308" t="s">
        <v>111</v>
      </c>
      <c r="Q308" t="s">
        <v>6637</v>
      </c>
      <c r="R308" s="1">
        <v>18053</v>
      </c>
      <c r="S308" t="s">
        <v>16</v>
      </c>
      <c r="T308" t="s">
        <v>16</v>
      </c>
      <c r="U308" t="s">
        <v>961</v>
      </c>
      <c r="V308">
        <v>70000</v>
      </c>
      <c r="W308">
        <v>4</v>
      </c>
      <c r="X308" t="s">
        <v>52</v>
      </c>
      <c r="Y308" t="s">
        <v>18</v>
      </c>
      <c r="Z308" t="s">
        <v>19</v>
      </c>
      <c r="AA308" t="s">
        <v>3580</v>
      </c>
      <c r="AB308" t="s">
        <v>3578</v>
      </c>
      <c r="AC308" t="s">
        <v>3579</v>
      </c>
      <c r="AD308" t="s">
        <v>3479</v>
      </c>
      <c r="AE308" t="s">
        <v>3475</v>
      </c>
      <c r="AF308" s="2">
        <v>3578.27</v>
      </c>
      <c r="AG308" s="2">
        <v>2171.2941999999998</v>
      </c>
      <c r="AH308" s="2">
        <v>1406.9757999999999</v>
      </c>
      <c r="AI308" s="3">
        <v>0.39320001006072802</v>
      </c>
    </row>
    <row r="309" spans="1:35">
      <c r="A309" s="1">
        <v>42135</v>
      </c>
      <c r="B309" s="1">
        <v>37308</v>
      </c>
      <c r="C309" t="s">
        <v>4412</v>
      </c>
      <c r="D309">
        <v>310</v>
      </c>
      <c r="E309">
        <v>12084</v>
      </c>
      <c r="F309">
        <v>1</v>
      </c>
      <c r="G309">
        <v>1</v>
      </c>
      <c r="H309">
        <v>1</v>
      </c>
      <c r="I309">
        <v>2</v>
      </c>
      <c r="J309" t="s">
        <v>3485</v>
      </c>
      <c r="K309" t="s">
        <v>3486</v>
      </c>
      <c r="L309" s="2">
        <v>2171.2941999999998</v>
      </c>
      <c r="M309" s="2">
        <v>3578.27</v>
      </c>
      <c r="N309" t="s">
        <v>13</v>
      </c>
      <c r="O309" t="s">
        <v>618</v>
      </c>
      <c r="P309" t="s">
        <v>329</v>
      </c>
      <c r="Q309" t="s">
        <v>6638</v>
      </c>
      <c r="R309" s="1">
        <v>17386</v>
      </c>
      <c r="S309" t="s">
        <v>16</v>
      </c>
      <c r="T309" t="s">
        <v>16</v>
      </c>
      <c r="U309" t="s">
        <v>957</v>
      </c>
      <c r="V309">
        <v>60000</v>
      </c>
      <c r="W309">
        <v>5</v>
      </c>
      <c r="X309" t="s">
        <v>17</v>
      </c>
      <c r="Y309" t="s">
        <v>45</v>
      </c>
      <c r="Z309" t="s">
        <v>23</v>
      </c>
      <c r="AA309" t="s">
        <v>3577</v>
      </c>
      <c r="AB309" t="s">
        <v>3578</v>
      </c>
      <c r="AC309" t="s">
        <v>3579</v>
      </c>
      <c r="AD309" t="s">
        <v>3479</v>
      </c>
      <c r="AE309" t="s">
        <v>3475</v>
      </c>
      <c r="AF309" s="2">
        <v>3578.27</v>
      </c>
      <c r="AG309" s="2">
        <v>2171.2941999999998</v>
      </c>
      <c r="AH309" s="2">
        <v>1406.9757999999999</v>
      </c>
      <c r="AI309" s="3">
        <v>0.39320001006072802</v>
      </c>
    </row>
    <row r="310" spans="1:35">
      <c r="A310" s="1">
        <v>42135</v>
      </c>
      <c r="B310" s="1">
        <v>37343</v>
      </c>
      <c r="C310" t="s">
        <v>4413</v>
      </c>
      <c r="D310">
        <v>313</v>
      </c>
      <c r="E310">
        <v>11983</v>
      </c>
      <c r="F310">
        <v>4</v>
      </c>
      <c r="G310">
        <v>1</v>
      </c>
      <c r="H310">
        <v>1</v>
      </c>
      <c r="I310">
        <v>2</v>
      </c>
      <c r="J310" t="s">
        <v>3491</v>
      </c>
      <c r="K310" t="s">
        <v>3492</v>
      </c>
      <c r="L310" s="2">
        <v>2171.2941999999998</v>
      </c>
      <c r="M310" s="2">
        <v>3578.27</v>
      </c>
      <c r="N310" t="s">
        <v>30</v>
      </c>
      <c r="O310" t="s">
        <v>188</v>
      </c>
      <c r="P310" t="s">
        <v>460</v>
      </c>
      <c r="Q310" t="s">
        <v>6639</v>
      </c>
      <c r="R310" s="1">
        <v>20878</v>
      </c>
      <c r="S310" t="s">
        <v>16</v>
      </c>
      <c r="T310" t="s">
        <v>29</v>
      </c>
      <c r="U310" t="s">
        <v>875</v>
      </c>
      <c r="V310">
        <v>70000</v>
      </c>
      <c r="W310">
        <v>3</v>
      </c>
      <c r="X310" t="s">
        <v>52</v>
      </c>
      <c r="Y310" t="s">
        <v>18</v>
      </c>
      <c r="Z310" t="s">
        <v>19</v>
      </c>
      <c r="AA310" t="s">
        <v>3580</v>
      </c>
      <c r="AB310" t="s">
        <v>3578</v>
      </c>
      <c r="AC310" t="s">
        <v>3579</v>
      </c>
      <c r="AD310" t="s">
        <v>3479</v>
      </c>
      <c r="AE310" t="s">
        <v>3475</v>
      </c>
      <c r="AF310" s="2">
        <v>3578.27</v>
      </c>
      <c r="AG310" s="2">
        <v>2171.2941999999998</v>
      </c>
      <c r="AH310" s="2">
        <v>1406.9757999999999</v>
      </c>
      <c r="AI310" s="3">
        <v>0.39320001006072802</v>
      </c>
    </row>
    <row r="311" spans="1:35">
      <c r="A311" s="1">
        <v>42135</v>
      </c>
      <c r="B311" s="1">
        <v>37343</v>
      </c>
      <c r="C311" t="s">
        <v>4414</v>
      </c>
      <c r="D311">
        <v>348</v>
      </c>
      <c r="E311">
        <v>12004</v>
      </c>
      <c r="F311">
        <v>9</v>
      </c>
      <c r="G311">
        <v>1</v>
      </c>
      <c r="H311">
        <v>1</v>
      </c>
      <c r="I311">
        <v>1</v>
      </c>
      <c r="J311" t="s">
        <v>3527</v>
      </c>
      <c r="K311" t="s">
        <v>3528</v>
      </c>
      <c r="L311" s="2">
        <v>1898.0944</v>
      </c>
      <c r="M311" s="2">
        <v>3374.99</v>
      </c>
      <c r="N311" t="s">
        <v>13</v>
      </c>
      <c r="O311" t="s">
        <v>466</v>
      </c>
      <c r="P311" t="s">
        <v>907</v>
      </c>
      <c r="Q311" t="s">
        <v>6640</v>
      </c>
      <c r="R311" s="1">
        <v>23365</v>
      </c>
      <c r="S311" t="s">
        <v>22</v>
      </c>
      <c r="T311" t="s">
        <v>16</v>
      </c>
      <c r="U311" t="s">
        <v>908</v>
      </c>
      <c r="V311">
        <v>70000</v>
      </c>
      <c r="W311">
        <v>0</v>
      </c>
      <c r="X311" t="s">
        <v>17</v>
      </c>
      <c r="Y311" t="s">
        <v>18</v>
      </c>
      <c r="Z311" t="s">
        <v>23</v>
      </c>
      <c r="AA311" t="s">
        <v>3586</v>
      </c>
      <c r="AB311" t="s">
        <v>3586</v>
      </c>
      <c r="AC311" t="s">
        <v>3587</v>
      </c>
      <c r="AD311" t="s">
        <v>3478</v>
      </c>
      <c r="AE311" t="s">
        <v>3475</v>
      </c>
      <c r="AF311" s="2">
        <v>3374.99</v>
      </c>
      <c r="AG311" s="2">
        <v>1898.0944</v>
      </c>
      <c r="AH311" s="2">
        <v>1476.8956000000001</v>
      </c>
      <c r="AI311" s="3">
        <v>0.43759999288886797</v>
      </c>
    </row>
    <row r="312" spans="1:35">
      <c r="A312" s="1">
        <v>42135</v>
      </c>
      <c r="B312" s="1">
        <v>37291</v>
      </c>
      <c r="C312" t="s">
        <v>4415</v>
      </c>
      <c r="D312">
        <v>346</v>
      </c>
      <c r="E312">
        <v>11995</v>
      </c>
      <c r="F312">
        <v>9</v>
      </c>
      <c r="G312">
        <v>1</v>
      </c>
      <c r="H312">
        <v>1</v>
      </c>
      <c r="I312">
        <v>1</v>
      </c>
      <c r="J312" t="s">
        <v>3523</v>
      </c>
      <c r="K312" t="s">
        <v>3524</v>
      </c>
      <c r="L312" s="2">
        <v>1912.1543999999999</v>
      </c>
      <c r="M312" s="2">
        <v>3399.99</v>
      </c>
      <c r="N312" t="s">
        <v>13</v>
      </c>
      <c r="O312" t="s">
        <v>893</v>
      </c>
      <c r="P312" t="s">
        <v>236</v>
      </c>
      <c r="Q312" t="s">
        <v>6641</v>
      </c>
      <c r="R312" s="1">
        <v>22081</v>
      </c>
      <c r="S312" t="s">
        <v>16</v>
      </c>
      <c r="T312" t="s">
        <v>16</v>
      </c>
      <c r="U312" t="s">
        <v>894</v>
      </c>
      <c r="V312">
        <v>60000</v>
      </c>
      <c r="W312">
        <v>1</v>
      </c>
      <c r="X312" t="s">
        <v>52</v>
      </c>
      <c r="Y312" t="s">
        <v>53</v>
      </c>
      <c r="Z312" t="s">
        <v>19</v>
      </c>
      <c r="AA312" t="s">
        <v>3586</v>
      </c>
      <c r="AB312" t="s">
        <v>3586</v>
      </c>
      <c r="AC312" t="s">
        <v>3587</v>
      </c>
      <c r="AD312" t="s">
        <v>3478</v>
      </c>
      <c r="AE312" t="s">
        <v>3475</v>
      </c>
      <c r="AF312" s="2">
        <v>3399.99</v>
      </c>
      <c r="AG312" s="2">
        <v>1912.1543999999999</v>
      </c>
      <c r="AH312" s="2">
        <v>1487.8356000000001</v>
      </c>
      <c r="AI312" s="3">
        <v>0.43759999294115598</v>
      </c>
    </row>
    <row r="313" spans="1:35">
      <c r="A313" s="1">
        <v>42136</v>
      </c>
      <c r="B313" s="1">
        <v>37280</v>
      </c>
      <c r="C313" t="s">
        <v>4423</v>
      </c>
      <c r="D313">
        <v>310</v>
      </c>
      <c r="E313">
        <v>12041</v>
      </c>
      <c r="F313">
        <v>1</v>
      </c>
      <c r="G313">
        <v>1</v>
      </c>
      <c r="H313">
        <v>1</v>
      </c>
      <c r="I313">
        <v>2</v>
      </c>
      <c r="J313" t="s">
        <v>3485</v>
      </c>
      <c r="K313" t="s">
        <v>3486</v>
      </c>
      <c r="L313" s="2">
        <v>2171.2941999999998</v>
      </c>
      <c r="M313" s="2">
        <v>3578.27</v>
      </c>
      <c r="N313" t="s">
        <v>13</v>
      </c>
      <c r="O313" t="s">
        <v>69</v>
      </c>
      <c r="P313" t="s">
        <v>103</v>
      </c>
      <c r="Q313" t="s">
        <v>6642</v>
      </c>
      <c r="R313" s="1">
        <v>27552</v>
      </c>
      <c r="S313" t="s">
        <v>16</v>
      </c>
      <c r="T313" t="s">
        <v>16</v>
      </c>
      <c r="U313" t="s">
        <v>936</v>
      </c>
      <c r="V313">
        <v>40000</v>
      </c>
      <c r="W313">
        <v>0</v>
      </c>
      <c r="X313" t="s">
        <v>57</v>
      </c>
      <c r="Y313" t="s">
        <v>53</v>
      </c>
      <c r="Z313" t="s">
        <v>19</v>
      </c>
      <c r="AA313" t="s">
        <v>3577</v>
      </c>
      <c r="AB313" t="s">
        <v>3578</v>
      </c>
      <c r="AC313" t="s">
        <v>3579</v>
      </c>
      <c r="AD313" t="s">
        <v>3479</v>
      </c>
      <c r="AE313" t="s">
        <v>3475</v>
      </c>
      <c r="AF313" s="2">
        <v>3578.27</v>
      </c>
      <c r="AG313" s="2">
        <v>2171.2941999999998</v>
      </c>
      <c r="AH313" s="2">
        <v>1406.9757999999999</v>
      </c>
      <c r="AI313" s="3">
        <v>0.39320001006072802</v>
      </c>
    </row>
    <row r="314" spans="1:35">
      <c r="A314" s="1">
        <v>42137</v>
      </c>
      <c r="B314" s="1">
        <v>37365</v>
      </c>
      <c r="C314" t="s">
        <v>4427</v>
      </c>
      <c r="D314">
        <v>314</v>
      </c>
      <c r="E314">
        <v>12027</v>
      </c>
      <c r="F314">
        <v>1</v>
      </c>
      <c r="G314">
        <v>1</v>
      </c>
      <c r="H314">
        <v>1</v>
      </c>
      <c r="I314">
        <v>2</v>
      </c>
      <c r="J314" t="s">
        <v>3493</v>
      </c>
      <c r="K314" t="s">
        <v>3494</v>
      </c>
      <c r="L314" s="2">
        <v>2171.2941999999998</v>
      </c>
      <c r="M314" s="2">
        <v>3578.27</v>
      </c>
      <c r="N314" t="s">
        <v>26</v>
      </c>
      <c r="O314" t="s">
        <v>409</v>
      </c>
      <c r="P314" t="s">
        <v>283</v>
      </c>
      <c r="Q314" t="s">
        <v>6643</v>
      </c>
      <c r="R314" s="1">
        <v>28789</v>
      </c>
      <c r="S314" t="s">
        <v>16</v>
      </c>
      <c r="T314" t="s">
        <v>29</v>
      </c>
      <c r="U314" t="s">
        <v>926</v>
      </c>
      <c r="V314">
        <v>40000</v>
      </c>
      <c r="W314">
        <v>0</v>
      </c>
      <c r="X314" t="s">
        <v>57</v>
      </c>
      <c r="Y314" t="s">
        <v>53</v>
      </c>
      <c r="Z314" t="s">
        <v>19</v>
      </c>
      <c r="AA314" t="s">
        <v>3577</v>
      </c>
      <c r="AB314" t="s">
        <v>3578</v>
      </c>
      <c r="AC314" t="s">
        <v>3579</v>
      </c>
      <c r="AD314" t="s">
        <v>3479</v>
      </c>
      <c r="AE314" t="s">
        <v>3475</v>
      </c>
      <c r="AF314" s="2">
        <v>3578.27</v>
      </c>
      <c r="AG314" s="2">
        <v>2171.2941999999998</v>
      </c>
      <c r="AH314" s="2">
        <v>1406.9757999999999</v>
      </c>
      <c r="AI314" s="3">
        <v>0.39320001006072802</v>
      </c>
    </row>
    <row r="315" spans="1:35">
      <c r="A315" s="1">
        <v>42137</v>
      </c>
      <c r="B315" s="1">
        <v>37363</v>
      </c>
      <c r="C315" t="s">
        <v>4430</v>
      </c>
      <c r="D315">
        <v>346</v>
      </c>
      <c r="E315">
        <v>11999</v>
      </c>
      <c r="F315">
        <v>9</v>
      </c>
      <c r="G315">
        <v>1</v>
      </c>
      <c r="H315">
        <v>1</v>
      </c>
      <c r="I315">
        <v>1</v>
      </c>
      <c r="J315" t="s">
        <v>3523</v>
      </c>
      <c r="K315" t="s">
        <v>3524</v>
      </c>
      <c r="L315" s="2">
        <v>1912.1543999999999</v>
      </c>
      <c r="M315" s="2">
        <v>3399.99</v>
      </c>
      <c r="N315" t="s">
        <v>13</v>
      </c>
      <c r="O315" t="s">
        <v>700</v>
      </c>
      <c r="P315" t="s">
        <v>468</v>
      </c>
      <c r="Q315" t="s">
        <v>6644</v>
      </c>
      <c r="R315" s="1">
        <v>22072</v>
      </c>
      <c r="S315" t="s">
        <v>16</v>
      </c>
      <c r="T315" t="s">
        <v>16</v>
      </c>
      <c r="U315" t="s">
        <v>901</v>
      </c>
      <c r="V315">
        <v>60000</v>
      </c>
      <c r="W315">
        <v>1</v>
      </c>
      <c r="X315" t="s">
        <v>52</v>
      </c>
      <c r="Y315" t="s">
        <v>53</v>
      </c>
      <c r="Z315" t="s">
        <v>19</v>
      </c>
      <c r="AA315" t="s">
        <v>3586</v>
      </c>
      <c r="AB315" t="s">
        <v>3586</v>
      </c>
      <c r="AC315" t="s">
        <v>3587</v>
      </c>
      <c r="AD315" t="s">
        <v>3478</v>
      </c>
      <c r="AE315" t="s">
        <v>3475</v>
      </c>
      <c r="AF315" s="2">
        <v>3399.99</v>
      </c>
      <c r="AG315" s="2">
        <v>1912.1543999999999</v>
      </c>
      <c r="AH315" s="2">
        <v>1487.8356000000001</v>
      </c>
      <c r="AI315" s="3">
        <v>0.43759999294115598</v>
      </c>
    </row>
    <row r="316" spans="1:35">
      <c r="A316" s="1">
        <v>42137</v>
      </c>
      <c r="B316" s="1">
        <v>37349</v>
      </c>
      <c r="C316" t="s">
        <v>4431</v>
      </c>
      <c r="D316">
        <v>348</v>
      </c>
      <c r="E316">
        <v>11988</v>
      </c>
      <c r="F316">
        <v>9</v>
      </c>
      <c r="G316">
        <v>1</v>
      </c>
      <c r="H316">
        <v>1</v>
      </c>
      <c r="I316">
        <v>1</v>
      </c>
      <c r="J316" t="s">
        <v>3527</v>
      </c>
      <c r="K316" t="s">
        <v>3528</v>
      </c>
      <c r="L316" s="2">
        <v>1898.0944</v>
      </c>
      <c r="M316" s="2">
        <v>3374.99</v>
      </c>
      <c r="N316" t="s">
        <v>30</v>
      </c>
      <c r="O316" t="s">
        <v>881</v>
      </c>
      <c r="P316" t="s">
        <v>392</v>
      </c>
      <c r="Q316" t="s">
        <v>6645</v>
      </c>
      <c r="R316" s="1">
        <v>22878</v>
      </c>
      <c r="S316" t="s">
        <v>22</v>
      </c>
      <c r="T316" t="s">
        <v>29</v>
      </c>
      <c r="U316" t="s">
        <v>882</v>
      </c>
      <c r="V316">
        <v>70000</v>
      </c>
      <c r="W316">
        <v>1</v>
      </c>
      <c r="X316" t="s">
        <v>52</v>
      </c>
      <c r="Y316" t="s">
        <v>53</v>
      </c>
      <c r="Z316" t="s">
        <v>19</v>
      </c>
      <c r="AA316" t="s">
        <v>3586</v>
      </c>
      <c r="AB316" t="s">
        <v>3586</v>
      </c>
      <c r="AC316" t="s">
        <v>3587</v>
      </c>
      <c r="AD316" t="s">
        <v>3478</v>
      </c>
      <c r="AE316" t="s">
        <v>3475</v>
      </c>
      <c r="AF316" s="2">
        <v>3374.99</v>
      </c>
      <c r="AG316" s="2">
        <v>1898.0944</v>
      </c>
      <c r="AH316" s="2">
        <v>1476.8956000000001</v>
      </c>
      <c r="AI316" s="3">
        <v>0.43759999288886797</v>
      </c>
    </row>
    <row r="317" spans="1:35">
      <c r="A317" s="1">
        <v>42137</v>
      </c>
      <c r="B317" s="1">
        <v>37334</v>
      </c>
      <c r="C317" t="s">
        <v>4432</v>
      </c>
      <c r="D317">
        <v>313</v>
      </c>
      <c r="E317">
        <v>11939</v>
      </c>
      <c r="F317">
        <v>4</v>
      </c>
      <c r="G317">
        <v>1</v>
      </c>
      <c r="H317">
        <v>1</v>
      </c>
      <c r="I317">
        <v>2</v>
      </c>
      <c r="J317" t="s">
        <v>3491</v>
      </c>
      <c r="K317" t="s">
        <v>3492</v>
      </c>
      <c r="L317" s="2">
        <v>2171.2941999999998</v>
      </c>
      <c r="M317" s="2">
        <v>3578.27</v>
      </c>
      <c r="N317" t="s">
        <v>13</v>
      </c>
      <c r="O317" t="s">
        <v>646</v>
      </c>
      <c r="P317" t="s">
        <v>594</v>
      </c>
      <c r="Q317" t="s">
        <v>6646</v>
      </c>
      <c r="R317" s="1">
        <v>28298</v>
      </c>
      <c r="S317" t="s">
        <v>22</v>
      </c>
      <c r="T317" t="s">
        <v>16</v>
      </c>
      <c r="U317" t="s">
        <v>847</v>
      </c>
      <c r="V317">
        <v>60000</v>
      </c>
      <c r="W317">
        <v>0</v>
      </c>
      <c r="X317" t="s">
        <v>52</v>
      </c>
      <c r="Y317" t="s">
        <v>53</v>
      </c>
      <c r="Z317" t="s">
        <v>23</v>
      </c>
      <c r="AA317" t="s">
        <v>3580</v>
      </c>
      <c r="AB317" t="s">
        <v>3578</v>
      </c>
      <c r="AC317" t="s">
        <v>3579</v>
      </c>
      <c r="AD317" t="s">
        <v>3479</v>
      </c>
      <c r="AE317" t="s">
        <v>3475</v>
      </c>
      <c r="AF317" s="2">
        <v>3578.27</v>
      </c>
      <c r="AG317" s="2">
        <v>2171.2941999999998</v>
      </c>
      <c r="AH317" s="2">
        <v>1406.9757999999999</v>
      </c>
      <c r="AI317" s="3">
        <v>0.39320001006072802</v>
      </c>
    </row>
    <row r="318" spans="1:35">
      <c r="A318" s="1">
        <v>42137</v>
      </c>
      <c r="B318" s="1">
        <v>37333</v>
      </c>
      <c r="C318" t="s">
        <v>4433</v>
      </c>
      <c r="D318">
        <v>310</v>
      </c>
      <c r="E318">
        <v>12109</v>
      </c>
      <c r="F318">
        <v>1</v>
      </c>
      <c r="G318">
        <v>1</v>
      </c>
      <c r="H318">
        <v>1</v>
      </c>
      <c r="I318">
        <v>2</v>
      </c>
      <c r="J318" t="s">
        <v>3485</v>
      </c>
      <c r="K318" t="s">
        <v>3486</v>
      </c>
      <c r="L318" s="2">
        <v>2171.2941999999998</v>
      </c>
      <c r="M318" s="2">
        <v>3578.27</v>
      </c>
      <c r="N318" t="s">
        <v>30</v>
      </c>
      <c r="O318" t="s">
        <v>252</v>
      </c>
      <c r="P318" t="s">
        <v>321</v>
      </c>
      <c r="Q318" t="s">
        <v>6647</v>
      </c>
      <c r="R318" s="1">
        <v>18342</v>
      </c>
      <c r="S318" t="s">
        <v>22</v>
      </c>
      <c r="T318" t="s">
        <v>29</v>
      </c>
      <c r="U318" t="s">
        <v>966</v>
      </c>
      <c r="V318">
        <v>60000</v>
      </c>
      <c r="W318">
        <v>2</v>
      </c>
      <c r="X318" t="s">
        <v>52</v>
      </c>
      <c r="Y318" t="s">
        <v>18</v>
      </c>
      <c r="Z318" t="s">
        <v>19</v>
      </c>
      <c r="AA318" t="s">
        <v>3577</v>
      </c>
      <c r="AB318" t="s">
        <v>3578</v>
      </c>
      <c r="AC318" t="s">
        <v>3579</v>
      </c>
      <c r="AD318" t="s">
        <v>3479</v>
      </c>
      <c r="AE318" t="s">
        <v>3475</v>
      </c>
      <c r="AF318" s="2">
        <v>3578.27</v>
      </c>
      <c r="AG318" s="2">
        <v>2171.2941999999998</v>
      </c>
      <c r="AH318" s="2">
        <v>1406.9757999999999</v>
      </c>
      <c r="AI318" s="3">
        <v>0.39320001006072802</v>
      </c>
    </row>
    <row r="319" spans="1:35">
      <c r="A319" s="1">
        <v>42137</v>
      </c>
      <c r="B319" s="1">
        <v>37276</v>
      </c>
      <c r="C319" t="s">
        <v>4434</v>
      </c>
      <c r="D319">
        <v>314</v>
      </c>
      <c r="E319">
        <v>12830</v>
      </c>
      <c r="F319">
        <v>7</v>
      </c>
      <c r="G319">
        <v>1</v>
      </c>
      <c r="H319">
        <v>1</v>
      </c>
      <c r="I319">
        <v>2</v>
      </c>
      <c r="J319" t="s">
        <v>3493</v>
      </c>
      <c r="K319" t="s">
        <v>3494</v>
      </c>
      <c r="L319" s="2">
        <v>2171.2941999999998</v>
      </c>
      <c r="M319" s="2">
        <v>3578.27</v>
      </c>
      <c r="N319" t="s">
        <v>13</v>
      </c>
      <c r="O319" t="s">
        <v>71</v>
      </c>
      <c r="P319" t="s">
        <v>131</v>
      </c>
      <c r="Q319" t="s">
        <v>6648</v>
      </c>
      <c r="R319" s="1">
        <v>23735</v>
      </c>
      <c r="S319" t="s">
        <v>22</v>
      </c>
      <c r="T319" t="s">
        <v>16</v>
      </c>
      <c r="U319" t="s">
        <v>1294</v>
      </c>
      <c r="V319">
        <v>20000</v>
      </c>
      <c r="W319">
        <v>3</v>
      </c>
      <c r="X319" t="s">
        <v>57</v>
      </c>
      <c r="Y319" t="s">
        <v>444</v>
      </c>
      <c r="Z319" t="s">
        <v>19</v>
      </c>
      <c r="AA319" t="s">
        <v>3583</v>
      </c>
      <c r="AB319" t="s">
        <v>3583</v>
      </c>
      <c r="AC319" t="s">
        <v>3584</v>
      </c>
      <c r="AD319" t="s">
        <v>3479</v>
      </c>
      <c r="AE319" t="s">
        <v>3475</v>
      </c>
      <c r="AF319" s="2">
        <v>3578.27</v>
      </c>
      <c r="AG319" s="2">
        <v>2171.2941999999998</v>
      </c>
      <c r="AH319" s="2">
        <v>1406.9757999999999</v>
      </c>
      <c r="AI319" s="3">
        <v>0.39320001006072802</v>
      </c>
    </row>
    <row r="320" spans="1:35">
      <c r="A320" s="1">
        <v>42138</v>
      </c>
      <c r="B320" s="1">
        <v>37365</v>
      </c>
      <c r="C320" t="s">
        <v>4437</v>
      </c>
      <c r="D320">
        <v>312</v>
      </c>
      <c r="E320">
        <v>12849</v>
      </c>
      <c r="F320">
        <v>7</v>
      </c>
      <c r="G320">
        <v>1</v>
      </c>
      <c r="H320">
        <v>1</v>
      </c>
      <c r="I320">
        <v>2</v>
      </c>
      <c r="J320" t="s">
        <v>3489</v>
      </c>
      <c r="K320" t="s">
        <v>3490</v>
      </c>
      <c r="L320" s="2">
        <v>2171.2941999999998</v>
      </c>
      <c r="M320" s="2">
        <v>3578.27</v>
      </c>
      <c r="N320" t="s">
        <v>13</v>
      </c>
      <c r="O320" t="s">
        <v>112</v>
      </c>
      <c r="P320" t="s">
        <v>173</v>
      </c>
      <c r="Q320" t="s">
        <v>6649</v>
      </c>
      <c r="R320" s="1">
        <v>23068</v>
      </c>
      <c r="S320" t="s">
        <v>22</v>
      </c>
      <c r="T320" t="s">
        <v>16</v>
      </c>
      <c r="U320" t="s">
        <v>1299</v>
      </c>
      <c r="V320">
        <v>30000</v>
      </c>
      <c r="W320">
        <v>2</v>
      </c>
      <c r="X320" t="s">
        <v>52</v>
      </c>
      <c r="Y320" t="s">
        <v>60</v>
      </c>
      <c r="Z320" t="s">
        <v>19</v>
      </c>
      <c r="AA320" t="s">
        <v>3583</v>
      </c>
      <c r="AB320" t="s">
        <v>3583</v>
      </c>
      <c r="AC320" t="s">
        <v>3584</v>
      </c>
      <c r="AD320" t="s">
        <v>3479</v>
      </c>
      <c r="AE320" t="s">
        <v>3475</v>
      </c>
      <c r="AF320" s="2">
        <v>3578.27</v>
      </c>
      <c r="AG320" s="2">
        <v>2171.2941999999998</v>
      </c>
      <c r="AH320" s="2">
        <v>1406.9757999999999</v>
      </c>
      <c r="AI320" s="3">
        <v>0.39320001006072802</v>
      </c>
    </row>
    <row r="321" spans="1:35">
      <c r="A321" s="1">
        <v>42138</v>
      </c>
      <c r="B321" s="1">
        <v>37317</v>
      </c>
      <c r="C321" t="s">
        <v>4441</v>
      </c>
      <c r="D321">
        <v>313</v>
      </c>
      <c r="E321">
        <v>12866</v>
      </c>
      <c r="F321">
        <v>7</v>
      </c>
      <c r="G321">
        <v>1</v>
      </c>
      <c r="H321">
        <v>1</v>
      </c>
      <c r="I321">
        <v>2</v>
      </c>
      <c r="J321" t="s">
        <v>3491</v>
      </c>
      <c r="K321" t="s">
        <v>3492</v>
      </c>
      <c r="L321" s="2">
        <v>2171.2941999999998</v>
      </c>
      <c r="M321" s="2">
        <v>3578.27</v>
      </c>
      <c r="N321" t="s">
        <v>26</v>
      </c>
      <c r="O321" t="s">
        <v>652</v>
      </c>
      <c r="P321" t="s">
        <v>209</v>
      </c>
      <c r="Q321" t="s">
        <v>6650</v>
      </c>
      <c r="R321" s="1">
        <v>27563</v>
      </c>
      <c r="S321" t="s">
        <v>22</v>
      </c>
      <c r="T321" t="s">
        <v>29</v>
      </c>
      <c r="U321" t="s">
        <v>1302</v>
      </c>
      <c r="V321">
        <v>10000</v>
      </c>
      <c r="W321">
        <v>0</v>
      </c>
      <c r="X321" t="s">
        <v>77</v>
      </c>
      <c r="Y321" t="s">
        <v>444</v>
      </c>
      <c r="Z321" t="s">
        <v>19</v>
      </c>
      <c r="AA321" t="s">
        <v>3583</v>
      </c>
      <c r="AB321" t="s">
        <v>3583</v>
      </c>
      <c r="AC321" t="s">
        <v>3584</v>
      </c>
      <c r="AD321" t="s">
        <v>3479</v>
      </c>
      <c r="AE321" t="s">
        <v>3475</v>
      </c>
      <c r="AF321" s="2">
        <v>3578.27</v>
      </c>
      <c r="AG321" s="2">
        <v>2171.2941999999998</v>
      </c>
      <c r="AH321" s="2">
        <v>1406.9757999999999</v>
      </c>
      <c r="AI321" s="3">
        <v>0.39320001006072802</v>
      </c>
    </row>
    <row r="322" spans="1:35">
      <c r="A322" s="1">
        <v>42138</v>
      </c>
      <c r="B322" s="1">
        <v>37319</v>
      </c>
      <c r="C322" t="s">
        <v>4442</v>
      </c>
      <c r="D322">
        <v>313</v>
      </c>
      <c r="E322">
        <v>12162</v>
      </c>
      <c r="F322">
        <v>4</v>
      </c>
      <c r="G322">
        <v>1</v>
      </c>
      <c r="H322">
        <v>1</v>
      </c>
      <c r="I322">
        <v>2</v>
      </c>
      <c r="J322" t="s">
        <v>3491</v>
      </c>
      <c r="K322" t="s">
        <v>3492</v>
      </c>
      <c r="L322" s="2">
        <v>2171.2941999999998</v>
      </c>
      <c r="M322" s="2">
        <v>3578.27</v>
      </c>
      <c r="N322" t="s">
        <v>13</v>
      </c>
      <c r="O322" t="s">
        <v>61</v>
      </c>
      <c r="P322" t="s">
        <v>481</v>
      </c>
      <c r="Q322" t="s">
        <v>6651</v>
      </c>
      <c r="R322" s="1">
        <v>23365</v>
      </c>
      <c r="S322" t="s">
        <v>22</v>
      </c>
      <c r="T322" t="s">
        <v>16</v>
      </c>
      <c r="U322" t="s">
        <v>997</v>
      </c>
      <c r="V322">
        <v>120000</v>
      </c>
      <c r="W322">
        <v>4</v>
      </c>
      <c r="X322" t="s">
        <v>52</v>
      </c>
      <c r="Y322" t="s">
        <v>18</v>
      </c>
      <c r="Z322" t="s">
        <v>19</v>
      </c>
      <c r="AA322" t="s">
        <v>3580</v>
      </c>
      <c r="AB322" t="s">
        <v>3578</v>
      </c>
      <c r="AC322" t="s">
        <v>3579</v>
      </c>
      <c r="AD322" t="s">
        <v>3479</v>
      </c>
      <c r="AE322" t="s">
        <v>3475</v>
      </c>
      <c r="AF322" s="2">
        <v>3578.27</v>
      </c>
      <c r="AG322" s="2">
        <v>2171.2941999999998</v>
      </c>
      <c r="AH322" s="2">
        <v>1406.9757999999999</v>
      </c>
      <c r="AI322" s="3">
        <v>0.39320001006072802</v>
      </c>
    </row>
    <row r="323" spans="1:35">
      <c r="A323" s="1">
        <v>42139</v>
      </c>
      <c r="B323" s="1">
        <v>37304</v>
      </c>
      <c r="C323" t="s">
        <v>4443</v>
      </c>
      <c r="D323">
        <v>314</v>
      </c>
      <c r="E323">
        <v>12050</v>
      </c>
      <c r="F323">
        <v>4</v>
      </c>
      <c r="G323">
        <v>1</v>
      </c>
      <c r="H323">
        <v>1</v>
      </c>
      <c r="I323">
        <v>2</v>
      </c>
      <c r="J323" t="s">
        <v>3493</v>
      </c>
      <c r="K323" t="s">
        <v>3494</v>
      </c>
      <c r="L323" s="2">
        <v>2171.2941999999998</v>
      </c>
      <c r="M323" s="2">
        <v>3578.27</v>
      </c>
      <c r="N323" t="s">
        <v>13</v>
      </c>
      <c r="O323" t="s">
        <v>723</v>
      </c>
      <c r="P323" t="s">
        <v>51</v>
      </c>
      <c r="Q323" t="s">
        <v>6652</v>
      </c>
      <c r="R323" s="1">
        <v>24729</v>
      </c>
      <c r="S323" t="s">
        <v>22</v>
      </c>
      <c r="T323" t="s">
        <v>16</v>
      </c>
      <c r="U323" t="s">
        <v>940</v>
      </c>
      <c r="V323">
        <v>110000</v>
      </c>
      <c r="W323">
        <v>0</v>
      </c>
      <c r="X323" t="s">
        <v>135</v>
      </c>
      <c r="Y323" t="s">
        <v>45</v>
      </c>
      <c r="Z323" t="s">
        <v>23</v>
      </c>
      <c r="AA323" t="s">
        <v>3580</v>
      </c>
      <c r="AB323" t="s">
        <v>3578</v>
      </c>
      <c r="AC323" t="s">
        <v>3579</v>
      </c>
      <c r="AD323" t="s">
        <v>3479</v>
      </c>
      <c r="AE323" t="s">
        <v>3475</v>
      </c>
      <c r="AF323" s="2">
        <v>3578.27</v>
      </c>
      <c r="AG323" s="2">
        <v>2171.2941999999998</v>
      </c>
      <c r="AH323" s="2">
        <v>1406.9757999999999</v>
      </c>
      <c r="AI323" s="3">
        <v>0.39320001006072802</v>
      </c>
    </row>
    <row r="324" spans="1:35">
      <c r="A324" s="1">
        <v>42139</v>
      </c>
      <c r="B324" s="1">
        <v>37281</v>
      </c>
      <c r="C324" t="s">
        <v>4446</v>
      </c>
      <c r="D324">
        <v>312</v>
      </c>
      <c r="E324">
        <v>12173</v>
      </c>
      <c r="F324">
        <v>4</v>
      </c>
      <c r="G324">
        <v>1</v>
      </c>
      <c r="H324">
        <v>1</v>
      </c>
      <c r="I324">
        <v>2</v>
      </c>
      <c r="J324" t="s">
        <v>3489</v>
      </c>
      <c r="K324" t="s">
        <v>3490</v>
      </c>
      <c r="L324" s="2">
        <v>2171.2941999999998</v>
      </c>
      <c r="M324" s="2">
        <v>3578.27</v>
      </c>
      <c r="N324" t="s">
        <v>13</v>
      </c>
      <c r="O324" t="s">
        <v>186</v>
      </c>
      <c r="P324" t="s">
        <v>70</v>
      </c>
      <c r="Q324" t="s">
        <v>6653</v>
      </c>
      <c r="R324" s="1">
        <v>22536</v>
      </c>
      <c r="S324" t="s">
        <v>16</v>
      </c>
      <c r="T324" t="s">
        <v>16</v>
      </c>
      <c r="U324" t="s">
        <v>1005</v>
      </c>
      <c r="V324">
        <v>130000</v>
      </c>
      <c r="W324">
        <v>1</v>
      </c>
      <c r="X324" t="s">
        <v>17</v>
      </c>
      <c r="Y324" t="s">
        <v>45</v>
      </c>
      <c r="Z324" t="s">
        <v>19</v>
      </c>
      <c r="AA324" t="s">
        <v>3580</v>
      </c>
      <c r="AB324" t="s">
        <v>3578</v>
      </c>
      <c r="AC324" t="s">
        <v>3579</v>
      </c>
      <c r="AD324" t="s">
        <v>3479</v>
      </c>
      <c r="AE324" t="s">
        <v>3475</v>
      </c>
      <c r="AF324" s="2">
        <v>3578.27</v>
      </c>
      <c r="AG324" s="2">
        <v>2171.2941999999998</v>
      </c>
      <c r="AH324" s="2">
        <v>1406.9757999999999</v>
      </c>
      <c r="AI324" s="3">
        <v>0.39320001006072802</v>
      </c>
    </row>
    <row r="325" spans="1:35">
      <c r="A325" s="1">
        <v>42139</v>
      </c>
      <c r="B325" s="1">
        <v>37277</v>
      </c>
      <c r="C325" t="s">
        <v>4449</v>
      </c>
      <c r="D325">
        <v>311</v>
      </c>
      <c r="E325">
        <v>12072</v>
      </c>
      <c r="F325">
        <v>4</v>
      </c>
      <c r="G325">
        <v>1</v>
      </c>
      <c r="H325">
        <v>1</v>
      </c>
      <c r="I325">
        <v>2</v>
      </c>
      <c r="J325" t="s">
        <v>3487</v>
      </c>
      <c r="K325" t="s">
        <v>3488</v>
      </c>
      <c r="L325" s="2">
        <v>2171.2941999999998</v>
      </c>
      <c r="M325" s="2">
        <v>3578.27</v>
      </c>
      <c r="N325" t="s">
        <v>13</v>
      </c>
      <c r="O325" t="s">
        <v>361</v>
      </c>
      <c r="P325" t="s">
        <v>199</v>
      </c>
      <c r="Q325" t="s">
        <v>6654</v>
      </c>
      <c r="R325" s="1">
        <v>16308</v>
      </c>
      <c r="S325" t="s">
        <v>16</v>
      </c>
      <c r="T325" t="s">
        <v>16</v>
      </c>
      <c r="U325" t="s">
        <v>950</v>
      </c>
      <c r="V325">
        <v>70000</v>
      </c>
      <c r="W325">
        <v>4</v>
      </c>
      <c r="X325" t="s">
        <v>17</v>
      </c>
      <c r="Y325" t="s">
        <v>45</v>
      </c>
      <c r="Z325" t="s">
        <v>19</v>
      </c>
      <c r="AA325" t="s">
        <v>3580</v>
      </c>
      <c r="AB325" t="s">
        <v>3578</v>
      </c>
      <c r="AC325" t="s">
        <v>3579</v>
      </c>
      <c r="AD325" t="s">
        <v>3479</v>
      </c>
      <c r="AE325" t="s">
        <v>3475</v>
      </c>
      <c r="AF325" s="2">
        <v>3578.27</v>
      </c>
      <c r="AG325" s="2">
        <v>2171.2941999999998</v>
      </c>
      <c r="AH325" s="2">
        <v>1406.9757999999999</v>
      </c>
      <c r="AI325" s="3">
        <v>0.39320001006072802</v>
      </c>
    </row>
    <row r="326" spans="1:35">
      <c r="A326" s="1">
        <v>42140</v>
      </c>
      <c r="B326" s="1">
        <v>37287</v>
      </c>
      <c r="C326" t="s">
        <v>4452</v>
      </c>
      <c r="D326">
        <v>313</v>
      </c>
      <c r="E326">
        <v>12820</v>
      </c>
      <c r="F326">
        <v>7</v>
      </c>
      <c r="G326">
        <v>1</v>
      </c>
      <c r="H326">
        <v>1</v>
      </c>
      <c r="I326">
        <v>2</v>
      </c>
      <c r="J326" t="s">
        <v>3491</v>
      </c>
      <c r="K326" t="s">
        <v>3492</v>
      </c>
      <c r="L326" s="2">
        <v>2171.2941999999998</v>
      </c>
      <c r="M326" s="2">
        <v>3578.27</v>
      </c>
      <c r="N326" t="s">
        <v>13</v>
      </c>
      <c r="O326" t="s">
        <v>1189</v>
      </c>
      <c r="P326" t="s">
        <v>282</v>
      </c>
      <c r="Q326" t="s">
        <v>6655</v>
      </c>
      <c r="R326" s="1">
        <v>24147</v>
      </c>
      <c r="S326" t="s">
        <v>22</v>
      </c>
      <c r="T326" t="s">
        <v>16</v>
      </c>
      <c r="U326" t="s">
        <v>1293</v>
      </c>
      <c r="V326">
        <v>20000</v>
      </c>
      <c r="W326">
        <v>2</v>
      </c>
      <c r="X326" t="s">
        <v>57</v>
      </c>
      <c r="Y326" t="s">
        <v>444</v>
      </c>
      <c r="Z326" t="s">
        <v>19</v>
      </c>
      <c r="AA326" t="s">
        <v>3583</v>
      </c>
      <c r="AB326" t="s">
        <v>3583</v>
      </c>
      <c r="AC326" t="s">
        <v>3584</v>
      </c>
      <c r="AD326" t="s">
        <v>3479</v>
      </c>
      <c r="AE326" t="s">
        <v>3475</v>
      </c>
      <c r="AF326" s="2">
        <v>3578.27</v>
      </c>
      <c r="AG326" s="2">
        <v>2171.2941999999998</v>
      </c>
      <c r="AH326" s="2">
        <v>1406.9757999999999</v>
      </c>
      <c r="AI326" s="3">
        <v>0.39320001006072802</v>
      </c>
    </row>
    <row r="327" spans="1:35">
      <c r="A327" s="1">
        <v>42140</v>
      </c>
      <c r="B327" s="1">
        <v>37373</v>
      </c>
      <c r="C327" t="s">
        <v>4453</v>
      </c>
      <c r="D327">
        <v>351</v>
      </c>
      <c r="E327">
        <v>11990</v>
      </c>
      <c r="F327">
        <v>9</v>
      </c>
      <c r="G327">
        <v>1</v>
      </c>
      <c r="H327">
        <v>1</v>
      </c>
      <c r="I327">
        <v>1</v>
      </c>
      <c r="J327" t="s">
        <v>3533</v>
      </c>
      <c r="K327" t="s">
        <v>3534</v>
      </c>
      <c r="L327" s="2">
        <v>1898.0944</v>
      </c>
      <c r="M327" s="2">
        <v>3374.99</v>
      </c>
      <c r="N327" t="s">
        <v>30</v>
      </c>
      <c r="O327" t="s">
        <v>885</v>
      </c>
      <c r="P327" t="s">
        <v>232</v>
      </c>
      <c r="Q327" t="s">
        <v>6656</v>
      </c>
      <c r="R327" s="1">
        <v>22842</v>
      </c>
      <c r="S327" t="s">
        <v>22</v>
      </c>
      <c r="T327" t="s">
        <v>29</v>
      </c>
      <c r="U327" t="s">
        <v>886</v>
      </c>
      <c r="V327">
        <v>70000</v>
      </c>
      <c r="W327">
        <v>1</v>
      </c>
      <c r="X327" t="s">
        <v>52</v>
      </c>
      <c r="Y327" t="s">
        <v>53</v>
      </c>
      <c r="Z327" t="s">
        <v>19</v>
      </c>
      <c r="AA327" t="s">
        <v>3586</v>
      </c>
      <c r="AB327" t="s">
        <v>3586</v>
      </c>
      <c r="AC327" t="s">
        <v>3587</v>
      </c>
      <c r="AD327" t="s">
        <v>3478</v>
      </c>
      <c r="AE327" t="s">
        <v>3475</v>
      </c>
      <c r="AF327" s="2">
        <v>3374.99</v>
      </c>
      <c r="AG327" s="2">
        <v>1898.0944</v>
      </c>
      <c r="AH327" s="2">
        <v>1476.8956000000001</v>
      </c>
      <c r="AI327" s="3">
        <v>0.43759999288886797</v>
      </c>
    </row>
    <row r="328" spans="1:35">
      <c r="A328" s="1">
        <v>42140</v>
      </c>
      <c r="B328" s="1">
        <v>37343</v>
      </c>
      <c r="C328" t="s">
        <v>4454</v>
      </c>
      <c r="D328">
        <v>313</v>
      </c>
      <c r="E328">
        <v>13263</v>
      </c>
      <c r="F328">
        <v>7</v>
      </c>
      <c r="G328">
        <v>1</v>
      </c>
      <c r="H328">
        <v>1</v>
      </c>
      <c r="I328">
        <v>2</v>
      </c>
      <c r="J328" t="s">
        <v>3491</v>
      </c>
      <c r="K328" t="s">
        <v>3492</v>
      </c>
      <c r="L328" s="2">
        <v>2171.2941999999998</v>
      </c>
      <c r="M328" s="2">
        <v>3578.27</v>
      </c>
      <c r="N328" t="s">
        <v>30</v>
      </c>
      <c r="O328" t="s">
        <v>817</v>
      </c>
      <c r="P328" t="s">
        <v>195</v>
      </c>
      <c r="Q328" t="s">
        <v>6657</v>
      </c>
      <c r="R328" s="1">
        <v>20569</v>
      </c>
      <c r="S328" t="s">
        <v>22</v>
      </c>
      <c r="T328" t="s">
        <v>29</v>
      </c>
      <c r="U328" t="s">
        <v>1475</v>
      </c>
      <c r="V328">
        <v>110000</v>
      </c>
      <c r="W328">
        <v>2</v>
      </c>
      <c r="X328" t="s">
        <v>52</v>
      </c>
      <c r="Y328" t="s">
        <v>18</v>
      </c>
      <c r="Z328" t="s">
        <v>19</v>
      </c>
      <c r="AA328" t="s">
        <v>3583</v>
      </c>
      <c r="AB328" t="s">
        <v>3583</v>
      </c>
      <c r="AC328" t="s">
        <v>3584</v>
      </c>
      <c r="AD328" t="s">
        <v>3479</v>
      </c>
      <c r="AE328" t="s">
        <v>3475</v>
      </c>
      <c r="AF328" s="2">
        <v>3578.27</v>
      </c>
      <c r="AG328" s="2">
        <v>2171.2941999999998</v>
      </c>
      <c r="AH328" s="2">
        <v>1406.9757999999999</v>
      </c>
      <c r="AI328" s="3">
        <v>0.39320001006072802</v>
      </c>
    </row>
    <row r="329" spans="1:35">
      <c r="A329" s="1">
        <v>42140</v>
      </c>
      <c r="B329" s="1">
        <v>37355</v>
      </c>
      <c r="C329" t="s">
        <v>4457</v>
      </c>
      <c r="D329">
        <v>349</v>
      </c>
      <c r="E329">
        <v>11993</v>
      </c>
      <c r="F329">
        <v>9</v>
      </c>
      <c r="G329">
        <v>1</v>
      </c>
      <c r="H329">
        <v>1</v>
      </c>
      <c r="I329">
        <v>1</v>
      </c>
      <c r="J329" t="s">
        <v>3529</v>
      </c>
      <c r="K329" t="s">
        <v>3530</v>
      </c>
      <c r="L329" s="2">
        <v>1898.0944</v>
      </c>
      <c r="M329" s="2">
        <v>3374.99</v>
      </c>
      <c r="N329" t="s">
        <v>30</v>
      </c>
      <c r="O329" t="s">
        <v>890</v>
      </c>
      <c r="P329" t="s">
        <v>56</v>
      </c>
      <c r="Q329" t="s">
        <v>6658</v>
      </c>
      <c r="R329" s="1">
        <v>22359</v>
      </c>
      <c r="S329" t="s">
        <v>22</v>
      </c>
      <c r="T329" t="s">
        <v>29</v>
      </c>
      <c r="U329" t="s">
        <v>891</v>
      </c>
      <c r="V329">
        <v>60000</v>
      </c>
      <c r="W329">
        <v>1</v>
      </c>
      <c r="X329" t="s">
        <v>52</v>
      </c>
      <c r="Y329" t="s">
        <v>53</v>
      </c>
      <c r="Z329" t="s">
        <v>23</v>
      </c>
      <c r="AA329" t="s">
        <v>3586</v>
      </c>
      <c r="AB329" t="s">
        <v>3586</v>
      </c>
      <c r="AC329" t="s">
        <v>3587</v>
      </c>
      <c r="AD329" t="s">
        <v>3478</v>
      </c>
      <c r="AE329" t="s">
        <v>3475</v>
      </c>
      <c r="AF329" s="2">
        <v>3374.99</v>
      </c>
      <c r="AG329" s="2">
        <v>1898.0944</v>
      </c>
      <c r="AH329" s="2">
        <v>1476.8956000000001</v>
      </c>
      <c r="AI329" s="3">
        <v>0.43759999288886797</v>
      </c>
    </row>
    <row r="330" spans="1:35">
      <c r="A330" s="1">
        <v>42141</v>
      </c>
      <c r="B330" s="1">
        <v>37273</v>
      </c>
      <c r="C330" t="s">
        <v>4462</v>
      </c>
      <c r="D330">
        <v>312</v>
      </c>
      <c r="E330">
        <v>12110</v>
      </c>
      <c r="F330">
        <v>4</v>
      </c>
      <c r="G330">
        <v>1</v>
      </c>
      <c r="H330">
        <v>1</v>
      </c>
      <c r="I330">
        <v>2</v>
      </c>
      <c r="J330" t="s">
        <v>3489</v>
      </c>
      <c r="K330" t="s">
        <v>3490</v>
      </c>
      <c r="L330" s="2">
        <v>2171.2941999999998</v>
      </c>
      <c r="M330" s="2">
        <v>3578.27</v>
      </c>
      <c r="N330" t="s">
        <v>30</v>
      </c>
      <c r="O330" t="s">
        <v>211</v>
      </c>
      <c r="P330" t="s">
        <v>929</v>
      </c>
      <c r="Q330" t="s">
        <v>6659</v>
      </c>
      <c r="R330" s="1">
        <v>18297</v>
      </c>
      <c r="S330" t="s">
        <v>16</v>
      </c>
      <c r="T330" t="s">
        <v>29</v>
      </c>
      <c r="U330" t="s">
        <v>967</v>
      </c>
      <c r="V330">
        <v>60000</v>
      </c>
      <c r="W330">
        <v>2</v>
      </c>
      <c r="X330" t="s">
        <v>52</v>
      </c>
      <c r="Y330" t="s">
        <v>18</v>
      </c>
      <c r="Z330" t="s">
        <v>19</v>
      </c>
      <c r="AA330" t="s">
        <v>3580</v>
      </c>
      <c r="AB330" t="s">
        <v>3578</v>
      </c>
      <c r="AC330" t="s">
        <v>3579</v>
      </c>
      <c r="AD330" t="s">
        <v>3479</v>
      </c>
      <c r="AE330" t="s">
        <v>3475</v>
      </c>
      <c r="AF330" s="2">
        <v>3578.27</v>
      </c>
      <c r="AG330" s="2">
        <v>2171.2941999999998</v>
      </c>
      <c r="AH330" s="2">
        <v>1406.9757999999999</v>
      </c>
      <c r="AI330" s="3">
        <v>0.39320001006072802</v>
      </c>
    </row>
    <row r="331" spans="1:35">
      <c r="A331" s="1">
        <v>42141</v>
      </c>
      <c r="B331" s="1">
        <v>37308</v>
      </c>
      <c r="C331" t="s">
        <v>4463</v>
      </c>
      <c r="D331">
        <v>311</v>
      </c>
      <c r="E331">
        <v>12058</v>
      </c>
      <c r="F331">
        <v>4</v>
      </c>
      <c r="G331">
        <v>1</v>
      </c>
      <c r="H331">
        <v>1</v>
      </c>
      <c r="I331">
        <v>2</v>
      </c>
      <c r="J331" t="s">
        <v>3487</v>
      </c>
      <c r="K331" t="s">
        <v>3488</v>
      </c>
      <c r="L331" s="2">
        <v>2171.2941999999998</v>
      </c>
      <c r="M331" s="2">
        <v>3578.27</v>
      </c>
      <c r="N331" t="s">
        <v>30</v>
      </c>
      <c r="O331" t="s">
        <v>50</v>
      </c>
      <c r="P331" t="s">
        <v>203</v>
      </c>
      <c r="Q331" t="s">
        <v>6660</v>
      </c>
      <c r="R331" s="1">
        <v>15890</v>
      </c>
      <c r="S331" t="s">
        <v>16</v>
      </c>
      <c r="T331" t="s">
        <v>29</v>
      </c>
      <c r="U331" t="s">
        <v>945</v>
      </c>
      <c r="V331">
        <v>130000</v>
      </c>
      <c r="W331">
        <v>2</v>
      </c>
      <c r="X331" t="s">
        <v>17</v>
      </c>
      <c r="Y331" t="s">
        <v>45</v>
      </c>
      <c r="Z331" t="s">
        <v>19</v>
      </c>
      <c r="AA331" t="s">
        <v>3580</v>
      </c>
      <c r="AB331" t="s">
        <v>3578</v>
      </c>
      <c r="AC331" t="s">
        <v>3579</v>
      </c>
      <c r="AD331" t="s">
        <v>3479</v>
      </c>
      <c r="AE331" t="s">
        <v>3475</v>
      </c>
      <c r="AF331" s="2">
        <v>3578.27</v>
      </c>
      <c r="AG331" s="2">
        <v>2171.2941999999998</v>
      </c>
      <c r="AH331" s="2">
        <v>1406.9757999999999</v>
      </c>
      <c r="AI331" s="3">
        <v>0.39320001006072802</v>
      </c>
    </row>
    <row r="332" spans="1:35">
      <c r="A332" s="1">
        <v>42141</v>
      </c>
      <c r="B332" s="1">
        <v>37356</v>
      </c>
      <c r="C332" t="s">
        <v>4465</v>
      </c>
      <c r="D332">
        <v>310</v>
      </c>
      <c r="E332">
        <v>12016</v>
      </c>
      <c r="F332">
        <v>4</v>
      </c>
      <c r="G332">
        <v>1</v>
      </c>
      <c r="H332">
        <v>1</v>
      </c>
      <c r="I332">
        <v>2</v>
      </c>
      <c r="J332" t="s">
        <v>3485</v>
      </c>
      <c r="K332" t="s">
        <v>3486</v>
      </c>
      <c r="L332" s="2">
        <v>2171.2941999999998</v>
      </c>
      <c r="M332" s="2">
        <v>3578.27</v>
      </c>
      <c r="N332" t="s">
        <v>26</v>
      </c>
      <c r="O332" t="s">
        <v>216</v>
      </c>
      <c r="P332" t="s">
        <v>157</v>
      </c>
      <c r="Q332" t="s">
        <v>6661</v>
      </c>
      <c r="R332" s="1">
        <v>27741</v>
      </c>
      <c r="S332" t="s">
        <v>22</v>
      </c>
      <c r="T332" t="s">
        <v>29</v>
      </c>
      <c r="U332" t="s">
        <v>920</v>
      </c>
      <c r="V332">
        <v>40000</v>
      </c>
      <c r="W332">
        <v>0</v>
      </c>
      <c r="X332" t="s">
        <v>57</v>
      </c>
      <c r="Y332" t="s">
        <v>53</v>
      </c>
      <c r="Z332" t="s">
        <v>23</v>
      </c>
      <c r="AA332" t="s">
        <v>3580</v>
      </c>
      <c r="AB332" t="s">
        <v>3578</v>
      </c>
      <c r="AC332" t="s">
        <v>3579</v>
      </c>
      <c r="AD332" t="s">
        <v>3479</v>
      </c>
      <c r="AE332" t="s">
        <v>3475</v>
      </c>
      <c r="AF332" s="2">
        <v>3578.27</v>
      </c>
      <c r="AG332" s="2">
        <v>2171.2941999999998</v>
      </c>
      <c r="AH332" s="2">
        <v>1406.9757999999999</v>
      </c>
      <c r="AI332" s="3">
        <v>0.39320001006072802</v>
      </c>
    </row>
    <row r="333" spans="1:35">
      <c r="A333" s="1">
        <v>42141</v>
      </c>
      <c r="B333" s="1">
        <v>37335</v>
      </c>
      <c r="C333" t="s">
        <v>4467</v>
      </c>
      <c r="D333">
        <v>350</v>
      </c>
      <c r="E333">
        <v>12001</v>
      </c>
      <c r="F333">
        <v>9</v>
      </c>
      <c r="G333">
        <v>1</v>
      </c>
      <c r="H333">
        <v>1</v>
      </c>
      <c r="I333">
        <v>1</v>
      </c>
      <c r="J333" t="s">
        <v>3531</v>
      </c>
      <c r="K333" t="s">
        <v>3532</v>
      </c>
      <c r="L333" s="2">
        <v>1898.0944</v>
      </c>
      <c r="M333" s="2">
        <v>3374.99</v>
      </c>
      <c r="N333" t="s">
        <v>30</v>
      </c>
      <c r="O333" t="s">
        <v>37</v>
      </c>
      <c r="P333" t="s">
        <v>15</v>
      </c>
      <c r="Q333" t="s">
        <v>6662</v>
      </c>
      <c r="R333" s="1">
        <v>23929</v>
      </c>
      <c r="S333" t="s">
        <v>22</v>
      </c>
      <c r="T333" t="s">
        <v>29</v>
      </c>
      <c r="U333" t="s">
        <v>903</v>
      </c>
      <c r="V333">
        <v>80000</v>
      </c>
      <c r="W333">
        <v>5</v>
      </c>
      <c r="X333" t="s">
        <v>17</v>
      </c>
      <c r="Y333" t="s">
        <v>18</v>
      </c>
      <c r="Z333" t="s">
        <v>19</v>
      </c>
      <c r="AA333" t="s">
        <v>3586</v>
      </c>
      <c r="AB333" t="s">
        <v>3586</v>
      </c>
      <c r="AC333" t="s">
        <v>3587</v>
      </c>
      <c r="AD333" t="s">
        <v>3478</v>
      </c>
      <c r="AE333" t="s">
        <v>3475</v>
      </c>
      <c r="AF333" s="2">
        <v>3374.99</v>
      </c>
      <c r="AG333" s="2">
        <v>1898.0944</v>
      </c>
      <c r="AH333" s="2">
        <v>1476.8956000000001</v>
      </c>
      <c r="AI333" s="3">
        <v>0.43759999288886797</v>
      </c>
    </row>
    <row r="334" spans="1:35">
      <c r="A334" s="1">
        <v>42141</v>
      </c>
      <c r="B334" s="1">
        <v>37311</v>
      </c>
      <c r="C334" t="s">
        <v>4468</v>
      </c>
      <c r="D334">
        <v>312</v>
      </c>
      <c r="E334">
        <v>12151</v>
      </c>
      <c r="F334">
        <v>4</v>
      </c>
      <c r="G334">
        <v>1</v>
      </c>
      <c r="H334">
        <v>1</v>
      </c>
      <c r="I334">
        <v>2</v>
      </c>
      <c r="J334" t="s">
        <v>3489</v>
      </c>
      <c r="K334" t="s">
        <v>3490</v>
      </c>
      <c r="L334" s="2">
        <v>2171.2941999999998</v>
      </c>
      <c r="M334" s="2">
        <v>3578.27</v>
      </c>
      <c r="N334" t="s">
        <v>13</v>
      </c>
      <c r="O334" t="s">
        <v>990</v>
      </c>
      <c r="P334" t="s">
        <v>376</v>
      </c>
      <c r="Q334" t="s">
        <v>6663</v>
      </c>
      <c r="R334" s="1">
        <v>23509</v>
      </c>
      <c r="S334" t="s">
        <v>16</v>
      </c>
      <c r="T334" t="s">
        <v>16</v>
      </c>
      <c r="U334" t="s">
        <v>991</v>
      </c>
      <c r="V334">
        <v>130000</v>
      </c>
      <c r="W334">
        <v>2</v>
      </c>
      <c r="X334" t="s">
        <v>17</v>
      </c>
      <c r="Y334" t="s">
        <v>45</v>
      </c>
      <c r="Z334" t="s">
        <v>19</v>
      </c>
      <c r="AA334" t="s">
        <v>3580</v>
      </c>
      <c r="AB334" t="s">
        <v>3578</v>
      </c>
      <c r="AC334" t="s">
        <v>3579</v>
      </c>
      <c r="AD334" t="s">
        <v>3479</v>
      </c>
      <c r="AE334" t="s">
        <v>3475</v>
      </c>
      <c r="AF334" s="2">
        <v>3578.27</v>
      </c>
      <c r="AG334" s="2">
        <v>2171.2941999999998</v>
      </c>
      <c r="AH334" s="2">
        <v>1406.9757999999999</v>
      </c>
      <c r="AI334" s="3">
        <v>0.39320001006072802</v>
      </c>
    </row>
    <row r="335" spans="1:35">
      <c r="A335" s="1">
        <v>42141</v>
      </c>
      <c r="B335" s="1">
        <v>37333</v>
      </c>
      <c r="C335" t="s">
        <v>4469</v>
      </c>
      <c r="D335">
        <v>312</v>
      </c>
      <c r="E335">
        <v>12843</v>
      </c>
      <c r="F335">
        <v>7</v>
      </c>
      <c r="G335">
        <v>1</v>
      </c>
      <c r="H335">
        <v>1</v>
      </c>
      <c r="I335">
        <v>2</v>
      </c>
      <c r="J335" t="s">
        <v>3489</v>
      </c>
      <c r="K335" t="s">
        <v>3490</v>
      </c>
      <c r="L335" s="2">
        <v>2171.2941999999998</v>
      </c>
      <c r="M335" s="2">
        <v>3578.27</v>
      </c>
      <c r="N335" t="s">
        <v>30</v>
      </c>
      <c r="O335" t="s">
        <v>932</v>
      </c>
      <c r="P335" t="s">
        <v>672</v>
      </c>
      <c r="Q335" t="s">
        <v>6664</v>
      </c>
      <c r="R335" s="1">
        <v>23956</v>
      </c>
      <c r="S335" t="s">
        <v>22</v>
      </c>
      <c r="T335" t="s">
        <v>29</v>
      </c>
      <c r="U335" t="s">
        <v>1298</v>
      </c>
      <c r="V335">
        <v>30000</v>
      </c>
      <c r="W335">
        <v>2</v>
      </c>
      <c r="X335" t="s">
        <v>52</v>
      </c>
      <c r="Y335" t="s">
        <v>60</v>
      </c>
      <c r="Z335" t="s">
        <v>19</v>
      </c>
      <c r="AA335" t="s">
        <v>3583</v>
      </c>
      <c r="AB335" t="s">
        <v>3583</v>
      </c>
      <c r="AC335" t="s">
        <v>3584</v>
      </c>
      <c r="AD335" t="s">
        <v>3479</v>
      </c>
      <c r="AE335" t="s">
        <v>3475</v>
      </c>
      <c r="AF335" s="2">
        <v>3578.27</v>
      </c>
      <c r="AG335" s="2">
        <v>2171.2941999999998</v>
      </c>
      <c r="AH335" s="2">
        <v>1406.9757999999999</v>
      </c>
      <c r="AI335" s="3">
        <v>0.39320001006072802</v>
      </c>
    </row>
    <row r="336" spans="1:35">
      <c r="A336" s="1">
        <v>42142</v>
      </c>
      <c r="B336" s="1">
        <v>37311</v>
      </c>
      <c r="C336" t="s">
        <v>4472</v>
      </c>
      <c r="D336">
        <v>310</v>
      </c>
      <c r="E336">
        <v>13504</v>
      </c>
      <c r="F336">
        <v>7</v>
      </c>
      <c r="G336">
        <v>1</v>
      </c>
      <c r="H336">
        <v>1</v>
      </c>
      <c r="I336">
        <v>2</v>
      </c>
      <c r="J336" t="s">
        <v>3485</v>
      </c>
      <c r="K336" t="s">
        <v>3486</v>
      </c>
      <c r="L336" s="2">
        <v>2171.2941999999998</v>
      </c>
      <c r="M336" s="2">
        <v>3578.27</v>
      </c>
      <c r="N336" t="s">
        <v>30</v>
      </c>
      <c r="O336" t="s">
        <v>494</v>
      </c>
      <c r="P336" t="s">
        <v>779</v>
      </c>
      <c r="Q336" t="s">
        <v>6665</v>
      </c>
      <c r="R336" s="1">
        <v>20531</v>
      </c>
      <c r="S336" t="s">
        <v>16</v>
      </c>
      <c r="T336" t="s">
        <v>29</v>
      </c>
      <c r="U336" t="s">
        <v>1562</v>
      </c>
      <c r="V336">
        <v>10000</v>
      </c>
      <c r="W336">
        <v>2</v>
      </c>
      <c r="X336" t="s">
        <v>52</v>
      </c>
      <c r="Y336" t="s">
        <v>444</v>
      </c>
      <c r="Z336" t="s">
        <v>19</v>
      </c>
      <c r="AA336" t="s">
        <v>3583</v>
      </c>
      <c r="AB336" t="s">
        <v>3583</v>
      </c>
      <c r="AC336" t="s">
        <v>3584</v>
      </c>
      <c r="AD336" t="s">
        <v>3479</v>
      </c>
      <c r="AE336" t="s">
        <v>3475</v>
      </c>
      <c r="AF336" s="2">
        <v>3578.27</v>
      </c>
      <c r="AG336" s="2">
        <v>2171.2941999999998</v>
      </c>
      <c r="AH336" s="2">
        <v>1406.9757999999999</v>
      </c>
      <c r="AI336" s="3">
        <v>0.39320001006072802</v>
      </c>
    </row>
    <row r="337" spans="1:35">
      <c r="A337" s="1">
        <v>42143</v>
      </c>
      <c r="B337" s="1">
        <v>37344</v>
      </c>
      <c r="C337" t="s">
        <v>4479</v>
      </c>
      <c r="D337">
        <v>347</v>
      </c>
      <c r="E337">
        <v>12000</v>
      </c>
      <c r="F337">
        <v>9</v>
      </c>
      <c r="G337">
        <v>1</v>
      </c>
      <c r="H337">
        <v>1</v>
      </c>
      <c r="I337">
        <v>1</v>
      </c>
      <c r="J337" t="s">
        <v>3525</v>
      </c>
      <c r="K337" t="s">
        <v>3526</v>
      </c>
      <c r="L337" s="2">
        <v>1912.1543999999999</v>
      </c>
      <c r="M337" s="2">
        <v>3399.99</v>
      </c>
      <c r="N337" t="s">
        <v>26</v>
      </c>
      <c r="O337" t="s">
        <v>289</v>
      </c>
      <c r="P337" t="s">
        <v>71</v>
      </c>
      <c r="Q337" t="s">
        <v>6666</v>
      </c>
      <c r="R337" s="1">
        <v>23813</v>
      </c>
      <c r="S337" t="s">
        <v>22</v>
      </c>
      <c r="T337" t="s">
        <v>29</v>
      </c>
      <c r="U337" t="s">
        <v>902</v>
      </c>
      <c r="V337">
        <v>70000</v>
      </c>
      <c r="W337">
        <v>0</v>
      </c>
      <c r="X337" t="s">
        <v>17</v>
      </c>
      <c r="Y337" t="s">
        <v>18</v>
      </c>
      <c r="Z337" t="s">
        <v>23</v>
      </c>
      <c r="AA337" t="s">
        <v>3586</v>
      </c>
      <c r="AB337" t="s">
        <v>3586</v>
      </c>
      <c r="AC337" t="s">
        <v>3587</v>
      </c>
      <c r="AD337" t="s">
        <v>3478</v>
      </c>
      <c r="AE337" t="s">
        <v>3475</v>
      </c>
      <c r="AF337" s="2">
        <v>3399.99</v>
      </c>
      <c r="AG337" s="2">
        <v>1912.1543999999999</v>
      </c>
      <c r="AH337" s="2">
        <v>1487.8356000000001</v>
      </c>
      <c r="AI337" s="3">
        <v>0.43759999294115598</v>
      </c>
    </row>
    <row r="338" spans="1:35">
      <c r="A338" s="1">
        <v>42143</v>
      </c>
      <c r="B338" s="1">
        <v>37363</v>
      </c>
      <c r="C338" t="s">
        <v>4481</v>
      </c>
      <c r="D338">
        <v>350</v>
      </c>
      <c r="E338">
        <v>11998</v>
      </c>
      <c r="F338">
        <v>9</v>
      </c>
      <c r="G338">
        <v>1</v>
      </c>
      <c r="H338">
        <v>1</v>
      </c>
      <c r="I338">
        <v>1</v>
      </c>
      <c r="J338" t="s">
        <v>3531</v>
      </c>
      <c r="K338" t="s">
        <v>3532</v>
      </c>
      <c r="L338" s="2">
        <v>1898.0944</v>
      </c>
      <c r="M338" s="2">
        <v>3374.99</v>
      </c>
      <c r="N338" t="s">
        <v>30</v>
      </c>
      <c r="O338" t="s">
        <v>899</v>
      </c>
      <c r="P338" t="s">
        <v>664</v>
      </c>
      <c r="Q338" t="s">
        <v>6667</v>
      </c>
      <c r="R338" s="1">
        <v>22138</v>
      </c>
      <c r="S338" t="s">
        <v>16</v>
      </c>
      <c r="T338" t="s">
        <v>29</v>
      </c>
      <c r="U338" t="s">
        <v>900</v>
      </c>
      <c r="V338">
        <v>60000</v>
      </c>
      <c r="W338">
        <v>1</v>
      </c>
      <c r="X338" t="s">
        <v>52</v>
      </c>
      <c r="Y338" t="s">
        <v>53</v>
      </c>
      <c r="Z338" t="s">
        <v>19</v>
      </c>
      <c r="AA338" t="s">
        <v>3586</v>
      </c>
      <c r="AB338" t="s">
        <v>3586</v>
      </c>
      <c r="AC338" t="s">
        <v>3587</v>
      </c>
      <c r="AD338" t="s">
        <v>3478</v>
      </c>
      <c r="AE338" t="s">
        <v>3475</v>
      </c>
      <c r="AF338" s="2">
        <v>3374.99</v>
      </c>
      <c r="AG338" s="2">
        <v>1898.0944</v>
      </c>
      <c r="AH338" s="2">
        <v>1476.8956000000001</v>
      </c>
      <c r="AI338" s="3">
        <v>0.43759999288886797</v>
      </c>
    </row>
    <row r="339" spans="1:35">
      <c r="A339" s="1">
        <v>42143</v>
      </c>
      <c r="B339" s="1">
        <v>37365</v>
      </c>
      <c r="C339" t="s">
        <v>4483</v>
      </c>
      <c r="D339">
        <v>314</v>
      </c>
      <c r="E339">
        <v>12143</v>
      </c>
      <c r="F339">
        <v>1</v>
      </c>
      <c r="G339">
        <v>1</v>
      </c>
      <c r="H339">
        <v>1</v>
      </c>
      <c r="I339">
        <v>2</v>
      </c>
      <c r="J339" t="s">
        <v>3493</v>
      </c>
      <c r="K339" t="s">
        <v>3494</v>
      </c>
      <c r="L339" s="2">
        <v>2171.2941999999998</v>
      </c>
      <c r="M339" s="2">
        <v>3578.27</v>
      </c>
      <c r="N339" t="s">
        <v>13</v>
      </c>
      <c r="O339" t="s">
        <v>608</v>
      </c>
      <c r="P339" t="s">
        <v>347</v>
      </c>
      <c r="Q339" t="s">
        <v>6668</v>
      </c>
      <c r="R339" s="1">
        <v>24059</v>
      </c>
      <c r="S339" t="s">
        <v>16</v>
      </c>
      <c r="T339" t="s">
        <v>16</v>
      </c>
      <c r="U339" t="s">
        <v>988</v>
      </c>
      <c r="V339">
        <v>100000</v>
      </c>
      <c r="W339">
        <v>4</v>
      </c>
      <c r="X339" t="s">
        <v>17</v>
      </c>
      <c r="Y339" t="s">
        <v>45</v>
      </c>
      <c r="Z339" t="s">
        <v>19</v>
      </c>
      <c r="AA339" t="s">
        <v>3577</v>
      </c>
      <c r="AB339" t="s">
        <v>3578</v>
      </c>
      <c r="AC339" t="s">
        <v>3579</v>
      </c>
      <c r="AD339" t="s">
        <v>3479</v>
      </c>
      <c r="AE339" t="s">
        <v>3475</v>
      </c>
      <c r="AF339" s="2">
        <v>3578.27</v>
      </c>
      <c r="AG339" s="2">
        <v>2171.2941999999998</v>
      </c>
      <c r="AH339" s="2">
        <v>1406.9757999999999</v>
      </c>
      <c r="AI339" s="3">
        <v>0.39320001006072802</v>
      </c>
    </row>
    <row r="340" spans="1:35">
      <c r="A340" s="1">
        <v>42144</v>
      </c>
      <c r="B340" s="1">
        <v>37375</v>
      </c>
      <c r="C340" t="s">
        <v>4485</v>
      </c>
      <c r="D340">
        <v>310</v>
      </c>
      <c r="E340">
        <v>12096</v>
      </c>
      <c r="F340">
        <v>4</v>
      </c>
      <c r="G340">
        <v>1</v>
      </c>
      <c r="H340">
        <v>1</v>
      </c>
      <c r="I340">
        <v>2</v>
      </c>
      <c r="J340" t="s">
        <v>3485</v>
      </c>
      <c r="K340" t="s">
        <v>3486</v>
      </c>
      <c r="L340" s="2">
        <v>2171.2941999999998</v>
      </c>
      <c r="M340" s="2">
        <v>3578.27</v>
      </c>
      <c r="N340" t="s">
        <v>30</v>
      </c>
      <c r="O340" t="s">
        <v>959</v>
      </c>
      <c r="P340" t="s">
        <v>286</v>
      </c>
      <c r="Q340" t="s">
        <v>6669</v>
      </c>
      <c r="R340" s="1">
        <v>17590</v>
      </c>
      <c r="S340" t="s">
        <v>16</v>
      </c>
      <c r="T340" t="s">
        <v>29</v>
      </c>
      <c r="U340" t="s">
        <v>960</v>
      </c>
      <c r="V340">
        <v>60000</v>
      </c>
      <c r="W340">
        <v>2</v>
      </c>
      <c r="X340" t="s">
        <v>17</v>
      </c>
      <c r="Y340" t="s">
        <v>45</v>
      </c>
      <c r="Z340" t="s">
        <v>23</v>
      </c>
      <c r="AA340" t="s">
        <v>3580</v>
      </c>
      <c r="AB340" t="s">
        <v>3578</v>
      </c>
      <c r="AC340" t="s">
        <v>3579</v>
      </c>
      <c r="AD340" t="s">
        <v>3479</v>
      </c>
      <c r="AE340" t="s">
        <v>3475</v>
      </c>
      <c r="AF340" s="2">
        <v>3578.27</v>
      </c>
      <c r="AG340" s="2">
        <v>2171.2941999999998</v>
      </c>
      <c r="AH340" s="2">
        <v>1406.9757999999999</v>
      </c>
      <c r="AI340" s="3">
        <v>0.39320001006072802</v>
      </c>
    </row>
    <row r="341" spans="1:35">
      <c r="A341" s="1">
        <v>42144</v>
      </c>
      <c r="B341" s="1">
        <v>37338</v>
      </c>
      <c r="C341" t="s">
        <v>4488</v>
      </c>
      <c r="D341">
        <v>311</v>
      </c>
      <c r="E341">
        <v>12082</v>
      </c>
      <c r="F341">
        <v>4</v>
      </c>
      <c r="G341">
        <v>1</v>
      </c>
      <c r="H341">
        <v>1</v>
      </c>
      <c r="I341">
        <v>2</v>
      </c>
      <c r="J341" t="s">
        <v>3487</v>
      </c>
      <c r="K341" t="s">
        <v>3488</v>
      </c>
      <c r="L341" s="2">
        <v>2171.2941999999998</v>
      </c>
      <c r="M341" s="2">
        <v>3578.27</v>
      </c>
      <c r="N341" t="s">
        <v>30</v>
      </c>
      <c r="O341" t="s">
        <v>43</v>
      </c>
      <c r="P341" t="s">
        <v>109</v>
      </c>
      <c r="Q341" t="s">
        <v>6670</v>
      </c>
      <c r="R341" s="1">
        <v>17087</v>
      </c>
      <c r="S341" t="s">
        <v>16</v>
      </c>
      <c r="T341" t="s">
        <v>29</v>
      </c>
      <c r="U341" t="s">
        <v>955</v>
      </c>
      <c r="V341">
        <v>70000</v>
      </c>
      <c r="W341">
        <v>5</v>
      </c>
      <c r="X341" t="s">
        <v>17</v>
      </c>
      <c r="Y341" t="s">
        <v>45</v>
      </c>
      <c r="Z341" t="s">
        <v>19</v>
      </c>
      <c r="AA341" t="s">
        <v>3580</v>
      </c>
      <c r="AB341" t="s">
        <v>3578</v>
      </c>
      <c r="AC341" t="s">
        <v>3579</v>
      </c>
      <c r="AD341" t="s">
        <v>3479</v>
      </c>
      <c r="AE341" t="s">
        <v>3475</v>
      </c>
      <c r="AF341" s="2">
        <v>3578.27</v>
      </c>
      <c r="AG341" s="2">
        <v>2171.2941999999998</v>
      </c>
      <c r="AH341" s="2">
        <v>1406.9757999999999</v>
      </c>
      <c r="AI341" s="3">
        <v>0.39320001006072802</v>
      </c>
    </row>
    <row r="342" spans="1:35">
      <c r="A342" s="1">
        <v>42144</v>
      </c>
      <c r="B342" s="1">
        <v>37361</v>
      </c>
      <c r="C342" t="s">
        <v>4489</v>
      </c>
      <c r="D342">
        <v>346</v>
      </c>
      <c r="E342">
        <v>11992</v>
      </c>
      <c r="F342">
        <v>9</v>
      </c>
      <c r="G342">
        <v>1</v>
      </c>
      <c r="H342">
        <v>1</v>
      </c>
      <c r="I342">
        <v>1</v>
      </c>
      <c r="J342" t="s">
        <v>3523</v>
      </c>
      <c r="K342" t="s">
        <v>3524</v>
      </c>
      <c r="L342" s="2">
        <v>1912.1543999999999</v>
      </c>
      <c r="M342" s="2">
        <v>3399.99</v>
      </c>
      <c r="N342" t="s">
        <v>30</v>
      </c>
      <c r="O342" t="s">
        <v>888</v>
      </c>
      <c r="P342" t="s">
        <v>205</v>
      </c>
      <c r="Q342" t="s">
        <v>6671</v>
      </c>
      <c r="R342" s="1">
        <v>22445</v>
      </c>
      <c r="S342" t="s">
        <v>22</v>
      </c>
      <c r="T342" t="s">
        <v>29</v>
      </c>
      <c r="U342" t="s">
        <v>889</v>
      </c>
      <c r="V342">
        <v>60000</v>
      </c>
      <c r="W342">
        <v>1</v>
      </c>
      <c r="X342" t="s">
        <v>52</v>
      </c>
      <c r="Y342" t="s">
        <v>53</v>
      </c>
      <c r="Z342" t="s">
        <v>19</v>
      </c>
      <c r="AA342" t="s">
        <v>3586</v>
      </c>
      <c r="AB342" t="s">
        <v>3586</v>
      </c>
      <c r="AC342" t="s">
        <v>3587</v>
      </c>
      <c r="AD342" t="s">
        <v>3478</v>
      </c>
      <c r="AE342" t="s">
        <v>3475</v>
      </c>
      <c r="AF342" s="2">
        <v>3399.99</v>
      </c>
      <c r="AG342" s="2">
        <v>1912.1543999999999</v>
      </c>
      <c r="AH342" s="2">
        <v>1487.8356000000001</v>
      </c>
      <c r="AI342" s="3">
        <v>0.43759999294115598</v>
      </c>
    </row>
    <row r="343" spans="1:35">
      <c r="A343" s="1">
        <v>42145</v>
      </c>
      <c r="B343" s="1">
        <v>37374</v>
      </c>
      <c r="C343" t="s">
        <v>4491</v>
      </c>
      <c r="D343">
        <v>313</v>
      </c>
      <c r="E343">
        <v>12160</v>
      </c>
      <c r="F343">
        <v>1</v>
      </c>
      <c r="G343">
        <v>1</v>
      </c>
      <c r="H343">
        <v>1</v>
      </c>
      <c r="I343">
        <v>2</v>
      </c>
      <c r="J343" t="s">
        <v>3491</v>
      </c>
      <c r="K343" t="s">
        <v>3492</v>
      </c>
      <c r="L343" s="2">
        <v>2171.2941999999998</v>
      </c>
      <c r="M343" s="2">
        <v>3578.27</v>
      </c>
      <c r="N343" t="s">
        <v>26</v>
      </c>
      <c r="O343" t="s">
        <v>117</v>
      </c>
      <c r="P343" t="s">
        <v>68</v>
      </c>
      <c r="Q343" t="s">
        <v>6672</v>
      </c>
      <c r="R343" s="1">
        <v>23339</v>
      </c>
      <c r="S343" t="s">
        <v>22</v>
      </c>
      <c r="T343" t="s">
        <v>29</v>
      </c>
      <c r="U343" t="s">
        <v>996</v>
      </c>
      <c r="V343">
        <v>90000</v>
      </c>
      <c r="W343">
        <v>0</v>
      </c>
      <c r="X343" t="s">
        <v>52</v>
      </c>
      <c r="Y343" t="s">
        <v>18</v>
      </c>
      <c r="Z343" t="s">
        <v>19</v>
      </c>
      <c r="AA343" t="s">
        <v>3577</v>
      </c>
      <c r="AB343" t="s">
        <v>3578</v>
      </c>
      <c r="AC343" t="s">
        <v>3579</v>
      </c>
      <c r="AD343" t="s">
        <v>3479</v>
      </c>
      <c r="AE343" t="s">
        <v>3475</v>
      </c>
      <c r="AF343" s="2">
        <v>3578.27</v>
      </c>
      <c r="AG343" s="2">
        <v>2171.2941999999998</v>
      </c>
      <c r="AH343" s="2">
        <v>1406.9757999999999</v>
      </c>
      <c r="AI343" s="3">
        <v>0.39320001006072802</v>
      </c>
    </row>
    <row r="344" spans="1:35">
      <c r="A344" s="1">
        <v>42145</v>
      </c>
      <c r="B344" s="1">
        <v>37360</v>
      </c>
      <c r="C344" t="s">
        <v>4492</v>
      </c>
      <c r="D344">
        <v>310</v>
      </c>
      <c r="E344">
        <v>12108</v>
      </c>
      <c r="F344">
        <v>1</v>
      </c>
      <c r="G344">
        <v>1</v>
      </c>
      <c r="H344">
        <v>1</v>
      </c>
      <c r="I344">
        <v>2</v>
      </c>
      <c r="J344" t="s">
        <v>3485</v>
      </c>
      <c r="K344" t="s">
        <v>3486</v>
      </c>
      <c r="L344" s="2">
        <v>2171.2941999999998</v>
      </c>
      <c r="M344" s="2">
        <v>3578.27</v>
      </c>
      <c r="N344" t="s">
        <v>13</v>
      </c>
      <c r="O344" t="s">
        <v>229</v>
      </c>
      <c r="P344" t="s">
        <v>44</v>
      </c>
      <c r="Q344" t="s">
        <v>6673</v>
      </c>
      <c r="R344" s="1">
        <v>18317</v>
      </c>
      <c r="S344" t="s">
        <v>16</v>
      </c>
      <c r="T344" t="s">
        <v>16</v>
      </c>
      <c r="U344" t="s">
        <v>965</v>
      </c>
      <c r="V344">
        <v>60000</v>
      </c>
      <c r="W344">
        <v>2</v>
      </c>
      <c r="X344" t="s">
        <v>52</v>
      </c>
      <c r="Y344" t="s">
        <v>18</v>
      </c>
      <c r="Z344" t="s">
        <v>19</v>
      </c>
      <c r="AA344" t="s">
        <v>3577</v>
      </c>
      <c r="AB344" t="s">
        <v>3578</v>
      </c>
      <c r="AC344" t="s">
        <v>3579</v>
      </c>
      <c r="AD344" t="s">
        <v>3479</v>
      </c>
      <c r="AE344" t="s">
        <v>3475</v>
      </c>
      <c r="AF344" s="2">
        <v>3578.27</v>
      </c>
      <c r="AG344" s="2">
        <v>2171.2941999999998</v>
      </c>
      <c r="AH344" s="2">
        <v>1406.9757999999999</v>
      </c>
      <c r="AI344" s="3">
        <v>0.39320001006072802</v>
      </c>
    </row>
    <row r="345" spans="1:35">
      <c r="A345" s="1">
        <v>42145</v>
      </c>
      <c r="B345" s="1">
        <v>37333</v>
      </c>
      <c r="C345" t="s">
        <v>4494</v>
      </c>
      <c r="D345">
        <v>310</v>
      </c>
      <c r="E345">
        <v>12834</v>
      </c>
      <c r="F345">
        <v>7</v>
      </c>
      <c r="G345">
        <v>1</v>
      </c>
      <c r="H345">
        <v>1</v>
      </c>
      <c r="I345">
        <v>2</v>
      </c>
      <c r="J345" t="s">
        <v>3485</v>
      </c>
      <c r="K345" t="s">
        <v>3486</v>
      </c>
      <c r="L345" s="2">
        <v>2171.2941999999998</v>
      </c>
      <c r="M345" s="2">
        <v>3578.27</v>
      </c>
      <c r="N345" t="s">
        <v>30</v>
      </c>
      <c r="O345" t="s">
        <v>868</v>
      </c>
      <c r="P345" t="s">
        <v>72</v>
      </c>
      <c r="Q345" t="s">
        <v>6674</v>
      </c>
      <c r="R345" s="1">
        <v>23449</v>
      </c>
      <c r="S345" t="s">
        <v>16</v>
      </c>
      <c r="T345" t="s">
        <v>29</v>
      </c>
      <c r="U345" t="s">
        <v>1296</v>
      </c>
      <c r="V345">
        <v>30000</v>
      </c>
      <c r="W345">
        <v>1</v>
      </c>
      <c r="X345" t="s">
        <v>17</v>
      </c>
      <c r="Y345" t="s">
        <v>53</v>
      </c>
      <c r="Z345" t="s">
        <v>19</v>
      </c>
      <c r="AA345" t="s">
        <v>3583</v>
      </c>
      <c r="AB345" t="s">
        <v>3583</v>
      </c>
      <c r="AC345" t="s">
        <v>3584</v>
      </c>
      <c r="AD345" t="s">
        <v>3479</v>
      </c>
      <c r="AE345" t="s">
        <v>3475</v>
      </c>
      <c r="AF345" s="2">
        <v>3578.27</v>
      </c>
      <c r="AG345" s="2">
        <v>2171.2941999999998</v>
      </c>
      <c r="AH345" s="2">
        <v>1406.9757999999999</v>
      </c>
      <c r="AI345" s="3">
        <v>0.39320001006072802</v>
      </c>
    </row>
    <row r="346" spans="1:35">
      <c r="A346" s="1">
        <v>42145</v>
      </c>
      <c r="B346" s="1">
        <v>37349</v>
      </c>
      <c r="C346" t="s">
        <v>4495</v>
      </c>
      <c r="D346">
        <v>313</v>
      </c>
      <c r="E346">
        <v>12025</v>
      </c>
      <c r="F346">
        <v>1</v>
      </c>
      <c r="G346">
        <v>1</v>
      </c>
      <c r="H346">
        <v>1</v>
      </c>
      <c r="I346">
        <v>2</v>
      </c>
      <c r="J346" t="s">
        <v>3491</v>
      </c>
      <c r="K346" t="s">
        <v>3492</v>
      </c>
      <c r="L346" s="2">
        <v>2171.2941999999998</v>
      </c>
      <c r="M346" s="2">
        <v>3578.27</v>
      </c>
      <c r="N346" t="s">
        <v>13</v>
      </c>
      <c r="O346" t="s">
        <v>608</v>
      </c>
      <c r="P346" t="s">
        <v>136</v>
      </c>
      <c r="Q346" t="s">
        <v>6675</v>
      </c>
      <c r="R346" s="1">
        <v>28659</v>
      </c>
      <c r="S346" t="s">
        <v>16</v>
      </c>
      <c r="T346" t="s">
        <v>16</v>
      </c>
      <c r="U346" t="s">
        <v>924</v>
      </c>
      <c r="V346">
        <v>40000</v>
      </c>
      <c r="W346">
        <v>0</v>
      </c>
      <c r="X346" t="s">
        <v>57</v>
      </c>
      <c r="Y346" t="s">
        <v>53</v>
      </c>
      <c r="Z346" t="s">
        <v>19</v>
      </c>
      <c r="AA346" t="s">
        <v>3577</v>
      </c>
      <c r="AB346" t="s">
        <v>3578</v>
      </c>
      <c r="AC346" t="s">
        <v>3579</v>
      </c>
      <c r="AD346" t="s">
        <v>3479</v>
      </c>
      <c r="AE346" t="s">
        <v>3475</v>
      </c>
      <c r="AF346" s="2">
        <v>3578.27</v>
      </c>
      <c r="AG346" s="2">
        <v>2171.2941999999998</v>
      </c>
      <c r="AH346" s="2">
        <v>1406.9757999999999</v>
      </c>
      <c r="AI346" s="3">
        <v>0.39320001006072802</v>
      </c>
    </row>
    <row r="347" spans="1:35">
      <c r="A347" s="1">
        <v>42146</v>
      </c>
      <c r="B347" s="1">
        <v>37281</v>
      </c>
      <c r="C347" t="s">
        <v>4498</v>
      </c>
      <c r="D347">
        <v>312</v>
      </c>
      <c r="E347">
        <v>11934</v>
      </c>
      <c r="F347">
        <v>1</v>
      </c>
      <c r="G347">
        <v>1</v>
      </c>
      <c r="H347">
        <v>1</v>
      </c>
      <c r="I347">
        <v>2</v>
      </c>
      <c r="J347" t="s">
        <v>3489</v>
      </c>
      <c r="K347" t="s">
        <v>3490</v>
      </c>
      <c r="L347" s="2">
        <v>2171.2941999999998</v>
      </c>
      <c r="M347" s="2">
        <v>3578.27</v>
      </c>
      <c r="N347" t="s">
        <v>13</v>
      </c>
      <c r="O347" t="s">
        <v>614</v>
      </c>
      <c r="P347" t="s">
        <v>468</v>
      </c>
      <c r="Q347" t="s">
        <v>6676</v>
      </c>
      <c r="R347" s="1">
        <v>28412</v>
      </c>
      <c r="S347" t="s">
        <v>22</v>
      </c>
      <c r="T347" t="s">
        <v>16</v>
      </c>
      <c r="U347" t="s">
        <v>845</v>
      </c>
      <c r="V347">
        <v>40000</v>
      </c>
      <c r="W347">
        <v>0</v>
      </c>
      <c r="X347" t="s">
        <v>77</v>
      </c>
      <c r="Y347" t="s">
        <v>60</v>
      </c>
      <c r="Z347" t="s">
        <v>19</v>
      </c>
      <c r="AA347" t="s">
        <v>3577</v>
      </c>
      <c r="AB347" t="s">
        <v>3578</v>
      </c>
      <c r="AC347" t="s">
        <v>3579</v>
      </c>
      <c r="AD347" t="s">
        <v>3479</v>
      </c>
      <c r="AE347" t="s">
        <v>3475</v>
      </c>
      <c r="AF347" s="2">
        <v>3578.27</v>
      </c>
      <c r="AG347" s="2">
        <v>2171.2941999999998</v>
      </c>
      <c r="AH347" s="2">
        <v>1406.9757999999999</v>
      </c>
      <c r="AI347" s="3">
        <v>0.39320001006072802</v>
      </c>
    </row>
    <row r="348" spans="1:35">
      <c r="A348" s="1">
        <v>42147</v>
      </c>
      <c r="B348" s="1">
        <v>37313</v>
      </c>
      <c r="C348" t="s">
        <v>4501</v>
      </c>
      <c r="D348">
        <v>311</v>
      </c>
      <c r="E348">
        <v>12116</v>
      </c>
      <c r="F348">
        <v>1</v>
      </c>
      <c r="G348">
        <v>1</v>
      </c>
      <c r="H348">
        <v>1</v>
      </c>
      <c r="I348">
        <v>2</v>
      </c>
      <c r="J348" t="s">
        <v>3487</v>
      </c>
      <c r="K348" t="s">
        <v>3488</v>
      </c>
      <c r="L348" s="2">
        <v>2171.2941999999998</v>
      </c>
      <c r="M348" s="2">
        <v>3578.27</v>
      </c>
      <c r="N348" t="s">
        <v>30</v>
      </c>
      <c r="O348" t="s">
        <v>106</v>
      </c>
      <c r="P348" t="s">
        <v>314</v>
      </c>
      <c r="Q348" t="s">
        <v>6677</v>
      </c>
      <c r="R348" s="1">
        <v>18681</v>
      </c>
      <c r="S348" t="s">
        <v>22</v>
      </c>
      <c r="T348" t="s">
        <v>29</v>
      </c>
      <c r="U348" t="s">
        <v>969</v>
      </c>
      <c r="V348">
        <v>70000</v>
      </c>
      <c r="W348">
        <v>2</v>
      </c>
      <c r="X348" t="s">
        <v>57</v>
      </c>
      <c r="Y348" t="s">
        <v>18</v>
      </c>
      <c r="Z348" t="s">
        <v>19</v>
      </c>
      <c r="AA348" t="s">
        <v>3577</v>
      </c>
      <c r="AB348" t="s">
        <v>3578</v>
      </c>
      <c r="AC348" t="s">
        <v>3579</v>
      </c>
      <c r="AD348" t="s">
        <v>3479</v>
      </c>
      <c r="AE348" t="s">
        <v>3475</v>
      </c>
      <c r="AF348" s="2">
        <v>3578.27</v>
      </c>
      <c r="AG348" s="2">
        <v>2171.2941999999998</v>
      </c>
      <c r="AH348" s="2">
        <v>1406.9757999999999</v>
      </c>
      <c r="AI348" s="3">
        <v>0.39320001006072802</v>
      </c>
    </row>
    <row r="349" spans="1:35">
      <c r="A349" s="1">
        <v>42147</v>
      </c>
      <c r="B349" s="1">
        <v>37324</v>
      </c>
      <c r="C349" t="s">
        <v>4503</v>
      </c>
      <c r="D349">
        <v>313</v>
      </c>
      <c r="E349">
        <v>12172</v>
      </c>
      <c r="F349">
        <v>4</v>
      </c>
      <c r="G349">
        <v>1</v>
      </c>
      <c r="H349">
        <v>1</v>
      </c>
      <c r="I349">
        <v>2</v>
      </c>
      <c r="J349" t="s">
        <v>3491</v>
      </c>
      <c r="K349" t="s">
        <v>3492</v>
      </c>
      <c r="L349" s="2">
        <v>2171.2941999999998</v>
      </c>
      <c r="M349" s="2">
        <v>3578.27</v>
      </c>
      <c r="N349" t="s">
        <v>13</v>
      </c>
      <c r="O349" t="s">
        <v>260</v>
      </c>
      <c r="P349" t="s">
        <v>288</v>
      </c>
      <c r="Q349" t="s">
        <v>6678</v>
      </c>
      <c r="R349" s="1">
        <v>22345</v>
      </c>
      <c r="S349" t="s">
        <v>22</v>
      </c>
      <c r="T349" t="s">
        <v>16</v>
      </c>
      <c r="U349" t="s">
        <v>1004</v>
      </c>
      <c r="V349">
        <v>130000</v>
      </c>
      <c r="W349">
        <v>1</v>
      </c>
      <c r="X349" t="s">
        <v>17</v>
      </c>
      <c r="Y349" t="s">
        <v>45</v>
      </c>
      <c r="Z349" t="s">
        <v>23</v>
      </c>
      <c r="AA349" t="s">
        <v>3580</v>
      </c>
      <c r="AB349" t="s">
        <v>3578</v>
      </c>
      <c r="AC349" t="s">
        <v>3579</v>
      </c>
      <c r="AD349" t="s">
        <v>3479</v>
      </c>
      <c r="AE349" t="s">
        <v>3475</v>
      </c>
      <c r="AF349" s="2">
        <v>3578.27</v>
      </c>
      <c r="AG349" s="2">
        <v>2171.2941999999998</v>
      </c>
      <c r="AH349" s="2">
        <v>1406.9757999999999</v>
      </c>
      <c r="AI349" s="3">
        <v>0.39320001006072802</v>
      </c>
    </row>
    <row r="350" spans="1:35">
      <c r="A350" s="1">
        <v>42148</v>
      </c>
      <c r="B350" s="1">
        <v>37319</v>
      </c>
      <c r="C350" t="s">
        <v>4512</v>
      </c>
      <c r="D350">
        <v>312</v>
      </c>
      <c r="E350">
        <v>12155</v>
      </c>
      <c r="F350">
        <v>1</v>
      </c>
      <c r="G350">
        <v>1</v>
      </c>
      <c r="H350">
        <v>1</v>
      </c>
      <c r="I350">
        <v>2</v>
      </c>
      <c r="J350" t="s">
        <v>3489</v>
      </c>
      <c r="K350" t="s">
        <v>3490</v>
      </c>
      <c r="L350" s="2">
        <v>2171.2941999999998</v>
      </c>
      <c r="M350" s="2">
        <v>3578.27</v>
      </c>
      <c r="N350" t="s">
        <v>30</v>
      </c>
      <c r="O350" t="s">
        <v>687</v>
      </c>
      <c r="P350" t="s">
        <v>125</v>
      </c>
      <c r="Q350" t="s">
        <v>6679</v>
      </c>
      <c r="R350" s="1">
        <v>20743</v>
      </c>
      <c r="S350" t="s">
        <v>22</v>
      </c>
      <c r="T350" t="s">
        <v>29</v>
      </c>
      <c r="U350" t="s">
        <v>994</v>
      </c>
      <c r="V350">
        <v>80000</v>
      </c>
      <c r="W350">
        <v>3</v>
      </c>
      <c r="X350" t="s">
        <v>52</v>
      </c>
      <c r="Y350" t="s">
        <v>18</v>
      </c>
      <c r="Z350" t="s">
        <v>19</v>
      </c>
      <c r="AA350" t="s">
        <v>3577</v>
      </c>
      <c r="AB350" t="s">
        <v>3578</v>
      </c>
      <c r="AC350" t="s">
        <v>3579</v>
      </c>
      <c r="AD350" t="s">
        <v>3479</v>
      </c>
      <c r="AE350" t="s">
        <v>3475</v>
      </c>
      <c r="AF350" s="2">
        <v>3578.27</v>
      </c>
      <c r="AG350" s="2">
        <v>2171.2941999999998</v>
      </c>
      <c r="AH350" s="2">
        <v>1406.9757999999999</v>
      </c>
      <c r="AI350" s="3">
        <v>0.39320001006072802</v>
      </c>
    </row>
    <row r="351" spans="1:35">
      <c r="A351" s="1">
        <v>42148</v>
      </c>
      <c r="B351" s="1">
        <v>37292</v>
      </c>
      <c r="C351" t="s">
        <v>4513</v>
      </c>
      <c r="D351">
        <v>346</v>
      </c>
      <c r="E351">
        <v>12005</v>
      </c>
      <c r="F351">
        <v>9</v>
      </c>
      <c r="G351">
        <v>1</v>
      </c>
      <c r="H351">
        <v>1</v>
      </c>
      <c r="I351">
        <v>1</v>
      </c>
      <c r="J351" t="s">
        <v>3523</v>
      </c>
      <c r="K351" t="s">
        <v>3524</v>
      </c>
      <c r="L351" s="2">
        <v>1912.1543999999999</v>
      </c>
      <c r="M351" s="2">
        <v>3399.99</v>
      </c>
      <c r="N351" t="s">
        <v>13</v>
      </c>
      <c r="O351" t="s">
        <v>130</v>
      </c>
      <c r="P351" t="s">
        <v>271</v>
      </c>
      <c r="Q351" t="s">
        <v>6680</v>
      </c>
      <c r="R351" s="1">
        <v>22844</v>
      </c>
      <c r="S351" t="s">
        <v>16</v>
      </c>
      <c r="T351" t="s">
        <v>16</v>
      </c>
      <c r="U351" t="s">
        <v>909</v>
      </c>
      <c r="V351">
        <v>60000</v>
      </c>
      <c r="W351">
        <v>1</v>
      </c>
      <c r="X351" t="s">
        <v>52</v>
      </c>
      <c r="Y351" t="s">
        <v>53</v>
      </c>
      <c r="Z351" t="s">
        <v>19</v>
      </c>
      <c r="AA351" t="s">
        <v>3586</v>
      </c>
      <c r="AB351" t="s">
        <v>3586</v>
      </c>
      <c r="AC351" t="s">
        <v>3587</v>
      </c>
      <c r="AD351" t="s">
        <v>3478</v>
      </c>
      <c r="AE351" t="s">
        <v>3475</v>
      </c>
      <c r="AF351" s="2">
        <v>3399.99</v>
      </c>
      <c r="AG351" s="2">
        <v>1912.1543999999999</v>
      </c>
      <c r="AH351" s="2">
        <v>1487.8356000000001</v>
      </c>
      <c r="AI351" s="3">
        <v>0.43759999294115598</v>
      </c>
    </row>
    <row r="352" spans="1:35">
      <c r="A352" s="1">
        <v>42148</v>
      </c>
      <c r="B352" s="1">
        <v>37346</v>
      </c>
      <c r="C352" t="s">
        <v>4514</v>
      </c>
      <c r="D352">
        <v>311</v>
      </c>
      <c r="E352">
        <v>12121</v>
      </c>
      <c r="F352">
        <v>1</v>
      </c>
      <c r="G352">
        <v>1</v>
      </c>
      <c r="H352">
        <v>1</v>
      </c>
      <c r="I352">
        <v>2</v>
      </c>
      <c r="J352" t="s">
        <v>3487</v>
      </c>
      <c r="K352" t="s">
        <v>3488</v>
      </c>
      <c r="L352" s="2">
        <v>2171.2941999999998</v>
      </c>
      <c r="M352" s="2">
        <v>3578.27</v>
      </c>
      <c r="N352" t="s">
        <v>13</v>
      </c>
      <c r="O352" t="s">
        <v>608</v>
      </c>
      <c r="P352" t="s">
        <v>66</v>
      </c>
      <c r="Q352" t="s">
        <v>6681</v>
      </c>
      <c r="R352" s="1">
        <v>19262</v>
      </c>
      <c r="S352" t="s">
        <v>22</v>
      </c>
      <c r="T352" t="s">
        <v>16</v>
      </c>
      <c r="U352" t="s">
        <v>972</v>
      </c>
      <c r="V352">
        <v>60000</v>
      </c>
      <c r="W352">
        <v>3</v>
      </c>
      <c r="X352" t="s">
        <v>57</v>
      </c>
      <c r="Y352" t="s">
        <v>18</v>
      </c>
      <c r="Z352" t="s">
        <v>19</v>
      </c>
      <c r="AA352" t="s">
        <v>3577</v>
      </c>
      <c r="AB352" t="s">
        <v>3578</v>
      </c>
      <c r="AC352" t="s">
        <v>3579</v>
      </c>
      <c r="AD352" t="s">
        <v>3479</v>
      </c>
      <c r="AE352" t="s">
        <v>3475</v>
      </c>
      <c r="AF352" s="2">
        <v>3578.27</v>
      </c>
      <c r="AG352" s="2">
        <v>2171.2941999999998</v>
      </c>
      <c r="AH352" s="2">
        <v>1406.9757999999999</v>
      </c>
      <c r="AI352" s="3">
        <v>0.39320001006072802</v>
      </c>
    </row>
    <row r="353" spans="1:35">
      <c r="A353" s="1">
        <v>42149</v>
      </c>
      <c r="B353" s="1">
        <v>37331</v>
      </c>
      <c r="C353" t="s">
        <v>4516</v>
      </c>
      <c r="D353">
        <v>313</v>
      </c>
      <c r="E353">
        <v>12075</v>
      </c>
      <c r="F353">
        <v>1</v>
      </c>
      <c r="G353">
        <v>1</v>
      </c>
      <c r="H353">
        <v>1</v>
      </c>
      <c r="I353">
        <v>2</v>
      </c>
      <c r="J353" t="s">
        <v>3491</v>
      </c>
      <c r="K353" t="s">
        <v>3492</v>
      </c>
      <c r="L353" s="2">
        <v>2171.2941999999998</v>
      </c>
      <c r="M353" s="2">
        <v>3578.27</v>
      </c>
      <c r="N353" t="s">
        <v>13</v>
      </c>
      <c r="O353" t="s">
        <v>415</v>
      </c>
      <c r="P353" t="s">
        <v>246</v>
      </c>
      <c r="Q353" t="s">
        <v>6682</v>
      </c>
      <c r="R353" s="1">
        <v>16249</v>
      </c>
      <c r="S353" t="s">
        <v>22</v>
      </c>
      <c r="T353" t="s">
        <v>16</v>
      </c>
      <c r="U353" t="s">
        <v>951</v>
      </c>
      <c r="V353">
        <v>60000</v>
      </c>
      <c r="W353">
        <v>4</v>
      </c>
      <c r="X353" t="s">
        <v>17</v>
      </c>
      <c r="Y353" t="s">
        <v>45</v>
      </c>
      <c r="Z353" t="s">
        <v>19</v>
      </c>
      <c r="AA353" t="s">
        <v>3577</v>
      </c>
      <c r="AB353" t="s">
        <v>3578</v>
      </c>
      <c r="AC353" t="s">
        <v>3579</v>
      </c>
      <c r="AD353" t="s">
        <v>3479</v>
      </c>
      <c r="AE353" t="s">
        <v>3475</v>
      </c>
      <c r="AF353" s="2">
        <v>3578.27</v>
      </c>
      <c r="AG353" s="2">
        <v>2171.2941999999998</v>
      </c>
      <c r="AH353" s="2">
        <v>1406.9757999999999</v>
      </c>
      <c r="AI353" s="3">
        <v>0.39320001006072802</v>
      </c>
    </row>
    <row r="354" spans="1:35">
      <c r="A354" s="1">
        <v>42149</v>
      </c>
      <c r="B354" s="1">
        <v>37318</v>
      </c>
      <c r="C354" t="s">
        <v>4519</v>
      </c>
      <c r="D354">
        <v>311</v>
      </c>
      <c r="E354">
        <v>12059</v>
      </c>
      <c r="F354">
        <v>1</v>
      </c>
      <c r="G354">
        <v>1</v>
      </c>
      <c r="H354">
        <v>1</v>
      </c>
      <c r="I354">
        <v>2</v>
      </c>
      <c r="J354" t="s">
        <v>3487</v>
      </c>
      <c r="K354" t="s">
        <v>3488</v>
      </c>
      <c r="L354" s="2">
        <v>2171.2941999999998</v>
      </c>
      <c r="M354" s="2">
        <v>3578.27</v>
      </c>
      <c r="N354" t="s">
        <v>13</v>
      </c>
      <c r="O354" t="s">
        <v>279</v>
      </c>
      <c r="P354" t="s">
        <v>47</v>
      </c>
      <c r="Q354" t="s">
        <v>6683</v>
      </c>
      <c r="R354" s="1">
        <v>15859</v>
      </c>
      <c r="S354" t="s">
        <v>16</v>
      </c>
      <c r="T354" t="s">
        <v>16</v>
      </c>
      <c r="U354" t="s">
        <v>946</v>
      </c>
      <c r="V354">
        <v>130000</v>
      </c>
      <c r="W354">
        <v>2</v>
      </c>
      <c r="X354" t="s">
        <v>17</v>
      </c>
      <c r="Y354" t="s">
        <v>45</v>
      </c>
      <c r="Z354" t="s">
        <v>19</v>
      </c>
      <c r="AA354" t="s">
        <v>3577</v>
      </c>
      <c r="AB354" t="s">
        <v>3578</v>
      </c>
      <c r="AC354" t="s">
        <v>3579</v>
      </c>
      <c r="AD354" t="s">
        <v>3479</v>
      </c>
      <c r="AE354" t="s">
        <v>3475</v>
      </c>
      <c r="AF354" s="2">
        <v>3578.27</v>
      </c>
      <c r="AG354" s="2">
        <v>2171.2941999999998</v>
      </c>
      <c r="AH354" s="2">
        <v>1406.9757999999999</v>
      </c>
      <c r="AI354" s="3">
        <v>0.39320001006072802</v>
      </c>
    </row>
    <row r="355" spans="1:35">
      <c r="A355" s="1">
        <v>42149</v>
      </c>
      <c r="B355" s="1">
        <v>37328</v>
      </c>
      <c r="C355" t="s">
        <v>4523</v>
      </c>
      <c r="D355">
        <v>312</v>
      </c>
      <c r="E355">
        <v>12026</v>
      </c>
      <c r="F355">
        <v>4</v>
      </c>
      <c r="G355">
        <v>1</v>
      </c>
      <c r="H355">
        <v>1</v>
      </c>
      <c r="I355">
        <v>2</v>
      </c>
      <c r="J355" t="s">
        <v>3489</v>
      </c>
      <c r="K355" t="s">
        <v>3490</v>
      </c>
      <c r="L355" s="2">
        <v>2171.2941999999998</v>
      </c>
      <c r="M355" s="2">
        <v>3578.27</v>
      </c>
      <c r="N355" t="s">
        <v>13</v>
      </c>
      <c r="O355" t="s">
        <v>176</v>
      </c>
      <c r="P355" t="s">
        <v>113</v>
      </c>
      <c r="Q355" t="s">
        <v>6684</v>
      </c>
      <c r="R355" s="1">
        <v>28688</v>
      </c>
      <c r="S355" t="s">
        <v>16</v>
      </c>
      <c r="T355" t="s">
        <v>16</v>
      </c>
      <c r="U355" t="s">
        <v>925</v>
      </c>
      <c r="V355">
        <v>40000</v>
      </c>
      <c r="W355">
        <v>0</v>
      </c>
      <c r="X355" t="s">
        <v>57</v>
      </c>
      <c r="Y355" t="s">
        <v>53</v>
      </c>
      <c r="Z355" t="s">
        <v>23</v>
      </c>
      <c r="AA355" t="s">
        <v>3580</v>
      </c>
      <c r="AB355" t="s">
        <v>3578</v>
      </c>
      <c r="AC355" t="s">
        <v>3579</v>
      </c>
      <c r="AD355" t="s">
        <v>3479</v>
      </c>
      <c r="AE355" t="s">
        <v>3475</v>
      </c>
      <c r="AF355" s="2">
        <v>3578.27</v>
      </c>
      <c r="AG355" s="2">
        <v>2171.2941999999998</v>
      </c>
      <c r="AH355" s="2">
        <v>1406.9757999999999</v>
      </c>
      <c r="AI355" s="3">
        <v>0.39320001006072802</v>
      </c>
    </row>
    <row r="356" spans="1:35">
      <c r="A356" s="1">
        <v>42149</v>
      </c>
      <c r="B356" s="1">
        <v>37323</v>
      </c>
      <c r="C356" t="s">
        <v>4524</v>
      </c>
      <c r="D356">
        <v>345</v>
      </c>
      <c r="E356">
        <v>11986</v>
      </c>
      <c r="F356">
        <v>9</v>
      </c>
      <c r="G356">
        <v>1</v>
      </c>
      <c r="H356">
        <v>1</v>
      </c>
      <c r="I356">
        <v>1</v>
      </c>
      <c r="J356" t="s">
        <v>3521</v>
      </c>
      <c r="K356" t="s">
        <v>3522</v>
      </c>
      <c r="L356" s="2">
        <v>1912.1543999999999</v>
      </c>
      <c r="M356" s="2">
        <v>3399.99</v>
      </c>
      <c r="N356" t="s">
        <v>13</v>
      </c>
      <c r="O356" t="s">
        <v>878</v>
      </c>
      <c r="P356" t="s">
        <v>214</v>
      </c>
      <c r="Q356" t="s">
        <v>6685</v>
      </c>
      <c r="R356" s="1">
        <v>23216</v>
      </c>
      <c r="S356" t="s">
        <v>22</v>
      </c>
      <c r="T356" t="s">
        <v>16</v>
      </c>
      <c r="U356" t="s">
        <v>879</v>
      </c>
      <c r="V356">
        <v>70000</v>
      </c>
      <c r="W356">
        <v>0</v>
      </c>
      <c r="X356" t="s">
        <v>17</v>
      </c>
      <c r="Y356" t="s">
        <v>18</v>
      </c>
      <c r="Z356" t="s">
        <v>19</v>
      </c>
      <c r="AA356" t="s">
        <v>3586</v>
      </c>
      <c r="AB356" t="s">
        <v>3586</v>
      </c>
      <c r="AC356" t="s">
        <v>3587</v>
      </c>
      <c r="AD356" t="s">
        <v>3478</v>
      </c>
      <c r="AE356" t="s">
        <v>3475</v>
      </c>
      <c r="AF356" s="2">
        <v>3399.99</v>
      </c>
      <c r="AG356" s="2">
        <v>1912.1543999999999</v>
      </c>
      <c r="AH356" s="2">
        <v>1487.8356000000001</v>
      </c>
      <c r="AI356" s="3">
        <v>0.43759999294115598</v>
      </c>
    </row>
    <row r="357" spans="1:35">
      <c r="A357" s="1">
        <v>42150</v>
      </c>
      <c r="B357" s="1">
        <v>37374</v>
      </c>
      <c r="C357" t="s">
        <v>4527</v>
      </c>
      <c r="D357">
        <v>313</v>
      </c>
      <c r="E357">
        <v>12033</v>
      </c>
      <c r="F357">
        <v>1</v>
      </c>
      <c r="G357">
        <v>1</v>
      </c>
      <c r="H357">
        <v>1</v>
      </c>
      <c r="I357">
        <v>2</v>
      </c>
      <c r="J357" t="s">
        <v>3491</v>
      </c>
      <c r="K357" t="s">
        <v>3492</v>
      </c>
      <c r="L357" s="2">
        <v>2171.2941999999998</v>
      </c>
      <c r="M357" s="2">
        <v>3578.27</v>
      </c>
      <c r="N357" t="s">
        <v>26</v>
      </c>
      <c r="O357" t="s">
        <v>928</v>
      </c>
      <c r="P357" t="s">
        <v>929</v>
      </c>
      <c r="Q357" t="s">
        <v>6686</v>
      </c>
      <c r="R357" s="1">
        <v>28977</v>
      </c>
      <c r="S357" t="s">
        <v>22</v>
      </c>
      <c r="T357" t="s">
        <v>29</v>
      </c>
      <c r="U357" t="s">
        <v>930</v>
      </c>
      <c r="V357">
        <v>40000</v>
      </c>
      <c r="W357">
        <v>0</v>
      </c>
      <c r="X357" t="s">
        <v>57</v>
      </c>
      <c r="Y357" t="s">
        <v>53</v>
      </c>
      <c r="Z357" t="s">
        <v>23</v>
      </c>
      <c r="AA357" t="s">
        <v>3577</v>
      </c>
      <c r="AB357" t="s">
        <v>3578</v>
      </c>
      <c r="AC357" t="s">
        <v>3579</v>
      </c>
      <c r="AD357" t="s">
        <v>3479</v>
      </c>
      <c r="AE357" t="s">
        <v>3475</v>
      </c>
      <c r="AF357" s="2">
        <v>3578.27</v>
      </c>
      <c r="AG357" s="2">
        <v>2171.2941999999998</v>
      </c>
      <c r="AH357" s="2">
        <v>1406.9757999999999</v>
      </c>
      <c r="AI357" s="3">
        <v>0.39320001006072802</v>
      </c>
    </row>
    <row r="358" spans="1:35">
      <c r="A358" s="1">
        <v>42150</v>
      </c>
      <c r="B358" s="1">
        <v>37326</v>
      </c>
      <c r="C358" t="s">
        <v>4528</v>
      </c>
      <c r="D358">
        <v>314</v>
      </c>
      <c r="E358">
        <v>12071</v>
      </c>
      <c r="F358">
        <v>4</v>
      </c>
      <c r="G358">
        <v>1</v>
      </c>
      <c r="H358">
        <v>1</v>
      </c>
      <c r="I358">
        <v>2</v>
      </c>
      <c r="J358" t="s">
        <v>3493</v>
      </c>
      <c r="K358" t="s">
        <v>3494</v>
      </c>
      <c r="L358" s="2">
        <v>2171.2941999999998</v>
      </c>
      <c r="M358" s="2">
        <v>3578.27</v>
      </c>
      <c r="N358" t="s">
        <v>13</v>
      </c>
      <c r="O358" t="s">
        <v>383</v>
      </c>
      <c r="P358" t="s">
        <v>275</v>
      </c>
      <c r="Q358" t="s">
        <v>6687</v>
      </c>
      <c r="R358" s="1">
        <v>16164</v>
      </c>
      <c r="S358" t="s">
        <v>16</v>
      </c>
      <c r="T358" t="s">
        <v>16</v>
      </c>
      <c r="U358" t="s">
        <v>949</v>
      </c>
      <c r="V358">
        <v>70000</v>
      </c>
      <c r="W358">
        <v>4</v>
      </c>
      <c r="X358" t="s">
        <v>17</v>
      </c>
      <c r="Y358" t="s">
        <v>45</v>
      </c>
      <c r="Z358" t="s">
        <v>19</v>
      </c>
      <c r="AA358" t="s">
        <v>3580</v>
      </c>
      <c r="AB358" t="s">
        <v>3578</v>
      </c>
      <c r="AC358" t="s">
        <v>3579</v>
      </c>
      <c r="AD358" t="s">
        <v>3479</v>
      </c>
      <c r="AE358" t="s">
        <v>3475</v>
      </c>
      <c r="AF358" s="2">
        <v>3578.27</v>
      </c>
      <c r="AG358" s="2">
        <v>2171.2941999999998</v>
      </c>
      <c r="AH358" s="2">
        <v>1406.9757999999999</v>
      </c>
      <c r="AI358" s="3">
        <v>0.39320001006072802</v>
      </c>
    </row>
    <row r="359" spans="1:35">
      <c r="A359" s="1">
        <v>42150</v>
      </c>
      <c r="B359" s="1">
        <v>37308</v>
      </c>
      <c r="C359" t="s">
        <v>4529</v>
      </c>
      <c r="D359">
        <v>314</v>
      </c>
      <c r="E359">
        <v>12170</v>
      </c>
      <c r="F359">
        <v>4</v>
      </c>
      <c r="G359">
        <v>1</v>
      </c>
      <c r="H359">
        <v>1</v>
      </c>
      <c r="I359">
        <v>2</v>
      </c>
      <c r="J359" t="s">
        <v>3493</v>
      </c>
      <c r="K359" t="s">
        <v>3494</v>
      </c>
      <c r="L359" s="2">
        <v>2171.2941999999998</v>
      </c>
      <c r="M359" s="2">
        <v>3578.27</v>
      </c>
      <c r="N359" t="s">
        <v>30</v>
      </c>
      <c r="O359" t="s">
        <v>207</v>
      </c>
      <c r="P359" t="s">
        <v>144</v>
      </c>
      <c r="Q359" t="s">
        <v>6688</v>
      </c>
      <c r="R359" s="1">
        <v>22288</v>
      </c>
      <c r="S359" t="s">
        <v>16</v>
      </c>
      <c r="T359" t="s">
        <v>29</v>
      </c>
      <c r="U359" t="s">
        <v>1002</v>
      </c>
      <c r="V359">
        <v>130000</v>
      </c>
      <c r="W359">
        <v>1</v>
      </c>
      <c r="X359" t="s">
        <v>17</v>
      </c>
      <c r="Y359" t="s">
        <v>45</v>
      </c>
      <c r="Z359" t="s">
        <v>23</v>
      </c>
      <c r="AA359" t="s">
        <v>3580</v>
      </c>
      <c r="AB359" t="s">
        <v>3578</v>
      </c>
      <c r="AC359" t="s">
        <v>3579</v>
      </c>
      <c r="AD359" t="s">
        <v>3479</v>
      </c>
      <c r="AE359" t="s">
        <v>3475</v>
      </c>
      <c r="AF359" s="2">
        <v>3578.27</v>
      </c>
      <c r="AG359" s="2">
        <v>2171.2941999999998</v>
      </c>
      <c r="AH359" s="2">
        <v>1406.9757999999999</v>
      </c>
      <c r="AI359" s="3">
        <v>0.39320001006072802</v>
      </c>
    </row>
    <row r="360" spans="1:35">
      <c r="A360" s="1">
        <v>42151</v>
      </c>
      <c r="B360" s="1">
        <v>37386</v>
      </c>
      <c r="C360" t="s">
        <v>4530</v>
      </c>
      <c r="D360">
        <v>350</v>
      </c>
      <c r="E360">
        <v>12002</v>
      </c>
      <c r="F360">
        <v>9</v>
      </c>
      <c r="G360">
        <v>1</v>
      </c>
      <c r="H360">
        <v>1</v>
      </c>
      <c r="I360">
        <v>1</v>
      </c>
      <c r="J360" t="s">
        <v>3531</v>
      </c>
      <c r="K360" t="s">
        <v>3532</v>
      </c>
      <c r="L360" s="2">
        <v>1898.0944</v>
      </c>
      <c r="M360" s="2">
        <v>3374.99</v>
      </c>
      <c r="N360" t="s">
        <v>26</v>
      </c>
      <c r="O360" t="s">
        <v>904</v>
      </c>
      <c r="P360" t="s">
        <v>125</v>
      </c>
      <c r="Q360" t="s">
        <v>6689</v>
      </c>
      <c r="R360" s="1">
        <v>23413</v>
      </c>
      <c r="S360" t="s">
        <v>22</v>
      </c>
      <c r="T360" t="s">
        <v>29</v>
      </c>
      <c r="U360" t="s">
        <v>905</v>
      </c>
      <c r="V360">
        <v>70000</v>
      </c>
      <c r="W360">
        <v>0</v>
      </c>
      <c r="X360" t="s">
        <v>17</v>
      </c>
      <c r="Y360" t="s">
        <v>18</v>
      </c>
      <c r="Z360" t="s">
        <v>19</v>
      </c>
      <c r="AA360" t="s">
        <v>3586</v>
      </c>
      <c r="AB360" t="s">
        <v>3586</v>
      </c>
      <c r="AC360" t="s">
        <v>3587</v>
      </c>
      <c r="AD360" t="s">
        <v>3478</v>
      </c>
      <c r="AE360" t="s">
        <v>3475</v>
      </c>
      <c r="AF360" s="2">
        <v>3374.99</v>
      </c>
      <c r="AG360" s="2">
        <v>1898.0944</v>
      </c>
      <c r="AH360" s="2">
        <v>1476.8956000000001</v>
      </c>
      <c r="AI360" s="3">
        <v>0.43759999288886797</v>
      </c>
    </row>
    <row r="361" spans="1:35">
      <c r="A361" s="1">
        <v>42151</v>
      </c>
      <c r="B361" s="1">
        <v>37331</v>
      </c>
      <c r="C361" t="s">
        <v>4532</v>
      </c>
      <c r="D361">
        <v>310</v>
      </c>
      <c r="E361">
        <v>12083</v>
      </c>
      <c r="F361">
        <v>1</v>
      </c>
      <c r="G361">
        <v>1</v>
      </c>
      <c r="H361">
        <v>1</v>
      </c>
      <c r="I361">
        <v>2</v>
      </c>
      <c r="J361" t="s">
        <v>3485</v>
      </c>
      <c r="K361" t="s">
        <v>3486</v>
      </c>
      <c r="L361" s="2">
        <v>2171.2941999999998</v>
      </c>
      <c r="M361" s="2">
        <v>3578.27</v>
      </c>
      <c r="N361" t="s">
        <v>30</v>
      </c>
      <c r="O361" t="s">
        <v>916</v>
      </c>
      <c r="P361" t="s">
        <v>288</v>
      </c>
      <c r="Q361" t="s">
        <v>6690</v>
      </c>
      <c r="R361" s="1">
        <v>16861</v>
      </c>
      <c r="S361" t="s">
        <v>16</v>
      </c>
      <c r="T361" t="s">
        <v>29</v>
      </c>
      <c r="U361" t="s">
        <v>956</v>
      </c>
      <c r="V361">
        <v>70000</v>
      </c>
      <c r="W361">
        <v>4</v>
      </c>
      <c r="X361" t="s">
        <v>17</v>
      </c>
      <c r="Y361" t="s">
        <v>45</v>
      </c>
      <c r="Z361" t="s">
        <v>19</v>
      </c>
      <c r="AA361" t="s">
        <v>3577</v>
      </c>
      <c r="AB361" t="s">
        <v>3578</v>
      </c>
      <c r="AC361" t="s">
        <v>3579</v>
      </c>
      <c r="AD361" t="s">
        <v>3479</v>
      </c>
      <c r="AE361" t="s">
        <v>3475</v>
      </c>
      <c r="AF361" s="2">
        <v>3578.27</v>
      </c>
      <c r="AG361" s="2">
        <v>2171.2941999999998</v>
      </c>
      <c r="AH361" s="2">
        <v>1406.9757999999999</v>
      </c>
      <c r="AI361" s="3">
        <v>0.39320001006072802</v>
      </c>
    </row>
    <row r="362" spans="1:35">
      <c r="A362" s="1">
        <v>42151</v>
      </c>
      <c r="B362" s="1">
        <v>37295</v>
      </c>
      <c r="C362" t="s">
        <v>4533</v>
      </c>
      <c r="D362">
        <v>313</v>
      </c>
      <c r="E362">
        <v>12817</v>
      </c>
      <c r="F362">
        <v>7</v>
      </c>
      <c r="G362">
        <v>1</v>
      </c>
      <c r="H362">
        <v>1</v>
      </c>
      <c r="I362">
        <v>2</v>
      </c>
      <c r="J362" t="s">
        <v>3491</v>
      </c>
      <c r="K362" t="s">
        <v>3492</v>
      </c>
      <c r="L362" s="2">
        <v>2171.2941999999998</v>
      </c>
      <c r="M362" s="2">
        <v>3578.27</v>
      </c>
      <c r="N362" t="s">
        <v>13</v>
      </c>
      <c r="O362" t="s">
        <v>269</v>
      </c>
      <c r="P362" t="s">
        <v>40</v>
      </c>
      <c r="Q362" t="s">
        <v>6691</v>
      </c>
      <c r="R362" s="1">
        <v>24147</v>
      </c>
      <c r="S362" t="s">
        <v>22</v>
      </c>
      <c r="T362" t="s">
        <v>16</v>
      </c>
      <c r="U362" t="s">
        <v>1291</v>
      </c>
      <c r="V362">
        <v>10000</v>
      </c>
      <c r="W362">
        <v>5</v>
      </c>
      <c r="X362" t="s">
        <v>77</v>
      </c>
      <c r="Y362" t="s">
        <v>444</v>
      </c>
      <c r="Z362" t="s">
        <v>19</v>
      </c>
      <c r="AA362" t="s">
        <v>3583</v>
      </c>
      <c r="AB362" t="s">
        <v>3583</v>
      </c>
      <c r="AC362" t="s">
        <v>3584</v>
      </c>
      <c r="AD362" t="s">
        <v>3479</v>
      </c>
      <c r="AE362" t="s">
        <v>3475</v>
      </c>
      <c r="AF362" s="2">
        <v>3578.27</v>
      </c>
      <c r="AG362" s="2">
        <v>2171.2941999999998</v>
      </c>
      <c r="AH362" s="2">
        <v>1406.9757999999999</v>
      </c>
      <c r="AI362" s="3">
        <v>0.39320001006072802</v>
      </c>
    </row>
    <row r="363" spans="1:35">
      <c r="A363" s="1">
        <v>42152</v>
      </c>
      <c r="B363" s="1">
        <v>37378</v>
      </c>
      <c r="C363" t="s">
        <v>4536</v>
      </c>
      <c r="D363">
        <v>350</v>
      </c>
      <c r="E363">
        <v>11994</v>
      </c>
      <c r="F363">
        <v>9</v>
      </c>
      <c r="G363">
        <v>1</v>
      </c>
      <c r="H363">
        <v>1</v>
      </c>
      <c r="I363">
        <v>1</v>
      </c>
      <c r="J363" t="s">
        <v>3531</v>
      </c>
      <c r="K363" t="s">
        <v>3532</v>
      </c>
      <c r="L363" s="2">
        <v>1898.0944</v>
      </c>
      <c r="M363" s="2">
        <v>3374.99</v>
      </c>
      <c r="N363" t="s">
        <v>26</v>
      </c>
      <c r="O363" t="s">
        <v>167</v>
      </c>
      <c r="P363" t="s">
        <v>511</v>
      </c>
      <c r="Q363" t="s">
        <v>6692</v>
      </c>
      <c r="R363" s="1">
        <v>24402</v>
      </c>
      <c r="S363" t="s">
        <v>22</v>
      </c>
      <c r="T363" t="s">
        <v>29</v>
      </c>
      <c r="U363" t="s">
        <v>892</v>
      </c>
      <c r="V363">
        <v>110000</v>
      </c>
      <c r="W363">
        <v>0</v>
      </c>
      <c r="X363" t="s">
        <v>135</v>
      </c>
      <c r="Y363" t="s">
        <v>45</v>
      </c>
      <c r="Z363" t="s">
        <v>23</v>
      </c>
      <c r="AA363" t="s">
        <v>3586</v>
      </c>
      <c r="AB363" t="s">
        <v>3586</v>
      </c>
      <c r="AC363" t="s">
        <v>3587</v>
      </c>
      <c r="AD363" t="s">
        <v>3478</v>
      </c>
      <c r="AE363" t="s">
        <v>3475</v>
      </c>
      <c r="AF363" s="2">
        <v>3374.99</v>
      </c>
      <c r="AG363" s="2">
        <v>1898.0944</v>
      </c>
      <c r="AH363" s="2">
        <v>1476.8956000000001</v>
      </c>
      <c r="AI363" s="3">
        <v>0.43759999288886797</v>
      </c>
    </row>
    <row r="364" spans="1:35">
      <c r="A364" s="1">
        <v>42152</v>
      </c>
      <c r="B364" s="1">
        <v>37370</v>
      </c>
      <c r="C364" t="s">
        <v>4539</v>
      </c>
      <c r="D364">
        <v>311</v>
      </c>
      <c r="E364">
        <v>12164</v>
      </c>
      <c r="F364">
        <v>4</v>
      </c>
      <c r="G364">
        <v>1</v>
      </c>
      <c r="H364">
        <v>1</v>
      </c>
      <c r="I364">
        <v>2</v>
      </c>
      <c r="J364" t="s">
        <v>3487</v>
      </c>
      <c r="K364" t="s">
        <v>3488</v>
      </c>
      <c r="L364" s="2">
        <v>2171.2941999999998</v>
      </c>
      <c r="M364" s="2">
        <v>3578.27</v>
      </c>
      <c r="N364" t="s">
        <v>13</v>
      </c>
      <c r="O364" t="s">
        <v>141</v>
      </c>
      <c r="P364" t="s">
        <v>148</v>
      </c>
      <c r="Q364" t="s">
        <v>6693</v>
      </c>
      <c r="R364" s="1">
        <v>23114</v>
      </c>
      <c r="S364" t="s">
        <v>16</v>
      </c>
      <c r="T364" t="s">
        <v>16</v>
      </c>
      <c r="U364" t="s">
        <v>999</v>
      </c>
      <c r="V364">
        <v>150000</v>
      </c>
      <c r="W364">
        <v>3</v>
      </c>
      <c r="X364" t="s">
        <v>17</v>
      </c>
      <c r="Y364" t="s">
        <v>45</v>
      </c>
      <c r="Z364" t="s">
        <v>19</v>
      </c>
      <c r="AA364" t="s">
        <v>3580</v>
      </c>
      <c r="AB364" t="s">
        <v>3578</v>
      </c>
      <c r="AC364" t="s">
        <v>3579</v>
      </c>
      <c r="AD364" t="s">
        <v>3479</v>
      </c>
      <c r="AE364" t="s">
        <v>3475</v>
      </c>
      <c r="AF364" s="2">
        <v>3578.27</v>
      </c>
      <c r="AG364" s="2">
        <v>2171.2941999999998</v>
      </c>
      <c r="AH364" s="2">
        <v>1406.9757999999999</v>
      </c>
      <c r="AI364" s="3">
        <v>0.39320001006072802</v>
      </c>
    </row>
    <row r="365" spans="1:35">
      <c r="A365" s="1">
        <v>42153</v>
      </c>
      <c r="B365" s="1">
        <v>37353</v>
      </c>
      <c r="C365" t="s">
        <v>4540</v>
      </c>
      <c r="D365">
        <v>314</v>
      </c>
      <c r="E365">
        <v>12841</v>
      </c>
      <c r="F365">
        <v>7</v>
      </c>
      <c r="G365">
        <v>1</v>
      </c>
      <c r="H365">
        <v>1</v>
      </c>
      <c r="I365">
        <v>2</v>
      </c>
      <c r="J365" t="s">
        <v>3493</v>
      </c>
      <c r="K365" t="s">
        <v>3494</v>
      </c>
      <c r="L365" s="2">
        <v>2171.2941999999998</v>
      </c>
      <c r="M365" s="2">
        <v>3578.27</v>
      </c>
      <c r="N365" t="s">
        <v>30</v>
      </c>
      <c r="O365" t="s">
        <v>1250</v>
      </c>
      <c r="P365" t="s">
        <v>72</v>
      </c>
      <c r="Q365" t="s">
        <v>6694</v>
      </c>
      <c r="R365" s="1">
        <v>23978</v>
      </c>
      <c r="S365" t="s">
        <v>22</v>
      </c>
      <c r="T365" t="s">
        <v>29</v>
      </c>
      <c r="U365" t="s">
        <v>1297</v>
      </c>
      <c r="V365">
        <v>30000</v>
      </c>
      <c r="W365">
        <v>2</v>
      </c>
      <c r="X365" t="s">
        <v>52</v>
      </c>
      <c r="Y365" t="s">
        <v>60</v>
      </c>
      <c r="Z365" t="s">
        <v>19</v>
      </c>
      <c r="AA365" t="s">
        <v>3583</v>
      </c>
      <c r="AB365" t="s">
        <v>3583</v>
      </c>
      <c r="AC365" t="s">
        <v>3584</v>
      </c>
      <c r="AD365" t="s">
        <v>3479</v>
      </c>
      <c r="AE365" t="s">
        <v>3475</v>
      </c>
      <c r="AF365" s="2">
        <v>3578.27</v>
      </c>
      <c r="AG365" s="2">
        <v>2171.2941999999998</v>
      </c>
      <c r="AH365" s="2">
        <v>1406.9757999999999</v>
      </c>
      <c r="AI365" s="3">
        <v>0.39320001006072802</v>
      </c>
    </row>
    <row r="366" spans="1:35">
      <c r="A366" s="1">
        <v>42154</v>
      </c>
      <c r="B366" s="1">
        <v>37296</v>
      </c>
      <c r="C366" t="s">
        <v>4542</v>
      </c>
      <c r="D366">
        <v>312</v>
      </c>
      <c r="E366">
        <v>12112</v>
      </c>
      <c r="F366">
        <v>4</v>
      </c>
      <c r="G366">
        <v>1</v>
      </c>
      <c r="H366">
        <v>1</v>
      </c>
      <c r="I366">
        <v>2</v>
      </c>
      <c r="J366" t="s">
        <v>3489</v>
      </c>
      <c r="K366" t="s">
        <v>3490</v>
      </c>
      <c r="L366" s="2">
        <v>2171.2941999999998</v>
      </c>
      <c r="M366" s="2">
        <v>3578.27</v>
      </c>
      <c r="N366" t="s">
        <v>30</v>
      </c>
      <c r="O366" t="s">
        <v>944</v>
      </c>
      <c r="P366" t="s">
        <v>146</v>
      </c>
      <c r="Q366" t="s">
        <v>6695</v>
      </c>
      <c r="R366" s="1">
        <v>18423</v>
      </c>
      <c r="S366" t="s">
        <v>16</v>
      </c>
      <c r="T366" t="s">
        <v>29</v>
      </c>
      <c r="U366" t="s">
        <v>968</v>
      </c>
      <c r="V366">
        <v>70000</v>
      </c>
      <c r="W366">
        <v>4</v>
      </c>
      <c r="X366" t="s">
        <v>52</v>
      </c>
      <c r="Y366" t="s">
        <v>18</v>
      </c>
      <c r="Z366" t="s">
        <v>19</v>
      </c>
      <c r="AA366" t="s">
        <v>3580</v>
      </c>
      <c r="AB366" t="s">
        <v>3578</v>
      </c>
      <c r="AC366" t="s">
        <v>3579</v>
      </c>
      <c r="AD366" t="s">
        <v>3479</v>
      </c>
      <c r="AE366" t="s">
        <v>3475</v>
      </c>
      <c r="AF366" s="2">
        <v>3578.27</v>
      </c>
      <c r="AG366" s="2">
        <v>2171.2941999999998</v>
      </c>
      <c r="AH366" s="2">
        <v>1406.9757999999999</v>
      </c>
      <c r="AI366" s="3">
        <v>0.39320001006072802</v>
      </c>
    </row>
    <row r="367" spans="1:35">
      <c r="A367" s="1">
        <v>42154</v>
      </c>
      <c r="B367" s="1">
        <v>37318</v>
      </c>
      <c r="C367" t="s">
        <v>4544</v>
      </c>
      <c r="D367">
        <v>311</v>
      </c>
      <c r="E367">
        <v>12142</v>
      </c>
      <c r="F367">
        <v>1</v>
      </c>
      <c r="G367">
        <v>1</v>
      </c>
      <c r="H367">
        <v>1</v>
      </c>
      <c r="I367">
        <v>2</v>
      </c>
      <c r="J367" t="s">
        <v>3487</v>
      </c>
      <c r="K367" t="s">
        <v>3488</v>
      </c>
      <c r="L367" s="2">
        <v>2171.2941999999998</v>
      </c>
      <c r="M367" s="2">
        <v>3578.27</v>
      </c>
      <c r="N367" t="s">
        <v>30</v>
      </c>
      <c r="O367" t="s">
        <v>687</v>
      </c>
      <c r="P367" t="s">
        <v>25</v>
      </c>
      <c r="Q367" t="s">
        <v>6696</v>
      </c>
      <c r="R367" s="1">
        <v>23748</v>
      </c>
      <c r="S367" t="s">
        <v>22</v>
      </c>
      <c r="T367" t="s">
        <v>29</v>
      </c>
      <c r="U367" t="s">
        <v>987</v>
      </c>
      <c r="V367">
        <v>100000</v>
      </c>
      <c r="W367">
        <v>4</v>
      </c>
      <c r="X367" t="s">
        <v>17</v>
      </c>
      <c r="Y367" t="s">
        <v>45</v>
      </c>
      <c r="Z367" t="s">
        <v>19</v>
      </c>
      <c r="AA367" t="s">
        <v>3577</v>
      </c>
      <c r="AB367" t="s">
        <v>3578</v>
      </c>
      <c r="AC367" t="s">
        <v>3579</v>
      </c>
      <c r="AD367" t="s">
        <v>3479</v>
      </c>
      <c r="AE367" t="s">
        <v>3475</v>
      </c>
      <c r="AF367" s="2">
        <v>3578.27</v>
      </c>
      <c r="AG367" s="2">
        <v>2171.2941999999998</v>
      </c>
      <c r="AH367" s="2">
        <v>1406.9757999999999</v>
      </c>
      <c r="AI367" s="3">
        <v>0.39320001006072802</v>
      </c>
    </row>
    <row r="368" spans="1:35">
      <c r="A368" s="1">
        <v>42154</v>
      </c>
      <c r="B368" s="1">
        <v>37381</v>
      </c>
      <c r="C368" t="s">
        <v>4545</v>
      </c>
      <c r="D368">
        <v>313</v>
      </c>
      <c r="E368">
        <v>12078</v>
      </c>
      <c r="F368">
        <v>1</v>
      </c>
      <c r="G368">
        <v>1</v>
      </c>
      <c r="H368">
        <v>1</v>
      </c>
      <c r="I368">
        <v>2</v>
      </c>
      <c r="J368" t="s">
        <v>3491</v>
      </c>
      <c r="K368" t="s">
        <v>3492</v>
      </c>
      <c r="L368" s="2">
        <v>2171.2941999999998</v>
      </c>
      <c r="M368" s="2">
        <v>3578.27</v>
      </c>
      <c r="N368" t="s">
        <v>13</v>
      </c>
      <c r="O368" t="s">
        <v>304</v>
      </c>
      <c r="P368" t="s">
        <v>70</v>
      </c>
      <c r="Q368" t="s">
        <v>6697</v>
      </c>
      <c r="R368" s="1">
        <v>16486</v>
      </c>
      <c r="S368" t="s">
        <v>16</v>
      </c>
      <c r="T368" t="s">
        <v>16</v>
      </c>
      <c r="U368" t="s">
        <v>953</v>
      </c>
      <c r="V368">
        <v>60000</v>
      </c>
      <c r="W368">
        <v>4</v>
      </c>
      <c r="X368" t="s">
        <v>17</v>
      </c>
      <c r="Y368" t="s">
        <v>45</v>
      </c>
      <c r="Z368" t="s">
        <v>19</v>
      </c>
      <c r="AA368" t="s">
        <v>3577</v>
      </c>
      <c r="AB368" t="s">
        <v>3578</v>
      </c>
      <c r="AC368" t="s">
        <v>3579</v>
      </c>
      <c r="AD368" t="s">
        <v>3479</v>
      </c>
      <c r="AE368" t="s">
        <v>3475</v>
      </c>
      <c r="AF368" s="2">
        <v>3578.27</v>
      </c>
      <c r="AG368" s="2">
        <v>2171.2941999999998</v>
      </c>
      <c r="AH368" s="2">
        <v>1406.9757999999999</v>
      </c>
      <c r="AI368" s="3">
        <v>0.39320001006072802</v>
      </c>
    </row>
    <row r="369" spans="1:35">
      <c r="A369" s="1">
        <v>42154</v>
      </c>
      <c r="B369" s="1">
        <v>37342</v>
      </c>
      <c r="C369" t="s">
        <v>4546</v>
      </c>
      <c r="D369">
        <v>314</v>
      </c>
      <c r="E369">
        <v>12153</v>
      </c>
      <c r="F369">
        <v>4</v>
      </c>
      <c r="G369">
        <v>1</v>
      </c>
      <c r="H369">
        <v>1</v>
      </c>
      <c r="I369">
        <v>2</v>
      </c>
      <c r="J369" t="s">
        <v>3493</v>
      </c>
      <c r="K369" t="s">
        <v>3494</v>
      </c>
      <c r="L369" s="2">
        <v>2171.2941999999998</v>
      </c>
      <c r="M369" s="2">
        <v>3578.27</v>
      </c>
      <c r="N369" t="s">
        <v>30</v>
      </c>
      <c r="O369" t="s">
        <v>703</v>
      </c>
      <c r="P369" t="s">
        <v>428</v>
      </c>
      <c r="Q369" t="s">
        <v>6698</v>
      </c>
      <c r="R369" s="1">
        <v>20713</v>
      </c>
      <c r="S369" t="s">
        <v>22</v>
      </c>
      <c r="T369" t="s">
        <v>29</v>
      </c>
      <c r="U369" t="s">
        <v>993</v>
      </c>
      <c r="V369">
        <v>70000</v>
      </c>
      <c r="W369">
        <v>3</v>
      </c>
      <c r="X369" t="s">
        <v>52</v>
      </c>
      <c r="Y369" t="s">
        <v>18</v>
      </c>
      <c r="Z369" t="s">
        <v>19</v>
      </c>
      <c r="AA369" t="s">
        <v>3580</v>
      </c>
      <c r="AB369" t="s">
        <v>3578</v>
      </c>
      <c r="AC369" t="s">
        <v>3579</v>
      </c>
      <c r="AD369" t="s">
        <v>3479</v>
      </c>
      <c r="AE369" t="s">
        <v>3475</v>
      </c>
      <c r="AF369" s="2">
        <v>3578.27</v>
      </c>
      <c r="AG369" s="2">
        <v>2171.2941999999998</v>
      </c>
      <c r="AH369" s="2">
        <v>1406.9757999999999</v>
      </c>
      <c r="AI369" s="3">
        <v>0.39320001006072802</v>
      </c>
    </row>
    <row r="370" spans="1:35">
      <c r="A370" s="1">
        <v>42155</v>
      </c>
      <c r="B370" s="1">
        <v>37385</v>
      </c>
      <c r="C370" t="s">
        <v>4548</v>
      </c>
      <c r="D370">
        <v>311</v>
      </c>
      <c r="E370">
        <v>12103</v>
      </c>
      <c r="F370">
        <v>4</v>
      </c>
      <c r="G370">
        <v>1</v>
      </c>
      <c r="H370">
        <v>1</v>
      </c>
      <c r="I370">
        <v>2</v>
      </c>
      <c r="J370" t="s">
        <v>3487</v>
      </c>
      <c r="K370" t="s">
        <v>3488</v>
      </c>
      <c r="L370" s="2">
        <v>2171.2941999999998</v>
      </c>
      <c r="M370" s="2">
        <v>3578.27</v>
      </c>
      <c r="N370" t="s">
        <v>30</v>
      </c>
      <c r="O370" t="s">
        <v>50</v>
      </c>
      <c r="P370" t="s">
        <v>688</v>
      </c>
      <c r="Q370" t="s">
        <v>6699</v>
      </c>
      <c r="R370" s="1">
        <v>18183</v>
      </c>
      <c r="S370" t="s">
        <v>16</v>
      </c>
      <c r="T370" t="s">
        <v>29</v>
      </c>
      <c r="U370" t="s">
        <v>962</v>
      </c>
      <c r="V370">
        <v>70000</v>
      </c>
      <c r="W370">
        <v>4</v>
      </c>
      <c r="X370" t="s">
        <v>52</v>
      </c>
      <c r="Y370" t="s">
        <v>18</v>
      </c>
      <c r="Z370" t="s">
        <v>19</v>
      </c>
      <c r="AA370" t="s">
        <v>3580</v>
      </c>
      <c r="AB370" t="s">
        <v>3578</v>
      </c>
      <c r="AC370" t="s">
        <v>3579</v>
      </c>
      <c r="AD370" t="s">
        <v>3479</v>
      </c>
      <c r="AE370" t="s">
        <v>3475</v>
      </c>
      <c r="AF370" s="2">
        <v>3578.27</v>
      </c>
      <c r="AG370" s="2">
        <v>2171.2941999999998</v>
      </c>
      <c r="AH370" s="2">
        <v>1406.9757999999999</v>
      </c>
      <c r="AI370" s="3">
        <v>0.39320001006072802</v>
      </c>
    </row>
    <row r="371" spans="1:35">
      <c r="A371" s="1">
        <v>42156</v>
      </c>
      <c r="B371" s="1">
        <v>37348</v>
      </c>
      <c r="C371" t="s">
        <v>4553</v>
      </c>
      <c r="D371">
        <v>313</v>
      </c>
      <c r="E371">
        <v>12440</v>
      </c>
      <c r="F371">
        <v>4</v>
      </c>
      <c r="G371">
        <v>1</v>
      </c>
      <c r="H371">
        <v>1</v>
      </c>
      <c r="I371">
        <v>2</v>
      </c>
      <c r="J371" t="s">
        <v>3491</v>
      </c>
      <c r="K371" t="s">
        <v>3492</v>
      </c>
      <c r="L371" s="2">
        <v>2171.2941999999998</v>
      </c>
      <c r="M371" s="2">
        <v>3578.27</v>
      </c>
      <c r="N371" t="s">
        <v>13</v>
      </c>
      <c r="O371" t="s">
        <v>478</v>
      </c>
      <c r="P371" t="s">
        <v>570</v>
      </c>
      <c r="Q371" t="s">
        <v>6700</v>
      </c>
      <c r="R371" s="1">
        <v>20740</v>
      </c>
      <c r="S371" t="s">
        <v>16</v>
      </c>
      <c r="T371" t="s">
        <v>16</v>
      </c>
      <c r="U371" t="s">
        <v>1145</v>
      </c>
      <c r="V371">
        <v>40000</v>
      </c>
      <c r="W371">
        <v>1</v>
      </c>
      <c r="X371" t="s">
        <v>52</v>
      </c>
      <c r="Y371" t="s">
        <v>60</v>
      </c>
      <c r="Z371" t="s">
        <v>19</v>
      </c>
      <c r="AA371" t="s">
        <v>3580</v>
      </c>
      <c r="AB371" t="s">
        <v>3578</v>
      </c>
      <c r="AC371" t="s">
        <v>3579</v>
      </c>
      <c r="AD371" t="s">
        <v>3479</v>
      </c>
      <c r="AE371" t="s">
        <v>3475</v>
      </c>
      <c r="AF371" s="2">
        <v>3578.27</v>
      </c>
      <c r="AG371" s="2">
        <v>2171.2941999999998</v>
      </c>
      <c r="AH371" s="2">
        <v>1406.9757999999999</v>
      </c>
      <c r="AI371" s="3">
        <v>0.39320001006072802</v>
      </c>
    </row>
    <row r="372" spans="1:35">
      <c r="A372" s="1">
        <v>42156</v>
      </c>
      <c r="B372" s="1">
        <v>37390</v>
      </c>
      <c r="C372" t="s">
        <v>4554</v>
      </c>
      <c r="D372">
        <v>313</v>
      </c>
      <c r="E372">
        <v>13537</v>
      </c>
      <c r="F372">
        <v>7</v>
      </c>
      <c r="G372">
        <v>1</v>
      </c>
      <c r="H372">
        <v>1</v>
      </c>
      <c r="I372">
        <v>2</v>
      </c>
      <c r="J372" t="s">
        <v>3491</v>
      </c>
      <c r="K372" t="s">
        <v>3492</v>
      </c>
      <c r="L372" s="2">
        <v>2171.2941999999998</v>
      </c>
      <c r="M372" s="2">
        <v>3578.27</v>
      </c>
      <c r="N372" t="s">
        <v>30</v>
      </c>
      <c r="O372" t="s">
        <v>82</v>
      </c>
      <c r="P372" t="s">
        <v>85</v>
      </c>
      <c r="Q372" t="s">
        <v>6701</v>
      </c>
      <c r="R372" s="1">
        <v>21833</v>
      </c>
      <c r="S372" t="s">
        <v>22</v>
      </c>
      <c r="T372" t="s">
        <v>29</v>
      </c>
      <c r="U372" t="s">
        <v>1572</v>
      </c>
      <c r="V372">
        <v>10000</v>
      </c>
      <c r="W372">
        <v>1</v>
      </c>
      <c r="X372" t="s">
        <v>57</v>
      </c>
      <c r="Y372" t="s">
        <v>444</v>
      </c>
      <c r="Z372" t="s">
        <v>23</v>
      </c>
      <c r="AA372" t="s">
        <v>3583</v>
      </c>
      <c r="AB372" t="s">
        <v>3583</v>
      </c>
      <c r="AC372" t="s">
        <v>3584</v>
      </c>
      <c r="AD372" t="s">
        <v>3479</v>
      </c>
      <c r="AE372" t="s">
        <v>3475</v>
      </c>
      <c r="AF372" s="2">
        <v>3578.27</v>
      </c>
      <c r="AG372" s="2">
        <v>2171.2941999999998</v>
      </c>
      <c r="AH372" s="2">
        <v>1406.9757999999999</v>
      </c>
      <c r="AI372" s="3">
        <v>0.39320001006072802</v>
      </c>
    </row>
    <row r="373" spans="1:35">
      <c r="A373" s="1">
        <v>42157</v>
      </c>
      <c r="B373" s="1">
        <v>37320</v>
      </c>
      <c r="C373" t="s">
        <v>4555</v>
      </c>
      <c r="D373">
        <v>311</v>
      </c>
      <c r="E373">
        <v>12442</v>
      </c>
      <c r="F373">
        <v>4</v>
      </c>
      <c r="G373">
        <v>1</v>
      </c>
      <c r="H373">
        <v>1</v>
      </c>
      <c r="I373">
        <v>2</v>
      </c>
      <c r="J373" t="s">
        <v>3487</v>
      </c>
      <c r="K373" t="s">
        <v>3488</v>
      </c>
      <c r="L373" s="2">
        <v>2171.2941999999998</v>
      </c>
      <c r="M373" s="2">
        <v>3578.27</v>
      </c>
      <c r="N373" t="s">
        <v>30</v>
      </c>
      <c r="O373" t="s">
        <v>324</v>
      </c>
      <c r="P373" t="s">
        <v>245</v>
      </c>
      <c r="Q373" t="s">
        <v>6702</v>
      </c>
      <c r="R373" s="1">
        <v>21036</v>
      </c>
      <c r="S373" t="s">
        <v>16</v>
      </c>
      <c r="T373" t="s">
        <v>29</v>
      </c>
      <c r="U373" t="s">
        <v>1147</v>
      </c>
      <c r="V373">
        <v>40000</v>
      </c>
      <c r="W373">
        <v>1</v>
      </c>
      <c r="X373" t="s">
        <v>52</v>
      </c>
      <c r="Y373" t="s">
        <v>60</v>
      </c>
      <c r="Z373" t="s">
        <v>19</v>
      </c>
      <c r="AA373" t="s">
        <v>3580</v>
      </c>
      <c r="AB373" t="s">
        <v>3578</v>
      </c>
      <c r="AC373" t="s">
        <v>3579</v>
      </c>
      <c r="AD373" t="s">
        <v>3479</v>
      </c>
      <c r="AE373" t="s">
        <v>3475</v>
      </c>
      <c r="AF373" s="2">
        <v>3578.27</v>
      </c>
      <c r="AG373" s="2">
        <v>2171.2941999999998</v>
      </c>
      <c r="AH373" s="2">
        <v>1406.9757999999999</v>
      </c>
      <c r="AI373" s="3">
        <v>0.39320001006072802</v>
      </c>
    </row>
    <row r="374" spans="1:35">
      <c r="A374" s="1">
        <v>42158</v>
      </c>
      <c r="B374" s="1">
        <v>37386</v>
      </c>
      <c r="C374" t="s">
        <v>4568</v>
      </c>
      <c r="D374">
        <v>312</v>
      </c>
      <c r="E374">
        <v>12779</v>
      </c>
      <c r="F374">
        <v>1</v>
      </c>
      <c r="G374">
        <v>1</v>
      </c>
      <c r="H374">
        <v>1</v>
      </c>
      <c r="I374">
        <v>2</v>
      </c>
      <c r="J374" t="s">
        <v>3489</v>
      </c>
      <c r="K374" t="s">
        <v>3490</v>
      </c>
      <c r="L374" s="2">
        <v>2171.2941999999998</v>
      </c>
      <c r="M374" s="2">
        <v>3578.27</v>
      </c>
      <c r="N374" t="s">
        <v>13</v>
      </c>
      <c r="O374" t="s">
        <v>303</v>
      </c>
      <c r="P374" t="s">
        <v>572</v>
      </c>
      <c r="Q374" t="s">
        <v>6703</v>
      </c>
      <c r="R374" s="1">
        <v>20670</v>
      </c>
      <c r="S374" t="s">
        <v>16</v>
      </c>
      <c r="T374" t="s">
        <v>16</v>
      </c>
      <c r="U374" t="s">
        <v>1283</v>
      </c>
      <c r="V374">
        <v>40000</v>
      </c>
      <c r="W374">
        <v>1</v>
      </c>
      <c r="X374" t="s">
        <v>52</v>
      </c>
      <c r="Y374" t="s">
        <v>60</v>
      </c>
      <c r="Z374" t="s">
        <v>19</v>
      </c>
      <c r="AA374" t="s">
        <v>3577</v>
      </c>
      <c r="AB374" t="s">
        <v>3578</v>
      </c>
      <c r="AC374" t="s">
        <v>3579</v>
      </c>
      <c r="AD374" t="s">
        <v>3479</v>
      </c>
      <c r="AE374" t="s">
        <v>3475</v>
      </c>
      <c r="AF374" s="2">
        <v>3578.27</v>
      </c>
      <c r="AG374" s="2">
        <v>2171.2941999999998</v>
      </c>
      <c r="AH374" s="2">
        <v>1406.9757999999999</v>
      </c>
      <c r="AI374" s="3">
        <v>0.39320001006072802</v>
      </c>
    </row>
    <row r="375" spans="1:35">
      <c r="A375" s="1">
        <v>42158</v>
      </c>
      <c r="B375" s="1">
        <v>37390</v>
      </c>
      <c r="C375" t="s">
        <v>4569</v>
      </c>
      <c r="D375">
        <v>351</v>
      </c>
      <c r="E375">
        <v>12011</v>
      </c>
      <c r="F375">
        <v>9</v>
      </c>
      <c r="G375">
        <v>1</v>
      </c>
      <c r="H375">
        <v>1</v>
      </c>
      <c r="I375">
        <v>1</v>
      </c>
      <c r="J375" t="s">
        <v>3533</v>
      </c>
      <c r="K375" t="s">
        <v>3534</v>
      </c>
      <c r="L375" s="2">
        <v>1898.0944</v>
      </c>
      <c r="M375" s="2">
        <v>3374.99</v>
      </c>
      <c r="N375" t="s">
        <v>30</v>
      </c>
      <c r="O375" t="s">
        <v>252</v>
      </c>
      <c r="P375" t="s">
        <v>32</v>
      </c>
      <c r="Q375" t="s">
        <v>6704</v>
      </c>
      <c r="R375" s="1">
        <v>12832</v>
      </c>
      <c r="S375" t="s">
        <v>22</v>
      </c>
      <c r="T375" t="s">
        <v>29</v>
      </c>
      <c r="U375" t="s">
        <v>914</v>
      </c>
      <c r="V375">
        <v>30000</v>
      </c>
      <c r="W375">
        <v>2</v>
      </c>
      <c r="X375" t="s">
        <v>52</v>
      </c>
      <c r="Y375" t="s">
        <v>60</v>
      </c>
      <c r="Z375" t="s">
        <v>23</v>
      </c>
      <c r="AA375" t="s">
        <v>3586</v>
      </c>
      <c r="AB375" t="s">
        <v>3586</v>
      </c>
      <c r="AC375" t="s">
        <v>3587</v>
      </c>
      <c r="AD375" t="s">
        <v>3478</v>
      </c>
      <c r="AE375" t="s">
        <v>3475</v>
      </c>
      <c r="AF375" s="2">
        <v>3374.99</v>
      </c>
      <c r="AG375" s="2">
        <v>1898.0944</v>
      </c>
      <c r="AH375" s="2">
        <v>1476.8956000000001</v>
      </c>
      <c r="AI375" s="3">
        <v>0.43759999288886797</v>
      </c>
    </row>
    <row r="376" spans="1:35">
      <c r="A376" s="1">
        <v>42160</v>
      </c>
      <c r="B376" s="1">
        <v>37370</v>
      </c>
      <c r="C376" t="s">
        <v>4577</v>
      </c>
      <c r="D376">
        <v>344</v>
      </c>
      <c r="E376">
        <v>12021</v>
      </c>
      <c r="F376">
        <v>9</v>
      </c>
      <c r="G376">
        <v>1</v>
      </c>
      <c r="H376">
        <v>1</v>
      </c>
      <c r="I376">
        <v>1</v>
      </c>
      <c r="J376" t="s">
        <v>3519</v>
      </c>
      <c r="K376" t="s">
        <v>3520</v>
      </c>
      <c r="L376" s="2">
        <v>1912.1543999999999</v>
      </c>
      <c r="M376" s="2">
        <v>3399.99</v>
      </c>
      <c r="N376" t="s">
        <v>30</v>
      </c>
      <c r="O376" t="s">
        <v>575</v>
      </c>
      <c r="P376" t="s">
        <v>87</v>
      </c>
      <c r="Q376" t="s">
        <v>6705</v>
      </c>
      <c r="R376" s="1">
        <v>16846</v>
      </c>
      <c r="S376" t="s">
        <v>22</v>
      </c>
      <c r="T376" t="s">
        <v>29</v>
      </c>
      <c r="U376" t="s">
        <v>922</v>
      </c>
      <c r="V376">
        <v>10000</v>
      </c>
      <c r="W376">
        <v>5</v>
      </c>
      <c r="X376" t="s">
        <v>57</v>
      </c>
      <c r="Y376" t="s">
        <v>53</v>
      </c>
      <c r="Z376" t="s">
        <v>23</v>
      </c>
      <c r="AA376" t="s">
        <v>3586</v>
      </c>
      <c r="AB376" t="s">
        <v>3586</v>
      </c>
      <c r="AC376" t="s">
        <v>3587</v>
      </c>
      <c r="AD376" t="s">
        <v>3478</v>
      </c>
      <c r="AE376" t="s">
        <v>3475</v>
      </c>
      <c r="AF376" s="2">
        <v>3399.99</v>
      </c>
      <c r="AG376" s="2">
        <v>1912.1543999999999</v>
      </c>
      <c r="AH376" s="2">
        <v>1487.8356000000001</v>
      </c>
      <c r="AI376" s="3">
        <v>0.43759999294115598</v>
      </c>
    </row>
    <row r="377" spans="1:35">
      <c r="A377" s="1">
        <v>42160</v>
      </c>
      <c r="B377" s="1">
        <v>37311</v>
      </c>
      <c r="C377" t="s">
        <v>4578</v>
      </c>
      <c r="D377">
        <v>313</v>
      </c>
      <c r="E377">
        <v>13511</v>
      </c>
      <c r="F377">
        <v>7</v>
      </c>
      <c r="G377">
        <v>1</v>
      </c>
      <c r="H377">
        <v>1</v>
      </c>
      <c r="I377">
        <v>2</v>
      </c>
      <c r="J377" t="s">
        <v>3491</v>
      </c>
      <c r="K377" t="s">
        <v>3492</v>
      </c>
      <c r="L377" s="2">
        <v>2171.2941999999998</v>
      </c>
      <c r="M377" s="2">
        <v>3578.27</v>
      </c>
      <c r="N377" t="s">
        <v>13</v>
      </c>
      <c r="O377" t="s">
        <v>267</v>
      </c>
      <c r="P377" t="s">
        <v>210</v>
      </c>
      <c r="Q377" t="s">
        <v>6706</v>
      </c>
      <c r="R377" s="1">
        <v>15100</v>
      </c>
      <c r="S377" t="s">
        <v>22</v>
      </c>
      <c r="T377" t="s">
        <v>16</v>
      </c>
      <c r="U377" t="s">
        <v>1563</v>
      </c>
      <c r="V377">
        <v>10000</v>
      </c>
      <c r="W377">
        <v>2</v>
      </c>
      <c r="X377" t="s">
        <v>52</v>
      </c>
      <c r="Y377" t="s">
        <v>444</v>
      </c>
      <c r="Z377" t="s">
        <v>19</v>
      </c>
      <c r="AA377" t="s">
        <v>3583</v>
      </c>
      <c r="AB377" t="s">
        <v>3583</v>
      </c>
      <c r="AC377" t="s">
        <v>3584</v>
      </c>
      <c r="AD377" t="s">
        <v>3479</v>
      </c>
      <c r="AE377" t="s">
        <v>3475</v>
      </c>
      <c r="AF377" s="2">
        <v>3578.27</v>
      </c>
      <c r="AG377" s="2">
        <v>2171.2941999999998</v>
      </c>
      <c r="AH377" s="2">
        <v>1406.9757999999999</v>
      </c>
      <c r="AI377" s="3">
        <v>0.39320001006072802</v>
      </c>
    </row>
    <row r="378" spans="1:35">
      <c r="A378" s="1">
        <v>42160</v>
      </c>
      <c r="B378" s="1">
        <v>37346</v>
      </c>
      <c r="C378" t="s">
        <v>4579</v>
      </c>
      <c r="D378">
        <v>313</v>
      </c>
      <c r="E378">
        <v>12181</v>
      </c>
      <c r="F378">
        <v>4</v>
      </c>
      <c r="G378">
        <v>1</v>
      </c>
      <c r="H378">
        <v>1</v>
      </c>
      <c r="I378">
        <v>2</v>
      </c>
      <c r="J378" t="s">
        <v>3491</v>
      </c>
      <c r="K378" t="s">
        <v>3492</v>
      </c>
      <c r="L378" s="2">
        <v>2171.2941999999998</v>
      </c>
      <c r="M378" s="2">
        <v>3578.27</v>
      </c>
      <c r="N378" t="s">
        <v>30</v>
      </c>
      <c r="O378" t="s">
        <v>372</v>
      </c>
      <c r="P378" t="s">
        <v>320</v>
      </c>
      <c r="Q378" t="s">
        <v>6707</v>
      </c>
      <c r="R378" s="1">
        <v>13383</v>
      </c>
      <c r="S378" t="s">
        <v>16</v>
      </c>
      <c r="T378" t="s">
        <v>29</v>
      </c>
      <c r="U378" t="s">
        <v>1011</v>
      </c>
      <c r="V378">
        <v>130000</v>
      </c>
      <c r="W378">
        <v>2</v>
      </c>
      <c r="X378" t="s">
        <v>135</v>
      </c>
      <c r="Y378" t="s">
        <v>45</v>
      </c>
      <c r="Z378" t="s">
        <v>19</v>
      </c>
      <c r="AA378" t="s">
        <v>3580</v>
      </c>
      <c r="AB378" t="s">
        <v>3578</v>
      </c>
      <c r="AC378" t="s">
        <v>3579</v>
      </c>
      <c r="AD378" t="s">
        <v>3479</v>
      </c>
      <c r="AE378" t="s">
        <v>3475</v>
      </c>
      <c r="AF378" s="2">
        <v>3578.27</v>
      </c>
      <c r="AG378" s="2">
        <v>2171.2941999999998</v>
      </c>
      <c r="AH378" s="2">
        <v>1406.9757999999999</v>
      </c>
      <c r="AI378" s="3">
        <v>0.39320001006072802</v>
      </c>
    </row>
    <row r="379" spans="1:35">
      <c r="A379" s="1">
        <v>42164</v>
      </c>
      <c r="B379" s="1">
        <v>37299</v>
      </c>
      <c r="C379" t="s">
        <v>4609</v>
      </c>
      <c r="D379">
        <v>345</v>
      </c>
      <c r="E379">
        <v>12007</v>
      </c>
      <c r="F379">
        <v>9</v>
      </c>
      <c r="G379">
        <v>1</v>
      </c>
      <c r="H379">
        <v>1</v>
      </c>
      <c r="I379">
        <v>1</v>
      </c>
      <c r="J379" t="s">
        <v>3521</v>
      </c>
      <c r="K379" t="s">
        <v>3522</v>
      </c>
      <c r="L379" s="2">
        <v>1912.1543999999999</v>
      </c>
      <c r="M379" s="2">
        <v>3399.99</v>
      </c>
      <c r="N379" t="s">
        <v>30</v>
      </c>
      <c r="O379" t="s">
        <v>37</v>
      </c>
      <c r="P379" t="s">
        <v>470</v>
      </c>
      <c r="Q379" t="s">
        <v>6708</v>
      </c>
      <c r="R379" s="1">
        <v>22488</v>
      </c>
      <c r="S379" t="s">
        <v>16</v>
      </c>
      <c r="T379" t="s">
        <v>29</v>
      </c>
      <c r="U379" t="s">
        <v>911</v>
      </c>
      <c r="V379">
        <v>60000</v>
      </c>
      <c r="W379">
        <v>1</v>
      </c>
      <c r="X379" t="s">
        <v>52</v>
      </c>
      <c r="Y379" t="s">
        <v>53</v>
      </c>
      <c r="Z379" t="s">
        <v>19</v>
      </c>
      <c r="AA379" t="s">
        <v>3586</v>
      </c>
      <c r="AB379" t="s">
        <v>3586</v>
      </c>
      <c r="AC379" t="s">
        <v>3587</v>
      </c>
      <c r="AD379" t="s">
        <v>3478</v>
      </c>
      <c r="AE379" t="s">
        <v>3475</v>
      </c>
      <c r="AF379" s="2">
        <v>3399.99</v>
      </c>
      <c r="AG379" s="2">
        <v>1912.1543999999999</v>
      </c>
      <c r="AH379" s="2">
        <v>1487.8356000000001</v>
      </c>
      <c r="AI379" s="3">
        <v>0.43759999294115598</v>
      </c>
    </row>
    <row r="380" spans="1:35">
      <c r="A380" s="1">
        <v>42160</v>
      </c>
      <c r="B380" s="1">
        <v>37364</v>
      </c>
      <c r="C380" t="s">
        <v>4581</v>
      </c>
      <c r="D380">
        <v>314</v>
      </c>
      <c r="E380">
        <v>12441</v>
      </c>
      <c r="F380">
        <v>4</v>
      </c>
      <c r="G380">
        <v>1</v>
      </c>
      <c r="H380">
        <v>1</v>
      </c>
      <c r="I380">
        <v>2</v>
      </c>
      <c r="J380" t="s">
        <v>3493</v>
      </c>
      <c r="K380" t="s">
        <v>3494</v>
      </c>
      <c r="L380" s="2">
        <v>2171.2941999999998</v>
      </c>
      <c r="M380" s="2">
        <v>3578.27</v>
      </c>
      <c r="N380" t="s">
        <v>13</v>
      </c>
      <c r="O380" t="s">
        <v>183</v>
      </c>
      <c r="P380" t="s">
        <v>111</v>
      </c>
      <c r="Q380" t="s">
        <v>6709</v>
      </c>
      <c r="R380" s="1">
        <v>21145</v>
      </c>
      <c r="S380" t="s">
        <v>16</v>
      </c>
      <c r="T380" t="s">
        <v>16</v>
      </c>
      <c r="U380" t="s">
        <v>1146</v>
      </c>
      <c r="V380">
        <v>40000</v>
      </c>
      <c r="W380">
        <v>1</v>
      </c>
      <c r="X380" t="s">
        <v>52</v>
      </c>
      <c r="Y380" t="s">
        <v>60</v>
      </c>
      <c r="Z380" t="s">
        <v>19</v>
      </c>
      <c r="AA380" t="s">
        <v>3580</v>
      </c>
      <c r="AB380" t="s">
        <v>3578</v>
      </c>
      <c r="AC380" t="s">
        <v>3579</v>
      </c>
      <c r="AD380" t="s">
        <v>3479</v>
      </c>
      <c r="AE380" t="s">
        <v>3475</v>
      </c>
      <c r="AF380" s="2">
        <v>3578.27</v>
      </c>
      <c r="AG380" s="2">
        <v>2171.2941999999998</v>
      </c>
      <c r="AH380" s="2">
        <v>1406.9757999999999</v>
      </c>
      <c r="AI380" s="3">
        <v>0.39320001006072802</v>
      </c>
    </row>
    <row r="381" spans="1:35">
      <c r="A381" s="1">
        <v>42168</v>
      </c>
      <c r="B381" s="1">
        <v>37401</v>
      </c>
      <c r="C381" t="s">
        <v>4635</v>
      </c>
      <c r="D381">
        <v>346</v>
      </c>
      <c r="E381">
        <v>12009</v>
      </c>
      <c r="F381">
        <v>9</v>
      </c>
      <c r="G381">
        <v>1</v>
      </c>
      <c r="H381">
        <v>1</v>
      </c>
      <c r="I381">
        <v>1</v>
      </c>
      <c r="J381" t="s">
        <v>3523</v>
      </c>
      <c r="K381" t="s">
        <v>3524</v>
      </c>
      <c r="L381" s="2">
        <v>1912.1543999999999</v>
      </c>
      <c r="M381" s="2">
        <v>3399.99</v>
      </c>
      <c r="N381" t="s">
        <v>30</v>
      </c>
      <c r="O381" t="s">
        <v>805</v>
      </c>
      <c r="P381" t="s">
        <v>290</v>
      </c>
      <c r="Q381" t="s">
        <v>6710</v>
      </c>
      <c r="R381" s="1">
        <v>21035</v>
      </c>
      <c r="S381" t="s">
        <v>22</v>
      </c>
      <c r="T381" t="s">
        <v>29</v>
      </c>
      <c r="U381" t="s">
        <v>912</v>
      </c>
      <c r="V381">
        <v>80000</v>
      </c>
      <c r="W381">
        <v>1</v>
      </c>
      <c r="X381" t="s">
        <v>52</v>
      </c>
      <c r="Y381" t="s">
        <v>53</v>
      </c>
      <c r="Z381" t="s">
        <v>19</v>
      </c>
      <c r="AA381" t="s">
        <v>3586</v>
      </c>
      <c r="AB381" t="s">
        <v>3586</v>
      </c>
      <c r="AC381" t="s">
        <v>3587</v>
      </c>
      <c r="AD381" t="s">
        <v>3478</v>
      </c>
      <c r="AE381" t="s">
        <v>3475</v>
      </c>
      <c r="AF381" s="2">
        <v>3399.99</v>
      </c>
      <c r="AG381" s="2">
        <v>1912.1543999999999</v>
      </c>
      <c r="AH381" s="2">
        <v>1487.8356000000001</v>
      </c>
      <c r="AI381" s="3">
        <v>0.43759999294115598</v>
      </c>
    </row>
    <row r="382" spans="1:35">
      <c r="A382" s="1">
        <v>42178</v>
      </c>
      <c r="B382" s="1">
        <v>37317</v>
      </c>
      <c r="C382" t="s">
        <v>4711</v>
      </c>
      <c r="D382">
        <v>351</v>
      </c>
      <c r="E382">
        <v>12010</v>
      </c>
      <c r="F382">
        <v>9</v>
      </c>
      <c r="G382">
        <v>1</v>
      </c>
      <c r="H382">
        <v>1</v>
      </c>
      <c r="I382">
        <v>1</v>
      </c>
      <c r="J382" t="s">
        <v>3533</v>
      </c>
      <c r="K382" t="s">
        <v>3534</v>
      </c>
      <c r="L382" s="2">
        <v>1898.0944</v>
      </c>
      <c r="M382" s="2">
        <v>3374.99</v>
      </c>
      <c r="N382" t="s">
        <v>13</v>
      </c>
      <c r="O382" t="s">
        <v>878</v>
      </c>
      <c r="P382" t="s">
        <v>157</v>
      </c>
      <c r="Q382" t="s">
        <v>6711</v>
      </c>
      <c r="R382" s="1">
        <v>20877</v>
      </c>
      <c r="S382" t="s">
        <v>16</v>
      </c>
      <c r="T382" t="s">
        <v>16</v>
      </c>
      <c r="U382" t="s">
        <v>913</v>
      </c>
      <c r="V382">
        <v>80000</v>
      </c>
      <c r="W382">
        <v>1</v>
      </c>
      <c r="X382" t="s">
        <v>52</v>
      </c>
      <c r="Y382" t="s">
        <v>53</v>
      </c>
      <c r="Z382" t="s">
        <v>19</v>
      </c>
      <c r="AA382" t="s">
        <v>3586</v>
      </c>
      <c r="AB382" t="s">
        <v>3586</v>
      </c>
      <c r="AC382" t="s">
        <v>3587</v>
      </c>
      <c r="AD382" t="s">
        <v>3478</v>
      </c>
      <c r="AE382" t="s">
        <v>3475</v>
      </c>
      <c r="AF382" s="2">
        <v>3374.99</v>
      </c>
      <c r="AG382" s="2">
        <v>1898.0944</v>
      </c>
      <c r="AH382" s="2">
        <v>1476.8956000000001</v>
      </c>
      <c r="AI382" s="3">
        <v>0.43759999288886797</v>
      </c>
    </row>
    <row r="383" spans="1:35">
      <c r="A383" s="1">
        <v>42161</v>
      </c>
      <c r="B383" s="1">
        <v>37378</v>
      </c>
      <c r="C383" t="s">
        <v>4584</v>
      </c>
      <c r="D383">
        <v>312</v>
      </c>
      <c r="E383">
        <v>12435</v>
      </c>
      <c r="F383">
        <v>4</v>
      </c>
      <c r="G383">
        <v>1</v>
      </c>
      <c r="H383">
        <v>1</v>
      </c>
      <c r="I383">
        <v>2</v>
      </c>
      <c r="J383" t="s">
        <v>3489</v>
      </c>
      <c r="K383" t="s">
        <v>3490</v>
      </c>
      <c r="L383" s="2">
        <v>2171.2941999999998</v>
      </c>
      <c r="M383" s="2">
        <v>3578.27</v>
      </c>
      <c r="N383" t="s">
        <v>30</v>
      </c>
      <c r="O383" t="s">
        <v>27</v>
      </c>
      <c r="P383" t="s">
        <v>138</v>
      </c>
      <c r="Q383" t="s">
        <v>6712</v>
      </c>
      <c r="R383" s="1">
        <v>20372</v>
      </c>
      <c r="S383" t="s">
        <v>16</v>
      </c>
      <c r="T383" t="s">
        <v>29</v>
      </c>
      <c r="U383" t="s">
        <v>1142</v>
      </c>
      <c r="V383">
        <v>40000</v>
      </c>
      <c r="W383">
        <v>1</v>
      </c>
      <c r="X383" t="s">
        <v>52</v>
      </c>
      <c r="Y383" t="s">
        <v>60</v>
      </c>
      <c r="Z383" t="s">
        <v>19</v>
      </c>
      <c r="AA383" t="s">
        <v>3580</v>
      </c>
      <c r="AB383" t="s">
        <v>3578</v>
      </c>
      <c r="AC383" t="s">
        <v>3579</v>
      </c>
      <c r="AD383" t="s">
        <v>3479</v>
      </c>
      <c r="AE383" t="s">
        <v>3475</v>
      </c>
      <c r="AF383" s="2">
        <v>3578.27</v>
      </c>
      <c r="AG383" s="2">
        <v>2171.2941999999998</v>
      </c>
      <c r="AH383" s="2">
        <v>1406.9757999999999</v>
      </c>
      <c r="AI383" s="3">
        <v>0.39320001006072802</v>
      </c>
    </row>
    <row r="384" spans="1:35">
      <c r="A384" s="1">
        <v>42166</v>
      </c>
      <c r="B384" s="1">
        <v>37337</v>
      </c>
      <c r="C384" t="s">
        <v>4621</v>
      </c>
      <c r="D384">
        <v>345</v>
      </c>
      <c r="E384">
        <v>12013</v>
      </c>
      <c r="F384">
        <v>9</v>
      </c>
      <c r="G384">
        <v>1</v>
      </c>
      <c r="H384">
        <v>1</v>
      </c>
      <c r="I384">
        <v>1</v>
      </c>
      <c r="J384" t="s">
        <v>3521</v>
      </c>
      <c r="K384" t="s">
        <v>3522</v>
      </c>
      <c r="L384" s="2">
        <v>1912.1543999999999</v>
      </c>
      <c r="M384" s="2">
        <v>3399.99</v>
      </c>
      <c r="N384" t="s">
        <v>30</v>
      </c>
      <c r="O384" t="s">
        <v>916</v>
      </c>
      <c r="P384" t="s">
        <v>407</v>
      </c>
      <c r="Q384" t="s">
        <v>6713</v>
      </c>
      <c r="R384" s="1">
        <v>19425</v>
      </c>
      <c r="S384" t="s">
        <v>22</v>
      </c>
      <c r="T384" t="s">
        <v>29</v>
      </c>
      <c r="U384" t="s">
        <v>917</v>
      </c>
      <c r="V384">
        <v>30000</v>
      </c>
      <c r="W384">
        <v>2</v>
      </c>
      <c r="X384" t="s">
        <v>52</v>
      </c>
      <c r="Y384" t="s">
        <v>60</v>
      </c>
      <c r="Z384" t="s">
        <v>19</v>
      </c>
      <c r="AA384" t="s">
        <v>3586</v>
      </c>
      <c r="AB384" t="s">
        <v>3586</v>
      </c>
      <c r="AC384" t="s">
        <v>3587</v>
      </c>
      <c r="AD384" t="s">
        <v>3478</v>
      </c>
      <c r="AE384" t="s">
        <v>3475</v>
      </c>
      <c r="AF384" s="2">
        <v>3399.99</v>
      </c>
      <c r="AG384" s="2">
        <v>1912.1543999999999</v>
      </c>
      <c r="AH384" s="2">
        <v>1487.8356000000001</v>
      </c>
      <c r="AI384" s="3">
        <v>0.43759999294115598</v>
      </c>
    </row>
    <row r="385" spans="1:35">
      <c r="A385" s="1">
        <v>42161</v>
      </c>
      <c r="B385" s="1">
        <v>37342</v>
      </c>
      <c r="C385" t="s">
        <v>4587</v>
      </c>
      <c r="D385">
        <v>311</v>
      </c>
      <c r="E385">
        <v>12884</v>
      </c>
      <c r="F385">
        <v>4</v>
      </c>
      <c r="G385">
        <v>1</v>
      </c>
      <c r="H385">
        <v>1</v>
      </c>
      <c r="I385">
        <v>2</v>
      </c>
      <c r="J385" t="s">
        <v>3487</v>
      </c>
      <c r="K385" t="s">
        <v>3488</v>
      </c>
      <c r="L385" s="2">
        <v>2171.2941999999998</v>
      </c>
      <c r="M385" s="2">
        <v>3578.27</v>
      </c>
      <c r="N385" t="s">
        <v>30</v>
      </c>
      <c r="O385" t="s">
        <v>108</v>
      </c>
      <c r="P385" t="s">
        <v>273</v>
      </c>
      <c r="Q385" t="s">
        <v>6714</v>
      </c>
      <c r="R385" s="1">
        <v>26065</v>
      </c>
      <c r="S385" t="s">
        <v>22</v>
      </c>
      <c r="T385" t="s">
        <v>29</v>
      </c>
      <c r="U385" t="s">
        <v>1306</v>
      </c>
      <c r="V385">
        <v>60000</v>
      </c>
      <c r="W385">
        <v>1</v>
      </c>
      <c r="X385" t="s">
        <v>135</v>
      </c>
      <c r="Y385" t="s">
        <v>53</v>
      </c>
      <c r="Z385" t="s">
        <v>19</v>
      </c>
      <c r="AA385" t="s">
        <v>3580</v>
      </c>
      <c r="AB385" t="s">
        <v>3578</v>
      </c>
      <c r="AC385" t="s">
        <v>3579</v>
      </c>
      <c r="AD385" t="s">
        <v>3479</v>
      </c>
      <c r="AE385" t="s">
        <v>3475</v>
      </c>
      <c r="AF385" s="2">
        <v>3578.27</v>
      </c>
      <c r="AG385" s="2">
        <v>2171.2941999999998</v>
      </c>
      <c r="AH385" s="2">
        <v>1406.9757999999999</v>
      </c>
      <c r="AI385" s="3">
        <v>0.39320001006072802</v>
      </c>
    </row>
    <row r="386" spans="1:35">
      <c r="A386" s="1">
        <v>42165</v>
      </c>
      <c r="B386" s="1">
        <v>37303</v>
      </c>
      <c r="C386" t="s">
        <v>4610</v>
      </c>
      <c r="D386">
        <v>346</v>
      </c>
      <c r="E386">
        <v>12014</v>
      </c>
      <c r="F386">
        <v>9</v>
      </c>
      <c r="G386">
        <v>1</v>
      </c>
      <c r="H386">
        <v>1</v>
      </c>
      <c r="I386">
        <v>1</v>
      </c>
      <c r="J386" t="s">
        <v>3523</v>
      </c>
      <c r="K386" t="s">
        <v>3524</v>
      </c>
      <c r="L386" s="2">
        <v>1912.1543999999999</v>
      </c>
      <c r="M386" s="2">
        <v>3399.99</v>
      </c>
      <c r="N386" t="s">
        <v>13</v>
      </c>
      <c r="O386" t="s">
        <v>285</v>
      </c>
      <c r="P386" t="s">
        <v>320</v>
      </c>
      <c r="Q386" t="s">
        <v>6715</v>
      </c>
      <c r="R386" s="1">
        <v>17938</v>
      </c>
      <c r="S386" t="s">
        <v>16</v>
      </c>
      <c r="T386" t="s">
        <v>16</v>
      </c>
      <c r="U386" t="s">
        <v>918</v>
      </c>
      <c r="V386">
        <v>10000</v>
      </c>
      <c r="W386">
        <v>2</v>
      </c>
      <c r="X386" t="s">
        <v>57</v>
      </c>
      <c r="Y386" t="s">
        <v>53</v>
      </c>
      <c r="Z386" t="s">
        <v>19</v>
      </c>
      <c r="AA386" t="s">
        <v>3586</v>
      </c>
      <c r="AB386" t="s">
        <v>3586</v>
      </c>
      <c r="AC386" t="s">
        <v>3587</v>
      </c>
      <c r="AD386" t="s">
        <v>3478</v>
      </c>
      <c r="AE386" t="s">
        <v>3475</v>
      </c>
      <c r="AF386" s="2">
        <v>3399.99</v>
      </c>
      <c r="AG386" s="2">
        <v>1912.1543999999999</v>
      </c>
      <c r="AH386" s="2">
        <v>1487.8356000000001</v>
      </c>
      <c r="AI386" s="3">
        <v>0.43759999294115598</v>
      </c>
    </row>
    <row r="387" spans="1:35">
      <c r="A387" s="1">
        <v>42161</v>
      </c>
      <c r="B387" s="1">
        <v>37375</v>
      </c>
      <c r="C387" t="s">
        <v>4588</v>
      </c>
      <c r="D387">
        <v>313</v>
      </c>
      <c r="E387">
        <v>12362</v>
      </c>
      <c r="F387">
        <v>4</v>
      </c>
      <c r="G387">
        <v>1</v>
      </c>
      <c r="H387">
        <v>1</v>
      </c>
      <c r="I387">
        <v>2</v>
      </c>
      <c r="J387" t="s">
        <v>3491</v>
      </c>
      <c r="K387" t="s">
        <v>3492</v>
      </c>
      <c r="L387" s="2">
        <v>2171.2941999999998</v>
      </c>
      <c r="M387" s="2">
        <v>3578.27</v>
      </c>
      <c r="N387" t="s">
        <v>13</v>
      </c>
      <c r="O387" t="s">
        <v>299</v>
      </c>
      <c r="P387" t="s">
        <v>1122</v>
      </c>
      <c r="Q387" t="s">
        <v>6716</v>
      </c>
      <c r="R387" s="1">
        <v>15163</v>
      </c>
      <c r="S387" t="s">
        <v>22</v>
      </c>
      <c r="T387" t="s">
        <v>16</v>
      </c>
      <c r="U387" t="s">
        <v>1123</v>
      </c>
      <c r="V387">
        <v>90000</v>
      </c>
      <c r="W387">
        <v>5</v>
      </c>
      <c r="X387" t="s">
        <v>17</v>
      </c>
      <c r="Y387" t="s">
        <v>45</v>
      </c>
      <c r="Z387" t="s">
        <v>19</v>
      </c>
      <c r="AA387" t="s">
        <v>3580</v>
      </c>
      <c r="AB387" t="s">
        <v>3578</v>
      </c>
      <c r="AC387" t="s">
        <v>3579</v>
      </c>
      <c r="AD387" t="s">
        <v>3479</v>
      </c>
      <c r="AE387" t="s">
        <v>3475</v>
      </c>
      <c r="AF387" s="2">
        <v>3578.27</v>
      </c>
      <c r="AG387" s="2">
        <v>2171.2941999999998</v>
      </c>
      <c r="AH387" s="2">
        <v>1406.9757999999999</v>
      </c>
      <c r="AI387" s="3">
        <v>0.39320001006072802</v>
      </c>
    </row>
    <row r="388" spans="1:35">
      <c r="A388" s="1">
        <v>42162</v>
      </c>
      <c r="B388" s="1">
        <v>37333</v>
      </c>
      <c r="C388" t="s">
        <v>4591</v>
      </c>
      <c r="D388">
        <v>347</v>
      </c>
      <c r="E388">
        <v>12337</v>
      </c>
      <c r="F388">
        <v>9</v>
      </c>
      <c r="G388">
        <v>1</v>
      </c>
      <c r="H388">
        <v>1</v>
      </c>
      <c r="I388">
        <v>1</v>
      </c>
      <c r="J388" t="s">
        <v>3525</v>
      </c>
      <c r="K388" t="s">
        <v>3526</v>
      </c>
      <c r="L388" s="2">
        <v>1912.1543999999999</v>
      </c>
      <c r="M388" s="2">
        <v>3399.99</v>
      </c>
      <c r="N388" t="s">
        <v>13</v>
      </c>
      <c r="O388" t="s">
        <v>514</v>
      </c>
      <c r="P388" t="s">
        <v>1102</v>
      </c>
      <c r="Q388" t="s">
        <v>6717</v>
      </c>
      <c r="R388" s="1">
        <v>27676</v>
      </c>
      <c r="S388" t="s">
        <v>22</v>
      </c>
      <c r="T388" t="s">
        <v>16</v>
      </c>
      <c r="U388" t="s">
        <v>1103</v>
      </c>
      <c r="V388">
        <v>70000</v>
      </c>
      <c r="W388">
        <v>0</v>
      </c>
      <c r="X388" t="s">
        <v>17</v>
      </c>
      <c r="Y388" t="s">
        <v>18</v>
      </c>
      <c r="Z388" t="s">
        <v>23</v>
      </c>
      <c r="AA388" t="s">
        <v>3586</v>
      </c>
      <c r="AB388" t="s">
        <v>3586</v>
      </c>
      <c r="AC388" t="s">
        <v>3587</v>
      </c>
      <c r="AD388" t="s">
        <v>3478</v>
      </c>
      <c r="AE388" t="s">
        <v>3475</v>
      </c>
      <c r="AF388" s="2">
        <v>3399.99</v>
      </c>
      <c r="AG388" s="2">
        <v>1912.1543999999999</v>
      </c>
      <c r="AH388" s="2">
        <v>1487.8356000000001</v>
      </c>
      <c r="AI388" s="3">
        <v>0.43759999294115598</v>
      </c>
    </row>
    <row r="389" spans="1:35">
      <c r="A389" s="1">
        <v>42162</v>
      </c>
      <c r="B389" s="1">
        <v>37296</v>
      </c>
      <c r="C389" t="s">
        <v>4594</v>
      </c>
      <c r="D389">
        <v>310</v>
      </c>
      <c r="E389">
        <v>12901</v>
      </c>
      <c r="F389">
        <v>1</v>
      </c>
      <c r="G389">
        <v>1</v>
      </c>
      <c r="H389">
        <v>1</v>
      </c>
      <c r="I389">
        <v>2</v>
      </c>
      <c r="J389" t="s">
        <v>3485</v>
      </c>
      <c r="K389" t="s">
        <v>3486</v>
      </c>
      <c r="L389" s="2">
        <v>2171.2941999999998</v>
      </c>
      <c r="M389" s="2">
        <v>3578.27</v>
      </c>
      <c r="N389" t="s">
        <v>13</v>
      </c>
      <c r="O389" t="s">
        <v>383</v>
      </c>
      <c r="P389" t="s">
        <v>297</v>
      </c>
      <c r="Q389" t="s">
        <v>6718</v>
      </c>
      <c r="R389" s="1">
        <v>25246</v>
      </c>
      <c r="S389" t="s">
        <v>16</v>
      </c>
      <c r="T389" t="s">
        <v>16</v>
      </c>
      <c r="U389" t="s">
        <v>1310</v>
      </c>
      <c r="V389">
        <v>50000</v>
      </c>
      <c r="W389">
        <v>2</v>
      </c>
      <c r="X389" t="s">
        <v>17</v>
      </c>
      <c r="Y389" t="s">
        <v>53</v>
      </c>
      <c r="Z389" t="s">
        <v>19</v>
      </c>
      <c r="AA389" t="s">
        <v>3577</v>
      </c>
      <c r="AB389" t="s">
        <v>3578</v>
      </c>
      <c r="AC389" t="s">
        <v>3579</v>
      </c>
      <c r="AD389" t="s">
        <v>3479</v>
      </c>
      <c r="AE389" t="s">
        <v>3475</v>
      </c>
      <c r="AF389" s="2">
        <v>3578.27</v>
      </c>
      <c r="AG389" s="2">
        <v>2171.2941999999998</v>
      </c>
      <c r="AH389" s="2">
        <v>1406.9757999999999</v>
      </c>
      <c r="AI389" s="3">
        <v>0.39320001006072802</v>
      </c>
    </row>
    <row r="390" spans="1:35">
      <c r="A390" s="1">
        <v>42162</v>
      </c>
      <c r="B390" s="1">
        <v>37377</v>
      </c>
      <c r="C390" t="s">
        <v>4595</v>
      </c>
      <c r="D390">
        <v>314</v>
      </c>
      <c r="E390">
        <v>13564</v>
      </c>
      <c r="F390">
        <v>7</v>
      </c>
      <c r="G390">
        <v>1</v>
      </c>
      <c r="H390">
        <v>1</v>
      </c>
      <c r="I390">
        <v>2</v>
      </c>
      <c r="J390" t="s">
        <v>3493</v>
      </c>
      <c r="K390" t="s">
        <v>3494</v>
      </c>
      <c r="L390" s="2">
        <v>2171.2941999999998</v>
      </c>
      <c r="M390" s="2">
        <v>3578.27</v>
      </c>
      <c r="N390" t="s">
        <v>30</v>
      </c>
      <c r="O390" t="s">
        <v>1578</v>
      </c>
      <c r="P390" t="s">
        <v>220</v>
      </c>
      <c r="Q390" t="s">
        <v>6719</v>
      </c>
      <c r="R390" s="1">
        <v>19078</v>
      </c>
      <c r="S390" t="s">
        <v>16</v>
      </c>
      <c r="T390" t="s">
        <v>29</v>
      </c>
      <c r="U390" t="s">
        <v>1579</v>
      </c>
      <c r="V390">
        <v>10000</v>
      </c>
      <c r="W390">
        <v>3</v>
      </c>
      <c r="X390" t="s">
        <v>52</v>
      </c>
      <c r="Y390" t="s">
        <v>444</v>
      </c>
      <c r="Z390" t="s">
        <v>23</v>
      </c>
      <c r="AA390" t="s">
        <v>3583</v>
      </c>
      <c r="AB390" t="s">
        <v>3583</v>
      </c>
      <c r="AC390" t="s">
        <v>3584</v>
      </c>
      <c r="AD390" t="s">
        <v>3479</v>
      </c>
      <c r="AE390" t="s">
        <v>3475</v>
      </c>
      <c r="AF390" s="2">
        <v>3578.27</v>
      </c>
      <c r="AG390" s="2">
        <v>2171.2941999999998</v>
      </c>
      <c r="AH390" s="2">
        <v>1406.9757999999999</v>
      </c>
      <c r="AI390" s="3">
        <v>0.39320001006072802</v>
      </c>
    </row>
    <row r="391" spans="1:35">
      <c r="A391" s="1">
        <v>42162</v>
      </c>
      <c r="B391" s="1">
        <v>37361</v>
      </c>
      <c r="C391" t="s">
        <v>4596</v>
      </c>
      <c r="D391">
        <v>348</v>
      </c>
      <c r="E391">
        <v>12251</v>
      </c>
      <c r="F391">
        <v>9</v>
      </c>
      <c r="G391">
        <v>1</v>
      </c>
      <c r="H391">
        <v>1</v>
      </c>
      <c r="I391">
        <v>1</v>
      </c>
      <c r="J391" t="s">
        <v>3527</v>
      </c>
      <c r="K391" t="s">
        <v>3528</v>
      </c>
      <c r="L391" s="2">
        <v>1898.0944</v>
      </c>
      <c r="M391" s="2">
        <v>3374.99</v>
      </c>
      <c r="N391" t="s">
        <v>13</v>
      </c>
      <c r="O391" t="s">
        <v>639</v>
      </c>
      <c r="P391" t="s">
        <v>907</v>
      </c>
      <c r="Q391" t="s">
        <v>6720</v>
      </c>
      <c r="R391" s="1">
        <v>28224</v>
      </c>
      <c r="S391" t="s">
        <v>16</v>
      </c>
      <c r="T391" t="s">
        <v>16</v>
      </c>
      <c r="U391" t="s">
        <v>1056</v>
      </c>
      <c r="V391">
        <v>20000</v>
      </c>
      <c r="W391">
        <v>0</v>
      </c>
      <c r="X391" t="s">
        <v>52</v>
      </c>
      <c r="Y391" t="s">
        <v>444</v>
      </c>
      <c r="Z391" t="s">
        <v>19</v>
      </c>
      <c r="AA391" t="s">
        <v>3586</v>
      </c>
      <c r="AB391" t="s">
        <v>3586</v>
      </c>
      <c r="AC391" t="s">
        <v>3587</v>
      </c>
      <c r="AD391" t="s">
        <v>3478</v>
      </c>
      <c r="AE391" t="s">
        <v>3475</v>
      </c>
      <c r="AF391" s="2">
        <v>3374.99</v>
      </c>
      <c r="AG391" s="2">
        <v>1898.0944</v>
      </c>
      <c r="AH391" s="2">
        <v>1476.8956000000001</v>
      </c>
      <c r="AI391" s="3">
        <v>0.43759999288886797</v>
      </c>
    </row>
    <row r="392" spans="1:35">
      <c r="A392" s="1">
        <v>42163</v>
      </c>
      <c r="B392" s="1">
        <v>37354</v>
      </c>
      <c r="C392" t="s">
        <v>4599</v>
      </c>
      <c r="D392">
        <v>313</v>
      </c>
      <c r="E392">
        <v>12174</v>
      </c>
      <c r="F392">
        <v>4</v>
      </c>
      <c r="G392">
        <v>1</v>
      </c>
      <c r="H392">
        <v>1</v>
      </c>
      <c r="I392">
        <v>2</v>
      </c>
      <c r="J392" t="s">
        <v>3491</v>
      </c>
      <c r="K392" t="s">
        <v>3492</v>
      </c>
      <c r="L392" s="2">
        <v>2171.2941999999998</v>
      </c>
      <c r="M392" s="2">
        <v>3578.27</v>
      </c>
      <c r="N392" t="s">
        <v>13</v>
      </c>
      <c r="O392" t="s">
        <v>327</v>
      </c>
      <c r="P392" t="s">
        <v>177</v>
      </c>
      <c r="Q392" t="s">
        <v>6721</v>
      </c>
      <c r="R392" s="1">
        <v>22408</v>
      </c>
      <c r="S392" t="s">
        <v>16</v>
      </c>
      <c r="T392" t="s">
        <v>16</v>
      </c>
      <c r="U392" t="s">
        <v>1006</v>
      </c>
      <c r="V392">
        <v>170000</v>
      </c>
      <c r="W392">
        <v>1</v>
      </c>
      <c r="X392" t="s">
        <v>135</v>
      </c>
      <c r="Y392" t="s">
        <v>45</v>
      </c>
      <c r="Z392" t="s">
        <v>23</v>
      </c>
      <c r="AA392" t="s">
        <v>3580</v>
      </c>
      <c r="AB392" t="s">
        <v>3578</v>
      </c>
      <c r="AC392" t="s">
        <v>3579</v>
      </c>
      <c r="AD392" t="s">
        <v>3479</v>
      </c>
      <c r="AE392" t="s">
        <v>3475</v>
      </c>
      <c r="AF392" s="2">
        <v>3578.27</v>
      </c>
      <c r="AG392" s="2">
        <v>2171.2941999999998</v>
      </c>
      <c r="AH392" s="2">
        <v>1406.9757999999999</v>
      </c>
      <c r="AI392" s="3">
        <v>0.39320001006072802</v>
      </c>
    </row>
    <row r="393" spans="1:35">
      <c r="A393" s="1">
        <v>42163</v>
      </c>
      <c r="B393" s="1">
        <v>37300</v>
      </c>
      <c r="C393" t="s">
        <v>4604</v>
      </c>
      <c r="D393">
        <v>351</v>
      </c>
      <c r="E393">
        <v>12246</v>
      </c>
      <c r="F393">
        <v>9</v>
      </c>
      <c r="G393">
        <v>1</v>
      </c>
      <c r="H393">
        <v>1</v>
      </c>
      <c r="I393">
        <v>1</v>
      </c>
      <c r="J393" t="s">
        <v>3533</v>
      </c>
      <c r="K393" t="s">
        <v>3534</v>
      </c>
      <c r="L393" s="2">
        <v>1898.0944</v>
      </c>
      <c r="M393" s="2">
        <v>3374.99</v>
      </c>
      <c r="N393" t="s">
        <v>13</v>
      </c>
      <c r="O393" t="s">
        <v>455</v>
      </c>
      <c r="P393" t="s">
        <v>159</v>
      </c>
      <c r="Q393" t="s">
        <v>6722</v>
      </c>
      <c r="R393" s="1">
        <v>29140</v>
      </c>
      <c r="S393" t="s">
        <v>16</v>
      </c>
      <c r="T393" t="s">
        <v>16</v>
      </c>
      <c r="U393" t="s">
        <v>1053</v>
      </c>
      <c r="V393">
        <v>10000</v>
      </c>
      <c r="W393">
        <v>1</v>
      </c>
      <c r="X393" t="s">
        <v>57</v>
      </c>
      <c r="Y393" t="s">
        <v>444</v>
      </c>
      <c r="Z393" t="s">
        <v>19</v>
      </c>
      <c r="AA393" t="s">
        <v>3586</v>
      </c>
      <c r="AB393" t="s">
        <v>3586</v>
      </c>
      <c r="AC393" t="s">
        <v>3587</v>
      </c>
      <c r="AD393" t="s">
        <v>3478</v>
      </c>
      <c r="AE393" t="s">
        <v>3475</v>
      </c>
      <c r="AF393" s="2">
        <v>3374.99</v>
      </c>
      <c r="AG393" s="2">
        <v>1898.0944</v>
      </c>
      <c r="AH393" s="2">
        <v>1476.8956000000001</v>
      </c>
      <c r="AI393" s="3">
        <v>0.43759999288886797</v>
      </c>
    </row>
    <row r="394" spans="1:35">
      <c r="A394" s="1">
        <v>42164</v>
      </c>
      <c r="B394" s="1">
        <v>37341</v>
      </c>
      <c r="C394" t="s">
        <v>4605</v>
      </c>
      <c r="D394">
        <v>312</v>
      </c>
      <c r="E394">
        <v>12772</v>
      </c>
      <c r="F394">
        <v>1</v>
      </c>
      <c r="G394">
        <v>1</v>
      </c>
      <c r="H394">
        <v>1</v>
      </c>
      <c r="I394">
        <v>2</v>
      </c>
      <c r="J394" t="s">
        <v>3489</v>
      </c>
      <c r="K394" t="s">
        <v>3490</v>
      </c>
      <c r="L394" s="2">
        <v>2171.2941999999998</v>
      </c>
      <c r="M394" s="2">
        <v>3578.27</v>
      </c>
      <c r="N394" t="s">
        <v>30</v>
      </c>
      <c r="O394" t="s">
        <v>182</v>
      </c>
      <c r="P394" t="s">
        <v>406</v>
      </c>
      <c r="Q394" t="s">
        <v>6723</v>
      </c>
      <c r="R394" s="1">
        <v>20204</v>
      </c>
      <c r="S394" t="s">
        <v>16</v>
      </c>
      <c r="T394" t="s">
        <v>29</v>
      </c>
      <c r="U394" t="s">
        <v>1278</v>
      </c>
      <c r="V394">
        <v>40000</v>
      </c>
      <c r="W394">
        <v>1</v>
      </c>
      <c r="X394" t="s">
        <v>52</v>
      </c>
      <c r="Y394" t="s">
        <v>60</v>
      </c>
      <c r="Z394" t="s">
        <v>19</v>
      </c>
      <c r="AA394" t="s">
        <v>3577</v>
      </c>
      <c r="AB394" t="s">
        <v>3578</v>
      </c>
      <c r="AC394" t="s">
        <v>3579</v>
      </c>
      <c r="AD394" t="s">
        <v>3479</v>
      </c>
      <c r="AE394" t="s">
        <v>3475</v>
      </c>
      <c r="AF394" s="2">
        <v>3578.27</v>
      </c>
      <c r="AG394" s="2">
        <v>2171.2941999999998</v>
      </c>
      <c r="AH394" s="2">
        <v>1406.9757999999999</v>
      </c>
      <c r="AI394" s="3">
        <v>0.39320001006072802</v>
      </c>
    </row>
    <row r="395" spans="1:35">
      <c r="A395" s="1">
        <v>42164</v>
      </c>
      <c r="B395" s="1">
        <v>37368</v>
      </c>
      <c r="C395" t="s">
        <v>4606</v>
      </c>
      <c r="D395">
        <v>344</v>
      </c>
      <c r="E395">
        <v>12250</v>
      </c>
      <c r="F395">
        <v>9</v>
      </c>
      <c r="G395">
        <v>1</v>
      </c>
      <c r="H395">
        <v>1</v>
      </c>
      <c r="I395">
        <v>1</v>
      </c>
      <c r="J395" t="s">
        <v>3519</v>
      </c>
      <c r="K395" t="s">
        <v>3520</v>
      </c>
      <c r="L395" s="2">
        <v>1912.1543999999999</v>
      </c>
      <c r="M395" s="2">
        <v>3399.99</v>
      </c>
      <c r="N395" t="s">
        <v>30</v>
      </c>
      <c r="O395" t="s">
        <v>318</v>
      </c>
      <c r="P395" t="s">
        <v>377</v>
      </c>
      <c r="Q395" t="s">
        <v>6724</v>
      </c>
      <c r="R395" s="1">
        <v>28223</v>
      </c>
      <c r="S395" t="s">
        <v>22</v>
      </c>
      <c r="T395" t="s">
        <v>29</v>
      </c>
      <c r="U395" t="s">
        <v>1055</v>
      </c>
      <c r="V395">
        <v>10000</v>
      </c>
      <c r="W395">
        <v>1</v>
      </c>
      <c r="X395" t="s">
        <v>57</v>
      </c>
      <c r="Y395" t="s">
        <v>444</v>
      </c>
      <c r="Z395" t="s">
        <v>23</v>
      </c>
      <c r="AA395" t="s">
        <v>3586</v>
      </c>
      <c r="AB395" t="s">
        <v>3586</v>
      </c>
      <c r="AC395" t="s">
        <v>3587</v>
      </c>
      <c r="AD395" t="s">
        <v>3478</v>
      </c>
      <c r="AE395" t="s">
        <v>3475</v>
      </c>
      <c r="AF395" s="2">
        <v>3399.99</v>
      </c>
      <c r="AG395" s="2">
        <v>1912.1543999999999</v>
      </c>
      <c r="AH395" s="2">
        <v>1487.8356000000001</v>
      </c>
      <c r="AI395" s="3">
        <v>0.43759999294115598</v>
      </c>
    </row>
    <row r="396" spans="1:35">
      <c r="A396" s="1">
        <v>42164</v>
      </c>
      <c r="B396" s="1">
        <v>37392</v>
      </c>
      <c r="C396" t="s">
        <v>4607</v>
      </c>
      <c r="D396">
        <v>312</v>
      </c>
      <c r="E396">
        <v>12777</v>
      </c>
      <c r="F396">
        <v>1</v>
      </c>
      <c r="G396">
        <v>1</v>
      </c>
      <c r="H396">
        <v>1</v>
      </c>
      <c r="I396">
        <v>2</v>
      </c>
      <c r="J396" t="s">
        <v>3489</v>
      </c>
      <c r="K396" t="s">
        <v>3490</v>
      </c>
      <c r="L396" s="2">
        <v>2171.2941999999998</v>
      </c>
      <c r="M396" s="2">
        <v>3578.27</v>
      </c>
      <c r="N396" t="s">
        <v>13</v>
      </c>
      <c r="O396" t="s">
        <v>485</v>
      </c>
      <c r="P396" t="s">
        <v>166</v>
      </c>
      <c r="Q396" t="s">
        <v>6725</v>
      </c>
      <c r="R396" s="1">
        <v>20597</v>
      </c>
      <c r="S396" t="s">
        <v>16</v>
      </c>
      <c r="T396" t="s">
        <v>16</v>
      </c>
      <c r="U396" t="s">
        <v>1282</v>
      </c>
      <c r="V396">
        <v>40000</v>
      </c>
      <c r="W396">
        <v>1</v>
      </c>
      <c r="X396" t="s">
        <v>52</v>
      </c>
      <c r="Y396" t="s">
        <v>60</v>
      </c>
      <c r="Z396" t="s">
        <v>19</v>
      </c>
      <c r="AA396" t="s">
        <v>3577</v>
      </c>
      <c r="AB396" t="s">
        <v>3578</v>
      </c>
      <c r="AC396" t="s">
        <v>3579</v>
      </c>
      <c r="AD396" t="s">
        <v>3479</v>
      </c>
      <c r="AE396" t="s">
        <v>3475</v>
      </c>
      <c r="AF396" s="2">
        <v>3578.27</v>
      </c>
      <c r="AG396" s="2">
        <v>2171.2941999999998</v>
      </c>
      <c r="AH396" s="2">
        <v>1406.9757999999999</v>
      </c>
      <c r="AI396" s="3">
        <v>0.39320001006072802</v>
      </c>
    </row>
    <row r="397" spans="1:35">
      <c r="A397" s="1">
        <v>42184</v>
      </c>
      <c r="B397" s="1">
        <v>37386</v>
      </c>
      <c r="C397" t="s">
        <v>4752</v>
      </c>
      <c r="D397">
        <v>349</v>
      </c>
      <c r="E397">
        <v>12037</v>
      </c>
      <c r="F397">
        <v>9</v>
      </c>
      <c r="G397">
        <v>1</v>
      </c>
      <c r="H397">
        <v>1</v>
      </c>
      <c r="I397">
        <v>1</v>
      </c>
      <c r="J397" t="s">
        <v>3529</v>
      </c>
      <c r="K397" t="s">
        <v>3530</v>
      </c>
      <c r="L397" s="2">
        <v>1898.0944</v>
      </c>
      <c r="M397" s="2">
        <v>3374.99</v>
      </c>
      <c r="N397" t="s">
        <v>30</v>
      </c>
      <c r="O397" t="s">
        <v>689</v>
      </c>
      <c r="P397" t="s">
        <v>392</v>
      </c>
      <c r="Q397" t="s">
        <v>6726</v>
      </c>
      <c r="R397" s="1">
        <v>15963</v>
      </c>
      <c r="S397" t="s">
        <v>22</v>
      </c>
      <c r="T397" t="s">
        <v>29</v>
      </c>
      <c r="U397" t="s">
        <v>933</v>
      </c>
      <c r="V397">
        <v>40000</v>
      </c>
      <c r="W397">
        <v>2</v>
      </c>
      <c r="X397" t="s">
        <v>17</v>
      </c>
      <c r="Y397" t="s">
        <v>45</v>
      </c>
      <c r="Z397" t="s">
        <v>19</v>
      </c>
      <c r="AA397" t="s">
        <v>3586</v>
      </c>
      <c r="AB397" t="s">
        <v>3586</v>
      </c>
      <c r="AC397" t="s">
        <v>3587</v>
      </c>
      <c r="AD397" t="s">
        <v>3478</v>
      </c>
      <c r="AE397" t="s">
        <v>3475</v>
      </c>
      <c r="AF397" s="2">
        <v>3374.99</v>
      </c>
      <c r="AG397" s="2">
        <v>1898.0944</v>
      </c>
      <c r="AH397" s="2">
        <v>1476.8956000000001</v>
      </c>
      <c r="AI397" s="3">
        <v>0.43759999288886797</v>
      </c>
    </row>
    <row r="398" spans="1:35">
      <c r="A398" s="1">
        <v>42165</v>
      </c>
      <c r="B398" s="1">
        <v>37350</v>
      </c>
      <c r="C398" t="s">
        <v>4611</v>
      </c>
      <c r="D398">
        <v>310</v>
      </c>
      <c r="E398">
        <v>12709</v>
      </c>
      <c r="F398">
        <v>4</v>
      </c>
      <c r="G398">
        <v>1</v>
      </c>
      <c r="H398">
        <v>1</v>
      </c>
      <c r="I398">
        <v>2</v>
      </c>
      <c r="J398" t="s">
        <v>3485</v>
      </c>
      <c r="K398" t="s">
        <v>3486</v>
      </c>
      <c r="L398" s="2">
        <v>2171.2941999999998</v>
      </c>
      <c r="M398" s="2">
        <v>3578.27</v>
      </c>
      <c r="N398" t="s">
        <v>13</v>
      </c>
      <c r="O398" t="s">
        <v>46</v>
      </c>
      <c r="P398" t="s">
        <v>293</v>
      </c>
      <c r="Q398" t="s">
        <v>6727</v>
      </c>
      <c r="R398" s="1">
        <v>14990</v>
      </c>
      <c r="S398" t="s">
        <v>16</v>
      </c>
      <c r="T398" t="s">
        <v>16</v>
      </c>
      <c r="U398" t="s">
        <v>1257</v>
      </c>
      <c r="V398">
        <v>130000</v>
      </c>
      <c r="W398">
        <v>2</v>
      </c>
      <c r="X398" t="s">
        <v>17</v>
      </c>
      <c r="Y398" t="s">
        <v>45</v>
      </c>
      <c r="Z398" t="s">
        <v>19</v>
      </c>
      <c r="AA398" t="s">
        <v>3580</v>
      </c>
      <c r="AB398" t="s">
        <v>3578</v>
      </c>
      <c r="AC398" t="s">
        <v>3579</v>
      </c>
      <c r="AD398" t="s">
        <v>3479</v>
      </c>
      <c r="AE398" t="s">
        <v>3475</v>
      </c>
      <c r="AF398" s="2">
        <v>3578.27</v>
      </c>
      <c r="AG398" s="2">
        <v>2171.2941999999998</v>
      </c>
      <c r="AH398" s="2">
        <v>1406.9757999999999</v>
      </c>
      <c r="AI398" s="3">
        <v>0.39320001006072802</v>
      </c>
    </row>
    <row r="399" spans="1:35">
      <c r="A399" s="1">
        <v>42184</v>
      </c>
      <c r="B399" s="1">
        <v>37334</v>
      </c>
      <c r="C399" t="s">
        <v>4754</v>
      </c>
      <c r="D399">
        <v>348</v>
      </c>
      <c r="E399">
        <v>12039</v>
      </c>
      <c r="F399">
        <v>9</v>
      </c>
      <c r="G399">
        <v>1</v>
      </c>
      <c r="H399">
        <v>1</v>
      </c>
      <c r="I399">
        <v>1</v>
      </c>
      <c r="J399" t="s">
        <v>3527</v>
      </c>
      <c r="K399" t="s">
        <v>3528</v>
      </c>
      <c r="L399" s="2">
        <v>1898.0944</v>
      </c>
      <c r="M399" s="2">
        <v>3374.99</v>
      </c>
      <c r="N399" t="s">
        <v>13</v>
      </c>
      <c r="O399" t="s">
        <v>934</v>
      </c>
      <c r="P399" t="s">
        <v>93</v>
      </c>
      <c r="Q399" t="s">
        <v>6728</v>
      </c>
      <c r="R399" s="1">
        <v>15750</v>
      </c>
      <c r="S399" t="s">
        <v>16</v>
      </c>
      <c r="T399" t="s">
        <v>16</v>
      </c>
      <c r="U399" t="s">
        <v>935</v>
      </c>
      <c r="V399">
        <v>70000</v>
      </c>
      <c r="W399">
        <v>2</v>
      </c>
      <c r="X399" t="s">
        <v>135</v>
      </c>
      <c r="Y399" t="s">
        <v>45</v>
      </c>
      <c r="Z399" t="s">
        <v>19</v>
      </c>
      <c r="AA399" t="s">
        <v>3586</v>
      </c>
      <c r="AB399" t="s">
        <v>3586</v>
      </c>
      <c r="AC399" t="s">
        <v>3587</v>
      </c>
      <c r="AD399" t="s">
        <v>3478</v>
      </c>
      <c r="AE399" t="s">
        <v>3475</v>
      </c>
      <c r="AF399" s="2">
        <v>3374.99</v>
      </c>
      <c r="AG399" s="2">
        <v>1898.0944</v>
      </c>
      <c r="AH399" s="2">
        <v>1476.8956000000001</v>
      </c>
      <c r="AI399" s="3">
        <v>0.43759999288886797</v>
      </c>
    </row>
    <row r="400" spans="1:35">
      <c r="A400" s="1">
        <v>42165</v>
      </c>
      <c r="B400" s="1">
        <v>37323</v>
      </c>
      <c r="C400" t="s">
        <v>4613</v>
      </c>
      <c r="D400">
        <v>314</v>
      </c>
      <c r="E400">
        <v>12446</v>
      </c>
      <c r="F400">
        <v>4</v>
      </c>
      <c r="G400">
        <v>1</v>
      </c>
      <c r="H400">
        <v>1</v>
      </c>
      <c r="I400">
        <v>2</v>
      </c>
      <c r="J400" t="s">
        <v>3493</v>
      </c>
      <c r="K400" t="s">
        <v>3494</v>
      </c>
      <c r="L400" s="2">
        <v>2171.2941999999998</v>
      </c>
      <c r="M400" s="2">
        <v>3578.27</v>
      </c>
      <c r="N400" t="s">
        <v>73</v>
      </c>
      <c r="O400" t="s">
        <v>253</v>
      </c>
      <c r="P400" t="s">
        <v>704</v>
      </c>
      <c r="Q400" t="s">
        <v>6729</v>
      </c>
      <c r="R400" s="1">
        <v>21035</v>
      </c>
      <c r="S400" t="s">
        <v>16</v>
      </c>
      <c r="T400" t="s">
        <v>76</v>
      </c>
      <c r="U400" t="s">
        <v>1148</v>
      </c>
      <c r="V400">
        <v>40000</v>
      </c>
      <c r="W400">
        <v>1</v>
      </c>
      <c r="X400" t="s">
        <v>52</v>
      </c>
      <c r="Y400" t="s">
        <v>60</v>
      </c>
      <c r="Z400" t="s">
        <v>19</v>
      </c>
      <c r="AA400" t="s">
        <v>3580</v>
      </c>
      <c r="AB400" t="s">
        <v>3578</v>
      </c>
      <c r="AC400" t="s">
        <v>3579</v>
      </c>
      <c r="AD400" t="s">
        <v>3479</v>
      </c>
      <c r="AE400" t="s">
        <v>3475</v>
      </c>
      <c r="AF400" s="2">
        <v>3578.27</v>
      </c>
      <c r="AG400" s="2">
        <v>2171.2941999999998</v>
      </c>
      <c r="AH400" s="2">
        <v>1406.9757999999999</v>
      </c>
      <c r="AI400" s="3">
        <v>0.39320001006072802</v>
      </c>
    </row>
    <row r="401" spans="1:35">
      <c r="A401" s="1">
        <v>42166</v>
      </c>
      <c r="B401" s="1">
        <v>37377</v>
      </c>
      <c r="C401" t="s">
        <v>4618</v>
      </c>
      <c r="D401">
        <v>312</v>
      </c>
      <c r="E401">
        <v>12438</v>
      </c>
      <c r="F401">
        <v>4</v>
      </c>
      <c r="G401">
        <v>1</v>
      </c>
      <c r="H401">
        <v>1</v>
      </c>
      <c r="I401">
        <v>2</v>
      </c>
      <c r="J401" t="s">
        <v>3489</v>
      </c>
      <c r="K401" t="s">
        <v>3490</v>
      </c>
      <c r="L401" s="2">
        <v>2171.2941999999998</v>
      </c>
      <c r="M401" s="2">
        <v>3578.27</v>
      </c>
      <c r="N401" t="s">
        <v>30</v>
      </c>
      <c r="O401" t="s">
        <v>428</v>
      </c>
      <c r="P401" t="s">
        <v>572</v>
      </c>
      <c r="Q401" t="s">
        <v>6730</v>
      </c>
      <c r="R401" s="1">
        <v>20381</v>
      </c>
      <c r="S401" t="s">
        <v>22</v>
      </c>
      <c r="T401" t="s">
        <v>29</v>
      </c>
      <c r="U401" t="s">
        <v>1144</v>
      </c>
      <c r="V401">
        <v>80000</v>
      </c>
      <c r="W401">
        <v>5</v>
      </c>
      <c r="X401" t="s">
        <v>135</v>
      </c>
      <c r="Y401" t="s">
        <v>53</v>
      </c>
      <c r="Z401" t="s">
        <v>19</v>
      </c>
      <c r="AA401" t="s">
        <v>3580</v>
      </c>
      <c r="AB401" t="s">
        <v>3578</v>
      </c>
      <c r="AC401" t="s">
        <v>3579</v>
      </c>
      <c r="AD401" t="s">
        <v>3479</v>
      </c>
      <c r="AE401" t="s">
        <v>3475</v>
      </c>
      <c r="AF401" s="2">
        <v>3578.27</v>
      </c>
      <c r="AG401" s="2">
        <v>2171.2941999999998</v>
      </c>
      <c r="AH401" s="2">
        <v>1406.9757999999999</v>
      </c>
      <c r="AI401" s="3">
        <v>0.39320001006072802</v>
      </c>
    </row>
    <row r="402" spans="1:35">
      <c r="A402" s="1">
        <v>42166</v>
      </c>
      <c r="B402" s="1">
        <v>37403</v>
      </c>
      <c r="C402" t="s">
        <v>4620</v>
      </c>
      <c r="D402">
        <v>313</v>
      </c>
      <c r="E402">
        <v>12190</v>
      </c>
      <c r="F402">
        <v>4</v>
      </c>
      <c r="G402">
        <v>1</v>
      </c>
      <c r="H402">
        <v>1</v>
      </c>
      <c r="I402">
        <v>2</v>
      </c>
      <c r="J402" t="s">
        <v>3491</v>
      </c>
      <c r="K402" t="s">
        <v>3492</v>
      </c>
      <c r="L402" s="2">
        <v>2171.2941999999998</v>
      </c>
      <c r="M402" s="2">
        <v>3578.27</v>
      </c>
      <c r="N402" t="s">
        <v>13</v>
      </c>
      <c r="O402" t="s">
        <v>614</v>
      </c>
      <c r="P402" t="s">
        <v>422</v>
      </c>
      <c r="Q402" t="s">
        <v>6731</v>
      </c>
      <c r="R402" s="1">
        <v>22267</v>
      </c>
      <c r="S402" t="s">
        <v>22</v>
      </c>
      <c r="T402" t="s">
        <v>16</v>
      </c>
      <c r="U402" t="s">
        <v>1017</v>
      </c>
      <c r="V402">
        <v>170000</v>
      </c>
      <c r="W402">
        <v>1</v>
      </c>
      <c r="X402" t="s">
        <v>135</v>
      </c>
      <c r="Y402" t="s">
        <v>45</v>
      </c>
      <c r="Z402" t="s">
        <v>23</v>
      </c>
      <c r="AA402" t="s">
        <v>3580</v>
      </c>
      <c r="AB402" t="s">
        <v>3578</v>
      </c>
      <c r="AC402" t="s">
        <v>3579</v>
      </c>
      <c r="AD402" t="s">
        <v>3479</v>
      </c>
      <c r="AE402" t="s">
        <v>3475</v>
      </c>
      <c r="AF402" s="2">
        <v>3578.27</v>
      </c>
      <c r="AG402" s="2">
        <v>2171.2941999999998</v>
      </c>
      <c r="AH402" s="2">
        <v>1406.9757999999999</v>
      </c>
      <c r="AI402" s="3">
        <v>0.39320001006072802</v>
      </c>
    </row>
    <row r="403" spans="1:35">
      <c r="A403" s="1">
        <v>42166</v>
      </c>
      <c r="B403" s="1">
        <v>37305</v>
      </c>
      <c r="C403" t="s">
        <v>4622</v>
      </c>
      <c r="D403">
        <v>310</v>
      </c>
      <c r="E403">
        <v>12771</v>
      </c>
      <c r="F403">
        <v>4</v>
      </c>
      <c r="G403">
        <v>1</v>
      </c>
      <c r="H403">
        <v>1</v>
      </c>
      <c r="I403">
        <v>2</v>
      </c>
      <c r="J403" t="s">
        <v>3485</v>
      </c>
      <c r="K403" t="s">
        <v>3486</v>
      </c>
      <c r="L403" s="2">
        <v>2171.2941999999998</v>
      </c>
      <c r="M403" s="2">
        <v>3578.27</v>
      </c>
      <c r="N403" t="s">
        <v>30</v>
      </c>
      <c r="O403" t="s">
        <v>252</v>
      </c>
      <c r="P403" t="s">
        <v>299</v>
      </c>
      <c r="Q403" t="s">
        <v>6732</v>
      </c>
      <c r="R403" s="1">
        <v>20384</v>
      </c>
      <c r="S403" t="s">
        <v>16</v>
      </c>
      <c r="T403" t="s">
        <v>29</v>
      </c>
      <c r="U403" t="s">
        <v>1277</v>
      </c>
      <c r="V403">
        <v>40000</v>
      </c>
      <c r="W403">
        <v>1</v>
      </c>
      <c r="X403" t="s">
        <v>52</v>
      </c>
      <c r="Y403" t="s">
        <v>60</v>
      </c>
      <c r="Z403" t="s">
        <v>19</v>
      </c>
      <c r="AA403" t="s">
        <v>3580</v>
      </c>
      <c r="AB403" t="s">
        <v>3578</v>
      </c>
      <c r="AC403" t="s">
        <v>3579</v>
      </c>
      <c r="AD403" t="s">
        <v>3479</v>
      </c>
      <c r="AE403" t="s">
        <v>3475</v>
      </c>
      <c r="AF403" s="2">
        <v>3578.27</v>
      </c>
      <c r="AG403" s="2">
        <v>2171.2941999999998</v>
      </c>
      <c r="AH403" s="2">
        <v>1406.9757999999999</v>
      </c>
      <c r="AI403" s="3">
        <v>0.39320001006072802</v>
      </c>
    </row>
    <row r="404" spans="1:35">
      <c r="A404" s="1">
        <v>42167</v>
      </c>
      <c r="B404" s="1">
        <v>37346</v>
      </c>
      <c r="C404" t="s">
        <v>4624</v>
      </c>
      <c r="D404">
        <v>344</v>
      </c>
      <c r="E404">
        <v>12248</v>
      </c>
      <c r="F404">
        <v>9</v>
      </c>
      <c r="G404">
        <v>1</v>
      </c>
      <c r="H404">
        <v>1</v>
      </c>
      <c r="I404">
        <v>1</v>
      </c>
      <c r="J404" t="s">
        <v>3519</v>
      </c>
      <c r="K404" t="s">
        <v>3520</v>
      </c>
      <c r="L404" s="2">
        <v>1912.1543999999999</v>
      </c>
      <c r="M404" s="2">
        <v>3399.99</v>
      </c>
      <c r="N404" t="s">
        <v>13</v>
      </c>
      <c r="O404" t="s">
        <v>285</v>
      </c>
      <c r="P404" t="s">
        <v>254</v>
      </c>
      <c r="Q404" t="s">
        <v>6733</v>
      </c>
      <c r="R404" s="1">
        <v>28563</v>
      </c>
      <c r="S404" t="s">
        <v>22</v>
      </c>
      <c r="T404" t="s">
        <v>16</v>
      </c>
      <c r="U404" t="s">
        <v>1054</v>
      </c>
      <c r="V404">
        <v>10000</v>
      </c>
      <c r="W404">
        <v>1</v>
      </c>
      <c r="X404" t="s">
        <v>57</v>
      </c>
      <c r="Y404" t="s">
        <v>444</v>
      </c>
      <c r="Z404" t="s">
        <v>23</v>
      </c>
      <c r="AA404" t="s">
        <v>3586</v>
      </c>
      <c r="AB404" t="s">
        <v>3586</v>
      </c>
      <c r="AC404" t="s">
        <v>3587</v>
      </c>
      <c r="AD404" t="s">
        <v>3478</v>
      </c>
      <c r="AE404" t="s">
        <v>3475</v>
      </c>
      <c r="AF404" s="2">
        <v>3399.99</v>
      </c>
      <c r="AG404" s="2">
        <v>1912.1543999999999</v>
      </c>
      <c r="AH404" s="2">
        <v>1487.8356000000001</v>
      </c>
      <c r="AI404" s="3">
        <v>0.43759999294115598</v>
      </c>
    </row>
    <row r="405" spans="1:35">
      <c r="A405" s="1">
        <v>42167</v>
      </c>
      <c r="B405" s="1">
        <v>37340</v>
      </c>
      <c r="C405" t="s">
        <v>4625</v>
      </c>
      <c r="D405">
        <v>314</v>
      </c>
      <c r="E405">
        <v>12180</v>
      </c>
      <c r="F405">
        <v>1</v>
      </c>
      <c r="G405">
        <v>1</v>
      </c>
      <c r="H405">
        <v>1</v>
      </c>
      <c r="I405">
        <v>2</v>
      </c>
      <c r="J405" t="s">
        <v>3493</v>
      </c>
      <c r="K405" t="s">
        <v>3494</v>
      </c>
      <c r="L405" s="2">
        <v>2171.2941999999998</v>
      </c>
      <c r="M405" s="2">
        <v>3578.27</v>
      </c>
      <c r="N405" t="s">
        <v>30</v>
      </c>
      <c r="O405" t="s">
        <v>1009</v>
      </c>
      <c r="P405" t="s">
        <v>35</v>
      </c>
      <c r="Q405" t="s">
        <v>6734</v>
      </c>
      <c r="R405" s="1">
        <v>13410</v>
      </c>
      <c r="S405" t="s">
        <v>22</v>
      </c>
      <c r="T405" t="s">
        <v>29</v>
      </c>
      <c r="U405" t="s">
        <v>1010</v>
      </c>
      <c r="V405">
        <v>50000</v>
      </c>
      <c r="W405">
        <v>2</v>
      </c>
      <c r="X405" t="s">
        <v>135</v>
      </c>
      <c r="Y405" t="s">
        <v>45</v>
      </c>
      <c r="Z405" t="s">
        <v>19</v>
      </c>
      <c r="AA405" t="s">
        <v>3577</v>
      </c>
      <c r="AB405" t="s">
        <v>3578</v>
      </c>
      <c r="AC405" t="s">
        <v>3579</v>
      </c>
      <c r="AD405" t="s">
        <v>3479</v>
      </c>
      <c r="AE405" t="s">
        <v>3475</v>
      </c>
      <c r="AF405" s="2">
        <v>3578.27</v>
      </c>
      <c r="AG405" s="2">
        <v>2171.2941999999998</v>
      </c>
      <c r="AH405" s="2">
        <v>1406.9757999999999</v>
      </c>
      <c r="AI405" s="3">
        <v>0.39320001006072802</v>
      </c>
    </row>
    <row r="406" spans="1:35">
      <c r="A406" s="1">
        <v>42167</v>
      </c>
      <c r="B406" s="1">
        <v>37334</v>
      </c>
      <c r="C406" t="s">
        <v>4627</v>
      </c>
      <c r="D406">
        <v>310</v>
      </c>
      <c r="E406">
        <v>12885</v>
      </c>
      <c r="F406">
        <v>4</v>
      </c>
      <c r="G406">
        <v>1</v>
      </c>
      <c r="H406">
        <v>1</v>
      </c>
      <c r="I406">
        <v>2</v>
      </c>
      <c r="J406" t="s">
        <v>3485</v>
      </c>
      <c r="K406" t="s">
        <v>3486</v>
      </c>
      <c r="L406" s="2">
        <v>2171.2941999999998</v>
      </c>
      <c r="M406" s="2">
        <v>3578.27</v>
      </c>
      <c r="N406" t="s">
        <v>13</v>
      </c>
      <c r="O406" t="s">
        <v>262</v>
      </c>
      <c r="P406" t="s">
        <v>166</v>
      </c>
      <c r="Q406" t="s">
        <v>6735</v>
      </c>
      <c r="R406" s="1">
        <v>26160</v>
      </c>
      <c r="S406" t="s">
        <v>16</v>
      </c>
      <c r="T406" t="s">
        <v>16</v>
      </c>
      <c r="U406" t="s">
        <v>1307</v>
      </c>
      <c r="V406">
        <v>60000</v>
      </c>
      <c r="W406">
        <v>1</v>
      </c>
      <c r="X406" t="s">
        <v>135</v>
      </c>
      <c r="Y406" t="s">
        <v>53</v>
      </c>
      <c r="Z406" t="s">
        <v>19</v>
      </c>
      <c r="AA406" t="s">
        <v>3580</v>
      </c>
      <c r="AB406" t="s">
        <v>3578</v>
      </c>
      <c r="AC406" t="s">
        <v>3579</v>
      </c>
      <c r="AD406" t="s">
        <v>3479</v>
      </c>
      <c r="AE406" t="s">
        <v>3475</v>
      </c>
      <c r="AF406" s="2">
        <v>3578.27</v>
      </c>
      <c r="AG406" s="2">
        <v>2171.2941999999998</v>
      </c>
      <c r="AH406" s="2">
        <v>1406.9757999999999</v>
      </c>
      <c r="AI406" s="3">
        <v>0.39320001006072802</v>
      </c>
    </row>
    <row r="407" spans="1:35">
      <c r="A407" s="1">
        <v>42167</v>
      </c>
      <c r="B407" s="1">
        <v>37399</v>
      </c>
      <c r="C407" t="s">
        <v>4629</v>
      </c>
      <c r="D407">
        <v>311</v>
      </c>
      <c r="E407">
        <v>12915</v>
      </c>
      <c r="F407">
        <v>1</v>
      </c>
      <c r="G407">
        <v>1</v>
      </c>
      <c r="H407">
        <v>1</v>
      </c>
      <c r="I407">
        <v>2</v>
      </c>
      <c r="J407" t="s">
        <v>3487</v>
      </c>
      <c r="K407" t="s">
        <v>3488</v>
      </c>
      <c r="L407" s="2">
        <v>2171.2941999999998</v>
      </c>
      <c r="M407" s="2">
        <v>3578.27</v>
      </c>
      <c r="N407" t="s">
        <v>26</v>
      </c>
      <c r="O407" t="s">
        <v>703</v>
      </c>
      <c r="P407" t="s">
        <v>288</v>
      </c>
      <c r="Q407" t="s">
        <v>6736</v>
      </c>
      <c r="R407" s="1">
        <v>24551</v>
      </c>
      <c r="S407" t="s">
        <v>22</v>
      </c>
      <c r="T407" t="s">
        <v>29</v>
      </c>
      <c r="U407" t="s">
        <v>1314</v>
      </c>
      <c r="V407">
        <v>40000</v>
      </c>
      <c r="W407">
        <v>0</v>
      </c>
      <c r="X407" t="s">
        <v>17</v>
      </c>
      <c r="Y407" t="s">
        <v>18</v>
      </c>
      <c r="Z407" t="s">
        <v>23</v>
      </c>
      <c r="AA407" t="s">
        <v>3577</v>
      </c>
      <c r="AB407" t="s">
        <v>3578</v>
      </c>
      <c r="AC407" t="s">
        <v>3579</v>
      </c>
      <c r="AD407" t="s">
        <v>3479</v>
      </c>
      <c r="AE407" t="s">
        <v>3475</v>
      </c>
      <c r="AF407" s="2">
        <v>3578.27</v>
      </c>
      <c r="AG407" s="2">
        <v>2171.2941999999998</v>
      </c>
      <c r="AH407" s="2">
        <v>1406.9757999999999</v>
      </c>
      <c r="AI407" s="3">
        <v>0.39320001006072802</v>
      </c>
    </row>
    <row r="408" spans="1:35">
      <c r="A408" s="1">
        <v>42167</v>
      </c>
      <c r="B408" s="1">
        <v>37322</v>
      </c>
      <c r="C408" t="s">
        <v>4631</v>
      </c>
      <c r="D408">
        <v>311</v>
      </c>
      <c r="E408">
        <v>12898</v>
      </c>
      <c r="F408">
        <v>4</v>
      </c>
      <c r="G408">
        <v>1</v>
      </c>
      <c r="H408">
        <v>1</v>
      </c>
      <c r="I408">
        <v>2</v>
      </c>
      <c r="J408" t="s">
        <v>3487</v>
      </c>
      <c r="K408" t="s">
        <v>3488</v>
      </c>
      <c r="L408" s="2">
        <v>2171.2941999999998</v>
      </c>
      <c r="M408" s="2">
        <v>3578.27</v>
      </c>
      <c r="N408" t="s">
        <v>30</v>
      </c>
      <c r="O408" t="s">
        <v>938</v>
      </c>
      <c r="P408" t="s">
        <v>326</v>
      </c>
      <c r="Q408" t="s">
        <v>6737</v>
      </c>
      <c r="R408" s="1">
        <v>25820</v>
      </c>
      <c r="S408" t="s">
        <v>16</v>
      </c>
      <c r="T408" t="s">
        <v>29</v>
      </c>
      <c r="U408" t="s">
        <v>1309</v>
      </c>
      <c r="V408">
        <v>50000</v>
      </c>
      <c r="W408">
        <v>1</v>
      </c>
      <c r="X408" t="s">
        <v>17</v>
      </c>
      <c r="Y408" t="s">
        <v>53</v>
      </c>
      <c r="Z408" t="s">
        <v>19</v>
      </c>
      <c r="AA408" t="s">
        <v>3580</v>
      </c>
      <c r="AB408" t="s">
        <v>3578</v>
      </c>
      <c r="AC408" t="s">
        <v>3579</v>
      </c>
      <c r="AD408" t="s">
        <v>3479</v>
      </c>
      <c r="AE408" t="s">
        <v>3475</v>
      </c>
      <c r="AF408" s="2">
        <v>3578.27</v>
      </c>
      <c r="AG408" s="2">
        <v>2171.2941999999998</v>
      </c>
      <c r="AH408" s="2">
        <v>1406.9757999999999</v>
      </c>
      <c r="AI408" s="3">
        <v>0.39320001006072802</v>
      </c>
    </row>
    <row r="409" spans="1:35">
      <c r="A409" s="1">
        <v>42169</v>
      </c>
      <c r="B409" s="1">
        <v>37301</v>
      </c>
      <c r="C409" t="s">
        <v>4639</v>
      </c>
      <c r="D409">
        <v>346</v>
      </c>
      <c r="E409">
        <v>12245</v>
      </c>
      <c r="F409">
        <v>9</v>
      </c>
      <c r="G409">
        <v>1</v>
      </c>
      <c r="H409">
        <v>1</v>
      </c>
      <c r="I409">
        <v>1</v>
      </c>
      <c r="J409" t="s">
        <v>3523</v>
      </c>
      <c r="K409" t="s">
        <v>3524</v>
      </c>
      <c r="L409" s="2">
        <v>1912.1543999999999</v>
      </c>
      <c r="M409" s="2">
        <v>3399.99</v>
      </c>
      <c r="N409" t="s">
        <v>13</v>
      </c>
      <c r="O409" t="s">
        <v>478</v>
      </c>
      <c r="P409" t="s">
        <v>95</v>
      </c>
      <c r="Q409" t="s">
        <v>6738</v>
      </c>
      <c r="R409" s="1">
        <v>28820</v>
      </c>
      <c r="S409" t="s">
        <v>22</v>
      </c>
      <c r="T409" t="s">
        <v>16</v>
      </c>
      <c r="U409" t="s">
        <v>1052</v>
      </c>
      <c r="V409">
        <v>10000</v>
      </c>
      <c r="W409">
        <v>0</v>
      </c>
      <c r="X409" t="s">
        <v>52</v>
      </c>
      <c r="Y409" t="s">
        <v>444</v>
      </c>
      <c r="Z409" t="s">
        <v>19</v>
      </c>
      <c r="AA409" t="s">
        <v>3586</v>
      </c>
      <c r="AB409" t="s">
        <v>3586</v>
      </c>
      <c r="AC409" t="s">
        <v>3587</v>
      </c>
      <c r="AD409" t="s">
        <v>3478</v>
      </c>
      <c r="AE409" t="s">
        <v>3475</v>
      </c>
      <c r="AF409" s="2">
        <v>3399.99</v>
      </c>
      <c r="AG409" s="2">
        <v>1912.1543999999999</v>
      </c>
      <c r="AH409" s="2">
        <v>1487.8356000000001</v>
      </c>
      <c r="AI409" s="3">
        <v>0.43759999294115598</v>
      </c>
    </row>
    <row r="410" spans="1:35">
      <c r="A410" s="1">
        <v>42169</v>
      </c>
      <c r="B410" s="1">
        <v>37328</v>
      </c>
      <c r="C410" t="s">
        <v>4641</v>
      </c>
      <c r="D410">
        <v>310</v>
      </c>
      <c r="E410">
        <v>12768</v>
      </c>
      <c r="F410">
        <v>4</v>
      </c>
      <c r="G410">
        <v>1</v>
      </c>
      <c r="H410">
        <v>1</v>
      </c>
      <c r="I410">
        <v>2</v>
      </c>
      <c r="J410" t="s">
        <v>3485</v>
      </c>
      <c r="K410" t="s">
        <v>3486</v>
      </c>
      <c r="L410" s="2">
        <v>2171.2941999999998</v>
      </c>
      <c r="M410" s="2">
        <v>3578.27</v>
      </c>
      <c r="N410" t="s">
        <v>13</v>
      </c>
      <c r="O410" t="s">
        <v>369</v>
      </c>
      <c r="P410" t="s">
        <v>392</v>
      </c>
      <c r="Q410" t="s">
        <v>6739</v>
      </c>
      <c r="R410" s="1">
        <v>19870</v>
      </c>
      <c r="S410" t="s">
        <v>16</v>
      </c>
      <c r="T410" t="s">
        <v>16</v>
      </c>
      <c r="U410" t="s">
        <v>1274</v>
      </c>
      <c r="V410">
        <v>30000</v>
      </c>
      <c r="W410">
        <v>1</v>
      </c>
      <c r="X410" t="s">
        <v>57</v>
      </c>
      <c r="Y410" t="s">
        <v>60</v>
      </c>
      <c r="Z410" t="s">
        <v>19</v>
      </c>
      <c r="AA410" t="s">
        <v>3580</v>
      </c>
      <c r="AB410" t="s">
        <v>3578</v>
      </c>
      <c r="AC410" t="s">
        <v>3579</v>
      </c>
      <c r="AD410" t="s">
        <v>3479</v>
      </c>
      <c r="AE410" t="s">
        <v>3475</v>
      </c>
      <c r="AF410" s="2">
        <v>3578.27</v>
      </c>
      <c r="AG410" s="2">
        <v>2171.2941999999998</v>
      </c>
      <c r="AH410" s="2">
        <v>1406.9757999999999</v>
      </c>
      <c r="AI410" s="3">
        <v>0.39320001006072802</v>
      </c>
    </row>
    <row r="411" spans="1:35">
      <c r="A411" s="1">
        <v>42170</v>
      </c>
      <c r="B411" s="1">
        <v>37370</v>
      </c>
      <c r="C411" t="s">
        <v>4643</v>
      </c>
      <c r="D411">
        <v>313</v>
      </c>
      <c r="E411">
        <v>12755</v>
      </c>
      <c r="F411">
        <v>4</v>
      </c>
      <c r="G411">
        <v>1</v>
      </c>
      <c r="H411">
        <v>1</v>
      </c>
      <c r="I411">
        <v>2</v>
      </c>
      <c r="J411" t="s">
        <v>3491</v>
      </c>
      <c r="K411" t="s">
        <v>3492</v>
      </c>
      <c r="L411" s="2">
        <v>2171.2941999999998</v>
      </c>
      <c r="M411" s="2">
        <v>3578.27</v>
      </c>
      <c r="N411" t="s">
        <v>30</v>
      </c>
      <c r="O411" t="s">
        <v>50</v>
      </c>
      <c r="P411" t="s">
        <v>280</v>
      </c>
      <c r="Q411" t="s">
        <v>6740</v>
      </c>
      <c r="R411" s="1">
        <v>27669</v>
      </c>
      <c r="S411" t="s">
        <v>22</v>
      </c>
      <c r="T411" t="s">
        <v>29</v>
      </c>
      <c r="U411" t="s">
        <v>1267</v>
      </c>
      <c r="V411">
        <v>40000</v>
      </c>
      <c r="W411">
        <v>3</v>
      </c>
      <c r="X411" t="s">
        <v>52</v>
      </c>
      <c r="Y411" t="s">
        <v>60</v>
      </c>
      <c r="Z411" t="s">
        <v>19</v>
      </c>
      <c r="AA411" t="s">
        <v>3580</v>
      </c>
      <c r="AB411" t="s">
        <v>3578</v>
      </c>
      <c r="AC411" t="s">
        <v>3579</v>
      </c>
      <c r="AD411" t="s">
        <v>3479</v>
      </c>
      <c r="AE411" t="s">
        <v>3475</v>
      </c>
      <c r="AF411" s="2">
        <v>3578.27</v>
      </c>
      <c r="AG411" s="2">
        <v>2171.2941999999998</v>
      </c>
      <c r="AH411" s="2">
        <v>1406.9757999999999</v>
      </c>
      <c r="AI411" s="3">
        <v>0.39320001006072802</v>
      </c>
    </row>
    <row r="412" spans="1:35">
      <c r="A412" s="1">
        <v>42170</v>
      </c>
      <c r="B412" s="1">
        <v>37376</v>
      </c>
      <c r="C412" t="s">
        <v>4645</v>
      </c>
      <c r="D412">
        <v>312</v>
      </c>
      <c r="E412">
        <v>12437</v>
      </c>
      <c r="F412">
        <v>1</v>
      </c>
      <c r="G412">
        <v>1</v>
      </c>
      <c r="H412">
        <v>1</v>
      </c>
      <c r="I412">
        <v>2</v>
      </c>
      <c r="J412" t="s">
        <v>3489</v>
      </c>
      <c r="K412" t="s">
        <v>3490</v>
      </c>
      <c r="L412" s="2">
        <v>2171.2941999999998</v>
      </c>
      <c r="M412" s="2">
        <v>3578.27</v>
      </c>
      <c r="N412" t="s">
        <v>13</v>
      </c>
      <c r="O412" t="s">
        <v>118</v>
      </c>
      <c r="P412" t="s">
        <v>51</v>
      </c>
      <c r="Q412" t="s">
        <v>6741</v>
      </c>
      <c r="R412" s="1">
        <v>20255</v>
      </c>
      <c r="S412" t="s">
        <v>16</v>
      </c>
      <c r="T412" t="s">
        <v>16</v>
      </c>
      <c r="U412" t="s">
        <v>1143</v>
      </c>
      <c r="V412">
        <v>40000</v>
      </c>
      <c r="W412">
        <v>1</v>
      </c>
      <c r="X412" t="s">
        <v>52</v>
      </c>
      <c r="Y412" t="s">
        <v>60</v>
      </c>
      <c r="Z412" t="s">
        <v>19</v>
      </c>
      <c r="AA412" t="s">
        <v>3577</v>
      </c>
      <c r="AB412" t="s">
        <v>3578</v>
      </c>
      <c r="AC412" t="s">
        <v>3579</v>
      </c>
      <c r="AD412" t="s">
        <v>3479</v>
      </c>
      <c r="AE412" t="s">
        <v>3475</v>
      </c>
      <c r="AF412" s="2">
        <v>3578.27</v>
      </c>
      <c r="AG412" s="2">
        <v>2171.2941999999998</v>
      </c>
      <c r="AH412" s="2">
        <v>1406.9757999999999</v>
      </c>
      <c r="AI412" s="3">
        <v>0.39320001006072802</v>
      </c>
    </row>
    <row r="413" spans="1:35">
      <c r="A413" s="1">
        <v>42170</v>
      </c>
      <c r="B413" s="1">
        <v>37354</v>
      </c>
      <c r="C413" t="s">
        <v>4648</v>
      </c>
      <c r="D413">
        <v>312</v>
      </c>
      <c r="E413">
        <v>12883</v>
      </c>
      <c r="F413">
        <v>4</v>
      </c>
      <c r="G413">
        <v>1</v>
      </c>
      <c r="H413">
        <v>1</v>
      </c>
      <c r="I413">
        <v>2</v>
      </c>
      <c r="J413" t="s">
        <v>3489</v>
      </c>
      <c r="K413" t="s">
        <v>3490</v>
      </c>
      <c r="L413" s="2">
        <v>2171.2941999999998</v>
      </c>
      <c r="M413" s="2">
        <v>3578.27</v>
      </c>
      <c r="N413" t="s">
        <v>30</v>
      </c>
      <c r="O413" t="s">
        <v>306</v>
      </c>
      <c r="P413" t="s">
        <v>428</v>
      </c>
      <c r="Q413" t="s">
        <v>6742</v>
      </c>
      <c r="R413" s="1">
        <v>26243</v>
      </c>
      <c r="S413" t="s">
        <v>22</v>
      </c>
      <c r="T413" t="s">
        <v>29</v>
      </c>
      <c r="U413" t="s">
        <v>1305</v>
      </c>
      <c r="V413">
        <v>60000</v>
      </c>
      <c r="W413">
        <v>1</v>
      </c>
      <c r="X413" t="s">
        <v>135</v>
      </c>
      <c r="Y413" t="s">
        <v>53</v>
      </c>
      <c r="Z413" t="s">
        <v>19</v>
      </c>
      <c r="AA413" t="s">
        <v>3580</v>
      </c>
      <c r="AB413" t="s">
        <v>3578</v>
      </c>
      <c r="AC413" t="s">
        <v>3579</v>
      </c>
      <c r="AD413" t="s">
        <v>3479</v>
      </c>
      <c r="AE413" t="s">
        <v>3475</v>
      </c>
      <c r="AF413" s="2">
        <v>3578.27</v>
      </c>
      <c r="AG413" s="2">
        <v>2171.2941999999998</v>
      </c>
      <c r="AH413" s="2">
        <v>1406.9757999999999</v>
      </c>
      <c r="AI413" s="3">
        <v>0.39320001006072802</v>
      </c>
    </row>
    <row r="414" spans="1:35">
      <c r="A414" s="1">
        <v>42171</v>
      </c>
      <c r="B414" s="1">
        <v>37322</v>
      </c>
      <c r="C414" t="s">
        <v>4650</v>
      </c>
      <c r="D414">
        <v>313</v>
      </c>
      <c r="E414">
        <v>12189</v>
      </c>
      <c r="F414">
        <v>4</v>
      </c>
      <c r="G414">
        <v>1</v>
      </c>
      <c r="H414">
        <v>1</v>
      </c>
      <c r="I414">
        <v>2</v>
      </c>
      <c r="J414" t="s">
        <v>3491</v>
      </c>
      <c r="K414" t="s">
        <v>3492</v>
      </c>
      <c r="L414" s="2">
        <v>2171.2941999999998</v>
      </c>
      <c r="M414" s="2">
        <v>3578.27</v>
      </c>
      <c r="N414" t="s">
        <v>30</v>
      </c>
      <c r="O414" t="s">
        <v>781</v>
      </c>
      <c r="P414" t="s">
        <v>240</v>
      </c>
      <c r="Q414" t="s">
        <v>6743</v>
      </c>
      <c r="R414" s="1">
        <v>21965</v>
      </c>
      <c r="S414" t="s">
        <v>16</v>
      </c>
      <c r="T414" t="s">
        <v>29</v>
      </c>
      <c r="U414" t="s">
        <v>1016</v>
      </c>
      <c r="V414">
        <v>130000</v>
      </c>
      <c r="W414">
        <v>4</v>
      </c>
      <c r="X414" t="s">
        <v>17</v>
      </c>
      <c r="Y414" t="s">
        <v>45</v>
      </c>
      <c r="Z414" t="s">
        <v>19</v>
      </c>
      <c r="AA414" t="s">
        <v>3580</v>
      </c>
      <c r="AB414" t="s">
        <v>3578</v>
      </c>
      <c r="AC414" t="s">
        <v>3579</v>
      </c>
      <c r="AD414" t="s">
        <v>3479</v>
      </c>
      <c r="AE414" t="s">
        <v>3475</v>
      </c>
      <c r="AF414" s="2">
        <v>3578.27</v>
      </c>
      <c r="AG414" s="2">
        <v>2171.2941999999998</v>
      </c>
      <c r="AH414" s="2">
        <v>1406.9757999999999</v>
      </c>
      <c r="AI414" s="3">
        <v>0.39320001006072802</v>
      </c>
    </row>
    <row r="415" spans="1:35">
      <c r="A415" s="1">
        <v>42172</v>
      </c>
      <c r="B415" s="1">
        <v>37314</v>
      </c>
      <c r="C415" t="s">
        <v>4655</v>
      </c>
      <c r="D415">
        <v>312</v>
      </c>
      <c r="E415">
        <v>12198</v>
      </c>
      <c r="F415">
        <v>1</v>
      </c>
      <c r="G415">
        <v>1</v>
      </c>
      <c r="H415">
        <v>1</v>
      </c>
      <c r="I415">
        <v>2</v>
      </c>
      <c r="J415" t="s">
        <v>3489</v>
      </c>
      <c r="K415" t="s">
        <v>3490</v>
      </c>
      <c r="L415" s="2">
        <v>2171.2941999999998</v>
      </c>
      <c r="M415" s="2">
        <v>3578.27</v>
      </c>
      <c r="N415" t="s">
        <v>13</v>
      </c>
      <c r="O415" t="s">
        <v>141</v>
      </c>
      <c r="P415" t="s">
        <v>512</v>
      </c>
      <c r="Q415" t="s">
        <v>6744</v>
      </c>
      <c r="R415" s="1">
        <v>19404</v>
      </c>
      <c r="S415" t="s">
        <v>16</v>
      </c>
      <c r="T415" t="s">
        <v>16</v>
      </c>
      <c r="U415" t="s">
        <v>1018</v>
      </c>
      <c r="V415">
        <v>60000</v>
      </c>
      <c r="W415">
        <v>3</v>
      </c>
      <c r="X415" t="s">
        <v>135</v>
      </c>
      <c r="Y415" t="s">
        <v>45</v>
      </c>
      <c r="Z415" t="s">
        <v>19</v>
      </c>
      <c r="AA415" t="s">
        <v>3577</v>
      </c>
      <c r="AB415" t="s">
        <v>3578</v>
      </c>
      <c r="AC415" t="s">
        <v>3579</v>
      </c>
      <c r="AD415" t="s">
        <v>3479</v>
      </c>
      <c r="AE415" t="s">
        <v>3475</v>
      </c>
      <c r="AF415" s="2">
        <v>3578.27</v>
      </c>
      <c r="AG415" s="2">
        <v>2171.2941999999998</v>
      </c>
      <c r="AH415" s="2">
        <v>1406.9757999999999</v>
      </c>
      <c r="AI415" s="3">
        <v>0.39320001006072802</v>
      </c>
    </row>
    <row r="416" spans="1:35">
      <c r="A416" s="1">
        <v>42173</v>
      </c>
      <c r="B416" s="1">
        <v>37395</v>
      </c>
      <c r="C416" t="s">
        <v>4658</v>
      </c>
      <c r="D416">
        <v>310</v>
      </c>
      <c r="E416">
        <v>12764</v>
      </c>
      <c r="F416">
        <v>1</v>
      </c>
      <c r="G416">
        <v>1</v>
      </c>
      <c r="H416">
        <v>1</v>
      </c>
      <c r="I416">
        <v>2</v>
      </c>
      <c r="J416" t="s">
        <v>3485</v>
      </c>
      <c r="K416" t="s">
        <v>3486</v>
      </c>
      <c r="L416" s="2">
        <v>2171.2941999999998</v>
      </c>
      <c r="M416" s="2">
        <v>3578.27</v>
      </c>
      <c r="N416" t="s">
        <v>30</v>
      </c>
      <c r="O416" t="s">
        <v>336</v>
      </c>
      <c r="P416" t="s">
        <v>250</v>
      </c>
      <c r="Q416" t="s">
        <v>6745</v>
      </c>
      <c r="R416" s="1">
        <v>19588</v>
      </c>
      <c r="S416" t="s">
        <v>16</v>
      </c>
      <c r="T416" t="s">
        <v>29</v>
      </c>
      <c r="U416" t="s">
        <v>1271</v>
      </c>
      <c r="V416">
        <v>30000</v>
      </c>
      <c r="W416">
        <v>1</v>
      </c>
      <c r="X416" t="s">
        <v>52</v>
      </c>
      <c r="Y416" t="s">
        <v>60</v>
      </c>
      <c r="Z416" t="s">
        <v>19</v>
      </c>
      <c r="AA416" t="s">
        <v>3577</v>
      </c>
      <c r="AB416" t="s">
        <v>3578</v>
      </c>
      <c r="AC416" t="s">
        <v>3579</v>
      </c>
      <c r="AD416" t="s">
        <v>3479</v>
      </c>
      <c r="AE416" t="s">
        <v>3475</v>
      </c>
      <c r="AF416" s="2">
        <v>3578.27</v>
      </c>
      <c r="AG416" s="2">
        <v>2171.2941999999998</v>
      </c>
      <c r="AH416" s="2">
        <v>1406.9757999999999</v>
      </c>
      <c r="AI416" s="3">
        <v>0.39320001006072802</v>
      </c>
    </row>
    <row r="417" spans="1:35">
      <c r="A417" s="1">
        <v>42173</v>
      </c>
      <c r="B417" s="1">
        <v>37351</v>
      </c>
      <c r="C417" t="s">
        <v>4659</v>
      </c>
      <c r="D417">
        <v>310</v>
      </c>
      <c r="E417">
        <v>12179</v>
      </c>
      <c r="F417">
        <v>1</v>
      </c>
      <c r="G417">
        <v>1</v>
      </c>
      <c r="H417">
        <v>1</v>
      </c>
      <c r="I417">
        <v>2</v>
      </c>
      <c r="J417" t="s">
        <v>3485</v>
      </c>
      <c r="K417" t="s">
        <v>3486</v>
      </c>
      <c r="L417" s="2">
        <v>2171.2941999999998</v>
      </c>
      <c r="M417" s="2">
        <v>3578.27</v>
      </c>
      <c r="N417" t="s">
        <v>30</v>
      </c>
      <c r="O417" t="s">
        <v>357</v>
      </c>
      <c r="P417" t="s">
        <v>343</v>
      </c>
      <c r="Q417" t="s">
        <v>6746</v>
      </c>
      <c r="R417" s="1">
        <v>13067</v>
      </c>
      <c r="S417" t="s">
        <v>22</v>
      </c>
      <c r="T417" t="s">
        <v>29</v>
      </c>
      <c r="U417" t="s">
        <v>1008</v>
      </c>
      <c r="V417">
        <v>50000</v>
      </c>
      <c r="W417">
        <v>2</v>
      </c>
      <c r="X417" t="s">
        <v>135</v>
      </c>
      <c r="Y417" t="s">
        <v>45</v>
      </c>
      <c r="Z417" t="s">
        <v>19</v>
      </c>
      <c r="AA417" t="s">
        <v>3577</v>
      </c>
      <c r="AB417" t="s">
        <v>3578</v>
      </c>
      <c r="AC417" t="s">
        <v>3579</v>
      </c>
      <c r="AD417" t="s">
        <v>3479</v>
      </c>
      <c r="AE417" t="s">
        <v>3475</v>
      </c>
      <c r="AF417" s="2">
        <v>3578.27</v>
      </c>
      <c r="AG417" s="2">
        <v>2171.2941999999998</v>
      </c>
      <c r="AH417" s="2">
        <v>1406.9757999999999</v>
      </c>
      <c r="AI417" s="3">
        <v>0.39320001006072802</v>
      </c>
    </row>
    <row r="418" spans="1:35">
      <c r="A418" s="1">
        <v>42173</v>
      </c>
      <c r="B418" s="1">
        <v>37305</v>
      </c>
      <c r="C418" t="s">
        <v>4661</v>
      </c>
      <c r="D418">
        <v>314</v>
      </c>
      <c r="E418">
        <v>12208</v>
      </c>
      <c r="F418">
        <v>1</v>
      </c>
      <c r="G418">
        <v>1</v>
      </c>
      <c r="H418">
        <v>1</v>
      </c>
      <c r="I418">
        <v>2</v>
      </c>
      <c r="J418" t="s">
        <v>3493</v>
      </c>
      <c r="K418" t="s">
        <v>3494</v>
      </c>
      <c r="L418" s="2">
        <v>2171.2941999999998</v>
      </c>
      <c r="M418" s="2">
        <v>3578.27</v>
      </c>
      <c r="N418" t="s">
        <v>30</v>
      </c>
      <c r="O418" t="s">
        <v>524</v>
      </c>
      <c r="P418" t="s">
        <v>109</v>
      </c>
      <c r="Q418" t="s">
        <v>6747</v>
      </c>
      <c r="R418" s="1">
        <v>14660</v>
      </c>
      <c r="S418" t="s">
        <v>16</v>
      </c>
      <c r="T418" t="s">
        <v>29</v>
      </c>
      <c r="U418" t="s">
        <v>1024</v>
      </c>
      <c r="V418">
        <v>130000</v>
      </c>
      <c r="W418">
        <v>2</v>
      </c>
      <c r="X418" t="s">
        <v>17</v>
      </c>
      <c r="Y418" t="s">
        <v>45</v>
      </c>
      <c r="Z418" t="s">
        <v>19</v>
      </c>
      <c r="AA418" t="s">
        <v>3577</v>
      </c>
      <c r="AB418" t="s">
        <v>3578</v>
      </c>
      <c r="AC418" t="s">
        <v>3579</v>
      </c>
      <c r="AD418" t="s">
        <v>3479</v>
      </c>
      <c r="AE418" t="s">
        <v>3475</v>
      </c>
      <c r="AF418" s="2">
        <v>3578.27</v>
      </c>
      <c r="AG418" s="2">
        <v>2171.2941999999998</v>
      </c>
      <c r="AH418" s="2">
        <v>1406.9757999999999</v>
      </c>
      <c r="AI418" s="3">
        <v>0.39320001006072802</v>
      </c>
    </row>
    <row r="419" spans="1:35">
      <c r="A419" s="1">
        <v>42173</v>
      </c>
      <c r="B419" s="1">
        <v>37321</v>
      </c>
      <c r="C419" t="s">
        <v>4662</v>
      </c>
      <c r="D419">
        <v>349</v>
      </c>
      <c r="E419">
        <v>12242</v>
      </c>
      <c r="F419">
        <v>9</v>
      </c>
      <c r="G419">
        <v>1</v>
      </c>
      <c r="H419">
        <v>1</v>
      </c>
      <c r="I419">
        <v>1</v>
      </c>
      <c r="J419" t="s">
        <v>3529</v>
      </c>
      <c r="K419" t="s">
        <v>3530</v>
      </c>
      <c r="L419" s="2">
        <v>1898.0944</v>
      </c>
      <c r="M419" s="2">
        <v>3374.99</v>
      </c>
      <c r="N419" t="s">
        <v>13</v>
      </c>
      <c r="O419" t="s">
        <v>130</v>
      </c>
      <c r="P419" t="s">
        <v>151</v>
      </c>
      <c r="Q419" t="s">
        <v>6748</v>
      </c>
      <c r="R419" s="1">
        <v>28890</v>
      </c>
      <c r="S419" t="s">
        <v>22</v>
      </c>
      <c r="T419" t="s">
        <v>16</v>
      </c>
      <c r="U419" t="s">
        <v>1050</v>
      </c>
      <c r="V419">
        <v>10000</v>
      </c>
      <c r="W419">
        <v>0</v>
      </c>
      <c r="X419" t="s">
        <v>52</v>
      </c>
      <c r="Y419" t="s">
        <v>444</v>
      </c>
      <c r="Z419" t="s">
        <v>23</v>
      </c>
      <c r="AA419" t="s">
        <v>3586</v>
      </c>
      <c r="AB419" t="s">
        <v>3586</v>
      </c>
      <c r="AC419" t="s">
        <v>3587</v>
      </c>
      <c r="AD419" t="s">
        <v>3478</v>
      </c>
      <c r="AE419" t="s">
        <v>3475</v>
      </c>
      <c r="AF419" s="2">
        <v>3374.99</v>
      </c>
      <c r="AG419" s="2">
        <v>1898.0944</v>
      </c>
      <c r="AH419" s="2">
        <v>1476.8956000000001</v>
      </c>
      <c r="AI419" s="3">
        <v>0.43759999288886797</v>
      </c>
    </row>
    <row r="420" spans="1:35">
      <c r="A420" s="1">
        <v>42173</v>
      </c>
      <c r="B420" s="1">
        <v>37338</v>
      </c>
      <c r="C420" t="s">
        <v>4663</v>
      </c>
      <c r="D420">
        <v>313</v>
      </c>
      <c r="E420">
        <v>12881</v>
      </c>
      <c r="F420">
        <v>4</v>
      </c>
      <c r="G420">
        <v>1</v>
      </c>
      <c r="H420">
        <v>1</v>
      </c>
      <c r="I420">
        <v>2</v>
      </c>
      <c r="J420" t="s">
        <v>3491</v>
      </c>
      <c r="K420" t="s">
        <v>3492</v>
      </c>
      <c r="L420" s="2">
        <v>2171.2941999999998</v>
      </c>
      <c r="M420" s="2">
        <v>3578.27</v>
      </c>
      <c r="N420" t="s">
        <v>30</v>
      </c>
      <c r="O420" t="s">
        <v>588</v>
      </c>
      <c r="P420" t="s">
        <v>70</v>
      </c>
      <c r="Q420" t="s">
        <v>6749</v>
      </c>
      <c r="R420" s="1">
        <v>26982</v>
      </c>
      <c r="S420" t="s">
        <v>22</v>
      </c>
      <c r="T420" t="s">
        <v>29</v>
      </c>
      <c r="U420" t="s">
        <v>1303</v>
      </c>
      <c r="V420">
        <v>50000</v>
      </c>
      <c r="W420">
        <v>1</v>
      </c>
      <c r="X420" t="s">
        <v>135</v>
      </c>
      <c r="Y420" t="s">
        <v>53</v>
      </c>
      <c r="Z420" t="s">
        <v>19</v>
      </c>
      <c r="AA420" t="s">
        <v>3580</v>
      </c>
      <c r="AB420" t="s">
        <v>3578</v>
      </c>
      <c r="AC420" t="s">
        <v>3579</v>
      </c>
      <c r="AD420" t="s">
        <v>3479</v>
      </c>
      <c r="AE420" t="s">
        <v>3475</v>
      </c>
      <c r="AF420" s="2">
        <v>3578.27</v>
      </c>
      <c r="AG420" s="2">
        <v>2171.2941999999998</v>
      </c>
      <c r="AH420" s="2">
        <v>1406.9757999999999</v>
      </c>
      <c r="AI420" s="3">
        <v>0.39320001006072802</v>
      </c>
    </row>
    <row r="421" spans="1:35">
      <c r="A421" s="1">
        <v>42173</v>
      </c>
      <c r="B421" s="1">
        <v>37387</v>
      </c>
      <c r="C421" t="s">
        <v>4664</v>
      </c>
      <c r="D421">
        <v>310</v>
      </c>
      <c r="E421">
        <v>13558</v>
      </c>
      <c r="F421">
        <v>7</v>
      </c>
      <c r="G421">
        <v>1</v>
      </c>
      <c r="H421">
        <v>1</v>
      </c>
      <c r="I421">
        <v>2</v>
      </c>
      <c r="J421" t="s">
        <v>3485</v>
      </c>
      <c r="K421" t="s">
        <v>3486</v>
      </c>
      <c r="L421" s="2">
        <v>2171.2941999999998</v>
      </c>
      <c r="M421" s="2">
        <v>3578.27</v>
      </c>
      <c r="N421" t="s">
        <v>26</v>
      </c>
      <c r="O421" t="s">
        <v>1576</v>
      </c>
      <c r="P421" t="s">
        <v>42</v>
      </c>
      <c r="Q421" t="s">
        <v>6750</v>
      </c>
      <c r="R421" s="1">
        <v>25376</v>
      </c>
      <c r="S421" t="s">
        <v>16</v>
      </c>
      <c r="T421" t="s">
        <v>29</v>
      </c>
      <c r="U421" t="s">
        <v>1577</v>
      </c>
      <c r="V421">
        <v>40000</v>
      </c>
      <c r="W421">
        <v>0</v>
      </c>
      <c r="X421" t="s">
        <v>135</v>
      </c>
      <c r="Y421" t="s">
        <v>60</v>
      </c>
      <c r="Z421" t="s">
        <v>19</v>
      </c>
      <c r="AA421" t="s">
        <v>3583</v>
      </c>
      <c r="AB421" t="s">
        <v>3583</v>
      </c>
      <c r="AC421" t="s">
        <v>3584</v>
      </c>
      <c r="AD421" t="s">
        <v>3479</v>
      </c>
      <c r="AE421" t="s">
        <v>3475</v>
      </c>
      <c r="AF421" s="2">
        <v>3578.27</v>
      </c>
      <c r="AG421" s="2">
        <v>2171.2941999999998</v>
      </c>
      <c r="AH421" s="2">
        <v>1406.9757999999999</v>
      </c>
      <c r="AI421" s="3">
        <v>0.39320001006072802</v>
      </c>
    </row>
    <row r="422" spans="1:35">
      <c r="A422" s="1">
        <v>42173</v>
      </c>
      <c r="B422" s="1">
        <v>37341</v>
      </c>
      <c r="C422" t="s">
        <v>4665</v>
      </c>
      <c r="D422">
        <v>347</v>
      </c>
      <c r="E422">
        <v>12241</v>
      </c>
      <c r="F422">
        <v>9</v>
      </c>
      <c r="G422">
        <v>1</v>
      </c>
      <c r="H422">
        <v>1</v>
      </c>
      <c r="I422">
        <v>1</v>
      </c>
      <c r="J422" t="s">
        <v>3525</v>
      </c>
      <c r="K422" t="s">
        <v>3526</v>
      </c>
      <c r="L422" s="2">
        <v>1912.1543999999999</v>
      </c>
      <c r="M422" s="2">
        <v>3399.99</v>
      </c>
      <c r="N422" t="s">
        <v>26</v>
      </c>
      <c r="O422" t="s">
        <v>1048</v>
      </c>
      <c r="P422" t="s">
        <v>860</v>
      </c>
      <c r="Q422" t="s">
        <v>6751</v>
      </c>
      <c r="R422" s="1">
        <v>29165</v>
      </c>
      <c r="S422" t="s">
        <v>22</v>
      </c>
      <c r="T422" t="s">
        <v>29</v>
      </c>
      <c r="U422" t="s">
        <v>1049</v>
      </c>
      <c r="V422">
        <v>10000</v>
      </c>
      <c r="W422">
        <v>0</v>
      </c>
      <c r="X422" t="s">
        <v>52</v>
      </c>
      <c r="Y422" t="s">
        <v>444</v>
      </c>
      <c r="Z422" t="s">
        <v>23</v>
      </c>
      <c r="AA422" t="s">
        <v>3586</v>
      </c>
      <c r="AB422" t="s">
        <v>3586</v>
      </c>
      <c r="AC422" t="s">
        <v>3587</v>
      </c>
      <c r="AD422" t="s">
        <v>3478</v>
      </c>
      <c r="AE422" t="s">
        <v>3475</v>
      </c>
      <c r="AF422" s="2">
        <v>3399.99</v>
      </c>
      <c r="AG422" s="2">
        <v>1912.1543999999999</v>
      </c>
      <c r="AH422" s="2">
        <v>1487.8356000000001</v>
      </c>
      <c r="AI422" s="3">
        <v>0.43759999294115598</v>
      </c>
    </row>
    <row r="423" spans="1:35">
      <c r="A423" s="1">
        <v>42174</v>
      </c>
      <c r="B423" s="1">
        <v>37405</v>
      </c>
      <c r="C423" t="s">
        <v>4675</v>
      </c>
      <c r="D423">
        <v>310</v>
      </c>
      <c r="E423">
        <v>12886</v>
      </c>
      <c r="F423">
        <v>4</v>
      </c>
      <c r="G423">
        <v>1</v>
      </c>
      <c r="H423">
        <v>1</v>
      </c>
      <c r="I423">
        <v>2</v>
      </c>
      <c r="J423" t="s">
        <v>3485</v>
      </c>
      <c r="K423" t="s">
        <v>3486</v>
      </c>
      <c r="L423" s="2">
        <v>2171.2941999999998</v>
      </c>
      <c r="M423" s="2">
        <v>3578.27</v>
      </c>
      <c r="N423" t="s">
        <v>30</v>
      </c>
      <c r="O423" t="s">
        <v>287</v>
      </c>
      <c r="P423" t="s">
        <v>239</v>
      </c>
      <c r="Q423" t="s">
        <v>6752</v>
      </c>
      <c r="R423" s="1">
        <v>26240</v>
      </c>
      <c r="S423" t="s">
        <v>22</v>
      </c>
      <c r="T423" t="s">
        <v>29</v>
      </c>
      <c r="U423" t="s">
        <v>1308</v>
      </c>
      <c r="V423">
        <v>60000</v>
      </c>
      <c r="W423">
        <v>1</v>
      </c>
      <c r="X423" t="s">
        <v>135</v>
      </c>
      <c r="Y423" t="s">
        <v>53</v>
      </c>
      <c r="Z423" t="s">
        <v>19</v>
      </c>
      <c r="AA423" t="s">
        <v>3580</v>
      </c>
      <c r="AB423" t="s">
        <v>3578</v>
      </c>
      <c r="AC423" t="s">
        <v>3579</v>
      </c>
      <c r="AD423" t="s">
        <v>3479</v>
      </c>
      <c r="AE423" t="s">
        <v>3475</v>
      </c>
      <c r="AF423" s="2">
        <v>3578.27</v>
      </c>
      <c r="AG423" s="2">
        <v>2171.2941999999998</v>
      </c>
      <c r="AH423" s="2">
        <v>1406.9757999999999</v>
      </c>
      <c r="AI423" s="3">
        <v>0.39320001006072802</v>
      </c>
    </row>
    <row r="424" spans="1:35">
      <c r="A424" s="1">
        <v>42174</v>
      </c>
      <c r="B424" s="1">
        <v>37367</v>
      </c>
      <c r="C424" t="s">
        <v>4678</v>
      </c>
      <c r="D424">
        <v>311</v>
      </c>
      <c r="E424">
        <v>12209</v>
      </c>
      <c r="F424">
        <v>4</v>
      </c>
      <c r="G424">
        <v>1</v>
      </c>
      <c r="H424">
        <v>1</v>
      </c>
      <c r="I424">
        <v>2</v>
      </c>
      <c r="J424" t="s">
        <v>3487</v>
      </c>
      <c r="K424" t="s">
        <v>3488</v>
      </c>
      <c r="L424" s="2">
        <v>2171.2941999999998</v>
      </c>
      <c r="M424" s="2">
        <v>3578.27</v>
      </c>
      <c r="N424" t="s">
        <v>30</v>
      </c>
      <c r="O424" t="s">
        <v>456</v>
      </c>
      <c r="P424" t="s">
        <v>476</v>
      </c>
      <c r="Q424" t="s">
        <v>6753</v>
      </c>
      <c r="R424" s="1">
        <v>14788</v>
      </c>
      <c r="S424" t="s">
        <v>16</v>
      </c>
      <c r="T424" t="s">
        <v>29</v>
      </c>
      <c r="U424" t="s">
        <v>1025</v>
      </c>
      <c r="V424">
        <v>130000</v>
      </c>
      <c r="W424">
        <v>2</v>
      </c>
      <c r="X424" t="s">
        <v>17</v>
      </c>
      <c r="Y424" t="s">
        <v>45</v>
      </c>
      <c r="Z424" t="s">
        <v>19</v>
      </c>
      <c r="AA424" t="s">
        <v>3580</v>
      </c>
      <c r="AB424" t="s">
        <v>3578</v>
      </c>
      <c r="AC424" t="s">
        <v>3579</v>
      </c>
      <c r="AD424" t="s">
        <v>3479</v>
      </c>
      <c r="AE424" t="s">
        <v>3475</v>
      </c>
      <c r="AF424" s="2">
        <v>3578.27</v>
      </c>
      <c r="AG424" s="2">
        <v>2171.2941999999998</v>
      </c>
      <c r="AH424" s="2">
        <v>1406.9757999999999</v>
      </c>
      <c r="AI424" s="3">
        <v>0.39320001006072802</v>
      </c>
    </row>
    <row r="425" spans="1:35">
      <c r="A425" s="1">
        <v>42175</v>
      </c>
      <c r="B425" s="1">
        <v>37382</v>
      </c>
      <c r="C425" t="s">
        <v>4681</v>
      </c>
      <c r="D425">
        <v>313</v>
      </c>
      <c r="E425">
        <v>12756</v>
      </c>
      <c r="F425">
        <v>4</v>
      </c>
      <c r="G425">
        <v>1</v>
      </c>
      <c r="H425">
        <v>1</v>
      </c>
      <c r="I425">
        <v>2</v>
      </c>
      <c r="J425" t="s">
        <v>3491</v>
      </c>
      <c r="K425" t="s">
        <v>3492</v>
      </c>
      <c r="L425" s="2">
        <v>2171.2941999999998</v>
      </c>
      <c r="M425" s="2">
        <v>3578.27</v>
      </c>
      <c r="N425" t="s">
        <v>13</v>
      </c>
      <c r="O425" t="s">
        <v>682</v>
      </c>
      <c r="P425" t="s">
        <v>148</v>
      </c>
      <c r="Q425" t="s">
        <v>6754</v>
      </c>
      <c r="R425" s="1">
        <v>27571</v>
      </c>
      <c r="S425" t="s">
        <v>22</v>
      </c>
      <c r="T425" t="s">
        <v>16</v>
      </c>
      <c r="U425" t="s">
        <v>1268</v>
      </c>
      <c r="V425">
        <v>40000</v>
      </c>
      <c r="W425">
        <v>3</v>
      </c>
      <c r="X425" t="s">
        <v>52</v>
      </c>
      <c r="Y425" t="s">
        <v>60</v>
      </c>
      <c r="Z425" t="s">
        <v>19</v>
      </c>
      <c r="AA425" t="s">
        <v>3580</v>
      </c>
      <c r="AB425" t="s">
        <v>3578</v>
      </c>
      <c r="AC425" t="s">
        <v>3579</v>
      </c>
      <c r="AD425" t="s">
        <v>3479</v>
      </c>
      <c r="AE425" t="s">
        <v>3475</v>
      </c>
      <c r="AF425" s="2">
        <v>3578.27</v>
      </c>
      <c r="AG425" s="2">
        <v>2171.2941999999998</v>
      </c>
      <c r="AH425" s="2">
        <v>1406.9757999999999</v>
      </c>
      <c r="AI425" s="3">
        <v>0.39320001006072802</v>
      </c>
    </row>
    <row r="426" spans="1:35">
      <c r="A426" s="1">
        <v>42175</v>
      </c>
      <c r="B426" s="1">
        <v>37328</v>
      </c>
      <c r="C426" t="s">
        <v>4682</v>
      </c>
      <c r="D426">
        <v>310</v>
      </c>
      <c r="E426">
        <v>12770</v>
      </c>
      <c r="F426">
        <v>4</v>
      </c>
      <c r="G426">
        <v>1</v>
      </c>
      <c r="H426">
        <v>1</v>
      </c>
      <c r="I426">
        <v>2</v>
      </c>
      <c r="J426" t="s">
        <v>3485</v>
      </c>
      <c r="K426" t="s">
        <v>3486</v>
      </c>
      <c r="L426" s="2">
        <v>2171.2941999999998</v>
      </c>
      <c r="M426" s="2">
        <v>3578.27</v>
      </c>
      <c r="N426" t="s">
        <v>13</v>
      </c>
      <c r="O426" t="s">
        <v>327</v>
      </c>
      <c r="P426" t="s">
        <v>325</v>
      </c>
      <c r="Q426" t="s">
        <v>6755</v>
      </c>
      <c r="R426" s="1">
        <v>20355</v>
      </c>
      <c r="S426" t="s">
        <v>16</v>
      </c>
      <c r="T426" t="s">
        <v>16</v>
      </c>
      <c r="U426" t="s">
        <v>1276</v>
      </c>
      <c r="V426">
        <v>40000</v>
      </c>
      <c r="W426">
        <v>1</v>
      </c>
      <c r="X426" t="s">
        <v>52</v>
      </c>
      <c r="Y426" t="s">
        <v>60</v>
      </c>
      <c r="Z426" t="s">
        <v>19</v>
      </c>
      <c r="AA426" t="s">
        <v>3580</v>
      </c>
      <c r="AB426" t="s">
        <v>3578</v>
      </c>
      <c r="AC426" t="s">
        <v>3579</v>
      </c>
      <c r="AD426" t="s">
        <v>3479</v>
      </c>
      <c r="AE426" t="s">
        <v>3475</v>
      </c>
      <c r="AF426" s="2">
        <v>3578.27</v>
      </c>
      <c r="AG426" s="2">
        <v>2171.2941999999998</v>
      </c>
      <c r="AH426" s="2">
        <v>1406.9757999999999</v>
      </c>
      <c r="AI426" s="3">
        <v>0.39320001006072802</v>
      </c>
    </row>
    <row r="427" spans="1:35">
      <c r="A427" s="1">
        <v>42175</v>
      </c>
      <c r="B427" s="1">
        <v>37320</v>
      </c>
      <c r="C427" t="s">
        <v>4684</v>
      </c>
      <c r="D427">
        <v>312</v>
      </c>
      <c r="E427">
        <v>12882</v>
      </c>
      <c r="F427">
        <v>4</v>
      </c>
      <c r="G427">
        <v>1</v>
      </c>
      <c r="H427">
        <v>1</v>
      </c>
      <c r="I427">
        <v>2</v>
      </c>
      <c r="J427" t="s">
        <v>3489</v>
      </c>
      <c r="K427" t="s">
        <v>3490</v>
      </c>
      <c r="L427" s="2">
        <v>2171.2941999999998</v>
      </c>
      <c r="M427" s="2">
        <v>3578.27</v>
      </c>
      <c r="N427" t="s">
        <v>13</v>
      </c>
      <c r="O427" t="s">
        <v>260</v>
      </c>
      <c r="P427" t="s">
        <v>425</v>
      </c>
      <c r="Q427" t="s">
        <v>6756</v>
      </c>
      <c r="R427" s="1">
        <v>26750</v>
      </c>
      <c r="S427" t="s">
        <v>16</v>
      </c>
      <c r="T427" t="s">
        <v>16</v>
      </c>
      <c r="U427" t="s">
        <v>1304</v>
      </c>
      <c r="V427">
        <v>50000</v>
      </c>
      <c r="W427">
        <v>1</v>
      </c>
      <c r="X427" t="s">
        <v>135</v>
      </c>
      <c r="Y427" t="s">
        <v>53</v>
      </c>
      <c r="Z427" t="s">
        <v>19</v>
      </c>
      <c r="AA427" t="s">
        <v>3580</v>
      </c>
      <c r="AB427" t="s">
        <v>3578</v>
      </c>
      <c r="AC427" t="s">
        <v>3579</v>
      </c>
      <c r="AD427" t="s">
        <v>3479</v>
      </c>
      <c r="AE427" t="s">
        <v>3475</v>
      </c>
      <c r="AF427" s="2">
        <v>3578.27</v>
      </c>
      <c r="AG427" s="2">
        <v>2171.2941999999998</v>
      </c>
      <c r="AH427" s="2">
        <v>1406.9757999999999</v>
      </c>
      <c r="AI427" s="3">
        <v>0.39320001006072802</v>
      </c>
    </row>
    <row r="428" spans="1:35">
      <c r="A428" s="1">
        <v>42175</v>
      </c>
      <c r="B428" s="1">
        <v>37337</v>
      </c>
      <c r="C428" t="s">
        <v>4686</v>
      </c>
      <c r="D428">
        <v>347</v>
      </c>
      <c r="E428">
        <v>12253</v>
      </c>
      <c r="F428">
        <v>9</v>
      </c>
      <c r="G428">
        <v>1</v>
      </c>
      <c r="H428">
        <v>1</v>
      </c>
      <c r="I428">
        <v>1</v>
      </c>
      <c r="J428" t="s">
        <v>3525</v>
      </c>
      <c r="K428" t="s">
        <v>3526</v>
      </c>
      <c r="L428" s="2">
        <v>1912.1543999999999</v>
      </c>
      <c r="M428" s="2">
        <v>3399.99</v>
      </c>
      <c r="N428" t="s">
        <v>26</v>
      </c>
      <c r="O428" t="s">
        <v>389</v>
      </c>
      <c r="P428" t="s">
        <v>470</v>
      </c>
      <c r="Q428" t="s">
        <v>6757</v>
      </c>
      <c r="R428" s="1">
        <v>28170</v>
      </c>
      <c r="S428" t="s">
        <v>22</v>
      </c>
      <c r="T428" t="s">
        <v>29</v>
      </c>
      <c r="U428" t="s">
        <v>1058</v>
      </c>
      <c r="V428">
        <v>20000</v>
      </c>
      <c r="W428">
        <v>0</v>
      </c>
      <c r="X428" t="s">
        <v>52</v>
      </c>
      <c r="Y428" t="s">
        <v>444</v>
      </c>
      <c r="Z428" t="s">
        <v>19</v>
      </c>
      <c r="AA428" t="s">
        <v>3586</v>
      </c>
      <c r="AB428" t="s">
        <v>3586</v>
      </c>
      <c r="AC428" t="s">
        <v>3587</v>
      </c>
      <c r="AD428" t="s">
        <v>3478</v>
      </c>
      <c r="AE428" t="s">
        <v>3475</v>
      </c>
      <c r="AF428" s="2">
        <v>3399.99</v>
      </c>
      <c r="AG428" s="2">
        <v>1912.1543999999999</v>
      </c>
      <c r="AH428" s="2">
        <v>1487.8356000000001</v>
      </c>
      <c r="AI428" s="3">
        <v>0.43759999294115598</v>
      </c>
    </row>
    <row r="429" spans="1:35">
      <c r="A429" s="1">
        <v>42176</v>
      </c>
      <c r="B429" s="1">
        <v>37314</v>
      </c>
      <c r="C429" t="s">
        <v>4688</v>
      </c>
      <c r="D429">
        <v>311</v>
      </c>
      <c r="E429">
        <v>13556</v>
      </c>
      <c r="F429">
        <v>7</v>
      </c>
      <c r="G429">
        <v>1</v>
      </c>
      <c r="H429">
        <v>1</v>
      </c>
      <c r="I429">
        <v>2</v>
      </c>
      <c r="J429" t="s">
        <v>3487</v>
      </c>
      <c r="K429" t="s">
        <v>3488</v>
      </c>
      <c r="L429" s="2">
        <v>2171.2941999999998</v>
      </c>
      <c r="M429" s="2">
        <v>3578.27</v>
      </c>
      <c r="N429" t="s">
        <v>26</v>
      </c>
      <c r="O429" t="s">
        <v>550</v>
      </c>
      <c r="P429" t="s">
        <v>93</v>
      </c>
      <c r="Q429" t="s">
        <v>6758</v>
      </c>
      <c r="R429" s="1">
        <v>25520</v>
      </c>
      <c r="S429" t="s">
        <v>22</v>
      </c>
      <c r="T429" t="s">
        <v>29</v>
      </c>
      <c r="U429" t="s">
        <v>1575</v>
      </c>
      <c r="V429">
        <v>40000</v>
      </c>
      <c r="W429">
        <v>0</v>
      </c>
      <c r="X429" t="s">
        <v>135</v>
      </c>
      <c r="Y429" t="s">
        <v>60</v>
      </c>
      <c r="Z429" t="s">
        <v>19</v>
      </c>
      <c r="AA429" t="s">
        <v>3583</v>
      </c>
      <c r="AB429" t="s">
        <v>3583</v>
      </c>
      <c r="AC429" t="s">
        <v>3584</v>
      </c>
      <c r="AD429" t="s">
        <v>3479</v>
      </c>
      <c r="AE429" t="s">
        <v>3475</v>
      </c>
      <c r="AF429" s="2">
        <v>3578.27</v>
      </c>
      <c r="AG429" s="2">
        <v>2171.2941999999998</v>
      </c>
      <c r="AH429" s="2">
        <v>1406.9757999999999</v>
      </c>
      <c r="AI429" s="3">
        <v>0.39320001006072802</v>
      </c>
    </row>
    <row r="430" spans="1:35">
      <c r="A430" s="1">
        <v>42176</v>
      </c>
      <c r="B430" s="1">
        <v>37321</v>
      </c>
      <c r="C430" t="s">
        <v>4692</v>
      </c>
      <c r="D430">
        <v>314</v>
      </c>
      <c r="E430">
        <v>12784</v>
      </c>
      <c r="F430">
        <v>1</v>
      </c>
      <c r="G430">
        <v>1</v>
      </c>
      <c r="H430">
        <v>1</v>
      </c>
      <c r="I430">
        <v>2</v>
      </c>
      <c r="J430" t="s">
        <v>3493</v>
      </c>
      <c r="K430" t="s">
        <v>3494</v>
      </c>
      <c r="L430" s="2">
        <v>2171.2941999999998</v>
      </c>
      <c r="M430" s="2">
        <v>3578.27</v>
      </c>
      <c r="N430" t="s">
        <v>13</v>
      </c>
      <c r="O430" t="s">
        <v>262</v>
      </c>
      <c r="P430" t="s">
        <v>326</v>
      </c>
      <c r="Q430" t="s">
        <v>6759</v>
      </c>
      <c r="R430" s="1">
        <v>20521</v>
      </c>
      <c r="S430" t="s">
        <v>16</v>
      </c>
      <c r="T430" t="s">
        <v>16</v>
      </c>
      <c r="U430" t="s">
        <v>1285</v>
      </c>
      <c r="V430">
        <v>40000</v>
      </c>
      <c r="W430">
        <v>1</v>
      </c>
      <c r="X430" t="s">
        <v>52</v>
      </c>
      <c r="Y430" t="s">
        <v>60</v>
      </c>
      <c r="Z430" t="s">
        <v>19</v>
      </c>
      <c r="AA430" t="s">
        <v>3577</v>
      </c>
      <c r="AB430" t="s">
        <v>3578</v>
      </c>
      <c r="AC430" t="s">
        <v>3579</v>
      </c>
      <c r="AD430" t="s">
        <v>3479</v>
      </c>
      <c r="AE430" t="s">
        <v>3475</v>
      </c>
      <c r="AF430" s="2">
        <v>3578.27</v>
      </c>
      <c r="AG430" s="2">
        <v>2171.2941999999998</v>
      </c>
      <c r="AH430" s="2">
        <v>1406.9757999999999</v>
      </c>
      <c r="AI430" s="3">
        <v>0.39320001006072802</v>
      </c>
    </row>
    <row r="431" spans="1:35">
      <c r="A431" s="1">
        <v>42176</v>
      </c>
      <c r="B431" s="1">
        <v>37361</v>
      </c>
      <c r="C431" t="s">
        <v>4694</v>
      </c>
      <c r="D431">
        <v>310</v>
      </c>
      <c r="E431">
        <v>12423</v>
      </c>
      <c r="F431">
        <v>1</v>
      </c>
      <c r="G431">
        <v>1</v>
      </c>
      <c r="H431">
        <v>1</v>
      </c>
      <c r="I431">
        <v>2</v>
      </c>
      <c r="J431" t="s">
        <v>3485</v>
      </c>
      <c r="K431" t="s">
        <v>3486</v>
      </c>
      <c r="L431" s="2">
        <v>2171.2941999999998</v>
      </c>
      <c r="M431" s="2">
        <v>3578.27</v>
      </c>
      <c r="N431" t="s">
        <v>30</v>
      </c>
      <c r="O431" t="s">
        <v>298</v>
      </c>
      <c r="P431" t="s">
        <v>366</v>
      </c>
      <c r="Q431" t="s">
        <v>6760</v>
      </c>
      <c r="R431" s="1">
        <v>19839</v>
      </c>
      <c r="S431" t="s">
        <v>22</v>
      </c>
      <c r="T431" t="s">
        <v>29</v>
      </c>
      <c r="U431" t="s">
        <v>1141</v>
      </c>
      <c r="V431">
        <v>20000</v>
      </c>
      <c r="W431">
        <v>3</v>
      </c>
      <c r="X431" t="s">
        <v>77</v>
      </c>
      <c r="Y431" t="s">
        <v>60</v>
      </c>
      <c r="Z431" t="s">
        <v>23</v>
      </c>
      <c r="AA431" t="s">
        <v>3577</v>
      </c>
      <c r="AB431" t="s">
        <v>3578</v>
      </c>
      <c r="AC431" t="s">
        <v>3579</v>
      </c>
      <c r="AD431" t="s">
        <v>3479</v>
      </c>
      <c r="AE431" t="s">
        <v>3475</v>
      </c>
      <c r="AF431" s="2">
        <v>3578.27</v>
      </c>
      <c r="AG431" s="2">
        <v>2171.2941999999998</v>
      </c>
      <c r="AH431" s="2">
        <v>1406.9757999999999</v>
      </c>
      <c r="AI431" s="3">
        <v>0.39320001006072802</v>
      </c>
    </row>
    <row r="432" spans="1:35">
      <c r="A432" s="1">
        <v>42229</v>
      </c>
      <c r="B432" s="1">
        <v>37375</v>
      </c>
      <c r="C432" t="s">
        <v>5115</v>
      </c>
      <c r="D432">
        <v>360</v>
      </c>
      <c r="E432">
        <v>12123</v>
      </c>
      <c r="F432">
        <v>10</v>
      </c>
      <c r="G432">
        <v>1</v>
      </c>
      <c r="H432">
        <v>1</v>
      </c>
      <c r="I432">
        <v>1</v>
      </c>
      <c r="J432" t="s">
        <v>3543</v>
      </c>
      <c r="K432" t="s">
        <v>3544</v>
      </c>
      <c r="L432" s="2">
        <v>1105.81</v>
      </c>
      <c r="M432" s="2">
        <v>2049.0981999999999</v>
      </c>
      <c r="N432" t="s">
        <v>13</v>
      </c>
      <c r="O432" t="s">
        <v>973</v>
      </c>
      <c r="P432" t="s">
        <v>151</v>
      </c>
      <c r="Q432" t="s">
        <v>6761</v>
      </c>
      <c r="R432" s="1">
        <v>21350</v>
      </c>
      <c r="S432" t="s">
        <v>16</v>
      </c>
      <c r="T432" t="s">
        <v>16</v>
      </c>
      <c r="U432" t="s">
        <v>974</v>
      </c>
      <c r="V432">
        <v>170000</v>
      </c>
      <c r="W432">
        <v>2</v>
      </c>
      <c r="X432" t="s">
        <v>17</v>
      </c>
      <c r="Y432" t="s">
        <v>45</v>
      </c>
      <c r="Z432" t="s">
        <v>19</v>
      </c>
      <c r="AA432" t="s">
        <v>3588</v>
      </c>
      <c r="AB432" t="s">
        <v>3588</v>
      </c>
      <c r="AC432" t="s">
        <v>3584</v>
      </c>
      <c r="AD432" t="s">
        <v>3478</v>
      </c>
      <c r="AE432" t="s">
        <v>3475</v>
      </c>
      <c r="AF432" s="2">
        <v>2049.0981999999999</v>
      </c>
      <c r="AG432" s="2">
        <v>1105.81</v>
      </c>
      <c r="AH432" s="2">
        <v>943.28819999999996</v>
      </c>
      <c r="AI432" s="3">
        <v>0.46034309141455498</v>
      </c>
    </row>
    <row r="433" spans="1:35">
      <c r="A433" s="1">
        <v>42324</v>
      </c>
      <c r="B433" s="1">
        <v>37505</v>
      </c>
      <c r="C433" t="s">
        <v>5790</v>
      </c>
      <c r="D433">
        <v>352</v>
      </c>
      <c r="E433">
        <v>12125</v>
      </c>
      <c r="F433">
        <v>8</v>
      </c>
      <c r="G433">
        <v>1</v>
      </c>
      <c r="H433">
        <v>1</v>
      </c>
      <c r="I433">
        <v>1</v>
      </c>
      <c r="J433" t="s">
        <v>3535</v>
      </c>
      <c r="K433" t="s">
        <v>3536</v>
      </c>
      <c r="L433" s="2">
        <v>1117.8559</v>
      </c>
      <c r="M433" s="2">
        <v>2071.4196000000002</v>
      </c>
      <c r="N433" t="s">
        <v>30</v>
      </c>
      <c r="O433" t="s">
        <v>100</v>
      </c>
      <c r="P433" t="s">
        <v>460</v>
      </c>
      <c r="Q433" t="s">
        <v>6762</v>
      </c>
      <c r="R433" s="1">
        <v>20832</v>
      </c>
      <c r="S433" t="s">
        <v>16</v>
      </c>
      <c r="T433" t="s">
        <v>29</v>
      </c>
      <c r="U433" t="s">
        <v>976</v>
      </c>
      <c r="V433">
        <v>130000</v>
      </c>
      <c r="W433">
        <v>2</v>
      </c>
      <c r="X433" t="s">
        <v>52</v>
      </c>
      <c r="Y433" t="s">
        <v>18</v>
      </c>
      <c r="Z433" t="s">
        <v>19</v>
      </c>
      <c r="AA433" t="s">
        <v>3585</v>
      </c>
      <c r="AB433" t="s">
        <v>3585</v>
      </c>
      <c r="AC433" t="s">
        <v>3584</v>
      </c>
      <c r="AD433" t="s">
        <v>3478</v>
      </c>
      <c r="AE433" t="s">
        <v>3475</v>
      </c>
      <c r="AF433" s="2">
        <v>2071.4196000000002</v>
      </c>
      <c r="AG433" s="2">
        <v>1117.8559</v>
      </c>
      <c r="AH433" s="2">
        <v>953.56370000000004</v>
      </c>
      <c r="AI433" s="3">
        <v>0.460343090313522</v>
      </c>
    </row>
    <row r="434" spans="1:35">
      <c r="A434" s="1">
        <v>42177</v>
      </c>
      <c r="B434" s="1">
        <v>37350</v>
      </c>
      <c r="C434" t="s">
        <v>4699</v>
      </c>
      <c r="D434">
        <v>310</v>
      </c>
      <c r="E434">
        <v>12774</v>
      </c>
      <c r="F434">
        <v>4</v>
      </c>
      <c r="G434">
        <v>1</v>
      </c>
      <c r="H434">
        <v>1</v>
      </c>
      <c r="I434">
        <v>2</v>
      </c>
      <c r="J434" t="s">
        <v>3485</v>
      </c>
      <c r="K434" t="s">
        <v>3486</v>
      </c>
      <c r="L434" s="2">
        <v>2171.2941999999998</v>
      </c>
      <c r="M434" s="2">
        <v>3578.27</v>
      </c>
      <c r="N434" t="s">
        <v>30</v>
      </c>
      <c r="O434" t="s">
        <v>928</v>
      </c>
      <c r="P434" t="s">
        <v>140</v>
      </c>
      <c r="Q434" t="s">
        <v>6763</v>
      </c>
      <c r="R434" s="1">
        <v>20173</v>
      </c>
      <c r="S434" t="s">
        <v>16</v>
      </c>
      <c r="T434" t="s">
        <v>29</v>
      </c>
      <c r="U434" t="s">
        <v>1280</v>
      </c>
      <c r="V434">
        <v>40000</v>
      </c>
      <c r="W434">
        <v>1</v>
      </c>
      <c r="X434" t="s">
        <v>52</v>
      </c>
      <c r="Y434" t="s">
        <v>60</v>
      </c>
      <c r="Z434" t="s">
        <v>19</v>
      </c>
      <c r="AA434" t="s">
        <v>3580</v>
      </c>
      <c r="AB434" t="s">
        <v>3578</v>
      </c>
      <c r="AC434" t="s">
        <v>3579</v>
      </c>
      <c r="AD434" t="s">
        <v>3479</v>
      </c>
      <c r="AE434" t="s">
        <v>3475</v>
      </c>
      <c r="AF434" s="2">
        <v>3578.27</v>
      </c>
      <c r="AG434" s="2">
        <v>2171.2941999999998</v>
      </c>
      <c r="AH434" s="2">
        <v>1406.9757999999999</v>
      </c>
      <c r="AI434" s="3">
        <v>0.39320001006072802</v>
      </c>
    </row>
    <row r="435" spans="1:35">
      <c r="A435" s="1">
        <v>42177</v>
      </c>
      <c r="B435" s="1">
        <v>37372</v>
      </c>
      <c r="C435" t="s">
        <v>4700</v>
      </c>
      <c r="D435">
        <v>314</v>
      </c>
      <c r="E435">
        <v>12200</v>
      </c>
      <c r="F435">
        <v>4</v>
      </c>
      <c r="G435">
        <v>1</v>
      </c>
      <c r="H435">
        <v>1</v>
      </c>
      <c r="I435">
        <v>2</v>
      </c>
      <c r="J435" t="s">
        <v>3493</v>
      </c>
      <c r="K435" t="s">
        <v>3494</v>
      </c>
      <c r="L435" s="2">
        <v>2171.2941999999998</v>
      </c>
      <c r="M435" s="2">
        <v>3578.27</v>
      </c>
      <c r="N435" t="s">
        <v>13</v>
      </c>
      <c r="O435" t="s">
        <v>437</v>
      </c>
      <c r="P435" t="s">
        <v>664</v>
      </c>
      <c r="Q435" t="s">
        <v>6764</v>
      </c>
      <c r="R435" s="1">
        <v>13719</v>
      </c>
      <c r="S435" t="s">
        <v>16</v>
      </c>
      <c r="T435" t="s">
        <v>16</v>
      </c>
      <c r="U435" t="s">
        <v>1020</v>
      </c>
      <c r="V435">
        <v>70000</v>
      </c>
      <c r="W435">
        <v>4</v>
      </c>
      <c r="X435" t="s">
        <v>135</v>
      </c>
      <c r="Y435" t="s">
        <v>45</v>
      </c>
      <c r="Z435" t="s">
        <v>19</v>
      </c>
      <c r="AA435" t="s">
        <v>3580</v>
      </c>
      <c r="AB435" t="s">
        <v>3578</v>
      </c>
      <c r="AC435" t="s">
        <v>3579</v>
      </c>
      <c r="AD435" t="s">
        <v>3479</v>
      </c>
      <c r="AE435" t="s">
        <v>3475</v>
      </c>
      <c r="AF435" s="2">
        <v>3578.27</v>
      </c>
      <c r="AG435" s="2">
        <v>2171.2941999999998</v>
      </c>
      <c r="AH435" s="2">
        <v>1406.9757999999999</v>
      </c>
      <c r="AI435" s="3">
        <v>0.39320001006072802</v>
      </c>
    </row>
    <row r="436" spans="1:35">
      <c r="A436" s="1">
        <v>42310</v>
      </c>
      <c r="B436" s="1">
        <v>37533</v>
      </c>
      <c r="C436" t="s">
        <v>5713</v>
      </c>
      <c r="D436">
        <v>360</v>
      </c>
      <c r="E436">
        <v>12128</v>
      </c>
      <c r="F436">
        <v>8</v>
      </c>
      <c r="G436">
        <v>1</v>
      </c>
      <c r="H436">
        <v>1</v>
      </c>
      <c r="I436">
        <v>1</v>
      </c>
      <c r="J436" t="s">
        <v>3543</v>
      </c>
      <c r="K436" t="s">
        <v>3544</v>
      </c>
      <c r="L436" s="2">
        <v>1105.81</v>
      </c>
      <c r="M436" s="2">
        <v>2049.0981999999999</v>
      </c>
      <c r="N436" t="s">
        <v>30</v>
      </c>
      <c r="O436" t="s">
        <v>978</v>
      </c>
      <c r="P436" t="s">
        <v>129</v>
      </c>
      <c r="Q436" t="s">
        <v>6765</v>
      </c>
      <c r="R436" s="1">
        <v>20805</v>
      </c>
      <c r="S436" t="s">
        <v>16</v>
      </c>
      <c r="T436" t="s">
        <v>29</v>
      </c>
      <c r="U436" t="s">
        <v>979</v>
      </c>
      <c r="V436">
        <v>120000</v>
      </c>
      <c r="W436">
        <v>3</v>
      </c>
      <c r="X436" t="s">
        <v>57</v>
      </c>
      <c r="Y436" t="s">
        <v>18</v>
      </c>
      <c r="Z436" t="s">
        <v>19</v>
      </c>
      <c r="AA436" t="s">
        <v>3585</v>
      </c>
      <c r="AB436" t="s">
        <v>3585</v>
      </c>
      <c r="AC436" t="s">
        <v>3584</v>
      </c>
      <c r="AD436" t="s">
        <v>3478</v>
      </c>
      <c r="AE436" t="s">
        <v>3475</v>
      </c>
      <c r="AF436" s="2">
        <v>2049.0981999999999</v>
      </c>
      <c r="AG436" s="2">
        <v>1105.81</v>
      </c>
      <c r="AH436" s="2">
        <v>943.28819999999996</v>
      </c>
      <c r="AI436" s="3">
        <v>0.46034309141455498</v>
      </c>
    </row>
    <row r="437" spans="1:35">
      <c r="A437" s="1">
        <v>42334</v>
      </c>
      <c r="B437" s="1">
        <v>37511</v>
      </c>
      <c r="C437" t="s">
        <v>5861</v>
      </c>
      <c r="D437">
        <v>354</v>
      </c>
      <c r="E437">
        <v>12129</v>
      </c>
      <c r="F437">
        <v>8</v>
      </c>
      <c r="G437">
        <v>1</v>
      </c>
      <c r="H437">
        <v>1</v>
      </c>
      <c r="I437">
        <v>1</v>
      </c>
      <c r="J437" t="s">
        <v>3537</v>
      </c>
      <c r="K437" t="s">
        <v>3538</v>
      </c>
      <c r="L437" s="2">
        <v>1117.8559</v>
      </c>
      <c r="M437" s="2">
        <v>2071.4196000000002</v>
      </c>
      <c r="N437" t="s">
        <v>30</v>
      </c>
      <c r="O437" t="s">
        <v>96</v>
      </c>
      <c r="P437" t="s">
        <v>214</v>
      </c>
      <c r="Q437" t="s">
        <v>6766</v>
      </c>
      <c r="R437" s="1">
        <v>20719</v>
      </c>
      <c r="S437" t="s">
        <v>16</v>
      </c>
      <c r="T437" t="s">
        <v>29</v>
      </c>
      <c r="U437" t="s">
        <v>980</v>
      </c>
      <c r="V437">
        <v>120000</v>
      </c>
      <c r="W437">
        <v>3</v>
      </c>
      <c r="X437" t="s">
        <v>57</v>
      </c>
      <c r="Y437" t="s">
        <v>18</v>
      </c>
      <c r="Z437" t="s">
        <v>19</v>
      </c>
      <c r="AA437" t="s">
        <v>3585</v>
      </c>
      <c r="AB437" t="s">
        <v>3585</v>
      </c>
      <c r="AC437" t="s">
        <v>3584</v>
      </c>
      <c r="AD437" t="s">
        <v>3478</v>
      </c>
      <c r="AE437" t="s">
        <v>3475</v>
      </c>
      <c r="AF437" s="2">
        <v>2071.4196000000002</v>
      </c>
      <c r="AG437" s="2">
        <v>1117.8559</v>
      </c>
      <c r="AH437" s="2">
        <v>953.56370000000004</v>
      </c>
      <c r="AI437" s="3">
        <v>0.460343090313522</v>
      </c>
    </row>
    <row r="438" spans="1:35">
      <c r="A438" s="1">
        <v>42317</v>
      </c>
      <c r="B438" s="1">
        <v>37504</v>
      </c>
      <c r="C438" t="s">
        <v>5753</v>
      </c>
      <c r="D438">
        <v>352</v>
      </c>
      <c r="E438">
        <v>12130</v>
      </c>
      <c r="F438">
        <v>8</v>
      </c>
      <c r="G438">
        <v>1</v>
      </c>
      <c r="H438">
        <v>1</v>
      </c>
      <c r="I438">
        <v>1</v>
      </c>
      <c r="J438" t="s">
        <v>3535</v>
      </c>
      <c r="K438" t="s">
        <v>3536</v>
      </c>
      <c r="L438" s="2">
        <v>1117.8559</v>
      </c>
      <c r="M438" s="2">
        <v>2071.4196000000002</v>
      </c>
      <c r="N438" t="s">
        <v>30</v>
      </c>
      <c r="O438" t="s">
        <v>981</v>
      </c>
      <c r="P438" t="s">
        <v>138</v>
      </c>
      <c r="Q438" t="s">
        <v>6767</v>
      </c>
      <c r="R438" s="1">
        <v>20679</v>
      </c>
      <c r="S438" t="s">
        <v>22</v>
      </c>
      <c r="T438" t="s">
        <v>29</v>
      </c>
      <c r="U438" t="s">
        <v>982</v>
      </c>
      <c r="V438">
        <v>120000</v>
      </c>
      <c r="W438">
        <v>3</v>
      </c>
      <c r="X438" t="s">
        <v>57</v>
      </c>
      <c r="Y438" t="s">
        <v>18</v>
      </c>
      <c r="Z438" t="s">
        <v>19</v>
      </c>
      <c r="AA438" t="s">
        <v>3585</v>
      </c>
      <c r="AB438" t="s">
        <v>3585</v>
      </c>
      <c r="AC438" t="s">
        <v>3584</v>
      </c>
      <c r="AD438" t="s">
        <v>3478</v>
      </c>
      <c r="AE438" t="s">
        <v>3475</v>
      </c>
      <c r="AF438" s="2">
        <v>2071.4196000000002</v>
      </c>
      <c r="AG438" s="2">
        <v>1117.8559</v>
      </c>
      <c r="AH438" s="2">
        <v>953.56370000000004</v>
      </c>
      <c r="AI438" s="3">
        <v>0.460343090313522</v>
      </c>
    </row>
    <row r="439" spans="1:35">
      <c r="A439" s="1">
        <v>42230</v>
      </c>
      <c r="B439" s="1">
        <v>37466</v>
      </c>
      <c r="C439" t="s">
        <v>5119</v>
      </c>
      <c r="D439">
        <v>356</v>
      </c>
      <c r="E439">
        <v>12133</v>
      </c>
      <c r="F439">
        <v>10</v>
      </c>
      <c r="G439">
        <v>1</v>
      </c>
      <c r="H439">
        <v>1</v>
      </c>
      <c r="I439">
        <v>1</v>
      </c>
      <c r="J439" t="s">
        <v>3539</v>
      </c>
      <c r="K439" t="s">
        <v>3540</v>
      </c>
      <c r="L439" s="2">
        <v>1117.8559</v>
      </c>
      <c r="M439" s="2">
        <v>2071.4196000000002</v>
      </c>
      <c r="N439" t="s">
        <v>30</v>
      </c>
      <c r="O439" t="s">
        <v>564</v>
      </c>
      <c r="P439" t="s">
        <v>72</v>
      </c>
      <c r="Q439" t="s">
        <v>6768</v>
      </c>
      <c r="R439" s="1">
        <v>20449</v>
      </c>
      <c r="S439" t="s">
        <v>16</v>
      </c>
      <c r="T439" t="s">
        <v>29</v>
      </c>
      <c r="U439" t="s">
        <v>983</v>
      </c>
      <c r="V439">
        <v>130000</v>
      </c>
      <c r="W439">
        <v>3</v>
      </c>
      <c r="X439" t="s">
        <v>52</v>
      </c>
      <c r="Y439" t="s">
        <v>18</v>
      </c>
      <c r="Z439" t="s">
        <v>19</v>
      </c>
      <c r="AA439" t="s">
        <v>3588</v>
      </c>
      <c r="AB439" t="s">
        <v>3588</v>
      </c>
      <c r="AC439" t="s">
        <v>3584</v>
      </c>
      <c r="AD439" t="s">
        <v>3478</v>
      </c>
      <c r="AE439" t="s">
        <v>3475</v>
      </c>
      <c r="AF439" s="2">
        <v>2071.4196000000002</v>
      </c>
      <c r="AG439" s="2">
        <v>1117.8559</v>
      </c>
      <c r="AH439" s="2">
        <v>953.56370000000004</v>
      </c>
      <c r="AI439" s="3">
        <v>0.460343090313522</v>
      </c>
    </row>
    <row r="440" spans="1:35">
      <c r="A440" s="1">
        <v>42178</v>
      </c>
      <c r="B440" s="1">
        <v>37393</v>
      </c>
      <c r="C440" t="s">
        <v>4708</v>
      </c>
      <c r="D440">
        <v>310</v>
      </c>
      <c r="E440">
        <v>12780</v>
      </c>
      <c r="F440">
        <v>1</v>
      </c>
      <c r="G440">
        <v>1</v>
      </c>
      <c r="H440">
        <v>1</v>
      </c>
      <c r="I440">
        <v>2</v>
      </c>
      <c r="J440" t="s">
        <v>3485</v>
      </c>
      <c r="K440" t="s">
        <v>3486</v>
      </c>
      <c r="L440" s="2">
        <v>2171.2941999999998</v>
      </c>
      <c r="M440" s="2">
        <v>3578.27</v>
      </c>
      <c r="N440" t="s">
        <v>13</v>
      </c>
      <c r="O440" t="s">
        <v>118</v>
      </c>
      <c r="P440" t="s">
        <v>245</v>
      </c>
      <c r="Q440" t="s">
        <v>6769</v>
      </c>
      <c r="R440" s="1">
        <v>20536</v>
      </c>
      <c r="S440" t="s">
        <v>16</v>
      </c>
      <c r="T440" t="s">
        <v>16</v>
      </c>
      <c r="U440" t="s">
        <v>1284</v>
      </c>
      <c r="V440">
        <v>40000</v>
      </c>
      <c r="W440">
        <v>1</v>
      </c>
      <c r="X440" t="s">
        <v>52</v>
      </c>
      <c r="Y440" t="s">
        <v>60</v>
      </c>
      <c r="Z440" t="s">
        <v>19</v>
      </c>
      <c r="AA440" t="s">
        <v>3577</v>
      </c>
      <c r="AB440" t="s">
        <v>3578</v>
      </c>
      <c r="AC440" t="s">
        <v>3579</v>
      </c>
      <c r="AD440" t="s">
        <v>3479</v>
      </c>
      <c r="AE440" t="s">
        <v>3475</v>
      </c>
      <c r="AF440" s="2">
        <v>3578.27</v>
      </c>
      <c r="AG440" s="2">
        <v>2171.2941999999998</v>
      </c>
      <c r="AH440" s="2">
        <v>1406.9757999999999</v>
      </c>
      <c r="AI440" s="3">
        <v>0.39320001006072802</v>
      </c>
    </row>
    <row r="441" spans="1:35">
      <c r="A441" s="1">
        <v>42178</v>
      </c>
      <c r="B441" s="1">
        <v>37315</v>
      </c>
      <c r="C441" t="s">
        <v>4709</v>
      </c>
      <c r="D441">
        <v>311</v>
      </c>
      <c r="E441">
        <v>12766</v>
      </c>
      <c r="F441">
        <v>1</v>
      </c>
      <c r="G441">
        <v>1</v>
      </c>
      <c r="H441">
        <v>1</v>
      </c>
      <c r="I441">
        <v>2</v>
      </c>
      <c r="J441" t="s">
        <v>3487</v>
      </c>
      <c r="K441" t="s">
        <v>3488</v>
      </c>
      <c r="L441" s="2">
        <v>2171.2941999999998</v>
      </c>
      <c r="M441" s="2">
        <v>3578.27</v>
      </c>
      <c r="N441" t="s">
        <v>30</v>
      </c>
      <c r="O441" t="s">
        <v>1272</v>
      </c>
      <c r="P441" t="s">
        <v>184</v>
      </c>
      <c r="Q441" t="s">
        <v>6770</v>
      </c>
      <c r="R441" s="1">
        <v>19951</v>
      </c>
      <c r="S441" t="s">
        <v>16</v>
      </c>
      <c r="T441" t="s">
        <v>29</v>
      </c>
      <c r="U441" t="s">
        <v>1273</v>
      </c>
      <c r="V441">
        <v>20000</v>
      </c>
      <c r="W441">
        <v>3</v>
      </c>
      <c r="X441" t="s">
        <v>77</v>
      </c>
      <c r="Y441" t="s">
        <v>60</v>
      </c>
      <c r="Z441" t="s">
        <v>23</v>
      </c>
      <c r="AA441" t="s">
        <v>3577</v>
      </c>
      <c r="AB441" t="s">
        <v>3578</v>
      </c>
      <c r="AC441" t="s">
        <v>3579</v>
      </c>
      <c r="AD441" t="s">
        <v>3479</v>
      </c>
      <c r="AE441" t="s">
        <v>3475</v>
      </c>
      <c r="AF441" s="2">
        <v>3578.27</v>
      </c>
      <c r="AG441" s="2">
        <v>2171.2941999999998</v>
      </c>
      <c r="AH441" s="2">
        <v>1406.9757999999999</v>
      </c>
      <c r="AI441" s="3">
        <v>0.39320001006072802</v>
      </c>
    </row>
    <row r="442" spans="1:35">
      <c r="A442" s="1">
        <v>42178</v>
      </c>
      <c r="B442" s="1">
        <v>37346</v>
      </c>
      <c r="C442" t="s">
        <v>4713</v>
      </c>
      <c r="D442">
        <v>310</v>
      </c>
      <c r="E442">
        <v>12418</v>
      </c>
      <c r="F442">
        <v>1</v>
      </c>
      <c r="G442">
        <v>1</v>
      </c>
      <c r="H442">
        <v>1</v>
      </c>
      <c r="I442">
        <v>2</v>
      </c>
      <c r="J442" t="s">
        <v>3485</v>
      </c>
      <c r="K442" t="s">
        <v>3486</v>
      </c>
      <c r="L442" s="2">
        <v>2171.2941999999998</v>
      </c>
      <c r="M442" s="2">
        <v>3578.27</v>
      </c>
      <c r="N442" t="s">
        <v>13</v>
      </c>
      <c r="O442" t="s">
        <v>383</v>
      </c>
      <c r="P442" t="s">
        <v>101</v>
      </c>
      <c r="Q442" t="s">
        <v>6771</v>
      </c>
      <c r="R442" s="1">
        <v>19656</v>
      </c>
      <c r="S442" t="s">
        <v>22</v>
      </c>
      <c r="T442" t="s">
        <v>16</v>
      </c>
      <c r="U442" t="s">
        <v>1140</v>
      </c>
      <c r="V442">
        <v>20000</v>
      </c>
      <c r="W442">
        <v>2</v>
      </c>
      <c r="X442" t="s">
        <v>57</v>
      </c>
      <c r="Y442" t="s">
        <v>444</v>
      </c>
      <c r="Z442" t="s">
        <v>23</v>
      </c>
      <c r="AA442" t="s">
        <v>3577</v>
      </c>
      <c r="AB442" t="s">
        <v>3578</v>
      </c>
      <c r="AC442" t="s">
        <v>3579</v>
      </c>
      <c r="AD442" t="s">
        <v>3479</v>
      </c>
      <c r="AE442" t="s">
        <v>3475</v>
      </c>
      <c r="AF442" s="2">
        <v>3578.27</v>
      </c>
      <c r="AG442" s="2">
        <v>2171.2941999999998</v>
      </c>
      <c r="AH442" s="2">
        <v>1406.9757999999999</v>
      </c>
      <c r="AI442" s="3">
        <v>0.39320001006072802</v>
      </c>
    </row>
    <row r="443" spans="1:35">
      <c r="A443" s="1">
        <v>42178</v>
      </c>
      <c r="B443" s="1">
        <v>37353</v>
      </c>
      <c r="C443" t="s">
        <v>4715</v>
      </c>
      <c r="D443">
        <v>313</v>
      </c>
      <c r="E443">
        <v>12452</v>
      </c>
      <c r="F443">
        <v>1</v>
      </c>
      <c r="G443">
        <v>1</v>
      </c>
      <c r="H443">
        <v>1</v>
      </c>
      <c r="I443">
        <v>2</v>
      </c>
      <c r="J443" t="s">
        <v>3491</v>
      </c>
      <c r="K443" t="s">
        <v>3492</v>
      </c>
      <c r="L443" s="2">
        <v>2171.2941999999998</v>
      </c>
      <c r="M443" s="2">
        <v>3578.27</v>
      </c>
      <c r="N443" t="s">
        <v>13</v>
      </c>
      <c r="O443" t="s">
        <v>419</v>
      </c>
      <c r="P443" t="s">
        <v>109</v>
      </c>
      <c r="Q443" t="s">
        <v>6772</v>
      </c>
      <c r="R443" s="1">
        <v>21513</v>
      </c>
      <c r="S443" t="s">
        <v>16</v>
      </c>
      <c r="T443" t="s">
        <v>16</v>
      </c>
      <c r="U443" t="s">
        <v>1151</v>
      </c>
      <c r="V443">
        <v>60000</v>
      </c>
      <c r="W443">
        <v>4</v>
      </c>
      <c r="X443" t="s">
        <v>135</v>
      </c>
      <c r="Y443" t="s">
        <v>53</v>
      </c>
      <c r="Z443" t="s">
        <v>19</v>
      </c>
      <c r="AA443" t="s">
        <v>3577</v>
      </c>
      <c r="AB443" t="s">
        <v>3578</v>
      </c>
      <c r="AC443" t="s">
        <v>3579</v>
      </c>
      <c r="AD443" t="s">
        <v>3479</v>
      </c>
      <c r="AE443" t="s">
        <v>3475</v>
      </c>
      <c r="AF443" s="2">
        <v>3578.27</v>
      </c>
      <c r="AG443" s="2">
        <v>2171.2941999999998</v>
      </c>
      <c r="AH443" s="2">
        <v>1406.9757999999999</v>
      </c>
      <c r="AI443" s="3">
        <v>0.39320001006072802</v>
      </c>
    </row>
    <row r="444" spans="1:35">
      <c r="A444" s="1">
        <v>42178</v>
      </c>
      <c r="B444" s="1">
        <v>37397</v>
      </c>
      <c r="C444" t="s">
        <v>4716</v>
      </c>
      <c r="D444">
        <v>313</v>
      </c>
      <c r="E444">
        <v>12917</v>
      </c>
      <c r="F444">
        <v>1</v>
      </c>
      <c r="G444">
        <v>1</v>
      </c>
      <c r="H444">
        <v>1</v>
      </c>
      <c r="I444">
        <v>2</v>
      </c>
      <c r="J444" t="s">
        <v>3491</v>
      </c>
      <c r="K444" t="s">
        <v>3492</v>
      </c>
      <c r="L444" s="2">
        <v>2171.2941999999998</v>
      </c>
      <c r="M444" s="2">
        <v>3578.27</v>
      </c>
      <c r="N444" t="s">
        <v>30</v>
      </c>
      <c r="O444" t="s">
        <v>1315</v>
      </c>
      <c r="P444" t="s">
        <v>71</v>
      </c>
      <c r="Q444" t="s">
        <v>6773</v>
      </c>
      <c r="R444" s="1">
        <v>25629</v>
      </c>
      <c r="S444" t="s">
        <v>16</v>
      </c>
      <c r="T444" t="s">
        <v>29</v>
      </c>
      <c r="U444" t="s">
        <v>1316</v>
      </c>
      <c r="V444">
        <v>70000</v>
      </c>
      <c r="W444">
        <v>4</v>
      </c>
      <c r="X444" t="s">
        <v>135</v>
      </c>
      <c r="Y444" t="s">
        <v>18</v>
      </c>
      <c r="Z444" t="s">
        <v>19</v>
      </c>
      <c r="AA444" t="s">
        <v>3577</v>
      </c>
      <c r="AB444" t="s">
        <v>3578</v>
      </c>
      <c r="AC444" t="s">
        <v>3579</v>
      </c>
      <c r="AD444" t="s">
        <v>3479</v>
      </c>
      <c r="AE444" t="s">
        <v>3475</v>
      </c>
      <c r="AF444" s="2">
        <v>3578.27</v>
      </c>
      <c r="AG444" s="2">
        <v>2171.2941999999998</v>
      </c>
      <c r="AH444" s="2">
        <v>1406.9757999999999</v>
      </c>
      <c r="AI444" s="3">
        <v>0.39320001006072802</v>
      </c>
    </row>
    <row r="445" spans="1:35">
      <c r="A445" s="1">
        <v>42179</v>
      </c>
      <c r="B445" s="1">
        <v>37360</v>
      </c>
      <c r="C445" t="s">
        <v>4718</v>
      </c>
      <c r="D445">
        <v>314</v>
      </c>
      <c r="E445">
        <v>12184</v>
      </c>
      <c r="F445">
        <v>1</v>
      </c>
      <c r="G445">
        <v>1</v>
      </c>
      <c r="H445">
        <v>1</v>
      </c>
      <c r="I445">
        <v>2</v>
      </c>
      <c r="J445" t="s">
        <v>3493</v>
      </c>
      <c r="K445" t="s">
        <v>3494</v>
      </c>
      <c r="L445" s="2">
        <v>2171.2941999999998</v>
      </c>
      <c r="M445" s="2">
        <v>3578.27</v>
      </c>
      <c r="N445" t="s">
        <v>13</v>
      </c>
      <c r="O445" t="s">
        <v>679</v>
      </c>
      <c r="P445" t="s">
        <v>187</v>
      </c>
      <c r="Q445" t="s">
        <v>6774</v>
      </c>
      <c r="R445" s="1">
        <v>22258</v>
      </c>
      <c r="S445" t="s">
        <v>16</v>
      </c>
      <c r="T445" t="s">
        <v>16</v>
      </c>
      <c r="U445" t="s">
        <v>1012</v>
      </c>
      <c r="V445">
        <v>100000</v>
      </c>
      <c r="W445">
        <v>3</v>
      </c>
      <c r="X445" t="s">
        <v>52</v>
      </c>
      <c r="Y445" t="s">
        <v>18</v>
      </c>
      <c r="Z445" t="s">
        <v>19</v>
      </c>
      <c r="AA445" t="s">
        <v>3577</v>
      </c>
      <c r="AB445" t="s">
        <v>3578</v>
      </c>
      <c r="AC445" t="s">
        <v>3579</v>
      </c>
      <c r="AD445" t="s">
        <v>3479</v>
      </c>
      <c r="AE445" t="s">
        <v>3475</v>
      </c>
      <c r="AF445" s="2">
        <v>3578.27</v>
      </c>
      <c r="AG445" s="2">
        <v>2171.2941999999998</v>
      </c>
      <c r="AH445" s="2">
        <v>1406.9757999999999</v>
      </c>
      <c r="AI445" s="3">
        <v>0.39320001006072802</v>
      </c>
    </row>
    <row r="446" spans="1:35">
      <c r="A446" s="1">
        <v>42179</v>
      </c>
      <c r="B446" s="1">
        <v>37388</v>
      </c>
      <c r="C446" t="s">
        <v>4720</v>
      </c>
      <c r="D446">
        <v>310</v>
      </c>
      <c r="E446">
        <v>12762</v>
      </c>
      <c r="F446">
        <v>4</v>
      </c>
      <c r="G446">
        <v>1</v>
      </c>
      <c r="H446">
        <v>1</v>
      </c>
      <c r="I446">
        <v>2</v>
      </c>
      <c r="J446" t="s">
        <v>3485</v>
      </c>
      <c r="K446" t="s">
        <v>3486</v>
      </c>
      <c r="L446" s="2">
        <v>2171.2941999999998</v>
      </c>
      <c r="M446" s="2">
        <v>3578.27</v>
      </c>
      <c r="N446" t="s">
        <v>13</v>
      </c>
      <c r="O446" t="s">
        <v>262</v>
      </c>
      <c r="P446" t="s">
        <v>672</v>
      </c>
      <c r="Q446" t="s">
        <v>6775</v>
      </c>
      <c r="R446" s="1">
        <v>19713</v>
      </c>
      <c r="S446" t="s">
        <v>16</v>
      </c>
      <c r="T446" t="s">
        <v>16</v>
      </c>
      <c r="U446" t="s">
        <v>1270</v>
      </c>
      <c r="V446">
        <v>30000</v>
      </c>
      <c r="W446">
        <v>1</v>
      </c>
      <c r="X446" t="s">
        <v>17</v>
      </c>
      <c r="Y446" t="s">
        <v>53</v>
      </c>
      <c r="Z446" t="s">
        <v>19</v>
      </c>
      <c r="AA446" t="s">
        <v>3580</v>
      </c>
      <c r="AB446" t="s">
        <v>3578</v>
      </c>
      <c r="AC446" t="s">
        <v>3579</v>
      </c>
      <c r="AD446" t="s">
        <v>3479</v>
      </c>
      <c r="AE446" t="s">
        <v>3475</v>
      </c>
      <c r="AF446" s="2">
        <v>3578.27</v>
      </c>
      <c r="AG446" s="2">
        <v>2171.2941999999998</v>
      </c>
      <c r="AH446" s="2">
        <v>1406.9757999999999</v>
      </c>
      <c r="AI446" s="3">
        <v>0.39320001006072802</v>
      </c>
    </row>
    <row r="447" spans="1:35">
      <c r="A447" s="1">
        <v>42179</v>
      </c>
      <c r="B447" s="1">
        <v>37335</v>
      </c>
      <c r="C447" t="s">
        <v>4723</v>
      </c>
      <c r="D447">
        <v>310</v>
      </c>
      <c r="E447">
        <v>12904</v>
      </c>
      <c r="F447">
        <v>4</v>
      </c>
      <c r="G447">
        <v>1</v>
      </c>
      <c r="H447">
        <v>1</v>
      </c>
      <c r="I447">
        <v>2</v>
      </c>
      <c r="J447" t="s">
        <v>3485</v>
      </c>
      <c r="K447" t="s">
        <v>3486</v>
      </c>
      <c r="L447" s="2">
        <v>2171.2941999999998</v>
      </c>
      <c r="M447" s="2">
        <v>3578.27</v>
      </c>
      <c r="N447" t="s">
        <v>13</v>
      </c>
      <c r="O447" t="s">
        <v>299</v>
      </c>
      <c r="P447" t="s">
        <v>476</v>
      </c>
      <c r="Q447" t="s">
        <v>6776</v>
      </c>
      <c r="R447" s="1">
        <v>25253</v>
      </c>
      <c r="S447" t="s">
        <v>16</v>
      </c>
      <c r="T447" t="s">
        <v>16</v>
      </c>
      <c r="U447" t="s">
        <v>1311</v>
      </c>
      <c r="V447">
        <v>50000</v>
      </c>
      <c r="W447">
        <v>2</v>
      </c>
      <c r="X447" t="s">
        <v>17</v>
      </c>
      <c r="Y447" t="s">
        <v>53</v>
      </c>
      <c r="Z447" t="s">
        <v>19</v>
      </c>
      <c r="AA447" t="s">
        <v>3580</v>
      </c>
      <c r="AB447" t="s">
        <v>3578</v>
      </c>
      <c r="AC447" t="s">
        <v>3579</v>
      </c>
      <c r="AD447" t="s">
        <v>3479</v>
      </c>
      <c r="AE447" t="s">
        <v>3475</v>
      </c>
      <c r="AF447" s="2">
        <v>3578.27</v>
      </c>
      <c r="AG447" s="2">
        <v>2171.2941999999998</v>
      </c>
      <c r="AH447" s="2">
        <v>1406.9757999999999</v>
      </c>
      <c r="AI447" s="3">
        <v>0.39320001006072802</v>
      </c>
    </row>
    <row r="448" spans="1:35">
      <c r="A448" s="1">
        <v>42180</v>
      </c>
      <c r="B448" s="1">
        <v>37341</v>
      </c>
      <c r="C448" t="s">
        <v>4724</v>
      </c>
      <c r="D448">
        <v>312</v>
      </c>
      <c r="E448">
        <v>12761</v>
      </c>
      <c r="F448">
        <v>1</v>
      </c>
      <c r="G448">
        <v>1</v>
      </c>
      <c r="H448">
        <v>1</v>
      </c>
      <c r="I448">
        <v>2</v>
      </c>
      <c r="J448" t="s">
        <v>3489</v>
      </c>
      <c r="K448" t="s">
        <v>3490</v>
      </c>
      <c r="L448" s="2">
        <v>2171.2941999999998</v>
      </c>
      <c r="M448" s="2">
        <v>3578.27</v>
      </c>
      <c r="N448" t="s">
        <v>26</v>
      </c>
      <c r="O448" t="s">
        <v>336</v>
      </c>
      <c r="P448" t="s">
        <v>245</v>
      </c>
      <c r="Q448" t="s">
        <v>6777</v>
      </c>
      <c r="R448" s="1">
        <v>24170</v>
      </c>
      <c r="S448" t="s">
        <v>22</v>
      </c>
      <c r="T448" t="s">
        <v>29</v>
      </c>
      <c r="U448" t="s">
        <v>1269</v>
      </c>
      <c r="V448">
        <v>60000</v>
      </c>
      <c r="W448">
        <v>0</v>
      </c>
      <c r="X448" t="s">
        <v>135</v>
      </c>
      <c r="Y448" t="s">
        <v>53</v>
      </c>
      <c r="Z448" t="s">
        <v>19</v>
      </c>
      <c r="AA448" t="s">
        <v>3577</v>
      </c>
      <c r="AB448" t="s">
        <v>3578</v>
      </c>
      <c r="AC448" t="s">
        <v>3579</v>
      </c>
      <c r="AD448" t="s">
        <v>3479</v>
      </c>
      <c r="AE448" t="s">
        <v>3475</v>
      </c>
      <c r="AF448" s="2">
        <v>3578.27</v>
      </c>
      <c r="AG448" s="2">
        <v>2171.2941999999998</v>
      </c>
      <c r="AH448" s="2">
        <v>1406.9757999999999</v>
      </c>
      <c r="AI448" s="3">
        <v>0.39320001006072802</v>
      </c>
    </row>
    <row r="449" spans="1:35">
      <c r="A449" s="1">
        <v>42180</v>
      </c>
      <c r="B449" s="1">
        <v>37339</v>
      </c>
      <c r="C449" t="s">
        <v>4725</v>
      </c>
      <c r="D449">
        <v>313</v>
      </c>
      <c r="E449">
        <v>12707</v>
      </c>
      <c r="F449">
        <v>1</v>
      </c>
      <c r="G449">
        <v>1</v>
      </c>
      <c r="H449">
        <v>1</v>
      </c>
      <c r="I449">
        <v>2</v>
      </c>
      <c r="J449" t="s">
        <v>3491</v>
      </c>
      <c r="K449" t="s">
        <v>3492</v>
      </c>
      <c r="L449" s="2">
        <v>2171.2941999999998</v>
      </c>
      <c r="M449" s="2">
        <v>3578.27</v>
      </c>
      <c r="N449" t="s">
        <v>13</v>
      </c>
      <c r="O449" t="s">
        <v>46</v>
      </c>
      <c r="P449" t="s">
        <v>407</v>
      </c>
      <c r="Q449" t="s">
        <v>6778</v>
      </c>
      <c r="R449" s="1">
        <v>15247</v>
      </c>
      <c r="S449" t="s">
        <v>16</v>
      </c>
      <c r="T449" t="s">
        <v>16</v>
      </c>
      <c r="U449" t="s">
        <v>1256</v>
      </c>
      <c r="V449">
        <v>70000</v>
      </c>
      <c r="W449">
        <v>5</v>
      </c>
      <c r="X449" t="s">
        <v>135</v>
      </c>
      <c r="Y449" t="s">
        <v>45</v>
      </c>
      <c r="Z449" t="s">
        <v>19</v>
      </c>
      <c r="AA449" t="s">
        <v>3577</v>
      </c>
      <c r="AB449" t="s">
        <v>3578</v>
      </c>
      <c r="AC449" t="s">
        <v>3579</v>
      </c>
      <c r="AD449" t="s">
        <v>3479</v>
      </c>
      <c r="AE449" t="s">
        <v>3475</v>
      </c>
      <c r="AF449" s="2">
        <v>3578.27</v>
      </c>
      <c r="AG449" s="2">
        <v>2171.2941999999998</v>
      </c>
      <c r="AH449" s="2">
        <v>1406.9757999999999</v>
      </c>
      <c r="AI449" s="3">
        <v>0.39320001006072802</v>
      </c>
    </row>
    <row r="450" spans="1:35">
      <c r="A450" s="1">
        <v>42180</v>
      </c>
      <c r="B450" s="1">
        <v>37404</v>
      </c>
      <c r="C450" t="s">
        <v>4726</v>
      </c>
      <c r="D450">
        <v>311</v>
      </c>
      <c r="E450">
        <v>12789</v>
      </c>
      <c r="F450">
        <v>4</v>
      </c>
      <c r="G450">
        <v>1</v>
      </c>
      <c r="H450">
        <v>1</v>
      </c>
      <c r="I450">
        <v>2</v>
      </c>
      <c r="J450" t="s">
        <v>3487</v>
      </c>
      <c r="K450" t="s">
        <v>3488</v>
      </c>
      <c r="L450" s="2">
        <v>2171.2941999999998</v>
      </c>
      <c r="M450" s="2">
        <v>3578.27</v>
      </c>
      <c r="N450" t="s">
        <v>30</v>
      </c>
      <c r="O450" t="s">
        <v>802</v>
      </c>
      <c r="P450" t="s">
        <v>227</v>
      </c>
      <c r="Q450" t="s">
        <v>6779</v>
      </c>
      <c r="R450" s="1">
        <v>20934</v>
      </c>
      <c r="S450" t="s">
        <v>16</v>
      </c>
      <c r="T450" t="s">
        <v>29</v>
      </c>
      <c r="U450" t="s">
        <v>1286</v>
      </c>
      <c r="V450">
        <v>40000</v>
      </c>
      <c r="W450">
        <v>1</v>
      </c>
      <c r="X450" t="s">
        <v>52</v>
      </c>
      <c r="Y450" t="s">
        <v>60</v>
      </c>
      <c r="Z450" t="s">
        <v>19</v>
      </c>
      <c r="AA450" t="s">
        <v>3580</v>
      </c>
      <c r="AB450" t="s">
        <v>3578</v>
      </c>
      <c r="AC450" t="s">
        <v>3579</v>
      </c>
      <c r="AD450" t="s">
        <v>3479</v>
      </c>
      <c r="AE450" t="s">
        <v>3475</v>
      </c>
      <c r="AF450" s="2">
        <v>3578.27</v>
      </c>
      <c r="AG450" s="2">
        <v>2171.2941999999998</v>
      </c>
      <c r="AH450" s="2">
        <v>1406.9757999999999</v>
      </c>
      <c r="AI450" s="3">
        <v>0.39320001006072802</v>
      </c>
    </row>
    <row r="451" spans="1:35">
      <c r="A451" s="1">
        <v>42180</v>
      </c>
      <c r="B451" s="1">
        <v>37384</v>
      </c>
      <c r="C451" t="s">
        <v>4727</v>
      </c>
      <c r="D451">
        <v>311</v>
      </c>
      <c r="E451">
        <v>12769</v>
      </c>
      <c r="F451">
        <v>1</v>
      </c>
      <c r="G451">
        <v>1</v>
      </c>
      <c r="H451">
        <v>1</v>
      </c>
      <c r="I451">
        <v>2</v>
      </c>
      <c r="J451" t="s">
        <v>3487</v>
      </c>
      <c r="K451" t="s">
        <v>3488</v>
      </c>
      <c r="L451" s="2">
        <v>2171.2941999999998</v>
      </c>
      <c r="M451" s="2">
        <v>3578.27</v>
      </c>
      <c r="N451" t="s">
        <v>13</v>
      </c>
      <c r="O451" t="s">
        <v>299</v>
      </c>
      <c r="P451" t="s">
        <v>68</v>
      </c>
      <c r="Q451" t="s">
        <v>6780</v>
      </c>
      <c r="R451" s="1">
        <v>20169</v>
      </c>
      <c r="S451" t="s">
        <v>16</v>
      </c>
      <c r="T451" t="s">
        <v>16</v>
      </c>
      <c r="U451" t="s">
        <v>1275</v>
      </c>
      <c r="V451">
        <v>40000</v>
      </c>
      <c r="W451">
        <v>1</v>
      </c>
      <c r="X451" t="s">
        <v>52</v>
      </c>
      <c r="Y451" t="s">
        <v>60</v>
      </c>
      <c r="Z451" t="s">
        <v>19</v>
      </c>
      <c r="AA451" t="s">
        <v>3577</v>
      </c>
      <c r="AB451" t="s">
        <v>3578</v>
      </c>
      <c r="AC451" t="s">
        <v>3579</v>
      </c>
      <c r="AD451" t="s">
        <v>3479</v>
      </c>
      <c r="AE451" t="s">
        <v>3475</v>
      </c>
      <c r="AF451" s="2">
        <v>3578.27</v>
      </c>
      <c r="AG451" s="2">
        <v>2171.2941999999998</v>
      </c>
      <c r="AH451" s="2">
        <v>1406.9757999999999</v>
      </c>
      <c r="AI451" s="3">
        <v>0.39320001006072802</v>
      </c>
    </row>
    <row r="452" spans="1:35">
      <c r="A452" s="1">
        <v>42181</v>
      </c>
      <c r="B452" s="1">
        <v>37410</v>
      </c>
      <c r="C452" t="s">
        <v>4728</v>
      </c>
      <c r="D452">
        <v>313</v>
      </c>
      <c r="E452">
        <v>13536</v>
      </c>
      <c r="F452">
        <v>7</v>
      </c>
      <c r="G452">
        <v>1</v>
      </c>
      <c r="H452">
        <v>1</v>
      </c>
      <c r="I452">
        <v>2</v>
      </c>
      <c r="J452" t="s">
        <v>3491</v>
      </c>
      <c r="K452" t="s">
        <v>3492</v>
      </c>
      <c r="L452" s="2">
        <v>2171.2941999999998</v>
      </c>
      <c r="M452" s="2">
        <v>3578.27</v>
      </c>
      <c r="N452" t="s">
        <v>30</v>
      </c>
      <c r="O452" t="s">
        <v>944</v>
      </c>
      <c r="P452" t="s">
        <v>424</v>
      </c>
      <c r="Q452" t="s">
        <v>6781</v>
      </c>
      <c r="R452" s="1">
        <v>21687</v>
      </c>
      <c r="S452" t="s">
        <v>22</v>
      </c>
      <c r="T452" t="s">
        <v>29</v>
      </c>
      <c r="U452" t="s">
        <v>1571</v>
      </c>
      <c r="V452">
        <v>10000</v>
      </c>
      <c r="W452">
        <v>1</v>
      </c>
      <c r="X452" t="s">
        <v>57</v>
      </c>
      <c r="Y452" t="s">
        <v>444</v>
      </c>
      <c r="Z452" t="s">
        <v>23</v>
      </c>
      <c r="AA452" t="s">
        <v>3583</v>
      </c>
      <c r="AB452" t="s">
        <v>3583</v>
      </c>
      <c r="AC452" t="s">
        <v>3584</v>
      </c>
      <c r="AD452" t="s">
        <v>3479</v>
      </c>
      <c r="AE452" t="s">
        <v>3475</v>
      </c>
      <c r="AF452" s="2">
        <v>3578.27</v>
      </c>
      <c r="AG452" s="2">
        <v>2171.2941999999998</v>
      </c>
      <c r="AH452" s="2">
        <v>1406.9757999999999</v>
      </c>
      <c r="AI452" s="3">
        <v>0.39320001006072802</v>
      </c>
    </row>
    <row r="453" spans="1:35">
      <c r="A453" s="1">
        <v>42181</v>
      </c>
      <c r="B453" s="1">
        <v>37342</v>
      </c>
      <c r="C453" t="s">
        <v>4729</v>
      </c>
      <c r="D453">
        <v>312</v>
      </c>
      <c r="E453">
        <v>12450</v>
      </c>
      <c r="F453">
        <v>4</v>
      </c>
      <c r="G453">
        <v>1</v>
      </c>
      <c r="H453">
        <v>1</v>
      </c>
      <c r="I453">
        <v>2</v>
      </c>
      <c r="J453" t="s">
        <v>3489</v>
      </c>
      <c r="K453" t="s">
        <v>3490</v>
      </c>
      <c r="L453" s="2">
        <v>2171.2941999999998</v>
      </c>
      <c r="M453" s="2">
        <v>3578.27</v>
      </c>
      <c r="N453" t="s">
        <v>13</v>
      </c>
      <c r="O453" t="s">
        <v>708</v>
      </c>
      <c r="P453" t="s">
        <v>334</v>
      </c>
      <c r="Q453" t="s">
        <v>6782</v>
      </c>
      <c r="R453" s="1">
        <v>21451</v>
      </c>
      <c r="S453" t="s">
        <v>16</v>
      </c>
      <c r="T453" t="s">
        <v>16</v>
      </c>
      <c r="U453" t="s">
        <v>1150</v>
      </c>
      <c r="V453">
        <v>60000</v>
      </c>
      <c r="W453">
        <v>4</v>
      </c>
      <c r="X453" t="s">
        <v>135</v>
      </c>
      <c r="Y453" t="s">
        <v>53</v>
      </c>
      <c r="Z453" t="s">
        <v>19</v>
      </c>
      <c r="AA453" t="s">
        <v>3580</v>
      </c>
      <c r="AB453" t="s">
        <v>3578</v>
      </c>
      <c r="AC453" t="s">
        <v>3579</v>
      </c>
      <c r="AD453" t="s">
        <v>3479</v>
      </c>
      <c r="AE453" t="s">
        <v>3475</v>
      </c>
      <c r="AF453" s="2">
        <v>3578.27</v>
      </c>
      <c r="AG453" s="2">
        <v>2171.2941999999998</v>
      </c>
      <c r="AH453" s="2">
        <v>1406.9757999999999</v>
      </c>
      <c r="AI453" s="3">
        <v>0.39320001006072802</v>
      </c>
    </row>
    <row r="454" spans="1:35">
      <c r="A454" s="1">
        <v>42181</v>
      </c>
      <c r="B454" s="1">
        <v>37314</v>
      </c>
      <c r="C454" t="s">
        <v>4731</v>
      </c>
      <c r="D454">
        <v>348</v>
      </c>
      <c r="E454">
        <v>12243</v>
      </c>
      <c r="F454">
        <v>9</v>
      </c>
      <c r="G454">
        <v>1</v>
      </c>
      <c r="H454">
        <v>1</v>
      </c>
      <c r="I454">
        <v>1</v>
      </c>
      <c r="J454" t="s">
        <v>3527</v>
      </c>
      <c r="K454" t="s">
        <v>3528</v>
      </c>
      <c r="L454" s="2">
        <v>1898.0944</v>
      </c>
      <c r="M454" s="2">
        <v>3374.99</v>
      </c>
      <c r="N454" t="s">
        <v>26</v>
      </c>
      <c r="O454" t="s">
        <v>978</v>
      </c>
      <c r="P454" t="s">
        <v>198</v>
      </c>
      <c r="Q454" t="s">
        <v>6783</v>
      </c>
      <c r="R454" s="1">
        <v>29359</v>
      </c>
      <c r="S454" t="s">
        <v>22</v>
      </c>
      <c r="T454" t="s">
        <v>29</v>
      </c>
      <c r="U454" t="s">
        <v>1051</v>
      </c>
      <c r="V454">
        <v>10000</v>
      </c>
      <c r="W454">
        <v>0</v>
      </c>
      <c r="X454" t="s">
        <v>52</v>
      </c>
      <c r="Y454" t="s">
        <v>444</v>
      </c>
      <c r="Z454" t="s">
        <v>23</v>
      </c>
      <c r="AA454" t="s">
        <v>3586</v>
      </c>
      <c r="AB454" t="s">
        <v>3586</v>
      </c>
      <c r="AC454" t="s">
        <v>3587</v>
      </c>
      <c r="AD454" t="s">
        <v>3478</v>
      </c>
      <c r="AE454" t="s">
        <v>3475</v>
      </c>
      <c r="AF454" s="2">
        <v>3374.99</v>
      </c>
      <c r="AG454" s="2">
        <v>1898.0944</v>
      </c>
      <c r="AH454" s="2">
        <v>1476.8956000000001</v>
      </c>
      <c r="AI454" s="3">
        <v>0.43759999288886797</v>
      </c>
    </row>
    <row r="455" spans="1:35">
      <c r="A455" s="1">
        <v>42181</v>
      </c>
      <c r="B455" s="1">
        <v>37325</v>
      </c>
      <c r="C455" t="s">
        <v>4732</v>
      </c>
      <c r="D455">
        <v>351</v>
      </c>
      <c r="E455">
        <v>12338</v>
      </c>
      <c r="F455">
        <v>9</v>
      </c>
      <c r="G455">
        <v>1</v>
      </c>
      <c r="H455">
        <v>1</v>
      </c>
      <c r="I455">
        <v>1</v>
      </c>
      <c r="J455" t="s">
        <v>3533</v>
      </c>
      <c r="K455" t="s">
        <v>3534</v>
      </c>
      <c r="L455" s="2">
        <v>1898.0944</v>
      </c>
      <c r="M455" s="2">
        <v>3374.99</v>
      </c>
      <c r="N455" t="s">
        <v>26</v>
      </c>
      <c r="O455" t="s">
        <v>915</v>
      </c>
      <c r="P455" t="s">
        <v>370</v>
      </c>
      <c r="Q455" t="s">
        <v>6784</v>
      </c>
      <c r="R455" s="1">
        <v>27949</v>
      </c>
      <c r="S455" t="s">
        <v>22</v>
      </c>
      <c r="T455" t="s">
        <v>29</v>
      </c>
      <c r="U455" t="s">
        <v>1104</v>
      </c>
      <c r="V455">
        <v>70000</v>
      </c>
      <c r="W455">
        <v>0</v>
      </c>
      <c r="X455" t="s">
        <v>17</v>
      </c>
      <c r="Y455" t="s">
        <v>18</v>
      </c>
      <c r="Z455" t="s">
        <v>23</v>
      </c>
      <c r="AA455" t="s">
        <v>3586</v>
      </c>
      <c r="AB455" t="s">
        <v>3586</v>
      </c>
      <c r="AC455" t="s">
        <v>3587</v>
      </c>
      <c r="AD455" t="s">
        <v>3478</v>
      </c>
      <c r="AE455" t="s">
        <v>3475</v>
      </c>
      <c r="AF455" s="2">
        <v>3374.99</v>
      </c>
      <c r="AG455" s="2">
        <v>1898.0944</v>
      </c>
      <c r="AH455" s="2">
        <v>1476.8956000000001</v>
      </c>
      <c r="AI455" s="3">
        <v>0.43759999288886797</v>
      </c>
    </row>
    <row r="456" spans="1:35">
      <c r="A456" s="1">
        <v>42181</v>
      </c>
      <c r="B456" s="1">
        <v>37331</v>
      </c>
      <c r="C456" t="s">
        <v>4733</v>
      </c>
      <c r="D456">
        <v>314</v>
      </c>
      <c r="E456">
        <v>13555</v>
      </c>
      <c r="F456">
        <v>7</v>
      </c>
      <c r="G456">
        <v>1</v>
      </c>
      <c r="H456">
        <v>1</v>
      </c>
      <c r="I456">
        <v>2</v>
      </c>
      <c r="J456" t="s">
        <v>3493</v>
      </c>
      <c r="K456" t="s">
        <v>3494</v>
      </c>
      <c r="L456" s="2">
        <v>2171.2941999999998</v>
      </c>
      <c r="M456" s="2">
        <v>3578.27</v>
      </c>
      <c r="N456" t="s">
        <v>26</v>
      </c>
      <c r="O456" t="s">
        <v>977</v>
      </c>
      <c r="P456" t="s">
        <v>672</v>
      </c>
      <c r="Q456" t="s">
        <v>6785</v>
      </c>
      <c r="R456" s="1">
        <v>25459</v>
      </c>
      <c r="S456" t="s">
        <v>16</v>
      </c>
      <c r="T456" t="s">
        <v>29</v>
      </c>
      <c r="U456" t="s">
        <v>1574</v>
      </c>
      <c r="V456">
        <v>40000</v>
      </c>
      <c r="W456">
        <v>0</v>
      </c>
      <c r="X456" t="s">
        <v>135</v>
      </c>
      <c r="Y456" t="s">
        <v>60</v>
      </c>
      <c r="Z456" t="s">
        <v>19</v>
      </c>
      <c r="AA456" t="s">
        <v>3583</v>
      </c>
      <c r="AB456" t="s">
        <v>3583</v>
      </c>
      <c r="AC456" t="s">
        <v>3584</v>
      </c>
      <c r="AD456" t="s">
        <v>3479</v>
      </c>
      <c r="AE456" t="s">
        <v>3475</v>
      </c>
      <c r="AF456" s="2">
        <v>3578.27</v>
      </c>
      <c r="AG456" s="2">
        <v>2171.2941999999998</v>
      </c>
      <c r="AH456" s="2">
        <v>1406.9757999999999</v>
      </c>
      <c r="AI456" s="3">
        <v>0.39320001006072802</v>
      </c>
    </row>
    <row r="457" spans="1:35">
      <c r="A457" s="1">
        <v>42181</v>
      </c>
      <c r="B457" s="1">
        <v>37323</v>
      </c>
      <c r="C457" t="s">
        <v>4734</v>
      </c>
      <c r="D457">
        <v>314</v>
      </c>
      <c r="E457">
        <v>13552</v>
      </c>
      <c r="F457">
        <v>7</v>
      </c>
      <c r="G457">
        <v>1</v>
      </c>
      <c r="H457">
        <v>1</v>
      </c>
      <c r="I457">
        <v>2</v>
      </c>
      <c r="J457" t="s">
        <v>3493</v>
      </c>
      <c r="K457" t="s">
        <v>3494</v>
      </c>
      <c r="L457" s="2">
        <v>2171.2941999999998</v>
      </c>
      <c r="M457" s="2">
        <v>3578.27</v>
      </c>
      <c r="N457" t="s">
        <v>13</v>
      </c>
      <c r="O457" t="s">
        <v>183</v>
      </c>
      <c r="P457" t="s">
        <v>280</v>
      </c>
      <c r="Q457" t="s">
        <v>6786</v>
      </c>
      <c r="R457" s="1">
        <v>25264</v>
      </c>
      <c r="S457" t="s">
        <v>22</v>
      </c>
      <c r="T457" t="s">
        <v>16</v>
      </c>
      <c r="U457" t="s">
        <v>1573</v>
      </c>
      <c r="V457">
        <v>30000</v>
      </c>
      <c r="W457">
        <v>0</v>
      </c>
      <c r="X457" t="s">
        <v>17</v>
      </c>
      <c r="Y457" t="s">
        <v>60</v>
      </c>
      <c r="Z457" t="s">
        <v>19</v>
      </c>
      <c r="AA457" t="s">
        <v>3583</v>
      </c>
      <c r="AB457" t="s">
        <v>3583</v>
      </c>
      <c r="AC457" t="s">
        <v>3584</v>
      </c>
      <c r="AD457" t="s">
        <v>3479</v>
      </c>
      <c r="AE457" t="s">
        <v>3475</v>
      </c>
      <c r="AF457" s="2">
        <v>3578.27</v>
      </c>
      <c r="AG457" s="2">
        <v>2171.2941999999998</v>
      </c>
      <c r="AH457" s="2">
        <v>1406.9757999999999</v>
      </c>
      <c r="AI457" s="3">
        <v>0.39320001006072802</v>
      </c>
    </row>
    <row r="458" spans="1:35">
      <c r="A458" s="1">
        <v>42182</v>
      </c>
      <c r="B458" s="1">
        <v>37314</v>
      </c>
      <c r="C458" t="s">
        <v>4736</v>
      </c>
      <c r="D458">
        <v>314</v>
      </c>
      <c r="E458">
        <v>12188</v>
      </c>
      <c r="F458">
        <v>4</v>
      </c>
      <c r="G458">
        <v>1</v>
      </c>
      <c r="H458">
        <v>1</v>
      </c>
      <c r="I458">
        <v>2</v>
      </c>
      <c r="J458" t="s">
        <v>3493</v>
      </c>
      <c r="K458" t="s">
        <v>3494</v>
      </c>
      <c r="L458" s="2">
        <v>2171.2941999999998</v>
      </c>
      <c r="M458" s="2">
        <v>3578.27</v>
      </c>
      <c r="N458" t="s">
        <v>30</v>
      </c>
      <c r="O458" t="s">
        <v>289</v>
      </c>
      <c r="P458" t="s">
        <v>299</v>
      </c>
      <c r="Q458" t="s">
        <v>6787</v>
      </c>
      <c r="R458" s="1">
        <v>22059</v>
      </c>
      <c r="S458" t="s">
        <v>22</v>
      </c>
      <c r="T458" t="s">
        <v>29</v>
      </c>
      <c r="U458" t="s">
        <v>1015</v>
      </c>
      <c r="V458">
        <v>110000</v>
      </c>
      <c r="W458">
        <v>3</v>
      </c>
      <c r="X458" t="s">
        <v>52</v>
      </c>
      <c r="Y458" t="s">
        <v>18</v>
      </c>
      <c r="Z458" t="s">
        <v>19</v>
      </c>
      <c r="AA458" t="s">
        <v>3580</v>
      </c>
      <c r="AB458" t="s">
        <v>3578</v>
      </c>
      <c r="AC458" t="s">
        <v>3579</v>
      </c>
      <c r="AD458" t="s">
        <v>3479</v>
      </c>
      <c r="AE458" t="s">
        <v>3475</v>
      </c>
      <c r="AF458" s="2">
        <v>3578.27</v>
      </c>
      <c r="AG458" s="2">
        <v>2171.2941999999998</v>
      </c>
      <c r="AH458" s="2">
        <v>1406.9757999999999</v>
      </c>
      <c r="AI458" s="3">
        <v>0.39320001006072802</v>
      </c>
    </row>
    <row r="459" spans="1:35">
      <c r="A459" s="1">
        <v>42182</v>
      </c>
      <c r="B459" s="1">
        <v>37392</v>
      </c>
      <c r="C459" t="s">
        <v>4737</v>
      </c>
      <c r="D459">
        <v>311</v>
      </c>
      <c r="E459">
        <v>12913</v>
      </c>
      <c r="F459">
        <v>1</v>
      </c>
      <c r="G459">
        <v>1</v>
      </c>
      <c r="H459">
        <v>1</v>
      </c>
      <c r="I459">
        <v>2</v>
      </c>
      <c r="J459" t="s">
        <v>3487</v>
      </c>
      <c r="K459" t="s">
        <v>3488</v>
      </c>
      <c r="L459" s="2">
        <v>2171.2941999999998</v>
      </c>
      <c r="M459" s="2">
        <v>3578.27</v>
      </c>
      <c r="N459" t="s">
        <v>13</v>
      </c>
      <c r="O459" t="s">
        <v>719</v>
      </c>
      <c r="P459" t="s">
        <v>674</v>
      </c>
      <c r="Q459" t="s">
        <v>6788</v>
      </c>
      <c r="R459" s="1">
        <v>24891</v>
      </c>
      <c r="S459" t="s">
        <v>16</v>
      </c>
      <c r="T459" t="s">
        <v>16</v>
      </c>
      <c r="U459" t="s">
        <v>1313</v>
      </c>
      <c r="V459">
        <v>60000</v>
      </c>
      <c r="W459">
        <v>2</v>
      </c>
      <c r="X459" t="s">
        <v>17</v>
      </c>
      <c r="Y459" t="s">
        <v>53</v>
      </c>
      <c r="Z459" t="s">
        <v>19</v>
      </c>
      <c r="AA459" t="s">
        <v>3577</v>
      </c>
      <c r="AB459" t="s">
        <v>3578</v>
      </c>
      <c r="AC459" t="s">
        <v>3579</v>
      </c>
      <c r="AD459" t="s">
        <v>3479</v>
      </c>
      <c r="AE459" t="s">
        <v>3475</v>
      </c>
      <c r="AF459" s="2">
        <v>3578.27</v>
      </c>
      <c r="AG459" s="2">
        <v>2171.2941999999998</v>
      </c>
      <c r="AH459" s="2">
        <v>1406.9757999999999</v>
      </c>
      <c r="AI459" s="3">
        <v>0.39320001006072802</v>
      </c>
    </row>
    <row r="460" spans="1:35">
      <c r="A460" s="1">
        <v>42182</v>
      </c>
      <c r="B460" s="1">
        <v>37364</v>
      </c>
      <c r="C460" t="s">
        <v>4738</v>
      </c>
      <c r="D460">
        <v>311</v>
      </c>
      <c r="E460">
        <v>12186</v>
      </c>
      <c r="F460">
        <v>4</v>
      </c>
      <c r="G460">
        <v>1</v>
      </c>
      <c r="H460">
        <v>1</v>
      </c>
      <c r="I460">
        <v>2</v>
      </c>
      <c r="J460" t="s">
        <v>3487</v>
      </c>
      <c r="K460" t="s">
        <v>3488</v>
      </c>
      <c r="L460" s="2">
        <v>2171.2941999999998</v>
      </c>
      <c r="M460" s="2">
        <v>3578.27</v>
      </c>
      <c r="N460" t="s">
        <v>13</v>
      </c>
      <c r="O460" t="s">
        <v>184</v>
      </c>
      <c r="P460" t="s">
        <v>632</v>
      </c>
      <c r="Q460" t="s">
        <v>6789</v>
      </c>
      <c r="R460" s="1">
        <v>22048</v>
      </c>
      <c r="S460" t="s">
        <v>22</v>
      </c>
      <c r="T460" t="s">
        <v>16</v>
      </c>
      <c r="U460" t="s">
        <v>1013</v>
      </c>
      <c r="V460">
        <v>100000</v>
      </c>
      <c r="W460">
        <v>0</v>
      </c>
      <c r="X460" t="s">
        <v>52</v>
      </c>
      <c r="Y460" t="s">
        <v>18</v>
      </c>
      <c r="Z460" t="s">
        <v>23</v>
      </c>
      <c r="AA460" t="s">
        <v>3580</v>
      </c>
      <c r="AB460" t="s">
        <v>3578</v>
      </c>
      <c r="AC460" t="s">
        <v>3579</v>
      </c>
      <c r="AD460" t="s">
        <v>3479</v>
      </c>
      <c r="AE460" t="s">
        <v>3475</v>
      </c>
      <c r="AF460" s="2">
        <v>3578.27</v>
      </c>
      <c r="AG460" s="2">
        <v>2171.2941999999998</v>
      </c>
      <c r="AH460" s="2">
        <v>1406.9757999999999</v>
      </c>
      <c r="AI460" s="3">
        <v>0.39320001006072802</v>
      </c>
    </row>
    <row r="461" spans="1:35">
      <c r="A461" s="1">
        <v>42182</v>
      </c>
      <c r="B461" s="1">
        <v>37418</v>
      </c>
      <c r="C461" t="s">
        <v>4739</v>
      </c>
      <c r="D461">
        <v>314</v>
      </c>
      <c r="E461">
        <v>12178</v>
      </c>
      <c r="F461">
        <v>1</v>
      </c>
      <c r="G461">
        <v>1</v>
      </c>
      <c r="H461">
        <v>1</v>
      </c>
      <c r="I461">
        <v>2</v>
      </c>
      <c r="J461" t="s">
        <v>3493</v>
      </c>
      <c r="K461" t="s">
        <v>3494</v>
      </c>
      <c r="L461" s="2">
        <v>2171.2941999999998</v>
      </c>
      <c r="M461" s="2">
        <v>3578.27</v>
      </c>
      <c r="N461" t="s">
        <v>13</v>
      </c>
      <c r="O461" t="s">
        <v>67</v>
      </c>
      <c r="P461" t="s">
        <v>468</v>
      </c>
      <c r="Q461" t="s">
        <v>6790</v>
      </c>
      <c r="R461" s="1">
        <v>19855</v>
      </c>
      <c r="S461" t="s">
        <v>16</v>
      </c>
      <c r="T461" t="s">
        <v>16</v>
      </c>
      <c r="U461" t="s">
        <v>1007</v>
      </c>
      <c r="V461">
        <v>80000</v>
      </c>
      <c r="W461">
        <v>2</v>
      </c>
      <c r="X461" t="s">
        <v>77</v>
      </c>
      <c r="Y461" t="s">
        <v>53</v>
      </c>
      <c r="Z461" t="s">
        <v>19</v>
      </c>
      <c r="AA461" t="s">
        <v>3577</v>
      </c>
      <c r="AB461" t="s">
        <v>3578</v>
      </c>
      <c r="AC461" t="s">
        <v>3579</v>
      </c>
      <c r="AD461" t="s">
        <v>3479</v>
      </c>
      <c r="AE461" t="s">
        <v>3475</v>
      </c>
      <c r="AF461" s="2">
        <v>3578.27</v>
      </c>
      <c r="AG461" s="2">
        <v>2171.2941999999998</v>
      </c>
      <c r="AH461" s="2">
        <v>1406.9757999999999</v>
      </c>
      <c r="AI461" s="3">
        <v>0.39320001006072802</v>
      </c>
    </row>
    <row r="462" spans="1:35">
      <c r="A462" s="1">
        <v>42182</v>
      </c>
      <c r="B462" s="1">
        <v>37350</v>
      </c>
      <c r="C462" t="s">
        <v>4741</v>
      </c>
      <c r="D462">
        <v>348</v>
      </c>
      <c r="E462">
        <v>12252</v>
      </c>
      <c r="F462">
        <v>9</v>
      </c>
      <c r="G462">
        <v>1</v>
      </c>
      <c r="H462">
        <v>1</v>
      </c>
      <c r="I462">
        <v>1</v>
      </c>
      <c r="J462" t="s">
        <v>3527</v>
      </c>
      <c r="K462" t="s">
        <v>3528</v>
      </c>
      <c r="L462" s="2">
        <v>1898.0944</v>
      </c>
      <c r="M462" s="2">
        <v>3374.99</v>
      </c>
      <c r="N462" t="s">
        <v>13</v>
      </c>
      <c r="O462" t="s">
        <v>722</v>
      </c>
      <c r="P462" t="s">
        <v>210</v>
      </c>
      <c r="Q462" t="s">
        <v>6791</v>
      </c>
      <c r="R462" s="1">
        <v>28399</v>
      </c>
      <c r="S462" t="s">
        <v>16</v>
      </c>
      <c r="T462" t="s">
        <v>16</v>
      </c>
      <c r="U462" t="s">
        <v>1057</v>
      </c>
      <c r="V462">
        <v>20000</v>
      </c>
      <c r="W462">
        <v>0</v>
      </c>
      <c r="X462" t="s">
        <v>52</v>
      </c>
      <c r="Y462" t="s">
        <v>444</v>
      </c>
      <c r="Z462" t="s">
        <v>23</v>
      </c>
      <c r="AA462" t="s">
        <v>3586</v>
      </c>
      <c r="AB462" t="s">
        <v>3586</v>
      </c>
      <c r="AC462" t="s">
        <v>3587</v>
      </c>
      <c r="AD462" t="s">
        <v>3478</v>
      </c>
      <c r="AE462" t="s">
        <v>3475</v>
      </c>
      <c r="AF462" s="2">
        <v>3374.99</v>
      </c>
      <c r="AG462" s="2">
        <v>1898.0944</v>
      </c>
      <c r="AH462" s="2">
        <v>1476.8956000000001</v>
      </c>
      <c r="AI462" s="3">
        <v>0.43759999288886797</v>
      </c>
    </row>
    <row r="463" spans="1:35">
      <c r="A463" s="1">
        <v>42182</v>
      </c>
      <c r="B463" s="1">
        <v>37335</v>
      </c>
      <c r="C463" t="s">
        <v>4742</v>
      </c>
      <c r="D463">
        <v>310</v>
      </c>
      <c r="E463">
        <v>12187</v>
      </c>
      <c r="F463">
        <v>4</v>
      </c>
      <c r="G463">
        <v>1</v>
      </c>
      <c r="H463">
        <v>1</v>
      </c>
      <c r="I463">
        <v>2</v>
      </c>
      <c r="J463" t="s">
        <v>3485</v>
      </c>
      <c r="K463" t="s">
        <v>3486</v>
      </c>
      <c r="L463" s="2">
        <v>2171.2941999999998</v>
      </c>
      <c r="M463" s="2">
        <v>3578.27</v>
      </c>
      <c r="N463" t="s">
        <v>13</v>
      </c>
      <c r="O463" t="s">
        <v>24</v>
      </c>
      <c r="P463" t="s">
        <v>561</v>
      </c>
      <c r="Q463" t="s">
        <v>6792</v>
      </c>
      <c r="R463" s="1">
        <v>22119</v>
      </c>
      <c r="S463" t="s">
        <v>16</v>
      </c>
      <c r="T463" t="s">
        <v>16</v>
      </c>
      <c r="U463" t="s">
        <v>1014</v>
      </c>
      <c r="V463">
        <v>100000</v>
      </c>
      <c r="W463">
        <v>0</v>
      </c>
      <c r="X463" t="s">
        <v>52</v>
      </c>
      <c r="Y463" t="s">
        <v>18</v>
      </c>
      <c r="Z463" t="s">
        <v>19</v>
      </c>
      <c r="AA463" t="s">
        <v>3580</v>
      </c>
      <c r="AB463" t="s">
        <v>3578</v>
      </c>
      <c r="AC463" t="s">
        <v>3579</v>
      </c>
      <c r="AD463" t="s">
        <v>3479</v>
      </c>
      <c r="AE463" t="s">
        <v>3475</v>
      </c>
      <c r="AF463" s="2">
        <v>3578.27</v>
      </c>
      <c r="AG463" s="2">
        <v>2171.2941999999998</v>
      </c>
      <c r="AH463" s="2">
        <v>1406.9757999999999</v>
      </c>
      <c r="AI463" s="3">
        <v>0.39320001006072802</v>
      </c>
    </row>
    <row r="464" spans="1:35">
      <c r="A464" s="1">
        <v>42182</v>
      </c>
      <c r="B464" s="1">
        <v>37399</v>
      </c>
      <c r="C464" t="s">
        <v>4743</v>
      </c>
      <c r="D464">
        <v>314</v>
      </c>
      <c r="E464">
        <v>12207</v>
      </c>
      <c r="F464">
        <v>1</v>
      </c>
      <c r="G464">
        <v>1</v>
      </c>
      <c r="H464">
        <v>1</v>
      </c>
      <c r="I464">
        <v>2</v>
      </c>
      <c r="J464" t="s">
        <v>3493</v>
      </c>
      <c r="K464" t="s">
        <v>3494</v>
      </c>
      <c r="L464" s="2">
        <v>2171.2941999999998</v>
      </c>
      <c r="M464" s="2">
        <v>3578.27</v>
      </c>
      <c r="N464" t="s">
        <v>13</v>
      </c>
      <c r="O464" t="s">
        <v>683</v>
      </c>
      <c r="P464" t="s">
        <v>55</v>
      </c>
      <c r="Q464" t="s">
        <v>6793</v>
      </c>
      <c r="R464" s="1">
        <v>14782</v>
      </c>
      <c r="S464" t="s">
        <v>22</v>
      </c>
      <c r="T464" t="s">
        <v>16</v>
      </c>
      <c r="U464" t="s">
        <v>1023</v>
      </c>
      <c r="V464">
        <v>80000</v>
      </c>
      <c r="W464">
        <v>4</v>
      </c>
      <c r="X464" t="s">
        <v>17</v>
      </c>
      <c r="Y464" t="s">
        <v>45</v>
      </c>
      <c r="Z464" t="s">
        <v>19</v>
      </c>
      <c r="AA464" t="s">
        <v>3577</v>
      </c>
      <c r="AB464" t="s">
        <v>3578</v>
      </c>
      <c r="AC464" t="s">
        <v>3579</v>
      </c>
      <c r="AD464" t="s">
        <v>3479</v>
      </c>
      <c r="AE464" t="s">
        <v>3475</v>
      </c>
      <c r="AF464" s="2">
        <v>3578.27</v>
      </c>
      <c r="AG464" s="2">
        <v>2171.2941999999998</v>
      </c>
      <c r="AH464" s="2">
        <v>1406.9757999999999</v>
      </c>
      <c r="AI464" s="3">
        <v>0.39320001006072802</v>
      </c>
    </row>
    <row r="465" spans="1:35">
      <c r="A465" s="1">
        <v>42183</v>
      </c>
      <c r="B465" s="1">
        <v>37353</v>
      </c>
      <c r="C465" t="s">
        <v>4746</v>
      </c>
      <c r="D465">
        <v>313</v>
      </c>
      <c r="E465">
        <v>12364</v>
      </c>
      <c r="F465">
        <v>1</v>
      </c>
      <c r="G465">
        <v>1</v>
      </c>
      <c r="H465">
        <v>1</v>
      </c>
      <c r="I465">
        <v>2</v>
      </c>
      <c r="J465" t="s">
        <v>3491</v>
      </c>
      <c r="K465" t="s">
        <v>3492</v>
      </c>
      <c r="L465" s="2">
        <v>2171.2941999999998</v>
      </c>
      <c r="M465" s="2">
        <v>3578.27</v>
      </c>
      <c r="N465" t="s">
        <v>30</v>
      </c>
      <c r="O465" t="s">
        <v>423</v>
      </c>
      <c r="P465" t="s">
        <v>572</v>
      </c>
      <c r="Q465" t="s">
        <v>6794</v>
      </c>
      <c r="R465" s="1">
        <v>15277</v>
      </c>
      <c r="S465" t="s">
        <v>16</v>
      </c>
      <c r="T465" t="s">
        <v>29</v>
      </c>
      <c r="U465" t="s">
        <v>1124</v>
      </c>
      <c r="V465">
        <v>130000</v>
      </c>
      <c r="W465">
        <v>2</v>
      </c>
      <c r="X465" t="s">
        <v>17</v>
      </c>
      <c r="Y465" t="s">
        <v>45</v>
      </c>
      <c r="Z465" t="s">
        <v>19</v>
      </c>
      <c r="AA465" t="s">
        <v>3577</v>
      </c>
      <c r="AB465" t="s">
        <v>3578</v>
      </c>
      <c r="AC465" t="s">
        <v>3579</v>
      </c>
      <c r="AD465" t="s">
        <v>3479</v>
      </c>
      <c r="AE465" t="s">
        <v>3475</v>
      </c>
      <c r="AF465" s="2">
        <v>3578.27</v>
      </c>
      <c r="AG465" s="2">
        <v>2171.2941999999998</v>
      </c>
      <c r="AH465" s="2">
        <v>1406.9757999999999</v>
      </c>
      <c r="AI465" s="3">
        <v>0.39320001006072802</v>
      </c>
    </row>
    <row r="466" spans="1:35">
      <c r="A466" s="1">
        <v>42183</v>
      </c>
      <c r="B466" s="1">
        <v>37381</v>
      </c>
      <c r="C466" t="s">
        <v>4747</v>
      </c>
      <c r="D466">
        <v>314</v>
      </c>
      <c r="E466">
        <v>12448</v>
      </c>
      <c r="F466">
        <v>1</v>
      </c>
      <c r="G466">
        <v>1</v>
      </c>
      <c r="H466">
        <v>1</v>
      </c>
      <c r="I466">
        <v>2</v>
      </c>
      <c r="J466" t="s">
        <v>3493</v>
      </c>
      <c r="K466" t="s">
        <v>3494</v>
      </c>
      <c r="L466" s="2">
        <v>2171.2941999999998</v>
      </c>
      <c r="M466" s="2">
        <v>3578.27</v>
      </c>
      <c r="N466" t="s">
        <v>30</v>
      </c>
      <c r="O466" t="s">
        <v>337</v>
      </c>
      <c r="P466" t="s">
        <v>175</v>
      </c>
      <c r="Q466" t="s">
        <v>6795</v>
      </c>
      <c r="R466" s="1">
        <v>21325</v>
      </c>
      <c r="S466" t="s">
        <v>22</v>
      </c>
      <c r="T466" t="s">
        <v>29</v>
      </c>
      <c r="U466" t="s">
        <v>1149</v>
      </c>
      <c r="V466">
        <v>60000</v>
      </c>
      <c r="W466">
        <v>4</v>
      </c>
      <c r="X466" t="s">
        <v>135</v>
      </c>
      <c r="Y466" t="s">
        <v>53</v>
      </c>
      <c r="Z466" t="s">
        <v>19</v>
      </c>
      <c r="AA466" t="s">
        <v>3577</v>
      </c>
      <c r="AB466" t="s">
        <v>3578</v>
      </c>
      <c r="AC466" t="s">
        <v>3579</v>
      </c>
      <c r="AD466" t="s">
        <v>3479</v>
      </c>
      <c r="AE466" t="s">
        <v>3475</v>
      </c>
      <c r="AF466" s="2">
        <v>3578.27</v>
      </c>
      <c r="AG466" s="2">
        <v>2171.2941999999998</v>
      </c>
      <c r="AH466" s="2">
        <v>1406.9757999999999</v>
      </c>
      <c r="AI466" s="3">
        <v>0.39320001006072802</v>
      </c>
    </row>
    <row r="467" spans="1:35">
      <c r="A467" s="1">
        <v>42184</v>
      </c>
      <c r="B467" s="1">
        <v>37331</v>
      </c>
      <c r="C467" t="s">
        <v>4749</v>
      </c>
      <c r="D467">
        <v>314</v>
      </c>
      <c r="E467">
        <v>12912</v>
      </c>
      <c r="F467">
        <v>1</v>
      </c>
      <c r="G467">
        <v>1</v>
      </c>
      <c r="H467">
        <v>1</v>
      </c>
      <c r="I467">
        <v>2</v>
      </c>
      <c r="J467" t="s">
        <v>3493</v>
      </c>
      <c r="K467" t="s">
        <v>3494</v>
      </c>
      <c r="L467" s="2">
        <v>2171.2941999999998</v>
      </c>
      <c r="M467" s="2">
        <v>3578.27</v>
      </c>
      <c r="N467" t="s">
        <v>30</v>
      </c>
      <c r="O467" t="s">
        <v>251</v>
      </c>
      <c r="P467" t="s">
        <v>311</v>
      </c>
      <c r="Q467" t="s">
        <v>6796</v>
      </c>
      <c r="R467" s="1">
        <v>24922</v>
      </c>
      <c r="S467" t="s">
        <v>22</v>
      </c>
      <c r="T467" t="s">
        <v>29</v>
      </c>
      <c r="U467" t="s">
        <v>1312</v>
      </c>
      <c r="V467">
        <v>40000</v>
      </c>
      <c r="W467">
        <v>4</v>
      </c>
      <c r="X467" t="s">
        <v>57</v>
      </c>
      <c r="Y467" t="s">
        <v>53</v>
      </c>
      <c r="Z467" t="s">
        <v>19</v>
      </c>
      <c r="AA467" t="s">
        <v>3577</v>
      </c>
      <c r="AB467" t="s">
        <v>3578</v>
      </c>
      <c r="AC467" t="s">
        <v>3579</v>
      </c>
      <c r="AD467" t="s">
        <v>3479</v>
      </c>
      <c r="AE467" t="s">
        <v>3475</v>
      </c>
      <c r="AF467" s="2">
        <v>3578.27</v>
      </c>
      <c r="AG467" s="2">
        <v>2171.2941999999998</v>
      </c>
      <c r="AH467" s="2">
        <v>1406.9757999999999</v>
      </c>
      <c r="AI467" s="3">
        <v>0.39320001006072802</v>
      </c>
    </row>
    <row r="468" spans="1:35">
      <c r="A468" s="1">
        <v>42184</v>
      </c>
      <c r="B468" s="1">
        <v>37365</v>
      </c>
      <c r="C468" t="s">
        <v>4755</v>
      </c>
      <c r="D468">
        <v>310</v>
      </c>
      <c r="E468">
        <v>12773</v>
      </c>
      <c r="F468">
        <v>1</v>
      </c>
      <c r="G468">
        <v>1</v>
      </c>
      <c r="H468">
        <v>1</v>
      </c>
      <c r="I468">
        <v>2</v>
      </c>
      <c r="J468" t="s">
        <v>3485</v>
      </c>
      <c r="K468" t="s">
        <v>3486</v>
      </c>
      <c r="L468" s="2">
        <v>2171.2941999999998</v>
      </c>
      <c r="M468" s="2">
        <v>3578.27</v>
      </c>
      <c r="N468" t="s">
        <v>30</v>
      </c>
      <c r="O468" t="s">
        <v>238</v>
      </c>
      <c r="P468" t="s">
        <v>254</v>
      </c>
      <c r="Q468" t="s">
        <v>6797</v>
      </c>
      <c r="R468" s="1">
        <v>20402</v>
      </c>
      <c r="S468" t="s">
        <v>16</v>
      </c>
      <c r="T468" t="s">
        <v>29</v>
      </c>
      <c r="U468" t="s">
        <v>1279</v>
      </c>
      <c r="V468">
        <v>40000</v>
      </c>
      <c r="W468">
        <v>1</v>
      </c>
      <c r="X468" t="s">
        <v>52</v>
      </c>
      <c r="Y468" t="s">
        <v>60</v>
      </c>
      <c r="Z468" t="s">
        <v>19</v>
      </c>
      <c r="AA468" t="s">
        <v>3577</v>
      </c>
      <c r="AB468" t="s">
        <v>3578</v>
      </c>
      <c r="AC468" t="s">
        <v>3579</v>
      </c>
      <c r="AD468" t="s">
        <v>3479</v>
      </c>
      <c r="AE468" t="s">
        <v>3475</v>
      </c>
      <c r="AF468" s="2">
        <v>3578.27</v>
      </c>
      <c r="AG468" s="2">
        <v>2171.2941999999998</v>
      </c>
      <c r="AH468" s="2">
        <v>1406.9757999999999</v>
      </c>
      <c r="AI468" s="3">
        <v>0.39320001006072802</v>
      </c>
    </row>
    <row r="469" spans="1:35">
      <c r="A469" s="1">
        <v>42185</v>
      </c>
      <c r="B469" s="1">
        <v>37387</v>
      </c>
      <c r="C469" t="s">
        <v>4757</v>
      </c>
      <c r="D469">
        <v>345</v>
      </c>
      <c r="E469">
        <v>12240</v>
      </c>
      <c r="F469">
        <v>9</v>
      </c>
      <c r="G469">
        <v>1</v>
      </c>
      <c r="H469">
        <v>1</v>
      </c>
      <c r="I469">
        <v>1</v>
      </c>
      <c r="J469" t="s">
        <v>3521</v>
      </c>
      <c r="K469" t="s">
        <v>3522</v>
      </c>
      <c r="L469" s="2">
        <v>1912.1543999999999</v>
      </c>
      <c r="M469" s="2">
        <v>3399.99</v>
      </c>
      <c r="N469" t="s">
        <v>13</v>
      </c>
      <c r="O469" t="s">
        <v>645</v>
      </c>
      <c r="P469" t="s">
        <v>664</v>
      </c>
      <c r="Q469" t="s">
        <v>6798</v>
      </c>
      <c r="R469" s="1">
        <v>29559</v>
      </c>
      <c r="S469" t="s">
        <v>22</v>
      </c>
      <c r="T469" t="s">
        <v>16</v>
      </c>
      <c r="U469" t="s">
        <v>1047</v>
      </c>
      <c r="V469">
        <v>10000</v>
      </c>
      <c r="W469">
        <v>0</v>
      </c>
      <c r="X469" t="s">
        <v>52</v>
      </c>
      <c r="Y469" t="s">
        <v>444</v>
      </c>
      <c r="Z469" t="s">
        <v>23</v>
      </c>
      <c r="AA469" t="s">
        <v>3586</v>
      </c>
      <c r="AB469" t="s">
        <v>3586</v>
      </c>
      <c r="AC469" t="s">
        <v>3587</v>
      </c>
      <c r="AD469" t="s">
        <v>3478</v>
      </c>
      <c r="AE469" t="s">
        <v>3475</v>
      </c>
      <c r="AF469" s="2">
        <v>3399.99</v>
      </c>
      <c r="AG469" s="2">
        <v>1912.1543999999999</v>
      </c>
      <c r="AH469" s="2">
        <v>1487.8356000000001</v>
      </c>
      <c r="AI469" s="3">
        <v>0.43759999294115598</v>
      </c>
    </row>
    <row r="470" spans="1:35">
      <c r="A470" s="1">
        <v>42185</v>
      </c>
      <c r="B470" s="1">
        <v>37411</v>
      </c>
      <c r="C470" t="s">
        <v>4761</v>
      </c>
      <c r="D470">
        <v>310</v>
      </c>
      <c r="E470">
        <v>12206</v>
      </c>
      <c r="F470">
        <v>4</v>
      </c>
      <c r="G470">
        <v>1</v>
      </c>
      <c r="H470">
        <v>1</v>
      </c>
      <c r="I470">
        <v>2</v>
      </c>
      <c r="J470" t="s">
        <v>3485</v>
      </c>
      <c r="K470" t="s">
        <v>3486</v>
      </c>
      <c r="L470" s="2">
        <v>2171.2941999999998</v>
      </c>
      <c r="M470" s="2">
        <v>3578.27</v>
      </c>
      <c r="N470" t="s">
        <v>30</v>
      </c>
      <c r="O470" t="s">
        <v>670</v>
      </c>
      <c r="P470" t="s">
        <v>707</v>
      </c>
      <c r="Q470" t="s">
        <v>6799</v>
      </c>
      <c r="R470" s="1">
        <v>14347</v>
      </c>
      <c r="S470" t="s">
        <v>16</v>
      </c>
      <c r="T470" t="s">
        <v>29</v>
      </c>
      <c r="U470" t="s">
        <v>1022</v>
      </c>
      <c r="V470">
        <v>90000</v>
      </c>
      <c r="W470">
        <v>5</v>
      </c>
      <c r="X470" t="s">
        <v>17</v>
      </c>
      <c r="Y470" t="s">
        <v>45</v>
      </c>
      <c r="Z470" t="s">
        <v>19</v>
      </c>
      <c r="AA470" t="s">
        <v>3580</v>
      </c>
      <c r="AB470" t="s">
        <v>3578</v>
      </c>
      <c r="AC470" t="s">
        <v>3579</v>
      </c>
      <c r="AD470" t="s">
        <v>3479</v>
      </c>
      <c r="AE470" t="s">
        <v>3475</v>
      </c>
      <c r="AF470" s="2">
        <v>3578.27</v>
      </c>
      <c r="AG470" s="2">
        <v>2171.2941999999998</v>
      </c>
      <c r="AH470" s="2">
        <v>1406.9757999999999</v>
      </c>
      <c r="AI470" s="3">
        <v>0.39320001006072802</v>
      </c>
    </row>
    <row r="471" spans="1:35">
      <c r="A471" s="1">
        <v>42186</v>
      </c>
      <c r="B471" s="1">
        <v>37392</v>
      </c>
      <c r="C471" t="s">
        <v>4764</v>
      </c>
      <c r="D471">
        <v>373</v>
      </c>
      <c r="E471">
        <v>13062</v>
      </c>
      <c r="F471">
        <v>1</v>
      </c>
      <c r="G471">
        <v>1</v>
      </c>
      <c r="H471">
        <v>1</v>
      </c>
      <c r="I471">
        <v>2</v>
      </c>
      <c r="J471" t="s">
        <v>3555</v>
      </c>
      <c r="K471" t="s">
        <v>3556</v>
      </c>
      <c r="L471" s="2">
        <v>1320.6838</v>
      </c>
      <c r="M471" s="2">
        <v>2181.5625</v>
      </c>
      <c r="N471" t="s">
        <v>13</v>
      </c>
      <c r="O471" t="s">
        <v>260</v>
      </c>
      <c r="P471" t="s">
        <v>273</v>
      </c>
      <c r="Q471" t="s">
        <v>6800</v>
      </c>
      <c r="R471" s="1">
        <v>27219</v>
      </c>
      <c r="S471" t="s">
        <v>22</v>
      </c>
      <c r="T471" t="s">
        <v>16</v>
      </c>
      <c r="U471" t="s">
        <v>1380</v>
      </c>
      <c r="V471">
        <v>40000</v>
      </c>
      <c r="W471">
        <v>0</v>
      </c>
      <c r="X471" t="s">
        <v>57</v>
      </c>
      <c r="Y471" t="s">
        <v>53</v>
      </c>
      <c r="Z471" t="s">
        <v>19</v>
      </c>
      <c r="AA471" t="s">
        <v>3577</v>
      </c>
      <c r="AB471" t="s">
        <v>3578</v>
      </c>
      <c r="AC471" t="s">
        <v>3579</v>
      </c>
      <c r="AD471" t="s">
        <v>3479</v>
      </c>
      <c r="AE471" t="s">
        <v>3475</v>
      </c>
      <c r="AF471" s="2">
        <v>2181.5625</v>
      </c>
      <c r="AG471" s="2">
        <v>1320.6838</v>
      </c>
      <c r="AH471" s="2">
        <v>860.87869999999998</v>
      </c>
      <c r="AI471" s="3">
        <v>0.39461564818793898</v>
      </c>
    </row>
    <row r="472" spans="1:35">
      <c r="A472" s="1">
        <v>42186</v>
      </c>
      <c r="B472" s="1">
        <v>37369</v>
      </c>
      <c r="C472" t="s">
        <v>4765</v>
      </c>
      <c r="D472">
        <v>354</v>
      </c>
      <c r="E472">
        <v>12571</v>
      </c>
      <c r="F472">
        <v>9</v>
      </c>
      <c r="G472">
        <v>1</v>
      </c>
      <c r="H472">
        <v>1</v>
      </c>
      <c r="I472">
        <v>1</v>
      </c>
      <c r="J472" t="s">
        <v>3537</v>
      </c>
      <c r="K472" t="s">
        <v>3538</v>
      </c>
      <c r="L472" s="2">
        <v>1117.8559</v>
      </c>
      <c r="M472" s="2">
        <v>2071.4196000000002</v>
      </c>
      <c r="N472" t="s">
        <v>26</v>
      </c>
      <c r="O472" t="s">
        <v>98</v>
      </c>
      <c r="P472" t="s">
        <v>598</v>
      </c>
      <c r="Q472" t="s">
        <v>6801</v>
      </c>
      <c r="R472" s="1">
        <v>29360</v>
      </c>
      <c r="S472" t="s">
        <v>16</v>
      </c>
      <c r="T472" t="s">
        <v>29</v>
      </c>
      <c r="U472" t="s">
        <v>1186</v>
      </c>
      <c r="V472">
        <v>10000</v>
      </c>
      <c r="W472">
        <v>0</v>
      </c>
      <c r="X472" t="s">
        <v>52</v>
      </c>
      <c r="Y472" t="s">
        <v>444</v>
      </c>
      <c r="Z472" t="s">
        <v>23</v>
      </c>
      <c r="AA472" t="s">
        <v>3586</v>
      </c>
      <c r="AB472" t="s">
        <v>3586</v>
      </c>
      <c r="AC472" t="s">
        <v>3587</v>
      </c>
      <c r="AD472" t="s">
        <v>3478</v>
      </c>
      <c r="AE472" t="s">
        <v>3475</v>
      </c>
      <c r="AF472" s="2">
        <v>2071.4196000000002</v>
      </c>
      <c r="AG472" s="2">
        <v>1117.8559</v>
      </c>
      <c r="AH472" s="2">
        <v>953.56370000000004</v>
      </c>
      <c r="AI472" s="3">
        <v>0.460343090313522</v>
      </c>
    </row>
    <row r="473" spans="1:35">
      <c r="A473" s="1">
        <v>42186</v>
      </c>
      <c r="B473" s="1">
        <v>37385</v>
      </c>
      <c r="C473" t="s">
        <v>4766</v>
      </c>
      <c r="D473">
        <v>362</v>
      </c>
      <c r="E473">
        <v>12349</v>
      </c>
      <c r="F473">
        <v>9</v>
      </c>
      <c r="G473">
        <v>1</v>
      </c>
      <c r="H473">
        <v>1</v>
      </c>
      <c r="I473">
        <v>1</v>
      </c>
      <c r="J473" t="s">
        <v>3545</v>
      </c>
      <c r="K473" t="s">
        <v>3546</v>
      </c>
      <c r="L473" s="2">
        <v>1105.81</v>
      </c>
      <c r="M473" s="2">
        <v>2049.0981999999999</v>
      </c>
      <c r="N473" t="s">
        <v>26</v>
      </c>
      <c r="O473" t="s">
        <v>475</v>
      </c>
      <c r="P473" t="s">
        <v>87</v>
      </c>
      <c r="Q473" t="s">
        <v>6802</v>
      </c>
      <c r="R473" s="1">
        <v>27236</v>
      </c>
      <c r="S473" t="s">
        <v>22</v>
      </c>
      <c r="T473" t="s">
        <v>29</v>
      </c>
      <c r="U473" t="s">
        <v>1114</v>
      </c>
      <c r="V473">
        <v>90000</v>
      </c>
      <c r="W473">
        <v>0</v>
      </c>
      <c r="X473" t="s">
        <v>17</v>
      </c>
      <c r="Y473" t="s">
        <v>18</v>
      </c>
      <c r="Z473" t="s">
        <v>19</v>
      </c>
      <c r="AA473" t="s">
        <v>3586</v>
      </c>
      <c r="AB473" t="s">
        <v>3586</v>
      </c>
      <c r="AC473" t="s">
        <v>3587</v>
      </c>
      <c r="AD473" t="s">
        <v>3478</v>
      </c>
      <c r="AE473" t="s">
        <v>3475</v>
      </c>
      <c r="AF473" s="2">
        <v>2049.0981999999999</v>
      </c>
      <c r="AG473" s="2">
        <v>1105.81</v>
      </c>
      <c r="AH473" s="2">
        <v>943.28819999999996</v>
      </c>
      <c r="AI473" s="3">
        <v>0.46034309141455498</v>
      </c>
    </row>
    <row r="474" spans="1:35">
      <c r="A474" s="1">
        <v>42186</v>
      </c>
      <c r="B474" s="1">
        <v>37325</v>
      </c>
      <c r="C474" t="s">
        <v>4768</v>
      </c>
      <c r="D474">
        <v>358</v>
      </c>
      <c r="E474">
        <v>12355</v>
      </c>
      <c r="F474">
        <v>9</v>
      </c>
      <c r="G474">
        <v>1</v>
      </c>
      <c r="H474">
        <v>1</v>
      </c>
      <c r="I474">
        <v>1</v>
      </c>
      <c r="J474" t="s">
        <v>3541</v>
      </c>
      <c r="K474" t="s">
        <v>3542</v>
      </c>
      <c r="L474" s="2">
        <v>1105.81</v>
      </c>
      <c r="M474" s="2">
        <v>2049.0981999999999</v>
      </c>
      <c r="N474" t="s">
        <v>26</v>
      </c>
      <c r="O474" t="s">
        <v>1118</v>
      </c>
      <c r="P474" t="s">
        <v>460</v>
      </c>
      <c r="Q474" t="s">
        <v>6803</v>
      </c>
      <c r="R474" s="1">
        <v>26746</v>
      </c>
      <c r="S474" t="s">
        <v>22</v>
      </c>
      <c r="T474" t="s">
        <v>29</v>
      </c>
      <c r="U474" t="s">
        <v>1119</v>
      </c>
      <c r="V474">
        <v>120000</v>
      </c>
      <c r="W474">
        <v>0</v>
      </c>
      <c r="X474" t="s">
        <v>77</v>
      </c>
      <c r="Y474" t="s">
        <v>18</v>
      </c>
      <c r="Z474" t="s">
        <v>19</v>
      </c>
      <c r="AA474" t="s">
        <v>3586</v>
      </c>
      <c r="AB474" t="s">
        <v>3586</v>
      </c>
      <c r="AC474" t="s">
        <v>3587</v>
      </c>
      <c r="AD474" t="s">
        <v>3478</v>
      </c>
      <c r="AE474" t="s">
        <v>3475</v>
      </c>
      <c r="AF474" s="2">
        <v>2049.0981999999999</v>
      </c>
      <c r="AG474" s="2">
        <v>1105.81</v>
      </c>
      <c r="AH474" s="2">
        <v>943.28819999999996</v>
      </c>
      <c r="AI474" s="3">
        <v>0.46034309141455498</v>
      </c>
    </row>
    <row r="475" spans="1:35">
      <c r="A475" s="1">
        <v>42187</v>
      </c>
      <c r="B475" s="1">
        <v>37343</v>
      </c>
      <c r="C475" t="s">
        <v>4771</v>
      </c>
      <c r="D475">
        <v>377</v>
      </c>
      <c r="E475">
        <v>12947</v>
      </c>
      <c r="F475">
        <v>4</v>
      </c>
      <c r="G475">
        <v>1</v>
      </c>
      <c r="H475">
        <v>1</v>
      </c>
      <c r="I475">
        <v>2</v>
      </c>
      <c r="J475" t="s">
        <v>3559</v>
      </c>
      <c r="K475" t="s">
        <v>3560</v>
      </c>
      <c r="L475" s="2">
        <v>1320.6838</v>
      </c>
      <c r="M475" s="2">
        <v>2181.5625</v>
      </c>
      <c r="N475" t="s">
        <v>13</v>
      </c>
      <c r="O475" t="s">
        <v>679</v>
      </c>
      <c r="P475" t="s">
        <v>109</v>
      </c>
      <c r="Q475" t="s">
        <v>6804</v>
      </c>
      <c r="R475" s="1">
        <v>23424</v>
      </c>
      <c r="S475" t="s">
        <v>22</v>
      </c>
      <c r="T475" t="s">
        <v>16</v>
      </c>
      <c r="U475" t="s">
        <v>1328</v>
      </c>
      <c r="V475">
        <v>40000</v>
      </c>
      <c r="W475">
        <v>0</v>
      </c>
      <c r="X475" t="s">
        <v>17</v>
      </c>
      <c r="Y475" t="s">
        <v>18</v>
      </c>
      <c r="Z475" t="s">
        <v>23</v>
      </c>
      <c r="AA475" t="s">
        <v>3580</v>
      </c>
      <c r="AB475" t="s">
        <v>3578</v>
      </c>
      <c r="AC475" t="s">
        <v>3579</v>
      </c>
      <c r="AD475" t="s">
        <v>3479</v>
      </c>
      <c r="AE475" t="s">
        <v>3475</v>
      </c>
      <c r="AF475" s="2">
        <v>2181.5625</v>
      </c>
      <c r="AG475" s="2">
        <v>1320.6838</v>
      </c>
      <c r="AH475" s="2">
        <v>860.87869999999998</v>
      </c>
      <c r="AI475" s="3">
        <v>0.39461564818793898</v>
      </c>
    </row>
    <row r="476" spans="1:35">
      <c r="A476" s="1">
        <v>42188</v>
      </c>
      <c r="B476" s="1">
        <v>37339</v>
      </c>
      <c r="C476" t="s">
        <v>4776</v>
      </c>
      <c r="D476">
        <v>369</v>
      </c>
      <c r="E476">
        <v>13208</v>
      </c>
      <c r="F476">
        <v>4</v>
      </c>
      <c r="G476">
        <v>1</v>
      </c>
      <c r="H476">
        <v>1</v>
      </c>
      <c r="I476">
        <v>2</v>
      </c>
      <c r="J476" t="s">
        <v>3549</v>
      </c>
      <c r="K476" t="s">
        <v>3550</v>
      </c>
      <c r="L476" s="2">
        <v>1518.7864</v>
      </c>
      <c r="M476" s="2">
        <v>2443.35</v>
      </c>
      <c r="N476" t="s">
        <v>30</v>
      </c>
      <c r="O476" t="s">
        <v>791</v>
      </c>
      <c r="P476" t="s">
        <v>184</v>
      </c>
      <c r="Q476" t="s">
        <v>6805</v>
      </c>
      <c r="R476" s="1">
        <v>16712</v>
      </c>
      <c r="S476" t="s">
        <v>22</v>
      </c>
      <c r="T476" t="s">
        <v>29</v>
      </c>
      <c r="U476" t="s">
        <v>1456</v>
      </c>
      <c r="V476">
        <v>70000</v>
      </c>
      <c r="W476">
        <v>5</v>
      </c>
      <c r="X476" t="s">
        <v>17</v>
      </c>
      <c r="Y476" t="s">
        <v>45</v>
      </c>
      <c r="Z476" t="s">
        <v>19</v>
      </c>
      <c r="AA476" t="s">
        <v>3580</v>
      </c>
      <c r="AB476" t="s">
        <v>3578</v>
      </c>
      <c r="AC476" t="s">
        <v>3579</v>
      </c>
      <c r="AD476" t="s">
        <v>3479</v>
      </c>
      <c r="AE476" t="s">
        <v>3475</v>
      </c>
      <c r="AF476" s="2">
        <v>2443.35</v>
      </c>
      <c r="AG476" s="2">
        <v>1518.7864</v>
      </c>
      <c r="AH476" s="2">
        <v>924.56359999999995</v>
      </c>
      <c r="AI476" s="3">
        <v>0.37839998362903399</v>
      </c>
    </row>
    <row r="477" spans="1:35">
      <c r="A477" s="1">
        <v>42188</v>
      </c>
      <c r="B477" s="1">
        <v>37352</v>
      </c>
      <c r="C477" t="s">
        <v>4778</v>
      </c>
      <c r="D477">
        <v>373</v>
      </c>
      <c r="E477">
        <v>13210</v>
      </c>
      <c r="F477">
        <v>4</v>
      </c>
      <c r="G477">
        <v>1</v>
      </c>
      <c r="H477">
        <v>1</v>
      </c>
      <c r="I477">
        <v>2</v>
      </c>
      <c r="J477" t="s">
        <v>3555</v>
      </c>
      <c r="K477" t="s">
        <v>3556</v>
      </c>
      <c r="L477" s="2">
        <v>1320.6838</v>
      </c>
      <c r="M477" s="2">
        <v>2181.5625</v>
      </c>
      <c r="N477" t="s">
        <v>13</v>
      </c>
      <c r="O477" t="s">
        <v>67</v>
      </c>
      <c r="P477" t="s">
        <v>111</v>
      </c>
      <c r="Q477" t="s">
        <v>6806</v>
      </c>
      <c r="R477" s="1">
        <v>16584</v>
      </c>
      <c r="S477" t="s">
        <v>16</v>
      </c>
      <c r="T477" t="s">
        <v>16</v>
      </c>
      <c r="U477" t="s">
        <v>1457</v>
      </c>
      <c r="V477">
        <v>60000</v>
      </c>
      <c r="W477">
        <v>4</v>
      </c>
      <c r="X477" t="s">
        <v>17</v>
      </c>
      <c r="Y477" t="s">
        <v>45</v>
      </c>
      <c r="Z477" t="s">
        <v>19</v>
      </c>
      <c r="AA477" t="s">
        <v>3580</v>
      </c>
      <c r="AB477" t="s">
        <v>3578</v>
      </c>
      <c r="AC477" t="s">
        <v>3579</v>
      </c>
      <c r="AD477" t="s">
        <v>3479</v>
      </c>
      <c r="AE477" t="s">
        <v>3475</v>
      </c>
      <c r="AF477" s="2">
        <v>2181.5625</v>
      </c>
      <c r="AG477" s="2">
        <v>1320.6838</v>
      </c>
      <c r="AH477" s="2">
        <v>860.87869999999998</v>
      </c>
      <c r="AI477" s="3">
        <v>0.39461564818793898</v>
      </c>
    </row>
    <row r="478" spans="1:35">
      <c r="A478" s="1">
        <v>42188</v>
      </c>
      <c r="B478" s="1">
        <v>37397</v>
      </c>
      <c r="C478" t="s">
        <v>4779</v>
      </c>
      <c r="D478">
        <v>373</v>
      </c>
      <c r="E478">
        <v>13220</v>
      </c>
      <c r="F478">
        <v>4</v>
      </c>
      <c r="G478">
        <v>1</v>
      </c>
      <c r="H478">
        <v>1</v>
      </c>
      <c r="I478">
        <v>2</v>
      </c>
      <c r="J478" t="s">
        <v>3555</v>
      </c>
      <c r="K478" t="s">
        <v>3556</v>
      </c>
      <c r="L478" s="2">
        <v>1320.6838</v>
      </c>
      <c r="M478" s="2">
        <v>2181.5625</v>
      </c>
      <c r="N478" t="s">
        <v>30</v>
      </c>
      <c r="O478" t="s">
        <v>588</v>
      </c>
      <c r="P478" t="s">
        <v>101</v>
      </c>
      <c r="Q478" t="s">
        <v>6807</v>
      </c>
      <c r="R478" s="1">
        <v>17011</v>
      </c>
      <c r="S478" t="s">
        <v>16</v>
      </c>
      <c r="T478" t="s">
        <v>29</v>
      </c>
      <c r="U478" t="s">
        <v>1460</v>
      </c>
      <c r="V478">
        <v>70000</v>
      </c>
      <c r="W478">
        <v>3</v>
      </c>
      <c r="X478" t="s">
        <v>17</v>
      </c>
      <c r="Y478" t="s">
        <v>45</v>
      </c>
      <c r="Z478" t="s">
        <v>19</v>
      </c>
      <c r="AA478" t="s">
        <v>3580</v>
      </c>
      <c r="AB478" t="s">
        <v>3578</v>
      </c>
      <c r="AC478" t="s">
        <v>3579</v>
      </c>
      <c r="AD478" t="s">
        <v>3479</v>
      </c>
      <c r="AE478" t="s">
        <v>3475</v>
      </c>
      <c r="AF478" s="2">
        <v>2181.5625</v>
      </c>
      <c r="AG478" s="2">
        <v>1320.6838</v>
      </c>
      <c r="AH478" s="2">
        <v>860.87869999999998</v>
      </c>
      <c r="AI478" s="3">
        <v>0.39461564818793898</v>
      </c>
    </row>
    <row r="479" spans="1:35">
      <c r="A479" s="1">
        <v>42188</v>
      </c>
      <c r="B479" s="1">
        <v>37321</v>
      </c>
      <c r="C479" t="s">
        <v>4780</v>
      </c>
      <c r="D479">
        <v>369</v>
      </c>
      <c r="E479">
        <v>13032</v>
      </c>
      <c r="F479">
        <v>4</v>
      </c>
      <c r="G479">
        <v>1</v>
      </c>
      <c r="H479">
        <v>1</v>
      </c>
      <c r="I479">
        <v>2</v>
      </c>
      <c r="J479" t="s">
        <v>3549</v>
      </c>
      <c r="K479" t="s">
        <v>3550</v>
      </c>
      <c r="L479" s="2">
        <v>1518.7864</v>
      </c>
      <c r="M479" s="2">
        <v>2443.35</v>
      </c>
      <c r="N479" t="s">
        <v>13</v>
      </c>
      <c r="O479" t="s">
        <v>646</v>
      </c>
      <c r="P479" t="s">
        <v>173</v>
      </c>
      <c r="Q479" t="s">
        <v>6808</v>
      </c>
      <c r="R479" s="1">
        <v>28224</v>
      </c>
      <c r="S479" t="s">
        <v>16</v>
      </c>
      <c r="T479" t="s">
        <v>16</v>
      </c>
      <c r="U479" t="s">
        <v>1364</v>
      </c>
      <c r="V479">
        <v>70000</v>
      </c>
      <c r="W479">
        <v>0</v>
      </c>
      <c r="X479" t="s">
        <v>52</v>
      </c>
      <c r="Y479" t="s">
        <v>53</v>
      </c>
      <c r="Z479" t="s">
        <v>19</v>
      </c>
      <c r="AA479" t="s">
        <v>3580</v>
      </c>
      <c r="AB479" t="s">
        <v>3578</v>
      </c>
      <c r="AC479" t="s">
        <v>3579</v>
      </c>
      <c r="AD479" t="s">
        <v>3479</v>
      </c>
      <c r="AE479" t="s">
        <v>3475</v>
      </c>
      <c r="AF479" s="2">
        <v>2443.35</v>
      </c>
      <c r="AG479" s="2">
        <v>1518.7864</v>
      </c>
      <c r="AH479" s="2">
        <v>924.56359999999995</v>
      </c>
      <c r="AI479" s="3">
        <v>0.37839998362903399</v>
      </c>
    </row>
    <row r="480" spans="1:35">
      <c r="A480" s="1">
        <v>42263</v>
      </c>
      <c r="B480" s="1">
        <v>37401</v>
      </c>
      <c r="C480" t="s">
        <v>5386</v>
      </c>
      <c r="D480">
        <v>356</v>
      </c>
      <c r="E480">
        <v>12210</v>
      </c>
      <c r="F480">
        <v>10</v>
      </c>
      <c r="G480">
        <v>1</v>
      </c>
      <c r="H480">
        <v>1</v>
      </c>
      <c r="I480">
        <v>1</v>
      </c>
      <c r="J480" t="s">
        <v>3539</v>
      </c>
      <c r="K480" t="s">
        <v>3540</v>
      </c>
      <c r="L480" s="2">
        <v>1117.8559</v>
      </c>
      <c r="M480" s="2">
        <v>2071.4196000000002</v>
      </c>
      <c r="N480" t="s">
        <v>13</v>
      </c>
      <c r="O480" t="s">
        <v>121</v>
      </c>
      <c r="P480" t="s">
        <v>190</v>
      </c>
      <c r="Q480" t="s">
        <v>6809</v>
      </c>
      <c r="R480" s="1">
        <v>28758</v>
      </c>
      <c r="S480" t="s">
        <v>16</v>
      </c>
      <c r="T480" t="s">
        <v>16</v>
      </c>
      <c r="U480" t="s">
        <v>1026</v>
      </c>
      <c r="V480">
        <v>10000</v>
      </c>
      <c r="W480">
        <v>0</v>
      </c>
      <c r="X480" t="s">
        <v>135</v>
      </c>
      <c r="Y480" t="s">
        <v>444</v>
      </c>
      <c r="Z480" t="s">
        <v>23</v>
      </c>
      <c r="AA480" t="s">
        <v>3588</v>
      </c>
      <c r="AB480" t="s">
        <v>3588</v>
      </c>
      <c r="AC480" t="s">
        <v>3584</v>
      </c>
      <c r="AD480" t="s">
        <v>3478</v>
      </c>
      <c r="AE480" t="s">
        <v>3475</v>
      </c>
      <c r="AF480" s="2">
        <v>2071.4196000000002</v>
      </c>
      <c r="AG480" s="2">
        <v>1117.8559</v>
      </c>
      <c r="AH480" s="2">
        <v>953.56370000000004</v>
      </c>
      <c r="AI480" s="3">
        <v>0.460343090313522</v>
      </c>
    </row>
    <row r="481" spans="1:35">
      <c r="A481" s="1">
        <v>42188</v>
      </c>
      <c r="B481" s="1">
        <v>37346</v>
      </c>
      <c r="C481" t="s">
        <v>4784</v>
      </c>
      <c r="D481">
        <v>368</v>
      </c>
      <c r="E481">
        <v>13039</v>
      </c>
      <c r="F481">
        <v>4</v>
      </c>
      <c r="G481">
        <v>1</v>
      </c>
      <c r="H481">
        <v>1</v>
      </c>
      <c r="I481">
        <v>2</v>
      </c>
      <c r="J481" t="s">
        <v>3547</v>
      </c>
      <c r="K481" t="s">
        <v>3548</v>
      </c>
      <c r="L481" s="2">
        <v>1518.7864</v>
      </c>
      <c r="M481" s="2">
        <v>2443.35</v>
      </c>
      <c r="N481" t="s">
        <v>26</v>
      </c>
      <c r="O481" t="s">
        <v>644</v>
      </c>
      <c r="P481" t="s">
        <v>192</v>
      </c>
      <c r="Q481" t="s">
        <v>6810</v>
      </c>
      <c r="R481" s="1">
        <v>29453</v>
      </c>
      <c r="S481" t="s">
        <v>22</v>
      </c>
      <c r="T481" t="s">
        <v>29</v>
      </c>
      <c r="U481" t="s">
        <v>1369</v>
      </c>
      <c r="V481">
        <v>20000</v>
      </c>
      <c r="W481">
        <v>0</v>
      </c>
      <c r="X481" t="s">
        <v>52</v>
      </c>
      <c r="Y481" t="s">
        <v>53</v>
      </c>
      <c r="Z481" t="s">
        <v>23</v>
      </c>
      <c r="AA481" t="s">
        <v>3580</v>
      </c>
      <c r="AB481" t="s">
        <v>3578</v>
      </c>
      <c r="AC481" t="s">
        <v>3579</v>
      </c>
      <c r="AD481" t="s">
        <v>3479</v>
      </c>
      <c r="AE481" t="s">
        <v>3475</v>
      </c>
      <c r="AF481" s="2">
        <v>2443.35</v>
      </c>
      <c r="AG481" s="2">
        <v>1518.7864</v>
      </c>
      <c r="AH481" s="2">
        <v>924.56359999999995</v>
      </c>
      <c r="AI481" s="3">
        <v>0.37839998362903399</v>
      </c>
    </row>
    <row r="482" spans="1:35">
      <c r="A482" s="1">
        <v>42188</v>
      </c>
      <c r="B482" s="1">
        <v>37383</v>
      </c>
      <c r="C482" t="s">
        <v>4785</v>
      </c>
      <c r="D482">
        <v>369</v>
      </c>
      <c r="E482">
        <v>12929</v>
      </c>
      <c r="F482">
        <v>1</v>
      </c>
      <c r="G482">
        <v>1</v>
      </c>
      <c r="H482">
        <v>1</v>
      </c>
      <c r="I482">
        <v>2</v>
      </c>
      <c r="J482" t="s">
        <v>3549</v>
      </c>
      <c r="K482" t="s">
        <v>3550</v>
      </c>
      <c r="L482" s="2">
        <v>1518.7864</v>
      </c>
      <c r="M482" s="2">
        <v>2443.35</v>
      </c>
      <c r="N482" t="s">
        <v>30</v>
      </c>
      <c r="O482" t="s">
        <v>1315</v>
      </c>
      <c r="P482" t="s">
        <v>184</v>
      </c>
      <c r="Q482" t="s">
        <v>6811</v>
      </c>
      <c r="R482" s="1">
        <v>25267</v>
      </c>
      <c r="S482" t="s">
        <v>16</v>
      </c>
      <c r="T482" t="s">
        <v>29</v>
      </c>
      <c r="U482" t="s">
        <v>1322</v>
      </c>
      <c r="V482">
        <v>70000</v>
      </c>
      <c r="W482">
        <v>5</v>
      </c>
      <c r="X482" t="s">
        <v>135</v>
      </c>
      <c r="Y482" t="s">
        <v>18</v>
      </c>
      <c r="Z482" t="s">
        <v>19</v>
      </c>
      <c r="AA482" t="s">
        <v>3577</v>
      </c>
      <c r="AB482" t="s">
        <v>3578</v>
      </c>
      <c r="AC482" t="s">
        <v>3579</v>
      </c>
      <c r="AD482" t="s">
        <v>3479</v>
      </c>
      <c r="AE482" t="s">
        <v>3475</v>
      </c>
      <c r="AF482" s="2">
        <v>2443.35</v>
      </c>
      <c r="AG482" s="2">
        <v>1518.7864</v>
      </c>
      <c r="AH482" s="2">
        <v>924.56359999999995</v>
      </c>
      <c r="AI482" s="3">
        <v>0.37839998362903399</v>
      </c>
    </row>
    <row r="483" spans="1:35">
      <c r="A483" s="1">
        <v>42188</v>
      </c>
      <c r="B483" s="1">
        <v>37391</v>
      </c>
      <c r="C483" t="s">
        <v>4786</v>
      </c>
      <c r="D483">
        <v>368</v>
      </c>
      <c r="E483">
        <v>13142</v>
      </c>
      <c r="F483">
        <v>4</v>
      </c>
      <c r="G483">
        <v>1</v>
      </c>
      <c r="H483">
        <v>1</v>
      </c>
      <c r="I483">
        <v>2</v>
      </c>
      <c r="J483" t="s">
        <v>3547</v>
      </c>
      <c r="K483" t="s">
        <v>3548</v>
      </c>
      <c r="L483" s="2">
        <v>1518.7864</v>
      </c>
      <c r="M483" s="2">
        <v>2443.35</v>
      </c>
      <c r="N483" t="s">
        <v>13</v>
      </c>
      <c r="O483" t="s">
        <v>365</v>
      </c>
      <c r="P483" t="s">
        <v>674</v>
      </c>
      <c r="Q483" t="s">
        <v>6812</v>
      </c>
      <c r="R483" s="1">
        <v>27476</v>
      </c>
      <c r="S483" t="s">
        <v>16</v>
      </c>
      <c r="T483" t="s">
        <v>16</v>
      </c>
      <c r="U483" t="s">
        <v>1438</v>
      </c>
      <c r="V483">
        <v>40000</v>
      </c>
      <c r="W483">
        <v>0</v>
      </c>
      <c r="X483" t="s">
        <v>57</v>
      </c>
      <c r="Y483" t="s">
        <v>53</v>
      </c>
      <c r="Z483" t="s">
        <v>19</v>
      </c>
      <c r="AA483" t="s">
        <v>3580</v>
      </c>
      <c r="AB483" t="s">
        <v>3578</v>
      </c>
      <c r="AC483" t="s">
        <v>3579</v>
      </c>
      <c r="AD483" t="s">
        <v>3479</v>
      </c>
      <c r="AE483" t="s">
        <v>3475</v>
      </c>
      <c r="AF483" s="2">
        <v>2443.35</v>
      </c>
      <c r="AG483" s="2">
        <v>1518.7864</v>
      </c>
      <c r="AH483" s="2">
        <v>924.56359999999995</v>
      </c>
      <c r="AI483" s="3">
        <v>0.37839998362903399</v>
      </c>
    </row>
    <row r="484" spans="1:35">
      <c r="A484" s="1">
        <v>42318</v>
      </c>
      <c r="B484" s="1">
        <v>37471</v>
      </c>
      <c r="C484" t="s">
        <v>5754</v>
      </c>
      <c r="D484">
        <v>362</v>
      </c>
      <c r="E484">
        <v>12213</v>
      </c>
      <c r="F484">
        <v>8</v>
      </c>
      <c r="G484">
        <v>1</v>
      </c>
      <c r="H484">
        <v>1</v>
      </c>
      <c r="I484">
        <v>1</v>
      </c>
      <c r="J484" t="s">
        <v>3545</v>
      </c>
      <c r="K484" t="s">
        <v>3546</v>
      </c>
      <c r="L484" s="2">
        <v>1105.81</v>
      </c>
      <c r="M484" s="2">
        <v>2049.0981999999999</v>
      </c>
      <c r="N484" t="s">
        <v>13</v>
      </c>
      <c r="O484" t="s">
        <v>74</v>
      </c>
      <c r="P484" t="s">
        <v>62</v>
      </c>
      <c r="Q484" t="s">
        <v>6813</v>
      </c>
      <c r="R484" s="1">
        <v>23044</v>
      </c>
      <c r="S484" t="s">
        <v>16</v>
      </c>
      <c r="T484" t="s">
        <v>16</v>
      </c>
      <c r="U484" t="s">
        <v>1028</v>
      </c>
      <c r="V484">
        <v>10000</v>
      </c>
      <c r="W484">
        <v>1</v>
      </c>
      <c r="X484" t="s">
        <v>135</v>
      </c>
      <c r="Y484" t="s">
        <v>444</v>
      </c>
      <c r="Z484" t="s">
        <v>19</v>
      </c>
      <c r="AA484" t="s">
        <v>3585</v>
      </c>
      <c r="AB484" t="s">
        <v>3585</v>
      </c>
      <c r="AC484" t="s">
        <v>3584</v>
      </c>
      <c r="AD484" t="s">
        <v>3478</v>
      </c>
      <c r="AE484" t="s">
        <v>3475</v>
      </c>
      <c r="AF484" s="2">
        <v>2049.0981999999999</v>
      </c>
      <c r="AG484" s="2">
        <v>1105.81</v>
      </c>
      <c r="AH484" s="2">
        <v>943.28819999999996</v>
      </c>
      <c r="AI484" s="3">
        <v>0.46034309141455498</v>
      </c>
    </row>
    <row r="485" spans="1:35">
      <c r="A485" s="1">
        <v>42255</v>
      </c>
      <c r="B485" s="1">
        <v>37461</v>
      </c>
      <c r="C485" t="s">
        <v>5323</v>
      </c>
      <c r="D485">
        <v>360</v>
      </c>
      <c r="E485">
        <v>12214</v>
      </c>
      <c r="F485">
        <v>10</v>
      </c>
      <c r="G485">
        <v>1</v>
      </c>
      <c r="H485">
        <v>1</v>
      </c>
      <c r="I485">
        <v>1</v>
      </c>
      <c r="J485" t="s">
        <v>3543</v>
      </c>
      <c r="K485" t="s">
        <v>3544</v>
      </c>
      <c r="L485" s="2">
        <v>1105.81</v>
      </c>
      <c r="M485" s="2">
        <v>2049.0981999999999</v>
      </c>
      <c r="N485" t="s">
        <v>30</v>
      </c>
      <c r="O485" t="s">
        <v>1029</v>
      </c>
      <c r="P485" t="s">
        <v>131</v>
      </c>
      <c r="Q485" t="s">
        <v>6814</v>
      </c>
      <c r="R485" s="1">
        <v>22909</v>
      </c>
      <c r="S485" t="s">
        <v>16</v>
      </c>
      <c r="T485" t="s">
        <v>29</v>
      </c>
      <c r="U485" t="s">
        <v>1030</v>
      </c>
      <c r="V485">
        <v>20000</v>
      </c>
      <c r="W485">
        <v>1</v>
      </c>
      <c r="X485" t="s">
        <v>135</v>
      </c>
      <c r="Y485" t="s">
        <v>444</v>
      </c>
      <c r="Z485" t="s">
        <v>19</v>
      </c>
      <c r="AA485" t="s">
        <v>3588</v>
      </c>
      <c r="AB485" t="s">
        <v>3588</v>
      </c>
      <c r="AC485" t="s">
        <v>3584</v>
      </c>
      <c r="AD485" t="s">
        <v>3478</v>
      </c>
      <c r="AE485" t="s">
        <v>3475</v>
      </c>
      <c r="AF485" s="2">
        <v>2049.0981999999999</v>
      </c>
      <c r="AG485" s="2">
        <v>1105.81</v>
      </c>
      <c r="AH485" s="2">
        <v>943.28819999999996</v>
      </c>
      <c r="AI485" s="3">
        <v>0.46034309141455498</v>
      </c>
    </row>
    <row r="486" spans="1:35">
      <c r="A486" s="1">
        <v>42258</v>
      </c>
      <c r="B486" s="1">
        <v>37435</v>
      </c>
      <c r="C486" t="s">
        <v>5352</v>
      </c>
      <c r="D486">
        <v>354</v>
      </c>
      <c r="E486">
        <v>12215</v>
      </c>
      <c r="F486">
        <v>10</v>
      </c>
      <c r="G486">
        <v>1</v>
      </c>
      <c r="H486">
        <v>1</v>
      </c>
      <c r="I486">
        <v>1</v>
      </c>
      <c r="J486" t="s">
        <v>3537</v>
      </c>
      <c r="K486" t="s">
        <v>3538</v>
      </c>
      <c r="L486" s="2">
        <v>1117.8559</v>
      </c>
      <c r="M486" s="2">
        <v>2071.4196000000002</v>
      </c>
      <c r="N486" t="s">
        <v>30</v>
      </c>
      <c r="O486" t="s">
        <v>265</v>
      </c>
      <c r="P486" t="s">
        <v>450</v>
      </c>
      <c r="Q486" t="s">
        <v>6815</v>
      </c>
      <c r="R486" s="1">
        <v>22994</v>
      </c>
      <c r="S486" t="s">
        <v>16</v>
      </c>
      <c r="T486" t="s">
        <v>29</v>
      </c>
      <c r="U486" t="s">
        <v>1031</v>
      </c>
      <c r="V486">
        <v>20000</v>
      </c>
      <c r="W486">
        <v>1</v>
      </c>
      <c r="X486" t="s">
        <v>135</v>
      </c>
      <c r="Y486" t="s">
        <v>60</v>
      </c>
      <c r="Z486" t="s">
        <v>19</v>
      </c>
      <c r="AA486" t="s">
        <v>3588</v>
      </c>
      <c r="AB486" t="s">
        <v>3588</v>
      </c>
      <c r="AC486" t="s">
        <v>3584</v>
      </c>
      <c r="AD486" t="s">
        <v>3478</v>
      </c>
      <c r="AE486" t="s">
        <v>3475</v>
      </c>
      <c r="AF486" s="2">
        <v>2071.4196000000002</v>
      </c>
      <c r="AG486" s="2">
        <v>1117.8559</v>
      </c>
      <c r="AH486" s="2">
        <v>953.56370000000004</v>
      </c>
      <c r="AI486" s="3">
        <v>0.460343090313522</v>
      </c>
    </row>
    <row r="487" spans="1:35">
      <c r="A487" s="1">
        <v>42189</v>
      </c>
      <c r="B487" s="1">
        <v>37404</v>
      </c>
      <c r="C487" t="s">
        <v>4789</v>
      </c>
      <c r="D487">
        <v>370</v>
      </c>
      <c r="E487">
        <v>13085</v>
      </c>
      <c r="F487">
        <v>1</v>
      </c>
      <c r="G487">
        <v>1</v>
      </c>
      <c r="H487">
        <v>1</v>
      </c>
      <c r="I487">
        <v>2</v>
      </c>
      <c r="J487" t="s">
        <v>3551</v>
      </c>
      <c r="K487" t="s">
        <v>3552</v>
      </c>
      <c r="L487" s="2">
        <v>1518.7864</v>
      </c>
      <c r="M487" s="2">
        <v>2443.35</v>
      </c>
      <c r="N487" t="s">
        <v>13</v>
      </c>
      <c r="O487" t="s">
        <v>123</v>
      </c>
      <c r="P487" t="s">
        <v>250</v>
      </c>
      <c r="Q487" t="s">
        <v>6816</v>
      </c>
      <c r="R487" s="1">
        <v>27107</v>
      </c>
      <c r="S487" t="s">
        <v>22</v>
      </c>
      <c r="T487" t="s">
        <v>16</v>
      </c>
      <c r="U487" t="s">
        <v>1398</v>
      </c>
      <c r="V487">
        <v>30000</v>
      </c>
      <c r="W487">
        <v>0</v>
      </c>
      <c r="X487" t="s">
        <v>77</v>
      </c>
      <c r="Y487" t="s">
        <v>53</v>
      </c>
      <c r="Z487" t="s">
        <v>19</v>
      </c>
      <c r="AA487" t="s">
        <v>3577</v>
      </c>
      <c r="AB487" t="s">
        <v>3578</v>
      </c>
      <c r="AC487" t="s">
        <v>3579</v>
      </c>
      <c r="AD487" t="s">
        <v>3479</v>
      </c>
      <c r="AE487" t="s">
        <v>3475</v>
      </c>
      <c r="AF487" s="2">
        <v>2443.35</v>
      </c>
      <c r="AG487" s="2">
        <v>1518.7864</v>
      </c>
      <c r="AH487" s="2">
        <v>924.56359999999995</v>
      </c>
      <c r="AI487" s="3">
        <v>0.37839998362903399</v>
      </c>
    </row>
    <row r="488" spans="1:35">
      <c r="A488" s="1">
        <v>42273</v>
      </c>
      <c r="B488" s="1">
        <v>37466</v>
      </c>
      <c r="C488" t="s">
        <v>5456</v>
      </c>
      <c r="D488">
        <v>354</v>
      </c>
      <c r="E488">
        <v>12216</v>
      </c>
      <c r="F488">
        <v>10</v>
      </c>
      <c r="G488">
        <v>1</v>
      </c>
      <c r="H488">
        <v>1</v>
      </c>
      <c r="I488">
        <v>1</v>
      </c>
      <c r="J488" t="s">
        <v>3537</v>
      </c>
      <c r="K488" t="s">
        <v>3538</v>
      </c>
      <c r="L488" s="2">
        <v>1117.8559</v>
      </c>
      <c r="M488" s="2">
        <v>2071.4196000000002</v>
      </c>
      <c r="N488" t="s">
        <v>13</v>
      </c>
      <c r="O488" t="s">
        <v>931</v>
      </c>
      <c r="P488" t="s">
        <v>293</v>
      </c>
      <c r="Q488" t="s">
        <v>6817</v>
      </c>
      <c r="R488" s="1">
        <v>22738</v>
      </c>
      <c r="S488" t="s">
        <v>16</v>
      </c>
      <c r="T488" t="s">
        <v>16</v>
      </c>
      <c r="U488" t="s">
        <v>1032</v>
      </c>
      <c r="V488">
        <v>20000</v>
      </c>
      <c r="W488">
        <v>1</v>
      </c>
      <c r="X488" t="s">
        <v>135</v>
      </c>
      <c r="Y488" t="s">
        <v>60</v>
      </c>
      <c r="Z488" t="s">
        <v>19</v>
      </c>
      <c r="AA488" t="s">
        <v>3588</v>
      </c>
      <c r="AB488" t="s">
        <v>3588</v>
      </c>
      <c r="AC488" t="s">
        <v>3584</v>
      </c>
      <c r="AD488" t="s">
        <v>3478</v>
      </c>
      <c r="AE488" t="s">
        <v>3475</v>
      </c>
      <c r="AF488" s="2">
        <v>2071.4196000000002</v>
      </c>
      <c r="AG488" s="2">
        <v>1117.8559</v>
      </c>
      <c r="AH488" s="2">
        <v>953.56370000000004</v>
      </c>
      <c r="AI488" s="3">
        <v>0.460343090313522</v>
      </c>
    </row>
    <row r="489" spans="1:35">
      <c r="A489" s="1">
        <v>42334</v>
      </c>
      <c r="B489" s="1">
        <v>37524</v>
      </c>
      <c r="C489" t="s">
        <v>5859</v>
      </c>
      <c r="D489">
        <v>354</v>
      </c>
      <c r="E489">
        <v>12218</v>
      </c>
      <c r="F489">
        <v>8</v>
      </c>
      <c r="G489">
        <v>1</v>
      </c>
      <c r="H489">
        <v>1</v>
      </c>
      <c r="I489">
        <v>1</v>
      </c>
      <c r="J489" t="s">
        <v>3537</v>
      </c>
      <c r="K489" t="s">
        <v>3538</v>
      </c>
      <c r="L489" s="2">
        <v>1117.8559</v>
      </c>
      <c r="M489" s="2">
        <v>2071.4196000000002</v>
      </c>
      <c r="N489" t="s">
        <v>13</v>
      </c>
      <c r="O489" t="s">
        <v>481</v>
      </c>
      <c r="P489" t="s">
        <v>474</v>
      </c>
      <c r="Q489" t="s">
        <v>6818</v>
      </c>
      <c r="R489" s="1">
        <v>22611</v>
      </c>
      <c r="S489" t="s">
        <v>16</v>
      </c>
      <c r="T489" t="s">
        <v>16</v>
      </c>
      <c r="U489" t="s">
        <v>1033</v>
      </c>
      <c r="V489">
        <v>10000</v>
      </c>
      <c r="W489">
        <v>1</v>
      </c>
      <c r="X489" t="s">
        <v>17</v>
      </c>
      <c r="Y489" t="s">
        <v>444</v>
      </c>
      <c r="Z489" t="s">
        <v>19</v>
      </c>
      <c r="AA489" t="s">
        <v>3585</v>
      </c>
      <c r="AB489" t="s">
        <v>3585</v>
      </c>
      <c r="AC489" t="s">
        <v>3584</v>
      </c>
      <c r="AD489" t="s">
        <v>3478</v>
      </c>
      <c r="AE489" t="s">
        <v>3475</v>
      </c>
      <c r="AF489" s="2">
        <v>2071.4196000000002</v>
      </c>
      <c r="AG489" s="2">
        <v>1117.8559</v>
      </c>
      <c r="AH489" s="2">
        <v>953.56370000000004</v>
      </c>
      <c r="AI489" s="3">
        <v>0.460343090313522</v>
      </c>
    </row>
    <row r="490" spans="1:35">
      <c r="A490" s="1">
        <v>42189</v>
      </c>
      <c r="B490" s="1">
        <v>37323</v>
      </c>
      <c r="C490" t="s">
        <v>4794</v>
      </c>
      <c r="D490">
        <v>370</v>
      </c>
      <c r="E490">
        <v>13059</v>
      </c>
      <c r="F490">
        <v>4</v>
      </c>
      <c r="G490">
        <v>1</v>
      </c>
      <c r="H490">
        <v>1</v>
      </c>
      <c r="I490">
        <v>2</v>
      </c>
      <c r="J490" t="s">
        <v>3551</v>
      </c>
      <c r="K490" t="s">
        <v>3552</v>
      </c>
      <c r="L490" s="2">
        <v>1518.7864</v>
      </c>
      <c r="M490" s="2">
        <v>2443.35</v>
      </c>
      <c r="N490" t="s">
        <v>13</v>
      </c>
      <c r="O490" t="s">
        <v>661</v>
      </c>
      <c r="P490" t="s">
        <v>226</v>
      </c>
      <c r="Q490" t="s">
        <v>6819</v>
      </c>
      <c r="R490" s="1">
        <v>27440</v>
      </c>
      <c r="S490" t="s">
        <v>16</v>
      </c>
      <c r="T490" t="s">
        <v>16</v>
      </c>
      <c r="U490" t="s">
        <v>1378</v>
      </c>
      <c r="V490">
        <v>30000</v>
      </c>
      <c r="W490">
        <v>0</v>
      </c>
      <c r="X490" t="s">
        <v>57</v>
      </c>
      <c r="Y490" t="s">
        <v>53</v>
      </c>
      <c r="Z490" t="s">
        <v>19</v>
      </c>
      <c r="AA490" t="s">
        <v>3580</v>
      </c>
      <c r="AB490" t="s">
        <v>3578</v>
      </c>
      <c r="AC490" t="s">
        <v>3579</v>
      </c>
      <c r="AD490" t="s">
        <v>3479</v>
      </c>
      <c r="AE490" t="s">
        <v>3475</v>
      </c>
      <c r="AF490" s="2">
        <v>2443.35</v>
      </c>
      <c r="AG490" s="2">
        <v>1518.7864</v>
      </c>
      <c r="AH490" s="2">
        <v>924.56359999999995</v>
      </c>
      <c r="AI490" s="3">
        <v>0.37839998362903399</v>
      </c>
    </row>
    <row r="491" spans="1:35">
      <c r="A491" s="1">
        <v>42261</v>
      </c>
      <c r="B491" s="1">
        <v>37401</v>
      </c>
      <c r="C491" t="s">
        <v>5378</v>
      </c>
      <c r="D491">
        <v>362</v>
      </c>
      <c r="E491">
        <v>12222</v>
      </c>
      <c r="F491">
        <v>10</v>
      </c>
      <c r="G491">
        <v>1</v>
      </c>
      <c r="H491">
        <v>1</v>
      </c>
      <c r="I491">
        <v>1</v>
      </c>
      <c r="J491" t="s">
        <v>3545</v>
      </c>
      <c r="K491" t="s">
        <v>3546</v>
      </c>
      <c r="L491" s="2">
        <v>1105.81</v>
      </c>
      <c r="M491" s="2">
        <v>2049.0981999999999</v>
      </c>
      <c r="N491" t="s">
        <v>30</v>
      </c>
      <c r="O491" t="s">
        <v>389</v>
      </c>
      <c r="P491" t="s">
        <v>474</v>
      </c>
      <c r="Q491" t="s">
        <v>6820</v>
      </c>
      <c r="R491" s="1">
        <v>22360</v>
      </c>
      <c r="S491" t="s">
        <v>16</v>
      </c>
      <c r="T491" t="s">
        <v>29</v>
      </c>
      <c r="U491" t="s">
        <v>1034</v>
      </c>
      <c r="V491">
        <v>20000</v>
      </c>
      <c r="W491">
        <v>1</v>
      </c>
      <c r="X491" t="s">
        <v>135</v>
      </c>
      <c r="Y491" t="s">
        <v>60</v>
      </c>
      <c r="Z491" t="s">
        <v>19</v>
      </c>
      <c r="AA491" t="s">
        <v>3588</v>
      </c>
      <c r="AB491" t="s">
        <v>3588</v>
      </c>
      <c r="AC491" t="s">
        <v>3584</v>
      </c>
      <c r="AD491" t="s">
        <v>3478</v>
      </c>
      <c r="AE491" t="s">
        <v>3475</v>
      </c>
      <c r="AF491" s="2">
        <v>2049.0981999999999</v>
      </c>
      <c r="AG491" s="2">
        <v>1105.81</v>
      </c>
      <c r="AH491" s="2">
        <v>943.28819999999996</v>
      </c>
      <c r="AI491" s="3">
        <v>0.46034309141455498</v>
      </c>
    </row>
    <row r="492" spans="1:35">
      <c r="A492" s="1">
        <v>42190</v>
      </c>
      <c r="B492" s="1">
        <v>37410</v>
      </c>
      <c r="C492" t="s">
        <v>4798</v>
      </c>
      <c r="D492">
        <v>360</v>
      </c>
      <c r="E492">
        <v>12570</v>
      </c>
      <c r="F492">
        <v>9</v>
      </c>
      <c r="G492">
        <v>1</v>
      </c>
      <c r="H492">
        <v>1</v>
      </c>
      <c r="I492">
        <v>1</v>
      </c>
      <c r="J492" t="s">
        <v>3543</v>
      </c>
      <c r="K492" t="s">
        <v>3544</v>
      </c>
      <c r="L492" s="2">
        <v>1105.81</v>
      </c>
      <c r="M492" s="2">
        <v>2049.0981999999999</v>
      </c>
      <c r="N492" t="s">
        <v>13</v>
      </c>
      <c r="O492" t="s">
        <v>158</v>
      </c>
      <c r="P492" t="s">
        <v>129</v>
      </c>
      <c r="Q492" t="s">
        <v>6821</v>
      </c>
      <c r="R492" s="1">
        <v>29357</v>
      </c>
      <c r="S492" t="s">
        <v>22</v>
      </c>
      <c r="T492" t="s">
        <v>16</v>
      </c>
      <c r="U492" t="s">
        <v>1185</v>
      </c>
      <c r="V492">
        <v>10000</v>
      </c>
      <c r="W492">
        <v>0</v>
      </c>
      <c r="X492" t="s">
        <v>52</v>
      </c>
      <c r="Y492" t="s">
        <v>444</v>
      </c>
      <c r="Z492" t="s">
        <v>23</v>
      </c>
      <c r="AA492" t="s">
        <v>3586</v>
      </c>
      <c r="AB492" t="s">
        <v>3586</v>
      </c>
      <c r="AC492" t="s">
        <v>3587</v>
      </c>
      <c r="AD492" t="s">
        <v>3478</v>
      </c>
      <c r="AE492" t="s">
        <v>3475</v>
      </c>
      <c r="AF492" s="2">
        <v>2049.0981999999999</v>
      </c>
      <c r="AG492" s="2">
        <v>1105.81</v>
      </c>
      <c r="AH492" s="2">
        <v>943.28819999999996</v>
      </c>
      <c r="AI492" s="3">
        <v>0.46034309141455498</v>
      </c>
    </row>
    <row r="493" spans="1:35">
      <c r="A493" s="1">
        <v>42328</v>
      </c>
      <c r="B493" s="1">
        <v>37512</v>
      </c>
      <c r="C493" t="s">
        <v>5819</v>
      </c>
      <c r="D493">
        <v>356</v>
      </c>
      <c r="E493">
        <v>12225</v>
      </c>
      <c r="F493">
        <v>8</v>
      </c>
      <c r="G493">
        <v>1</v>
      </c>
      <c r="H493">
        <v>1</v>
      </c>
      <c r="I493">
        <v>1</v>
      </c>
      <c r="J493" t="s">
        <v>3539</v>
      </c>
      <c r="K493" t="s">
        <v>3540</v>
      </c>
      <c r="L493" s="2">
        <v>1117.8559</v>
      </c>
      <c r="M493" s="2">
        <v>2071.4196000000002</v>
      </c>
      <c r="N493" t="s">
        <v>30</v>
      </c>
      <c r="O493" t="s">
        <v>1035</v>
      </c>
      <c r="P493" t="s">
        <v>460</v>
      </c>
      <c r="Q493" t="s">
        <v>6822</v>
      </c>
      <c r="R493" s="1">
        <v>21491</v>
      </c>
      <c r="S493" t="s">
        <v>16</v>
      </c>
      <c r="T493" t="s">
        <v>29</v>
      </c>
      <c r="U493" t="s">
        <v>1036</v>
      </c>
      <c r="V493">
        <v>20000</v>
      </c>
      <c r="W493">
        <v>1</v>
      </c>
      <c r="X493" t="s">
        <v>135</v>
      </c>
      <c r="Y493" t="s">
        <v>60</v>
      </c>
      <c r="Z493" t="s">
        <v>19</v>
      </c>
      <c r="AA493" t="s">
        <v>3585</v>
      </c>
      <c r="AB493" t="s">
        <v>3585</v>
      </c>
      <c r="AC493" t="s">
        <v>3584</v>
      </c>
      <c r="AD493" t="s">
        <v>3478</v>
      </c>
      <c r="AE493" t="s">
        <v>3475</v>
      </c>
      <c r="AF493" s="2">
        <v>2071.4196000000002</v>
      </c>
      <c r="AG493" s="2">
        <v>1117.8559</v>
      </c>
      <c r="AH493" s="2">
        <v>953.56370000000004</v>
      </c>
      <c r="AI493" s="3">
        <v>0.460343090313522</v>
      </c>
    </row>
    <row r="494" spans="1:35">
      <c r="A494" s="1">
        <v>42328</v>
      </c>
      <c r="B494" s="1">
        <v>37536</v>
      </c>
      <c r="C494" t="s">
        <v>5818</v>
      </c>
      <c r="D494">
        <v>360</v>
      </c>
      <c r="E494">
        <v>12226</v>
      </c>
      <c r="F494">
        <v>8</v>
      </c>
      <c r="G494">
        <v>1</v>
      </c>
      <c r="H494">
        <v>1</v>
      </c>
      <c r="I494">
        <v>1</v>
      </c>
      <c r="J494" t="s">
        <v>3543</v>
      </c>
      <c r="K494" t="s">
        <v>3544</v>
      </c>
      <c r="L494" s="2">
        <v>1105.81</v>
      </c>
      <c r="M494" s="2">
        <v>2049.0981999999999</v>
      </c>
      <c r="N494" t="s">
        <v>30</v>
      </c>
      <c r="O494" t="s">
        <v>793</v>
      </c>
      <c r="P494" t="s">
        <v>424</v>
      </c>
      <c r="Q494" t="s">
        <v>6823</v>
      </c>
      <c r="R494" s="1">
        <v>20920</v>
      </c>
      <c r="S494" t="s">
        <v>16</v>
      </c>
      <c r="T494" t="s">
        <v>29</v>
      </c>
      <c r="U494" t="s">
        <v>1037</v>
      </c>
      <c r="V494">
        <v>10000</v>
      </c>
      <c r="W494">
        <v>1</v>
      </c>
      <c r="X494" t="s">
        <v>17</v>
      </c>
      <c r="Y494" t="s">
        <v>60</v>
      </c>
      <c r="Z494" t="s">
        <v>19</v>
      </c>
      <c r="AA494" t="s">
        <v>3585</v>
      </c>
      <c r="AB494" t="s">
        <v>3585</v>
      </c>
      <c r="AC494" t="s">
        <v>3584</v>
      </c>
      <c r="AD494" t="s">
        <v>3478</v>
      </c>
      <c r="AE494" t="s">
        <v>3475</v>
      </c>
      <c r="AF494" s="2">
        <v>2049.0981999999999</v>
      </c>
      <c r="AG494" s="2">
        <v>1105.81</v>
      </c>
      <c r="AH494" s="2">
        <v>943.28819999999996</v>
      </c>
      <c r="AI494" s="3">
        <v>0.46034309141455498</v>
      </c>
    </row>
    <row r="495" spans="1:35">
      <c r="A495" s="1">
        <v>42190</v>
      </c>
      <c r="B495" s="1">
        <v>37418</v>
      </c>
      <c r="C495" t="s">
        <v>4800</v>
      </c>
      <c r="D495">
        <v>369</v>
      </c>
      <c r="E495">
        <v>13592</v>
      </c>
      <c r="F495">
        <v>7</v>
      </c>
      <c r="G495">
        <v>1</v>
      </c>
      <c r="H495">
        <v>1</v>
      </c>
      <c r="I495">
        <v>2</v>
      </c>
      <c r="J495" t="s">
        <v>3549</v>
      </c>
      <c r="K495" t="s">
        <v>3550</v>
      </c>
      <c r="L495" s="2">
        <v>1518.7864</v>
      </c>
      <c r="M495" s="2">
        <v>2443.35</v>
      </c>
      <c r="N495" t="s">
        <v>30</v>
      </c>
      <c r="O495" t="s">
        <v>687</v>
      </c>
      <c r="P495" t="s">
        <v>377</v>
      </c>
      <c r="Q495" t="s">
        <v>6824</v>
      </c>
      <c r="R495" s="1">
        <v>19152</v>
      </c>
      <c r="S495" t="s">
        <v>16</v>
      </c>
      <c r="T495" t="s">
        <v>29</v>
      </c>
      <c r="U495" t="s">
        <v>1583</v>
      </c>
      <c r="V495">
        <v>70000</v>
      </c>
      <c r="W495">
        <v>5</v>
      </c>
      <c r="X495" t="s">
        <v>77</v>
      </c>
      <c r="Y495" t="s">
        <v>53</v>
      </c>
      <c r="Z495" t="s">
        <v>19</v>
      </c>
      <c r="AA495" t="s">
        <v>3583</v>
      </c>
      <c r="AB495" t="s">
        <v>3583</v>
      </c>
      <c r="AC495" t="s">
        <v>3584</v>
      </c>
      <c r="AD495" t="s">
        <v>3479</v>
      </c>
      <c r="AE495" t="s">
        <v>3475</v>
      </c>
      <c r="AF495" s="2">
        <v>2443.35</v>
      </c>
      <c r="AG495" s="2">
        <v>1518.7864</v>
      </c>
      <c r="AH495" s="2">
        <v>924.56359999999995</v>
      </c>
      <c r="AI495" s="3">
        <v>0.37839998362903399</v>
      </c>
    </row>
    <row r="496" spans="1:35">
      <c r="A496" s="1">
        <v>42347</v>
      </c>
      <c r="B496" s="1">
        <v>37543</v>
      </c>
      <c r="C496" t="s">
        <v>5986</v>
      </c>
      <c r="D496">
        <v>354</v>
      </c>
      <c r="E496">
        <v>12229</v>
      </c>
      <c r="F496">
        <v>8</v>
      </c>
      <c r="G496">
        <v>1</v>
      </c>
      <c r="H496">
        <v>1</v>
      </c>
      <c r="I496">
        <v>1</v>
      </c>
      <c r="J496" t="s">
        <v>3537</v>
      </c>
      <c r="K496" t="s">
        <v>3538</v>
      </c>
      <c r="L496" s="2">
        <v>1117.8559</v>
      </c>
      <c r="M496" s="2">
        <v>2071.4196000000002</v>
      </c>
      <c r="N496" t="s">
        <v>30</v>
      </c>
      <c r="O496" t="s">
        <v>213</v>
      </c>
      <c r="P496" t="s">
        <v>529</v>
      </c>
      <c r="Q496" t="s">
        <v>6825</v>
      </c>
      <c r="R496" s="1">
        <v>20776</v>
      </c>
      <c r="S496" t="s">
        <v>16</v>
      </c>
      <c r="T496" t="s">
        <v>29</v>
      </c>
      <c r="U496" t="s">
        <v>1038</v>
      </c>
      <c r="V496">
        <v>10000</v>
      </c>
      <c r="W496">
        <v>2</v>
      </c>
      <c r="X496" t="s">
        <v>52</v>
      </c>
      <c r="Y496" t="s">
        <v>444</v>
      </c>
      <c r="Z496" t="s">
        <v>19</v>
      </c>
      <c r="AA496" t="s">
        <v>3585</v>
      </c>
      <c r="AB496" t="s">
        <v>3585</v>
      </c>
      <c r="AC496" t="s">
        <v>3584</v>
      </c>
      <c r="AD496" t="s">
        <v>3478</v>
      </c>
      <c r="AE496" t="s">
        <v>3475</v>
      </c>
      <c r="AF496" s="2">
        <v>2071.4196000000002</v>
      </c>
      <c r="AG496" s="2">
        <v>1117.8559</v>
      </c>
      <c r="AH496" s="2">
        <v>953.56370000000004</v>
      </c>
      <c r="AI496" s="3">
        <v>0.460343090313522</v>
      </c>
    </row>
    <row r="497" spans="1:35">
      <c r="A497" s="1">
        <v>42190</v>
      </c>
      <c r="B497" s="1">
        <v>37328</v>
      </c>
      <c r="C497" t="s">
        <v>4802</v>
      </c>
      <c r="D497">
        <v>368</v>
      </c>
      <c r="E497">
        <v>13093</v>
      </c>
      <c r="F497">
        <v>1</v>
      </c>
      <c r="G497">
        <v>1</v>
      </c>
      <c r="H497">
        <v>1</v>
      </c>
      <c r="I497">
        <v>2</v>
      </c>
      <c r="J497" t="s">
        <v>3547</v>
      </c>
      <c r="K497" t="s">
        <v>3548</v>
      </c>
      <c r="L497" s="2">
        <v>1518.7864</v>
      </c>
      <c r="M497" s="2">
        <v>2443.35</v>
      </c>
      <c r="N497" t="s">
        <v>30</v>
      </c>
      <c r="O497" t="s">
        <v>1405</v>
      </c>
      <c r="P497" t="s">
        <v>229</v>
      </c>
      <c r="Q497" t="s">
        <v>6826</v>
      </c>
      <c r="R497" s="1">
        <v>21108</v>
      </c>
      <c r="S497" t="s">
        <v>22</v>
      </c>
      <c r="T497" t="s">
        <v>29</v>
      </c>
      <c r="U497" t="s">
        <v>1406</v>
      </c>
      <c r="V497">
        <v>80000</v>
      </c>
      <c r="W497">
        <v>2</v>
      </c>
      <c r="X497" t="s">
        <v>77</v>
      </c>
      <c r="Y497" t="s">
        <v>53</v>
      </c>
      <c r="Z497" t="s">
        <v>23</v>
      </c>
      <c r="AA497" t="s">
        <v>3577</v>
      </c>
      <c r="AB497" t="s">
        <v>3578</v>
      </c>
      <c r="AC497" t="s">
        <v>3579</v>
      </c>
      <c r="AD497" t="s">
        <v>3479</v>
      </c>
      <c r="AE497" t="s">
        <v>3475</v>
      </c>
      <c r="AF497" s="2">
        <v>2443.35</v>
      </c>
      <c r="AG497" s="2">
        <v>1518.7864</v>
      </c>
      <c r="AH497" s="2">
        <v>924.56359999999995</v>
      </c>
      <c r="AI497" s="3">
        <v>0.37839998362903399</v>
      </c>
    </row>
    <row r="498" spans="1:35">
      <c r="A498" s="1">
        <v>42360</v>
      </c>
      <c r="B498" s="1">
        <v>37545</v>
      </c>
      <c r="C498" t="s">
        <v>6135</v>
      </c>
      <c r="D498">
        <v>362</v>
      </c>
      <c r="E498">
        <v>12230</v>
      </c>
      <c r="F498">
        <v>8</v>
      </c>
      <c r="G498">
        <v>1</v>
      </c>
      <c r="H498">
        <v>1</v>
      </c>
      <c r="I498">
        <v>1</v>
      </c>
      <c r="J498" t="s">
        <v>3545</v>
      </c>
      <c r="K498" t="s">
        <v>3546</v>
      </c>
      <c r="L498" s="2">
        <v>1105.81</v>
      </c>
      <c r="M498" s="2">
        <v>2049.0981999999999</v>
      </c>
      <c r="N498" t="s">
        <v>13</v>
      </c>
      <c r="O498" t="s">
        <v>973</v>
      </c>
      <c r="P498" t="s">
        <v>122</v>
      </c>
      <c r="Q498" t="s">
        <v>6827</v>
      </c>
      <c r="R498" s="1">
        <v>20497</v>
      </c>
      <c r="S498" t="s">
        <v>16</v>
      </c>
      <c r="T498" t="s">
        <v>16</v>
      </c>
      <c r="U498" t="s">
        <v>1039</v>
      </c>
      <c r="V498">
        <v>10000</v>
      </c>
      <c r="W498">
        <v>2</v>
      </c>
      <c r="X498" t="s">
        <v>52</v>
      </c>
      <c r="Y498" t="s">
        <v>444</v>
      </c>
      <c r="Z498" t="s">
        <v>19</v>
      </c>
      <c r="AA498" t="s">
        <v>3585</v>
      </c>
      <c r="AB498" t="s">
        <v>3585</v>
      </c>
      <c r="AC498" t="s">
        <v>3584</v>
      </c>
      <c r="AD498" t="s">
        <v>3478</v>
      </c>
      <c r="AE498" t="s">
        <v>3475</v>
      </c>
      <c r="AF498" s="2">
        <v>2049.0981999999999</v>
      </c>
      <c r="AG498" s="2">
        <v>1105.81</v>
      </c>
      <c r="AH498" s="2">
        <v>943.28819999999996</v>
      </c>
      <c r="AI498" s="3">
        <v>0.46034309141455498</v>
      </c>
    </row>
    <row r="499" spans="1:35">
      <c r="A499" s="1">
        <v>42355</v>
      </c>
      <c r="B499" s="1">
        <v>37535</v>
      </c>
      <c r="C499" t="s">
        <v>6078</v>
      </c>
      <c r="D499">
        <v>358</v>
      </c>
      <c r="E499">
        <v>12231</v>
      </c>
      <c r="F499">
        <v>8</v>
      </c>
      <c r="G499">
        <v>1</v>
      </c>
      <c r="H499">
        <v>1</v>
      </c>
      <c r="I499">
        <v>1</v>
      </c>
      <c r="J499" t="s">
        <v>3541</v>
      </c>
      <c r="K499" t="s">
        <v>3542</v>
      </c>
      <c r="L499" s="2">
        <v>1105.81</v>
      </c>
      <c r="M499" s="2">
        <v>2049.0981999999999</v>
      </c>
      <c r="N499" t="s">
        <v>30</v>
      </c>
      <c r="O499" t="s">
        <v>1040</v>
      </c>
      <c r="P499" t="s">
        <v>261</v>
      </c>
      <c r="Q499" t="s">
        <v>6828</v>
      </c>
      <c r="R499" s="1">
        <v>20167</v>
      </c>
      <c r="S499" t="s">
        <v>22</v>
      </c>
      <c r="T499" t="s">
        <v>29</v>
      </c>
      <c r="U499" t="s">
        <v>1041</v>
      </c>
      <c r="V499">
        <v>10000</v>
      </c>
      <c r="W499">
        <v>2</v>
      </c>
      <c r="X499" t="s">
        <v>52</v>
      </c>
      <c r="Y499" t="s">
        <v>444</v>
      </c>
      <c r="Z499" t="s">
        <v>19</v>
      </c>
      <c r="AA499" t="s">
        <v>3585</v>
      </c>
      <c r="AB499" t="s">
        <v>3585</v>
      </c>
      <c r="AC499" t="s">
        <v>3584</v>
      </c>
      <c r="AD499" t="s">
        <v>3478</v>
      </c>
      <c r="AE499" t="s">
        <v>3475</v>
      </c>
      <c r="AF499" s="2">
        <v>2049.0981999999999</v>
      </c>
      <c r="AG499" s="2">
        <v>1105.81</v>
      </c>
      <c r="AH499" s="2">
        <v>943.28819999999996</v>
      </c>
      <c r="AI499" s="3">
        <v>0.46034309141455498</v>
      </c>
    </row>
    <row r="500" spans="1:35">
      <c r="A500" s="1">
        <v>42343</v>
      </c>
      <c r="B500" s="1">
        <v>37528</v>
      </c>
      <c r="C500" t="s">
        <v>5949</v>
      </c>
      <c r="D500">
        <v>352</v>
      </c>
      <c r="E500">
        <v>12232</v>
      </c>
      <c r="F500">
        <v>8</v>
      </c>
      <c r="G500">
        <v>1</v>
      </c>
      <c r="H500">
        <v>1</v>
      </c>
      <c r="I500">
        <v>1</v>
      </c>
      <c r="J500" t="s">
        <v>3535</v>
      </c>
      <c r="K500" t="s">
        <v>3536</v>
      </c>
      <c r="L500" s="2">
        <v>1117.8559</v>
      </c>
      <c r="M500" s="2">
        <v>2071.4196000000002</v>
      </c>
      <c r="N500" t="s">
        <v>13</v>
      </c>
      <c r="O500" t="s">
        <v>419</v>
      </c>
      <c r="P500" t="s">
        <v>101</v>
      </c>
      <c r="Q500" t="s">
        <v>6829</v>
      </c>
      <c r="R500" s="1">
        <v>20193</v>
      </c>
      <c r="S500" t="s">
        <v>22</v>
      </c>
      <c r="T500" t="s">
        <v>16</v>
      </c>
      <c r="U500" t="s">
        <v>1042</v>
      </c>
      <c r="V500">
        <v>10000</v>
      </c>
      <c r="W500">
        <v>2</v>
      </c>
      <c r="X500" t="s">
        <v>52</v>
      </c>
      <c r="Y500" t="s">
        <v>444</v>
      </c>
      <c r="Z500" t="s">
        <v>19</v>
      </c>
      <c r="AA500" t="s">
        <v>3585</v>
      </c>
      <c r="AB500" t="s">
        <v>3585</v>
      </c>
      <c r="AC500" t="s">
        <v>3584</v>
      </c>
      <c r="AD500" t="s">
        <v>3478</v>
      </c>
      <c r="AE500" t="s">
        <v>3475</v>
      </c>
      <c r="AF500" s="2">
        <v>2071.4196000000002</v>
      </c>
      <c r="AG500" s="2">
        <v>1117.8559</v>
      </c>
      <c r="AH500" s="2">
        <v>953.56370000000004</v>
      </c>
      <c r="AI500" s="3">
        <v>0.460343090313522</v>
      </c>
    </row>
    <row r="501" spans="1:35">
      <c r="A501" s="1">
        <v>42191</v>
      </c>
      <c r="B501" s="1">
        <v>37372</v>
      </c>
      <c r="C501" t="s">
        <v>4806</v>
      </c>
      <c r="D501">
        <v>371</v>
      </c>
      <c r="E501">
        <v>13667</v>
      </c>
      <c r="F501">
        <v>7</v>
      </c>
      <c r="G501">
        <v>1</v>
      </c>
      <c r="H501">
        <v>1</v>
      </c>
      <c r="I501">
        <v>2</v>
      </c>
      <c r="J501" t="s">
        <v>3553</v>
      </c>
      <c r="K501" t="s">
        <v>3554</v>
      </c>
      <c r="L501" s="2">
        <v>1320.6838</v>
      </c>
      <c r="M501" s="2">
        <v>2181.5625</v>
      </c>
      <c r="N501" t="s">
        <v>13</v>
      </c>
      <c r="O501" t="s">
        <v>1100</v>
      </c>
      <c r="P501" t="s">
        <v>226</v>
      </c>
      <c r="Q501" t="s">
        <v>6830</v>
      </c>
      <c r="R501" s="1">
        <v>26795</v>
      </c>
      <c r="S501" t="s">
        <v>22</v>
      </c>
      <c r="T501" t="s">
        <v>16</v>
      </c>
      <c r="U501" t="s">
        <v>1596</v>
      </c>
      <c r="V501">
        <v>20000</v>
      </c>
      <c r="W501">
        <v>0</v>
      </c>
      <c r="X501" t="s">
        <v>77</v>
      </c>
      <c r="Y501" t="s">
        <v>444</v>
      </c>
      <c r="Z501" t="s">
        <v>23</v>
      </c>
      <c r="AA501" t="s">
        <v>3583</v>
      </c>
      <c r="AB501" t="s">
        <v>3583</v>
      </c>
      <c r="AC501" t="s">
        <v>3584</v>
      </c>
      <c r="AD501" t="s">
        <v>3479</v>
      </c>
      <c r="AE501" t="s">
        <v>3475</v>
      </c>
      <c r="AF501" s="2">
        <v>2181.5625</v>
      </c>
      <c r="AG501" s="2">
        <v>1320.6838</v>
      </c>
      <c r="AH501" s="2">
        <v>860.87869999999998</v>
      </c>
      <c r="AI501" s="3">
        <v>0.39461564818793898</v>
      </c>
    </row>
    <row r="502" spans="1:35">
      <c r="A502" s="1">
        <v>42191</v>
      </c>
      <c r="B502" s="1">
        <v>37409</v>
      </c>
      <c r="C502" t="s">
        <v>4807</v>
      </c>
      <c r="D502">
        <v>368</v>
      </c>
      <c r="E502">
        <v>12918</v>
      </c>
      <c r="F502">
        <v>4</v>
      </c>
      <c r="G502">
        <v>1</v>
      </c>
      <c r="H502">
        <v>1</v>
      </c>
      <c r="I502">
        <v>2</v>
      </c>
      <c r="J502" t="s">
        <v>3547</v>
      </c>
      <c r="K502" t="s">
        <v>3548</v>
      </c>
      <c r="L502" s="2">
        <v>1518.7864</v>
      </c>
      <c r="M502" s="2">
        <v>2443.35</v>
      </c>
      <c r="N502" t="s">
        <v>30</v>
      </c>
      <c r="O502" t="s">
        <v>319</v>
      </c>
      <c r="P502" t="s">
        <v>105</v>
      </c>
      <c r="Q502" t="s">
        <v>6831</v>
      </c>
      <c r="R502" s="1">
        <v>25612</v>
      </c>
      <c r="S502" t="s">
        <v>16</v>
      </c>
      <c r="T502" t="s">
        <v>29</v>
      </c>
      <c r="U502" t="s">
        <v>1317</v>
      </c>
      <c r="V502">
        <v>80000</v>
      </c>
      <c r="W502">
        <v>2</v>
      </c>
      <c r="X502" t="s">
        <v>135</v>
      </c>
      <c r="Y502" t="s">
        <v>18</v>
      </c>
      <c r="Z502" t="s">
        <v>19</v>
      </c>
      <c r="AA502" t="s">
        <v>3580</v>
      </c>
      <c r="AB502" t="s">
        <v>3578</v>
      </c>
      <c r="AC502" t="s">
        <v>3579</v>
      </c>
      <c r="AD502" t="s">
        <v>3479</v>
      </c>
      <c r="AE502" t="s">
        <v>3475</v>
      </c>
      <c r="AF502" s="2">
        <v>2443.35</v>
      </c>
      <c r="AG502" s="2">
        <v>1518.7864</v>
      </c>
      <c r="AH502" s="2">
        <v>924.56359999999995</v>
      </c>
      <c r="AI502" s="3">
        <v>0.37839998362903399</v>
      </c>
    </row>
    <row r="503" spans="1:35">
      <c r="A503" s="1">
        <v>42357</v>
      </c>
      <c r="B503" s="1">
        <v>37575</v>
      </c>
      <c r="C503" t="s">
        <v>6106</v>
      </c>
      <c r="D503">
        <v>352</v>
      </c>
      <c r="E503">
        <v>12237</v>
      </c>
      <c r="F503">
        <v>8</v>
      </c>
      <c r="G503">
        <v>1</v>
      </c>
      <c r="H503">
        <v>1</v>
      </c>
      <c r="I503">
        <v>1</v>
      </c>
      <c r="J503" t="s">
        <v>3535</v>
      </c>
      <c r="K503" t="s">
        <v>3536</v>
      </c>
      <c r="L503" s="2">
        <v>1117.8559</v>
      </c>
      <c r="M503" s="2">
        <v>2071.4196000000002</v>
      </c>
      <c r="N503" t="s">
        <v>30</v>
      </c>
      <c r="O503" t="s">
        <v>1044</v>
      </c>
      <c r="P503" t="s">
        <v>658</v>
      </c>
      <c r="Q503" t="s">
        <v>6832</v>
      </c>
      <c r="R503" s="1">
        <v>15107</v>
      </c>
      <c r="S503" t="s">
        <v>16</v>
      </c>
      <c r="T503" t="s">
        <v>29</v>
      </c>
      <c r="U503" t="s">
        <v>1045</v>
      </c>
      <c r="V503">
        <v>20000</v>
      </c>
      <c r="W503">
        <v>1</v>
      </c>
      <c r="X503" t="s">
        <v>52</v>
      </c>
      <c r="Y503" t="s">
        <v>444</v>
      </c>
      <c r="Z503" t="s">
        <v>19</v>
      </c>
      <c r="AA503" t="s">
        <v>3585</v>
      </c>
      <c r="AB503" t="s">
        <v>3585</v>
      </c>
      <c r="AC503" t="s">
        <v>3584</v>
      </c>
      <c r="AD503" t="s">
        <v>3478</v>
      </c>
      <c r="AE503" t="s">
        <v>3475</v>
      </c>
      <c r="AF503" s="2">
        <v>2071.4196000000002</v>
      </c>
      <c r="AG503" s="2">
        <v>1117.8559</v>
      </c>
      <c r="AH503" s="2">
        <v>953.56370000000004</v>
      </c>
      <c r="AI503" s="3">
        <v>0.460343090313522</v>
      </c>
    </row>
    <row r="504" spans="1:35">
      <c r="A504" s="1">
        <v>42191</v>
      </c>
      <c r="B504" s="1">
        <v>37415</v>
      </c>
      <c r="C504" t="s">
        <v>4811</v>
      </c>
      <c r="D504">
        <v>358</v>
      </c>
      <c r="E504">
        <v>12354</v>
      </c>
      <c r="F504">
        <v>9</v>
      </c>
      <c r="G504">
        <v>1</v>
      </c>
      <c r="H504">
        <v>1</v>
      </c>
      <c r="I504">
        <v>1</v>
      </c>
      <c r="J504" t="s">
        <v>3541</v>
      </c>
      <c r="K504" t="s">
        <v>3542</v>
      </c>
      <c r="L504" s="2">
        <v>1105.81</v>
      </c>
      <c r="M504" s="2">
        <v>2049.0981999999999</v>
      </c>
      <c r="N504" t="s">
        <v>13</v>
      </c>
      <c r="O504" t="s">
        <v>479</v>
      </c>
      <c r="P504" t="s">
        <v>460</v>
      </c>
      <c r="Q504" t="s">
        <v>6833</v>
      </c>
      <c r="R504" s="1">
        <v>26883</v>
      </c>
      <c r="S504" t="s">
        <v>16</v>
      </c>
      <c r="T504" t="s">
        <v>16</v>
      </c>
      <c r="U504" t="s">
        <v>1117</v>
      </c>
      <c r="V504">
        <v>110000</v>
      </c>
      <c r="W504">
        <v>0</v>
      </c>
      <c r="X504" t="s">
        <v>52</v>
      </c>
      <c r="Y504" t="s">
        <v>45</v>
      </c>
      <c r="Z504" t="s">
        <v>23</v>
      </c>
      <c r="AA504" t="s">
        <v>3586</v>
      </c>
      <c r="AB504" t="s">
        <v>3586</v>
      </c>
      <c r="AC504" t="s">
        <v>3587</v>
      </c>
      <c r="AD504" t="s">
        <v>3478</v>
      </c>
      <c r="AE504" t="s">
        <v>3475</v>
      </c>
      <c r="AF504" s="2">
        <v>2049.0981999999999</v>
      </c>
      <c r="AG504" s="2">
        <v>1105.81</v>
      </c>
      <c r="AH504" s="2">
        <v>943.28819999999996</v>
      </c>
      <c r="AI504" s="3">
        <v>0.46034309141455498</v>
      </c>
    </row>
    <row r="505" spans="1:35">
      <c r="A505" s="1">
        <v>42271</v>
      </c>
      <c r="B505" s="1">
        <v>37409</v>
      </c>
      <c r="C505" t="s">
        <v>5438</v>
      </c>
      <c r="D505">
        <v>352</v>
      </c>
      <c r="E505">
        <v>12239</v>
      </c>
      <c r="F505">
        <v>10</v>
      </c>
      <c r="G505">
        <v>1</v>
      </c>
      <c r="H505">
        <v>1</v>
      </c>
      <c r="I505">
        <v>1</v>
      </c>
      <c r="J505" t="s">
        <v>3535</v>
      </c>
      <c r="K505" t="s">
        <v>3536</v>
      </c>
      <c r="L505" s="2">
        <v>1117.8559</v>
      </c>
      <c r="M505" s="2">
        <v>2071.4196000000002</v>
      </c>
      <c r="N505" t="s">
        <v>13</v>
      </c>
      <c r="O505" t="s">
        <v>616</v>
      </c>
      <c r="P505" t="s">
        <v>89</v>
      </c>
      <c r="Q505" t="s">
        <v>6834</v>
      </c>
      <c r="R505" s="1">
        <v>15493</v>
      </c>
      <c r="S505" t="s">
        <v>16</v>
      </c>
      <c r="T505" t="s">
        <v>16</v>
      </c>
      <c r="U505" t="s">
        <v>1046</v>
      </c>
      <c r="V505">
        <v>30000</v>
      </c>
      <c r="W505">
        <v>1</v>
      </c>
      <c r="X505" t="s">
        <v>17</v>
      </c>
      <c r="Y505" t="s">
        <v>60</v>
      </c>
      <c r="Z505" t="s">
        <v>19</v>
      </c>
      <c r="AA505" t="s">
        <v>3588</v>
      </c>
      <c r="AB505" t="s">
        <v>3588</v>
      </c>
      <c r="AC505" t="s">
        <v>3584</v>
      </c>
      <c r="AD505" t="s">
        <v>3478</v>
      </c>
      <c r="AE505" t="s">
        <v>3475</v>
      </c>
      <c r="AF505" s="2">
        <v>2071.4196000000002</v>
      </c>
      <c r="AG505" s="2">
        <v>1117.8559</v>
      </c>
      <c r="AH505" s="2">
        <v>953.56370000000004</v>
      </c>
      <c r="AI505" s="3">
        <v>0.460343090313522</v>
      </c>
    </row>
    <row r="506" spans="1:35">
      <c r="A506" s="1">
        <v>42192</v>
      </c>
      <c r="B506" s="1">
        <v>37416</v>
      </c>
      <c r="C506" t="s">
        <v>4818</v>
      </c>
      <c r="D506">
        <v>375</v>
      </c>
      <c r="E506">
        <v>13060</v>
      </c>
      <c r="F506">
        <v>4</v>
      </c>
      <c r="G506">
        <v>1</v>
      </c>
      <c r="H506">
        <v>1</v>
      </c>
      <c r="I506">
        <v>2</v>
      </c>
      <c r="J506" t="s">
        <v>3557</v>
      </c>
      <c r="K506" t="s">
        <v>3558</v>
      </c>
      <c r="L506" s="2">
        <v>1320.6838</v>
      </c>
      <c r="M506" s="2">
        <v>2181.5625</v>
      </c>
      <c r="N506" t="s">
        <v>13</v>
      </c>
      <c r="O506" t="s">
        <v>20</v>
      </c>
      <c r="P506" t="s">
        <v>28</v>
      </c>
      <c r="Q506" t="s">
        <v>6835</v>
      </c>
      <c r="R506" s="1">
        <v>27554</v>
      </c>
      <c r="S506" t="s">
        <v>16</v>
      </c>
      <c r="T506" t="s">
        <v>16</v>
      </c>
      <c r="U506" t="s">
        <v>1379</v>
      </c>
      <c r="V506">
        <v>30000</v>
      </c>
      <c r="W506">
        <v>0</v>
      </c>
      <c r="X506" t="s">
        <v>57</v>
      </c>
      <c r="Y506" t="s">
        <v>53</v>
      </c>
      <c r="Z506" t="s">
        <v>19</v>
      </c>
      <c r="AA506" t="s">
        <v>3580</v>
      </c>
      <c r="AB506" t="s">
        <v>3578</v>
      </c>
      <c r="AC506" t="s">
        <v>3579</v>
      </c>
      <c r="AD506" t="s">
        <v>3479</v>
      </c>
      <c r="AE506" t="s">
        <v>3475</v>
      </c>
      <c r="AF506" s="2">
        <v>2181.5625</v>
      </c>
      <c r="AG506" s="2">
        <v>1320.6838</v>
      </c>
      <c r="AH506" s="2">
        <v>860.87869999999998</v>
      </c>
      <c r="AI506" s="3">
        <v>0.39461564818793898</v>
      </c>
    </row>
    <row r="507" spans="1:35">
      <c r="A507" s="1">
        <v>42192</v>
      </c>
      <c r="B507" s="1">
        <v>37350</v>
      </c>
      <c r="C507" t="s">
        <v>4820</v>
      </c>
      <c r="D507">
        <v>371</v>
      </c>
      <c r="E507">
        <v>13226</v>
      </c>
      <c r="F507">
        <v>1</v>
      </c>
      <c r="G507">
        <v>1</v>
      </c>
      <c r="H507">
        <v>1</v>
      </c>
      <c r="I507">
        <v>2</v>
      </c>
      <c r="J507" t="s">
        <v>3553</v>
      </c>
      <c r="K507" t="s">
        <v>3554</v>
      </c>
      <c r="L507" s="2">
        <v>1320.6838</v>
      </c>
      <c r="M507" s="2">
        <v>2181.5625</v>
      </c>
      <c r="N507" t="s">
        <v>30</v>
      </c>
      <c r="O507" t="s">
        <v>403</v>
      </c>
      <c r="P507" t="s">
        <v>481</v>
      </c>
      <c r="Q507" t="s">
        <v>6836</v>
      </c>
      <c r="R507" s="1">
        <v>17239</v>
      </c>
      <c r="S507" t="s">
        <v>16</v>
      </c>
      <c r="T507" t="s">
        <v>29</v>
      </c>
      <c r="U507" t="s">
        <v>1464</v>
      </c>
      <c r="V507">
        <v>60000</v>
      </c>
      <c r="W507">
        <v>5</v>
      </c>
      <c r="X507" t="s">
        <v>17</v>
      </c>
      <c r="Y507" t="s">
        <v>45</v>
      </c>
      <c r="Z507" t="s">
        <v>19</v>
      </c>
      <c r="AA507" t="s">
        <v>3577</v>
      </c>
      <c r="AB507" t="s">
        <v>3578</v>
      </c>
      <c r="AC507" t="s">
        <v>3579</v>
      </c>
      <c r="AD507" t="s">
        <v>3479</v>
      </c>
      <c r="AE507" t="s">
        <v>3475</v>
      </c>
      <c r="AF507" s="2">
        <v>2181.5625</v>
      </c>
      <c r="AG507" s="2">
        <v>1320.6838</v>
      </c>
      <c r="AH507" s="2">
        <v>860.87869999999998</v>
      </c>
      <c r="AI507" s="3">
        <v>0.39461564818793898</v>
      </c>
    </row>
    <row r="508" spans="1:35">
      <c r="A508" s="1">
        <v>42192</v>
      </c>
      <c r="B508" s="1">
        <v>37368</v>
      </c>
      <c r="C508" t="s">
        <v>4821</v>
      </c>
      <c r="D508">
        <v>360</v>
      </c>
      <c r="E508">
        <v>12341</v>
      </c>
      <c r="F508">
        <v>9</v>
      </c>
      <c r="G508">
        <v>1</v>
      </c>
      <c r="H508">
        <v>1</v>
      </c>
      <c r="I508">
        <v>1</v>
      </c>
      <c r="J508" t="s">
        <v>3543</v>
      </c>
      <c r="K508" t="s">
        <v>3544</v>
      </c>
      <c r="L508" s="2">
        <v>1105.81</v>
      </c>
      <c r="M508" s="2">
        <v>2049.0981999999999</v>
      </c>
      <c r="N508" t="s">
        <v>26</v>
      </c>
      <c r="O508" t="s">
        <v>865</v>
      </c>
      <c r="P508" t="s">
        <v>194</v>
      </c>
      <c r="Q508" t="s">
        <v>6837</v>
      </c>
      <c r="R508" s="1">
        <v>28012</v>
      </c>
      <c r="S508" t="s">
        <v>16</v>
      </c>
      <c r="T508" t="s">
        <v>29</v>
      </c>
      <c r="U508" t="s">
        <v>1107</v>
      </c>
      <c r="V508">
        <v>80000</v>
      </c>
      <c r="W508">
        <v>0</v>
      </c>
      <c r="X508" t="s">
        <v>17</v>
      </c>
      <c r="Y508" t="s">
        <v>18</v>
      </c>
      <c r="Z508" t="s">
        <v>19</v>
      </c>
      <c r="AA508" t="s">
        <v>3586</v>
      </c>
      <c r="AB508" t="s">
        <v>3586</v>
      </c>
      <c r="AC508" t="s">
        <v>3587</v>
      </c>
      <c r="AD508" t="s">
        <v>3478</v>
      </c>
      <c r="AE508" t="s">
        <v>3475</v>
      </c>
      <c r="AF508" s="2">
        <v>2049.0981999999999</v>
      </c>
      <c r="AG508" s="2">
        <v>1105.81</v>
      </c>
      <c r="AH508" s="2">
        <v>943.28819999999996</v>
      </c>
      <c r="AI508" s="3">
        <v>0.46034309141455498</v>
      </c>
    </row>
    <row r="509" spans="1:35">
      <c r="A509" s="1">
        <v>42192</v>
      </c>
      <c r="B509" s="1">
        <v>37403</v>
      </c>
      <c r="C509" t="s">
        <v>4823</v>
      </c>
      <c r="D509">
        <v>362</v>
      </c>
      <c r="E509">
        <v>12576</v>
      </c>
      <c r="F509">
        <v>9</v>
      </c>
      <c r="G509">
        <v>1</v>
      </c>
      <c r="H509">
        <v>1</v>
      </c>
      <c r="I509">
        <v>1</v>
      </c>
      <c r="J509" t="s">
        <v>3545</v>
      </c>
      <c r="K509" t="s">
        <v>3546</v>
      </c>
      <c r="L509" s="2">
        <v>1105.81</v>
      </c>
      <c r="M509" s="2">
        <v>2049.0981999999999</v>
      </c>
      <c r="N509" t="s">
        <v>13</v>
      </c>
      <c r="O509" t="s">
        <v>1084</v>
      </c>
      <c r="P509" t="s">
        <v>97</v>
      </c>
      <c r="Q509" t="s">
        <v>6838</v>
      </c>
      <c r="R509" s="1">
        <v>28928</v>
      </c>
      <c r="S509" t="s">
        <v>22</v>
      </c>
      <c r="T509" t="s">
        <v>16</v>
      </c>
      <c r="U509" t="s">
        <v>1192</v>
      </c>
      <c r="V509">
        <v>10000</v>
      </c>
      <c r="W509">
        <v>0</v>
      </c>
      <c r="X509" t="s">
        <v>52</v>
      </c>
      <c r="Y509" t="s">
        <v>444</v>
      </c>
      <c r="Z509" t="s">
        <v>23</v>
      </c>
      <c r="AA509" t="s">
        <v>3586</v>
      </c>
      <c r="AB509" t="s">
        <v>3586</v>
      </c>
      <c r="AC509" t="s">
        <v>3587</v>
      </c>
      <c r="AD509" t="s">
        <v>3478</v>
      </c>
      <c r="AE509" t="s">
        <v>3475</v>
      </c>
      <c r="AF509" s="2">
        <v>2049.0981999999999</v>
      </c>
      <c r="AG509" s="2">
        <v>1105.81</v>
      </c>
      <c r="AH509" s="2">
        <v>943.28819999999996</v>
      </c>
      <c r="AI509" s="3">
        <v>0.46034309141455498</v>
      </c>
    </row>
    <row r="510" spans="1:35">
      <c r="A510" s="1">
        <v>42192</v>
      </c>
      <c r="B510" s="1">
        <v>37389</v>
      </c>
      <c r="C510" t="s">
        <v>4824</v>
      </c>
      <c r="D510">
        <v>354</v>
      </c>
      <c r="E510">
        <v>12346</v>
      </c>
      <c r="F510">
        <v>9</v>
      </c>
      <c r="G510">
        <v>1</v>
      </c>
      <c r="H510">
        <v>1</v>
      </c>
      <c r="I510">
        <v>1</v>
      </c>
      <c r="J510" t="s">
        <v>3537</v>
      </c>
      <c r="K510" t="s">
        <v>3538</v>
      </c>
      <c r="L510" s="2">
        <v>1117.8559</v>
      </c>
      <c r="M510" s="2">
        <v>2071.4196000000002</v>
      </c>
      <c r="N510" t="s">
        <v>13</v>
      </c>
      <c r="O510" t="s">
        <v>973</v>
      </c>
      <c r="P510" t="s">
        <v>140</v>
      </c>
      <c r="Q510" t="s">
        <v>6839</v>
      </c>
      <c r="R510" s="1">
        <v>27536</v>
      </c>
      <c r="S510" t="s">
        <v>22</v>
      </c>
      <c r="T510" t="s">
        <v>16</v>
      </c>
      <c r="U510" t="s">
        <v>1111</v>
      </c>
      <c r="V510">
        <v>90000</v>
      </c>
      <c r="W510">
        <v>0</v>
      </c>
      <c r="X510" t="s">
        <v>17</v>
      </c>
      <c r="Y510" t="s">
        <v>18</v>
      </c>
      <c r="Z510" t="s">
        <v>23</v>
      </c>
      <c r="AA510" t="s">
        <v>3586</v>
      </c>
      <c r="AB510" t="s">
        <v>3586</v>
      </c>
      <c r="AC510" t="s">
        <v>3587</v>
      </c>
      <c r="AD510" t="s">
        <v>3478</v>
      </c>
      <c r="AE510" t="s">
        <v>3475</v>
      </c>
      <c r="AF510" s="2">
        <v>2071.4196000000002</v>
      </c>
      <c r="AG510" s="2">
        <v>1117.8559</v>
      </c>
      <c r="AH510" s="2">
        <v>953.56370000000004</v>
      </c>
      <c r="AI510" s="3">
        <v>0.460343090313522</v>
      </c>
    </row>
    <row r="511" spans="1:35">
      <c r="A511" s="1">
        <v>42193</v>
      </c>
      <c r="B511" s="1">
        <v>37341</v>
      </c>
      <c r="C511" t="s">
        <v>4828</v>
      </c>
      <c r="D511">
        <v>379</v>
      </c>
      <c r="E511">
        <v>12980</v>
      </c>
      <c r="F511">
        <v>1</v>
      </c>
      <c r="G511">
        <v>1</v>
      </c>
      <c r="H511">
        <v>1</v>
      </c>
      <c r="I511">
        <v>2</v>
      </c>
      <c r="J511" t="s">
        <v>3561</v>
      </c>
      <c r="K511" t="s">
        <v>3562</v>
      </c>
      <c r="L511" s="2">
        <v>1320.6838</v>
      </c>
      <c r="M511" s="2">
        <v>2181.5625</v>
      </c>
      <c r="N511" t="s">
        <v>13</v>
      </c>
      <c r="O511" t="s">
        <v>878</v>
      </c>
      <c r="P511" t="s">
        <v>1333</v>
      </c>
      <c r="Q511" t="s">
        <v>6840</v>
      </c>
      <c r="R511" s="1">
        <v>21776</v>
      </c>
      <c r="S511" t="s">
        <v>16</v>
      </c>
      <c r="T511" t="s">
        <v>16</v>
      </c>
      <c r="U511" t="s">
        <v>1334</v>
      </c>
      <c r="V511">
        <v>80000</v>
      </c>
      <c r="W511">
        <v>2</v>
      </c>
      <c r="X511" t="s">
        <v>135</v>
      </c>
      <c r="Y511" t="s">
        <v>18</v>
      </c>
      <c r="Z511" t="s">
        <v>19</v>
      </c>
      <c r="AA511" t="s">
        <v>3577</v>
      </c>
      <c r="AB511" t="s">
        <v>3578</v>
      </c>
      <c r="AC511" t="s">
        <v>3579</v>
      </c>
      <c r="AD511" t="s">
        <v>3479</v>
      </c>
      <c r="AE511" t="s">
        <v>3475</v>
      </c>
      <c r="AF511" s="2">
        <v>2181.5625</v>
      </c>
      <c r="AG511" s="2">
        <v>1320.6838</v>
      </c>
      <c r="AH511" s="2">
        <v>860.87869999999998</v>
      </c>
      <c r="AI511" s="3">
        <v>0.39461564818793898</v>
      </c>
    </row>
    <row r="512" spans="1:35">
      <c r="A512" s="1">
        <v>42194</v>
      </c>
      <c r="B512" s="1">
        <v>37395</v>
      </c>
      <c r="C512" t="s">
        <v>4831</v>
      </c>
      <c r="D512">
        <v>368</v>
      </c>
      <c r="E512">
        <v>13057</v>
      </c>
      <c r="F512">
        <v>4</v>
      </c>
      <c r="G512">
        <v>1</v>
      </c>
      <c r="H512">
        <v>1</v>
      </c>
      <c r="I512">
        <v>2</v>
      </c>
      <c r="J512" t="s">
        <v>3547</v>
      </c>
      <c r="K512" t="s">
        <v>3548</v>
      </c>
      <c r="L512" s="2">
        <v>1518.7864</v>
      </c>
      <c r="M512" s="2">
        <v>2443.35</v>
      </c>
      <c r="N512" t="s">
        <v>26</v>
      </c>
      <c r="O512" t="s">
        <v>65</v>
      </c>
      <c r="P512" t="s">
        <v>119</v>
      </c>
      <c r="Q512" t="s">
        <v>6841</v>
      </c>
      <c r="R512" s="1">
        <v>27566</v>
      </c>
      <c r="S512" t="s">
        <v>22</v>
      </c>
      <c r="T512" t="s">
        <v>29</v>
      </c>
      <c r="U512" t="s">
        <v>1376</v>
      </c>
      <c r="V512">
        <v>30000</v>
      </c>
      <c r="W512">
        <v>0</v>
      </c>
      <c r="X512" t="s">
        <v>57</v>
      </c>
      <c r="Y512" t="s">
        <v>53</v>
      </c>
      <c r="Z512" t="s">
        <v>19</v>
      </c>
      <c r="AA512" t="s">
        <v>3580</v>
      </c>
      <c r="AB512" t="s">
        <v>3578</v>
      </c>
      <c r="AC512" t="s">
        <v>3579</v>
      </c>
      <c r="AD512" t="s">
        <v>3479</v>
      </c>
      <c r="AE512" t="s">
        <v>3475</v>
      </c>
      <c r="AF512" s="2">
        <v>2443.35</v>
      </c>
      <c r="AG512" s="2">
        <v>1518.7864</v>
      </c>
      <c r="AH512" s="2">
        <v>924.56359999999995</v>
      </c>
      <c r="AI512" s="3">
        <v>0.37839998362903399</v>
      </c>
    </row>
    <row r="513" spans="1:35">
      <c r="A513" s="1">
        <v>42194</v>
      </c>
      <c r="B513" s="1">
        <v>37357</v>
      </c>
      <c r="C513" t="s">
        <v>4832</v>
      </c>
      <c r="D513">
        <v>354</v>
      </c>
      <c r="E513">
        <v>12350</v>
      </c>
      <c r="F513">
        <v>9</v>
      </c>
      <c r="G513">
        <v>1</v>
      </c>
      <c r="H513">
        <v>1</v>
      </c>
      <c r="I513">
        <v>1</v>
      </c>
      <c r="J513" t="s">
        <v>3537</v>
      </c>
      <c r="K513" t="s">
        <v>3538</v>
      </c>
      <c r="L513" s="2">
        <v>1117.8559</v>
      </c>
      <c r="M513" s="2">
        <v>2071.4196000000002</v>
      </c>
      <c r="N513" t="s">
        <v>13</v>
      </c>
      <c r="O513" t="s">
        <v>608</v>
      </c>
      <c r="P513" t="s">
        <v>101</v>
      </c>
      <c r="Q513" t="s">
        <v>6842</v>
      </c>
      <c r="R513" s="1">
        <v>26720</v>
      </c>
      <c r="S513" t="s">
        <v>16</v>
      </c>
      <c r="T513" t="s">
        <v>16</v>
      </c>
      <c r="U513" t="s">
        <v>1115</v>
      </c>
      <c r="V513">
        <v>90000</v>
      </c>
      <c r="W513">
        <v>0</v>
      </c>
      <c r="X513" t="s">
        <v>17</v>
      </c>
      <c r="Y513" t="s">
        <v>18</v>
      </c>
      <c r="Z513" t="s">
        <v>19</v>
      </c>
      <c r="AA513" t="s">
        <v>3586</v>
      </c>
      <c r="AB513" t="s">
        <v>3586</v>
      </c>
      <c r="AC513" t="s">
        <v>3587</v>
      </c>
      <c r="AD513" t="s">
        <v>3478</v>
      </c>
      <c r="AE513" t="s">
        <v>3475</v>
      </c>
      <c r="AF513" s="2">
        <v>2071.4196000000002</v>
      </c>
      <c r="AG513" s="2">
        <v>1117.8559</v>
      </c>
      <c r="AH513" s="2">
        <v>953.56370000000004</v>
      </c>
      <c r="AI513" s="3">
        <v>0.460343090313522</v>
      </c>
    </row>
    <row r="514" spans="1:35">
      <c r="A514" s="1">
        <v>42194</v>
      </c>
      <c r="B514" s="1">
        <v>37407</v>
      </c>
      <c r="C514" t="s">
        <v>4833</v>
      </c>
      <c r="D514">
        <v>369</v>
      </c>
      <c r="E514">
        <v>13056</v>
      </c>
      <c r="F514">
        <v>1</v>
      </c>
      <c r="G514">
        <v>1</v>
      </c>
      <c r="H514">
        <v>1</v>
      </c>
      <c r="I514">
        <v>2</v>
      </c>
      <c r="J514" t="s">
        <v>3549</v>
      </c>
      <c r="K514" t="s">
        <v>3550</v>
      </c>
      <c r="L514" s="2">
        <v>1518.7864</v>
      </c>
      <c r="M514" s="2">
        <v>2443.35</v>
      </c>
      <c r="N514" t="s">
        <v>26</v>
      </c>
      <c r="O514" t="s">
        <v>252</v>
      </c>
      <c r="P514" t="s">
        <v>910</v>
      </c>
      <c r="Q514" t="s">
        <v>6843</v>
      </c>
      <c r="R514" s="1">
        <v>27660</v>
      </c>
      <c r="S514" t="s">
        <v>22</v>
      </c>
      <c r="T514" t="s">
        <v>29</v>
      </c>
      <c r="U514" t="s">
        <v>1375</v>
      </c>
      <c r="V514">
        <v>30000</v>
      </c>
      <c r="W514">
        <v>0</v>
      </c>
      <c r="X514" t="s">
        <v>57</v>
      </c>
      <c r="Y514" t="s">
        <v>53</v>
      </c>
      <c r="Z514" t="s">
        <v>19</v>
      </c>
      <c r="AA514" t="s">
        <v>3577</v>
      </c>
      <c r="AB514" t="s">
        <v>3578</v>
      </c>
      <c r="AC514" t="s">
        <v>3579</v>
      </c>
      <c r="AD514" t="s">
        <v>3479</v>
      </c>
      <c r="AE514" t="s">
        <v>3475</v>
      </c>
      <c r="AF514" s="2">
        <v>2443.35</v>
      </c>
      <c r="AG514" s="2">
        <v>1518.7864</v>
      </c>
      <c r="AH514" s="2">
        <v>924.56359999999995</v>
      </c>
      <c r="AI514" s="3">
        <v>0.37839998362903399</v>
      </c>
    </row>
    <row r="515" spans="1:35">
      <c r="A515" s="1">
        <v>42276</v>
      </c>
      <c r="B515" s="1">
        <v>37433</v>
      </c>
      <c r="C515" t="s">
        <v>5468</v>
      </c>
      <c r="D515">
        <v>356</v>
      </c>
      <c r="E515">
        <v>12263</v>
      </c>
      <c r="F515">
        <v>10</v>
      </c>
      <c r="G515">
        <v>1</v>
      </c>
      <c r="H515">
        <v>1</v>
      </c>
      <c r="I515">
        <v>1</v>
      </c>
      <c r="J515" t="s">
        <v>3539</v>
      </c>
      <c r="K515" t="s">
        <v>3540</v>
      </c>
      <c r="L515" s="2">
        <v>1117.8559</v>
      </c>
      <c r="M515" s="2">
        <v>2071.4196000000002</v>
      </c>
      <c r="N515" t="s">
        <v>13</v>
      </c>
      <c r="O515" t="s">
        <v>1061</v>
      </c>
      <c r="P515" t="s">
        <v>99</v>
      </c>
      <c r="Q515" t="s">
        <v>6844</v>
      </c>
      <c r="R515" s="1">
        <v>21990</v>
      </c>
      <c r="S515" t="s">
        <v>22</v>
      </c>
      <c r="T515" t="s">
        <v>16</v>
      </c>
      <c r="U515" t="s">
        <v>1062</v>
      </c>
      <c r="V515">
        <v>20000</v>
      </c>
      <c r="W515">
        <v>1</v>
      </c>
      <c r="X515" t="s">
        <v>52</v>
      </c>
      <c r="Y515" t="s">
        <v>444</v>
      </c>
      <c r="Z515" t="s">
        <v>23</v>
      </c>
      <c r="AA515" t="s">
        <v>3588</v>
      </c>
      <c r="AB515" t="s">
        <v>3588</v>
      </c>
      <c r="AC515" t="s">
        <v>3584</v>
      </c>
      <c r="AD515" t="s">
        <v>3478</v>
      </c>
      <c r="AE515" t="s">
        <v>3475</v>
      </c>
      <c r="AF515" s="2">
        <v>2071.4196000000002</v>
      </c>
      <c r="AG515" s="2">
        <v>1117.8559</v>
      </c>
      <c r="AH515" s="2">
        <v>953.56370000000004</v>
      </c>
      <c r="AI515" s="3">
        <v>0.460343090313522</v>
      </c>
    </row>
    <row r="516" spans="1:35">
      <c r="A516" s="1">
        <v>42289</v>
      </c>
      <c r="B516" s="1">
        <v>37470</v>
      </c>
      <c r="C516" t="s">
        <v>5550</v>
      </c>
      <c r="D516">
        <v>360</v>
      </c>
      <c r="E516">
        <v>12264</v>
      </c>
      <c r="F516">
        <v>10</v>
      </c>
      <c r="G516">
        <v>1</v>
      </c>
      <c r="H516">
        <v>1</v>
      </c>
      <c r="I516">
        <v>1</v>
      </c>
      <c r="J516" t="s">
        <v>3543</v>
      </c>
      <c r="K516" t="s">
        <v>3544</v>
      </c>
      <c r="L516" s="2">
        <v>1105.81</v>
      </c>
      <c r="M516" s="2">
        <v>2049.0981999999999</v>
      </c>
      <c r="N516" t="s">
        <v>13</v>
      </c>
      <c r="O516" t="s">
        <v>1063</v>
      </c>
      <c r="P516" t="s">
        <v>809</v>
      </c>
      <c r="Q516" t="s">
        <v>6845</v>
      </c>
      <c r="R516" s="1">
        <v>21967</v>
      </c>
      <c r="S516" t="s">
        <v>22</v>
      </c>
      <c r="T516" t="s">
        <v>16</v>
      </c>
      <c r="U516" t="s">
        <v>1064</v>
      </c>
      <c r="V516">
        <v>20000</v>
      </c>
      <c r="W516">
        <v>1</v>
      </c>
      <c r="X516" t="s">
        <v>52</v>
      </c>
      <c r="Y516" t="s">
        <v>444</v>
      </c>
      <c r="Z516" t="s">
        <v>23</v>
      </c>
      <c r="AA516" t="s">
        <v>3588</v>
      </c>
      <c r="AB516" t="s">
        <v>3588</v>
      </c>
      <c r="AC516" t="s">
        <v>3584</v>
      </c>
      <c r="AD516" t="s">
        <v>3478</v>
      </c>
      <c r="AE516" t="s">
        <v>3475</v>
      </c>
      <c r="AF516" s="2">
        <v>2049.0981999999999</v>
      </c>
      <c r="AG516" s="2">
        <v>1105.81</v>
      </c>
      <c r="AH516" s="2">
        <v>943.28819999999996</v>
      </c>
      <c r="AI516" s="3">
        <v>0.46034309141455498</v>
      </c>
    </row>
    <row r="517" spans="1:35">
      <c r="A517" s="1">
        <v>42356</v>
      </c>
      <c r="B517" s="1">
        <v>37532</v>
      </c>
      <c r="C517" t="s">
        <v>6092</v>
      </c>
      <c r="D517">
        <v>354</v>
      </c>
      <c r="E517">
        <v>12266</v>
      </c>
      <c r="F517">
        <v>8</v>
      </c>
      <c r="G517">
        <v>1</v>
      </c>
      <c r="H517">
        <v>1</v>
      </c>
      <c r="I517">
        <v>1</v>
      </c>
      <c r="J517" t="s">
        <v>3537</v>
      </c>
      <c r="K517" t="s">
        <v>3538</v>
      </c>
      <c r="L517" s="2">
        <v>1117.8559</v>
      </c>
      <c r="M517" s="2">
        <v>2071.4196000000002</v>
      </c>
      <c r="N517" t="s">
        <v>30</v>
      </c>
      <c r="O517" t="s">
        <v>150</v>
      </c>
      <c r="P517" t="s">
        <v>212</v>
      </c>
      <c r="Q517" t="s">
        <v>6846</v>
      </c>
      <c r="R517" s="1">
        <v>21626</v>
      </c>
      <c r="S517" t="s">
        <v>16</v>
      </c>
      <c r="T517" t="s">
        <v>29</v>
      </c>
      <c r="U517" t="s">
        <v>1065</v>
      </c>
      <c r="V517">
        <v>20000</v>
      </c>
      <c r="W517">
        <v>2</v>
      </c>
      <c r="X517" t="s">
        <v>52</v>
      </c>
      <c r="Y517" t="s">
        <v>444</v>
      </c>
      <c r="Z517" t="s">
        <v>19</v>
      </c>
      <c r="AA517" t="s">
        <v>3585</v>
      </c>
      <c r="AB517" t="s">
        <v>3585</v>
      </c>
      <c r="AC517" t="s">
        <v>3584</v>
      </c>
      <c r="AD517" t="s">
        <v>3478</v>
      </c>
      <c r="AE517" t="s">
        <v>3475</v>
      </c>
      <c r="AF517" s="2">
        <v>2071.4196000000002</v>
      </c>
      <c r="AG517" s="2">
        <v>1117.8559</v>
      </c>
      <c r="AH517" s="2">
        <v>953.56370000000004</v>
      </c>
      <c r="AI517" s="3">
        <v>0.460343090313522</v>
      </c>
    </row>
    <row r="518" spans="1:35">
      <c r="A518" s="1">
        <v>42195</v>
      </c>
      <c r="B518" s="1">
        <v>37337</v>
      </c>
      <c r="C518" t="s">
        <v>4840</v>
      </c>
      <c r="D518">
        <v>377</v>
      </c>
      <c r="E518">
        <v>12934</v>
      </c>
      <c r="F518">
        <v>4</v>
      </c>
      <c r="G518">
        <v>1</v>
      </c>
      <c r="H518">
        <v>1</v>
      </c>
      <c r="I518">
        <v>2</v>
      </c>
      <c r="J518" t="s">
        <v>3559</v>
      </c>
      <c r="K518" t="s">
        <v>3560</v>
      </c>
      <c r="L518" s="2">
        <v>1320.6838</v>
      </c>
      <c r="M518" s="2">
        <v>2181.5625</v>
      </c>
      <c r="N518" t="s">
        <v>13</v>
      </c>
      <c r="O518" t="s">
        <v>279</v>
      </c>
      <c r="P518" t="s">
        <v>321</v>
      </c>
      <c r="Q518" t="s">
        <v>6847</v>
      </c>
      <c r="R518" s="1">
        <v>25519</v>
      </c>
      <c r="S518" t="s">
        <v>22</v>
      </c>
      <c r="T518" t="s">
        <v>16</v>
      </c>
      <c r="U518" t="s">
        <v>1324</v>
      </c>
      <c r="V518">
        <v>80000</v>
      </c>
      <c r="W518">
        <v>3</v>
      </c>
      <c r="X518" t="s">
        <v>135</v>
      </c>
      <c r="Y518" t="s">
        <v>18</v>
      </c>
      <c r="Z518" t="s">
        <v>19</v>
      </c>
      <c r="AA518" t="s">
        <v>3580</v>
      </c>
      <c r="AB518" t="s">
        <v>3578</v>
      </c>
      <c r="AC518" t="s">
        <v>3579</v>
      </c>
      <c r="AD518" t="s">
        <v>3479</v>
      </c>
      <c r="AE518" t="s">
        <v>3475</v>
      </c>
      <c r="AF518" s="2">
        <v>2181.5625</v>
      </c>
      <c r="AG518" s="2">
        <v>1320.6838</v>
      </c>
      <c r="AH518" s="2">
        <v>860.87869999999998</v>
      </c>
      <c r="AI518" s="3">
        <v>0.39461564818793898</v>
      </c>
    </row>
    <row r="519" spans="1:35">
      <c r="A519" s="1">
        <v>42363</v>
      </c>
      <c r="B519" s="1">
        <v>37546</v>
      </c>
      <c r="C519" t="s">
        <v>6165</v>
      </c>
      <c r="D519">
        <v>360</v>
      </c>
      <c r="E519">
        <v>12270</v>
      </c>
      <c r="F519">
        <v>8</v>
      </c>
      <c r="G519">
        <v>1</v>
      </c>
      <c r="H519">
        <v>1</v>
      </c>
      <c r="I519">
        <v>1</v>
      </c>
      <c r="J519" t="s">
        <v>3543</v>
      </c>
      <c r="K519" t="s">
        <v>3544</v>
      </c>
      <c r="L519" s="2">
        <v>1105.81</v>
      </c>
      <c r="M519" s="2">
        <v>2049.0981999999999</v>
      </c>
      <c r="N519" t="s">
        <v>30</v>
      </c>
      <c r="O519" t="s">
        <v>94</v>
      </c>
      <c r="P519" t="s">
        <v>89</v>
      </c>
      <c r="Q519" t="s">
        <v>6848</v>
      </c>
      <c r="R519" s="1">
        <v>22168</v>
      </c>
      <c r="S519" t="s">
        <v>22</v>
      </c>
      <c r="T519" t="s">
        <v>29</v>
      </c>
      <c r="U519" t="s">
        <v>1067</v>
      </c>
      <c r="V519">
        <v>30000</v>
      </c>
      <c r="W519">
        <v>3</v>
      </c>
      <c r="X519" t="s">
        <v>135</v>
      </c>
      <c r="Y519" t="s">
        <v>60</v>
      </c>
      <c r="Z519" t="s">
        <v>19</v>
      </c>
      <c r="AA519" t="s">
        <v>3585</v>
      </c>
      <c r="AB519" t="s">
        <v>3585</v>
      </c>
      <c r="AC519" t="s">
        <v>3584</v>
      </c>
      <c r="AD519" t="s">
        <v>3478</v>
      </c>
      <c r="AE519" t="s">
        <v>3475</v>
      </c>
      <c r="AF519" s="2">
        <v>2049.0981999999999</v>
      </c>
      <c r="AG519" s="2">
        <v>1105.81</v>
      </c>
      <c r="AH519" s="2">
        <v>943.28819999999996</v>
      </c>
      <c r="AI519" s="3">
        <v>0.46034309141455498</v>
      </c>
    </row>
    <row r="520" spans="1:35">
      <c r="A520" s="1">
        <v>42290</v>
      </c>
      <c r="B520" s="1">
        <v>37454</v>
      </c>
      <c r="C520" t="s">
        <v>5572</v>
      </c>
      <c r="D520">
        <v>352</v>
      </c>
      <c r="E520">
        <v>12271</v>
      </c>
      <c r="F520">
        <v>10</v>
      </c>
      <c r="G520">
        <v>1</v>
      </c>
      <c r="H520">
        <v>1</v>
      </c>
      <c r="I520">
        <v>1</v>
      </c>
      <c r="J520" t="s">
        <v>3535</v>
      </c>
      <c r="K520" t="s">
        <v>3536</v>
      </c>
      <c r="L520" s="2">
        <v>1117.8559</v>
      </c>
      <c r="M520" s="2">
        <v>2071.4196000000002</v>
      </c>
      <c r="N520" t="s">
        <v>13</v>
      </c>
      <c r="O520" t="s">
        <v>467</v>
      </c>
      <c r="P520" t="s">
        <v>101</v>
      </c>
      <c r="Q520" t="s">
        <v>6849</v>
      </c>
      <c r="R520" s="1">
        <v>21809</v>
      </c>
      <c r="S520" t="s">
        <v>16</v>
      </c>
      <c r="T520" t="s">
        <v>16</v>
      </c>
      <c r="U520" t="s">
        <v>1068</v>
      </c>
      <c r="V520">
        <v>30000</v>
      </c>
      <c r="W520">
        <v>0</v>
      </c>
      <c r="X520" t="s">
        <v>17</v>
      </c>
      <c r="Y520" t="s">
        <v>60</v>
      </c>
      <c r="Z520" t="s">
        <v>19</v>
      </c>
      <c r="AA520" t="s">
        <v>3588</v>
      </c>
      <c r="AB520" t="s">
        <v>3588</v>
      </c>
      <c r="AC520" t="s">
        <v>3584</v>
      </c>
      <c r="AD520" t="s">
        <v>3478</v>
      </c>
      <c r="AE520" t="s">
        <v>3475</v>
      </c>
      <c r="AF520" s="2">
        <v>2071.4196000000002</v>
      </c>
      <c r="AG520" s="2">
        <v>1117.8559</v>
      </c>
      <c r="AH520" s="2">
        <v>953.56370000000004</v>
      </c>
      <c r="AI520" s="3">
        <v>0.460343090313522</v>
      </c>
    </row>
    <row r="521" spans="1:35">
      <c r="A521" s="1">
        <v>42281</v>
      </c>
      <c r="B521" s="1">
        <v>37464</v>
      </c>
      <c r="C521" t="s">
        <v>5510</v>
      </c>
      <c r="D521">
        <v>354</v>
      </c>
      <c r="E521">
        <v>12272</v>
      </c>
      <c r="F521">
        <v>10</v>
      </c>
      <c r="G521">
        <v>1</v>
      </c>
      <c r="H521">
        <v>1</v>
      </c>
      <c r="I521">
        <v>1</v>
      </c>
      <c r="J521" t="s">
        <v>3537</v>
      </c>
      <c r="K521" t="s">
        <v>3538</v>
      </c>
      <c r="L521" s="2">
        <v>1117.8559</v>
      </c>
      <c r="M521" s="2">
        <v>2071.4196000000002</v>
      </c>
      <c r="N521" t="s">
        <v>13</v>
      </c>
      <c r="O521" t="s">
        <v>614</v>
      </c>
      <c r="P521" t="s">
        <v>288</v>
      </c>
      <c r="Q521" t="s">
        <v>6850</v>
      </c>
      <c r="R521" s="1">
        <v>21894</v>
      </c>
      <c r="S521" t="s">
        <v>16</v>
      </c>
      <c r="T521" t="s">
        <v>16</v>
      </c>
      <c r="U521" t="s">
        <v>1069</v>
      </c>
      <c r="V521">
        <v>40000</v>
      </c>
      <c r="W521">
        <v>3</v>
      </c>
      <c r="X521" t="s">
        <v>135</v>
      </c>
      <c r="Y521" t="s">
        <v>60</v>
      </c>
      <c r="Z521" t="s">
        <v>19</v>
      </c>
      <c r="AA521" t="s">
        <v>3588</v>
      </c>
      <c r="AB521" t="s">
        <v>3588</v>
      </c>
      <c r="AC521" t="s">
        <v>3584</v>
      </c>
      <c r="AD521" t="s">
        <v>3478</v>
      </c>
      <c r="AE521" t="s">
        <v>3475</v>
      </c>
      <c r="AF521" s="2">
        <v>2071.4196000000002</v>
      </c>
      <c r="AG521" s="2">
        <v>1117.8559</v>
      </c>
      <c r="AH521" s="2">
        <v>953.56370000000004</v>
      </c>
      <c r="AI521" s="3">
        <v>0.460343090313522</v>
      </c>
    </row>
    <row r="522" spans="1:35">
      <c r="A522" s="1">
        <v>42196</v>
      </c>
      <c r="B522" s="1">
        <v>37389</v>
      </c>
      <c r="C522" t="s">
        <v>4848</v>
      </c>
      <c r="D522">
        <v>362</v>
      </c>
      <c r="E522">
        <v>12573</v>
      </c>
      <c r="F522">
        <v>9</v>
      </c>
      <c r="G522">
        <v>1</v>
      </c>
      <c r="H522">
        <v>1</v>
      </c>
      <c r="I522">
        <v>1</v>
      </c>
      <c r="J522" t="s">
        <v>3545</v>
      </c>
      <c r="K522" t="s">
        <v>3546</v>
      </c>
      <c r="L522" s="2">
        <v>1105.81</v>
      </c>
      <c r="M522" s="2">
        <v>2049.0981999999999</v>
      </c>
      <c r="N522" t="s">
        <v>13</v>
      </c>
      <c r="O522" t="s">
        <v>554</v>
      </c>
      <c r="P522" t="s">
        <v>59</v>
      </c>
      <c r="Q522" t="s">
        <v>6851</v>
      </c>
      <c r="R522" s="1">
        <v>29274</v>
      </c>
      <c r="S522" t="s">
        <v>22</v>
      </c>
      <c r="T522" t="s">
        <v>16</v>
      </c>
      <c r="U522" t="s">
        <v>1188</v>
      </c>
      <c r="V522">
        <v>10000</v>
      </c>
      <c r="W522">
        <v>0</v>
      </c>
      <c r="X522" t="s">
        <v>52</v>
      </c>
      <c r="Y522" t="s">
        <v>444</v>
      </c>
      <c r="Z522" t="s">
        <v>23</v>
      </c>
      <c r="AA522" t="s">
        <v>3586</v>
      </c>
      <c r="AB522" t="s">
        <v>3586</v>
      </c>
      <c r="AC522" t="s">
        <v>3587</v>
      </c>
      <c r="AD522" t="s">
        <v>3478</v>
      </c>
      <c r="AE522" t="s">
        <v>3475</v>
      </c>
      <c r="AF522" s="2">
        <v>2049.0981999999999</v>
      </c>
      <c r="AG522" s="2">
        <v>1105.81</v>
      </c>
      <c r="AH522" s="2">
        <v>943.28819999999996</v>
      </c>
      <c r="AI522" s="3">
        <v>0.46034309141455498</v>
      </c>
    </row>
    <row r="523" spans="1:35">
      <c r="A523" s="1">
        <v>42293</v>
      </c>
      <c r="B523" s="1">
        <v>37427</v>
      </c>
      <c r="C523" t="s">
        <v>5588</v>
      </c>
      <c r="D523">
        <v>356</v>
      </c>
      <c r="E523">
        <v>12277</v>
      </c>
      <c r="F523">
        <v>10</v>
      </c>
      <c r="G523">
        <v>1</v>
      </c>
      <c r="H523">
        <v>1</v>
      </c>
      <c r="I523">
        <v>1</v>
      </c>
      <c r="J523" t="s">
        <v>3539</v>
      </c>
      <c r="K523" t="s">
        <v>3540</v>
      </c>
      <c r="L523" s="2">
        <v>1117.8559</v>
      </c>
      <c r="M523" s="2">
        <v>2071.4196000000002</v>
      </c>
      <c r="N523" t="s">
        <v>30</v>
      </c>
      <c r="O523" t="s">
        <v>494</v>
      </c>
      <c r="P523" t="s">
        <v>460</v>
      </c>
      <c r="Q523" t="s">
        <v>6852</v>
      </c>
      <c r="R523" s="1">
        <v>25315</v>
      </c>
      <c r="S523" t="s">
        <v>22</v>
      </c>
      <c r="T523" t="s">
        <v>29</v>
      </c>
      <c r="U523" t="s">
        <v>1070</v>
      </c>
      <c r="V523">
        <v>10000</v>
      </c>
      <c r="W523">
        <v>2</v>
      </c>
      <c r="X523" t="s">
        <v>57</v>
      </c>
      <c r="Y523" t="s">
        <v>444</v>
      </c>
      <c r="Z523" t="s">
        <v>19</v>
      </c>
      <c r="AA523" t="s">
        <v>3588</v>
      </c>
      <c r="AB523" t="s">
        <v>3588</v>
      </c>
      <c r="AC523" t="s">
        <v>3584</v>
      </c>
      <c r="AD523" t="s">
        <v>3478</v>
      </c>
      <c r="AE523" t="s">
        <v>3475</v>
      </c>
      <c r="AF523" s="2">
        <v>2071.4196000000002</v>
      </c>
      <c r="AG523" s="2">
        <v>1117.8559</v>
      </c>
      <c r="AH523" s="2">
        <v>953.56370000000004</v>
      </c>
      <c r="AI523" s="3">
        <v>0.460343090313522</v>
      </c>
    </row>
    <row r="524" spans="1:35">
      <c r="A524" s="1">
        <v>42196</v>
      </c>
      <c r="B524" s="1">
        <v>37401</v>
      </c>
      <c r="C524" t="s">
        <v>4850</v>
      </c>
      <c r="D524">
        <v>368</v>
      </c>
      <c r="E524">
        <v>13063</v>
      </c>
      <c r="F524">
        <v>1</v>
      </c>
      <c r="G524">
        <v>1</v>
      </c>
      <c r="H524">
        <v>1</v>
      </c>
      <c r="I524">
        <v>2</v>
      </c>
      <c r="J524" t="s">
        <v>3547</v>
      </c>
      <c r="K524" t="s">
        <v>3548</v>
      </c>
      <c r="L524" s="2">
        <v>1518.7864</v>
      </c>
      <c r="M524" s="2">
        <v>2443.35</v>
      </c>
      <c r="N524" t="s">
        <v>26</v>
      </c>
      <c r="O524" t="s">
        <v>145</v>
      </c>
      <c r="P524" t="s">
        <v>32</v>
      </c>
      <c r="Q524" t="s">
        <v>6853</v>
      </c>
      <c r="R524" s="1">
        <v>27102</v>
      </c>
      <c r="S524" t="s">
        <v>22</v>
      </c>
      <c r="T524" t="s">
        <v>29</v>
      </c>
      <c r="U524" t="s">
        <v>1381</v>
      </c>
      <c r="V524">
        <v>40000</v>
      </c>
      <c r="W524">
        <v>0</v>
      </c>
      <c r="X524" t="s">
        <v>57</v>
      </c>
      <c r="Y524" t="s">
        <v>53</v>
      </c>
      <c r="Z524" t="s">
        <v>19</v>
      </c>
      <c r="AA524" t="s">
        <v>3577</v>
      </c>
      <c r="AB524" t="s">
        <v>3578</v>
      </c>
      <c r="AC524" t="s">
        <v>3579</v>
      </c>
      <c r="AD524" t="s">
        <v>3479</v>
      </c>
      <c r="AE524" t="s">
        <v>3475</v>
      </c>
      <c r="AF524" s="2">
        <v>2443.35</v>
      </c>
      <c r="AG524" s="2">
        <v>1518.7864</v>
      </c>
      <c r="AH524" s="2">
        <v>924.56359999999995</v>
      </c>
      <c r="AI524" s="3">
        <v>0.37839998362903399</v>
      </c>
    </row>
    <row r="525" spans="1:35">
      <c r="A525" s="1">
        <v>42292</v>
      </c>
      <c r="B525" s="1">
        <v>37460</v>
      </c>
      <c r="C525" t="s">
        <v>5584</v>
      </c>
      <c r="D525">
        <v>362</v>
      </c>
      <c r="E525">
        <v>12281</v>
      </c>
      <c r="F525">
        <v>10</v>
      </c>
      <c r="G525">
        <v>1</v>
      </c>
      <c r="H525">
        <v>1</v>
      </c>
      <c r="I525">
        <v>1</v>
      </c>
      <c r="J525" t="s">
        <v>3545</v>
      </c>
      <c r="K525" t="s">
        <v>3546</v>
      </c>
      <c r="L525" s="2">
        <v>1105.81</v>
      </c>
      <c r="M525" s="2">
        <v>2049.0981999999999</v>
      </c>
      <c r="N525" t="s">
        <v>26</v>
      </c>
      <c r="O525" t="s">
        <v>652</v>
      </c>
      <c r="P525" t="s">
        <v>109</v>
      </c>
      <c r="Q525" t="s">
        <v>6854</v>
      </c>
      <c r="R525" s="1">
        <v>25681</v>
      </c>
      <c r="S525" t="s">
        <v>16</v>
      </c>
      <c r="T525" t="s">
        <v>29</v>
      </c>
      <c r="U525" t="s">
        <v>1072</v>
      </c>
      <c r="V525">
        <v>40000</v>
      </c>
      <c r="W525">
        <v>0</v>
      </c>
      <c r="X525" t="s">
        <v>135</v>
      </c>
      <c r="Y525" t="s">
        <v>60</v>
      </c>
      <c r="Z525" t="s">
        <v>19</v>
      </c>
      <c r="AA525" t="s">
        <v>3588</v>
      </c>
      <c r="AB525" t="s">
        <v>3588</v>
      </c>
      <c r="AC525" t="s">
        <v>3584</v>
      </c>
      <c r="AD525" t="s">
        <v>3478</v>
      </c>
      <c r="AE525" t="s">
        <v>3475</v>
      </c>
      <c r="AF525" s="2">
        <v>2049.0981999999999</v>
      </c>
      <c r="AG525" s="2">
        <v>1105.81</v>
      </c>
      <c r="AH525" s="2">
        <v>943.28819999999996</v>
      </c>
      <c r="AI525" s="3">
        <v>0.46034309141455498</v>
      </c>
    </row>
    <row r="526" spans="1:35">
      <c r="A526" s="1">
        <v>42196</v>
      </c>
      <c r="B526" s="1">
        <v>37389</v>
      </c>
      <c r="C526" t="s">
        <v>4854</v>
      </c>
      <c r="D526">
        <v>375</v>
      </c>
      <c r="E526">
        <v>13202</v>
      </c>
      <c r="F526">
        <v>4</v>
      </c>
      <c r="G526">
        <v>1</v>
      </c>
      <c r="H526">
        <v>1</v>
      </c>
      <c r="I526">
        <v>2</v>
      </c>
      <c r="J526" t="s">
        <v>3557</v>
      </c>
      <c r="K526" t="s">
        <v>3558</v>
      </c>
      <c r="L526" s="2">
        <v>1320.6838</v>
      </c>
      <c r="M526" s="2">
        <v>2181.5625</v>
      </c>
      <c r="N526" t="s">
        <v>30</v>
      </c>
      <c r="O526" t="s">
        <v>1452</v>
      </c>
      <c r="P526" t="s">
        <v>317</v>
      </c>
      <c r="Q526" t="s">
        <v>6855</v>
      </c>
      <c r="R526" s="1">
        <v>16181</v>
      </c>
      <c r="S526" t="s">
        <v>22</v>
      </c>
      <c r="T526" t="s">
        <v>29</v>
      </c>
      <c r="U526" t="s">
        <v>1453</v>
      </c>
      <c r="V526">
        <v>70000</v>
      </c>
      <c r="W526">
        <v>4</v>
      </c>
      <c r="X526" t="s">
        <v>17</v>
      </c>
      <c r="Y526" t="s">
        <v>45</v>
      </c>
      <c r="Z526" t="s">
        <v>23</v>
      </c>
      <c r="AA526" t="s">
        <v>3580</v>
      </c>
      <c r="AB526" t="s">
        <v>3578</v>
      </c>
      <c r="AC526" t="s">
        <v>3579</v>
      </c>
      <c r="AD526" t="s">
        <v>3479</v>
      </c>
      <c r="AE526" t="s">
        <v>3475</v>
      </c>
      <c r="AF526" s="2">
        <v>2181.5625</v>
      </c>
      <c r="AG526" s="2">
        <v>1320.6838</v>
      </c>
      <c r="AH526" s="2">
        <v>860.87869999999998</v>
      </c>
      <c r="AI526" s="3">
        <v>0.39461564818793898</v>
      </c>
    </row>
    <row r="527" spans="1:35">
      <c r="A527" s="1">
        <v>42303</v>
      </c>
      <c r="B527" s="1">
        <v>37530</v>
      </c>
      <c r="C527" t="s">
        <v>5674</v>
      </c>
      <c r="D527">
        <v>358</v>
      </c>
      <c r="E527">
        <v>12282</v>
      </c>
      <c r="F527">
        <v>10</v>
      </c>
      <c r="G527">
        <v>1</v>
      </c>
      <c r="H527">
        <v>1</v>
      </c>
      <c r="I527">
        <v>1</v>
      </c>
      <c r="J527" t="s">
        <v>3541</v>
      </c>
      <c r="K527" t="s">
        <v>3542</v>
      </c>
      <c r="L527" s="2">
        <v>1105.81</v>
      </c>
      <c r="M527" s="2">
        <v>2049.0981999999999</v>
      </c>
      <c r="N527" t="s">
        <v>13</v>
      </c>
      <c r="O527" t="s">
        <v>1073</v>
      </c>
      <c r="P527" t="s">
        <v>282</v>
      </c>
      <c r="Q527" t="s">
        <v>6856</v>
      </c>
      <c r="R527" s="1">
        <v>25575</v>
      </c>
      <c r="S527" t="s">
        <v>22</v>
      </c>
      <c r="T527" t="s">
        <v>16</v>
      </c>
      <c r="U527" t="s">
        <v>1074</v>
      </c>
      <c r="V527">
        <v>40000</v>
      </c>
      <c r="W527">
        <v>0</v>
      </c>
      <c r="X527" t="s">
        <v>135</v>
      </c>
      <c r="Y527" t="s">
        <v>60</v>
      </c>
      <c r="Z527" t="s">
        <v>19</v>
      </c>
      <c r="AA527" t="s">
        <v>3588</v>
      </c>
      <c r="AB527" t="s">
        <v>3588</v>
      </c>
      <c r="AC527" t="s">
        <v>3584</v>
      </c>
      <c r="AD527" t="s">
        <v>3478</v>
      </c>
      <c r="AE527" t="s">
        <v>3475</v>
      </c>
      <c r="AF527" s="2">
        <v>2049.0981999999999</v>
      </c>
      <c r="AG527" s="2">
        <v>1105.81</v>
      </c>
      <c r="AH527" s="2">
        <v>943.28819999999996</v>
      </c>
      <c r="AI527" s="3">
        <v>0.46034309141455498</v>
      </c>
    </row>
    <row r="528" spans="1:35">
      <c r="A528" s="1">
        <v>42197</v>
      </c>
      <c r="B528" s="1">
        <v>37356</v>
      </c>
      <c r="C528" t="s">
        <v>4855</v>
      </c>
      <c r="D528">
        <v>377</v>
      </c>
      <c r="E528">
        <v>13068</v>
      </c>
      <c r="F528">
        <v>4</v>
      </c>
      <c r="G528">
        <v>1</v>
      </c>
      <c r="H528">
        <v>1</v>
      </c>
      <c r="I528">
        <v>2</v>
      </c>
      <c r="J528" t="s">
        <v>3559</v>
      </c>
      <c r="K528" t="s">
        <v>3560</v>
      </c>
      <c r="L528" s="2">
        <v>1320.6838</v>
      </c>
      <c r="M528" s="2">
        <v>2181.5625</v>
      </c>
      <c r="N528" t="s">
        <v>26</v>
      </c>
      <c r="O528" t="s">
        <v>628</v>
      </c>
      <c r="P528" t="s">
        <v>311</v>
      </c>
      <c r="Q528" t="s">
        <v>6857</v>
      </c>
      <c r="R528" s="1">
        <v>27078</v>
      </c>
      <c r="S528" t="s">
        <v>22</v>
      </c>
      <c r="T528" t="s">
        <v>29</v>
      </c>
      <c r="U528" t="s">
        <v>1385</v>
      </c>
      <c r="V528">
        <v>30000</v>
      </c>
      <c r="W528">
        <v>0</v>
      </c>
      <c r="X528" t="s">
        <v>57</v>
      </c>
      <c r="Y528" t="s">
        <v>53</v>
      </c>
      <c r="Z528" t="s">
        <v>23</v>
      </c>
      <c r="AA528" t="s">
        <v>3580</v>
      </c>
      <c r="AB528" t="s">
        <v>3578</v>
      </c>
      <c r="AC528" t="s">
        <v>3579</v>
      </c>
      <c r="AD528" t="s">
        <v>3479</v>
      </c>
      <c r="AE528" t="s">
        <v>3475</v>
      </c>
      <c r="AF528" s="2">
        <v>2181.5625</v>
      </c>
      <c r="AG528" s="2">
        <v>1320.6838</v>
      </c>
      <c r="AH528" s="2">
        <v>860.87869999999998</v>
      </c>
      <c r="AI528" s="3">
        <v>0.39461564818793898</v>
      </c>
    </row>
    <row r="529" spans="1:35">
      <c r="A529" s="1">
        <v>42278</v>
      </c>
      <c r="B529" s="1">
        <v>37468</v>
      </c>
      <c r="C529" t="s">
        <v>5491</v>
      </c>
      <c r="D529">
        <v>362</v>
      </c>
      <c r="E529">
        <v>12283</v>
      </c>
      <c r="F529">
        <v>10</v>
      </c>
      <c r="G529">
        <v>1</v>
      </c>
      <c r="H529">
        <v>1</v>
      </c>
      <c r="I529">
        <v>1</v>
      </c>
      <c r="J529" t="s">
        <v>3545</v>
      </c>
      <c r="K529" t="s">
        <v>3546</v>
      </c>
      <c r="L529" s="2">
        <v>1105.81</v>
      </c>
      <c r="M529" s="2">
        <v>2049.0981999999999</v>
      </c>
      <c r="N529" t="s">
        <v>73</v>
      </c>
      <c r="O529" t="s">
        <v>139</v>
      </c>
      <c r="P529" t="s">
        <v>227</v>
      </c>
      <c r="Q529" t="s">
        <v>6858</v>
      </c>
      <c r="R529" s="1">
        <v>25425</v>
      </c>
      <c r="S529" t="s">
        <v>22</v>
      </c>
      <c r="T529" t="s">
        <v>76</v>
      </c>
      <c r="U529" t="s">
        <v>1075</v>
      </c>
      <c r="V529">
        <v>20000</v>
      </c>
      <c r="W529">
        <v>0</v>
      </c>
      <c r="X529" t="s">
        <v>52</v>
      </c>
      <c r="Y529" t="s">
        <v>444</v>
      </c>
      <c r="Z529" t="s">
        <v>19</v>
      </c>
      <c r="AA529" t="s">
        <v>3588</v>
      </c>
      <c r="AB529" t="s">
        <v>3588</v>
      </c>
      <c r="AC529" t="s">
        <v>3584</v>
      </c>
      <c r="AD529" t="s">
        <v>3478</v>
      </c>
      <c r="AE529" t="s">
        <v>3475</v>
      </c>
      <c r="AF529" s="2">
        <v>2049.0981999999999</v>
      </c>
      <c r="AG529" s="2">
        <v>1105.81</v>
      </c>
      <c r="AH529" s="2">
        <v>943.28819999999996</v>
      </c>
      <c r="AI529" s="3">
        <v>0.46034309141455498</v>
      </c>
    </row>
    <row r="530" spans="1:35">
      <c r="A530" s="1">
        <v>42285</v>
      </c>
      <c r="B530" s="1">
        <v>37486</v>
      </c>
      <c r="C530" t="s">
        <v>5530</v>
      </c>
      <c r="D530">
        <v>354</v>
      </c>
      <c r="E530">
        <v>12284</v>
      </c>
      <c r="F530">
        <v>10</v>
      </c>
      <c r="G530">
        <v>1</v>
      </c>
      <c r="H530">
        <v>1</v>
      </c>
      <c r="I530">
        <v>1</v>
      </c>
      <c r="J530" t="s">
        <v>3537</v>
      </c>
      <c r="K530" t="s">
        <v>3538</v>
      </c>
      <c r="L530" s="2">
        <v>1117.8559</v>
      </c>
      <c r="M530" s="2">
        <v>2071.4196000000002</v>
      </c>
      <c r="N530" t="s">
        <v>26</v>
      </c>
      <c r="O530" t="s">
        <v>1076</v>
      </c>
      <c r="P530" t="s">
        <v>75</v>
      </c>
      <c r="Q530" t="s">
        <v>6859</v>
      </c>
      <c r="R530" s="1">
        <v>25478</v>
      </c>
      <c r="S530" t="s">
        <v>16</v>
      </c>
      <c r="T530" t="s">
        <v>29</v>
      </c>
      <c r="U530" t="s">
        <v>1077</v>
      </c>
      <c r="V530">
        <v>30000</v>
      </c>
      <c r="W530">
        <v>0</v>
      </c>
      <c r="X530" t="s">
        <v>17</v>
      </c>
      <c r="Y530" t="s">
        <v>60</v>
      </c>
      <c r="Z530" t="s">
        <v>23</v>
      </c>
      <c r="AA530" t="s">
        <v>3588</v>
      </c>
      <c r="AB530" t="s">
        <v>3588</v>
      </c>
      <c r="AC530" t="s">
        <v>3584</v>
      </c>
      <c r="AD530" t="s">
        <v>3478</v>
      </c>
      <c r="AE530" t="s">
        <v>3475</v>
      </c>
      <c r="AF530" s="2">
        <v>2071.4196000000002</v>
      </c>
      <c r="AG530" s="2">
        <v>1117.8559</v>
      </c>
      <c r="AH530" s="2">
        <v>953.56370000000004</v>
      </c>
      <c r="AI530" s="3">
        <v>0.460343090313522</v>
      </c>
    </row>
    <row r="531" spans="1:35">
      <c r="A531" s="1">
        <v>42197</v>
      </c>
      <c r="B531" s="1">
        <v>37370</v>
      </c>
      <c r="C531" t="s">
        <v>4857</v>
      </c>
      <c r="D531">
        <v>371</v>
      </c>
      <c r="E531">
        <v>13173</v>
      </c>
      <c r="F531">
        <v>1</v>
      </c>
      <c r="G531">
        <v>1</v>
      </c>
      <c r="H531">
        <v>1</v>
      </c>
      <c r="I531">
        <v>2</v>
      </c>
      <c r="J531" t="s">
        <v>3553</v>
      </c>
      <c r="K531" t="s">
        <v>3554</v>
      </c>
      <c r="L531" s="2">
        <v>1320.6838</v>
      </c>
      <c r="M531" s="2">
        <v>2181.5625</v>
      </c>
      <c r="N531" t="s">
        <v>13</v>
      </c>
      <c r="O531" t="s">
        <v>186</v>
      </c>
      <c r="P531" t="s">
        <v>286</v>
      </c>
      <c r="Q531" t="s">
        <v>6860</v>
      </c>
      <c r="R531" s="1">
        <v>25095</v>
      </c>
      <c r="S531" t="s">
        <v>16</v>
      </c>
      <c r="T531" t="s">
        <v>16</v>
      </c>
      <c r="U531" t="s">
        <v>1444</v>
      </c>
      <c r="V531">
        <v>80000</v>
      </c>
      <c r="W531">
        <v>0</v>
      </c>
      <c r="X531" t="s">
        <v>17</v>
      </c>
      <c r="Y531" t="s">
        <v>45</v>
      </c>
      <c r="Z531" t="s">
        <v>23</v>
      </c>
      <c r="AA531" t="s">
        <v>3577</v>
      </c>
      <c r="AB531" t="s">
        <v>3578</v>
      </c>
      <c r="AC531" t="s">
        <v>3579</v>
      </c>
      <c r="AD531" t="s">
        <v>3479</v>
      </c>
      <c r="AE531" t="s">
        <v>3475</v>
      </c>
      <c r="AF531" s="2">
        <v>2181.5625</v>
      </c>
      <c r="AG531" s="2">
        <v>1320.6838</v>
      </c>
      <c r="AH531" s="2">
        <v>860.87869999999998</v>
      </c>
      <c r="AI531" s="3">
        <v>0.39461564818793898</v>
      </c>
    </row>
    <row r="532" spans="1:35">
      <c r="A532" s="1">
        <v>42197</v>
      </c>
      <c r="B532" s="1">
        <v>37415</v>
      </c>
      <c r="C532" t="s">
        <v>4858</v>
      </c>
      <c r="D532">
        <v>375</v>
      </c>
      <c r="E532">
        <v>13225</v>
      </c>
      <c r="F532">
        <v>4</v>
      </c>
      <c r="G532">
        <v>1</v>
      </c>
      <c r="H532">
        <v>1</v>
      </c>
      <c r="I532">
        <v>2</v>
      </c>
      <c r="J532" t="s">
        <v>3557</v>
      </c>
      <c r="K532" t="s">
        <v>3558</v>
      </c>
      <c r="L532" s="2">
        <v>1320.6838</v>
      </c>
      <c r="M532" s="2">
        <v>2181.5625</v>
      </c>
      <c r="N532" t="s">
        <v>13</v>
      </c>
      <c r="O532" t="s">
        <v>1340</v>
      </c>
      <c r="P532" t="s">
        <v>40</v>
      </c>
      <c r="Q532" t="s">
        <v>6861</v>
      </c>
      <c r="R532" s="1">
        <v>17340</v>
      </c>
      <c r="S532" t="s">
        <v>16</v>
      </c>
      <c r="T532" t="s">
        <v>16</v>
      </c>
      <c r="U532" t="s">
        <v>1463</v>
      </c>
      <c r="V532">
        <v>60000</v>
      </c>
      <c r="W532">
        <v>5</v>
      </c>
      <c r="X532" t="s">
        <v>17</v>
      </c>
      <c r="Y532" t="s">
        <v>45</v>
      </c>
      <c r="Z532" t="s">
        <v>23</v>
      </c>
      <c r="AA532" t="s">
        <v>3580</v>
      </c>
      <c r="AB532" t="s">
        <v>3578</v>
      </c>
      <c r="AC532" t="s">
        <v>3579</v>
      </c>
      <c r="AD532" t="s">
        <v>3479</v>
      </c>
      <c r="AE532" t="s">
        <v>3475</v>
      </c>
      <c r="AF532" s="2">
        <v>2181.5625</v>
      </c>
      <c r="AG532" s="2">
        <v>1320.6838</v>
      </c>
      <c r="AH532" s="2">
        <v>860.87869999999998</v>
      </c>
      <c r="AI532" s="3">
        <v>0.39461564818793898</v>
      </c>
    </row>
    <row r="533" spans="1:35">
      <c r="A533" s="1">
        <v>42325</v>
      </c>
      <c r="B533" s="1">
        <v>37549</v>
      </c>
      <c r="C533" t="s">
        <v>5802</v>
      </c>
      <c r="D533">
        <v>360</v>
      </c>
      <c r="E533">
        <v>12286</v>
      </c>
      <c r="F533">
        <v>10</v>
      </c>
      <c r="G533">
        <v>1</v>
      </c>
      <c r="H533">
        <v>1</v>
      </c>
      <c r="I533">
        <v>1</v>
      </c>
      <c r="J533" t="s">
        <v>3543</v>
      </c>
      <c r="K533" t="s">
        <v>3544</v>
      </c>
      <c r="L533" s="2">
        <v>1105.81</v>
      </c>
      <c r="M533" s="2">
        <v>2049.0981999999999</v>
      </c>
      <c r="N533" t="s">
        <v>13</v>
      </c>
      <c r="O533" t="s">
        <v>110</v>
      </c>
      <c r="P533" t="s">
        <v>47</v>
      </c>
      <c r="Q533" t="s">
        <v>6862</v>
      </c>
      <c r="R533" s="1">
        <v>25452</v>
      </c>
      <c r="S533" t="s">
        <v>22</v>
      </c>
      <c r="T533" t="s">
        <v>16</v>
      </c>
      <c r="U533" t="s">
        <v>1078</v>
      </c>
      <c r="V533">
        <v>40000</v>
      </c>
      <c r="W533">
        <v>0</v>
      </c>
      <c r="X533" t="s">
        <v>135</v>
      </c>
      <c r="Y533" t="s">
        <v>53</v>
      </c>
      <c r="Z533" t="s">
        <v>19</v>
      </c>
      <c r="AA533" t="s">
        <v>3588</v>
      </c>
      <c r="AB533" t="s">
        <v>3588</v>
      </c>
      <c r="AC533" t="s">
        <v>3584</v>
      </c>
      <c r="AD533" t="s">
        <v>3478</v>
      </c>
      <c r="AE533" t="s">
        <v>3475</v>
      </c>
      <c r="AF533" s="2">
        <v>2049.0981999999999</v>
      </c>
      <c r="AG533" s="2">
        <v>1105.81</v>
      </c>
      <c r="AH533" s="2">
        <v>943.28819999999996</v>
      </c>
      <c r="AI533" s="3">
        <v>0.46034309141455498</v>
      </c>
    </row>
    <row r="534" spans="1:35">
      <c r="A534" s="1">
        <v>42197</v>
      </c>
      <c r="B534" s="1">
        <v>37337</v>
      </c>
      <c r="C534" t="s">
        <v>4859</v>
      </c>
      <c r="D534">
        <v>375</v>
      </c>
      <c r="E534">
        <v>13161</v>
      </c>
      <c r="F534">
        <v>1</v>
      </c>
      <c r="G534">
        <v>1</v>
      </c>
      <c r="H534">
        <v>1</v>
      </c>
      <c r="I534">
        <v>2</v>
      </c>
      <c r="J534" t="s">
        <v>3557</v>
      </c>
      <c r="K534" t="s">
        <v>3558</v>
      </c>
      <c r="L534" s="2">
        <v>1320.6838</v>
      </c>
      <c r="M534" s="2">
        <v>2181.5625</v>
      </c>
      <c r="N534" t="s">
        <v>13</v>
      </c>
      <c r="O534" t="s">
        <v>304</v>
      </c>
      <c r="P534" t="s">
        <v>674</v>
      </c>
      <c r="Q534" t="s">
        <v>6863</v>
      </c>
      <c r="R534" s="1">
        <v>27874</v>
      </c>
      <c r="S534" t="s">
        <v>16</v>
      </c>
      <c r="T534" t="s">
        <v>16</v>
      </c>
      <c r="U534" t="s">
        <v>1442</v>
      </c>
      <c r="V534">
        <v>40000</v>
      </c>
      <c r="W534">
        <v>0</v>
      </c>
      <c r="X534" t="s">
        <v>57</v>
      </c>
      <c r="Y534" t="s">
        <v>53</v>
      </c>
      <c r="Z534" t="s">
        <v>19</v>
      </c>
      <c r="AA534" t="s">
        <v>3577</v>
      </c>
      <c r="AB534" t="s">
        <v>3578</v>
      </c>
      <c r="AC534" t="s">
        <v>3579</v>
      </c>
      <c r="AD534" t="s">
        <v>3479</v>
      </c>
      <c r="AE534" t="s">
        <v>3475</v>
      </c>
      <c r="AF534" s="2">
        <v>2181.5625</v>
      </c>
      <c r="AG534" s="2">
        <v>1320.6838</v>
      </c>
      <c r="AH534" s="2">
        <v>860.87869999999998</v>
      </c>
      <c r="AI534" s="3">
        <v>0.39461564818793898</v>
      </c>
    </row>
    <row r="535" spans="1:35">
      <c r="A535" s="1">
        <v>42338</v>
      </c>
      <c r="B535" s="1">
        <v>37548</v>
      </c>
      <c r="C535" t="s">
        <v>5889</v>
      </c>
      <c r="D535">
        <v>360</v>
      </c>
      <c r="E535">
        <v>12287</v>
      </c>
      <c r="F535">
        <v>10</v>
      </c>
      <c r="G535">
        <v>1</v>
      </c>
      <c r="H535">
        <v>1</v>
      </c>
      <c r="I535">
        <v>1</v>
      </c>
      <c r="J535" t="s">
        <v>3543</v>
      </c>
      <c r="K535" t="s">
        <v>3544</v>
      </c>
      <c r="L535" s="2">
        <v>1105.81</v>
      </c>
      <c r="M535" s="2">
        <v>2049.0981999999999</v>
      </c>
      <c r="N535" t="s">
        <v>13</v>
      </c>
      <c r="O535" t="s">
        <v>525</v>
      </c>
      <c r="P535" t="s">
        <v>163</v>
      </c>
      <c r="Q535" t="s">
        <v>6864</v>
      </c>
      <c r="R535" s="1">
        <v>18994</v>
      </c>
      <c r="S535" t="s">
        <v>22</v>
      </c>
      <c r="T535" t="s">
        <v>16</v>
      </c>
      <c r="U535" t="s">
        <v>1079</v>
      </c>
      <c r="V535">
        <v>10000</v>
      </c>
      <c r="W535">
        <v>3</v>
      </c>
      <c r="X535" t="s">
        <v>52</v>
      </c>
      <c r="Y535" t="s">
        <v>444</v>
      </c>
      <c r="Z535" t="s">
        <v>23</v>
      </c>
      <c r="AA535" t="s">
        <v>3588</v>
      </c>
      <c r="AB535" t="s">
        <v>3588</v>
      </c>
      <c r="AC535" t="s">
        <v>3584</v>
      </c>
      <c r="AD535" t="s">
        <v>3478</v>
      </c>
      <c r="AE535" t="s">
        <v>3475</v>
      </c>
      <c r="AF535" s="2">
        <v>2049.0981999999999</v>
      </c>
      <c r="AG535" s="2">
        <v>1105.81</v>
      </c>
      <c r="AH535" s="2">
        <v>943.28819999999996</v>
      </c>
      <c r="AI535" s="3">
        <v>0.46034309141455498</v>
      </c>
    </row>
    <row r="536" spans="1:35">
      <c r="A536" s="1">
        <v>42197</v>
      </c>
      <c r="B536" s="1">
        <v>37381</v>
      </c>
      <c r="C536" t="s">
        <v>4860</v>
      </c>
      <c r="D536">
        <v>360</v>
      </c>
      <c r="E536">
        <v>12356</v>
      </c>
      <c r="F536">
        <v>9</v>
      </c>
      <c r="G536">
        <v>1</v>
      </c>
      <c r="H536">
        <v>1</v>
      </c>
      <c r="I536">
        <v>1</v>
      </c>
      <c r="J536" t="s">
        <v>3543</v>
      </c>
      <c r="K536" t="s">
        <v>3544</v>
      </c>
      <c r="L536" s="2">
        <v>1105.81</v>
      </c>
      <c r="M536" s="2">
        <v>2049.0981999999999</v>
      </c>
      <c r="N536" t="s">
        <v>26</v>
      </c>
      <c r="O536" t="s">
        <v>202</v>
      </c>
      <c r="P536" t="s">
        <v>283</v>
      </c>
      <c r="Q536" t="s">
        <v>6865</v>
      </c>
      <c r="R536" s="1">
        <v>26167</v>
      </c>
      <c r="S536" t="s">
        <v>22</v>
      </c>
      <c r="T536" t="s">
        <v>29</v>
      </c>
      <c r="U536" t="s">
        <v>1120</v>
      </c>
      <c r="V536">
        <v>90000</v>
      </c>
      <c r="W536">
        <v>0</v>
      </c>
      <c r="X536" t="s">
        <v>17</v>
      </c>
      <c r="Y536" t="s">
        <v>18</v>
      </c>
      <c r="Z536" t="s">
        <v>23</v>
      </c>
      <c r="AA536" t="s">
        <v>3586</v>
      </c>
      <c r="AB536" t="s">
        <v>3586</v>
      </c>
      <c r="AC536" t="s">
        <v>3587</v>
      </c>
      <c r="AD536" t="s">
        <v>3478</v>
      </c>
      <c r="AE536" t="s">
        <v>3475</v>
      </c>
      <c r="AF536" s="2">
        <v>2049.0981999999999</v>
      </c>
      <c r="AG536" s="2">
        <v>1105.81</v>
      </c>
      <c r="AH536" s="2">
        <v>943.28819999999996</v>
      </c>
      <c r="AI536" s="3">
        <v>0.46034309141455498</v>
      </c>
    </row>
    <row r="537" spans="1:35">
      <c r="A537" s="1">
        <v>42329</v>
      </c>
      <c r="B537" s="1">
        <v>37483</v>
      </c>
      <c r="C537" t="s">
        <v>5824</v>
      </c>
      <c r="D537">
        <v>362</v>
      </c>
      <c r="E537">
        <v>12289</v>
      </c>
      <c r="F537">
        <v>10</v>
      </c>
      <c r="G537">
        <v>1</v>
      </c>
      <c r="H537">
        <v>1</v>
      </c>
      <c r="I537">
        <v>1</v>
      </c>
      <c r="J537" t="s">
        <v>3545</v>
      </c>
      <c r="K537" t="s">
        <v>3546</v>
      </c>
      <c r="L537" s="2">
        <v>1105.81</v>
      </c>
      <c r="M537" s="2">
        <v>2049.0981999999999</v>
      </c>
      <c r="N537" t="s">
        <v>13</v>
      </c>
      <c r="O537" t="s">
        <v>485</v>
      </c>
      <c r="P537" t="s">
        <v>254</v>
      </c>
      <c r="Q537" t="s">
        <v>6866</v>
      </c>
      <c r="R537" s="1">
        <v>24920</v>
      </c>
      <c r="S537" t="s">
        <v>22</v>
      </c>
      <c r="T537" t="s">
        <v>16</v>
      </c>
      <c r="U537" t="s">
        <v>1080</v>
      </c>
      <c r="V537">
        <v>10000</v>
      </c>
      <c r="W537">
        <v>2</v>
      </c>
      <c r="X537" t="s">
        <v>57</v>
      </c>
      <c r="Y537" t="s">
        <v>444</v>
      </c>
      <c r="Z537" t="s">
        <v>19</v>
      </c>
      <c r="AA537" t="s">
        <v>3588</v>
      </c>
      <c r="AB537" t="s">
        <v>3588</v>
      </c>
      <c r="AC537" t="s">
        <v>3584</v>
      </c>
      <c r="AD537" t="s">
        <v>3478</v>
      </c>
      <c r="AE537" t="s">
        <v>3475</v>
      </c>
      <c r="AF537" s="2">
        <v>2049.0981999999999</v>
      </c>
      <c r="AG537" s="2">
        <v>1105.81</v>
      </c>
      <c r="AH537" s="2">
        <v>943.28819999999996</v>
      </c>
      <c r="AI537" s="3">
        <v>0.46034309141455498</v>
      </c>
    </row>
    <row r="538" spans="1:35">
      <c r="A538" s="1">
        <v>42329</v>
      </c>
      <c r="B538" s="1">
        <v>37505</v>
      </c>
      <c r="C538" t="s">
        <v>5828</v>
      </c>
      <c r="D538">
        <v>358</v>
      </c>
      <c r="E538">
        <v>12292</v>
      </c>
      <c r="F538">
        <v>10</v>
      </c>
      <c r="G538">
        <v>1</v>
      </c>
      <c r="H538">
        <v>1</v>
      </c>
      <c r="I538">
        <v>1</v>
      </c>
      <c r="J538" t="s">
        <v>3541</v>
      </c>
      <c r="K538" t="s">
        <v>3542</v>
      </c>
      <c r="L538" s="2">
        <v>1105.81</v>
      </c>
      <c r="M538" s="2">
        <v>2049.0981999999999</v>
      </c>
      <c r="N538" t="s">
        <v>13</v>
      </c>
      <c r="O538" t="s">
        <v>1073</v>
      </c>
      <c r="P538" t="s">
        <v>194</v>
      </c>
      <c r="Q538" t="s">
        <v>6867</v>
      </c>
      <c r="R538" s="1">
        <v>16155</v>
      </c>
      <c r="S538" t="s">
        <v>16</v>
      </c>
      <c r="T538" t="s">
        <v>16</v>
      </c>
      <c r="U538" t="s">
        <v>1081</v>
      </c>
      <c r="V538">
        <v>130000</v>
      </c>
      <c r="W538">
        <v>3</v>
      </c>
      <c r="X538" t="s">
        <v>17</v>
      </c>
      <c r="Y538" t="s">
        <v>45</v>
      </c>
      <c r="Z538" t="s">
        <v>19</v>
      </c>
      <c r="AA538" t="s">
        <v>3588</v>
      </c>
      <c r="AB538" t="s">
        <v>3588</v>
      </c>
      <c r="AC538" t="s">
        <v>3584</v>
      </c>
      <c r="AD538" t="s">
        <v>3478</v>
      </c>
      <c r="AE538" t="s">
        <v>3475</v>
      </c>
      <c r="AF538" s="2">
        <v>2049.0981999999999</v>
      </c>
      <c r="AG538" s="2">
        <v>1105.81</v>
      </c>
      <c r="AH538" s="2">
        <v>943.28819999999996</v>
      </c>
      <c r="AI538" s="3">
        <v>0.46034309141455498</v>
      </c>
    </row>
    <row r="539" spans="1:35">
      <c r="A539" s="1">
        <v>42198</v>
      </c>
      <c r="B539" s="1">
        <v>37344</v>
      </c>
      <c r="C539" t="s">
        <v>4866</v>
      </c>
      <c r="D539">
        <v>373</v>
      </c>
      <c r="E539">
        <v>13190</v>
      </c>
      <c r="F539">
        <v>4</v>
      </c>
      <c r="G539">
        <v>1</v>
      </c>
      <c r="H539">
        <v>1</v>
      </c>
      <c r="I539">
        <v>2</v>
      </c>
      <c r="J539" t="s">
        <v>3555</v>
      </c>
      <c r="K539" t="s">
        <v>3556</v>
      </c>
      <c r="L539" s="2">
        <v>1320.6838</v>
      </c>
      <c r="M539" s="2">
        <v>2181.5625</v>
      </c>
      <c r="N539" t="s">
        <v>13</v>
      </c>
      <c r="O539" t="s">
        <v>262</v>
      </c>
      <c r="P539" t="s">
        <v>136</v>
      </c>
      <c r="Q539" t="s">
        <v>6868</v>
      </c>
      <c r="R539" s="1">
        <v>15381</v>
      </c>
      <c r="S539" t="s">
        <v>22</v>
      </c>
      <c r="T539" t="s">
        <v>16</v>
      </c>
      <c r="U539" t="s">
        <v>1451</v>
      </c>
      <c r="V539">
        <v>120000</v>
      </c>
      <c r="W539">
        <v>2</v>
      </c>
      <c r="X539" t="s">
        <v>135</v>
      </c>
      <c r="Y539" t="s">
        <v>45</v>
      </c>
      <c r="Z539" t="s">
        <v>19</v>
      </c>
      <c r="AA539" t="s">
        <v>3580</v>
      </c>
      <c r="AB539" t="s">
        <v>3578</v>
      </c>
      <c r="AC539" t="s">
        <v>3579</v>
      </c>
      <c r="AD539" t="s">
        <v>3479</v>
      </c>
      <c r="AE539" t="s">
        <v>3475</v>
      </c>
      <c r="AF539" s="2">
        <v>2181.5625</v>
      </c>
      <c r="AG539" s="2">
        <v>1320.6838</v>
      </c>
      <c r="AH539" s="2">
        <v>860.87869999999998</v>
      </c>
      <c r="AI539" s="3">
        <v>0.39461564818793898</v>
      </c>
    </row>
    <row r="540" spans="1:35">
      <c r="A540" s="1">
        <v>42198</v>
      </c>
      <c r="B540" s="1">
        <v>37367</v>
      </c>
      <c r="C540" t="s">
        <v>4868</v>
      </c>
      <c r="D540">
        <v>371</v>
      </c>
      <c r="E540">
        <v>12975</v>
      </c>
      <c r="F540">
        <v>4</v>
      </c>
      <c r="G540">
        <v>1</v>
      </c>
      <c r="H540">
        <v>1</v>
      </c>
      <c r="I540">
        <v>2</v>
      </c>
      <c r="J540" t="s">
        <v>3553</v>
      </c>
      <c r="K540" t="s">
        <v>3554</v>
      </c>
      <c r="L540" s="2">
        <v>1320.6838</v>
      </c>
      <c r="M540" s="2">
        <v>2181.5625</v>
      </c>
      <c r="N540" t="s">
        <v>13</v>
      </c>
      <c r="O540" t="s">
        <v>249</v>
      </c>
      <c r="P540" t="s">
        <v>66</v>
      </c>
      <c r="Q540" t="s">
        <v>6869</v>
      </c>
      <c r="R540" s="1">
        <v>24580</v>
      </c>
      <c r="S540" t="s">
        <v>22</v>
      </c>
      <c r="T540" t="s">
        <v>16</v>
      </c>
      <c r="U540" t="s">
        <v>1332</v>
      </c>
      <c r="V540">
        <v>60000</v>
      </c>
      <c r="W540">
        <v>0</v>
      </c>
      <c r="X540" t="s">
        <v>135</v>
      </c>
      <c r="Y540" t="s">
        <v>18</v>
      </c>
      <c r="Z540" t="s">
        <v>23</v>
      </c>
      <c r="AA540" t="s">
        <v>3580</v>
      </c>
      <c r="AB540" t="s">
        <v>3578</v>
      </c>
      <c r="AC540" t="s">
        <v>3579</v>
      </c>
      <c r="AD540" t="s">
        <v>3479</v>
      </c>
      <c r="AE540" t="s">
        <v>3475</v>
      </c>
      <c r="AF540" s="2">
        <v>2181.5625</v>
      </c>
      <c r="AG540" s="2">
        <v>1320.6838</v>
      </c>
      <c r="AH540" s="2">
        <v>860.87869999999998</v>
      </c>
      <c r="AI540" s="3">
        <v>0.39461564818793898</v>
      </c>
    </row>
    <row r="541" spans="1:35">
      <c r="A541" s="1">
        <v>42198</v>
      </c>
      <c r="B541" s="1">
        <v>37410</v>
      </c>
      <c r="C541" t="s">
        <v>4869</v>
      </c>
      <c r="D541">
        <v>375</v>
      </c>
      <c r="E541">
        <v>13178</v>
      </c>
      <c r="F541">
        <v>1</v>
      </c>
      <c r="G541">
        <v>1</v>
      </c>
      <c r="H541">
        <v>1</v>
      </c>
      <c r="I541">
        <v>2</v>
      </c>
      <c r="J541" t="s">
        <v>3557</v>
      </c>
      <c r="K541" t="s">
        <v>3558</v>
      </c>
      <c r="L541" s="2">
        <v>1320.6838</v>
      </c>
      <c r="M541" s="2">
        <v>2181.5625</v>
      </c>
      <c r="N541" t="s">
        <v>30</v>
      </c>
      <c r="O541" t="s">
        <v>108</v>
      </c>
      <c r="P541" t="s">
        <v>314</v>
      </c>
      <c r="Q541" t="s">
        <v>6870</v>
      </c>
      <c r="R541" s="1">
        <v>23119</v>
      </c>
      <c r="S541" t="s">
        <v>22</v>
      </c>
      <c r="T541" t="s">
        <v>29</v>
      </c>
      <c r="U541" t="s">
        <v>1448</v>
      </c>
      <c r="V541">
        <v>80000</v>
      </c>
      <c r="W541">
        <v>4</v>
      </c>
      <c r="X541" t="s">
        <v>17</v>
      </c>
      <c r="Y541" t="s">
        <v>45</v>
      </c>
      <c r="Z541" t="s">
        <v>19</v>
      </c>
      <c r="AA541" t="s">
        <v>3577</v>
      </c>
      <c r="AB541" t="s">
        <v>3578</v>
      </c>
      <c r="AC541" t="s">
        <v>3579</v>
      </c>
      <c r="AD541" t="s">
        <v>3479</v>
      </c>
      <c r="AE541" t="s">
        <v>3475</v>
      </c>
      <c r="AF541" s="2">
        <v>2181.5625</v>
      </c>
      <c r="AG541" s="2">
        <v>1320.6838</v>
      </c>
      <c r="AH541" s="2">
        <v>860.87869999999998</v>
      </c>
      <c r="AI541" s="3">
        <v>0.39461564818793898</v>
      </c>
    </row>
    <row r="542" spans="1:35">
      <c r="A542" s="1">
        <v>42198</v>
      </c>
      <c r="B542" s="1">
        <v>37376</v>
      </c>
      <c r="C542" t="s">
        <v>4870</v>
      </c>
      <c r="D542">
        <v>379</v>
      </c>
      <c r="E542">
        <v>12942</v>
      </c>
      <c r="F542">
        <v>4</v>
      </c>
      <c r="G542">
        <v>1</v>
      </c>
      <c r="H542">
        <v>1</v>
      </c>
      <c r="I542">
        <v>2</v>
      </c>
      <c r="J542" t="s">
        <v>3561</v>
      </c>
      <c r="K542" t="s">
        <v>3562</v>
      </c>
      <c r="L542" s="2">
        <v>1320.6838</v>
      </c>
      <c r="M542" s="2">
        <v>2181.5625</v>
      </c>
      <c r="N542" t="s">
        <v>30</v>
      </c>
      <c r="O542" t="s">
        <v>252</v>
      </c>
      <c r="P542" t="s">
        <v>250</v>
      </c>
      <c r="Q542" t="s">
        <v>6871</v>
      </c>
      <c r="R542" s="1">
        <v>24061</v>
      </c>
      <c r="S542" t="s">
        <v>22</v>
      </c>
      <c r="T542" t="s">
        <v>29</v>
      </c>
      <c r="U542" t="s">
        <v>1327</v>
      </c>
      <c r="V542">
        <v>80000</v>
      </c>
      <c r="W542">
        <v>3</v>
      </c>
      <c r="X542" t="s">
        <v>17</v>
      </c>
      <c r="Y542" t="s">
        <v>53</v>
      </c>
      <c r="Z542" t="s">
        <v>19</v>
      </c>
      <c r="AA542" t="s">
        <v>3580</v>
      </c>
      <c r="AB542" t="s">
        <v>3578</v>
      </c>
      <c r="AC542" t="s">
        <v>3579</v>
      </c>
      <c r="AD542" t="s">
        <v>3479</v>
      </c>
      <c r="AE542" t="s">
        <v>3475</v>
      </c>
      <c r="AF542" s="2">
        <v>2181.5625</v>
      </c>
      <c r="AG542" s="2">
        <v>1320.6838</v>
      </c>
      <c r="AH542" s="2">
        <v>860.87869999999998</v>
      </c>
      <c r="AI542" s="3">
        <v>0.39461564818793898</v>
      </c>
    </row>
    <row r="543" spans="1:35">
      <c r="A543" s="1">
        <v>42198</v>
      </c>
      <c r="B543" s="1">
        <v>37385</v>
      </c>
      <c r="C543" t="s">
        <v>4871</v>
      </c>
      <c r="D543">
        <v>379</v>
      </c>
      <c r="E543">
        <v>12949</v>
      </c>
      <c r="F543">
        <v>1</v>
      </c>
      <c r="G543">
        <v>1</v>
      </c>
      <c r="H543">
        <v>1</v>
      </c>
      <c r="I543">
        <v>2</v>
      </c>
      <c r="J543" t="s">
        <v>3561</v>
      </c>
      <c r="K543" t="s">
        <v>3562</v>
      </c>
      <c r="L543" s="2">
        <v>1320.6838</v>
      </c>
      <c r="M543" s="2">
        <v>2181.5625</v>
      </c>
      <c r="N543" t="s">
        <v>30</v>
      </c>
      <c r="O543" t="s">
        <v>252</v>
      </c>
      <c r="P543" t="s">
        <v>243</v>
      </c>
      <c r="Q543" t="s">
        <v>6872</v>
      </c>
      <c r="R543" s="1">
        <v>23730</v>
      </c>
      <c r="S543" t="s">
        <v>22</v>
      </c>
      <c r="T543" t="s">
        <v>29</v>
      </c>
      <c r="U543" t="s">
        <v>1329</v>
      </c>
      <c r="V543">
        <v>50000</v>
      </c>
      <c r="W543">
        <v>5</v>
      </c>
      <c r="X543" t="s">
        <v>17</v>
      </c>
      <c r="Y543" t="s">
        <v>53</v>
      </c>
      <c r="Z543" t="s">
        <v>19</v>
      </c>
      <c r="AA543" t="s">
        <v>3577</v>
      </c>
      <c r="AB543" t="s">
        <v>3578</v>
      </c>
      <c r="AC543" t="s">
        <v>3579</v>
      </c>
      <c r="AD543" t="s">
        <v>3479</v>
      </c>
      <c r="AE543" t="s">
        <v>3475</v>
      </c>
      <c r="AF543" s="2">
        <v>2181.5625</v>
      </c>
      <c r="AG543" s="2">
        <v>1320.6838</v>
      </c>
      <c r="AH543" s="2">
        <v>860.87869999999998</v>
      </c>
      <c r="AI543" s="3">
        <v>0.39461564818793898</v>
      </c>
    </row>
    <row r="544" spans="1:35">
      <c r="A544" s="1">
        <v>42318</v>
      </c>
      <c r="B544" s="1">
        <v>37499</v>
      </c>
      <c r="C544" t="s">
        <v>5760</v>
      </c>
      <c r="D544">
        <v>354</v>
      </c>
      <c r="E544">
        <v>12299</v>
      </c>
      <c r="F544">
        <v>10</v>
      </c>
      <c r="G544">
        <v>1</v>
      </c>
      <c r="H544">
        <v>1</v>
      </c>
      <c r="I544">
        <v>1</v>
      </c>
      <c r="J544" t="s">
        <v>3537</v>
      </c>
      <c r="K544" t="s">
        <v>3538</v>
      </c>
      <c r="L544" s="2">
        <v>1117.8559</v>
      </c>
      <c r="M544" s="2">
        <v>2071.4196000000002</v>
      </c>
      <c r="N544" t="s">
        <v>13</v>
      </c>
      <c r="O544" t="s">
        <v>1084</v>
      </c>
      <c r="P544" t="s">
        <v>157</v>
      </c>
      <c r="Q544" t="s">
        <v>6873</v>
      </c>
      <c r="R544" s="1">
        <v>16598</v>
      </c>
      <c r="S544" t="s">
        <v>16</v>
      </c>
      <c r="T544" t="s">
        <v>16</v>
      </c>
      <c r="U544" t="s">
        <v>1085</v>
      </c>
      <c r="V544">
        <v>150000</v>
      </c>
      <c r="W544">
        <v>3</v>
      </c>
      <c r="X544" t="s">
        <v>135</v>
      </c>
      <c r="Y544" t="s">
        <v>45</v>
      </c>
      <c r="Z544" t="s">
        <v>23</v>
      </c>
      <c r="AA544" t="s">
        <v>3588</v>
      </c>
      <c r="AB544" t="s">
        <v>3588</v>
      </c>
      <c r="AC544" t="s">
        <v>3584</v>
      </c>
      <c r="AD544" t="s">
        <v>3478</v>
      </c>
      <c r="AE544" t="s">
        <v>3475</v>
      </c>
      <c r="AF544" s="2">
        <v>2071.4196000000002</v>
      </c>
      <c r="AG544" s="2">
        <v>1117.8559</v>
      </c>
      <c r="AH544" s="2">
        <v>953.56370000000004</v>
      </c>
      <c r="AI544" s="3">
        <v>0.460343090313522</v>
      </c>
    </row>
    <row r="545" spans="1:35">
      <c r="A545" s="1">
        <v>42198</v>
      </c>
      <c r="B545" s="1">
        <v>37367</v>
      </c>
      <c r="C545" t="s">
        <v>4872</v>
      </c>
      <c r="D545">
        <v>358</v>
      </c>
      <c r="E545">
        <v>12342</v>
      </c>
      <c r="F545">
        <v>9</v>
      </c>
      <c r="G545">
        <v>1</v>
      </c>
      <c r="H545">
        <v>1</v>
      </c>
      <c r="I545">
        <v>1</v>
      </c>
      <c r="J545" t="s">
        <v>3541</v>
      </c>
      <c r="K545" t="s">
        <v>3542</v>
      </c>
      <c r="L545" s="2">
        <v>1105.81</v>
      </c>
      <c r="M545" s="2">
        <v>2049.0981999999999</v>
      </c>
      <c r="N545" t="s">
        <v>26</v>
      </c>
      <c r="O545" t="s">
        <v>252</v>
      </c>
      <c r="P545" t="s">
        <v>51</v>
      </c>
      <c r="Q545" t="s">
        <v>6874</v>
      </c>
      <c r="R545" s="1">
        <v>27462</v>
      </c>
      <c r="S545" t="s">
        <v>16</v>
      </c>
      <c r="T545" t="s">
        <v>29</v>
      </c>
      <c r="U545" t="s">
        <v>1108</v>
      </c>
      <c r="V545">
        <v>70000</v>
      </c>
      <c r="W545">
        <v>0</v>
      </c>
      <c r="X545" t="s">
        <v>17</v>
      </c>
      <c r="Y545" t="s">
        <v>18</v>
      </c>
      <c r="Z545" t="s">
        <v>19</v>
      </c>
      <c r="AA545" t="s">
        <v>3586</v>
      </c>
      <c r="AB545" t="s">
        <v>3586</v>
      </c>
      <c r="AC545" t="s">
        <v>3587</v>
      </c>
      <c r="AD545" t="s">
        <v>3478</v>
      </c>
      <c r="AE545" t="s">
        <v>3475</v>
      </c>
      <c r="AF545" s="2">
        <v>2049.0981999999999</v>
      </c>
      <c r="AG545" s="2">
        <v>1105.81</v>
      </c>
      <c r="AH545" s="2">
        <v>943.28819999999996</v>
      </c>
      <c r="AI545" s="3">
        <v>0.46034309141455498</v>
      </c>
    </row>
    <row r="546" spans="1:35">
      <c r="A546" s="1">
        <v>42199</v>
      </c>
      <c r="B546" s="1">
        <v>37397</v>
      </c>
      <c r="C546" t="s">
        <v>4875</v>
      </c>
      <c r="D546">
        <v>369</v>
      </c>
      <c r="E546">
        <v>13016</v>
      </c>
      <c r="F546">
        <v>1</v>
      </c>
      <c r="G546">
        <v>1</v>
      </c>
      <c r="H546">
        <v>1</v>
      </c>
      <c r="I546">
        <v>2</v>
      </c>
      <c r="J546" t="s">
        <v>3549</v>
      </c>
      <c r="K546" t="s">
        <v>3550</v>
      </c>
      <c r="L546" s="2">
        <v>1518.7864</v>
      </c>
      <c r="M546" s="2">
        <v>2443.35</v>
      </c>
      <c r="N546" t="s">
        <v>13</v>
      </c>
      <c r="O546" t="s">
        <v>682</v>
      </c>
      <c r="P546" t="s">
        <v>184</v>
      </c>
      <c r="Q546" t="s">
        <v>6875</v>
      </c>
      <c r="R546" s="1">
        <v>25023</v>
      </c>
      <c r="S546" t="s">
        <v>16</v>
      </c>
      <c r="T546" t="s">
        <v>16</v>
      </c>
      <c r="U546" t="s">
        <v>1354</v>
      </c>
      <c r="V546">
        <v>110000</v>
      </c>
      <c r="W546">
        <v>1</v>
      </c>
      <c r="X546" t="s">
        <v>135</v>
      </c>
      <c r="Y546" t="s">
        <v>45</v>
      </c>
      <c r="Z546" t="s">
        <v>19</v>
      </c>
      <c r="AA546" t="s">
        <v>3577</v>
      </c>
      <c r="AB546" t="s">
        <v>3578</v>
      </c>
      <c r="AC546" t="s">
        <v>3579</v>
      </c>
      <c r="AD546" t="s">
        <v>3479</v>
      </c>
      <c r="AE546" t="s">
        <v>3475</v>
      </c>
      <c r="AF546" s="2">
        <v>2443.35</v>
      </c>
      <c r="AG546" s="2">
        <v>1518.7864</v>
      </c>
      <c r="AH546" s="2">
        <v>924.56359999999995</v>
      </c>
      <c r="AI546" s="3">
        <v>0.37839998362903399</v>
      </c>
    </row>
    <row r="547" spans="1:35">
      <c r="A547" s="1">
        <v>42199</v>
      </c>
      <c r="B547" s="1">
        <v>37374</v>
      </c>
      <c r="C547" t="s">
        <v>4877</v>
      </c>
      <c r="D547">
        <v>375</v>
      </c>
      <c r="E547">
        <v>13214</v>
      </c>
      <c r="F547">
        <v>1</v>
      </c>
      <c r="G547">
        <v>1</v>
      </c>
      <c r="H547">
        <v>1</v>
      </c>
      <c r="I547">
        <v>2</v>
      </c>
      <c r="J547" t="s">
        <v>3557</v>
      </c>
      <c r="K547" t="s">
        <v>3558</v>
      </c>
      <c r="L547" s="2">
        <v>1320.6838</v>
      </c>
      <c r="M547" s="2">
        <v>2181.5625</v>
      </c>
      <c r="N547" t="s">
        <v>13</v>
      </c>
      <c r="O547" t="s">
        <v>435</v>
      </c>
      <c r="P547" t="s">
        <v>297</v>
      </c>
      <c r="Q547" t="s">
        <v>6876</v>
      </c>
      <c r="R547" s="1">
        <v>17157</v>
      </c>
      <c r="S547" t="s">
        <v>16</v>
      </c>
      <c r="T547" t="s">
        <v>16</v>
      </c>
      <c r="U547" t="s">
        <v>1459</v>
      </c>
      <c r="V547">
        <v>60000</v>
      </c>
      <c r="W547">
        <v>4</v>
      </c>
      <c r="X547" t="s">
        <v>17</v>
      </c>
      <c r="Y547" t="s">
        <v>45</v>
      </c>
      <c r="Z547" t="s">
        <v>19</v>
      </c>
      <c r="AA547" t="s">
        <v>3577</v>
      </c>
      <c r="AB547" t="s">
        <v>3578</v>
      </c>
      <c r="AC547" t="s">
        <v>3579</v>
      </c>
      <c r="AD547" t="s">
        <v>3479</v>
      </c>
      <c r="AE547" t="s">
        <v>3475</v>
      </c>
      <c r="AF547" s="2">
        <v>2181.5625</v>
      </c>
      <c r="AG547" s="2">
        <v>1320.6838</v>
      </c>
      <c r="AH547" s="2">
        <v>860.87869999999998</v>
      </c>
      <c r="AI547" s="3">
        <v>0.39461564818793898</v>
      </c>
    </row>
    <row r="548" spans="1:35">
      <c r="A548" s="1">
        <v>42367</v>
      </c>
      <c r="B548" s="1">
        <v>37519</v>
      </c>
      <c r="C548" t="s">
        <v>6209</v>
      </c>
      <c r="D548">
        <v>354</v>
      </c>
      <c r="E548">
        <v>12305</v>
      </c>
      <c r="F548">
        <v>10</v>
      </c>
      <c r="G548">
        <v>1</v>
      </c>
      <c r="H548">
        <v>1</v>
      </c>
      <c r="I548">
        <v>1</v>
      </c>
      <c r="J548" t="s">
        <v>3537</v>
      </c>
      <c r="K548" t="s">
        <v>3538</v>
      </c>
      <c r="L548" s="2">
        <v>1117.8559</v>
      </c>
      <c r="M548" s="2">
        <v>2071.4196000000002</v>
      </c>
      <c r="N548" t="s">
        <v>13</v>
      </c>
      <c r="O548" t="s">
        <v>365</v>
      </c>
      <c r="P548" t="s">
        <v>428</v>
      </c>
      <c r="Q548" t="s">
        <v>6877</v>
      </c>
      <c r="R548" s="1">
        <v>19911</v>
      </c>
      <c r="S548" t="s">
        <v>16</v>
      </c>
      <c r="T548" t="s">
        <v>16</v>
      </c>
      <c r="U548" t="s">
        <v>1086</v>
      </c>
      <c r="V548">
        <v>80000</v>
      </c>
      <c r="W548">
        <v>4</v>
      </c>
      <c r="X548" t="s">
        <v>52</v>
      </c>
      <c r="Y548" t="s">
        <v>18</v>
      </c>
      <c r="Z548" t="s">
        <v>23</v>
      </c>
      <c r="AA548" t="s">
        <v>3588</v>
      </c>
      <c r="AB548" t="s">
        <v>3588</v>
      </c>
      <c r="AC548" t="s">
        <v>3584</v>
      </c>
      <c r="AD548" t="s">
        <v>3478</v>
      </c>
      <c r="AE548" t="s">
        <v>3475</v>
      </c>
      <c r="AF548" s="2">
        <v>2071.4196000000002</v>
      </c>
      <c r="AG548" s="2">
        <v>1117.8559</v>
      </c>
      <c r="AH548" s="2">
        <v>953.56370000000004</v>
      </c>
      <c r="AI548" s="3">
        <v>0.460343090313522</v>
      </c>
    </row>
    <row r="549" spans="1:35">
      <c r="A549" s="1">
        <v>42199</v>
      </c>
      <c r="B549" s="1">
        <v>37404</v>
      </c>
      <c r="C549" t="s">
        <v>4878</v>
      </c>
      <c r="D549">
        <v>379</v>
      </c>
      <c r="E549">
        <v>12930</v>
      </c>
      <c r="F549">
        <v>1</v>
      </c>
      <c r="G549">
        <v>1</v>
      </c>
      <c r="H549">
        <v>1</v>
      </c>
      <c r="I549">
        <v>2</v>
      </c>
      <c r="J549" t="s">
        <v>3561</v>
      </c>
      <c r="K549" t="s">
        <v>3562</v>
      </c>
      <c r="L549" s="2">
        <v>1320.6838</v>
      </c>
      <c r="M549" s="2">
        <v>2181.5625</v>
      </c>
      <c r="N549" t="s">
        <v>30</v>
      </c>
      <c r="O549" t="s">
        <v>147</v>
      </c>
      <c r="P549" t="s">
        <v>250</v>
      </c>
      <c r="Q549" t="s">
        <v>6878</v>
      </c>
      <c r="R549" s="1">
        <v>25339</v>
      </c>
      <c r="S549" t="s">
        <v>16</v>
      </c>
      <c r="T549" t="s">
        <v>29</v>
      </c>
      <c r="U549" t="s">
        <v>1323</v>
      </c>
      <c r="V549">
        <v>70000</v>
      </c>
      <c r="W549">
        <v>5</v>
      </c>
      <c r="X549" t="s">
        <v>135</v>
      </c>
      <c r="Y549" t="s">
        <v>18</v>
      </c>
      <c r="Z549" t="s">
        <v>19</v>
      </c>
      <c r="AA549" t="s">
        <v>3577</v>
      </c>
      <c r="AB549" t="s">
        <v>3578</v>
      </c>
      <c r="AC549" t="s">
        <v>3579</v>
      </c>
      <c r="AD549" t="s">
        <v>3479</v>
      </c>
      <c r="AE549" t="s">
        <v>3475</v>
      </c>
      <c r="AF549" s="2">
        <v>2181.5625</v>
      </c>
      <c r="AG549" s="2">
        <v>1320.6838</v>
      </c>
      <c r="AH549" s="2">
        <v>860.87869999999998</v>
      </c>
      <c r="AI549" s="3">
        <v>0.39461564818793898</v>
      </c>
    </row>
    <row r="550" spans="1:35">
      <c r="A550" s="1">
        <v>42199</v>
      </c>
      <c r="B550" s="1">
        <v>37388</v>
      </c>
      <c r="C550" t="s">
        <v>4879</v>
      </c>
      <c r="D550">
        <v>373</v>
      </c>
      <c r="E550">
        <v>13083</v>
      </c>
      <c r="F550">
        <v>1</v>
      </c>
      <c r="G550">
        <v>1</v>
      </c>
      <c r="H550">
        <v>1</v>
      </c>
      <c r="I550">
        <v>2</v>
      </c>
      <c r="J550" t="s">
        <v>3555</v>
      </c>
      <c r="K550" t="s">
        <v>3556</v>
      </c>
      <c r="L550" s="2">
        <v>1320.6838</v>
      </c>
      <c r="M550" s="2">
        <v>2181.5625</v>
      </c>
      <c r="N550" t="s">
        <v>26</v>
      </c>
      <c r="O550" t="s">
        <v>1272</v>
      </c>
      <c r="P550" t="s">
        <v>148</v>
      </c>
      <c r="Q550" t="s">
        <v>6879</v>
      </c>
      <c r="R550" s="1">
        <v>26721</v>
      </c>
      <c r="S550" t="s">
        <v>22</v>
      </c>
      <c r="T550" t="s">
        <v>29</v>
      </c>
      <c r="U550" t="s">
        <v>1397</v>
      </c>
      <c r="V550">
        <v>70000</v>
      </c>
      <c r="W550">
        <v>0</v>
      </c>
      <c r="X550" t="s">
        <v>52</v>
      </c>
      <c r="Y550" t="s">
        <v>18</v>
      </c>
      <c r="Z550" t="s">
        <v>19</v>
      </c>
      <c r="AA550" t="s">
        <v>3577</v>
      </c>
      <c r="AB550" t="s">
        <v>3578</v>
      </c>
      <c r="AC550" t="s">
        <v>3579</v>
      </c>
      <c r="AD550" t="s">
        <v>3479</v>
      </c>
      <c r="AE550" t="s">
        <v>3475</v>
      </c>
      <c r="AF550" s="2">
        <v>2181.5625</v>
      </c>
      <c r="AG550" s="2">
        <v>1320.6838</v>
      </c>
      <c r="AH550" s="2">
        <v>860.87869999999998</v>
      </c>
      <c r="AI550" s="3">
        <v>0.39461564818793898</v>
      </c>
    </row>
    <row r="551" spans="1:35">
      <c r="A551" s="1">
        <v>42200</v>
      </c>
      <c r="B551" s="1">
        <v>37437</v>
      </c>
      <c r="C551" t="s">
        <v>4884</v>
      </c>
      <c r="D551">
        <v>370</v>
      </c>
      <c r="E551">
        <v>13019</v>
      </c>
      <c r="F551">
        <v>4</v>
      </c>
      <c r="G551">
        <v>1</v>
      </c>
      <c r="H551">
        <v>1</v>
      </c>
      <c r="I551">
        <v>2</v>
      </c>
      <c r="J551" t="s">
        <v>3551</v>
      </c>
      <c r="K551" t="s">
        <v>3552</v>
      </c>
      <c r="L551" s="2">
        <v>1518.7864</v>
      </c>
      <c r="M551" s="2">
        <v>2443.35</v>
      </c>
      <c r="N551" t="s">
        <v>26</v>
      </c>
      <c r="O551" t="s">
        <v>65</v>
      </c>
      <c r="P551" t="s">
        <v>105</v>
      </c>
      <c r="Q551" t="s">
        <v>6880</v>
      </c>
      <c r="R551" s="1">
        <v>28915</v>
      </c>
      <c r="S551" t="s">
        <v>22</v>
      </c>
      <c r="T551" t="s">
        <v>29</v>
      </c>
      <c r="U551" t="s">
        <v>1356</v>
      </c>
      <c r="V551">
        <v>60000</v>
      </c>
      <c r="W551">
        <v>0</v>
      </c>
      <c r="X551" t="s">
        <v>52</v>
      </c>
      <c r="Y551" t="s">
        <v>53</v>
      </c>
      <c r="Z551" t="s">
        <v>19</v>
      </c>
      <c r="AA551" t="s">
        <v>3580</v>
      </c>
      <c r="AB551" t="s">
        <v>3578</v>
      </c>
      <c r="AC551" t="s">
        <v>3579</v>
      </c>
      <c r="AD551" t="s">
        <v>3479</v>
      </c>
      <c r="AE551" t="s">
        <v>3475</v>
      </c>
      <c r="AF551" s="2">
        <v>2443.35</v>
      </c>
      <c r="AG551" s="2">
        <v>1518.7864</v>
      </c>
      <c r="AH551" s="2">
        <v>924.56359999999995</v>
      </c>
      <c r="AI551" s="3">
        <v>0.37839998362903399</v>
      </c>
    </row>
    <row r="552" spans="1:35">
      <c r="A552" s="1">
        <v>42200</v>
      </c>
      <c r="B552" s="1">
        <v>37427</v>
      </c>
      <c r="C552" t="s">
        <v>4886</v>
      </c>
      <c r="D552">
        <v>371</v>
      </c>
      <c r="E552">
        <v>13662</v>
      </c>
      <c r="F552">
        <v>7</v>
      </c>
      <c r="G552">
        <v>1</v>
      </c>
      <c r="H552">
        <v>1</v>
      </c>
      <c r="I552">
        <v>2</v>
      </c>
      <c r="J552" t="s">
        <v>3553</v>
      </c>
      <c r="K552" t="s">
        <v>3554</v>
      </c>
      <c r="L552" s="2">
        <v>1320.6838</v>
      </c>
      <c r="M552" s="2">
        <v>2181.5625</v>
      </c>
      <c r="N552" t="s">
        <v>13</v>
      </c>
      <c r="O552" t="s">
        <v>483</v>
      </c>
      <c r="P552" t="s">
        <v>277</v>
      </c>
      <c r="Q552" t="s">
        <v>6881</v>
      </c>
      <c r="R552" s="1">
        <v>27357</v>
      </c>
      <c r="S552" t="s">
        <v>22</v>
      </c>
      <c r="T552" t="s">
        <v>16</v>
      </c>
      <c r="U552" t="s">
        <v>1595</v>
      </c>
      <c r="V552">
        <v>20000</v>
      </c>
      <c r="W552">
        <v>0</v>
      </c>
      <c r="X552" t="s">
        <v>77</v>
      </c>
      <c r="Y552" t="s">
        <v>444</v>
      </c>
      <c r="Z552" t="s">
        <v>19</v>
      </c>
      <c r="AA552" t="s">
        <v>3583</v>
      </c>
      <c r="AB552" t="s">
        <v>3583</v>
      </c>
      <c r="AC552" t="s">
        <v>3584</v>
      </c>
      <c r="AD552" t="s">
        <v>3479</v>
      </c>
      <c r="AE552" t="s">
        <v>3475</v>
      </c>
      <c r="AF552" s="2">
        <v>2181.5625</v>
      </c>
      <c r="AG552" s="2">
        <v>1320.6838</v>
      </c>
      <c r="AH552" s="2">
        <v>860.87869999999998</v>
      </c>
      <c r="AI552" s="3">
        <v>0.39461564818793898</v>
      </c>
    </row>
    <row r="553" spans="1:35">
      <c r="A553" s="1">
        <v>42201</v>
      </c>
      <c r="B553" s="1">
        <v>37425</v>
      </c>
      <c r="C553" t="s">
        <v>4887</v>
      </c>
      <c r="D553">
        <v>354</v>
      </c>
      <c r="E553">
        <v>12339</v>
      </c>
      <c r="F553">
        <v>9</v>
      </c>
      <c r="G553">
        <v>1</v>
      </c>
      <c r="H553">
        <v>1</v>
      </c>
      <c r="I553">
        <v>1</v>
      </c>
      <c r="J553" t="s">
        <v>3537</v>
      </c>
      <c r="K553" t="s">
        <v>3538</v>
      </c>
      <c r="L553" s="2">
        <v>1117.8559</v>
      </c>
      <c r="M553" s="2">
        <v>2071.4196000000002</v>
      </c>
      <c r="N553" t="s">
        <v>13</v>
      </c>
      <c r="O553" t="s">
        <v>645</v>
      </c>
      <c r="P553" t="s">
        <v>476</v>
      </c>
      <c r="Q553" t="s">
        <v>6882</v>
      </c>
      <c r="R553" s="1">
        <v>27949</v>
      </c>
      <c r="S553" t="s">
        <v>22</v>
      </c>
      <c r="T553" t="s">
        <v>16</v>
      </c>
      <c r="U553" t="s">
        <v>1105</v>
      </c>
      <c r="V553">
        <v>70000</v>
      </c>
      <c r="W553">
        <v>0</v>
      </c>
      <c r="X553" t="s">
        <v>17</v>
      </c>
      <c r="Y553" t="s">
        <v>18</v>
      </c>
      <c r="Z553" t="s">
        <v>23</v>
      </c>
      <c r="AA553" t="s">
        <v>3586</v>
      </c>
      <c r="AB553" t="s">
        <v>3586</v>
      </c>
      <c r="AC553" t="s">
        <v>3587</v>
      </c>
      <c r="AD553" t="s">
        <v>3478</v>
      </c>
      <c r="AE553" t="s">
        <v>3475</v>
      </c>
      <c r="AF553" s="2">
        <v>2071.4196000000002</v>
      </c>
      <c r="AG553" s="2">
        <v>1117.8559</v>
      </c>
      <c r="AH553" s="2">
        <v>953.56370000000004</v>
      </c>
      <c r="AI553" s="3">
        <v>0.460343090313522</v>
      </c>
    </row>
    <row r="554" spans="1:35">
      <c r="A554" s="1">
        <v>42366</v>
      </c>
      <c r="B554" s="1">
        <v>37507</v>
      </c>
      <c r="C554" t="s">
        <v>6187</v>
      </c>
      <c r="D554">
        <v>362</v>
      </c>
      <c r="E554">
        <v>12315</v>
      </c>
      <c r="F554">
        <v>10</v>
      </c>
      <c r="G554">
        <v>1</v>
      </c>
      <c r="H554">
        <v>1</v>
      </c>
      <c r="I554">
        <v>1</v>
      </c>
      <c r="J554" t="s">
        <v>3545</v>
      </c>
      <c r="K554" t="s">
        <v>3546</v>
      </c>
      <c r="L554" s="2">
        <v>1105.81</v>
      </c>
      <c r="M554" s="2">
        <v>2049.0981999999999</v>
      </c>
      <c r="N554" t="s">
        <v>30</v>
      </c>
      <c r="O554" t="s">
        <v>805</v>
      </c>
      <c r="P554" t="s">
        <v>293</v>
      </c>
      <c r="Q554" t="s">
        <v>6883</v>
      </c>
      <c r="R554" s="1">
        <v>19621</v>
      </c>
      <c r="S554" t="s">
        <v>16</v>
      </c>
      <c r="T554" t="s">
        <v>29</v>
      </c>
      <c r="U554" t="s">
        <v>1090</v>
      </c>
      <c r="V554">
        <v>130000</v>
      </c>
      <c r="W554">
        <v>4</v>
      </c>
      <c r="X554" t="s">
        <v>52</v>
      </c>
      <c r="Y554" t="s">
        <v>18</v>
      </c>
      <c r="Z554" t="s">
        <v>19</v>
      </c>
      <c r="AA554" t="s">
        <v>3588</v>
      </c>
      <c r="AB554" t="s">
        <v>3588</v>
      </c>
      <c r="AC554" t="s">
        <v>3584</v>
      </c>
      <c r="AD554" t="s">
        <v>3478</v>
      </c>
      <c r="AE554" t="s">
        <v>3475</v>
      </c>
      <c r="AF554" s="2">
        <v>2049.0981999999999</v>
      </c>
      <c r="AG554" s="2">
        <v>1105.81</v>
      </c>
      <c r="AH554" s="2">
        <v>943.28819999999996</v>
      </c>
      <c r="AI554" s="3">
        <v>0.46034309141455498</v>
      </c>
    </row>
    <row r="555" spans="1:35">
      <c r="A555" s="1">
        <v>42201</v>
      </c>
      <c r="B555" s="1">
        <v>37385</v>
      </c>
      <c r="C555" t="s">
        <v>4888</v>
      </c>
      <c r="D555">
        <v>379</v>
      </c>
      <c r="E555">
        <v>13595</v>
      </c>
      <c r="F555">
        <v>7</v>
      </c>
      <c r="G555">
        <v>1</v>
      </c>
      <c r="H555">
        <v>1</v>
      </c>
      <c r="I555">
        <v>2</v>
      </c>
      <c r="J555" t="s">
        <v>3561</v>
      </c>
      <c r="K555" t="s">
        <v>3562</v>
      </c>
      <c r="L555" s="2">
        <v>1320.6838</v>
      </c>
      <c r="M555" s="2">
        <v>2181.5625</v>
      </c>
      <c r="N555" t="s">
        <v>13</v>
      </c>
      <c r="O555" t="s">
        <v>1139</v>
      </c>
      <c r="P555" t="s">
        <v>345</v>
      </c>
      <c r="Q555" t="s">
        <v>6884</v>
      </c>
      <c r="R555" s="1">
        <v>18781</v>
      </c>
      <c r="S555" t="s">
        <v>22</v>
      </c>
      <c r="T555" t="s">
        <v>16</v>
      </c>
      <c r="U555" t="s">
        <v>1584</v>
      </c>
      <c r="V555">
        <v>70000</v>
      </c>
      <c r="W555">
        <v>5</v>
      </c>
      <c r="X555" t="s">
        <v>77</v>
      </c>
      <c r="Y555" t="s">
        <v>53</v>
      </c>
      <c r="Z555" t="s">
        <v>19</v>
      </c>
      <c r="AA555" t="s">
        <v>3583</v>
      </c>
      <c r="AB555" t="s">
        <v>3583</v>
      </c>
      <c r="AC555" t="s">
        <v>3584</v>
      </c>
      <c r="AD555" t="s">
        <v>3479</v>
      </c>
      <c r="AE555" t="s">
        <v>3475</v>
      </c>
      <c r="AF555" s="2">
        <v>2181.5625</v>
      </c>
      <c r="AG555" s="2">
        <v>1320.6838</v>
      </c>
      <c r="AH555" s="2">
        <v>860.87869999999998</v>
      </c>
      <c r="AI555" s="3">
        <v>0.39461564818793898</v>
      </c>
    </row>
    <row r="556" spans="1:35">
      <c r="A556" s="1">
        <v>42339</v>
      </c>
      <c r="B556" s="1">
        <v>37514</v>
      </c>
      <c r="C556" t="s">
        <v>5899</v>
      </c>
      <c r="D556">
        <v>356</v>
      </c>
      <c r="E556">
        <v>12316</v>
      </c>
      <c r="F556">
        <v>10</v>
      </c>
      <c r="G556">
        <v>1</v>
      </c>
      <c r="H556">
        <v>1</v>
      </c>
      <c r="I556">
        <v>1</v>
      </c>
      <c r="J556" t="s">
        <v>3539</v>
      </c>
      <c r="K556" t="s">
        <v>3540</v>
      </c>
      <c r="L556" s="2">
        <v>1117.8559</v>
      </c>
      <c r="M556" s="2">
        <v>2071.4196000000002</v>
      </c>
      <c r="N556" t="s">
        <v>13</v>
      </c>
      <c r="O556" t="s">
        <v>74</v>
      </c>
      <c r="P556" t="s">
        <v>159</v>
      </c>
      <c r="Q556" t="s">
        <v>6885</v>
      </c>
      <c r="R556" s="1">
        <v>19688</v>
      </c>
      <c r="S556" t="s">
        <v>16</v>
      </c>
      <c r="T556" t="s">
        <v>16</v>
      </c>
      <c r="U556" t="s">
        <v>1091</v>
      </c>
      <c r="V556">
        <v>130000</v>
      </c>
      <c r="W556">
        <v>5</v>
      </c>
      <c r="X556" t="s">
        <v>52</v>
      </c>
      <c r="Y556" t="s">
        <v>18</v>
      </c>
      <c r="Z556" t="s">
        <v>23</v>
      </c>
      <c r="AA556" t="s">
        <v>3588</v>
      </c>
      <c r="AB556" t="s">
        <v>3588</v>
      </c>
      <c r="AC556" t="s">
        <v>3584</v>
      </c>
      <c r="AD556" t="s">
        <v>3478</v>
      </c>
      <c r="AE556" t="s">
        <v>3475</v>
      </c>
      <c r="AF556" s="2">
        <v>2071.4196000000002</v>
      </c>
      <c r="AG556" s="2">
        <v>1117.8559</v>
      </c>
      <c r="AH556" s="2">
        <v>953.56370000000004</v>
      </c>
      <c r="AI556" s="3">
        <v>0.460343090313522</v>
      </c>
    </row>
    <row r="557" spans="1:35">
      <c r="A557" s="1">
        <v>42365</v>
      </c>
      <c r="B557" s="1">
        <v>37590</v>
      </c>
      <c r="C557" t="s">
        <v>6177</v>
      </c>
      <c r="D557">
        <v>352</v>
      </c>
      <c r="E557">
        <v>12317</v>
      </c>
      <c r="F557">
        <v>10</v>
      </c>
      <c r="G557">
        <v>1</v>
      </c>
      <c r="H557">
        <v>1</v>
      </c>
      <c r="I557">
        <v>1</v>
      </c>
      <c r="J557" t="s">
        <v>3535</v>
      </c>
      <c r="K557" t="s">
        <v>3536</v>
      </c>
      <c r="L557" s="2">
        <v>1117.8559</v>
      </c>
      <c r="M557" s="2">
        <v>2071.4196000000002</v>
      </c>
      <c r="N557" t="s">
        <v>13</v>
      </c>
      <c r="O557" t="s">
        <v>133</v>
      </c>
      <c r="P557" t="s">
        <v>450</v>
      </c>
      <c r="Q557" t="s">
        <v>6886</v>
      </c>
      <c r="R557" s="1">
        <v>19626</v>
      </c>
      <c r="S557" t="s">
        <v>16</v>
      </c>
      <c r="T557" t="s">
        <v>16</v>
      </c>
      <c r="U557" t="s">
        <v>1092</v>
      </c>
      <c r="V557">
        <v>150000</v>
      </c>
      <c r="W557">
        <v>2</v>
      </c>
      <c r="X557" t="s">
        <v>17</v>
      </c>
      <c r="Y557" t="s">
        <v>45</v>
      </c>
      <c r="Z557" t="s">
        <v>19</v>
      </c>
      <c r="AA557" t="s">
        <v>3588</v>
      </c>
      <c r="AB557" t="s">
        <v>3588</v>
      </c>
      <c r="AC557" t="s">
        <v>3584</v>
      </c>
      <c r="AD557" t="s">
        <v>3478</v>
      </c>
      <c r="AE557" t="s">
        <v>3475</v>
      </c>
      <c r="AF557" s="2">
        <v>2071.4196000000002</v>
      </c>
      <c r="AG557" s="2">
        <v>1117.8559</v>
      </c>
      <c r="AH557" s="2">
        <v>953.56370000000004</v>
      </c>
      <c r="AI557" s="3">
        <v>0.460343090313522</v>
      </c>
    </row>
    <row r="558" spans="1:35">
      <c r="A558" s="1">
        <v>42201</v>
      </c>
      <c r="B558" s="1">
        <v>37428</v>
      </c>
      <c r="C558" t="s">
        <v>4890</v>
      </c>
      <c r="D558">
        <v>373</v>
      </c>
      <c r="E558">
        <v>13055</v>
      </c>
      <c r="F558">
        <v>1</v>
      </c>
      <c r="G558">
        <v>1</v>
      </c>
      <c r="H558">
        <v>1</v>
      </c>
      <c r="I558">
        <v>2</v>
      </c>
      <c r="J558" t="s">
        <v>3555</v>
      </c>
      <c r="K558" t="s">
        <v>3556</v>
      </c>
      <c r="L558" s="2">
        <v>1320.6838</v>
      </c>
      <c r="M558" s="2">
        <v>2181.5625</v>
      </c>
      <c r="N558" t="s">
        <v>13</v>
      </c>
      <c r="O558" t="s">
        <v>799</v>
      </c>
      <c r="P558" t="s">
        <v>314</v>
      </c>
      <c r="Q558" t="s">
        <v>6887</v>
      </c>
      <c r="R558" s="1">
        <v>27686</v>
      </c>
      <c r="S558" t="s">
        <v>22</v>
      </c>
      <c r="T558" t="s">
        <v>16</v>
      </c>
      <c r="U558" t="s">
        <v>1374</v>
      </c>
      <c r="V558">
        <v>30000</v>
      </c>
      <c r="W558">
        <v>0</v>
      </c>
      <c r="X558" t="s">
        <v>57</v>
      </c>
      <c r="Y558" t="s">
        <v>53</v>
      </c>
      <c r="Z558" t="s">
        <v>19</v>
      </c>
      <c r="AA558" t="s">
        <v>3577</v>
      </c>
      <c r="AB558" t="s">
        <v>3578</v>
      </c>
      <c r="AC558" t="s">
        <v>3579</v>
      </c>
      <c r="AD558" t="s">
        <v>3479</v>
      </c>
      <c r="AE558" t="s">
        <v>3475</v>
      </c>
      <c r="AF558" s="2">
        <v>2181.5625</v>
      </c>
      <c r="AG558" s="2">
        <v>1320.6838</v>
      </c>
      <c r="AH558" s="2">
        <v>860.87869999999998</v>
      </c>
      <c r="AI558" s="3">
        <v>0.39461564818793898</v>
      </c>
    </row>
    <row r="559" spans="1:35">
      <c r="A559" s="1">
        <v>42351</v>
      </c>
      <c r="B559" s="1">
        <v>37529</v>
      </c>
      <c r="C559" t="s">
        <v>6037</v>
      </c>
      <c r="D559">
        <v>362</v>
      </c>
      <c r="E559">
        <v>12318</v>
      </c>
      <c r="F559">
        <v>10</v>
      </c>
      <c r="G559">
        <v>1</v>
      </c>
      <c r="H559">
        <v>1</v>
      </c>
      <c r="I559">
        <v>1</v>
      </c>
      <c r="J559" t="s">
        <v>3545</v>
      </c>
      <c r="K559" t="s">
        <v>3546</v>
      </c>
      <c r="L559" s="2">
        <v>1105.81</v>
      </c>
      <c r="M559" s="2">
        <v>2049.0981999999999</v>
      </c>
      <c r="N559" t="s">
        <v>26</v>
      </c>
      <c r="O559" t="s">
        <v>897</v>
      </c>
      <c r="P559" t="s">
        <v>501</v>
      </c>
      <c r="Q559" t="s">
        <v>6888</v>
      </c>
      <c r="R559" s="1">
        <v>19482</v>
      </c>
      <c r="S559" t="s">
        <v>16</v>
      </c>
      <c r="T559" t="s">
        <v>29</v>
      </c>
      <c r="U559" t="s">
        <v>1093</v>
      </c>
      <c r="V559">
        <v>170000</v>
      </c>
      <c r="W559">
        <v>0</v>
      </c>
      <c r="X559" t="s">
        <v>17</v>
      </c>
      <c r="Y559" t="s">
        <v>45</v>
      </c>
      <c r="Z559" t="s">
        <v>23</v>
      </c>
      <c r="AA559" t="s">
        <v>3588</v>
      </c>
      <c r="AB559" t="s">
        <v>3588</v>
      </c>
      <c r="AC559" t="s">
        <v>3584</v>
      </c>
      <c r="AD559" t="s">
        <v>3478</v>
      </c>
      <c r="AE559" t="s">
        <v>3475</v>
      </c>
      <c r="AF559" s="2">
        <v>2049.0981999999999</v>
      </c>
      <c r="AG559" s="2">
        <v>1105.81</v>
      </c>
      <c r="AH559" s="2">
        <v>943.28819999999996</v>
      </c>
      <c r="AI559" s="3">
        <v>0.46034309141455498</v>
      </c>
    </row>
    <row r="560" spans="1:35">
      <c r="A560" s="1">
        <v>42201</v>
      </c>
      <c r="B560" s="1">
        <v>37429</v>
      </c>
      <c r="C560" t="s">
        <v>4892</v>
      </c>
      <c r="D560">
        <v>360</v>
      </c>
      <c r="E560">
        <v>12347</v>
      </c>
      <c r="F560">
        <v>9</v>
      </c>
      <c r="G560">
        <v>1</v>
      </c>
      <c r="H560">
        <v>1</v>
      </c>
      <c r="I560">
        <v>1</v>
      </c>
      <c r="J560" t="s">
        <v>3543</v>
      </c>
      <c r="K560" t="s">
        <v>3544</v>
      </c>
      <c r="L560" s="2">
        <v>1105.81</v>
      </c>
      <c r="M560" s="2">
        <v>2049.0981999999999</v>
      </c>
      <c r="N560" t="s">
        <v>26</v>
      </c>
      <c r="O560" t="s">
        <v>932</v>
      </c>
      <c r="P560" t="s">
        <v>658</v>
      </c>
      <c r="Q560" t="s">
        <v>6889</v>
      </c>
      <c r="R560" s="1">
        <v>27446</v>
      </c>
      <c r="S560" t="s">
        <v>16</v>
      </c>
      <c r="T560" t="s">
        <v>29</v>
      </c>
      <c r="U560" t="s">
        <v>1112</v>
      </c>
      <c r="V560">
        <v>90000</v>
      </c>
      <c r="W560">
        <v>0</v>
      </c>
      <c r="X560" t="s">
        <v>17</v>
      </c>
      <c r="Y560" t="s">
        <v>18</v>
      </c>
      <c r="Z560" t="s">
        <v>23</v>
      </c>
      <c r="AA560" t="s">
        <v>3586</v>
      </c>
      <c r="AB560" t="s">
        <v>3586</v>
      </c>
      <c r="AC560" t="s">
        <v>3587</v>
      </c>
      <c r="AD560" t="s">
        <v>3478</v>
      </c>
      <c r="AE560" t="s">
        <v>3475</v>
      </c>
      <c r="AF560" s="2">
        <v>2049.0981999999999</v>
      </c>
      <c r="AG560" s="2">
        <v>1105.81</v>
      </c>
      <c r="AH560" s="2">
        <v>943.28819999999996</v>
      </c>
      <c r="AI560" s="3">
        <v>0.46034309141455498</v>
      </c>
    </row>
    <row r="561" spans="1:35">
      <c r="A561" s="1">
        <v>42202</v>
      </c>
      <c r="B561" s="1">
        <v>37405</v>
      </c>
      <c r="C561" t="s">
        <v>4893</v>
      </c>
      <c r="D561">
        <v>371</v>
      </c>
      <c r="E561">
        <v>13069</v>
      </c>
      <c r="F561">
        <v>1</v>
      </c>
      <c r="G561">
        <v>1</v>
      </c>
      <c r="H561">
        <v>1</v>
      </c>
      <c r="I561">
        <v>2</v>
      </c>
      <c r="J561" t="s">
        <v>3553</v>
      </c>
      <c r="K561" t="s">
        <v>3554</v>
      </c>
      <c r="L561" s="2">
        <v>1320.6838</v>
      </c>
      <c r="M561" s="2">
        <v>2181.5625</v>
      </c>
      <c r="N561" t="s">
        <v>13</v>
      </c>
      <c r="O561" t="s">
        <v>112</v>
      </c>
      <c r="P561" t="s">
        <v>598</v>
      </c>
      <c r="Q561" t="s">
        <v>6890</v>
      </c>
      <c r="R561" s="1">
        <v>27260</v>
      </c>
      <c r="S561" t="s">
        <v>16</v>
      </c>
      <c r="T561" t="s">
        <v>16</v>
      </c>
      <c r="U561" t="s">
        <v>1386</v>
      </c>
      <c r="V561">
        <v>30000</v>
      </c>
      <c r="W561">
        <v>0</v>
      </c>
      <c r="X561" t="s">
        <v>57</v>
      </c>
      <c r="Y561" t="s">
        <v>53</v>
      </c>
      <c r="Z561" t="s">
        <v>19</v>
      </c>
      <c r="AA561" t="s">
        <v>3577</v>
      </c>
      <c r="AB561" t="s">
        <v>3578</v>
      </c>
      <c r="AC561" t="s">
        <v>3579</v>
      </c>
      <c r="AD561" t="s">
        <v>3479</v>
      </c>
      <c r="AE561" t="s">
        <v>3475</v>
      </c>
      <c r="AF561" s="2">
        <v>2181.5625</v>
      </c>
      <c r="AG561" s="2">
        <v>1320.6838</v>
      </c>
      <c r="AH561" s="2">
        <v>860.87869999999998</v>
      </c>
      <c r="AI561" s="3">
        <v>0.39461564818793898</v>
      </c>
    </row>
    <row r="562" spans="1:35">
      <c r="A562" s="1">
        <v>42202</v>
      </c>
      <c r="B562" s="1">
        <v>37439</v>
      </c>
      <c r="C562" t="s">
        <v>4894</v>
      </c>
      <c r="D562">
        <v>370</v>
      </c>
      <c r="E562">
        <v>13230</v>
      </c>
      <c r="F562">
        <v>1</v>
      </c>
      <c r="G562">
        <v>1</v>
      </c>
      <c r="H562">
        <v>1</v>
      </c>
      <c r="I562">
        <v>2</v>
      </c>
      <c r="J562" t="s">
        <v>3551</v>
      </c>
      <c r="K562" t="s">
        <v>3552</v>
      </c>
      <c r="L562" s="2">
        <v>1518.7864</v>
      </c>
      <c r="M562" s="2">
        <v>2443.35</v>
      </c>
      <c r="N562" t="s">
        <v>30</v>
      </c>
      <c r="O562" t="s">
        <v>50</v>
      </c>
      <c r="P562" t="s">
        <v>184</v>
      </c>
      <c r="Q562" t="s">
        <v>6891</v>
      </c>
      <c r="R562" s="1">
        <v>17237</v>
      </c>
      <c r="S562" t="s">
        <v>16</v>
      </c>
      <c r="T562" t="s">
        <v>29</v>
      </c>
      <c r="U562" t="s">
        <v>1465</v>
      </c>
      <c r="V562">
        <v>70000</v>
      </c>
      <c r="W562">
        <v>4</v>
      </c>
      <c r="X562" t="s">
        <v>17</v>
      </c>
      <c r="Y562" t="s">
        <v>45</v>
      </c>
      <c r="Z562" t="s">
        <v>19</v>
      </c>
      <c r="AA562" t="s">
        <v>3577</v>
      </c>
      <c r="AB562" t="s">
        <v>3578</v>
      </c>
      <c r="AC562" t="s">
        <v>3579</v>
      </c>
      <c r="AD562" t="s">
        <v>3479</v>
      </c>
      <c r="AE562" t="s">
        <v>3475</v>
      </c>
      <c r="AF562" s="2">
        <v>2443.35</v>
      </c>
      <c r="AG562" s="2">
        <v>1518.7864</v>
      </c>
      <c r="AH562" s="2">
        <v>924.56359999999995</v>
      </c>
      <c r="AI562" s="3">
        <v>0.37839998362903399</v>
      </c>
    </row>
    <row r="563" spans="1:35">
      <c r="A563" s="1">
        <v>42202</v>
      </c>
      <c r="B563" s="1">
        <v>37394</v>
      </c>
      <c r="C563" t="s">
        <v>4896</v>
      </c>
      <c r="D563">
        <v>379</v>
      </c>
      <c r="E563">
        <v>13152</v>
      </c>
      <c r="F563">
        <v>4</v>
      </c>
      <c r="G563">
        <v>1</v>
      </c>
      <c r="H563">
        <v>1</v>
      </c>
      <c r="I563">
        <v>2</v>
      </c>
      <c r="J563" t="s">
        <v>3561</v>
      </c>
      <c r="K563" t="s">
        <v>3562</v>
      </c>
      <c r="L563" s="2">
        <v>1320.6838</v>
      </c>
      <c r="M563" s="2">
        <v>2181.5625</v>
      </c>
      <c r="N563" t="s">
        <v>26</v>
      </c>
      <c r="O563" t="s">
        <v>296</v>
      </c>
      <c r="P563" t="s">
        <v>148</v>
      </c>
      <c r="Q563" t="s">
        <v>6892</v>
      </c>
      <c r="R563" s="1">
        <v>28537</v>
      </c>
      <c r="S563" t="s">
        <v>16</v>
      </c>
      <c r="T563" t="s">
        <v>29</v>
      </c>
      <c r="U563" t="s">
        <v>1439</v>
      </c>
      <c r="V563">
        <v>40000</v>
      </c>
      <c r="W563">
        <v>0</v>
      </c>
      <c r="X563" t="s">
        <v>57</v>
      </c>
      <c r="Y563" t="s">
        <v>53</v>
      </c>
      <c r="Z563" t="s">
        <v>19</v>
      </c>
      <c r="AA563" t="s">
        <v>3580</v>
      </c>
      <c r="AB563" t="s">
        <v>3578</v>
      </c>
      <c r="AC563" t="s">
        <v>3579</v>
      </c>
      <c r="AD563" t="s">
        <v>3479</v>
      </c>
      <c r="AE563" t="s">
        <v>3475</v>
      </c>
      <c r="AF563" s="2">
        <v>2181.5625</v>
      </c>
      <c r="AG563" s="2">
        <v>1320.6838</v>
      </c>
      <c r="AH563" s="2">
        <v>860.87869999999998</v>
      </c>
      <c r="AI563" s="3">
        <v>0.39461564818793898</v>
      </c>
    </row>
    <row r="564" spans="1:35">
      <c r="A564" s="1">
        <v>42344</v>
      </c>
      <c r="B564" s="1">
        <v>37580</v>
      </c>
      <c r="C564" t="s">
        <v>5950</v>
      </c>
      <c r="D564">
        <v>358</v>
      </c>
      <c r="E564">
        <v>12328</v>
      </c>
      <c r="F564">
        <v>10</v>
      </c>
      <c r="G564">
        <v>1</v>
      </c>
      <c r="H564">
        <v>1</v>
      </c>
      <c r="I564">
        <v>1</v>
      </c>
      <c r="J564" t="s">
        <v>3541</v>
      </c>
      <c r="K564" t="s">
        <v>3542</v>
      </c>
      <c r="L564" s="2">
        <v>1105.81</v>
      </c>
      <c r="M564" s="2">
        <v>2049.0981999999999</v>
      </c>
      <c r="N564" t="s">
        <v>13</v>
      </c>
      <c r="O564" t="s">
        <v>20</v>
      </c>
      <c r="P564" t="s">
        <v>81</v>
      </c>
      <c r="Q564" t="s">
        <v>6893</v>
      </c>
      <c r="R564" s="1">
        <v>18340</v>
      </c>
      <c r="S564" t="s">
        <v>22</v>
      </c>
      <c r="T564" t="s">
        <v>16</v>
      </c>
      <c r="U564" t="s">
        <v>1098</v>
      </c>
      <c r="V564">
        <v>130000</v>
      </c>
      <c r="W564">
        <v>4</v>
      </c>
      <c r="X564" t="s">
        <v>57</v>
      </c>
      <c r="Y564" t="s">
        <v>45</v>
      </c>
      <c r="Z564" t="s">
        <v>23</v>
      </c>
      <c r="AA564" t="s">
        <v>3588</v>
      </c>
      <c r="AB564" t="s">
        <v>3588</v>
      </c>
      <c r="AC564" t="s">
        <v>3584</v>
      </c>
      <c r="AD564" t="s">
        <v>3478</v>
      </c>
      <c r="AE564" t="s">
        <v>3475</v>
      </c>
      <c r="AF564" s="2">
        <v>2049.0981999999999</v>
      </c>
      <c r="AG564" s="2">
        <v>1105.81</v>
      </c>
      <c r="AH564" s="2">
        <v>943.28819999999996</v>
      </c>
      <c r="AI564" s="3">
        <v>0.46034309141455498</v>
      </c>
    </row>
    <row r="565" spans="1:35">
      <c r="A565" s="1">
        <v>42202</v>
      </c>
      <c r="B565" s="1">
        <v>37406</v>
      </c>
      <c r="C565" t="s">
        <v>4901</v>
      </c>
      <c r="D565">
        <v>369</v>
      </c>
      <c r="E565">
        <v>12941</v>
      </c>
      <c r="F565">
        <v>1</v>
      </c>
      <c r="G565">
        <v>1</v>
      </c>
      <c r="H565">
        <v>1</v>
      </c>
      <c r="I565">
        <v>2</v>
      </c>
      <c r="J565" t="s">
        <v>3549</v>
      </c>
      <c r="K565" t="s">
        <v>3550</v>
      </c>
      <c r="L565" s="2">
        <v>1518.7864</v>
      </c>
      <c r="M565" s="2">
        <v>2443.35</v>
      </c>
      <c r="N565" t="s">
        <v>30</v>
      </c>
      <c r="O565" t="s">
        <v>276</v>
      </c>
      <c r="P565" t="s">
        <v>252</v>
      </c>
      <c r="Q565" t="s">
        <v>6894</v>
      </c>
      <c r="R565" s="1">
        <v>23872</v>
      </c>
      <c r="S565" t="s">
        <v>22</v>
      </c>
      <c r="T565" t="s">
        <v>29</v>
      </c>
      <c r="U565" t="s">
        <v>1326</v>
      </c>
      <c r="V565">
        <v>80000</v>
      </c>
      <c r="W565">
        <v>3</v>
      </c>
      <c r="X565" t="s">
        <v>17</v>
      </c>
      <c r="Y565" t="s">
        <v>53</v>
      </c>
      <c r="Z565" t="s">
        <v>19</v>
      </c>
      <c r="AA565" t="s">
        <v>3577</v>
      </c>
      <c r="AB565" t="s">
        <v>3578</v>
      </c>
      <c r="AC565" t="s">
        <v>3579</v>
      </c>
      <c r="AD565" t="s">
        <v>3479</v>
      </c>
      <c r="AE565" t="s">
        <v>3475</v>
      </c>
      <c r="AF565" s="2">
        <v>2443.35</v>
      </c>
      <c r="AG565" s="2">
        <v>1518.7864</v>
      </c>
      <c r="AH565" s="2">
        <v>924.56359999999995</v>
      </c>
      <c r="AI565" s="3">
        <v>0.37839998362903399</v>
      </c>
    </row>
    <row r="566" spans="1:35">
      <c r="A566" s="1">
        <v>42202</v>
      </c>
      <c r="B566" s="1">
        <v>37369</v>
      </c>
      <c r="C566" t="s">
        <v>4902</v>
      </c>
      <c r="D566">
        <v>371</v>
      </c>
      <c r="E566">
        <v>13165</v>
      </c>
      <c r="F566">
        <v>4</v>
      </c>
      <c r="G566">
        <v>1</v>
      </c>
      <c r="H566">
        <v>1</v>
      </c>
      <c r="I566">
        <v>2</v>
      </c>
      <c r="J566" t="s">
        <v>3553</v>
      </c>
      <c r="K566" t="s">
        <v>3554</v>
      </c>
      <c r="L566" s="2">
        <v>1320.6838</v>
      </c>
      <c r="M566" s="2">
        <v>2181.5625</v>
      </c>
      <c r="N566" t="s">
        <v>13</v>
      </c>
      <c r="O566" t="s">
        <v>54</v>
      </c>
      <c r="P566" t="s">
        <v>44</v>
      </c>
      <c r="Q566" t="s">
        <v>6895</v>
      </c>
      <c r="R566" s="1">
        <v>28024</v>
      </c>
      <c r="S566" t="s">
        <v>22</v>
      </c>
      <c r="T566" t="s">
        <v>16</v>
      </c>
      <c r="U566" t="s">
        <v>1443</v>
      </c>
      <c r="V566">
        <v>40000</v>
      </c>
      <c r="W566">
        <v>0</v>
      </c>
      <c r="X566" t="s">
        <v>52</v>
      </c>
      <c r="Y566" t="s">
        <v>53</v>
      </c>
      <c r="Z566" t="s">
        <v>23</v>
      </c>
      <c r="AA566" t="s">
        <v>3580</v>
      </c>
      <c r="AB566" t="s">
        <v>3578</v>
      </c>
      <c r="AC566" t="s">
        <v>3579</v>
      </c>
      <c r="AD566" t="s">
        <v>3479</v>
      </c>
      <c r="AE566" t="s">
        <v>3475</v>
      </c>
      <c r="AF566" s="2">
        <v>2181.5625</v>
      </c>
      <c r="AG566" s="2">
        <v>1320.6838</v>
      </c>
      <c r="AH566" s="2">
        <v>860.87869999999998</v>
      </c>
      <c r="AI566" s="3">
        <v>0.39461564818793898</v>
      </c>
    </row>
    <row r="567" spans="1:35">
      <c r="A567" s="1">
        <v>42203</v>
      </c>
      <c r="B567" s="1">
        <v>37426</v>
      </c>
      <c r="C567" t="s">
        <v>4905</v>
      </c>
      <c r="D567">
        <v>354</v>
      </c>
      <c r="E567">
        <v>12574</v>
      </c>
      <c r="F567">
        <v>9</v>
      </c>
      <c r="G567">
        <v>1</v>
      </c>
      <c r="H567">
        <v>1</v>
      </c>
      <c r="I567">
        <v>1</v>
      </c>
      <c r="J567" t="s">
        <v>3537</v>
      </c>
      <c r="K567" t="s">
        <v>3538</v>
      </c>
      <c r="L567" s="2">
        <v>1117.8559</v>
      </c>
      <c r="M567" s="2">
        <v>2071.4196000000002</v>
      </c>
      <c r="N567" t="s">
        <v>13</v>
      </c>
      <c r="O567" t="s">
        <v>1189</v>
      </c>
      <c r="P567" t="s">
        <v>131</v>
      </c>
      <c r="Q567" t="s">
        <v>6896</v>
      </c>
      <c r="R567" s="1">
        <v>29262</v>
      </c>
      <c r="S567" t="s">
        <v>22</v>
      </c>
      <c r="T567" t="s">
        <v>16</v>
      </c>
      <c r="U567" t="s">
        <v>1190</v>
      </c>
      <c r="V567">
        <v>10000</v>
      </c>
      <c r="W567">
        <v>0</v>
      </c>
      <c r="X567" t="s">
        <v>52</v>
      </c>
      <c r="Y567" t="s">
        <v>444</v>
      </c>
      <c r="Z567" t="s">
        <v>23</v>
      </c>
      <c r="AA567" t="s">
        <v>3586</v>
      </c>
      <c r="AB567" t="s">
        <v>3586</v>
      </c>
      <c r="AC567" t="s">
        <v>3587</v>
      </c>
      <c r="AD567" t="s">
        <v>3478</v>
      </c>
      <c r="AE567" t="s">
        <v>3475</v>
      </c>
      <c r="AF567" s="2">
        <v>2071.4196000000002</v>
      </c>
      <c r="AG567" s="2">
        <v>1117.8559</v>
      </c>
      <c r="AH567" s="2">
        <v>953.56370000000004</v>
      </c>
      <c r="AI567" s="3">
        <v>0.460343090313522</v>
      </c>
    </row>
    <row r="568" spans="1:35">
      <c r="A568" s="1">
        <v>42203</v>
      </c>
      <c r="B568" s="1">
        <v>37387</v>
      </c>
      <c r="C568" t="s">
        <v>4907</v>
      </c>
      <c r="D568">
        <v>360</v>
      </c>
      <c r="E568">
        <v>12575</v>
      </c>
      <c r="F568">
        <v>9</v>
      </c>
      <c r="G568">
        <v>1</v>
      </c>
      <c r="H568">
        <v>1</v>
      </c>
      <c r="I568">
        <v>1</v>
      </c>
      <c r="J568" t="s">
        <v>3543</v>
      </c>
      <c r="K568" t="s">
        <v>3544</v>
      </c>
      <c r="L568" s="2">
        <v>1105.81</v>
      </c>
      <c r="M568" s="2">
        <v>2049.0981999999999</v>
      </c>
      <c r="N568" t="s">
        <v>26</v>
      </c>
      <c r="O568" t="s">
        <v>117</v>
      </c>
      <c r="P568" t="s">
        <v>271</v>
      </c>
      <c r="Q568" t="s">
        <v>6897</v>
      </c>
      <c r="R568" s="1">
        <v>29110</v>
      </c>
      <c r="S568" t="s">
        <v>22</v>
      </c>
      <c r="T568" t="s">
        <v>29</v>
      </c>
      <c r="U568" t="s">
        <v>1191</v>
      </c>
      <c r="V568">
        <v>10000</v>
      </c>
      <c r="W568">
        <v>0</v>
      </c>
      <c r="X568" t="s">
        <v>52</v>
      </c>
      <c r="Y568" t="s">
        <v>444</v>
      </c>
      <c r="Z568" t="s">
        <v>23</v>
      </c>
      <c r="AA568" t="s">
        <v>3586</v>
      </c>
      <c r="AB568" t="s">
        <v>3586</v>
      </c>
      <c r="AC568" t="s">
        <v>3587</v>
      </c>
      <c r="AD568" t="s">
        <v>3478</v>
      </c>
      <c r="AE568" t="s">
        <v>3475</v>
      </c>
      <c r="AF568" s="2">
        <v>2049.0981999999999</v>
      </c>
      <c r="AG568" s="2">
        <v>1105.81</v>
      </c>
      <c r="AH568" s="2">
        <v>943.28819999999996</v>
      </c>
      <c r="AI568" s="3">
        <v>0.46034309141455498</v>
      </c>
    </row>
    <row r="569" spans="1:35">
      <c r="A569" s="1">
        <v>42351</v>
      </c>
      <c r="B569" s="1">
        <v>37491</v>
      </c>
      <c r="C569" t="s">
        <v>6032</v>
      </c>
      <c r="D569">
        <v>360</v>
      </c>
      <c r="E569">
        <v>12335</v>
      </c>
      <c r="F569">
        <v>10</v>
      </c>
      <c r="G569">
        <v>1</v>
      </c>
      <c r="H569">
        <v>1</v>
      </c>
      <c r="I569">
        <v>1</v>
      </c>
      <c r="J569" t="s">
        <v>3543</v>
      </c>
      <c r="K569" t="s">
        <v>3544</v>
      </c>
      <c r="L569" s="2">
        <v>1105.81</v>
      </c>
      <c r="M569" s="2">
        <v>2049.0981999999999</v>
      </c>
      <c r="N569" t="s">
        <v>13</v>
      </c>
      <c r="O569" t="s">
        <v>478</v>
      </c>
      <c r="P569" t="s">
        <v>809</v>
      </c>
      <c r="Q569" t="s">
        <v>6898</v>
      </c>
      <c r="R569" s="1">
        <v>17586</v>
      </c>
      <c r="S569" t="s">
        <v>22</v>
      </c>
      <c r="T569" t="s">
        <v>16</v>
      </c>
      <c r="U569" t="s">
        <v>1101</v>
      </c>
      <c r="V569">
        <v>150000</v>
      </c>
      <c r="W569">
        <v>3</v>
      </c>
      <c r="X569" t="s">
        <v>57</v>
      </c>
      <c r="Y569" t="s">
        <v>45</v>
      </c>
      <c r="Z569" t="s">
        <v>23</v>
      </c>
      <c r="AA569" t="s">
        <v>3588</v>
      </c>
      <c r="AB569" t="s">
        <v>3588</v>
      </c>
      <c r="AC569" t="s">
        <v>3584</v>
      </c>
      <c r="AD569" t="s">
        <v>3478</v>
      </c>
      <c r="AE569" t="s">
        <v>3475</v>
      </c>
      <c r="AF569" s="2">
        <v>2049.0981999999999</v>
      </c>
      <c r="AG569" s="2">
        <v>1105.81</v>
      </c>
      <c r="AH569" s="2">
        <v>943.28819999999996</v>
      </c>
      <c r="AI569" s="3">
        <v>0.46034309141455498</v>
      </c>
    </row>
    <row r="570" spans="1:35">
      <c r="A570" s="1">
        <v>42204</v>
      </c>
      <c r="B570" s="1">
        <v>37436</v>
      </c>
      <c r="C570" t="s">
        <v>4912</v>
      </c>
      <c r="D570">
        <v>369</v>
      </c>
      <c r="E570">
        <v>13066</v>
      </c>
      <c r="F570">
        <v>1</v>
      </c>
      <c r="G570">
        <v>1</v>
      </c>
      <c r="H570">
        <v>1</v>
      </c>
      <c r="I570">
        <v>2</v>
      </c>
      <c r="J570" t="s">
        <v>3549</v>
      </c>
      <c r="K570" t="s">
        <v>3550</v>
      </c>
      <c r="L570" s="2">
        <v>1518.7864</v>
      </c>
      <c r="M570" s="2">
        <v>2443.35</v>
      </c>
      <c r="N570" t="s">
        <v>13</v>
      </c>
      <c r="O570" t="s">
        <v>236</v>
      </c>
      <c r="P570" t="s">
        <v>329</v>
      </c>
      <c r="Q570" t="s">
        <v>6899</v>
      </c>
      <c r="R570" s="1">
        <v>27297</v>
      </c>
      <c r="S570" t="s">
        <v>22</v>
      </c>
      <c r="T570" t="s">
        <v>16</v>
      </c>
      <c r="U570" t="s">
        <v>1383</v>
      </c>
      <c r="V570">
        <v>30000</v>
      </c>
      <c r="W570">
        <v>0</v>
      </c>
      <c r="X570" t="s">
        <v>57</v>
      </c>
      <c r="Y570" t="s">
        <v>53</v>
      </c>
      <c r="Z570" t="s">
        <v>23</v>
      </c>
      <c r="AA570" t="s">
        <v>3577</v>
      </c>
      <c r="AB570" t="s">
        <v>3578</v>
      </c>
      <c r="AC570" t="s">
        <v>3579</v>
      </c>
      <c r="AD570" t="s">
        <v>3479</v>
      </c>
      <c r="AE570" t="s">
        <v>3475</v>
      </c>
      <c r="AF570" s="2">
        <v>2443.35</v>
      </c>
      <c r="AG570" s="2">
        <v>1518.7864</v>
      </c>
      <c r="AH570" s="2">
        <v>924.56359999999995</v>
      </c>
      <c r="AI570" s="3">
        <v>0.37839998362903399</v>
      </c>
    </row>
    <row r="571" spans="1:35">
      <c r="A571" s="1">
        <v>42211</v>
      </c>
      <c r="B571" s="1">
        <v>37400</v>
      </c>
      <c r="C571" t="s">
        <v>4968</v>
      </c>
      <c r="D571">
        <v>362</v>
      </c>
      <c r="E571">
        <v>12340</v>
      </c>
      <c r="F571">
        <v>9</v>
      </c>
      <c r="G571">
        <v>1</v>
      </c>
      <c r="H571">
        <v>1</v>
      </c>
      <c r="I571">
        <v>1</v>
      </c>
      <c r="J571" t="s">
        <v>3545</v>
      </c>
      <c r="K571" t="s">
        <v>3546</v>
      </c>
      <c r="L571" s="2">
        <v>1105.81</v>
      </c>
      <c r="M571" s="2">
        <v>2049.0981999999999</v>
      </c>
      <c r="N571" t="s">
        <v>26</v>
      </c>
      <c r="O571" t="s">
        <v>814</v>
      </c>
      <c r="P571" t="s">
        <v>136</v>
      </c>
      <c r="Q571" t="s">
        <v>6900</v>
      </c>
      <c r="R571" s="1">
        <v>28069</v>
      </c>
      <c r="S571" t="s">
        <v>22</v>
      </c>
      <c r="T571" t="s">
        <v>29</v>
      </c>
      <c r="U571" t="s">
        <v>1106</v>
      </c>
      <c r="V571">
        <v>70000</v>
      </c>
      <c r="W571">
        <v>0</v>
      </c>
      <c r="X571" t="s">
        <v>17</v>
      </c>
      <c r="Y571" t="s">
        <v>18</v>
      </c>
      <c r="Z571" t="s">
        <v>19</v>
      </c>
      <c r="AA571" t="s">
        <v>3586</v>
      </c>
      <c r="AB571" t="s">
        <v>3586</v>
      </c>
      <c r="AC571" t="s">
        <v>3587</v>
      </c>
      <c r="AD571" t="s">
        <v>3478</v>
      </c>
      <c r="AE571" t="s">
        <v>3475</v>
      </c>
      <c r="AF571" s="2">
        <v>2049.0981999999999</v>
      </c>
      <c r="AG571" s="2">
        <v>1105.81</v>
      </c>
      <c r="AH571" s="2">
        <v>943.28819999999996</v>
      </c>
      <c r="AI571" s="3">
        <v>0.46034309141455498</v>
      </c>
    </row>
    <row r="572" spans="1:35">
      <c r="A572" s="1">
        <v>42204</v>
      </c>
      <c r="B572" s="1">
        <v>37427</v>
      </c>
      <c r="C572" t="s">
        <v>4913</v>
      </c>
      <c r="D572">
        <v>379</v>
      </c>
      <c r="E572">
        <v>12923</v>
      </c>
      <c r="F572">
        <v>4</v>
      </c>
      <c r="G572">
        <v>1</v>
      </c>
      <c r="H572">
        <v>1</v>
      </c>
      <c r="I572">
        <v>2</v>
      </c>
      <c r="J572" t="s">
        <v>3561</v>
      </c>
      <c r="K572" t="s">
        <v>3562</v>
      </c>
      <c r="L572" s="2">
        <v>1320.6838</v>
      </c>
      <c r="M572" s="2">
        <v>2181.5625</v>
      </c>
      <c r="N572" t="s">
        <v>13</v>
      </c>
      <c r="O572" t="s">
        <v>414</v>
      </c>
      <c r="P572" t="s">
        <v>240</v>
      </c>
      <c r="Q572" t="s">
        <v>6901</v>
      </c>
      <c r="R572" s="1">
        <v>24340</v>
      </c>
      <c r="S572" t="s">
        <v>22</v>
      </c>
      <c r="T572" t="s">
        <v>16</v>
      </c>
      <c r="U572" t="s">
        <v>1319</v>
      </c>
      <c r="V572">
        <v>60000</v>
      </c>
      <c r="W572">
        <v>3</v>
      </c>
      <c r="X572" t="s">
        <v>17</v>
      </c>
      <c r="Y572" t="s">
        <v>53</v>
      </c>
      <c r="Z572" t="s">
        <v>19</v>
      </c>
      <c r="AA572" t="s">
        <v>3580</v>
      </c>
      <c r="AB572" t="s">
        <v>3578</v>
      </c>
      <c r="AC572" t="s">
        <v>3579</v>
      </c>
      <c r="AD572" t="s">
        <v>3479</v>
      </c>
      <c r="AE572" t="s">
        <v>3475</v>
      </c>
      <c r="AF572" s="2">
        <v>2181.5625</v>
      </c>
      <c r="AG572" s="2">
        <v>1320.6838</v>
      </c>
      <c r="AH572" s="2">
        <v>860.87869999999998</v>
      </c>
      <c r="AI572" s="3">
        <v>0.39461564818793898</v>
      </c>
    </row>
    <row r="573" spans="1:35">
      <c r="A573" s="1">
        <v>42205</v>
      </c>
      <c r="B573" s="1">
        <v>37382</v>
      </c>
      <c r="C573" t="s">
        <v>4922</v>
      </c>
      <c r="D573">
        <v>358</v>
      </c>
      <c r="E573">
        <v>12343</v>
      </c>
      <c r="F573">
        <v>9</v>
      </c>
      <c r="G573">
        <v>1</v>
      </c>
      <c r="H573">
        <v>1</v>
      </c>
      <c r="I573">
        <v>1</v>
      </c>
      <c r="J573" t="s">
        <v>3541</v>
      </c>
      <c r="K573" t="s">
        <v>3542</v>
      </c>
      <c r="L573" s="2">
        <v>1105.81</v>
      </c>
      <c r="M573" s="2">
        <v>2049.0981999999999</v>
      </c>
      <c r="N573" t="s">
        <v>26</v>
      </c>
      <c r="O573" t="s">
        <v>1096</v>
      </c>
      <c r="P573" t="s">
        <v>34</v>
      </c>
      <c r="Q573" t="s">
        <v>6902</v>
      </c>
      <c r="R573" s="1">
        <v>27184</v>
      </c>
      <c r="S573" t="s">
        <v>16</v>
      </c>
      <c r="T573" t="s">
        <v>29</v>
      </c>
      <c r="U573" t="s">
        <v>1109</v>
      </c>
      <c r="V573">
        <v>60000</v>
      </c>
      <c r="W573">
        <v>0</v>
      </c>
      <c r="X573" t="s">
        <v>17</v>
      </c>
      <c r="Y573" t="s">
        <v>18</v>
      </c>
      <c r="Z573" t="s">
        <v>19</v>
      </c>
      <c r="AA573" t="s">
        <v>3586</v>
      </c>
      <c r="AB573" t="s">
        <v>3586</v>
      </c>
      <c r="AC573" t="s">
        <v>3587</v>
      </c>
      <c r="AD573" t="s">
        <v>3478</v>
      </c>
      <c r="AE573" t="s">
        <v>3475</v>
      </c>
      <c r="AF573" s="2">
        <v>2049.0981999999999</v>
      </c>
      <c r="AG573" s="2">
        <v>1105.81</v>
      </c>
      <c r="AH573" s="2">
        <v>943.28819999999996</v>
      </c>
      <c r="AI573" s="3">
        <v>0.46034309141455498</v>
      </c>
    </row>
    <row r="574" spans="1:35">
      <c r="A574" s="1">
        <v>42216</v>
      </c>
      <c r="B574" s="1">
        <v>37356</v>
      </c>
      <c r="C574" t="s">
        <v>5004</v>
      </c>
      <c r="D574">
        <v>362</v>
      </c>
      <c r="E574">
        <v>12348</v>
      </c>
      <c r="F574">
        <v>9</v>
      </c>
      <c r="G574">
        <v>1</v>
      </c>
      <c r="H574">
        <v>1</v>
      </c>
      <c r="I574">
        <v>1</v>
      </c>
      <c r="J574" t="s">
        <v>3545</v>
      </c>
      <c r="K574" t="s">
        <v>3546</v>
      </c>
      <c r="L574" s="2">
        <v>1105.81</v>
      </c>
      <c r="M574" s="2">
        <v>2049.0981999999999</v>
      </c>
      <c r="N574" t="s">
        <v>13</v>
      </c>
      <c r="O574" t="s">
        <v>84</v>
      </c>
      <c r="P574" t="s">
        <v>232</v>
      </c>
      <c r="Q574" t="s">
        <v>6903</v>
      </c>
      <c r="R574" s="1">
        <v>27084</v>
      </c>
      <c r="S574" t="s">
        <v>16</v>
      </c>
      <c r="T574" t="s">
        <v>16</v>
      </c>
      <c r="U574" t="s">
        <v>1113</v>
      </c>
      <c r="V574">
        <v>90000</v>
      </c>
      <c r="W574">
        <v>0</v>
      </c>
      <c r="X574" t="s">
        <v>17</v>
      </c>
      <c r="Y574" t="s">
        <v>18</v>
      </c>
      <c r="Z574" t="s">
        <v>19</v>
      </c>
      <c r="AA574" t="s">
        <v>3586</v>
      </c>
      <c r="AB574" t="s">
        <v>3586</v>
      </c>
      <c r="AC574" t="s">
        <v>3587</v>
      </c>
      <c r="AD574" t="s">
        <v>3478</v>
      </c>
      <c r="AE574" t="s">
        <v>3475</v>
      </c>
      <c r="AF574" s="2">
        <v>2049.0981999999999</v>
      </c>
      <c r="AG574" s="2">
        <v>1105.81</v>
      </c>
      <c r="AH574" s="2">
        <v>943.28819999999996</v>
      </c>
      <c r="AI574" s="3">
        <v>0.46034309141455498</v>
      </c>
    </row>
    <row r="575" spans="1:35">
      <c r="A575" s="1">
        <v>42205</v>
      </c>
      <c r="B575" s="1">
        <v>37421</v>
      </c>
      <c r="C575" t="s">
        <v>4921</v>
      </c>
      <c r="D575">
        <v>371</v>
      </c>
      <c r="E575">
        <v>13174</v>
      </c>
      <c r="F575">
        <v>1</v>
      </c>
      <c r="G575">
        <v>1</v>
      </c>
      <c r="H575">
        <v>1</v>
      </c>
      <c r="I575">
        <v>2</v>
      </c>
      <c r="J575" t="s">
        <v>3553</v>
      </c>
      <c r="K575" t="s">
        <v>3554</v>
      </c>
      <c r="L575" s="2">
        <v>1320.6838</v>
      </c>
      <c r="M575" s="2">
        <v>2181.5625</v>
      </c>
      <c r="N575" t="s">
        <v>26</v>
      </c>
      <c r="O575" t="s">
        <v>687</v>
      </c>
      <c r="P575" t="s">
        <v>311</v>
      </c>
      <c r="Q575" t="s">
        <v>6904</v>
      </c>
      <c r="R575" s="1">
        <v>24962</v>
      </c>
      <c r="S575" t="s">
        <v>22</v>
      </c>
      <c r="T575" t="s">
        <v>29</v>
      </c>
      <c r="U575" t="s">
        <v>1445</v>
      </c>
      <c r="V575">
        <v>80000</v>
      </c>
      <c r="W575">
        <v>0</v>
      </c>
      <c r="X575" t="s">
        <v>17</v>
      </c>
      <c r="Y575" t="s">
        <v>45</v>
      </c>
      <c r="Z575" t="s">
        <v>23</v>
      </c>
      <c r="AA575" t="s">
        <v>3577</v>
      </c>
      <c r="AB575" t="s">
        <v>3578</v>
      </c>
      <c r="AC575" t="s">
        <v>3579</v>
      </c>
      <c r="AD575" t="s">
        <v>3479</v>
      </c>
      <c r="AE575" t="s">
        <v>3475</v>
      </c>
      <c r="AF575" s="2">
        <v>2181.5625</v>
      </c>
      <c r="AG575" s="2">
        <v>1320.6838</v>
      </c>
      <c r="AH575" s="2">
        <v>860.87869999999998</v>
      </c>
      <c r="AI575" s="3">
        <v>0.39461564818793898</v>
      </c>
    </row>
    <row r="576" spans="1:35">
      <c r="A576" s="1">
        <v>42205</v>
      </c>
      <c r="B576" s="1">
        <v>37436</v>
      </c>
      <c r="C576" t="s">
        <v>4924</v>
      </c>
      <c r="D576">
        <v>369</v>
      </c>
      <c r="E576">
        <v>13058</v>
      </c>
      <c r="F576">
        <v>4</v>
      </c>
      <c r="G576">
        <v>1</v>
      </c>
      <c r="H576">
        <v>1</v>
      </c>
      <c r="I576">
        <v>2</v>
      </c>
      <c r="J576" t="s">
        <v>3549</v>
      </c>
      <c r="K576" t="s">
        <v>3550</v>
      </c>
      <c r="L576" s="2">
        <v>1518.7864</v>
      </c>
      <c r="M576" s="2">
        <v>2443.35</v>
      </c>
      <c r="N576" t="s">
        <v>13</v>
      </c>
      <c r="O576" t="s">
        <v>463</v>
      </c>
      <c r="P576" t="s">
        <v>21</v>
      </c>
      <c r="Q576" t="s">
        <v>6905</v>
      </c>
      <c r="R576" s="1">
        <v>27622</v>
      </c>
      <c r="S576" t="s">
        <v>16</v>
      </c>
      <c r="T576" t="s">
        <v>16</v>
      </c>
      <c r="U576" t="s">
        <v>1377</v>
      </c>
      <c r="V576">
        <v>30000</v>
      </c>
      <c r="W576">
        <v>0</v>
      </c>
      <c r="X576" t="s">
        <v>57</v>
      </c>
      <c r="Y576" t="s">
        <v>53</v>
      </c>
      <c r="Z576" t="s">
        <v>19</v>
      </c>
      <c r="AA576" t="s">
        <v>3580</v>
      </c>
      <c r="AB576" t="s">
        <v>3578</v>
      </c>
      <c r="AC576" t="s">
        <v>3579</v>
      </c>
      <c r="AD576" t="s">
        <v>3479</v>
      </c>
      <c r="AE576" t="s">
        <v>3475</v>
      </c>
      <c r="AF576" s="2">
        <v>2443.35</v>
      </c>
      <c r="AG576" s="2">
        <v>1518.7864</v>
      </c>
      <c r="AH576" s="2">
        <v>924.56359999999995</v>
      </c>
      <c r="AI576" s="3">
        <v>0.37839998362903399</v>
      </c>
    </row>
    <row r="577" spans="1:35">
      <c r="A577" s="1">
        <v>42213</v>
      </c>
      <c r="B577" s="1">
        <v>37352</v>
      </c>
      <c r="C577" t="s">
        <v>4982</v>
      </c>
      <c r="D577">
        <v>354</v>
      </c>
      <c r="E577">
        <v>12353</v>
      </c>
      <c r="F577">
        <v>9</v>
      </c>
      <c r="G577">
        <v>1</v>
      </c>
      <c r="H577">
        <v>1</v>
      </c>
      <c r="I577">
        <v>1</v>
      </c>
      <c r="J577" t="s">
        <v>3537</v>
      </c>
      <c r="K577" t="s">
        <v>3538</v>
      </c>
      <c r="L577" s="2">
        <v>1117.8559</v>
      </c>
      <c r="M577" s="2">
        <v>2071.4196000000002</v>
      </c>
      <c r="N577" t="s">
        <v>13</v>
      </c>
      <c r="O577" t="s">
        <v>774</v>
      </c>
      <c r="P577" t="s">
        <v>89</v>
      </c>
      <c r="Q577" t="s">
        <v>6906</v>
      </c>
      <c r="R577" s="1">
        <v>26957</v>
      </c>
      <c r="S577" t="s">
        <v>16</v>
      </c>
      <c r="T577" t="s">
        <v>16</v>
      </c>
      <c r="U577" t="s">
        <v>1116</v>
      </c>
      <c r="V577">
        <v>110000</v>
      </c>
      <c r="W577">
        <v>0</v>
      </c>
      <c r="X577" t="s">
        <v>52</v>
      </c>
      <c r="Y577" t="s">
        <v>45</v>
      </c>
      <c r="Z577" t="s">
        <v>23</v>
      </c>
      <c r="AA577" t="s">
        <v>3586</v>
      </c>
      <c r="AB577" t="s">
        <v>3586</v>
      </c>
      <c r="AC577" t="s">
        <v>3587</v>
      </c>
      <c r="AD577" t="s">
        <v>3478</v>
      </c>
      <c r="AE577" t="s">
        <v>3475</v>
      </c>
      <c r="AF577" s="2">
        <v>2071.4196000000002</v>
      </c>
      <c r="AG577" s="2">
        <v>1117.8559</v>
      </c>
      <c r="AH577" s="2">
        <v>953.56370000000004</v>
      </c>
      <c r="AI577" s="3">
        <v>0.460343090313522</v>
      </c>
    </row>
    <row r="578" spans="1:35">
      <c r="A578" s="1">
        <v>42206</v>
      </c>
      <c r="B578" s="1">
        <v>37369</v>
      </c>
      <c r="C578" t="s">
        <v>4927</v>
      </c>
      <c r="D578">
        <v>373</v>
      </c>
      <c r="E578">
        <v>13575</v>
      </c>
      <c r="F578">
        <v>7</v>
      </c>
      <c r="G578">
        <v>1</v>
      </c>
      <c r="H578">
        <v>1</v>
      </c>
      <c r="I578">
        <v>2</v>
      </c>
      <c r="J578" t="s">
        <v>3555</v>
      </c>
      <c r="K578" t="s">
        <v>3556</v>
      </c>
      <c r="L578" s="2">
        <v>1320.6838</v>
      </c>
      <c r="M578" s="2">
        <v>2181.5625</v>
      </c>
      <c r="N578" t="s">
        <v>30</v>
      </c>
      <c r="O578" t="s">
        <v>473</v>
      </c>
      <c r="P578" t="s">
        <v>271</v>
      </c>
      <c r="Q578" t="s">
        <v>6907</v>
      </c>
      <c r="R578" s="1">
        <v>16309</v>
      </c>
      <c r="S578" t="s">
        <v>16</v>
      </c>
      <c r="T578" t="s">
        <v>29</v>
      </c>
      <c r="U578" t="s">
        <v>1581</v>
      </c>
      <c r="V578">
        <v>70000</v>
      </c>
      <c r="W578">
        <v>5</v>
      </c>
      <c r="X578" t="s">
        <v>57</v>
      </c>
      <c r="Y578" t="s">
        <v>18</v>
      </c>
      <c r="Z578" t="s">
        <v>19</v>
      </c>
      <c r="AA578" t="s">
        <v>3583</v>
      </c>
      <c r="AB578" t="s">
        <v>3583</v>
      </c>
      <c r="AC578" t="s">
        <v>3584</v>
      </c>
      <c r="AD578" t="s">
        <v>3479</v>
      </c>
      <c r="AE578" t="s">
        <v>3475</v>
      </c>
      <c r="AF578" s="2">
        <v>2181.5625</v>
      </c>
      <c r="AG578" s="2">
        <v>1320.6838</v>
      </c>
      <c r="AH578" s="2">
        <v>860.87869999999998</v>
      </c>
      <c r="AI578" s="3">
        <v>0.39461564818793898</v>
      </c>
    </row>
    <row r="579" spans="1:35">
      <c r="A579" s="1">
        <v>42216</v>
      </c>
      <c r="B579" s="1">
        <v>37421</v>
      </c>
      <c r="C579" t="s">
        <v>5006</v>
      </c>
      <c r="D579">
        <v>356</v>
      </c>
      <c r="E579">
        <v>12358</v>
      </c>
      <c r="F579">
        <v>9</v>
      </c>
      <c r="G579">
        <v>1</v>
      </c>
      <c r="H579">
        <v>1</v>
      </c>
      <c r="I579">
        <v>1</v>
      </c>
      <c r="J579" t="s">
        <v>3539</v>
      </c>
      <c r="K579" t="s">
        <v>3540</v>
      </c>
      <c r="L579" s="2">
        <v>1117.8559</v>
      </c>
      <c r="M579" s="2">
        <v>2071.4196000000002</v>
      </c>
      <c r="N579" t="s">
        <v>26</v>
      </c>
      <c r="O579" t="s">
        <v>475</v>
      </c>
      <c r="P579" t="s">
        <v>131</v>
      </c>
      <c r="Q579" t="s">
        <v>6908</v>
      </c>
      <c r="R579" s="1">
        <v>25625</v>
      </c>
      <c r="S579" t="s">
        <v>16</v>
      </c>
      <c r="T579" t="s">
        <v>29</v>
      </c>
      <c r="U579" t="s">
        <v>1121</v>
      </c>
      <c r="V579">
        <v>100000</v>
      </c>
      <c r="W579">
        <v>0</v>
      </c>
      <c r="X579" t="s">
        <v>77</v>
      </c>
      <c r="Y579" t="s">
        <v>18</v>
      </c>
      <c r="Z579" t="s">
        <v>19</v>
      </c>
      <c r="AA579" t="s">
        <v>3586</v>
      </c>
      <c r="AB579" t="s">
        <v>3586</v>
      </c>
      <c r="AC579" t="s">
        <v>3587</v>
      </c>
      <c r="AD579" t="s">
        <v>3478</v>
      </c>
      <c r="AE579" t="s">
        <v>3475</v>
      </c>
      <c r="AF579" s="2">
        <v>2071.4196000000002</v>
      </c>
      <c r="AG579" s="2">
        <v>1117.8559</v>
      </c>
      <c r="AH579" s="2">
        <v>953.56370000000004</v>
      </c>
      <c r="AI579" s="3">
        <v>0.460343090313522</v>
      </c>
    </row>
    <row r="580" spans="1:35">
      <c r="A580" s="1">
        <v>42206</v>
      </c>
      <c r="B580" s="1">
        <v>37365</v>
      </c>
      <c r="C580" t="s">
        <v>4934</v>
      </c>
      <c r="D580">
        <v>370</v>
      </c>
      <c r="E580">
        <v>13221</v>
      </c>
      <c r="F580">
        <v>4</v>
      </c>
      <c r="G580">
        <v>1</v>
      </c>
      <c r="H580">
        <v>1</v>
      </c>
      <c r="I580">
        <v>2</v>
      </c>
      <c r="J580" t="s">
        <v>3551</v>
      </c>
      <c r="K580" t="s">
        <v>3552</v>
      </c>
      <c r="L580" s="2">
        <v>1518.7864</v>
      </c>
      <c r="M580" s="2">
        <v>2443.35</v>
      </c>
      <c r="N580" t="s">
        <v>30</v>
      </c>
      <c r="O580" t="s">
        <v>938</v>
      </c>
      <c r="P580" t="s">
        <v>704</v>
      </c>
      <c r="Q580" t="s">
        <v>6909</v>
      </c>
      <c r="R580" s="1">
        <v>17142</v>
      </c>
      <c r="S580" t="s">
        <v>16</v>
      </c>
      <c r="T580" t="s">
        <v>29</v>
      </c>
      <c r="U580" t="s">
        <v>1461</v>
      </c>
      <c r="V580">
        <v>70000</v>
      </c>
      <c r="W580">
        <v>3</v>
      </c>
      <c r="X580" t="s">
        <v>17</v>
      </c>
      <c r="Y580" t="s">
        <v>45</v>
      </c>
      <c r="Z580" t="s">
        <v>19</v>
      </c>
      <c r="AA580" t="s">
        <v>3580</v>
      </c>
      <c r="AB580" t="s">
        <v>3578</v>
      </c>
      <c r="AC580" t="s">
        <v>3579</v>
      </c>
      <c r="AD580" t="s">
        <v>3479</v>
      </c>
      <c r="AE580" t="s">
        <v>3475</v>
      </c>
      <c r="AF580" s="2">
        <v>2443.35</v>
      </c>
      <c r="AG580" s="2">
        <v>1518.7864</v>
      </c>
      <c r="AH580" s="2">
        <v>924.56359999999995</v>
      </c>
      <c r="AI580" s="3">
        <v>0.37839998362903399</v>
      </c>
    </row>
    <row r="581" spans="1:35">
      <c r="A581" s="1">
        <v>42207</v>
      </c>
      <c r="B581" s="1">
        <v>37381</v>
      </c>
      <c r="C581" t="s">
        <v>4938</v>
      </c>
      <c r="D581">
        <v>371</v>
      </c>
      <c r="E581">
        <v>13064</v>
      </c>
      <c r="F581">
        <v>1</v>
      </c>
      <c r="G581">
        <v>1</v>
      </c>
      <c r="H581">
        <v>1</v>
      </c>
      <c r="I581">
        <v>2</v>
      </c>
      <c r="J581" t="s">
        <v>3553</v>
      </c>
      <c r="K581" t="s">
        <v>3554</v>
      </c>
      <c r="L581" s="2">
        <v>1320.6838</v>
      </c>
      <c r="M581" s="2">
        <v>2181.5625</v>
      </c>
      <c r="N581" t="s">
        <v>13</v>
      </c>
      <c r="O581" t="s">
        <v>186</v>
      </c>
      <c r="P581" t="s">
        <v>707</v>
      </c>
      <c r="Q581" t="s">
        <v>6910</v>
      </c>
      <c r="R581" s="1">
        <v>27105</v>
      </c>
      <c r="S581" t="s">
        <v>22</v>
      </c>
      <c r="T581" t="s">
        <v>16</v>
      </c>
      <c r="U581" t="s">
        <v>1382</v>
      </c>
      <c r="V581">
        <v>40000</v>
      </c>
      <c r="W581">
        <v>0</v>
      </c>
      <c r="X581" t="s">
        <v>57</v>
      </c>
      <c r="Y581" t="s">
        <v>53</v>
      </c>
      <c r="Z581" t="s">
        <v>23</v>
      </c>
      <c r="AA581" t="s">
        <v>3577</v>
      </c>
      <c r="AB581" t="s">
        <v>3578</v>
      </c>
      <c r="AC581" t="s">
        <v>3579</v>
      </c>
      <c r="AD581" t="s">
        <v>3479</v>
      </c>
      <c r="AE581" t="s">
        <v>3475</v>
      </c>
      <c r="AF581" s="2">
        <v>2181.5625</v>
      </c>
      <c r="AG581" s="2">
        <v>1320.6838</v>
      </c>
      <c r="AH581" s="2">
        <v>860.87869999999998</v>
      </c>
      <c r="AI581" s="3">
        <v>0.39461564818793898</v>
      </c>
    </row>
    <row r="582" spans="1:35">
      <c r="A582" s="1">
        <v>42207</v>
      </c>
      <c r="B582" s="1">
        <v>37444</v>
      </c>
      <c r="C582" t="s">
        <v>4940</v>
      </c>
      <c r="D582">
        <v>370</v>
      </c>
      <c r="E582">
        <v>13205</v>
      </c>
      <c r="F582">
        <v>4</v>
      </c>
      <c r="G582">
        <v>1</v>
      </c>
      <c r="H582">
        <v>1</v>
      </c>
      <c r="I582">
        <v>2</v>
      </c>
      <c r="J582" t="s">
        <v>3551</v>
      </c>
      <c r="K582" t="s">
        <v>3552</v>
      </c>
      <c r="L582" s="2">
        <v>1518.7864</v>
      </c>
      <c r="M582" s="2">
        <v>2443.35</v>
      </c>
      <c r="N582" t="s">
        <v>13</v>
      </c>
      <c r="O582" t="s">
        <v>447</v>
      </c>
      <c r="P582" t="s">
        <v>25</v>
      </c>
      <c r="Q582" t="s">
        <v>6911</v>
      </c>
      <c r="R582" s="1">
        <v>16293</v>
      </c>
      <c r="S582" t="s">
        <v>16</v>
      </c>
      <c r="T582" t="s">
        <v>16</v>
      </c>
      <c r="U582" t="s">
        <v>1455</v>
      </c>
      <c r="V582">
        <v>70000</v>
      </c>
      <c r="W582">
        <v>5</v>
      </c>
      <c r="X582" t="s">
        <v>17</v>
      </c>
      <c r="Y582" t="s">
        <v>45</v>
      </c>
      <c r="Z582" t="s">
        <v>19</v>
      </c>
      <c r="AA582" t="s">
        <v>3580</v>
      </c>
      <c r="AB582" t="s">
        <v>3578</v>
      </c>
      <c r="AC582" t="s">
        <v>3579</v>
      </c>
      <c r="AD582" t="s">
        <v>3479</v>
      </c>
      <c r="AE582" t="s">
        <v>3475</v>
      </c>
      <c r="AF582" s="2">
        <v>2443.35</v>
      </c>
      <c r="AG582" s="2">
        <v>1518.7864</v>
      </c>
      <c r="AH582" s="2">
        <v>924.56359999999995</v>
      </c>
      <c r="AI582" s="3">
        <v>0.37839998362903399</v>
      </c>
    </row>
    <row r="583" spans="1:35">
      <c r="A583" s="1">
        <v>42207</v>
      </c>
      <c r="B583" s="1">
        <v>37378</v>
      </c>
      <c r="C583" t="s">
        <v>4942</v>
      </c>
      <c r="D583">
        <v>370</v>
      </c>
      <c r="E583">
        <v>13067</v>
      </c>
      <c r="F583">
        <v>1</v>
      </c>
      <c r="G583">
        <v>1</v>
      </c>
      <c r="H583">
        <v>1</v>
      </c>
      <c r="I583">
        <v>2</v>
      </c>
      <c r="J583" t="s">
        <v>3551</v>
      </c>
      <c r="K583" t="s">
        <v>3552</v>
      </c>
      <c r="L583" s="2">
        <v>1518.7864</v>
      </c>
      <c r="M583" s="2">
        <v>2443.35</v>
      </c>
      <c r="N583" t="s">
        <v>26</v>
      </c>
      <c r="O583" t="s">
        <v>333</v>
      </c>
      <c r="P583" t="s">
        <v>99</v>
      </c>
      <c r="Q583" t="s">
        <v>6912</v>
      </c>
      <c r="R583" s="1">
        <v>27358</v>
      </c>
      <c r="S583" t="s">
        <v>22</v>
      </c>
      <c r="T583" t="s">
        <v>29</v>
      </c>
      <c r="U583" t="s">
        <v>1384</v>
      </c>
      <c r="V583">
        <v>30000</v>
      </c>
      <c r="W583">
        <v>0</v>
      </c>
      <c r="X583" t="s">
        <v>57</v>
      </c>
      <c r="Y583" t="s">
        <v>53</v>
      </c>
      <c r="Z583" t="s">
        <v>19</v>
      </c>
      <c r="AA583" t="s">
        <v>3577</v>
      </c>
      <c r="AB583" t="s">
        <v>3578</v>
      </c>
      <c r="AC583" t="s">
        <v>3579</v>
      </c>
      <c r="AD583" t="s">
        <v>3479</v>
      </c>
      <c r="AE583" t="s">
        <v>3475</v>
      </c>
      <c r="AF583" s="2">
        <v>2443.35</v>
      </c>
      <c r="AG583" s="2">
        <v>1518.7864</v>
      </c>
      <c r="AH583" s="2">
        <v>924.56359999999995</v>
      </c>
      <c r="AI583" s="3">
        <v>0.37839998362903399</v>
      </c>
    </row>
    <row r="584" spans="1:35">
      <c r="A584" s="1">
        <v>42207</v>
      </c>
      <c r="B584" s="1">
        <v>37431</v>
      </c>
      <c r="C584" t="s">
        <v>4943</v>
      </c>
      <c r="D584">
        <v>370</v>
      </c>
      <c r="E584">
        <v>12935</v>
      </c>
      <c r="F584">
        <v>4</v>
      </c>
      <c r="G584">
        <v>1</v>
      </c>
      <c r="H584">
        <v>1</v>
      </c>
      <c r="I584">
        <v>2</v>
      </c>
      <c r="J584" t="s">
        <v>3551</v>
      </c>
      <c r="K584" t="s">
        <v>3552</v>
      </c>
      <c r="L584" s="2">
        <v>1518.7864</v>
      </c>
      <c r="M584" s="2">
        <v>2443.35</v>
      </c>
      <c r="N584" t="s">
        <v>13</v>
      </c>
      <c r="O584" t="s">
        <v>383</v>
      </c>
      <c r="P584" t="s">
        <v>55</v>
      </c>
      <c r="Q584" t="s">
        <v>6913</v>
      </c>
      <c r="R584" s="1">
        <v>25327</v>
      </c>
      <c r="S584" t="s">
        <v>16</v>
      </c>
      <c r="T584" t="s">
        <v>16</v>
      </c>
      <c r="U584" t="s">
        <v>1325</v>
      </c>
      <c r="V584">
        <v>80000</v>
      </c>
      <c r="W584">
        <v>3</v>
      </c>
      <c r="X584" t="s">
        <v>135</v>
      </c>
      <c r="Y584" t="s">
        <v>18</v>
      </c>
      <c r="Z584" t="s">
        <v>19</v>
      </c>
      <c r="AA584" t="s">
        <v>3580</v>
      </c>
      <c r="AB584" t="s">
        <v>3578</v>
      </c>
      <c r="AC584" t="s">
        <v>3579</v>
      </c>
      <c r="AD584" t="s">
        <v>3479</v>
      </c>
      <c r="AE584" t="s">
        <v>3475</v>
      </c>
      <c r="AF584" s="2">
        <v>2443.35</v>
      </c>
      <c r="AG584" s="2">
        <v>1518.7864</v>
      </c>
      <c r="AH584" s="2">
        <v>924.56359999999995</v>
      </c>
      <c r="AI584" s="3">
        <v>0.37839998362903399</v>
      </c>
    </row>
    <row r="585" spans="1:35">
      <c r="A585" s="1">
        <v>42208</v>
      </c>
      <c r="B585" s="1">
        <v>37384</v>
      </c>
      <c r="C585" t="s">
        <v>4947</v>
      </c>
      <c r="D585">
        <v>369</v>
      </c>
      <c r="E585">
        <v>13189</v>
      </c>
      <c r="F585">
        <v>4</v>
      </c>
      <c r="G585">
        <v>1</v>
      </c>
      <c r="H585">
        <v>1</v>
      </c>
      <c r="I585">
        <v>2</v>
      </c>
      <c r="J585" t="s">
        <v>3549</v>
      </c>
      <c r="K585" t="s">
        <v>3550</v>
      </c>
      <c r="L585" s="2">
        <v>1518.7864</v>
      </c>
      <c r="M585" s="2">
        <v>2443.35</v>
      </c>
      <c r="N585" t="s">
        <v>30</v>
      </c>
      <c r="O585" t="s">
        <v>1096</v>
      </c>
      <c r="P585" t="s">
        <v>317</v>
      </c>
      <c r="Q585" t="s">
        <v>6914</v>
      </c>
      <c r="R585" s="1">
        <v>15435</v>
      </c>
      <c r="S585" t="s">
        <v>22</v>
      </c>
      <c r="T585" t="s">
        <v>29</v>
      </c>
      <c r="U585" t="s">
        <v>1450</v>
      </c>
      <c r="V585">
        <v>120000</v>
      </c>
      <c r="W585">
        <v>2</v>
      </c>
      <c r="X585" t="s">
        <v>135</v>
      </c>
      <c r="Y585" t="s">
        <v>45</v>
      </c>
      <c r="Z585" t="s">
        <v>19</v>
      </c>
      <c r="AA585" t="s">
        <v>3580</v>
      </c>
      <c r="AB585" t="s">
        <v>3578</v>
      </c>
      <c r="AC585" t="s">
        <v>3579</v>
      </c>
      <c r="AD585" t="s">
        <v>3479</v>
      </c>
      <c r="AE585" t="s">
        <v>3475</v>
      </c>
      <c r="AF585" s="2">
        <v>2443.35</v>
      </c>
      <c r="AG585" s="2">
        <v>1518.7864</v>
      </c>
      <c r="AH585" s="2">
        <v>924.56359999999995</v>
      </c>
      <c r="AI585" s="3">
        <v>0.37839998362903399</v>
      </c>
    </row>
    <row r="586" spans="1:35">
      <c r="A586" s="1">
        <v>42208</v>
      </c>
      <c r="B586" s="1">
        <v>37408</v>
      </c>
      <c r="C586" t="s">
        <v>4949</v>
      </c>
      <c r="D586">
        <v>377</v>
      </c>
      <c r="E586">
        <v>13029</v>
      </c>
      <c r="F586">
        <v>1</v>
      </c>
      <c r="G586">
        <v>1</v>
      </c>
      <c r="H586">
        <v>1</v>
      </c>
      <c r="I586">
        <v>2</v>
      </c>
      <c r="J586" t="s">
        <v>3559</v>
      </c>
      <c r="K586" t="s">
        <v>3560</v>
      </c>
      <c r="L586" s="2">
        <v>1320.6838</v>
      </c>
      <c r="M586" s="2">
        <v>2181.5625</v>
      </c>
      <c r="N586" t="s">
        <v>26</v>
      </c>
      <c r="O586" t="s">
        <v>98</v>
      </c>
      <c r="P586" t="s">
        <v>321</v>
      </c>
      <c r="Q586" t="s">
        <v>6915</v>
      </c>
      <c r="R586" s="1">
        <v>28373</v>
      </c>
      <c r="S586" t="s">
        <v>22</v>
      </c>
      <c r="T586" t="s">
        <v>29</v>
      </c>
      <c r="U586" t="s">
        <v>1363</v>
      </c>
      <c r="V586">
        <v>30000</v>
      </c>
      <c r="W586">
        <v>0</v>
      </c>
      <c r="X586" t="s">
        <v>52</v>
      </c>
      <c r="Y586" t="s">
        <v>53</v>
      </c>
      <c r="Z586" t="s">
        <v>23</v>
      </c>
      <c r="AA586" t="s">
        <v>3577</v>
      </c>
      <c r="AB586" t="s">
        <v>3578</v>
      </c>
      <c r="AC586" t="s">
        <v>3579</v>
      </c>
      <c r="AD586" t="s">
        <v>3479</v>
      </c>
      <c r="AE586" t="s">
        <v>3475</v>
      </c>
      <c r="AF586" s="2">
        <v>2181.5625</v>
      </c>
      <c r="AG586" s="2">
        <v>1320.6838</v>
      </c>
      <c r="AH586" s="2">
        <v>860.87869999999998</v>
      </c>
      <c r="AI586" s="3">
        <v>0.39461564818793898</v>
      </c>
    </row>
    <row r="587" spans="1:35">
      <c r="A587" s="1">
        <v>42208</v>
      </c>
      <c r="B587" s="1">
        <v>37430</v>
      </c>
      <c r="C587" t="s">
        <v>4950</v>
      </c>
      <c r="D587">
        <v>369</v>
      </c>
      <c r="E587">
        <v>12981</v>
      </c>
      <c r="F587">
        <v>4</v>
      </c>
      <c r="G587">
        <v>1</v>
      </c>
      <c r="H587">
        <v>1</v>
      </c>
      <c r="I587">
        <v>2</v>
      </c>
      <c r="J587" t="s">
        <v>3549</v>
      </c>
      <c r="K587" t="s">
        <v>3550</v>
      </c>
      <c r="L587" s="2">
        <v>1518.7864</v>
      </c>
      <c r="M587" s="2">
        <v>2443.35</v>
      </c>
      <c r="N587" t="s">
        <v>13</v>
      </c>
      <c r="O587" t="s">
        <v>774</v>
      </c>
      <c r="P587" t="s">
        <v>538</v>
      </c>
      <c r="Q587" t="s">
        <v>6916</v>
      </c>
      <c r="R587" s="1">
        <v>21656</v>
      </c>
      <c r="S587" t="s">
        <v>22</v>
      </c>
      <c r="T587" t="s">
        <v>16</v>
      </c>
      <c r="U587" t="s">
        <v>1335</v>
      </c>
      <c r="V587">
        <v>80000</v>
      </c>
      <c r="W587">
        <v>3</v>
      </c>
      <c r="X587" t="s">
        <v>135</v>
      </c>
      <c r="Y587" t="s">
        <v>18</v>
      </c>
      <c r="Z587" t="s">
        <v>19</v>
      </c>
      <c r="AA587" t="s">
        <v>3580</v>
      </c>
      <c r="AB587" t="s">
        <v>3578</v>
      </c>
      <c r="AC587" t="s">
        <v>3579</v>
      </c>
      <c r="AD587" t="s">
        <v>3479</v>
      </c>
      <c r="AE587" t="s">
        <v>3475</v>
      </c>
      <c r="AF587" s="2">
        <v>2443.35</v>
      </c>
      <c r="AG587" s="2">
        <v>1518.7864</v>
      </c>
      <c r="AH587" s="2">
        <v>924.56359999999995</v>
      </c>
      <c r="AI587" s="3">
        <v>0.37839998362903399</v>
      </c>
    </row>
    <row r="588" spans="1:35">
      <c r="A588" s="1">
        <v>42344</v>
      </c>
      <c r="B588" s="1">
        <v>37579</v>
      </c>
      <c r="C588" t="s">
        <v>5952</v>
      </c>
      <c r="D588">
        <v>360</v>
      </c>
      <c r="E588">
        <v>12380</v>
      </c>
      <c r="F588">
        <v>10</v>
      </c>
      <c r="G588">
        <v>1</v>
      </c>
      <c r="H588">
        <v>1</v>
      </c>
      <c r="I588">
        <v>1</v>
      </c>
      <c r="J588" t="s">
        <v>3543</v>
      </c>
      <c r="K588" t="s">
        <v>3544</v>
      </c>
      <c r="L588" s="2">
        <v>1105.81</v>
      </c>
      <c r="M588" s="2">
        <v>2049.0981999999999</v>
      </c>
      <c r="N588" t="s">
        <v>13</v>
      </c>
      <c r="O588" t="s">
        <v>722</v>
      </c>
      <c r="P588" t="s">
        <v>87</v>
      </c>
      <c r="Q588" t="s">
        <v>6917</v>
      </c>
      <c r="R588" s="1">
        <v>27095</v>
      </c>
      <c r="S588" t="s">
        <v>22</v>
      </c>
      <c r="T588" t="s">
        <v>16</v>
      </c>
      <c r="U588" t="s">
        <v>1129</v>
      </c>
      <c r="V588">
        <v>30000</v>
      </c>
      <c r="W588">
        <v>0</v>
      </c>
      <c r="X588" t="s">
        <v>57</v>
      </c>
      <c r="Y588" t="s">
        <v>444</v>
      </c>
      <c r="Z588" t="s">
        <v>23</v>
      </c>
      <c r="AA588" t="s">
        <v>3588</v>
      </c>
      <c r="AB588" t="s">
        <v>3588</v>
      </c>
      <c r="AC588" t="s">
        <v>3584</v>
      </c>
      <c r="AD588" t="s">
        <v>3478</v>
      </c>
      <c r="AE588" t="s">
        <v>3475</v>
      </c>
      <c r="AF588" s="2">
        <v>2049.0981999999999</v>
      </c>
      <c r="AG588" s="2">
        <v>1105.81</v>
      </c>
      <c r="AH588" s="2">
        <v>943.28819999999996</v>
      </c>
      <c r="AI588" s="3">
        <v>0.46034309141455498</v>
      </c>
    </row>
    <row r="589" spans="1:35">
      <c r="A589" s="1">
        <v>42209</v>
      </c>
      <c r="B589" s="1">
        <v>37389</v>
      </c>
      <c r="C589" t="s">
        <v>4952</v>
      </c>
      <c r="D589">
        <v>368</v>
      </c>
      <c r="E589">
        <v>13605</v>
      </c>
      <c r="F589">
        <v>7</v>
      </c>
      <c r="G589">
        <v>1</v>
      </c>
      <c r="H589">
        <v>1</v>
      </c>
      <c r="I589">
        <v>2</v>
      </c>
      <c r="J589" t="s">
        <v>3547</v>
      </c>
      <c r="K589" t="s">
        <v>3548</v>
      </c>
      <c r="L589" s="2">
        <v>1518.7864</v>
      </c>
      <c r="M589" s="2">
        <v>2443.35</v>
      </c>
      <c r="N589" t="s">
        <v>13</v>
      </c>
      <c r="O589" t="s">
        <v>1586</v>
      </c>
      <c r="P589" t="s">
        <v>1587</v>
      </c>
      <c r="Q589" t="s">
        <v>6918</v>
      </c>
      <c r="R589" s="1">
        <v>18220</v>
      </c>
      <c r="S589" t="s">
        <v>16</v>
      </c>
      <c r="T589" t="s">
        <v>16</v>
      </c>
      <c r="U589" t="s">
        <v>1588</v>
      </c>
      <c r="V589">
        <v>80000</v>
      </c>
      <c r="W589">
        <v>5</v>
      </c>
      <c r="X589" t="s">
        <v>57</v>
      </c>
      <c r="Y589" t="s">
        <v>45</v>
      </c>
      <c r="Z589" t="s">
        <v>23</v>
      </c>
      <c r="AA589" t="s">
        <v>3583</v>
      </c>
      <c r="AB589" t="s">
        <v>3583</v>
      </c>
      <c r="AC589" t="s">
        <v>3584</v>
      </c>
      <c r="AD589" t="s">
        <v>3479</v>
      </c>
      <c r="AE589" t="s">
        <v>3475</v>
      </c>
      <c r="AF589" s="2">
        <v>2443.35</v>
      </c>
      <c r="AG589" s="2">
        <v>1518.7864</v>
      </c>
      <c r="AH589" s="2">
        <v>924.56359999999995</v>
      </c>
      <c r="AI589" s="3">
        <v>0.37839998362903399</v>
      </c>
    </row>
    <row r="590" spans="1:35">
      <c r="A590" s="1">
        <v>42359</v>
      </c>
      <c r="B590" s="1">
        <v>37506</v>
      </c>
      <c r="C590" t="s">
        <v>6122</v>
      </c>
      <c r="D590">
        <v>352</v>
      </c>
      <c r="E590">
        <v>12381</v>
      </c>
      <c r="F590">
        <v>10</v>
      </c>
      <c r="G590">
        <v>1</v>
      </c>
      <c r="H590">
        <v>1</v>
      </c>
      <c r="I590">
        <v>1</v>
      </c>
      <c r="J590" t="s">
        <v>3535</v>
      </c>
      <c r="K590" t="s">
        <v>3536</v>
      </c>
      <c r="L590" s="2">
        <v>1117.8559</v>
      </c>
      <c r="M590" s="2">
        <v>2071.4196000000002</v>
      </c>
      <c r="N590" t="s">
        <v>13</v>
      </c>
      <c r="O590" t="s">
        <v>700</v>
      </c>
      <c r="P590" t="s">
        <v>62</v>
      </c>
      <c r="Q590" t="s">
        <v>6919</v>
      </c>
      <c r="R590" s="1">
        <v>27077</v>
      </c>
      <c r="S590" t="s">
        <v>16</v>
      </c>
      <c r="T590" t="s">
        <v>16</v>
      </c>
      <c r="U590" t="s">
        <v>1130</v>
      </c>
      <c r="V590">
        <v>40000</v>
      </c>
      <c r="W590">
        <v>1</v>
      </c>
      <c r="X590" t="s">
        <v>17</v>
      </c>
      <c r="Y590" t="s">
        <v>53</v>
      </c>
      <c r="Z590" t="s">
        <v>19</v>
      </c>
      <c r="AA590" t="s">
        <v>3588</v>
      </c>
      <c r="AB590" t="s">
        <v>3588</v>
      </c>
      <c r="AC590" t="s">
        <v>3584</v>
      </c>
      <c r="AD590" t="s">
        <v>3478</v>
      </c>
      <c r="AE590" t="s">
        <v>3475</v>
      </c>
      <c r="AF590" s="2">
        <v>2071.4196000000002</v>
      </c>
      <c r="AG590" s="2">
        <v>1117.8559</v>
      </c>
      <c r="AH590" s="2">
        <v>953.56370000000004</v>
      </c>
      <c r="AI590" s="3">
        <v>0.460343090313522</v>
      </c>
    </row>
    <row r="591" spans="1:35">
      <c r="A591" s="1">
        <v>42368</v>
      </c>
      <c r="B591" s="1">
        <v>37541</v>
      </c>
      <c r="C591" t="s">
        <v>6216</v>
      </c>
      <c r="D591">
        <v>356</v>
      </c>
      <c r="E591">
        <v>12382</v>
      </c>
      <c r="F591">
        <v>10</v>
      </c>
      <c r="G591">
        <v>1</v>
      </c>
      <c r="H591">
        <v>1</v>
      </c>
      <c r="I591">
        <v>1</v>
      </c>
      <c r="J591" t="s">
        <v>3539</v>
      </c>
      <c r="K591" t="s">
        <v>3540</v>
      </c>
      <c r="L591" s="2">
        <v>1117.8559</v>
      </c>
      <c r="M591" s="2">
        <v>2071.4196000000002</v>
      </c>
      <c r="N591" t="s">
        <v>26</v>
      </c>
      <c r="O591" t="s">
        <v>181</v>
      </c>
      <c r="P591" t="s">
        <v>686</v>
      </c>
      <c r="Q591" t="s">
        <v>6920</v>
      </c>
      <c r="R591" s="1">
        <v>26614</v>
      </c>
      <c r="S591" t="s">
        <v>22</v>
      </c>
      <c r="T591" t="s">
        <v>29</v>
      </c>
      <c r="U591" t="s">
        <v>1131</v>
      </c>
      <c r="V591">
        <v>20000</v>
      </c>
      <c r="W591">
        <v>0</v>
      </c>
      <c r="X591" t="s">
        <v>77</v>
      </c>
      <c r="Y591" t="s">
        <v>444</v>
      </c>
      <c r="Z591" t="s">
        <v>23</v>
      </c>
      <c r="AA591" t="s">
        <v>3588</v>
      </c>
      <c r="AB591" t="s">
        <v>3588</v>
      </c>
      <c r="AC591" t="s">
        <v>3584</v>
      </c>
      <c r="AD591" t="s">
        <v>3478</v>
      </c>
      <c r="AE591" t="s">
        <v>3475</v>
      </c>
      <c r="AF591" s="2">
        <v>2071.4196000000002</v>
      </c>
      <c r="AG591" s="2">
        <v>1117.8559</v>
      </c>
      <c r="AH591" s="2">
        <v>953.56370000000004</v>
      </c>
      <c r="AI591" s="3">
        <v>0.460343090313522</v>
      </c>
    </row>
    <row r="592" spans="1:35">
      <c r="A592" s="1">
        <v>42209</v>
      </c>
      <c r="B592" s="1">
        <v>37437</v>
      </c>
      <c r="C592" t="s">
        <v>4955</v>
      </c>
      <c r="D592">
        <v>379</v>
      </c>
      <c r="E592">
        <v>13577</v>
      </c>
      <c r="F592">
        <v>7</v>
      </c>
      <c r="G592">
        <v>1</v>
      </c>
      <c r="H592">
        <v>1</v>
      </c>
      <c r="I592">
        <v>2</v>
      </c>
      <c r="J592" t="s">
        <v>3561</v>
      </c>
      <c r="K592" t="s">
        <v>3562</v>
      </c>
      <c r="L592" s="2">
        <v>1320.6838</v>
      </c>
      <c r="M592" s="2">
        <v>2181.5625</v>
      </c>
      <c r="N592" t="s">
        <v>13</v>
      </c>
      <c r="O592" t="s">
        <v>269</v>
      </c>
      <c r="P592" t="s">
        <v>25</v>
      </c>
      <c r="Q592" t="s">
        <v>6921</v>
      </c>
      <c r="R592" s="1">
        <v>16663</v>
      </c>
      <c r="S592" t="s">
        <v>16</v>
      </c>
      <c r="T592" t="s">
        <v>16</v>
      </c>
      <c r="U592" t="s">
        <v>1582</v>
      </c>
      <c r="V592">
        <v>70000</v>
      </c>
      <c r="W592">
        <v>5</v>
      </c>
      <c r="X592" t="s">
        <v>57</v>
      </c>
      <c r="Y592" t="s">
        <v>18</v>
      </c>
      <c r="Z592" t="s">
        <v>19</v>
      </c>
      <c r="AA592" t="s">
        <v>3583</v>
      </c>
      <c r="AB592" t="s">
        <v>3583</v>
      </c>
      <c r="AC592" t="s">
        <v>3584</v>
      </c>
      <c r="AD592" t="s">
        <v>3479</v>
      </c>
      <c r="AE592" t="s">
        <v>3475</v>
      </c>
      <c r="AF592" s="2">
        <v>2181.5625</v>
      </c>
      <c r="AG592" s="2">
        <v>1320.6838</v>
      </c>
      <c r="AH592" s="2">
        <v>860.87869999999998</v>
      </c>
      <c r="AI592" s="3">
        <v>0.39461564818793898</v>
      </c>
    </row>
    <row r="593" spans="1:35">
      <c r="A593" s="1">
        <v>42341</v>
      </c>
      <c r="B593" s="1">
        <v>37578</v>
      </c>
      <c r="C593" t="s">
        <v>5931</v>
      </c>
      <c r="D593">
        <v>352</v>
      </c>
      <c r="E593">
        <v>12385</v>
      </c>
      <c r="F593">
        <v>10</v>
      </c>
      <c r="G593">
        <v>1</v>
      </c>
      <c r="H593">
        <v>1</v>
      </c>
      <c r="I593">
        <v>1</v>
      </c>
      <c r="J593" t="s">
        <v>3535</v>
      </c>
      <c r="K593" t="s">
        <v>3536</v>
      </c>
      <c r="L593" s="2">
        <v>1117.8559</v>
      </c>
      <c r="M593" s="2">
        <v>2071.4196000000002</v>
      </c>
      <c r="N593" t="s">
        <v>30</v>
      </c>
      <c r="O593" t="s">
        <v>1133</v>
      </c>
      <c r="P593" t="s">
        <v>155</v>
      </c>
      <c r="Q593" t="s">
        <v>6922</v>
      </c>
      <c r="R593" s="1">
        <v>26750</v>
      </c>
      <c r="S593" t="s">
        <v>16</v>
      </c>
      <c r="T593" t="s">
        <v>29</v>
      </c>
      <c r="U593" t="s">
        <v>1134</v>
      </c>
      <c r="V593">
        <v>40000</v>
      </c>
      <c r="W593">
        <v>1</v>
      </c>
      <c r="X593" t="s">
        <v>17</v>
      </c>
      <c r="Y593" t="s">
        <v>53</v>
      </c>
      <c r="Z593" t="s">
        <v>19</v>
      </c>
      <c r="AA593" t="s">
        <v>3588</v>
      </c>
      <c r="AB593" t="s">
        <v>3588</v>
      </c>
      <c r="AC593" t="s">
        <v>3584</v>
      </c>
      <c r="AD593" t="s">
        <v>3478</v>
      </c>
      <c r="AE593" t="s">
        <v>3475</v>
      </c>
      <c r="AF593" s="2">
        <v>2071.4196000000002</v>
      </c>
      <c r="AG593" s="2">
        <v>1117.8559</v>
      </c>
      <c r="AH593" s="2">
        <v>953.56370000000004</v>
      </c>
      <c r="AI593" s="3">
        <v>0.460343090313522</v>
      </c>
    </row>
    <row r="594" spans="1:35">
      <c r="A594" s="1">
        <v>42210</v>
      </c>
      <c r="B594" s="1">
        <v>37372</v>
      </c>
      <c r="C594" t="s">
        <v>4957</v>
      </c>
      <c r="D594">
        <v>354</v>
      </c>
      <c r="E594">
        <v>12572</v>
      </c>
      <c r="F594">
        <v>9</v>
      </c>
      <c r="G594">
        <v>1</v>
      </c>
      <c r="H594">
        <v>1</v>
      </c>
      <c r="I594">
        <v>1</v>
      </c>
      <c r="J594" t="s">
        <v>3537</v>
      </c>
      <c r="K594" t="s">
        <v>3538</v>
      </c>
      <c r="L594" s="2">
        <v>1117.8559</v>
      </c>
      <c r="M594" s="2">
        <v>2071.4196000000002</v>
      </c>
      <c r="N594" t="s">
        <v>26</v>
      </c>
      <c r="O594" t="s">
        <v>550</v>
      </c>
      <c r="P594" t="s">
        <v>171</v>
      </c>
      <c r="Q594" t="s">
        <v>6923</v>
      </c>
      <c r="R594" s="1">
        <v>29368</v>
      </c>
      <c r="S594" t="s">
        <v>22</v>
      </c>
      <c r="T594" t="s">
        <v>29</v>
      </c>
      <c r="U594" t="s">
        <v>1187</v>
      </c>
      <c r="V594">
        <v>10000</v>
      </c>
      <c r="W594">
        <v>0</v>
      </c>
      <c r="X594" t="s">
        <v>52</v>
      </c>
      <c r="Y594" t="s">
        <v>444</v>
      </c>
      <c r="Z594" t="s">
        <v>23</v>
      </c>
      <c r="AA594" t="s">
        <v>3586</v>
      </c>
      <c r="AB594" t="s">
        <v>3586</v>
      </c>
      <c r="AC594" t="s">
        <v>3587</v>
      </c>
      <c r="AD594" t="s">
        <v>3478</v>
      </c>
      <c r="AE594" t="s">
        <v>3475</v>
      </c>
      <c r="AF594" s="2">
        <v>2071.4196000000002</v>
      </c>
      <c r="AG594" s="2">
        <v>1117.8559</v>
      </c>
      <c r="AH594" s="2">
        <v>953.56370000000004</v>
      </c>
      <c r="AI594" s="3">
        <v>0.460343090313522</v>
      </c>
    </row>
    <row r="595" spans="1:35">
      <c r="A595" s="1">
        <v>42210</v>
      </c>
      <c r="B595" s="1">
        <v>37415</v>
      </c>
      <c r="C595" t="s">
        <v>4958</v>
      </c>
      <c r="D595">
        <v>379</v>
      </c>
      <c r="E595">
        <v>13224</v>
      </c>
      <c r="F595">
        <v>1</v>
      </c>
      <c r="G595">
        <v>1</v>
      </c>
      <c r="H595">
        <v>1</v>
      </c>
      <c r="I595">
        <v>2</v>
      </c>
      <c r="J595" t="s">
        <v>3561</v>
      </c>
      <c r="K595" t="s">
        <v>3562</v>
      </c>
      <c r="L595" s="2">
        <v>1320.6838</v>
      </c>
      <c r="M595" s="2">
        <v>2181.5625</v>
      </c>
      <c r="N595" t="s">
        <v>30</v>
      </c>
      <c r="O595" t="s">
        <v>106</v>
      </c>
      <c r="P595" t="s">
        <v>286</v>
      </c>
      <c r="Q595" t="s">
        <v>6924</v>
      </c>
      <c r="R595" s="1">
        <v>16844</v>
      </c>
      <c r="S595" t="s">
        <v>16</v>
      </c>
      <c r="T595" t="s">
        <v>29</v>
      </c>
      <c r="U595" t="s">
        <v>1462</v>
      </c>
      <c r="V595">
        <v>70000</v>
      </c>
      <c r="W595">
        <v>4</v>
      </c>
      <c r="X595" t="s">
        <v>17</v>
      </c>
      <c r="Y595" t="s">
        <v>45</v>
      </c>
      <c r="Z595" t="s">
        <v>19</v>
      </c>
      <c r="AA595" t="s">
        <v>3577</v>
      </c>
      <c r="AB595" t="s">
        <v>3578</v>
      </c>
      <c r="AC595" t="s">
        <v>3579</v>
      </c>
      <c r="AD595" t="s">
        <v>3479</v>
      </c>
      <c r="AE595" t="s">
        <v>3475</v>
      </c>
      <c r="AF595" s="2">
        <v>2181.5625</v>
      </c>
      <c r="AG595" s="2">
        <v>1320.6838</v>
      </c>
      <c r="AH595" s="2">
        <v>860.87869999999998</v>
      </c>
      <c r="AI595" s="3">
        <v>0.39461564818793898</v>
      </c>
    </row>
    <row r="596" spans="1:35">
      <c r="A596" s="1">
        <v>42210</v>
      </c>
      <c r="B596" s="1">
        <v>37397</v>
      </c>
      <c r="C596" t="s">
        <v>4962</v>
      </c>
      <c r="D596">
        <v>370</v>
      </c>
      <c r="E596">
        <v>12926</v>
      </c>
      <c r="F596">
        <v>4</v>
      </c>
      <c r="G596">
        <v>1</v>
      </c>
      <c r="H596">
        <v>1</v>
      </c>
      <c r="I596">
        <v>2</v>
      </c>
      <c r="J596" t="s">
        <v>3551</v>
      </c>
      <c r="K596" t="s">
        <v>3552</v>
      </c>
      <c r="L596" s="2">
        <v>1518.7864</v>
      </c>
      <c r="M596" s="2">
        <v>2443.35</v>
      </c>
      <c r="N596" t="s">
        <v>30</v>
      </c>
      <c r="O596" t="s">
        <v>207</v>
      </c>
      <c r="P596" t="s">
        <v>105</v>
      </c>
      <c r="Q596" t="s">
        <v>6925</v>
      </c>
      <c r="R596" s="1">
        <v>24306</v>
      </c>
      <c r="S596" t="s">
        <v>16</v>
      </c>
      <c r="T596" t="s">
        <v>29</v>
      </c>
      <c r="U596" t="s">
        <v>1321</v>
      </c>
      <c r="V596">
        <v>70000</v>
      </c>
      <c r="W596">
        <v>4</v>
      </c>
      <c r="X596" t="s">
        <v>135</v>
      </c>
      <c r="Y596" t="s">
        <v>18</v>
      </c>
      <c r="Z596" t="s">
        <v>19</v>
      </c>
      <c r="AA596" t="s">
        <v>3580</v>
      </c>
      <c r="AB596" t="s">
        <v>3578</v>
      </c>
      <c r="AC596" t="s">
        <v>3579</v>
      </c>
      <c r="AD596" t="s">
        <v>3479</v>
      </c>
      <c r="AE596" t="s">
        <v>3475</v>
      </c>
      <c r="AF596" s="2">
        <v>2443.35</v>
      </c>
      <c r="AG596" s="2">
        <v>1518.7864</v>
      </c>
      <c r="AH596" s="2">
        <v>924.56359999999995</v>
      </c>
      <c r="AI596" s="3">
        <v>0.37839998362903399</v>
      </c>
    </row>
    <row r="597" spans="1:35">
      <c r="A597" s="1">
        <v>42364</v>
      </c>
      <c r="B597" s="1">
        <v>37506</v>
      </c>
      <c r="C597" t="s">
        <v>6175</v>
      </c>
      <c r="D597">
        <v>358</v>
      </c>
      <c r="E597">
        <v>12391</v>
      </c>
      <c r="F597">
        <v>10</v>
      </c>
      <c r="G597">
        <v>1</v>
      </c>
      <c r="H597">
        <v>1</v>
      </c>
      <c r="I597">
        <v>1</v>
      </c>
      <c r="J597" t="s">
        <v>3541</v>
      </c>
      <c r="K597" t="s">
        <v>3542</v>
      </c>
      <c r="L597" s="2">
        <v>1105.81</v>
      </c>
      <c r="M597" s="2">
        <v>2049.0981999999999</v>
      </c>
      <c r="N597" t="s">
        <v>30</v>
      </c>
      <c r="O597" t="s">
        <v>333</v>
      </c>
      <c r="P597" t="s">
        <v>376</v>
      </c>
      <c r="Q597" t="s">
        <v>6926</v>
      </c>
      <c r="R597" s="1">
        <v>26353</v>
      </c>
      <c r="S597" t="s">
        <v>22</v>
      </c>
      <c r="T597" t="s">
        <v>29</v>
      </c>
      <c r="U597" t="s">
        <v>1136</v>
      </c>
      <c r="V597">
        <v>40000</v>
      </c>
      <c r="W597">
        <v>2</v>
      </c>
      <c r="X597" t="s">
        <v>52</v>
      </c>
      <c r="Y597" t="s">
        <v>60</v>
      </c>
      <c r="Z597" t="s">
        <v>19</v>
      </c>
      <c r="AA597" t="s">
        <v>3588</v>
      </c>
      <c r="AB597" t="s">
        <v>3588</v>
      </c>
      <c r="AC597" t="s">
        <v>3584</v>
      </c>
      <c r="AD597" t="s">
        <v>3478</v>
      </c>
      <c r="AE597" t="s">
        <v>3475</v>
      </c>
      <c r="AF597" s="2">
        <v>2049.0981999999999</v>
      </c>
      <c r="AG597" s="2">
        <v>1105.81</v>
      </c>
      <c r="AH597" s="2">
        <v>943.28819999999996</v>
      </c>
      <c r="AI597" s="3">
        <v>0.46034309141455498</v>
      </c>
    </row>
    <row r="598" spans="1:35">
      <c r="A598" s="1">
        <v>42356</v>
      </c>
      <c r="B598" s="1">
        <v>37545</v>
      </c>
      <c r="C598" t="s">
        <v>6086</v>
      </c>
      <c r="D598">
        <v>362</v>
      </c>
      <c r="E598">
        <v>12394</v>
      </c>
      <c r="F598">
        <v>10</v>
      </c>
      <c r="G598">
        <v>1</v>
      </c>
      <c r="H598">
        <v>1</v>
      </c>
      <c r="I598">
        <v>1</v>
      </c>
      <c r="J598" t="s">
        <v>3545</v>
      </c>
      <c r="K598" t="s">
        <v>3546</v>
      </c>
      <c r="L598" s="2">
        <v>1105.81</v>
      </c>
      <c r="M598" s="2">
        <v>2049.0981999999999</v>
      </c>
      <c r="N598" t="s">
        <v>26</v>
      </c>
      <c r="O598" t="s">
        <v>528</v>
      </c>
      <c r="P598" t="s">
        <v>157</v>
      </c>
      <c r="Q598" t="s">
        <v>6927</v>
      </c>
      <c r="R598" s="1">
        <v>26005</v>
      </c>
      <c r="S598" t="s">
        <v>22</v>
      </c>
      <c r="T598" t="s">
        <v>29</v>
      </c>
      <c r="U598" t="s">
        <v>1137</v>
      </c>
      <c r="V598">
        <v>20000</v>
      </c>
      <c r="W598">
        <v>0</v>
      </c>
      <c r="X598" t="s">
        <v>77</v>
      </c>
      <c r="Y598" t="s">
        <v>444</v>
      </c>
      <c r="Z598" t="s">
        <v>23</v>
      </c>
      <c r="AA598" t="s">
        <v>3588</v>
      </c>
      <c r="AB598" t="s">
        <v>3588</v>
      </c>
      <c r="AC598" t="s">
        <v>3584</v>
      </c>
      <c r="AD598" t="s">
        <v>3478</v>
      </c>
      <c r="AE598" t="s">
        <v>3475</v>
      </c>
      <c r="AF598" s="2">
        <v>2049.0981999999999</v>
      </c>
      <c r="AG598" s="2">
        <v>1105.81</v>
      </c>
      <c r="AH598" s="2">
        <v>943.28819999999996</v>
      </c>
      <c r="AI598" s="3">
        <v>0.46034309141455498</v>
      </c>
    </row>
    <row r="599" spans="1:35">
      <c r="A599" s="1">
        <v>42211</v>
      </c>
      <c r="B599" s="1">
        <v>37414</v>
      </c>
      <c r="C599" t="s">
        <v>4969</v>
      </c>
      <c r="D599">
        <v>368</v>
      </c>
      <c r="E599">
        <v>13565</v>
      </c>
      <c r="F599">
        <v>7</v>
      </c>
      <c r="G599">
        <v>1</v>
      </c>
      <c r="H599">
        <v>1</v>
      </c>
      <c r="I599">
        <v>2</v>
      </c>
      <c r="J599" t="s">
        <v>3547</v>
      </c>
      <c r="K599" t="s">
        <v>3548</v>
      </c>
      <c r="L599" s="2">
        <v>1518.7864</v>
      </c>
      <c r="M599" s="2">
        <v>2443.35</v>
      </c>
      <c r="N599" t="s">
        <v>30</v>
      </c>
      <c r="O599" t="s">
        <v>150</v>
      </c>
      <c r="P599" t="s">
        <v>81</v>
      </c>
      <c r="Q599" t="s">
        <v>6928</v>
      </c>
      <c r="R599" s="1">
        <v>18891</v>
      </c>
      <c r="S599" t="s">
        <v>16</v>
      </c>
      <c r="T599" t="s">
        <v>29</v>
      </c>
      <c r="U599" t="s">
        <v>1580</v>
      </c>
      <c r="V599">
        <v>10000</v>
      </c>
      <c r="W599">
        <v>3</v>
      </c>
      <c r="X599" t="s">
        <v>52</v>
      </c>
      <c r="Y599" t="s">
        <v>444</v>
      </c>
      <c r="Z599" t="s">
        <v>23</v>
      </c>
      <c r="AA599" t="s">
        <v>3583</v>
      </c>
      <c r="AB599" t="s">
        <v>3583</v>
      </c>
      <c r="AC599" t="s">
        <v>3584</v>
      </c>
      <c r="AD599" t="s">
        <v>3479</v>
      </c>
      <c r="AE599" t="s">
        <v>3475</v>
      </c>
      <c r="AF599" s="2">
        <v>2443.35</v>
      </c>
      <c r="AG599" s="2">
        <v>1518.7864</v>
      </c>
      <c r="AH599" s="2">
        <v>924.56359999999995</v>
      </c>
      <c r="AI599" s="3">
        <v>0.37839998362903399</v>
      </c>
    </row>
    <row r="600" spans="1:35">
      <c r="A600" s="1">
        <v>42212</v>
      </c>
      <c r="B600" s="1">
        <v>37369</v>
      </c>
      <c r="C600" t="s">
        <v>4971</v>
      </c>
      <c r="D600">
        <v>370</v>
      </c>
      <c r="E600">
        <v>13086</v>
      </c>
      <c r="F600">
        <v>1</v>
      </c>
      <c r="G600">
        <v>1</v>
      </c>
      <c r="H600">
        <v>1</v>
      </c>
      <c r="I600">
        <v>2</v>
      </c>
      <c r="J600" t="s">
        <v>3551</v>
      </c>
      <c r="K600" t="s">
        <v>3552</v>
      </c>
      <c r="L600" s="2">
        <v>1518.7864</v>
      </c>
      <c r="M600" s="2">
        <v>2443.35</v>
      </c>
      <c r="N600" t="s">
        <v>13</v>
      </c>
      <c r="O600" t="s">
        <v>165</v>
      </c>
      <c r="P600" t="s">
        <v>203</v>
      </c>
      <c r="Q600" t="s">
        <v>6929</v>
      </c>
      <c r="R600" s="1">
        <v>27169</v>
      </c>
      <c r="S600" t="s">
        <v>22</v>
      </c>
      <c r="T600" t="s">
        <v>16</v>
      </c>
      <c r="U600" t="s">
        <v>1399</v>
      </c>
      <c r="V600">
        <v>60000</v>
      </c>
      <c r="W600">
        <v>0</v>
      </c>
      <c r="X600" t="s">
        <v>52</v>
      </c>
      <c r="Y600" t="s">
        <v>18</v>
      </c>
      <c r="Z600" t="s">
        <v>19</v>
      </c>
      <c r="AA600" t="s">
        <v>3577</v>
      </c>
      <c r="AB600" t="s">
        <v>3578</v>
      </c>
      <c r="AC600" t="s">
        <v>3579</v>
      </c>
      <c r="AD600" t="s">
        <v>3479</v>
      </c>
      <c r="AE600" t="s">
        <v>3475</v>
      </c>
      <c r="AF600" s="2">
        <v>2443.35</v>
      </c>
      <c r="AG600" s="2">
        <v>1518.7864</v>
      </c>
      <c r="AH600" s="2">
        <v>924.56359999999995</v>
      </c>
      <c r="AI600" s="3">
        <v>0.37839998362903399</v>
      </c>
    </row>
    <row r="601" spans="1:35">
      <c r="A601" s="1">
        <v>42212</v>
      </c>
      <c r="B601" s="1">
        <v>37381</v>
      </c>
      <c r="C601" t="s">
        <v>4979</v>
      </c>
      <c r="D601">
        <v>368</v>
      </c>
      <c r="E601">
        <v>12921</v>
      </c>
      <c r="F601">
        <v>4</v>
      </c>
      <c r="G601">
        <v>1</v>
      </c>
      <c r="H601">
        <v>1</v>
      </c>
      <c r="I601">
        <v>2</v>
      </c>
      <c r="J601" t="s">
        <v>3547</v>
      </c>
      <c r="K601" t="s">
        <v>3548</v>
      </c>
      <c r="L601" s="2">
        <v>1518.7864</v>
      </c>
      <c r="M601" s="2">
        <v>2443.35</v>
      </c>
      <c r="N601" t="s">
        <v>13</v>
      </c>
      <c r="O601" t="s">
        <v>54</v>
      </c>
      <c r="P601" t="s">
        <v>307</v>
      </c>
      <c r="Q601" t="s">
        <v>6930</v>
      </c>
      <c r="R601" s="1">
        <v>24291</v>
      </c>
      <c r="S601" t="s">
        <v>22</v>
      </c>
      <c r="T601" t="s">
        <v>16</v>
      </c>
      <c r="U601" t="s">
        <v>1318</v>
      </c>
      <c r="V601">
        <v>60000</v>
      </c>
      <c r="W601">
        <v>3</v>
      </c>
      <c r="X601" t="s">
        <v>17</v>
      </c>
      <c r="Y601" t="s">
        <v>53</v>
      </c>
      <c r="Z601" t="s">
        <v>23</v>
      </c>
      <c r="AA601" t="s">
        <v>3580</v>
      </c>
      <c r="AB601" t="s">
        <v>3578</v>
      </c>
      <c r="AC601" t="s">
        <v>3579</v>
      </c>
      <c r="AD601" t="s">
        <v>3479</v>
      </c>
      <c r="AE601" t="s">
        <v>3475</v>
      </c>
      <c r="AF601" s="2">
        <v>2443.35</v>
      </c>
      <c r="AG601" s="2">
        <v>1518.7864</v>
      </c>
      <c r="AH601" s="2">
        <v>924.56359999999995</v>
      </c>
      <c r="AI601" s="3">
        <v>0.37839998362903399</v>
      </c>
    </row>
    <row r="602" spans="1:35">
      <c r="A602" s="1">
        <v>42214</v>
      </c>
      <c r="B602" s="1">
        <v>37416</v>
      </c>
      <c r="C602" t="s">
        <v>4988</v>
      </c>
      <c r="D602">
        <v>368</v>
      </c>
      <c r="E602">
        <v>13087</v>
      </c>
      <c r="F602">
        <v>1</v>
      </c>
      <c r="G602">
        <v>1</v>
      </c>
      <c r="H602">
        <v>1</v>
      </c>
      <c r="I602">
        <v>2</v>
      </c>
      <c r="J602" t="s">
        <v>3547</v>
      </c>
      <c r="K602" t="s">
        <v>3548</v>
      </c>
      <c r="L602" s="2">
        <v>1518.7864</v>
      </c>
      <c r="M602" s="2">
        <v>2443.35</v>
      </c>
      <c r="N602" t="s">
        <v>13</v>
      </c>
      <c r="O602" t="s">
        <v>118</v>
      </c>
      <c r="P602" t="s">
        <v>377</v>
      </c>
      <c r="Q602" t="s">
        <v>6931</v>
      </c>
      <c r="R602" s="1">
        <v>27341</v>
      </c>
      <c r="S602" t="s">
        <v>22</v>
      </c>
      <c r="T602" t="s">
        <v>16</v>
      </c>
      <c r="U602" t="s">
        <v>1400</v>
      </c>
      <c r="V602">
        <v>60000</v>
      </c>
      <c r="W602">
        <v>0</v>
      </c>
      <c r="X602" t="s">
        <v>52</v>
      </c>
      <c r="Y602" t="s">
        <v>18</v>
      </c>
      <c r="Z602" t="s">
        <v>19</v>
      </c>
      <c r="AA602" t="s">
        <v>3577</v>
      </c>
      <c r="AB602" t="s">
        <v>3578</v>
      </c>
      <c r="AC602" t="s">
        <v>3579</v>
      </c>
      <c r="AD602" t="s">
        <v>3479</v>
      </c>
      <c r="AE602" t="s">
        <v>3475</v>
      </c>
      <c r="AF602" s="2">
        <v>2443.35</v>
      </c>
      <c r="AG602" s="2">
        <v>1518.7864</v>
      </c>
      <c r="AH602" s="2">
        <v>924.56359999999995</v>
      </c>
      <c r="AI602" s="3">
        <v>0.37839998362903399</v>
      </c>
    </row>
    <row r="603" spans="1:35">
      <c r="A603" s="1">
        <v>42214</v>
      </c>
      <c r="B603" s="1">
        <v>37394</v>
      </c>
      <c r="C603" t="s">
        <v>4990</v>
      </c>
      <c r="D603">
        <v>368</v>
      </c>
      <c r="E603">
        <v>12950</v>
      </c>
      <c r="F603">
        <v>1</v>
      </c>
      <c r="G603">
        <v>1</v>
      </c>
      <c r="H603">
        <v>1</v>
      </c>
      <c r="I603">
        <v>2</v>
      </c>
      <c r="J603" t="s">
        <v>3547</v>
      </c>
      <c r="K603" t="s">
        <v>3548</v>
      </c>
      <c r="L603" s="2">
        <v>1518.7864</v>
      </c>
      <c r="M603" s="2">
        <v>2443.35</v>
      </c>
      <c r="N603" t="s">
        <v>30</v>
      </c>
      <c r="O603" t="s">
        <v>771</v>
      </c>
      <c r="P603" t="s">
        <v>297</v>
      </c>
      <c r="Q603" t="s">
        <v>6932</v>
      </c>
      <c r="R603" s="1">
        <v>23665</v>
      </c>
      <c r="S603" t="s">
        <v>22</v>
      </c>
      <c r="T603" t="s">
        <v>29</v>
      </c>
      <c r="U603" t="s">
        <v>1330</v>
      </c>
      <c r="V603">
        <v>50000</v>
      </c>
      <c r="W603">
        <v>5</v>
      </c>
      <c r="X603" t="s">
        <v>17</v>
      </c>
      <c r="Y603" t="s">
        <v>53</v>
      </c>
      <c r="Z603" t="s">
        <v>19</v>
      </c>
      <c r="AA603" t="s">
        <v>3577</v>
      </c>
      <c r="AB603" t="s">
        <v>3578</v>
      </c>
      <c r="AC603" t="s">
        <v>3579</v>
      </c>
      <c r="AD603" t="s">
        <v>3479</v>
      </c>
      <c r="AE603" t="s">
        <v>3475</v>
      </c>
      <c r="AF603" s="2">
        <v>2443.35</v>
      </c>
      <c r="AG603" s="2">
        <v>1518.7864</v>
      </c>
      <c r="AH603" s="2">
        <v>924.56359999999995</v>
      </c>
      <c r="AI603" s="3">
        <v>0.37839998362903399</v>
      </c>
    </row>
    <row r="604" spans="1:35">
      <c r="A604" s="1">
        <v>42215</v>
      </c>
      <c r="B604" s="1">
        <v>37405</v>
      </c>
      <c r="C604" t="s">
        <v>4997</v>
      </c>
      <c r="D604">
        <v>375</v>
      </c>
      <c r="E604">
        <v>13212</v>
      </c>
      <c r="F604">
        <v>4</v>
      </c>
      <c r="G604">
        <v>1</v>
      </c>
      <c r="H604">
        <v>1</v>
      </c>
      <c r="I604">
        <v>2</v>
      </c>
      <c r="J604" t="s">
        <v>3557</v>
      </c>
      <c r="K604" t="s">
        <v>3558</v>
      </c>
      <c r="L604" s="2">
        <v>1320.6838</v>
      </c>
      <c r="M604" s="2">
        <v>2181.5625</v>
      </c>
      <c r="N604" t="s">
        <v>13</v>
      </c>
      <c r="O604" t="s">
        <v>608</v>
      </c>
      <c r="P604" t="s">
        <v>177</v>
      </c>
      <c r="Q604" t="s">
        <v>6933</v>
      </c>
      <c r="R604" s="1">
        <v>16659</v>
      </c>
      <c r="S604" t="s">
        <v>16</v>
      </c>
      <c r="T604" t="s">
        <v>16</v>
      </c>
      <c r="U604" t="s">
        <v>1458</v>
      </c>
      <c r="V604">
        <v>60000</v>
      </c>
      <c r="W604">
        <v>4</v>
      </c>
      <c r="X604" t="s">
        <v>17</v>
      </c>
      <c r="Y604" t="s">
        <v>45</v>
      </c>
      <c r="Z604" t="s">
        <v>19</v>
      </c>
      <c r="AA604" t="s">
        <v>3580</v>
      </c>
      <c r="AB604" t="s">
        <v>3578</v>
      </c>
      <c r="AC604" t="s">
        <v>3579</v>
      </c>
      <c r="AD604" t="s">
        <v>3479</v>
      </c>
      <c r="AE604" t="s">
        <v>3475</v>
      </c>
      <c r="AF604" s="2">
        <v>2181.5625</v>
      </c>
      <c r="AG604" s="2">
        <v>1320.6838</v>
      </c>
      <c r="AH604" s="2">
        <v>860.87869999999998</v>
      </c>
      <c r="AI604" s="3">
        <v>0.39461564818793898</v>
      </c>
    </row>
    <row r="605" spans="1:35">
      <c r="A605" s="1">
        <v>42215</v>
      </c>
      <c r="B605" s="1">
        <v>37348</v>
      </c>
      <c r="C605" t="s">
        <v>4999</v>
      </c>
      <c r="D605">
        <v>377</v>
      </c>
      <c r="E605">
        <v>13177</v>
      </c>
      <c r="F605">
        <v>1</v>
      </c>
      <c r="G605">
        <v>1</v>
      </c>
      <c r="H605">
        <v>1</v>
      </c>
      <c r="I605">
        <v>2</v>
      </c>
      <c r="J605" t="s">
        <v>3559</v>
      </c>
      <c r="K605" t="s">
        <v>3560</v>
      </c>
      <c r="L605" s="2">
        <v>1320.6838</v>
      </c>
      <c r="M605" s="2">
        <v>2181.5625</v>
      </c>
      <c r="N605" t="s">
        <v>26</v>
      </c>
      <c r="O605" t="s">
        <v>254</v>
      </c>
      <c r="P605" t="s">
        <v>572</v>
      </c>
      <c r="Q605" t="s">
        <v>6934</v>
      </c>
      <c r="R605" s="1">
        <v>23069</v>
      </c>
      <c r="S605" t="s">
        <v>22</v>
      </c>
      <c r="T605" t="s">
        <v>29</v>
      </c>
      <c r="U605" t="s">
        <v>1447</v>
      </c>
      <c r="V605">
        <v>70000</v>
      </c>
      <c r="W605">
        <v>0</v>
      </c>
      <c r="X605" t="s">
        <v>52</v>
      </c>
      <c r="Y605" t="s">
        <v>53</v>
      </c>
      <c r="Z605" t="s">
        <v>23</v>
      </c>
      <c r="AA605" t="s">
        <v>3577</v>
      </c>
      <c r="AB605" t="s">
        <v>3578</v>
      </c>
      <c r="AC605" t="s">
        <v>3579</v>
      </c>
      <c r="AD605" t="s">
        <v>3479</v>
      </c>
      <c r="AE605" t="s">
        <v>3475</v>
      </c>
      <c r="AF605" s="2">
        <v>2181.5625</v>
      </c>
      <c r="AG605" s="2">
        <v>1320.6838</v>
      </c>
      <c r="AH605" s="2">
        <v>860.87869999999998</v>
      </c>
      <c r="AI605" s="3">
        <v>0.39461564818793898</v>
      </c>
    </row>
    <row r="606" spans="1:35">
      <c r="A606" s="1">
        <v>42216</v>
      </c>
      <c r="B606" s="1">
        <v>37405</v>
      </c>
      <c r="C606" t="s">
        <v>5001</v>
      </c>
      <c r="D606">
        <v>375</v>
      </c>
      <c r="E606">
        <v>13203</v>
      </c>
      <c r="F606">
        <v>1</v>
      </c>
      <c r="G606">
        <v>1</v>
      </c>
      <c r="H606">
        <v>1</v>
      </c>
      <c r="I606">
        <v>2</v>
      </c>
      <c r="J606" t="s">
        <v>3557</v>
      </c>
      <c r="K606" t="s">
        <v>3558</v>
      </c>
      <c r="L606" s="2">
        <v>1320.6838</v>
      </c>
      <c r="M606" s="2">
        <v>2181.5625</v>
      </c>
      <c r="N606" t="s">
        <v>30</v>
      </c>
      <c r="O606" t="s">
        <v>428</v>
      </c>
      <c r="P606" t="s">
        <v>798</v>
      </c>
      <c r="Q606" t="s">
        <v>6935</v>
      </c>
      <c r="R606" s="1">
        <v>16174</v>
      </c>
      <c r="S606" t="s">
        <v>22</v>
      </c>
      <c r="T606" t="s">
        <v>29</v>
      </c>
      <c r="U606" t="s">
        <v>1454</v>
      </c>
      <c r="V606">
        <v>70000</v>
      </c>
      <c r="W606">
        <v>4</v>
      </c>
      <c r="X606" t="s">
        <v>17</v>
      </c>
      <c r="Y606" t="s">
        <v>45</v>
      </c>
      <c r="Z606" t="s">
        <v>19</v>
      </c>
      <c r="AA606" t="s">
        <v>3577</v>
      </c>
      <c r="AB606" t="s">
        <v>3578</v>
      </c>
      <c r="AC606" t="s">
        <v>3579</v>
      </c>
      <c r="AD606" t="s">
        <v>3479</v>
      </c>
      <c r="AE606" t="s">
        <v>3475</v>
      </c>
      <c r="AF606" s="2">
        <v>2181.5625</v>
      </c>
      <c r="AG606" s="2">
        <v>1320.6838</v>
      </c>
      <c r="AH606" s="2">
        <v>860.87869999999998</v>
      </c>
      <c r="AI606" s="3">
        <v>0.39461564818793898</v>
      </c>
    </row>
    <row r="607" spans="1:35">
      <c r="A607" s="1">
        <v>42216</v>
      </c>
      <c r="B607" s="1">
        <v>37349</v>
      </c>
      <c r="C607" t="s">
        <v>5005</v>
      </c>
      <c r="D607">
        <v>369</v>
      </c>
      <c r="E607">
        <v>13176</v>
      </c>
      <c r="F607">
        <v>4</v>
      </c>
      <c r="G607">
        <v>1</v>
      </c>
      <c r="H607">
        <v>1</v>
      </c>
      <c r="I607">
        <v>2</v>
      </c>
      <c r="J607" t="s">
        <v>3549</v>
      </c>
      <c r="K607" t="s">
        <v>3550</v>
      </c>
      <c r="L607" s="2">
        <v>1518.7864</v>
      </c>
      <c r="M607" s="2">
        <v>2443.35</v>
      </c>
      <c r="N607" t="s">
        <v>13</v>
      </c>
      <c r="O607" t="s">
        <v>489</v>
      </c>
      <c r="P607" t="s">
        <v>171</v>
      </c>
      <c r="Q607" t="s">
        <v>6936</v>
      </c>
      <c r="R607" s="1">
        <v>24716</v>
      </c>
      <c r="S607" t="s">
        <v>22</v>
      </c>
      <c r="T607" t="s">
        <v>16</v>
      </c>
      <c r="U607" t="s">
        <v>1446</v>
      </c>
      <c r="V607">
        <v>130000</v>
      </c>
      <c r="W607">
        <v>0</v>
      </c>
      <c r="X607" t="s">
        <v>135</v>
      </c>
      <c r="Y607" t="s">
        <v>45</v>
      </c>
      <c r="Z607" t="s">
        <v>23</v>
      </c>
      <c r="AA607" t="s">
        <v>3580</v>
      </c>
      <c r="AB607" t="s">
        <v>3578</v>
      </c>
      <c r="AC607" t="s">
        <v>3579</v>
      </c>
      <c r="AD607" t="s">
        <v>3479</v>
      </c>
      <c r="AE607" t="s">
        <v>3475</v>
      </c>
      <c r="AF607" s="2">
        <v>2443.35</v>
      </c>
      <c r="AG607" s="2">
        <v>1518.7864</v>
      </c>
      <c r="AH607" s="2">
        <v>924.56359999999995</v>
      </c>
      <c r="AI607" s="3">
        <v>0.37839998362903399</v>
      </c>
    </row>
    <row r="608" spans="1:35">
      <c r="A608" s="1">
        <v>42216</v>
      </c>
      <c r="B608" s="1">
        <v>37411</v>
      </c>
      <c r="C608" t="s">
        <v>5007</v>
      </c>
      <c r="D608">
        <v>368</v>
      </c>
      <c r="E608">
        <v>13088</v>
      </c>
      <c r="F608">
        <v>1</v>
      </c>
      <c r="G608">
        <v>1</v>
      </c>
      <c r="H608">
        <v>1</v>
      </c>
      <c r="I608">
        <v>2</v>
      </c>
      <c r="J608" t="s">
        <v>3547</v>
      </c>
      <c r="K608" t="s">
        <v>3548</v>
      </c>
      <c r="L608" s="2">
        <v>1518.7864</v>
      </c>
      <c r="M608" s="2">
        <v>2443.35</v>
      </c>
      <c r="N608" t="s">
        <v>26</v>
      </c>
      <c r="O608" t="s">
        <v>108</v>
      </c>
      <c r="P608" t="s">
        <v>119</v>
      </c>
      <c r="Q608" t="s">
        <v>6937</v>
      </c>
      <c r="R608" s="1">
        <v>27083</v>
      </c>
      <c r="S608" t="s">
        <v>22</v>
      </c>
      <c r="T608" t="s">
        <v>29</v>
      </c>
      <c r="U608" t="s">
        <v>1401</v>
      </c>
      <c r="V608">
        <v>60000</v>
      </c>
      <c r="W608">
        <v>0</v>
      </c>
      <c r="X608" t="s">
        <v>52</v>
      </c>
      <c r="Y608" t="s">
        <v>18</v>
      </c>
      <c r="Z608" t="s">
        <v>23</v>
      </c>
      <c r="AA608" t="s">
        <v>3577</v>
      </c>
      <c r="AB608" t="s">
        <v>3578</v>
      </c>
      <c r="AC608" t="s">
        <v>3579</v>
      </c>
      <c r="AD608" t="s">
        <v>3479</v>
      </c>
      <c r="AE608" t="s">
        <v>3475</v>
      </c>
      <c r="AF608" s="2">
        <v>2443.35</v>
      </c>
      <c r="AG608" s="2">
        <v>1518.7864</v>
      </c>
      <c r="AH608" s="2">
        <v>924.56359999999995</v>
      </c>
      <c r="AI608" s="3">
        <v>0.37839998362903399</v>
      </c>
    </row>
    <row r="609" spans="1:35">
      <c r="A609" s="1">
        <v>42217</v>
      </c>
      <c r="B609" s="1">
        <v>37366</v>
      </c>
      <c r="C609" t="s">
        <v>5012</v>
      </c>
      <c r="D609">
        <v>370</v>
      </c>
      <c r="E609">
        <v>13246</v>
      </c>
      <c r="F609">
        <v>4</v>
      </c>
      <c r="G609">
        <v>1</v>
      </c>
      <c r="H609">
        <v>1</v>
      </c>
      <c r="I609">
        <v>2</v>
      </c>
      <c r="J609" t="s">
        <v>3551</v>
      </c>
      <c r="K609" t="s">
        <v>3552</v>
      </c>
      <c r="L609" s="2">
        <v>1518.7864</v>
      </c>
      <c r="M609" s="2">
        <v>2443.35</v>
      </c>
      <c r="N609" t="s">
        <v>30</v>
      </c>
      <c r="O609" t="s">
        <v>337</v>
      </c>
      <c r="P609" t="s">
        <v>187</v>
      </c>
      <c r="Q609" t="s">
        <v>6938</v>
      </c>
      <c r="R609" s="1">
        <v>19019</v>
      </c>
      <c r="S609" t="s">
        <v>16</v>
      </c>
      <c r="T609" t="s">
        <v>29</v>
      </c>
      <c r="U609" t="s">
        <v>1471</v>
      </c>
      <c r="V609">
        <v>60000</v>
      </c>
      <c r="W609">
        <v>3</v>
      </c>
      <c r="X609" t="s">
        <v>57</v>
      </c>
      <c r="Y609" t="s">
        <v>18</v>
      </c>
      <c r="Z609" t="s">
        <v>19</v>
      </c>
      <c r="AA609" t="s">
        <v>3580</v>
      </c>
      <c r="AB609" t="s">
        <v>3578</v>
      </c>
      <c r="AC609" t="s">
        <v>3579</v>
      </c>
      <c r="AD609" t="s">
        <v>3479</v>
      </c>
      <c r="AE609" t="s">
        <v>3475</v>
      </c>
      <c r="AF609" s="2">
        <v>2443.35</v>
      </c>
      <c r="AG609" s="2">
        <v>1518.7864</v>
      </c>
      <c r="AH609" s="2">
        <v>924.56359999999995</v>
      </c>
      <c r="AI609" s="3">
        <v>0.37839998362903399</v>
      </c>
    </row>
    <row r="610" spans="1:35">
      <c r="A610" s="1">
        <v>42217</v>
      </c>
      <c r="B610" s="1">
        <v>37367</v>
      </c>
      <c r="C610" t="s">
        <v>5014</v>
      </c>
      <c r="D610">
        <v>360</v>
      </c>
      <c r="E610">
        <v>12685</v>
      </c>
      <c r="F610">
        <v>9</v>
      </c>
      <c r="G610">
        <v>1</v>
      </c>
      <c r="H610">
        <v>1</v>
      </c>
      <c r="I610">
        <v>1</v>
      </c>
      <c r="J610" t="s">
        <v>3543</v>
      </c>
      <c r="K610" t="s">
        <v>3544</v>
      </c>
      <c r="L610" s="2">
        <v>1105.81</v>
      </c>
      <c r="M610" s="2">
        <v>2049.0981999999999</v>
      </c>
      <c r="N610" t="s">
        <v>26</v>
      </c>
      <c r="O610" t="s">
        <v>117</v>
      </c>
      <c r="P610" t="s">
        <v>474</v>
      </c>
      <c r="Q610" t="s">
        <v>6939</v>
      </c>
      <c r="R610" s="1">
        <v>26380</v>
      </c>
      <c r="S610" t="s">
        <v>16</v>
      </c>
      <c r="T610" t="s">
        <v>29</v>
      </c>
      <c r="U610" t="s">
        <v>1238</v>
      </c>
      <c r="V610">
        <v>90000</v>
      </c>
      <c r="W610">
        <v>0</v>
      </c>
      <c r="X610" t="s">
        <v>17</v>
      </c>
      <c r="Y610" t="s">
        <v>18</v>
      </c>
      <c r="Z610" t="s">
        <v>19</v>
      </c>
      <c r="AA610" t="s">
        <v>3586</v>
      </c>
      <c r="AB610" t="s">
        <v>3586</v>
      </c>
      <c r="AC610" t="s">
        <v>3587</v>
      </c>
      <c r="AD610" t="s">
        <v>3478</v>
      </c>
      <c r="AE610" t="s">
        <v>3475</v>
      </c>
      <c r="AF610" s="2">
        <v>2049.0981999999999</v>
      </c>
      <c r="AG610" s="2">
        <v>1105.81</v>
      </c>
      <c r="AH610" s="2">
        <v>943.28819999999996</v>
      </c>
      <c r="AI610" s="3">
        <v>0.46034309141455498</v>
      </c>
    </row>
    <row r="611" spans="1:35">
      <c r="A611" s="1">
        <v>42217</v>
      </c>
      <c r="B611" s="1">
        <v>37422</v>
      </c>
      <c r="C611" t="s">
        <v>5018</v>
      </c>
      <c r="D611">
        <v>362</v>
      </c>
      <c r="E611">
        <v>12588</v>
      </c>
      <c r="F611">
        <v>9</v>
      </c>
      <c r="G611">
        <v>1</v>
      </c>
      <c r="H611">
        <v>1</v>
      </c>
      <c r="I611">
        <v>1</v>
      </c>
      <c r="J611" t="s">
        <v>3545</v>
      </c>
      <c r="K611" t="s">
        <v>3546</v>
      </c>
      <c r="L611" s="2">
        <v>1105.81</v>
      </c>
      <c r="M611" s="2">
        <v>2049.0981999999999</v>
      </c>
      <c r="N611" t="s">
        <v>30</v>
      </c>
      <c r="O611" t="s">
        <v>1204</v>
      </c>
      <c r="P611" t="s">
        <v>205</v>
      </c>
      <c r="Q611" t="s">
        <v>6940</v>
      </c>
      <c r="R611" s="1">
        <v>28331</v>
      </c>
      <c r="S611" t="s">
        <v>22</v>
      </c>
      <c r="T611" t="s">
        <v>29</v>
      </c>
      <c r="U611" t="s">
        <v>1205</v>
      </c>
      <c r="V611">
        <v>10000</v>
      </c>
      <c r="W611">
        <v>1</v>
      </c>
      <c r="X611" t="s">
        <v>57</v>
      </c>
      <c r="Y611" t="s">
        <v>444</v>
      </c>
      <c r="Z611" t="s">
        <v>23</v>
      </c>
      <c r="AA611" t="s">
        <v>3586</v>
      </c>
      <c r="AB611" t="s">
        <v>3586</v>
      </c>
      <c r="AC611" t="s">
        <v>3587</v>
      </c>
      <c r="AD611" t="s">
        <v>3478</v>
      </c>
      <c r="AE611" t="s">
        <v>3475</v>
      </c>
      <c r="AF611" s="2">
        <v>2049.0981999999999</v>
      </c>
      <c r="AG611" s="2">
        <v>1105.81</v>
      </c>
      <c r="AH611" s="2">
        <v>943.28819999999996</v>
      </c>
      <c r="AI611" s="3">
        <v>0.46034309141455498</v>
      </c>
    </row>
    <row r="612" spans="1:35">
      <c r="A612" s="1">
        <v>42218</v>
      </c>
      <c r="B612" s="1">
        <v>37355</v>
      </c>
      <c r="C612" t="s">
        <v>5022</v>
      </c>
      <c r="D612">
        <v>375</v>
      </c>
      <c r="E612">
        <v>13359</v>
      </c>
      <c r="F612">
        <v>4</v>
      </c>
      <c r="G612">
        <v>1</v>
      </c>
      <c r="H612">
        <v>1</v>
      </c>
      <c r="I612">
        <v>2</v>
      </c>
      <c r="J612" t="s">
        <v>3557</v>
      </c>
      <c r="K612" t="s">
        <v>3558</v>
      </c>
      <c r="L612" s="2">
        <v>1320.6838</v>
      </c>
      <c r="M612" s="2">
        <v>2181.5625</v>
      </c>
      <c r="N612" t="s">
        <v>13</v>
      </c>
      <c r="O612" t="s">
        <v>46</v>
      </c>
      <c r="P612" t="s">
        <v>283</v>
      </c>
      <c r="Q612" t="s">
        <v>6941</v>
      </c>
      <c r="R612" s="1">
        <v>16682</v>
      </c>
      <c r="S612" t="s">
        <v>16</v>
      </c>
      <c r="T612" t="s">
        <v>16</v>
      </c>
      <c r="U612" t="s">
        <v>1512</v>
      </c>
      <c r="V612">
        <v>60000</v>
      </c>
      <c r="W612">
        <v>4</v>
      </c>
      <c r="X612" t="s">
        <v>17</v>
      </c>
      <c r="Y612" t="s">
        <v>45</v>
      </c>
      <c r="Z612" t="s">
        <v>19</v>
      </c>
      <c r="AA612" t="s">
        <v>3580</v>
      </c>
      <c r="AB612" t="s">
        <v>3578</v>
      </c>
      <c r="AC612" t="s">
        <v>3579</v>
      </c>
      <c r="AD612" t="s">
        <v>3479</v>
      </c>
      <c r="AE612" t="s">
        <v>3475</v>
      </c>
      <c r="AF612" s="2">
        <v>2181.5625</v>
      </c>
      <c r="AG612" s="2">
        <v>1320.6838</v>
      </c>
      <c r="AH612" s="2">
        <v>860.87869999999998</v>
      </c>
      <c r="AI612" s="3">
        <v>0.39461564818793898</v>
      </c>
    </row>
    <row r="613" spans="1:35">
      <c r="A613" s="1">
        <v>42218</v>
      </c>
      <c r="B613" s="1">
        <v>37387</v>
      </c>
      <c r="C613" t="s">
        <v>5023</v>
      </c>
      <c r="D613">
        <v>375</v>
      </c>
      <c r="E613">
        <v>13248</v>
      </c>
      <c r="F613">
        <v>1</v>
      </c>
      <c r="G613">
        <v>1</v>
      </c>
      <c r="H613">
        <v>1</v>
      </c>
      <c r="I613">
        <v>2</v>
      </c>
      <c r="J613" t="s">
        <v>3557</v>
      </c>
      <c r="K613" t="s">
        <v>3558</v>
      </c>
      <c r="L613" s="2">
        <v>1320.6838</v>
      </c>
      <c r="M613" s="2">
        <v>2181.5625</v>
      </c>
      <c r="N613" t="s">
        <v>30</v>
      </c>
      <c r="O613" t="s">
        <v>588</v>
      </c>
      <c r="P613" t="s">
        <v>290</v>
      </c>
      <c r="Q613" t="s">
        <v>6942</v>
      </c>
      <c r="R613" s="1">
        <v>19059</v>
      </c>
      <c r="S613" t="s">
        <v>16</v>
      </c>
      <c r="T613" t="s">
        <v>29</v>
      </c>
      <c r="U613" t="s">
        <v>1473</v>
      </c>
      <c r="V613">
        <v>60000</v>
      </c>
      <c r="W613">
        <v>3</v>
      </c>
      <c r="X613" t="s">
        <v>57</v>
      </c>
      <c r="Y613" t="s">
        <v>18</v>
      </c>
      <c r="Z613" t="s">
        <v>19</v>
      </c>
      <c r="AA613" t="s">
        <v>3577</v>
      </c>
      <c r="AB613" t="s">
        <v>3578</v>
      </c>
      <c r="AC613" t="s">
        <v>3579</v>
      </c>
      <c r="AD613" t="s">
        <v>3479</v>
      </c>
      <c r="AE613" t="s">
        <v>3475</v>
      </c>
      <c r="AF613" s="2">
        <v>2181.5625</v>
      </c>
      <c r="AG613" s="2">
        <v>1320.6838</v>
      </c>
      <c r="AH613" s="2">
        <v>860.87869999999998</v>
      </c>
      <c r="AI613" s="3">
        <v>0.39461564818793898</v>
      </c>
    </row>
    <row r="614" spans="1:35">
      <c r="A614" s="1">
        <v>42219</v>
      </c>
      <c r="B614" s="1">
        <v>37362</v>
      </c>
      <c r="C614" t="s">
        <v>5030</v>
      </c>
      <c r="D614">
        <v>369</v>
      </c>
      <c r="E614">
        <v>13274</v>
      </c>
      <c r="F614">
        <v>1</v>
      </c>
      <c r="G614">
        <v>1</v>
      </c>
      <c r="H614">
        <v>1</v>
      </c>
      <c r="I614">
        <v>2</v>
      </c>
      <c r="J614" t="s">
        <v>3549</v>
      </c>
      <c r="K614" t="s">
        <v>3550</v>
      </c>
      <c r="L614" s="2">
        <v>1518.7864</v>
      </c>
      <c r="M614" s="2">
        <v>2443.35</v>
      </c>
      <c r="N614" t="s">
        <v>13</v>
      </c>
      <c r="O614" t="s">
        <v>792</v>
      </c>
      <c r="P614" t="s">
        <v>307</v>
      </c>
      <c r="Q614" t="s">
        <v>6943</v>
      </c>
      <c r="R614" s="1">
        <v>23835</v>
      </c>
      <c r="S614" t="s">
        <v>22</v>
      </c>
      <c r="T614" t="s">
        <v>16</v>
      </c>
      <c r="U614" t="s">
        <v>1478</v>
      </c>
      <c r="V614">
        <v>90000</v>
      </c>
      <c r="W614">
        <v>4</v>
      </c>
      <c r="X614" t="s">
        <v>52</v>
      </c>
      <c r="Y614" t="s">
        <v>18</v>
      </c>
      <c r="Z614" t="s">
        <v>19</v>
      </c>
      <c r="AA614" t="s">
        <v>3577</v>
      </c>
      <c r="AB614" t="s">
        <v>3578</v>
      </c>
      <c r="AC614" t="s">
        <v>3579</v>
      </c>
      <c r="AD614" t="s">
        <v>3479</v>
      </c>
      <c r="AE614" t="s">
        <v>3475</v>
      </c>
      <c r="AF614" s="2">
        <v>2443.35</v>
      </c>
      <c r="AG614" s="2">
        <v>1518.7864</v>
      </c>
      <c r="AH614" s="2">
        <v>924.56359999999995</v>
      </c>
      <c r="AI614" s="3">
        <v>0.37839998362903399</v>
      </c>
    </row>
    <row r="615" spans="1:35">
      <c r="A615" s="1">
        <v>42219</v>
      </c>
      <c r="B615" s="1">
        <v>37452</v>
      </c>
      <c r="C615" t="s">
        <v>5031</v>
      </c>
      <c r="D615">
        <v>377</v>
      </c>
      <c r="E615">
        <v>13383</v>
      </c>
      <c r="F615">
        <v>1</v>
      </c>
      <c r="G615">
        <v>1</v>
      </c>
      <c r="H615">
        <v>1</v>
      </c>
      <c r="I615">
        <v>2</v>
      </c>
      <c r="J615" t="s">
        <v>3559</v>
      </c>
      <c r="K615" t="s">
        <v>3560</v>
      </c>
      <c r="L615" s="2">
        <v>1320.6838</v>
      </c>
      <c r="M615" s="2">
        <v>2181.5625</v>
      </c>
      <c r="N615" t="s">
        <v>30</v>
      </c>
      <c r="O615" t="s">
        <v>331</v>
      </c>
      <c r="P615" t="s">
        <v>240</v>
      </c>
      <c r="Q615" t="s">
        <v>6944</v>
      </c>
      <c r="R615" s="1">
        <v>18539</v>
      </c>
      <c r="S615" t="s">
        <v>22</v>
      </c>
      <c r="T615" t="s">
        <v>29</v>
      </c>
      <c r="U615" t="s">
        <v>1519</v>
      </c>
      <c r="V615">
        <v>60000</v>
      </c>
      <c r="W615">
        <v>2</v>
      </c>
      <c r="X615" t="s">
        <v>52</v>
      </c>
      <c r="Y615" t="s">
        <v>18</v>
      </c>
      <c r="Z615" t="s">
        <v>19</v>
      </c>
      <c r="AA615" t="s">
        <v>3577</v>
      </c>
      <c r="AB615" t="s">
        <v>3578</v>
      </c>
      <c r="AC615" t="s">
        <v>3579</v>
      </c>
      <c r="AD615" t="s">
        <v>3479</v>
      </c>
      <c r="AE615" t="s">
        <v>3475</v>
      </c>
      <c r="AF615" s="2">
        <v>2181.5625</v>
      </c>
      <c r="AG615" s="2">
        <v>1320.6838</v>
      </c>
      <c r="AH615" s="2">
        <v>860.87869999999998</v>
      </c>
      <c r="AI615" s="3">
        <v>0.39461564818793898</v>
      </c>
    </row>
    <row r="616" spans="1:35">
      <c r="A616" s="1">
        <v>42220</v>
      </c>
      <c r="B616" s="1">
        <v>37435</v>
      </c>
      <c r="C616" t="s">
        <v>5037</v>
      </c>
      <c r="D616">
        <v>369</v>
      </c>
      <c r="E616">
        <v>13380</v>
      </c>
      <c r="F616">
        <v>4</v>
      </c>
      <c r="G616">
        <v>1</v>
      </c>
      <c r="H616">
        <v>1</v>
      </c>
      <c r="I616">
        <v>2</v>
      </c>
      <c r="J616" t="s">
        <v>3549</v>
      </c>
      <c r="K616" t="s">
        <v>3550</v>
      </c>
      <c r="L616" s="2">
        <v>1518.7864</v>
      </c>
      <c r="M616" s="2">
        <v>2443.35</v>
      </c>
      <c r="N616" t="s">
        <v>30</v>
      </c>
      <c r="O616" t="s">
        <v>593</v>
      </c>
      <c r="P616" t="s">
        <v>512</v>
      </c>
      <c r="Q616" t="s">
        <v>6945</v>
      </c>
      <c r="R616" s="1">
        <v>18196</v>
      </c>
      <c r="S616" t="s">
        <v>16</v>
      </c>
      <c r="T616" t="s">
        <v>29</v>
      </c>
      <c r="U616" t="s">
        <v>1517</v>
      </c>
      <c r="V616">
        <v>60000</v>
      </c>
      <c r="W616">
        <v>2</v>
      </c>
      <c r="X616" t="s">
        <v>17</v>
      </c>
      <c r="Y616" t="s">
        <v>45</v>
      </c>
      <c r="Z616" t="s">
        <v>23</v>
      </c>
      <c r="AA616" t="s">
        <v>3580</v>
      </c>
      <c r="AB616" t="s">
        <v>3578</v>
      </c>
      <c r="AC616" t="s">
        <v>3579</v>
      </c>
      <c r="AD616" t="s">
        <v>3479</v>
      </c>
      <c r="AE616" t="s">
        <v>3475</v>
      </c>
      <c r="AF616" s="2">
        <v>2443.35</v>
      </c>
      <c r="AG616" s="2">
        <v>1518.7864</v>
      </c>
      <c r="AH616" s="2">
        <v>924.56359999999995</v>
      </c>
      <c r="AI616" s="3">
        <v>0.37839998362903399</v>
      </c>
    </row>
    <row r="617" spans="1:35">
      <c r="A617" s="1">
        <v>42220</v>
      </c>
      <c r="B617" s="1">
        <v>37377</v>
      </c>
      <c r="C617" t="s">
        <v>5038</v>
      </c>
      <c r="D617">
        <v>360</v>
      </c>
      <c r="E617">
        <v>12667</v>
      </c>
      <c r="F617">
        <v>9</v>
      </c>
      <c r="G617">
        <v>1</v>
      </c>
      <c r="H617">
        <v>1</v>
      </c>
      <c r="I617">
        <v>1</v>
      </c>
      <c r="J617" t="s">
        <v>3543</v>
      </c>
      <c r="K617" t="s">
        <v>3544</v>
      </c>
      <c r="L617" s="2">
        <v>1105.81</v>
      </c>
      <c r="M617" s="2">
        <v>2049.0981999999999</v>
      </c>
      <c r="N617" t="s">
        <v>26</v>
      </c>
      <c r="O617" t="s">
        <v>276</v>
      </c>
      <c r="P617" t="s">
        <v>283</v>
      </c>
      <c r="Q617" t="s">
        <v>6946</v>
      </c>
      <c r="R617" s="1">
        <v>28086</v>
      </c>
      <c r="S617" t="s">
        <v>16</v>
      </c>
      <c r="T617" t="s">
        <v>29</v>
      </c>
      <c r="U617" t="s">
        <v>1223</v>
      </c>
      <c r="V617">
        <v>70000</v>
      </c>
      <c r="W617">
        <v>0</v>
      </c>
      <c r="X617" t="s">
        <v>17</v>
      </c>
      <c r="Y617" t="s">
        <v>18</v>
      </c>
      <c r="Z617" t="s">
        <v>19</v>
      </c>
      <c r="AA617" t="s">
        <v>3586</v>
      </c>
      <c r="AB617" t="s">
        <v>3586</v>
      </c>
      <c r="AC617" t="s">
        <v>3587</v>
      </c>
      <c r="AD617" t="s">
        <v>3478</v>
      </c>
      <c r="AE617" t="s">
        <v>3475</v>
      </c>
      <c r="AF617" s="2">
        <v>2049.0981999999999</v>
      </c>
      <c r="AG617" s="2">
        <v>1105.81</v>
      </c>
      <c r="AH617" s="2">
        <v>943.28819999999996</v>
      </c>
      <c r="AI617" s="3">
        <v>0.46034309141455498</v>
      </c>
    </row>
    <row r="618" spans="1:35">
      <c r="A618" s="1">
        <v>42221</v>
      </c>
      <c r="B618" s="1">
        <v>37455</v>
      </c>
      <c r="C618" t="s">
        <v>5040</v>
      </c>
      <c r="D618">
        <v>371</v>
      </c>
      <c r="E618">
        <v>13319</v>
      </c>
      <c r="F618">
        <v>1</v>
      </c>
      <c r="G618">
        <v>1</v>
      </c>
      <c r="H618">
        <v>1</v>
      </c>
      <c r="I618">
        <v>2</v>
      </c>
      <c r="J618" t="s">
        <v>3553</v>
      </c>
      <c r="K618" t="s">
        <v>3554</v>
      </c>
      <c r="L618" s="2">
        <v>1320.6838</v>
      </c>
      <c r="M618" s="2">
        <v>2181.5625</v>
      </c>
      <c r="N618" t="s">
        <v>13</v>
      </c>
      <c r="O618" t="s">
        <v>327</v>
      </c>
      <c r="P618" t="s">
        <v>294</v>
      </c>
      <c r="Q618" t="s">
        <v>6947</v>
      </c>
      <c r="R618" s="1">
        <v>19785</v>
      </c>
      <c r="S618" t="s">
        <v>22</v>
      </c>
      <c r="T618" t="s">
        <v>16</v>
      </c>
      <c r="U618" t="s">
        <v>1495</v>
      </c>
      <c r="V618">
        <v>70000</v>
      </c>
      <c r="W618">
        <v>3</v>
      </c>
      <c r="X618" t="s">
        <v>57</v>
      </c>
      <c r="Y618" t="s">
        <v>18</v>
      </c>
      <c r="Z618" t="s">
        <v>19</v>
      </c>
      <c r="AA618" t="s">
        <v>3577</v>
      </c>
      <c r="AB618" t="s">
        <v>3578</v>
      </c>
      <c r="AC618" t="s">
        <v>3579</v>
      </c>
      <c r="AD618" t="s">
        <v>3479</v>
      </c>
      <c r="AE618" t="s">
        <v>3475</v>
      </c>
      <c r="AF618" s="2">
        <v>2181.5625</v>
      </c>
      <c r="AG618" s="2">
        <v>1320.6838</v>
      </c>
      <c r="AH618" s="2">
        <v>860.87869999999998</v>
      </c>
      <c r="AI618" s="3">
        <v>0.39461564818793898</v>
      </c>
    </row>
    <row r="619" spans="1:35">
      <c r="A619" s="1">
        <v>42221</v>
      </c>
      <c r="B619" s="1">
        <v>37451</v>
      </c>
      <c r="C619" t="s">
        <v>5043</v>
      </c>
      <c r="D619">
        <v>370</v>
      </c>
      <c r="E619">
        <v>13424</v>
      </c>
      <c r="F619">
        <v>1</v>
      </c>
      <c r="G619">
        <v>1</v>
      </c>
      <c r="H619">
        <v>1</v>
      </c>
      <c r="I619">
        <v>2</v>
      </c>
      <c r="J619" t="s">
        <v>3551</v>
      </c>
      <c r="K619" t="s">
        <v>3552</v>
      </c>
      <c r="L619" s="2">
        <v>1518.7864</v>
      </c>
      <c r="M619" s="2">
        <v>2443.35</v>
      </c>
      <c r="N619" t="s">
        <v>30</v>
      </c>
      <c r="O619" t="s">
        <v>253</v>
      </c>
      <c r="P619" t="s">
        <v>299</v>
      </c>
      <c r="Q619" t="s">
        <v>6948</v>
      </c>
      <c r="R619" s="1">
        <v>23640</v>
      </c>
      <c r="S619" t="s">
        <v>16</v>
      </c>
      <c r="T619" t="s">
        <v>29</v>
      </c>
      <c r="U619" t="s">
        <v>1529</v>
      </c>
      <c r="V619">
        <v>90000</v>
      </c>
      <c r="W619">
        <v>5</v>
      </c>
      <c r="X619" t="s">
        <v>52</v>
      </c>
      <c r="Y619" t="s">
        <v>18</v>
      </c>
      <c r="Z619" t="s">
        <v>19</v>
      </c>
      <c r="AA619" t="s">
        <v>3577</v>
      </c>
      <c r="AB619" t="s">
        <v>3578</v>
      </c>
      <c r="AC619" t="s">
        <v>3579</v>
      </c>
      <c r="AD619" t="s">
        <v>3479</v>
      </c>
      <c r="AE619" t="s">
        <v>3475</v>
      </c>
      <c r="AF619" s="2">
        <v>2443.35</v>
      </c>
      <c r="AG619" s="2">
        <v>1518.7864</v>
      </c>
      <c r="AH619" s="2">
        <v>924.56359999999995</v>
      </c>
      <c r="AI619" s="3">
        <v>0.37839998362903399</v>
      </c>
    </row>
    <row r="620" spans="1:35">
      <c r="A620" s="1">
        <v>42221</v>
      </c>
      <c r="B620" s="1">
        <v>37457</v>
      </c>
      <c r="C620" t="s">
        <v>5045</v>
      </c>
      <c r="D620">
        <v>368</v>
      </c>
      <c r="E620">
        <v>13369</v>
      </c>
      <c r="F620">
        <v>1</v>
      </c>
      <c r="G620">
        <v>1</v>
      </c>
      <c r="H620">
        <v>1</v>
      </c>
      <c r="I620">
        <v>2</v>
      </c>
      <c r="J620" t="s">
        <v>3547</v>
      </c>
      <c r="K620" t="s">
        <v>3548</v>
      </c>
      <c r="L620" s="2">
        <v>1518.7864</v>
      </c>
      <c r="M620" s="2">
        <v>2443.35</v>
      </c>
      <c r="N620" t="s">
        <v>30</v>
      </c>
      <c r="O620" t="s">
        <v>677</v>
      </c>
      <c r="P620" t="s">
        <v>146</v>
      </c>
      <c r="Q620" t="s">
        <v>6949</v>
      </c>
      <c r="R620" s="1">
        <v>17396</v>
      </c>
      <c r="S620" t="s">
        <v>16</v>
      </c>
      <c r="T620" t="s">
        <v>29</v>
      </c>
      <c r="U620" t="s">
        <v>1516</v>
      </c>
      <c r="V620">
        <v>80000</v>
      </c>
      <c r="W620">
        <v>5</v>
      </c>
      <c r="X620" t="s">
        <v>17</v>
      </c>
      <c r="Y620" t="s">
        <v>45</v>
      </c>
      <c r="Z620" t="s">
        <v>19</v>
      </c>
      <c r="AA620" t="s">
        <v>3577</v>
      </c>
      <c r="AB620" t="s">
        <v>3578</v>
      </c>
      <c r="AC620" t="s">
        <v>3579</v>
      </c>
      <c r="AD620" t="s">
        <v>3479</v>
      </c>
      <c r="AE620" t="s">
        <v>3475</v>
      </c>
      <c r="AF620" s="2">
        <v>2443.35</v>
      </c>
      <c r="AG620" s="2">
        <v>1518.7864</v>
      </c>
      <c r="AH620" s="2">
        <v>924.56359999999995</v>
      </c>
      <c r="AI620" s="3">
        <v>0.37839998362903399</v>
      </c>
    </row>
    <row r="621" spans="1:35">
      <c r="A621" s="1">
        <v>42221</v>
      </c>
      <c r="B621" s="1">
        <v>37358</v>
      </c>
      <c r="C621" t="s">
        <v>5046</v>
      </c>
      <c r="D621">
        <v>379</v>
      </c>
      <c r="E621">
        <v>13279</v>
      </c>
      <c r="F621">
        <v>4</v>
      </c>
      <c r="G621">
        <v>1</v>
      </c>
      <c r="H621">
        <v>1</v>
      </c>
      <c r="I621">
        <v>2</v>
      </c>
      <c r="J621" t="s">
        <v>3561</v>
      </c>
      <c r="K621" t="s">
        <v>3562</v>
      </c>
      <c r="L621" s="2">
        <v>1320.6838</v>
      </c>
      <c r="M621" s="2">
        <v>2181.5625</v>
      </c>
      <c r="N621" t="s">
        <v>30</v>
      </c>
      <c r="O621" t="s">
        <v>1218</v>
      </c>
      <c r="P621" t="s">
        <v>294</v>
      </c>
      <c r="Q621" t="s">
        <v>6950</v>
      </c>
      <c r="R621" s="1">
        <v>24048</v>
      </c>
      <c r="S621" t="s">
        <v>16</v>
      </c>
      <c r="T621" t="s">
        <v>29</v>
      </c>
      <c r="U621" t="s">
        <v>1481</v>
      </c>
      <c r="V621">
        <v>130000</v>
      </c>
      <c r="W621">
        <v>1</v>
      </c>
      <c r="X621" t="s">
        <v>135</v>
      </c>
      <c r="Y621" t="s">
        <v>45</v>
      </c>
      <c r="Z621" t="s">
        <v>19</v>
      </c>
      <c r="AA621" t="s">
        <v>3580</v>
      </c>
      <c r="AB621" t="s">
        <v>3578</v>
      </c>
      <c r="AC621" t="s">
        <v>3579</v>
      </c>
      <c r="AD621" t="s">
        <v>3479</v>
      </c>
      <c r="AE621" t="s">
        <v>3475</v>
      </c>
      <c r="AF621" s="2">
        <v>2181.5625</v>
      </c>
      <c r="AG621" s="2">
        <v>1320.6838</v>
      </c>
      <c r="AH621" s="2">
        <v>860.87869999999998</v>
      </c>
      <c r="AI621" s="3">
        <v>0.39461564818793898</v>
      </c>
    </row>
    <row r="622" spans="1:35">
      <c r="A622" s="1">
        <v>42222</v>
      </c>
      <c r="B622" s="1">
        <v>37405</v>
      </c>
      <c r="C622" t="s">
        <v>5053</v>
      </c>
      <c r="D622">
        <v>354</v>
      </c>
      <c r="E622">
        <v>12586</v>
      </c>
      <c r="F622">
        <v>9</v>
      </c>
      <c r="G622">
        <v>1</v>
      </c>
      <c r="H622">
        <v>1</v>
      </c>
      <c r="I622">
        <v>1</v>
      </c>
      <c r="J622" t="s">
        <v>3537</v>
      </c>
      <c r="K622" t="s">
        <v>3538</v>
      </c>
      <c r="L622" s="2">
        <v>1117.8559</v>
      </c>
      <c r="M622" s="2">
        <v>2071.4196000000002</v>
      </c>
      <c r="N622" t="s">
        <v>30</v>
      </c>
      <c r="O622" t="s">
        <v>1202</v>
      </c>
      <c r="P622" t="s">
        <v>101</v>
      </c>
      <c r="Q622" t="s">
        <v>6951</v>
      </c>
      <c r="R622" s="1">
        <v>28969</v>
      </c>
      <c r="S622" t="s">
        <v>22</v>
      </c>
      <c r="T622" t="s">
        <v>29</v>
      </c>
      <c r="U622" t="s">
        <v>1203</v>
      </c>
      <c r="V622">
        <v>10000</v>
      </c>
      <c r="W622">
        <v>1</v>
      </c>
      <c r="X622" t="s">
        <v>57</v>
      </c>
      <c r="Y622" t="s">
        <v>444</v>
      </c>
      <c r="Z622" t="s">
        <v>23</v>
      </c>
      <c r="AA622" t="s">
        <v>3586</v>
      </c>
      <c r="AB622" t="s">
        <v>3586</v>
      </c>
      <c r="AC622" t="s">
        <v>3587</v>
      </c>
      <c r="AD622" t="s">
        <v>3478</v>
      </c>
      <c r="AE622" t="s">
        <v>3475</v>
      </c>
      <c r="AF622" s="2">
        <v>2071.4196000000002</v>
      </c>
      <c r="AG622" s="2">
        <v>1117.8559</v>
      </c>
      <c r="AH622" s="2">
        <v>953.56370000000004</v>
      </c>
      <c r="AI622" s="3">
        <v>0.460343090313522</v>
      </c>
    </row>
    <row r="623" spans="1:35">
      <c r="A623" s="1">
        <v>42223</v>
      </c>
      <c r="B623" s="1">
        <v>37433</v>
      </c>
      <c r="C623" t="s">
        <v>5060</v>
      </c>
      <c r="D623">
        <v>371</v>
      </c>
      <c r="E623">
        <v>13326</v>
      </c>
      <c r="F623">
        <v>4</v>
      </c>
      <c r="G623">
        <v>1</v>
      </c>
      <c r="H623">
        <v>1</v>
      </c>
      <c r="I623">
        <v>2</v>
      </c>
      <c r="J623" t="s">
        <v>3553</v>
      </c>
      <c r="K623" t="s">
        <v>3554</v>
      </c>
      <c r="L623" s="2">
        <v>1320.6838</v>
      </c>
      <c r="M623" s="2">
        <v>2181.5625</v>
      </c>
      <c r="N623" t="s">
        <v>13</v>
      </c>
      <c r="O623" t="s">
        <v>1500</v>
      </c>
      <c r="P623" t="s">
        <v>209</v>
      </c>
      <c r="Q623" t="s">
        <v>6952</v>
      </c>
      <c r="R623" s="1">
        <v>14108</v>
      </c>
      <c r="S623" t="s">
        <v>16</v>
      </c>
      <c r="T623" t="s">
        <v>16</v>
      </c>
      <c r="U623" t="s">
        <v>1501</v>
      </c>
      <c r="V623">
        <v>130000</v>
      </c>
      <c r="W623">
        <v>2</v>
      </c>
      <c r="X623" t="s">
        <v>17</v>
      </c>
      <c r="Y623" t="s">
        <v>45</v>
      </c>
      <c r="Z623" t="s">
        <v>23</v>
      </c>
      <c r="AA623" t="s">
        <v>3580</v>
      </c>
      <c r="AB623" t="s">
        <v>3578</v>
      </c>
      <c r="AC623" t="s">
        <v>3579</v>
      </c>
      <c r="AD623" t="s">
        <v>3479</v>
      </c>
      <c r="AE623" t="s">
        <v>3475</v>
      </c>
      <c r="AF623" s="2">
        <v>2181.5625</v>
      </c>
      <c r="AG623" s="2">
        <v>1320.6838</v>
      </c>
      <c r="AH623" s="2">
        <v>860.87869999999998</v>
      </c>
      <c r="AI623" s="3">
        <v>0.39461564818793898</v>
      </c>
    </row>
    <row r="624" spans="1:35">
      <c r="A624" s="1">
        <v>42223</v>
      </c>
      <c r="B624" s="1">
        <v>37400</v>
      </c>
      <c r="C624" t="s">
        <v>5062</v>
      </c>
      <c r="D624">
        <v>352</v>
      </c>
      <c r="E624">
        <v>12677</v>
      </c>
      <c r="F624">
        <v>9</v>
      </c>
      <c r="G624">
        <v>1</v>
      </c>
      <c r="H624">
        <v>1</v>
      </c>
      <c r="I624">
        <v>1</v>
      </c>
      <c r="J624" t="s">
        <v>3535</v>
      </c>
      <c r="K624" t="s">
        <v>3536</v>
      </c>
      <c r="L624" s="2">
        <v>1117.8559</v>
      </c>
      <c r="M624" s="2">
        <v>2071.4196000000002</v>
      </c>
      <c r="N624" t="s">
        <v>13</v>
      </c>
      <c r="O624" t="s">
        <v>191</v>
      </c>
      <c r="P624" t="s">
        <v>210</v>
      </c>
      <c r="Q624" t="s">
        <v>6953</v>
      </c>
      <c r="R624" s="1">
        <v>27338</v>
      </c>
      <c r="S624" t="s">
        <v>16</v>
      </c>
      <c r="T624" t="s">
        <v>16</v>
      </c>
      <c r="U624" t="s">
        <v>1233</v>
      </c>
      <c r="V624">
        <v>100000</v>
      </c>
      <c r="W624">
        <v>0</v>
      </c>
      <c r="X624" t="s">
        <v>57</v>
      </c>
      <c r="Y624" t="s">
        <v>45</v>
      </c>
      <c r="Z624" t="s">
        <v>19</v>
      </c>
      <c r="AA624" t="s">
        <v>3586</v>
      </c>
      <c r="AB624" t="s">
        <v>3586</v>
      </c>
      <c r="AC624" t="s">
        <v>3587</v>
      </c>
      <c r="AD624" t="s">
        <v>3478</v>
      </c>
      <c r="AE624" t="s">
        <v>3475</v>
      </c>
      <c r="AF624" s="2">
        <v>2071.4196000000002</v>
      </c>
      <c r="AG624" s="2">
        <v>1117.8559</v>
      </c>
      <c r="AH624" s="2">
        <v>953.56370000000004</v>
      </c>
      <c r="AI624" s="3">
        <v>0.460343090313522</v>
      </c>
    </row>
    <row r="625" spans="1:35">
      <c r="A625" s="1">
        <v>42223</v>
      </c>
      <c r="B625" s="1">
        <v>37420</v>
      </c>
      <c r="C625" t="s">
        <v>5064</v>
      </c>
      <c r="D625">
        <v>371</v>
      </c>
      <c r="E625">
        <v>13362</v>
      </c>
      <c r="F625">
        <v>4</v>
      </c>
      <c r="G625">
        <v>1</v>
      </c>
      <c r="H625">
        <v>1</v>
      </c>
      <c r="I625">
        <v>2</v>
      </c>
      <c r="J625" t="s">
        <v>3553</v>
      </c>
      <c r="K625" t="s">
        <v>3554</v>
      </c>
      <c r="L625" s="2">
        <v>1320.6838</v>
      </c>
      <c r="M625" s="2">
        <v>2181.5625</v>
      </c>
      <c r="N625" t="s">
        <v>30</v>
      </c>
      <c r="O625" t="s">
        <v>65</v>
      </c>
      <c r="P625" t="s">
        <v>252</v>
      </c>
      <c r="Q625" t="s">
        <v>6954</v>
      </c>
      <c r="R625" s="1">
        <v>16845</v>
      </c>
      <c r="S625" t="s">
        <v>22</v>
      </c>
      <c r="T625" t="s">
        <v>29</v>
      </c>
      <c r="U625" t="s">
        <v>1514</v>
      </c>
      <c r="V625">
        <v>60000</v>
      </c>
      <c r="W625">
        <v>5</v>
      </c>
      <c r="X625" t="s">
        <v>17</v>
      </c>
      <c r="Y625" t="s">
        <v>45</v>
      </c>
      <c r="Z625" t="s">
        <v>19</v>
      </c>
      <c r="AA625" t="s">
        <v>3580</v>
      </c>
      <c r="AB625" t="s">
        <v>3578</v>
      </c>
      <c r="AC625" t="s">
        <v>3579</v>
      </c>
      <c r="AD625" t="s">
        <v>3479</v>
      </c>
      <c r="AE625" t="s">
        <v>3475</v>
      </c>
      <c r="AF625" s="2">
        <v>2181.5625</v>
      </c>
      <c r="AG625" s="2">
        <v>1320.6838</v>
      </c>
      <c r="AH625" s="2">
        <v>860.87869999999998</v>
      </c>
      <c r="AI625" s="3">
        <v>0.39461564818793898</v>
      </c>
    </row>
    <row r="626" spans="1:35">
      <c r="A626" s="1">
        <v>42223</v>
      </c>
      <c r="B626" s="1">
        <v>37416</v>
      </c>
      <c r="C626" t="s">
        <v>5068</v>
      </c>
      <c r="D626">
        <v>375</v>
      </c>
      <c r="E626">
        <v>13325</v>
      </c>
      <c r="F626">
        <v>4</v>
      </c>
      <c r="G626">
        <v>1</v>
      </c>
      <c r="H626">
        <v>1</v>
      </c>
      <c r="I626">
        <v>2</v>
      </c>
      <c r="J626" t="s">
        <v>3557</v>
      </c>
      <c r="K626" t="s">
        <v>3558</v>
      </c>
      <c r="L626" s="2">
        <v>1320.6838</v>
      </c>
      <c r="M626" s="2">
        <v>2181.5625</v>
      </c>
      <c r="N626" t="s">
        <v>13</v>
      </c>
      <c r="O626" t="s">
        <v>249</v>
      </c>
      <c r="P626" t="s">
        <v>240</v>
      </c>
      <c r="Q626" t="s">
        <v>6955</v>
      </c>
      <c r="R626" s="1">
        <v>13884</v>
      </c>
      <c r="S626" t="s">
        <v>16</v>
      </c>
      <c r="T626" t="s">
        <v>16</v>
      </c>
      <c r="U626" t="s">
        <v>1499</v>
      </c>
      <c r="V626">
        <v>90000</v>
      </c>
      <c r="W626">
        <v>5</v>
      </c>
      <c r="X626" t="s">
        <v>17</v>
      </c>
      <c r="Y626" t="s">
        <v>45</v>
      </c>
      <c r="Z626" t="s">
        <v>23</v>
      </c>
      <c r="AA626" t="s">
        <v>3580</v>
      </c>
      <c r="AB626" t="s">
        <v>3578</v>
      </c>
      <c r="AC626" t="s">
        <v>3579</v>
      </c>
      <c r="AD626" t="s">
        <v>3479</v>
      </c>
      <c r="AE626" t="s">
        <v>3475</v>
      </c>
      <c r="AF626" s="2">
        <v>2181.5625</v>
      </c>
      <c r="AG626" s="2">
        <v>1320.6838</v>
      </c>
      <c r="AH626" s="2">
        <v>860.87869999999998</v>
      </c>
      <c r="AI626" s="3">
        <v>0.39461564818793898</v>
      </c>
    </row>
    <row r="627" spans="1:35">
      <c r="A627" s="1">
        <v>42223</v>
      </c>
      <c r="B627" s="1">
        <v>37403</v>
      </c>
      <c r="C627" t="s">
        <v>5069</v>
      </c>
      <c r="D627">
        <v>371</v>
      </c>
      <c r="E627">
        <v>13384</v>
      </c>
      <c r="F627">
        <v>1</v>
      </c>
      <c r="G627">
        <v>1</v>
      </c>
      <c r="H627">
        <v>1</v>
      </c>
      <c r="I627">
        <v>2</v>
      </c>
      <c r="J627" t="s">
        <v>3553</v>
      </c>
      <c r="K627" t="s">
        <v>3554</v>
      </c>
      <c r="L627" s="2">
        <v>1320.6838</v>
      </c>
      <c r="M627" s="2">
        <v>2181.5625</v>
      </c>
      <c r="N627" t="s">
        <v>13</v>
      </c>
      <c r="O627" t="s">
        <v>503</v>
      </c>
      <c r="P627" t="s">
        <v>809</v>
      </c>
      <c r="Q627" t="s">
        <v>6956</v>
      </c>
      <c r="R627" s="1">
        <v>18561</v>
      </c>
      <c r="S627" t="s">
        <v>22</v>
      </c>
      <c r="T627" t="s">
        <v>16</v>
      </c>
      <c r="U627" t="s">
        <v>1520</v>
      </c>
      <c r="V627">
        <v>60000</v>
      </c>
      <c r="W627">
        <v>2</v>
      </c>
      <c r="X627" t="s">
        <v>52</v>
      </c>
      <c r="Y627" t="s">
        <v>18</v>
      </c>
      <c r="Z627" t="s">
        <v>19</v>
      </c>
      <c r="AA627" t="s">
        <v>3577</v>
      </c>
      <c r="AB627" t="s">
        <v>3578</v>
      </c>
      <c r="AC627" t="s">
        <v>3579</v>
      </c>
      <c r="AD627" t="s">
        <v>3479</v>
      </c>
      <c r="AE627" t="s">
        <v>3475</v>
      </c>
      <c r="AF627" s="2">
        <v>2181.5625</v>
      </c>
      <c r="AG627" s="2">
        <v>1320.6838</v>
      </c>
      <c r="AH627" s="2">
        <v>860.87869999999998</v>
      </c>
      <c r="AI627" s="3">
        <v>0.39461564818793898</v>
      </c>
    </row>
    <row r="628" spans="1:35">
      <c r="A628" s="1">
        <v>42224</v>
      </c>
      <c r="B628" s="1">
        <v>37361</v>
      </c>
      <c r="C628" t="s">
        <v>5070</v>
      </c>
      <c r="D628">
        <v>371</v>
      </c>
      <c r="E628">
        <v>13243</v>
      </c>
      <c r="F628">
        <v>1</v>
      </c>
      <c r="G628">
        <v>1</v>
      </c>
      <c r="H628">
        <v>1</v>
      </c>
      <c r="I628">
        <v>2</v>
      </c>
      <c r="J628" t="s">
        <v>3553</v>
      </c>
      <c r="K628" t="s">
        <v>3554</v>
      </c>
      <c r="L628" s="2">
        <v>1320.6838</v>
      </c>
      <c r="M628" s="2">
        <v>2181.5625</v>
      </c>
      <c r="N628" t="s">
        <v>30</v>
      </c>
      <c r="O628" t="s">
        <v>174</v>
      </c>
      <c r="P628" t="s">
        <v>255</v>
      </c>
      <c r="Q628" t="s">
        <v>6957</v>
      </c>
      <c r="R628" s="1">
        <v>18945</v>
      </c>
      <c r="S628" t="s">
        <v>22</v>
      </c>
      <c r="T628" t="s">
        <v>29</v>
      </c>
      <c r="U628" t="s">
        <v>1470</v>
      </c>
      <c r="V628">
        <v>70000</v>
      </c>
      <c r="W628">
        <v>2</v>
      </c>
      <c r="X628" t="s">
        <v>57</v>
      </c>
      <c r="Y628" t="s">
        <v>18</v>
      </c>
      <c r="Z628" t="s">
        <v>19</v>
      </c>
      <c r="AA628" t="s">
        <v>3577</v>
      </c>
      <c r="AB628" t="s">
        <v>3578</v>
      </c>
      <c r="AC628" t="s">
        <v>3579</v>
      </c>
      <c r="AD628" t="s">
        <v>3479</v>
      </c>
      <c r="AE628" t="s">
        <v>3475</v>
      </c>
      <c r="AF628" s="2">
        <v>2181.5625</v>
      </c>
      <c r="AG628" s="2">
        <v>1320.6838</v>
      </c>
      <c r="AH628" s="2">
        <v>860.87869999999998</v>
      </c>
      <c r="AI628" s="3">
        <v>0.39461564818793898</v>
      </c>
    </row>
    <row r="629" spans="1:35">
      <c r="A629" s="1">
        <v>42224</v>
      </c>
      <c r="B629" s="1">
        <v>37436</v>
      </c>
      <c r="C629" t="s">
        <v>5071</v>
      </c>
      <c r="D629">
        <v>379</v>
      </c>
      <c r="E629">
        <v>13357</v>
      </c>
      <c r="F629">
        <v>4</v>
      </c>
      <c r="G629">
        <v>1</v>
      </c>
      <c r="H629">
        <v>1</v>
      </c>
      <c r="I629">
        <v>2</v>
      </c>
      <c r="J629" t="s">
        <v>3561</v>
      </c>
      <c r="K629" t="s">
        <v>3562</v>
      </c>
      <c r="L629" s="2">
        <v>1320.6838</v>
      </c>
      <c r="M629" s="2">
        <v>2181.5625</v>
      </c>
      <c r="N629" t="s">
        <v>13</v>
      </c>
      <c r="O629" t="s">
        <v>165</v>
      </c>
      <c r="P629" t="s">
        <v>422</v>
      </c>
      <c r="Q629" t="s">
        <v>6958</v>
      </c>
      <c r="R629" s="1">
        <v>16707</v>
      </c>
      <c r="S629" t="s">
        <v>22</v>
      </c>
      <c r="T629" t="s">
        <v>16</v>
      </c>
      <c r="U629" t="s">
        <v>1511</v>
      </c>
      <c r="V629">
        <v>60000</v>
      </c>
      <c r="W629">
        <v>4</v>
      </c>
      <c r="X629" t="s">
        <v>17</v>
      </c>
      <c r="Y629" t="s">
        <v>45</v>
      </c>
      <c r="Z629" t="s">
        <v>19</v>
      </c>
      <c r="AA629" t="s">
        <v>3580</v>
      </c>
      <c r="AB629" t="s">
        <v>3578</v>
      </c>
      <c r="AC629" t="s">
        <v>3579</v>
      </c>
      <c r="AD629" t="s">
        <v>3479</v>
      </c>
      <c r="AE629" t="s">
        <v>3475</v>
      </c>
      <c r="AF629" s="2">
        <v>2181.5625</v>
      </c>
      <c r="AG629" s="2">
        <v>1320.6838</v>
      </c>
      <c r="AH629" s="2">
        <v>860.87869999999998</v>
      </c>
      <c r="AI629" s="3">
        <v>0.39461564818793898</v>
      </c>
    </row>
    <row r="630" spans="1:35">
      <c r="A630" s="1">
        <v>42224</v>
      </c>
      <c r="B630" s="1">
        <v>37377</v>
      </c>
      <c r="C630" t="s">
        <v>5073</v>
      </c>
      <c r="D630">
        <v>375</v>
      </c>
      <c r="E630">
        <v>13283</v>
      </c>
      <c r="F630">
        <v>1</v>
      </c>
      <c r="G630">
        <v>1</v>
      </c>
      <c r="H630">
        <v>1</v>
      </c>
      <c r="I630">
        <v>2</v>
      </c>
      <c r="J630" t="s">
        <v>3557</v>
      </c>
      <c r="K630" t="s">
        <v>3558</v>
      </c>
      <c r="L630" s="2">
        <v>1320.6838</v>
      </c>
      <c r="M630" s="2">
        <v>2181.5625</v>
      </c>
      <c r="N630" t="s">
        <v>13</v>
      </c>
      <c r="O630" t="s">
        <v>611</v>
      </c>
      <c r="P630" t="s">
        <v>246</v>
      </c>
      <c r="Q630" t="s">
        <v>6959</v>
      </c>
      <c r="R630" s="1">
        <v>20809</v>
      </c>
      <c r="S630" t="s">
        <v>16</v>
      </c>
      <c r="T630" t="s">
        <v>16</v>
      </c>
      <c r="U630" t="s">
        <v>1484</v>
      </c>
      <c r="V630">
        <v>80000</v>
      </c>
      <c r="W630">
        <v>3</v>
      </c>
      <c r="X630" t="s">
        <v>52</v>
      </c>
      <c r="Y630" t="s">
        <v>18</v>
      </c>
      <c r="Z630" t="s">
        <v>23</v>
      </c>
      <c r="AA630" t="s">
        <v>3577</v>
      </c>
      <c r="AB630" t="s">
        <v>3578</v>
      </c>
      <c r="AC630" t="s">
        <v>3579</v>
      </c>
      <c r="AD630" t="s">
        <v>3479</v>
      </c>
      <c r="AE630" t="s">
        <v>3475</v>
      </c>
      <c r="AF630" s="2">
        <v>2181.5625</v>
      </c>
      <c r="AG630" s="2">
        <v>1320.6838</v>
      </c>
      <c r="AH630" s="2">
        <v>860.87869999999998</v>
      </c>
      <c r="AI630" s="3">
        <v>0.39461564818793898</v>
      </c>
    </row>
    <row r="631" spans="1:35">
      <c r="A631" s="1">
        <v>42224</v>
      </c>
      <c r="B631" s="1">
        <v>37403</v>
      </c>
      <c r="C631" t="s">
        <v>5077</v>
      </c>
      <c r="D631">
        <v>371</v>
      </c>
      <c r="E631">
        <v>13348</v>
      </c>
      <c r="F631">
        <v>4</v>
      </c>
      <c r="G631">
        <v>1</v>
      </c>
      <c r="H631">
        <v>1</v>
      </c>
      <c r="I631">
        <v>2</v>
      </c>
      <c r="J631" t="s">
        <v>3553</v>
      </c>
      <c r="K631" t="s">
        <v>3554</v>
      </c>
      <c r="L631" s="2">
        <v>1320.6838</v>
      </c>
      <c r="M631" s="2">
        <v>2181.5625</v>
      </c>
      <c r="N631" t="s">
        <v>13</v>
      </c>
      <c r="O631" t="s">
        <v>141</v>
      </c>
      <c r="P631" t="s">
        <v>51</v>
      </c>
      <c r="Q631" t="s">
        <v>6960</v>
      </c>
      <c r="R631" s="1">
        <v>15756</v>
      </c>
      <c r="S631" t="s">
        <v>16</v>
      </c>
      <c r="T631" t="s">
        <v>16</v>
      </c>
      <c r="U631" t="s">
        <v>1505</v>
      </c>
      <c r="V631">
        <v>130000</v>
      </c>
      <c r="W631">
        <v>2</v>
      </c>
      <c r="X631" t="s">
        <v>17</v>
      </c>
      <c r="Y631" t="s">
        <v>45</v>
      </c>
      <c r="Z631" t="s">
        <v>19</v>
      </c>
      <c r="AA631" t="s">
        <v>3580</v>
      </c>
      <c r="AB631" t="s">
        <v>3578</v>
      </c>
      <c r="AC631" t="s">
        <v>3579</v>
      </c>
      <c r="AD631" t="s">
        <v>3479</v>
      </c>
      <c r="AE631" t="s">
        <v>3475</v>
      </c>
      <c r="AF631" s="2">
        <v>2181.5625</v>
      </c>
      <c r="AG631" s="2">
        <v>1320.6838</v>
      </c>
      <c r="AH631" s="2">
        <v>860.87869999999998</v>
      </c>
      <c r="AI631" s="3">
        <v>0.39461564818793898</v>
      </c>
    </row>
    <row r="632" spans="1:35">
      <c r="A632" s="1">
        <v>42225</v>
      </c>
      <c r="B632" s="1">
        <v>37446</v>
      </c>
      <c r="C632" t="s">
        <v>5080</v>
      </c>
      <c r="D632">
        <v>375</v>
      </c>
      <c r="E632">
        <v>13238</v>
      </c>
      <c r="F632">
        <v>4</v>
      </c>
      <c r="G632">
        <v>1</v>
      </c>
      <c r="H632">
        <v>1</v>
      </c>
      <c r="I632">
        <v>2</v>
      </c>
      <c r="J632" t="s">
        <v>3557</v>
      </c>
      <c r="K632" t="s">
        <v>3558</v>
      </c>
      <c r="L632" s="2">
        <v>1320.6838</v>
      </c>
      <c r="M632" s="2">
        <v>2181.5625</v>
      </c>
      <c r="N632" t="s">
        <v>13</v>
      </c>
      <c r="O632" t="s">
        <v>947</v>
      </c>
      <c r="P632" t="s">
        <v>273</v>
      </c>
      <c r="Q632" t="s">
        <v>6961</v>
      </c>
      <c r="R632" s="1">
        <v>17832</v>
      </c>
      <c r="S632" t="s">
        <v>16</v>
      </c>
      <c r="T632" t="s">
        <v>16</v>
      </c>
      <c r="U632" t="s">
        <v>1468</v>
      </c>
      <c r="V632">
        <v>70000</v>
      </c>
      <c r="W632">
        <v>4</v>
      </c>
      <c r="X632" t="s">
        <v>17</v>
      </c>
      <c r="Y632" t="s">
        <v>45</v>
      </c>
      <c r="Z632" t="s">
        <v>19</v>
      </c>
      <c r="AA632" t="s">
        <v>3580</v>
      </c>
      <c r="AB632" t="s">
        <v>3578</v>
      </c>
      <c r="AC632" t="s">
        <v>3579</v>
      </c>
      <c r="AD632" t="s">
        <v>3479</v>
      </c>
      <c r="AE632" t="s">
        <v>3475</v>
      </c>
      <c r="AF632" s="2">
        <v>2181.5625</v>
      </c>
      <c r="AG632" s="2">
        <v>1320.6838</v>
      </c>
      <c r="AH632" s="2">
        <v>860.87869999999998</v>
      </c>
      <c r="AI632" s="3">
        <v>0.39461564818793898</v>
      </c>
    </row>
    <row r="633" spans="1:35">
      <c r="A633" s="1">
        <v>42225</v>
      </c>
      <c r="B633" s="1">
        <v>37382</v>
      </c>
      <c r="C633" t="s">
        <v>5084</v>
      </c>
      <c r="D633">
        <v>362</v>
      </c>
      <c r="E633">
        <v>12684</v>
      </c>
      <c r="F633">
        <v>9</v>
      </c>
      <c r="G633">
        <v>1</v>
      </c>
      <c r="H633">
        <v>1</v>
      </c>
      <c r="I633">
        <v>1</v>
      </c>
      <c r="J633" t="s">
        <v>3545</v>
      </c>
      <c r="K633" t="s">
        <v>3546</v>
      </c>
      <c r="L633" s="2">
        <v>1105.81</v>
      </c>
      <c r="M633" s="2">
        <v>2049.0981999999999</v>
      </c>
      <c r="N633" t="s">
        <v>13</v>
      </c>
      <c r="O633" t="s">
        <v>235</v>
      </c>
      <c r="P633" t="s">
        <v>271</v>
      </c>
      <c r="Q633" t="s">
        <v>6962</v>
      </c>
      <c r="R633" s="1">
        <v>26807</v>
      </c>
      <c r="S633" t="s">
        <v>16</v>
      </c>
      <c r="T633" t="s">
        <v>16</v>
      </c>
      <c r="U633" t="s">
        <v>1237</v>
      </c>
      <c r="V633">
        <v>120000</v>
      </c>
      <c r="W633">
        <v>0</v>
      </c>
      <c r="X633" t="s">
        <v>77</v>
      </c>
      <c r="Y633" t="s">
        <v>18</v>
      </c>
      <c r="Z633" t="s">
        <v>19</v>
      </c>
      <c r="AA633" t="s">
        <v>3586</v>
      </c>
      <c r="AB633" t="s">
        <v>3586</v>
      </c>
      <c r="AC633" t="s">
        <v>3587</v>
      </c>
      <c r="AD633" t="s">
        <v>3478</v>
      </c>
      <c r="AE633" t="s">
        <v>3475</v>
      </c>
      <c r="AF633" s="2">
        <v>2049.0981999999999</v>
      </c>
      <c r="AG633" s="2">
        <v>1105.81</v>
      </c>
      <c r="AH633" s="2">
        <v>943.28819999999996</v>
      </c>
      <c r="AI633" s="3">
        <v>0.46034309141455498</v>
      </c>
    </row>
    <row r="634" spans="1:35">
      <c r="A634" s="1">
        <v>42226</v>
      </c>
      <c r="B634" s="1">
        <v>37460</v>
      </c>
      <c r="C634" t="s">
        <v>5087</v>
      </c>
      <c r="D634">
        <v>375</v>
      </c>
      <c r="E634">
        <v>13324</v>
      </c>
      <c r="F634">
        <v>4</v>
      </c>
      <c r="G634">
        <v>1</v>
      </c>
      <c r="H634">
        <v>1</v>
      </c>
      <c r="I634">
        <v>2</v>
      </c>
      <c r="J634" t="s">
        <v>3557</v>
      </c>
      <c r="K634" t="s">
        <v>3558</v>
      </c>
      <c r="L634" s="2">
        <v>1320.6838</v>
      </c>
      <c r="M634" s="2">
        <v>2181.5625</v>
      </c>
      <c r="N634" t="s">
        <v>30</v>
      </c>
      <c r="O634" t="s">
        <v>1496</v>
      </c>
      <c r="P634" t="s">
        <v>1497</v>
      </c>
      <c r="Q634" t="s">
        <v>6963</v>
      </c>
      <c r="R634" s="1">
        <v>13778</v>
      </c>
      <c r="S634" t="s">
        <v>16</v>
      </c>
      <c r="T634" t="s">
        <v>29</v>
      </c>
      <c r="U634" t="s">
        <v>1498</v>
      </c>
      <c r="V634">
        <v>130000</v>
      </c>
      <c r="W634">
        <v>2</v>
      </c>
      <c r="X634" t="s">
        <v>17</v>
      </c>
      <c r="Y634" t="s">
        <v>45</v>
      </c>
      <c r="Z634" t="s">
        <v>19</v>
      </c>
      <c r="AA634" t="s">
        <v>3580</v>
      </c>
      <c r="AB634" t="s">
        <v>3578</v>
      </c>
      <c r="AC634" t="s">
        <v>3579</v>
      </c>
      <c r="AD634" t="s">
        <v>3479</v>
      </c>
      <c r="AE634" t="s">
        <v>3475</v>
      </c>
      <c r="AF634" s="2">
        <v>2181.5625</v>
      </c>
      <c r="AG634" s="2">
        <v>1320.6838</v>
      </c>
      <c r="AH634" s="2">
        <v>860.87869999999998</v>
      </c>
      <c r="AI634" s="3">
        <v>0.39461564818793898</v>
      </c>
    </row>
    <row r="635" spans="1:35">
      <c r="A635" s="1">
        <v>42226</v>
      </c>
      <c r="B635" s="1">
        <v>37367</v>
      </c>
      <c r="C635" t="s">
        <v>5088</v>
      </c>
      <c r="D635">
        <v>360</v>
      </c>
      <c r="E635">
        <v>12669</v>
      </c>
      <c r="F635">
        <v>9</v>
      </c>
      <c r="G635">
        <v>1</v>
      </c>
      <c r="H635">
        <v>1</v>
      </c>
      <c r="I635">
        <v>1</v>
      </c>
      <c r="J635" t="s">
        <v>3543</v>
      </c>
      <c r="K635" t="s">
        <v>3544</v>
      </c>
      <c r="L635" s="2">
        <v>1105.81</v>
      </c>
      <c r="M635" s="2">
        <v>2049.0981999999999</v>
      </c>
      <c r="N635" t="s">
        <v>13</v>
      </c>
      <c r="O635" t="s">
        <v>1225</v>
      </c>
      <c r="P635" t="s">
        <v>501</v>
      </c>
      <c r="Q635" t="s">
        <v>6964</v>
      </c>
      <c r="R635" s="1">
        <v>27823</v>
      </c>
      <c r="S635" t="s">
        <v>22</v>
      </c>
      <c r="T635" t="s">
        <v>16</v>
      </c>
      <c r="U635" t="s">
        <v>1226</v>
      </c>
      <c r="V635">
        <v>70000</v>
      </c>
      <c r="W635">
        <v>0</v>
      </c>
      <c r="X635" t="s">
        <v>17</v>
      </c>
      <c r="Y635" t="s">
        <v>18</v>
      </c>
      <c r="Z635" t="s">
        <v>23</v>
      </c>
      <c r="AA635" t="s">
        <v>3586</v>
      </c>
      <c r="AB635" t="s">
        <v>3586</v>
      </c>
      <c r="AC635" t="s">
        <v>3587</v>
      </c>
      <c r="AD635" t="s">
        <v>3478</v>
      </c>
      <c r="AE635" t="s">
        <v>3475</v>
      </c>
      <c r="AF635" s="2">
        <v>2049.0981999999999</v>
      </c>
      <c r="AG635" s="2">
        <v>1105.81</v>
      </c>
      <c r="AH635" s="2">
        <v>943.28819999999996</v>
      </c>
      <c r="AI635" s="3">
        <v>0.46034309141455498</v>
      </c>
    </row>
    <row r="636" spans="1:35">
      <c r="A636" s="1">
        <v>42228</v>
      </c>
      <c r="B636" s="1">
        <v>37459</v>
      </c>
      <c r="C636" t="s">
        <v>5095</v>
      </c>
      <c r="D636">
        <v>362</v>
      </c>
      <c r="E636">
        <v>12671</v>
      </c>
      <c r="F636">
        <v>9</v>
      </c>
      <c r="G636">
        <v>1</v>
      </c>
      <c r="H636">
        <v>1</v>
      </c>
      <c r="I636">
        <v>1</v>
      </c>
      <c r="J636" t="s">
        <v>3545</v>
      </c>
      <c r="K636" t="s">
        <v>3546</v>
      </c>
      <c r="L636" s="2">
        <v>1105.81</v>
      </c>
      <c r="M636" s="2">
        <v>2049.0981999999999</v>
      </c>
      <c r="N636" t="s">
        <v>13</v>
      </c>
      <c r="O636" t="s">
        <v>121</v>
      </c>
      <c r="P636" t="s">
        <v>21</v>
      </c>
      <c r="Q636" t="s">
        <v>6965</v>
      </c>
      <c r="R636" s="1">
        <v>27071</v>
      </c>
      <c r="S636" t="s">
        <v>22</v>
      </c>
      <c r="T636" t="s">
        <v>16</v>
      </c>
      <c r="U636" t="s">
        <v>1228</v>
      </c>
      <c r="V636">
        <v>70000</v>
      </c>
      <c r="W636">
        <v>0</v>
      </c>
      <c r="X636" t="s">
        <v>17</v>
      </c>
      <c r="Y636" t="s">
        <v>18</v>
      </c>
      <c r="Z636" t="s">
        <v>23</v>
      </c>
      <c r="AA636" t="s">
        <v>3586</v>
      </c>
      <c r="AB636" t="s">
        <v>3586</v>
      </c>
      <c r="AC636" t="s">
        <v>3587</v>
      </c>
      <c r="AD636" t="s">
        <v>3478</v>
      </c>
      <c r="AE636" t="s">
        <v>3475</v>
      </c>
      <c r="AF636" s="2">
        <v>2049.0981999999999</v>
      </c>
      <c r="AG636" s="2">
        <v>1105.81</v>
      </c>
      <c r="AH636" s="2">
        <v>943.28819999999996</v>
      </c>
      <c r="AI636" s="3">
        <v>0.46034309141455498</v>
      </c>
    </row>
    <row r="637" spans="1:35">
      <c r="A637" s="1">
        <v>42229</v>
      </c>
      <c r="B637" s="1">
        <v>37363</v>
      </c>
      <c r="C637" t="s">
        <v>5104</v>
      </c>
      <c r="D637">
        <v>354</v>
      </c>
      <c r="E637">
        <v>12584</v>
      </c>
      <c r="F637">
        <v>9</v>
      </c>
      <c r="G637">
        <v>1</v>
      </c>
      <c r="H637">
        <v>1</v>
      </c>
      <c r="I637">
        <v>1</v>
      </c>
      <c r="J637" t="s">
        <v>3537</v>
      </c>
      <c r="K637" t="s">
        <v>3538</v>
      </c>
      <c r="L637" s="2">
        <v>1117.8559</v>
      </c>
      <c r="M637" s="2">
        <v>2071.4196000000002</v>
      </c>
      <c r="N637" t="s">
        <v>30</v>
      </c>
      <c r="O637" t="s">
        <v>469</v>
      </c>
      <c r="P637" t="s">
        <v>192</v>
      </c>
      <c r="Q637" t="s">
        <v>6966</v>
      </c>
      <c r="R637" s="1">
        <v>27945</v>
      </c>
      <c r="S637" t="s">
        <v>22</v>
      </c>
      <c r="T637" t="s">
        <v>29</v>
      </c>
      <c r="U637" t="s">
        <v>1200</v>
      </c>
      <c r="V637">
        <v>10000</v>
      </c>
      <c r="W637">
        <v>1</v>
      </c>
      <c r="X637" t="s">
        <v>57</v>
      </c>
      <c r="Y637" t="s">
        <v>444</v>
      </c>
      <c r="Z637" t="s">
        <v>23</v>
      </c>
      <c r="AA637" t="s">
        <v>3586</v>
      </c>
      <c r="AB637" t="s">
        <v>3586</v>
      </c>
      <c r="AC637" t="s">
        <v>3587</v>
      </c>
      <c r="AD637" t="s">
        <v>3478</v>
      </c>
      <c r="AE637" t="s">
        <v>3475</v>
      </c>
      <c r="AF637" s="2">
        <v>2071.4196000000002</v>
      </c>
      <c r="AG637" s="2">
        <v>1117.8559</v>
      </c>
      <c r="AH637" s="2">
        <v>953.56370000000004</v>
      </c>
      <c r="AI637" s="3">
        <v>0.460343090313522</v>
      </c>
    </row>
    <row r="638" spans="1:35">
      <c r="A638" s="1">
        <v>42229</v>
      </c>
      <c r="B638" s="1">
        <v>37395</v>
      </c>
      <c r="C638" t="s">
        <v>5108</v>
      </c>
      <c r="D638">
        <v>377</v>
      </c>
      <c r="E638">
        <v>13286</v>
      </c>
      <c r="F638">
        <v>1</v>
      </c>
      <c r="G638">
        <v>1</v>
      </c>
      <c r="H638">
        <v>1</v>
      </c>
      <c r="I638">
        <v>2</v>
      </c>
      <c r="J638" t="s">
        <v>3559</v>
      </c>
      <c r="K638" t="s">
        <v>3560</v>
      </c>
      <c r="L638" s="2">
        <v>1320.6838</v>
      </c>
      <c r="M638" s="2">
        <v>2181.5625</v>
      </c>
      <c r="N638" t="s">
        <v>26</v>
      </c>
      <c r="O638" t="s">
        <v>278</v>
      </c>
      <c r="P638" t="s">
        <v>293</v>
      </c>
      <c r="Q638" t="s">
        <v>6967</v>
      </c>
      <c r="R638" s="1">
        <v>23294</v>
      </c>
      <c r="S638" t="s">
        <v>22</v>
      </c>
      <c r="T638" t="s">
        <v>29</v>
      </c>
      <c r="U638" t="s">
        <v>1485</v>
      </c>
      <c r="V638">
        <v>90000</v>
      </c>
      <c r="W638">
        <v>0</v>
      </c>
      <c r="X638" t="s">
        <v>52</v>
      </c>
      <c r="Y638" t="s">
        <v>18</v>
      </c>
      <c r="Z638" t="s">
        <v>23</v>
      </c>
      <c r="AA638" t="s">
        <v>3577</v>
      </c>
      <c r="AB638" t="s">
        <v>3578</v>
      </c>
      <c r="AC638" t="s">
        <v>3579</v>
      </c>
      <c r="AD638" t="s">
        <v>3479</v>
      </c>
      <c r="AE638" t="s">
        <v>3475</v>
      </c>
      <c r="AF638" s="2">
        <v>2181.5625</v>
      </c>
      <c r="AG638" s="2">
        <v>1320.6838</v>
      </c>
      <c r="AH638" s="2">
        <v>860.87869999999998</v>
      </c>
      <c r="AI638" s="3">
        <v>0.39461564818793898</v>
      </c>
    </row>
    <row r="639" spans="1:35">
      <c r="A639" s="1">
        <v>42229</v>
      </c>
      <c r="B639" s="1">
        <v>37409</v>
      </c>
      <c r="C639" t="s">
        <v>5109</v>
      </c>
      <c r="D639">
        <v>356</v>
      </c>
      <c r="E639">
        <v>12675</v>
      </c>
      <c r="F639">
        <v>9</v>
      </c>
      <c r="G639">
        <v>1</v>
      </c>
      <c r="H639">
        <v>1</v>
      </c>
      <c r="I639">
        <v>1</v>
      </c>
      <c r="J639" t="s">
        <v>3539</v>
      </c>
      <c r="K639" t="s">
        <v>3540</v>
      </c>
      <c r="L639" s="2">
        <v>1117.8559</v>
      </c>
      <c r="M639" s="2">
        <v>2071.4196000000002</v>
      </c>
      <c r="N639" t="s">
        <v>26</v>
      </c>
      <c r="O639" t="s">
        <v>1009</v>
      </c>
      <c r="P639" t="s">
        <v>209</v>
      </c>
      <c r="Q639" t="s">
        <v>6968</v>
      </c>
      <c r="R639" s="1">
        <v>26942</v>
      </c>
      <c r="S639" t="s">
        <v>22</v>
      </c>
      <c r="T639" t="s">
        <v>29</v>
      </c>
      <c r="U639" t="s">
        <v>1231</v>
      </c>
      <c r="V639">
        <v>80000</v>
      </c>
      <c r="W639">
        <v>0</v>
      </c>
      <c r="X639" t="s">
        <v>17</v>
      </c>
      <c r="Y639" t="s">
        <v>18</v>
      </c>
      <c r="Z639" t="s">
        <v>23</v>
      </c>
      <c r="AA639" t="s">
        <v>3586</v>
      </c>
      <c r="AB639" t="s">
        <v>3586</v>
      </c>
      <c r="AC639" t="s">
        <v>3587</v>
      </c>
      <c r="AD639" t="s">
        <v>3478</v>
      </c>
      <c r="AE639" t="s">
        <v>3475</v>
      </c>
      <c r="AF639" s="2">
        <v>2071.4196000000002</v>
      </c>
      <c r="AG639" s="2">
        <v>1117.8559</v>
      </c>
      <c r="AH639" s="2">
        <v>953.56370000000004</v>
      </c>
      <c r="AI639" s="3">
        <v>0.460343090313522</v>
      </c>
    </row>
    <row r="640" spans="1:35">
      <c r="A640" s="1">
        <v>42229</v>
      </c>
      <c r="B640" s="1">
        <v>37425</v>
      </c>
      <c r="C640" t="s">
        <v>5112</v>
      </c>
      <c r="D640">
        <v>375</v>
      </c>
      <c r="E640">
        <v>13419</v>
      </c>
      <c r="F640">
        <v>1</v>
      </c>
      <c r="G640">
        <v>1</v>
      </c>
      <c r="H640">
        <v>1</v>
      </c>
      <c r="I640">
        <v>2</v>
      </c>
      <c r="J640" t="s">
        <v>3557</v>
      </c>
      <c r="K640" t="s">
        <v>3558</v>
      </c>
      <c r="L640" s="2">
        <v>1320.6838</v>
      </c>
      <c r="M640" s="2">
        <v>2181.5625</v>
      </c>
      <c r="N640" t="s">
        <v>30</v>
      </c>
      <c r="O640" t="s">
        <v>43</v>
      </c>
      <c r="P640" t="s">
        <v>264</v>
      </c>
      <c r="Q640" t="s">
        <v>6969</v>
      </c>
      <c r="R640" s="1">
        <v>23916</v>
      </c>
      <c r="S640" t="s">
        <v>16</v>
      </c>
      <c r="T640" t="s">
        <v>29</v>
      </c>
      <c r="U640" t="s">
        <v>1527</v>
      </c>
      <c r="V640">
        <v>90000</v>
      </c>
      <c r="W640">
        <v>5</v>
      </c>
      <c r="X640" t="s">
        <v>52</v>
      </c>
      <c r="Y640" t="s">
        <v>18</v>
      </c>
      <c r="Z640" t="s">
        <v>19</v>
      </c>
      <c r="AA640" t="s">
        <v>3577</v>
      </c>
      <c r="AB640" t="s">
        <v>3578</v>
      </c>
      <c r="AC640" t="s">
        <v>3579</v>
      </c>
      <c r="AD640" t="s">
        <v>3479</v>
      </c>
      <c r="AE640" t="s">
        <v>3475</v>
      </c>
      <c r="AF640" s="2">
        <v>2181.5625</v>
      </c>
      <c r="AG640" s="2">
        <v>1320.6838</v>
      </c>
      <c r="AH640" s="2">
        <v>860.87869999999998</v>
      </c>
      <c r="AI640" s="3">
        <v>0.39461564818793898</v>
      </c>
    </row>
    <row r="641" spans="1:35">
      <c r="A641" s="1">
        <v>42229</v>
      </c>
      <c r="B641" s="1">
        <v>37414</v>
      </c>
      <c r="C641" t="s">
        <v>5114</v>
      </c>
      <c r="D641">
        <v>352</v>
      </c>
      <c r="E641">
        <v>12668</v>
      </c>
      <c r="F641">
        <v>9</v>
      </c>
      <c r="G641">
        <v>1</v>
      </c>
      <c r="H641">
        <v>1</v>
      </c>
      <c r="I641">
        <v>1</v>
      </c>
      <c r="J641" t="s">
        <v>3535</v>
      </c>
      <c r="K641" t="s">
        <v>3536</v>
      </c>
      <c r="L641" s="2">
        <v>1117.8559</v>
      </c>
      <c r="M641" s="2">
        <v>2071.4196000000002</v>
      </c>
      <c r="N641" t="s">
        <v>26</v>
      </c>
      <c r="O641" t="s">
        <v>244</v>
      </c>
      <c r="P641" t="s">
        <v>261</v>
      </c>
      <c r="Q641" t="s">
        <v>6970</v>
      </c>
      <c r="R641" s="1">
        <v>27876</v>
      </c>
      <c r="S641" t="s">
        <v>22</v>
      </c>
      <c r="T641" t="s">
        <v>29</v>
      </c>
      <c r="U641" t="s">
        <v>1224</v>
      </c>
      <c r="V641">
        <v>70000</v>
      </c>
      <c r="W641">
        <v>0</v>
      </c>
      <c r="X641" t="s">
        <v>17</v>
      </c>
      <c r="Y641" t="s">
        <v>18</v>
      </c>
      <c r="Z641" t="s">
        <v>19</v>
      </c>
      <c r="AA641" t="s">
        <v>3586</v>
      </c>
      <c r="AB641" t="s">
        <v>3586</v>
      </c>
      <c r="AC641" t="s">
        <v>3587</v>
      </c>
      <c r="AD641" t="s">
        <v>3478</v>
      </c>
      <c r="AE641" t="s">
        <v>3475</v>
      </c>
      <c r="AF641" s="2">
        <v>2071.4196000000002</v>
      </c>
      <c r="AG641" s="2">
        <v>1117.8559</v>
      </c>
      <c r="AH641" s="2">
        <v>953.56370000000004</v>
      </c>
      <c r="AI641" s="3">
        <v>0.460343090313522</v>
      </c>
    </row>
    <row r="642" spans="1:35">
      <c r="A642" s="1">
        <v>42230</v>
      </c>
      <c r="B642" s="1">
        <v>37443</v>
      </c>
      <c r="C642" t="s">
        <v>5116</v>
      </c>
      <c r="D642">
        <v>370</v>
      </c>
      <c r="E642">
        <v>13287</v>
      </c>
      <c r="F642">
        <v>4</v>
      </c>
      <c r="G642">
        <v>1</v>
      </c>
      <c r="H642">
        <v>1</v>
      </c>
      <c r="I642">
        <v>2</v>
      </c>
      <c r="J642" t="s">
        <v>3551</v>
      </c>
      <c r="K642" t="s">
        <v>3552</v>
      </c>
      <c r="L642" s="2">
        <v>1518.7864</v>
      </c>
      <c r="M642" s="2">
        <v>2443.35</v>
      </c>
      <c r="N642" t="s">
        <v>13</v>
      </c>
      <c r="O642" t="s">
        <v>989</v>
      </c>
      <c r="P642" t="s">
        <v>293</v>
      </c>
      <c r="Q642" t="s">
        <v>6971</v>
      </c>
      <c r="R642" s="1">
        <v>23257</v>
      </c>
      <c r="S642" t="s">
        <v>22</v>
      </c>
      <c r="T642" t="s">
        <v>16</v>
      </c>
      <c r="U642" t="s">
        <v>1486</v>
      </c>
      <c r="V642">
        <v>110000</v>
      </c>
      <c r="W642">
        <v>4</v>
      </c>
      <c r="X642" t="s">
        <v>17</v>
      </c>
      <c r="Y642" t="s">
        <v>45</v>
      </c>
      <c r="Z642" t="s">
        <v>19</v>
      </c>
      <c r="AA642" t="s">
        <v>3580</v>
      </c>
      <c r="AB642" t="s">
        <v>3578</v>
      </c>
      <c r="AC642" t="s">
        <v>3579</v>
      </c>
      <c r="AD642" t="s">
        <v>3479</v>
      </c>
      <c r="AE642" t="s">
        <v>3475</v>
      </c>
      <c r="AF642" s="2">
        <v>2443.35</v>
      </c>
      <c r="AG642" s="2">
        <v>1518.7864</v>
      </c>
      <c r="AH642" s="2">
        <v>924.56359999999995</v>
      </c>
      <c r="AI642" s="3">
        <v>0.37839998362903399</v>
      </c>
    </row>
    <row r="643" spans="1:35">
      <c r="A643" s="1">
        <v>42230</v>
      </c>
      <c r="B643" s="1">
        <v>37433</v>
      </c>
      <c r="C643" t="s">
        <v>5120</v>
      </c>
      <c r="D643">
        <v>368</v>
      </c>
      <c r="E643">
        <v>13329</v>
      </c>
      <c r="F643">
        <v>4</v>
      </c>
      <c r="G643">
        <v>1</v>
      </c>
      <c r="H643">
        <v>1</v>
      </c>
      <c r="I643">
        <v>2</v>
      </c>
      <c r="J643" t="s">
        <v>3547</v>
      </c>
      <c r="K643" t="s">
        <v>3548</v>
      </c>
      <c r="L643" s="2">
        <v>1518.7864</v>
      </c>
      <c r="M643" s="2">
        <v>2443.35</v>
      </c>
      <c r="N643" t="s">
        <v>13</v>
      </c>
      <c r="O643" t="s">
        <v>1089</v>
      </c>
      <c r="P643" t="s">
        <v>56</v>
      </c>
      <c r="Q643" t="s">
        <v>6972</v>
      </c>
      <c r="R643" s="1">
        <v>14309</v>
      </c>
      <c r="S643" t="s">
        <v>16</v>
      </c>
      <c r="T643" t="s">
        <v>16</v>
      </c>
      <c r="U643" t="s">
        <v>1502</v>
      </c>
      <c r="V643">
        <v>90000</v>
      </c>
      <c r="W643">
        <v>5</v>
      </c>
      <c r="X643" t="s">
        <v>17</v>
      </c>
      <c r="Y643" t="s">
        <v>45</v>
      </c>
      <c r="Z643" t="s">
        <v>19</v>
      </c>
      <c r="AA643" t="s">
        <v>3580</v>
      </c>
      <c r="AB643" t="s">
        <v>3578</v>
      </c>
      <c r="AC643" t="s">
        <v>3579</v>
      </c>
      <c r="AD643" t="s">
        <v>3479</v>
      </c>
      <c r="AE643" t="s">
        <v>3475</v>
      </c>
      <c r="AF643" s="2">
        <v>2443.35</v>
      </c>
      <c r="AG643" s="2">
        <v>1518.7864</v>
      </c>
      <c r="AH643" s="2">
        <v>924.56359999999995</v>
      </c>
      <c r="AI643" s="3">
        <v>0.37839998362903399</v>
      </c>
    </row>
    <row r="644" spans="1:35">
      <c r="A644" s="1">
        <v>42231</v>
      </c>
      <c r="B644" s="1">
        <v>37381</v>
      </c>
      <c r="C644" t="s">
        <v>5130</v>
      </c>
      <c r="D644">
        <v>371</v>
      </c>
      <c r="E644">
        <v>13355</v>
      </c>
      <c r="F644">
        <v>1</v>
      </c>
      <c r="G644">
        <v>1</v>
      </c>
      <c r="H644">
        <v>1</v>
      </c>
      <c r="I644">
        <v>2</v>
      </c>
      <c r="J644" t="s">
        <v>3553</v>
      </c>
      <c r="K644" t="s">
        <v>3554</v>
      </c>
      <c r="L644" s="2">
        <v>1320.6838</v>
      </c>
      <c r="M644" s="2">
        <v>2181.5625</v>
      </c>
      <c r="N644" t="s">
        <v>13</v>
      </c>
      <c r="O644" t="s">
        <v>393</v>
      </c>
      <c r="P644" t="s">
        <v>476</v>
      </c>
      <c r="Q644" t="s">
        <v>6973</v>
      </c>
      <c r="R644" s="1">
        <v>16339</v>
      </c>
      <c r="S644" t="s">
        <v>16</v>
      </c>
      <c r="T644" t="s">
        <v>16</v>
      </c>
      <c r="U644" t="s">
        <v>1510</v>
      </c>
      <c r="V644">
        <v>70000</v>
      </c>
      <c r="W644">
        <v>5</v>
      </c>
      <c r="X644" t="s">
        <v>17</v>
      </c>
      <c r="Y644" t="s">
        <v>45</v>
      </c>
      <c r="Z644" t="s">
        <v>19</v>
      </c>
      <c r="AA644" t="s">
        <v>3577</v>
      </c>
      <c r="AB644" t="s">
        <v>3578</v>
      </c>
      <c r="AC644" t="s">
        <v>3579</v>
      </c>
      <c r="AD644" t="s">
        <v>3479</v>
      </c>
      <c r="AE644" t="s">
        <v>3475</v>
      </c>
      <c r="AF644" s="2">
        <v>2181.5625</v>
      </c>
      <c r="AG644" s="2">
        <v>1320.6838</v>
      </c>
      <c r="AH644" s="2">
        <v>860.87869999999998</v>
      </c>
      <c r="AI644" s="3">
        <v>0.39461564818793898</v>
      </c>
    </row>
    <row r="645" spans="1:35">
      <c r="A645" s="1">
        <v>42231</v>
      </c>
      <c r="B645" s="1">
        <v>37412</v>
      </c>
      <c r="C645" t="s">
        <v>5134</v>
      </c>
      <c r="D645">
        <v>377</v>
      </c>
      <c r="E645">
        <v>13269</v>
      </c>
      <c r="F645">
        <v>1</v>
      </c>
      <c r="G645">
        <v>1</v>
      </c>
      <c r="H645">
        <v>1</v>
      </c>
      <c r="I645">
        <v>2</v>
      </c>
      <c r="J645" t="s">
        <v>3559</v>
      </c>
      <c r="K645" t="s">
        <v>3560</v>
      </c>
      <c r="L645" s="2">
        <v>1320.6838</v>
      </c>
      <c r="M645" s="2">
        <v>2181.5625</v>
      </c>
      <c r="N645" t="s">
        <v>30</v>
      </c>
      <c r="O645" t="s">
        <v>1218</v>
      </c>
      <c r="P645" t="s">
        <v>103</v>
      </c>
      <c r="Q645" t="s">
        <v>6974</v>
      </c>
      <c r="R645" s="1">
        <v>11756</v>
      </c>
      <c r="S645" t="s">
        <v>22</v>
      </c>
      <c r="T645" t="s">
        <v>29</v>
      </c>
      <c r="U645" t="s">
        <v>1476</v>
      </c>
      <c r="V645">
        <v>50000</v>
      </c>
      <c r="W645">
        <v>2</v>
      </c>
      <c r="X645" t="s">
        <v>135</v>
      </c>
      <c r="Y645" t="s">
        <v>45</v>
      </c>
      <c r="Z645" t="s">
        <v>23</v>
      </c>
      <c r="AA645" t="s">
        <v>3577</v>
      </c>
      <c r="AB645" t="s">
        <v>3578</v>
      </c>
      <c r="AC645" t="s">
        <v>3579</v>
      </c>
      <c r="AD645" t="s">
        <v>3479</v>
      </c>
      <c r="AE645" t="s">
        <v>3475</v>
      </c>
      <c r="AF645" s="2">
        <v>2181.5625</v>
      </c>
      <c r="AG645" s="2">
        <v>1320.6838</v>
      </c>
      <c r="AH645" s="2">
        <v>860.87869999999998</v>
      </c>
      <c r="AI645" s="3">
        <v>0.39461564818793898</v>
      </c>
    </row>
    <row r="646" spans="1:35">
      <c r="A646" s="1">
        <v>42231</v>
      </c>
      <c r="B646" s="1">
        <v>37419</v>
      </c>
      <c r="C646" t="s">
        <v>5135</v>
      </c>
      <c r="D646">
        <v>379</v>
      </c>
      <c r="E646">
        <v>13382</v>
      </c>
      <c r="F646">
        <v>4</v>
      </c>
      <c r="G646">
        <v>1</v>
      </c>
      <c r="H646">
        <v>1</v>
      </c>
      <c r="I646">
        <v>2</v>
      </c>
      <c r="J646" t="s">
        <v>3561</v>
      </c>
      <c r="K646" t="s">
        <v>3562</v>
      </c>
      <c r="L646" s="2">
        <v>1320.6838</v>
      </c>
      <c r="M646" s="2">
        <v>2181.5625</v>
      </c>
      <c r="N646" t="s">
        <v>13</v>
      </c>
      <c r="O646" t="s">
        <v>765</v>
      </c>
      <c r="P646" t="s">
        <v>572</v>
      </c>
      <c r="Q646" t="s">
        <v>6975</v>
      </c>
      <c r="R646" s="1">
        <v>17933</v>
      </c>
      <c r="S646" t="s">
        <v>16</v>
      </c>
      <c r="T646" t="s">
        <v>16</v>
      </c>
      <c r="U646" t="s">
        <v>1518</v>
      </c>
      <c r="V646">
        <v>70000</v>
      </c>
      <c r="W646">
        <v>5</v>
      </c>
      <c r="X646" t="s">
        <v>52</v>
      </c>
      <c r="Y646" t="s">
        <v>18</v>
      </c>
      <c r="Z646" t="s">
        <v>19</v>
      </c>
      <c r="AA646" t="s">
        <v>3580</v>
      </c>
      <c r="AB646" t="s">
        <v>3578</v>
      </c>
      <c r="AC646" t="s">
        <v>3579</v>
      </c>
      <c r="AD646" t="s">
        <v>3479</v>
      </c>
      <c r="AE646" t="s">
        <v>3475</v>
      </c>
      <c r="AF646" s="2">
        <v>2181.5625</v>
      </c>
      <c r="AG646" s="2">
        <v>1320.6838</v>
      </c>
      <c r="AH646" s="2">
        <v>860.87869999999998</v>
      </c>
      <c r="AI646" s="3">
        <v>0.39461564818793898</v>
      </c>
    </row>
    <row r="647" spans="1:35">
      <c r="A647" s="1">
        <v>42232</v>
      </c>
      <c r="B647" s="1">
        <v>37384</v>
      </c>
      <c r="C647" t="s">
        <v>5142</v>
      </c>
      <c r="D647">
        <v>373</v>
      </c>
      <c r="E647">
        <v>13247</v>
      </c>
      <c r="F647">
        <v>4</v>
      </c>
      <c r="G647">
        <v>1</v>
      </c>
      <c r="H647">
        <v>1</v>
      </c>
      <c r="I647">
        <v>2</v>
      </c>
      <c r="J647" t="s">
        <v>3555</v>
      </c>
      <c r="K647" t="s">
        <v>3556</v>
      </c>
      <c r="L647" s="2">
        <v>1320.6838</v>
      </c>
      <c r="M647" s="2">
        <v>2181.5625</v>
      </c>
      <c r="N647" t="s">
        <v>13</v>
      </c>
      <c r="O647" t="s">
        <v>433</v>
      </c>
      <c r="P647" t="s">
        <v>686</v>
      </c>
      <c r="Q647" t="s">
        <v>6976</v>
      </c>
      <c r="R647" s="1">
        <v>19128</v>
      </c>
      <c r="S647" t="s">
        <v>16</v>
      </c>
      <c r="T647" t="s">
        <v>16</v>
      </c>
      <c r="U647" t="s">
        <v>1472</v>
      </c>
      <c r="V647">
        <v>60000</v>
      </c>
      <c r="W647">
        <v>3</v>
      </c>
      <c r="X647" t="s">
        <v>57</v>
      </c>
      <c r="Y647" t="s">
        <v>18</v>
      </c>
      <c r="Z647" t="s">
        <v>19</v>
      </c>
      <c r="AA647" t="s">
        <v>3580</v>
      </c>
      <c r="AB647" t="s">
        <v>3578</v>
      </c>
      <c r="AC647" t="s">
        <v>3579</v>
      </c>
      <c r="AD647" t="s">
        <v>3479</v>
      </c>
      <c r="AE647" t="s">
        <v>3475</v>
      </c>
      <c r="AF647" s="2">
        <v>2181.5625</v>
      </c>
      <c r="AG647" s="2">
        <v>1320.6838</v>
      </c>
      <c r="AH647" s="2">
        <v>860.87869999999998</v>
      </c>
      <c r="AI647" s="3">
        <v>0.39461564818793898</v>
      </c>
    </row>
    <row r="648" spans="1:35">
      <c r="A648" s="1">
        <v>42233</v>
      </c>
      <c r="B648" s="1">
        <v>37411</v>
      </c>
      <c r="C648" t="s">
        <v>5143</v>
      </c>
      <c r="D648">
        <v>360</v>
      </c>
      <c r="E648">
        <v>12580</v>
      </c>
      <c r="F648">
        <v>9</v>
      </c>
      <c r="G648">
        <v>1</v>
      </c>
      <c r="H648">
        <v>1</v>
      </c>
      <c r="I648">
        <v>1</v>
      </c>
      <c r="J648" t="s">
        <v>3543</v>
      </c>
      <c r="K648" t="s">
        <v>3544</v>
      </c>
      <c r="L648" s="2">
        <v>1105.81</v>
      </c>
      <c r="M648" s="2">
        <v>2049.0981999999999</v>
      </c>
      <c r="N648" t="s">
        <v>13</v>
      </c>
      <c r="O648" t="s">
        <v>191</v>
      </c>
      <c r="P648" t="s">
        <v>450</v>
      </c>
      <c r="Q648" t="s">
        <v>6977</v>
      </c>
      <c r="R648" s="1">
        <v>28741</v>
      </c>
      <c r="S648" t="s">
        <v>22</v>
      </c>
      <c r="T648" t="s">
        <v>16</v>
      </c>
      <c r="U648" t="s">
        <v>1197</v>
      </c>
      <c r="V648">
        <v>10000</v>
      </c>
      <c r="W648">
        <v>0</v>
      </c>
      <c r="X648" t="s">
        <v>52</v>
      </c>
      <c r="Y648" t="s">
        <v>444</v>
      </c>
      <c r="Z648" t="s">
        <v>19</v>
      </c>
      <c r="AA648" t="s">
        <v>3586</v>
      </c>
      <c r="AB648" t="s">
        <v>3586</v>
      </c>
      <c r="AC648" t="s">
        <v>3587</v>
      </c>
      <c r="AD648" t="s">
        <v>3478</v>
      </c>
      <c r="AE648" t="s">
        <v>3475</v>
      </c>
      <c r="AF648" s="2">
        <v>2049.0981999999999</v>
      </c>
      <c r="AG648" s="2">
        <v>1105.81</v>
      </c>
      <c r="AH648" s="2">
        <v>943.28819999999996</v>
      </c>
      <c r="AI648" s="3">
        <v>0.46034309141455498</v>
      </c>
    </row>
    <row r="649" spans="1:35">
      <c r="A649" s="1">
        <v>42234</v>
      </c>
      <c r="B649" s="1">
        <v>37403</v>
      </c>
      <c r="C649" t="s">
        <v>5154</v>
      </c>
      <c r="D649">
        <v>362</v>
      </c>
      <c r="E649">
        <v>12577</v>
      </c>
      <c r="F649">
        <v>9</v>
      </c>
      <c r="G649">
        <v>1</v>
      </c>
      <c r="H649">
        <v>1</v>
      </c>
      <c r="I649">
        <v>1</v>
      </c>
      <c r="J649" t="s">
        <v>3545</v>
      </c>
      <c r="K649" t="s">
        <v>3546</v>
      </c>
      <c r="L649" s="2">
        <v>1105.81</v>
      </c>
      <c r="M649" s="2">
        <v>2049.0981999999999</v>
      </c>
      <c r="N649" t="s">
        <v>13</v>
      </c>
      <c r="O649" t="s">
        <v>582</v>
      </c>
      <c r="P649" t="s">
        <v>538</v>
      </c>
      <c r="Q649" t="s">
        <v>6978</v>
      </c>
      <c r="R649" s="1">
        <v>29087</v>
      </c>
      <c r="S649" t="s">
        <v>22</v>
      </c>
      <c r="T649" t="s">
        <v>16</v>
      </c>
      <c r="U649" t="s">
        <v>1193</v>
      </c>
      <c r="V649">
        <v>10000</v>
      </c>
      <c r="W649">
        <v>0</v>
      </c>
      <c r="X649" t="s">
        <v>52</v>
      </c>
      <c r="Y649" t="s">
        <v>444</v>
      </c>
      <c r="Z649" t="s">
        <v>19</v>
      </c>
      <c r="AA649" t="s">
        <v>3586</v>
      </c>
      <c r="AB649" t="s">
        <v>3586</v>
      </c>
      <c r="AC649" t="s">
        <v>3587</v>
      </c>
      <c r="AD649" t="s">
        <v>3478</v>
      </c>
      <c r="AE649" t="s">
        <v>3475</v>
      </c>
      <c r="AF649" s="2">
        <v>2049.0981999999999</v>
      </c>
      <c r="AG649" s="2">
        <v>1105.81</v>
      </c>
      <c r="AH649" s="2">
        <v>943.28819999999996</v>
      </c>
      <c r="AI649" s="3">
        <v>0.46034309141455498</v>
      </c>
    </row>
    <row r="650" spans="1:35">
      <c r="A650" s="1">
        <v>42233</v>
      </c>
      <c r="B650" s="1">
        <v>37376</v>
      </c>
      <c r="C650" t="s">
        <v>5147</v>
      </c>
      <c r="D650">
        <v>362</v>
      </c>
      <c r="E650">
        <v>12578</v>
      </c>
      <c r="F650">
        <v>9</v>
      </c>
      <c r="G650">
        <v>1</v>
      </c>
      <c r="H650">
        <v>1</v>
      </c>
      <c r="I650">
        <v>1</v>
      </c>
      <c r="J650" t="s">
        <v>3545</v>
      </c>
      <c r="K650" t="s">
        <v>3546</v>
      </c>
      <c r="L650" s="2">
        <v>1105.81</v>
      </c>
      <c r="M650" s="2">
        <v>2049.0981999999999</v>
      </c>
      <c r="N650" t="s">
        <v>13</v>
      </c>
      <c r="O650" t="s">
        <v>745</v>
      </c>
      <c r="P650" t="s">
        <v>329</v>
      </c>
      <c r="Q650" t="s">
        <v>6979</v>
      </c>
      <c r="R650" s="1">
        <v>29279</v>
      </c>
      <c r="S650" t="s">
        <v>22</v>
      </c>
      <c r="T650" t="s">
        <v>16</v>
      </c>
      <c r="U650" t="s">
        <v>1194</v>
      </c>
      <c r="V650">
        <v>10000</v>
      </c>
      <c r="W650">
        <v>0</v>
      </c>
      <c r="X650" t="s">
        <v>52</v>
      </c>
      <c r="Y650" t="s">
        <v>444</v>
      </c>
      <c r="Z650" t="s">
        <v>23</v>
      </c>
      <c r="AA650" t="s">
        <v>3586</v>
      </c>
      <c r="AB650" t="s">
        <v>3586</v>
      </c>
      <c r="AC650" t="s">
        <v>3587</v>
      </c>
      <c r="AD650" t="s">
        <v>3478</v>
      </c>
      <c r="AE650" t="s">
        <v>3475</v>
      </c>
      <c r="AF650" s="2">
        <v>2049.0981999999999</v>
      </c>
      <c r="AG650" s="2">
        <v>1105.81</v>
      </c>
      <c r="AH650" s="2">
        <v>943.28819999999996</v>
      </c>
      <c r="AI650" s="3">
        <v>0.46034309141455498</v>
      </c>
    </row>
    <row r="651" spans="1:35">
      <c r="A651" s="1">
        <v>42234</v>
      </c>
      <c r="B651" s="1">
        <v>37436</v>
      </c>
      <c r="C651" t="s">
        <v>5158</v>
      </c>
      <c r="D651">
        <v>358</v>
      </c>
      <c r="E651">
        <v>12579</v>
      </c>
      <c r="F651">
        <v>9</v>
      </c>
      <c r="G651">
        <v>1</v>
      </c>
      <c r="H651">
        <v>1</v>
      </c>
      <c r="I651">
        <v>1</v>
      </c>
      <c r="J651" t="s">
        <v>3541</v>
      </c>
      <c r="K651" t="s">
        <v>3542</v>
      </c>
      <c r="L651" s="2">
        <v>1105.81</v>
      </c>
      <c r="M651" s="2">
        <v>2049.0981999999999</v>
      </c>
      <c r="N651" t="s">
        <v>26</v>
      </c>
      <c r="O651" t="s">
        <v>1195</v>
      </c>
      <c r="P651" t="s">
        <v>109</v>
      </c>
      <c r="Q651" t="s">
        <v>6980</v>
      </c>
      <c r="R651" s="1">
        <v>28743</v>
      </c>
      <c r="S651" t="s">
        <v>22</v>
      </c>
      <c r="T651" t="s">
        <v>29</v>
      </c>
      <c r="U651" t="s">
        <v>1196</v>
      </c>
      <c r="V651">
        <v>10000</v>
      </c>
      <c r="W651">
        <v>0</v>
      </c>
      <c r="X651" t="s">
        <v>52</v>
      </c>
      <c r="Y651" t="s">
        <v>444</v>
      </c>
      <c r="Z651" t="s">
        <v>19</v>
      </c>
      <c r="AA651" t="s">
        <v>3586</v>
      </c>
      <c r="AB651" t="s">
        <v>3586</v>
      </c>
      <c r="AC651" t="s">
        <v>3587</v>
      </c>
      <c r="AD651" t="s">
        <v>3478</v>
      </c>
      <c r="AE651" t="s">
        <v>3475</v>
      </c>
      <c r="AF651" s="2">
        <v>2049.0981999999999</v>
      </c>
      <c r="AG651" s="2">
        <v>1105.81</v>
      </c>
      <c r="AH651" s="2">
        <v>943.28819999999996</v>
      </c>
      <c r="AI651" s="3">
        <v>0.46034309141455498</v>
      </c>
    </row>
    <row r="652" spans="1:35">
      <c r="A652" s="1">
        <v>42246</v>
      </c>
      <c r="B652" s="1">
        <v>37476</v>
      </c>
      <c r="C652" t="s">
        <v>5272</v>
      </c>
      <c r="D652">
        <v>356</v>
      </c>
      <c r="E652">
        <v>12581</v>
      </c>
      <c r="F652">
        <v>9</v>
      </c>
      <c r="G652">
        <v>1</v>
      </c>
      <c r="H652">
        <v>1</v>
      </c>
      <c r="I652">
        <v>1</v>
      </c>
      <c r="J652" t="s">
        <v>3539</v>
      </c>
      <c r="K652" t="s">
        <v>3540</v>
      </c>
      <c r="L652" s="2">
        <v>1117.8559</v>
      </c>
      <c r="M652" s="2">
        <v>2071.4196000000002</v>
      </c>
      <c r="N652" t="s">
        <v>26</v>
      </c>
      <c r="O652" t="s">
        <v>897</v>
      </c>
      <c r="P652" t="s">
        <v>209</v>
      </c>
      <c r="Q652" t="s">
        <v>6981</v>
      </c>
      <c r="R652" s="1">
        <v>28560</v>
      </c>
      <c r="S652" t="s">
        <v>22</v>
      </c>
      <c r="T652" t="s">
        <v>29</v>
      </c>
      <c r="U652" t="s">
        <v>1198</v>
      </c>
      <c r="V652">
        <v>10000</v>
      </c>
      <c r="W652">
        <v>0</v>
      </c>
      <c r="X652" t="s">
        <v>52</v>
      </c>
      <c r="Y652" t="s">
        <v>444</v>
      </c>
      <c r="Z652" t="s">
        <v>23</v>
      </c>
      <c r="AA652" t="s">
        <v>3586</v>
      </c>
      <c r="AB652" t="s">
        <v>3586</v>
      </c>
      <c r="AC652" t="s">
        <v>3587</v>
      </c>
      <c r="AD652" t="s">
        <v>3478</v>
      </c>
      <c r="AE652" t="s">
        <v>3475</v>
      </c>
      <c r="AF652" s="2">
        <v>2071.4196000000002</v>
      </c>
      <c r="AG652" s="2">
        <v>1117.8559</v>
      </c>
      <c r="AH652" s="2">
        <v>953.56370000000004</v>
      </c>
      <c r="AI652" s="3">
        <v>0.460343090313522</v>
      </c>
    </row>
    <row r="653" spans="1:35">
      <c r="A653" s="1">
        <v>42247</v>
      </c>
      <c r="B653" s="1">
        <v>37457</v>
      </c>
      <c r="C653" t="s">
        <v>5287</v>
      </c>
      <c r="D653">
        <v>356</v>
      </c>
      <c r="E653">
        <v>12583</v>
      </c>
      <c r="F653">
        <v>9</v>
      </c>
      <c r="G653">
        <v>1</v>
      </c>
      <c r="H653">
        <v>1</v>
      </c>
      <c r="I653">
        <v>1</v>
      </c>
      <c r="J653" t="s">
        <v>3539</v>
      </c>
      <c r="K653" t="s">
        <v>3540</v>
      </c>
      <c r="L653" s="2">
        <v>1117.8559</v>
      </c>
      <c r="M653" s="2">
        <v>2071.4196000000002</v>
      </c>
      <c r="N653" t="s">
        <v>13</v>
      </c>
      <c r="O653" t="s">
        <v>467</v>
      </c>
      <c r="P653" t="s">
        <v>460</v>
      </c>
      <c r="Q653" t="s">
        <v>6982</v>
      </c>
      <c r="R653" s="1">
        <v>27979</v>
      </c>
      <c r="S653" t="s">
        <v>22</v>
      </c>
      <c r="T653" t="s">
        <v>16</v>
      </c>
      <c r="U653" t="s">
        <v>1199</v>
      </c>
      <c r="V653">
        <v>10000</v>
      </c>
      <c r="W653">
        <v>1</v>
      </c>
      <c r="X653" t="s">
        <v>57</v>
      </c>
      <c r="Y653" t="s">
        <v>444</v>
      </c>
      <c r="Z653" t="s">
        <v>23</v>
      </c>
      <c r="AA653" t="s">
        <v>3586</v>
      </c>
      <c r="AB653" t="s">
        <v>3586</v>
      </c>
      <c r="AC653" t="s">
        <v>3587</v>
      </c>
      <c r="AD653" t="s">
        <v>3478</v>
      </c>
      <c r="AE653" t="s">
        <v>3475</v>
      </c>
      <c r="AF653" s="2">
        <v>2071.4196000000002</v>
      </c>
      <c r="AG653" s="2">
        <v>1117.8559</v>
      </c>
      <c r="AH653" s="2">
        <v>953.56370000000004</v>
      </c>
      <c r="AI653" s="3">
        <v>0.460343090313522</v>
      </c>
    </row>
    <row r="654" spans="1:35">
      <c r="A654" s="1">
        <v>42247</v>
      </c>
      <c r="B654" s="1">
        <v>37481</v>
      </c>
      <c r="C654" t="s">
        <v>5283</v>
      </c>
      <c r="D654">
        <v>360</v>
      </c>
      <c r="E654">
        <v>12585</v>
      </c>
      <c r="F654">
        <v>9</v>
      </c>
      <c r="G654">
        <v>1</v>
      </c>
      <c r="H654">
        <v>1</v>
      </c>
      <c r="I654">
        <v>1</v>
      </c>
      <c r="J654" t="s">
        <v>3543</v>
      </c>
      <c r="K654" t="s">
        <v>3544</v>
      </c>
      <c r="L654" s="2">
        <v>1105.81</v>
      </c>
      <c r="M654" s="2">
        <v>2049.0981999999999</v>
      </c>
      <c r="N654" t="s">
        <v>13</v>
      </c>
      <c r="O654" t="s">
        <v>46</v>
      </c>
      <c r="P654" t="s">
        <v>290</v>
      </c>
      <c r="Q654" t="s">
        <v>6983</v>
      </c>
      <c r="R654" s="1">
        <v>29030</v>
      </c>
      <c r="S654" t="s">
        <v>16</v>
      </c>
      <c r="T654" t="s">
        <v>16</v>
      </c>
      <c r="U654" t="s">
        <v>1201</v>
      </c>
      <c r="V654">
        <v>10000</v>
      </c>
      <c r="W654">
        <v>1</v>
      </c>
      <c r="X654" t="s">
        <v>57</v>
      </c>
      <c r="Y654" t="s">
        <v>444</v>
      </c>
      <c r="Z654" t="s">
        <v>19</v>
      </c>
      <c r="AA654" t="s">
        <v>3586</v>
      </c>
      <c r="AB654" t="s">
        <v>3586</v>
      </c>
      <c r="AC654" t="s">
        <v>3587</v>
      </c>
      <c r="AD654" t="s">
        <v>3478</v>
      </c>
      <c r="AE654" t="s">
        <v>3475</v>
      </c>
      <c r="AF654" s="2">
        <v>2049.0981999999999</v>
      </c>
      <c r="AG654" s="2">
        <v>1105.81</v>
      </c>
      <c r="AH654" s="2">
        <v>943.28819999999996</v>
      </c>
      <c r="AI654" s="3">
        <v>0.46034309141455498</v>
      </c>
    </row>
    <row r="655" spans="1:35">
      <c r="A655" s="1">
        <v>42238</v>
      </c>
      <c r="B655" s="1">
        <v>37384</v>
      </c>
      <c r="C655" t="s">
        <v>5203</v>
      </c>
      <c r="D655">
        <v>358</v>
      </c>
      <c r="E655">
        <v>12589</v>
      </c>
      <c r="F655">
        <v>9</v>
      </c>
      <c r="G655">
        <v>1</v>
      </c>
      <c r="H655">
        <v>1</v>
      </c>
      <c r="I655">
        <v>1</v>
      </c>
      <c r="J655" t="s">
        <v>3541</v>
      </c>
      <c r="K655" t="s">
        <v>3542</v>
      </c>
      <c r="L655" s="2">
        <v>1105.81</v>
      </c>
      <c r="M655" s="2">
        <v>2049.0981999999999</v>
      </c>
      <c r="N655" t="s">
        <v>13</v>
      </c>
      <c r="O655" t="s">
        <v>24</v>
      </c>
      <c r="P655" t="s">
        <v>293</v>
      </c>
      <c r="Q655" t="s">
        <v>6984</v>
      </c>
      <c r="R655" s="1">
        <v>28262</v>
      </c>
      <c r="S655" t="s">
        <v>16</v>
      </c>
      <c r="T655" t="s">
        <v>16</v>
      </c>
      <c r="U655" t="s">
        <v>1206</v>
      </c>
      <c r="V655">
        <v>20000</v>
      </c>
      <c r="W655">
        <v>0</v>
      </c>
      <c r="X655" t="s">
        <v>52</v>
      </c>
      <c r="Y655" t="s">
        <v>444</v>
      </c>
      <c r="Z655" t="s">
        <v>19</v>
      </c>
      <c r="AA655" t="s">
        <v>3586</v>
      </c>
      <c r="AB655" t="s">
        <v>3586</v>
      </c>
      <c r="AC655" t="s">
        <v>3587</v>
      </c>
      <c r="AD655" t="s">
        <v>3478</v>
      </c>
      <c r="AE655" t="s">
        <v>3475</v>
      </c>
      <c r="AF655" s="2">
        <v>2049.0981999999999</v>
      </c>
      <c r="AG655" s="2">
        <v>1105.81</v>
      </c>
      <c r="AH655" s="2">
        <v>943.28819999999996</v>
      </c>
      <c r="AI655" s="3">
        <v>0.46034309141455498</v>
      </c>
    </row>
    <row r="656" spans="1:35">
      <c r="A656" s="1">
        <v>42235</v>
      </c>
      <c r="B656" s="1">
        <v>37418</v>
      </c>
      <c r="C656" t="s">
        <v>5162</v>
      </c>
      <c r="D656">
        <v>375</v>
      </c>
      <c r="E656">
        <v>13237</v>
      </c>
      <c r="F656">
        <v>4</v>
      </c>
      <c r="G656">
        <v>1</v>
      </c>
      <c r="H656">
        <v>1</v>
      </c>
      <c r="I656">
        <v>2</v>
      </c>
      <c r="J656" t="s">
        <v>3557</v>
      </c>
      <c r="K656" t="s">
        <v>3558</v>
      </c>
      <c r="L656" s="2">
        <v>1320.6838</v>
      </c>
      <c r="M656" s="2">
        <v>2181.5625</v>
      </c>
      <c r="N656" t="s">
        <v>13</v>
      </c>
      <c r="O656" t="s">
        <v>285</v>
      </c>
      <c r="P656" t="s">
        <v>345</v>
      </c>
      <c r="Q656" t="s">
        <v>6985</v>
      </c>
      <c r="R656" s="1">
        <v>17645</v>
      </c>
      <c r="S656" t="s">
        <v>16</v>
      </c>
      <c r="T656" t="s">
        <v>16</v>
      </c>
      <c r="U656" t="s">
        <v>1467</v>
      </c>
      <c r="V656">
        <v>70000</v>
      </c>
      <c r="W656">
        <v>4</v>
      </c>
      <c r="X656" t="s">
        <v>17</v>
      </c>
      <c r="Y656" t="s">
        <v>45</v>
      </c>
      <c r="Z656" t="s">
        <v>23</v>
      </c>
      <c r="AA656" t="s">
        <v>3580</v>
      </c>
      <c r="AB656" t="s">
        <v>3578</v>
      </c>
      <c r="AC656" t="s">
        <v>3579</v>
      </c>
      <c r="AD656" t="s">
        <v>3479</v>
      </c>
      <c r="AE656" t="s">
        <v>3475</v>
      </c>
      <c r="AF656" s="2">
        <v>2181.5625</v>
      </c>
      <c r="AG656" s="2">
        <v>1320.6838</v>
      </c>
      <c r="AH656" s="2">
        <v>860.87869999999998</v>
      </c>
      <c r="AI656" s="3">
        <v>0.39461564818793898</v>
      </c>
    </row>
    <row r="657" spans="1:35">
      <c r="A657" s="1">
        <v>42235</v>
      </c>
      <c r="B657" s="1">
        <v>37415</v>
      </c>
      <c r="C657" t="s">
        <v>5164</v>
      </c>
      <c r="D657">
        <v>368</v>
      </c>
      <c r="E657">
        <v>13314</v>
      </c>
      <c r="F657">
        <v>4</v>
      </c>
      <c r="G657">
        <v>1</v>
      </c>
      <c r="H657">
        <v>1</v>
      </c>
      <c r="I657">
        <v>2</v>
      </c>
      <c r="J657" t="s">
        <v>3547</v>
      </c>
      <c r="K657" t="s">
        <v>3548</v>
      </c>
      <c r="L657" s="2">
        <v>1518.7864</v>
      </c>
      <c r="M657" s="2">
        <v>2443.35</v>
      </c>
      <c r="N657" t="s">
        <v>13</v>
      </c>
      <c r="O657" t="s">
        <v>63</v>
      </c>
      <c r="P657" t="s">
        <v>101</v>
      </c>
      <c r="Q657" t="s">
        <v>6986</v>
      </c>
      <c r="R657" s="1">
        <v>22131</v>
      </c>
      <c r="S657" t="s">
        <v>16</v>
      </c>
      <c r="T657" t="s">
        <v>16</v>
      </c>
      <c r="U657" t="s">
        <v>1492</v>
      </c>
      <c r="V657">
        <v>120000</v>
      </c>
      <c r="W657">
        <v>1</v>
      </c>
      <c r="X657" t="s">
        <v>57</v>
      </c>
      <c r="Y657" t="s">
        <v>18</v>
      </c>
      <c r="Z657" t="s">
        <v>19</v>
      </c>
      <c r="AA657" t="s">
        <v>3580</v>
      </c>
      <c r="AB657" t="s">
        <v>3578</v>
      </c>
      <c r="AC657" t="s">
        <v>3579</v>
      </c>
      <c r="AD657" t="s">
        <v>3479</v>
      </c>
      <c r="AE657" t="s">
        <v>3475</v>
      </c>
      <c r="AF657" s="2">
        <v>2443.35</v>
      </c>
      <c r="AG657" s="2">
        <v>1518.7864</v>
      </c>
      <c r="AH657" s="2">
        <v>924.56359999999995</v>
      </c>
      <c r="AI657" s="3">
        <v>0.37839998362903399</v>
      </c>
    </row>
    <row r="658" spans="1:35">
      <c r="A658" s="1">
        <v>42235</v>
      </c>
      <c r="B658" s="1">
        <v>37393</v>
      </c>
      <c r="C658" t="s">
        <v>5169</v>
      </c>
      <c r="D658">
        <v>375</v>
      </c>
      <c r="E658">
        <v>13277</v>
      </c>
      <c r="F658">
        <v>1</v>
      </c>
      <c r="G658">
        <v>1</v>
      </c>
      <c r="H658">
        <v>1</v>
      </c>
      <c r="I658">
        <v>2</v>
      </c>
      <c r="J658" t="s">
        <v>3557</v>
      </c>
      <c r="K658" t="s">
        <v>3558</v>
      </c>
      <c r="L658" s="2">
        <v>1320.6838</v>
      </c>
      <c r="M658" s="2">
        <v>2181.5625</v>
      </c>
      <c r="N658" t="s">
        <v>13</v>
      </c>
      <c r="O658" t="s">
        <v>110</v>
      </c>
      <c r="P658" t="s">
        <v>180</v>
      </c>
      <c r="Q658" t="s">
        <v>6987</v>
      </c>
      <c r="R658" s="1">
        <v>23979</v>
      </c>
      <c r="S658" t="s">
        <v>22</v>
      </c>
      <c r="T658" t="s">
        <v>16</v>
      </c>
      <c r="U658" t="s">
        <v>1479</v>
      </c>
      <c r="V658">
        <v>100000</v>
      </c>
      <c r="W658">
        <v>4</v>
      </c>
      <c r="X658" t="s">
        <v>52</v>
      </c>
      <c r="Y658" t="s">
        <v>18</v>
      </c>
      <c r="Z658" t="s">
        <v>19</v>
      </c>
      <c r="AA658" t="s">
        <v>3577</v>
      </c>
      <c r="AB658" t="s">
        <v>3578</v>
      </c>
      <c r="AC658" t="s">
        <v>3579</v>
      </c>
      <c r="AD658" t="s">
        <v>3479</v>
      </c>
      <c r="AE658" t="s">
        <v>3475</v>
      </c>
      <c r="AF658" s="2">
        <v>2181.5625</v>
      </c>
      <c r="AG658" s="2">
        <v>1320.6838</v>
      </c>
      <c r="AH658" s="2">
        <v>860.87869999999998</v>
      </c>
      <c r="AI658" s="3">
        <v>0.39461564818793898</v>
      </c>
    </row>
    <row r="659" spans="1:35">
      <c r="A659" s="1">
        <v>42237</v>
      </c>
      <c r="B659" s="1">
        <v>37372</v>
      </c>
      <c r="C659" t="s">
        <v>5187</v>
      </c>
      <c r="D659">
        <v>377</v>
      </c>
      <c r="E659">
        <v>13346</v>
      </c>
      <c r="F659">
        <v>1</v>
      </c>
      <c r="G659">
        <v>1</v>
      </c>
      <c r="H659">
        <v>1</v>
      </c>
      <c r="I659">
        <v>2</v>
      </c>
      <c r="J659" t="s">
        <v>3559</v>
      </c>
      <c r="K659" t="s">
        <v>3560</v>
      </c>
      <c r="L659" s="2">
        <v>1320.6838</v>
      </c>
      <c r="M659" s="2">
        <v>2181.5625</v>
      </c>
      <c r="N659" t="s">
        <v>13</v>
      </c>
      <c r="O659" t="s">
        <v>1408</v>
      </c>
      <c r="P659" t="s">
        <v>205</v>
      </c>
      <c r="Q659" t="s">
        <v>6988</v>
      </c>
      <c r="R659" s="1">
        <v>15852</v>
      </c>
      <c r="S659" t="s">
        <v>22</v>
      </c>
      <c r="T659" t="s">
        <v>16</v>
      </c>
      <c r="U659" t="s">
        <v>1504</v>
      </c>
      <c r="V659">
        <v>110000</v>
      </c>
      <c r="W659">
        <v>2</v>
      </c>
      <c r="X659" t="s">
        <v>17</v>
      </c>
      <c r="Y659" t="s">
        <v>45</v>
      </c>
      <c r="Z659" t="s">
        <v>19</v>
      </c>
      <c r="AA659" t="s">
        <v>3577</v>
      </c>
      <c r="AB659" t="s">
        <v>3578</v>
      </c>
      <c r="AC659" t="s">
        <v>3579</v>
      </c>
      <c r="AD659" t="s">
        <v>3479</v>
      </c>
      <c r="AE659" t="s">
        <v>3475</v>
      </c>
      <c r="AF659" s="2">
        <v>2181.5625</v>
      </c>
      <c r="AG659" s="2">
        <v>1320.6838</v>
      </c>
      <c r="AH659" s="2">
        <v>860.87869999999998</v>
      </c>
      <c r="AI659" s="3">
        <v>0.39461564818793898</v>
      </c>
    </row>
    <row r="660" spans="1:35">
      <c r="A660" s="1">
        <v>42237</v>
      </c>
      <c r="B660" s="1">
        <v>37381</v>
      </c>
      <c r="C660" t="s">
        <v>5189</v>
      </c>
      <c r="D660">
        <v>356</v>
      </c>
      <c r="E660">
        <v>12683</v>
      </c>
      <c r="F660">
        <v>9</v>
      </c>
      <c r="G660">
        <v>1</v>
      </c>
      <c r="H660">
        <v>1</v>
      </c>
      <c r="I660">
        <v>1</v>
      </c>
      <c r="J660" t="s">
        <v>3539</v>
      </c>
      <c r="K660" t="s">
        <v>3540</v>
      </c>
      <c r="L660" s="2">
        <v>1117.8559</v>
      </c>
      <c r="M660" s="2">
        <v>2071.4196000000002</v>
      </c>
      <c r="N660" t="s">
        <v>30</v>
      </c>
      <c r="O660" t="s">
        <v>548</v>
      </c>
      <c r="P660" t="s">
        <v>138</v>
      </c>
      <c r="Q660" t="s">
        <v>6989</v>
      </c>
      <c r="R660" s="1">
        <v>26696</v>
      </c>
      <c r="S660" t="s">
        <v>22</v>
      </c>
      <c r="T660" t="s">
        <v>29</v>
      </c>
      <c r="U660" t="s">
        <v>1236</v>
      </c>
      <c r="V660">
        <v>120000</v>
      </c>
      <c r="W660">
        <v>5</v>
      </c>
      <c r="X660" t="s">
        <v>77</v>
      </c>
      <c r="Y660" t="s">
        <v>18</v>
      </c>
      <c r="Z660" t="s">
        <v>19</v>
      </c>
      <c r="AA660" t="s">
        <v>3586</v>
      </c>
      <c r="AB660" t="s">
        <v>3586</v>
      </c>
      <c r="AC660" t="s">
        <v>3587</v>
      </c>
      <c r="AD660" t="s">
        <v>3478</v>
      </c>
      <c r="AE660" t="s">
        <v>3475</v>
      </c>
      <c r="AF660" s="2">
        <v>2071.4196000000002</v>
      </c>
      <c r="AG660" s="2">
        <v>1117.8559</v>
      </c>
      <c r="AH660" s="2">
        <v>953.56370000000004</v>
      </c>
      <c r="AI660" s="3">
        <v>0.460343090313522</v>
      </c>
    </row>
    <row r="661" spans="1:35">
      <c r="A661" s="1">
        <v>42237</v>
      </c>
      <c r="B661" s="1">
        <v>37391</v>
      </c>
      <c r="C661" t="s">
        <v>5190</v>
      </c>
      <c r="D661">
        <v>352</v>
      </c>
      <c r="E661">
        <v>12676</v>
      </c>
      <c r="F661">
        <v>9</v>
      </c>
      <c r="G661">
        <v>1</v>
      </c>
      <c r="H661">
        <v>1</v>
      </c>
      <c r="I661">
        <v>1</v>
      </c>
      <c r="J661" t="s">
        <v>3535</v>
      </c>
      <c r="K661" t="s">
        <v>3536</v>
      </c>
      <c r="L661" s="2">
        <v>1117.8559</v>
      </c>
      <c r="M661" s="2">
        <v>2071.4196000000002</v>
      </c>
      <c r="N661" t="s">
        <v>26</v>
      </c>
      <c r="O661" t="s">
        <v>132</v>
      </c>
      <c r="P661" t="s">
        <v>658</v>
      </c>
      <c r="Q661" t="s">
        <v>6990</v>
      </c>
      <c r="R661" s="1">
        <v>27208</v>
      </c>
      <c r="S661" t="s">
        <v>22</v>
      </c>
      <c r="T661" t="s">
        <v>29</v>
      </c>
      <c r="U661" t="s">
        <v>1232</v>
      </c>
      <c r="V661">
        <v>90000</v>
      </c>
      <c r="W661">
        <v>0</v>
      </c>
      <c r="X661" t="s">
        <v>17</v>
      </c>
      <c r="Y661" t="s">
        <v>18</v>
      </c>
      <c r="Z661" t="s">
        <v>19</v>
      </c>
      <c r="AA661" t="s">
        <v>3586</v>
      </c>
      <c r="AB661" t="s">
        <v>3586</v>
      </c>
      <c r="AC661" t="s">
        <v>3587</v>
      </c>
      <c r="AD661" t="s">
        <v>3478</v>
      </c>
      <c r="AE661" t="s">
        <v>3475</v>
      </c>
      <c r="AF661" s="2">
        <v>2071.4196000000002</v>
      </c>
      <c r="AG661" s="2">
        <v>1117.8559</v>
      </c>
      <c r="AH661" s="2">
        <v>953.56370000000004</v>
      </c>
      <c r="AI661" s="3">
        <v>0.460343090313522</v>
      </c>
    </row>
    <row r="662" spans="1:35">
      <c r="A662" s="1">
        <v>42237</v>
      </c>
      <c r="B662" s="1">
        <v>37398</v>
      </c>
      <c r="C662" t="s">
        <v>5191</v>
      </c>
      <c r="D662">
        <v>375</v>
      </c>
      <c r="E662">
        <v>13340</v>
      </c>
      <c r="F662">
        <v>4</v>
      </c>
      <c r="G662">
        <v>1</v>
      </c>
      <c r="H662">
        <v>1</v>
      </c>
      <c r="I662">
        <v>2</v>
      </c>
      <c r="J662" t="s">
        <v>3557</v>
      </c>
      <c r="K662" t="s">
        <v>3558</v>
      </c>
      <c r="L662" s="2">
        <v>1320.6838</v>
      </c>
      <c r="M662" s="2">
        <v>2181.5625</v>
      </c>
      <c r="N662" t="s">
        <v>30</v>
      </c>
      <c r="O662" t="s">
        <v>331</v>
      </c>
      <c r="P662" t="s">
        <v>70</v>
      </c>
      <c r="Q662" t="s">
        <v>6991</v>
      </c>
      <c r="R662" s="1">
        <v>15464</v>
      </c>
      <c r="S662" t="s">
        <v>16</v>
      </c>
      <c r="T662" t="s">
        <v>29</v>
      </c>
      <c r="U662" t="s">
        <v>1503</v>
      </c>
      <c r="V662">
        <v>90000</v>
      </c>
      <c r="W662">
        <v>5</v>
      </c>
      <c r="X662" t="s">
        <v>17</v>
      </c>
      <c r="Y662" t="s">
        <v>45</v>
      </c>
      <c r="Z662" t="s">
        <v>19</v>
      </c>
      <c r="AA662" t="s">
        <v>3580</v>
      </c>
      <c r="AB662" t="s">
        <v>3578</v>
      </c>
      <c r="AC662" t="s">
        <v>3579</v>
      </c>
      <c r="AD662" t="s">
        <v>3479</v>
      </c>
      <c r="AE662" t="s">
        <v>3475</v>
      </c>
      <c r="AF662" s="2">
        <v>2181.5625</v>
      </c>
      <c r="AG662" s="2">
        <v>1320.6838</v>
      </c>
      <c r="AH662" s="2">
        <v>860.87869999999998</v>
      </c>
      <c r="AI662" s="3">
        <v>0.39461564818793898</v>
      </c>
    </row>
    <row r="663" spans="1:35">
      <c r="A663" s="1">
        <v>42237</v>
      </c>
      <c r="B663" s="1">
        <v>37387</v>
      </c>
      <c r="C663" t="s">
        <v>5193</v>
      </c>
      <c r="D663">
        <v>371</v>
      </c>
      <c r="E663">
        <v>13292</v>
      </c>
      <c r="F663">
        <v>1</v>
      </c>
      <c r="G663">
        <v>1</v>
      </c>
      <c r="H663">
        <v>1</v>
      </c>
      <c r="I663">
        <v>2</v>
      </c>
      <c r="J663" t="s">
        <v>3553</v>
      </c>
      <c r="K663" t="s">
        <v>3554</v>
      </c>
      <c r="L663" s="2">
        <v>1320.6838</v>
      </c>
      <c r="M663" s="2">
        <v>2181.5625</v>
      </c>
      <c r="N663" t="s">
        <v>30</v>
      </c>
      <c r="O663" t="s">
        <v>1176</v>
      </c>
      <c r="P663" t="s">
        <v>38</v>
      </c>
      <c r="Q663" t="s">
        <v>6992</v>
      </c>
      <c r="R663" s="1">
        <v>22870</v>
      </c>
      <c r="S663" t="s">
        <v>22</v>
      </c>
      <c r="T663" t="s">
        <v>29</v>
      </c>
      <c r="U663" t="s">
        <v>1488</v>
      </c>
      <c r="V663">
        <v>90000</v>
      </c>
      <c r="W663">
        <v>5</v>
      </c>
      <c r="X663" t="s">
        <v>52</v>
      </c>
      <c r="Y663" t="s">
        <v>18</v>
      </c>
      <c r="Z663" t="s">
        <v>19</v>
      </c>
      <c r="AA663" t="s">
        <v>3577</v>
      </c>
      <c r="AB663" t="s">
        <v>3578</v>
      </c>
      <c r="AC663" t="s">
        <v>3579</v>
      </c>
      <c r="AD663" t="s">
        <v>3479</v>
      </c>
      <c r="AE663" t="s">
        <v>3475</v>
      </c>
      <c r="AF663" s="2">
        <v>2181.5625</v>
      </c>
      <c r="AG663" s="2">
        <v>1320.6838</v>
      </c>
      <c r="AH663" s="2">
        <v>860.87869999999998</v>
      </c>
      <c r="AI663" s="3">
        <v>0.39461564818793898</v>
      </c>
    </row>
    <row r="664" spans="1:35">
      <c r="A664" s="1">
        <v>42238</v>
      </c>
      <c r="B664" s="1">
        <v>37393</v>
      </c>
      <c r="C664" t="s">
        <v>5195</v>
      </c>
      <c r="D664">
        <v>377</v>
      </c>
      <c r="E664">
        <v>13298</v>
      </c>
      <c r="F664">
        <v>4</v>
      </c>
      <c r="G664">
        <v>1</v>
      </c>
      <c r="H664">
        <v>1</v>
      </c>
      <c r="I664">
        <v>2</v>
      </c>
      <c r="J664" t="s">
        <v>3559</v>
      </c>
      <c r="K664" t="s">
        <v>3560</v>
      </c>
      <c r="L664" s="2">
        <v>1320.6838</v>
      </c>
      <c r="M664" s="2">
        <v>2181.5625</v>
      </c>
      <c r="N664" t="s">
        <v>30</v>
      </c>
      <c r="O664" t="s">
        <v>349</v>
      </c>
      <c r="P664" t="s">
        <v>250</v>
      </c>
      <c r="Q664" t="s">
        <v>6993</v>
      </c>
      <c r="R664" s="1">
        <v>22489</v>
      </c>
      <c r="S664" t="s">
        <v>16</v>
      </c>
      <c r="T664" t="s">
        <v>29</v>
      </c>
      <c r="U664" t="s">
        <v>1489</v>
      </c>
      <c r="V664">
        <v>130000</v>
      </c>
      <c r="W664">
        <v>1</v>
      </c>
      <c r="X664" t="s">
        <v>17</v>
      </c>
      <c r="Y664" t="s">
        <v>45</v>
      </c>
      <c r="Z664" t="s">
        <v>23</v>
      </c>
      <c r="AA664" t="s">
        <v>3580</v>
      </c>
      <c r="AB664" t="s">
        <v>3578</v>
      </c>
      <c r="AC664" t="s">
        <v>3579</v>
      </c>
      <c r="AD664" t="s">
        <v>3479</v>
      </c>
      <c r="AE664" t="s">
        <v>3475</v>
      </c>
      <c r="AF664" s="2">
        <v>2181.5625</v>
      </c>
      <c r="AG664" s="2">
        <v>1320.6838</v>
      </c>
      <c r="AH664" s="2">
        <v>860.87869999999998</v>
      </c>
      <c r="AI664" s="3">
        <v>0.39461564818793898</v>
      </c>
    </row>
    <row r="665" spans="1:35">
      <c r="A665" s="1">
        <v>42238</v>
      </c>
      <c r="B665" s="1">
        <v>37445</v>
      </c>
      <c r="C665" t="s">
        <v>5199</v>
      </c>
      <c r="D665">
        <v>375</v>
      </c>
      <c r="E665">
        <v>13351</v>
      </c>
      <c r="F665">
        <v>1</v>
      </c>
      <c r="G665">
        <v>1</v>
      </c>
      <c r="H665">
        <v>1</v>
      </c>
      <c r="I665">
        <v>2</v>
      </c>
      <c r="J665" t="s">
        <v>3557</v>
      </c>
      <c r="K665" t="s">
        <v>3558</v>
      </c>
      <c r="L665" s="2">
        <v>1320.6838</v>
      </c>
      <c r="M665" s="2">
        <v>2181.5625</v>
      </c>
      <c r="N665" t="s">
        <v>30</v>
      </c>
      <c r="O665" t="s">
        <v>677</v>
      </c>
      <c r="P665" t="s">
        <v>175</v>
      </c>
      <c r="Q665" t="s">
        <v>6994</v>
      </c>
      <c r="R665" s="1">
        <v>16189</v>
      </c>
      <c r="S665" t="s">
        <v>22</v>
      </c>
      <c r="T665" t="s">
        <v>29</v>
      </c>
      <c r="U665" t="s">
        <v>1506</v>
      </c>
      <c r="V665">
        <v>70000</v>
      </c>
      <c r="W665">
        <v>4</v>
      </c>
      <c r="X665" t="s">
        <v>17</v>
      </c>
      <c r="Y665" t="s">
        <v>45</v>
      </c>
      <c r="Z665" t="s">
        <v>19</v>
      </c>
      <c r="AA665" t="s">
        <v>3577</v>
      </c>
      <c r="AB665" t="s">
        <v>3578</v>
      </c>
      <c r="AC665" t="s">
        <v>3579</v>
      </c>
      <c r="AD665" t="s">
        <v>3479</v>
      </c>
      <c r="AE665" t="s">
        <v>3475</v>
      </c>
      <c r="AF665" s="2">
        <v>2181.5625</v>
      </c>
      <c r="AG665" s="2">
        <v>1320.6838</v>
      </c>
      <c r="AH665" s="2">
        <v>860.87869999999998</v>
      </c>
      <c r="AI665" s="3">
        <v>0.39461564818793898</v>
      </c>
    </row>
    <row r="666" spans="1:35">
      <c r="A666" s="1">
        <v>42238</v>
      </c>
      <c r="B666" s="1">
        <v>37427</v>
      </c>
      <c r="C666" t="s">
        <v>5202</v>
      </c>
      <c r="D666">
        <v>375</v>
      </c>
      <c r="E666">
        <v>13233</v>
      </c>
      <c r="F666">
        <v>1</v>
      </c>
      <c r="G666">
        <v>1</v>
      </c>
      <c r="H666">
        <v>1</v>
      </c>
      <c r="I666">
        <v>2</v>
      </c>
      <c r="J666" t="s">
        <v>3557</v>
      </c>
      <c r="K666" t="s">
        <v>3558</v>
      </c>
      <c r="L666" s="2">
        <v>1320.6838</v>
      </c>
      <c r="M666" s="2">
        <v>2181.5625</v>
      </c>
      <c r="N666" t="s">
        <v>13</v>
      </c>
      <c r="O666" t="s">
        <v>765</v>
      </c>
      <c r="P666" t="s">
        <v>264</v>
      </c>
      <c r="Q666" t="s">
        <v>6995</v>
      </c>
      <c r="R666" s="1">
        <v>17872</v>
      </c>
      <c r="S666" t="s">
        <v>16</v>
      </c>
      <c r="T666" t="s">
        <v>16</v>
      </c>
      <c r="U666" t="s">
        <v>1466</v>
      </c>
      <c r="V666">
        <v>60000</v>
      </c>
      <c r="W666">
        <v>2</v>
      </c>
      <c r="X666" t="s">
        <v>52</v>
      </c>
      <c r="Y666" t="s">
        <v>18</v>
      </c>
      <c r="Z666" t="s">
        <v>19</v>
      </c>
      <c r="AA666" t="s">
        <v>3577</v>
      </c>
      <c r="AB666" t="s">
        <v>3578</v>
      </c>
      <c r="AC666" t="s">
        <v>3579</v>
      </c>
      <c r="AD666" t="s">
        <v>3479</v>
      </c>
      <c r="AE666" t="s">
        <v>3475</v>
      </c>
      <c r="AF666" s="2">
        <v>2181.5625</v>
      </c>
      <c r="AG666" s="2">
        <v>1320.6838</v>
      </c>
      <c r="AH666" s="2">
        <v>860.87869999999998</v>
      </c>
      <c r="AI666" s="3">
        <v>0.39461564818793898</v>
      </c>
    </row>
    <row r="667" spans="1:35">
      <c r="A667" s="1">
        <v>42239</v>
      </c>
      <c r="B667" s="1">
        <v>37431</v>
      </c>
      <c r="C667" t="s">
        <v>5205</v>
      </c>
      <c r="D667">
        <v>352</v>
      </c>
      <c r="E667">
        <v>12674</v>
      </c>
      <c r="F667">
        <v>9</v>
      </c>
      <c r="G667">
        <v>1</v>
      </c>
      <c r="H667">
        <v>1</v>
      </c>
      <c r="I667">
        <v>1</v>
      </c>
      <c r="J667" t="s">
        <v>3535</v>
      </c>
      <c r="K667" t="s">
        <v>3536</v>
      </c>
      <c r="L667" s="2">
        <v>1117.8559</v>
      </c>
      <c r="M667" s="2">
        <v>2071.4196000000002</v>
      </c>
      <c r="N667" t="s">
        <v>13</v>
      </c>
      <c r="O667" t="s">
        <v>84</v>
      </c>
      <c r="P667" t="s">
        <v>787</v>
      </c>
      <c r="Q667" t="s">
        <v>6996</v>
      </c>
      <c r="R667" s="1">
        <v>27602</v>
      </c>
      <c r="S667" t="s">
        <v>16</v>
      </c>
      <c r="T667" t="s">
        <v>16</v>
      </c>
      <c r="U667" t="s">
        <v>1230</v>
      </c>
      <c r="V667">
        <v>90000</v>
      </c>
      <c r="W667">
        <v>0</v>
      </c>
      <c r="X667" t="s">
        <v>17</v>
      </c>
      <c r="Y667" t="s">
        <v>18</v>
      </c>
      <c r="Z667" t="s">
        <v>19</v>
      </c>
      <c r="AA667" t="s">
        <v>3586</v>
      </c>
      <c r="AB667" t="s">
        <v>3586</v>
      </c>
      <c r="AC667" t="s">
        <v>3587</v>
      </c>
      <c r="AD667" t="s">
        <v>3478</v>
      </c>
      <c r="AE667" t="s">
        <v>3475</v>
      </c>
      <c r="AF667" s="2">
        <v>2071.4196000000002</v>
      </c>
      <c r="AG667" s="2">
        <v>1117.8559</v>
      </c>
      <c r="AH667" s="2">
        <v>953.56370000000004</v>
      </c>
      <c r="AI667" s="3">
        <v>0.460343090313522</v>
      </c>
    </row>
    <row r="668" spans="1:35">
      <c r="A668" s="1">
        <v>42239</v>
      </c>
      <c r="B668" s="1">
        <v>37386</v>
      </c>
      <c r="C668" t="s">
        <v>5206</v>
      </c>
      <c r="D668">
        <v>375</v>
      </c>
      <c r="E668">
        <v>13250</v>
      </c>
      <c r="F668">
        <v>4</v>
      </c>
      <c r="G668">
        <v>1</v>
      </c>
      <c r="H668">
        <v>1</v>
      </c>
      <c r="I668">
        <v>2</v>
      </c>
      <c r="J668" t="s">
        <v>3557</v>
      </c>
      <c r="K668" t="s">
        <v>3558</v>
      </c>
      <c r="L668" s="2">
        <v>1320.6838</v>
      </c>
      <c r="M668" s="2">
        <v>2181.5625</v>
      </c>
      <c r="N668" t="s">
        <v>30</v>
      </c>
      <c r="O668" t="s">
        <v>63</v>
      </c>
      <c r="P668" t="s">
        <v>64</v>
      </c>
      <c r="Q668" t="s">
        <v>6997</v>
      </c>
      <c r="R668" s="1">
        <v>19047</v>
      </c>
      <c r="S668" t="s">
        <v>16</v>
      </c>
      <c r="T668" t="s">
        <v>29</v>
      </c>
      <c r="U668" t="s">
        <v>1474</v>
      </c>
      <c r="V668">
        <v>70000</v>
      </c>
      <c r="W668">
        <v>4</v>
      </c>
      <c r="X668" t="s">
        <v>52</v>
      </c>
      <c r="Y668" t="s">
        <v>18</v>
      </c>
      <c r="Z668" t="s">
        <v>19</v>
      </c>
      <c r="AA668" t="s">
        <v>3580</v>
      </c>
      <c r="AB668" t="s">
        <v>3578</v>
      </c>
      <c r="AC668" t="s">
        <v>3579</v>
      </c>
      <c r="AD668" t="s">
        <v>3479</v>
      </c>
      <c r="AE668" t="s">
        <v>3475</v>
      </c>
      <c r="AF668" s="2">
        <v>2181.5625</v>
      </c>
      <c r="AG668" s="2">
        <v>1320.6838</v>
      </c>
      <c r="AH668" s="2">
        <v>860.87869999999998</v>
      </c>
      <c r="AI668" s="3">
        <v>0.39461564818793898</v>
      </c>
    </row>
    <row r="669" spans="1:35">
      <c r="A669" s="1">
        <v>42240</v>
      </c>
      <c r="B669" s="1">
        <v>37399</v>
      </c>
      <c r="C669" t="s">
        <v>5213</v>
      </c>
      <c r="D669">
        <v>362</v>
      </c>
      <c r="E669">
        <v>12680</v>
      </c>
      <c r="F669">
        <v>9</v>
      </c>
      <c r="G669">
        <v>1</v>
      </c>
      <c r="H669">
        <v>1</v>
      </c>
      <c r="I669">
        <v>1</v>
      </c>
      <c r="J669" t="s">
        <v>3545</v>
      </c>
      <c r="K669" t="s">
        <v>3546</v>
      </c>
      <c r="L669" s="2">
        <v>1105.81</v>
      </c>
      <c r="M669" s="2">
        <v>2049.0981999999999</v>
      </c>
      <c r="N669" t="s">
        <v>13</v>
      </c>
      <c r="O669" t="s">
        <v>491</v>
      </c>
      <c r="P669" t="s">
        <v>109</v>
      </c>
      <c r="Q669" t="s">
        <v>6998</v>
      </c>
      <c r="R669" s="1">
        <v>26482</v>
      </c>
      <c r="S669" t="s">
        <v>22</v>
      </c>
      <c r="T669" t="s">
        <v>16</v>
      </c>
      <c r="U669" t="s">
        <v>1234</v>
      </c>
      <c r="V669">
        <v>80000</v>
      </c>
      <c r="W669">
        <v>0</v>
      </c>
      <c r="X669" t="s">
        <v>17</v>
      </c>
      <c r="Y669" t="s">
        <v>18</v>
      </c>
      <c r="Z669" t="s">
        <v>23</v>
      </c>
      <c r="AA669" t="s">
        <v>3586</v>
      </c>
      <c r="AB669" t="s">
        <v>3586</v>
      </c>
      <c r="AC669" t="s">
        <v>3587</v>
      </c>
      <c r="AD669" t="s">
        <v>3478</v>
      </c>
      <c r="AE669" t="s">
        <v>3475</v>
      </c>
      <c r="AF669" s="2">
        <v>2049.0981999999999</v>
      </c>
      <c r="AG669" s="2">
        <v>1105.81</v>
      </c>
      <c r="AH669" s="2">
        <v>943.28819999999996</v>
      </c>
      <c r="AI669" s="3">
        <v>0.46034309141455498</v>
      </c>
    </row>
    <row r="670" spans="1:35">
      <c r="A670" s="1">
        <v>42240</v>
      </c>
      <c r="B670" s="1">
        <v>37472</v>
      </c>
      <c r="C670" t="s">
        <v>5216</v>
      </c>
      <c r="D670">
        <v>368</v>
      </c>
      <c r="E670">
        <v>13420</v>
      </c>
      <c r="F670">
        <v>4</v>
      </c>
      <c r="G670">
        <v>1</v>
      </c>
      <c r="H670">
        <v>1</v>
      </c>
      <c r="I670">
        <v>2</v>
      </c>
      <c r="J670" t="s">
        <v>3547</v>
      </c>
      <c r="K670" t="s">
        <v>3548</v>
      </c>
      <c r="L670" s="2">
        <v>1518.7864</v>
      </c>
      <c r="M670" s="2">
        <v>2443.35</v>
      </c>
      <c r="N670" t="s">
        <v>30</v>
      </c>
      <c r="O670" t="s">
        <v>63</v>
      </c>
      <c r="P670" t="s">
        <v>347</v>
      </c>
      <c r="Q670" t="s">
        <v>6999</v>
      </c>
      <c r="R670" s="1">
        <v>23956</v>
      </c>
      <c r="S670" t="s">
        <v>16</v>
      </c>
      <c r="T670" t="s">
        <v>29</v>
      </c>
      <c r="U670" t="s">
        <v>1528</v>
      </c>
      <c r="V670">
        <v>120000</v>
      </c>
      <c r="W670">
        <v>3</v>
      </c>
      <c r="X670" t="s">
        <v>17</v>
      </c>
      <c r="Y670" t="s">
        <v>45</v>
      </c>
      <c r="Z670" t="s">
        <v>19</v>
      </c>
      <c r="AA670" t="s">
        <v>3580</v>
      </c>
      <c r="AB670" t="s">
        <v>3578</v>
      </c>
      <c r="AC670" t="s">
        <v>3579</v>
      </c>
      <c r="AD670" t="s">
        <v>3479</v>
      </c>
      <c r="AE670" t="s">
        <v>3475</v>
      </c>
      <c r="AF670" s="2">
        <v>2443.35</v>
      </c>
      <c r="AG670" s="2">
        <v>1518.7864</v>
      </c>
      <c r="AH670" s="2">
        <v>924.56359999999995</v>
      </c>
      <c r="AI670" s="3">
        <v>0.37839998362903399</v>
      </c>
    </row>
    <row r="671" spans="1:35">
      <c r="A671" s="1">
        <v>42241</v>
      </c>
      <c r="B671" s="1">
        <v>37425</v>
      </c>
      <c r="C671" t="s">
        <v>5220</v>
      </c>
      <c r="D671">
        <v>375</v>
      </c>
      <c r="E671">
        <v>13280</v>
      </c>
      <c r="F671">
        <v>1</v>
      </c>
      <c r="G671">
        <v>1</v>
      </c>
      <c r="H671">
        <v>1</v>
      </c>
      <c r="I671">
        <v>2</v>
      </c>
      <c r="J671" t="s">
        <v>3557</v>
      </c>
      <c r="K671" t="s">
        <v>3558</v>
      </c>
      <c r="L671" s="2">
        <v>1320.6838</v>
      </c>
      <c r="M671" s="2">
        <v>2181.5625</v>
      </c>
      <c r="N671" t="s">
        <v>30</v>
      </c>
      <c r="O671" t="s">
        <v>428</v>
      </c>
      <c r="P671" t="s">
        <v>297</v>
      </c>
      <c r="Q671" t="s">
        <v>7000</v>
      </c>
      <c r="R671" s="1">
        <v>23608</v>
      </c>
      <c r="S671" t="s">
        <v>16</v>
      </c>
      <c r="T671" t="s">
        <v>29</v>
      </c>
      <c r="U671" t="s">
        <v>1482</v>
      </c>
      <c r="V671">
        <v>90000</v>
      </c>
      <c r="W671">
        <v>5</v>
      </c>
      <c r="X671" t="s">
        <v>52</v>
      </c>
      <c r="Y671" t="s">
        <v>18</v>
      </c>
      <c r="Z671" t="s">
        <v>19</v>
      </c>
      <c r="AA671" t="s">
        <v>3577</v>
      </c>
      <c r="AB671" t="s">
        <v>3578</v>
      </c>
      <c r="AC671" t="s">
        <v>3579</v>
      </c>
      <c r="AD671" t="s">
        <v>3479</v>
      </c>
      <c r="AE671" t="s">
        <v>3475</v>
      </c>
      <c r="AF671" s="2">
        <v>2181.5625</v>
      </c>
      <c r="AG671" s="2">
        <v>1320.6838</v>
      </c>
      <c r="AH671" s="2">
        <v>860.87869999999998</v>
      </c>
      <c r="AI671" s="3">
        <v>0.39461564818793898</v>
      </c>
    </row>
    <row r="672" spans="1:35">
      <c r="A672" s="1">
        <v>42241</v>
      </c>
      <c r="B672" s="1">
        <v>37419</v>
      </c>
      <c r="C672" t="s">
        <v>5224</v>
      </c>
      <c r="D672">
        <v>368</v>
      </c>
      <c r="E672">
        <v>13402</v>
      </c>
      <c r="F672">
        <v>4</v>
      </c>
      <c r="G672">
        <v>1</v>
      </c>
      <c r="H672">
        <v>1</v>
      </c>
      <c r="I672">
        <v>2</v>
      </c>
      <c r="J672" t="s">
        <v>3547</v>
      </c>
      <c r="K672" t="s">
        <v>3548</v>
      </c>
      <c r="L672" s="2">
        <v>1518.7864</v>
      </c>
      <c r="M672" s="2">
        <v>2443.35</v>
      </c>
      <c r="N672" t="s">
        <v>13</v>
      </c>
      <c r="O672" t="s">
        <v>284</v>
      </c>
      <c r="P672" t="s">
        <v>347</v>
      </c>
      <c r="Q672" t="s">
        <v>7001</v>
      </c>
      <c r="R672" s="1">
        <v>19081</v>
      </c>
      <c r="S672" t="s">
        <v>16</v>
      </c>
      <c r="T672" t="s">
        <v>16</v>
      </c>
      <c r="U672" t="s">
        <v>1524</v>
      </c>
      <c r="V672">
        <v>60000</v>
      </c>
      <c r="W672">
        <v>3</v>
      </c>
      <c r="X672" t="s">
        <v>57</v>
      </c>
      <c r="Y672" t="s">
        <v>18</v>
      </c>
      <c r="Z672" t="s">
        <v>23</v>
      </c>
      <c r="AA672" t="s">
        <v>3580</v>
      </c>
      <c r="AB672" t="s">
        <v>3578</v>
      </c>
      <c r="AC672" t="s">
        <v>3579</v>
      </c>
      <c r="AD672" t="s">
        <v>3479</v>
      </c>
      <c r="AE672" t="s">
        <v>3475</v>
      </c>
      <c r="AF672" s="2">
        <v>2443.35</v>
      </c>
      <c r="AG672" s="2">
        <v>1518.7864</v>
      </c>
      <c r="AH672" s="2">
        <v>924.56359999999995</v>
      </c>
      <c r="AI672" s="3">
        <v>0.37839998362903399</v>
      </c>
    </row>
    <row r="673" spans="1:35">
      <c r="A673" s="1">
        <v>42241</v>
      </c>
      <c r="B673" s="1">
        <v>37387</v>
      </c>
      <c r="C673" t="s">
        <v>5228</v>
      </c>
      <c r="D673">
        <v>373</v>
      </c>
      <c r="E673">
        <v>13353</v>
      </c>
      <c r="F673">
        <v>1</v>
      </c>
      <c r="G673">
        <v>1</v>
      </c>
      <c r="H673">
        <v>1</v>
      </c>
      <c r="I673">
        <v>2</v>
      </c>
      <c r="J673" t="s">
        <v>3555</v>
      </c>
      <c r="K673" t="s">
        <v>3556</v>
      </c>
      <c r="L673" s="2">
        <v>1320.6838</v>
      </c>
      <c r="M673" s="2">
        <v>2181.5625</v>
      </c>
      <c r="N673" t="s">
        <v>30</v>
      </c>
      <c r="O673" t="s">
        <v>1272</v>
      </c>
      <c r="P673" t="s">
        <v>264</v>
      </c>
      <c r="Q673" t="s">
        <v>7002</v>
      </c>
      <c r="R673" s="1">
        <v>16340</v>
      </c>
      <c r="S673" t="s">
        <v>22</v>
      </c>
      <c r="T673" t="s">
        <v>29</v>
      </c>
      <c r="U673" t="s">
        <v>1507</v>
      </c>
      <c r="V673">
        <v>60000</v>
      </c>
      <c r="W673">
        <v>4</v>
      </c>
      <c r="X673" t="s">
        <v>135</v>
      </c>
      <c r="Y673" t="s">
        <v>45</v>
      </c>
      <c r="Z673" t="s">
        <v>19</v>
      </c>
      <c r="AA673" t="s">
        <v>3577</v>
      </c>
      <c r="AB673" t="s">
        <v>3578</v>
      </c>
      <c r="AC673" t="s">
        <v>3579</v>
      </c>
      <c r="AD673" t="s">
        <v>3479</v>
      </c>
      <c r="AE673" t="s">
        <v>3475</v>
      </c>
      <c r="AF673" s="2">
        <v>2181.5625</v>
      </c>
      <c r="AG673" s="2">
        <v>1320.6838</v>
      </c>
      <c r="AH673" s="2">
        <v>860.87869999999998</v>
      </c>
      <c r="AI673" s="3">
        <v>0.39461564818793898</v>
      </c>
    </row>
    <row r="674" spans="1:35">
      <c r="A674" s="1">
        <v>42242</v>
      </c>
      <c r="B674" s="1">
        <v>37430</v>
      </c>
      <c r="C674" t="s">
        <v>5231</v>
      </c>
      <c r="D674">
        <v>377</v>
      </c>
      <c r="E674">
        <v>13385</v>
      </c>
      <c r="F674">
        <v>1</v>
      </c>
      <c r="G674">
        <v>1</v>
      </c>
      <c r="H674">
        <v>1</v>
      </c>
      <c r="I674">
        <v>2</v>
      </c>
      <c r="J674" t="s">
        <v>3559</v>
      </c>
      <c r="K674" t="s">
        <v>3560</v>
      </c>
      <c r="L674" s="2">
        <v>1320.6838</v>
      </c>
      <c r="M674" s="2">
        <v>2181.5625</v>
      </c>
      <c r="N674" t="s">
        <v>30</v>
      </c>
      <c r="O674" t="s">
        <v>323</v>
      </c>
      <c r="P674" t="s">
        <v>334</v>
      </c>
      <c r="Q674" t="s">
        <v>7003</v>
      </c>
      <c r="R674" s="1">
        <v>18594</v>
      </c>
      <c r="S674" t="s">
        <v>22</v>
      </c>
      <c r="T674" t="s">
        <v>29</v>
      </c>
      <c r="U674" t="s">
        <v>1521</v>
      </c>
      <c r="V674">
        <v>60000</v>
      </c>
      <c r="W674">
        <v>2</v>
      </c>
      <c r="X674" t="s">
        <v>52</v>
      </c>
      <c r="Y674" t="s">
        <v>18</v>
      </c>
      <c r="Z674" t="s">
        <v>19</v>
      </c>
      <c r="AA674" t="s">
        <v>3577</v>
      </c>
      <c r="AB674" t="s">
        <v>3578</v>
      </c>
      <c r="AC674" t="s">
        <v>3579</v>
      </c>
      <c r="AD674" t="s">
        <v>3479</v>
      </c>
      <c r="AE674" t="s">
        <v>3475</v>
      </c>
      <c r="AF674" s="2">
        <v>2181.5625</v>
      </c>
      <c r="AG674" s="2">
        <v>1320.6838</v>
      </c>
      <c r="AH674" s="2">
        <v>860.87869999999998</v>
      </c>
      <c r="AI674" s="3">
        <v>0.39461564818793898</v>
      </c>
    </row>
    <row r="675" spans="1:35">
      <c r="A675" s="1">
        <v>42242</v>
      </c>
      <c r="B675" s="1">
        <v>37465</v>
      </c>
      <c r="C675" t="s">
        <v>5235</v>
      </c>
      <c r="D675">
        <v>371</v>
      </c>
      <c r="E675">
        <v>13403</v>
      </c>
      <c r="F675">
        <v>1</v>
      </c>
      <c r="G675">
        <v>1</v>
      </c>
      <c r="H675">
        <v>1</v>
      </c>
      <c r="I675">
        <v>2</v>
      </c>
      <c r="J675" t="s">
        <v>3553</v>
      </c>
      <c r="K675" t="s">
        <v>3554</v>
      </c>
      <c r="L675" s="2">
        <v>1320.6838</v>
      </c>
      <c r="M675" s="2">
        <v>2181.5625</v>
      </c>
      <c r="N675" t="s">
        <v>30</v>
      </c>
      <c r="O675" t="s">
        <v>98</v>
      </c>
      <c r="P675" t="s">
        <v>393</v>
      </c>
      <c r="Q675" t="s">
        <v>7004</v>
      </c>
      <c r="R675" s="1">
        <v>19116</v>
      </c>
      <c r="S675" t="s">
        <v>22</v>
      </c>
      <c r="T675" t="s">
        <v>29</v>
      </c>
      <c r="U675" t="s">
        <v>1525</v>
      </c>
      <c r="V675">
        <v>70000</v>
      </c>
      <c r="W675">
        <v>5</v>
      </c>
      <c r="X675" t="s">
        <v>52</v>
      </c>
      <c r="Y675" t="s">
        <v>18</v>
      </c>
      <c r="Z675" t="s">
        <v>19</v>
      </c>
      <c r="AA675" t="s">
        <v>3577</v>
      </c>
      <c r="AB675" t="s">
        <v>3578</v>
      </c>
      <c r="AC675" t="s">
        <v>3579</v>
      </c>
      <c r="AD675" t="s">
        <v>3479</v>
      </c>
      <c r="AE675" t="s">
        <v>3475</v>
      </c>
      <c r="AF675" s="2">
        <v>2181.5625</v>
      </c>
      <c r="AG675" s="2">
        <v>1320.6838</v>
      </c>
      <c r="AH675" s="2">
        <v>860.87869999999998</v>
      </c>
      <c r="AI675" s="3">
        <v>0.39461564818793898</v>
      </c>
    </row>
    <row r="676" spans="1:35">
      <c r="A676" s="1">
        <v>42242</v>
      </c>
      <c r="B676" s="1">
        <v>37436</v>
      </c>
      <c r="C676" t="s">
        <v>5242</v>
      </c>
      <c r="D676">
        <v>360</v>
      </c>
      <c r="E676">
        <v>12670</v>
      </c>
      <c r="F676">
        <v>9</v>
      </c>
      <c r="G676">
        <v>1</v>
      </c>
      <c r="H676">
        <v>1</v>
      </c>
      <c r="I676">
        <v>1</v>
      </c>
      <c r="J676" t="s">
        <v>3543</v>
      </c>
      <c r="K676" t="s">
        <v>3544</v>
      </c>
      <c r="L676" s="2">
        <v>1105.81</v>
      </c>
      <c r="M676" s="2">
        <v>2049.0981999999999</v>
      </c>
      <c r="N676" t="s">
        <v>26</v>
      </c>
      <c r="O676" t="s">
        <v>298</v>
      </c>
      <c r="P676" t="s">
        <v>290</v>
      </c>
      <c r="Q676" t="s">
        <v>7005</v>
      </c>
      <c r="R676" s="1">
        <v>27596</v>
      </c>
      <c r="S676" t="s">
        <v>22</v>
      </c>
      <c r="T676" t="s">
        <v>29</v>
      </c>
      <c r="U676" t="s">
        <v>1227</v>
      </c>
      <c r="V676">
        <v>70000</v>
      </c>
      <c r="W676">
        <v>0</v>
      </c>
      <c r="X676" t="s">
        <v>17</v>
      </c>
      <c r="Y676" t="s">
        <v>18</v>
      </c>
      <c r="Z676" t="s">
        <v>23</v>
      </c>
      <c r="AA676" t="s">
        <v>3586</v>
      </c>
      <c r="AB676" t="s">
        <v>3586</v>
      </c>
      <c r="AC676" t="s">
        <v>3587</v>
      </c>
      <c r="AD676" t="s">
        <v>3478</v>
      </c>
      <c r="AE676" t="s">
        <v>3475</v>
      </c>
      <c r="AF676" s="2">
        <v>2049.0981999999999</v>
      </c>
      <c r="AG676" s="2">
        <v>1105.81</v>
      </c>
      <c r="AH676" s="2">
        <v>943.28819999999996</v>
      </c>
      <c r="AI676" s="3">
        <v>0.46034309141455498</v>
      </c>
    </row>
    <row r="677" spans="1:35">
      <c r="A677" s="1">
        <v>42242</v>
      </c>
      <c r="B677" s="1">
        <v>37479</v>
      </c>
      <c r="C677" t="s">
        <v>5236</v>
      </c>
      <c r="D677">
        <v>369</v>
      </c>
      <c r="E677">
        <v>13425</v>
      </c>
      <c r="F677">
        <v>1</v>
      </c>
      <c r="G677">
        <v>1</v>
      </c>
      <c r="H677">
        <v>1</v>
      </c>
      <c r="I677">
        <v>2</v>
      </c>
      <c r="J677" t="s">
        <v>3549</v>
      </c>
      <c r="K677" t="s">
        <v>3550</v>
      </c>
      <c r="L677" s="2">
        <v>1518.7864</v>
      </c>
      <c r="M677" s="2">
        <v>2443.35</v>
      </c>
      <c r="N677" t="s">
        <v>13</v>
      </c>
      <c r="O677" t="s">
        <v>304</v>
      </c>
      <c r="P677" t="s">
        <v>99</v>
      </c>
      <c r="Q677" t="s">
        <v>7006</v>
      </c>
      <c r="R677" s="1">
        <v>23564</v>
      </c>
      <c r="S677" t="s">
        <v>16</v>
      </c>
      <c r="T677" t="s">
        <v>16</v>
      </c>
      <c r="U677" t="s">
        <v>1530</v>
      </c>
      <c r="V677">
        <v>90000</v>
      </c>
      <c r="W677">
        <v>5</v>
      </c>
      <c r="X677" t="s">
        <v>52</v>
      </c>
      <c r="Y677" t="s">
        <v>18</v>
      </c>
      <c r="Z677" t="s">
        <v>19</v>
      </c>
      <c r="AA677" t="s">
        <v>3577</v>
      </c>
      <c r="AB677" t="s">
        <v>3578</v>
      </c>
      <c r="AC677" t="s">
        <v>3579</v>
      </c>
      <c r="AD677" t="s">
        <v>3479</v>
      </c>
      <c r="AE677" t="s">
        <v>3475</v>
      </c>
      <c r="AF677" s="2">
        <v>2443.35</v>
      </c>
      <c r="AG677" s="2">
        <v>1518.7864</v>
      </c>
      <c r="AH677" s="2">
        <v>924.56359999999995</v>
      </c>
      <c r="AI677" s="3">
        <v>0.37839998362903399</v>
      </c>
    </row>
    <row r="678" spans="1:35">
      <c r="A678" s="1">
        <v>42243</v>
      </c>
      <c r="B678" s="1">
        <v>37459</v>
      </c>
      <c r="C678" t="s">
        <v>5245</v>
      </c>
      <c r="D678">
        <v>362</v>
      </c>
      <c r="E678">
        <v>12673</v>
      </c>
      <c r="F678">
        <v>9</v>
      </c>
      <c r="G678">
        <v>1</v>
      </c>
      <c r="H678">
        <v>1</v>
      </c>
      <c r="I678">
        <v>1</v>
      </c>
      <c r="J678" t="s">
        <v>3545</v>
      </c>
      <c r="K678" t="s">
        <v>3546</v>
      </c>
      <c r="L678" s="2">
        <v>1105.81</v>
      </c>
      <c r="M678" s="2">
        <v>2049.0981999999999</v>
      </c>
      <c r="N678" t="s">
        <v>13</v>
      </c>
      <c r="O678" t="s">
        <v>371</v>
      </c>
      <c r="P678" t="s">
        <v>91</v>
      </c>
      <c r="Q678" t="s">
        <v>7007</v>
      </c>
      <c r="R678" s="1">
        <v>27634</v>
      </c>
      <c r="S678" t="s">
        <v>16</v>
      </c>
      <c r="T678" t="s">
        <v>16</v>
      </c>
      <c r="U678" t="s">
        <v>1229</v>
      </c>
      <c r="V678">
        <v>80000</v>
      </c>
      <c r="W678">
        <v>0</v>
      </c>
      <c r="X678" t="s">
        <v>17</v>
      </c>
      <c r="Y678" t="s">
        <v>18</v>
      </c>
      <c r="Z678" t="s">
        <v>19</v>
      </c>
      <c r="AA678" t="s">
        <v>3586</v>
      </c>
      <c r="AB678" t="s">
        <v>3586</v>
      </c>
      <c r="AC678" t="s">
        <v>3587</v>
      </c>
      <c r="AD678" t="s">
        <v>3478</v>
      </c>
      <c r="AE678" t="s">
        <v>3475</v>
      </c>
      <c r="AF678" s="2">
        <v>2049.0981999999999</v>
      </c>
      <c r="AG678" s="2">
        <v>1105.81</v>
      </c>
      <c r="AH678" s="2">
        <v>943.28819999999996</v>
      </c>
      <c r="AI678" s="3">
        <v>0.46034309141455498</v>
      </c>
    </row>
    <row r="679" spans="1:35">
      <c r="A679" s="1">
        <v>42243</v>
      </c>
      <c r="B679" s="1">
        <v>37450</v>
      </c>
      <c r="C679" t="s">
        <v>5243</v>
      </c>
      <c r="D679">
        <v>377</v>
      </c>
      <c r="E679">
        <v>13316</v>
      </c>
      <c r="F679">
        <v>4</v>
      </c>
      <c r="G679">
        <v>1</v>
      </c>
      <c r="H679">
        <v>1</v>
      </c>
      <c r="I679">
        <v>2</v>
      </c>
      <c r="J679" t="s">
        <v>3559</v>
      </c>
      <c r="K679" t="s">
        <v>3560</v>
      </c>
      <c r="L679" s="2">
        <v>1320.6838</v>
      </c>
      <c r="M679" s="2">
        <v>2181.5625</v>
      </c>
      <c r="N679" t="s">
        <v>13</v>
      </c>
      <c r="O679" t="s">
        <v>350</v>
      </c>
      <c r="P679" t="s">
        <v>243</v>
      </c>
      <c r="Q679" t="s">
        <v>7008</v>
      </c>
      <c r="R679" s="1">
        <v>19831</v>
      </c>
      <c r="S679" t="s">
        <v>16</v>
      </c>
      <c r="T679" t="s">
        <v>16</v>
      </c>
      <c r="U679" t="s">
        <v>1494</v>
      </c>
      <c r="V679">
        <v>80000</v>
      </c>
      <c r="W679">
        <v>3</v>
      </c>
      <c r="X679" t="s">
        <v>77</v>
      </c>
      <c r="Y679" t="s">
        <v>53</v>
      </c>
      <c r="Z679" t="s">
        <v>19</v>
      </c>
      <c r="AA679" t="s">
        <v>3580</v>
      </c>
      <c r="AB679" t="s">
        <v>3578</v>
      </c>
      <c r="AC679" t="s">
        <v>3579</v>
      </c>
      <c r="AD679" t="s">
        <v>3479</v>
      </c>
      <c r="AE679" t="s">
        <v>3475</v>
      </c>
      <c r="AF679" s="2">
        <v>2181.5625</v>
      </c>
      <c r="AG679" s="2">
        <v>1320.6838</v>
      </c>
      <c r="AH679" s="2">
        <v>860.87869999999998</v>
      </c>
      <c r="AI679" s="3">
        <v>0.39461564818793898</v>
      </c>
    </row>
    <row r="680" spans="1:35">
      <c r="A680" s="1">
        <v>42245</v>
      </c>
      <c r="B680" s="1">
        <v>37480</v>
      </c>
      <c r="C680" t="s">
        <v>5262</v>
      </c>
      <c r="D680">
        <v>360</v>
      </c>
      <c r="E680">
        <v>12681</v>
      </c>
      <c r="F680">
        <v>9</v>
      </c>
      <c r="G680">
        <v>1</v>
      </c>
      <c r="H680">
        <v>1</v>
      </c>
      <c r="I680">
        <v>1</v>
      </c>
      <c r="J680" t="s">
        <v>3543</v>
      </c>
      <c r="K680" t="s">
        <v>3544</v>
      </c>
      <c r="L680" s="2">
        <v>1105.81</v>
      </c>
      <c r="M680" s="2">
        <v>2049.0981999999999</v>
      </c>
      <c r="N680" t="s">
        <v>26</v>
      </c>
      <c r="O680" t="s">
        <v>27</v>
      </c>
      <c r="P680" t="s">
        <v>609</v>
      </c>
      <c r="Q680" t="s">
        <v>7009</v>
      </c>
      <c r="R680" s="1">
        <v>26366</v>
      </c>
      <c r="S680" t="s">
        <v>22</v>
      </c>
      <c r="T680" t="s">
        <v>29</v>
      </c>
      <c r="U680" t="s">
        <v>1235</v>
      </c>
      <c r="V680">
        <v>80000</v>
      </c>
      <c r="W680">
        <v>0</v>
      </c>
      <c r="X680" t="s">
        <v>17</v>
      </c>
      <c r="Y680" t="s">
        <v>18</v>
      </c>
      <c r="Z680" t="s">
        <v>23</v>
      </c>
      <c r="AA680" t="s">
        <v>3586</v>
      </c>
      <c r="AB680" t="s">
        <v>3586</v>
      </c>
      <c r="AC680" t="s">
        <v>3587</v>
      </c>
      <c r="AD680" t="s">
        <v>3478</v>
      </c>
      <c r="AE680" t="s">
        <v>3475</v>
      </c>
      <c r="AF680" s="2">
        <v>2049.0981999999999</v>
      </c>
      <c r="AG680" s="2">
        <v>1105.81</v>
      </c>
      <c r="AH680" s="2">
        <v>943.28819999999996</v>
      </c>
      <c r="AI680" s="3">
        <v>0.46034309141455498</v>
      </c>
    </row>
    <row r="681" spans="1:35">
      <c r="A681" s="1">
        <v>42247</v>
      </c>
      <c r="B681" s="1">
        <v>37398</v>
      </c>
      <c r="C681" t="s">
        <v>5286</v>
      </c>
      <c r="D681">
        <v>354</v>
      </c>
      <c r="E681">
        <v>12686</v>
      </c>
      <c r="F681">
        <v>9</v>
      </c>
      <c r="G681">
        <v>1</v>
      </c>
      <c r="H681">
        <v>1</v>
      </c>
      <c r="I681">
        <v>1</v>
      </c>
      <c r="J681" t="s">
        <v>3537</v>
      </c>
      <c r="K681" t="s">
        <v>3538</v>
      </c>
      <c r="L681" s="2">
        <v>1117.8559</v>
      </c>
      <c r="M681" s="2">
        <v>2071.4196000000002</v>
      </c>
      <c r="N681" t="s">
        <v>26</v>
      </c>
      <c r="O681" t="s">
        <v>644</v>
      </c>
      <c r="P681" t="s">
        <v>138</v>
      </c>
      <c r="Q681" t="s">
        <v>7010</v>
      </c>
      <c r="R681" s="1">
        <v>26590</v>
      </c>
      <c r="S681" t="s">
        <v>22</v>
      </c>
      <c r="T681" t="s">
        <v>29</v>
      </c>
      <c r="U681" t="s">
        <v>1239</v>
      </c>
      <c r="V681">
        <v>90000</v>
      </c>
      <c r="W681">
        <v>0</v>
      </c>
      <c r="X681" t="s">
        <v>17</v>
      </c>
      <c r="Y681" t="s">
        <v>18</v>
      </c>
      <c r="Z681" t="s">
        <v>19</v>
      </c>
      <c r="AA681" t="s">
        <v>3586</v>
      </c>
      <c r="AB681" t="s">
        <v>3586</v>
      </c>
      <c r="AC681" t="s">
        <v>3587</v>
      </c>
      <c r="AD681" t="s">
        <v>3478</v>
      </c>
      <c r="AE681" t="s">
        <v>3475</v>
      </c>
      <c r="AF681" s="2">
        <v>2071.4196000000002</v>
      </c>
      <c r="AG681" s="2">
        <v>1117.8559</v>
      </c>
      <c r="AH681" s="2">
        <v>953.56370000000004</v>
      </c>
      <c r="AI681" s="3">
        <v>0.460343090313522</v>
      </c>
    </row>
    <row r="682" spans="1:35">
      <c r="A682" s="1">
        <v>42265</v>
      </c>
      <c r="B682" s="1">
        <v>37414</v>
      </c>
      <c r="C682" t="s">
        <v>5401</v>
      </c>
      <c r="D682">
        <v>352</v>
      </c>
      <c r="E682">
        <v>12687</v>
      </c>
      <c r="F682">
        <v>9</v>
      </c>
      <c r="G682">
        <v>1</v>
      </c>
      <c r="H682">
        <v>1</v>
      </c>
      <c r="I682">
        <v>1</v>
      </c>
      <c r="J682" t="s">
        <v>3535</v>
      </c>
      <c r="K682" t="s">
        <v>3536</v>
      </c>
      <c r="L682" s="2">
        <v>1117.8559</v>
      </c>
      <c r="M682" s="2">
        <v>2071.4196000000002</v>
      </c>
      <c r="N682" t="s">
        <v>13</v>
      </c>
      <c r="O682" t="s">
        <v>340</v>
      </c>
      <c r="P682" t="s">
        <v>338</v>
      </c>
      <c r="Q682" t="s">
        <v>7011</v>
      </c>
      <c r="R682" s="1">
        <v>26409</v>
      </c>
      <c r="S682" t="s">
        <v>22</v>
      </c>
      <c r="T682" t="s">
        <v>16</v>
      </c>
      <c r="U682" t="s">
        <v>1240</v>
      </c>
      <c r="V682">
        <v>90000</v>
      </c>
      <c r="W682">
        <v>0</v>
      </c>
      <c r="X682" t="s">
        <v>17</v>
      </c>
      <c r="Y682" t="s">
        <v>18</v>
      </c>
      <c r="Z682" t="s">
        <v>23</v>
      </c>
      <c r="AA682" t="s">
        <v>3586</v>
      </c>
      <c r="AB682" t="s">
        <v>3586</v>
      </c>
      <c r="AC682" t="s">
        <v>3587</v>
      </c>
      <c r="AD682" t="s">
        <v>3478</v>
      </c>
      <c r="AE682" t="s">
        <v>3475</v>
      </c>
      <c r="AF682" s="2">
        <v>2071.4196000000002</v>
      </c>
      <c r="AG682" s="2">
        <v>1117.8559</v>
      </c>
      <c r="AH682" s="2">
        <v>953.56370000000004</v>
      </c>
      <c r="AI682" s="3">
        <v>0.460343090313522</v>
      </c>
    </row>
    <row r="683" spans="1:35">
      <c r="A683" s="1">
        <v>42256</v>
      </c>
      <c r="B683" s="1">
        <v>37479</v>
      </c>
      <c r="C683" t="s">
        <v>5336</v>
      </c>
      <c r="D683">
        <v>352</v>
      </c>
      <c r="E683">
        <v>12688</v>
      </c>
      <c r="F683">
        <v>9</v>
      </c>
      <c r="G683">
        <v>1</v>
      </c>
      <c r="H683">
        <v>1</v>
      </c>
      <c r="I683">
        <v>1</v>
      </c>
      <c r="J683" t="s">
        <v>3535</v>
      </c>
      <c r="K683" t="s">
        <v>3536</v>
      </c>
      <c r="L683" s="2">
        <v>1117.8559</v>
      </c>
      <c r="M683" s="2">
        <v>2071.4196000000002</v>
      </c>
      <c r="N683" t="s">
        <v>26</v>
      </c>
      <c r="O683" t="s">
        <v>814</v>
      </c>
      <c r="P683" t="s">
        <v>153</v>
      </c>
      <c r="Q683" t="s">
        <v>7012</v>
      </c>
      <c r="R683" s="1">
        <v>26515</v>
      </c>
      <c r="S683" t="s">
        <v>22</v>
      </c>
      <c r="T683" t="s">
        <v>29</v>
      </c>
      <c r="U683" t="s">
        <v>1241</v>
      </c>
      <c r="V683">
        <v>90000</v>
      </c>
      <c r="W683">
        <v>0</v>
      </c>
      <c r="X683" t="s">
        <v>17</v>
      </c>
      <c r="Y683" t="s">
        <v>18</v>
      </c>
      <c r="Z683" t="s">
        <v>19</v>
      </c>
      <c r="AA683" t="s">
        <v>3586</v>
      </c>
      <c r="AB683" t="s">
        <v>3586</v>
      </c>
      <c r="AC683" t="s">
        <v>3587</v>
      </c>
      <c r="AD683" t="s">
        <v>3478</v>
      </c>
      <c r="AE683" t="s">
        <v>3475</v>
      </c>
      <c r="AF683" s="2">
        <v>2071.4196000000002</v>
      </c>
      <c r="AG683" s="2">
        <v>1117.8559</v>
      </c>
      <c r="AH683" s="2">
        <v>953.56370000000004</v>
      </c>
      <c r="AI683" s="3">
        <v>0.460343090313522</v>
      </c>
    </row>
    <row r="684" spans="1:35">
      <c r="A684" s="1">
        <v>42244</v>
      </c>
      <c r="B684" s="1">
        <v>37435</v>
      </c>
      <c r="C684" t="s">
        <v>5254</v>
      </c>
      <c r="D684">
        <v>369</v>
      </c>
      <c r="E684">
        <v>13361</v>
      </c>
      <c r="F684">
        <v>1</v>
      </c>
      <c r="G684">
        <v>1</v>
      </c>
      <c r="H684">
        <v>1</v>
      </c>
      <c r="I684">
        <v>2</v>
      </c>
      <c r="J684" t="s">
        <v>3549</v>
      </c>
      <c r="K684" t="s">
        <v>3550</v>
      </c>
      <c r="L684" s="2">
        <v>1518.7864</v>
      </c>
      <c r="M684" s="2">
        <v>2443.35</v>
      </c>
      <c r="N684" t="s">
        <v>13</v>
      </c>
      <c r="O684" t="s">
        <v>415</v>
      </c>
      <c r="P684" t="s">
        <v>476</v>
      </c>
      <c r="Q684" t="s">
        <v>7013</v>
      </c>
      <c r="R684" s="1">
        <v>17046</v>
      </c>
      <c r="S684" t="s">
        <v>16</v>
      </c>
      <c r="T684" t="s">
        <v>16</v>
      </c>
      <c r="U684" t="s">
        <v>1513</v>
      </c>
      <c r="V684">
        <v>60000</v>
      </c>
      <c r="W684">
        <v>5</v>
      </c>
      <c r="X684" t="s">
        <v>17</v>
      </c>
      <c r="Y684" t="s">
        <v>45</v>
      </c>
      <c r="Z684" t="s">
        <v>19</v>
      </c>
      <c r="AA684" t="s">
        <v>3577</v>
      </c>
      <c r="AB684" t="s">
        <v>3578</v>
      </c>
      <c r="AC684" t="s">
        <v>3579</v>
      </c>
      <c r="AD684" t="s">
        <v>3479</v>
      </c>
      <c r="AE684" t="s">
        <v>3475</v>
      </c>
      <c r="AF684" s="2">
        <v>2443.35</v>
      </c>
      <c r="AG684" s="2">
        <v>1518.7864</v>
      </c>
      <c r="AH684" s="2">
        <v>924.56359999999995</v>
      </c>
      <c r="AI684" s="3">
        <v>0.37839998362903399</v>
      </c>
    </row>
    <row r="685" spans="1:35">
      <c r="A685" s="1">
        <v>42271</v>
      </c>
      <c r="B685" s="1">
        <v>37490</v>
      </c>
      <c r="C685" t="s">
        <v>5446</v>
      </c>
      <c r="D685">
        <v>356</v>
      </c>
      <c r="E685">
        <v>12689</v>
      </c>
      <c r="F685">
        <v>9</v>
      </c>
      <c r="G685">
        <v>1</v>
      </c>
      <c r="H685">
        <v>1</v>
      </c>
      <c r="I685">
        <v>1</v>
      </c>
      <c r="J685" t="s">
        <v>3539</v>
      </c>
      <c r="K685" t="s">
        <v>3540</v>
      </c>
      <c r="L685" s="2">
        <v>1117.8559</v>
      </c>
      <c r="M685" s="2">
        <v>2071.4196000000002</v>
      </c>
      <c r="N685" t="s">
        <v>26</v>
      </c>
      <c r="O685" t="s">
        <v>181</v>
      </c>
      <c r="P685" t="s">
        <v>490</v>
      </c>
      <c r="Q685" t="s">
        <v>7014</v>
      </c>
      <c r="R685" s="1">
        <v>26577</v>
      </c>
      <c r="S685" t="s">
        <v>22</v>
      </c>
      <c r="T685" t="s">
        <v>29</v>
      </c>
      <c r="U685" t="s">
        <v>1242</v>
      </c>
      <c r="V685">
        <v>90000</v>
      </c>
      <c r="W685">
        <v>0</v>
      </c>
      <c r="X685" t="s">
        <v>17</v>
      </c>
      <c r="Y685" t="s">
        <v>18</v>
      </c>
      <c r="Z685" t="s">
        <v>23</v>
      </c>
      <c r="AA685" t="s">
        <v>3586</v>
      </c>
      <c r="AB685" t="s">
        <v>3586</v>
      </c>
      <c r="AC685" t="s">
        <v>3587</v>
      </c>
      <c r="AD685" t="s">
        <v>3478</v>
      </c>
      <c r="AE685" t="s">
        <v>3475</v>
      </c>
      <c r="AF685" s="2">
        <v>2071.4196000000002</v>
      </c>
      <c r="AG685" s="2">
        <v>1117.8559</v>
      </c>
      <c r="AH685" s="2">
        <v>953.56370000000004</v>
      </c>
      <c r="AI685" s="3">
        <v>0.460343090313522</v>
      </c>
    </row>
    <row r="686" spans="1:35">
      <c r="A686" s="1">
        <v>42244</v>
      </c>
      <c r="B686" s="1">
        <v>37376</v>
      </c>
      <c r="C686" t="s">
        <v>5255</v>
      </c>
      <c r="D686">
        <v>375</v>
      </c>
      <c r="E686">
        <v>13273</v>
      </c>
      <c r="F686">
        <v>4</v>
      </c>
      <c r="G686">
        <v>1</v>
      </c>
      <c r="H686">
        <v>1</v>
      </c>
      <c r="I686">
        <v>2</v>
      </c>
      <c r="J686" t="s">
        <v>3557</v>
      </c>
      <c r="K686" t="s">
        <v>3558</v>
      </c>
      <c r="L686" s="2">
        <v>1320.6838</v>
      </c>
      <c r="M686" s="2">
        <v>2181.5625</v>
      </c>
      <c r="N686" t="s">
        <v>30</v>
      </c>
      <c r="O686" t="s">
        <v>31</v>
      </c>
      <c r="P686" t="s">
        <v>307</v>
      </c>
      <c r="Q686" t="s">
        <v>7015</v>
      </c>
      <c r="R686" s="1">
        <v>12086</v>
      </c>
      <c r="S686" t="s">
        <v>22</v>
      </c>
      <c r="T686" t="s">
        <v>29</v>
      </c>
      <c r="U686" t="s">
        <v>1477</v>
      </c>
      <c r="V686">
        <v>110000</v>
      </c>
      <c r="W686">
        <v>1</v>
      </c>
      <c r="X686" t="s">
        <v>135</v>
      </c>
      <c r="Y686" t="s">
        <v>45</v>
      </c>
      <c r="Z686" t="s">
        <v>19</v>
      </c>
      <c r="AA686" t="s">
        <v>3580</v>
      </c>
      <c r="AB686" t="s">
        <v>3578</v>
      </c>
      <c r="AC686" t="s">
        <v>3579</v>
      </c>
      <c r="AD686" t="s">
        <v>3479</v>
      </c>
      <c r="AE686" t="s">
        <v>3475</v>
      </c>
      <c r="AF686" s="2">
        <v>2181.5625</v>
      </c>
      <c r="AG686" s="2">
        <v>1320.6838</v>
      </c>
      <c r="AH686" s="2">
        <v>860.87869999999998</v>
      </c>
      <c r="AI686" s="3">
        <v>0.39461564818793898</v>
      </c>
    </row>
    <row r="687" spans="1:35">
      <c r="A687" s="1">
        <v>42244</v>
      </c>
      <c r="B687" s="1">
        <v>37385</v>
      </c>
      <c r="C687" t="s">
        <v>5256</v>
      </c>
      <c r="D687">
        <v>373</v>
      </c>
      <c r="E687">
        <v>13354</v>
      </c>
      <c r="F687">
        <v>1</v>
      </c>
      <c r="G687">
        <v>1</v>
      </c>
      <c r="H687">
        <v>1</v>
      </c>
      <c r="I687">
        <v>2</v>
      </c>
      <c r="J687" t="s">
        <v>3555</v>
      </c>
      <c r="K687" t="s">
        <v>3556</v>
      </c>
      <c r="L687" s="2">
        <v>1320.6838</v>
      </c>
      <c r="M687" s="2">
        <v>2181.5625</v>
      </c>
      <c r="N687" t="s">
        <v>13</v>
      </c>
      <c r="O687" t="s">
        <v>1508</v>
      </c>
      <c r="P687" t="s">
        <v>326</v>
      </c>
      <c r="Q687" t="s">
        <v>7016</v>
      </c>
      <c r="R687" s="1">
        <v>16387</v>
      </c>
      <c r="S687" t="s">
        <v>16</v>
      </c>
      <c r="T687" t="s">
        <v>16</v>
      </c>
      <c r="U687" t="s">
        <v>1509</v>
      </c>
      <c r="V687">
        <v>70000</v>
      </c>
      <c r="W687">
        <v>5</v>
      </c>
      <c r="X687" t="s">
        <v>17</v>
      </c>
      <c r="Y687" t="s">
        <v>45</v>
      </c>
      <c r="Z687" t="s">
        <v>19</v>
      </c>
      <c r="AA687" t="s">
        <v>3577</v>
      </c>
      <c r="AB687" t="s">
        <v>3578</v>
      </c>
      <c r="AC687" t="s">
        <v>3579</v>
      </c>
      <c r="AD687" t="s">
        <v>3479</v>
      </c>
      <c r="AE687" t="s">
        <v>3475</v>
      </c>
      <c r="AF687" s="2">
        <v>2181.5625</v>
      </c>
      <c r="AG687" s="2">
        <v>1320.6838</v>
      </c>
      <c r="AH687" s="2">
        <v>860.87869999999998</v>
      </c>
      <c r="AI687" s="3">
        <v>0.39461564818793898</v>
      </c>
    </row>
    <row r="688" spans="1:35">
      <c r="A688" s="1">
        <v>42244</v>
      </c>
      <c r="B688" s="1">
        <v>37393</v>
      </c>
      <c r="C688" t="s">
        <v>5257</v>
      </c>
      <c r="D688">
        <v>377</v>
      </c>
      <c r="E688">
        <v>13315</v>
      </c>
      <c r="F688">
        <v>4</v>
      </c>
      <c r="G688">
        <v>1</v>
      </c>
      <c r="H688">
        <v>1</v>
      </c>
      <c r="I688">
        <v>2</v>
      </c>
      <c r="J688" t="s">
        <v>3559</v>
      </c>
      <c r="K688" t="s">
        <v>3560</v>
      </c>
      <c r="L688" s="2">
        <v>1320.6838</v>
      </c>
      <c r="M688" s="2">
        <v>2181.5625</v>
      </c>
      <c r="N688" t="s">
        <v>13</v>
      </c>
      <c r="O688" t="s">
        <v>176</v>
      </c>
      <c r="P688" t="s">
        <v>299</v>
      </c>
      <c r="Q688" t="s">
        <v>7017</v>
      </c>
      <c r="R688" s="1">
        <v>19817</v>
      </c>
      <c r="S688" t="s">
        <v>16</v>
      </c>
      <c r="T688" t="s">
        <v>16</v>
      </c>
      <c r="U688" t="s">
        <v>1493</v>
      </c>
      <c r="V688">
        <v>80000</v>
      </c>
      <c r="W688">
        <v>2</v>
      </c>
      <c r="X688" t="s">
        <v>77</v>
      </c>
      <c r="Y688" t="s">
        <v>53</v>
      </c>
      <c r="Z688" t="s">
        <v>19</v>
      </c>
      <c r="AA688" t="s">
        <v>3580</v>
      </c>
      <c r="AB688" t="s">
        <v>3578</v>
      </c>
      <c r="AC688" t="s">
        <v>3579</v>
      </c>
      <c r="AD688" t="s">
        <v>3479</v>
      </c>
      <c r="AE688" t="s">
        <v>3475</v>
      </c>
      <c r="AF688" s="2">
        <v>2181.5625</v>
      </c>
      <c r="AG688" s="2">
        <v>1320.6838</v>
      </c>
      <c r="AH688" s="2">
        <v>860.87869999999998</v>
      </c>
      <c r="AI688" s="3">
        <v>0.39461564818793898</v>
      </c>
    </row>
    <row r="689" spans="1:35">
      <c r="A689" s="1">
        <v>42250</v>
      </c>
      <c r="B689" s="1">
        <v>37432</v>
      </c>
      <c r="C689" t="s">
        <v>5304</v>
      </c>
      <c r="D689">
        <v>352</v>
      </c>
      <c r="E689">
        <v>12693</v>
      </c>
      <c r="F689">
        <v>9</v>
      </c>
      <c r="G689">
        <v>1</v>
      </c>
      <c r="H689">
        <v>1</v>
      </c>
      <c r="I689">
        <v>1</v>
      </c>
      <c r="J689" t="s">
        <v>3535</v>
      </c>
      <c r="K689" t="s">
        <v>3536</v>
      </c>
      <c r="L689" s="2">
        <v>1117.8559</v>
      </c>
      <c r="M689" s="2">
        <v>2071.4196000000002</v>
      </c>
      <c r="N689" t="s">
        <v>26</v>
      </c>
      <c r="O689" t="s">
        <v>1044</v>
      </c>
      <c r="P689" t="s">
        <v>95</v>
      </c>
      <c r="Q689" t="s">
        <v>7018</v>
      </c>
      <c r="R689" s="1">
        <v>25942</v>
      </c>
      <c r="S689" t="s">
        <v>16</v>
      </c>
      <c r="T689" t="s">
        <v>29</v>
      </c>
      <c r="U689" t="s">
        <v>1243</v>
      </c>
      <c r="V689">
        <v>80000</v>
      </c>
      <c r="W689">
        <v>0</v>
      </c>
      <c r="X689" t="s">
        <v>17</v>
      </c>
      <c r="Y689" t="s">
        <v>18</v>
      </c>
      <c r="Z689" t="s">
        <v>19</v>
      </c>
      <c r="AA689" t="s">
        <v>3586</v>
      </c>
      <c r="AB689" t="s">
        <v>3586</v>
      </c>
      <c r="AC689" t="s">
        <v>3587</v>
      </c>
      <c r="AD689" t="s">
        <v>3478</v>
      </c>
      <c r="AE689" t="s">
        <v>3475</v>
      </c>
      <c r="AF689" s="2">
        <v>2071.4196000000002</v>
      </c>
      <c r="AG689" s="2">
        <v>1117.8559</v>
      </c>
      <c r="AH689" s="2">
        <v>953.56370000000004</v>
      </c>
      <c r="AI689" s="3">
        <v>0.460343090313522</v>
      </c>
    </row>
    <row r="690" spans="1:35">
      <c r="A690" s="1">
        <v>42260</v>
      </c>
      <c r="B690" s="1">
        <v>37398</v>
      </c>
      <c r="C690" t="s">
        <v>5368</v>
      </c>
      <c r="D690">
        <v>358</v>
      </c>
      <c r="E690">
        <v>12694</v>
      </c>
      <c r="F690">
        <v>9</v>
      </c>
      <c r="G690">
        <v>1</v>
      </c>
      <c r="H690">
        <v>1</v>
      </c>
      <c r="I690">
        <v>1</v>
      </c>
      <c r="J690" t="s">
        <v>3541</v>
      </c>
      <c r="K690" t="s">
        <v>3542</v>
      </c>
      <c r="L690" s="2">
        <v>1105.81</v>
      </c>
      <c r="M690" s="2">
        <v>2049.0981999999999</v>
      </c>
      <c r="N690" t="s">
        <v>13</v>
      </c>
      <c r="O690" t="s">
        <v>556</v>
      </c>
      <c r="P690" t="s">
        <v>453</v>
      </c>
      <c r="Q690" t="s">
        <v>7019</v>
      </c>
      <c r="R690" s="1">
        <v>26309</v>
      </c>
      <c r="S690" t="s">
        <v>22</v>
      </c>
      <c r="T690" t="s">
        <v>16</v>
      </c>
      <c r="U690" t="s">
        <v>1244</v>
      </c>
      <c r="V690">
        <v>120000</v>
      </c>
      <c r="W690">
        <v>0</v>
      </c>
      <c r="X690" t="s">
        <v>77</v>
      </c>
      <c r="Y690" t="s">
        <v>18</v>
      </c>
      <c r="Z690" t="s">
        <v>19</v>
      </c>
      <c r="AA690" t="s">
        <v>3586</v>
      </c>
      <c r="AB690" t="s">
        <v>3586</v>
      </c>
      <c r="AC690" t="s">
        <v>3587</v>
      </c>
      <c r="AD690" t="s">
        <v>3478</v>
      </c>
      <c r="AE690" t="s">
        <v>3475</v>
      </c>
      <c r="AF690" s="2">
        <v>2049.0981999999999</v>
      </c>
      <c r="AG690" s="2">
        <v>1105.81</v>
      </c>
      <c r="AH690" s="2">
        <v>943.28819999999996</v>
      </c>
      <c r="AI690" s="3">
        <v>0.46034309141455498</v>
      </c>
    </row>
    <row r="691" spans="1:35">
      <c r="A691" s="1">
        <v>42244</v>
      </c>
      <c r="B691" s="1">
        <v>37481</v>
      </c>
      <c r="C691" t="s">
        <v>5260</v>
      </c>
      <c r="D691">
        <v>370</v>
      </c>
      <c r="E691">
        <v>13299</v>
      </c>
      <c r="F691">
        <v>4</v>
      </c>
      <c r="G691">
        <v>1</v>
      </c>
      <c r="H691">
        <v>1</v>
      </c>
      <c r="I691">
        <v>2</v>
      </c>
      <c r="J691" t="s">
        <v>3551</v>
      </c>
      <c r="K691" t="s">
        <v>3552</v>
      </c>
      <c r="L691" s="2">
        <v>1518.7864</v>
      </c>
      <c r="M691" s="2">
        <v>2443.35</v>
      </c>
      <c r="N691" t="s">
        <v>30</v>
      </c>
      <c r="O691" t="s">
        <v>1315</v>
      </c>
      <c r="P691" t="s">
        <v>199</v>
      </c>
      <c r="Q691" t="s">
        <v>7020</v>
      </c>
      <c r="R691" s="1">
        <v>22569</v>
      </c>
      <c r="S691" t="s">
        <v>16</v>
      </c>
      <c r="T691" t="s">
        <v>29</v>
      </c>
      <c r="U691" t="s">
        <v>1490</v>
      </c>
      <c r="V691">
        <v>130000</v>
      </c>
      <c r="W691">
        <v>1</v>
      </c>
      <c r="X691" t="s">
        <v>17</v>
      </c>
      <c r="Y691" t="s">
        <v>45</v>
      </c>
      <c r="Z691" t="s">
        <v>19</v>
      </c>
      <c r="AA691" t="s">
        <v>3580</v>
      </c>
      <c r="AB691" t="s">
        <v>3578</v>
      </c>
      <c r="AC691" t="s">
        <v>3579</v>
      </c>
      <c r="AD691" t="s">
        <v>3479</v>
      </c>
      <c r="AE691" t="s">
        <v>3475</v>
      </c>
      <c r="AF691" s="2">
        <v>2443.35</v>
      </c>
      <c r="AG691" s="2">
        <v>1518.7864</v>
      </c>
      <c r="AH691" s="2">
        <v>924.56359999999995</v>
      </c>
      <c r="AI691" s="3">
        <v>0.37839998362903399</v>
      </c>
    </row>
    <row r="692" spans="1:35">
      <c r="A692" s="1">
        <v>42245</v>
      </c>
      <c r="B692" s="1">
        <v>37390</v>
      </c>
      <c r="C692" t="s">
        <v>5263</v>
      </c>
      <c r="D692">
        <v>379</v>
      </c>
      <c r="E692">
        <v>13288</v>
      </c>
      <c r="F692">
        <v>4</v>
      </c>
      <c r="G692">
        <v>1</v>
      </c>
      <c r="H692">
        <v>1</v>
      </c>
      <c r="I692">
        <v>2</v>
      </c>
      <c r="J692" t="s">
        <v>3561</v>
      </c>
      <c r="K692" t="s">
        <v>3562</v>
      </c>
      <c r="L692" s="2">
        <v>1320.6838</v>
      </c>
      <c r="M692" s="2">
        <v>2181.5625</v>
      </c>
      <c r="N692" t="s">
        <v>13</v>
      </c>
      <c r="O692" t="s">
        <v>393</v>
      </c>
      <c r="P692" t="s">
        <v>125</v>
      </c>
      <c r="Q692" t="s">
        <v>7021</v>
      </c>
      <c r="R692" s="1">
        <v>23274</v>
      </c>
      <c r="S692" t="s">
        <v>16</v>
      </c>
      <c r="T692" t="s">
        <v>16</v>
      </c>
      <c r="U692" t="s">
        <v>1487</v>
      </c>
      <c r="V692">
        <v>120000</v>
      </c>
      <c r="W692">
        <v>4</v>
      </c>
      <c r="X692" t="s">
        <v>52</v>
      </c>
      <c r="Y692" t="s">
        <v>18</v>
      </c>
      <c r="Z692" t="s">
        <v>19</v>
      </c>
      <c r="AA692" t="s">
        <v>3580</v>
      </c>
      <c r="AB692" t="s">
        <v>3578</v>
      </c>
      <c r="AC692" t="s">
        <v>3579</v>
      </c>
      <c r="AD692" t="s">
        <v>3479</v>
      </c>
      <c r="AE692" t="s">
        <v>3475</v>
      </c>
      <c r="AF692" s="2">
        <v>2181.5625</v>
      </c>
      <c r="AG692" s="2">
        <v>1320.6838</v>
      </c>
      <c r="AH692" s="2">
        <v>860.87869999999998</v>
      </c>
      <c r="AI692" s="3">
        <v>0.39461564818793898</v>
      </c>
    </row>
    <row r="693" spans="1:35">
      <c r="A693" s="1">
        <v>42261</v>
      </c>
      <c r="B693" s="1">
        <v>37452</v>
      </c>
      <c r="C693" t="s">
        <v>5380</v>
      </c>
      <c r="D693">
        <v>354</v>
      </c>
      <c r="E693">
        <v>12698</v>
      </c>
      <c r="F693">
        <v>9</v>
      </c>
      <c r="G693">
        <v>1</v>
      </c>
      <c r="H693">
        <v>1</v>
      </c>
      <c r="I693">
        <v>1</v>
      </c>
      <c r="J693" t="s">
        <v>3537</v>
      </c>
      <c r="K693" t="s">
        <v>3538</v>
      </c>
      <c r="L693" s="2">
        <v>1117.8559</v>
      </c>
      <c r="M693" s="2">
        <v>2071.4196000000002</v>
      </c>
      <c r="N693" t="s">
        <v>13</v>
      </c>
      <c r="O693" t="s">
        <v>1245</v>
      </c>
      <c r="P693" t="s">
        <v>490</v>
      </c>
      <c r="Q693" t="s">
        <v>7022</v>
      </c>
      <c r="R693" s="1">
        <v>25702</v>
      </c>
      <c r="S693" t="s">
        <v>16</v>
      </c>
      <c r="T693" t="s">
        <v>16</v>
      </c>
      <c r="U693" t="s">
        <v>1246</v>
      </c>
      <c r="V693">
        <v>110000</v>
      </c>
      <c r="W693">
        <v>0</v>
      </c>
      <c r="X693" t="s">
        <v>57</v>
      </c>
      <c r="Y693" t="s">
        <v>45</v>
      </c>
      <c r="Z693" t="s">
        <v>19</v>
      </c>
      <c r="AA693" t="s">
        <v>3586</v>
      </c>
      <c r="AB693" t="s">
        <v>3586</v>
      </c>
      <c r="AC693" t="s">
        <v>3587</v>
      </c>
      <c r="AD693" t="s">
        <v>3478</v>
      </c>
      <c r="AE693" t="s">
        <v>3475</v>
      </c>
      <c r="AF693" s="2">
        <v>2071.4196000000002</v>
      </c>
      <c r="AG693" s="2">
        <v>1117.8559</v>
      </c>
      <c r="AH693" s="2">
        <v>953.56370000000004</v>
      </c>
      <c r="AI693" s="3">
        <v>0.460343090313522</v>
      </c>
    </row>
    <row r="694" spans="1:35">
      <c r="A694" s="1">
        <v>42245</v>
      </c>
      <c r="B694" s="1">
        <v>37420</v>
      </c>
      <c r="C694" t="s">
        <v>5264</v>
      </c>
      <c r="D694">
        <v>373</v>
      </c>
      <c r="E694">
        <v>13278</v>
      </c>
      <c r="F694">
        <v>4</v>
      </c>
      <c r="G694">
        <v>1</v>
      </c>
      <c r="H694">
        <v>1</v>
      </c>
      <c r="I694">
        <v>2</v>
      </c>
      <c r="J694" t="s">
        <v>3555</v>
      </c>
      <c r="K694" t="s">
        <v>3556</v>
      </c>
      <c r="L694" s="2">
        <v>1320.6838</v>
      </c>
      <c r="M694" s="2">
        <v>2181.5625</v>
      </c>
      <c r="N694" t="s">
        <v>13</v>
      </c>
      <c r="O694" t="s">
        <v>635</v>
      </c>
      <c r="P694" t="s">
        <v>511</v>
      </c>
      <c r="Q694" t="s">
        <v>7023</v>
      </c>
      <c r="R694" s="1">
        <v>24055</v>
      </c>
      <c r="S694" t="s">
        <v>22</v>
      </c>
      <c r="T694" t="s">
        <v>16</v>
      </c>
      <c r="U694" t="s">
        <v>1480</v>
      </c>
      <c r="V694">
        <v>110000</v>
      </c>
      <c r="W694">
        <v>2</v>
      </c>
      <c r="X694" t="s">
        <v>17</v>
      </c>
      <c r="Y694" t="s">
        <v>45</v>
      </c>
      <c r="Z694" t="s">
        <v>19</v>
      </c>
      <c r="AA694" t="s">
        <v>3580</v>
      </c>
      <c r="AB694" t="s">
        <v>3578</v>
      </c>
      <c r="AC694" t="s">
        <v>3579</v>
      </c>
      <c r="AD694" t="s">
        <v>3479</v>
      </c>
      <c r="AE694" t="s">
        <v>3475</v>
      </c>
      <c r="AF694" s="2">
        <v>2181.5625</v>
      </c>
      <c r="AG694" s="2">
        <v>1320.6838</v>
      </c>
      <c r="AH694" s="2">
        <v>860.87869999999998</v>
      </c>
      <c r="AI694" s="3">
        <v>0.39461564818793898</v>
      </c>
    </row>
    <row r="695" spans="1:35">
      <c r="A695" s="1">
        <v>42262</v>
      </c>
      <c r="B695" s="1">
        <v>37427</v>
      </c>
      <c r="C695" t="s">
        <v>5382</v>
      </c>
      <c r="D695">
        <v>362</v>
      </c>
      <c r="E695">
        <v>12699</v>
      </c>
      <c r="F695">
        <v>9</v>
      </c>
      <c r="G695">
        <v>1</v>
      </c>
      <c r="H695">
        <v>1</v>
      </c>
      <c r="I695">
        <v>1</v>
      </c>
      <c r="J695" t="s">
        <v>3545</v>
      </c>
      <c r="K695" t="s">
        <v>3546</v>
      </c>
      <c r="L695" s="2">
        <v>1105.81</v>
      </c>
      <c r="M695" s="2">
        <v>2049.0981999999999</v>
      </c>
      <c r="N695" t="s">
        <v>26</v>
      </c>
      <c r="O695" t="s">
        <v>160</v>
      </c>
      <c r="P695" t="s">
        <v>609</v>
      </c>
      <c r="Q695" t="s">
        <v>7024</v>
      </c>
      <c r="R695" s="1">
        <v>25645</v>
      </c>
      <c r="S695" t="s">
        <v>16</v>
      </c>
      <c r="T695" t="s">
        <v>29</v>
      </c>
      <c r="U695" t="s">
        <v>1247</v>
      </c>
      <c r="V695">
        <v>120000</v>
      </c>
      <c r="W695">
        <v>0</v>
      </c>
      <c r="X695" t="s">
        <v>77</v>
      </c>
      <c r="Y695" t="s">
        <v>18</v>
      </c>
      <c r="Z695" t="s">
        <v>19</v>
      </c>
      <c r="AA695" t="s">
        <v>3586</v>
      </c>
      <c r="AB695" t="s">
        <v>3586</v>
      </c>
      <c r="AC695" t="s">
        <v>3587</v>
      </c>
      <c r="AD695" t="s">
        <v>3478</v>
      </c>
      <c r="AE695" t="s">
        <v>3475</v>
      </c>
      <c r="AF695" s="2">
        <v>2049.0981999999999</v>
      </c>
      <c r="AG695" s="2">
        <v>1105.81</v>
      </c>
      <c r="AH695" s="2">
        <v>943.28819999999996</v>
      </c>
      <c r="AI695" s="3">
        <v>0.46034309141455498</v>
      </c>
    </row>
    <row r="696" spans="1:35">
      <c r="A696" s="1">
        <v>42245</v>
      </c>
      <c r="B696" s="1">
        <v>37426</v>
      </c>
      <c r="C696" t="s">
        <v>5265</v>
      </c>
      <c r="D696">
        <v>377</v>
      </c>
      <c r="E696">
        <v>13400</v>
      </c>
      <c r="F696">
        <v>4</v>
      </c>
      <c r="G696">
        <v>1</v>
      </c>
      <c r="H696">
        <v>1</v>
      </c>
      <c r="I696">
        <v>2</v>
      </c>
      <c r="J696" t="s">
        <v>3559</v>
      </c>
      <c r="K696" t="s">
        <v>3560</v>
      </c>
      <c r="L696" s="2">
        <v>1320.6838</v>
      </c>
      <c r="M696" s="2">
        <v>2181.5625</v>
      </c>
      <c r="N696" t="s">
        <v>30</v>
      </c>
      <c r="O696" t="s">
        <v>202</v>
      </c>
      <c r="P696" t="s">
        <v>299</v>
      </c>
      <c r="Q696" t="s">
        <v>7025</v>
      </c>
      <c r="R696" s="1">
        <v>18852</v>
      </c>
      <c r="S696" t="s">
        <v>16</v>
      </c>
      <c r="T696" t="s">
        <v>29</v>
      </c>
      <c r="U696" t="s">
        <v>1522</v>
      </c>
      <c r="V696">
        <v>60000</v>
      </c>
      <c r="W696">
        <v>2</v>
      </c>
      <c r="X696" t="s">
        <v>52</v>
      </c>
      <c r="Y696" t="s">
        <v>18</v>
      </c>
      <c r="Z696" t="s">
        <v>23</v>
      </c>
      <c r="AA696" t="s">
        <v>3580</v>
      </c>
      <c r="AB696" t="s">
        <v>3578</v>
      </c>
      <c r="AC696" t="s">
        <v>3579</v>
      </c>
      <c r="AD696" t="s">
        <v>3479</v>
      </c>
      <c r="AE696" t="s">
        <v>3475</v>
      </c>
      <c r="AF696" s="2">
        <v>2181.5625</v>
      </c>
      <c r="AG696" s="2">
        <v>1320.6838</v>
      </c>
      <c r="AH696" s="2">
        <v>860.87869999999998</v>
      </c>
      <c r="AI696" s="3">
        <v>0.39461564818793898</v>
      </c>
    </row>
    <row r="697" spans="1:35">
      <c r="A697" s="1">
        <v>42307</v>
      </c>
      <c r="B697" s="1">
        <v>37491</v>
      </c>
      <c r="C697" t="s">
        <v>5698</v>
      </c>
      <c r="D697">
        <v>356</v>
      </c>
      <c r="E697">
        <v>12700</v>
      </c>
      <c r="F697">
        <v>9</v>
      </c>
      <c r="G697">
        <v>1</v>
      </c>
      <c r="H697">
        <v>1</v>
      </c>
      <c r="I697">
        <v>1</v>
      </c>
      <c r="J697" t="s">
        <v>3539</v>
      </c>
      <c r="K697" t="s">
        <v>3540</v>
      </c>
      <c r="L697" s="2">
        <v>1117.8559</v>
      </c>
      <c r="M697" s="2">
        <v>2071.4196000000002</v>
      </c>
      <c r="N697" t="s">
        <v>26</v>
      </c>
      <c r="O697" t="s">
        <v>456</v>
      </c>
      <c r="P697" t="s">
        <v>194</v>
      </c>
      <c r="Q697" t="s">
        <v>7026</v>
      </c>
      <c r="R697" s="1">
        <v>26012</v>
      </c>
      <c r="S697" t="s">
        <v>16</v>
      </c>
      <c r="T697" t="s">
        <v>29</v>
      </c>
      <c r="U697" t="s">
        <v>1248</v>
      </c>
      <c r="V697">
        <v>110000</v>
      </c>
      <c r="W697">
        <v>0</v>
      </c>
      <c r="X697" t="s">
        <v>77</v>
      </c>
      <c r="Y697" t="s">
        <v>18</v>
      </c>
      <c r="Z697" t="s">
        <v>19</v>
      </c>
      <c r="AA697" t="s">
        <v>3586</v>
      </c>
      <c r="AB697" t="s">
        <v>3586</v>
      </c>
      <c r="AC697" t="s">
        <v>3587</v>
      </c>
      <c r="AD697" t="s">
        <v>3478</v>
      </c>
      <c r="AE697" t="s">
        <v>3475</v>
      </c>
      <c r="AF697" s="2">
        <v>2071.4196000000002</v>
      </c>
      <c r="AG697" s="2">
        <v>1117.8559</v>
      </c>
      <c r="AH697" s="2">
        <v>953.56370000000004</v>
      </c>
      <c r="AI697" s="3">
        <v>0.460343090313522</v>
      </c>
    </row>
    <row r="698" spans="1:35">
      <c r="A698" s="1">
        <v>42245</v>
      </c>
      <c r="B698" s="1">
        <v>37406</v>
      </c>
      <c r="C698" t="s">
        <v>5266</v>
      </c>
      <c r="D698">
        <v>377</v>
      </c>
      <c r="E698">
        <v>13304</v>
      </c>
      <c r="F698">
        <v>1</v>
      </c>
      <c r="G698">
        <v>1</v>
      </c>
      <c r="H698">
        <v>1</v>
      </c>
      <c r="I698">
        <v>2</v>
      </c>
      <c r="J698" t="s">
        <v>3559</v>
      </c>
      <c r="K698" t="s">
        <v>3560</v>
      </c>
      <c r="L698" s="2">
        <v>1320.6838</v>
      </c>
      <c r="M698" s="2">
        <v>2181.5625</v>
      </c>
      <c r="N698" t="s">
        <v>30</v>
      </c>
      <c r="O698" t="s">
        <v>207</v>
      </c>
      <c r="P698" t="s">
        <v>587</v>
      </c>
      <c r="Q698" t="s">
        <v>7027</v>
      </c>
      <c r="R698" s="1">
        <v>20449</v>
      </c>
      <c r="S698" t="s">
        <v>22</v>
      </c>
      <c r="T698" t="s">
        <v>29</v>
      </c>
      <c r="U698" t="s">
        <v>1491</v>
      </c>
      <c r="V698">
        <v>70000</v>
      </c>
      <c r="W698">
        <v>4</v>
      </c>
      <c r="X698" t="s">
        <v>57</v>
      </c>
      <c r="Y698" t="s">
        <v>18</v>
      </c>
      <c r="Z698" t="s">
        <v>19</v>
      </c>
      <c r="AA698" t="s">
        <v>3577</v>
      </c>
      <c r="AB698" t="s">
        <v>3578</v>
      </c>
      <c r="AC698" t="s">
        <v>3579</v>
      </c>
      <c r="AD698" t="s">
        <v>3479</v>
      </c>
      <c r="AE698" t="s">
        <v>3475</v>
      </c>
      <c r="AF698" s="2">
        <v>2181.5625</v>
      </c>
      <c r="AG698" s="2">
        <v>1320.6838</v>
      </c>
      <c r="AH698" s="2">
        <v>860.87869999999998</v>
      </c>
      <c r="AI698" s="3">
        <v>0.39461564818793898</v>
      </c>
    </row>
    <row r="699" spans="1:35">
      <c r="A699" s="1">
        <v>42296</v>
      </c>
      <c r="B699" s="1">
        <v>37461</v>
      </c>
      <c r="C699" t="s">
        <v>5612</v>
      </c>
      <c r="D699">
        <v>352</v>
      </c>
      <c r="E699">
        <v>12701</v>
      </c>
      <c r="F699">
        <v>9</v>
      </c>
      <c r="G699">
        <v>1</v>
      </c>
      <c r="H699">
        <v>1</v>
      </c>
      <c r="I699">
        <v>1</v>
      </c>
      <c r="J699" t="s">
        <v>3535</v>
      </c>
      <c r="K699" t="s">
        <v>3536</v>
      </c>
      <c r="L699" s="2">
        <v>1117.8559</v>
      </c>
      <c r="M699" s="2">
        <v>2071.4196000000002</v>
      </c>
      <c r="N699" t="s">
        <v>13</v>
      </c>
      <c r="O699" t="s">
        <v>480</v>
      </c>
      <c r="P699" t="s">
        <v>217</v>
      </c>
      <c r="Q699" t="s">
        <v>7028</v>
      </c>
      <c r="R699" s="1">
        <v>26224</v>
      </c>
      <c r="S699" t="s">
        <v>16</v>
      </c>
      <c r="T699" t="s">
        <v>16</v>
      </c>
      <c r="U699" t="s">
        <v>1249</v>
      </c>
      <c r="V699">
        <v>110000</v>
      </c>
      <c r="W699">
        <v>0</v>
      </c>
      <c r="X699" t="s">
        <v>77</v>
      </c>
      <c r="Y699" t="s">
        <v>18</v>
      </c>
      <c r="Z699" t="s">
        <v>19</v>
      </c>
      <c r="AA699" t="s">
        <v>3586</v>
      </c>
      <c r="AB699" t="s">
        <v>3586</v>
      </c>
      <c r="AC699" t="s">
        <v>3587</v>
      </c>
      <c r="AD699" t="s">
        <v>3478</v>
      </c>
      <c r="AE699" t="s">
        <v>3475</v>
      </c>
      <c r="AF699" s="2">
        <v>2071.4196000000002</v>
      </c>
      <c r="AG699" s="2">
        <v>1117.8559</v>
      </c>
      <c r="AH699" s="2">
        <v>953.56370000000004</v>
      </c>
      <c r="AI699" s="3">
        <v>0.460343090313522</v>
      </c>
    </row>
    <row r="700" spans="1:35">
      <c r="A700" s="1">
        <v>42297</v>
      </c>
      <c r="B700" s="1">
        <v>37468</v>
      </c>
      <c r="C700" t="s">
        <v>5626</v>
      </c>
      <c r="D700">
        <v>358</v>
      </c>
      <c r="E700">
        <v>12702</v>
      </c>
      <c r="F700">
        <v>9</v>
      </c>
      <c r="G700">
        <v>1</v>
      </c>
      <c r="H700">
        <v>1</v>
      </c>
      <c r="I700">
        <v>1</v>
      </c>
      <c r="J700" t="s">
        <v>3541</v>
      </c>
      <c r="K700" t="s">
        <v>3542</v>
      </c>
      <c r="L700" s="2">
        <v>1105.81</v>
      </c>
      <c r="M700" s="2">
        <v>2049.0981999999999</v>
      </c>
      <c r="N700" t="s">
        <v>26</v>
      </c>
      <c r="O700" t="s">
        <v>1250</v>
      </c>
      <c r="P700" t="s">
        <v>468</v>
      </c>
      <c r="Q700" t="s">
        <v>7029</v>
      </c>
      <c r="R700" s="1">
        <v>26183</v>
      </c>
      <c r="S700" t="s">
        <v>16</v>
      </c>
      <c r="T700" t="s">
        <v>29</v>
      </c>
      <c r="U700" t="s">
        <v>1251</v>
      </c>
      <c r="V700">
        <v>110000</v>
      </c>
      <c r="W700">
        <v>0</v>
      </c>
      <c r="X700" t="s">
        <v>77</v>
      </c>
      <c r="Y700" t="s">
        <v>18</v>
      </c>
      <c r="Z700" t="s">
        <v>19</v>
      </c>
      <c r="AA700" t="s">
        <v>3586</v>
      </c>
      <c r="AB700" t="s">
        <v>3586</v>
      </c>
      <c r="AC700" t="s">
        <v>3587</v>
      </c>
      <c r="AD700" t="s">
        <v>3478</v>
      </c>
      <c r="AE700" t="s">
        <v>3475</v>
      </c>
      <c r="AF700" s="2">
        <v>2049.0981999999999</v>
      </c>
      <c r="AG700" s="2">
        <v>1105.81</v>
      </c>
      <c r="AH700" s="2">
        <v>943.28819999999996</v>
      </c>
      <c r="AI700" s="3">
        <v>0.46034309141455498</v>
      </c>
    </row>
    <row r="701" spans="1:35">
      <c r="A701" s="1">
        <v>42283</v>
      </c>
      <c r="B701" s="1">
        <v>37424</v>
      </c>
      <c r="C701" t="s">
        <v>5521</v>
      </c>
      <c r="D701">
        <v>360</v>
      </c>
      <c r="E701">
        <v>12703</v>
      </c>
      <c r="F701">
        <v>9</v>
      </c>
      <c r="G701">
        <v>1</v>
      </c>
      <c r="H701">
        <v>1</v>
      </c>
      <c r="I701">
        <v>1</v>
      </c>
      <c r="J701" t="s">
        <v>3543</v>
      </c>
      <c r="K701" t="s">
        <v>3544</v>
      </c>
      <c r="L701" s="2">
        <v>1105.81</v>
      </c>
      <c r="M701" s="2">
        <v>2049.0981999999999</v>
      </c>
      <c r="N701" t="s">
        <v>26</v>
      </c>
      <c r="O701" t="s">
        <v>1252</v>
      </c>
      <c r="P701" t="s">
        <v>40</v>
      </c>
      <c r="Q701" t="s">
        <v>7030</v>
      </c>
      <c r="R701" s="1">
        <v>26104</v>
      </c>
      <c r="S701" t="s">
        <v>16</v>
      </c>
      <c r="T701" t="s">
        <v>29</v>
      </c>
      <c r="U701" t="s">
        <v>1253</v>
      </c>
      <c r="V701">
        <v>110000</v>
      </c>
      <c r="W701">
        <v>0</v>
      </c>
      <c r="X701" t="s">
        <v>77</v>
      </c>
      <c r="Y701" t="s">
        <v>18</v>
      </c>
      <c r="Z701" t="s">
        <v>19</v>
      </c>
      <c r="AA701" t="s">
        <v>3586</v>
      </c>
      <c r="AB701" t="s">
        <v>3586</v>
      </c>
      <c r="AC701" t="s">
        <v>3587</v>
      </c>
      <c r="AD701" t="s">
        <v>3478</v>
      </c>
      <c r="AE701" t="s">
        <v>3475</v>
      </c>
      <c r="AF701" s="2">
        <v>2049.0981999999999</v>
      </c>
      <c r="AG701" s="2">
        <v>1105.81</v>
      </c>
      <c r="AH701" s="2">
        <v>943.28819999999996</v>
      </c>
      <c r="AI701" s="3">
        <v>0.46034309141455498</v>
      </c>
    </row>
    <row r="702" spans="1:35">
      <c r="A702" s="1">
        <v>42278</v>
      </c>
      <c r="B702" s="1">
        <v>37501</v>
      </c>
      <c r="C702" t="s">
        <v>5485</v>
      </c>
      <c r="D702">
        <v>358</v>
      </c>
      <c r="E702">
        <v>12705</v>
      </c>
      <c r="F702">
        <v>9</v>
      </c>
      <c r="G702">
        <v>1</v>
      </c>
      <c r="H702">
        <v>1</v>
      </c>
      <c r="I702">
        <v>1</v>
      </c>
      <c r="J702" t="s">
        <v>3541</v>
      </c>
      <c r="K702" t="s">
        <v>3542</v>
      </c>
      <c r="L702" s="2">
        <v>1105.81</v>
      </c>
      <c r="M702" s="2">
        <v>2049.0981999999999</v>
      </c>
      <c r="N702" t="s">
        <v>13</v>
      </c>
      <c r="O702" t="s">
        <v>525</v>
      </c>
      <c r="P702" t="s">
        <v>99</v>
      </c>
      <c r="Q702" t="s">
        <v>7031</v>
      </c>
      <c r="R702" s="1">
        <v>25425</v>
      </c>
      <c r="S702" t="s">
        <v>16</v>
      </c>
      <c r="T702" t="s">
        <v>16</v>
      </c>
      <c r="U702" t="s">
        <v>1254</v>
      </c>
      <c r="V702">
        <v>150000</v>
      </c>
      <c r="W702">
        <v>0</v>
      </c>
      <c r="X702" t="s">
        <v>17</v>
      </c>
      <c r="Y702" t="s">
        <v>45</v>
      </c>
      <c r="Z702" t="s">
        <v>19</v>
      </c>
      <c r="AA702" t="s">
        <v>3586</v>
      </c>
      <c r="AB702" t="s">
        <v>3586</v>
      </c>
      <c r="AC702" t="s">
        <v>3587</v>
      </c>
      <c r="AD702" t="s">
        <v>3478</v>
      </c>
      <c r="AE702" t="s">
        <v>3475</v>
      </c>
      <c r="AF702" s="2">
        <v>2049.0981999999999</v>
      </c>
      <c r="AG702" s="2">
        <v>1105.81</v>
      </c>
      <c r="AH702" s="2">
        <v>943.28819999999996</v>
      </c>
      <c r="AI702" s="3">
        <v>0.46034309141455498</v>
      </c>
    </row>
    <row r="703" spans="1:35">
      <c r="A703" s="1">
        <v>42291</v>
      </c>
      <c r="B703" s="1">
        <v>37436</v>
      </c>
      <c r="C703" t="s">
        <v>5578</v>
      </c>
      <c r="D703">
        <v>352</v>
      </c>
      <c r="E703">
        <v>12706</v>
      </c>
      <c r="F703">
        <v>9</v>
      </c>
      <c r="G703">
        <v>1</v>
      </c>
      <c r="H703">
        <v>1</v>
      </c>
      <c r="I703">
        <v>1</v>
      </c>
      <c r="J703" t="s">
        <v>3535</v>
      </c>
      <c r="K703" t="s">
        <v>3536</v>
      </c>
      <c r="L703" s="2">
        <v>1117.8559</v>
      </c>
      <c r="M703" s="2">
        <v>2071.4196000000002</v>
      </c>
      <c r="N703" t="s">
        <v>13</v>
      </c>
      <c r="O703" t="s">
        <v>552</v>
      </c>
      <c r="P703" t="s">
        <v>151</v>
      </c>
      <c r="Q703" t="s">
        <v>7032</v>
      </c>
      <c r="R703" s="1">
        <v>25216</v>
      </c>
      <c r="S703" t="s">
        <v>16</v>
      </c>
      <c r="T703" t="s">
        <v>16</v>
      </c>
      <c r="U703" t="s">
        <v>1255</v>
      </c>
      <c r="V703">
        <v>160000</v>
      </c>
      <c r="W703">
        <v>0</v>
      </c>
      <c r="X703" t="s">
        <v>17</v>
      </c>
      <c r="Y703" t="s">
        <v>45</v>
      </c>
      <c r="Z703" t="s">
        <v>19</v>
      </c>
      <c r="AA703" t="s">
        <v>3586</v>
      </c>
      <c r="AB703" t="s">
        <v>3586</v>
      </c>
      <c r="AC703" t="s">
        <v>3587</v>
      </c>
      <c r="AD703" t="s">
        <v>3478</v>
      </c>
      <c r="AE703" t="s">
        <v>3475</v>
      </c>
      <c r="AF703" s="2">
        <v>2071.4196000000002</v>
      </c>
      <c r="AG703" s="2">
        <v>1117.8559</v>
      </c>
      <c r="AH703" s="2">
        <v>953.56370000000004</v>
      </c>
      <c r="AI703" s="3">
        <v>0.460343090313522</v>
      </c>
    </row>
    <row r="704" spans="1:35">
      <c r="A704" s="1">
        <v>42246</v>
      </c>
      <c r="B704" s="1">
        <v>37471</v>
      </c>
      <c r="C704" t="s">
        <v>5275</v>
      </c>
      <c r="D704">
        <v>379</v>
      </c>
      <c r="E704">
        <v>13367</v>
      </c>
      <c r="F704">
        <v>1</v>
      </c>
      <c r="G704">
        <v>1</v>
      </c>
      <c r="H704">
        <v>1</v>
      </c>
      <c r="I704">
        <v>2</v>
      </c>
      <c r="J704" t="s">
        <v>3561</v>
      </c>
      <c r="K704" t="s">
        <v>3562</v>
      </c>
      <c r="L704" s="2">
        <v>1320.6838</v>
      </c>
      <c r="M704" s="2">
        <v>2181.5625</v>
      </c>
      <c r="N704" t="s">
        <v>30</v>
      </c>
      <c r="O704" t="s">
        <v>172</v>
      </c>
      <c r="P704" t="s">
        <v>70</v>
      </c>
      <c r="Q704" t="s">
        <v>7033</v>
      </c>
      <c r="R704" s="1">
        <v>17271</v>
      </c>
      <c r="S704" t="s">
        <v>16</v>
      </c>
      <c r="T704" t="s">
        <v>29</v>
      </c>
      <c r="U704" t="s">
        <v>1515</v>
      </c>
      <c r="V704">
        <v>70000</v>
      </c>
      <c r="W704">
        <v>4</v>
      </c>
      <c r="X704" t="s">
        <v>17</v>
      </c>
      <c r="Y704" t="s">
        <v>45</v>
      </c>
      <c r="Z704" t="s">
        <v>19</v>
      </c>
      <c r="AA704" t="s">
        <v>3577</v>
      </c>
      <c r="AB704" t="s">
        <v>3578</v>
      </c>
      <c r="AC704" t="s">
        <v>3579</v>
      </c>
      <c r="AD704" t="s">
        <v>3479</v>
      </c>
      <c r="AE704" t="s">
        <v>3475</v>
      </c>
      <c r="AF704" s="2">
        <v>2181.5625</v>
      </c>
      <c r="AG704" s="2">
        <v>1320.6838</v>
      </c>
      <c r="AH704" s="2">
        <v>860.87869999999998</v>
      </c>
      <c r="AI704" s="3">
        <v>0.39461564818793898</v>
      </c>
    </row>
    <row r="705" spans="1:35">
      <c r="A705" s="1">
        <v>42247</v>
      </c>
      <c r="B705" s="1">
        <v>37461</v>
      </c>
      <c r="C705" t="s">
        <v>5282</v>
      </c>
      <c r="D705">
        <v>369</v>
      </c>
      <c r="E705">
        <v>13401</v>
      </c>
      <c r="F705">
        <v>4</v>
      </c>
      <c r="G705">
        <v>1</v>
      </c>
      <c r="H705">
        <v>1</v>
      </c>
      <c r="I705">
        <v>2</v>
      </c>
      <c r="J705" t="s">
        <v>3549</v>
      </c>
      <c r="K705" t="s">
        <v>3550</v>
      </c>
      <c r="L705" s="2">
        <v>1518.7864</v>
      </c>
      <c r="M705" s="2">
        <v>2443.35</v>
      </c>
      <c r="N705" t="s">
        <v>30</v>
      </c>
      <c r="O705" t="s">
        <v>423</v>
      </c>
      <c r="P705" t="s">
        <v>1021</v>
      </c>
      <c r="Q705" t="s">
        <v>7034</v>
      </c>
      <c r="R705" s="1">
        <v>19046</v>
      </c>
      <c r="S705" t="s">
        <v>22</v>
      </c>
      <c r="T705" t="s">
        <v>29</v>
      </c>
      <c r="U705" t="s">
        <v>1523</v>
      </c>
      <c r="V705">
        <v>60000</v>
      </c>
      <c r="W705">
        <v>3</v>
      </c>
      <c r="X705" t="s">
        <v>57</v>
      </c>
      <c r="Y705" t="s">
        <v>18</v>
      </c>
      <c r="Z705" t="s">
        <v>19</v>
      </c>
      <c r="AA705" t="s">
        <v>3580</v>
      </c>
      <c r="AB705" t="s">
        <v>3578</v>
      </c>
      <c r="AC705" t="s">
        <v>3579</v>
      </c>
      <c r="AD705" t="s">
        <v>3479</v>
      </c>
      <c r="AE705" t="s">
        <v>3475</v>
      </c>
      <c r="AF705" s="2">
        <v>2443.35</v>
      </c>
      <c r="AG705" s="2">
        <v>1518.7864</v>
      </c>
      <c r="AH705" s="2">
        <v>924.56359999999995</v>
      </c>
      <c r="AI705" s="3">
        <v>0.37839998362903399</v>
      </c>
    </row>
    <row r="706" spans="1:35">
      <c r="A706" s="1">
        <v>42249</v>
      </c>
      <c r="B706" s="1">
        <v>37480</v>
      </c>
      <c r="C706" t="s">
        <v>5293</v>
      </c>
      <c r="D706">
        <v>371</v>
      </c>
      <c r="E706">
        <v>13446</v>
      </c>
      <c r="F706">
        <v>4</v>
      </c>
      <c r="G706">
        <v>1</v>
      </c>
      <c r="H706">
        <v>1</v>
      </c>
      <c r="I706">
        <v>2</v>
      </c>
      <c r="J706" t="s">
        <v>3553</v>
      </c>
      <c r="K706" t="s">
        <v>3554</v>
      </c>
      <c r="L706" s="2">
        <v>1320.6838</v>
      </c>
      <c r="M706" s="2">
        <v>2181.5625</v>
      </c>
      <c r="N706" t="s">
        <v>30</v>
      </c>
      <c r="O706" t="s">
        <v>372</v>
      </c>
      <c r="P706" t="s">
        <v>512</v>
      </c>
      <c r="Q706" t="s">
        <v>7035</v>
      </c>
      <c r="R706" s="1">
        <v>22745</v>
      </c>
      <c r="S706" t="s">
        <v>22</v>
      </c>
      <c r="T706" t="s">
        <v>29</v>
      </c>
      <c r="U706" t="s">
        <v>1542</v>
      </c>
      <c r="V706">
        <v>120000</v>
      </c>
      <c r="W706">
        <v>1</v>
      </c>
      <c r="X706" t="s">
        <v>52</v>
      </c>
      <c r="Y706" t="s">
        <v>18</v>
      </c>
      <c r="Z706" t="s">
        <v>19</v>
      </c>
      <c r="AA706" t="s">
        <v>3580</v>
      </c>
      <c r="AB706" t="s">
        <v>3578</v>
      </c>
      <c r="AC706" t="s">
        <v>3579</v>
      </c>
      <c r="AD706" t="s">
        <v>3479</v>
      </c>
      <c r="AE706" t="s">
        <v>3475</v>
      </c>
      <c r="AF706" s="2">
        <v>2181.5625</v>
      </c>
      <c r="AG706" s="2">
        <v>1320.6838</v>
      </c>
      <c r="AH706" s="2">
        <v>860.87869999999998</v>
      </c>
      <c r="AI706" s="3">
        <v>0.39461564818793898</v>
      </c>
    </row>
    <row r="707" spans="1:35">
      <c r="A707" s="1">
        <v>42250</v>
      </c>
      <c r="B707" s="1">
        <v>37443</v>
      </c>
      <c r="C707" t="s">
        <v>5300</v>
      </c>
      <c r="D707">
        <v>379</v>
      </c>
      <c r="E707">
        <v>13438</v>
      </c>
      <c r="F707">
        <v>1</v>
      </c>
      <c r="G707">
        <v>1</v>
      </c>
      <c r="H707">
        <v>1</v>
      </c>
      <c r="I707">
        <v>2</v>
      </c>
      <c r="J707" t="s">
        <v>3561</v>
      </c>
      <c r="K707" t="s">
        <v>3562</v>
      </c>
      <c r="L707" s="2">
        <v>1320.6838</v>
      </c>
      <c r="M707" s="2">
        <v>2181.5625</v>
      </c>
      <c r="N707" t="s">
        <v>26</v>
      </c>
      <c r="O707" t="s">
        <v>50</v>
      </c>
      <c r="P707" t="s">
        <v>246</v>
      </c>
      <c r="Q707" t="s">
        <v>7036</v>
      </c>
      <c r="R707" s="1">
        <v>23307</v>
      </c>
      <c r="S707" t="s">
        <v>22</v>
      </c>
      <c r="T707" t="s">
        <v>29</v>
      </c>
      <c r="U707" t="s">
        <v>1539</v>
      </c>
      <c r="V707">
        <v>90000</v>
      </c>
      <c r="W707">
        <v>0</v>
      </c>
      <c r="X707" t="s">
        <v>52</v>
      </c>
      <c r="Y707" t="s">
        <v>18</v>
      </c>
      <c r="Z707" t="s">
        <v>23</v>
      </c>
      <c r="AA707" t="s">
        <v>3577</v>
      </c>
      <c r="AB707" t="s">
        <v>3578</v>
      </c>
      <c r="AC707" t="s">
        <v>3579</v>
      </c>
      <c r="AD707" t="s">
        <v>3479</v>
      </c>
      <c r="AE707" t="s">
        <v>3475</v>
      </c>
      <c r="AF707" s="2">
        <v>2181.5625</v>
      </c>
      <c r="AG707" s="2">
        <v>1320.6838</v>
      </c>
      <c r="AH707" s="2">
        <v>860.87869999999998</v>
      </c>
      <c r="AI707" s="3">
        <v>0.39461564818793898</v>
      </c>
    </row>
    <row r="708" spans="1:35">
      <c r="A708" s="1">
        <v>42253</v>
      </c>
      <c r="B708" s="1">
        <v>37439</v>
      </c>
      <c r="C708" t="s">
        <v>5317</v>
      </c>
      <c r="D708">
        <v>379</v>
      </c>
      <c r="E708">
        <v>13426</v>
      </c>
      <c r="F708">
        <v>4</v>
      </c>
      <c r="G708">
        <v>1</v>
      </c>
      <c r="H708">
        <v>1</v>
      </c>
      <c r="I708">
        <v>2</v>
      </c>
      <c r="J708" t="s">
        <v>3561</v>
      </c>
      <c r="K708" t="s">
        <v>3562</v>
      </c>
      <c r="L708" s="2">
        <v>1320.6838</v>
      </c>
      <c r="M708" s="2">
        <v>2181.5625</v>
      </c>
      <c r="N708" t="s">
        <v>30</v>
      </c>
      <c r="O708" t="s">
        <v>254</v>
      </c>
      <c r="P708" t="s">
        <v>273</v>
      </c>
      <c r="Q708" t="s">
        <v>7037</v>
      </c>
      <c r="R708" s="1">
        <v>23540</v>
      </c>
      <c r="S708" t="s">
        <v>22</v>
      </c>
      <c r="T708" t="s">
        <v>29</v>
      </c>
      <c r="U708" t="s">
        <v>1531</v>
      </c>
      <c r="V708">
        <v>110000</v>
      </c>
      <c r="W708">
        <v>3</v>
      </c>
      <c r="X708" t="s">
        <v>17</v>
      </c>
      <c r="Y708" t="s">
        <v>45</v>
      </c>
      <c r="Z708" t="s">
        <v>19</v>
      </c>
      <c r="AA708" t="s">
        <v>3580</v>
      </c>
      <c r="AB708" t="s">
        <v>3578</v>
      </c>
      <c r="AC708" t="s">
        <v>3579</v>
      </c>
      <c r="AD708" t="s">
        <v>3479</v>
      </c>
      <c r="AE708" t="s">
        <v>3475</v>
      </c>
      <c r="AF708" s="2">
        <v>2181.5625</v>
      </c>
      <c r="AG708" s="2">
        <v>1320.6838</v>
      </c>
      <c r="AH708" s="2">
        <v>860.87869999999998</v>
      </c>
      <c r="AI708" s="3">
        <v>0.39461564818793898</v>
      </c>
    </row>
    <row r="709" spans="1:35">
      <c r="A709" s="1">
        <v>42258</v>
      </c>
      <c r="B709" s="1">
        <v>37414</v>
      </c>
      <c r="C709" t="s">
        <v>5350</v>
      </c>
      <c r="D709">
        <v>371</v>
      </c>
      <c r="E709">
        <v>13443</v>
      </c>
      <c r="F709">
        <v>1</v>
      </c>
      <c r="G709">
        <v>1</v>
      </c>
      <c r="H709">
        <v>1</v>
      </c>
      <c r="I709">
        <v>2</v>
      </c>
      <c r="J709" t="s">
        <v>3553</v>
      </c>
      <c r="K709" t="s">
        <v>3554</v>
      </c>
      <c r="L709" s="2">
        <v>1320.6838</v>
      </c>
      <c r="M709" s="2">
        <v>2181.5625</v>
      </c>
      <c r="N709" t="s">
        <v>30</v>
      </c>
      <c r="O709" t="s">
        <v>253</v>
      </c>
      <c r="P709" t="s">
        <v>688</v>
      </c>
      <c r="Q709" t="s">
        <v>7038</v>
      </c>
      <c r="R709" s="1">
        <v>22837</v>
      </c>
      <c r="S709" t="s">
        <v>16</v>
      </c>
      <c r="T709" t="s">
        <v>29</v>
      </c>
      <c r="U709" t="s">
        <v>1541</v>
      </c>
      <c r="V709">
        <v>100000</v>
      </c>
      <c r="W709">
        <v>1</v>
      </c>
      <c r="X709" t="s">
        <v>52</v>
      </c>
      <c r="Y709" t="s">
        <v>18</v>
      </c>
      <c r="Z709" t="s">
        <v>19</v>
      </c>
      <c r="AA709" t="s">
        <v>3577</v>
      </c>
      <c r="AB709" t="s">
        <v>3578</v>
      </c>
      <c r="AC709" t="s">
        <v>3579</v>
      </c>
      <c r="AD709" t="s">
        <v>3479</v>
      </c>
      <c r="AE709" t="s">
        <v>3475</v>
      </c>
      <c r="AF709" s="2">
        <v>2181.5625</v>
      </c>
      <c r="AG709" s="2">
        <v>1320.6838</v>
      </c>
      <c r="AH709" s="2">
        <v>860.87869999999998</v>
      </c>
      <c r="AI709" s="3">
        <v>0.39461564818793898</v>
      </c>
    </row>
    <row r="710" spans="1:35">
      <c r="A710" s="1">
        <v>42259</v>
      </c>
      <c r="B710" s="1">
        <v>37423</v>
      </c>
      <c r="C710" t="s">
        <v>5357</v>
      </c>
      <c r="D710">
        <v>377</v>
      </c>
      <c r="E710">
        <v>13429</v>
      </c>
      <c r="F710">
        <v>4</v>
      </c>
      <c r="G710">
        <v>1</v>
      </c>
      <c r="H710">
        <v>1</v>
      </c>
      <c r="I710">
        <v>2</v>
      </c>
      <c r="J710" t="s">
        <v>3559</v>
      </c>
      <c r="K710" t="s">
        <v>3560</v>
      </c>
      <c r="L710" s="2">
        <v>1320.6838</v>
      </c>
      <c r="M710" s="2">
        <v>2181.5625</v>
      </c>
      <c r="N710" t="s">
        <v>30</v>
      </c>
      <c r="O710" t="s">
        <v>296</v>
      </c>
      <c r="P710" t="s">
        <v>594</v>
      </c>
      <c r="Q710" t="s">
        <v>7039</v>
      </c>
      <c r="R710" s="1">
        <v>23411</v>
      </c>
      <c r="S710" t="s">
        <v>16</v>
      </c>
      <c r="T710" t="s">
        <v>29</v>
      </c>
      <c r="U710" t="s">
        <v>1532</v>
      </c>
      <c r="V710">
        <v>150000</v>
      </c>
      <c r="W710">
        <v>2</v>
      </c>
      <c r="X710" t="s">
        <v>17</v>
      </c>
      <c r="Y710" t="s">
        <v>45</v>
      </c>
      <c r="Z710" t="s">
        <v>19</v>
      </c>
      <c r="AA710" t="s">
        <v>3580</v>
      </c>
      <c r="AB710" t="s">
        <v>3578</v>
      </c>
      <c r="AC710" t="s">
        <v>3579</v>
      </c>
      <c r="AD710" t="s">
        <v>3479</v>
      </c>
      <c r="AE710" t="s">
        <v>3475</v>
      </c>
      <c r="AF710" s="2">
        <v>2181.5625</v>
      </c>
      <c r="AG710" s="2">
        <v>1320.6838</v>
      </c>
      <c r="AH710" s="2">
        <v>860.87869999999998</v>
      </c>
      <c r="AI710" s="3">
        <v>0.39461564818793898</v>
      </c>
    </row>
    <row r="711" spans="1:35">
      <c r="A711" s="1">
        <v>42260</v>
      </c>
      <c r="B711" s="1">
        <v>37439</v>
      </c>
      <c r="C711" t="s">
        <v>5366</v>
      </c>
      <c r="D711">
        <v>371</v>
      </c>
      <c r="E711">
        <v>13436</v>
      </c>
      <c r="F711">
        <v>1</v>
      </c>
      <c r="G711">
        <v>1</v>
      </c>
      <c r="H711">
        <v>1</v>
      </c>
      <c r="I711">
        <v>2</v>
      </c>
      <c r="J711" t="s">
        <v>3553</v>
      </c>
      <c r="K711" t="s">
        <v>3554</v>
      </c>
      <c r="L711" s="2">
        <v>1320.6838</v>
      </c>
      <c r="M711" s="2">
        <v>2181.5625</v>
      </c>
      <c r="N711" t="s">
        <v>26</v>
      </c>
      <c r="O711" t="s">
        <v>1537</v>
      </c>
      <c r="P711" t="s">
        <v>246</v>
      </c>
      <c r="Q711" t="s">
        <v>7040</v>
      </c>
      <c r="R711" s="1">
        <v>23015</v>
      </c>
      <c r="S711" t="s">
        <v>22</v>
      </c>
      <c r="T711" t="s">
        <v>29</v>
      </c>
      <c r="U711" t="s">
        <v>1538</v>
      </c>
      <c r="V711">
        <v>90000</v>
      </c>
      <c r="W711">
        <v>0</v>
      </c>
      <c r="X711" t="s">
        <v>52</v>
      </c>
      <c r="Y711" t="s">
        <v>18</v>
      </c>
      <c r="Z711" t="s">
        <v>19</v>
      </c>
      <c r="AA711" t="s">
        <v>3577</v>
      </c>
      <c r="AB711" t="s">
        <v>3578</v>
      </c>
      <c r="AC711" t="s">
        <v>3579</v>
      </c>
      <c r="AD711" t="s">
        <v>3479</v>
      </c>
      <c r="AE711" t="s">
        <v>3475</v>
      </c>
      <c r="AF711" s="2">
        <v>2181.5625</v>
      </c>
      <c r="AG711" s="2">
        <v>1320.6838</v>
      </c>
      <c r="AH711" s="2">
        <v>860.87869999999998</v>
      </c>
      <c r="AI711" s="3">
        <v>0.39461564818793898</v>
      </c>
    </row>
    <row r="712" spans="1:35">
      <c r="A712" s="1">
        <v>42260</v>
      </c>
      <c r="B712" s="1">
        <v>37452</v>
      </c>
      <c r="C712" t="s">
        <v>5369</v>
      </c>
      <c r="D712">
        <v>379</v>
      </c>
      <c r="E712">
        <v>13449</v>
      </c>
      <c r="F712">
        <v>1</v>
      </c>
      <c r="G712">
        <v>1</v>
      </c>
      <c r="H712">
        <v>1</v>
      </c>
      <c r="I712">
        <v>2</v>
      </c>
      <c r="J712" t="s">
        <v>3561</v>
      </c>
      <c r="K712" t="s">
        <v>3562</v>
      </c>
      <c r="L712" s="2">
        <v>1320.6838</v>
      </c>
      <c r="M712" s="2">
        <v>2181.5625</v>
      </c>
      <c r="N712" t="s">
        <v>13</v>
      </c>
      <c r="O712" t="s">
        <v>447</v>
      </c>
      <c r="P712" t="s">
        <v>136</v>
      </c>
      <c r="Q712" t="s">
        <v>7041</v>
      </c>
      <c r="R712" s="1">
        <v>22450</v>
      </c>
      <c r="S712" t="s">
        <v>22</v>
      </c>
      <c r="T712" t="s">
        <v>16</v>
      </c>
      <c r="U712" t="s">
        <v>1544</v>
      </c>
      <c r="V712">
        <v>80000</v>
      </c>
      <c r="W712">
        <v>5</v>
      </c>
      <c r="X712" t="s">
        <v>52</v>
      </c>
      <c r="Y712" t="s">
        <v>18</v>
      </c>
      <c r="Z712" t="s">
        <v>19</v>
      </c>
      <c r="AA712" t="s">
        <v>3577</v>
      </c>
      <c r="AB712" t="s">
        <v>3578</v>
      </c>
      <c r="AC712" t="s">
        <v>3579</v>
      </c>
      <c r="AD712" t="s">
        <v>3479</v>
      </c>
      <c r="AE712" t="s">
        <v>3475</v>
      </c>
      <c r="AF712" s="2">
        <v>2181.5625</v>
      </c>
      <c r="AG712" s="2">
        <v>1320.6838</v>
      </c>
      <c r="AH712" s="2">
        <v>860.87869999999998</v>
      </c>
      <c r="AI712" s="3">
        <v>0.39461564818793898</v>
      </c>
    </row>
    <row r="713" spans="1:35">
      <c r="A713" s="1">
        <v>42262</v>
      </c>
      <c r="B713" s="1">
        <v>37434</v>
      </c>
      <c r="C713" t="s">
        <v>5383</v>
      </c>
      <c r="D713">
        <v>377</v>
      </c>
      <c r="E713">
        <v>13431</v>
      </c>
      <c r="F713">
        <v>1</v>
      </c>
      <c r="G713">
        <v>1</v>
      </c>
      <c r="H713">
        <v>1</v>
      </c>
      <c r="I713">
        <v>2</v>
      </c>
      <c r="J713" t="s">
        <v>3559</v>
      </c>
      <c r="K713" t="s">
        <v>3560</v>
      </c>
      <c r="L713" s="2">
        <v>1320.6838</v>
      </c>
      <c r="M713" s="2">
        <v>2181.5625</v>
      </c>
      <c r="N713" t="s">
        <v>13</v>
      </c>
      <c r="O713" t="s">
        <v>1533</v>
      </c>
      <c r="P713" t="s">
        <v>229</v>
      </c>
      <c r="Q713" t="s">
        <v>7042</v>
      </c>
      <c r="R713" s="1">
        <v>20670</v>
      </c>
      <c r="S713" t="s">
        <v>16</v>
      </c>
      <c r="T713" t="s">
        <v>16</v>
      </c>
      <c r="U713" t="s">
        <v>1534</v>
      </c>
      <c r="V713">
        <v>70000</v>
      </c>
      <c r="W713">
        <v>3</v>
      </c>
      <c r="X713" t="s">
        <v>52</v>
      </c>
      <c r="Y713" t="s">
        <v>18</v>
      </c>
      <c r="Z713" t="s">
        <v>19</v>
      </c>
      <c r="AA713" t="s">
        <v>3577</v>
      </c>
      <c r="AB713" t="s">
        <v>3578</v>
      </c>
      <c r="AC713" t="s">
        <v>3579</v>
      </c>
      <c r="AD713" t="s">
        <v>3479</v>
      </c>
      <c r="AE713" t="s">
        <v>3475</v>
      </c>
      <c r="AF713" s="2">
        <v>2181.5625</v>
      </c>
      <c r="AG713" s="2">
        <v>1320.6838</v>
      </c>
      <c r="AH713" s="2">
        <v>860.87869999999998</v>
      </c>
      <c r="AI713" s="3">
        <v>0.39461564818793898</v>
      </c>
    </row>
    <row r="714" spans="1:35">
      <c r="A714" s="1">
        <v>42265</v>
      </c>
      <c r="B714" s="1">
        <v>37437</v>
      </c>
      <c r="C714" t="s">
        <v>5404</v>
      </c>
      <c r="D714">
        <v>369</v>
      </c>
      <c r="E714">
        <v>13435</v>
      </c>
      <c r="F714">
        <v>4</v>
      </c>
      <c r="G714">
        <v>1</v>
      </c>
      <c r="H714">
        <v>1</v>
      </c>
      <c r="I714">
        <v>2</v>
      </c>
      <c r="J714" t="s">
        <v>3549</v>
      </c>
      <c r="K714" t="s">
        <v>3550</v>
      </c>
      <c r="L714" s="2">
        <v>1518.7864</v>
      </c>
      <c r="M714" s="2">
        <v>2443.35</v>
      </c>
      <c r="N714" t="s">
        <v>30</v>
      </c>
      <c r="O714" t="s">
        <v>1204</v>
      </c>
      <c r="P714" t="s">
        <v>490</v>
      </c>
      <c r="Q714" t="s">
        <v>7043</v>
      </c>
      <c r="R714" s="1">
        <v>12679</v>
      </c>
      <c r="S714" t="s">
        <v>16</v>
      </c>
      <c r="T714" t="s">
        <v>29</v>
      </c>
      <c r="U714" t="s">
        <v>1536</v>
      </c>
      <c r="V714">
        <v>70000</v>
      </c>
      <c r="W714">
        <v>4</v>
      </c>
      <c r="X714" t="s">
        <v>135</v>
      </c>
      <c r="Y714" t="s">
        <v>45</v>
      </c>
      <c r="Z714" t="s">
        <v>19</v>
      </c>
      <c r="AA714" t="s">
        <v>3580</v>
      </c>
      <c r="AB714" t="s">
        <v>3578</v>
      </c>
      <c r="AC714" t="s">
        <v>3579</v>
      </c>
      <c r="AD714" t="s">
        <v>3479</v>
      </c>
      <c r="AE714" t="s">
        <v>3475</v>
      </c>
      <c r="AF714" s="2">
        <v>2443.35</v>
      </c>
      <c r="AG714" s="2">
        <v>1518.7864</v>
      </c>
      <c r="AH714" s="2">
        <v>924.56359999999995</v>
      </c>
      <c r="AI714" s="3">
        <v>0.37839998362903399</v>
      </c>
    </row>
    <row r="715" spans="1:35">
      <c r="A715" s="1">
        <v>42266</v>
      </c>
      <c r="B715" s="1">
        <v>37488</v>
      </c>
      <c r="C715" t="s">
        <v>5411</v>
      </c>
      <c r="D715">
        <v>373</v>
      </c>
      <c r="E715">
        <v>13433</v>
      </c>
      <c r="F715">
        <v>4</v>
      </c>
      <c r="G715">
        <v>1</v>
      </c>
      <c r="H715">
        <v>1</v>
      </c>
      <c r="I715">
        <v>2</v>
      </c>
      <c r="J715" t="s">
        <v>3555</v>
      </c>
      <c r="K715" t="s">
        <v>3556</v>
      </c>
      <c r="L715" s="2">
        <v>1320.6838</v>
      </c>
      <c r="M715" s="2">
        <v>2181.5625</v>
      </c>
      <c r="N715" t="s">
        <v>30</v>
      </c>
      <c r="O715" t="s">
        <v>80</v>
      </c>
      <c r="P715" t="s">
        <v>232</v>
      </c>
      <c r="Q715" t="s">
        <v>7044</v>
      </c>
      <c r="R715" s="1">
        <v>20525</v>
      </c>
      <c r="S715" t="s">
        <v>22</v>
      </c>
      <c r="T715" t="s">
        <v>29</v>
      </c>
      <c r="U715" t="s">
        <v>1535</v>
      </c>
      <c r="V715">
        <v>90000</v>
      </c>
      <c r="W715">
        <v>2</v>
      </c>
      <c r="X715" t="s">
        <v>52</v>
      </c>
      <c r="Y715" t="s">
        <v>18</v>
      </c>
      <c r="Z715" t="s">
        <v>19</v>
      </c>
      <c r="AA715" t="s">
        <v>3580</v>
      </c>
      <c r="AB715" t="s">
        <v>3578</v>
      </c>
      <c r="AC715" t="s">
        <v>3579</v>
      </c>
      <c r="AD715" t="s">
        <v>3479</v>
      </c>
      <c r="AE715" t="s">
        <v>3475</v>
      </c>
      <c r="AF715" s="2">
        <v>2181.5625</v>
      </c>
      <c r="AG715" s="2">
        <v>1320.6838</v>
      </c>
      <c r="AH715" s="2">
        <v>860.87869999999998</v>
      </c>
      <c r="AI715" s="3">
        <v>0.39461564818793898</v>
      </c>
    </row>
    <row r="716" spans="1:35">
      <c r="A716" s="1">
        <v>42266</v>
      </c>
      <c r="B716" s="1">
        <v>37449</v>
      </c>
      <c r="C716" t="s">
        <v>5412</v>
      </c>
      <c r="D716">
        <v>379</v>
      </c>
      <c r="E716">
        <v>13442</v>
      </c>
      <c r="F716">
        <v>1</v>
      </c>
      <c r="G716">
        <v>1</v>
      </c>
      <c r="H716">
        <v>1</v>
      </c>
      <c r="I716">
        <v>2</v>
      </c>
      <c r="J716" t="s">
        <v>3561</v>
      </c>
      <c r="K716" t="s">
        <v>3562</v>
      </c>
      <c r="L716" s="2">
        <v>1320.6838</v>
      </c>
      <c r="M716" s="2">
        <v>2181.5625</v>
      </c>
      <c r="N716" t="s">
        <v>30</v>
      </c>
      <c r="O716" t="s">
        <v>1176</v>
      </c>
      <c r="P716" t="s">
        <v>232</v>
      </c>
      <c r="Q716" t="s">
        <v>7045</v>
      </c>
      <c r="R716" s="1">
        <v>22890</v>
      </c>
      <c r="S716" t="s">
        <v>22</v>
      </c>
      <c r="T716" t="s">
        <v>29</v>
      </c>
      <c r="U716" t="s">
        <v>1540</v>
      </c>
      <c r="V716">
        <v>90000</v>
      </c>
      <c r="W716">
        <v>5</v>
      </c>
      <c r="X716" t="s">
        <v>52</v>
      </c>
      <c r="Y716" t="s">
        <v>18</v>
      </c>
      <c r="Z716" t="s">
        <v>23</v>
      </c>
      <c r="AA716" t="s">
        <v>3577</v>
      </c>
      <c r="AB716" t="s">
        <v>3578</v>
      </c>
      <c r="AC716" t="s">
        <v>3579</v>
      </c>
      <c r="AD716" t="s">
        <v>3479</v>
      </c>
      <c r="AE716" t="s">
        <v>3475</v>
      </c>
      <c r="AF716" s="2">
        <v>2181.5625</v>
      </c>
      <c r="AG716" s="2">
        <v>1320.6838</v>
      </c>
      <c r="AH716" s="2">
        <v>860.87869999999998</v>
      </c>
      <c r="AI716" s="3">
        <v>0.39461564818793898</v>
      </c>
    </row>
    <row r="717" spans="1:35">
      <c r="A717" s="1">
        <v>42274</v>
      </c>
      <c r="B717" s="1">
        <v>37449</v>
      </c>
      <c r="C717" t="s">
        <v>5464</v>
      </c>
      <c r="D717">
        <v>371</v>
      </c>
      <c r="E717">
        <v>13447</v>
      </c>
      <c r="F717">
        <v>4</v>
      </c>
      <c r="G717">
        <v>1</v>
      </c>
      <c r="H717">
        <v>1</v>
      </c>
      <c r="I717">
        <v>2</v>
      </c>
      <c r="J717" t="s">
        <v>3553</v>
      </c>
      <c r="K717" t="s">
        <v>3554</v>
      </c>
      <c r="L717" s="2">
        <v>1320.6838</v>
      </c>
      <c r="M717" s="2">
        <v>2181.5625</v>
      </c>
      <c r="N717" t="s">
        <v>30</v>
      </c>
      <c r="O717" t="s">
        <v>65</v>
      </c>
      <c r="P717" t="s">
        <v>175</v>
      </c>
      <c r="Q717" t="s">
        <v>7046</v>
      </c>
      <c r="R717" s="1">
        <v>22770</v>
      </c>
      <c r="S717" t="s">
        <v>16</v>
      </c>
      <c r="T717" t="s">
        <v>29</v>
      </c>
      <c r="U717" t="s">
        <v>1543</v>
      </c>
      <c r="V717">
        <v>130000</v>
      </c>
      <c r="W717">
        <v>1</v>
      </c>
      <c r="X717" t="s">
        <v>17</v>
      </c>
      <c r="Y717" t="s">
        <v>45</v>
      </c>
      <c r="Z717" t="s">
        <v>19</v>
      </c>
      <c r="AA717" t="s">
        <v>3580</v>
      </c>
      <c r="AB717" t="s">
        <v>3578</v>
      </c>
      <c r="AC717" t="s">
        <v>3579</v>
      </c>
      <c r="AD717" t="s">
        <v>3479</v>
      </c>
      <c r="AE717" t="s">
        <v>3475</v>
      </c>
      <c r="AF717" s="2">
        <v>2181.5625</v>
      </c>
      <c r="AG717" s="2">
        <v>1320.6838</v>
      </c>
      <c r="AH717" s="2">
        <v>860.87869999999998</v>
      </c>
      <c r="AI717" s="3">
        <v>0.39461564818793898</v>
      </c>
    </row>
    <row r="718" spans="1:35">
      <c r="A718" s="1">
        <v>42278</v>
      </c>
      <c r="B718" s="1">
        <v>37476</v>
      </c>
      <c r="C718" t="s">
        <v>5486</v>
      </c>
      <c r="D718">
        <v>375</v>
      </c>
      <c r="E718">
        <v>13461</v>
      </c>
      <c r="F718">
        <v>4</v>
      </c>
      <c r="G718">
        <v>1</v>
      </c>
      <c r="H718">
        <v>1</v>
      </c>
      <c r="I718">
        <v>2</v>
      </c>
      <c r="J718" t="s">
        <v>3557</v>
      </c>
      <c r="K718" t="s">
        <v>3558</v>
      </c>
      <c r="L718" s="2">
        <v>1320.6838</v>
      </c>
      <c r="M718" s="2">
        <v>2181.5625</v>
      </c>
      <c r="N718" t="s">
        <v>13</v>
      </c>
      <c r="O718" t="s">
        <v>1449</v>
      </c>
      <c r="P718" t="s">
        <v>343</v>
      </c>
      <c r="Q718" t="s">
        <v>7047</v>
      </c>
      <c r="R718" s="1">
        <v>12845</v>
      </c>
      <c r="S718" t="s">
        <v>22</v>
      </c>
      <c r="T718" t="s">
        <v>16</v>
      </c>
      <c r="U718" t="s">
        <v>1549</v>
      </c>
      <c r="V718">
        <v>130000</v>
      </c>
      <c r="W718">
        <v>2</v>
      </c>
      <c r="X718" t="s">
        <v>135</v>
      </c>
      <c r="Y718" t="s">
        <v>45</v>
      </c>
      <c r="Z718" t="s">
        <v>23</v>
      </c>
      <c r="AA718" t="s">
        <v>3580</v>
      </c>
      <c r="AB718" t="s">
        <v>3578</v>
      </c>
      <c r="AC718" t="s">
        <v>3579</v>
      </c>
      <c r="AD718" t="s">
        <v>3479</v>
      </c>
      <c r="AE718" t="s">
        <v>3475</v>
      </c>
      <c r="AF718" s="2">
        <v>2181.5625</v>
      </c>
      <c r="AG718" s="2">
        <v>1320.6838</v>
      </c>
      <c r="AH718" s="2">
        <v>860.87869999999998</v>
      </c>
      <c r="AI718" s="3">
        <v>0.39461564818793898</v>
      </c>
    </row>
    <row r="719" spans="1:35">
      <c r="A719" s="1">
        <v>42278</v>
      </c>
      <c r="B719" s="1">
        <v>37410</v>
      </c>
      <c r="C719" t="s">
        <v>5487</v>
      </c>
      <c r="D719">
        <v>356</v>
      </c>
      <c r="E719">
        <v>13018</v>
      </c>
      <c r="F719">
        <v>9</v>
      </c>
      <c r="G719">
        <v>1</v>
      </c>
      <c r="H719">
        <v>1</v>
      </c>
      <c r="I719">
        <v>1</v>
      </c>
      <c r="J719" t="s">
        <v>3539</v>
      </c>
      <c r="K719" t="s">
        <v>3540</v>
      </c>
      <c r="L719" s="2">
        <v>1117.8559</v>
      </c>
      <c r="M719" s="2">
        <v>2071.4196000000002</v>
      </c>
      <c r="N719" t="s">
        <v>13</v>
      </c>
      <c r="O719" t="s">
        <v>761</v>
      </c>
      <c r="P719" t="s">
        <v>72</v>
      </c>
      <c r="Q719" t="s">
        <v>7048</v>
      </c>
      <c r="R719" s="1">
        <v>16356</v>
      </c>
      <c r="S719" t="s">
        <v>16</v>
      </c>
      <c r="T719" t="s">
        <v>16</v>
      </c>
      <c r="U719" t="s">
        <v>1355</v>
      </c>
      <c r="V719">
        <v>10000</v>
      </c>
      <c r="W719">
        <v>5</v>
      </c>
      <c r="X719" t="s">
        <v>57</v>
      </c>
      <c r="Y719" t="s">
        <v>53</v>
      </c>
      <c r="Z719" t="s">
        <v>19</v>
      </c>
      <c r="AA719" t="s">
        <v>3586</v>
      </c>
      <c r="AB719" t="s">
        <v>3586</v>
      </c>
      <c r="AC719" t="s">
        <v>3587</v>
      </c>
      <c r="AD719" t="s">
        <v>3478</v>
      </c>
      <c r="AE719" t="s">
        <v>3475</v>
      </c>
      <c r="AF719" s="2">
        <v>2071.4196000000002</v>
      </c>
      <c r="AG719" s="2">
        <v>1117.8559</v>
      </c>
      <c r="AH719" s="2">
        <v>953.56370000000004</v>
      </c>
      <c r="AI719" s="3">
        <v>0.460343090313522</v>
      </c>
    </row>
    <row r="720" spans="1:35">
      <c r="A720" s="1">
        <v>42278</v>
      </c>
      <c r="B720" s="1">
        <v>37511</v>
      </c>
      <c r="C720" t="s">
        <v>5489</v>
      </c>
      <c r="D720">
        <v>369</v>
      </c>
      <c r="E720">
        <v>13452</v>
      </c>
      <c r="F720">
        <v>4</v>
      </c>
      <c r="G720">
        <v>1</v>
      </c>
      <c r="H720">
        <v>1</v>
      </c>
      <c r="I720">
        <v>2</v>
      </c>
      <c r="J720" t="s">
        <v>3549</v>
      </c>
      <c r="K720" t="s">
        <v>3550</v>
      </c>
      <c r="L720" s="2">
        <v>1518.7864</v>
      </c>
      <c r="M720" s="2">
        <v>2443.35</v>
      </c>
      <c r="N720" t="s">
        <v>30</v>
      </c>
      <c r="O720" t="s">
        <v>703</v>
      </c>
      <c r="P720" t="s">
        <v>325</v>
      </c>
      <c r="Q720" t="s">
        <v>7049</v>
      </c>
      <c r="R720" s="1">
        <v>22353</v>
      </c>
      <c r="S720" t="s">
        <v>16</v>
      </c>
      <c r="T720" t="s">
        <v>29</v>
      </c>
      <c r="U720" t="s">
        <v>1546</v>
      </c>
      <c r="V720">
        <v>130000</v>
      </c>
      <c r="W720">
        <v>1</v>
      </c>
      <c r="X720" t="s">
        <v>17</v>
      </c>
      <c r="Y720" t="s">
        <v>45</v>
      </c>
      <c r="Z720" t="s">
        <v>19</v>
      </c>
      <c r="AA720" t="s">
        <v>3580</v>
      </c>
      <c r="AB720" t="s">
        <v>3578</v>
      </c>
      <c r="AC720" t="s">
        <v>3579</v>
      </c>
      <c r="AD720" t="s">
        <v>3479</v>
      </c>
      <c r="AE720" t="s">
        <v>3475</v>
      </c>
      <c r="AF720" s="2">
        <v>2443.35</v>
      </c>
      <c r="AG720" s="2">
        <v>1518.7864</v>
      </c>
      <c r="AH720" s="2">
        <v>924.56359999999995</v>
      </c>
      <c r="AI720" s="3">
        <v>0.37839998362903399</v>
      </c>
    </row>
    <row r="721" spans="1:35">
      <c r="A721" s="1">
        <v>42279</v>
      </c>
      <c r="B721" s="1">
        <v>37449</v>
      </c>
      <c r="C721" t="s">
        <v>5492</v>
      </c>
      <c r="D721">
        <v>362</v>
      </c>
      <c r="E721">
        <v>12988</v>
      </c>
      <c r="F721">
        <v>9</v>
      </c>
      <c r="G721">
        <v>1</v>
      </c>
      <c r="H721">
        <v>1</v>
      </c>
      <c r="I721">
        <v>1</v>
      </c>
      <c r="J721" t="s">
        <v>3545</v>
      </c>
      <c r="K721" t="s">
        <v>3546</v>
      </c>
      <c r="L721" s="2">
        <v>1105.81</v>
      </c>
      <c r="M721" s="2">
        <v>2049.0981999999999</v>
      </c>
      <c r="N721" t="s">
        <v>30</v>
      </c>
      <c r="O721" t="s">
        <v>755</v>
      </c>
      <c r="P721" t="s">
        <v>266</v>
      </c>
      <c r="Q721" t="s">
        <v>7050</v>
      </c>
      <c r="R721" s="1">
        <v>25229</v>
      </c>
      <c r="S721" t="s">
        <v>22</v>
      </c>
      <c r="T721" t="s">
        <v>29</v>
      </c>
      <c r="U721" t="s">
        <v>1337</v>
      </c>
      <c r="V721">
        <v>90000</v>
      </c>
      <c r="W721">
        <v>1</v>
      </c>
      <c r="X721" t="s">
        <v>135</v>
      </c>
      <c r="Y721" t="s">
        <v>45</v>
      </c>
      <c r="Z721" t="s">
        <v>19</v>
      </c>
      <c r="AA721" t="s">
        <v>3586</v>
      </c>
      <c r="AB721" t="s">
        <v>3586</v>
      </c>
      <c r="AC721" t="s">
        <v>3587</v>
      </c>
      <c r="AD721" t="s">
        <v>3478</v>
      </c>
      <c r="AE721" t="s">
        <v>3475</v>
      </c>
      <c r="AF721" s="2">
        <v>2049.0981999999999</v>
      </c>
      <c r="AG721" s="2">
        <v>1105.81</v>
      </c>
      <c r="AH721" s="2">
        <v>943.28819999999996</v>
      </c>
      <c r="AI721" s="3">
        <v>0.46034309141455498</v>
      </c>
    </row>
    <row r="722" spans="1:35">
      <c r="A722" s="1">
        <v>42279</v>
      </c>
      <c r="B722" s="1">
        <v>37419</v>
      </c>
      <c r="C722" t="s">
        <v>5493</v>
      </c>
      <c r="D722">
        <v>360</v>
      </c>
      <c r="E722">
        <v>12989</v>
      </c>
      <c r="F722">
        <v>9</v>
      </c>
      <c r="G722">
        <v>1</v>
      </c>
      <c r="H722">
        <v>1</v>
      </c>
      <c r="I722">
        <v>1</v>
      </c>
      <c r="J722" t="s">
        <v>3543</v>
      </c>
      <c r="K722" t="s">
        <v>3544</v>
      </c>
      <c r="L722" s="2">
        <v>1105.81</v>
      </c>
      <c r="M722" s="2">
        <v>2049.0981999999999</v>
      </c>
      <c r="N722" t="s">
        <v>30</v>
      </c>
      <c r="O722" t="s">
        <v>477</v>
      </c>
      <c r="P722" t="s">
        <v>266</v>
      </c>
      <c r="Q722" t="s">
        <v>7051</v>
      </c>
      <c r="R722" s="1">
        <v>25520</v>
      </c>
      <c r="S722" t="s">
        <v>16</v>
      </c>
      <c r="T722" t="s">
        <v>29</v>
      </c>
      <c r="U722" t="s">
        <v>1338</v>
      </c>
      <c r="V722">
        <v>100000</v>
      </c>
      <c r="W722">
        <v>1</v>
      </c>
      <c r="X722" t="s">
        <v>135</v>
      </c>
      <c r="Y722" t="s">
        <v>45</v>
      </c>
      <c r="Z722" t="s">
        <v>19</v>
      </c>
      <c r="AA722" t="s">
        <v>3586</v>
      </c>
      <c r="AB722" t="s">
        <v>3586</v>
      </c>
      <c r="AC722" t="s">
        <v>3587</v>
      </c>
      <c r="AD722" t="s">
        <v>3478</v>
      </c>
      <c r="AE722" t="s">
        <v>3475</v>
      </c>
      <c r="AF722" s="2">
        <v>2049.0981999999999</v>
      </c>
      <c r="AG722" s="2">
        <v>1105.81</v>
      </c>
      <c r="AH722" s="2">
        <v>943.28819999999996</v>
      </c>
      <c r="AI722" s="3">
        <v>0.46034309141455498</v>
      </c>
    </row>
    <row r="723" spans="1:35">
      <c r="A723" s="1">
        <v>42279</v>
      </c>
      <c r="B723" s="1">
        <v>37465</v>
      </c>
      <c r="C723" t="s">
        <v>5497</v>
      </c>
      <c r="D723">
        <v>360</v>
      </c>
      <c r="E723">
        <v>12998</v>
      </c>
      <c r="F723">
        <v>9</v>
      </c>
      <c r="G723">
        <v>1</v>
      </c>
      <c r="H723">
        <v>1</v>
      </c>
      <c r="I723">
        <v>1</v>
      </c>
      <c r="J723" t="s">
        <v>3543</v>
      </c>
      <c r="K723" t="s">
        <v>3544</v>
      </c>
      <c r="L723" s="2">
        <v>1105.81</v>
      </c>
      <c r="M723" s="2">
        <v>2049.0981999999999</v>
      </c>
      <c r="N723" t="s">
        <v>30</v>
      </c>
      <c r="O723" t="s">
        <v>352</v>
      </c>
      <c r="P723" t="s">
        <v>35</v>
      </c>
      <c r="Q723" t="s">
        <v>7052</v>
      </c>
      <c r="R723" s="1">
        <v>24848</v>
      </c>
      <c r="S723" t="s">
        <v>22</v>
      </c>
      <c r="T723" t="s">
        <v>29</v>
      </c>
      <c r="U723" t="s">
        <v>1345</v>
      </c>
      <c r="V723">
        <v>60000</v>
      </c>
      <c r="W723">
        <v>2</v>
      </c>
      <c r="X723" t="s">
        <v>17</v>
      </c>
      <c r="Y723" t="s">
        <v>18</v>
      </c>
      <c r="Z723" t="s">
        <v>23</v>
      </c>
      <c r="AA723" t="s">
        <v>3586</v>
      </c>
      <c r="AB723" t="s">
        <v>3586</v>
      </c>
      <c r="AC723" t="s">
        <v>3587</v>
      </c>
      <c r="AD723" t="s">
        <v>3478</v>
      </c>
      <c r="AE723" t="s">
        <v>3475</v>
      </c>
      <c r="AF723" s="2">
        <v>2049.0981999999999</v>
      </c>
      <c r="AG723" s="2">
        <v>1105.81</v>
      </c>
      <c r="AH723" s="2">
        <v>943.28819999999996</v>
      </c>
      <c r="AI723" s="3">
        <v>0.46034309141455498</v>
      </c>
    </row>
    <row r="724" spans="1:35">
      <c r="A724" s="1">
        <v>42279</v>
      </c>
      <c r="B724" s="1">
        <v>37488</v>
      </c>
      <c r="C724" t="s">
        <v>5499</v>
      </c>
      <c r="D724">
        <v>358</v>
      </c>
      <c r="E724">
        <v>13022</v>
      </c>
      <c r="F724">
        <v>9</v>
      </c>
      <c r="G724">
        <v>1</v>
      </c>
      <c r="H724">
        <v>1</v>
      </c>
      <c r="I724">
        <v>1</v>
      </c>
      <c r="J724" t="s">
        <v>3541</v>
      </c>
      <c r="K724" t="s">
        <v>3542</v>
      </c>
      <c r="L724" s="2">
        <v>1105.81</v>
      </c>
      <c r="M724" s="2">
        <v>2049.0981999999999</v>
      </c>
      <c r="N724" t="s">
        <v>13</v>
      </c>
      <c r="O724" t="s">
        <v>437</v>
      </c>
      <c r="P724" t="s">
        <v>192</v>
      </c>
      <c r="Q724" t="s">
        <v>7053</v>
      </c>
      <c r="R724" s="1">
        <v>17403</v>
      </c>
      <c r="S724" t="s">
        <v>16</v>
      </c>
      <c r="T724" t="s">
        <v>16</v>
      </c>
      <c r="U724" t="s">
        <v>1360</v>
      </c>
      <c r="V724">
        <v>10000</v>
      </c>
      <c r="W724">
        <v>2</v>
      </c>
      <c r="X724" t="s">
        <v>77</v>
      </c>
      <c r="Y724" t="s">
        <v>60</v>
      </c>
      <c r="Z724" t="s">
        <v>19</v>
      </c>
      <c r="AA724" t="s">
        <v>3586</v>
      </c>
      <c r="AB724" t="s">
        <v>3586</v>
      </c>
      <c r="AC724" t="s">
        <v>3587</v>
      </c>
      <c r="AD724" t="s">
        <v>3478</v>
      </c>
      <c r="AE724" t="s">
        <v>3475</v>
      </c>
      <c r="AF724" s="2">
        <v>2049.0981999999999</v>
      </c>
      <c r="AG724" s="2">
        <v>1105.81</v>
      </c>
      <c r="AH724" s="2">
        <v>943.28819999999996</v>
      </c>
      <c r="AI724" s="3">
        <v>0.46034309141455498</v>
      </c>
    </row>
    <row r="725" spans="1:35">
      <c r="A725" s="1">
        <v>42280</v>
      </c>
      <c r="B725" s="1">
        <v>37490</v>
      </c>
      <c r="C725" t="s">
        <v>5505</v>
      </c>
      <c r="D725">
        <v>360</v>
      </c>
      <c r="E725">
        <v>13020</v>
      </c>
      <c r="F725">
        <v>9</v>
      </c>
      <c r="G725">
        <v>1</v>
      </c>
      <c r="H725">
        <v>1</v>
      </c>
      <c r="I725">
        <v>1</v>
      </c>
      <c r="J725" t="s">
        <v>3543</v>
      </c>
      <c r="K725" t="s">
        <v>3544</v>
      </c>
      <c r="L725" s="2">
        <v>1105.81</v>
      </c>
      <c r="M725" s="2">
        <v>2049.0981999999999</v>
      </c>
      <c r="N725" t="s">
        <v>13</v>
      </c>
      <c r="O725" t="s">
        <v>1357</v>
      </c>
      <c r="P725" t="s">
        <v>109</v>
      </c>
      <c r="Q725" t="s">
        <v>7054</v>
      </c>
      <c r="R725" s="1">
        <v>16567</v>
      </c>
      <c r="S725" t="s">
        <v>16</v>
      </c>
      <c r="T725" t="s">
        <v>16</v>
      </c>
      <c r="U725" t="s">
        <v>1358</v>
      </c>
      <c r="V725">
        <v>10000</v>
      </c>
      <c r="W725">
        <v>2</v>
      </c>
      <c r="X725" t="s">
        <v>77</v>
      </c>
      <c r="Y725" t="s">
        <v>60</v>
      </c>
      <c r="Z725" t="s">
        <v>19</v>
      </c>
      <c r="AA725" t="s">
        <v>3586</v>
      </c>
      <c r="AB725" t="s">
        <v>3586</v>
      </c>
      <c r="AC725" t="s">
        <v>3587</v>
      </c>
      <c r="AD725" t="s">
        <v>3478</v>
      </c>
      <c r="AE725" t="s">
        <v>3475</v>
      </c>
      <c r="AF725" s="2">
        <v>2049.0981999999999</v>
      </c>
      <c r="AG725" s="2">
        <v>1105.81</v>
      </c>
      <c r="AH725" s="2">
        <v>943.28819999999996</v>
      </c>
      <c r="AI725" s="3">
        <v>0.46034309141455498</v>
      </c>
    </row>
    <row r="726" spans="1:35">
      <c r="A726" s="1">
        <v>42281</v>
      </c>
      <c r="B726" s="1">
        <v>37484</v>
      </c>
      <c r="C726" t="s">
        <v>5509</v>
      </c>
      <c r="D726">
        <v>371</v>
      </c>
      <c r="E726">
        <v>13482</v>
      </c>
      <c r="F726">
        <v>4</v>
      </c>
      <c r="G726">
        <v>1</v>
      </c>
      <c r="H726">
        <v>1</v>
      </c>
      <c r="I726">
        <v>2</v>
      </c>
      <c r="J726" t="s">
        <v>3553</v>
      </c>
      <c r="K726" t="s">
        <v>3554</v>
      </c>
      <c r="L726" s="2">
        <v>1320.6838</v>
      </c>
      <c r="M726" s="2">
        <v>2181.5625</v>
      </c>
      <c r="N726" t="s">
        <v>30</v>
      </c>
      <c r="O726" t="s">
        <v>409</v>
      </c>
      <c r="P726" t="s">
        <v>184</v>
      </c>
      <c r="Q726" t="s">
        <v>7055</v>
      </c>
      <c r="R726" s="1">
        <v>19256</v>
      </c>
      <c r="S726" t="s">
        <v>16</v>
      </c>
      <c r="T726" t="s">
        <v>29</v>
      </c>
      <c r="U726" t="s">
        <v>1557</v>
      </c>
      <c r="V726">
        <v>40000</v>
      </c>
      <c r="W726">
        <v>3</v>
      </c>
      <c r="X726" t="s">
        <v>52</v>
      </c>
      <c r="Y726" t="s">
        <v>18</v>
      </c>
      <c r="Z726" t="s">
        <v>23</v>
      </c>
      <c r="AA726" t="s">
        <v>3580</v>
      </c>
      <c r="AB726" t="s">
        <v>3578</v>
      </c>
      <c r="AC726" t="s">
        <v>3579</v>
      </c>
      <c r="AD726" t="s">
        <v>3479</v>
      </c>
      <c r="AE726" t="s">
        <v>3475</v>
      </c>
      <c r="AF726" s="2">
        <v>2181.5625</v>
      </c>
      <c r="AG726" s="2">
        <v>1320.6838</v>
      </c>
      <c r="AH726" s="2">
        <v>860.87869999999998</v>
      </c>
      <c r="AI726" s="3">
        <v>0.39461564818793898</v>
      </c>
    </row>
    <row r="727" spans="1:35">
      <c r="A727" s="1">
        <v>42284</v>
      </c>
      <c r="B727" s="1">
        <v>37453</v>
      </c>
      <c r="C727" t="s">
        <v>5525</v>
      </c>
      <c r="D727">
        <v>352</v>
      </c>
      <c r="E727">
        <v>13007</v>
      </c>
      <c r="F727">
        <v>9</v>
      </c>
      <c r="G727">
        <v>1</v>
      </c>
      <c r="H727">
        <v>1</v>
      </c>
      <c r="I727">
        <v>1</v>
      </c>
      <c r="J727" t="s">
        <v>3535</v>
      </c>
      <c r="K727" t="s">
        <v>3536</v>
      </c>
      <c r="L727" s="2">
        <v>1117.8559</v>
      </c>
      <c r="M727" s="2">
        <v>2071.4196000000002</v>
      </c>
      <c r="N727" t="s">
        <v>30</v>
      </c>
      <c r="O727" t="s">
        <v>319</v>
      </c>
      <c r="P727" t="s">
        <v>424</v>
      </c>
      <c r="Q727" t="s">
        <v>7056</v>
      </c>
      <c r="R727" s="1">
        <v>24020</v>
      </c>
      <c r="S727" t="s">
        <v>22</v>
      </c>
      <c r="T727" t="s">
        <v>29</v>
      </c>
      <c r="U727" t="s">
        <v>1350</v>
      </c>
      <c r="V727">
        <v>60000</v>
      </c>
      <c r="W727">
        <v>2</v>
      </c>
      <c r="X727" t="s">
        <v>17</v>
      </c>
      <c r="Y727" t="s">
        <v>18</v>
      </c>
      <c r="Z727" t="s">
        <v>23</v>
      </c>
      <c r="AA727" t="s">
        <v>3586</v>
      </c>
      <c r="AB727" t="s">
        <v>3586</v>
      </c>
      <c r="AC727" t="s">
        <v>3587</v>
      </c>
      <c r="AD727" t="s">
        <v>3478</v>
      </c>
      <c r="AE727" t="s">
        <v>3475</v>
      </c>
      <c r="AF727" s="2">
        <v>2071.4196000000002</v>
      </c>
      <c r="AG727" s="2">
        <v>1117.8559</v>
      </c>
      <c r="AH727" s="2">
        <v>953.56370000000004</v>
      </c>
      <c r="AI727" s="3">
        <v>0.460343090313522</v>
      </c>
    </row>
    <row r="728" spans="1:35">
      <c r="A728" s="1">
        <v>42285</v>
      </c>
      <c r="B728" s="1">
        <v>37477</v>
      </c>
      <c r="C728" t="s">
        <v>5534</v>
      </c>
      <c r="D728">
        <v>356</v>
      </c>
      <c r="E728">
        <v>13078</v>
      </c>
      <c r="F728">
        <v>9</v>
      </c>
      <c r="G728">
        <v>1</v>
      </c>
      <c r="H728">
        <v>1</v>
      </c>
      <c r="I728">
        <v>1</v>
      </c>
      <c r="J728" t="s">
        <v>3539</v>
      </c>
      <c r="K728" t="s">
        <v>3540</v>
      </c>
      <c r="L728" s="2">
        <v>1117.8559</v>
      </c>
      <c r="M728" s="2">
        <v>2071.4196000000002</v>
      </c>
      <c r="N728" t="s">
        <v>30</v>
      </c>
      <c r="O728" t="s">
        <v>132</v>
      </c>
      <c r="P728" t="s">
        <v>205</v>
      </c>
      <c r="Q728" t="s">
        <v>7057</v>
      </c>
      <c r="R728" s="1">
        <v>20476</v>
      </c>
      <c r="S728" t="s">
        <v>22</v>
      </c>
      <c r="T728" t="s">
        <v>29</v>
      </c>
      <c r="U728" t="s">
        <v>1391</v>
      </c>
      <c r="V728">
        <v>70000</v>
      </c>
      <c r="W728">
        <v>2</v>
      </c>
      <c r="X728" t="s">
        <v>57</v>
      </c>
      <c r="Y728" t="s">
        <v>53</v>
      </c>
      <c r="Z728" t="s">
        <v>19</v>
      </c>
      <c r="AA728" t="s">
        <v>3586</v>
      </c>
      <c r="AB728" t="s">
        <v>3586</v>
      </c>
      <c r="AC728" t="s">
        <v>3587</v>
      </c>
      <c r="AD728" t="s">
        <v>3478</v>
      </c>
      <c r="AE728" t="s">
        <v>3475</v>
      </c>
      <c r="AF728" s="2">
        <v>2071.4196000000002</v>
      </c>
      <c r="AG728" s="2">
        <v>1117.8559</v>
      </c>
      <c r="AH728" s="2">
        <v>953.56370000000004</v>
      </c>
      <c r="AI728" s="3">
        <v>0.460343090313522</v>
      </c>
    </row>
    <row r="729" spans="1:35">
      <c r="A729" s="1">
        <v>42287</v>
      </c>
      <c r="B729" s="1">
        <v>37490</v>
      </c>
      <c r="C729" t="s">
        <v>5539</v>
      </c>
      <c r="D729">
        <v>375</v>
      </c>
      <c r="E729">
        <v>13453</v>
      </c>
      <c r="F729">
        <v>4</v>
      </c>
      <c r="G729">
        <v>1</v>
      </c>
      <c r="H729">
        <v>1</v>
      </c>
      <c r="I729">
        <v>2</v>
      </c>
      <c r="J729" t="s">
        <v>3557</v>
      </c>
      <c r="K729" t="s">
        <v>3558</v>
      </c>
      <c r="L729" s="2">
        <v>1320.6838</v>
      </c>
      <c r="M729" s="2">
        <v>2181.5625</v>
      </c>
      <c r="N729" t="s">
        <v>30</v>
      </c>
      <c r="O729" t="s">
        <v>106</v>
      </c>
      <c r="P729" t="s">
        <v>294</v>
      </c>
      <c r="Q729" t="s">
        <v>7058</v>
      </c>
      <c r="R729" s="1">
        <v>22412</v>
      </c>
      <c r="S729" t="s">
        <v>16</v>
      </c>
      <c r="T729" t="s">
        <v>29</v>
      </c>
      <c r="U729" t="s">
        <v>1547</v>
      </c>
      <c r="V729">
        <v>130000</v>
      </c>
      <c r="W729">
        <v>1</v>
      </c>
      <c r="X729" t="s">
        <v>17</v>
      </c>
      <c r="Y729" t="s">
        <v>45</v>
      </c>
      <c r="Z729" t="s">
        <v>19</v>
      </c>
      <c r="AA729" t="s">
        <v>3580</v>
      </c>
      <c r="AB729" t="s">
        <v>3578</v>
      </c>
      <c r="AC729" t="s">
        <v>3579</v>
      </c>
      <c r="AD729" t="s">
        <v>3479</v>
      </c>
      <c r="AE729" t="s">
        <v>3475</v>
      </c>
      <c r="AF729" s="2">
        <v>2181.5625</v>
      </c>
      <c r="AG729" s="2">
        <v>1320.6838</v>
      </c>
      <c r="AH729" s="2">
        <v>860.87869999999998</v>
      </c>
      <c r="AI729" s="3">
        <v>0.39461564818793898</v>
      </c>
    </row>
    <row r="730" spans="1:35">
      <c r="A730" s="1">
        <v>42287</v>
      </c>
      <c r="B730" s="1">
        <v>37447</v>
      </c>
      <c r="C730" t="s">
        <v>5542</v>
      </c>
      <c r="D730">
        <v>358</v>
      </c>
      <c r="E730">
        <v>13036</v>
      </c>
      <c r="F730">
        <v>9</v>
      </c>
      <c r="G730">
        <v>1</v>
      </c>
      <c r="H730">
        <v>1</v>
      </c>
      <c r="I730">
        <v>1</v>
      </c>
      <c r="J730" t="s">
        <v>3541</v>
      </c>
      <c r="K730" t="s">
        <v>3542</v>
      </c>
      <c r="L730" s="2">
        <v>1105.81</v>
      </c>
      <c r="M730" s="2">
        <v>2049.0981999999999</v>
      </c>
      <c r="N730" t="s">
        <v>30</v>
      </c>
      <c r="O730" t="s">
        <v>471</v>
      </c>
      <c r="P730" t="s">
        <v>561</v>
      </c>
      <c r="Q730" t="s">
        <v>7059</v>
      </c>
      <c r="R730" s="1">
        <v>18297</v>
      </c>
      <c r="S730" t="s">
        <v>22</v>
      </c>
      <c r="T730" t="s">
        <v>29</v>
      </c>
      <c r="U730" t="s">
        <v>1366</v>
      </c>
      <c r="V730">
        <v>30000</v>
      </c>
      <c r="W730">
        <v>3</v>
      </c>
      <c r="X730" t="s">
        <v>52</v>
      </c>
      <c r="Y730" t="s">
        <v>60</v>
      </c>
      <c r="Z730" t="s">
        <v>19</v>
      </c>
      <c r="AA730" t="s">
        <v>3586</v>
      </c>
      <c r="AB730" t="s">
        <v>3586</v>
      </c>
      <c r="AC730" t="s">
        <v>3587</v>
      </c>
      <c r="AD730" t="s">
        <v>3478</v>
      </c>
      <c r="AE730" t="s">
        <v>3475</v>
      </c>
      <c r="AF730" s="2">
        <v>2049.0981999999999</v>
      </c>
      <c r="AG730" s="2">
        <v>1105.81</v>
      </c>
      <c r="AH730" s="2">
        <v>943.28819999999996</v>
      </c>
      <c r="AI730" s="3">
        <v>0.46034309141455498</v>
      </c>
    </row>
    <row r="731" spans="1:35">
      <c r="A731" s="1">
        <v>42295</v>
      </c>
      <c r="B731" s="1">
        <v>37454</v>
      </c>
      <c r="C731" t="s">
        <v>5602</v>
      </c>
      <c r="D731">
        <v>354</v>
      </c>
      <c r="E731">
        <v>12987</v>
      </c>
      <c r="F731">
        <v>9</v>
      </c>
      <c r="G731">
        <v>1</v>
      </c>
      <c r="H731">
        <v>1</v>
      </c>
      <c r="I731">
        <v>1</v>
      </c>
      <c r="J731" t="s">
        <v>3537</v>
      </c>
      <c r="K731" t="s">
        <v>3538</v>
      </c>
      <c r="L731" s="2">
        <v>1117.8559</v>
      </c>
      <c r="M731" s="2">
        <v>2071.4196000000002</v>
      </c>
      <c r="N731" t="s">
        <v>30</v>
      </c>
      <c r="O731" t="s">
        <v>164</v>
      </c>
      <c r="P731" t="s">
        <v>85</v>
      </c>
      <c r="Q731" t="s">
        <v>7060</v>
      </c>
      <c r="R731" s="1">
        <v>25335</v>
      </c>
      <c r="S731" t="s">
        <v>16</v>
      </c>
      <c r="T731" t="s">
        <v>29</v>
      </c>
      <c r="U731" t="s">
        <v>1336</v>
      </c>
      <c r="V731">
        <v>90000</v>
      </c>
      <c r="W731">
        <v>1</v>
      </c>
      <c r="X731" t="s">
        <v>135</v>
      </c>
      <c r="Y731" t="s">
        <v>45</v>
      </c>
      <c r="Z731" t="s">
        <v>23</v>
      </c>
      <c r="AA731" t="s">
        <v>3586</v>
      </c>
      <c r="AB731" t="s">
        <v>3586</v>
      </c>
      <c r="AC731" t="s">
        <v>3587</v>
      </c>
      <c r="AD731" t="s">
        <v>3478</v>
      </c>
      <c r="AE731" t="s">
        <v>3475</v>
      </c>
      <c r="AF731" s="2">
        <v>2071.4196000000002</v>
      </c>
      <c r="AG731" s="2">
        <v>1117.8559</v>
      </c>
      <c r="AH731" s="2">
        <v>953.56370000000004</v>
      </c>
      <c r="AI731" s="3">
        <v>0.460343090313522</v>
      </c>
    </row>
    <row r="732" spans="1:35">
      <c r="A732" s="1">
        <v>42296</v>
      </c>
      <c r="B732" s="1">
        <v>37515</v>
      </c>
      <c r="C732" t="s">
        <v>5615</v>
      </c>
      <c r="D732">
        <v>352</v>
      </c>
      <c r="E732">
        <v>12990</v>
      </c>
      <c r="F732">
        <v>9</v>
      </c>
      <c r="G732">
        <v>1</v>
      </c>
      <c r="H732">
        <v>1</v>
      </c>
      <c r="I732">
        <v>1</v>
      </c>
      <c r="J732" t="s">
        <v>3535</v>
      </c>
      <c r="K732" t="s">
        <v>3536</v>
      </c>
      <c r="L732" s="2">
        <v>1117.8559</v>
      </c>
      <c r="M732" s="2">
        <v>2071.4196000000002</v>
      </c>
      <c r="N732" t="s">
        <v>30</v>
      </c>
      <c r="O732" t="s">
        <v>221</v>
      </c>
      <c r="P732" t="s">
        <v>101</v>
      </c>
      <c r="Q732" t="s">
        <v>7061</v>
      </c>
      <c r="R732" s="1">
        <v>25491</v>
      </c>
      <c r="S732" t="s">
        <v>22</v>
      </c>
      <c r="T732" t="s">
        <v>29</v>
      </c>
      <c r="U732" t="s">
        <v>1339</v>
      </c>
      <c r="V732">
        <v>100000</v>
      </c>
      <c r="W732">
        <v>1</v>
      </c>
      <c r="X732" t="s">
        <v>135</v>
      </c>
      <c r="Y732" t="s">
        <v>45</v>
      </c>
      <c r="Z732" t="s">
        <v>19</v>
      </c>
      <c r="AA732" t="s">
        <v>3586</v>
      </c>
      <c r="AB732" t="s">
        <v>3586</v>
      </c>
      <c r="AC732" t="s">
        <v>3587</v>
      </c>
      <c r="AD732" t="s">
        <v>3478</v>
      </c>
      <c r="AE732" t="s">
        <v>3475</v>
      </c>
      <c r="AF732" s="2">
        <v>2071.4196000000002</v>
      </c>
      <c r="AG732" s="2">
        <v>1117.8559</v>
      </c>
      <c r="AH732" s="2">
        <v>953.56370000000004</v>
      </c>
      <c r="AI732" s="3">
        <v>0.460343090313522</v>
      </c>
    </row>
    <row r="733" spans="1:35">
      <c r="A733" s="1">
        <v>42288</v>
      </c>
      <c r="B733" s="1">
        <v>37507</v>
      </c>
      <c r="C733" t="s">
        <v>5548</v>
      </c>
      <c r="D733">
        <v>354</v>
      </c>
      <c r="E733">
        <v>13000</v>
      </c>
      <c r="F733">
        <v>9</v>
      </c>
      <c r="G733">
        <v>1</v>
      </c>
      <c r="H733">
        <v>1</v>
      </c>
      <c r="I733">
        <v>1</v>
      </c>
      <c r="J733" t="s">
        <v>3537</v>
      </c>
      <c r="K733" t="s">
        <v>3538</v>
      </c>
      <c r="L733" s="2">
        <v>1117.8559</v>
      </c>
      <c r="M733" s="2">
        <v>2071.4196000000002</v>
      </c>
      <c r="N733" t="s">
        <v>13</v>
      </c>
      <c r="O733" t="s">
        <v>437</v>
      </c>
      <c r="P733" t="s">
        <v>131</v>
      </c>
      <c r="Q733" t="s">
        <v>7062</v>
      </c>
      <c r="R733" s="1">
        <v>25466</v>
      </c>
      <c r="S733" t="s">
        <v>16</v>
      </c>
      <c r="T733" t="s">
        <v>16</v>
      </c>
      <c r="U733" t="s">
        <v>1347</v>
      </c>
      <c r="V733">
        <v>110000</v>
      </c>
      <c r="W733">
        <v>1</v>
      </c>
      <c r="X733" t="s">
        <v>135</v>
      </c>
      <c r="Y733" t="s">
        <v>45</v>
      </c>
      <c r="Z733" t="s">
        <v>19</v>
      </c>
      <c r="AA733" t="s">
        <v>3586</v>
      </c>
      <c r="AB733" t="s">
        <v>3586</v>
      </c>
      <c r="AC733" t="s">
        <v>3587</v>
      </c>
      <c r="AD733" t="s">
        <v>3478</v>
      </c>
      <c r="AE733" t="s">
        <v>3475</v>
      </c>
      <c r="AF733" s="2">
        <v>2071.4196000000002</v>
      </c>
      <c r="AG733" s="2">
        <v>1117.8559</v>
      </c>
      <c r="AH733" s="2">
        <v>953.56370000000004</v>
      </c>
      <c r="AI733" s="3">
        <v>0.460343090313522</v>
      </c>
    </row>
    <row r="734" spans="1:35">
      <c r="A734" s="1">
        <v>42296</v>
      </c>
      <c r="B734" s="1">
        <v>37451</v>
      </c>
      <c r="C734" t="s">
        <v>5613</v>
      </c>
      <c r="D734">
        <v>360</v>
      </c>
      <c r="E734">
        <v>12991</v>
      </c>
      <c r="F734">
        <v>9</v>
      </c>
      <c r="G734">
        <v>1</v>
      </c>
      <c r="H734">
        <v>1</v>
      </c>
      <c r="I734">
        <v>1</v>
      </c>
      <c r="J734" t="s">
        <v>3543</v>
      </c>
      <c r="K734" t="s">
        <v>3544</v>
      </c>
      <c r="L734" s="2">
        <v>1105.81</v>
      </c>
      <c r="M734" s="2">
        <v>2049.0981999999999</v>
      </c>
      <c r="N734" t="s">
        <v>13</v>
      </c>
      <c r="O734" t="s">
        <v>1340</v>
      </c>
      <c r="P734" t="s">
        <v>157</v>
      </c>
      <c r="Q734" t="s">
        <v>7063</v>
      </c>
      <c r="R734" s="1">
        <v>24909</v>
      </c>
      <c r="S734" t="s">
        <v>16</v>
      </c>
      <c r="T734" t="s">
        <v>16</v>
      </c>
      <c r="U734" t="s">
        <v>1341</v>
      </c>
      <c r="V734">
        <v>60000</v>
      </c>
      <c r="W734">
        <v>2</v>
      </c>
      <c r="X734" t="s">
        <v>17</v>
      </c>
      <c r="Y734" t="s">
        <v>18</v>
      </c>
      <c r="Z734" t="s">
        <v>19</v>
      </c>
      <c r="AA734" t="s">
        <v>3586</v>
      </c>
      <c r="AB734" t="s">
        <v>3586</v>
      </c>
      <c r="AC734" t="s">
        <v>3587</v>
      </c>
      <c r="AD734" t="s">
        <v>3478</v>
      </c>
      <c r="AE734" t="s">
        <v>3475</v>
      </c>
      <c r="AF734" s="2">
        <v>2049.0981999999999</v>
      </c>
      <c r="AG734" s="2">
        <v>1105.81</v>
      </c>
      <c r="AH734" s="2">
        <v>943.28819999999996</v>
      </c>
      <c r="AI734" s="3">
        <v>0.46034309141455498</v>
      </c>
    </row>
    <row r="735" spans="1:35">
      <c r="A735" s="1">
        <v>42306</v>
      </c>
      <c r="B735" s="1">
        <v>37454</v>
      </c>
      <c r="C735" t="s">
        <v>5684</v>
      </c>
      <c r="D735">
        <v>354</v>
      </c>
      <c r="E735">
        <v>12994</v>
      </c>
      <c r="F735">
        <v>9</v>
      </c>
      <c r="G735">
        <v>1</v>
      </c>
      <c r="H735">
        <v>1</v>
      </c>
      <c r="I735">
        <v>1</v>
      </c>
      <c r="J735" t="s">
        <v>3537</v>
      </c>
      <c r="K735" t="s">
        <v>3538</v>
      </c>
      <c r="L735" s="2">
        <v>1117.8559</v>
      </c>
      <c r="M735" s="2">
        <v>2071.4196000000002</v>
      </c>
      <c r="N735" t="s">
        <v>30</v>
      </c>
      <c r="O735" t="s">
        <v>349</v>
      </c>
      <c r="P735" t="s">
        <v>290</v>
      </c>
      <c r="Q735" t="s">
        <v>7064</v>
      </c>
      <c r="R735" s="1">
        <v>25667</v>
      </c>
      <c r="S735" t="s">
        <v>22</v>
      </c>
      <c r="T735" t="s">
        <v>29</v>
      </c>
      <c r="U735" t="s">
        <v>1342</v>
      </c>
      <c r="V735">
        <v>80000</v>
      </c>
      <c r="W735">
        <v>4</v>
      </c>
      <c r="X735" t="s">
        <v>135</v>
      </c>
      <c r="Y735" t="s">
        <v>45</v>
      </c>
      <c r="Z735" t="s">
        <v>19</v>
      </c>
      <c r="AA735" t="s">
        <v>3586</v>
      </c>
      <c r="AB735" t="s">
        <v>3586</v>
      </c>
      <c r="AC735" t="s">
        <v>3587</v>
      </c>
      <c r="AD735" t="s">
        <v>3478</v>
      </c>
      <c r="AE735" t="s">
        <v>3475</v>
      </c>
      <c r="AF735" s="2">
        <v>2071.4196000000002</v>
      </c>
      <c r="AG735" s="2">
        <v>1117.8559</v>
      </c>
      <c r="AH735" s="2">
        <v>953.56370000000004</v>
      </c>
      <c r="AI735" s="3">
        <v>0.460343090313522</v>
      </c>
    </row>
    <row r="736" spans="1:35">
      <c r="A736" s="1">
        <v>42295</v>
      </c>
      <c r="B736" s="1">
        <v>37521</v>
      </c>
      <c r="C736" t="s">
        <v>5603</v>
      </c>
      <c r="D736">
        <v>362</v>
      </c>
      <c r="E736">
        <v>12995</v>
      </c>
      <c r="F736">
        <v>9</v>
      </c>
      <c r="G736">
        <v>1</v>
      </c>
      <c r="H736">
        <v>1</v>
      </c>
      <c r="I736">
        <v>1</v>
      </c>
      <c r="J736" t="s">
        <v>3545</v>
      </c>
      <c r="K736" t="s">
        <v>3546</v>
      </c>
      <c r="L736" s="2">
        <v>1105.81</v>
      </c>
      <c r="M736" s="2">
        <v>2049.0981999999999</v>
      </c>
      <c r="N736" t="s">
        <v>13</v>
      </c>
      <c r="O736" t="s">
        <v>554</v>
      </c>
      <c r="P736" t="s">
        <v>115</v>
      </c>
      <c r="Q736" t="s">
        <v>7065</v>
      </c>
      <c r="R736" s="1">
        <v>25813</v>
      </c>
      <c r="S736" t="s">
        <v>16</v>
      </c>
      <c r="T736" t="s">
        <v>16</v>
      </c>
      <c r="U736" t="s">
        <v>1343</v>
      </c>
      <c r="V736">
        <v>80000</v>
      </c>
      <c r="W736">
        <v>5</v>
      </c>
      <c r="X736" t="s">
        <v>135</v>
      </c>
      <c r="Y736" t="s">
        <v>45</v>
      </c>
      <c r="Z736" t="s">
        <v>19</v>
      </c>
      <c r="AA736" t="s">
        <v>3586</v>
      </c>
      <c r="AB736" t="s">
        <v>3586</v>
      </c>
      <c r="AC736" t="s">
        <v>3587</v>
      </c>
      <c r="AD736" t="s">
        <v>3478</v>
      </c>
      <c r="AE736" t="s">
        <v>3475</v>
      </c>
      <c r="AF736" s="2">
        <v>2049.0981999999999</v>
      </c>
      <c r="AG736" s="2">
        <v>1105.81</v>
      </c>
      <c r="AH736" s="2">
        <v>943.28819999999996</v>
      </c>
      <c r="AI736" s="3">
        <v>0.46034309141455498</v>
      </c>
    </row>
    <row r="737" spans="1:35">
      <c r="A737" s="1">
        <v>42300</v>
      </c>
      <c r="B737" s="1">
        <v>37460</v>
      </c>
      <c r="C737" t="s">
        <v>5644</v>
      </c>
      <c r="D737">
        <v>358</v>
      </c>
      <c r="E737">
        <v>12996</v>
      </c>
      <c r="F737">
        <v>9</v>
      </c>
      <c r="G737">
        <v>1</v>
      </c>
      <c r="H737">
        <v>1</v>
      </c>
      <c r="I737">
        <v>1</v>
      </c>
      <c r="J737" t="s">
        <v>3541</v>
      </c>
      <c r="K737" t="s">
        <v>3542</v>
      </c>
      <c r="L737" s="2">
        <v>1105.81</v>
      </c>
      <c r="M737" s="2">
        <v>2049.0981999999999</v>
      </c>
      <c r="N737" t="s">
        <v>30</v>
      </c>
      <c r="O737" t="s">
        <v>117</v>
      </c>
      <c r="P737" t="s">
        <v>210</v>
      </c>
      <c r="Q737" t="s">
        <v>7066</v>
      </c>
      <c r="R737" s="1">
        <v>25701</v>
      </c>
      <c r="S737" t="s">
        <v>16</v>
      </c>
      <c r="T737" t="s">
        <v>29</v>
      </c>
      <c r="U737" t="s">
        <v>1344</v>
      </c>
      <c r="V737">
        <v>90000</v>
      </c>
      <c r="W737">
        <v>2</v>
      </c>
      <c r="X737" t="s">
        <v>17</v>
      </c>
      <c r="Y737" t="s">
        <v>18</v>
      </c>
      <c r="Z737" t="s">
        <v>19</v>
      </c>
      <c r="AA737" t="s">
        <v>3586</v>
      </c>
      <c r="AB737" t="s">
        <v>3586</v>
      </c>
      <c r="AC737" t="s">
        <v>3587</v>
      </c>
      <c r="AD737" t="s">
        <v>3478</v>
      </c>
      <c r="AE737" t="s">
        <v>3475</v>
      </c>
      <c r="AF737" s="2">
        <v>2049.0981999999999</v>
      </c>
      <c r="AG737" s="2">
        <v>1105.81</v>
      </c>
      <c r="AH737" s="2">
        <v>943.28819999999996</v>
      </c>
      <c r="AI737" s="3">
        <v>0.46034309141455498</v>
      </c>
    </row>
    <row r="738" spans="1:35">
      <c r="A738" s="1">
        <v>42301</v>
      </c>
      <c r="B738" s="1">
        <v>37454</v>
      </c>
      <c r="C738" t="s">
        <v>5656</v>
      </c>
      <c r="D738">
        <v>356</v>
      </c>
      <c r="E738">
        <v>12999</v>
      </c>
      <c r="F738">
        <v>9</v>
      </c>
      <c r="G738">
        <v>1</v>
      </c>
      <c r="H738">
        <v>1</v>
      </c>
      <c r="I738">
        <v>1</v>
      </c>
      <c r="J738" t="s">
        <v>3539</v>
      </c>
      <c r="K738" t="s">
        <v>3540</v>
      </c>
      <c r="L738" s="2">
        <v>1117.8559</v>
      </c>
      <c r="M738" s="2">
        <v>2071.4196000000002</v>
      </c>
      <c r="N738" t="s">
        <v>30</v>
      </c>
      <c r="O738" t="s">
        <v>824</v>
      </c>
      <c r="P738" t="s">
        <v>271</v>
      </c>
      <c r="Q738" t="s">
        <v>7067</v>
      </c>
      <c r="R738" s="1">
        <v>24643</v>
      </c>
      <c r="S738" t="s">
        <v>22</v>
      </c>
      <c r="T738" t="s">
        <v>29</v>
      </c>
      <c r="U738" t="s">
        <v>1346</v>
      </c>
      <c r="V738">
        <v>70000</v>
      </c>
      <c r="W738">
        <v>5</v>
      </c>
      <c r="X738" t="s">
        <v>17</v>
      </c>
      <c r="Y738" t="s">
        <v>18</v>
      </c>
      <c r="Z738" t="s">
        <v>19</v>
      </c>
      <c r="AA738" t="s">
        <v>3586</v>
      </c>
      <c r="AB738" t="s">
        <v>3586</v>
      </c>
      <c r="AC738" t="s">
        <v>3587</v>
      </c>
      <c r="AD738" t="s">
        <v>3478</v>
      </c>
      <c r="AE738" t="s">
        <v>3475</v>
      </c>
      <c r="AF738" s="2">
        <v>2071.4196000000002</v>
      </c>
      <c r="AG738" s="2">
        <v>1117.8559</v>
      </c>
      <c r="AH738" s="2">
        <v>953.56370000000004</v>
      </c>
      <c r="AI738" s="3">
        <v>0.460343090313522</v>
      </c>
    </row>
    <row r="739" spans="1:35">
      <c r="A739" s="1">
        <v>42302</v>
      </c>
      <c r="B739" s="1">
        <v>37537</v>
      </c>
      <c r="C739" t="s">
        <v>5659</v>
      </c>
      <c r="D739">
        <v>358</v>
      </c>
      <c r="E739">
        <v>13001</v>
      </c>
      <c r="F739">
        <v>9</v>
      </c>
      <c r="G739">
        <v>1</v>
      </c>
      <c r="H739">
        <v>1</v>
      </c>
      <c r="I739">
        <v>1</v>
      </c>
      <c r="J739" t="s">
        <v>3541</v>
      </c>
      <c r="K739" t="s">
        <v>3542</v>
      </c>
      <c r="L739" s="2">
        <v>1105.81</v>
      </c>
      <c r="M739" s="2">
        <v>2049.0981999999999</v>
      </c>
      <c r="N739" t="s">
        <v>13</v>
      </c>
      <c r="O739" t="s">
        <v>58</v>
      </c>
      <c r="P739" t="s">
        <v>68</v>
      </c>
      <c r="Q739" t="s">
        <v>7068</v>
      </c>
      <c r="R739" s="1">
        <v>25452</v>
      </c>
      <c r="S739" t="s">
        <v>22</v>
      </c>
      <c r="T739" t="s">
        <v>16</v>
      </c>
      <c r="U739" t="s">
        <v>1348</v>
      </c>
      <c r="V739">
        <v>130000</v>
      </c>
      <c r="W739">
        <v>1</v>
      </c>
      <c r="X739" t="s">
        <v>135</v>
      </c>
      <c r="Y739" t="s">
        <v>45</v>
      </c>
      <c r="Z739" t="s">
        <v>19</v>
      </c>
      <c r="AA739" t="s">
        <v>3586</v>
      </c>
      <c r="AB739" t="s">
        <v>3586</v>
      </c>
      <c r="AC739" t="s">
        <v>3587</v>
      </c>
      <c r="AD739" t="s">
        <v>3478</v>
      </c>
      <c r="AE739" t="s">
        <v>3475</v>
      </c>
      <c r="AF739" s="2">
        <v>2049.0981999999999</v>
      </c>
      <c r="AG739" s="2">
        <v>1105.81</v>
      </c>
      <c r="AH739" s="2">
        <v>943.28819999999996</v>
      </c>
      <c r="AI739" s="3">
        <v>0.46034309141455498</v>
      </c>
    </row>
    <row r="740" spans="1:35">
      <c r="A740" s="1">
        <v>42302</v>
      </c>
      <c r="B740" s="1">
        <v>37456</v>
      </c>
      <c r="C740" t="s">
        <v>5665</v>
      </c>
      <c r="D740">
        <v>362</v>
      </c>
      <c r="E740">
        <v>13006</v>
      </c>
      <c r="F740">
        <v>9</v>
      </c>
      <c r="G740">
        <v>1</v>
      </c>
      <c r="H740">
        <v>1</v>
      </c>
      <c r="I740">
        <v>1</v>
      </c>
      <c r="J740" t="s">
        <v>3545</v>
      </c>
      <c r="K740" t="s">
        <v>3546</v>
      </c>
      <c r="L740" s="2">
        <v>1105.81</v>
      </c>
      <c r="M740" s="2">
        <v>2049.0981999999999</v>
      </c>
      <c r="N740" t="s">
        <v>26</v>
      </c>
      <c r="O740" t="s">
        <v>631</v>
      </c>
      <c r="P740" t="s">
        <v>830</v>
      </c>
      <c r="Q740" t="s">
        <v>7069</v>
      </c>
      <c r="R740" s="1">
        <v>24218</v>
      </c>
      <c r="S740" t="s">
        <v>22</v>
      </c>
      <c r="T740" t="s">
        <v>29</v>
      </c>
      <c r="U740" t="s">
        <v>1349</v>
      </c>
      <c r="V740">
        <v>90000</v>
      </c>
      <c r="W740">
        <v>0</v>
      </c>
      <c r="X740" t="s">
        <v>17</v>
      </c>
      <c r="Y740" t="s">
        <v>18</v>
      </c>
      <c r="Z740" t="s">
        <v>23</v>
      </c>
      <c r="AA740" t="s">
        <v>3586</v>
      </c>
      <c r="AB740" t="s">
        <v>3586</v>
      </c>
      <c r="AC740" t="s">
        <v>3587</v>
      </c>
      <c r="AD740" t="s">
        <v>3478</v>
      </c>
      <c r="AE740" t="s">
        <v>3475</v>
      </c>
      <c r="AF740" s="2">
        <v>2049.0981999999999</v>
      </c>
      <c r="AG740" s="2">
        <v>1105.81</v>
      </c>
      <c r="AH740" s="2">
        <v>943.28819999999996</v>
      </c>
      <c r="AI740" s="3">
        <v>0.46034309141455498</v>
      </c>
    </row>
    <row r="741" spans="1:35">
      <c r="A741" s="1">
        <v>42290</v>
      </c>
      <c r="B741" s="1">
        <v>37508</v>
      </c>
      <c r="C741" t="s">
        <v>5565</v>
      </c>
      <c r="D741">
        <v>354</v>
      </c>
      <c r="E741">
        <v>13051</v>
      </c>
      <c r="F741">
        <v>9</v>
      </c>
      <c r="G741">
        <v>1</v>
      </c>
      <c r="H741">
        <v>1</v>
      </c>
      <c r="I741">
        <v>1</v>
      </c>
      <c r="J741" t="s">
        <v>3537</v>
      </c>
      <c r="K741" t="s">
        <v>3538</v>
      </c>
      <c r="L741" s="2">
        <v>1117.8559</v>
      </c>
      <c r="M741" s="2">
        <v>2071.4196000000002</v>
      </c>
      <c r="N741" t="s">
        <v>13</v>
      </c>
      <c r="O741" t="s">
        <v>67</v>
      </c>
      <c r="P741" t="s">
        <v>343</v>
      </c>
      <c r="Q741" t="s">
        <v>7070</v>
      </c>
      <c r="R741" s="1">
        <v>20055</v>
      </c>
      <c r="S741" t="s">
        <v>22</v>
      </c>
      <c r="T741" t="s">
        <v>16</v>
      </c>
      <c r="U741" t="s">
        <v>1373</v>
      </c>
      <c r="V741">
        <v>80000</v>
      </c>
      <c r="W741">
        <v>2</v>
      </c>
      <c r="X741" t="s">
        <v>52</v>
      </c>
      <c r="Y741" t="s">
        <v>53</v>
      </c>
      <c r="Z741" t="s">
        <v>23</v>
      </c>
      <c r="AA741" t="s">
        <v>3586</v>
      </c>
      <c r="AB741" t="s">
        <v>3586</v>
      </c>
      <c r="AC741" t="s">
        <v>3587</v>
      </c>
      <c r="AD741" t="s">
        <v>3478</v>
      </c>
      <c r="AE741" t="s">
        <v>3475</v>
      </c>
      <c r="AF741" s="2">
        <v>2071.4196000000002</v>
      </c>
      <c r="AG741" s="2">
        <v>1117.8559</v>
      </c>
      <c r="AH741" s="2">
        <v>953.56370000000004</v>
      </c>
      <c r="AI741" s="3">
        <v>0.460343090313522</v>
      </c>
    </row>
    <row r="742" spans="1:35">
      <c r="A742" s="1">
        <v>42306</v>
      </c>
      <c r="B742" s="1">
        <v>37519</v>
      </c>
      <c r="C742" t="s">
        <v>5685</v>
      </c>
      <c r="D742">
        <v>356</v>
      </c>
      <c r="E742">
        <v>13010</v>
      </c>
      <c r="F742">
        <v>9</v>
      </c>
      <c r="G742">
        <v>1</v>
      </c>
      <c r="H742">
        <v>1</v>
      </c>
      <c r="I742">
        <v>1</v>
      </c>
      <c r="J742" t="s">
        <v>3539</v>
      </c>
      <c r="K742" t="s">
        <v>3540</v>
      </c>
      <c r="L742" s="2">
        <v>1117.8559</v>
      </c>
      <c r="M742" s="2">
        <v>2071.4196000000002</v>
      </c>
      <c r="N742" t="s">
        <v>30</v>
      </c>
      <c r="O742" t="s">
        <v>335</v>
      </c>
      <c r="P742" t="s">
        <v>161</v>
      </c>
      <c r="Q742" t="s">
        <v>7071</v>
      </c>
      <c r="R742" s="1">
        <v>23970</v>
      </c>
      <c r="S742" t="s">
        <v>16</v>
      </c>
      <c r="T742" t="s">
        <v>29</v>
      </c>
      <c r="U742" t="s">
        <v>1351</v>
      </c>
      <c r="V742">
        <v>60000</v>
      </c>
      <c r="W742">
        <v>3</v>
      </c>
      <c r="X742" t="s">
        <v>17</v>
      </c>
      <c r="Y742" t="s">
        <v>18</v>
      </c>
      <c r="Z742" t="s">
        <v>19</v>
      </c>
      <c r="AA742" t="s">
        <v>3586</v>
      </c>
      <c r="AB742" t="s">
        <v>3586</v>
      </c>
      <c r="AC742" t="s">
        <v>3587</v>
      </c>
      <c r="AD742" t="s">
        <v>3478</v>
      </c>
      <c r="AE742" t="s">
        <v>3475</v>
      </c>
      <c r="AF742" s="2">
        <v>2071.4196000000002</v>
      </c>
      <c r="AG742" s="2">
        <v>1117.8559</v>
      </c>
      <c r="AH742" s="2">
        <v>953.56370000000004</v>
      </c>
      <c r="AI742" s="3">
        <v>0.460343090313522</v>
      </c>
    </row>
    <row r="743" spans="1:35">
      <c r="A743" s="1">
        <v>42298</v>
      </c>
      <c r="B743" s="1">
        <v>37442</v>
      </c>
      <c r="C743" t="s">
        <v>5627</v>
      </c>
      <c r="D743">
        <v>358</v>
      </c>
      <c r="E743">
        <v>13011</v>
      </c>
      <c r="F743">
        <v>9</v>
      </c>
      <c r="G743">
        <v>1</v>
      </c>
      <c r="H743">
        <v>1</v>
      </c>
      <c r="I743">
        <v>1</v>
      </c>
      <c r="J743" t="s">
        <v>3541</v>
      </c>
      <c r="K743" t="s">
        <v>3542</v>
      </c>
      <c r="L743" s="2">
        <v>1105.81</v>
      </c>
      <c r="M743" s="2">
        <v>2049.0981999999999</v>
      </c>
      <c r="N743" t="s">
        <v>26</v>
      </c>
      <c r="O743" t="s">
        <v>355</v>
      </c>
      <c r="P743" t="s">
        <v>460</v>
      </c>
      <c r="Q743" t="s">
        <v>7072</v>
      </c>
      <c r="R743" s="1">
        <v>23866</v>
      </c>
      <c r="S743" t="s">
        <v>22</v>
      </c>
      <c r="T743" t="s">
        <v>29</v>
      </c>
      <c r="U743" t="s">
        <v>1352</v>
      </c>
      <c r="V743">
        <v>70000</v>
      </c>
      <c r="W743">
        <v>0</v>
      </c>
      <c r="X743" t="s">
        <v>17</v>
      </c>
      <c r="Y743" t="s">
        <v>18</v>
      </c>
      <c r="Z743" t="s">
        <v>23</v>
      </c>
      <c r="AA743" t="s">
        <v>3586</v>
      </c>
      <c r="AB743" t="s">
        <v>3586</v>
      </c>
      <c r="AC743" t="s">
        <v>3587</v>
      </c>
      <c r="AD743" t="s">
        <v>3478</v>
      </c>
      <c r="AE743" t="s">
        <v>3475</v>
      </c>
      <c r="AF743" s="2">
        <v>2049.0981999999999</v>
      </c>
      <c r="AG743" s="2">
        <v>1105.81</v>
      </c>
      <c r="AH743" s="2">
        <v>943.28819999999996</v>
      </c>
      <c r="AI743" s="3">
        <v>0.46034309141455498</v>
      </c>
    </row>
    <row r="744" spans="1:35">
      <c r="A744" s="1">
        <v>42298</v>
      </c>
      <c r="B744" s="1">
        <v>37471</v>
      </c>
      <c r="C744" t="s">
        <v>5633</v>
      </c>
      <c r="D744">
        <v>356</v>
      </c>
      <c r="E744">
        <v>13012</v>
      </c>
      <c r="F744">
        <v>9</v>
      </c>
      <c r="G744">
        <v>1</v>
      </c>
      <c r="H744">
        <v>1</v>
      </c>
      <c r="I744">
        <v>1</v>
      </c>
      <c r="J744" t="s">
        <v>3539</v>
      </c>
      <c r="K744" t="s">
        <v>3540</v>
      </c>
      <c r="L744" s="2">
        <v>1117.8559</v>
      </c>
      <c r="M744" s="2">
        <v>2071.4196000000002</v>
      </c>
      <c r="N744" t="s">
        <v>26</v>
      </c>
      <c r="O744" t="s">
        <v>1138</v>
      </c>
      <c r="P744" t="s">
        <v>511</v>
      </c>
      <c r="Q744" t="s">
        <v>7073</v>
      </c>
      <c r="R744" s="1">
        <v>24009</v>
      </c>
      <c r="S744" t="s">
        <v>22</v>
      </c>
      <c r="T744" t="s">
        <v>29</v>
      </c>
      <c r="U744" t="s">
        <v>1353</v>
      </c>
      <c r="V744">
        <v>70000</v>
      </c>
      <c r="W744">
        <v>0</v>
      </c>
      <c r="X744" t="s">
        <v>17</v>
      </c>
      <c r="Y744" t="s">
        <v>18</v>
      </c>
      <c r="Z744" t="s">
        <v>23</v>
      </c>
      <c r="AA744" t="s">
        <v>3586</v>
      </c>
      <c r="AB744" t="s">
        <v>3586</v>
      </c>
      <c r="AC744" t="s">
        <v>3587</v>
      </c>
      <c r="AD744" t="s">
        <v>3478</v>
      </c>
      <c r="AE744" t="s">
        <v>3475</v>
      </c>
      <c r="AF744" s="2">
        <v>2071.4196000000002</v>
      </c>
      <c r="AG744" s="2">
        <v>1117.8559</v>
      </c>
      <c r="AH744" s="2">
        <v>953.56370000000004</v>
      </c>
      <c r="AI744" s="3">
        <v>0.460343090313522</v>
      </c>
    </row>
    <row r="745" spans="1:35">
      <c r="A745" s="1">
        <v>42290</v>
      </c>
      <c r="B745" s="1">
        <v>37519</v>
      </c>
      <c r="C745" t="s">
        <v>5571</v>
      </c>
      <c r="D745">
        <v>352</v>
      </c>
      <c r="E745">
        <v>13025</v>
      </c>
      <c r="F745">
        <v>9</v>
      </c>
      <c r="G745">
        <v>1</v>
      </c>
      <c r="H745">
        <v>1</v>
      </c>
      <c r="I745">
        <v>1</v>
      </c>
      <c r="J745" t="s">
        <v>3535</v>
      </c>
      <c r="K745" t="s">
        <v>3536</v>
      </c>
      <c r="L745" s="2">
        <v>1117.8559</v>
      </c>
      <c r="M745" s="2">
        <v>2071.4196000000002</v>
      </c>
      <c r="N745" t="s">
        <v>13</v>
      </c>
      <c r="O745" t="s">
        <v>622</v>
      </c>
      <c r="P745" t="s">
        <v>157</v>
      </c>
      <c r="Q745" t="s">
        <v>7074</v>
      </c>
      <c r="R745" s="1">
        <v>17490</v>
      </c>
      <c r="S745" t="s">
        <v>16</v>
      </c>
      <c r="T745" t="s">
        <v>16</v>
      </c>
      <c r="U745" t="s">
        <v>1362</v>
      </c>
      <c r="V745">
        <v>30000</v>
      </c>
      <c r="W745">
        <v>2</v>
      </c>
      <c r="X745" t="s">
        <v>52</v>
      </c>
      <c r="Y745" t="s">
        <v>60</v>
      </c>
      <c r="Z745" t="s">
        <v>23</v>
      </c>
      <c r="AA745" t="s">
        <v>3586</v>
      </c>
      <c r="AB745" t="s">
        <v>3586</v>
      </c>
      <c r="AC745" t="s">
        <v>3587</v>
      </c>
      <c r="AD745" t="s">
        <v>3478</v>
      </c>
      <c r="AE745" t="s">
        <v>3475</v>
      </c>
      <c r="AF745" s="2">
        <v>2071.4196000000002</v>
      </c>
      <c r="AG745" s="2">
        <v>1117.8559</v>
      </c>
      <c r="AH745" s="2">
        <v>953.56370000000004</v>
      </c>
      <c r="AI745" s="3">
        <v>0.460343090313522</v>
      </c>
    </row>
    <row r="746" spans="1:35">
      <c r="A746" s="1">
        <v>42290</v>
      </c>
      <c r="B746" s="1">
        <v>37452</v>
      </c>
      <c r="C746" t="s">
        <v>5573</v>
      </c>
      <c r="D746">
        <v>352</v>
      </c>
      <c r="E746">
        <v>13038</v>
      </c>
      <c r="F746">
        <v>9</v>
      </c>
      <c r="G746">
        <v>1</v>
      </c>
      <c r="H746">
        <v>1</v>
      </c>
      <c r="I746">
        <v>1</v>
      </c>
      <c r="J746" t="s">
        <v>3535</v>
      </c>
      <c r="K746" t="s">
        <v>3536</v>
      </c>
      <c r="L746" s="2">
        <v>1117.8559</v>
      </c>
      <c r="M746" s="2">
        <v>2071.4196000000002</v>
      </c>
      <c r="N746" t="s">
        <v>13</v>
      </c>
      <c r="O746" t="s">
        <v>66</v>
      </c>
      <c r="P746" t="s">
        <v>1367</v>
      </c>
      <c r="Q746" t="s">
        <v>7075</v>
      </c>
      <c r="R746" s="1">
        <v>18295</v>
      </c>
      <c r="S746" t="s">
        <v>16</v>
      </c>
      <c r="T746" t="s">
        <v>16</v>
      </c>
      <c r="U746" t="s">
        <v>1368</v>
      </c>
      <c r="V746">
        <v>40000</v>
      </c>
      <c r="W746">
        <v>2</v>
      </c>
      <c r="X746" t="s">
        <v>17</v>
      </c>
      <c r="Y746" t="s">
        <v>45</v>
      </c>
      <c r="Z746" t="s">
        <v>23</v>
      </c>
      <c r="AA746" t="s">
        <v>3586</v>
      </c>
      <c r="AB746" t="s">
        <v>3586</v>
      </c>
      <c r="AC746" t="s">
        <v>3587</v>
      </c>
      <c r="AD746" t="s">
        <v>3478</v>
      </c>
      <c r="AE746" t="s">
        <v>3475</v>
      </c>
      <c r="AF746" s="2">
        <v>2071.4196000000002</v>
      </c>
      <c r="AG746" s="2">
        <v>1117.8559</v>
      </c>
      <c r="AH746" s="2">
        <v>953.56370000000004</v>
      </c>
      <c r="AI746" s="3">
        <v>0.460343090313522</v>
      </c>
    </row>
    <row r="747" spans="1:35">
      <c r="A747" s="1">
        <v>42296</v>
      </c>
      <c r="B747" s="1">
        <v>37434</v>
      </c>
      <c r="C747" t="s">
        <v>5614</v>
      </c>
      <c r="D747">
        <v>354</v>
      </c>
      <c r="E747">
        <v>13021</v>
      </c>
      <c r="F747">
        <v>9</v>
      </c>
      <c r="G747">
        <v>1</v>
      </c>
      <c r="H747">
        <v>1</v>
      </c>
      <c r="I747">
        <v>1</v>
      </c>
      <c r="J747" t="s">
        <v>3537</v>
      </c>
      <c r="K747" t="s">
        <v>3538</v>
      </c>
      <c r="L747" s="2">
        <v>1117.8559</v>
      </c>
      <c r="M747" s="2">
        <v>2071.4196000000002</v>
      </c>
      <c r="N747" t="s">
        <v>30</v>
      </c>
      <c r="O747" t="s">
        <v>1043</v>
      </c>
      <c r="P747" t="s">
        <v>136</v>
      </c>
      <c r="Q747" t="s">
        <v>7076</v>
      </c>
      <c r="R747" s="1">
        <v>16992</v>
      </c>
      <c r="S747" t="s">
        <v>22</v>
      </c>
      <c r="T747" t="s">
        <v>29</v>
      </c>
      <c r="U747" t="s">
        <v>1359</v>
      </c>
      <c r="V747">
        <v>30000</v>
      </c>
      <c r="W747">
        <v>2</v>
      </c>
      <c r="X747" t="s">
        <v>52</v>
      </c>
      <c r="Y747" t="s">
        <v>60</v>
      </c>
      <c r="Z747" t="s">
        <v>19</v>
      </c>
      <c r="AA747" t="s">
        <v>3586</v>
      </c>
      <c r="AB747" t="s">
        <v>3586</v>
      </c>
      <c r="AC747" t="s">
        <v>3587</v>
      </c>
      <c r="AD747" t="s">
        <v>3478</v>
      </c>
      <c r="AE747" t="s">
        <v>3475</v>
      </c>
      <c r="AF747" s="2">
        <v>2071.4196000000002</v>
      </c>
      <c r="AG747" s="2">
        <v>1117.8559</v>
      </c>
      <c r="AH747" s="2">
        <v>953.56370000000004</v>
      </c>
      <c r="AI747" s="3">
        <v>0.460343090313522</v>
      </c>
    </row>
    <row r="748" spans="1:35">
      <c r="A748" s="1">
        <v>42292</v>
      </c>
      <c r="B748" s="1">
        <v>37518</v>
      </c>
      <c r="C748" t="s">
        <v>5580</v>
      </c>
      <c r="D748">
        <v>369</v>
      </c>
      <c r="E748">
        <v>13478</v>
      </c>
      <c r="F748">
        <v>1</v>
      </c>
      <c r="G748">
        <v>1</v>
      </c>
      <c r="H748">
        <v>1</v>
      </c>
      <c r="I748">
        <v>2</v>
      </c>
      <c r="J748" t="s">
        <v>3549</v>
      </c>
      <c r="K748" t="s">
        <v>3550</v>
      </c>
      <c r="L748" s="2">
        <v>1518.7864</v>
      </c>
      <c r="M748" s="2">
        <v>2443.35</v>
      </c>
      <c r="N748" t="s">
        <v>30</v>
      </c>
      <c r="O748" t="s">
        <v>322</v>
      </c>
      <c r="P748" t="s">
        <v>264</v>
      </c>
      <c r="Q748" t="s">
        <v>7077</v>
      </c>
      <c r="R748" s="1">
        <v>19851</v>
      </c>
      <c r="S748" t="s">
        <v>22</v>
      </c>
      <c r="T748" t="s">
        <v>29</v>
      </c>
      <c r="U748" t="s">
        <v>1556</v>
      </c>
      <c r="V748">
        <v>70000</v>
      </c>
      <c r="W748">
        <v>3</v>
      </c>
      <c r="X748" t="s">
        <v>57</v>
      </c>
      <c r="Y748" t="s">
        <v>18</v>
      </c>
      <c r="Z748" t="s">
        <v>19</v>
      </c>
      <c r="AA748" t="s">
        <v>3577</v>
      </c>
      <c r="AB748" t="s">
        <v>3578</v>
      </c>
      <c r="AC748" t="s">
        <v>3579</v>
      </c>
      <c r="AD748" t="s">
        <v>3479</v>
      </c>
      <c r="AE748" t="s">
        <v>3475</v>
      </c>
      <c r="AF748" s="2">
        <v>2443.35</v>
      </c>
      <c r="AG748" s="2">
        <v>1518.7864</v>
      </c>
      <c r="AH748" s="2">
        <v>924.56359999999995</v>
      </c>
      <c r="AI748" s="3">
        <v>0.37839998362903399</v>
      </c>
    </row>
    <row r="749" spans="1:35">
      <c r="A749" s="1">
        <v>42295</v>
      </c>
      <c r="B749" s="1">
        <v>37505</v>
      </c>
      <c r="C749" t="s">
        <v>5605</v>
      </c>
      <c r="D749">
        <v>360</v>
      </c>
      <c r="E749">
        <v>13024</v>
      </c>
      <c r="F749">
        <v>9</v>
      </c>
      <c r="G749">
        <v>1</v>
      </c>
      <c r="H749">
        <v>1</v>
      </c>
      <c r="I749">
        <v>1</v>
      </c>
      <c r="J749" t="s">
        <v>3543</v>
      </c>
      <c r="K749" t="s">
        <v>3544</v>
      </c>
      <c r="L749" s="2">
        <v>1105.81</v>
      </c>
      <c r="M749" s="2">
        <v>2049.0981999999999</v>
      </c>
      <c r="N749" t="s">
        <v>13</v>
      </c>
      <c r="O749" t="s">
        <v>102</v>
      </c>
      <c r="P749" t="s">
        <v>85</v>
      </c>
      <c r="Q749" t="s">
        <v>7078</v>
      </c>
      <c r="R749" s="1">
        <v>17235</v>
      </c>
      <c r="S749" t="s">
        <v>16</v>
      </c>
      <c r="T749" t="s">
        <v>16</v>
      </c>
      <c r="U749" t="s">
        <v>1361</v>
      </c>
      <c r="V749">
        <v>30000</v>
      </c>
      <c r="W749">
        <v>2</v>
      </c>
      <c r="X749" t="s">
        <v>52</v>
      </c>
      <c r="Y749" t="s">
        <v>60</v>
      </c>
      <c r="Z749" t="s">
        <v>23</v>
      </c>
      <c r="AA749" t="s">
        <v>3586</v>
      </c>
      <c r="AB749" t="s">
        <v>3586</v>
      </c>
      <c r="AC749" t="s">
        <v>3587</v>
      </c>
      <c r="AD749" t="s">
        <v>3478</v>
      </c>
      <c r="AE749" t="s">
        <v>3475</v>
      </c>
      <c r="AF749" s="2">
        <v>2049.0981999999999</v>
      </c>
      <c r="AG749" s="2">
        <v>1105.81</v>
      </c>
      <c r="AH749" s="2">
        <v>943.28819999999996</v>
      </c>
      <c r="AI749" s="3">
        <v>0.46034309141455498</v>
      </c>
    </row>
    <row r="750" spans="1:35">
      <c r="A750" s="1">
        <v>42300</v>
      </c>
      <c r="B750" s="1">
        <v>37490</v>
      </c>
      <c r="C750" t="s">
        <v>5646</v>
      </c>
      <c r="D750">
        <v>362</v>
      </c>
      <c r="E750">
        <v>13035</v>
      </c>
      <c r="F750">
        <v>9</v>
      </c>
      <c r="G750">
        <v>1</v>
      </c>
      <c r="H750">
        <v>1</v>
      </c>
      <c r="I750">
        <v>1</v>
      </c>
      <c r="J750" t="s">
        <v>3545</v>
      </c>
      <c r="K750" t="s">
        <v>3546</v>
      </c>
      <c r="L750" s="2">
        <v>1105.81</v>
      </c>
      <c r="M750" s="2">
        <v>2049.0981999999999</v>
      </c>
      <c r="N750" t="s">
        <v>30</v>
      </c>
      <c r="O750" t="s">
        <v>978</v>
      </c>
      <c r="P750" t="s">
        <v>25</v>
      </c>
      <c r="Q750" t="s">
        <v>7079</v>
      </c>
      <c r="R750" s="1">
        <v>18570</v>
      </c>
      <c r="S750" t="s">
        <v>16</v>
      </c>
      <c r="T750" t="s">
        <v>29</v>
      </c>
      <c r="U750" t="s">
        <v>1365</v>
      </c>
      <c r="V750">
        <v>30000</v>
      </c>
      <c r="W750">
        <v>3</v>
      </c>
      <c r="X750" t="s">
        <v>52</v>
      </c>
      <c r="Y750" t="s">
        <v>60</v>
      </c>
      <c r="Z750" t="s">
        <v>23</v>
      </c>
      <c r="AA750" t="s">
        <v>3586</v>
      </c>
      <c r="AB750" t="s">
        <v>3586</v>
      </c>
      <c r="AC750" t="s">
        <v>3587</v>
      </c>
      <c r="AD750" t="s">
        <v>3478</v>
      </c>
      <c r="AE750" t="s">
        <v>3475</v>
      </c>
      <c r="AF750" s="2">
        <v>2049.0981999999999</v>
      </c>
      <c r="AG750" s="2">
        <v>1105.81</v>
      </c>
      <c r="AH750" s="2">
        <v>943.28819999999996</v>
      </c>
      <c r="AI750" s="3">
        <v>0.46034309141455498</v>
      </c>
    </row>
    <row r="751" spans="1:35">
      <c r="A751" s="1">
        <v>42293</v>
      </c>
      <c r="B751" s="1">
        <v>37489</v>
      </c>
      <c r="C751" t="s">
        <v>5594</v>
      </c>
      <c r="D751">
        <v>371</v>
      </c>
      <c r="E751">
        <v>13456</v>
      </c>
      <c r="F751">
        <v>1</v>
      </c>
      <c r="G751">
        <v>1</v>
      </c>
      <c r="H751">
        <v>1</v>
      </c>
      <c r="I751">
        <v>2</v>
      </c>
      <c r="J751" t="s">
        <v>3553</v>
      </c>
      <c r="K751" t="s">
        <v>3554</v>
      </c>
      <c r="L751" s="2">
        <v>1320.6838</v>
      </c>
      <c r="M751" s="2">
        <v>2181.5625</v>
      </c>
      <c r="N751" t="s">
        <v>30</v>
      </c>
      <c r="O751" t="s">
        <v>48</v>
      </c>
      <c r="P751" t="s">
        <v>101</v>
      </c>
      <c r="Q751" t="s">
        <v>7080</v>
      </c>
      <c r="R751" s="1">
        <v>20294</v>
      </c>
      <c r="S751" t="s">
        <v>22</v>
      </c>
      <c r="T751" t="s">
        <v>29</v>
      </c>
      <c r="U751" t="s">
        <v>1548</v>
      </c>
      <c r="V751">
        <v>80000</v>
      </c>
      <c r="W751">
        <v>2</v>
      </c>
      <c r="X751" t="s">
        <v>77</v>
      </c>
      <c r="Y751" t="s">
        <v>53</v>
      </c>
      <c r="Z751" t="s">
        <v>19</v>
      </c>
      <c r="AA751" t="s">
        <v>3577</v>
      </c>
      <c r="AB751" t="s">
        <v>3578</v>
      </c>
      <c r="AC751" t="s">
        <v>3579</v>
      </c>
      <c r="AD751" t="s">
        <v>3479</v>
      </c>
      <c r="AE751" t="s">
        <v>3475</v>
      </c>
      <c r="AF751" s="2">
        <v>2181.5625</v>
      </c>
      <c r="AG751" s="2">
        <v>1320.6838</v>
      </c>
      <c r="AH751" s="2">
        <v>860.87869999999998</v>
      </c>
      <c r="AI751" s="3">
        <v>0.39461564818793898</v>
      </c>
    </row>
    <row r="752" spans="1:35">
      <c r="A752" s="1">
        <v>42301</v>
      </c>
      <c r="B752" s="1">
        <v>37448</v>
      </c>
      <c r="C752" t="s">
        <v>5651</v>
      </c>
      <c r="D752">
        <v>352</v>
      </c>
      <c r="E752">
        <v>13049</v>
      </c>
      <c r="F752">
        <v>9</v>
      </c>
      <c r="G752">
        <v>1</v>
      </c>
      <c r="H752">
        <v>1</v>
      </c>
      <c r="I752">
        <v>1</v>
      </c>
      <c r="J752" t="s">
        <v>3535</v>
      </c>
      <c r="K752" t="s">
        <v>3536</v>
      </c>
      <c r="L752" s="2">
        <v>1117.8559</v>
      </c>
      <c r="M752" s="2">
        <v>2071.4196000000002</v>
      </c>
      <c r="N752" t="s">
        <v>30</v>
      </c>
      <c r="O752" t="s">
        <v>1370</v>
      </c>
      <c r="P752" t="s">
        <v>56</v>
      </c>
      <c r="Q752" t="s">
        <v>7081</v>
      </c>
      <c r="R752" s="1">
        <v>19546</v>
      </c>
      <c r="S752" t="s">
        <v>16</v>
      </c>
      <c r="T752" t="s">
        <v>29</v>
      </c>
      <c r="U752" t="s">
        <v>1371</v>
      </c>
      <c r="V752">
        <v>40000</v>
      </c>
      <c r="W752">
        <v>3</v>
      </c>
      <c r="X752" t="s">
        <v>52</v>
      </c>
      <c r="Y752" t="s">
        <v>53</v>
      </c>
      <c r="Z752" t="s">
        <v>23</v>
      </c>
      <c r="AA752" t="s">
        <v>3586</v>
      </c>
      <c r="AB752" t="s">
        <v>3586</v>
      </c>
      <c r="AC752" t="s">
        <v>3587</v>
      </c>
      <c r="AD752" t="s">
        <v>3478</v>
      </c>
      <c r="AE752" t="s">
        <v>3475</v>
      </c>
      <c r="AF752" s="2">
        <v>2071.4196000000002</v>
      </c>
      <c r="AG752" s="2">
        <v>1117.8559</v>
      </c>
      <c r="AH752" s="2">
        <v>953.56370000000004</v>
      </c>
      <c r="AI752" s="3">
        <v>0.460343090313522</v>
      </c>
    </row>
    <row r="753" spans="1:35">
      <c r="A753" s="1">
        <v>42298</v>
      </c>
      <c r="B753" s="1">
        <v>37445</v>
      </c>
      <c r="C753" t="s">
        <v>5629</v>
      </c>
      <c r="D753">
        <v>354</v>
      </c>
      <c r="E753">
        <v>13050</v>
      </c>
      <c r="F753">
        <v>9</v>
      </c>
      <c r="G753">
        <v>1</v>
      </c>
      <c r="H753">
        <v>1</v>
      </c>
      <c r="I753">
        <v>1</v>
      </c>
      <c r="J753" t="s">
        <v>3537</v>
      </c>
      <c r="K753" t="s">
        <v>3538</v>
      </c>
      <c r="L753" s="2">
        <v>1117.8559</v>
      </c>
      <c r="M753" s="2">
        <v>2071.4196000000002</v>
      </c>
      <c r="N753" t="s">
        <v>13</v>
      </c>
      <c r="O753" t="s">
        <v>348</v>
      </c>
      <c r="P753" t="s">
        <v>227</v>
      </c>
      <c r="Q753" t="s">
        <v>7082</v>
      </c>
      <c r="R753" s="1">
        <v>19712</v>
      </c>
      <c r="S753" t="s">
        <v>16</v>
      </c>
      <c r="T753" t="s">
        <v>16</v>
      </c>
      <c r="U753" t="s">
        <v>1372</v>
      </c>
      <c r="V753">
        <v>40000</v>
      </c>
      <c r="W753">
        <v>3</v>
      </c>
      <c r="X753" t="s">
        <v>52</v>
      </c>
      <c r="Y753" t="s">
        <v>53</v>
      </c>
      <c r="Z753" t="s">
        <v>23</v>
      </c>
      <c r="AA753" t="s">
        <v>3586</v>
      </c>
      <c r="AB753" t="s">
        <v>3586</v>
      </c>
      <c r="AC753" t="s">
        <v>3587</v>
      </c>
      <c r="AD753" t="s">
        <v>3478</v>
      </c>
      <c r="AE753" t="s">
        <v>3475</v>
      </c>
      <c r="AF753" s="2">
        <v>2071.4196000000002</v>
      </c>
      <c r="AG753" s="2">
        <v>1117.8559</v>
      </c>
      <c r="AH753" s="2">
        <v>953.56370000000004</v>
      </c>
      <c r="AI753" s="3">
        <v>0.460343090313522</v>
      </c>
    </row>
    <row r="754" spans="1:35">
      <c r="A754" s="1">
        <v>42297</v>
      </c>
      <c r="B754" s="1">
        <v>37521</v>
      </c>
      <c r="C754" t="s">
        <v>5621</v>
      </c>
      <c r="D754">
        <v>373</v>
      </c>
      <c r="E754">
        <v>13462</v>
      </c>
      <c r="F754">
        <v>1</v>
      </c>
      <c r="G754">
        <v>1</v>
      </c>
      <c r="H754">
        <v>1</v>
      </c>
      <c r="I754">
        <v>2</v>
      </c>
      <c r="J754" t="s">
        <v>3555</v>
      </c>
      <c r="K754" t="s">
        <v>3556</v>
      </c>
      <c r="L754" s="2">
        <v>1320.6838</v>
      </c>
      <c r="M754" s="2">
        <v>2181.5625</v>
      </c>
      <c r="N754" t="s">
        <v>13</v>
      </c>
      <c r="O754" t="s">
        <v>556</v>
      </c>
      <c r="P754" t="s">
        <v>207</v>
      </c>
      <c r="Q754" t="s">
        <v>7083</v>
      </c>
      <c r="R754" s="1">
        <v>13464</v>
      </c>
      <c r="S754" t="s">
        <v>22</v>
      </c>
      <c r="T754" t="s">
        <v>16</v>
      </c>
      <c r="U754" t="s">
        <v>1550</v>
      </c>
      <c r="V754">
        <v>50000</v>
      </c>
      <c r="W754">
        <v>2</v>
      </c>
      <c r="X754" t="s">
        <v>135</v>
      </c>
      <c r="Y754" t="s">
        <v>45</v>
      </c>
      <c r="Z754" t="s">
        <v>19</v>
      </c>
      <c r="AA754" t="s">
        <v>3577</v>
      </c>
      <c r="AB754" t="s">
        <v>3578</v>
      </c>
      <c r="AC754" t="s">
        <v>3579</v>
      </c>
      <c r="AD754" t="s">
        <v>3479</v>
      </c>
      <c r="AE754" t="s">
        <v>3475</v>
      </c>
      <c r="AF754" s="2">
        <v>2181.5625</v>
      </c>
      <c r="AG754" s="2">
        <v>1320.6838</v>
      </c>
      <c r="AH754" s="2">
        <v>860.87869999999998</v>
      </c>
      <c r="AI754" s="3">
        <v>0.39461564818793898</v>
      </c>
    </row>
    <row r="755" spans="1:35">
      <c r="A755" s="1">
        <v>42300</v>
      </c>
      <c r="B755" s="1">
        <v>37446</v>
      </c>
      <c r="C755" t="s">
        <v>5645</v>
      </c>
      <c r="D755">
        <v>354</v>
      </c>
      <c r="E755">
        <v>13075</v>
      </c>
      <c r="F755">
        <v>9</v>
      </c>
      <c r="G755">
        <v>1</v>
      </c>
      <c r="H755">
        <v>1</v>
      </c>
      <c r="I755">
        <v>1</v>
      </c>
      <c r="J755" t="s">
        <v>3537</v>
      </c>
      <c r="K755" t="s">
        <v>3538</v>
      </c>
      <c r="L755" s="2">
        <v>1117.8559</v>
      </c>
      <c r="M755" s="2">
        <v>2071.4196000000002</v>
      </c>
      <c r="N755" t="s">
        <v>13</v>
      </c>
      <c r="O755" t="s">
        <v>893</v>
      </c>
      <c r="P755" t="s">
        <v>212</v>
      </c>
      <c r="Q755" t="s">
        <v>7084</v>
      </c>
      <c r="R755" s="1">
        <v>20190</v>
      </c>
      <c r="S755" t="s">
        <v>16</v>
      </c>
      <c r="T755" t="s">
        <v>16</v>
      </c>
      <c r="U755" t="s">
        <v>1387</v>
      </c>
      <c r="V755">
        <v>80000</v>
      </c>
      <c r="W755">
        <v>2</v>
      </c>
      <c r="X755" t="s">
        <v>57</v>
      </c>
      <c r="Y755" t="s">
        <v>53</v>
      </c>
      <c r="Z755" t="s">
        <v>23</v>
      </c>
      <c r="AA755" t="s">
        <v>3586</v>
      </c>
      <c r="AB755" t="s">
        <v>3586</v>
      </c>
      <c r="AC755" t="s">
        <v>3587</v>
      </c>
      <c r="AD755" t="s">
        <v>3478</v>
      </c>
      <c r="AE755" t="s">
        <v>3475</v>
      </c>
      <c r="AF755" s="2">
        <v>2071.4196000000002</v>
      </c>
      <c r="AG755" s="2">
        <v>1117.8559</v>
      </c>
      <c r="AH755" s="2">
        <v>953.56370000000004</v>
      </c>
      <c r="AI755" s="3">
        <v>0.460343090313522</v>
      </c>
    </row>
    <row r="756" spans="1:35">
      <c r="A756" s="1">
        <v>42300</v>
      </c>
      <c r="B756" s="1">
        <v>37520</v>
      </c>
      <c r="C756" t="s">
        <v>5643</v>
      </c>
      <c r="D756">
        <v>360</v>
      </c>
      <c r="E756">
        <v>13076</v>
      </c>
      <c r="F756">
        <v>9</v>
      </c>
      <c r="G756">
        <v>1</v>
      </c>
      <c r="H756">
        <v>1</v>
      </c>
      <c r="I756">
        <v>1</v>
      </c>
      <c r="J756" t="s">
        <v>3543</v>
      </c>
      <c r="K756" t="s">
        <v>3544</v>
      </c>
      <c r="L756" s="2">
        <v>1105.81</v>
      </c>
      <c r="M756" s="2">
        <v>2049.0981999999999</v>
      </c>
      <c r="N756" t="s">
        <v>13</v>
      </c>
      <c r="O756" t="s">
        <v>1388</v>
      </c>
      <c r="P756" t="s">
        <v>129</v>
      </c>
      <c r="Q756" t="s">
        <v>7085</v>
      </c>
      <c r="R756" s="1">
        <v>20151</v>
      </c>
      <c r="S756" t="s">
        <v>22</v>
      </c>
      <c r="T756" t="s">
        <v>16</v>
      </c>
      <c r="U756" t="s">
        <v>1389</v>
      </c>
      <c r="V756">
        <v>80000</v>
      </c>
      <c r="W756">
        <v>2</v>
      </c>
      <c r="X756" t="s">
        <v>57</v>
      </c>
      <c r="Y756" t="s">
        <v>53</v>
      </c>
      <c r="Z756" t="s">
        <v>23</v>
      </c>
      <c r="AA756" t="s">
        <v>3586</v>
      </c>
      <c r="AB756" t="s">
        <v>3586</v>
      </c>
      <c r="AC756" t="s">
        <v>3587</v>
      </c>
      <c r="AD756" t="s">
        <v>3478</v>
      </c>
      <c r="AE756" t="s">
        <v>3475</v>
      </c>
      <c r="AF756" s="2">
        <v>2049.0981999999999</v>
      </c>
      <c r="AG756" s="2">
        <v>1105.81</v>
      </c>
      <c r="AH756" s="2">
        <v>943.28819999999996</v>
      </c>
      <c r="AI756" s="3">
        <v>0.46034309141455498</v>
      </c>
    </row>
    <row r="757" spans="1:35">
      <c r="A757" s="1">
        <v>42301</v>
      </c>
      <c r="B757" s="1">
        <v>37497</v>
      </c>
      <c r="C757" t="s">
        <v>5650</v>
      </c>
      <c r="D757">
        <v>358</v>
      </c>
      <c r="E757">
        <v>13077</v>
      </c>
      <c r="F757">
        <v>9</v>
      </c>
      <c r="G757">
        <v>1</v>
      </c>
      <c r="H757">
        <v>1</v>
      </c>
      <c r="I757">
        <v>1</v>
      </c>
      <c r="J757" t="s">
        <v>3541</v>
      </c>
      <c r="K757" t="s">
        <v>3542</v>
      </c>
      <c r="L757" s="2">
        <v>1105.81</v>
      </c>
      <c r="M757" s="2">
        <v>2049.0981999999999</v>
      </c>
      <c r="N757" t="s">
        <v>13</v>
      </c>
      <c r="O757" t="s">
        <v>74</v>
      </c>
      <c r="P757" t="s">
        <v>266</v>
      </c>
      <c r="Q757" t="s">
        <v>7086</v>
      </c>
      <c r="R757" s="1">
        <v>20599</v>
      </c>
      <c r="S757" t="s">
        <v>22</v>
      </c>
      <c r="T757" t="s">
        <v>16</v>
      </c>
      <c r="U757" t="s">
        <v>1390</v>
      </c>
      <c r="V757">
        <v>70000</v>
      </c>
      <c r="W757">
        <v>2</v>
      </c>
      <c r="X757" t="s">
        <v>57</v>
      </c>
      <c r="Y757" t="s">
        <v>53</v>
      </c>
      <c r="Z757" t="s">
        <v>23</v>
      </c>
      <c r="AA757" t="s">
        <v>3586</v>
      </c>
      <c r="AB757" t="s">
        <v>3586</v>
      </c>
      <c r="AC757" t="s">
        <v>3587</v>
      </c>
      <c r="AD757" t="s">
        <v>3478</v>
      </c>
      <c r="AE757" t="s">
        <v>3475</v>
      </c>
      <c r="AF757" s="2">
        <v>2049.0981999999999</v>
      </c>
      <c r="AG757" s="2">
        <v>1105.81</v>
      </c>
      <c r="AH757" s="2">
        <v>943.28819999999996</v>
      </c>
      <c r="AI757" s="3">
        <v>0.46034309141455498</v>
      </c>
    </row>
    <row r="758" spans="1:35">
      <c r="A758" s="1">
        <v>42298</v>
      </c>
      <c r="B758" s="1">
        <v>37472</v>
      </c>
      <c r="C758" t="s">
        <v>5635</v>
      </c>
      <c r="D758">
        <v>375</v>
      </c>
      <c r="E758">
        <v>13464</v>
      </c>
      <c r="F758">
        <v>4</v>
      </c>
      <c r="G758">
        <v>1</v>
      </c>
      <c r="H758">
        <v>1</v>
      </c>
      <c r="I758">
        <v>2</v>
      </c>
      <c r="J758" t="s">
        <v>3557</v>
      </c>
      <c r="K758" t="s">
        <v>3558</v>
      </c>
      <c r="L758" s="2">
        <v>1320.6838</v>
      </c>
      <c r="M758" s="2">
        <v>2181.5625</v>
      </c>
      <c r="N758" t="s">
        <v>30</v>
      </c>
      <c r="O758" t="s">
        <v>1551</v>
      </c>
      <c r="P758" t="s">
        <v>511</v>
      </c>
      <c r="Q758" t="s">
        <v>7087</v>
      </c>
      <c r="R758" s="1">
        <v>13462</v>
      </c>
      <c r="S758" t="s">
        <v>16</v>
      </c>
      <c r="T758" t="s">
        <v>29</v>
      </c>
      <c r="U758" t="s">
        <v>1552</v>
      </c>
      <c r="V758">
        <v>70000</v>
      </c>
      <c r="W758">
        <v>4</v>
      </c>
      <c r="X758" t="s">
        <v>135</v>
      </c>
      <c r="Y758" t="s">
        <v>45</v>
      </c>
      <c r="Z758" t="s">
        <v>19</v>
      </c>
      <c r="AA758" t="s">
        <v>3580</v>
      </c>
      <c r="AB758" t="s">
        <v>3578</v>
      </c>
      <c r="AC758" t="s">
        <v>3579</v>
      </c>
      <c r="AD758" t="s">
        <v>3479</v>
      </c>
      <c r="AE758" t="s">
        <v>3475</v>
      </c>
      <c r="AF758" s="2">
        <v>2181.5625</v>
      </c>
      <c r="AG758" s="2">
        <v>1320.6838</v>
      </c>
      <c r="AH758" s="2">
        <v>860.87869999999998</v>
      </c>
      <c r="AI758" s="3">
        <v>0.39461564818793898</v>
      </c>
    </row>
    <row r="759" spans="1:35">
      <c r="A759" s="1">
        <v>42303</v>
      </c>
      <c r="B759" s="1">
        <v>37435</v>
      </c>
      <c r="C759" t="s">
        <v>5668</v>
      </c>
      <c r="D759">
        <v>360</v>
      </c>
      <c r="E759">
        <v>13079</v>
      </c>
      <c r="F759">
        <v>9</v>
      </c>
      <c r="G759">
        <v>1</v>
      </c>
      <c r="H759">
        <v>1</v>
      </c>
      <c r="I759">
        <v>1</v>
      </c>
      <c r="J759" t="s">
        <v>3543</v>
      </c>
      <c r="K759" t="s">
        <v>3544</v>
      </c>
      <c r="L759" s="2">
        <v>1105.81</v>
      </c>
      <c r="M759" s="2">
        <v>2049.0981999999999</v>
      </c>
      <c r="N759" t="s">
        <v>13</v>
      </c>
      <c r="O759" t="s">
        <v>196</v>
      </c>
      <c r="P759" t="s">
        <v>1392</v>
      </c>
      <c r="Q759" t="s">
        <v>7088</v>
      </c>
      <c r="R759" s="1">
        <v>20877</v>
      </c>
      <c r="S759" t="s">
        <v>22</v>
      </c>
      <c r="T759" t="s">
        <v>16</v>
      </c>
      <c r="U759" t="s">
        <v>1393</v>
      </c>
      <c r="V759">
        <v>80000</v>
      </c>
      <c r="W759">
        <v>2</v>
      </c>
      <c r="X759" t="s">
        <v>57</v>
      </c>
      <c r="Y759" t="s">
        <v>18</v>
      </c>
      <c r="Z759" t="s">
        <v>23</v>
      </c>
      <c r="AA759" t="s">
        <v>3586</v>
      </c>
      <c r="AB759" t="s">
        <v>3586</v>
      </c>
      <c r="AC759" t="s">
        <v>3587</v>
      </c>
      <c r="AD759" t="s">
        <v>3478</v>
      </c>
      <c r="AE759" t="s">
        <v>3475</v>
      </c>
      <c r="AF759" s="2">
        <v>2049.0981999999999</v>
      </c>
      <c r="AG759" s="2">
        <v>1105.81</v>
      </c>
      <c r="AH759" s="2">
        <v>943.28819999999996</v>
      </c>
      <c r="AI759" s="3">
        <v>0.46034309141455498</v>
      </c>
    </row>
    <row r="760" spans="1:35">
      <c r="A760" s="1">
        <v>42314</v>
      </c>
      <c r="B760" s="1">
        <v>37481</v>
      </c>
      <c r="C760" t="s">
        <v>5733</v>
      </c>
      <c r="D760">
        <v>360</v>
      </c>
      <c r="E760">
        <v>13080</v>
      </c>
      <c r="F760">
        <v>9</v>
      </c>
      <c r="G760">
        <v>1</v>
      </c>
      <c r="H760">
        <v>1</v>
      </c>
      <c r="I760">
        <v>1</v>
      </c>
      <c r="J760" t="s">
        <v>3543</v>
      </c>
      <c r="K760" t="s">
        <v>3544</v>
      </c>
      <c r="L760" s="2">
        <v>1105.81</v>
      </c>
      <c r="M760" s="2">
        <v>2049.0981999999999</v>
      </c>
      <c r="N760" t="s">
        <v>30</v>
      </c>
      <c r="O760" t="s">
        <v>90</v>
      </c>
      <c r="P760" t="s">
        <v>35</v>
      </c>
      <c r="Q760" t="s">
        <v>7089</v>
      </c>
      <c r="R760" s="1">
        <v>20958</v>
      </c>
      <c r="S760" t="s">
        <v>22</v>
      </c>
      <c r="T760" t="s">
        <v>29</v>
      </c>
      <c r="U760" t="s">
        <v>1394</v>
      </c>
      <c r="V760">
        <v>80000</v>
      </c>
      <c r="W760">
        <v>2</v>
      </c>
      <c r="X760" t="s">
        <v>57</v>
      </c>
      <c r="Y760" t="s">
        <v>18</v>
      </c>
      <c r="Z760" t="s">
        <v>23</v>
      </c>
      <c r="AA760" t="s">
        <v>3586</v>
      </c>
      <c r="AB760" t="s">
        <v>3586</v>
      </c>
      <c r="AC760" t="s">
        <v>3587</v>
      </c>
      <c r="AD760" t="s">
        <v>3478</v>
      </c>
      <c r="AE760" t="s">
        <v>3475</v>
      </c>
      <c r="AF760" s="2">
        <v>2049.0981999999999</v>
      </c>
      <c r="AG760" s="2">
        <v>1105.81</v>
      </c>
      <c r="AH760" s="2">
        <v>943.28819999999996</v>
      </c>
      <c r="AI760" s="3">
        <v>0.46034309141455498</v>
      </c>
    </row>
    <row r="761" spans="1:35">
      <c r="A761" s="1">
        <v>42336</v>
      </c>
      <c r="B761" s="1">
        <v>37523</v>
      </c>
      <c r="C761" t="s">
        <v>5882</v>
      </c>
      <c r="D761">
        <v>360</v>
      </c>
      <c r="E761">
        <v>13081</v>
      </c>
      <c r="F761">
        <v>9</v>
      </c>
      <c r="G761">
        <v>1</v>
      </c>
      <c r="H761">
        <v>1</v>
      </c>
      <c r="I761">
        <v>1</v>
      </c>
      <c r="J761" t="s">
        <v>3543</v>
      </c>
      <c r="K761" t="s">
        <v>3544</v>
      </c>
      <c r="L761" s="2">
        <v>1105.81</v>
      </c>
      <c r="M761" s="2">
        <v>2049.0981999999999</v>
      </c>
      <c r="N761" t="s">
        <v>30</v>
      </c>
      <c r="O761" t="s">
        <v>1222</v>
      </c>
      <c r="P761" t="s">
        <v>34</v>
      </c>
      <c r="Q761" t="s">
        <v>7090</v>
      </c>
      <c r="R761" s="1">
        <v>20903</v>
      </c>
      <c r="S761" t="s">
        <v>22</v>
      </c>
      <c r="T761" t="s">
        <v>29</v>
      </c>
      <c r="U761" t="s">
        <v>1395</v>
      </c>
      <c r="V761">
        <v>80000</v>
      </c>
      <c r="W761">
        <v>2</v>
      </c>
      <c r="X761" t="s">
        <v>57</v>
      </c>
      <c r="Y761" t="s">
        <v>18</v>
      </c>
      <c r="Z761" t="s">
        <v>23</v>
      </c>
      <c r="AA761" t="s">
        <v>3586</v>
      </c>
      <c r="AB761" t="s">
        <v>3586</v>
      </c>
      <c r="AC761" t="s">
        <v>3587</v>
      </c>
      <c r="AD761" t="s">
        <v>3478</v>
      </c>
      <c r="AE761" t="s">
        <v>3475</v>
      </c>
      <c r="AF761" s="2">
        <v>2049.0981999999999</v>
      </c>
      <c r="AG761" s="2">
        <v>1105.81</v>
      </c>
      <c r="AH761" s="2">
        <v>943.28819999999996</v>
      </c>
      <c r="AI761" s="3">
        <v>0.46034309141455498</v>
      </c>
    </row>
    <row r="762" spans="1:35">
      <c r="A762" s="1">
        <v>42316</v>
      </c>
      <c r="B762" s="1">
        <v>37463</v>
      </c>
      <c r="C762" t="s">
        <v>5745</v>
      </c>
      <c r="D762">
        <v>354</v>
      </c>
      <c r="E762">
        <v>13082</v>
      </c>
      <c r="F762">
        <v>9</v>
      </c>
      <c r="G762">
        <v>1</v>
      </c>
      <c r="H762">
        <v>1</v>
      </c>
      <c r="I762">
        <v>1</v>
      </c>
      <c r="J762" t="s">
        <v>3537</v>
      </c>
      <c r="K762" t="s">
        <v>3538</v>
      </c>
      <c r="L762" s="2">
        <v>1117.8559</v>
      </c>
      <c r="M762" s="2">
        <v>2071.4196000000002</v>
      </c>
      <c r="N762" t="s">
        <v>13</v>
      </c>
      <c r="O762" t="s">
        <v>766</v>
      </c>
      <c r="P762" t="s">
        <v>587</v>
      </c>
      <c r="Q762" t="s">
        <v>7091</v>
      </c>
      <c r="R762" s="1">
        <v>21240</v>
      </c>
      <c r="S762" t="s">
        <v>22</v>
      </c>
      <c r="T762" t="s">
        <v>16</v>
      </c>
      <c r="U762" t="s">
        <v>1396</v>
      </c>
      <c r="V762">
        <v>130000</v>
      </c>
      <c r="W762">
        <v>0</v>
      </c>
      <c r="X762" t="s">
        <v>135</v>
      </c>
      <c r="Y762" t="s">
        <v>45</v>
      </c>
      <c r="Z762" t="s">
        <v>19</v>
      </c>
      <c r="AA762" t="s">
        <v>3586</v>
      </c>
      <c r="AB762" t="s">
        <v>3586</v>
      </c>
      <c r="AC762" t="s">
        <v>3587</v>
      </c>
      <c r="AD762" t="s">
        <v>3478</v>
      </c>
      <c r="AE762" t="s">
        <v>3475</v>
      </c>
      <c r="AF762" s="2">
        <v>2071.4196000000002</v>
      </c>
      <c r="AG762" s="2">
        <v>1117.8559</v>
      </c>
      <c r="AH762" s="2">
        <v>953.56370000000004</v>
      </c>
      <c r="AI762" s="3">
        <v>0.460343090313522</v>
      </c>
    </row>
    <row r="763" spans="1:35">
      <c r="A763" s="1">
        <v>42328</v>
      </c>
      <c r="B763" s="1">
        <v>37486</v>
      </c>
      <c r="C763" t="s">
        <v>5817</v>
      </c>
      <c r="D763">
        <v>354</v>
      </c>
      <c r="E763">
        <v>13089</v>
      </c>
      <c r="F763">
        <v>9</v>
      </c>
      <c r="G763">
        <v>1</v>
      </c>
      <c r="H763">
        <v>1</v>
      </c>
      <c r="I763">
        <v>1</v>
      </c>
      <c r="J763" t="s">
        <v>3537</v>
      </c>
      <c r="K763" t="s">
        <v>3538</v>
      </c>
      <c r="L763" s="2">
        <v>1117.8559</v>
      </c>
      <c r="M763" s="2">
        <v>2071.4196000000002</v>
      </c>
      <c r="N763" t="s">
        <v>30</v>
      </c>
      <c r="O763" t="s">
        <v>31</v>
      </c>
      <c r="P763" t="s">
        <v>288</v>
      </c>
      <c r="Q763" t="s">
        <v>7092</v>
      </c>
      <c r="R763" s="1">
        <v>21794</v>
      </c>
      <c r="S763" t="s">
        <v>16</v>
      </c>
      <c r="T763" t="s">
        <v>29</v>
      </c>
      <c r="U763" t="s">
        <v>1402</v>
      </c>
      <c r="V763">
        <v>120000</v>
      </c>
      <c r="W763">
        <v>1</v>
      </c>
      <c r="X763" t="s">
        <v>17</v>
      </c>
      <c r="Y763" t="s">
        <v>45</v>
      </c>
      <c r="Z763" t="s">
        <v>19</v>
      </c>
      <c r="AA763" t="s">
        <v>3586</v>
      </c>
      <c r="AB763" t="s">
        <v>3586</v>
      </c>
      <c r="AC763" t="s">
        <v>3587</v>
      </c>
      <c r="AD763" t="s">
        <v>3478</v>
      </c>
      <c r="AE763" t="s">
        <v>3475</v>
      </c>
      <c r="AF763" s="2">
        <v>2071.4196000000002</v>
      </c>
      <c r="AG763" s="2">
        <v>1117.8559</v>
      </c>
      <c r="AH763" s="2">
        <v>953.56370000000004</v>
      </c>
      <c r="AI763" s="3">
        <v>0.460343090313522</v>
      </c>
    </row>
    <row r="764" spans="1:35">
      <c r="A764" s="1">
        <v>42362</v>
      </c>
      <c r="B764" s="1">
        <v>37502</v>
      </c>
      <c r="C764" t="s">
        <v>6160</v>
      </c>
      <c r="D764">
        <v>360</v>
      </c>
      <c r="E764">
        <v>13090</v>
      </c>
      <c r="F764">
        <v>9</v>
      </c>
      <c r="G764">
        <v>1</v>
      </c>
      <c r="H764">
        <v>1</v>
      </c>
      <c r="I764">
        <v>1</v>
      </c>
      <c r="J764" t="s">
        <v>3543</v>
      </c>
      <c r="K764" t="s">
        <v>3544</v>
      </c>
      <c r="L764" s="2">
        <v>1105.81</v>
      </c>
      <c r="M764" s="2">
        <v>2049.0981999999999</v>
      </c>
      <c r="N764" t="s">
        <v>13</v>
      </c>
      <c r="O764" t="s">
        <v>1155</v>
      </c>
      <c r="P764" t="s">
        <v>282</v>
      </c>
      <c r="Q764" t="s">
        <v>7093</v>
      </c>
      <c r="R764" s="1">
        <v>21702</v>
      </c>
      <c r="S764" t="s">
        <v>22</v>
      </c>
      <c r="T764" t="s">
        <v>16</v>
      </c>
      <c r="U764" t="s">
        <v>1403</v>
      </c>
      <c r="V764">
        <v>130000</v>
      </c>
      <c r="W764">
        <v>0</v>
      </c>
      <c r="X764" t="s">
        <v>135</v>
      </c>
      <c r="Y764" t="s">
        <v>45</v>
      </c>
      <c r="Z764" t="s">
        <v>23</v>
      </c>
      <c r="AA764" t="s">
        <v>3586</v>
      </c>
      <c r="AB764" t="s">
        <v>3586</v>
      </c>
      <c r="AC764" t="s">
        <v>3587</v>
      </c>
      <c r="AD764" t="s">
        <v>3478</v>
      </c>
      <c r="AE764" t="s">
        <v>3475</v>
      </c>
      <c r="AF764" s="2">
        <v>2049.0981999999999</v>
      </c>
      <c r="AG764" s="2">
        <v>1105.81</v>
      </c>
      <c r="AH764" s="2">
        <v>943.28819999999996</v>
      </c>
      <c r="AI764" s="3">
        <v>0.46034309141455498</v>
      </c>
    </row>
    <row r="765" spans="1:35">
      <c r="A765" s="1">
        <v>42364</v>
      </c>
      <c r="B765" s="1">
        <v>37516</v>
      </c>
      <c r="C765" t="s">
        <v>6170</v>
      </c>
      <c r="D765">
        <v>354</v>
      </c>
      <c r="E765">
        <v>13091</v>
      </c>
      <c r="F765">
        <v>9</v>
      </c>
      <c r="G765">
        <v>1</v>
      </c>
      <c r="H765">
        <v>1</v>
      </c>
      <c r="I765">
        <v>1</v>
      </c>
      <c r="J765" t="s">
        <v>3537</v>
      </c>
      <c r="K765" t="s">
        <v>3538</v>
      </c>
      <c r="L765" s="2">
        <v>1117.8559</v>
      </c>
      <c r="M765" s="2">
        <v>2071.4196000000002</v>
      </c>
      <c r="N765" t="s">
        <v>26</v>
      </c>
      <c r="O765" t="s">
        <v>128</v>
      </c>
      <c r="P765" t="s">
        <v>103</v>
      </c>
      <c r="Q765" t="s">
        <v>7094</v>
      </c>
      <c r="R765" s="1">
        <v>21773</v>
      </c>
      <c r="S765" t="s">
        <v>22</v>
      </c>
      <c r="T765" t="s">
        <v>29</v>
      </c>
      <c r="U765" t="s">
        <v>1404</v>
      </c>
      <c r="V765">
        <v>130000</v>
      </c>
      <c r="W765">
        <v>0</v>
      </c>
      <c r="X765" t="s">
        <v>135</v>
      </c>
      <c r="Y765" t="s">
        <v>45</v>
      </c>
      <c r="Z765" t="s">
        <v>23</v>
      </c>
      <c r="AA765" t="s">
        <v>3586</v>
      </c>
      <c r="AB765" t="s">
        <v>3586</v>
      </c>
      <c r="AC765" t="s">
        <v>3587</v>
      </c>
      <c r="AD765" t="s">
        <v>3478</v>
      </c>
      <c r="AE765" t="s">
        <v>3475</v>
      </c>
      <c r="AF765" s="2">
        <v>2071.4196000000002</v>
      </c>
      <c r="AG765" s="2">
        <v>1117.8559</v>
      </c>
      <c r="AH765" s="2">
        <v>953.56370000000004</v>
      </c>
      <c r="AI765" s="3">
        <v>0.460343090313522</v>
      </c>
    </row>
    <row r="766" spans="1:35">
      <c r="A766" s="1">
        <v>42366</v>
      </c>
      <c r="B766" s="1">
        <v>37511</v>
      </c>
      <c r="C766" t="s">
        <v>6188</v>
      </c>
      <c r="D766">
        <v>360</v>
      </c>
      <c r="E766">
        <v>13103</v>
      </c>
      <c r="F766">
        <v>9</v>
      </c>
      <c r="G766">
        <v>1</v>
      </c>
      <c r="H766">
        <v>1</v>
      </c>
      <c r="I766">
        <v>1</v>
      </c>
      <c r="J766" t="s">
        <v>3543</v>
      </c>
      <c r="K766" t="s">
        <v>3544</v>
      </c>
      <c r="L766" s="2">
        <v>1105.81</v>
      </c>
      <c r="M766" s="2">
        <v>2049.0981999999999</v>
      </c>
      <c r="N766" t="s">
        <v>13</v>
      </c>
      <c r="O766" t="s">
        <v>761</v>
      </c>
      <c r="P766" t="s">
        <v>155</v>
      </c>
      <c r="Q766" t="s">
        <v>7095</v>
      </c>
      <c r="R766" s="1">
        <v>23225</v>
      </c>
      <c r="S766" t="s">
        <v>22</v>
      </c>
      <c r="T766" t="s">
        <v>16</v>
      </c>
      <c r="U766" t="s">
        <v>1407</v>
      </c>
      <c r="V766">
        <v>70000</v>
      </c>
      <c r="W766">
        <v>0</v>
      </c>
      <c r="X766" t="s">
        <v>17</v>
      </c>
      <c r="Y766" t="s">
        <v>18</v>
      </c>
      <c r="Z766" t="s">
        <v>23</v>
      </c>
      <c r="AA766" t="s">
        <v>3586</v>
      </c>
      <c r="AB766" t="s">
        <v>3586</v>
      </c>
      <c r="AC766" t="s">
        <v>3587</v>
      </c>
      <c r="AD766" t="s">
        <v>3478</v>
      </c>
      <c r="AE766" t="s">
        <v>3475</v>
      </c>
      <c r="AF766" s="2">
        <v>2049.0981999999999</v>
      </c>
      <c r="AG766" s="2">
        <v>1105.81</v>
      </c>
      <c r="AH766" s="2">
        <v>943.28819999999996</v>
      </c>
      <c r="AI766" s="3">
        <v>0.46034309141455498</v>
      </c>
    </row>
    <row r="767" spans="1:35">
      <c r="A767" s="1">
        <v>42350</v>
      </c>
      <c r="B767" s="1">
        <v>37534</v>
      </c>
      <c r="C767" t="s">
        <v>6019</v>
      </c>
      <c r="D767">
        <v>352</v>
      </c>
      <c r="E767">
        <v>13104</v>
      </c>
      <c r="F767">
        <v>9</v>
      </c>
      <c r="G767">
        <v>1</v>
      </c>
      <c r="H767">
        <v>1</v>
      </c>
      <c r="I767">
        <v>1</v>
      </c>
      <c r="J767" t="s">
        <v>3535</v>
      </c>
      <c r="K767" t="s">
        <v>3536</v>
      </c>
      <c r="L767" s="2">
        <v>1117.8559</v>
      </c>
      <c r="M767" s="2">
        <v>2071.4196000000002</v>
      </c>
      <c r="N767" t="s">
        <v>13</v>
      </c>
      <c r="O767" t="s">
        <v>1408</v>
      </c>
      <c r="P767" t="s">
        <v>510</v>
      </c>
      <c r="Q767" t="s">
        <v>7096</v>
      </c>
      <c r="R767" s="1">
        <v>23113</v>
      </c>
      <c r="S767" t="s">
        <v>22</v>
      </c>
      <c r="T767" t="s">
        <v>16</v>
      </c>
      <c r="U767" t="s">
        <v>1409</v>
      </c>
      <c r="V767">
        <v>70000</v>
      </c>
      <c r="W767">
        <v>0</v>
      </c>
      <c r="X767" t="s">
        <v>17</v>
      </c>
      <c r="Y767" t="s">
        <v>18</v>
      </c>
      <c r="Z767" t="s">
        <v>23</v>
      </c>
      <c r="AA767" t="s">
        <v>3586</v>
      </c>
      <c r="AB767" t="s">
        <v>3586</v>
      </c>
      <c r="AC767" t="s">
        <v>3587</v>
      </c>
      <c r="AD767" t="s">
        <v>3478</v>
      </c>
      <c r="AE767" t="s">
        <v>3475</v>
      </c>
      <c r="AF767" s="2">
        <v>2071.4196000000002</v>
      </c>
      <c r="AG767" s="2">
        <v>1117.8559</v>
      </c>
      <c r="AH767" s="2">
        <v>953.56370000000004</v>
      </c>
      <c r="AI767" s="3">
        <v>0.460343090313522</v>
      </c>
    </row>
    <row r="768" spans="1:35">
      <c r="A768" s="1">
        <v>42350</v>
      </c>
      <c r="B768" s="1">
        <v>37494</v>
      </c>
      <c r="C768" t="s">
        <v>6027</v>
      </c>
      <c r="D768">
        <v>360</v>
      </c>
      <c r="E768">
        <v>13105</v>
      </c>
      <c r="F768">
        <v>9</v>
      </c>
      <c r="G768">
        <v>1</v>
      </c>
      <c r="H768">
        <v>1</v>
      </c>
      <c r="I768">
        <v>1</v>
      </c>
      <c r="J768" t="s">
        <v>3543</v>
      </c>
      <c r="K768" t="s">
        <v>3544</v>
      </c>
      <c r="L768" s="2">
        <v>1105.81</v>
      </c>
      <c r="M768" s="2">
        <v>2049.0981999999999</v>
      </c>
      <c r="N768" t="s">
        <v>30</v>
      </c>
      <c r="O768" t="s">
        <v>631</v>
      </c>
      <c r="P768" t="s">
        <v>1410</v>
      </c>
      <c r="Q768" t="s">
        <v>7097</v>
      </c>
      <c r="R768" s="1">
        <v>22829</v>
      </c>
      <c r="S768" t="s">
        <v>16</v>
      </c>
      <c r="T768" t="s">
        <v>29</v>
      </c>
      <c r="U768" t="s">
        <v>1411</v>
      </c>
      <c r="V768">
        <v>60000</v>
      </c>
      <c r="W768">
        <v>1</v>
      </c>
      <c r="X768" t="s">
        <v>17</v>
      </c>
      <c r="Y768" t="s">
        <v>18</v>
      </c>
      <c r="Z768" t="s">
        <v>19</v>
      </c>
      <c r="AA768" t="s">
        <v>3586</v>
      </c>
      <c r="AB768" t="s">
        <v>3586</v>
      </c>
      <c r="AC768" t="s">
        <v>3587</v>
      </c>
      <c r="AD768" t="s">
        <v>3478</v>
      </c>
      <c r="AE768" t="s">
        <v>3475</v>
      </c>
      <c r="AF768" s="2">
        <v>2049.0981999999999</v>
      </c>
      <c r="AG768" s="2">
        <v>1105.81</v>
      </c>
      <c r="AH768" s="2">
        <v>943.28819999999996</v>
      </c>
      <c r="AI768" s="3">
        <v>0.46034309141455498</v>
      </c>
    </row>
    <row r="769" spans="1:35">
      <c r="A769" s="1">
        <v>42356</v>
      </c>
      <c r="B769" s="1">
        <v>37530</v>
      </c>
      <c r="C769" t="s">
        <v>6085</v>
      </c>
      <c r="D769">
        <v>352</v>
      </c>
      <c r="E769">
        <v>13106</v>
      </c>
      <c r="F769">
        <v>9</v>
      </c>
      <c r="G769">
        <v>1</v>
      </c>
      <c r="H769">
        <v>1</v>
      </c>
      <c r="I769">
        <v>1</v>
      </c>
      <c r="J769" t="s">
        <v>3535</v>
      </c>
      <c r="K769" t="s">
        <v>3536</v>
      </c>
      <c r="L769" s="2">
        <v>1117.8559</v>
      </c>
      <c r="M769" s="2">
        <v>2071.4196000000002</v>
      </c>
      <c r="N769" t="s">
        <v>30</v>
      </c>
      <c r="O769" t="s">
        <v>94</v>
      </c>
      <c r="P769" t="s">
        <v>129</v>
      </c>
      <c r="Q769" t="s">
        <v>7098</v>
      </c>
      <c r="R769" s="1">
        <v>22835</v>
      </c>
      <c r="S769" t="s">
        <v>16</v>
      </c>
      <c r="T769" t="s">
        <v>29</v>
      </c>
      <c r="U769" t="s">
        <v>1412</v>
      </c>
      <c r="V769">
        <v>60000</v>
      </c>
      <c r="W769">
        <v>1</v>
      </c>
      <c r="X769" t="s">
        <v>17</v>
      </c>
      <c r="Y769" t="s">
        <v>18</v>
      </c>
      <c r="Z769" t="s">
        <v>19</v>
      </c>
      <c r="AA769" t="s">
        <v>3586</v>
      </c>
      <c r="AB769" t="s">
        <v>3586</v>
      </c>
      <c r="AC769" t="s">
        <v>3587</v>
      </c>
      <c r="AD769" t="s">
        <v>3478</v>
      </c>
      <c r="AE769" t="s">
        <v>3475</v>
      </c>
      <c r="AF769" s="2">
        <v>2071.4196000000002</v>
      </c>
      <c r="AG769" s="2">
        <v>1117.8559</v>
      </c>
      <c r="AH769" s="2">
        <v>953.56370000000004</v>
      </c>
      <c r="AI769" s="3">
        <v>0.460343090313522</v>
      </c>
    </row>
    <row r="770" spans="1:35">
      <c r="A770" s="1">
        <v>42343</v>
      </c>
      <c r="B770" s="1">
        <v>37490</v>
      </c>
      <c r="C770" t="s">
        <v>5947</v>
      </c>
      <c r="D770">
        <v>358</v>
      </c>
      <c r="E770">
        <v>13107</v>
      </c>
      <c r="F770">
        <v>9</v>
      </c>
      <c r="G770">
        <v>1</v>
      </c>
      <c r="H770">
        <v>1</v>
      </c>
      <c r="I770">
        <v>1</v>
      </c>
      <c r="J770" t="s">
        <v>3541</v>
      </c>
      <c r="K770" t="s">
        <v>3542</v>
      </c>
      <c r="L770" s="2">
        <v>1105.81</v>
      </c>
      <c r="M770" s="2">
        <v>2049.0981999999999</v>
      </c>
      <c r="N770" t="s">
        <v>30</v>
      </c>
      <c r="O770" t="s">
        <v>771</v>
      </c>
      <c r="P770" t="s">
        <v>203</v>
      </c>
      <c r="Q770" t="s">
        <v>7099</v>
      </c>
      <c r="R770" s="1">
        <v>22838</v>
      </c>
      <c r="S770" t="s">
        <v>16</v>
      </c>
      <c r="T770" t="s">
        <v>29</v>
      </c>
      <c r="U770" t="s">
        <v>1413</v>
      </c>
      <c r="V770">
        <v>60000</v>
      </c>
      <c r="W770">
        <v>1</v>
      </c>
      <c r="X770" t="s">
        <v>17</v>
      </c>
      <c r="Y770" t="s">
        <v>18</v>
      </c>
      <c r="Z770" t="s">
        <v>19</v>
      </c>
      <c r="AA770" t="s">
        <v>3586</v>
      </c>
      <c r="AB770" t="s">
        <v>3586</v>
      </c>
      <c r="AC770" t="s">
        <v>3587</v>
      </c>
      <c r="AD770" t="s">
        <v>3478</v>
      </c>
      <c r="AE770" t="s">
        <v>3475</v>
      </c>
      <c r="AF770" s="2">
        <v>2049.0981999999999</v>
      </c>
      <c r="AG770" s="2">
        <v>1105.81</v>
      </c>
      <c r="AH770" s="2">
        <v>943.28819999999996</v>
      </c>
      <c r="AI770" s="3">
        <v>0.46034309141455498</v>
      </c>
    </row>
    <row r="771" spans="1:35">
      <c r="A771" s="1">
        <v>42358</v>
      </c>
      <c r="B771" s="1">
        <v>37548</v>
      </c>
      <c r="C771" t="s">
        <v>6112</v>
      </c>
      <c r="D771">
        <v>356</v>
      </c>
      <c r="E771">
        <v>13108</v>
      </c>
      <c r="F771">
        <v>9</v>
      </c>
      <c r="G771">
        <v>1</v>
      </c>
      <c r="H771">
        <v>1</v>
      </c>
      <c r="I771">
        <v>1</v>
      </c>
      <c r="J771" t="s">
        <v>3539</v>
      </c>
      <c r="K771" t="s">
        <v>3540</v>
      </c>
      <c r="L771" s="2">
        <v>1117.8559</v>
      </c>
      <c r="M771" s="2">
        <v>2071.4196000000002</v>
      </c>
      <c r="N771" t="s">
        <v>13</v>
      </c>
      <c r="O771" t="s">
        <v>41</v>
      </c>
      <c r="P771" t="s">
        <v>56</v>
      </c>
      <c r="Q771" t="s">
        <v>7100</v>
      </c>
      <c r="R771" s="1">
        <v>23006</v>
      </c>
      <c r="S771" t="s">
        <v>16</v>
      </c>
      <c r="T771" t="s">
        <v>16</v>
      </c>
      <c r="U771" t="s">
        <v>1414</v>
      </c>
      <c r="V771">
        <v>60000</v>
      </c>
      <c r="W771">
        <v>1</v>
      </c>
      <c r="X771" t="s">
        <v>17</v>
      </c>
      <c r="Y771" t="s">
        <v>18</v>
      </c>
      <c r="Z771" t="s">
        <v>19</v>
      </c>
      <c r="AA771" t="s">
        <v>3586</v>
      </c>
      <c r="AB771" t="s">
        <v>3586</v>
      </c>
      <c r="AC771" t="s">
        <v>3587</v>
      </c>
      <c r="AD771" t="s">
        <v>3478</v>
      </c>
      <c r="AE771" t="s">
        <v>3475</v>
      </c>
      <c r="AF771" s="2">
        <v>2071.4196000000002</v>
      </c>
      <c r="AG771" s="2">
        <v>1117.8559</v>
      </c>
      <c r="AH771" s="2">
        <v>953.56370000000004</v>
      </c>
      <c r="AI771" s="3">
        <v>0.460343090313522</v>
      </c>
    </row>
    <row r="772" spans="1:35">
      <c r="A772" s="1">
        <v>42358</v>
      </c>
      <c r="B772" s="1">
        <v>37522</v>
      </c>
      <c r="C772" t="s">
        <v>6111</v>
      </c>
      <c r="D772">
        <v>362</v>
      </c>
      <c r="E772">
        <v>13109</v>
      </c>
      <c r="F772">
        <v>9</v>
      </c>
      <c r="G772">
        <v>1</v>
      </c>
      <c r="H772">
        <v>1</v>
      </c>
      <c r="I772">
        <v>1</v>
      </c>
      <c r="J772" t="s">
        <v>3545</v>
      </c>
      <c r="K772" t="s">
        <v>3546</v>
      </c>
      <c r="L772" s="2">
        <v>1105.81</v>
      </c>
      <c r="M772" s="2">
        <v>2049.0981999999999</v>
      </c>
      <c r="N772" t="s">
        <v>30</v>
      </c>
      <c r="O772" t="s">
        <v>188</v>
      </c>
      <c r="P772" t="s">
        <v>153</v>
      </c>
      <c r="Q772" t="s">
        <v>7101</v>
      </c>
      <c r="R772" s="1">
        <v>22870</v>
      </c>
      <c r="S772" t="s">
        <v>16</v>
      </c>
      <c r="T772" t="s">
        <v>29</v>
      </c>
      <c r="U772" t="s">
        <v>1415</v>
      </c>
      <c r="V772">
        <v>60000</v>
      </c>
      <c r="W772">
        <v>1</v>
      </c>
      <c r="X772" t="s">
        <v>17</v>
      </c>
      <c r="Y772" t="s">
        <v>18</v>
      </c>
      <c r="Z772" t="s">
        <v>19</v>
      </c>
      <c r="AA772" t="s">
        <v>3586</v>
      </c>
      <c r="AB772" t="s">
        <v>3586</v>
      </c>
      <c r="AC772" t="s">
        <v>3587</v>
      </c>
      <c r="AD772" t="s">
        <v>3478</v>
      </c>
      <c r="AE772" t="s">
        <v>3475</v>
      </c>
      <c r="AF772" s="2">
        <v>2049.0981999999999</v>
      </c>
      <c r="AG772" s="2">
        <v>1105.81</v>
      </c>
      <c r="AH772" s="2">
        <v>943.28819999999996</v>
      </c>
      <c r="AI772" s="3">
        <v>0.46034309141455498</v>
      </c>
    </row>
    <row r="773" spans="1:35">
      <c r="A773" s="1">
        <v>42369</v>
      </c>
      <c r="B773" s="1">
        <v>37589</v>
      </c>
      <c r="C773" t="s">
        <v>6219</v>
      </c>
      <c r="D773">
        <v>354</v>
      </c>
      <c r="E773">
        <v>13111</v>
      </c>
      <c r="F773">
        <v>9</v>
      </c>
      <c r="G773">
        <v>1</v>
      </c>
      <c r="H773">
        <v>1</v>
      </c>
      <c r="I773">
        <v>1</v>
      </c>
      <c r="J773" t="s">
        <v>3537</v>
      </c>
      <c r="K773" t="s">
        <v>3538</v>
      </c>
      <c r="L773" s="2">
        <v>1117.8559</v>
      </c>
      <c r="M773" s="2">
        <v>2071.4196000000002</v>
      </c>
      <c r="N773" t="s">
        <v>30</v>
      </c>
      <c r="O773" t="s">
        <v>278</v>
      </c>
      <c r="P773" t="s">
        <v>148</v>
      </c>
      <c r="Q773" t="s">
        <v>7102</v>
      </c>
      <c r="R773" s="1">
        <v>22509</v>
      </c>
      <c r="S773" t="s">
        <v>22</v>
      </c>
      <c r="T773" t="s">
        <v>29</v>
      </c>
      <c r="U773" t="s">
        <v>1416</v>
      </c>
      <c r="V773">
        <v>60000</v>
      </c>
      <c r="W773">
        <v>1</v>
      </c>
      <c r="X773" t="s">
        <v>52</v>
      </c>
      <c r="Y773" t="s">
        <v>53</v>
      </c>
      <c r="Z773" t="s">
        <v>19</v>
      </c>
      <c r="AA773" t="s">
        <v>3586</v>
      </c>
      <c r="AB773" t="s">
        <v>3586</v>
      </c>
      <c r="AC773" t="s">
        <v>3587</v>
      </c>
      <c r="AD773" t="s">
        <v>3478</v>
      </c>
      <c r="AE773" t="s">
        <v>3475</v>
      </c>
      <c r="AF773" s="2">
        <v>2071.4196000000002</v>
      </c>
      <c r="AG773" s="2">
        <v>1117.8559</v>
      </c>
      <c r="AH773" s="2">
        <v>953.56370000000004</v>
      </c>
      <c r="AI773" s="3">
        <v>0.460343090313522</v>
      </c>
    </row>
    <row r="774" spans="1:35">
      <c r="A774" s="1">
        <v>42350</v>
      </c>
      <c r="B774" s="1">
        <v>37518</v>
      </c>
      <c r="C774" t="s">
        <v>6012</v>
      </c>
      <c r="D774">
        <v>362</v>
      </c>
      <c r="E774">
        <v>13112</v>
      </c>
      <c r="F774">
        <v>9</v>
      </c>
      <c r="G774">
        <v>1</v>
      </c>
      <c r="H774">
        <v>1</v>
      </c>
      <c r="I774">
        <v>1</v>
      </c>
      <c r="J774" t="s">
        <v>3545</v>
      </c>
      <c r="K774" t="s">
        <v>3546</v>
      </c>
      <c r="L774" s="2">
        <v>1105.81</v>
      </c>
      <c r="M774" s="2">
        <v>2049.0981999999999</v>
      </c>
      <c r="N774" t="s">
        <v>30</v>
      </c>
      <c r="O774" t="s">
        <v>211</v>
      </c>
      <c r="P774" t="s">
        <v>140</v>
      </c>
      <c r="Q774" t="s">
        <v>7103</v>
      </c>
      <c r="R774" s="1">
        <v>22485</v>
      </c>
      <c r="S774" t="s">
        <v>22</v>
      </c>
      <c r="T774" t="s">
        <v>29</v>
      </c>
      <c r="U774" t="s">
        <v>1417</v>
      </c>
      <c r="V774">
        <v>60000</v>
      </c>
      <c r="W774">
        <v>1</v>
      </c>
      <c r="X774" t="s">
        <v>52</v>
      </c>
      <c r="Y774" t="s">
        <v>53</v>
      </c>
      <c r="Z774" t="s">
        <v>19</v>
      </c>
      <c r="AA774" t="s">
        <v>3586</v>
      </c>
      <c r="AB774" t="s">
        <v>3586</v>
      </c>
      <c r="AC774" t="s">
        <v>3587</v>
      </c>
      <c r="AD774" t="s">
        <v>3478</v>
      </c>
      <c r="AE774" t="s">
        <v>3475</v>
      </c>
      <c r="AF774" s="2">
        <v>2049.0981999999999</v>
      </c>
      <c r="AG774" s="2">
        <v>1105.81</v>
      </c>
      <c r="AH774" s="2">
        <v>943.28819999999996</v>
      </c>
      <c r="AI774" s="3">
        <v>0.46034309141455498</v>
      </c>
    </row>
    <row r="775" spans="1:35">
      <c r="A775" s="1">
        <v>42355</v>
      </c>
      <c r="B775" s="1">
        <v>37495</v>
      </c>
      <c r="C775" t="s">
        <v>6073</v>
      </c>
      <c r="D775">
        <v>354</v>
      </c>
      <c r="E775">
        <v>13113</v>
      </c>
      <c r="F775">
        <v>9</v>
      </c>
      <c r="G775">
        <v>1</v>
      </c>
      <c r="H775">
        <v>1</v>
      </c>
      <c r="I775">
        <v>1</v>
      </c>
      <c r="J775" t="s">
        <v>3537</v>
      </c>
      <c r="K775" t="s">
        <v>3538</v>
      </c>
      <c r="L775" s="2">
        <v>1117.8559</v>
      </c>
      <c r="M775" s="2">
        <v>2071.4196000000002</v>
      </c>
      <c r="N775" t="s">
        <v>13</v>
      </c>
      <c r="O775" t="s">
        <v>184</v>
      </c>
      <c r="P775" t="s">
        <v>109</v>
      </c>
      <c r="Q775" t="s">
        <v>7104</v>
      </c>
      <c r="R775" s="1">
        <v>24302</v>
      </c>
      <c r="S775" t="s">
        <v>22</v>
      </c>
      <c r="T775" t="s">
        <v>16</v>
      </c>
      <c r="U775" t="s">
        <v>1418</v>
      </c>
      <c r="V775">
        <v>100000</v>
      </c>
      <c r="W775">
        <v>0</v>
      </c>
      <c r="X775" t="s">
        <v>17</v>
      </c>
      <c r="Y775" t="s">
        <v>18</v>
      </c>
      <c r="Z775" t="s">
        <v>23</v>
      </c>
      <c r="AA775" t="s">
        <v>3586</v>
      </c>
      <c r="AB775" t="s">
        <v>3586</v>
      </c>
      <c r="AC775" t="s">
        <v>3587</v>
      </c>
      <c r="AD775" t="s">
        <v>3478</v>
      </c>
      <c r="AE775" t="s">
        <v>3475</v>
      </c>
      <c r="AF775" s="2">
        <v>2071.4196000000002</v>
      </c>
      <c r="AG775" s="2">
        <v>1117.8559</v>
      </c>
      <c r="AH775" s="2">
        <v>953.56370000000004</v>
      </c>
      <c r="AI775" s="3">
        <v>0.460343090313522</v>
      </c>
    </row>
    <row r="776" spans="1:35">
      <c r="A776" s="1">
        <v>42340</v>
      </c>
      <c r="B776" s="1">
        <v>37562</v>
      </c>
      <c r="C776" t="s">
        <v>5911</v>
      </c>
      <c r="D776">
        <v>352</v>
      </c>
      <c r="E776">
        <v>13114</v>
      </c>
      <c r="F776">
        <v>9</v>
      </c>
      <c r="G776">
        <v>1</v>
      </c>
      <c r="H776">
        <v>1</v>
      </c>
      <c r="I776">
        <v>1</v>
      </c>
      <c r="J776" t="s">
        <v>3535</v>
      </c>
      <c r="K776" t="s">
        <v>3536</v>
      </c>
      <c r="L776" s="2">
        <v>1117.8559</v>
      </c>
      <c r="M776" s="2">
        <v>2071.4196000000002</v>
      </c>
      <c r="N776" t="s">
        <v>26</v>
      </c>
      <c r="O776" t="s">
        <v>360</v>
      </c>
      <c r="P776" t="s">
        <v>68</v>
      </c>
      <c r="Q776" t="s">
        <v>7105</v>
      </c>
      <c r="R776" s="1">
        <v>24228</v>
      </c>
      <c r="S776" t="s">
        <v>22</v>
      </c>
      <c r="T776" t="s">
        <v>29</v>
      </c>
      <c r="U776" t="s">
        <v>1419</v>
      </c>
      <c r="V776">
        <v>100000</v>
      </c>
      <c r="W776">
        <v>0</v>
      </c>
      <c r="X776" t="s">
        <v>17</v>
      </c>
      <c r="Y776" t="s">
        <v>18</v>
      </c>
      <c r="Z776" t="s">
        <v>23</v>
      </c>
      <c r="AA776" t="s">
        <v>3586</v>
      </c>
      <c r="AB776" t="s">
        <v>3586</v>
      </c>
      <c r="AC776" t="s">
        <v>3587</v>
      </c>
      <c r="AD776" t="s">
        <v>3478</v>
      </c>
      <c r="AE776" t="s">
        <v>3475</v>
      </c>
      <c r="AF776" s="2">
        <v>2071.4196000000002</v>
      </c>
      <c r="AG776" s="2">
        <v>1117.8559</v>
      </c>
      <c r="AH776" s="2">
        <v>953.56370000000004</v>
      </c>
      <c r="AI776" s="3">
        <v>0.460343090313522</v>
      </c>
    </row>
    <row r="777" spans="1:35">
      <c r="A777" s="1">
        <v>42303</v>
      </c>
      <c r="B777" s="1">
        <v>37440</v>
      </c>
      <c r="C777" t="s">
        <v>5671</v>
      </c>
      <c r="D777">
        <v>379</v>
      </c>
      <c r="E777">
        <v>13468</v>
      </c>
      <c r="F777">
        <v>1</v>
      </c>
      <c r="G777">
        <v>1</v>
      </c>
      <c r="H777">
        <v>1</v>
      </c>
      <c r="I777">
        <v>2</v>
      </c>
      <c r="J777" t="s">
        <v>3561</v>
      </c>
      <c r="K777" t="s">
        <v>3562</v>
      </c>
      <c r="L777" s="2">
        <v>1320.6838</v>
      </c>
      <c r="M777" s="2">
        <v>2181.5625</v>
      </c>
      <c r="N777" t="s">
        <v>30</v>
      </c>
      <c r="O777" t="s">
        <v>677</v>
      </c>
      <c r="P777" t="s">
        <v>320</v>
      </c>
      <c r="Q777" t="s">
        <v>7106</v>
      </c>
      <c r="R777" s="1">
        <v>22161</v>
      </c>
      <c r="S777" t="s">
        <v>22</v>
      </c>
      <c r="T777" t="s">
        <v>29</v>
      </c>
      <c r="U777" t="s">
        <v>1553</v>
      </c>
      <c r="V777">
        <v>100000</v>
      </c>
      <c r="W777">
        <v>3</v>
      </c>
      <c r="X777" t="s">
        <v>52</v>
      </c>
      <c r="Y777" t="s">
        <v>18</v>
      </c>
      <c r="Z777" t="s">
        <v>19</v>
      </c>
      <c r="AA777" t="s">
        <v>3577</v>
      </c>
      <c r="AB777" t="s">
        <v>3578</v>
      </c>
      <c r="AC777" t="s">
        <v>3579</v>
      </c>
      <c r="AD777" t="s">
        <v>3479</v>
      </c>
      <c r="AE777" t="s">
        <v>3475</v>
      </c>
      <c r="AF777" s="2">
        <v>2181.5625</v>
      </c>
      <c r="AG777" s="2">
        <v>1320.6838</v>
      </c>
      <c r="AH777" s="2">
        <v>860.87869999999998</v>
      </c>
      <c r="AI777" s="3">
        <v>0.39461564818793898</v>
      </c>
    </row>
    <row r="778" spans="1:35">
      <c r="A778" s="1">
        <v>42366</v>
      </c>
      <c r="B778" s="1">
        <v>37586</v>
      </c>
      <c r="C778" t="s">
        <v>6190</v>
      </c>
      <c r="D778">
        <v>362</v>
      </c>
      <c r="E778">
        <v>13115</v>
      </c>
      <c r="F778">
        <v>9</v>
      </c>
      <c r="G778">
        <v>1</v>
      </c>
      <c r="H778">
        <v>1</v>
      </c>
      <c r="I778">
        <v>1</v>
      </c>
      <c r="J778" t="s">
        <v>3545</v>
      </c>
      <c r="K778" t="s">
        <v>3546</v>
      </c>
      <c r="L778" s="2">
        <v>1105.81</v>
      </c>
      <c r="M778" s="2">
        <v>2049.0981999999999</v>
      </c>
      <c r="N778" t="s">
        <v>13</v>
      </c>
      <c r="O778" t="s">
        <v>58</v>
      </c>
      <c r="P778" t="s">
        <v>268</v>
      </c>
      <c r="Q778" t="s">
        <v>7107</v>
      </c>
      <c r="R778" s="1">
        <v>24377</v>
      </c>
      <c r="S778" t="s">
        <v>22</v>
      </c>
      <c r="T778" t="s">
        <v>16</v>
      </c>
      <c r="U778" t="s">
        <v>1420</v>
      </c>
      <c r="V778">
        <v>110000</v>
      </c>
      <c r="W778">
        <v>0</v>
      </c>
      <c r="X778" t="s">
        <v>135</v>
      </c>
      <c r="Y778" t="s">
        <v>45</v>
      </c>
      <c r="Z778" t="s">
        <v>19</v>
      </c>
      <c r="AA778" t="s">
        <v>3586</v>
      </c>
      <c r="AB778" t="s">
        <v>3586</v>
      </c>
      <c r="AC778" t="s">
        <v>3587</v>
      </c>
      <c r="AD778" t="s">
        <v>3478</v>
      </c>
      <c r="AE778" t="s">
        <v>3475</v>
      </c>
      <c r="AF778" s="2">
        <v>2049.0981999999999</v>
      </c>
      <c r="AG778" s="2">
        <v>1105.81</v>
      </c>
      <c r="AH778" s="2">
        <v>943.28819999999996</v>
      </c>
      <c r="AI778" s="3">
        <v>0.46034309141455498</v>
      </c>
    </row>
    <row r="779" spans="1:35">
      <c r="A779" s="1">
        <v>42342</v>
      </c>
      <c r="B779" s="1">
        <v>37499</v>
      </c>
      <c r="C779" t="s">
        <v>5935</v>
      </c>
      <c r="D779">
        <v>362</v>
      </c>
      <c r="E779">
        <v>13117</v>
      </c>
      <c r="F779">
        <v>9</v>
      </c>
      <c r="G779">
        <v>1</v>
      </c>
      <c r="H779">
        <v>1</v>
      </c>
      <c r="I779">
        <v>1</v>
      </c>
      <c r="J779" t="s">
        <v>3545</v>
      </c>
      <c r="K779" t="s">
        <v>3546</v>
      </c>
      <c r="L779" s="2">
        <v>1105.81</v>
      </c>
      <c r="M779" s="2">
        <v>2049.0981999999999</v>
      </c>
      <c r="N779" t="s">
        <v>26</v>
      </c>
      <c r="O779" t="s">
        <v>1300</v>
      </c>
      <c r="P779" t="s">
        <v>293</v>
      </c>
      <c r="Q779" t="s">
        <v>7108</v>
      </c>
      <c r="R779" s="1">
        <v>24118</v>
      </c>
      <c r="S779" t="s">
        <v>22</v>
      </c>
      <c r="T779" t="s">
        <v>29</v>
      </c>
      <c r="U779" t="s">
        <v>1421</v>
      </c>
      <c r="V779">
        <v>110000</v>
      </c>
      <c r="W779">
        <v>0</v>
      </c>
      <c r="X779" t="s">
        <v>135</v>
      </c>
      <c r="Y779" t="s">
        <v>45</v>
      </c>
      <c r="Z779" t="s">
        <v>23</v>
      </c>
      <c r="AA779" t="s">
        <v>3586</v>
      </c>
      <c r="AB779" t="s">
        <v>3586</v>
      </c>
      <c r="AC779" t="s">
        <v>3587</v>
      </c>
      <c r="AD779" t="s">
        <v>3478</v>
      </c>
      <c r="AE779" t="s">
        <v>3475</v>
      </c>
      <c r="AF779" s="2">
        <v>2049.0981999999999</v>
      </c>
      <c r="AG779" s="2">
        <v>1105.81</v>
      </c>
      <c r="AH779" s="2">
        <v>943.28819999999996</v>
      </c>
      <c r="AI779" s="3">
        <v>0.46034309141455498</v>
      </c>
    </row>
    <row r="780" spans="1:35">
      <c r="A780" s="1">
        <v>42362</v>
      </c>
      <c r="B780" s="1">
        <v>37520</v>
      </c>
      <c r="C780" t="s">
        <v>6158</v>
      </c>
      <c r="D780">
        <v>362</v>
      </c>
      <c r="E780">
        <v>13118</v>
      </c>
      <c r="F780">
        <v>9</v>
      </c>
      <c r="G780">
        <v>1</v>
      </c>
      <c r="H780">
        <v>1</v>
      </c>
      <c r="I780">
        <v>1</v>
      </c>
      <c r="J780" t="s">
        <v>3545</v>
      </c>
      <c r="K780" t="s">
        <v>3546</v>
      </c>
      <c r="L780" s="2">
        <v>1105.81</v>
      </c>
      <c r="M780" s="2">
        <v>2049.0981999999999</v>
      </c>
      <c r="N780" t="s">
        <v>30</v>
      </c>
      <c r="O780" t="s">
        <v>48</v>
      </c>
      <c r="P780" t="s">
        <v>334</v>
      </c>
      <c r="Q780" t="s">
        <v>7109</v>
      </c>
      <c r="R780" s="1">
        <v>22105</v>
      </c>
      <c r="S780" t="s">
        <v>16</v>
      </c>
      <c r="T780" t="s">
        <v>29</v>
      </c>
      <c r="U780" t="s">
        <v>1422</v>
      </c>
      <c r="V780">
        <v>60000</v>
      </c>
      <c r="W780">
        <v>1</v>
      </c>
      <c r="X780" t="s">
        <v>52</v>
      </c>
      <c r="Y780" t="s">
        <v>53</v>
      </c>
      <c r="Z780" t="s">
        <v>19</v>
      </c>
      <c r="AA780" t="s">
        <v>3586</v>
      </c>
      <c r="AB780" t="s">
        <v>3586</v>
      </c>
      <c r="AC780" t="s">
        <v>3587</v>
      </c>
      <c r="AD780" t="s">
        <v>3478</v>
      </c>
      <c r="AE780" t="s">
        <v>3475</v>
      </c>
      <c r="AF780" s="2">
        <v>2049.0981999999999</v>
      </c>
      <c r="AG780" s="2">
        <v>1105.81</v>
      </c>
      <c r="AH780" s="2">
        <v>943.28819999999996</v>
      </c>
      <c r="AI780" s="3">
        <v>0.46034309141455498</v>
      </c>
    </row>
    <row r="781" spans="1:35">
      <c r="A781" s="1">
        <v>42351</v>
      </c>
      <c r="B781" s="1">
        <v>37574</v>
      </c>
      <c r="C781" t="s">
        <v>6033</v>
      </c>
      <c r="D781">
        <v>354</v>
      </c>
      <c r="E781">
        <v>13119</v>
      </c>
      <c r="F781">
        <v>9</v>
      </c>
      <c r="G781">
        <v>1</v>
      </c>
      <c r="H781">
        <v>1</v>
      </c>
      <c r="I781">
        <v>1</v>
      </c>
      <c r="J781" t="s">
        <v>3537</v>
      </c>
      <c r="K781" t="s">
        <v>3538</v>
      </c>
      <c r="L781" s="2">
        <v>1117.8559</v>
      </c>
      <c r="M781" s="2">
        <v>2071.4196000000002</v>
      </c>
      <c r="N781" t="s">
        <v>26</v>
      </c>
      <c r="O781" t="s">
        <v>117</v>
      </c>
      <c r="P781" t="s">
        <v>929</v>
      </c>
      <c r="Q781" t="s">
        <v>7110</v>
      </c>
      <c r="R781" s="1">
        <v>24056</v>
      </c>
      <c r="S781" t="s">
        <v>22</v>
      </c>
      <c r="T781" t="s">
        <v>29</v>
      </c>
      <c r="U781" t="s">
        <v>1423</v>
      </c>
      <c r="V781">
        <v>70000</v>
      </c>
      <c r="W781">
        <v>0</v>
      </c>
      <c r="X781" t="s">
        <v>17</v>
      </c>
      <c r="Y781" t="s">
        <v>18</v>
      </c>
      <c r="Z781" t="s">
        <v>23</v>
      </c>
      <c r="AA781" t="s">
        <v>3586</v>
      </c>
      <c r="AB781" t="s">
        <v>3586</v>
      </c>
      <c r="AC781" t="s">
        <v>3587</v>
      </c>
      <c r="AD781" t="s">
        <v>3478</v>
      </c>
      <c r="AE781" t="s">
        <v>3475</v>
      </c>
      <c r="AF781" s="2">
        <v>2071.4196000000002</v>
      </c>
      <c r="AG781" s="2">
        <v>1117.8559</v>
      </c>
      <c r="AH781" s="2">
        <v>953.56370000000004</v>
      </c>
      <c r="AI781" s="3">
        <v>0.460343090313522</v>
      </c>
    </row>
    <row r="782" spans="1:35">
      <c r="A782" s="1">
        <v>42352</v>
      </c>
      <c r="B782" s="1">
        <v>37559</v>
      </c>
      <c r="C782" t="s">
        <v>6044</v>
      </c>
      <c r="D782">
        <v>354</v>
      </c>
      <c r="E782">
        <v>13122</v>
      </c>
      <c r="F782">
        <v>9</v>
      </c>
      <c r="G782">
        <v>1</v>
      </c>
      <c r="H782">
        <v>1</v>
      </c>
      <c r="I782">
        <v>1</v>
      </c>
      <c r="J782" t="s">
        <v>3537</v>
      </c>
      <c r="K782" t="s">
        <v>3538</v>
      </c>
      <c r="L782" s="2">
        <v>1117.8559</v>
      </c>
      <c r="M782" s="2">
        <v>2071.4196000000002</v>
      </c>
      <c r="N782" t="s">
        <v>26</v>
      </c>
      <c r="O782" t="s">
        <v>310</v>
      </c>
      <c r="P782" t="s">
        <v>175</v>
      </c>
      <c r="Q782" t="s">
        <v>7111</v>
      </c>
      <c r="R782" s="1">
        <v>23956</v>
      </c>
      <c r="S782" t="s">
        <v>16</v>
      </c>
      <c r="T782" t="s">
        <v>29</v>
      </c>
      <c r="U782" t="s">
        <v>1424</v>
      </c>
      <c r="V782">
        <v>80000</v>
      </c>
      <c r="W782">
        <v>0</v>
      </c>
      <c r="X782" t="s">
        <v>17</v>
      </c>
      <c r="Y782" t="s">
        <v>18</v>
      </c>
      <c r="Z782" t="s">
        <v>19</v>
      </c>
      <c r="AA782" t="s">
        <v>3586</v>
      </c>
      <c r="AB782" t="s">
        <v>3586</v>
      </c>
      <c r="AC782" t="s">
        <v>3587</v>
      </c>
      <c r="AD782" t="s">
        <v>3478</v>
      </c>
      <c r="AE782" t="s">
        <v>3475</v>
      </c>
      <c r="AF782" s="2">
        <v>2071.4196000000002</v>
      </c>
      <c r="AG782" s="2">
        <v>1117.8559</v>
      </c>
      <c r="AH782" s="2">
        <v>953.56370000000004</v>
      </c>
      <c r="AI782" s="3">
        <v>0.460343090313522</v>
      </c>
    </row>
    <row r="783" spans="1:35">
      <c r="A783" s="1">
        <v>42354</v>
      </c>
      <c r="B783" s="1">
        <v>37570</v>
      </c>
      <c r="C783" t="s">
        <v>6069</v>
      </c>
      <c r="D783">
        <v>360</v>
      </c>
      <c r="E783">
        <v>13123</v>
      </c>
      <c r="F783">
        <v>9</v>
      </c>
      <c r="G783">
        <v>1</v>
      </c>
      <c r="H783">
        <v>1</v>
      </c>
      <c r="I783">
        <v>1</v>
      </c>
      <c r="J783" t="s">
        <v>3543</v>
      </c>
      <c r="K783" t="s">
        <v>3544</v>
      </c>
      <c r="L783" s="2">
        <v>1105.81</v>
      </c>
      <c r="M783" s="2">
        <v>2049.0981999999999</v>
      </c>
      <c r="N783" t="s">
        <v>26</v>
      </c>
      <c r="O783" t="s">
        <v>500</v>
      </c>
      <c r="P783" t="s">
        <v>155</v>
      </c>
      <c r="Q783" t="s">
        <v>7112</v>
      </c>
      <c r="R783" s="1">
        <v>23501</v>
      </c>
      <c r="S783" t="s">
        <v>22</v>
      </c>
      <c r="T783" t="s">
        <v>29</v>
      </c>
      <c r="U783" t="s">
        <v>1425</v>
      </c>
      <c r="V783">
        <v>70000</v>
      </c>
      <c r="W783">
        <v>0</v>
      </c>
      <c r="X783" t="s">
        <v>17</v>
      </c>
      <c r="Y783" t="s">
        <v>18</v>
      </c>
      <c r="Z783" t="s">
        <v>23</v>
      </c>
      <c r="AA783" t="s">
        <v>3586</v>
      </c>
      <c r="AB783" t="s">
        <v>3586</v>
      </c>
      <c r="AC783" t="s">
        <v>3587</v>
      </c>
      <c r="AD783" t="s">
        <v>3478</v>
      </c>
      <c r="AE783" t="s">
        <v>3475</v>
      </c>
      <c r="AF783" s="2">
        <v>2049.0981999999999</v>
      </c>
      <c r="AG783" s="2">
        <v>1105.81</v>
      </c>
      <c r="AH783" s="2">
        <v>943.28819999999996</v>
      </c>
      <c r="AI783" s="3">
        <v>0.46034309141455498</v>
      </c>
    </row>
    <row r="784" spans="1:35">
      <c r="A784" s="1">
        <v>42347</v>
      </c>
      <c r="B784" s="1">
        <v>37542</v>
      </c>
      <c r="C784" t="s">
        <v>5988</v>
      </c>
      <c r="D784">
        <v>358</v>
      </c>
      <c r="E784">
        <v>13126</v>
      </c>
      <c r="F784">
        <v>9</v>
      </c>
      <c r="G784">
        <v>1</v>
      </c>
      <c r="H784">
        <v>1</v>
      </c>
      <c r="I784">
        <v>1</v>
      </c>
      <c r="J784" t="s">
        <v>3541</v>
      </c>
      <c r="K784" t="s">
        <v>3542</v>
      </c>
      <c r="L784" s="2">
        <v>1105.81</v>
      </c>
      <c r="M784" s="2">
        <v>2049.0981999999999</v>
      </c>
      <c r="N784" t="s">
        <v>26</v>
      </c>
      <c r="O784" t="s">
        <v>1195</v>
      </c>
      <c r="P784" t="s">
        <v>907</v>
      </c>
      <c r="Q784" t="s">
        <v>7113</v>
      </c>
      <c r="R784" s="1">
        <v>23411</v>
      </c>
      <c r="S784" t="s">
        <v>22</v>
      </c>
      <c r="T784" t="s">
        <v>29</v>
      </c>
      <c r="U784" t="s">
        <v>1426</v>
      </c>
      <c r="V784">
        <v>70000</v>
      </c>
      <c r="W784">
        <v>0</v>
      </c>
      <c r="X784" t="s">
        <v>17</v>
      </c>
      <c r="Y784" t="s">
        <v>18</v>
      </c>
      <c r="Z784" t="s">
        <v>23</v>
      </c>
      <c r="AA784" t="s">
        <v>3586</v>
      </c>
      <c r="AB784" t="s">
        <v>3586</v>
      </c>
      <c r="AC784" t="s">
        <v>3587</v>
      </c>
      <c r="AD784" t="s">
        <v>3478</v>
      </c>
      <c r="AE784" t="s">
        <v>3475</v>
      </c>
      <c r="AF784" s="2">
        <v>2049.0981999999999</v>
      </c>
      <c r="AG784" s="2">
        <v>1105.81</v>
      </c>
      <c r="AH784" s="2">
        <v>943.28819999999996</v>
      </c>
      <c r="AI784" s="3">
        <v>0.46034309141455498</v>
      </c>
    </row>
    <row r="785" spans="1:35">
      <c r="A785" s="1">
        <v>42369</v>
      </c>
      <c r="B785" s="1">
        <v>37604</v>
      </c>
      <c r="C785" t="s">
        <v>6217</v>
      </c>
      <c r="D785">
        <v>360</v>
      </c>
      <c r="E785">
        <v>13128</v>
      </c>
      <c r="F785">
        <v>9</v>
      </c>
      <c r="G785">
        <v>1</v>
      </c>
      <c r="H785">
        <v>1</v>
      </c>
      <c r="I785">
        <v>1</v>
      </c>
      <c r="J785" t="s">
        <v>3543</v>
      </c>
      <c r="K785" t="s">
        <v>3544</v>
      </c>
      <c r="L785" s="2">
        <v>1105.81</v>
      </c>
      <c r="M785" s="2">
        <v>2049.0981999999999</v>
      </c>
      <c r="N785" t="s">
        <v>26</v>
      </c>
      <c r="O785" t="s">
        <v>564</v>
      </c>
      <c r="P785" t="s">
        <v>1427</v>
      </c>
      <c r="Q785" t="s">
        <v>7114</v>
      </c>
      <c r="R785" s="1">
        <v>23490</v>
      </c>
      <c r="S785" t="s">
        <v>22</v>
      </c>
      <c r="T785" t="s">
        <v>29</v>
      </c>
      <c r="U785" t="s">
        <v>1428</v>
      </c>
      <c r="V785">
        <v>70000</v>
      </c>
      <c r="W785">
        <v>0</v>
      </c>
      <c r="X785" t="s">
        <v>17</v>
      </c>
      <c r="Y785" t="s">
        <v>18</v>
      </c>
      <c r="Z785" t="s">
        <v>23</v>
      </c>
      <c r="AA785" t="s">
        <v>3586</v>
      </c>
      <c r="AB785" t="s">
        <v>3586</v>
      </c>
      <c r="AC785" t="s">
        <v>3587</v>
      </c>
      <c r="AD785" t="s">
        <v>3478</v>
      </c>
      <c r="AE785" t="s">
        <v>3475</v>
      </c>
      <c r="AF785" s="2">
        <v>2049.0981999999999</v>
      </c>
      <c r="AG785" s="2">
        <v>1105.81</v>
      </c>
      <c r="AH785" s="2">
        <v>943.28819999999996</v>
      </c>
      <c r="AI785" s="3">
        <v>0.46034309141455498</v>
      </c>
    </row>
    <row r="786" spans="1:35">
      <c r="A786" s="1">
        <v>42358</v>
      </c>
      <c r="B786" s="1">
        <v>37577</v>
      </c>
      <c r="C786" t="s">
        <v>6117</v>
      </c>
      <c r="D786">
        <v>360</v>
      </c>
      <c r="E786">
        <v>13129</v>
      </c>
      <c r="F786">
        <v>9</v>
      </c>
      <c r="G786">
        <v>1</v>
      </c>
      <c r="H786">
        <v>1</v>
      </c>
      <c r="I786">
        <v>1</v>
      </c>
      <c r="J786" t="s">
        <v>3543</v>
      </c>
      <c r="K786" t="s">
        <v>3544</v>
      </c>
      <c r="L786" s="2">
        <v>1105.81</v>
      </c>
      <c r="M786" s="2">
        <v>2049.0981999999999</v>
      </c>
      <c r="N786" t="s">
        <v>26</v>
      </c>
      <c r="O786" t="s">
        <v>1221</v>
      </c>
      <c r="P786" t="s">
        <v>89</v>
      </c>
      <c r="Q786" t="s">
        <v>7115</v>
      </c>
      <c r="R786" s="1">
        <v>23529</v>
      </c>
      <c r="S786" t="s">
        <v>22</v>
      </c>
      <c r="T786" t="s">
        <v>29</v>
      </c>
      <c r="U786" t="s">
        <v>1429</v>
      </c>
      <c r="V786">
        <v>70000</v>
      </c>
      <c r="W786">
        <v>0</v>
      </c>
      <c r="X786" t="s">
        <v>17</v>
      </c>
      <c r="Y786" t="s">
        <v>18</v>
      </c>
      <c r="Z786" t="s">
        <v>19</v>
      </c>
      <c r="AA786" t="s">
        <v>3586</v>
      </c>
      <c r="AB786" t="s">
        <v>3586</v>
      </c>
      <c r="AC786" t="s">
        <v>3587</v>
      </c>
      <c r="AD786" t="s">
        <v>3478</v>
      </c>
      <c r="AE786" t="s">
        <v>3475</v>
      </c>
      <c r="AF786" s="2">
        <v>2049.0981999999999</v>
      </c>
      <c r="AG786" s="2">
        <v>1105.81</v>
      </c>
      <c r="AH786" s="2">
        <v>943.28819999999996</v>
      </c>
      <c r="AI786" s="3">
        <v>0.46034309141455498</v>
      </c>
    </row>
    <row r="787" spans="1:35">
      <c r="A787" s="1">
        <v>42365</v>
      </c>
      <c r="B787" s="1">
        <v>37583</v>
      </c>
      <c r="C787" t="s">
        <v>6179</v>
      </c>
      <c r="D787">
        <v>360</v>
      </c>
      <c r="E787">
        <v>13130</v>
      </c>
      <c r="F787">
        <v>9</v>
      </c>
      <c r="G787">
        <v>1</v>
      </c>
      <c r="H787">
        <v>1</v>
      </c>
      <c r="I787">
        <v>1</v>
      </c>
      <c r="J787" t="s">
        <v>3543</v>
      </c>
      <c r="K787" t="s">
        <v>3544</v>
      </c>
      <c r="L787" s="2">
        <v>1105.81</v>
      </c>
      <c r="M787" s="2">
        <v>2049.0981999999999</v>
      </c>
      <c r="N787" t="s">
        <v>13</v>
      </c>
      <c r="O787" t="s">
        <v>186</v>
      </c>
      <c r="P787" t="s">
        <v>328</v>
      </c>
      <c r="Q787" t="s">
        <v>7116</v>
      </c>
      <c r="R787" s="1">
        <v>21849</v>
      </c>
      <c r="S787" t="s">
        <v>16</v>
      </c>
      <c r="T787" t="s">
        <v>16</v>
      </c>
      <c r="U787" t="s">
        <v>1430</v>
      </c>
      <c r="V787">
        <v>90000</v>
      </c>
      <c r="W787">
        <v>1</v>
      </c>
      <c r="X787" t="s">
        <v>17</v>
      </c>
      <c r="Y787" t="s">
        <v>18</v>
      </c>
      <c r="Z787" t="s">
        <v>19</v>
      </c>
      <c r="AA787" t="s">
        <v>3586</v>
      </c>
      <c r="AB787" t="s">
        <v>3586</v>
      </c>
      <c r="AC787" t="s">
        <v>3587</v>
      </c>
      <c r="AD787" t="s">
        <v>3478</v>
      </c>
      <c r="AE787" t="s">
        <v>3475</v>
      </c>
      <c r="AF787" s="2">
        <v>2049.0981999999999</v>
      </c>
      <c r="AG787" s="2">
        <v>1105.81</v>
      </c>
      <c r="AH787" s="2">
        <v>943.28819999999996</v>
      </c>
      <c r="AI787" s="3">
        <v>0.46034309141455498</v>
      </c>
    </row>
    <row r="788" spans="1:35">
      <c r="A788" s="1">
        <v>42363</v>
      </c>
      <c r="B788" s="1">
        <v>37538</v>
      </c>
      <c r="C788" t="s">
        <v>6161</v>
      </c>
      <c r="D788">
        <v>360</v>
      </c>
      <c r="E788">
        <v>13131</v>
      </c>
      <c r="F788">
        <v>9</v>
      </c>
      <c r="G788">
        <v>1</v>
      </c>
      <c r="H788">
        <v>1</v>
      </c>
      <c r="I788">
        <v>1</v>
      </c>
      <c r="J788" t="s">
        <v>3543</v>
      </c>
      <c r="K788" t="s">
        <v>3544</v>
      </c>
      <c r="L788" s="2">
        <v>1105.81</v>
      </c>
      <c r="M788" s="2">
        <v>2049.0981999999999</v>
      </c>
      <c r="N788" t="s">
        <v>30</v>
      </c>
      <c r="O788" t="s">
        <v>633</v>
      </c>
      <c r="P788" t="s">
        <v>136</v>
      </c>
      <c r="Q788" t="s">
        <v>7117</v>
      </c>
      <c r="R788" s="1">
        <v>21794</v>
      </c>
      <c r="S788" t="s">
        <v>16</v>
      </c>
      <c r="T788" t="s">
        <v>29</v>
      </c>
      <c r="U788" t="s">
        <v>1431</v>
      </c>
      <c r="V788">
        <v>90000</v>
      </c>
      <c r="W788">
        <v>1</v>
      </c>
      <c r="X788" t="s">
        <v>17</v>
      </c>
      <c r="Y788" t="s">
        <v>18</v>
      </c>
      <c r="Z788" t="s">
        <v>19</v>
      </c>
      <c r="AA788" t="s">
        <v>3586</v>
      </c>
      <c r="AB788" t="s">
        <v>3586</v>
      </c>
      <c r="AC788" t="s">
        <v>3587</v>
      </c>
      <c r="AD788" t="s">
        <v>3478</v>
      </c>
      <c r="AE788" t="s">
        <v>3475</v>
      </c>
      <c r="AF788" s="2">
        <v>2049.0981999999999</v>
      </c>
      <c r="AG788" s="2">
        <v>1105.81</v>
      </c>
      <c r="AH788" s="2">
        <v>943.28819999999996</v>
      </c>
      <c r="AI788" s="3">
        <v>0.46034309141455498</v>
      </c>
    </row>
    <row r="789" spans="1:35">
      <c r="A789" s="1">
        <v>42348</v>
      </c>
      <c r="B789" s="1">
        <v>37498</v>
      </c>
      <c r="C789" t="s">
        <v>5991</v>
      </c>
      <c r="D789">
        <v>358</v>
      </c>
      <c r="E789">
        <v>13132</v>
      </c>
      <c r="F789">
        <v>9</v>
      </c>
      <c r="G789">
        <v>1</v>
      </c>
      <c r="H789">
        <v>1</v>
      </c>
      <c r="I789">
        <v>1</v>
      </c>
      <c r="J789" t="s">
        <v>3541</v>
      </c>
      <c r="K789" t="s">
        <v>3542</v>
      </c>
      <c r="L789" s="2">
        <v>1105.81</v>
      </c>
      <c r="M789" s="2">
        <v>2049.0981999999999</v>
      </c>
      <c r="N789" t="s">
        <v>13</v>
      </c>
      <c r="O789" t="s">
        <v>158</v>
      </c>
      <c r="P789" t="s">
        <v>232</v>
      </c>
      <c r="Q789" t="s">
        <v>7118</v>
      </c>
      <c r="R789" s="1">
        <v>21602</v>
      </c>
      <c r="S789" t="s">
        <v>22</v>
      </c>
      <c r="T789" t="s">
        <v>16</v>
      </c>
      <c r="U789" t="s">
        <v>1432</v>
      </c>
      <c r="V789">
        <v>90000</v>
      </c>
      <c r="W789">
        <v>1</v>
      </c>
      <c r="X789" t="s">
        <v>17</v>
      </c>
      <c r="Y789" t="s">
        <v>18</v>
      </c>
      <c r="Z789" t="s">
        <v>19</v>
      </c>
      <c r="AA789" t="s">
        <v>3586</v>
      </c>
      <c r="AB789" t="s">
        <v>3586</v>
      </c>
      <c r="AC789" t="s">
        <v>3587</v>
      </c>
      <c r="AD789" t="s">
        <v>3478</v>
      </c>
      <c r="AE789" t="s">
        <v>3475</v>
      </c>
      <c r="AF789" s="2">
        <v>2049.0981999999999</v>
      </c>
      <c r="AG789" s="2">
        <v>1105.81</v>
      </c>
      <c r="AH789" s="2">
        <v>943.28819999999996</v>
      </c>
      <c r="AI789" s="3">
        <v>0.46034309141455498</v>
      </c>
    </row>
    <row r="790" spans="1:35">
      <c r="A790" s="1">
        <v>42354</v>
      </c>
      <c r="B790" s="1">
        <v>37555</v>
      </c>
      <c r="C790" t="s">
        <v>6066</v>
      </c>
      <c r="D790">
        <v>362</v>
      </c>
      <c r="E790">
        <v>13133</v>
      </c>
      <c r="F790">
        <v>9</v>
      </c>
      <c r="G790">
        <v>1</v>
      </c>
      <c r="H790">
        <v>1</v>
      </c>
      <c r="I790">
        <v>1</v>
      </c>
      <c r="J790" t="s">
        <v>3545</v>
      </c>
      <c r="K790" t="s">
        <v>3546</v>
      </c>
      <c r="L790" s="2">
        <v>1105.81</v>
      </c>
      <c r="M790" s="2">
        <v>2049.0981999999999</v>
      </c>
      <c r="N790" t="s">
        <v>13</v>
      </c>
      <c r="O790" t="s">
        <v>1320</v>
      </c>
      <c r="P790" t="s">
        <v>1433</v>
      </c>
      <c r="Q790" t="s">
        <v>7119</v>
      </c>
      <c r="R790" s="1">
        <v>21781</v>
      </c>
      <c r="S790" t="s">
        <v>22</v>
      </c>
      <c r="T790" t="s">
        <v>16</v>
      </c>
      <c r="U790" t="s">
        <v>1434</v>
      </c>
      <c r="V790">
        <v>100000</v>
      </c>
      <c r="W790">
        <v>5</v>
      </c>
      <c r="X790" t="s">
        <v>17</v>
      </c>
      <c r="Y790" t="s">
        <v>18</v>
      </c>
      <c r="Z790" t="s">
        <v>19</v>
      </c>
      <c r="AA790" t="s">
        <v>3586</v>
      </c>
      <c r="AB790" t="s">
        <v>3586</v>
      </c>
      <c r="AC790" t="s">
        <v>3587</v>
      </c>
      <c r="AD790" t="s">
        <v>3478</v>
      </c>
      <c r="AE790" t="s">
        <v>3475</v>
      </c>
      <c r="AF790" s="2">
        <v>2049.0981999999999</v>
      </c>
      <c r="AG790" s="2">
        <v>1105.81</v>
      </c>
      <c r="AH790" s="2">
        <v>943.28819999999996</v>
      </c>
      <c r="AI790" s="3">
        <v>0.46034309141455498</v>
      </c>
    </row>
    <row r="791" spans="1:35">
      <c r="A791" s="1">
        <v>42357</v>
      </c>
      <c r="B791" s="1">
        <v>37555</v>
      </c>
      <c r="C791" t="s">
        <v>6107</v>
      </c>
      <c r="D791">
        <v>358</v>
      </c>
      <c r="E791">
        <v>13134</v>
      </c>
      <c r="F791">
        <v>9</v>
      </c>
      <c r="G791">
        <v>1</v>
      </c>
      <c r="H791">
        <v>1</v>
      </c>
      <c r="I791">
        <v>1</v>
      </c>
      <c r="J791" t="s">
        <v>3541</v>
      </c>
      <c r="K791" t="s">
        <v>3542</v>
      </c>
      <c r="L791" s="2">
        <v>1105.81</v>
      </c>
      <c r="M791" s="2">
        <v>2049.0981999999999</v>
      </c>
      <c r="N791" t="s">
        <v>30</v>
      </c>
      <c r="O791" t="s">
        <v>207</v>
      </c>
      <c r="P791" t="s">
        <v>252</v>
      </c>
      <c r="Q791" t="s">
        <v>7120</v>
      </c>
      <c r="R791" s="1">
        <v>12540</v>
      </c>
      <c r="S791" t="s">
        <v>22</v>
      </c>
      <c r="T791" t="s">
        <v>29</v>
      </c>
      <c r="U791" t="s">
        <v>1435</v>
      </c>
      <c r="V791">
        <v>50000</v>
      </c>
      <c r="W791">
        <v>1</v>
      </c>
      <c r="X791" t="s">
        <v>135</v>
      </c>
      <c r="Y791" t="s">
        <v>45</v>
      </c>
      <c r="Z791" t="s">
        <v>19</v>
      </c>
      <c r="AA791" t="s">
        <v>3586</v>
      </c>
      <c r="AB791" t="s">
        <v>3586</v>
      </c>
      <c r="AC791" t="s">
        <v>3587</v>
      </c>
      <c r="AD791" t="s">
        <v>3478</v>
      </c>
      <c r="AE791" t="s">
        <v>3475</v>
      </c>
      <c r="AF791" s="2">
        <v>2049.0981999999999</v>
      </c>
      <c r="AG791" s="2">
        <v>1105.81</v>
      </c>
      <c r="AH791" s="2">
        <v>943.28819999999996</v>
      </c>
      <c r="AI791" s="3">
        <v>0.46034309141455498</v>
      </c>
    </row>
    <row r="792" spans="1:35">
      <c r="A792" s="1">
        <v>42348</v>
      </c>
      <c r="B792" s="1">
        <v>37527</v>
      </c>
      <c r="C792" t="s">
        <v>5994</v>
      </c>
      <c r="D792">
        <v>358</v>
      </c>
      <c r="E792">
        <v>13135</v>
      </c>
      <c r="F792">
        <v>9</v>
      </c>
      <c r="G792">
        <v>1</v>
      </c>
      <c r="H792">
        <v>1</v>
      </c>
      <c r="I792">
        <v>1</v>
      </c>
      <c r="J792" t="s">
        <v>3541</v>
      </c>
      <c r="K792" t="s">
        <v>3542</v>
      </c>
      <c r="L792" s="2">
        <v>1105.81</v>
      </c>
      <c r="M792" s="2">
        <v>2049.0981999999999</v>
      </c>
      <c r="N792" t="s">
        <v>13</v>
      </c>
      <c r="O792" t="s">
        <v>700</v>
      </c>
      <c r="P792" t="s">
        <v>59</v>
      </c>
      <c r="Q792" t="s">
        <v>7121</v>
      </c>
      <c r="R792" s="1">
        <v>21035</v>
      </c>
      <c r="S792" t="s">
        <v>22</v>
      </c>
      <c r="T792" t="s">
        <v>16</v>
      </c>
      <c r="U792" t="s">
        <v>1436</v>
      </c>
      <c r="V792">
        <v>80000</v>
      </c>
      <c r="W792">
        <v>1</v>
      </c>
      <c r="X792" t="s">
        <v>52</v>
      </c>
      <c r="Y792" t="s">
        <v>53</v>
      </c>
      <c r="Z792" t="s">
        <v>19</v>
      </c>
      <c r="AA792" t="s">
        <v>3586</v>
      </c>
      <c r="AB792" t="s">
        <v>3586</v>
      </c>
      <c r="AC792" t="s">
        <v>3587</v>
      </c>
      <c r="AD792" t="s">
        <v>3478</v>
      </c>
      <c r="AE792" t="s">
        <v>3475</v>
      </c>
      <c r="AF792" s="2">
        <v>2049.0981999999999</v>
      </c>
      <c r="AG792" s="2">
        <v>1105.81</v>
      </c>
      <c r="AH792" s="2">
        <v>943.28819999999996</v>
      </c>
      <c r="AI792" s="3">
        <v>0.46034309141455498</v>
      </c>
    </row>
    <row r="793" spans="1:35">
      <c r="A793" s="1">
        <v>42349</v>
      </c>
      <c r="B793" s="1">
        <v>37573</v>
      </c>
      <c r="C793" t="s">
        <v>6001</v>
      </c>
      <c r="D793">
        <v>354</v>
      </c>
      <c r="E793">
        <v>13139</v>
      </c>
      <c r="F793">
        <v>9</v>
      </c>
      <c r="G793">
        <v>1</v>
      </c>
      <c r="H793">
        <v>1</v>
      </c>
      <c r="I793">
        <v>1</v>
      </c>
      <c r="J793" t="s">
        <v>3537</v>
      </c>
      <c r="K793" t="s">
        <v>3538</v>
      </c>
      <c r="L793" s="2">
        <v>1117.8559</v>
      </c>
      <c r="M793" s="2">
        <v>2071.4196000000002</v>
      </c>
      <c r="N793" t="s">
        <v>30</v>
      </c>
      <c r="O793" t="s">
        <v>1184</v>
      </c>
      <c r="P793" t="s">
        <v>187</v>
      </c>
      <c r="Q793" t="s">
        <v>7122</v>
      </c>
      <c r="R793" s="1">
        <v>20494</v>
      </c>
      <c r="S793" t="s">
        <v>22</v>
      </c>
      <c r="T793" t="s">
        <v>29</v>
      </c>
      <c r="U793" t="s">
        <v>1437</v>
      </c>
      <c r="V793">
        <v>70000</v>
      </c>
      <c r="W793">
        <v>1</v>
      </c>
      <c r="X793" t="s">
        <v>52</v>
      </c>
      <c r="Y793" t="s">
        <v>53</v>
      </c>
      <c r="Z793" t="s">
        <v>23</v>
      </c>
      <c r="AA793" t="s">
        <v>3586</v>
      </c>
      <c r="AB793" t="s">
        <v>3586</v>
      </c>
      <c r="AC793" t="s">
        <v>3587</v>
      </c>
      <c r="AD793" t="s">
        <v>3478</v>
      </c>
      <c r="AE793" t="s">
        <v>3475</v>
      </c>
      <c r="AF793" s="2">
        <v>2071.4196000000002</v>
      </c>
      <c r="AG793" s="2">
        <v>1117.8559</v>
      </c>
      <c r="AH793" s="2">
        <v>953.56370000000004</v>
      </c>
      <c r="AI793" s="3">
        <v>0.460343090313522</v>
      </c>
    </row>
    <row r="794" spans="1:35">
      <c r="A794" s="1">
        <v>42307</v>
      </c>
      <c r="B794" s="1">
        <v>37454</v>
      </c>
      <c r="C794" t="s">
        <v>5697</v>
      </c>
      <c r="D794">
        <v>377</v>
      </c>
      <c r="E794">
        <v>13477</v>
      </c>
      <c r="F794">
        <v>4</v>
      </c>
      <c r="G794">
        <v>1</v>
      </c>
      <c r="H794">
        <v>1</v>
      </c>
      <c r="I794">
        <v>2</v>
      </c>
      <c r="J794" t="s">
        <v>3559</v>
      </c>
      <c r="K794" t="s">
        <v>3560</v>
      </c>
      <c r="L794" s="2">
        <v>1320.6838</v>
      </c>
      <c r="M794" s="2">
        <v>2181.5625</v>
      </c>
      <c r="N794" t="s">
        <v>30</v>
      </c>
      <c r="O794" t="s">
        <v>593</v>
      </c>
      <c r="P794" t="s">
        <v>283</v>
      </c>
      <c r="Q794" t="s">
        <v>7123</v>
      </c>
      <c r="R794" s="1">
        <v>19903</v>
      </c>
      <c r="S794" t="s">
        <v>16</v>
      </c>
      <c r="T794" t="s">
        <v>29</v>
      </c>
      <c r="U794" t="s">
        <v>1555</v>
      </c>
      <c r="V794">
        <v>70000</v>
      </c>
      <c r="W794">
        <v>3</v>
      </c>
      <c r="X794" t="s">
        <v>57</v>
      </c>
      <c r="Y794" t="s">
        <v>18</v>
      </c>
      <c r="Z794" t="s">
        <v>19</v>
      </c>
      <c r="AA794" t="s">
        <v>3580</v>
      </c>
      <c r="AB794" t="s">
        <v>3578</v>
      </c>
      <c r="AC794" t="s">
        <v>3579</v>
      </c>
      <c r="AD794" t="s">
        <v>3479</v>
      </c>
      <c r="AE794" t="s">
        <v>3475</v>
      </c>
      <c r="AF794" s="2">
        <v>2181.5625</v>
      </c>
      <c r="AG794" s="2">
        <v>1320.6838</v>
      </c>
      <c r="AH794" s="2">
        <v>860.87869999999998</v>
      </c>
      <c r="AI794" s="3">
        <v>0.39461564818793898</v>
      </c>
    </row>
    <row r="795" spans="1:35">
      <c r="A795" s="1">
        <v>42307</v>
      </c>
      <c r="B795" s="1">
        <v>37488</v>
      </c>
      <c r="C795" t="s">
        <v>5700</v>
      </c>
      <c r="D795">
        <v>369</v>
      </c>
      <c r="E795">
        <v>13450</v>
      </c>
      <c r="F795">
        <v>1</v>
      </c>
      <c r="G795">
        <v>1</v>
      </c>
      <c r="H795">
        <v>1</v>
      </c>
      <c r="I795">
        <v>2</v>
      </c>
      <c r="J795" t="s">
        <v>3549</v>
      </c>
      <c r="K795" t="s">
        <v>3550</v>
      </c>
      <c r="L795" s="2">
        <v>1518.7864</v>
      </c>
      <c r="M795" s="2">
        <v>2443.35</v>
      </c>
      <c r="N795" t="s">
        <v>30</v>
      </c>
      <c r="O795" t="s">
        <v>374</v>
      </c>
      <c r="P795" t="s">
        <v>343</v>
      </c>
      <c r="Q795" t="s">
        <v>7124</v>
      </c>
      <c r="R795" s="1">
        <v>22480</v>
      </c>
      <c r="S795" t="s">
        <v>22</v>
      </c>
      <c r="T795" t="s">
        <v>29</v>
      </c>
      <c r="U795" t="s">
        <v>1545</v>
      </c>
      <c r="V795">
        <v>90000</v>
      </c>
      <c r="W795">
        <v>4</v>
      </c>
      <c r="X795" t="s">
        <v>57</v>
      </c>
      <c r="Y795" t="s">
        <v>18</v>
      </c>
      <c r="Z795" t="s">
        <v>19</v>
      </c>
      <c r="AA795" t="s">
        <v>3577</v>
      </c>
      <c r="AB795" t="s">
        <v>3578</v>
      </c>
      <c r="AC795" t="s">
        <v>3579</v>
      </c>
      <c r="AD795" t="s">
        <v>3479</v>
      </c>
      <c r="AE795" t="s">
        <v>3475</v>
      </c>
      <c r="AF795" s="2">
        <v>2443.35</v>
      </c>
      <c r="AG795" s="2">
        <v>1518.7864</v>
      </c>
      <c r="AH795" s="2">
        <v>924.56359999999995</v>
      </c>
      <c r="AI795" s="3">
        <v>0.37839998362903399</v>
      </c>
    </row>
    <row r="796" spans="1:35">
      <c r="A796" s="1">
        <v>42309</v>
      </c>
      <c r="B796" s="1">
        <v>37533</v>
      </c>
      <c r="C796" t="s">
        <v>5710</v>
      </c>
      <c r="D796">
        <v>370</v>
      </c>
      <c r="E796">
        <v>13657</v>
      </c>
      <c r="F796">
        <v>1</v>
      </c>
      <c r="G796">
        <v>1</v>
      </c>
      <c r="H796">
        <v>1</v>
      </c>
      <c r="I796">
        <v>2</v>
      </c>
      <c r="J796" t="s">
        <v>3551</v>
      </c>
      <c r="K796" t="s">
        <v>3552</v>
      </c>
      <c r="L796" s="2">
        <v>1518.7864</v>
      </c>
      <c r="M796" s="2">
        <v>2443.35</v>
      </c>
      <c r="N796" t="s">
        <v>30</v>
      </c>
      <c r="O796" t="s">
        <v>702</v>
      </c>
      <c r="P796" t="s">
        <v>377</v>
      </c>
      <c r="Q796" t="s">
        <v>7125</v>
      </c>
      <c r="R796" s="1">
        <v>15050</v>
      </c>
      <c r="S796" t="s">
        <v>22</v>
      </c>
      <c r="T796" t="s">
        <v>29</v>
      </c>
      <c r="U796" t="s">
        <v>1593</v>
      </c>
      <c r="V796">
        <v>110000</v>
      </c>
      <c r="W796">
        <v>2</v>
      </c>
      <c r="X796" t="s">
        <v>135</v>
      </c>
      <c r="Y796" t="s">
        <v>45</v>
      </c>
      <c r="Z796" t="s">
        <v>19</v>
      </c>
      <c r="AA796" t="s">
        <v>3577</v>
      </c>
      <c r="AB796" t="s">
        <v>3578</v>
      </c>
      <c r="AC796" t="s">
        <v>3579</v>
      </c>
      <c r="AD796" t="s">
        <v>3479</v>
      </c>
      <c r="AE796" t="s">
        <v>3475</v>
      </c>
      <c r="AF796" s="2">
        <v>2443.35</v>
      </c>
      <c r="AG796" s="2">
        <v>1518.7864</v>
      </c>
      <c r="AH796" s="2">
        <v>924.56359999999995</v>
      </c>
      <c r="AI796" s="3">
        <v>0.37839998362903399</v>
      </c>
    </row>
    <row r="797" spans="1:35">
      <c r="A797" s="1">
        <v>42358</v>
      </c>
      <c r="B797" s="1">
        <v>37574</v>
      </c>
      <c r="C797" t="s">
        <v>6110</v>
      </c>
      <c r="D797">
        <v>356</v>
      </c>
      <c r="E797">
        <v>13156</v>
      </c>
      <c r="F797">
        <v>9</v>
      </c>
      <c r="G797">
        <v>1</v>
      </c>
      <c r="H797">
        <v>1</v>
      </c>
      <c r="I797">
        <v>1</v>
      </c>
      <c r="J797" t="s">
        <v>3539</v>
      </c>
      <c r="K797" t="s">
        <v>3540</v>
      </c>
      <c r="L797" s="2">
        <v>1117.8559</v>
      </c>
      <c r="M797" s="2">
        <v>2071.4196000000002</v>
      </c>
      <c r="N797" t="s">
        <v>13</v>
      </c>
      <c r="O797" t="s">
        <v>1021</v>
      </c>
      <c r="P797" t="s">
        <v>62</v>
      </c>
      <c r="Q797" t="s">
        <v>7126</v>
      </c>
      <c r="R797" s="1">
        <v>14798</v>
      </c>
      <c r="S797" t="s">
        <v>16</v>
      </c>
      <c r="T797" t="s">
        <v>16</v>
      </c>
      <c r="U797" t="s">
        <v>1440</v>
      </c>
      <c r="V797">
        <v>30000</v>
      </c>
      <c r="W797">
        <v>2</v>
      </c>
      <c r="X797" t="s">
        <v>52</v>
      </c>
      <c r="Y797" t="s">
        <v>60</v>
      </c>
      <c r="Z797" t="s">
        <v>23</v>
      </c>
      <c r="AA797" t="s">
        <v>3586</v>
      </c>
      <c r="AB797" t="s">
        <v>3586</v>
      </c>
      <c r="AC797" t="s">
        <v>3587</v>
      </c>
      <c r="AD797" t="s">
        <v>3478</v>
      </c>
      <c r="AE797" t="s">
        <v>3475</v>
      </c>
      <c r="AF797" s="2">
        <v>2071.4196000000002</v>
      </c>
      <c r="AG797" s="2">
        <v>1117.8559</v>
      </c>
      <c r="AH797" s="2">
        <v>953.56370000000004</v>
      </c>
      <c r="AI797" s="3">
        <v>0.460343090313522</v>
      </c>
    </row>
    <row r="798" spans="1:35">
      <c r="A798" s="1">
        <v>42364</v>
      </c>
      <c r="B798" s="1">
        <v>37496</v>
      </c>
      <c r="C798" t="s">
        <v>6176</v>
      </c>
      <c r="D798">
        <v>352</v>
      </c>
      <c r="E798">
        <v>13160</v>
      </c>
      <c r="F798">
        <v>9</v>
      </c>
      <c r="G798">
        <v>1</v>
      </c>
      <c r="H798">
        <v>1</v>
      </c>
      <c r="I798">
        <v>1</v>
      </c>
      <c r="J798" t="s">
        <v>3535</v>
      </c>
      <c r="K798" t="s">
        <v>3536</v>
      </c>
      <c r="L798" s="2">
        <v>1117.8559</v>
      </c>
      <c r="M798" s="2">
        <v>2071.4196000000002</v>
      </c>
      <c r="N798" t="s">
        <v>13</v>
      </c>
      <c r="O798" t="s">
        <v>154</v>
      </c>
      <c r="P798" t="s">
        <v>474</v>
      </c>
      <c r="Q798" t="s">
        <v>7127</v>
      </c>
      <c r="R798" s="1">
        <v>15744</v>
      </c>
      <c r="S798" t="s">
        <v>16</v>
      </c>
      <c r="T798" t="s">
        <v>16</v>
      </c>
      <c r="U798" t="s">
        <v>1441</v>
      </c>
      <c r="V798">
        <v>70000</v>
      </c>
      <c r="W798">
        <v>2</v>
      </c>
      <c r="X798" t="s">
        <v>135</v>
      </c>
      <c r="Y798" t="s">
        <v>45</v>
      </c>
      <c r="Z798" t="s">
        <v>19</v>
      </c>
      <c r="AA798" t="s">
        <v>3586</v>
      </c>
      <c r="AB798" t="s">
        <v>3586</v>
      </c>
      <c r="AC798" t="s">
        <v>3587</v>
      </c>
      <c r="AD798" t="s">
        <v>3478</v>
      </c>
      <c r="AE798" t="s">
        <v>3475</v>
      </c>
      <c r="AF798" s="2">
        <v>2071.4196000000002</v>
      </c>
      <c r="AG798" s="2">
        <v>1117.8559</v>
      </c>
      <c r="AH798" s="2">
        <v>953.56370000000004</v>
      </c>
      <c r="AI798" s="3">
        <v>0.460343090313522</v>
      </c>
    </row>
    <row r="799" spans="1:35">
      <c r="A799" s="1">
        <v>42312</v>
      </c>
      <c r="B799" s="1">
        <v>37460</v>
      </c>
      <c r="C799" t="s">
        <v>5723</v>
      </c>
      <c r="D799">
        <v>369</v>
      </c>
      <c r="E799">
        <v>13489</v>
      </c>
      <c r="F799">
        <v>1</v>
      </c>
      <c r="G799">
        <v>1</v>
      </c>
      <c r="H799">
        <v>1</v>
      </c>
      <c r="I799">
        <v>2</v>
      </c>
      <c r="J799" t="s">
        <v>3549</v>
      </c>
      <c r="K799" t="s">
        <v>3550</v>
      </c>
      <c r="L799" s="2">
        <v>1518.7864</v>
      </c>
      <c r="M799" s="2">
        <v>2443.35</v>
      </c>
      <c r="N799" t="s">
        <v>30</v>
      </c>
      <c r="O799" t="s">
        <v>98</v>
      </c>
      <c r="P799" t="s">
        <v>44</v>
      </c>
      <c r="Q799" t="s">
        <v>7128</v>
      </c>
      <c r="R799" s="1">
        <v>14471</v>
      </c>
      <c r="S799" t="s">
        <v>16</v>
      </c>
      <c r="T799" t="s">
        <v>29</v>
      </c>
      <c r="U799" t="s">
        <v>1560</v>
      </c>
      <c r="V799">
        <v>90000</v>
      </c>
      <c r="W799">
        <v>5</v>
      </c>
      <c r="X799" t="s">
        <v>17</v>
      </c>
      <c r="Y799" t="s">
        <v>45</v>
      </c>
      <c r="Z799" t="s">
        <v>19</v>
      </c>
      <c r="AA799" t="s">
        <v>3577</v>
      </c>
      <c r="AB799" t="s">
        <v>3578</v>
      </c>
      <c r="AC799" t="s">
        <v>3579</v>
      </c>
      <c r="AD799" t="s">
        <v>3479</v>
      </c>
      <c r="AE799" t="s">
        <v>3475</v>
      </c>
      <c r="AF799" s="2">
        <v>2443.35</v>
      </c>
      <c r="AG799" s="2">
        <v>1518.7864</v>
      </c>
      <c r="AH799" s="2">
        <v>924.56359999999995</v>
      </c>
      <c r="AI799" s="3">
        <v>0.37839998362903399</v>
      </c>
    </row>
    <row r="800" spans="1:35">
      <c r="A800" s="1">
        <v>42321</v>
      </c>
      <c r="B800" s="1">
        <v>37481</v>
      </c>
      <c r="C800" t="s">
        <v>5780</v>
      </c>
      <c r="D800">
        <v>368</v>
      </c>
      <c r="E800">
        <v>13484</v>
      </c>
      <c r="F800">
        <v>4</v>
      </c>
      <c r="G800">
        <v>1</v>
      </c>
      <c r="H800">
        <v>1</v>
      </c>
      <c r="I800">
        <v>2</v>
      </c>
      <c r="J800" t="s">
        <v>3547</v>
      </c>
      <c r="K800" t="s">
        <v>3548</v>
      </c>
      <c r="L800" s="2">
        <v>1518.7864</v>
      </c>
      <c r="M800" s="2">
        <v>2443.35</v>
      </c>
      <c r="N800" t="s">
        <v>13</v>
      </c>
      <c r="O800" t="s">
        <v>249</v>
      </c>
      <c r="P800" t="s">
        <v>290</v>
      </c>
      <c r="Q800" t="s">
        <v>7129</v>
      </c>
      <c r="R800" s="1">
        <v>13674</v>
      </c>
      <c r="S800" t="s">
        <v>22</v>
      </c>
      <c r="T800" t="s">
        <v>16</v>
      </c>
      <c r="U800" t="s">
        <v>1558</v>
      </c>
      <c r="V800">
        <v>110000</v>
      </c>
      <c r="W800">
        <v>2</v>
      </c>
      <c r="X800" t="s">
        <v>135</v>
      </c>
      <c r="Y800" t="s">
        <v>45</v>
      </c>
      <c r="Z800" t="s">
        <v>19</v>
      </c>
      <c r="AA800" t="s">
        <v>3580</v>
      </c>
      <c r="AB800" t="s">
        <v>3578</v>
      </c>
      <c r="AC800" t="s">
        <v>3579</v>
      </c>
      <c r="AD800" t="s">
        <v>3479</v>
      </c>
      <c r="AE800" t="s">
        <v>3475</v>
      </c>
      <c r="AF800" s="2">
        <v>2443.35</v>
      </c>
      <c r="AG800" s="2">
        <v>1518.7864</v>
      </c>
      <c r="AH800" s="2">
        <v>924.56359999999995</v>
      </c>
      <c r="AI800" s="3">
        <v>0.37839998362903399</v>
      </c>
    </row>
    <row r="801" spans="1:35">
      <c r="A801" s="1">
        <v>42322</v>
      </c>
      <c r="B801" s="1">
        <v>37463</v>
      </c>
      <c r="C801" t="s">
        <v>5784</v>
      </c>
      <c r="D801">
        <v>377</v>
      </c>
      <c r="E801">
        <v>13653</v>
      </c>
      <c r="F801">
        <v>1</v>
      </c>
      <c r="G801">
        <v>1</v>
      </c>
      <c r="H801">
        <v>1</v>
      </c>
      <c r="I801">
        <v>2</v>
      </c>
      <c r="J801" t="s">
        <v>3559</v>
      </c>
      <c r="K801" t="s">
        <v>3560</v>
      </c>
      <c r="L801" s="2">
        <v>1320.6838</v>
      </c>
      <c r="M801" s="2">
        <v>2181.5625</v>
      </c>
      <c r="N801" t="s">
        <v>13</v>
      </c>
      <c r="O801" t="s">
        <v>1591</v>
      </c>
      <c r="P801" t="s">
        <v>171</v>
      </c>
      <c r="Q801" t="s">
        <v>7130</v>
      </c>
      <c r="R801" s="1">
        <v>15060</v>
      </c>
      <c r="S801" t="s">
        <v>16</v>
      </c>
      <c r="T801" t="s">
        <v>16</v>
      </c>
      <c r="U801" t="s">
        <v>1592</v>
      </c>
      <c r="V801">
        <v>90000</v>
      </c>
      <c r="W801">
        <v>5</v>
      </c>
      <c r="X801" t="s">
        <v>17</v>
      </c>
      <c r="Y801" t="s">
        <v>45</v>
      </c>
      <c r="Z801" t="s">
        <v>19</v>
      </c>
      <c r="AA801" t="s">
        <v>3577</v>
      </c>
      <c r="AB801" t="s">
        <v>3578</v>
      </c>
      <c r="AC801" t="s">
        <v>3579</v>
      </c>
      <c r="AD801" t="s">
        <v>3479</v>
      </c>
      <c r="AE801" t="s">
        <v>3475</v>
      </c>
      <c r="AF801" s="2">
        <v>2181.5625</v>
      </c>
      <c r="AG801" s="2">
        <v>1320.6838</v>
      </c>
      <c r="AH801" s="2">
        <v>860.87869999999998</v>
      </c>
      <c r="AI801" s="3">
        <v>0.39461564818793898</v>
      </c>
    </row>
    <row r="802" spans="1:35">
      <c r="A802" s="1">
        <v>42322</v>
      </c>
      <c r="B802" s="1">
        <v>37549</v>
      </c>
      <c r="C802" t="s">
        <v>5786</v>
      </c>
      <c r="D802">
        <v>369</v>
      </c>
      <c r="E802">
        <v>13658</v>
      </c>
      <c r="F802">
        <v>1</v>
      </c>
      <c r="G802">
        <v>1</v>
      </c>
      <c r="H802">
        <v>1</v>
      </c>
      <c r="I802">
        <v>2</v>
      </c>
      <c r="J802" t="s">
        <v>3549</v>
      </c>
      <c r="K802" t="s">
        <v>3550</v>
      </c>
      <c r="L802" s="2">
        <v>1518.7864</v>
      </c>
      <c r="M802" s="2">
        <v>2443.35</v>
      </c>
      <c r="N802" t="s">
        <v>13</v>
      </c>
      <c r="O802" t="s">
        <v>54</v>
      </c>
      <c r="P802" t="s">
        <v>49</v>
      </c>
      <c r="Q802" t="s">
        <v>7131</v>
      </c>
      <c r="R802" s="1">
        <v>15048</v>
      </c>
      <c r="S802" t="s">
        <v>16</v>
      </c>
      <c r="T802" t="s">
        <v>16</v>
      </c>
      <c r="U802" t="s">
        <v>1594</v>
      </c>
      <c r="V802">
        <v>130000</v>
      </c>
      <c r="W802">
        <v>2</v>
      </c>
      <c r="X802" t="s">
        <v>17</v>
      </c>
      <c r="Y802" t="s">
        <v>45</v>
      </c>
      <c r="Z802" t="s">
        <v>19</v>
      </c>
      <c r="AA802" t="s">
        <v>3577</v>
      </c>
      <c r="AB802" t="s">
        <v>3578</v>
      </c>
      <c r="AC802" t="s">
        <v>3579</v>
      </c>
      <c r="AD802" t="s">
        <v>3479</v>
      </c>
      <c r="AE802" t="s">
        <v>3475</v>
      </c>
      <c r="AF802" s="2">
        <v>2443.35</v>
      </c>
      <c r="AG802" s="2">
        <v>1518.7864</v>
      </c>
      <c r="AH802" s="2">
        <v>924.56359999999995</v>
      </c>
      <c r="AI802" s="3">
        <v>0.37839998362903399</v>
      </c>
    </row>
    <row r="803" spans="1:35">
      <c r="A803" s="1">
        <v>42338</v>
      </c>
      <c r="B803" s="1">
        <v>37571</v>
      </c>
      <c r="C803" t="s">
        <v>5891</v>
      </c>
      <c r="D803">
        <v>371</v>
      </c>
      <c r="E803">
        <v>13492</v>
      </c>
      <c r="F803">
        <v>4</v>
      </c>
      <c r="G803">
        <v>1</v>
      </c>
      <c r="H803">
        <v>1</v>
      </c>
      <c r="I803">
        <v>2</v>
      </c>
      <c r="J803" t="s">
        <v>3553</v>
      </c>
      <c r="K803" t="s">
        <v>3554</v>
      </c>
      <c r="L803" s="2">
        <v>1320.6838</v>
      </c>
      <c r="M803" s="2">
        <v>2181.5625</v>
      </c>
      <c r="N803" t="s">
        <v>13</v>
      </c>
      <c r="O803" t="s">
        <v>396</v>
      </c>
      <c r="P803" t="s">
        <v>321</v>
      </c>
      <c r="Q803" t="s">
        <v>7132</v>
      </c>
      <c r="R803" s="1">
        <v>14674</v>
      </c>
      <c r="S803" t="s">
        <v>16</v>
      </c>
      <c r="T803" t="s">
        <v>16</v>
      </c>
      <c r="U803" t="s">
        <v>1561</v>
      </c>
      <c r="V803">
        <v>130000</v>
      </c>
      <c r="W803">
        <v>2</v>
      </c>
      <c r="X803" t="s">
        <v>17</v>
      </c>
      <c r="Y803" t="s">
        <v>45</v>
      </c>
      <c r="Z803" t="s">
        <v>19</v>
      </c>
      <c r="AA803" t="s">
        <v>3580</v>
      </c>
      <c r="AB803" t="s">
        <v>3578</v>
      </c>
      <c r="AC803" t="s">
        <v>3579</v>
      </c>
      <c r="AD803" t="s">
        <v>3479</v>
      </c>
      <c r="AE803" t="s">
        <v>3475</v>
      </c>
      <c r="AF803" s="2">
        <v>2181.5625</v>
      </c>
      <c r="AG803" s="2">
        <v>1320.6838</v>
      </c>
      <c r="AH803" s="2">
        <v>860.87869999999998</v>
      </c>
      <c r="AI803" s="3">
        <v>0.39461564818793898</v>
      </c>
    </row>
    <row r="804" spans="1:35">
      <c r="A804" s="1">
        <v>42338</v>
      </c>
      <c r="B804" s="1">
        <v>37513</v>
      </c>
      <c r="C804" t="s">
        <v>5893</v>
      </c>
      <c r="D804">
        <v>377</v>
      </c>
      <c r="E804">
        <v>13487</v>
      </c>
      <c r="F804">
        <v>4</v>
      </c>
      <c r="G804">
        <v>1</v>
      </c>
      <c r="H804">
        <v>1</v>
      </c>
      <c r="I804">
        <v>2</v>
      </c>
      <c r="J804" t="s">
        <v>3559</v>
      </c>
      <c r="K804" t="s">
        <v>3560</v>
      </c>
      <c r="L804" s="2">
        <v>1320.6838</v>
      </c>
      <c r="M804" s="2">
        <v>2181.5625</v>
      </c>
      <c r="N804" t="s">
        <v>30</v>
      </c>
      <c r="O804" t="s">
        <v>178</v>
      </c>
      <c r="P804" t="s">
        <v>103</v>
      </c>
      <c r="Q804" t="s">
        <v>7133</v>
      </c>
      <c r="R804" s="1">
        <v>13736</v>
      </c>
      <c r="S804" t="s">
        <v>16</v>
      </c>
      <c r="T804" t="s">
        <v>29</v>
      </c>
      <c r="U804" t="s">
        <v>1559</v>
      </c>
      <c r="V804">
        <v>150000</v>
      </c>
      <c r="W804">
        <v>1</v>
      </c>
      <c r="X804" t="s">
        <v>135</v>
      </c>
      <c r="Y804" t="s">
        <v>45</v>
      </c>
      <c r="Z804" t="s">
        <v>19</v>
      </c>
      <c r="AA804" t="s">
        <v>3580</v>
      </c>
      <c r="AB804" t="s">
        <v>3578</v>
      </c>
      <c r="AC804" t="s">
        <v>3579</v>
      </c>
      <c r="AD804" t="s">
        <v>3479</v>
      </c>
      <c r="AE804" t="s">
        <v>3475</v>
      </c>
      <c r="AF804" s="2">
        <v>2181.5625</v>
      </c>
      <c r="AG804" s="2">
        <v>1320.6838</v>
      </c>
      <c r="AH804" s="2">
        <v>860.87869999999998</v>
      </c>
      <c r="AI804" s="3">
        <v>0.39461564818793898</v>
      </c>
    </row>
    <row r="805" spans="1:35">
      <c r="A805" s="1">
        <v>42346</v>
      </c>
      <c r="B805" s="1">
        <v>37562</v>
      </c>
      <c r="C805" t="s">
        <v>5973</v>
      </c>
      <c r="D805">
        <v>352</v>
      </c>
      <c r="E805">
        <v>13525</v>
      </c>
      <c r="F805">
        <v>9</v>
      </c>
      <c r="G805">
        <v>1</v>
      </c>
      <c r="H805">
        <v>1</v>
      </c>
      <c r="I805">
        <v>1</v>
      </c>
      <c r="J805" t="s">
        <v>3535</v>
      </c>
      <c r="K805" t="s">
        <v>3536</v>
      </c>
      <c r="L805" s="2">
        <v>1117.8559</v>
      </c>
      <c r="M805" s="2">
        <v>2071.4196000000002</v>
      </c>
      <c r="N805" t="s">
        <v>26</v>
      </c>
      <c r="O805" t="s">
        <v>1154</v>
      </c>
      <c r="P805" t="s">
        <v>1208</v>
      </c>
      <c r="Q805" t="s">
        <v>7134</v>
      </c>
      <c r="R805" s="1">
        <v>28530</v>
      </c>
      <c r="S805" t="s">
        <v>16</v>
      </c>
      <c r="T805" t="s">
        <v>29</v>
      </c>
      <c r="U805" t="s">
        <v>1570</v>
      </c>
      <c r="V805">
        <v>20000</v>
      </c>
      <c r="W805">
        <v>0</v>
      </c>
      <c r="X805" t="s">
        <v>17</v>
      </c>
      <c r="Y805" t="s">
        <v>60</v>
      </c>
      <c r="Z805" t="s">
        <v>19</v>
      </c>
      <c r="AA805" t="s">
        <v>3586</v>
      </c>
      <c r="AB805" t="s">
        <v>3586</v>
      </c>
      <c r="AC805" t="s">
        <v>3587</v>
      </c>
      <c r="AD805" t="s">
        <v>3478</v>
      </c>
      <c r="AE805" t="s">
        <v>3475</v>
      </c>
      <c r="AF805" s="2">
        <v>2071.4196000000002</v>
      </c>
      <c r="AG805" s="2">
        <v>1117.8559</v>
      </c>
      <c r="AH805" s="2">
        <v>953.56370000000004</v>
      </c>
      <c r="AI805" s="3">
        <v>0.460343090313522</v>
      </c>
    </row>
    <row r="806" spans="1:35">
      <c r="A806" s="1">
        <v>42357</v>
      </c>
      <c r="B806" s="1">
        <v>37593</v>
      </c>
      <c r="C806" t="s">
        <v>6095</v>
      </c>
      <c r="D806">
        <v>360</v>
      </c>
      <c r="E806">
        <v>13518</v>
      </c>
      <c r="F806">
        <v>9</v>
      </c>
      <c r="G806">
        <v>1</v>
      </c>
      <c r="H806">
        <v>1</v>
      </c>
      <c r="I806">
        <v>1</v>
      </c>
      <c r="J806" t="s">
        <v>3543</v>
      </c>
      <c r="K806" t="s">
        <v>3544</v>
      </c>
      <c r="L806" s="2">
        <v>1105.81</v>
      </c>
      <c r="M806" s="2">
        <v>2049.0981999999999</v>
      </c>
      <c r="N806" t="s">
        <v>13</v>
      </c>
      <c r="O806" t="s">
        <v>761</v>
      </c>
      <c r="P806" t="s">
        <v>1102</v>
      </c>
      <c r="Q806" t="s">
        <v>7135</v>
      </c>
      <c r="R806" s="1">
        <v>29051</v>
      </c>
      <c r="S806" t="s">
        <v>22</v>
      </c>
      <c r="T806" t="s">
        <v>16</v>
      </c>
      <c r="U806" t="s">
        <v>1565</v>
      </c>
      <c r="V806">
        <v>10000</v>
      </c>
      <c r="W806">
        <v>0</v>
      </c>
      <c r="X806" t="s">
        <v>52</v>
      </c>
      <c r="Y806" t="s">
        <v>444</v>
      </c>
      <c r="Z806" t="s">
        <v>23</v>
      </c>
      <c r="AA806" t="s">
        <v>3586</v>
      </c>
      <c r="AB806" t="s">
        <v>3586</v>
      </c>
      <c r="AC806" t="s">
        <v>3587</v>
      </c>
      <c r="AD806" t="s">
        <v>3478</v>
      </c>
      <c r="AE806" t="s">
        <v>3475</v>
      </c>
      <c r="AF806" s="2">
        <v>2049.0981999999999</v>
      </c>
      <c r="AG806" s="2">
        <v>1105.81</v>
      </c>
      <c r="AH806" s="2">
        <v>943.28819999999996</v>
      </c>
      <c r="AI806" s="3">
        <v>0.46034309141455498</v>
      </c>
    </row>
    <row r="807" spans="1:35">
      <c r="A807" s="1">
        <v>42366</v>
      </c>
      <c r="B807" s="1">
        <v>37565</v>
      </c>
      <c r="C807" t="s">
        <v>6195</v>
      </c>
      <c r="D807">
        <v>360</v>
      </c>
      <c r="E807">
        <v>13519</v>
      </c>
      <c r="F807">
        <v>9</v>
      </c>
      <c r="G807">
        <v>1</v>
      </c>
      <c r="H807">
        <v>1</v>
      </c>
      <c r="I807">
        <v>1</v>
      </c>
      <c r="J807" t="s">
        <v>3543</v>
      </c>
      <c r="K807" t="s">
        <v>3544</v>
      </c>
      <c r="L807" s="2">
        <v>1105.81</v>
      </c>
      <c r="M807" s="2">
        <v>2049.0981999999999</v>
      </c>
      <c r="N807" t="s">
        <v>13</v>
      </c>
      <c r="O807" t="s">
        <v>176</v>
      </c>
      <c r="P807" t="s">
        <v>321</v>
      </c>
      <c r="Q807" t="s">
        <v>7136</v>
      </c>
      <c r="R807" s="1">
        <v>28766</v>
      </c>
      <c r="S807" t="s">
        <v>22</v>
      </c>
      <c r="T807" t="s">
        <v>16</v>
      </c>
      <c r="U807" t="s">
        <v>1566</v>
      </c>
      <c r="V807">
        <v>10000</v>
      </c>
      <c r="W807">
        <v>0</v>
      </c>
      <c r="X807" t="s">
        <v>52</v>
      </c>
      <c r="Y807" t="s">
        <v>444</v>
      </c>
      <c r="Z807" t="s">
        <v>19</v>
      </c>
      <c r="AA807" t="s">
        <v>3586</v>
      </c>
      <c r="AB807" t="s">
        <v>3586</v>
      </c>
      <c r="AC807" t="s">
        <v>3587</v>
      </c>
      <c r="AD807" t="s">
        <v>3478</v>
      </c>
      <c r="AE807" t="s">
        <v>3475</v>
      </c>
      <c r="AF807" s="2">
        <v>2049.0981999999999</v>
      </c>
      <c r="AG807" s="2">
        <v>1105.81</v>
      </c>
      <c r="AH807" s="2">
        <v>943.28819999999996</v>
      </c>
      <c r="AI807" s="3">
        <v>0.46034309141455498</v>
      </c>
    </row>
    <row r="808" spans="1:35">
      <c r="A808" s="1">
        <v>42357</v>
      </c>
      <c r="B808" s="1">
        <v>37539</v>
      </c>
      <c r="C808" t="s">
        <v>6097</v>
      </c>
      <c r="D808">
        <v>352</v>
      </c>
      <c r="E808">
        <v>13520</v>
      </c>
      <c r="F808">
        <v>9</v>
      </c>
      <c r="G808">
        <v>1</v>
      </c>
      <c r="H808">
        <v>1</v>
      </c>
      <c r="I808">
        <v>1</v>
      </c>
      <c r="J808" t="s">
        <v>3535</v>
      </c>
      <c r="K808" t="s">
        <v>3536</v>
      </c>
      <c r="L808" s="2">
        <v>1117.8559</v>
      </c>
      <c r="M808" s="2">
        <v>2071.4196000000002</v>
      </c>
      <c r="N808" t="s">
        <v>26</v>
      </c>
      <c r="O808" t="s">
        <v>120</v>
      </c>
      <c r="P808" t="s">
        <v>203</v>
      </c>
      <c r="Q808" t="s">
        <v>7137</v>
      </c>
      <c r="R808" s="1">
        <v>28529</v>
      </c>
      <c r="S808" t="s">
        <v>22</v>
      </c>
      <c r="T808" t="s">
        <v>29</v>
      </c>
      <c r="U808" t="s">
        <v>1567</v>
      </c>
      <c r="V808">
        <v>10000</v>
      </c>
      <c r="W808">
        <v>0</v>
      </c>
      <c r="X808" t="s">
        <v>52</v>
      </c>
      <c r="Y808" t="s">
        <v>444</v>
      </c>
      <c r="Z808" t="s">
        <v>19</v>
      </c>
      <c r="AA808" t="s">
        <v>3586</v>
      </c>
      <c r="AB808" t="s">
        <v>3586</v>
      </c>
      <c r="AC808" t="s">
        <v>3587</v>
      </c>
      <c r="AD808" t="s">
        <v>3478</v>
      </c>
      <c r="AE808" t="s">
        <v>3475</v>
      </c>
      <c r="AF808" s="2">
        <v>2071.4196000000002</v>
      </c>
      <c r="AG808" s="2">
        <v>1117.8559</v>
      </c>
      <c r="AH808" s="2">
        <v>953.56370000000004</v>
      </c>
      <c r="AI808" s="3">
        <v>0.460343090313522</v>
      </c>
    </row>
    <row r="809" spans="1:35">
      <c r="A809" s="1">
        <v>42362</v>
      </c>
      <c r="B809" s="1">
        <v>37585</v>
      </c>
      <c r="C809" t="s">
        <v>6157</v>
      </c>
      <c r="D809">
        <v>354</v>
      </c>
      <c r="E809">
        <v>13521</v>
      </c>
      <c r="F809">
        <v>9</v>
      </c>
      <c r="G809">
        <v>1</v>
      </c>
      <c r="H809">
        <v>1</v>
      </c>
      <c r="I809">
        <v>1</v>
      </c>
      <c r="J809" t="s">
        <v>3537</v>
      </c>
      <c r="K809" t="s">
        <v>3538</v>
      </c>
      <c r="L809" s="2">
        <v>1117.8559</v>
      </c>
      <c r="M809" s="2">
        <v>2071.4196000000002</v>
      </c>
      <c r="N809" t="s">
        <v>26</v>
      </c>
      <c r="O809" t="s">
        <v>1207</v>
      </c>
      <c r="P809" t="s">
        <v>42</v>
      </c>
      <c r="Q809" t="s">
        <v>7138</v>
      </c>
      <c r="R809" s="1">
        <v>28515</v>
      </c>
      <c r="S809" t="s">
        <v>22</v>
      </c>
      <c r="T809" t="s">
        <v>29</v>
      </c>
      <c r="U809" t="s">
        <v>1568</v>
      </c>
      <c r="V809">
        <v>10000</v>
      </c>
      <c r="W809">
        <v>0</v>
      </c>
      <c r="X809" t="s">
        <v>52</v>
      </c>
      <c r="Y809" t="s">
        <v>444</v>
      </c>
      <c r="Z809" t="s">
        <v>19</v>
      </c>
      <c r="AA809" t="s">
        <v>3586</v>
      </c>
      <c r="AB809" t="s">
        <v>3586</v>
      </c>
      <c r="AC809" t="s">
        <v>3587</v>
      </c>
      <c r="AD809" t="s">
        <v>3478</v>
      </c>
      <c r="AE809" t="s">
        <v>3475</v>
      </c>
      <c r="AF809" s="2">
        <v>2071.4196000000002</v>
      </c>
      <c r="AG809" s="2">
        <v>1117.8559</v>
      </c>
      <c r="AH809" s="2">
        <v>953.56370000000004</v>
      </c>
      <c r="AI809" s="3">
        <v>0.460343090313522</v>
      </c>
    </row>
    <row r="810" spans="1:35">
      <c r="A810" s="1">
        <v>42360</v>
      </c>
      <c r="B810" s="1">
        <v>37594</v>
      </c>
      <c r="C810" t="s">
        <v>6129</v>
      </c>
      <c r="D810">
        <v>354</v>
      </c>
      <c r="E810">
        <v>13524</v>
      </c>
      <c r="F810">
        <v>9</v>
      </c>
      <c r="G810">
        <v>1</v>
      </c>
      <c r="H810">
        <v>1</v>
      </c>
      <c r="I810">
        <v>1</v>
      </c>
      <c r="J810" t="s">
        <v>3537</v>
      </c>
      <c r="K810" t="s">
        <v>3538</v>
      </c>
      <c r="L810" s="2">
        <v>1117.8559</v>
      </c>
      <c r="M810" s="2">
        <v>2071.4196000000002</v>
      </c>
      <c r="N810" t="s">
        <v>26</v>
      </c>
      <c r="O810" t="s">
        <v>188</v>
      </c>
      <c r="P810" t="s">
        <v>220</v>
      </c>
      <c r="Q810" t="s">
        <v>7139</v>
      </c>
      <c r="R810" s="1">
        <v>28713</v>
      </c>
      <c r="S810" t="s">
        <v>16</v>
      </c>
      <c r="T810" t="s">
        <v>29</v>
      </c>
      <c r="U810" t="s">
        <v>1569</v>
      </c>
      <c r="V810">
        <v>20000</v>
      </c>
      <c r="W810">
        <v>0</v>
      </c>
      <c r="X810" t="s">
        <v>17</v>
      </c>
      <c r="Y810" t="s">
        <v>60</v>
      </c>
      <c r="Z810" t="s">
        <v>23</v>
      </c>
      <c r="AA810" t="s">
        <v>3586</v>
      </c>
      <c r="AB810" t="s">
        <v>3586</v>
      </c>
      <c r="AC810" t="s">
        <v>3587</v>
      </c>
      <c r="AD810" t="s">
        <v>3478</v>
      </c>
      <c r="AE810" t="s">
        <v>3475</v>
      </c>
      <c r="AF810" s="2">
        <v>2071.4196000000002</v>
      </c>
      <c r="AG810" s="2">
        <v>1117.8559</v>
      </c>
      <c r="AH810" s="2">
        <v>953.56370000000004</v>
      </c>
      <c r="AI810" s="3">
        <v>0.460343090313522</v>
      </c>
    </row>
    <row r="811" spans="1:35">
      <c r="A811" s="1">
        <v>42333</v>
      </c>
      <c r="B811" s="1">
        <v>37529</v>
      </c>
      <c r="C811" t="s">
        <v>5854</v>
      </c>
      <c r="D811">
        <v>373</v>
      </c>
      <c r="E811">
        <v>13700</v>
      </c>
      <c r="F811">
        <v>4</v>
      </c>
      <c r="G811">
        <v>1</v>
      </c>
      <c r="H811">
        <v>1</v>
      </c>
      <c r="I811">
        <v>2</v>
      </c>
      <c r="J811" t="s">
        <v>3555</v>
      </c>
      <c r="K811" t="s">
        <v>3556</v>
      </c>
      <c r="L811" s="2">
        <v>1320.6838</v>
      </c>
      <c r="M811" s="2">
        <v>2181.5625</v>
      </c>
      <c r="N811" t="s">
        <v>13</v>
      </c>
      <c r="O811" t="s">
        <v>228</v>
      </c>
      <c r="P811" t="s">
        <v>294</v>
      </c>
      <c r="Q811" t="s">
        <v>7140</v>
      </c>
      <c r="R811" s="1">
        <v>27456</v>
      </c>
      <c r="S811" t="s">
        <v>22</v>
      </c>
      <c r="T811" t="s">
        <v>16</v>
      </c>
      <c r="U811" t="s">
        <v>1599</v>
      </c>
      <c r="V811">
        <v>40000</v>
      </c>
      <c r="W811">
        <v>3</v>
      </c>
      <c r="X811" t="s">
        <v>52</v>
      </c>
      <c r="Y811" t="s">
        <v>60</v>
      </c>
      <c r="Z811" t="s">
        <v>19</v>
      </c>
      <c r="AA811" t="s">
        <v>3580</v>
      </c>
      <c r="AB811" t="s">
        <v>3578</v>
      </c>
      <c r="AC811" t="s">
        <v>3579</v>
      </c>
      <c r="AD811" t="s">
        <v>3479</v>
      </c>
      <c r="AE811" t="s">
        <v>3475</v>
      </c>
      <c r="AF811" s="2">
        <v>2181.5625</v>
      </c>
      <c r="AG811" s="2">
        <v>1320.6838</v>
      </c>
      <c r="AH811" s="2">
        <v>860.87869999999998</v>
      </c>
      <c r="AI811" s="3">
        <v>0.39461564818793898</v>
      </c>
    </row>
    <row r="812" spans="1:35">
      <c r="A812" s="1">
        <v>42326</v>
      </c>
      <c r="B812" s="1">
        <v>37494</v>
      </c>
      <c r="C812" t="s">
        <v>5806</v>
      </c>
      <c r="D812">
        <v>377</v>
      </c>
      <c r="E812">
        <v>13702</v>
      </c>
      <c r="F812">
        <v>4</v>
      </c>
      <c r="G812">
        <v>1</v>
      </c>
      <c r="H812">
        <v>1</v>
      </c>
      <c r="I812">
        <v>2</v>
      </c>
      <c r="J812" t="s">
        <v>3559</v>
      </c>
      <c r="K812" t="s">
        <v>3560</v>
      </c>
      <c r="L812" s="2">
        <v>1320.6838</v>
      </c>
      <c r="M812" s="2">
        <v>2181.5625</v>
      </c>
      <c r="N812" t="s">
        <v>30</v>
      </c>
      <c r="O812" t="s">
        <v>80</v>
      </c>
      <c r="P812" t="s">
        <v>40</v>
      </c>
      <c r="Q812" t="s">
        <v>7141</v>
      </c>
      <c r="R812" s="1">
        <v>27196</v>
      </c>
      <c r="S812" t="s">
        <v>22</v>
      </c>
      <c r="T812" t="s">
        <v>29</v>
      </c>
      <c r="U812" t="s">
        <v>1600</v>
      </c>
      <c r="V812">
        <v>40000</v>
      </c>
      <c r="W812">
        <v>3</v>
      </c>
      <c r="X812" t="s">
        <v>52</v>
      </c>
      <c r="Y812" t="s">
        <v>60</v>
      </c>
      <c r="Z812" t="s">
        <v>19</v>
      </c>
      <c r="AA812" t="s">
        <v>3580</v>
      </c>
      <c r="AB812" t="s">
        <v>3578</v>
      </c>
      <c r="AC812" t="s">
        <v>3579</v>
      </c>
      <c r="AD812" t="s">
        <v>3479</v>
      </c>
      <c r="AE812" t="s">
        <v>3475</v>
      </c>
      <c r="AF812" s="2">
        <v>2181.5625</v>
      </c>
      <c r="AG812" s="2">
        <v>1320.6838</v>
      </c>
      <c r="AH812" s="2">
        <v>860.87869999999998</v>
      </c>
      <c r="AI812" s="3">
        <v>0.39461564818793898</v>
      </c>
    </row>
    <row r="813" spans="1:35">
      <c r="A813" s="1">
        <v>42322</v>
      </c>
      <c r="B813" s="1">
        <v>37557</v>
      </c>
      <c r="C813" t="s">
        <v>5785</v>
      </c>
      <c r="D813">
        <v>375</v>
      </c>
      <c r="E813">
        <v>13704</v>
      </c>
      <c r="F813">
        <v>1</v>
      </c>
      <c r="G813">
        <v>1</v>
      </c>
      <c r="H813">
        <v>1</v>
      </c>
      <c r="I813">
        <v>2</v>
      </c>
      <c r="J813" t="s">
        <v>3557</v>
      </c>
      <c r="K813" t="s">
        <v>3558</v>
      </c>
      <c r="L813" s="2">
        <v>1320.6838</v>
      </c>
      <c r="M813" s="2">
        <v>2181.5625</v>
      </c>
      <c r="N813" t="s">
        <v>26</v>
      </c>
      <c r="O813" t="s">
        <v>374</v>
      </c>
      <c r="P813" t="s">
        <v>255</v>
      </c>
      <c r="Q813" t="s">
        <v>7142</v>
      </c>
      <c r="R813" s="1">
        <v>27282</v>
      </c>
      <c r="S813" t="s">
        <v>22</v>
      </c>
      <c r="T813" t="s">
        <v>29</v>
      </c>
      <c r="U813" t="s">
        <v>1601</v>
      </c>
      <c r="V813">
        <v>30000</v>
      </c>
      <c r="W813">
        <v>0</v>
      </c>
      <c r="X813" t="s">
        <v>135</v>
      </c>
      <c r="Y813" t="s">
        <v>53</v>
      </c>
      <c r="Z813" t="s">
        <v>19</v>
      </c>
      <c r="AA813" t="s">
        <v>3577</v>
      </c>
      <c r="AB813" t="s">
        <v>3578</v>
      </c>
      <c r="AC813" t="s">
        <v>3579</v>
      </c>
      <c r="AD813" t="s">
        <v>3479</v>
      </c>
      <c r="AE813" t="s">
        <v>3475</v>
      </c>
      <c r="AF813" s="2">
        <v>2181.5625</v>
      </c>
      <c r="AG813" s="2">
        <v>1320.6838</v>
      </c>
      <c r="AH813" s="2">
        <v>860.87869999999998</v>
      </c>
      <c r="AI813" s="3">
        <v>0.39461564818793898</v>
      </c>
    </row>
    <row r="814" spans="1:35">
      <c r="A814" s="1">
        <v>42324</v>
      </c>
      <c r="B814" s="1">
        <v>37491</v>
      </c>
      <c r="C814" t="s">
        <v>5789</v>
      </c>
      <c r="D814">
        <v>370</v>
      </c>
      <c r="E814">
        <v>13705</v>
      </c>
      <c r="F814">
        <v>1</v>
      </c>
      <c r="G814">
        <v>1</v>
      </c>
      <c r="H814">
        <v>1</v>
      </c>
      <c r="I814">
        <v>2</v>
      </c>
      <c r="J814" t="s">
        <v>3551</v>
      </c>
      <c r="K814" t="s">
        <v>3552</v>
      </c>
      <c r="L814" s="2">
        <v>1518.7864</v>
      </c>
      <c r="M814" s="2">
        <v>2443.35</v>
      </c>
      <c r="N814" t="s">
        <v>13</v>
      </c>
      <c r="O814" t="s">
        <v>165</v>
      </c>
      <c r="P814" t="s">
        <v>481</v>
      </c>
      <c r="Q814" t="s">
        <v>7143</v>
      </c>
      <c r="R814" s="1">
        <v>27253</v>
      </c>
      <c r="S814" t="s">
        <v>22</v>
      </c>
      <c r="T814" t="s">
        <v>16</v>
      </c>
      <c r="U814" t="s">
        <v>1602</v>
      </c>
      <c r="V814">
        <v>30000</v>
      </c>
      <c r="W814">
        <v>0</v>
      </c>
      <c r="X814" t="s">
        <v>135</v>
      </c>
      <c r="Y814" t="s">
        <v>53</v>
      </c>
      <c r="Z814" t="s">
        <v>19</v>
      </c>
      <c r="AA814" t="s">
        <v>3577</v>
      </c>
      <c r="AB814" t="s">
        <v>3578</v>
      </c>
      <c r="AC814" t="s">
        <v>3579</v>
      </c>
      <c r="AD814" t="s">
        <v>3479</v>
      </c>
      <c r="AE814" t="s">
        <v>3475</v>
      </c>
      <c r="AF814" s="2">
        <v>2443.35</v>
      </c>
      <c r="AG814" s="2">
        <v>1518.7864</v>
      </c>
      <c r="AH814" s="2">
        <v>924.56359999999995</v>
      </c>
      <c r="AI814" s="3">
        <v>0.37839998362903399</v>
      </c>
    </row>
    <row r="815" spans="1:35">
      <c r="A815" s="1">
        <v>42313</v>
      </c>
      <c r="B815" s="1">
        <v>37464</v>
      </c>
      <c r="C815" t="s">
        <v>5729</v>
      </c>
      <c r="D815">
        <v>371</v>
      </c>
      <c r="E815">
        <v>13712</v>
      </c>
      <c r="F815">
        <v>1</v>
      </c>
      <c r="G815">
        <v>1</v>
      </c>
      <c r="H815">
        <v>1</v>
      </c>
      <c r="I815">
        <v>2</v>
      </c>
      <c r="J815" t="s">
        <v>3553</v>
      </c>
      <c r="K815" t="s">
        <v>3554</v>
      </c>
      <c r="L815" s="2">
        <v>1320.6838</v>
      </c>
      <c r="M815" s="2">
        <v>2181.5625</v>
      </c>
      <c r="N815" t="s">
        <v>26</v>
      </c>
      <c r="O815" t="s">
        <v>391</v>
      </c>
      <c r="P815" t="s">
        <v>290</v>
      </c>
      <c r="Q815" t="s">
        <v>7144</v>
      </c>
      <c r="R815" s="1">
        <v>24290</v>
      </c>
      <c r="S815" t="s">
        <v>22</v>
      </c>
      <c r="T815" t="s">
        <v>29</v>
      </c>
      <c r="U815" t="s">
        <v>1603</v>
      </c>
      <c r="V815">
        <v>60000</v>
      </c>
      <c r="W815">
        <v>0</v>
      </c>
      <c r="X815" t="s">
        <v>135</v>
      </c>
      <c r="Y815" t="s">
        <v>53</v>
      </c>
      <c r="Z815" t="s">
        <v>19</v>
      </c>
      <c r="AA815" t="s">
        <v>3577</v>
      </c>
      <c r="AB815" t="s">
        <v>3578</v>
      </c>
      <c r="AC815" t="s">
        <v>3579</v>
      </c>
      <c r="AD815" t="s">
        <v>3479</v>
      </c>
      <c r="AE815" t="s">
        <v>3475</v>
      </c>
      <c r="AF815" s="2">
        <v>2181.5625</v>
      </c>
      <c r="AG815" s="2">
        <v>1320.6838</v>
      </c>
      <c r="AH815" s="2">
        <v>860.87869999999998</v>
      </c>
      <c r="AI815" s="3">
        <v>0.39461564818793898</v>
      </c>
    </row>
    <row r="816" spans="1:35">
      <c r="A816" s="1">
        <v>42336</v>
      </c>
      <c r="B816" s="1">
        <v>37498</v>
      </c>
      <c r="C816" t="s">
        <v>5877</v>
      </c>
      <c r="D816">
        <v>370</v>
      </c>
      <c r="E816">
        <v>13713</v>
      </c>
      <c r="F816">
        <v>1</v>
      </c>
      <c r="G816">
        <v>1</v>
      </c>
      <c r="H816">
        <v>1</v>
      </c>
      <c r="I816">
        <v>2</v>
      </c>
      <c r="J816" t="s">
        <v>3551</v>
      </c>
      <c r="K816" t="s">
        <v>3552</v>
      </c>
      <c r="L816" s="2">
        <v>1518.7864</v>
      </c>
      <c r="M816" s="2">
        <v>2443.35</v>
      </c>
      <c r="N816" t="s">
        <v>13</v>
      </c>
      <c r="O816" t="s">
        <v>288</v>
      </c>
      <c r="P816" t="s">
        <v>44</v>
      </c>
      <c r="Q816" t="s">
        <v>7145</v>
      </c>
      <c r="R816" s="1">
        <v>24144</v>
      </c>
      <c r="S816" t="s">
        <v>22</v>
      </c>
      <c r="T816" t="s">
        <v>16</v>
      </c>
      <c r="U816" t="s">
        <v>1604</v>
      </c>
      <c r="V816">
        <v>60000</v>
      </c>
      <c r="W816">
        <v>0</v>
      </c>
      <c r="X816" t="s">
        <v>135</v>
      </c>
      <c r="Y816" t="s">
        <v>53</v>
      </c>
      <c r="Z816" t="s">
        <v>23</v>
      </c>
      <c r="AA816" t="s">
        <v>3577</v>
      </c>
      <c r="AB816" t="s">
        <v>3578</v>
      </c>
      <c r="AC816" t="s">
        <v>3579</v>
      </c>
      <c r="AD816" t="s">
        <v>3479</v>
      </c>
      <c r="AE816" t="s">
        <v>3475</v>
      </c>
      <c r="AF816" s="2">
        <v>2443.35</v>
      </c>
      <c r="AG816" s="2">
        <v>1518.7864</v>
      </c>
      <c r="AH816" s="2">
        <v>924.56359999999995</v>
      </c>
      <c r="AI816" s="3">
        <v>0.37839998362903399</v>
      </c>
    </row>
    <row r="817" spans="1:35">
      <c r="A817" s="1">
        <v>42320</v>
      </c>
      <c r="B817" s="1">
        <v>37485</v>
      </c>
      <c r="C817" t="s">
        <v>5774</v>
      </c>
      <c r="D817">
        <v>369</v>
      </c>
      <c r="E817">
        <v>13714</v>
      </c>
      <c r="F817">
        <v>1</v>
      </c>
      <c r="G817">
        <v>1</v>
      </c>
      <c r="H817">
        <v>1</v>
      </c>
      <c r="I817">
        <v>2</v>
      </c>
      <c r="J817" t="s">
        <v>3549</v>
      </c>
      <c r="K817" t="s">
        <v>3550</v>
      </c>
      <c r="L817" s="2">
        <v>1518.7864</v>
      </c>
      <c r="M817" s="2">
        <v>2443.35</v>
      </c>
      <c r="N817" t="s">
        <v>30</v>
      </c>
      <c r="O817" t="s">
        <v>106</v>
      </c>
      <c r="P817" t="s">
        <v>424</v>
      </c>
      <c r="Q817" t="s">
        <v>7146</v>
      </c>
      <c r="R817" s="1">
        <v>19558</v>
      </c>
      <c r="S817" t="s">
        <v>16</v>
      </c>
      <c r="T817" t="s">
        <v>29</v>
      </c>
      <c r="U817" t="s">
        <v>1605</v>
      </c>
      <c r="V817">
        <v>20000</v>
      </c>
      <c r="W817">
        <v>2</v>
      </c>
      <c r="X817" t="s">
        <v>57</v>
      </c>
      <c r="Y817" t="s">
        <v>444</v>
      </c>
      <c r="Z817" t="s">
        <v>23</v>
      </c>
      <c r="AA817" t="s">
        <v>3577</v>
      </c>
      <c r="AB817" t="s">
        <v>3578</v>
      </c>
      <c r="AC817" t="s">
        <v>3579</v>
      </c>
      <c r="AD817" t="s">
        <v>3479</v>
      </c>
      <c r="AE817" t="s">
        <v>3475</v>
      </c>
      <c r="AF817" s="2">
        <v>2443.35</v>
      </c>
      <c r="AG817" s="2">
        <v>1518.7864</v>
      </c>
      <c r="AH817" s="2">
        <v>924.56359999999995</v>
      </c>
      <c r="AI817" s="3">
        <v>0.37839998362903399</v>
      </c>
    </row>
    <row r="818" spans="1:35">
      <c r="A818" s="1">
        <v>42363</v>
      </c>
      <c r="B818" s="1">
        <v>37586</v>
      </c>
      <c r="C818" t="s">
        <v>6166</v>
      </c>
      <c r="D818">
        <v>377</v>
      </c>
      <c r="E818">
        <v>13715</v>
      </c>
      <c r="F818">
        <v>4</v>
      </c>
      <c r="G818">
        <v>1</v>
      </c>
      <c r="H818">
        <v>1</v>
      </c>
      <c r="I818">
        <v>2</v>
      </c>
      <c r="J818" t="s">
        <v>3559</v>
      </c>
      <c r="K818" t="s">
        <v>3560</v>
      </c>
      <c r="L818" s="2">
        <v>1320.6838</v>
      </c>
      <c r="M818" s="2">
        <v>2181.5625</v>
      </c>
      <c r="N818" t="s">
        <v>13</v>
      </c>
      <c r="O818" t="s">
        <v>260</v>
      </c>
      <c r="P818" t="s">
        <v>109</v>
      </c>
      <c r="Q818" t="s">
        <v>7147</v>
      </c>
      <c r="R818" s="1">
        <v>19535</v>
      </c>
      <c r="S818" t="s">
        <v>16</v>
      </c>
      <c r="T818" t="s">
        <v>16</v>
      </c>
      <c r="U818" t="s">
        <v>1606</v>
      </c>
      <c r="V818">
        <v>30000</v>
      </c>
      <c r="W818">
        <v>1</v>
      </c>
      <c r="X818" t="s">
        <v>17</v>
      </c>
      <c r="Y818" t="s">
        <v>53</v>
      </c>
      <c r="Z818" t="s">
        <v>19</v>
      </c>
      <c r="AA818" t="s">
        <v>3580</v>
      </c>
      <c r="AB818" t="s">
        <v>3578</v>
      </c>
      <c r="AC818" t="s">
        <v>3579</v>
      </c>
      <c r="AD818" t="s">
        <v>3479</v>
      </c>
      <c r="AE818" t="s">
        <v>3475</v>
      </c>
      <c r="AF818" s="2">
        <v>2181.5625</v>
      </c>
      <c r="AG818" s="2">
        <v>1320.6838</v>
      </c>
      <c r="AH818" s="2">
        <v>860.87869999999998</v>
      </c>
      <c r="AI818" s="3">
        <v>0.39461564818793898</v>
      </c>
    </row>
    <row r="819" spans="1:35">
      <c r="A819" s="1">
        <v>42352</v>
      </c>
      <c r="B819" s="1">
        <v>37574</v>
      </c>
      <c r="C819" t="s">
        <v>6042</v>
      </c>
      <c r="D819">
        <v>370</v>
      </c>
      <c r="E819">
        <v>13716</v>
      </c>
      <c r="F819">
        <v>4</v>
      </c>
      <c r="G819">
        <v>1</v>
      </c>
      <c r="H819">
        <v>1</v>
      </c>
      <c r="I819">
        <v>2</v>
      </c>
      <c r="J819" t="s">
        <v>3551</v>
      </c>
      <c r="K819" t="s">
        <v>3552</v>
      </c>
      <c r="L819" s="2">
        <v>1518.7864</v>
      </c>
      <c r="M819" s="2">
        <v>2443.35</v>
      </c>
      <c r="N819" t="s">
        <v>13</v>
      </c>
      <c r="O819" t="s">
        <v>989</v>
      </c>
      <c r="P819" t="s">
        <v>476</v>
      </c>
      <c r="Q819" t="s">
        <v>7148</v>
      </c>
      <c r="R819" s="1">
        <v>19523</v>
      </c>
      <c r="S819" t="s">
        <v>16</v>
      </c>
      <c r="T819" t="s">
        <v>16</v>
      </c>
      <c r="U819" t="s">
        <v>1607</v>
      </c>
      <c r="V819">
        <v>30000</v>
      </c>
      <c r="W819">
        <v>1</v>
      </c>
      <c r="X819" t="s">
        <v>17</v>
      </c>
      <c r="Y819" t="s">
        <v>53</v>
      </c>
      <c r="Z819" t="s">
        <v>19</v>
      </c>
      <c r="AA819" t="s">
        <v>3580</v>
      </c>
      <c r="AB819" t="s">
        <v>3578</v>
      </c>
      <c r="AC819" t="s">
        <v>3579</v>
      </c>
      <c r="AD819" t="s">
        <v>3479</v>
      </c>
      <c r="AE819" t="s">
        <v>3475</v>
      </c>
      <c r="AF819" s="2">
        <v>2443.35</v>
      </c>
      <c r="AG819" s="2">
        <v>1518.7864</v>
      </c>
      <c r="AH819" s="2">
        <v>924.56359999999995</v>
      </c>
      <c r="AI819" s="3">
        <v>0.37839998362903399</v>
      </c>
    </row>
    <row r="820" spans="1:35">
      <c r="A820" s="1">
        <v>42340</v>
      </c>
      <c r="B820" s="1">
        <v>37558</v>
      </c>
      <c r="C820" t="s">
        <v>5916</v>
      </c>
      <c r="D820">
        <v>369</v>
      </c>
      <c r="E820">
        <v>13718</v>
      </c>
      <c r="F820">
        <v>1</v>
      </c>
      <c r="G820">
        <v>1</v>
      </c>
      <c r="H820">
        <v>1</v>
      </c>
      <c r="I820">
        <v>2</v>
      </c>
      <c r="J820" t="s">
        <v>3549</v>
      </c>
      <c r="K820" t="s">
        <v>3550</v>
      </c>
      <c r="L820" s="2">
        <v>1518.7864</v>
      </c>
      <c r="M820" s="2">
        <v>2443.35</v>
      </c>
      <c r="N820" t="s">
        <v>13</v>
      </c>
      <c r="O820" t="s">
        <v>249</v>
      </c>
      <c r="P820" t="s">
        <v>291</v>
      </c>
      <c r="Q820" t="s">
        <v>7149</v>
      </c>
      <c r="R820" s="1">
        <v>19595</v>
      </c>
      <c r="S820" t="s">
        <v>16</v>
      </c>
      <c r="T820" t="s">
        <v>16</v>
      </c>
      <c r="U820" t="s">
        <v>1608</v>
      </c>
      <c r="V820">
        <v>30000</v>
      </c>
      <c r="W820">
        <v>1</v>
      </c>
      <c r="X820" t="s">
        <v>17</v>
      </c>
      <c r="Y820" t="s">
        <v>53</v>
      </c>
      <c r="Z820" t="s">
        <v>19</v>
      </c>
      <c r="AA820" t="s">
        <v>3577</v>
      </c>
      <c r="AB820" t="s">
        <v>3578</v>
      </c>
      <c r="AC820" t="s">
        <v>3579</v>
      </c>
      <c r="AD820" t="s">
        <v>3479</v>
      </c>
      <c r="AE820" t="s">
        <v>3475</v>
      </c>
      <c r="AF820" s="2">
        <v>2443.35</v>
      </c>
      <c r="AG820" s="2">
        <v>1518.7864</v>
      </c>
      <c r="AH820" s="2">
        <v>924.56359999999995</v>
      </c>
      <c r="AI820" s="3">
        <v>0.37839998362903399</v>
      </c>
    </row>
    <row r="821" spans="1:35">
      <c r="A821" s="1">
        <v>42358</v>
      </c>
      <c r="B821" s="1">
        <v>37494</v>
      </c>
      <c r="C821" t="s">
        <v>6118</v>
      </c>
      <c r="D821">
        <v>373</v>
      </c>
      <c r="E821">
        <v>13721</v>
      </c>
      <c r="F821">
        <v>1</v>
      </c>
      <c r="G821">
        <v>1</v>
      </c>
      <c r="H821">
        <v>1</v>
      </c>
      <c r="I821">
        <v>2</v>
      </c>
      <c r="J821" t="s">
        <v>3555</v>
      </c>
      <c r="K821" t="s">
        <v>3556</v>
      </c>
      <c r="L821" s="2">
        <v>1320.6838</v>
      </c>
      <c r="M821" s="2">
        <v>2181.5625</v>
      </c>
      <c r="N821" t="s">
        <v>13</v>
      </c>
      <c r="O821" t="s">
        <v>176</v>
      </c>
      <c r="P821" t="s">
        <v>294</v>
      </c>
      <c r="Q821" t="s">
        <v>7150</v>
      </c>
      <c r="R821" s="1">
        <v>19826</v>
      </c>
      <c r="S821" t="s">
        <v>22</v>
      </c>
      <c r="T821" t="s">
        <v>16</v>
      </c>
      <c r="U821" t="s">
        <v>1609</v>
      </c>
      <c r="V821">
        <v>20000</v>
      </c>
      <c r="W821">
        <v>3</v>
      </c>
      <c r="X821" t="s">
        <v>77</v>
      </c>
      <c r="Y821" t="s">
        <v>60</v>
      </c>
      <c r="Z821" t="s">
        <v>19</v>
      </c>
      <c r="AA821" t="s">
        <v>3577</v>
      </c>
      <c r="AB821" t="s">
        <v>3578</v>
      </c>
      <c r="AC821" t="s">
        <v>3579</v>
      </c>
      <c r="AD821" t="s">
        <v>3479</v>
      </c>
      <c r="AE821" t="s">
        <v>3475</v>
      </c>
      <c r="AF821" s="2">
        <v>2181.5625</v>
      </c>
      <c r="AG821" s="2">
        <v>1320.6838</v>
      </c>
      <c r="AH821" s="2">
        <v>860.87869999999998</v>
      </c>
      <c r="AI821" s="3">
        <v>0.39461564818793898</v>
      </c>
    </row>
    <row r="822" spans="1:35">
      <c r="A822" s="1">
        <v>42361</v>
      </c>
      <c r="B822" s="1">
        <v>37544</v>
      </c>
      <c r="C822" t="s">
        <v>6145</v>
      </c>
      <c r="D822">
        <v>370</v>
      </c>
      <c r="E822">
        <v>13722</v>
      </c>
      <c r="F822">
        <v>1</v>
      </c>
      <c r="G822">
        <v>1</v>
      </c>
      <c r="H822">
        <v>1</v>
      </c>
      <c r="I822">
        <v>2</v>
      </c>
      <c r="J822" t="s">
        <v>3551</v>
      </c>
      <c r="K822" t="s">
        <v>3552</v>
      </c>
      <c r="L822" s="2">
        <v>1518.7864</v>
      </c>
      <c r="M822" s="2">
        <v>2443.35</v>
      </c>
      <c r="N822" t="s">
        <v>13</v>
      </c>
      <c r="O822" t="s">
        <v>61</v>
      </c>
      <c r="P822" t="s">
        <v>326</v>
      </c>
      <c r="Q822" t="s">
        <v>7151</v>
      </c>
      <c r="R822" s="1">
        <v>20082</v>
      </c>
      <c r="S822" t="s">
        <v>16</v>
      </c>
      <c r="T822" t="s">
        <v>16</v>
      </c>
      <c r="U822" t="s">
        <v>1610</v>
      </c>
      <c r="V822">
        <v>30000</v>
      </c>
      <c r="W822">
        <v>1</v>
      </c>
      <c r="X822" t="s">
        <v>57</v>
      </c>
      <c r="Y822" t="s">
        <v>444</v>
      </c>
      <c r="Z822" t="s">
        <v>19</v>
      </c>
      <c r="AA822" t="s">
        <v>3577</v>
      </c>
      <c r="AB822" t="s">
        <v>3578</v>
      </c>
      <c r="AC822" t="s">
        <v>3579</v>
      </c>
      <c r="AD822" t="s">
        <v>3479</v>
      </c>
      <c r="AE822" t="s">
        <v>3475</v>
      </c>
      <c r="AF822" s="2">
        <v>2443.35</v>
      </c>
      <c r="AG822" s="2">
        <v>1518.7864</v>
      </c>
      <c r="AH822" s="2">
        <v>924.56359999999995</v>
      </c>
      <c r="AI822" s="3">
        <v>0.37839998362903399</v>
      </c>
    </row>
    <row r="823" spans="1:35">
      <c r="A823" s="1">
        <v>42350</v>
      </c>
      <c r="B823" s="1">
        <v>37562</v>
      </c>
      <c r="C823" t="s">
        <v>6015</v>
      </c>
      <c r="D823">
        <v>375</v>
      </c>
      <c r="E823">
        <v>13724</v>
      </c>
      <c r="F823">
        <v>4</v>
      </c>
      <c r="G823">
        <v>1</v>
      </c>
      <c r="H823">
        <v>1</v>
      </c>
      <c r="I823">
        <v>2</v>
      </c>
      <c r="J823" t="s">
        <v>3557</v>
      </c>
      <c r="K823" t="s">
        <v>3558</v>
      </c>
      <c r="L823" s="2">
        <v>1320.6838</v>
      </c>
      <c r="M823" s="2">
        <v>2181.5625</v>
      </c>
      <c r="N823" t="s">
        <v>13</v>
      </c>
      <c r="O823" t="s">
        <v>327</v>
      </c>
      <c r="P823" t="s">
        <v>366</v>
      </c>
      <c r="Q823" t="s">
        <v>7152</v>
      </c>
      <c r="R823" s="1">
        <v>19766</v>
      </c>
      <c r="S823" t="s">
        <v>16</v>
      </c>
      <c r="T823" t="s">
        <v>16</v>
      </c>
      <c r="U823" t="s">
        <v>1611</v>
      </c>
      <c r="V823">
        <v>40000</v>
      </c>
      <c r="W823">
        <v>1</v>
      </c>
      <c r="X823" t="s">
        <v>52</v>
      </c>
      <c r="Y823" t="s">
        <v>60</v>
      </c>
      <c r="Z823" t="s">
        <v>19</v>
      </c>
      <c r="AA823" t="s">
        <v>3580</v>
      </c>
      <c r="AB823" t="s">
        <v>3578</v>
      </c>
      <c r="AC823" t="s">
        <v>3579</v>
      </c>
      <c r="AD823" t="s">
        <v>3479</v>
      </c>
      <c r="AE823" t="s">
        <v>3475</v>
      </c>
      <c r="AF823" s="2">
        <v>2181.5625</v>
      </c>
      <c r="AG823" s="2">
        <v>1320.6838</v>
      </c>
      <c r="AH823" s="2">
        <v>860.87869999999998</v>
      </c>
      <c r="AI823" s="3">
        <v>0.39461564818793898</v>
      </c>
    </row>
    <row r="824" spans="1:35">
      <c r="A824" s="1">
        <v>42358</v>
      </c>
      <c r="B824" s="1">
        <v>37526</v>
      </c>
      <c r="C824" t="s">
        <v>6119</v>
      </c>
      <c r="D824">
        <v>371</v>
      </c>
      <c r="E824">
        <v>13725</v>
      </c>
      <c r="F824">
        <v>4</v>
      </c>
      <c r="G824">
        <v>1</v>
      </c>
      <c r="H824">
        <v>1</v>
      </c>
      <c r="I824">
        <v>2</v>
      </c>
      <c r="J824" t="s">
        <v>3553</v>
      </c>
      <c r="K824" t="s">
        <v>3554</v>
      </c>
      <c r="L824" s="2">
        <v>1320.6838</v>
      </c>
      <c r="M824" s="2">
        <v>2181.5625</v>
      </c>
      <c r="N824" t="s">
        <v>13</v>
      </c>
      <c r="O824" t="s">
        <v>110</v>
      </c>
      <c r="P824" t="s">
        <v>146</v>
      </c>
      <c r="Q824" t="s">
        <v>7153</v>
      </c>
      <c r="R824" s="1">
        <v>20005</v>
      </c>
      <c r="S824" t="s">
        <v>16</v>
      </c>
      <c r="T824" t="s">
        <v>16</v>
      </c>
      <c r="U824" t="s">
        <v>1612</v>
      </c>
      <c r="V824">
        <v>40000</v>
      </c>
      <c r="W824">
        <v>1</v>
      </c>
      <c r="X824" t="s">
        <v>52</v>
      </c>
      <c r="Y824" t="s">
        <v>60</v>
      </c>
      <c r="Z824" t="s">
        <v>19</v>
      </c>
      <c r="AA824" t="s">
        <v>3580</v>
      </c>
      <c r="AB824" t="s">
        <v>3578</v>
      </c>
      <c r="AC824" t="s">
        <v>3579</v>
      </c>
      <c r="AD824" t="s">
        <v>3479</v>
      </c>
      <c r="AE824" t="s">
        <v>3475</v>
      </c>
      <c r="AF824" s="2">
        <v>2181.5625</v>
      </c>
      <c r="AG824" s="2">
        <v>1320.6838</v>
      </c>
      <c r="AH824" s="2">
        <v>860.87869999999998</v>
      </c>
      <c r="AI824" s="3">
        <v>0.39461564818793898</v>
      </c>
    </row>
    <row r="825" spans="1:35">
      <c r="A825" s="1">
        <v>42354</v>
      </c>
      <c r="B825" s="1">
        <v>37565</v>
      </c>
      <c r="C825" t="s">
        <v>6062</v>
      </c>
      <c r="D825">
        <v>377</v>
      </c>
      <c r="E825">
        <v>13726</v>
      </c>
      <c r="F825">
        <v>4</v>
      </c>
      <c r="G825">
        <v>1</v>
      </c>
      <c r="H825">
        <v>1</v>
      </c>
      <c r="I825">
        <v>2</v>
      </c>
      <c r="J825" t="s">
        <v>3559</v>
      </c>
      <c r="K825" t="s">
        <v>3560</v>
      </c>
      <c r="L825" s="2">
        <v>1320.6838</v>
      </c>
      <c r="M825" s="2">
        <v>2181.5625</v>
      </c>
      <c r="N825" t="s">
        <v>13</v>
      </c>
      <c r="O825" t="s">
        <v>601</v>
      </c>
      <c r="P825" t="s">
        <v>407</v>
      </c>
      <c r="Q825" t="s">
        <v>7154</v>
      </c>
      <c r="R825" s="1">
        <v>19909</v>
      </c>
      <c r="S825" t="s">
        <v>16</v>
      </c>
      <c r="T825" t="s">
        <v>16</v>
      </c>
      <c r="U825" t="s">
        <v>1613</v>
      </c>
      <c r="V825">
        <v>40000</v>
      </c>
      <c r="W825">
        <v>1</v>
      </c>
      <c r="X825" t="s">
        <v>52</v>
      </c>
      <c r="Y825" t="s">
        <v>60</v>
      </c>
      <c r="Z825" t="s">
        <v>19</v>
      </c>
      <c r="AA825" t="s">
        <v>3580</v>
      </c>
      <c r="AB825" t="s">
        <v>3578</v>
      </c>
      <c r="AC825" t="s">
        <v>3579</v>
      </c>
      <c r="AD825" t="s">
        <v>3479</v>
      </c>
      <c r="AE825" t="s">
        <v>3475</v>
      </c>
      <c r="AF825" s="2">
        <v>2181.5625</v>
      </c>
      <c r="AG825" s="2">
        <v>1320.6838</v>
      </c>
      <c r="AH825" s="2">
        <v>860.87869999999998</v>
      </c>
      <c r="AI825" s="3">
        <v>0.39461564818793898</v>
      </c>
    </row>
    <row r="826" spans="1:35">
      <c r="A826" s="1">
        <v>42365</v>
      </c>
      <c r="B826" s="1">
        <v>37536</v>
      </c>
      <c r="C826" t="s">
        <v>6185</v>
      </c>
      <c r="D826">
        <v>369</v>
      </c>
      <c r="E826">
        <v>13728</v>
      </c>
      <c r="F826">
        <v>4</v>
      </c>
      <c r="G826">
        <v>1</v>
      </c>
      <c r="H826">
        <v>1</v>
      </c>
      <c r="I826">
        <v>2</v>
      </c>
      <c r="J826" t="s">
        <v>3549</v>
      </c>
      <c r="K826" t="s">
        <v>3550</v>
      </c>
      <c r="L826" s="2">
        <v>1518.7864</v>
      </c>
      <c r="M826" s="2">
        <v>2443.35</v>
      </c>
      <c r="N826" t="s">
        <v>30</v>
      </c>
      <c r="O826" t="s">
        <v>254</v>
      </c>
      <c r="P826" t="s">
        <v>345</v>
      </c>
      <c r="Q826" t="s">
        <v>7155</v>
      </c>
      <c r="R826" s="1">
        <v>20327</v>
      </c>
      <c r="S826" t="s">
        <v>16</v>
      </c>
      <c r="T826" t="s">
        <v>29</v>
      </c>
      <c r="U826" t="s">
        <v>1614</v>
      </c>
      <c r="V826">
        <v>40000</v>
      </c>
      <c r="W826">
        <v>1</v>
      </c>
      <c r="X826" t="s">
        <v>52</v>
      </c>
      <c r="Y826" t="s">
        <v>60</v>
      </c>
      <c r="Z826" t="s">
        <v>19</v>
      </c>
      <c r="AA826" t="s">
        <v>3580</v>
      </c>
      <c r="AB826" t="s">
        <v>3578</v>
      </c>
      <c r="AC826" t="s">
        <v>3579</v>
      </c>
      <c r="AD826" t="s">
        <v>3479</v>
      </c>
      <c r="AE826" t="s">
        <v>3475</v>
      </c>
      <c r="AF826" s="2">
        <v>2443.35</v>
      </c>
      <c r="AG826" s="2">
        <v>1518.7864</v>
      </c>
      <c r="AH826" s="2">
        <v>924.56359999999995</v>
      </c>
      <c r="AI826" s="3">
        <v>0.37839998362903399</v>
      </c>
    </row>
    <row r="827" spans="1:35">
      <c r="A827" s="1">
        <v>42364</v>
      </c>
      <c r="B827" s="1">
        <v>37515</v>
      </c>
      <c r="C827" t="s">
        <v>6172</v>
      </c>
      <c r="D827">
        <v>370</v>
      </c>
      <c r="E827">
        <v>13729</v>
      </c>
      <c r="F827">
        <v>1</v>
      </c>
      <c r="G827">
        <v>1</v>
      </c>
      <c r="H827">
        <v>1</v>
      </c>
      <c r="I827">
        <v>2</v>
      </c>
      <c r="J827" t="s">
        <v>3551</v>
      </c>
      <c r="K827" t="s">
        <v>3552</v>
      </c>
      <c r="L827" s="2">
        <v>1518.7864</v>
      </c>
      <c r="M827" s="2">
        <v>2443.35</v>
      </c>
      <c r="N827" t="s">
        <v>13</v>
      </c>
      <c r="O827" t="s">
        <v>279</v>
      </c>
      <c r="P827" t="s">
        <v>338</v>
      </c>
      <c r="Q827" t="s">
        <v>7156</v>
      </c>
      <c r="R827" s="1">
        <v>20372</v>
      </c>
      <c r="S827" t="s">
        <v>16</v>
      </c>
      <c r="T827" t="s">
        <v>16</v>
      </c>
      <c r="U827" t="s">
        <v>1615</v>
      </c>
      <c r="V827">
        <v>40000</v>
      </c>
      <c r="W827">
        <v>1</v>
      </c>
      <c r="X827" t="s">
        <v>52</v>
      </c>
      <c r="Y827" t="s">
        <v>60</v>
      </c>
      <c r="Z827" t="s">
        <v>19</v>
      </c>
      <c r="AA827" t="s">
        <v>3577</v>
      </c>
      <c r="AB827" t="s">
        <v>3578</v>
      </c>
      <c r="AC827" t="s">
        <v>3579</v>
      </c>
      <c r="AD827" t="s">
        <v>3479</v>
      </c>
      <c r="AE827" t="s">
        <v>3475</v>
      </c>
      <c r="AF827" s="2">
        <v>2443.35</v>
      </c>
      <c r="AG827" s="2">
        <v>1518.7864</v>
      </c>
      <c r="AH827" s="2">
        <v>924.56359999999995</v>
      </c>
      <c r="AI827" s="3">
        <v>0.37839998362903399</v>
      </c>
    </row>
    <row r="828" spans="1:35">
      <c r="A828" s="1">
        <v>42339</v>
      </c>
      <c r="B828" s="1">
        <v>37569</v>
      </c>
      <c r="C828" t="s">
        <v>5907</v>
      </c>
      <c r="D828">
        <v>377</v>
      </c>
      <c r="E828">
        <v>13730</v>
      </c>
      <c r="F828">
        <v>1</v>
      </c>
      <c r="G828">
        <v>1</v>
      </c>
      <c r="H828">
        <v>1</v>
      </c>
      <c r="I828">
        <v>2</v>
      </c>
      <c r="J828" t="s">
        <v>3559</v>
      </c>
      <c r="K828" t="s">
        <v>3560</v>
      </c>
      <c r="L828" s="2">
        <v>1320.6838</v>
      </c>
      <c r="M828" s="2">
        <v>2181.5625</v>
      </c>
      <c r="N828" t="s">
        <v>13</v>
      </c>
      <c r="O828" t="s">
        <v>1084</v>
      </c>
      <c r="P828" t="s">
        <v>40</v>
      </c>
      <c r="Q828" t="s">
        <v>7157</v>
      </c>
      <c r="R828" s="1">
        <v>20448</v>
      </c>
      <c r="S828" t="s">
        <v>16</v>
      </c>
      <c r="T828" t="s">
        <v>16</v>
      </c>
      <c r="U828" t="s">
        <v>1616</v>
      </c>
      <c r="V828">
        <v>40000</v>
      </c>
      <c r="W828">
        <v>1</v>
      </c>
      <c r="X828" t="s">
        <v>52</v>
      </c>
      <c r="Y828" t="s">
        <v>60</v>
      </c>
      <c r="Z828" t="s">
        <v>19</v>
      </c>
      <c r="AA828" t="s">
        <v>3577</v>
      </c>
      <c r="AB828" t="s">
        <v>3578</v>
      </c>
      <c r="AC828" t="s">
        <v>3579</v>
      </c>
      <c r="AD828" t="s">
        <v>3479</v>
      </c>
      <c r="AE828" t="s">
        <v>3475</v>
      </c>
      <c r="AF828" s="2">
        <v>2181.5625</v>
      </c>
      <c r="AG828" s="2">
        <v>1320.6838</v>
      </c>
      <c r="AH828" s="2">
        <v>860.87869999999998</v>
      </c>
      <c r="AI828" s="3">
        <v>0.39461564818793898</v>
      </c>
    </row>
    <row r="829" spans="1:35">
      <c r="A829" s="1">
        <v>42341</v>
      </c>
      <c r="B829" s="1">
        <v>37519</v>
      </c>
      <c r="C829" t="s">
        <v>5930</v>
      </c>
      <c r="D829">
        <v>371</v>
      </c>
      <c r="E829">
        <v>13733</v>
      </c>
      <c r="F829">
        <v>1</v>
      </c>
      <c r="G829">
        <v>1</v>
      </c>
      <c r="H829">
        <v>1</v>
      </c>
      <c r="I829">
        <v>2</v>
      </c>
      <c r="J829" t="s">
        <v>3553</v>
      </c>
      <c r="K829" t="s">
        <v>3554</v>
      </c>
      <c r="L829" s="2">
        <v>1320.6838</v>
      </c>
      <c r="M829" s="2">
        <v>2181.5625</v>
      </c>
      <c r="N829" t="s">
        <v>30</v>
      </c>
      <c r="O829" t="s">
        <v>48</v>
      </c>
      <c r="P829" t="s">
        <v>377</v>
      </c>
      <c r="Q829" t="s">
        <v>7158</v>
      </c>
      <c r="R829" s="1">
        <v>20719</v>
      </c>
      <c r="S829" t="s">
        <v>16</v>
      </c>
      <c r="T829" t="s">
        <v>29</v>
      </c>
      <c r="U829" t="s">
        <v>1617</v>
      </c>
      <c r="V829">
        <v>40000</v>
      </c>
      <c r="W829">
        <v>1</v>
      </c>
      <c r="X829" t="s">
        <v>52</v>
      </c>
      <c r="Y829" t="s">
        <v>60</v>
      </c>
      <c r="Z829" t="s">
        <v>19</v>
      </c>
      <c r="AA829" t="s">
        <v>3577</v>
      </c>
      <c r="AB829" t="s">
        <v>3578</v>
      </c>
      <c r="AC829" t="s">
        <v>3579</v>
      </c>
      <c r="AD829" t="s">
        <v>3479</v>
      </c>
      <c r="AE829" t="s">
        <v>3475</v>
      </c>
      <c r="AF829" s="2">
        <v>2181.5625</v>
      </c>
      <c r="AG829" s="2">
        <v>1320.6838</v>
      </c>
      <c r="AH829" s="2">
        <v>860.87869999999998</v>
      </c>
      <c r="AI829" s="3">
        <v>0.39461564818793898</v>
      </c>
    </row>
    <row r="830" spans="1:35">
      <c r="A830" s="1">
        <v>42345</v>
      </c>
      <c r="B830" s="1">
        <v>37506</v>
      </c>
      <c r="C830" t="s">
        <v>5964</v>
      </c>
      <c r="D830">
        <v>375</v>
      </c>
      <c r="E830">
        <v>13734</v>
      </c>
      <c r="F830">
        <v>4</v>
      </c>
      <c r="G830">
        <v>1</v>
      </c>
      <c r="H830">
        <v>1</v>
      </c>
      <c r="I830">
        <v>2</v>
      </c>
      <c r="J830" t="s">
        <v>3557</v>
      </c>
      <c r="K830" t="s">
        <v>3558</v>
      </c>
      <c r="L830" s="2">
        <v>1320.6838</v>
      </c>
      <c r="M830" s="2">
        <v>2181.5625</v>
      </c>
      <c r="N830" t="s">
        <v>30</v>
      </c>
      <c r="O830" t="s">
        <v>312</v>
      </c>
      <c r="P830" t="s">
        <v>95</v>
      </c>
      <c r="Q830" t="s">
        <v>7159</v>
      </c>
      <c r="R830" s="1">
        <v>20645</v>
      </c>
      <c r="S830" t="s">
        <v>16</v>
      </c>
      <c r="T830" t="s">
        <v>29</v>
      </c>
      <c r="U830" t="s">
        <v>1618</v>
      </c>
      <c r="V830">
        <v>40000</v>
      </c>
      <c r="W830">
        <v>1</v>
      </c>
      <c r="X830" t="s">
        <v>52</v>
      </c>
      <c r="Y830" t="s">
        <v>60</v>
      </c>
      <c r="Z830" t="s">
        <v>19</v>
      </c>
      <c r="AA830" t="s">
        <v>3580</v>
      </c>
      <c r="AB830" t="s">
        <v>3578</v>
      </c>
      <c r="AC830" t="s">
        <v>3579</v>
      </c>
      <c r="AD830" t="s">
        <v>3479</v>
      </c>
      <c r="AE830" t="s">
        <v>3475</v>
      </c>
      <c r="AF830" s="2">
        <v>2181.5625</v>
      </c>
      <c r="AG830" s="2">
        <v>1320.6838</v>
      </c>
      <c r="AH830" s="2">
        <v>860.87869999999998</v>
      </c>
      <c r="AI830" s="3">
        <v>0.39461564818793898</v>
      </c>
    </row>
    <row r="831" spans="1:35">
      <c r="A831" s="1">
        <v>42343</v>
      </c>
      <c r="B831" s="1">
        <v>37503</v>
      </c>
      <c r="C831" t="s">
        <v>5939</v>
      </c>
      <c r="D831">
        <v>377</v>
      </c>
      <c r="E831">
        <v>13735</v>
      </c>
      <c r="F831">
        <v>1</v>
      </c>
      <c r="G831">
        <v>1</v>
      </c>
      <c r="H831">
        <v>1</v>
      </c>
      <c r="I831">
        <v>2</v>
      </c>
      <c r="J831" t="s">
        <v>3559</v>
      </c>
      <c r="K831" t="s">
        <v>3560</v>
      </c>
      <c r="L831" s="2">
        <v>1320.6838</v>
      </c>
      <c r="M831" s="2">
        <v>2181.5625</v>
      </c>
      <c r="N831" t="s">
        <v>13</v>
      </c>
      <c r="O831" t="s">
        <v>348</v>
      </c>
      <c r="P831" t="s">
        <v>929</v>
      </c>
      <c r="Q831" t="s">
        <v>7160</v>
      </c>
      <c r="R831" s="1">
        <v>20582</v>
      </c>
      <c r="S831" t="s">
        <v>16</v>
      </c>
      <c r="T831" t="s">
        <v>16</v>
      </c>
      <c r="U831" t="s">
        <v>1619</v>
      </c>
      <c r="V831">
        <v>40000</v>
      </c>
      <c r="W831">
        <v>1</v>
      </c>
      <c r="X831" t="s">
        <v>52</v>
      </c>
      <c r="Y831" t="s">
        <v>60</v>
      </c>
      <c r="Z831" t="s">
        <v>19</v>
      </c>
      <c r="AA831" t="s">
        <v>3577</v>
      </c>
      <c r="AB831" t="s">
        <v>3578</v>
      </c>
      <c r="AC831" t="s">
        <v>3579</v>
      </c>
      <c r="AD831" t="s">
        <v>3479</v>
      </c>
      <c r="AE831" t="s">
        <v>3475</v>
      </c>
      <c r="AF831" s="2">
        <v>2181.5625</v>
      </c>
      <c r="AG831" s="2">
        <v>1320.6838</v>
      </c>
      <c r="AH831" s="2">
        <v>860.87869999999998</v>
      </c>
      <c r="AI831" s="3">
        <v>0.39461564818793898</v>
      </c>
    </row>
    <row r="832" spans="1:35">
      <c r="A832" s="1">
        <v>42349</v>
      </c>
      <c r="B832" s="1">
        <v>37539</v>
      </c>
      <c r="C832" t="s">
        <v>6002</v>
      </c>
      <c r="D832">
        <v>377</v>
      </c>
      <c r="E832">
        <v>13736</v>
      </c>
      <c r="F832">
        <v>4</v>
      </c>
      <c r="G832">
        <v>1</v>
      </c>
      <c r="H832">
        <v>1</v>
      </c>
      <c r="I832">
        <v>2</v>
      </c>
      <c r="J832" t="s">
        <v>3559</v>
      </c>
      <c r="K832" t="s">
        <v>3560</v>
      </c>
      <c r="L832" s="2">
        <v>1320.6838</v>
      </c>
      <c r="M832" s="2">
        <v>2181.5625</v>
      </c>
      <c r="N832" t="s">
        <v>13</v>
      </c>
      <c r="O832" t="s">
        <v>1139</v>
      </c>
      <c r="P832" t="s">
        <v>243</v>
      </c>
      <c r="Q832" t="s">
        <v>7161</v>
      </c>
      <c r="R832" s="1">
        <v>20478</v>
      </c>
      <c r="S832" t="s">
        <v>16</v>
      </c>
      <c r="T832" t="s">
        <v>16</v>
      </c>
      <c r="U832" t="s">
        <v>1620</v>
      </c>
      <c r="V832">
        <v>40000</v>
      </c>
      <c r="W832">
        <v>1</v>
      </c>
      <c r="X832" t="s">
        <v>52</v>
      </c>
      <c r="Y832" t="s">
        <v>60</v>
      </c>
      <c r="Z832" t="s">
        <v>19</v>
      </c>
      <c r="AA832" t="s">
        <v>3580</v>
      </c>
      <c r="AB832" t="s">
        <v>3578</v>
      </c>
      <c r="AC832" t="s">
        <v>3579</v>
      </c>
      <c r="AD832" t="s">
        <v>3479</v>
      </c>
      <c r="AE832" t="s">
        <v>3475</v>
      </c>
      <c r="AF832" s="2">
        <v>2181.5625</v>
      </c>
      <c r="AG832" s="2">
        <v>1320.6838</v>
      </c>
      <c r="AH832" s="2">
        <v>860.87869999999998</v>
      </c>
      <c r="AI832" s="3">
        <v>0.39461564818793898</v>
      </c>
    </row>
    <row r="833" spans="1:35">
      <c r="A833" s="1">
        <v>42355</v>
      </c>
      <c r="B833" s="1">
        <v>37580</v>
      </c>
      <c r="C833" t="s">
        <v>6075</v>
      </c>
      <c r="D833">
        <v>379</v>
      </c>
      <c r="E833">
        <v>13741</v>
      </c>
      <c r="F833">
        <v>4</v>
      </c>
      <c r="G833">
        <v>1</v>
      </c>
      <c r="H833">
        <v>1</v>
      </c>
      <c r="I833">
        <v>2</v>
      </c>
      <c r="J833" t="s">
        <v>3561</v>
      </c>
      <c r="K833" t="s">
        <v>3562</v>
      </c>
      <c r="L833" s="2">
        <v>1320.6838</v>
      </c>
      <c r="M833" s="2">
        <v>2181.5625</v>
      </c>
      <c r="N833" t="s">
        <v>30</v>
      </c>
      <c r="O833" t="s">
        <v>409</v>
      </c>
      <c r="P833" t="s">
        <v>252</v>
      </c>
      <c r="Q833" t="s">
        <v>7162</v>
      </c>
      <c r="R833" s="1">
        <v>21112</v>
      </c>
      <c r="S833" t="s">
        <v>16</v>
      </c>
      <c r="T833" t="s">
        <v>29</v>
      </c>
      <c r="U833" t="s">
        <v>1621</v>
      </c>
      <c r="V833">
        <v>40000</v>
      </c>
      <c r="W833">
        <v>1</v>
      </c>
      <c r="X833" t="s">
        <v>52</v>
      </c>
      <c r="Y833" t="s">
        <v>60</v>
      </c>
      <c r="Z833" t="s">
        <v>19</v>
      </c>
      <c r="AA833" t="s">
        <v>3580</v>
      </c>
      <c r="AB833" t="s">
        <v>3578</v>
      </c>
      <c r="AC833" t="s">
        <v>3579</v>
      </c>
      <c r="AD833" t="s">
        <v>3479</v>
      </c>
      <c r="AE833" t="s">
        <v>3475</v>
      </c>
      <c r="AF833" s="2">
        <v>2181.5625</v>
      </c>
      <c r="AG833" s="2">
        <v>1320.6838</v>
      </c>
      <c r="AH833" s="2">
        <v>860.87869999999998</v>
      </c>
      <c r="AI833" s="3">
        <v>0.39461564818793898</v>
      </c>
    </row>
    <row r="834" spans="1:35">
      <c r="A834" s="1">
        <v>42202</v>
      </c>
      <c r="B834" s="1">
        <v>37438</v>
      </c>
      <c r="C834" t="s">
        <v>4897</v>
      </c>
      <c r="D834">
        <v>371</v>
      </c>
      <c r="E834">
        <v>13766</v>
      </c>
      <c r="F834">
        <v>7</v>
      </c>
      <c r="G834">
        <v>1</v>
      </c>
      <c r="H834">
        <v>1</v>
      </c>
      <c r="I834">
        <v>2</v>
      </c>
      <c r="J834" t="s">
        <v>3553</v>
      </c>
      <c r="K834" t="s">
        <v>3554</v>
      </c>
      <c r="L834" s="2">
        <v>1320.6838</v>
      </c>
      <c r="M834" s="2">
        <v>2181.5625</v>
      </c>
      <c r="N834" t="s">
        <v>13</v>
      </c>
      <c r="O834" t="s">
        <v>774</v>
      </c>
      <c r="P834" t="s">
        <v>270</v>
      </c>
      <c r="Q834" t="s">
        <v>7163</v>
      </c>
      <c r="R834" s="1">
        <v>24872</v>
      </c>
      <c r="S834" t="s">
        <v>16</v>
      </c>
      <c r="T834" t="s">
        <v>16</v>
      </c>
      <c r="U834" t="s">
        <v>1622</v>
      </c>
      <c r="V834">
        <v>30000</v>
      </c>
      <c r="W834">
        <v>1</v>
      </c>
      <c r="X834" t="s">
        <v>17</v>
      </c>
      <c r="Y834" t="s">
        <v>60</v>
      </c>
      <c r="Z834" t="s">
        <v>19</v>
      </c>
      <c r="AA834" t="s">
        <v>3583</v>
      </c>
      <c r="AB834" t="s">
        <v>3583</v>
      </c>
      <c r="AC834" t="s">
        <v>3584</v>
      </c>
      <c r="AD834" t="s">
        <v>3479</v>
      </c>
      <c r="AE834" t="s">
        <v>3475</v>
      </c>
      <c r="AF834" s="2">
        <v>2181.5625</v>
      </c>
      <c r="AG834" s="2">
        <v>1320.6838</v>
      </c>
      <c r="AH834" s="2">
        <v>860.87869999999998</v>
      </c>
      <c r="AI834" s="3">
        <v>0.39461564818793898</v>
      </c>
    </row>
    <row r="835" spans="1:35">
      <c r="A835" s="1">
        <v>42205</v>
      </c>
      <c r="B835" s="1">
        <v>37421</v>
      </c>
      <c r="C835" t="s">
        <v>4925</v>
      </c>
      <c r="D835">
        <v>371</v>
      </c>
      <c r="E835">
        <v>13768</v>
      </c>
      <c r="F835">
        <v>7</v>
      </c>
      <c r="G835">
        <v>1</v>
      </c>
      <c r="H835">
        <v>1</v>
      </c>
      <c r="I835">
        <v>2</v>
      </c>
      <c r="J835" t="s">
        <v>3553</v>
      </c>
      <c r="K835" t="s">
        <v>3554</v>
      </c>
      <c r="L835" s="2">
        <v>1320.6838</v>
      </c>
      <c r="M835" s="2">
        <v>2181.5625</v>
      </c>
      <c r="N835" t="s">
        <v>13</v>
      </c>
      <c r="O835" t="s">
        <v>199</v>
      </c>
      <c r="P835" t="s">
        <v>129</v>
      </c>
      <c r="Q835" t="s">
        <v>7164</v>
      </c>
      <c r="R835" s="1">
        <v>24948</v>
      </c>
      <c r="S835" t="s">
        <v>16</v>
      </c>
      <c r="T835" t="s">
        <v>16</v>
      </c>
      <c r="U835" t="s">
        <v>1623</v>
      </c>
      <c r="V835">
        <v>40000</v>
      </c>
      <c r="W835">
        <v>0</v>
      </c>
      <c r="X835" t="s">
        <v>135</v>
      </c>
      <c r="Y835" t="s">
        <v>60</v>
      </c>
      <c r="Z835" t="s">
        <v>19</v>
      </c>
      <c r="AA835" t="s">
        <v>3583</v>
      </c>
      <c r="AB835" t="s">
        <v>3583</v>
      </c>
      <c r="AC835" t="s">
        <v>3584</v>
      </c>
      <c r="AD835" t="s">
        <v>3479</v>
      </c>
      <c r="AE835" t="s">
        <v>3475</v>
      </c>
      <c r="AF835" s="2">
        <v>2181.5625</v>
      </c>
      <c r="AG835" s="2">
        <v>1320.6838</v>
      </c>
      <c r="AH835" s="2">
        <v>860.87869999999998</v>
      </c>
      <c r="AI835" s="3">
        <v>0.39461564818793898</v>
      </c>
    </row>
    <row r="836" spans="1:35">
      <c r="A836" s="1">
        <v>42205</v>
      </c>
      <c r="B836" s="1">
        <v>37354</v>
      </c>
      <c r="C836" t="s">
        <v>4919</v>
      </c>
      <c r="D836">
        <v>377</v>
      </c>
      <c r="E836">
        <v>13769</v>
      </c>
      <c r="F836">
        <v>7</v>
      </c>
      <c r="G836">
        <v>1</v>
      </c>
      <c r="H836">
        <v>1</v>
      </c>
      <c r="I836">
        <v>2</v>
      </c>
      <c r="J836" t="s">
        <v>3559</v>
      </c>
      <c r="K836" t="s">
        <v>3560</v>
      </c>
      <c r="L836" s="2">
        <v>1320.6838</v>
      </c>
      <c r="M836" s="2">
        <v>2181.5625</v>
      </c>
      <c r="N836" t="s">
        <v>13</v>
      </c>
      <c r="O836" t="s">
        <v>761</v>
      </c>
      <c r="P836" t="s">
        <v>194</v>
      </c>
      <c r="Q836" t="s">
        <v>7165</v>
      </c>
      <c r="R836" s="1">
        <v>25083</v>
      </c>
      <c r="S836" t="s">
        <v>16</v>
      </c>
      <c r="T836" t="s">
        <v>16</v>
      </c>
      <c r="U836" t="s">
        <v>1624</v>
      </c>
      <c r="V836">
        <v>40000</v>
      </c>
      <c r="W836">
        <v>0</v>
      </c>
      <c r="X836" t="s">
        <v>135</v>
      </c>
      <c r="Y836" t="s">
        <v>60</v>
      </c>
      <c r="Z836" t="s">
        <v>19</v>
      </c>
      <c r="AA836" t="s">
        <v>3583</v>
      </c>
      <c r="AB836" t="s">
        <v>3583</v>
      </c>
      <c r="AC836" t="s">
        <v>3584</v>
      </c>
      <c r="AD836" t="s">
        <v>3479</v>
      </c>
      <c r="AE836" t="s">
        <v>3475</v>
      </c>
      <c r="AF836" s="2">
        <v>2181.5625</v>
      </c>
      <c r="AG836" s="2">
        <v>1320.6838</v>
      </c>
      <c r="AH836" s="2">
        <v>860.87869999999998</v>
      </c>
      <c r="AI836" s="3">
        <v>0.39461564818793898</v>
      </c>
    </row>
    <row r="837" spans="1:35">
      <c r="A837" s="1">
        <v>42190</v>
      </c>
      <c r="B837" s="1">
        <v>37382</v>
      </c>
      <c r="C837" t="s">
        <v>4801</v>
      </c>
      <c r="D837">
        <v>373</v>
      </c>
      <c r="E837">
        <v>13779</v>
      </c>
      <c r="F837">
        <v>7</v>
      </c>
      <c r="G837">
        <v>1</v>
      </c>
      <c r="H837">
        <v>1</v>
      </c>
      <c r="I837">
        <v>2</v>
      </c>
      <c r="J837" t="s">
        <v>3555</v>
      </c>
      <c r="K837" t="s">
        <v>3556</v>
      </c>
      <c r="L837" s="2">
        <v>1320.6838</v>
      </c>
      <c r="M837" s="2">
        <v>2181.5625</v>
      </c>
      <c r="N837" t="s">
        <v>13</v>
      </c>
      <c r="O837" t="s">
        <v>1181</v>
      </c>
      <c r="P837" t="s">
        <v>99</v>
      </c>
      <c r="Q837" t="s">
        <v>7166</v>
      </c>
      <c r="R837" s="1">
        <v>24421</v>
      </c>
      <c r="S837" t="s">
        <v>22</v>
      </c>
      <c r="T837" t="s">
        <v>16</v>
      </c>
      <c r="U837" t="s">
        <v>1625</v>
      </c>
      <c r="V837">
        <v>10000</v>
      </c>
      <c r="W837">
        <v>4</v>
      </c>
      <c r="X837" t="s">
        <v>77</v>
      </c>
      <c r="Y837" t="s">
        <v>444</v>
      </c>
      <c r="Z837" t="s">
        <v>19</v>
      </c>
      <c r="AA837" t="s">
        <v>3583</v>
      </c>
      <c r="AB837" t="s">
        <v>3583</v>
      </c>
      <c r="AC837" t="s">
        <v>3584</v>
      </c>
      <c r="AD837" t="s">
        <v>3479</v>
      </c>
      <c r="AE837" t="s">
        <v>3475</v>
      </c>
      <c r="AF837" s="2">
        <v>2181.5625</v>
      </c>
      <c r="AG837" s="2">
        <v>1320.6838</v>
      </c>
      <c r="AH837" s="2">
        <v>860.87869999999998</v>
      </c>
      <c r="AI837" s="3">
        <v>0.39461564818793898</v>
      </c>
    </row>
    <row r="838" spans="1:35">
      <c r="A838" s="1">
        <v>42206</v>
      </c>
      <c r="B838" s="1">
        <v>37342</v>
      </c>
      <c r="C838" t="s">
        <v>4932</v>
      </c>
      <c r="D838">
        <v>371</v>
      </c>
      <c r="E838">
        <v>13793</v>
      </c>
      <c r="F838">
        <v>7</v>
      </c>
      <c r="G838">
        <v>1</v>
      </c>
      <c r="H838">
        <v>1</v>
      </c>
      <c r="I838">
        <v>2</v>
      </c>
      <c r="J838" t="s">
        <v>3553</v>
      </c>
      <c r="K838" t="s">
        <v>3554</v>
      </c>
      <c r="L838" s="2">
        <v>1320.6838</v>
      </c>
      <c r="M838" s="2">
        <v>2181.5625</v>
      </c>
      <c r="N838" t="s">
        <v>13</v>
      </c>
      <c r="O838" t="s">
        <v>279</v>
      </c>
      <c r="P838" t="s">
        <v>422</v>
      </c>
      <c r="Q838" t="s">
        <v>7167</v>
      </c>
      <c r="R838" s="1">
        <v>24034</v>
      </c>
      <c r="S838" t="s">
        <v>16</v>
      </c>
      <c r="T838" t="s">
        <v>16</v>
      </c>
      <c r="U838" t="s">
        <v>1626</v>
      </c>
      <c r="V838">
        <v>30000</v>
      </c>
      <c r="W838">
        <v>1</v>
      </c>
      <c r="X838" t="s">
        <v>17</v>
      </c>
      <c r="Y838" t="s">
        <v>53</v>
      </c>
      <c r="Z838" t="s">
        <v>19</v>
      </c>
      <c r="AA838" t="s">
        <v>3583</v>
      </c>
      <c r="AB838" t="s">
        <v>3583</v>
      </c>
      <c r="AC838" t="s">
        <v>3584</v>
      </c>
      <c r="AD838" t="s">
        <v>3479</v>
      </c>
      <c r="AE838" t="s">
        <v>3475</v>
      </c>
      <c r="AF838" s="2">
        <v>2181.5625</v>
      </c>
      <c r="AG838" s="2">
        <v>1320.6838</v>
      </c>
      <c r="AH838" s="2">
        <v>860.87869999999998</v>
      </c>
      <c r="AI838" s="3">
        <v>0.39461564818793898</v>
      </c>
    </row>
    <row r="839" spans="1:35">
      <c r="A839" s="1">
        <v>42204</v>
      </c>
      <c r="B839" s="1">
        <v>37386</v>
      </c>
      <c r="C839" t="s">
        <v>4911</v>
      </c>
      <c r="D839">
        <v>373</v>
      </c>
      <c r="E839">
        <v>13799</v>
      </c>
      <c r="F839">
        <v>7</v>
      </c>
      <c r="G839">
        <v>1</v>
      </c>
      <c r="H839">
        <v>1</v>
      </c>
      <c r="I839">
        <v>2</v>
      </c>
      <c r="J839" t="s">
        <v>3555</v>
      </c>
      <c r="K839" t="s">
        <v>3556</v>
      </c>
      <c r="L839" s="2">
        <v>1320.6838</v>
      </c>
      <c r="M839" s="2">
        <v>2181.5625</v>
      </c>
      <c r="N839" t="s">
        <v>13</v>
      </c>
      <c r="O839" t="s">
        <v>1533</v>
      </c>
      <c r="P839" t="s">
        <v>428</v>
      </c>
      <c r="Q839" t="s">
        <v>7168</v>
      </c>
      <c r="R839" s="1">
        <v>24339</v>
      </c>
      <c r="S839" t="s">
        <v>22</v>
      </c>
      <c r="T839" t="s">
        <v>16</v>
      </c>
      <c r="U839" t="s">
        <v>1627</v>
      </c>
      <c r="V839">
        <v>30000</v>
      </c>
      <c r="W839">
        <v>2</v>
      </c>
      <c r="X839" t="s">
        <v>52</v>
      </c>
      <c r="Y839" t="s">
        <v>444</v>
      </c>
      <c r="Z839" t="s">
        <v>19</v>
      </c>
      <c r="AA839" t="s">
        <v>3583</v>
      </c>
      <c r="AB839" t="s">
        <v>3583</v>
      </c>
      <c r="AC839" t="s">
        <v>3584</v>
      </c>
      <c r="AD839" t="s">
        <v>3479</v>
      </c>
      <c r="AE839" t="s">
        <v>3475</v>
      </c>
      <c r="AF839" s="2">
        <v>2181.5625</v>
      </c>
      <c r="AG839" s="2">
        <v>1320.6838</v>
      </c>
      <c r="AH839" s="2">
        <v>860.87869999999998</v>
      </c>
      <c r="AI839" s="3">
        <v>0.39461564818793898</v>
      </c>
    </row>
    <row r="840" spans="1:35">
      <c r="A840" s="1">
        <v>42209</v>
      </c>
      <c r="B840" s="1">
        <v>37361</v>
      </c>
      <c r="C840" t="s">
        <v>4954</v>
      </c>
      <c r="D840">
        <v>370</v>
      </c>
      <c r="E840">
        <v>13800</v>
      </c>
      <c r="F840">
        <v>7</v>
      </c>
      <c r="G840">
        <v>1</v>
      </c>
      <c r="H840">
        <v>1</v>
      </c>
      <c r="I840">
        <v>2</v>
      </c>
      <c r="J840" t="s">
        <v>3551</v>
      </c>
      <c r="K840" t="s">
        <v>3552</v>
      </c>
      <c r="L840" s="2">
        <v>1518.7864</v>
      </c>
      <c r="M840" s="2">
        <v>2443.35</v>
      </c>
      <c r="N840" t="s">
        <v>13</v>
      </c>
      <c r="O840" t="s">
        <v>608</v>
      </c>
      <c r="P840" t="s">
        <v>338</v>
      </c>
      <c r="Q840" t="s">
        <v>7169</v>
      </c>
      <c r="R840" s="1">
        <v>23225</v>
      </c>
      <c r="S840" t="s">
        <v>16</v>
      </c>
      <c r="T840" t="s">
        <v>16</v>
      </c>
      <c r="U840" t="s">
        <v>1628</v>
      </c>
      <c r="V840">
        <v>30000</v>
      </c>
      <c r="W840">
        <v>2</v>
      </c>
      <c r="X840" t="s">
        <v>52</v>
      </c>
      <c r="Y840" t="s">
        <v>444</v>
      </c>
      <c r="Z840" t="s">
        <v>23</v>
      </c>
      <c r="AA840" t="s">
        <v>3583</v>
      </c>
      <c r="AB840" t="s">
        <v>3583</v>
      </c>
      <c r="AC840" t="s">
        <v>3584</v>
      </c>
      <c r="AD840" t="s">
        <v>3479</v>
      </c>
      <c r="AE840" t="s">
        <v>3475</v>
      </c>
      <c r="AF840" s="2">
        <v>2443.35</v>
      </c>
      <c r="AG840" s="2">
        <v>1518.7864</v>
      </c>
      <c r="AH840" s="2">
        <v>924.56359999999995</v>
      </c>
      <c r="AI840" s="3">
        <v>0.37839998362903399</v>
      </c>
    </row>
    <row r="841" spans="1:35">
      <c r="A841" s="1">
        <v>42228</v>
      </c>
      <c r="B841" s="1">
        <v>37465</v>
      </c>
      <c r="C841" t="s">
        <v>5099</v>
      </c>
      <c r="D841">
        <v>370</v>
      </c>
      <c r="E841">
        <v>13801</v>
      </c>
      <c r="F841">
        <v>7</v>
      </c>
      <c r="G841">
        <v>1</v>
      </c>
      <c r="H841">
        <v>1</v>
      </c>
      <c r="I841">
        <v>2</v>
      </c>
      <c r="J841" t="s">
        <v>3551</v>
      </c>
      <c r="K841" t="s">
        <v>3552</v>
      </c>
      <c r="L841" s="2">
        <v>1518.7864</v>
      </c>
      <c r="M841" s="2">
        <v>2443.35</v>
      </c>
      <c r="N841" t="s">
        <v>30</v>
      </c>
      <c r="O841" t="s">
        <v>564</v>
      </c>
      <c r="P841" t="s">
        <v>134</v>
      </c>
      <c r="Q841" t="s">
        <v>7170</v>
      </c>
      <c r="R841" s="1">
        <v>23325</v>
      </c>
      <c r="S841" t="s">
        <v>22</v>
      </c>
      <c r="T841" t="s">
        <v>29</v>
      </c>
      <c r="U841" t="s">
        <v>1629</v>
      </c>
      <c r="V841">
        <v>30000</v>
      </c>
      <c r="W841">
        <v>2</v>
      </c>
      <c r="X841" t="s">
        <v>52</v>
      </c>
      <c r="Y841" t="s">
        <v>60</v>
      </c>
      <c r="Z841" t="s">
        <v>19</v>
      </c>
      <c r="AA841" t="s">
        <v>3583</v>
      </c>
      <c r="AB841" t="s">
        <v>3583</v>
      </c>
      <c r="AC841" t="s">
        <v>3584</v>
      </c>
      <c r="AD841" t="s">
        <v>3479</v>
      </c>
      <c r="AE841" t="s">
        <v>3475</v>
      </c>
      <c r="AF841" s="2">
        <v>2443.35</v>
      </c>
      <c r="AG841" s="2">
        <v>1518.7864</v>
      </c>
      <c r="AH841" s="2">
        <v>924.56359999999995</v>
      </c>
      <c r="AI841" s="3">
        <v>0.37839998362903399</v>
      </c>
    </row>
    <row r="842" spans="1:35">
      <c r="A842" s="1">
        <v>42231</v>
      </c>
      <c r="B842" s="1">
        <v>37377</v>
      </c>
      <c r="C842" t="s">
        <v>5126</v>
      </c>
      <c r="D842">
        <v>371</v>
      </c>
      <c r="E842">
        <v>13806</v>
      </c>
      <c r="F842">
        <v>7</v>
      </c>
      <c r="G842">
        <v>1</v>
      </c>
      <c r="H842">
        <v>1</v>
      </c>
      <c r="I842">
        <v>2</v>
      </c>
      <c r="J842" t="s">
        <v>3553</v>
      </c>
      <c r="K842" t="s">
        <v>3554</v>
      </c>
      <c r="L842" s="2">
        <v>1320.6838</v>
      </c>
      <c r="M842" s="2">
        <v>2181.5625</v>
      </c>
      <c r="N842" t="s">
        <v>13</v>
      </c>
      <c r="O842" t="s">
        <v>184</v>
      </c>
      <c r="P842" t="s">
        <v>35</v>
      </c>
      <c r="Q842" t="s">
        <v>7171</v>
      </c>
      <c r="R842" s="1">
        <v>23533</v>
      </c>
      <c r="S842" t="s">
        <v>16</v>
      </c>
      <c r="T842" t="s">
        <v>16</v>
      </c>
      <c r="U842" t="s">
        <v>1630</v>
      </c>
      <c r="V842">
        <v>30000</v>
      </c>
      <c r="W842">
        <v>2</v>
      </c>
      <c r="X842" t="s">
        <v>52</v>
      </c>
      <c r="Y842" t="s">
        <v>60</v>
      </c>
      <c r="Z842" t="s">
        <v>23</v>
      </c>
      <c r="AA842" t="s">
        <v>3583</v>
      </c>
      <c r="AB842" t="s">
        <v>3583</v>
      </c>
      <c r="AC842" t="s">
        <v>3584</v>
      </c>
      <c r="AD842" t="s">
        <v>3479</v>
      </c>
      <c r="AE842" t="s">
        <v>3475</v>
      </c>
      <c r="AF842" s="2">
        <v>2181.5625</v>
      </c>
      <c r="AG842" s="2">
        <v>1320.6838</v>
      </c>
      <c r="AH842" s="2">
        <v>860.87869999999998</v>
      </c>
      <c r="AI842" s="3">
        <v>0.39461564818793898</v>
      </c>
    </row>
    <row r="843" spans="1:35">
      <c r="A843" s="1">
        <v>42242</v>
      </c>
      <c r="B843" s="1">
        <v>37388</v>
      </c>
      <c r="C843" t="s">
        <v>5241</v>
      </c>
      <c r="D843">
        <v>379</v>
      </c>
      <c r="E843">
        <v>13811</v>
      </c>
      <c r="F843">
        <v>7</v>
      </c>
      <c r="G843">
        <v>1</v>
      </c>
      <c r="H843">
        <v>1</v>
      </c>
      <c r="I843">
        <v>2</v>
      </c>
      <c r="J843" t="s">
        <v>3561</v>
      </c>
      <c r="K843" t="s">
        <v>3562</v>
      </c>
      <c r="L843" s="2">
        <v>1320.6838</v>
      </c>
      <c r="M843" s="2">
        <v>2181.5625</v>
      </c>
      <c r="N843" t="s">
        <v>30</v>
      </c>
      <c r="O843" t="s">
        <v>1207</v>
      </c>
      <c r="P843" t="s">
        <v>686</v>
      </c>
      <c r="Q843" t="s">
        <v>7172</v>
      </c>
      <c r="R843" s="1">
        <v>23119</v>
      </c>
      <c r="S843" t="s">
        <v>22</v>
      </c>
      <c r="T843" t="s">
        <v>29</v>
      </c>
      <c r="U843" t="s">
        <v>1631</v>
      </c>
      <c r="V843">
        <v>30000</v>
      </c>
      <c r="W843">
        <v>2</v>
      </c>
      <c r="X843" t="s">
        <v>52</v>
      </c>
      <c r="Y843" t="s">
        <v>60</v>
      </c>
      <c r="Z843" t="s">
        <v>19</v>
      </c>
      <c r="AA843" t="s">
        <v>3583</v>
      </c>
      <c r="AB843" t="s">
        <v>3583</v>
      </c>
      <c r="AC843" t="s">
        <v>3584</v>
      </c>
      <c r="AD843" t="s">
        <v>3479</v>
      </c>
      <c r="AE843" t="s">
        <v>3475</v>
      </c>
      <c r="AF843" s="2">
        <v>2181.5625</v>
      </c>
      <c r="AG843" s="2">
        <v>1320.6838</v>
      </c>
      <c r="AH843" s="2">
        <v>860.87869999999998</v>
      </c>
      <c r="AI843" s="3">
        <v>0.39461564818793898</v>
      </c>
    </row>
    <row r="844" spans="1:35">
      <c r="A844" s="1">
        <v>42229</v>
      </c>
      <c r="B844" s="1">
        <v>37456</v>
      </c>
      <c r="C844" t="s">
        <v>5111</v>
      </c>
      <c r="D844">
        <v>368</v>
      </c>
      <c r="E844">
        <v>13812</v>
      </c>
      <c r="F844">
        <v>7</v>
      </c>
      <c r="G844">
        <v>1</v>
      </c>
      <c r="H844">
        <v>1</v>
      </c>
      <c r="I844">
        <v>2</v>
      </c>
      <c r="J844" t="s">
        <v>3547</v>
      </c>
      <c r="K844" t="s">
        <v>3548</v>
      </c>
      <c r="L844" s="2">
        <v>1518.7864</v>
      </c>
      <c r="M844" s="2">
        <v>2443.35</v>
      </c>
      <c r="N844" t="s">
        <v>30</v>
      </c>
      <c r="O844" t="s">
        <v>885</v>
      </c>
      <c r="P844" t="s">
        <v>129</v>
      </c>
      <c r="Q844" t="s">
        <v>7173</v>
      </c>
      <c r="R844" s="1">
        <v>23157</v>
      </c>
      <c r="S844" t="s">
        <v>22</v>
      </c>
      <c r="T844" t="s">
        <v>29</v>
      </c>
      <c r="U844" t="s">
        <v>1632</v>
      </c>
      <c r="V844">
        <v>30000</v>
      </c>
      <c r="W844">
        <v>2</v>
      </c>
      <c r="X844" t="s">
        <v>52</v>
      </c>
      <c r="Y844" t="s">
        <v>60</v>
      </c>
      <c r="Z844" t="s">
        <v>19</v>
      </c>
      <c r="AA844" t="s">
        <v>3583</v>
      </c>
      <c r="AB844" t="s">
        <v>3583</v>
      </c>
      <c r="AC844" t="s">
        <v>3584</v>
      </c>
      <c r="AD844" t="s">
        <v>3479</v>
      </c>
      <c r="AE844" t="s">
        <v>3475</v>
      </c>
      <c r="AF844" s="2">
        <v>2443.35</v>
      </c>
      <c r="AG844" s="2">
        <v>1518.7864</v>
      </c>
      <c r="AH844" s="2">
        <v>924.56359999999995</v>
      </c>
      <c r="AI844" s="3">
        <v>0.37839998362903399</v>
      </c>
    </row>
    <row r="845" spans="1:35">
      <c r="A845" s="1">
        <v>42235</v>
      </c>
      <c r="B845" s="1">
        <v>37466</v>
      </c>
      <c r="C845" t="s">
        <v>5167</v>
      </c>
      <c r="D845">
        <v>370</v>
      </c>
      <c r="E845">
        <v>13823</v>
      </c>
      <c r="F845">
        <v>7</v>
      </c>
      <c r="G845">
        <v>1</v>
      </c>
      <c r="H845">
        <v>1</v>
      </c>
      <c r="I845">
        <v>2</v>
      </c>
      <c r="J845" t="s">
        <v>3551</v>
      </c>
      <c r="K845" t="s">
        <v>3552</v>
      </c>
      <c r="L845" s="2">
        <v>1518.7864</v>
      </c>
      <c r="M845" s="2">
        <v>2443.35</v>
      </c>
      <c r="N845" t="s">
        <v>30</v>
      </c>
      <c r="O845" t="s">
        <v>1088</v>
      </c>
      <c r="P845" t="s">
        <v>122</v>
      </c>
      <c r="Q845" t="s">
        <v>7174</v>
      </c>
      <c r="R845" s="1">
        <v>22772</v>
      </c>
      <c r="S845" t="s">
        <v>16</v>
      </c>
      <c r="T845" t="s">
        <v>29</v>
      </c>
      <c r="U845" t="s">
        <v>1634</v>
      </c>
      <c r="V845">
        <v>40000</v>
      </c>
      <c r="W845">
        <v>1</v>
      </c>
      <c r="X845" t="s">
        <v>17</v>
      </c>
      <c r="Y845" t="s">
        <v>53</v>
      </c>
      <c r="Z845" t="s">
        <v>19</v>
      </c>
      <c r="AA845" t="s">
        <v>3583</v>
      </c>
      <c r="AB845" t="s">
        <v>3583</v>
      </c>
      <c r="AC845" t="s">
        <v>3584</v>
      </c>
      <c r="AD845" t="s">
        <v>3479</v>
      </c>
      <c r="AE845" t="s">
        <v>3475</v>
      </c>
      <c r="AF845" s="2">
        <v>2443.35</v>
      </c>
      <c r="AG845" s="2">
        <v>1518.7864</v>
      </c>
      <c r="AH845" s="2">
        <v>924.56359999999995</v>
      </c>
      <c r="AI845" s="3">
        <v>0.37839998362903399</v>
      </c>
    </row>
    <row r="846" spans="1:35">
      <c r="A846" s="1">
        <v>42222</v>
      </c>
      <c r="B846" s="1">
        <v>37406</v>
      </c>
      <c r="C846" t="s">
        <v>5055</v>
      </c>
      <c r="D846">
        <v>369</v>
      </c>
      <c r="E846">
        <v>13839</v>
      </c>
      <c r="F846">
        <v>7</v>
      </c>
      <c r="G846">
        <v>1</v>
      </c>
      <c r="H846">
        <v>1</v>
      </c>
      <c r="I846">
        <v>2</v>
      </c>
      <c r="J846" t="s">
        <v>3549</v>
      </c>
      <c r="K846" t="s">
        <v>3550</v>
      </c>
      <c r="L846" s="2">
        <v>1518.7864</v>
      </c>
      <c r="M846" s="2">
        <v>2443.35</v>
      </c>
      <c r="N846" t="s">
        <v>13</v>
      </c>
      <c r="O846" t="s">
        <v>1181</v>
      </c>
      <c r="P846" t="s">
        <v>658</v>
      </c>
      <c r="Q846" t="s">
        <v>7175</v>
      </c>
      <c r="R846" s="1">
        <v>27096</v>
      </c>
      <c r="S846" t="s">
        <v>22</v>
      </c>
      <c r="T846" t="s">
        <v>16</v>
      </c>
      <c r="U846" t="s">
        <v>1636</v>
      </c>
      <c r="V846">
        <v>10000</v>
      </c>
      <c r="W846">
        <v>0</v>
      </c>
      <c r="X846" t="s">
        <v>77</v>
      </c>
      <c r="Y846" t="s">
        <v>444</v>
      </c>
      <c r="Z846" t="s">
        <v>23</v>
      </c>
      <c r="AA846" t="s">
        <v>3583</v>
      </c>
      <c r="AB846" t="s">
        <v>3583</v>
      </c>
      <c r="AC846" t="s">
        <v>3584</v>
      </c>
      <c r="AD846" t="s">
        <v>3479</v>
      </c>
      <c r="AE846" t="s">
        <v>3475</v>
      </c>
      <c r="AF846" s="2">
        <v>2443.35</v>
      </c>
      <c r="AG846" s="2">
        <v>1518.7864</v>
      </c>
      <c r="AH846" s="2">
        <v>924.56359999999995</v>
      </c>
      <c r="AI846" s="3">
        <v>0.37839998362903399</v>
      </c>
    </row>
    <row r="847" spans="1:35">
      <c r="A847" s="1">
        <v>42244</v>
      </c>
      <c r="B847" s="1">
        <v>37432</v>
      </c>
      <c r="C847" t="s">
        <v>5259</v>
      </c>
      <c r="D847">
        <v>379</v>
      </c>
      <c r="E847">
        <v>13840</v>
      </c>
      <c r="F847">
        <v>7</v>
      </c>
      <c r="G847">
        <v>1</v>
      </c>
      <c r="H847">
        <v>1</v>
      </c>
      <c r="I847">
        <v>2</v>
      </c>
      <c r="J847" t="s">
        <v>3561</v>
      </c>
      <c r="K847" t="s">
        <v>3562</v>
      </c>
      <c r="L847" s="2">
        <v>1320.6838</v>
      </c>
      <c r="M847" s="2">
        <v>2181.5625</v>
      </c>
      <c r="N847" t="s">
        <v>13</v>
      </c>
      <c r="O847" t="s">
        <v>1637</v>
      </c>
      <c r="P847" t="s">
        <v>490</v>
      </c>
      <c r="Q847" t="s">
        <v>7176</v>
      </c>
      <c r="R847" s="1">
        <v>27122</v>
      </c>
      <c r="S847" t="s">
        <v>16</v>
      </c>
      <c r="T847" t="s">
        <v>16</v>
      </c>
      <c r="U847" t="s">
        <v>1638</v>
      </c>
      <c r="V847">
        <v>10000</v>
      </c>
      <c r="W847">
        <v>0</v>
      </c>
      <c r="X847" t="s">
        <v>77</v>
      </c>
      <c r="Y847" t="s">
        <v>444</v>
      </c>
      <c r="Z847" t="s">
        <v>19</v>
      </c>
      <c r="AA847" t="s">
        <v>3583</v>
      </c>
      <c r="AB847" t="s">
        <v>3583</v>
      </c>
      <c r="AC847" t="s">
        <v>3584</v>
      </c>
      <c r="AD847" t="s">
        <v>3479</v>
      </c>
      <c r="AE847" t="s">
        <v>3475</v>
      </c>
      <c r="AF847" s="2">
        <v>2181.5625</v>
      </c>
      <c r="AG847" s="2">
        <v>1320.6838</v>
      </c>
      <c r="AH847" s="2">
        <v>860.87869999999998</v>
      </c>
      <c r="AI847" s="3">
        <v>0.39461564818793898</v>
      </c>
    </row>
    <row r="848" spans="1:35">
      <c r="A848" s="1">
        <v>42196</v>
      </c>
      <c r="B848" s="1">
        <v>37431</v>
      </c>
      <c r="C848" t="s">
        <v>4845</v>
      </c>
      <c r="D848">
        <v>387</v>
      </c>
      <c r="E848">
        <v>13986</v>
      </c>
      <c r="F848">
        <v>4</v>
      </c>
      <c r="G848">
        <v>1</v>
      </c>
      <c r="H848">
        <v>1</v>
      </c>
      <c r="I848">
        <v>2</v>
      </c>
      <c r="J848" t="s">
        <v>3569</v>
      </c>
      <c r="K848" t="s">
        <v>3570</v>
      </c>
      <c r="L848" s="2">
        <v>605.64919999999995</v>
      </c>
      <c r="M848" s="2">
        <v>1000.4375</v>
      </c>
      <c r="N848" t="s">
        <v>26</v>
      </c>
      <c r="O848" t="s">
        <v>50</v>
      </c>
      <c r="P848" t="s">
        <v>166</v>
      </c>
      <c r="Q848" t="s">
        <v>7177</v>
      </c>
      <c r="R848" s="1">
        <v>29153</v>
      </c>
      <c r="S848" t="s">
        <v>16</v>
      </c>
      <c r="T848" t="s">
        <v>29</v>
      </c>
      <c r="U848" t="s">
        <v>1641</v>
      </c>
      <c r="V848">
        <v>60000</v>
      </c>
      <c r="W848">
        <v>0</v>
      </c>
      <c r="X848" t="s">
        <v>52</v>
      </c>
      <c r="Y848" t="s">
        <v>53</v>
      </c>
      <c r="Z848" t="s">
        <v>19</v>
      </c>
      <c r="AA848" t="s">
        <v>3580</v>
      </c>
      <c r="AB848" t="s">
        <v>3578</v>
      </c>
      <c r="AC848" t="s">
        <v>3579</v>
      </c>
      <c r="AD848" t="s">
        <v>3479</v>
      </c>
      <c r="AE848" t="s">
        <v>3475</v>
      </c>
      <c r="AF848" s="2">
        <v>1000.4375</v>
      </c>
      <c r="AG848" s="2">
        <v>605.64919999999995</v>
      </c>
      <c r="AH848" s="2">
        <v>394.78829999999999</v>
      </c>
      <c r="AI848" s="3">
        <v>0.39461565565065299</v>
      </c>
    </row>
    <row r="849" spans="1:35">
      <c r="A849" s="1">
        <v>42204</v>
      </c>
      <c r="B849" s="1">
        <v>37389</v>
      </c>
      <c r="C849" t="s">
        <v>4917</v>
      </c>
      <c r="D849">
        <v>385</v>
      </c>
      <c r="E849">
        <v>13990</v>
      </c>
      <c r="F849">
        <v>1</v>
      </c>
      <c r="G849">
        <v>1</v>
      </c>
      <c r="H849">
        <v>1</v>
      </c>
      <c r="I849">
        <v>2</v>
      </c>
      <c r="J849" t="s">
        <v>3567</v>
      </c>
      <c r="K849" t="s">
        <v>3568</v>
      </c>
      <c r="L849" s="2">
        <v>605.64919999999995</v>
      </c>
      <c r="M849" s="2">
        <v>1000.4375</v>
      </c>
      <c r="N849" t="s">
        <v>26</v>
      </c>
      <c r="O849" t="s">
        <v>306</v>
      </c>
      <c r="P849" t="s">
        <v>283</v>
      </c>
      <c r="Q849" t="s">
        <v>7178</v>
      </c>
      <c r="R849" s="1">
        <v>28575</v>
      </c>
      <c r="S849" t="s">
        <v>22</v>
      </c>
      <c r="T849" t="s">
        <v>29</v>
      </c>
      <c r="U849" t="s">
        <v>1642</v>
      </c>
      <c r="V849">
        <v>40000</v>
      </c>
      <c r="W849">
        <v>0</v>
      </c>
      <c r="X849" t="s">
        <v>52</v>
      </c>
      <c r="Y849" t="s">
        <v>53</v>
      </c>
      <c r="Z849" t="s">
        <v>23</v>
      </c>
      <c r="AA849" t="s">
        <v>3577</v>
      </c>
      <c r="AB849" t="s">
        <v>3578</v>
      </c>
      <c r="AC849" t="s">
        <v>3579</v>
      </c>
      <c r="AD849" t="s">
        <v>3479</v>
      </c>
      <c r="AE849" t="s">
        <v>3475</v>
      </c>
      <c r="AF849" s="2">
        <v>1000.4375</v>
      </c>
      <c r="AG849" s="2">
        <v>605.64919999999995</v>
      </c>
      <c r="AH849" s="2">
        <v>394.78829999999999</v>
      </c>
      <c r="AI849" s="3">
        <v>0.39461565565065299</v>
      </c>
    </row>
    <row r="850" spans="1:35">
      <c r="A850" s="1">
        <v>42192</v>
      </c>
      <c r="B850" s="1">
        <v>37337</v>
      </c>
      <c r="C850" t="s">
        <v>4819</v>
      </c>
      <c r="D850">
        <v>385</v>
      </c>
      <c r="E850">
        <v>13992</v>
      </c>
      <c r="F850">
        <v>4</v>
      </c>
      <c r="G850">
        <v>1</v>
      </c>
      <c r="H850">
        <v>1</v>
      </c>
      <c r="I850">
        <v>2</v>
      </c>
      <c r="J850" t="s">
        <v>3567</v>
      </c>
      <c r="K850" t="s">
        <v>3568</v>
      </c>
      <c r="L850" s="2">
        <v>605.64919999999995</v>
      </c>
      <c r="M850" s="2">
        <v>1000.4375</v>
      </c>
      <c r="N850" t="s">
        <v>13</v>
      </c>
      <c r="O850" t="s">
        <v>1408</v>
      </c>
      <c r="P850" t="s">
        <v>72</v>
      </c>
      <c r="Q850" t="s">
        <v>7179</v>
      </c>
      <c r="R850" s="1">
        <v>28647</v>
      </c>
      <c r="S850" t="s">
        <v>22</v>
      </c>
      <c r="T850" t="s">
        <v>16</v>
      </c>
      <c r="U850" t="s">
        <v>1643</v>
      </c>
      <c r="V850">
        <v>60000</v>
      </c>
      <c r="W850">
        <v>0</v>
      </c>
      <c r="X850" t="s">
        <v>52</v>
      </c>
      <c r="Y850" t="s">
        <v>53</v>
      </c>
      <c r="Z850" t="s">
        <v>23</v>
      </c>
      <c r="AA850" t="s">
        <v>3580</v>
      </c>
      <c r="AB850" t="s">
        <v>3578</v>
      </c>
      <c r="AC850" t="s">
        <v>3579</v>
      </c>
      <c r="AD850" t="s">
        <v>3479</v>
      </c>
      <c r="AE850" t="s">
        <v>3475</v>
      </c>
      <c r="AF850" s="2">
        <v>1000.4375</v>
      </c>
      <c r="AG850" s="2">
        <v>605.64919999999995</v>
      </c>
      <c r="AH850" s="2">
        <v>394.78829999999999</v>
      </c>
      <c r="AI850" s="3">
        <v>0.39461565565065299</v>
      </c>
    </row>
    <row r="851" spans="1:35">
      <c r="A851" s="1">
        <v>42195</v>
      </c>
      <c r="B851" s="1">
        <v>37366</v>
      </c>
      <c r="C851" t="s">
        <v>4842</v>
      </c>
      <c r="D851">
        <v>383</v>
      </c>
      <c r="E851">
        <v>13993</v>
      </c>
      <c r="F851">
        <v>4</v>
      </c>
      <c r="G851">
        <v>1</v>
      </c>
      <c r="H851">
        <v>1</v>
      </c>
      <c r="I851">
        <v>2</v>
      </c>
      <c r="J851" t="s">
        <v>3565</v>
      </c>
      <c r="K851" t="s">
        <v>3566</v>
      </c>
      <c r="L851" s="2">
        <v>605.64919999999995</v>
      </c>
      <c r="M851" s="2">
        <v>1000.4375</v>
      </c>
      <c r="N851" t="s">
        <v>13</v>
      </c>
      <c r="O851" t="s">
        <v>433</v>
      </c>
      <c r="P851" t="s">
        <v>261</v>
      </c>
      <c r="Q851" t="s">
        <v>7180</v>
      </c>
      <c r="R851" s="1">
        <v>28726</v>
      </c>
      <c r="S851" t="s">
        <v>16</v>
      </c>
      <c r="T851" t="s">
        <v>16</v>
      </c>
      <c r="U851" t="s">
        <v>1644</v>
      </c>
      <c r="V851">
        <v>60000</v>
      </c>
      <c r="W851">
        <v>0</v>
      </c>
      <c r="X851" t="s">
        <v>52</v>
      </c>
      <c r="Y851" t="s">
        <v>53</v>
      </c>
      <c r="Z851" t="s">
        <v>19</v>
      </c>
      <c r="AA851" t="s">
        <v>3580</v>
      </c>
      <c r="AB851" t="s">
        <v>3578</v>
      </c>
      <c r="AC851" t="s">
        <v>3579</v>
      </c>
      <c r="AD851" t="s">
        <v>3479</v>
      </c>
      <c r="AE851" t="s">
        <v>3475</v>
      </c>
      <c r="AF851" s="2">
        <v>1000.4375</v>
      </c>
      <c r="AG851" s="2">
        <v>605.64919999999995</v>
      </c>
      <c r="AH851" s="2">
        <v>394.78829999999999</v>
      </c>
      <c r="AI851" s="3">
        <v>0.39461565565065299</v>
      </c>
    </row>
    <row r="852" spans="1:35">
      <c r="A852" s="1">
        <v>42213</v>
      </c>
      <c r="B852" s="1">
        <v>37354</v>
      </c>
      <c r="C852" t="s">
        <v>4980</v>
      </c>
      <c r="D852">
        <v>381</v>
      </c>
      <c r="E852">
        <v>13999</v>
      </c>
      <c r="F852">
        <v>4</v>
      </c>
      <c r="G852">
        <v>1</v>
      </c>
      <c r="H852">
        <v>1</v>
      </c>
      <c r="I852">
        <v>2</v>
      </c>
      <c r="J852" t="s">
        <v>3563</v>
      </c>
      <c r="K852" t="s">
        <v>3564</v>
      </c>
      <c r="L852" s="2">
        <v>605.64919999999995</v>
      </c>
      <c r="M852" s="2">
        <v>1000.4375</v>
      </c>
      <c r="N852" t="s">
        <v>13</v>
      </c>
      <c r="O852" t="s">
        <v>435</v>
      </c>
      <c r="P852" t="s">
        <v>422</v>
      </c>
      <c r="Q852" t="s">
        <v>7181</v>
      </c>
      <c r="R852" s="1">
        <v>28719</v>
      </c>
      <c r="S852" t="s">
        <v>16</v>
      </c>
      <c r="T852" t="s">
        <v>16</v>
      </c>
      <c r="U852" t="s">
        <v>1645</v>
      </c>
      <c r="V852">
        <v>70000</v>
      </c>
      <c r="W852">
        <v>0</v>
      </c>
      <c r="X852" t="s">
        <v>52</v>
      </c>
      <c r="Y852" t="s">
        <v>53</v>
      </c>
      <c r="Z852" t="s">
        <v>19</v>
      </c>
      <c r="AA852" t="s">
        <v>3580</v>
      </c>
      <c r="AB852" t="s">
        <v>3578</v>
      </c>
      <c r="AC852" t="s">
        <v>3579</v>
      </c>
      <c r="AD852" t="s">
        <v>3479</v>
      </c>
      <c r="AE852" t="s">
        <v>3475</v>
      </c>
      <c r="AF852" s="2">
        <v>1000.4375</v>
      </c>
      <c r="AG852" s="2">
        <v>605.64919999999995</v>
      </c>
      <c r="AH852" s="2">
        <v>394.78829999999999</v>
      </c>
      <c r="AI852" s="3">
        <v>0.39461565565065299</v>
      </c>
    </row>
    <row r="853" spans="1:35">
      <c r="A853" s="1">
        <v>42205</v>
      </c>
      <c r="B853" s="1">
        <v>37412</v>
      </c>
      <c r="C853" t="s">
        <v>4918</v>
      </c>
      <c r="D853">
        <v>381</v>
      </c>
      <c r="E853">
        <v>14003</v>
      </c>
      <c r="F853">
        <v>1</v>
      </c>
      <c r="G853">
        <v>1</v>
      </c>
      <c r="H853">
        <v>1</v>
      </c>
      <c r="I853">
        <v>2</v>
      </c>
      <c r="J853" t="s">
        <v>3563</v>
      </c>
      <c r="K853" t="s">
        <v>3564</v>
      </c>
      <c r="L853" s="2">
        <v>605.64919999999995</v>
      </c>
      <c r="M853" s="2">
        <v>1000.4375</v>
      </c>
      <c r="N853" t="s">
        <v>13</v>
      </c>
      <c r="O853" t="s">
        <v>350</v>
      </c>
      <c r="P853" t="s">
        <v>259</v>
      </c>
      <c r="Q853" t="s">
        <v>7182</v>
      </c>
      <c r="R853" s="1">
        <v>28403</v>
      </c>
      <c r="S853" t="s">
        <v>22</v>
      </c>
      <c r="T853" t="s">
        <v>16</v>
      </c>
      <c r="U853" t="s">
        <v>1646</v>
      </c>
      <c r="V853">
        <v>30000</v>
      </c>
      <c r="W853">
        <v>0</v>
      </c>
      <c r="X853" t="s">
        <v>52</v>
      </c>
      <c r="Y853" t="s">
        <v>53</v>
      </c>
      <c r="Z853" t="s">
        <v>23</v>
      </c>
      <c r="AA853" t="s">
        <v>3577</v>
      </c>
      <c r="AB853" t="s">
        <v>3578</v>
      </c>
      <c r="AC853" t="s">
        <v>3579</v>
      </c>
      <c r="AD853" t="s">
        <v>3479</v>
      </c>
      <c r="AE853" t="s">
        <v>3475</v>
      </c>
      <c r="AF853" s="2">
        <v>1000.4375</v>
      </c>
      <c r="AG853" s="2">
        <v>605.64919999999995</v>
      </c>
      <c r="AH853" s="2">
        <v>394.78829999999999</v>
      </c>
      <c r="AI853" s="3">
        <v>0.39461565565065299</v>
      </c>
    </row>
    <row r="854" spans="1:35">
      <c r="A854" s="1">
        <v>42242</v>
      </c>
      <c r="B854" s="1">
        <v>37445</v>
      </c>
      <c r="C854" t="s">
        <v>5239</v>
      </c>
      <c r="D854">
        <v>387</v>
      </c>
      <c r="E854">
        <v>14005</v>
      </c>
      <c r="F854">
        <v>4</v>
      </c>
      <c r="G854">
        <v>1</v>
      </c>
      <c r="H854">
        <v>1</v>
      </c>
      <c r="I854">
        <v>2</v>
      </c>
      <c r="J854" t="s">
        <v>3569</v>
      </c>
      <c r="K854" t="s">
        <v>3570</v>
      </c>
      <c r="L854" s="2">
        <v>605.64919999999995</v>
      </c>
      <c r="M854" s="2">
        <v>1000.4375</v>
      </c>
      <c r="N854" t="s">
        <v>13</v>
      </c>
      <c r="O854" t="s">
        <v>141</v>
      </c>
      <c r="P854" t="s">
        <v>280</v>
      </c>
      <c r="Q854" t="s">
        <v>7183</v>
      </c>
      <c r="R854" s="1">
        <v>28258</v>
      </c>
      <c r="S854" t="s">
        <v>16</v>
      </c>
      <c r="T854" t="s">
        <v>16</v>
      </c>
      <c r="U854" t="s">
        <v>1647</v>
      </c>
      <c r="V854">
        <v>70000</v>
      </c>
      <c r="W854">
        <v>0</v>
      </c>
      <c r="X854" t="s">
        <v>52</v>
      </c>
      <c r="Y854" t="s">
        <v>53</v>
      </c>
      <c r="Z854" t="s">
        <v>23</v>
      </c>
      <c r="AA854" t="s">
        <v>3580</v>
      </c>
      <c r="AB854" t="s">
        <v>3578</v>
      </c>
      <c r="AC854" t="s">
        <v>3579</v>
      </c>
      <c r="AD854" t="s">
        <v>3479</v>
      </c>
      <c r="AE854" t="s">
        <v>3475</v>
      </c>
      <c r="AF854" s="2">
        <v>1000.4375</v>
      </c>
      <c r="AG854" s="2">
        <v>605.64919999999995</v>
      </c>
      <c r="AH854" s="2">
        <v>394.78829999999999</v>
      </c>
      <c r="AI854" s="3">
        <v>0.39461565565065299</v>
      </c>
    </row>
    <row r="855" spans="1:35">
      <c r="A855" s="1">
        <v>42223</v>
      </c>
      <c r="B855" s="1">
        <v>37440</v>
      </c>
      <c r="C855" t="s">
        <v>5061</v>
      </c>
      <c r="D855">
        <v>381</v>
      </c>
      <c r="E855">
        <v>14006</v>
      </c>
      <c r="F855">
        <v>4</v>
      </c>
      <c r="G855">
        <v>1</v>
      </c>
      <c r="H855">
        <v>1</v>
      </c>
      <c r="I855">
        <v>2</v>
      </c>
      <c r="J855" t="s">
        <v>3563</v>
      </c>
      <c r="K855" t="s">
        <v>3564</v>
      </c>
      <c r="L855" s="2">
        <v>605.64919999999995</v>
      </c>
      <c r="M855" s="2">
        <v>1000.4375</v>
      </c>
      <c r="N855" t="s">
        <v>26</v>
      </c>
      <c r="O855" t="s">
        <v>251</v>
      </c>
      <c r="P855" t="s">
        <v>44</v>
      </c>
      <c r="Q855" t="s">
        <v>7184</v>
      </c>
      <c r="R855" s="1">
        <v>28395</v>
      </c>
      <c r="S855" t="s">
        <v>16</v>
      </c>
      <c r="T855" t="s">
        <v>29</v>
      </c>
      <c r="U855" t="s">
        <v>1648</v>
      </c>
      <c r="V855">
        <v>70000</v>
      </c>
      <c r="W855">
        <v>0</v>
      </c>
      <c r="X855" t="s">
        <v>52</v>
      </c>
      <c r="Y855" t="s">
        <v>53</v>
      </c>
      <c r="Z855" t="s">
        <v>19</v>
      </c>
      <c r="AA855" t="s">
        <v>3580</v>
      </c>
      <c r="AB855" t="s">
        <v>3578</v>
      </c>
      <c r="AC855" t="s">
        <v>3579</v>
      </c>
      <c r="AD855" t="s">
        <v>3479</v>
      </c>
      <c r="AE855" t="s">
        <v>3475</v>
      </c>
      <c r="AF855" s="2">
        <v>1000.4375</v>
      </c>
      <c r="AG855" s="2">
        <v>605.64919999999995</v>
      </c>
      <c r="AH855" s="2">
        <v>394.78829999999999</v>
      </c>
      <c r="AI855" s="3">
        <v>0.39461565565065299</v>
      </c>
    </row>
    <row r="856" spans="1:35">
      <c r="A856" s="1">
        <v>42217</v>
      </c>
      <c r="B856" s="1">
        <v>37383</v>
      </c>
      <c r="C856" t="s">
        <v>5011</v>
      </c>
      <c r="D856">
        <v>383</v>
      </c>
      <c r="E856">
        <v>14017</v>
      </c>
      <c r="F856">
        <v>4</v>
      </c>
      <c r="G856">
        <v>1</v>
      </c>
      <c r="H856">
        <v>1</v>
      </c>
      <c r="I856">
        <v>2</v>
      </c>
      <c r="J856" t="s">
        <v>3565</v>
      </c>
      <c r="K856" t="s">
        <v>3566</v>
      </c>
      <c r="L856" s="2">
        <v>605.64919999999995</v>
      </c>
      <c r="M856" s="2">
        <v>1000.4375</v>
      </c>
      <c r="N856" t="s">
        <v>26</v>
      </c>
      <c r="O856" t="s">
        <v>50</v>
      </c>
      <c r="P856" t="s">
        <v>293</v>
      </c>
      <c r="Q856" t="s">
        <v>7185</v>
      </c>
      <c r="R856" s="1">
        <v>29547</v>
      </c>
      <c r="S856" t="s">
        <v>22</v>
      </c>
      <c r="T856" t="s">
        <v>29</v>
      </c>
      <c r="U856" t="s">
        <v>1649</v>
      </c>
      <c r="V856">
        <v>60000</v>
      </c>
      <c r="W856">
        <v>0</v>
      </c>
      <c r="X856" t="s">
        <v>52</v>
      </c>
      <c r="Y856" t="s">
        <v>53</v>
      </c>
      <c r="Z856" t="s">
        <v>23</v>
      </c>
      <c r="AA856" t="s">
        <v>3580</v>
      </c>
      <c r="AB856" t="s">
        <v>3578</v>
      </c>
      <c r="AC856" t="s">
        <v>3579</v>
      </c>
      <c r="AD856" t="s">
        <v>3479</v>
      </c>
      <c r="AE856" t="s">
        <v>3475</v>
      </c>
      <c r="AF856" s="2">
        <v>1000.4375</v>
      </c>
      <c r="AG856" s="2">
        <v>605.64919999999995</v>
      </c>
      <c r="AH856" s="2">
        <v>394.78829999999999</v>
      </c>
      <c r="AI856" s="3">
        <v>0.39461565565065299</v>
      </c>
    </row>
    <row r="857" spans="1:35">
      <c r="A857" s="1">
        <v>42230</v>
      </c>
      <c r="B857" s="1">
        <v>37414</v>
      </c>
      <c r="C857" t="s">
        <v>5124</v>
      </c>
      <c r="D857">
        <v>381</v>
      </c>
      <c r="E857">
        <v>14022</v>
      </c>
      <c r="F857">
        <v>1</v>
      </c>
      <c r="G857">
        <v>1</v>
      </c>
      <c r="H857">
        <v>1</v>
      </c>
      <c r="I857">
        <v>2</v>
      </c>
      <c r="J857" t="s">
        <v>3563</v>
      </c>
      <c r="K857" t="s">
        <v>3564</v>
      </c>
      <c r="L857" s="2">
        <v>605.64919999999995</v>
      </c>
      <c r="M857" s="2">
        <v>1000.4375</v>
      </c>
      <c r="N857" t="s">
        <v>26</v>
      </c>
      <c r="O857" t="s">
        <v>254</v>
      </c>
      <c r="P857" t="s">
        <v>307</v>
      </c>
      <c r="Q857" t="s">
        <v>7186</v>
      </c>
      <c r="R857" s="1">
        <v>27550</v>
      </c>
      <c r="S857" t="s">
        <v>22</v>
      </c>
      <c r="T857" t="s">
        <v>29</v>
      </c>
      <c r="U857" t="s">
        <v>1650</v>
      </c>
      <c r="V857">
        <v>30000</v>
      </c>
      <c r="W857">
        <v>0</v>
      </c>
      <c r="X857" t="s">
        <v>57</v>
      </c>
      <c r="Y857" t="s">
        <v>53</v>
      </c>
      <c r="Z857" t="s">
        <v>19</v>
      </c>
      <c r="AA857" t="s">
        <v>3577</v>
      </c>
      <c r="AB857" t="s">
        <v>3578</v>
      </c>
      <c r="AC857" t="s">
        <v>3579</v>
      </c>
      <c r="AD857" t="s">
        <v>3479</v>
      </c>
      <c r="AE857" t="s">
        <v>3475</v>
      </c>
      <c r="AF857" s="2">
        <v>1000.4375</v>
      </c>
      <c r="AG857" s="2">
        <v>605.64919999999995</v>
      </c>
      <c r="AH857" s="2">
        <v>394.78829999999999</v>
      </c>
      <c r="AI857" s="3">
        <v>0.39461565565065299</v>
      </c>
    </row>
    <row r="858" spans="1:35">
      <c r="A858" s="1">
        <v>42236</v>
      </c>
      <c r="B858" s="1">
        <v>37469</v>
      </c>
      <c r="C858" t="s">
        <v>5173</v>
      </c>
      <c r="D858">
        <v>385</v>
      </c>
      <c r="E858">
        <v>14023</v>
      </c>
      <c r="F858">
        <v>4</v>
      </c>
      <c r="G858">
        <v>1</v>
      </c>
      <c r="H858">
        <v>1</v>
      </c>
      <c r="I858">
        <v>2</v>
      </c>
      <c r="J858" t="s">
        <v>3567</v>
      </c>
      <c r="K858" t="s">
        <v>3568</v>
      </c>
      <c r="L858" s="2">
        <v>605.64919999999995</v>
      </c>
      <c r="M858" s="2">
        <v>1000.4375</v>
      </c>
      <c r="N858" t="s">
        <v>26</v>
      </c>
      <c r="O858" t="s">
        <v>494</v>
      </c>
      <c r="P858" t="s">
        <v>38</v>
      </c>
      <c r="Q858" t="s">
        <v>7187</v>
      </c>
      <c r="R858" s="1">
        <v>27682</v>
      </c>
      <c r="S858" t="s">
        <v>22</v>
      </c>
      <c r="T858" t="s">
        <v>29</v>
      </c>
      <c r="U858" t="s">
        <v>1651</v>
      </c>
      <c r="V858">
        <v>30000</v>
      </c>
      <c r="W858">
        <v>0</v>
      </c>
      <c r="X858" t="s">
        <v>57</v>
      </c>
      <c r="Y858" t="s">
        <v>53</v>
      </c>
      <c r="Z858" t="s">
        <v>19</v>
      </c>
      <c r="AA858" t="s">
        <v>3580</v>
      </c>
      <c r="AB858" t="s">
        <v>3578</v>
      </c>
      <c r="AC858" t="s">
        <v>3579</v>
      </c>
      <c r="AD858" t="s">
        <v>3479</v>
      </c>
      <c r="AE858" t="s">
        <v>3475</v>
      </c>
      <c r="AF858" s="2">
        <v>1000.4375</v>
      </c>
      <c r="AG858" s="2">
        <v>605.64919999999995</v>
      </c>
      <c r="AH858" s="2">
        <v>394.78829999999999</v>
      </c>
      <c r="AI858" s="3">
        <v>0.39461565565065299</v>
      </c>
    </row>
    <row r="859" spans="1:35">
      <c r="A859" s="1">
        <v>42242</v>
      </c>
      <c r="B859" s="1">
        <v>37381</v>
      </c>
      <c r="C859" t="s">
        <v>5233</v>
      </c>
      <c r="D859">
        <v>385</v>
      </c>
      <c r="E859">
        <v>14024</v>
      </c>
      <c r="F859">
        <v>4</v>
      </c>
      <c r="G859">
        <v>1</v>
      </c>
      <c r="H859">
        <v>1</v>
      </c>
      <c r="I859">
        <v>2</v>
      </c>
      <c r="J859" t="s">
        <v>3567</v>
      </c>
      <c r="K859" t="s">
        <v>3568</v>
      </c>
      <c r="L859" s="2">
        <v>605.64919999999995</v>
      </c>
      <c r="M859" s="2">
        <v>1000.4375</v>
      </c>
      <c r="N859" t="s">
        <v>26</v>
      </c>
      <c r="O859" t="s">
        <v>278</v>
      </c>
      <c r="P859" t="s">
        <v>674</v>
      </c>
      <c r="Q859" t="s">
        <v>7188</v>
      </c>
      <c r="R859" s="1">
        <v>27751</v>
      </c>
      <c r="S859" t="s">
        <v>22</v>
      </c>
      <c r="T859" t="s">
        <v>29</v>
      </c>
      <c r="U859" t="s">
        <v>1652</v>
      </c>
      <c r="V859">
        <v>60000</v>
      </c>
      <c r="W859">
        <v>0</v>
      </c>
      <c r="X859" t="s">
        <v>52</v>
      </c>
      <c r="Y859" t="s">
        <v>53</v>
      </c>
      <c r="Z859" t="s">
        <v>23</v>
      </c>
      <c r="AA859" t="s">
        <v>3580</v>
      </c>
      <c r="AB859" t="s">
        <v>3578</v>
      </c>
      <c r="AC859" t="s">
        <v>3579</v>
      </c>
      <c r="AD859" t="s">
        <v>3479</v>
      </c>
      <c r="AE859" t="s">
        <v>3475</v>
      </c>
      <c r="AF859" s="2">
        <v>1000.4375</v>
      </c>
      <c r="AG859" s="2">
        <v>605.64919999999995</v>
      </c>
      <c r="AH859" s="2">
        <v>394.78829999999999</v>
      </c>
      <c r="AI859" s="3">
        <v>0.39461565565065299</v>
      </c>
    </row>
    <row r="860" spans="1:35">
      <c r="A860" s="1">
        <v>42217</v>
      </c>
      <c r="B860" s="1">
        <v>37395</v>
      </c>
      <c r="C860" t="s">
        <v>5016</v>
      </c>
      <c r="D860">
        <v>387</v>
      </c>
      <c r="E860">
        <v>14025</v>
      </c>
      <c r="F860">
        <v>1</v>
      </c>
      <c r="G860">
        <v>1</v>
      </c>
      <c r="H860">
        <v>1</v>
      </c>
      <c r="I860">
        <v>2</v>
      </c>
      <c r="J860" t="s">
        <v>3569</v>
      </c>
      <c r="K860" t="s">
        <v>3570</v>
      </c>
      <c r="L860" s="2">
        <v>605.64919999999995</v>
      </c>
      <c r="M860" s="2">
        <v>1000.4375</v>
      </c>
      <c r="N860" t="s">
        <v>13</v>
      </c>
      <c r="O860" t="s">
        <v>383</v>
      </c>
      <c r="P860" t="s">
        <v>288</v>
      </c>
      <c r="Q860" t="s">
        <v>7189</v>
      </c>
      <c r="R860" s="1">
        <v>27106</v>
      </c>
      <c r="S860" t="s">
        <v>16</v>
      </c>
      <c r="T860" t="s">
        <v>16</v>
      </c>
      <c r="U860" t="s">
        <v>1653</v>
      </c>
      <c r="V860">
        <v>30000</v>
      </c>
      <c r="W860">
        <v>0</v>
      </c>
      <c r="X860" t="s">
        <v>57</v>
      </c>
      <c r="Y860" t="s">
        <v>53</v>
      </c>
      <c r="Z860" t="s">
        <v>19</v>
      </c>
      <c r="AA860" t="s">
        <v>3577</v>
      </c>
      <c r="AB860" t="s">
        <v>3578</v>
      </c>
      <c r="AC860" t="s">
        <v>3579</v>
      </c>
      <c r="AD860" t="s">
        <v>3479</v>
      </c>
      <c r="AE860" t="s">
        <v>3475</v>
      </c>
      <c r="AF860" s="2">
        <v>1000.4375</v>
      </c>
      <c r="AG860" s="2">
        <v>605.64919999999995</v>
      </c>
      <c r="AH860" s="2">
        <v>394.78829999999999</v>
      </c>
      <c r="AI860" s="3">
        <v>0.39461565565065299</v>
      </c>
    </row>
    <row r="861" spans="1:35">
      <c r="A861" s="1">
        <v>42230</v>
      </c>
      <c r="B861" s="1">
        <v>37450</v>
      </c>
      <c r="C861" t="s">
        <v>5118</v>
      </c>
      <c r="D861">
        <v>383</v>
      </c>
      <c r="E861">
        <v>14026</v>
      </c>
      <c r="F861">
        <v>1</v>
      </c>
      <c r="G861">
        <v>1</v>
      </c>
      <c r="H861">
        <v>1</v>
      </c>
      <c r="I861">
        <v>2</v>
      </c>
      <c r="J861" t="s">
        <v>3565</v>
      </c>
      <c r="K861" t="s">
        <v>3566</v>
      </c>
      <c r="L861" s="2">
        <v>605.64919999999995</v>
      </c>
      <c r="M861" s="2">
        <v>1000.4375</v>
      </c>
      <c r="N861" t="s">
        <v>26</v>
      </c>
      <c r="O861" t="s">
        <v>50</v>
      </c>
      <c r="P861" t="s">
        <v>148</v>
      </c>
      <c r="Q861" t="s">
        <v>7190</v>
      </c>
      <c r="R861" s="1">
        <v>27150</v>
      </c>
      <c r="S861" t="s">
        <v>22</v>
      </c>
      <c r="T861" t="s">
        <v>29</v>
      </c>
      <c r="U861" t="s">
        <v>1654</v>
      </c>
      <c r="V861">
        <v>30000</v>
      </c>
      <c r="W861">
        <v>0</v>
      </c>
      <c r="X861" t="s">
        <v>57</v>
      </c>
      <c r="Y861" t="s">
        <v>53</v>
      </c>
      <c r="Z861" t="s">
        <v>19</v>
      </c>
      <c r="AA861" t="s">
        <v>3577</v>
      </c>
      <c r="AB861" t="s">
        <v>3578</v>
      </c>
      <c r="AC861" t="s">
        <v>3579</v>
      </c>
      <c r="AD861" t="s">
        <v>3479</v>
      </c>
      <c r="AE861" t="s">
        <v>3475</v>
      </c>
      <c r="AF861" s="2">
        <v>1000.4375</v>
      </c>
      <c r="AG861" s="2">
        <v>605.64919999999995</v>
      </c>
      <c r="AH861" s="2">
        <v>394.78829999999999</v>
      </c>
      <c r="AI861" s="3">
        <v>0.39461565565065299</v>
      </c>
    </row>
    <row r="862" spans="1:35">
      <c r="A862" s="1">
        <v>42267</v>
      </c>
      <c r="B862" s="1">
        <v>37400</v>
      </c>
      <c r="C862" t="s">
        <v>5414</v>
      </c>
      <c r="D862">
        <v>383</v>
      </c>
      <c r="E862">
        <v>14036</v>
      </c>
      <c r="F862">
        <v>1</v>
      </c>
      <c r="G862">
        <v>1</v>
      </c>
      <c r="H862">
        <v>1</v>
      </c>
      <c r="I862">
        <v>2</v>
      </c>
      <c r="J862" t="s">
        <v>3565</v>
      </c>
      <c r="K862" t="s">
        <v>3566</v>
      </c>
      <c r="L862" s="2">
        <v>605.64919999999995</v>
      </c>
      <c r="M862" s="2">
        <v>1000.4375</v>
      </c>
      <c r="N862" t="s">
        <v>26</v>
      </c>
      <c r="O862" t="s">
        <v>106</v>
      </c>
      <c r="P862" t="s">
        <v>25</v>
      </c>
      <c r="Q862" t="s">
        <v>7191</v>
      </c>
      <c r="R862" s="1">
        <v>27207</v>
      </c>
      <c r="S862" t="s">
        <v>16</v>
      </c>
      <c r="T862" t="s">
        <v>29</v>
      </c>
      <c r="U862" t="s">
        <v>1655</v>
      </c>
      <c r="V862">
        <v>60000</v>
      </c>
      <c r="W862">
        <v>0</v>
      </c>
      <c r="X862" t="s">
        <v>52</v>
      </c>
      <c r="Y862" t="s">
        <v>18</v>
      </c>
      <c r="Z862" t="s">
        <v>19</v>
      </c>
      <c r="AA862" t="s">
        <v>3577</v>
      </c>
      <c r="AB862" t="s">
        <v>3578</v>
      </c>
      <c r="AC862" t="s">
        <v>3579</v>
      </c>
      <c r="AD862" t="s">
        <v>3479</v>
      </c>
      <c r="AE862" t="s">
        <v>3475</v>
      </c>
      <c r="AF862" s="2">
        <v>1000.4375</v>
      </c>
      <c r="AG862" s="2">
        <v>605.64919999999995</v>
      </c>
      <c r="AH862" s="2">
        <v>394.78829999999999</v>
      </c>
      <c r="AI862" s="3">
        <v>0.39461565565065299</v>
      </c>
    </row>
    <row r="863" spans="1:35">
      <c r="A863" s="1">
        <v>42271</v>
      </c>
      <c r="B863" s="1">
        <v>37457</v>
      </c>
      <c r="C863" t="s">
        <v>5445</v>
      </c>
      <c r="D863">
        <v>387</v>
      </c>
      <c r="E863">
        <v>14037</v>
      </c>
      <c r="F863">
        <v>4</v>
      </c>
      <c r="G863">
        <v>1</v>
      </c>
      <c r="H863">
        <v>1</v>
      </c>
      <c r="I863">
        <v>2</v>
      </c>
      <c r="J863" t="s">
        <v>3569</v>
      </c>
      <c r="K863" t="s">
        <v>3570</v>
      </c>
      <c r="L863" s="2">
        <v>605.64919999999995</v>
      </c>
      <c r="M863" s="2">
        <v>1000.4375</v>
      </c>
      <c r="N863" t="s">
        <v>26</v>
      </c>
      <c r="O863" t="s">
        <v>1195</v>
      </c>
      <c r="P863" t="s">
        <v>207</v>
      </c>
      <c r="Q863" t="s">
        <v>7192</v>
      </c>
      <c r="R863" s="1">
        <v>27141</v>
      </c>
      <c r="S863" t="s">
        <v>16</v>
      </c>
      <c r="T863" t="s">
        <v>29</v>
      </c>
      <c r="U863" t="s">
        <v>1656</v>
      </c>
      <c r="V863">
        <v>60000</v>
      </c>
      <c r="W863">
        <v>0</v>
      </c>
      <c r="X863" t="s">
        <v>52</v>
      </c>
      <c r="Y863" t="s">
        <v>18</v>
      </c>
      <c r="Z863" t="s">
        <v>19</v>
      </c>
      <c r="AA863" t="s">
        <v>3580</v>
      </c>
      <c r="AB863" t="s">
        <v>3578</v>
      </c>
      <c r="AC863" t="s">
        <v>3579</v>
      </c>
      <c r="AD863" t="s">
        <v>3479</v>
      </c>
      <c r="AE863" t="s">
        <v>3475</v>
      </c>
      <c r="AF863" s="2">
        <v>1000.4375</v>
      </c>
      <c r="AG863" s="2">
        <v>605.64919999999995</v>
      </c>
      <c r="AH863" s="2">
        <v>394.78829999999999</v>
      </c>
      <c r="AI863" s="3">
        <v>0.39461565565065299</v>
      </c>
    </row>
    <row r="864" spans="1:35">
      <c r="A864" s="1">
        <v>42272</v>
      </c>
      <c r="B864" s="1">
        <v>37466</v>
      </c>
      <c r="C864" t="s">
        <v>5452</v>
      </c>
      <c r="D864">
        <v>385</v>
      </c>
      <c r="E864">
        <v>14044</v>
      </c>
      <c r="F864">
        <v>4</v>
      </c>
      <c r="G864">
        <v>1</v>
      </c>
      <c r="H864">
        <v>1</v>
      </c>
      <c r="I864">
        <v>2</v>
      </c>
      <c r="J864" t="s">
        <v>3567</v>
      </c>
      <c r="K864" t="s">
        <v>3568</v>
      </c>
      <c r="L864" s="2">
        <v>605.64919999999995</v>
      </c>
      <c r="M864" s="2">
        <v>1000.4375</v>
      </c>
      <c r="N864" t="s">
        <v>13</v>
      </c>
      <c r="O864" t="s">
        <v>299</v>
      </c>
      <c r="P864" t="s">
        <v>240</v>
      </c>
      <c r="Q864" t="s">
        <v>7193</v>
      </c>
      <c r="R864" s="1">
        <v>21015</v>
      </c>
      <c r="S864" t="s">
        <v>16</v>
      </c>
      <c r="T864" t="s">
        <v>16</v>
      </c>
      <c r="U864" t="s">
        <v>1657</v>
      </c>
      <c r="V864">
        <v>70000</v>
      </c>
      <c r="W864">
        <v>2</v>
      </c>
      <c r="X864" t="s">
        <v>52</v>
      </c>
      <c r="Y864" t="s">
        <v>18</v>
      </c>
      <c r="Z864" t="s">
        <v>19</v>
      </c>
      <c r="AA864" t="s">
        <v>3580</v>
      </c>
      <c r="AB864" t="s">
        <v>3578</v>
      </c>
      <c r="AC864" t="s">
        <v>3579</v>
      </c>
      <c r="AD864" t="s">
        <v>3479</v>
      </c>
      <c r="AE864" t="s">
        <v>3475</v>
      </c>
      <c r="AF864" s="2">
        <v>1000.4375</v>
      </c>
      <c r="AG864" s="2">
        <v>605.64919999999995</v>
      </c>
      <c r="AH864" s="2">
        <v>394.78829999999999</v>
      </c>
      <c r="AI864" s="3">
        <v>0.39461565565065299</v>
      </c>
    </row>
    <row r="865" spans="1:35">
      <c r="A865" s="1">
        <v>42266</v>
      </c>
      <c r="B865" s="1">
        <v>37464</v>
      </c>
      <c r="C865" t="s">
        <v>5407</v>
      </c>
      <c r="D865">
        <v>389</v>
      </c>
      <c r="E865">
        <v>14080</v>
      </c>
      <c r="F865">
        <v>1</v>
      </c>
      <c r="G865">
        <v>1</v>
      </c>
      <c r="H865">
        <v>1</v>
      </c>
      <c r="I865">
        <v>2</v>
      </c>
      <c r="J865" t="s">
        <v>3571</v>
      </c>
      <c r="K865" t="s">
        <v>3572</v>
      </c>
      <c r="L865" s="2">
        <v>605.64919999999995</v>
      </c>
      <c r="M865" s="2">
        <v>1000.4375</v>
      </c>
      <c r="N865" t="s">
        <v>26</v>
      </c>
      <c r="O865" t="s">
        <v>464</v>
      </c>
      <c r="P865" t="s">
        <v>632</v>
      </c>
      <c r="Q865" t="s">
        <v>7194</v>
      </c>
      <c r="R865" s="1">
        <v>27899</v>
      </c>
      <c r="S865" t="s">
        <v>22</v>
      </c>
      <c r="T865" t="s">
        <v>29</v>
      </c>
      <c r="U865" t="s">
        <v>1658</v>
      </c>
      <c r="V865">
        <v>40000</v>
      </c>
      <c r="W865">
        <v>0</v>
      </c>
      <c r="X865" t="s">
        <v>57</v>
      </c>
      <c r="Y865" t="s">
        <v>53</v>
      </c>
      <c r="Z865" t="s">
        <v>19</v>
      </c>
      <c r="AA865" t="s">
        <v>3577</v>
      </c>
      <c r="AB865" t="s">
        <v>3578</v>
      </c>
      <c r="AC865" t="s">
        <v>3579</v>
      </c>
      <c r="AD865" t="s">
        <v>3479</v>
      </c>
      <c r="AE865" t="s">
        <v>3475</v>
      </c>
      <c r="AF865" s="2">
        <v>1000.4375</v>
      </c>
      <c r="AG865" s="2">
        <v>605.64919999999995</v>
      </c>
      <c r="AH865" s="2">
        <v>394.78829999999999</v>
      </c>
      <c r="AI865" s="3">
        <v>0.39461565565065299</v>
      </c>
    </row>
    <row r="866" spans="1:35">
      <c r="A866" s="1">
        <v>42270</v>
      </c>
      <c r="B866" s="1">
        <v>37491</v>
      </c>
      <c r="C866" t="s">
        <v>5436</v>
      </c>
      <c r="D866">
        <v>389</v>
      </c>
      <c r="E866">
        <v>14081</v>
      </c>
      <c r="F866">
        <v>4</v>
      </c>
      <c r="G866">
        <v>1</v>
      </c>
      <c r="H866">
        <v>1</v>
      </c>
      <c r="I866">
        <v>2</v>
      </c>
      <c r="J866" t="s">
        <v>3571</v>
      </c>
      <c r="K866" t="s">
        <v>3572</v>
      </c>
      <c r="L866" s="2">
        <v>605.64919999999995</v>
      </c>
      <c r="M866" s="2">
        <v>1000.4375</v>
      </c>
      <c r="N866" t="s">
        <v>26</v>
      </c>
      <c r="O866" t="s">
        <v>258</v>
      </c>
      <c r="P866" t="s">
        <v>148</v>
      </c>
      <c r="Q866" t="s">
        <v>7195</v>
      </c>
      <c r="R866" s="1">
        <v>29317</v>
      </c>
      <c r="S866" t="s">
        <v>16</v>
      </c>
      <c r="T866" t="s">
        <v>29</v>
      </c>
      <c r="U866" t="s">
        <v>1659</v>
      </c>
      <c r="V866">
        <v>30000</v>
      </c>
      <c r="W866">
        <v>0</v>
      </c>
      <c r="X866" t="s">
        <v>57</v>
      </c>
      <c r="Y866" t="s">
        <v>53</v>
      </c>
      <c r="Z866" t="s">
        <v>19</v>
      </c>
      <c r="AA866" t="s">
        <v>3580</v>
      </c>
      <c r="AB866" t="s">
        <v>3578</v>
      </c>
      <c r="AC866" t="s">
        <v>3579</v>
      </c>
      <c r="AD866" t="s">
        <v>3479</v>
      </c>
      <c r="AE866" t="s">
        <v>3475</v>
      </c>
      <c r="AF866" s="2">
        <v>1000.4375</v>
      </c>
      <c r="AG866" s="2">
        <v>605.64919999999995</v>
      </c>
      <c r="AH866" s="2">
        <v>394.78829999999999</v>
      </c>
      <c r="AI866" s="3">
        <v>0.39461565565065299</v>
      </c>
    </row>
    <row r="867" spans="1:35">
      <c r="A867" s="1">
        <v>42260</v>
      </c>
      <c r="B867" s="1">
        <v>37446</v>
      </c>
      <c r="C867" t="s">
        <v>5370</v>
      </c>
      <c r="D867">
        <v>385</v>
      </c>
      <c r="E867">
        <v>14083</v>
      </c>
      <c r="F867">
        <v>1</v>
      </c>
      <c r="G867">
        <v>1</v>
      </c>
      <c r="H867">
        <v>1</v>
      </c>
      <c r="I867">
        <v>2</v>
      </c>
      <c r="J867" t="s">
        <v>3567</v>
      </c>
      <c r="K867" t="s">
        <v>3568</v>
      </c>
      <c r="L867" s="2">
        <v>605.64919999999995</v>
      </c>
      <c r="M867" s="2">
        <v>1000.4375</v>
      </c>
      <c r="N867" t="s">
        <v>13</v>
      </c>
      <c r="O867" t="s">
        <v>110</v>
      </c>
      <c r="P867" t="s">
        <v>125</v>
      </c>
      <c r="Q867" t="s">
        <v>7196</v>
      </c>
      <c r="R867" s="1">
        <v>29528</v>
      </c>
      <c r="S867" t="s">
        <v>16</v>
      </c>
      <c r="T867" t="s">
        <v>16</v>
      </c>
      <c r="U867" t="s">
        <v>1660</v>
      </c>
      <c r="V867">
        <v>30000</v>
      </c>
      <c r="W867">
        <v>0</v>
      </c>
      <c r="X867" t="s">
        <v>57</v>
      </c>
      <c r="Y867" t="s">
        <v>53</v>
      </c>
      <c r="Z867" t="s">
        <v>19</v>
      </c>
      <c r="AA867" t="s">
        <v>3577</v>
      </c>
      <c r="AB867" t="s">
        <v>3578</v>
      </c>
      <c r="AC867" t="s">
        <v>3579</v>
      </c>
      <c r="AD867" t="s">
        <v>3479</v>
      </c>
      <c r="AE867" t="s">
        <v>3475</v>
      </c>
      <c r="AF867" s="2">
        <v>1000.4375</v>
      </c>
      <c r="AG867" s="2">
        <v>605.64919999999995</v>
      </c>
      <c r="AH867" s="2">
        <v>394.78829999999999</v>
      </c>
      <c r="AI867" s="3">
        <v>0.39461565565065299</v>
      </c>
    </row>
    <row r="868" spans="1:35">
      <c r="A868" s="1">
        <v>42260</v>
      </c>
      <c r="B868" s="1">
        <v>37402</v>
      </c>
      <c r="C868" t="s">
        <v>5362</v>
      </c>
      <c r="D868">
        <v>387</v>
      </c>
      <c r="E868">
        <v>14088</v>
      </c>
      <c r="F868">
        <v>1</v>
      </c>
      <c r="G868">
        <v>1</v>
      </c>
      <c r="H868">
        <v>1</v>
      </c>
      <c r="I868">
        <v>2</v>
      </c>
      <c r="J868" t="s">
        <v>3569</v>
      </c>
      <c r="K868" t="s">
        <v>3570</v>
      </c>
      <c r="L868" s="2">
        <v>605.64919999999995</v>
      </c>
      <c r="M868" s="2">
        <v>1000.4375</v>
      </c>
      <c r="N868" t="s">
        <v>26</v>
      </c>
      <c r="O868" t="s">
        <v>336</v>
      </c>
      <c r="P868" t="s">
        <v>125</v>
      </c>
      <c r="Q868" t="s">
        <v>7197</v>
      </c>
      <c r="R868" s="1">
        <v>28635</v>
      </c>
      <c r="S868" t="s">
        <v>22</v>
      </c>
      <c r="T868" t="s">
        <v>29</v>
      </c>
      <c r="U868" t="s">
        <v>1661</v>
      </c>
      <c r="V868">
        <v>30000</v>
      </c>
      <c r="W868">
        <v>0</v>
      </c>
      <c r="X868" t="s">
        <v>77</v>
      </c>
      <c r="Y868" t="s">
        <v>60</v>
      </c>
      <c r="Z868" t="s">
        <v>19</v>
      </c>
      <c r="AA868" t="s">
        <v>3577</v>
      </c>
      <c r="AB868" t="s">
        <v>3578</v>
      </c>
      <c r="AC868" t="s">
        <v>3579</v>
      </c>
      <c r="AD868" t="s">
        <v>3479</v>
      </c>
      <c r="AE868" t="s">
        <v>3475</v>
      </c>
      <c r="AF868" s="2">
        <v>1000.4375</v>
      </c>
      <c r="AG868" s="2">
        <v>605.64919999999995</v>
      </c>
      <c r="AH868" s="2">
        <v>394.78829999999999</v>
      </c>
      <c r="AI868" s="3">
        <v>0.39461565565065299</v>
      </c>
    </row>
    <row r="869" spans="1:35">
      <c r="A869" s="1">
        <v>42258</v>
      </c>
      <c r="B869" s="1">
        <v>37493</v>
      </c>
      <c r="C869" t="s">
        <v>5351</v>
      </c>
      <c r="D869">
        <v>387</v>
      </c>
      <c r="E869">
        <v>14089</v>
      </c>
      <c r="F869">
        <v>4</v>
      </c>
      <c r="G869">
        <v>1</v>
      </c>
      <c r="H869">
        <v>1</v>
      </c>
      <c r="I869">
        <v>2</v>
      </c>
      <c r="J869" t="s">
        <v>3569</v>
      </c>
      <c r="K869" t="s">
        <v>3570</v>
      </c>
      <c r="L869" s="2">
        <v>605.64919999999995</v>
      </c>
      <c r="M869" s="2">
        <v>1000.4375</v>
      </c>
      <c r="N869" t="s">
        <v>26</v>
      </c>
      <c r="O869" t="s">
        <v>703</v>
      </c>
      <c r="P869" t="s">
        <v>314</v>
      </c>
      <c r="Q869" t="s">
        <v>7198</v>
      </c>
      <c r="R869" s="1">
        <v>28772</v>
      </c>
      <c r="S869" t="s">
        <v>22</v>
      </c>
      <c r="T869" t="s">
        <v>29</v>
      </c>
      <c r="U869" t="s">
        <v>1662</v>
      </c>
      <c r="V869">
        <v>40000</v>
      </c>
      <c r="W869">
        <v>0</v>
      </c>
      <c r="X869" t="s">
        <v>57</v>
      </c>
      <c r="Y869" t="s">
        <v>53</v>
      </c>
      <c r="Z869" t="s">
        <v>23</v>
      </c>
      <c r="AA869" t="s">
        <v>3580</v>
      </c>
      <c r="AB869" t="s">
        <v>3578</v>
      </c>
      <c r="AC869" t="s">
        <v>3579</v>
      </c>
      <c r="AD869" t="s">
        <v>3479</v>
      </c>
      <c r="AE869" t="s">
        <v>3475</v>
      </c>
      <c r="AF869" s="2">
        <v>1000.4375</v>
      </c>
      <c r="AG869" s="2">
        <v>605.64919999999995</v>
      </c>
      <c r="AH869" s="2">
        <v>394.78829999999999</v>
      </c>
      <c r="AI869" s="3">
        <v>0.39461565565065299</v>
      </c>
    </row>
    <row r="870" spans="1:35">
      <c r="A870" s="1">
        <v>42308</v>
      </c>
      <c r="B870" s="1">
        <v>37446</v>
      </c>
      <c r="C870" t="s">
        <v>5704</v>
      </c>
      <c r="D870">
        <v>389</v>
      </c>
      <c r="E870">
        <v>14095</v>
      </c>
      <c r="F870">
        <v>4</v>
      </c>
      <c r="G870">
        <v>1</v>
      </c>
      <c r="H870">
        <v>1</v>
      </c>
      <c r="I870">
        <v>2</v>
      </c>
      <c r="J870" t="s">
        <v>3571</v>
      </c>
      <c r="K870" t="s">
        <v>3572</v>
      </c>
      <c r="L870" s="2">
        <v>605.64919999999995</v>
      </c>
      <c r="M870" s="2">
        <v>1000.4375</v>
      </c>
      <c r="N870" t="s">
        <v>26</v>
      </c>
      <c r="O870" t="s">
        <v>1331</v>
      </c>
      <c r="P870" t="s">
        <v>246</v>
      </c>
      <c r="Q870" t="s">
        <v>7199</v>
      </c>
      <c r="R870" s="1">
        <v>28013</v>
      </c>
      <c r="S870" t="s">
        <v>16</v>
      </c>
      <c r="T870" t="s">
        <v>29</v>
      </c>
      <c r="U870" t="s">
        <v>1663</v>
      </c>
      <c r="V870">
        <v>40000</v>
      </c>
      <c r="W870">
        <v>0</v>
      </c>
      <c r="X870" t="s">
        <v>57</v>
      </c>
      <c r="Y870" t="s">
        <v>53</v>
      </c>
      <c r="Z870" t="s">
        <v>19</v>
      </c>
      <c r="AA870" t="s">
        <v>3580</v>
      </c>
      <c r="AB870" t="s">
        <v>3578</v>
      </c>
      <c r="AC870" t="s">
        <v>3579</v>
      </c>
      <c r="AD870" t="s">
        <v>3479</v>
      </c>
      <c r="AE870" t="s">
        <v>3475</v>
      </c>
      <c r="AF870" s="2">
        <v>1000.4375</v>
      </c>
      <c r="AG870" s="2">
        <v>605.64919999999995</v>
      </c>
      <c r="AH870" s="2">
        <v>394.78829999999999</v>
      </c>
      <c r="AI870" s="3">
        <v>0.39461565565065299</v>
      </c>
    </row>
    <row r="871" spans="1:35">
      <c r="A871" s="1">
        <v>42290</v>
      </c>
      <c r="B871" s="1">
        <v>37483</v>
      </c>
      <c r="C871" t="s">
        <v>5562</v>
      </c>
      <c r="D871">
        <v>383</v>
      </c>
      <c r="E871">
        <v>14098</v>
      </c>
      <c r="F871">
        <v>1</v>
      </c>
      <c r="G871">
        <v>1</v>
      </c>
      <c r="H871">
        <v>1</v>
      </c>
      <c r="I871">
        <v>2</v>
      </c>
      <c r="J871" t="s">
        <v>3565</v>
      </c>
      <c r="K871" t="s">
        <v>3566</v>
      </c>
      <c r="L871" s="2">
        <v>605.64919999999995</v>
      </c>
      <c r="M871" s="2">
        <v>1000.4375</v>
      </c>
      <c r="N871" t="s">
        <v>26</v>
      </c>
      <c r="O871" t="s">
        <v>324</v>
      </c>
      <c r="P871" t="s">
        <v>125</v>
      </c>
      <c r="Q871" t="s">
        <v>7200</v>
      </c>
      <c r="R871" s="1">
        <v>28969</v>
      </c>
      <c r="S871" t="s">
        <v>16</v>
      </c>
      <c r="T871" t="s">
        <v>29</v>
      </c>
      <c r="U871" t="s">
        <v>1664</v>
      </c>
      <c r="V871">
        <v>40000</v>
      </c>
      <c r="W871">
        <v>0</v>
      </c>
      <c r="X871" t="s">
        <v>57</v>
      </c>
      <c r="Y871" t="s">
        <v>53</v>
      </c>
      <c r="Z871" t="s">
        <v>19</v>
      </c>
      <c r="AA871" t="s">
        <v>3577</v>
      </c>
      <c r="AB871" t="s">
        <v>3578</v>
      </c>
      <c r="AC871" t="s">
        <v>3579</v>
      </c>
      <c r="AD871" t="s">
        <v>3479</v>
      </c>
      <c r="AE871" t="s">
        <v>3475</v>
      </c>
      <c r="AF871" s="2">
        <v>1000.4375</v>
      </c>
      <c r="AG871" s="2">
        <v>605.64919999999995</v>
      </c>
      <c r="AH871" s="2">
        <v>394.78829999999999</v>
      </c>
      <c r="AI871" s="3">
        <v>0.39461565565065299</v>
      </c>
    </row>
    <row r="872" spans="1:35">
      <c r="A872" s="1">
        <v>42285</v>
      </c>
      <c r="B872" s="1">
        <v>37462</v>
      </c>
      <c r="C872" t="s">
        <v>5532</v>
      </c>
      <c r="D872">
        <v>381</v>
      </c>
      <c r="E872">
        <v>14105</v>
      </c>
      <c r="F872">
        <v>4</v>
      </c>
      <c r="G872">
        <v>1</v>
      </c>
      <c r="H872">
        <v>1</v>
      </c>
      <c r="I872">
        <v>2</v>
      </c>
      <c r="J872" t="s">
        <v>3563</v>
      </c>
      <c r="K872" t="s">
        <v>3564</v>
      </c>
      <c r="L872" s="2">
        <v>605.64919999999995</v>
      </c>
      <c r="M872" s="2">
        <v>1000.4375</v>
      </c>
      <c r="N872" t="s">
        <v>13</v>
      </c>
      <c r="O872" t="s">
        <v>393</v>
      </c>
      <c r="P872" t="s">
        <v>68</v>
      </c>
      <c r="Q872" t="s">
        <v>7201</v>
      </c>
      <c r="R872" s="1">
        <v>28098</v>
      </c>
      <c r="S872" t="s">
        <v>22</v>
      </c>
      <c r="T872" t="s">
        <v>16</v>
      </c>
      <c r="U872" t="s">
        <v>1665</v>
      </c>
      <c r="V872">
        <v>40000</v>
      </c>
      <c r="W872">
        <v>0</v>
      </c>
      <c r="X872" t="s">
        <v>52</v>
      </c>
      <c r="Y872" t="s">
        <v>53</v>
      </c>
      <c r="Z872" t="s">
        <v>23</v>
      </c>
      <c r="AA872" t="s">
        <v>3580</v>
      </c>
      <c r="AB872" t="s">
        <v>3578</v>
      </c>
      <c r="AC872" t="s">
        <v>3579</v>
      </c>
      <c r="AD872" t="s">
        <v>3479</v>
      </c>
      <c r="AE872" t="s">
        <v>3475</v>
      </c>
      <c r="AF872" s="2">
        <v>1000.4375</v>
      </c>
      <c r="AG872" s="2">
        <v>605.64919999999995</v>
      </c>
      <c r="AH872" s="2">
        <v>394.78829999999999</v>
      </c>
      <c r="AI872" s="3">
        <v>0.39461565565065299</v>
      </c>
    </row>
    <row r="873" spans="1:35">
      <c r="A873" s="1">
        <v>42305</v>
      </c>
      <c r="B873" s="1">
        <v>37514</v>
      </c>
      <c r="C873" t="s">
        <v>5682</v>
      </c>
      <c r="D873">
        <v>385</v>
      </c>
      <c r="E873">
        <v>14106</v>
      </c>
      <c r="F873">
        <v>4</v>
      </c>
      <c r="G873">
        <v>1</v>
      </c>
      <c r="H873">
        <v>1</v>
      </c>
      <c r="I873">
        <v>2</v>
      </c>
      <c r="J873" t="s">
        <v>3567</v>
      </c>
      <c r="K873" t="s">
        <v>3568</v>
      </c>
      <c r="L873" s="2">
        <v>605.64919999999995</v>
      </c>
      <c r="M873" s="2">
        <v>1000.4375</v>
      </c>
      <c r="N873" t="s">
        <v>26</v>
      </c>
      <c r="O873" t="s">
        <v>244</v>
      </c>
      <c r="P873" t="s">
        <v>280</v>
      </c>
      <c r="Q873" t="s">
        <v>7202</v>
      </c>
      <c r="R873" s="1">
        <v>27772</v>
      </c>
      <c r="S873" t="s">
        <v>22</v>
      </c>
      <c r="T873" t="s">
        <v>29</v>
      </c>
      <c r="U873" t="s">
        <v>1666</v>
      </c>
      <c r="V873">
        <v>40000</v>
      </c>
      <c r="W873">
        <v>0</v>
      </c>
      <c r="X873" t="s">
        <v>52</v>
      </c>
      <c r="Y873" t="s">
        <v>53</v>
      </c>
      <c r="Z873" t="s">
        <v>23</v>
      </c>
      <c r="AA873" t="s">
        <v>3580</v>
      </c>
      <c r="AB873" t="s">
        <v>3578</v>
      </c>
      <c r="AC873" t="s">
        <v>3579</v>
      </c>
      <c r="AD873" t="s">
        <v>3479</v>
      </c>
      <c r="AE873" t="s">
        <v>3475</v>
      </c>
      <c r="AF873" s="2">
        <v>1000.4375</v>
      </c>
      <c r="AG873" s="2">
        <v>605.64919999999995</v>
      </c>
      <c r="AH873" s="2">
        <v>394.78829999999999</v>
      </c>
      <c r="AI873" s="3">
        <v>0.39461565565065299</v>
      </c>
    </row>
    <row r="874" spans="1:35">
      <c r="A874" s="1">
        <v>42307</v>
      </c>
      <c r="B874" s="1">
        <v>37492</v>
      </c>
      <c r="C874" t="s">
        <v>5690</v>
      </c>
      <c r="D874">
        <v>387</v>
      </c>
      <c r="E874">
        <v>14109</v>
      </c>
      <c r="F874">
        <v>4</v>
      </c>
      <c r="G874">
        <v>1</v>
      </c>
      <c r="H874">
        <v>1</v>
      </c>
      <c r="I874">
        <v>2</v>
      </c>
      <c r="J874" t="s">
        <v>3569</v>
      </c>
      <c r="K874" t="s">
        <v>3570</v>
      </c>
      <c r="L874" s="2">
        <v>605.64919999999995</v>
      </c>
      <c r="M874" s="2">
        <v>1000.4375</v>
      </c>
      <c r="N874" t="s">
        <v>13</v>
      </c>
      <c r="O874" t="s">
        <v>618</v>
      </c>
      <c r="P874" t="s">
        <v>422</v>
      </c>
      <c r="Q874" t="s">
        <v>7203</v>
      </c>
      <c r="R874" s="1">
        <v>27264</v>
      </c>
      <c r="S874" t="s">
        <v>16</v>
      </c>
      <c r="T874" t="s">
        <v>16</v>
      </c>
      <c r="U874" t="s">
        <v>1667</v>
      </c>
      <c r="V874">
        <v>30000</v>
      </c>
      <c r="W874">
        <v>0</v>
      </c>
      <c r="X874" t="s">
        <v>52</v>
      </c>
      <c r="Y874" t="s">
        <v>53</v>
      </c>
      <c r="Z874" t="s">
        <v>23</v>
      </c>
      <c r="AA874" t="s">
        <v>3580</v>
      </c>
      <c r="AB874" t="s">
        <v>3578</v>
      </c>
      <c r="AC874" t="s">
        <v>3579</v>
      </c>
      <c r="AD874" t="s">
        <v>3479</v>
      </c>
      <c r="AE874" t="s">
        <v>3475</v>
      </c>
      <c r="AF874" s="2">
        <v>1000.4375</v>
      </c>
      <c r="AG874" s="2">
        <v>605.64919999999995</v>
      </c>
      <c r="AH874" s="2">
        <v>394.78829999999999</v>
      </c>
      <c r="AI874" s="3">
        <v>0.39461565565065299</v>
      </c>
    </row>
    <row r="875" spans="1:35">
      <c r="A875" s="1">
        <v>42313</v>
      </c>
      <c r="B875" s="1">
        <v>37467</v>
      </c>
      <c r="C875" t="s">
        <v>5725</v>
      </c>
      <c r="D875">
        <v>383</v>
      </c>
      <c r="E875">
        <v>14112</v>
      </c>
      <c r="F875">
        <v>4</v>
      </c>
      <c r="G875">
        <v>1</v>
      </c>
      <c r="H875">
        <v>1</v>
      </c>
      <c r="I875">
        <v>2</v>
      </c>
      <c r="J875" t="s">
        <v>3565</v>
      </c>
      <c r="K875" t="s">
        <v>3566</v>
      </c>
      <c r="L875" s="2">
        <v>605.64919999999995</v>
      </c>
      <c r="M875" s="2">
        <v>1000.4375</v>
      </c>
      <c r="N875" t="s">
        <v>13</v>
      </c>
      <c r="O875" t="s">
        <v>327</v>
      </c>
      <c r="P875" t="s">
        <v>109</v>
      </c>
      <c r="Q875" t="s">
        <v>7204</v>
      </c>
      <c r="R875" s="1">
        <v>26609</v>
      </c>
      <c r="S875" t="s">
        <v>22</v>
      </c>
      <c r="T875" t="s">
        <v>16</v>
      </c>
      <c r="U875" t="s">
        <v>1669</v>
      </c>
      <c r="V875">
        <v>70000</v>
      </c>
      <c r="W875">
        <v>0</v>
      </c>
      <c r="X875" t="s">
        <v>52</v>
      </c>
      <c r="Y875" t="s">
        <v>53</v>
      </c>
      <c r="Z875" t="s">
        <v>23</v>
      </c>
      <c r="AA875" t="s">
        <v>3580</v>
      </c>
      <c r="AB875" t="s">
        <v>3578</v>
      </c>
      <c r="AC875" t="s">
        <v>3579</v>
      </c>
      <c r="AD875" t="s">
        <v>3479</v>
      </c>
      <c r="AE875" t="s">
        <v>3475</v>
      </c>
      <c r="AF875" s="2">
        <v>1000.4375</v>
      </c>
      <c r="AG875" s="2">
        <v>605.64919999999995</v>
      </c>
      <c r="AH875" s="2">
        <v>394.78829999999999</v>
      </c>
      <c r="AI875" s="3">
        <v>0.39461565565065299</v>
      </c>
    </row>
    <row r="876" spans="1:35">
      <c r="A876" s="1">
        <v>42315</v>
      </c>
      <c r="B876" s="1">
        <v>37455</v>
      </c>
      <c r="C876" t="s">
        <v>5742</v>
      </c>
      <c r="D876">
        <v>387</v>
      </c>
      <c r="E876">
        <v>14115</v>
      </c>
      <c r="F876">
        <v>1</v>
      </c>
      <c r="G876">
        <v>1</v>
      </c>
      <c r="H876">
        <v>1</v>
      </c>
      <c r="I876">
        <v>2</v>
      </c>
      <c r="J876" t="s">
        <v>3569</v>
      </c>
      <c r="K876" t="s">
        <v>3570</v>
      </c>
      <c r="L876" s="2">
        <v>605.64919999999995</v>
      </c>
      <c r="M876" s="2">
        <v>1000.4375</v>
      </c>
      <c r="N876" t="s">
        <v>26</v>
      </c>
      <c r="O876" t="s">
        <v>238</v>
      </c>
      <c r="P876" t="s">
        <v>422</v>
      </c>
      <c r="Q876" t="s">
        <v>7205</v>
      </c>
      <c r="R876" s="1">
        <v>26454</v>
      </c>
      <c r="S876" t="s">
        <v>22</v>
      </c>
      <c r="T876" t="s">
        <v>29</v>
      </c>
      <c r="U876" t="s">
        <v>1670</v>
      </c>
      <c r="V876">
        <v>80000</v>
      </c>
      <c r="W876">
        <v>0</v>
      </c>
      <c r="X876" t="s">
        <v>17</v>
      </c>
      <c r="Y876" t="s">
        <v>45</v>
      </c>
      <c r="Z876" t="s">
        <v>23</v>
      </c>
      <c r="AA876" t="s">
        <v>3577</v>
      </c>
      <c r="AB876" t="s">
        <v>3578</v>
      </c>
      <c r="AC876" t="s">
        <v>3579</v>
      </c>
      <c r="AD876" t="s">
        <v>3479</v>
      </c>
      <c r="AE876" t="s">
        <v>3475</v>
      </c>
      <c r="AF876" s="2">
        <v>1000.4375</v>
      </c>
      <c r="AG876" s="2">
        <v>605.64919999999995</v>
      </c>
      <c r="AH876" s="2">
        <v>394.78829999999999</v>
      </c>
      <c r="AI876" s="3">
        <v>0.39461565565065299</v>
      </c>
    </row>
    <row r="877" spans="1:35">
      <c r="A877" s="1">
        <v>42331</v>
      </c>
      <c r="B877" s="1">
        <v>37498</v>
      </c>
      <c r="C877" t="s">
        <v>5834</v>
      </c>
      <c r="D877">
        <v>381</v>
      </c>
      <c r="E877">
        <v>14116</v>
      </c>
      <c r="F877">
        <v>1</v>
      </c>
      <c r="G877">
        <v>1</v>
      </c>
      <c r="H877">
        <v>1</v>
      </c>
      <c r="I877">
        <v>2</v>
      </c>
      <c r="J877" t="s">
        <v>3563</v>
      </c>
      <c r="K877" t="s">
        <v>3564</v>
      </c>
      <c r="L877" s="2">
        <v>605.64919999999995</v>
      </c>
      <c r="M877" s="2">
        <v>1000.4375</v>
      </c>
      <c r="N877" t="s">
        <v>26</v>
      </c>
      <c r="O877" t="s">
        <v>251</v>
      </c>
      <c r="P877" t="s">
        <v>25</v>
      </c>
      <c r="Q877" t="s">
        <v>7206</v>
      </c>
      <c r="R877" s="1">
        <v>24886</v>
      </c>
      <c r="S877" t="s">
        <v>22</v>
      </c>
      <c r="T877" t="s">
        <v>29</v>
      </c>
      <c r="U877" t="s">
        <v>1671</v>
      </c>
      <c r="V877">
        <v>80000</v>
      </c>
      <c r="W877">
        <v>0</v>
      </c>
      <c r="X877" t="s">
        <v>17</v>
      </c>
      <c r="Y877" t="s">
        <v>45</v>
      </c>
      <c r="Z877" t="s">
        <v>23</v>
      </c>
      <c r="AA877" t="s">
        <v>3577</v>
      </c>
      <c r="AB877" t="s">
        <v>3578</v>
      </c>
      <c r="AC877" t="s">
        <v>3579</v>
      </c>
      <c r="AD877" t="s">
        <v>3479</v>
      </c>
      <c r="AE877" t="s">
        <v>3475</v>
      </c>
      <c r="AF877" s="2">
        <v>1000.4375</v>
      </c>
      <c r="AG877" s="2">
        <v>605.64919999999995</v>
      </c>
      <c r="AH877" s="2">
        <v>394.78829999999999</v>
      </c>
      <c r="AI877" s="3">
        <v>0.39461565565065299</v>
      </c>
    </row>
    <row r="878" spans="1:35">
      <c r="A878" s="1">
        <v>42335</v>
      </c>
      <c r="B878" s="1">
        <v>37500</v>
      </c>
      <c r="C878" t="s">
        <v>5867</v>
      </c>
      <c r="D878">
        <v>383</v>
      </c>
      <c r="E878">
        <v>14117</v>
      </c>
      <c r="F878">
        <v>1</v>
      </c>
      <c r="G878">
        <v>1</v>
      </c>
      <c r="H878">
        <v>1</v>
      </c>
      <c r="I878">
        <v>2</v>
      </c>
      <c r="J878" t="s">
        <v>3565</v>
      </c>
      <c r="K878" t="s">
        <v>3566</v>
      </c>
      <c r="L878" s="2">
        <v>605.64919999999995</v>
      </c>
      <c r="M878" s="2">
        <v>1000.4375</v>
      </c>
      <c r="N878" t="s">
        <v>26</v>
      </c>
      <c r="O878" t="s">
        <v>721</v>
      </c>
      <c r="P878" t="s">
        <v>334</v>
      </c>
      <c r="Q878" t="s">
        <v>7207</v>
      </c>
      <c r="R878" s="1">
        <v>25134</v>
      </c>
      <c r="S878" t="s">
        <v>22</v>
      </c>
      <c r="T878" t="s">
        <v>29</v>
      </c>
      <c r="U878" t="s">
        <v>1672</v>
      </c>
      <c r="V878">
        <v>80000</v>
      </c>
      <c r="W878">
        <v>0</v>
      </c>
      <c r="X878" t="s">
        <v>17</v>
      </c>
      <c r="Y878" t="s">
        <v>45</v>
      </c>
      <c r="Z878" t="s">
        <v>23</v>
      </c>
      <c r="AA878" t="s">
        <v>3577</v>
      </c>
      <c r="AB878" t="s">
        <v>3578</v>
      </c>
      <c r="AC878" t="s">
        <v>3579</v>
      </c>
      <c r="AD878" t="s">
        <v>3479</v>
      </c>
      <c r="AE878" t="s">
        <v>3475</v>
      </c>
      <c r="AF878" s="2">
        <v>1000.4375</v>
      </c>
      <c r="AG878" s="2">
        <v>605.64919999999995</v>
      </c>
      <c r="AH878" s="2">
        <v>394.78829999999999</v>
      </c>
      <c r="AI878" s="3">
        <v>0.39461565565065299</v>
      </c>
    </row>
    <row r="879" spans="1:35">
      <c r="A879" s="1">
        <v>42331</v>
      </c>
      <c r="B879" s="1">
        <v>37527</v>
      </c>
      <c r="C879" t="s">
        <v>5835</v>
      </c>
      <c r="D879">
        <v>383</v>
      </c>
      <c r="E879">
        <v>14120</v>
      </c>
      <c r="F879">
        <v>4</v>
      </c>
      <c r="G879">
        <v>1</v>
      </c>
      <c r="H879">
        <v>1</v>
      </c>
      <c r="I879">
        <v>2</v>
      </c>
      <c r="J879" t="s">
        <v>3565</v>
      </c>
      <c r="K879" t="s">
        <v>3566</v>
      </c>
      <c r="L879" s="2">
        <v>605.64919999999995</v>
      </c>
      <c r="M879" s="2">
        <v>1000.4375</v>
      </c>
      <c r="N879" t="s">
        <v>26</v>
      </c>
      <c r="O879" t="s">
        <v>296</v>
      </c>
      <c r="P879" t="s">
        <v>309</v>
      </c>
      <c r="Q879" t="s">
        <v>7208</v>
      </c>
      <c r="R879" s="1">
        <v>24640</v>
      </c>
      <c r="S879" t="s">
        <v>16</v>
      </c>
      <c r="T879" t="s">
        <v>29</v>
      </c>
      <c r="U879" t="s">
        <v>1673</v>
      </c>
      <c r="V879">
        <v>120000</v>
      </c>
      <c r="W879">
        <v>0</v>
      </c>
      <c r="X879" t="s">
        <v>17</v>
      </c>
      <c r="Y879" t="s">
        <v>45</v>
      </c>
      <c r="Z879" t="s">
        <v>19</v>
      </c>
      <c r="AA879" t="s">
        <v>3580</v>
      </c>
      <c r="AB879" t="s">
        <v>3578</v>
      </c>
      <c r="AC879" t="s">
        <v>3579</v>
      </c>
      <c r="AD879" t="s">
        <v>3479</v>
      </c>
      <c r="AE879" t="s">
        <v>3475</v>
      </c>
      <c r="AF879" s="2">
        <v>1000.4375</v>
      </c>
      <c r="AG879" s="2">
        <v>605.64919999999995</v>
      </c>
      <c r="AH879" s="2">
        <v>394.78829999999999</v>
      </c>
      <c r="AI879" s="3">
        <v>0.39461565565065299</v>
      </c>
    </row>
    <row r="880" spans="1:35">
      <c r="A880" s="1">
        <v>42338</v>
      </c>
      <c r="B880" s="1">
        <v>37479</v>
      </c>
      <c r="C880" t="s">
        <v>5892</v>
      </c>
      <c r="D880">
        <v>381</v>
      </c>
      <c r="E880">
        <v>14121</v>
      </c>
      <c r="F880">
        <v>1</v>
      </c>
      <c r="G880">
        <v>1</v>
      </c>
      <c r="H880">
        <v>1</v>
      </c>
      <c r="I880">
        <v>2</v>
      </c>
      <c r="J880" t="s">
        <v>3563</v>
      </c>
      <c r="K880" t="s">
        <v>3564</v>
      </c>
      <c r="L880" s="2">
        <v>605.64919999999995</v>
      </c>
      <c r="M880" s="2">
        <v>1000.4375</v>
      </c>
      <c r="N880" t="s">
        <v>13</v>
      </c>
      <c r="O880" t="s">
        <v>1320</v>
      </c>
      <c r="P880" t="s">
        <v>266</v>
      </c>
      <c r="Q880" t="s">
        <v>7209</v>
      </c>
      <c r="R880" s="1">
        <v>24666</v>
      </c>
      <c r="S880" t="s">
        <v>22</v>
      </c>
      <c r="T880" t="s">
        <v>16</v>
      </c>
      <c r="U880" t="s">
        <v>1674</v>
      </c>
      <c r="V880">
        <v>130000</v>
      </c>
      <c r="W880">
        <v>0</v>
      </c>
      <c r="X880" t="s">
        <v>135</v>
      </c>
      <c r="Y880" t="s">
        <v>45</v>
      </c>
      <c r="Z880" t="s">
        <v>23</v>
      </c>
      <c r="AA880" t="s">
        <v>3577</v>
      </c>
      <c r="AB880" t="s">
        <v>3578</v>
      </c>
      <c r="AC880" t="s">
        <v>3579</v>
      </c>
      <c r="AD880" t="s">
        <v>3479</v>
      </c>
      <c r="AE880" t="s">
        <v>3475</v>
      </c>
      <c r="AF880" s="2">
        <v>1000.4375</v>
      </c>
      <c r="AG880" s="2">
        <v>605.64919999999995</v>
      </c>
      <c r="AH880" s="2">
        <v>394.78829999999999</v>
      </c>
      <c r="AI880" s="3">
        <v>0.39461565565065299</v>
      </c>
    </row>
    <row r="881" spans="1:35">
      <c r="A881" s="1">
        <v>42238</v>
      </c>
      <c r="B881" s="1">
        <v>37454</v>
      </c>
      <c r="C881" t="s">
        <v>5194</v>
      </c>
      <c r="D881">
        <v>368</v>
      </c>
      <c r="E881">
        <v>14141</v>
      </c>
      <c r="F881">
        <v>7</v>
      </c>
      <c r="G881">
        <v>1</v>
      </c>
      <c r="H881">
        <v>1</v>
      </c>
      <c r="I881">
        <v>2</v>
      </c>
      <c r="J881" t="s">
        <v>3547</v>
      </c>
      <c r="K881" t="s">
        <v>3548</v>
      </c>
      <c r="L881" s="2">
        <v>1518.7864</v>
      </c>
      <c r="M881" s="2">
        <v>2443.35</v>
      </c>
      <c r="N881" t="s">
        <v>30</v>
      </c>
      <c r="O881" t="s">
        <v>126</v>
      </c>
      <c r="P881" t="s">
        <v>184</v>
      </c>
      <c r="Q881" t="s">
        <v>7210</v>
      </c>
      <c r="R881" s="1">
        <v>22078</v>
      </c>
      <c r="S881" t="s">
        <v>22</v>
      </c>
      <c r="T881" t="s">
        <v>29</v>
      </c>
      <c r="U881" t="s">
        <v>1675</v>
      </c>
      <c r="V881">
        <v>10000</v>
      </c>
      <c r="W881">
        <v>1</v>
      </c>
      <c r="X881" t="s">
        <v>57</v>
      </c>
      <c r="Y881" t="s">
        <v>444</v>
      </c>
      <c r="Z881" t="s">
        <v>23</v>
      </c>
      <c r="AA881" t="s">
        <v>3583</v>
      </c>
      <c r="AB881" t="s">
        <v>3583</v>
      </c>
      <c r="AC881" t="s">
        <v>3584</v>
      </c>
      <c r="AD881" t="s">
        <v>3479</v>
      </c>
      <c r="AE881" t="s">
        <v>3475</v>
      </c>
      <c r="AF881" s="2">
        <v>2443.35</v>
      </c>
      <c r="AG881" s="2">
        <v>1518.7864</v>
      </c>
      <c r="AH881" s="2">
        <v>924.56359999999995</v>
      </c>
      <c r="AI881" s="3">
        <v>0.37839998362903399</v>
      </c>
    </row>
    <row r="882" spans="1:35">
      <c r="A882" s="1">
        <v>42034</v>
      </c>
      <c r="B882" s="1">
        <v>37200</v>
      </c>
      <c r="C882" t="s">
        <v>3766</v>
      </c>
      <c r="D882">
        <v>310</v>
      </c>
      <c r="E882">
        <v>14147</v>
      </c>
      <c r="F882">
        <v>8</v>
      </c>
      <c r="G882">
        <v>1</v>
      </c>
      <c r="H882">
        <v>1</v>
      </c>
      <c r="I882">
        <v>2</v>
      </c>
      <c r="J882" t="s">
        <v>3485</v>
      </c>
      <c r="K882" t="s">
        <v>3486</v>
      </c>
      <c r="L882" s="2">
        <v>2171.2941999999998</v>
      </c>
      <c r="M882" s="2">
        <v>3578.27</v>
      </c>
      <c r="N882" t="s">
        <v>13</v>
      </c>
      <c r="O882" t="s">
        <v>249</v>
      </c>
      <c r="P882" t="s">
        <v>243</v>
      </c>
      <c r="Q882" t="s">
        <v>7211</v>
      </c>
      <c r="R882" s="1">
        <v>21261</v>
      </c>
      <c r="S882" t="s">
        <v>16</v>
      </c>
      <c r="T882" t="s">
        <v>16</v>
      </c>
      <c r="U882" t="s">
        <v>1676</v>
      </c>
      <c r="V882">
        <v>30000</v>
      </c>
      <c r="W882">
        <v>1</v>
      </c>
      <c r="X882" t="s">
        <v>135</v>
      </c>
      <c r="Y882" t="s">
        <v>60</v>
      </c>
      <c r="Z882" t="s">
        <v>19</v>
      </c>
      <c r="AA882" t="s">
        <v>3585</v>
      </c>
      <c r="AB882" t="s">
        <v>3585</v>
      </c>
      <c r="AC882" t="s">
        <v>3584</v>
      </c>
      <c r="AD882" t="s">
        <v>3479</v>
      </c>
      <c r="AE882" t="s">
        <v>3475</v>
      </c>
      <c r="AF882" s="2">
        <v>3578.27</v>
      </c>
      <c r="AG882" s="2">
        <v>2171.2941999999998</v>
      </c>
      <c r="AH882" s="2">
        <v>1406.9757999999999</v>
      </c>
      <c r="AI882" s="3">
        <v>0.39320001006072802</v>
      </c>
    </row>
    <row r="883" spans="1:35">
      <c r="A883" s="1">
        <v>42062</v>
      </c>
      <c r="B883" s="1">
        <v>37279</v>
      </c>
      <c r="C883" t="s">
        <v>3937</v>
      </c>
      <c r="D883">
        <v>310</v>
      </c>
      <c r="E883">
        <v>14148</v>
      </c>
      <c r="F883">
        <v>8</v>
      </c>
      <c r="G883">
        <v>1</v>
      </c>
      <c r="H883">
        <v>1</v>
      </c>
      <c r="I883">
        <v>2</v>
      </c>
      <c r="J883" t="s">
        <v>3485</v>
      </c>
      <c r="K883" t="s">
        <v>3486</v>
      </c>
      <c r="L883" s="2">
        <v>2171.2941999999998</v>
      </c>
      <c r="M883" s="2">
        <v>3578.27</v>
      </c>
      <c r="N883" t="s">
        <v>13</v>
      </c>
      <c r="O883" t="s">
        <v>235</v>
      </c>
      <c r="P883" t="s">
        <v>664</v>
      </c>
      <c r="Q883" t="s">
        <v>7212</v>
      </c>
      <c r="R883" s="1">
        <v>21256</v>
      </c>
      <c r="S883" t="s">
        <v>16</v>
      </c>
      <c r="T883" t="s">
        <v>16</v>
      </c>
      <c r="U883" t="s">
        <v>1677</v>
      </c>
      <c r="V883">
        <v>30000</v>
      </c>
      <c r="W883">
        <v>1</v>
      </c>
      <c r="X883" t="s">
        <v>135</v>
      </c>
      <c r="Y883" t="s">
        <v>60</v>
      </c>
      <c r="Z883" t="s">
        <v>19</v>
      </c>
      <c r="AA883" t="s">
        <v>3585</v>
      </c>
      <c r="AB883" t="s">
        <v>3585</v>
      </c>
      <c r="AC883" t="s">
        <v>3584</v>
      </c>
      <c r="AD883" t="s">
        <v>3479</v>
      </c>
      <c r="AE883" t="s">
        <v>3475</v>
      </c>
      <c r="AF883" s="2">
        <v>3578.27</v>
      </c>
      <c r="AG883" s="2">
        <v>2171.2941999999998</v>
      </c>
      <c r="AH883" s="2">
        <v>1406.9757999999999</v>
      </c>
      <c r="AI883" s="3">
        <v>0.39320001006072802</v>
      </c>
    </row>
    <row r="884" spans="1:35">
      <c r="A884" s="1">
        <v>42046</v>
      </c>
      <c r="B884" s="1">
        <v>37251</v>
      </c>
      <c r="C884" t="s">
        <v>3843</v>
      </c>
      <c r="D884">
        <v>310</v>
      </c>
      <c r="E884">
        <v>14149</v>
      </c>
      <c r="F884">
        <v>8</v>
      </c>
      <c r="G884">
        <v>1</v>
      </c>
      <c r="H884">
        <v>1</v>
      </c>
      <c r="I884">
        <v>2</v>
      </c>
      <c r="J884" t="s">
        <v>3485</v>
      </c>
      <c r="K884" t="s">
        <v>3486</v>
      </c>
      <c r="L884" s="2">
        <v>2171.2941999999998</v>
      </c>
      <c r="M884" s="2">
        <v>3578.27</v>
      </c>
      <c r="N884" t="s">
        <v>13</v>
      </c>
      <c r="O884" t="s">
        <v>169</v>
      </c>
      <c r="P884" t="s">
        <v>632</v>
      </c>
      <c r="Q884" t="s">
        <v>7213</v>
      </c>
      <c r="R884" s="1">
        <v>22216</v>
      </c>
      <c r="S884" t="s">
        <v>16</v>
      </c>
      <c r="T884" t="s">
        <v>16</v>
      </c>
      <c r="U884" t="s">
        <v>1678</v>
      </c>
      <c r="V884">
        <v>30000</v>
      </c>
      <c r="W884">
        <v>3</v>
      </c>
      <c r="X884" t="s">
        <v>17</v>
      </c>
      <c r="Y884" t="s">
        <v>60</v>
      </c>
      <c r="Z884" t="s">
        <v>19</v>
      </c>
      <c r="AA884" t="s">
        <v>3585</v>
      </c>
      <c r="AB884" t="s">
        <v>3585</v>
      </c>
      <c r="AC884" t="s">
        <v>3584</v>
      </c>
      <c r="AD884" t="s">
        <v>3479</v>
      </c>
      <c r="AE884" t="s">
        <v>3475</v>
      </c>
      <c r="AF884" s="2">
        <v>3578.27</v>
      </c>
      <c r="AG884" s="2">
        <v>2171.2941999999998</v>
      </c>
      <c r="AH884" s="2">
        <v>1406.9757999999999</v>
      </c>
      <c r="AI884" s="3">
        <v>0.39320001006072802</v>
      </c>
    </row>
    <row r="885" spans="1:35">
      <c r="A885" s="1">
        <v>42244</v>
      </c>
      <c r="B885" s="1">
        <v>37441</v>
      </c>
      <c r="C885" t="s">
        <v>5261</v>
      </c>
      <c r="D885">
        <v>379</v>
      </c>
      <c r="E885">
        <v>14154</v>
      </c>
      <c r="F885">
        <v>7</v>
      </c>
      <c r="G885">
        <v>1</v>
      </c>
      <c r="H885">
        <v>1</v>
      </c>
      <c r="I885">
        <v>2</v>
      </c>
      <c r="J885" t="s">
        <v>3561</v>
      </c>
      <c r="K885" t="s">
        <v>3562</v>
      </c>
      <c r="L885" s="2">
        <v>1320.6838</v>
      </c>
      <c r="M885" s="2">
        <v>2181.5625</v>
      </c>
      <c r="N885" t="s">
        <v>13</v>
      </c>
      <c r="O885" t="s">
        <v>154</v>
      </c>
      <c r="P885" t="s">
        <v>140</v>
      </c>
      <c r="Q885" t="s">
        <v>7214</v>
      </c>
      <c r="R885" s="1">
        <v>25850</v>
      </c>
      <c r="S885" t="s">
        <v>16</v>
      </c>
      <c r="T885" t="s">
        <v>16</v>
      </c>
      <c r="U885" t="s">
        <v>1679</v>
      </c>
      <c r="V885">
        <v>30000</v>
      </c>
      <c r="W885">
        <v>0</v>
      </c>
      <c r="X885" t="s">
        <v>17</v>
      </c>
      <c r="Y885" t="s">
        <v>60</v>
      </c>
      <c r="Z885" t="s">
        <v>19</v>
      </c>
      <c r="AA885" t="s">
        <v>3583</v>
      </c>
      <c r="AB885" t="s">
        <v>3583</v>
      </c>
      <c r="AC885" t="s">
        <v>3584</v>
      </c>
      <c r="AD885" t="s">
        <v>3479</v>
      </c>
      <c r="AE885" t="s">
        <v>3475</v>
      </c>
      <c r="AF885" s="2">
        <v>2181.5625</v>
      </c>
      <c r="AG885" s="2">
        <v>1320.6838</v>
      </c>
      <c r="AH885" s="2">
        <v>860.87869999999998</v>
      </c>
      <c r="AI885" s="3">
        <v>0.39461564818793898</v>
      </c>
    </row>
    <row r="886" spans="1:35">
      <c r="A886" s="1">
        <v>42058</v>
      </c>
      <c r="B886" s="1">
        <v>37276</v>
      </c>
      <c r="C886" t="s">
        <v>3905</v>
      </c>
      <c r="D886">
        <v>313</v>
      </c>
      <c r="E886">
        <v>14160</v>
      </c>
      <c r="F886">
        <v>8</v>
      </c>
      <c r="G886">
        <v>1</v>
      </c>
      <c r="H886">
        <v>1</v>
      </c>
      <c r="I886">
        <v>2</v>
      </c>
      <c r="J886" t="s">
        <v>3491</v>
      </c>
      <c r="K886" t="s">
        <v>3492</v>
      </c>
      <c r="L886" s="2">
        <v>2171.2941999999998</v>
      </c>
      <c r="M886" s="2">
        <v>3578.27</v>
      </c>
      <c r="N886" t="s">
        <v>26</v>
      </c>
      <c r="O886" t="s">
        <v>469</v>
      </c>
      <c r="P886" t="s">
        <v>511</v>
      </c>
      <c r="Q886" t="s">
        <v>7215</v>
      </c>
      <c r="R886" s="1">
        <v>25389</v>
      </c>
      <c r="S886" t="s">
        <v>16</v>
      </c>
      <c r="T886" t="s">
        <v>29</v>
      </c>
      <c r="U886" t="s">
        <v>1680</v>
      </c>
      <c r="V886">
        <v>40000</v>
      </c>
      <c r="W886">
        <v>0</v>
      </c>
      <c r="X886" t="s">
        <v>135</v>
      </c>
      <c r="Y886" t="s">
        <v>60</v>
      </c>
      <c r="Z886" t="s">
        <v>19</v>
      </c>
      <c r="AA886" t="s">
        <v>3585</v>
      </c>
      <c r="AB886" t="s">
        <v>3585</v>
      </c>
      <c r="AC886" t="s">
        <v>3584</v>
      </c>
      <c r="AD886" t="s">
        <v>3479</v>
      </c>
      <c r="AE886" t="s">
        <v>3475</v>
      </c>
      <c r="AF886" s="2">
        <v>3578.27</v>
      </c>
      <c r="AG886" s="2">
        <v>2171.2941999999998</v>
      </c>
      <c r="AH886" s="2">
        <v>1406.9757999999999</v>
      </c>
      <c r="AI886" s="3">
        <v>0.39320001006072802</v>
      </c>
    </row>
    <row r="887" spans="1:35">
      <c r="A887" s="1">
        <v>42039</v>
      </c>
      <c r="B887" s="1">
        <v>37212</v>
      </c>
      <c r="C887" t="s">
        <v>3796</v>
      </c>
      <c r="D887">
        <v>311</v>
      </c>
      <c r="E887">
        <v>14161</v>
      </c>
      <c r="F887">
        <v>8</v>
      </c>
      <c r="G887">
        <v>1</v>
      </c>
      <c r="H887">
        <v>1</v>
      </c>
      <c r="I887">
        <v>2</v>
      </c>
      <c r="J887" t="s">
        <v>3487</v>
      </c>
      <c r="K887" t="s">
        <v>3488</v>
      </c>
      <c r="L887" s="2">
        <v>2171.2941999999998</v>
      </c>
      <c r="M887" s="2">
        <v>3578.27</v>
      </c>
      <c r="N887" t="s">
        <v>26</v>
      </c>
      <c r="O887" t="s">
        <v>360</v>
      </c>
      <c r="P887" t="s">
        <v>338</v>
      </c>
      <c r="Q887" t="s">
        <v>7216</v>
      </c>
      <c r="R887" s="1">
        <v>25236</v>
      </c>
      <c r="S887" t="s">
        <v>22</v>
      </c>
      <c r="T887" t="s">
        <v>29</v>
      </c>
      <c r="U887" t="s">
        <v>1681</v>
      </c>
      <c r="V887">
        <v>40000</v>
      </c>
      <c r="W887">
        <v>0</v>
      </c>
      <c r="X887" t="s">
        <v>135</v>
      </c>
      <c r="Y887" t="s">
        <v>60</v>
      </c>
      <c r="Z887" t="s">
        <v>19</v>
      </c>
      <c r="AA887" t="s">
        <v>3585</v>
      </c>
      <c r="AB887" t="s">
        <v>3585</v>
      </c>
      <c r="AC887" t="s">
        <v>3584</v>
      </c>
      <c r="AD887" t="s">
        <v>3479</v>
      </c>
      <c r="AE887" t="s">
        <v>3475</v>
      </c>
      <c r="AF887" s="2">
        <v>3578.27</v>
      </c>
      <c r="AG887" s="2">
        <v>2171.2941999999998</v>
      </c>
      <c r="AH887" s="2">
        <v>1406.9757999999999</v>
      </c>
      <c r="AI887" s="3">
        <v>0.39320001006072802</v>
      </c>
    </row>
    <row r="888" spans="1:35">
      <c r="A888" s="1">
        <v>42045</v>
      </c>
      <c r="B888" s="1">
        <v>37226</v>
      </c>
      <c r="C888" t="s">
        <v>3831</v>
      </c>
      <c r="D888">
        <v>313</v>
      </c>
      <c r="E888">
        <v>14162</v>
      </c>
      <c r="F888">
        <v>8</v>
      </c>
      <c r="G888">
        <v>1</v>
      </c>
      <c r="H888">
        <v>1</v>
      </c>
      <c r="I888">
        <v>2</v>
      </c>
      <c r="J888" t="s">
        <v>3491</v>
      </c>
      <c r="K888" t="s">
        <v>3492</v>
      </c>
      <c r="L888" s="2">
        <v>2171.2941999999998</v>
      </c>
      <c r="M888" s="2">
        <v>3578.27</v>
      </c>
      <c r="N888" t="s">
        <v>13</v>
      </c>
      <c r="O888" t="s">
        <v>531</v>
      </c>
      <c r="P888" t="s">
        <v>99</v>
      </c>
      <c r="Q888" t="s">
        <v>7217</v>
      </c>
      <c r="R888" s="1">
        <v>25525</v>
      </c>
      <c r="S888" t="s">
        <v>16</v>
      </c>
      <c r="T888" t="s">
        <v>16</v>
      </c>
      <c r="U888" t="s">
        <v>1682</v>
      </c>
      <c r="V888">
        <v>40000</v>
      </c>
      <c r="W888">
        <v>0</v>
      </c>
      <c r="X888" t="s">
        <v>135</v>
      </c>
      <c r="Y888" t="s">
        <v>60</v>
      </c>
      <c r="Z888" t="s">
        <v>19</v>
      </c>
      <c r="AA888" t="s">
        <v>3585</v>
      </c>
      <c r="AB888" t="s">
        <v>3585</v>
      </c>
      <c r="AC888" t="s">
        <v>3584</v>
      </c>
      <c r="AD888" t="s">
        <v>3479</v>
      </c>
      <c r="AE888" t="s">
        <v>3475</v>
      </c>
      <c r="AF888" s="2">
        <v>3578.27</v>
      </c>
      <c r="AG888" s="2">
        <v>2171.2941999999998</v>
      </c>
      <c r="AH888" s="2">
        <v>1406.9757999999999</v>
      </c>
      <c r="AI888" s="3">
        <v>0.39320001006072802</v>
      </c>
    </row>
    <row r="889" spans="1:35">
      <c r="A889" s="1">
        <v>42054</v>
      </c>
      <c r="B889" s="1">
        <v>37265</v>
      </c>
      <c r="C889" t="s">
        <v>3887</v>
      </c>
      <c r="D889">
        <v>310</v>
      </c>
      <c r="E889">
        <v>14163</v>
      </c>
      <c r="F889">
        <v>8</v>
      </c>
      <c r="G889">
        <v>1</v>
      </c>
      <c r="H889">
        <v>1</v>
      </c>
      <c r="I889">
        <v>2</v>
      </c>
      <c r="J889" t="s">
        <v>3485</v>
      </c>
      <c r="K889" t="s">
        <v>3486</v>
      </c>
      <c r="L889" s="2">
        <v>2171.2941999999998</v>
      </c>
      <c r="M889" s="2">
        <v>3578.27</v>
      </c>
      <c r="N889" t="s">
        <v>26</v>
      </c>
      <c r="O889" t="s">
        <v>94</v>
      </c>
      <c r="P889" t="s">
        <v>99</v>
      </c>
      <c r="Q889" t="s">
        <v>7218</v>
      </c>
      <c r="R889" s="1">
        <v>25499</v>
      </c>
      <c r="S889" t="s">
        <v>16</v>
      </c>
      <c r="T889" t="s">
        <v>29</v>
      </c>
      <c r="U889" t="s">
        <v>1683</v>
      </c>
      <c r="V889">
        <v>40000</v>
      </c>
      <c r="W889">
        <v>0</v>
      </c>
      <c r="X889" t="s">
        <v>135</v>
      </c>
      <c r="Y889" t="s">
        <v>60</v>
      </c>
      <c r="Z889" t="s">
        <v>19</v>
      </c>
      <c r="AA889" t="s">
        <v>3585</v>
      </c>
      <c r="AB889" t="s">
        <v>3585</v>
      </c>
      <c r="AC889" t="s">
        <v>3584</v>
      </c>
      <c r="AD889" t="s">
        <v>3479</v>
      </c>
      <c r="AE889" t="s">
        <v>3475</v>
      </c>
      <c r="AF889" s="2">
        <v>3578.27</v>
      </c>
      <c r="AG889" s="2">
        <v>2171.2941999999998</v>
      </c>
      <c r="AH889" s="2">
        <v>1406.9757999999999</v>
      </c>
      <c r="AI889" s="3">
        <v>0.39320001006072802</v>
      </c>
    </row>
    <row r="890" spans="1:35">
      <c r="A890" s="1">
        <v>42049</v>
      </c>
      <c r="B890" s="1">
        <v>37247</v>
      </c>
      <c r="C890" t="s">
        <v>3868</v>
      </c>
      <c r="D890">
        <v>312</v>
      </c>
      <c r="E890">
        <v>14167</v>
      </c>
      <c r="F890">
        <v>8</v>
      </c>
      <c r="G890">
        <v>1</v>
      </c>
      <c r="H890">
        <v>1</v>
      </c>
      <c r="I890">
        <v>2</v>
      </c>
      <c r="J890" t="s">
        <v>3489</v>
      </c>
      <c r="K890" t="s">
        <v>3490</v>
      </c>
      <c r="L890" s="2">
        <v>2171.2941999999998</v>
      </c>
      <c r="M890" s="2">
        <v>3578.27</v>
      </c>
      <c r="N890" t="s">
        <v>30</v>
      </c>
      <c r="O890" t="s">
        <v>517</v>
      </c>
      <c r="P890" t="s">
        <v>561</v>
      </c>
      <c r="Q890" t="s">
        <v>7219</v>
      </c>
      <c r="R890" s="1">
        <v>18720</v>
      </c>
      <c r="S890" t="s">
        <v>22</v>
      </c>
      <c r="T890" t="s">
        <v>29</v>
      </c>
      <c r="U890" t="s">
        <v>1684</v>
      </c>
      <c r="V890">
        <v>10000</v>
      </c>
      <c r="W890">
        <v>3</v>
      </c>
      <c r="X890" t="s">
        <v>52</v>
      </c>
      <c r="Y890" t="s">
        <v>444</v>
      </c>
      <c r="Z890" t="s">
        <v>19</v>
      </c>
      <c r="AA890" t="s">
        <v>3585</v>
      </c>
      <c r="AB890" t="s">
        <v>3585</v>
      </c>
      <c r="AC890" t="s">
        <v>3584</v>
      </c>
      <c r="AD890" t="s">
        <v>3479</v>
      </c>
      <c r="AE890" t="s">
        <v>3475</v>
      </c>
      <c r="AF890" s="2">
        <v>3578.27</v>
      </c>
      <c r="AG890" s="2">
        <v>2171.2941999999998</v>
      </c>
      <c r="AH890" s="2">
        <v>1406.9757999999999</v>
      </c>
      <c r="AI890" s="3">
        <v>0.39320001006072802</v>
      </c>
    </row>
    <row r="891" spans="1:35">
      <c r="A891" s="1">
        <v>42232</v>
      </c>
      <c r="B891" s="1">
        <v>37389</v>
      </c>
      <c r="C891" t="s">
        <v>5138</v>
      </c>
      <c r="D891">
        <v>370</v>
      </c>
      <c r="E891">
        <v>14169</v>
      </c>
      <c r="F891">
        <v>7</v>
      </c>
      <c r="G891">
        <v>1</v>
      </c>
      <c r="H891">
        <v>1</v>
      </c>
      <c r="I891">
        <v>2</v>
      </c>
      <c r="J891" t="s">
        <v>3551</v>
      </c>
      <c r="K891" t="s">
        <v>3552</v>
      </c>
      <c r="L891" s="2">
        <v>1518.7864</v>
      </c>
      <c r="M891" s="2">
        <v>2443.35</v>
      </c>
      <c r="N891" t="s">
        <v>30</v>
      </c>
      <c r="O891" t="s">
        <v>1184</v>
      </c>
      <c r="P891" t="s">
        <v>290</v>
      </c>
      <c r="Q891" t="s">
        <v>7220</v>
      </c>
      <c r="R891" s="1">
        <v>24944</v>
      </c>
      <c r="S891" t="s">
        <v>22</v>
      </c>
      <c r="T891" t="s">
        <v>29</v>
      </c>
      <c r="U891" t="s">
        <v>1685</v>
      </c>
      <c r="V891">
        <v>10000</v>
      </c>
      <c r="W891">
        <v>3</v>
      </c>
      <c r="X891" t="s">
        <v>57</v>
      </c>
      <c r="Y891" t="s">
        <v>444</v>
      </c>
      <c r="Z891" t="s">
        <v>19</v>
      </c>
      <c r="AA891" t="s">
        <v>3583</v>
      </c>
      <c r="AB891" t="s">
        <v>3583</v>
      </c>
      <c r="AC891" t="s">
        <v>3584</v>
      </c>
      <c r="AD891" t="s">
        <v>3479</v>
      </c>
      <c r="AE891" t="s">
        <v>3475</v>
      </c>
      <c r="AF891" s="2">
        <v>2443.35</v>
      </c>
      <c r="AG891" s="2">
        <v>1518.7864</v>
      </c>
      <c r="AH891" s="2">
        <v>924.56359999999995</v>
      </c>
      <c r="AI891" s="3">
        <v>0.37839998362903399</v>
      </c>
    </row>
    <row r="892" spans="1:35">
      <c r="A892" s="1">
        <v>42255</v>
      </c>
      <c r="B892" s="1">
        <v>37450</v>
      </c>
      <c r="C892" t="s">
        <v>5327</v>
      </c>
      <c r="D892">
        <v>370</v>
      </c>
      <c r="E892">
        <v>14170</v>
      </c>
      <c r="F892">
        <v>7</v>
      </c>
      <c r="G892">
        <v>1</v>
      </c>
      <c r="H892">
        <v>1</v>
      </c>
      <c r="I892">
        <v>2</v>
      </c>
      <c r="J892" t="s">
        <v>3551</v>
      </c>
      <c r="K892" t="s">
        <v>3552</v>
      </c>
      <c r="L892" s="2">
        <v>1518.7864</v>
      </c>
      <c r="M892" s="2">
        <v>2443.35</v>
      </c>
      <c r="N892" t="s">
        <v>30</v>
      </c>
      <c r="O892" t="s">
        <v>1260</v>
      </c>
      <c r="P892" t="s">
        <v>85</v>
      </c>
      <c r="Q892" t="s">
        <v>7221</v>
      </c>
      <c r="R892" s="1">
        <v>25144</v>
      </c>
      <c r="S892" t="s">
        <v>22</v>
      </c>
      <c r="T892" t="s">
        <v>29</v>
      </c>
      <c r="U892" t="s">
        <v>1686</v>
      </c>
      <c r="V892">
        <v>10000</v>
      </c>
      <c r="W892">
        <v>3</v>
      </c>
      <c r="X892" t="s">
        <v>57</v>
      </c>
      <c r="Y892" t="s">
        <v>444</v>
      </c>
      <c r="Z892" t="s">
        <v>19</v>
      </c>
      <c r="AA892" t="s">
        <v>3583</v>
      </c>
      <c r="AB892" t="s">
        <v>3583</v>
      </c>
      <c r="AC892" t="s">
        <v>3584</v>
      </c>
      <c r="AD892" t="s">
        <v>3479</v>
      </c>
      <c r="AE892" t="s">
        <v>3475</v>
      </c>
      <c r="AF892" s="2">
        <v>2443.35</v>
      </c>
      <c r="AG892" s="2">
        <v>1518.7864</v>
      </c>
      <c r="AH892" s="2">
        <v>924.56359999999995</v>
      </c>
      <c r="AI892" s="3">
        <v>0.37839998362903399</v>
      </c>
    </row>
    <row r="893" spans="1:35">
      <c r="A893" s="1">
        <v>42043</v>
      </c>
      <c r="B893" s="1">
        <v>37240</v>
      </c>
      <c r="C893" t="s">
        <v>3827</v>
      </c>
      <c r="D893">
        <v>312</v>
      </c>
      <c r="E893">
        <v>14171</v>
      </c>
      <c r="F893">
        <v>8</v>
      </c>
      <c r="G893">
        <v>1</v>
      </c>
      <c r="H893">
        <v>1</v>
      </c>
      <c r="I893">
        <v>2</v>
      </c>
      <c r="J893" t="s">
        <v>3489</v>
      </c>
      <c r="K893" t="s">
        <v>3490</v>
      </c>
      <c r="L893" s="2">
        <v>2171.2941999999998</v>
      </c>
      <c r="M893" s="2">
        <v>3578.27</v>
      </c>
      <c r="N893" t="s">
        <v>30</v>
      </c>
      <c r="O893" t="s">
        <v>132</v>
      </c>
      <c r="P893" t="s">
        <v>62</v>
      </c>
      <c r="Q893" t="s">
        <v>7222</v>
      </c>
      <c r="R893" s="1">
        <v>16320</v>
      </c>
      <c r="S893" t="s">
        <v>22</v>
      </c>
      <c r="T893" t="s">
        <v>29</v>
      </c>
      <c r="U893" t="s">
        <v>1687</v>
      </c>
      <c r="V893">
        <v>90000</v>
      </c>
      <c r="W893">
        <v>5</v>
      </c>
      <c r="X893" t="s">
        <v>52</v>
      </c>
      <c r="Y893" t="s">
        <v>18</v>
      </c>
      <c r="Z893" t="s">
        <v>23</v>
      </c>
      <c r="AA893" t="s">
        <v>3585</v>
      </c>
      <c r="AB893" t="s">
        <v>3585</v>
      </c>
      <c r="AC893" t="s">
        <v>3584</v>
      </c>
      <c r="AD893" t="s">
        <v>3479</v>
      </c>
      <c r="AE893" t="s">
        <v>3475</v>
      </c>
      <c r="AF893" s="2">
        <v>3578.27</v>
      </c>
      <c r="AG893" s="2">
        <v>2171.2941999999998</v>
      </c>
      <c r="AH893" s="2">
        <v>1406.9757999999999</v>
      </c>
      <c r="AI893" s="3">
        <v>0.39320001006072802</v>
      </c>
    </row>
    <row r="894" spans="1:35">
      <c r="A894" s="1">
        <v>42059</v>
      </c>
      <c r="B894" s="1">
        <v>37231</v>
      </c>
      <c r="C894" t="s">
        <v>3910</v>
      </c>
      <c r="D894">
        <v>314</v>
      </c>
      <c r="E894">
        <v>14181</v>
      </c>
      <c r="F894">
        <v>8</v>
      </c>
      <c r="G894">
        <v>1</v>
      </c>
      <c r="H894">
        <v>1</v>
      </c>
      <c r="I894">
        <v>2</v>
      </c>
      <c r="J894" t="s">
        <v>3493</v>
      </c>
      <c r="K894" t="s">
        <v>3494</v>
      </c>
      <c r="L894" s="2">
        <v>2171.2941999999998</v>
      </c>
      <c r="M894" s="2">
        <v>3578.27</v>
      </c>
      <c r="N894" t="s">
        <v>30</v>
      </c>
      <c r="O894" t="s">
        <v>904</v>
      </c>
      <c r="P894" t="s">
        <v>570</v>
      </c>
      <c r="Q894" t="s">
        <v>7223</v>
      </c>
      <c r="R894" s="1">
        <v>17138</v>
      </c>
      <c r="S894" t="s">
        <v>16</v>
      </c>
      <c r="T894" t="s">
        <v>29</v>
      </c>
      <c r="U894" t="s">
        <v>1688</v>
      </c>
      <c r="V894">
        <v>100000</v>
      </c>
      <c r="W894">
        <v>3</v>
      </c>
      <c r="X894" t="s">
        <v>17</v>
      </c>
      <c r="Y894" t="s">
        <v>45</v>
      </c>
      <c r="Z894" t="s">
        <v>19</v>
      </c>
      <c r="AA894" t="s">
        <v>3585</v>
      </c>
      <c r="AB894" t="s">
        <v>3585</v>
      </c>
      <c r="AC894" t="s">
        <v>3584</v>
      </c>
      <c r="AD894" t="s">
        <v>3479</v>
      </c>
      <c r="AE894" t="s">
        <v>3475</v>
      </c>
      <c r="AF894" s="2">
        <v>3578.27</v>
      </c>
      <c r="AG894" s="2">
        <v>2171.2941999999998</v>
      </c>
      <c r="AH894" s="2">
        <v>1406.9757999999999</v>
      </c>
      <c r="AI894" s="3">
        <v>0.39320001006072802</v>
      </c>
    </row>
    <row r="895" spans="1:35">
      <c r="A895" s="1">
        <v>42265</v>
      </c>
      <c r="B895" s="1">
        <v>37431</v>
      </c>
      <c r="C895" t="s">
        <v>5400</v>
      </c>
      <c r="D895">
        <v>377</v>
      </c>
      <c r="E895">
        <v>14185</v>
      </c>
      <c r="F895">
        <v>7</v>
      </c>
      <c r="G895">
        <v>1</v>
      </c>
      <c r="H895">
        <v>1</v>
      </c>
      <c r="I895">
        <v>2</v>
      </c>
      <c r="J895" t="s">
        <v>3559</v>
      </c>
      <c r="K895" t="s">
        <v>3560</v>
      </c>
      <c r="L895" s="2">
        <v>1320.6838</v>
      </c>
      <c r="M895" s="2">
        <v>2181.5625</v>
      </c>
      <c r="N895" t="s">
        <v>13</v>
      </c>
      <c r="O895" t="s">
        <v>448</v>
      </c>
      <c r="P895" t="s">
        <v>232</v>
      </c>
      <c r="Q895" t="s">
        <v>7224</v>
      </c>
      <c r="R895" s="1">
        <v>19317</v>
      </c>
      <c r="S895" t="s">
        <v>22</v>
      </c>
      <c r="T895" t="s">
        <v>16</v>
      </c>
      <c r="U895" t="s">
        <v>1689</v>
      </c>
      <c r="V895">
        <v>80000</v>
      </c>
      <c r="W895">
        <v>4</v>
      </c>
      <c r="X895" t="s">
        <v>52</v>
      </c>
      <c r="Y895" t="s">
        <v>18</v>
      </c>
      <c r="Z895" t="s">
        <v>19</v>
      </c>
      <c r="AA895" t="s">
        <v>3583</v>
      </c>
      <c r="AB895" t="s">
        <v>3583</v>
      </c>
      <c r="AC895" t="s">
        <v>3584</v>
      </c>
      <c r="AD895" t="s">
        <v>3479</v>
      </c>
      <c r="AE895" t="s">
        <v>3475</v>
      </c>
      <c r="AF895" s="2">
        <v>2181.5625</v>
      </c>
      <c r="AG895" s="2">
        <v>1320.6838</v>
      </c>
      <c r="AH895" s="2">
        <v>860.87869999999998</v>
      </c>
      <c r="AI895" s="3">
        <v>0.39461564818793898</v>
      </c>
    </row>
    <row r="896" spans="1:35">
      <c r="A896" s="1">
        <v>42268</v>
      </c>
      <c r="B896" s="1">
        <v>37444</v>
      </c>
      <c r="C896" t="s">
        <v>5422</v>
      </c>
      <c r="D896">
        <v>369</v>
      </c>
      <c r="E896">
        <v>14186</v>
      </c>
      <c r="F896">
        <v>7</v>
      </c>
      <c r="G896">
        <v>1</v>
      </c>
      <c r="H896">
        <v>1</v>
      </c>
      <c r="I896">
        <v>2</v>
      </c>
      <c r="J896" t="s">
        <v>3549</v>
      </c>
      <c r="K896" t="s">
        <v>3550</v>
      </c>
      <c r="L896" s="2">
        <v>1518.7864</v>
      </c>
      <c r="M896" s="2">
        <v>2443.35</v>
      </c>
      <c r="N896" t="s">
        <v>30</v>
      </c>
      <c r="O896" t="s">
        <v>509</v>
      </c>
      <c r="P896" t="s">
        <v>282</v>
      </c>
      <c r="Q896" t="s">
        <v>7225</v>
      </c>
      <c r="R896" s="1">
        <v>19171</v>
      </c>
      <c r="S896" t="s">
        <v>16</v>
      </c>
      <c r="T896" t="s">
        <v>29</v>
      </c>
      <c r="U896" t="s">
        <v>1690</v>
      </c>
      <c r="V896">
        <v>80000</v>
      </c>
      <c r="W896">
        <v>4</v>
      </c>
      <c r="X896" t="s">
        <v>52</v>
      </c>
      <c r="Y896" t="s">
        <v>18</v>
      </c>
      <c r="Z896" t="s">
        <v>19</v>
      </c>
      <c r="AA896" t="s">
        <v>3583</v>
      </c>
      <c r="AB896" t="s">
        <v>3583</v>
      </c>
      <c r="AC896" t="s">
        <v>3584</v>
      </c>
      <c r="AD896" t="s">
        <v>3479</v>
      </c>
      <c r="AE896" t="s">
        <v>3475</v>
      </c>
      <c r="AF896" s="2">
        <v>2443.35</v>
      </c>
      <c r="AG896" s="2">
        <v>1518.7864</v>
      </c>
      <c r="AH896" s="2">
        <v>924.56359999999995</v>
      </c>
      <c r="AI896" s="3">
        <v>0.37839998362903399</v>
      </c>
    </row>
    <row r="897" spans="1:35">
      <c r="A897" s="1">
        <v>42052</v>
      </c>
      <c r="B897" s="1">
        <v>37268</v>
      </c>
      <c r="C897" t="s">
        <v>3881</v>
      </c>
      <c r="D897">
        <v>310</v>
      </c>
      <c r="E897">
        <v>14189</v>
      </c>
      <c r="F897">
        <v>8</v>
      </c>
      <c r="G897">
        <v>1</v>
      </c>
      <c r="H897">
        <v>1</v>
      </c>
      <c r="I897">
        <v>2</v>
      </c>
      <c r="J897" t="s">
        <v>3485</v>
      </c>
      <c r="K897" t="s">
        <v>3486</v>
      </c>
      <c r="L897" s="2">
        <v>2171.2941999999998</v>
      </c>
      <c r="M897" s="2">
        <v>3578.27</v>
      </c>
      <c r="N897" t="s">
        <v>30</v>
      </c>
      <c r="O897" t="s">
        <v>1222</v>
      </c>
      <c r="P897" t="s">
        <v>103</v>
      </c>
      <c r="Q897" t="s">
        <v>7226</v>
      </c>
      <c r="R897" s="1">
        <v>18872</v>
      </c>
      <c r="S897" t="s">
        <v>16</v>
      </c>
      <c r="T897" t="s">
        <v>29</v>
      </c>
      <c r="U897" t="s">
        <v>1691</v>
      </c>
      <c r="V897">
        <v>90000</v>
      </c>
      <c r="W897">
        <v>4</v>
      </c>
      <c r="X897" t="s">
        <v>57</v>
      </c>
      <c r="Y897" t="s">
        <v>18</v>
      </c>
      <c r="Z897" t="s">
        <v>23</v>
      </c>
      <c r="AA897" t="s">
        <v>3585</v>
      </c>
      <c r="AB897" t="s">
        <v>3585</v>
      </c>
      <c r="AC897" t="s">
        <v>3584</v>
      </c>
      <c r="AD897" t="s">
        <v>3479</v>
      </c>
      <c r="AE897" t="s">
        <v>3475</v>
      </c>
      <c r="AF897" s="2">
        <v>3578.27</v>
      </c>
      <c r="AG897" s="2">
        <v>2171.2941999999998</v>
      </c>
      <c r="AH897" s="2">
        <v>1406.9757999999999</v>
      </c>
      <c r="AI897" s="3">
        <v>0.39320001006072802</v>
      </c>
    </row>
    <row r="898" spans="1:35">
      <c r="A898" s="1">
        <v>42269</v>
      </c>
      <c r="B898" s="1">
        <v>37418</v>
      </c>
      <c r="C898" t="s">
        <v>5430</v>
      </c>
      <c r="D898">
        <v>379</v>
      </c>
      <c r="E898">
        <v>14192</v>
      </c>
      <c r="F898">
        <v>7</v>
      </c>
      <c r="G898">
        <v>1</v>
      </c>
      <c r="H898">
        <v>1</v>
      </c>
      <c r="I898">
        <v>2</v>
      </c>
      <c r="J898" t="s">
        <v>3561</v>
      </c>
      <c r="K898" t="s">
        <v>3562</v>
      </c>
      <c r="L898" s="2">
        <v>1320.6838</v>
      </c>
      <c r="M898" s="2">
        <v>2181.5625</v>
      </c>
      <c r="N898" t="s">
        <v>13</v>
      </c>
      <c r="O898" t="s">
        <v>1589</v>
      </c>
      <c r="P898" t="s">
        <v>215</v>
      </c>
      <c r="Q898" t="s">
        <v>7227</v>
      </c>
      <c r="R898" s="1">
        <v>18498</v>
      </c>
      <c r="S898" t="s">
        <v>16</v>
      </c>
      <c r="T898" t="s">
        <v>16</v>
      </c>
      <c r="U898" t="s">
        <v>1692</v>
      </c>
      <c r="V898">
        <v>90000</v>
      </c>
      <c r="W898">
        <v>4</v>
      </c>
      <c r="X898" t="s">
        <v>57</v>
      </c>
      <c r="Y898" t="s">
        <v>45</v>
      </c>
      <c r="Z898" t="s">
        <v>19</v>
      </c>
      <c r="AA898" t="s">
        <v>3583</v>
      </c>
      <c r="AB898" t="s">
        <v>3583</v>
      </c>
      <c r="AC898" t="s">
        <v>3584</v>
      </c>
      <c r="AD898" t="s">
        <v>3479</v>
      </c>
      <c r="AE898" t="s">
        <v>3475</v>
      </c>
      <c r="AF898" s="2">
        <v>2181.5625</v>
      </c>
      <c r="AG898" s="2">
        <v>1320.6838</v>
      </c>
      <c r="AH898" s="2">
        <v>860.87869999999998</v>
      </c>
      <c r="AI898" s="3">
        <v>0.39461564818793898</v>
      </c>
    </row>
    <row r="899" spans="1:35">
      <c r="A899" s="1">
        <v>42050</v>
      </c>
      <c r="B899" s="1">
        <v>37186</v>
      </c>
      <c r="C899" t="s">
        <v>3870</v>
      </c>
      <c r="D899">
        <v>312</v>
      </c>
      <c r="E899">
        <v>14198</v>
      </c>
      <c r="F899">
        <v>8</v>
      </c>
      <c r="G899">
        <v>1</v>
      </c>
      <c r="H899">
        <v>1</v>
      </c>
      <c r="I899">
        <v>2</v>
      </c>
      <c r="J899" t="s">
        <v>3489</v>
      </c>
      <c r="K899" t="s">
        <v>3490</v>
      </c>
      <c r="L899" s="2">
        <v>2171.2941999999998</v>
      </c>
      <c r="M899" s="2">
        <v>3578.27</v>
      </c>
      <c r="N899" t="s">
        <v>30</v>
      </c>
      <c r="O899" t="s">
        <v>1693</v>
      </c>
      <c r="P899" t="s">
        <v>317</v>
      </c>
      <c r="Q899" t="s">
        <v>7228</v>
      </c>
      <c r="R899" s="1">
        <v>18214</v>
      </c>
      <c r="S899" t="s">
        <v>16</v>
      </c>
      <c r="T899" t="s">
        <v>29</v>
      </c>
      <c r="U899" t="s">
        <v>1694</v>
      </c>
      <c r="V899">
        <v>110000</v>
      </c>
      <c r="W899">
        <v>4</v>
      </c>
      <c r="X899" t="s">
        <v>57</v>
      </c>
      <c r="Y899" t="s">
        <v>45</v>
      </c>
      <c r="Z899" t="s">
        <v>19</v>
      </c>
      <c r="AA899" t="s">
        <v>3585</v>
      </c>
      <c r="AB899" t="s">
        <v>3585</v>
      </c>
      <c r="AC899" t="s">
        <v>3584</v>
      </c>
      <c r="AD899" t="s">
        <v>3479</v>
      </c>
      <c r="AE899" t="s">
        <v>3475</v>
      </c>
      <c r="AF899" s="2">
        <v>3578.27</v>
      </c>
      <c r="AG899" s="2">
        <v>2171.2941999999998</v>
      </c>
      <c r="AH899" s="2">
        <v>1406.9757999999999</v>
      </c>
      <c r="AI899" s="3">
        <v>0.39320001006072802</v>
      </c>
    </row>
    <row r="900" spans="1:35">
      <c r="A900" s="1">
        <v>42257</v>
      </c>
      <c r="B900" s="1">
        <v>37405</v>
      </c>
      <c r="C900" t="s">
        <v>5339</v>
      </c>
      <c r="D900">
        <v>375</v>
      </c>
      <c r="E900">
        <v>14200</v>
      </c>
      <c r="F900">
        <v>7</v>
      </c>
      <c r="G900">
        <v>1</v>
      </c>
      <c r="H900">
        <v>1</v>
      </c>
      <c r="I900">
        <v>2</v>
      </c>
      <c r="J900" t="s">
        <v>3557</v>
      </c>
      <c r="K900" t="s">
        <v>3558</v>
      </c>
      <c r="L900" s="2">
        <v>1320.6838</v>
      </c>
      <c r="M900" s="2">
        <v>2181.5625</v>
      </c>
      <c r="N900" t="s">
        <v>30</v>
      </c>
      <c r="O900" t="s">
        <v>564</v>
      </c>
      <c r="P900" t="s">
        <v>266</v>
      </c>
      <c r="Q900" t="s">
        <v>7229</v>
      </c>
      <c r="R900" s="1">
        <v>17813</v>
      </c>
      <c r="S900" t="s">
        <v>16</v>
      </c>
      <c r="T900" t="s">
        <v>29</v>
      </c>
      <c r="U900" t="s">
        <v>1695</v>
      </c>
      <c r="V900">
        <v>70000</v>
      </c>
      <c r="W900">
        <v>5</v>
      </c>
      <c r="X900" t="s">
        <v>77</v>
      </c>
      <c r="Y900" t="s">
        <v>53</v>
      </c>
      <c r="Z900" t="s">
        <v>19</v>
      </c>
      <c r="AA900" t="s">
        <v>3583</v>
      </c>
      <c r="AB900" t="s">
        <v>3583</v>
      </c>
      <c r="AC900" t="s">
        <v>3584</v>
      </c>
      <c r="AD900" t="s">
        <v>3479</v>
      </c>
      <c r="AE900" t="s">
        <v>3475</v>
      </c>
      <c r="AF900" s="2">
        <v>2181.5625</v>
      </c>
      <c r="AG900" s="2">
        <v>1320.6838</v>
      </c>
      <c r="AH900" s="2">
        <v>860.87869999999998</v>
      </c>
      <c r="AI900" s="3">
        <v>0.39461564818793898</v>
      </c>
    </row>
    <row r="901" spans="1:35">
      <c r="A901" s="1">
        <v>42249</v>
      </c>
      <c r="B901" s="1">
        <v>37473</v>
      </c>
      <c r="C901" t="s">
        <v>5296</v>
      </c>
      <c r="D901">
        <v>373</v>
      </c>
      <c r="E901">
        <v>14203</v>
      </c>
      <c r="F901">
        <v>7</v>
      </c>
      <c r="G901">
        <v>1</v>
      </c>
      <c r="H901">
        <v>1</v>
      </c>
      <c r="I901">
        <v>2</v>
      </c>
      <c r="J901" t="s">
        <v>3555</v>
      </c>
      <c r="K901" t="s">
        <v>3556</v>
      </c>
      <c r="L901" s="2">
        <v>1320.6838</v>
      </c>
      <c r="M901" s="2">
        <v>2181.5625</v>
      </c>
      <c r="N901" t="s">
        <v>13</v>
      </c>
      <c r="O901" t="s">
        <v>69</v>
      </c>
      <c r="P901" t="s">
        <v>293</v>
      </c>
      <c r="Q901" t="s">
        <v>7230</v>
      </c>
      <c r="R901" s="1">
        <v>17301</v>
      </c>
      <c r="S901" t="s">
        <v>22</v>
      </c>
      <c r="T901" t="s">
        <v>16</v>
      </c>
      <c r="U901" t="s">
        <v>1696</v>
      </c>
      <c r="V901">
        <v>80000</v>
      </c>
      <c r="W901">
        <v>5</v>
      </c>
      <c r="X901" t="s">
        <v>57</v>
      </c>
      <c r="Y901" t="s">
        <v>45</v>
      </c>
      <c r="Z901" t="s">
        <v>19</v>
      </c>
      <c r="AA901" t="s">
        <v>3583</v>
      </c>
      <c r="AB901" t="s">
        <v>3583</v>
      </c>
      <c r="AC901" t="s">
        <v>3584</v>
      </c>
      <c r="AD901" t="s">
        <v>3479</v>
      </c>
      <c r="AE901" t="s">
        <v>3475</v>
      </c>
      <c r="AF901" s="2">
        <v>2181.5625</v>
      </c>
      <c r="AG901" s="2">
        <v>1320.6838</v>
      </c>
      <c r="AH901" s="2">
        <v>860.87869999999998</v>
      </c>
      <c r="AI901" s="3">
        <v>0.39461564818793898</v>
      </c>
    </row>
    <row r="902" spans="1:35">
      <c r="A902" s="1">
        <v>42094</v>
      </c>
      <c r="B902" s="1">
        <v>37310</v>
      </c>
      <c r="C902" t="s">
        <v>4137</v>
      </c>
      <c r="D902">
        <v>314</v>
      </c>
      <c r="E902">
        <v>14207</v>
      </c>
      <c r="F902">
        <v>8</v>
      </c>
      <c r="G902">
        <v>1</v>
      </c>
      <c r="H902">
        <v>1</v>
      </c>
      <c r="I902">
        <v>2</v>
      </c>
      <c r="J902" t="s">
        <v>3493</v>
      </c>
      <c r="K902" t="s">
        <v>3494</v>
      </c>
      <c r="L902" s="2">
        <v>2171.2941999999998</v>
      </c>
      <c r="M902" s="2">
        <v>3578.27</v>
      </c>
      <c r="N902" t="s">
        <v>13</v>
      </c>
      <c r="O902" t="s">
        <v>368</v>
      </c>
      <c r="P902" t="s">
        <v>1697</v>
      </c>
      <c r="Q902" t="s">
        <v>7231</v>
      </c>
      <c r="R902" s="1">
        <v>17431</v>
      </c>
      <c r="S902" t="s">
        <v>16</v>
      </c>
      <c r="T902" t="s">
        <v>16</v>
      </c>
      <c r="U902" t="s">
        <v>1698</v>
      </c>
      <c r="V902">
        <v>110000</v>
      </c>
      <c r="W902">
        <v>4</v>
      </c>
      <c r="X902" t="s">
        <v>77</v>
      </c>
      <c r="Y902" t="s">
        <v>18</v>
      </c>
      <c r="Z902" t="s">
        <v>19</v>
      </c>
      <c r="AA902" t="s">
        <v>3585</v>
      </c>
      <c r="AB902" t="s">
        <v>3585</v>
      </c>
      <c r="AC902" t="s">
        <v>3584</v>
      </c>
      <c r="AD902" t="s">
        <v>3479</v>
      </c>
      <c r="AE902" t="s">
        <v>3475</v>
      </c>
      <c r="AF902" s="2">
        <v>3578.27</v>
      </c>
      <c r="AG902" s="2">
        <v>2171.2941999999998</v>
      </c>
      <c r="AH902" s="2">
        <v>1406.9757999999999</v>
      </c>
      <c r="AI902" s="3">
        <v>0.39320001006072802</v>
      </c>
    </row>
    <row r="903" spans="1:35">
      <c r="A903" s="1">
        <v>42315</v>
      </c>
      <c r="B903" s="1">
        <v>37547</v>
      </c>
      <c r="C903" t="s">
        <v>5741</v>
      </c>
      <c r="D903">
        <v>389</v>
      </c>
      <c r="E903">
        <v>14239</v>
      </c>
      <c r="F903">
        <v>4</v>
      </c>
      <c r="G903">
        <v>1</v>
      </c>
      <c r="H903">
        <v>1</v>
      </c>
      <c r="I903">
        <v>2</v>
      </c>
      <c r="J903" t="s">
        <v>3571</v>
      </c>
      <c r="K903" t="s">
        <v>3572</v>
      </c>
      <c r="L903" s="2">
        <v>605.64919999999995</v>
      </c>
      <c r="M903" s="2">
        <v>1000.4375</v>
      </c>
      <c r="N903" t="s">
        <v>30</v>
      </c>
      <c r="O903" t="s">
        <v>276</v>
      </c>
      <c r="P903" t="s">
        <v>587</v>
      </c>
      <c r="Q903" t="s">
        <v>7232</v>
      </c>
      <c r="R903" s="1">
        <v>15146</v>
      </c>
      <c r="S903" t="s">
        <v>16</v>
      </c>
      <c r="T903" t="s">
        <v>29</v>
      </c>
      <c r="U903" t="s">
        <v>1699</v>
      </c>
      <c r="V903">
        <v>70000</v>
      </c>
      <c r="W903">
        <v>5</v>
      </c>
      <c r="X903" t="s">
        <v>17</v>
      </c>
      <c r="Y903" t="s">
        <v>45</v>
      </c>
      <c r="Z903" t="s">
        <v>19</v>
      </c>
      <c r="AA903" t="s">
        <v>3580</v>
      </c>
      <c r="AB903" t="s">
        <v>3578</v>
      </c>
      <c r="AC903" t="s">
        <v>3579</v>
      </c>
      <c r="AD903" t="s">
        <v>3479</v>
      </c>
      <c r="AE903" t="s">
        <v>3475</v>
      </c>
      <c r="AF903" s="2">
        <v>1000.4375</v>
      </c>
      <c r="AG903" s="2">
        <v>605.64919999999995</v>
      </c>
      <c r="AH903" s="2">
        <v>394.78829999999999</v>
      </c>
      <c r="AI903" s="3">
        <v>0.39461565565065299</v>
      </c>
    </row>
    <row r="904" spans="1:35">
      <c r="A904" s="1">
        <v>42335</v>
      </c>
      <c r="B904" s="1">
        <v>37544</v>
      </c>
      <c r="C904" t="s">
        <v>5863</v>
      </c>
      <c r="D904">
        <v>385</v>
      </c>
      <c r="E904">
        <v>14240</v>
      </c>
      <c r="F904">
        <v>1</v>
      </c>
      <c r="G904">
        <v>1</v>
      </c>
      <c r="H904">
        <v>1</v>
      </c>
      <c r="I904">
        <v>2</v>
      </c>
      <c r="J904" t="s">
        <v>3567</v>
      </c>
      <c r="K904" t="s">
        <v>3568</v>
      </c>
      <c r="L904" s="2">
        <v>605.64919999999995</v>
      </c>
      <c r="M904" s="2">
        <v>1000.4375</v>
      </c>
      <c r="N904" t="s">
        <v>30</v>
      </c>
      <c r="O904" t="s">
        <v>242</v>
      </c>
      <c r="P904" t="s">
        <v>321</v>
      </c>
      <c r="Q904" t="s">
        <v>7233</v>
      </c>
      <c r="R904" s="1">
        <v>15145</v>
      </c>
      <c r="S904" t="s">
        <v>16</v>
      </c>
      <c r="T904" t="s">
        <v>29</v>
      </c>
      <c r="U904" t="s">
        <v>1700</v>
      </c>
      <c r="V904">
        <v>80000</v>
      </c>
      <c r="W904">
        <v>4</v>
      </c>
      <c r="X904" t="s">
        <v>17</v>
      </c>
      <c r="Y904" t="s">
        <v>45</v>
      </c>
      <c r="Z904" t="s">
        <v>23</v>
      </c>
      <c r="AA904" t="s">
        <v>3577</v>
      </c>
      <c r="AB904" t="s">
        <v>3578</v>
      </c>
      <c r="AC904" t="s">
        <v>3579</v>
      </c>
      <c r="AD904" t="s">
        <v>3479</v>
      </c>
      <c r="AE904" t="s">
        <v>3475</v>
      </c>
      <c r="AF904" s="2">
        <v>1000.4375</v>
      </c>
      <c r="AG904" s="2">
        <v>605.64919999999995</v>
      </c>
      <c r="AH904" s="2">
        <v>394.78829999999999</v>
      </c>
      <c r="AI904" s="3">
        <v>0.39461565565065299</v>
      </c>
    </row>
    <row r="905" spans="1:35">
      <c r="A905" s="1">
        <v>42352</v>
      </c>
      <c r="B905" s="1">
        <v>37569</v>
      </c>
      <c r="C905" t="s">
        <v>6056</v>
      </c>
      <c r="D905">
        <v>381</v>
      </c>
      <c r="E905">
        <v>14242</v>
      </c>
      <c r="F905">
        <v>1</v>
      </c>
      <c r="G905">
        <v>1</v>
      </c>
      <c r="H905">
        <v>1</v>
      </c>
      <c r="I905">
        <v>2</v>
      </c>
      <c r="J905" t="s">
        <v>3563</v>
      </c>
      <c r="K905" t="s">
        <v>3564</v>
      </c>
      <c r="L905" s="2">
        <v>605.64919999999995</v>
      </c>
      <c r="M905" s="2">
        <v>1000.4375</v>
      </c>
      <c r="N905" t="s">
        <v>13</v>
      </c>
      <c r="O905" t="s">
        <v>437</v>
      </c>
      <c r="P905" t="s">
        <v>161</v>
      </c>
      <c r="Q905" t="s">
        <v>7234</v>
      </c>
      <c r="R905" s="1">
        <v>15494</v>
      </c>
      <c r="S905" t="s">
        <v>16</v>
      </c>
      <c r="T905" t="s">
        <v>16</v>
      </c>
      <c r="U905" t="s">
        <v>1701</v>
      </c>
      <c r="V905">
        <v>70000</v>
      </c>
      <c r="W905">
        <v>5</v>
      </c>
      <c r="X905" t="s">
        <v>17</v>
      </c>
      <c r="Y905" t="s">
        <v>45</v>
      </c>
      <c r="Z905" t="s">
        <v>19</v>
      </c>
      <c r="AA905" t="s">
        <v>3577</v>
      </c>
      <c r="AB905" t="s">
        <v>3578</v>
      </c>
      <c r="AC905" t="s">
        <v>3579</v>
      </c>
      <c r="AD905" t="s">
        <v>3479</v>
      </c>
      <c r="AE905" t="s">
        <v>3475</v>
      </c>
      <c r="AF905" s="2">
        <v>1000.4375</v>
      </c>
      <c r="AG905" s="2">
        <v>605.64919999999995</v>
      </c>
      <c r="AH905" s="2">
        <v>394.78829999999999</v>
      </c>
      <c r="AI905" s="3">
        <v>0.39461565565065299</v>
      </c>
    </row>
    <row r="906" spans="1:35">
      <c r="A906" s="1">
        <v>42341</v>
      </c>
      <c r="B906" s="1">
        <v>37475</v>
      </c>
      <c r="C906" t="s">
        <v>5922</v>
      </c>
      <c r="D906">
        <v>383</v>
      </c>
      <c r="E906">
        <v>14253</v>
      </c>
      <c r="F906">
        <v>4</v>
      </c>
      <c r="G906">
        <v>1</v>
      </c>
      <c r="H906">
        <v>1</v>
      </c>
      <c r="I906">
        <v>2</v>
      </c>
      <c r="J906" t="s">
        <v>3565</v>
      </c>
      <c r="K906" t="s">
        <v>3566</v>
      </c>
      <c r="L906" s="2">
        <v>605.64919999999995</v>
      </c>
      <c r="M906" s="2">
        <v>1000.4375</v>
      </c>
      <c r="N906" t="s">
        <v>13</v>
      </c>
      <c r="O906" t="s">
        <v>260</v>
      </c>
      <c r="P906" t="s">
        <v>512</v>
      </c>
      <c r="Q906" t="s">
        <v>7235</v>
      </c>
      <c r="R906" s="1">
        <v>15999</v>
      </c>
      <c r="S906" t="s">
        <v>22</v>
      </c>
      <c r="T906" t="s">
        <v>16</v>
      </c>
      <c r="U906" t="s">
        <v>1702</v>
      </c>
      <c r="V906">
        <v>110000</v>
      </c>
      <c r="W906">
        <v>2</v>
      </c>
      <c r="X906" t="s">
        <v>17</v>
      </c>
      <c r="Y906" t="s">
        <v>45</v>
      </c>
      <c r="Z906" t="s">
        <v>19</v>
      </c>
      <c r="AA906" t="s">
        <v>3580</v>
      </c>
      <c r="AB906" t="s">
        <v>3578</v>
      </c>
      <c r="AC906" t="s">
        <v>3579</v>
      </c>
      <c r="AD906" t="s">
        <v>3479</v>
      </c>
      <c r="AE906" t="s">
        <v>3475</v>
      </c>
      <c r="AF906" s="2">
        <v>1000.4375</v>
      </c>
      <c r="AG906" s="2">
        <v>605.64919999999995</v>
      </c>
      <c r="AH906" s="2">
        <v>394.78829999999999</v>
      </c>
      <c r="AI906" s="3">
        <v>0.39461565565065299</v>
      </c>
    </row>
    <row r="907" spans="1:35">
      <c r="A907" s="1">
        <v>42349</v>
      </c>
      <c r="B907" s="1">
        <v>37549</v>
      </c>
      <c r="C907" t="s">
        <v>6007</v>
      </c>
      <c r="D907">
        <v>389</v>
      </c>
      <c r="E907">
        <v>14255</v>
      </c>
      <c r="F907">
        <v>1</v>
      </c>
      <c r="G907">
        <v>1</v>
      </c>
      <c r="H907">
        <v>1</v>
      </c>
      <c r="I907">
        <v>2</v>
      </c>
      <c r="J907" t="s">
        <v>3571</v>
      </c>
      <c r="K907" t="s">
        <v>3572</v>
      </c>
      <c r="L907" s="2">
        <v>605.64919999999995</v>
      </c>
      <c r="M907" s="2">
        <v>1000.4375</v>
      </c>
      <c r="N907" t="s">
        <v>13</v>
      </c>
      <c r="O907" t="s">
        <v>262</v>
      </c>
      <c r="P907" t="s">
        <v>393</v>
      </c>
      <c r="Q907" t="s">
        <v>7236</v>
      </c>
      <c r="R907" s="1">
        <v>15763</v>
      </c>
      <c r="S907" t="s">
        <v>22</v>
      </c>
      <c r="T907" t="s">
        <v>16</v>
      </c>
      <c r="U907" t="s">
        <v>1704</v>
      </c>
      <c r="V907">
        <v>110000</v>
      </c>
      <c r="W907">
        <v>2</v>
      </c>
      <c r="X907" t="s">
        <v>17</v>
      </c>
      <c r="Y907" t="s">
        <v>45</v>
      </c>
      <c r="Z907" t="s">
        <v>19</v>
      </c>
      <c r="AA907" t="s">
        <v>3577</v>
      </c>
      <c r="AB907" t="s">
        <v>3578</v>
      </c>
      <c r="AC907" t="s">
        <v>3579</v>
      </c>
      <c r="AD907" t="s">
        <v>3479</v>
      </c>
      <c r="AE907" t="s">
        <v>3475</v>
      </c>
      <c r="AF907" s="2">
        <v>1000.4375</v>
      </c>
      <c r="AG907" s="2">
        <v>605.64919999999995</v>
      </c>
      <c r="AH907" s="2">
        <v>394.78829999999999</v>
      </c>
      <c r="AI907" s="3">
        <v>0.39461565565065299</v>
      </c>
    </row>
    <row r="908" spans="1:35">
      <c r="A908" s="1">
        <v>42351</v>
      </c>
      <c r="B908" s="1">
        <v>37493</v>
      </c>
      <c r="C908" t="s">
        <v>6030</v>
      </c>
      <c r="D908">
        <v>387</v>
      </c>
      <c r="E908">
        <v>14256</v>
      </c>
      <c r="F908">
        <v>1</v>
      </c>
      <c r="G908">
        <v>1</v>
      </c>
      <c r="H908">
        <v>1</v>
      </c>
      <c r="I908">
        <v>2</v>
      </c>
      <c r="J908" t="s">
        <v>3569</v>
      </c>
      <c r="K908" t="s">
        <v>3570</v>
      </c>
      <c r="L908" s="2">
        <v>605.64919999999995</v>
      </c>
      <c r="M908" s="2">
        <v>1000.4375</v>
      </c>
      <c r="N908" t="s">
        <v>30</v>
      </c>
      <c r="O908" t="s">
        <v>31</v>
      </c>
      <c r="P908" t="s">
        <v>275</v>
      </c>
      <c r="Q908" t="s">
        <v>7237</v>
      </c>
      <c r="R908" s="1">
        <v>15843</v>
      </c>
      <c r="S908" t="s">
        <v>22</v>
      </c>
      <c r="T908" t="s">
        <v>29</v>
      </c>
      <c r="U908" t="s">
        <v>1705</v>
      </c>
      <c r="V908">
        <v>170000</v>
      </c>
      <c r="W908">
        <v>2</v>
      </c>
      <c r="X908" t="s">
        <v>135</v>
      </c>
      <c r="Y908" t="s">
        <v>45</v>
      </c>
      <c r="Z908" t="s">
        <v>23</v>
      </c>
      <c r="AA908" t="s">
        <v>3577</v>
      </c>
      <c r="AB908" t="s">
        <v>3578</v>
      </c>
      <c r="AC908" t="s">
        <v>3579</v>
      </c>
      <c r="AD908" t="s">
        <v>3479</v>
      </c>
      <c r="AE908" t="s">
        <v>3475</v>
      </c>
      <c r="AF908" s="2">
        <v>1000.4375</v>
      </c>
      <c r="AG908" s="2">
        <v>605.64919999999995</v>
      </c>
      <c r="AH908" s="2">
        <v>394.78829999999999</v>
      </c>
      <c r="AI908" s="3">
        <v>0.39461565565065299</v>
      </c>
    </row>
    <row r="909" spans="1:35">
      <c r="A909" s="1">
        <v>42342</v>
      </c>
      <c r="B909" s="1">
        <v>37566</v>
      </c>
      <c r="C909" t="s">
        <v>5936</v>
      </c>
      <c r="D909">
        <v>389</v>
      </c>
      <c r="E909">
        <v>14267</v>
      </c>
      <c r="F909">
        <v>1</v>
      </c>
      <c r="G909">
        <v>1</v>
      </c>
      <c r="H909">
        <v>1</v>
      </c>
      <c r="I909">
        <v>2</v>
      </c>
      <c r="J909" t="s">
        <v>3571</v>
      </c>
      <c r="K909" t="s">
        <v>3572</v>
      </c>
      <c r="L909" s="2">
        <v>605.64919999999995</v>
      </c>
      <c r="M909" s="2">
        <v>1000.4375</v>
      </c>
      <c r="N909" t="s">
        <v>26</v>
      </c>
      <c r="O909" t="s">
        <v>43</v>
      </c>
      <c r="P909" t="s">
        <v>283</v>
      </c>
      <c r="Q909" t="s">
        <v>7238</v>
      </c>
      <c r="R909" s="1">
        <v>27650</v>
      </c>
      <c r="S909" t="s">
        <v>22</v>
      </c>
      <c r="T909" t="s">
        <v>29</v>
      </c>
      <c r="U909" t="s">
        <v>1706</v>
      </c>
      <c r="V909">
        <v>30000</v>
      </c>
      <c r="W909">
        <v>0</v>
      </c>
      <c r="X909" t="s">
        <v>52</v>
      </c>
      <c r="Y909" t="s">
        <v>53</v>
      </c>
      <c r="Z909" t="s">
        <v>23</v>
      </c>
      <c r="AA909" t="s">
        <v>3577</v>
      </c>
      <c r="AB909" t="s">
        <v>3578</v>
      </c>
      <c r="AC909" t="s">
        <v>3579</v>
      </c>
      <c r="AD909" t="s">
        <v>3479</v>
      </c>
      <c r="AE909" t="s">
        <v>3475</v>
      </c>
      <c r="AF909" s="2">
        <v>1000.4375</v>
      </c>
      <c r="AG909" s="2">
        <v>605.64919999999995</v>
      </c>
      <c r="AH909" s="2">
        <v>394.78829999999999</v>
      </c>
      <c r="AI909" s="3">
        <v>0.39461565565065299</v>
      </c>
    </row>
    <row r="910" spans="1:35">
      <c r="A910" s="1">
        <v>42367</v>
      </c>
      <c r="B910" s="1">
        <v>37557</v>
      </c>
      <c r="C910" t="s">
        <v>6200</v>
      </c>
      <c r="D910">
        <v>381</v>
      </c>
      <c r="E910">
        <v>14268</v>
      </c>
      <c r="F910">
        <v>4</v>
      </c>
      <c r="G910">
        <v>1</v>
      </c>
      <c r="H910">
        <v>1</v>
      </c>
      <c r="I910">
        <v>2</v>
      </c>
      <c r="J910" t="s">
        <v>3563</v>
      </c>
      <c r="K910" t="s">
        <v>3564</v>
      </c>
      <c r="L910" s="2">
        <v>605.64919999999995</v>
      </c>
      <c r="M910" s="2">
        <v>1000.4375</v>
      </c>
      <c r="N910" t="s">
        <v>26</v>
      </c>
      <c r="O910" t="s">
        <v>588</v>
      </c>
      <c r="P910" t="s">
        <v>277</v>
      </c>
      <c r="Q910" t="s">
        <v>7239</v>
      </c>
      <c r="R910" s="1">
        <v>27442</v>
      </c>
      <c r="S910" t="s">
        <v>22</v>
      </c>
      <c r="T910" t="s">
        <v>29</v>
      </c>
      <c r="U910" t="s">
        <v>1707</v>
      </c>
      <c r="V910">
        <v>30000</v>
      </c>
      <c r="W910">
        <v>0</v>
      </c>
      <c r="X910" t="s">
        <v>57</v>
      </c>
      <c r="Y910" t="s">
        <v>53</v>
      </c>
      <c r="Z910" t="s">
        <v>19</v>
      </c>
      <c r="AA910" t="s">
        <v>3580</v>
      </c>
      <c r="AB910" t="s">
        <v>3578</v>
      </c>
      <c r="AC910" t="s">
        <v>3579</v>
      </c>
      <c r="AD910" t="s">
        <v>3479</v>
      </c>
      <c r="AE910" t="s">
        <v>3475</v>
      </c>
      <c r="AF910" s="2">
        <v>1000.4375</v>
      </c>
      <c r="AG910" s="2">
        <v>605.64919999999995</v>
      </c>
      <c r="AH910" s="2">
        <v>394.78829999999999</v>
      </c>
      <c r="AI910" s="3">
        <v>0.39461565565065299</v>
      </c>
    </row>
    <row r="911" spans="1:35">
      <c r="A911" s="1">
        <v>42361</v>
      </c>
      <c r="B911" s="1">
        <v>37510</v>
      </c>
      <c r="C911" t="s">
        <v>6142</v>
      </c>
      <c r="D911">
        <v>387</v>
      </c>
      <c r="E911">
        <v>14270</v>
      </c>
      <c r="F911">
        <v>4</v>
      </c>
      <c r="G911">
        <v>1</v>
      </c>
      <c r="H911">
        <v>1</v>
      </c>
      <c r="I911">
        <v>2</v>
      </c>
      <c r="J911" t="s">
        <v>3569</v>
      </c>
      <c r="K911" t="s">
        <v>3570</v>
      </c>
      <c r="L911" s="2">
        <v>605.64919999999995</v>
      </c>
      <c r="M911" s="2">
        <v>1000.4375</v>
      </c>
      <c r="N911" t="s">
        <v>13</v>
      </c>
      <c r="O911" t="s">
        <v>229</v>
      </c>
      <c r="P911" t="s">
        <v>199</v>
      </c>
      <c r="Q911" t="s">
        <v>7240</v>
      </c>
      <c r="R911" s="1">
        <v>27419</v>
      </c>
      <c r="S911" t="s">
        <v>22</v>
      </c>
      <c r="T911" t="s">
        <v>16</v>
      </c>
      <c r="U911" t="s">
        <v>1708</v>
      </c>
      <c r="V911">
        <v>60000</v>
      </c>
      <c r="W911">
        <v>0</v>
      </c>
      <c r="X911" t="s">
        <v>52</v>
      </c>
      <c r="Y911" t="s">
        <v>53</v>
      </c>
      <c r="Z911" t="s">
        <v>23</v>
      </c>
      <c r="AA911" t="s">
        <v>3580</v>
      </c>
      <c r="AB911" t="s">
        <v>3578</v>
      </c>
      <c r="AC911" t="s">
        <v>3579</v>
      </c>
      <c r="AD911" t="s">
        <v>3479</v>
      </c>
      <c r="AE911" t="s">
        <v>3475</v>
      </c>
      <c r="AF911" s="2">
        <v>1000.4375</v>
      </c>
      <c r="AG911" s="2">
        <v>605.64919999999995</v>
      </c>
      <c r="AH911" s="2">
        <v>394.78829999999999</v>
      </c>
      <c r="AI911" s="3">
        <v>0.39461565565065299</v>
      </c>
    </row>
    <row r="912" spans="1:35">
      <c r="A912" s="1">
        <v>42348</v>
      </c>
      <c r="B912" s="1">
        <v>37510</v>
      </c>
      <c r="C912" t="s">
        <v>5998</v>
      </c>
      <c r="D912">
        <v>385</v>
      </c>
      <c r="E912">
        <v>14272</v>
      </c>
      <c r="F912">
        <v>1</v>
      </c>
      <c r="G912">
        <v>1</v>
      </c>
      <c r="H912">
        <v>1</v>
      </c>
      <c r="I912">
        <v>2</v>
      </c>
      <c r="J912" t="s">
        <v>3567</v>
      </c>
      <c r="K912" t="s">
        <v>3568</v>
      </c>
      <c r="L912" s="2">
        <v>605.64919999999995</v>
      </c>
      <c r="M912" s="2">
        <v>1000.4375</v>
      </c>
      <c r="N912" t="s">
        <v>26</v>
      </c>
      <c r="O912" t="s">
        <v>48</v>
      </c>
      <c r="P912" t="s">
        <v>424</v>
      </c>
      <c r="Q912" t="s">
        <v>7241</v>
      </c>
      <c r="R912" s="1">
        <v>27091</v>
      </c>
      <c r="S912" t="s">
        <v>22</v>
      </c>
      <c r="T912" t="s">
        <v>29</v>
      </c>
      <c r="U912" t="s">
        <v>1709</v>
      </c>
      <c r="V912">
        <v>30000</v>
      </c>
      <c r="W912">
        <v>0</v>
      </c>
      <c r="X912" t="s">
        <v>57</v>
      </c>
      <c r="Y912" t="s">
        <v>53</v>
      </c>
      <c r="Z912" t="s">
        <v>23</v>
      </c>
      <c r="AA912" t="s">
        <v>3577</v>
      </c>
      <c r="AB912" t="s">
        <v>3578</v>
      </c>
      <c r="AC912" t="s">
        <v>3579</v>
      </c>
      <c r="AD912" t="s">
        <v>3479</v>
      </c>
      <c r="AE912" t="s">
        <v>3475</v>
      </c>
      <c r="AF912" s="2">
        <v>1000.4375</v>
      </c>
      <c r="AG912" s="2">
        <v>605.64919999999995</v>
      </c>
      <c r="AH912" s="2">
        <v>394.78829999999999</v>
      </c>
      <c r="AI912" s="3">
        <v>0.39461565565065299</v>
      </c>
    </row>
    <row r="913" spans="1:35">
      <c r="A913" s="1">
        <v>42361</v>
      </c>
      <c r="B913" s="1">
        <v>37558</v>
      </c>
      <c r="C913" t="s">
        <v>6148</v>
      </c>
      <c r="D913">
        <v>387</v>
      </c>
      <c r="E913">
        <v>14283</v>
      </c>
      <c r="F913">
        <v>1</v>
      </c>
      <c r="G913">
        <v>1</v>
      </c>
      <c r="H913">
        <v>1</v>
      </c>
      <c r="I913">
        <v>2</v>
      </c>
      <c r="J913" t="s">
        <v>3569</v>
      </c>
      <c r="K913" t="s">
        <v>3570</v>
      </c>
      <c r="L913" s="2">
        <v>605.64919999999995</v>
      </c>
      <c r="M913" s="2">
        <v>1000.4375</v>
      </c>
      <c r="N913" t="s">
        <v>13</v>
      </c>
      <c r="O913" t="s">
        <v>69</v>
      </c>
      <c r="P913" t="s">
        <v>111</v>
      </c>
      <c r="Q913" t="s">
        <v>7242</v>
      </c>
      <c r="R913" s="1">
        <v>27310</v>
      </c>
      <c r="S913" t="s">
        <v>22</v>
      </c>
      <c r="T913" t="s">
        <v>16</v>
      </c>
      <c r="U913" t="s">
        <v>1710</v>
      </c>
      <c r="V913">
        <v>60000</v>
      </c>
      <c r="W913">
        <v>0</v>
      </c>
      <c r="X913" t="s">
        <v>52</v>
      </c>
      <c r="Y913" t="s">
        <v>18</v>
      </c>
      <c r="Z913" t="s">
        <v>23</v>
      </c>
      <c r="AA913" t="s">
        <v>3577</v>
      </c>
      <c r="AB913" t="s">
        <v>3578</v>
      </c>
      <c r="AC913" t="s">
        <v>3579</v>
      </c>
      <c r="AD913" t="s">
        <v>3479</v>
      </c>
      <c r="AE913" t="s">
        <v>3475</v>
      </c>
      <c r="AF913" s="2">
        <v>1000.4375</v>
      </c>
      <c r="AG913" s="2">
        <v>605.64919999999995</v>
      </c>
      <c r="AH913" s="2">
        <v>394.78829999999999</v>
      </c>
      <c r="AI913" s="3">
        <v>0.39461565565065299</v>
      </c>
    </row>
    <row r="914" spans="1:35">
      <c r="A914" s="1">
        <v>42350</v>
      </c>
      <c r="B914" s="1">
        <v>37488</v>
      </c>
      <c r="C914" t="s">
        <v>6028</v>
      </c>
      <c r="D914">
        <v>385</v>
      </c>
      <c r="E914">
        <v>14284</v>
      </c>
      <c r="F914">
        <v>1</v>
      </c>
      <c r="G914">
        <v>1</v>
      </c>
      <c r="H914">
        <v>1</v>
      </c>
      <c r="I914">
        <v>2</v>
      </c>
      <c r="J914" t="s">
        <v>3567</v>
      </c>
      <c r="K914" t="s">
        <v>3568</v>
      </c>
      <c r="L914" s="2">
        <v>605.64919999999995</v>
      </c>
      <c r="M914" s="2">
        <v>1000.4375</v>
      </c>
      <c r="N914" t="s">
        <v>13</v>
      </c>
      <c r="O914" t="s">
        <v>54</v>
      </c>
      <c r="P914" t="s">
        <v>166</v>
      </c>
      <c r="Q914" t="s">
        <v>7243</v>
      </c>
      <c r="R914" s="1">
        <v>27197</v>
      </c>
      <c r="S914" t="s">
        <v>22</v>
      </c>
      <c r="T914" t="s">
        <v>16</v>
      </c>
      <c r="U914" t="s">
        <v>1711</v>
      </c>
      <c r="V914">
        <v>60000</v>
      </c>
      <c r="W914">
        <v>0</v>
      </c>
      <c r="X914" t="s">
        <v>52</v>
      </c>
      <c r="Y914" t="s">
        <v>18</v>
      </c>
      <c r="Z914" t="s">
        <v>23</v>
      </c>
      <c r="AA914" t="s">
        <v>3577</v>
      </c>
      <c r="AB914" t="s">
        <v>3578</v>
      </c>
      <c r="AC914" t="s">
        <v>3579</v>
      </c>
      <c r="AD914" t="s">
        <v>3479</v>
      </c>
      <c r="AE914" t="s">
        <v>3475</v>
      </c>
      <c r="AF914" s="2">
        <v>1000.4375</v>
      </c>
      <c r="AG914" s="2">
        <v>605.64919999999995</v>
      </c>
      <c r="AH914" s="2">
        <v>394.78829999999999</v>
      </c>
      <c r="AI914" s="3">
        <v>0.39461565565065299</v>
      </c>
    </row>
    <row r="915" spans="1:35">
      <c r="A915" s="1">
        <v>42339</v>
      </c>
      <c r="B915" s="1">
        <v>37529</v>
      </c>
      <c r="C915" t="s">
        <v>5905</v>
      </c>
      <c r="D915">
        <v>383</v>
      </c>
      <c r="E915">
        <v>14285</v>
      </c>
      <c r="F915">
        <v>4</v>
      </c>
      <c r="G915">
        <v>1</v>
      </c>
      <c r="H915">
        <v>1</v>
      </c>
      <c r="I915">
        <v>2</v>
      </c>
      <c r="J915" t="s">
        <v>3565</v>
      </c>
      <c r="K915" t="s">
        <v>3566</v>
      </c>
      <c r="L915" s="2">
        <v>605.64919999999995</v>
      </c>
      <c r="M915" s="2">
        <v>1000.4375</v>
      </c>
      <c r="N915" t="s">
        <v>26</v>
      </c>
      <c r="O915" t="s">
        <v>254</v>
      </c>
      <c r="P915" t="s">
        <v>280</v>
      </c>
      <c r="Q915" t="s">
        <v>7244</v>
      </c>
      <c r="R915" s="1">
        <v>27367</v>
      </c>
      <c r="S915" t="s">
        <v>22</v>
      </c>
      <c r="T915" t="s">
        <v>29</v>
      </c>
      <c r="U915" t="s">
        <v>1712</v>
      </c>
      <c r="V915">
        <v>60000</v>
      </c>
      <c r="W915">
        <v>0</v>
      </c>
      <c r="X915" t="s">
        <v>52</v>
      </c>
      <c r="Y915" t="s">
        <v>18</v>
      </c>
      <c r="Z915" t="s">
        <v>23</v>
      </c>
      <c r="AA915" t="s">
        <v>3580</v>
      </c>
      <c r="AB915" t="s">
        <v>3578</v>
      </c>
      <c r="AC915" t="s">
        <v>3579</v>
      </c>
      <c r="AD915" t="s">
        <v>3479</v>
      </c>
      <c r="AE915" t="s">
        <v>3475</v>
      </c>
      <c r="AF915" s="2">
        <v>1000.4375</v>
      </c>
      <c r="AG915" s="2">
        <v>605.64919999999995</v>
      </c>
      <c r="AH915" s="2">
        <v>394.78829999999999</v>
      </c>
      <c r="AI915" s="3">
        <v>0.39461565565065299</v>
      </c>
    </row>
    <row r="916" spans="1:35">
      <c r="A916" s="1">
        <v>42340</v>
      </c>
      <c r="B916" s="1">
        <v>37490</v>
      </c>
      <c r="C916" t="s">
        <v>5910</v>
      </c>
      <c r="D916">
        <v>383</v>
      </c>
      <c r="E916">
        <v>14288</v>
      </c>
      <c r="F916">
        <v>4</v>
      </c>
      <c r="G916">
        <v>1</v>
      </c>
      <c r="H916">
        <v>1</v>
      </c>
      <c r="I916">
        <v>2</v>
      </c>
      <c r="J916" t="s">
        <v>3565</v>
      </c>
      <c r="K916" t="s">
        <v>3566</v>
      </c>
      <c r="L916" s="2">
        <v>605.64919999999995</v>
      </c>
      <c r="M916" s="2">
        <v>1000.4375</v>
      </c>
      <c r="N916" t="s">
        <v>26</v>
      </c>
      <c r="O916" t="s">
        <v>1019</v>
      </c>
      <c r="P916" t="s">
        <v>259</v>
      </c>
      <c r="Q916" t="s">
        <v>7245</v>
      </c>
      <c r="R916" s="1">
        <v>24175</v>
      </c>
      <c r="S916" t="s">
        <v>22</v>
      </c>
      <c r="T916" t="s">
        <v>29</v>
      </c>
      <c r="U916" t="s">
        <v>1713</v>
      </c>
      <c r="V916">
        <v>130000</v>
      </c>
      <c r="W916">
        <v>0</v>
      </c>
      <c r="X916" t="s">
        <v>135</v>
      </c>
      <c r="Y916" t="s">
        <v>45</v>
      </c>
      <c r="Z916" t="s">
        <v>23</v>
      </c>
      <c r="AA916" t="s">
        <v>3580</v>
      </c>
      <c r="AB916" t="s">
        <v>3578</v>
      </c>
      <c r="AC916" t="s">
        <v>3579</v>
      </c>
      <c r="AD916" t="s">
        <v>3479</v>
      </c>
      <c r="AE916" t="s">
        <v>3475</v>
      </c>
      <c r="AF916" s="2">
        <v>1000.4375</v>
      </c>
      <c r="AG916" s="2">
        <v>605.64919999999995</v>
      </c>
      <c r="AH916" s="2">
        <v>394.78829999999999</v>
      </c>
      <c r="AI916" s="3">
        <v>0.39461565565065299</v>
      </c>
    </row>
    <row r="917" spans="1:35">
      <c r="A917" s="1">
        <v>42341</v>
      </c>
      <c r="B917" s="1">
        <v>37577</v>
      </c>
      <c r="C917" t="s">
        <v>5924</v>
      </c>
      <c r="D917">
        <v>389</v>
      </c>
      <c r="E917">
        <v>14289</v>
      </c>
      <c r="F917">
        <v>4</v>
      </c>
      <c r="G917">
        <v>1</v>
      </c>
      <c r="H917">
        <v>1</v>
      </c>
      <c r="I917">
        <v>2</v>
      </c>
      <c r="J917" t="s">
        <v>3571</v>
      </c>
      <c r="K917" t="s">
        <v>3572</v>
      </c>
      <c r="L917" s="2">
        <v>605.64919999999995</v>
      </c>
      <c r="M917" s="2">
        <v>1000.4375</v>
      </c>
      <c r="N917" t="s">
        <v>26</v>
      </c>
      <c r="O917" t="s">
        <v>145</v>
      </c>
      <c r="P917" t="s">
        <v>290</v>
      </c>
      <c r="Q917" t="s">
        <v>7246</v>
      </c>
      <c r="R917" s="1">
        <v>24341</v>
      </c>
      <c r="S917" t="s">
        <v>22</v>
      </c>
      <c r="T917" t="s">
        <v>29</v>
      </c>
      <c r="U917" t="s">
        <v>1714</v>
      </c>
      <c r="V917">
        <v>150000</v>
      </c>
      <c r="W917">
        <v>0</v>
      </c>
      <c r="X917" t="s">
        <v>17</v>
      </c>
      <c r="Y917" t="s">
        <v>45</v>
      </c>
      <c r="Z917" t="s">
        <v>23</v>
      </c>
      <c r="AA917" t="s">
        <v>3580</v>
      </c>
      <c r="AB917" t="s">
        <v>3578</v>
      </c>
      <c r="AC917" t="s">
        <v>3579</v>
      </c>
      <c r="AD917" t="s">
        <v>3479</v>
      </c>
      <c r="AE917" t="s">
        <v>3475</v>
      </c>
      <c r="AF917" s="2">
        <v>1000.4375</v>
      </c>
      <c r="AG917" s="2">
        <v>605.64919999999995</v>
      </c>
      <c r="AH917" s="2">
        <v>394.78829999999999</v>
      </c>
      <c r="AI917" s="3">
        <v>0.39461565565065299</v>
      </c>
    </row>
    <row r="918" spans="1:35">
      <c r="A918" s="1">
        <v>42252</v>
      </c>
      <c r="B918" s="1">
        <v>37472</v>
      </c>
      <c r="C918" t="s">
        <v>5313</v>
      </c>
      <c r="D918">
        <v>379</v>
      </c>
      <c r="E918">
        <v>14424</v>
      </c>
      <c r="F918">
        <v>7</v>
      </c>
      <c r="G918">
        <v>1</v>
      </c>
      <c r="H918">
        <v>1</v>
      </c>
      <c r="I918">
        <v>2</v>
      </c>
      <c r="J918" t="s">
        <v>3561</v>
      </c>
      <c r="K918" t="s">
        <v>3562</v>
      </c>
      <c r="L918" s="2">
        <v>1320.6838</v>
      </c>
      <c r="M918" s="2">
        <v>2181.5625</v>
      </c>
      <c r="N918" t="s">
        <v>30</v>
      </c>
      <c r="O918" t="s">
        <v>1126</v>
      </c>
      <c r="P918" t="s">
        <v>431</v>
      </c>
      <c r="Q918" t="s">
        <v>7247</v>
      </c>
      <c r="R918" s="1">
        <v>21009</v>
      </c>
      <c r="S918" t="s">
        <v>22</v>
      </c>
      <c r="T918" t="s">
        <v>29</v>
      </c>
      <c r="U918" t="s">
        <v>1715</v>
      </c>
      <c r="V918">
        <v>110000</v>
      </c>
      <c r="W918">
        <v>2</v>
      </c>
      <c r="X918" t="s">
        <v>52</v>
      </c>
      <c r="Y918" t="s">
        <v>18</v>
      </c>
      <c r="Z918" t="s">
        <v>19</v>
      </c>
      <c r="AA918" t="s">
        <v>3583</v>
      </c>
      <c r="AB918" t="s">
        <v>3583</v>
      </c>
      <c r="AC918" t="s">
        <v>3584</v>
      </c>
      <c r="AD918" t="s">
        <v>3479</v>
      </c>
      <c r="AE918" t="s">
        <v>3475</v>
      </c>
      <c r="AF918" s="2">
        <v>2181.5625</v>
      </c>
      <c r="AG918" s="2">
        <v>1320.6838</v>
      </c>
      <c r="AH918" s="2">
        <v>860.87869999999998</v>
      </c>
      <c r="AI918" s="3">
        <v>0.39461564818793898</v>
      </c>
    </row>
    <row r="919" spans="1:35">
      <c r="A919" s="1">
        <v>42081</v>
      </c>
      <c r="B919" s="1">
        <v>37317</v>
      </c>
      <c r="C919" t="s">
        <v>4061</v>
      </c>
      <c r="D919">
        <v>313</v>
      </c>
      <c r="E919">
        <v>14425</v>
      </c>
      <c r="F919">
        <v>8</v>
      </c>
      <c r="G919">
        <v>1</v>
      </c>
      <c r="H919">
        <v>1</v>
      </c>
      <c r="I919">
        <v>2</v>
      </c>
      <c r="J919" t="s">
        <v>3491</v>
      </c>
      <c r="K919" t="s">
        <v>3492</v>
      </c>
      <c r="L919" s="2">
        <v>2171.2941999999998</v>
      </c>
      <c r="M919" s="2">
        <v>3578.27</v>
      </c>
      <c r="N919" t="s">
        <v>13</v>
      </c>
      <c r="O919" t="s">
        <v>546</v>
      </c>
      <c r="P919" t="s">
        <v>38</v>
      </c>
      <c r="Q919" t="s">
        <v>7248</v>
      </c>
      <c r="R919" s="1">
        <v>21050</v>
      </c>
      <c r="S919" t="s">
        <v>16</v>
      </c>
      <c r="T919" t="s">
        <v>16</v>
      </c>
      <c r="U919" t="s">
        <v>1716</v>
      </c>
      <c r="V919">
        <v>120000</v>
      </c>
      <c r="W919">
        <v>2</v>
      </c>
      <c r="X919" t="s">
        <v>57</v>
      </c>
      <c r="Y919" t="s">
        <v>18</v>
      </c>
      <c r="Z919" t="s">
        <v>19</v>
      </c>
      <c r="AA919" t="s">
        <v>3585</v>
      </c>
      <c r="AB919" t="s">
        <v>3585</v>
      </c>
      <c r="AC919" t="s">
        <v>3584</v>
      </c>
      <c r="AD919" t="s">
        <v>3479</v>
      </c>
      <c r="AE919" t="s">
        <v>3475</v>
      </c>
      <c r="AF919" s="2">
        <v>3578.27</v>
      </c>
      <c r="AG919" s="2">
        <v>2171.2941999999998</v>
      </c>
      <c r="AH919" s="2">
        <v>1406.9757999999999</v>
      </c>
      <c r="AI919" s="3">
        <v>0.39320001006072802</v>
      </c>
    </row>
    <row r="920" spans="1:35">
      <c r="A920" s="1">
        <v>42087</v>
      </c>
      <c r="B920" s="1">
        <v>37223</v>
      </c>
      <c r="C920" t="s">
        <v>4097</v>
      </c>
      <c r="D920">
        <v>313</v>
      </c>
      <c r="E920">
        <v>14426</v>
      </c>
      <c r="F920">
        <v>8</v>
      </c>
      <c r="G920">
        <v>1</v>
      </c>
      <c r="H920">
        <v>1</v>
      </c>
      <c r="I920">
        <v>2</v>
      </c>
      <c r="J920" t="s">
        <v>3491</v>
      </c>
      <c r="K920" t="s">
        <v>3492</v>
      </c>
      <c r="L920" s="2">
        <v>2171.2941999999998</v>
      </c>
      <c r="M920" s="2">
        <v>3578.27</v>
      </c>
      <c r="N920" t="s">
        <v>30</v>
      </c>
      <c r="O920" t="s">
        <v>764</v>
      </c>
      <c r="P920" t="s">
        <v>280</v>
      </c>
      <c r="Q920" t="s">
        <v>7249</v>
      </c>
      <c r="R920" s="1">
        <v>21055</v>
      </c>
      <c r="S920" t="s">
        <v>16</v>
      </c>
      <c r="T920" t="s">
        <v>29</v>
      </c>
      <c r="U920" t="s">
        <v>1717</v>
      </c>
      <c r="V920">
        <v>130000</v>
      </c>
      <c r="W920">
        <v>2</v>
      </c>
      <c r="X920" t="s">
        <v>52</v>
      </c>
      <c r="Y920" t="s">
        <v>18</v>
      </c>
      <c r="Z920" t="s">
        <v>19</v>
      </c>
      <c r="AA920" t="s">
        <v>3585</v>
      </c>
      <c r="AB920" t="s">
        <v>3585</v>
      </c>
      <c r="AC920" t="s">
        <v>3584</v>
      </c>
      <c r="AD920" t="s">
        <v>3479</v>
      </c>
      <c r="AE920" t="s">
        <v>3475</v>
      </c>
      <c r="AF920" s="2">
        <v>3578.27</v>
      </c>
      <c r="AG920" s="2">
        <v>2171.2941999999998</v>
      </c>
      <c r="AH920" s="2">
        <v>1406.9757999999999</v>
      </c>
      <c r="AI920" s="3">
        <v>0.39320001006072802</v>
      </c>
    </row>
    <row r="921" spans="1:35">
      <c r="A921" s="1">
        <v>42064</v>
      </c>
      <c r="B921" s="1">
        <v>37285</v>
      </c>
      <c r="C921" t="s">
        <v>3943</v>
      </c>
      <c r="D921">
        <v>310</v>
      </c>
      <c r="E921">
        <v>14428</v>
      </c>
      <c r="F921">
        <v>8</v>
      </c>
      <c r="G921">
        <v>1</v>
      </c>
      <c r="H921">
        <v>1</v>
      </c>
      <c r="I921">
        <v>2</v>
      </c>
      <c r="J921" t="s">
        <v>3485</v>
      </c>
      <c r="K921" t="s">
        <v>3486</v>
      </c>
      <c r="L921" s="2">
        <v>2171.2941999999998</v>
      </c>
      <c r="M921" s="2">
        <v>3578.27</v>
      </c>
      <c r="N921" t="s">
        <v>30</v>
      </c>
      <c r="O921" t="s">
        <v>204</v>
      </c>
      <c r="P921" t="s">
        <v>134</v>
      </c>
      <c r="Q921" t="s">
        <v>7250</v>
      </c>
      <c r="R921" s="1">
        <v>20374</v>
      </c>
      <c r="S921" t="s">
        <v>22</v>
      </c>
      <c r="T921" t="s">
        <v>29</v>
      </c>
      <c r="U921" t="s">
        <v>1718</v>
      </c>
      <c r="V921">
        <v>130000</v>
      </c>
      <c r="W921">
        <v>3</v>
      </c>
      <c r="X921" t="s">
        <v>52</v>
      </c>
      <c r="Y921" t="s">
        <v>18</v>
      </c>
      <c r="Z921" t="s">
        <v>23</v>
      </c>
      <c r="AA921" t="s">
        <v>3585</v>
      </c>
      <c r="AB921" t="s">
        <v>3585</v>
      </c>
      <c r="AC921" t="s">
        <v>3584</v>
      </c>
      <c r="AD921" t="s">
        <v>3479</v>
      </c>
      <c r="AE921" t="s">
        <v>3475</v>
      </c>
      <c r="AF921" s="2">
        <v>3578.27</v>
      </c>
      <c r="AG921" s="2">
        <v>2171.2941999999998</v>
      </c>
      <c r="AH921" s="2">
        <v>1406.9757999999999</v>
      </c>
      <c r="AI921" s="3">
        <v>0.39320001006072802</v>
      </c>
    </row>
    <row r="922" spans="1:35">
      <c r="A922" s="1">
        <v>42252</v>
      </c>
      <c r="B922" s="1">
        <v>37426</v>
      </c>
      <c r="C922" t="s">
        <v>5311</v>
      </c>
      <c r="D922">
        <v>371</v>
      </c>
      <c r="E922">
        <v>14524</v>
      </c>
      <c r="F922">
        <v>7</v>
      </c>
      <c r="G922">
        <v>1</v>
      </c>
      <c r="H922">
        <v>1</v>
      </c>
      <c r="I922">
        <v>2</v>
      </c>
      <c r="J922" t="s">
        <v>3553</v>
      </c>
      <c r="K922" t="s">
        <v>3554</v>
      </c>
      <c r="L922" s="2">
        <v>1320.6838</v>
      </c>
      <c r="M922" s="2">
        <v>2181.5625</v>
      </c>
      <c r="N922" t="s">
        <v>26</v>
      </c>
      <c r="O922" t="s">
        <v>445</v>
      </c>
      <c r="P922" t="s">
        <v>353</v>
      </c>
      <c r="Q922" t="s">
        <v>7251</v>
      </c>
      <c r="R922" s="1">
        <v>28629</v>
      </c>
      <c r="S922" t="s">
        <v>16</v>
      </c>
      <c r="T922" t="s">
        <v>29</v>
      </c>
      <c r="U922" t="s">
        <v>1719</v>
      </c>
      <c r="V922">
        <v>10000</v>
      </c>
      <c r="W922">
        <v>0</v>
      </c>
      <c r="X922" t="s">
        <v>135</v>
      </c>
      <c r="Y922" t="s">
        <v>444</v>
      </c>
      <c r="Z922" t="s">
        <v>19</v>
      </c>
      <c r="AA922" t="s">
        <v>3583</v>
      </c>
      <c r="AB922" t="s">
        <v>3583</v>
      </c>
      <c r="AC922" t="s">
        <v>3584</v>
      </c>
      <c r="AD922" t="s">
        <v>3479</v>
      </c>
      <c r="AE922" t="s">
        <v>3475</v>
      </c>
      <c r="AF922" s="2">
        <v>2181.5625</v>
      </c>
      <c r="AG922" s="2">
        <v>1320.6838</v>
      </c>
      <c r="AH922" s="2">
        <v>860.87869999999998</v>
      </c>
      <c r="AI922" s="3">
        <v>0.39461564818793898</v>
      </c>
    </row>
    <row r="923" spans="1:35">
      <c r="A923" s="1">
        <v>42252</v>
      </c>
      <c r="B923" s="1">
        <v>37432</v>
      </c>
      <c r="C923" t="s">
        <v>5312</v>
      </c>
      <c r="D923">
        <v>377</v>
      </c>
      <c r="E923">
        <v>14538</v>
      </c>
      <c r="F923">
        <v>7</v>
      </c>
      <c r="G923">
        <v>1</v>
      </c>
      <c r="H923">
        <v>1</v>
      </c>
      <c r="I923">
        <v>2</v>
      </c>
      <c r="J923" t="s">
        <v>3559</v>
      </c>
      <c r="K923" t="s">
        <v>3560</v>
      </c>
      <c r="L923" s="2">
        <v>1320.6838</v>
      </c>
      <c r="M923" s="2">
        <v>2181.5625</v>
      </c>
      <c r="N923" t="s">
        <v>30</v>
      </c>
      <c r="O923" t="s">
        <v>593</v>
      </c>
      <c r="P923" t="s">
        <v>180</v>
      </c>
      <c r="Q923" t="s">
        <v>7252</v>
      </c>
      <c r="R923" s="1">
        <v>22756</v>
      </c>
      <c r="S923" t="s">
        <v>22</v>
      </c>
      <c r="T923" t="s">
        <v>29</v>
      </c>
      <c r="U923" t="s">
        <v>1720</v>
      </c>
      <c r="V923">
        <v>30000</v>
      </c>
      <c r="W923">
        <v>4</v>
      </c>
      <c r="X923" t="s">
        <v>135</v>
      </c>
      <c r="Y923" t="s">
        <v>60</v>
      </c>
      <c r="Z923" t="s">
        <v>19</v>
      </c>
      <c r="AA923" t="s">
        <v>3583</v>
      </c>
      <c r="AB923" t="s">
        <v>3583</v>
      </c>
      <c r="AC923" t="s">
        <v>3584</v>
      </c>
      <c r="AD923" t="s">
        <v>3479</v>
      </c>
      <c r="AE923" t="s">
        <v>3475</v>
      </c>
      <c r="AF923" s="2">
        <v>2181.5625</v>
      </c>
      <c r="AG923" s="2">
        <v>1320.6838</v>
      </c>
      <c r="AH923" s="2">
        <v>860.87869999999998</v>
      </c>
      <c r="AI923" s="3">
        <v>0.39461564818793898</v>
      </c>
    </row>
    <row r="924" spans="1:35">
      <c r="A924" s="1">
        <v>42250</v>
      </c>
      <c r="B924" s="1">
        <v>37405</v>
      </c>
      <c r="C924" t="s">
        <v>5298</v>
      </c>
      <c r="D924">
        <v>370</v>
      </c>
      <c r="E924">
        <v>14539</v>
      </c>
      <c r="F924">
        <v>7</v>
      </c>
      <c r="G924">
        <v>1</v>
      </c>
      <c r="H924">
        <v>1</v>
      </c>
      <c r="I924">
        <v>2</v>
      </c>
      <c r="J924" t="s">
        <v>3551</v>
      </c>
      <c r="K924" t="s">
        <v>3552</v>
      </c>
      <c r="L924" s="2">
        <v>1518.7864</v>
      </c>
      <c r="M924" s="2">
        <v>2443.35</v>
      </c>
      <c r="N924" t="s">
        <v>30</v>
      </c>
      <c r="O924" t="s">
        <v>459</v>
      </c>
      <c r="P924" t="s">
        <v>779</v>
      </c>
      <c r="Q924" t="s">
        <v>7253</v>
      </c>
      <c r="R924" s="1">
        <v>23000</v>
      </c>
      <c r="S924" t="s">
        <v>22</v>
      </c>
      <c r="T924" t="s">
        <v>29</v>
      </c>
      <c r="U924" t="s">
        <v>1721</v>
      </c>
      <c r="V924">
        <v>30000</v>
      </c>
      <c r="W924">
        <v>4</v>
      </c>
      <c r="X924" t="s">
        <v>135</v>
      </c>
      <c r="Y924" t="s">
        <v>60</v>
      </c>
      <c r="Z924" t="s">
        <v>19</v>
      </c>
      <c r="AA924" t="s">
        <v>3583</v>
      </c>
      <c r="AB924" t="s">
        <v>3583</v>
      </c>
      <c r="AC924" t="s">
        <v>3584</v>
      </c>
      <c r="AD924" t="s">
        <v>3479</v>
      </c>
      <c r="AE924" t="s">
        <v>3475</v>
      </c>
      <c r="AF924" s="2">
        <v>2443.35</v>
      </c>
      <c r="AG924" s="2">
        <v>1518.7864</v>
      </c>
      <c r="AH924" s="2">
        <v>924.56359999999995</v>
      </c>
      <c r="AI924" s="3">
        <v>0.37839998362903399</v>
      </c>
    </row>
    <row r="925" spans="1:35">
      <c r="A925" s="1">
        <v>42074</v>
      </c>
      <c r="B925" s="1">
        <v>37301</v>
      </c>
      <c r="C925" t="s">
        <v>4007</v>
      </c>
      <c r="D925">
        <v>310</v>
      </c>
      <c r="E925">
        <v>14541</v>
      </c>
      <c r="F925">
        <v>8</v>
      </c>
      <c r="G925">
        <v>1</v>
      </c>
      <c r="H925">
        <v>1</v>
      </c>
      <c r="I925">
        <v>2</v>
      </c>
      <c r="J925" t="s">
        <v>3485</v>
      </c>
      <c r="K925" t="s">
        <v>3486</v>
      </c>
      <c r="L925" s="2">
        <v>2171.2941999999998</v>
      </c>
      <c r="M925" s="2">
        <v>3578.27</v>
      </c>
      <c r="N925" t="s">
        <v>13</v>
      </c>
      <c r="O925" t="s">
        <v>1295</v>
      </c>
      <c r="P925" t="s">
        <v>215</v>
      </c>
      <c r="Q925" t="s">
        <v>7254</v>
      </c>
      <c r="R925" s="1">
        <v>21322</v>
      </c>
      <c r="S925" t="s">
        <v>22</v>
      </c>
      <c r="T925" t="s">
        <v>16</v>
      </c>
      <c r="U925" t="s">
        <v>1722</v>
      </c>
      <c r="V925">
        <v>20000</v>
      </c>
      <c r="W925">
        <v>1</v>
      </c>
      <c r="X925" t="s">
        <v>135</v>
      </c>
      <c r="Y925" t="s">
        <v>60</v>
      </c>
      <c r="Z925" t="s">
        <v>19</v>
      </c>
      <c r="AA925" t="s">
        <v>3585</v>
      </c>
      <c r="AB925" t="s">
        <v>3585</v>
      </c>
      <c r="AC925" t="s">
        <v>3584</v>
      </c>
      <c r="AD925" t="s">
        <v>3479</v>
      </c>
      <c r="AE925" t="s">
        <v>3475</v>
      </c>
      <c r="AF925" s="2">
        <v>3578.27</v>
      </c>
      <c r="AG925" s="2">
        <v>2171.2941999999998</v>
      </c>
      <c r="AH925" s="2">
        <v>1406.9757999999999</v>
      </c>
      <c r="AI925" s="3">
        <v>0.39320001006072802</v>
      </c>
    </row>
    <row r="926" spans="1:35">
      <c r="A926" s="1">
        <v>42276</v>
      </c>
      <c r="B926" s="1">
        <v>37440</v>
      </c>
      <c r="C926" t="s">
        <v>5471</v>
      </c>
      <c r="D926">
        <v>375</v>
      </c>
      <c r="E926">
        <v>14555</v>
      </c>
      <c r="F926">
        <v>7</v>
      </c>
      <c r="G926">
        <v>1</v>
      </c>
      <c r="H926">
        <v>1</v>
      </c>
      <c r="I926">
        <v>2</v>
      </c>
      <c r="J926" t="s">
        <v>3557</v>
      </c>
      <c r="K926" t="s">
        <v>3558</v>
      </c>
      <c r="L926" s="2">
        <v>1320.6838</v>
      </c>
      <c r="M926" s="2">
        <v>2181.5625</v>
      </c>
      <c r="N926" t="s">
        <v>30</v>
      </c>
      <c r="O926" t="s">
        <v>1723</v>
      </c>
      <c r="P926" t="s">
        <v>194</v>
      </c>
      <c r="Q926" t="s">
        <v>7255</v>
      </c>
      <c r="R926" s="1">
        <v>15659</v>
      </c>
      <c r="S926" t="s">
        <v>22</v>
      </c>
      <c r="T926" t="s">
        <v>29</v>
      </c>
      <c r="U926" t="s">
        <v>1724</v>
      </c>
      <c r="V926">
        <v>10000</v>
      </c>
      <c r="W926">
        <v>2</v>
      </c>
      <c r="X926" t="s">
        <v>52</v>
      </c>
      <c r="Y926" t="s">
        <v>444</v>
      </c>
      <c r="Z926" t="s">
        <v>19</v>
      </c>
      <c r="AA926" t="s">
        <v>3583</v>
      </c>
      <c r="AB926" t="s">
        <v>3583</v>
      </c>
      <c r="AC926" t="s">
        <v>3584</v>
      </c>
      <c r="AD926" t="s">
        <v>3479</v>
      </c>
      <c r="AE926" t="s">
        <v>3475</v>
      </c>
      <c r="AF926" s="2">
        <v>2181.5625</v>
      </c>
      <c r="AG926" s="2">
        <v>1320.6838</v>
      </c>
      <c r="AH926" s="2">
        <v>860.87869999999998</v>
      </c>
      <c r="AI926" s="3">
        <v>0.39461564818793898</v>
      </c>
    </row>
    <row r="927" spans="1:35">
      <c r="A927" s="1">
        <v>42029</v>
      </c>
      <c r="B927" s="1">
        <v>37215</v>
      </c>
      <c r="C927" t="s">
        <v>3741</v>
      </c>
      <c r="D927">
        <v>338</v>
      </c>
      <c r="E927">
        <v>14653</v>
      </c>
      <c r="F927">
        <v>4</v>
      </c>
      <c r="G927">
        <v>1</v>
      </c>
      <c r="H927">
        <v>1</v>
      </c>
      <c r="I927">
        <v>2</v>
      </c>
      <c r="J927" t="s">
        <v>3513</v>
      </c>
      <c r="K927" t="s">
        <v>3514</v>
      </c>
      <c r="L927" s="2">
        <v>413.1463</v>
      </c>
      <c r="M927" s="2">
        <v>699.09820000000002</v>
      </c>
      <c r="N927" t="s">
        <v>13</v>
      </c>
      <c r="O927" t="s">
        <v>639</v>
      </c>
      <c r="P927" t="s">
        <v>209</v>
      </c>
      <c r="Q927" t="s">
        <v>7256</v>
      </c>
      <c r="R927" s="1">
        <v>21557</v>
      </c>
      <c r="S927" t="s">
        <v>16</v>
      </c>
      <c r="T927" t="s">
        <v>16</v>
      </c>
      <c r="U927" t="s">
        <v>1725</v>
      </c>
      <c r="V927">
        <v>60000</v>
      </c>
      <c r="W927">
        <v>1</v>
      </c>
      <c r="X927" t="s">
        <v>52</v>
      </c>
      <c r="Y927" t="s">
        <v>53</v>
      </c>
      <c r="Z927" t="s">
        <v>19</v>
      </c>
      <c r="AA927" t="s">
        <v>3580</v>
      </c>
      <c r="AB927" t="s">
        <v>3578</v>
      </c>
      <c r="AC927" t="s">
        <v>3579</v>
      </c>
      <c r="AD927" t="s">
        <v>3479</v>
      </c>
      <c r="AE927" t="s">
        <v>3475</v>
      </c>
      <c r="AF927" s="2">
        <v>699.09820000000002</v>
      </c>
      <c r="AG927" s="2">
        <v>413.1463</v>
      </c>
      <c r="AH927" s="2">
        <v>285.95190000000002</v>
      </c>
      <c r="AI927" s="3">
        <v>0.409029661355157</v>
      </c>
    </row>
    <row r="928" spans="1:35">
      <c r="A928" s="1">
        <v>42017</v>
      </c>
      <c r="B928" s="1">
        <v>37235</v>
      </c>
      <c r="C928" t="s">
        <v>3660</v>
      </c>
      <c r="D928">
        <v>342</v>
      </c>
      <c r="E928">
        <v>14656</v>
      </c>
      <c r="F928">
        <v>1</v>
      </c>
      <c r="G928">
        <v>1</v>
      </c>
      <c r="H928">
        <v>1</v>
      </c>
      <c r="I928">
        <v>2</v>
      </c>
      <c r="J928" t="s">
        <v>3517</v>
      </c>
      <c r="K928" t="s">
        <v>3518</v>
      </c>
      <c r="L928" s="2">
        <v>413.1463</v>
      </c>
      <c r="M928" s="2">
        <v>699.09820000000002</v>
      </c>
      <c r="N928" t="s">
        <v>13</v>
      </c>
      <c r="O928" t="s">
        <v>184</v>
      </c>
      <c r="P928" t="s">
        <v>209</v>
      </c>
      <c r="Q928" t="s">
        <v>7257</v>
      </c>
      <c r="R928" s="1">
        <v>21617</v>
      </c>
      <c r="S928" t="s">
        <v>16</v>
      </c>
      <c r="T928" t="s">
        <v>16</v>
      </c>
      <c r="U928" t="s">
        <v>1726</v>
      </c>
      <c r="V928">
        <v>80000</v>
      </c>
      <c r="W928">
        <v>1</v>
      </c>
      <c r="X928" t="s">
        <v>135</v>
      </c>
      <c r="Y928" t="s">
        <v>18</v>
      </c>
      <c r="Z928" t="s">
        <v>19</v>
      </c>
      <c r="AA928" t="s">
        <v>3577</v>
      </c>
      <c r="AB928" t="s">
        <v>3578</v>
      </c>
      <c r="AC928" t="s">
        <v>3579</v>
      </c>
      <c r="AD928" t="s">
        <v>3479</v>
      </c>
      <c r="AE928" t="s">
        <v>3475</v>
      </c>
      <c r="AF928" s="2">
        <v>699.09820000000002</v>
      </c>
      <c r="AG928" s="2">
        <v>413.1463</v>
      </c>
      <c r="AH928" s="2">
        <v>285.95190000000002</v>
      </c>
      <c r="AI928" s="3">
        <v>0.409029661355157</v>
      </c>
    </row>
    <row r="929" spans="1:35">
      <c r="A929" s="1">
        <v>42005</v>
      </c>
      <c r="B929" s="1">
        <v>37155</v>
      </c>
      <c r="C929" t="s">
        <v>3594</v>
      </c>
      <c r="D929">
        <v>332</v>
      </c>
      <c r="E929">
        <v>14657</v>
      </c>
      <c r="F929">
        <v>1</v>
      </c>
      <c r="G929">
        <v>1</v>
      </c>
      <c r="H929">
        <v>1</v>
      </c>
      <c r="I929">
        <v>2</v>
      </c>
      <c r="J929" t="s">
        <v>3507</v>
      </c>
      <c r="K929" t="s">
        <v>3508</v>
      </c>
      <c r="L929" s="2">
        <v>413.1463</v>
      </c>
      <c r="M929" s="2">
        <v>699.09820000000002</v>
      </c>
      <c r="N929" t="s">
        <v>13</v>
      </c>
      <c r="O929" t="s">
        <v>947</v>
      </c>
      <c r="P929" t="s">
        <v>299</v>
      </c>
      <c r="Q929" t="s">
        <v>7258</v>
      </c>
      <c r="R929" s="1">
        <v>21500</v>
      </c>
      <c r="S929" t="s">
        <v>16</v>
      </c>
      <c r="T929" t="s">
        <v>16</v>
      </c>
      <c r="U929" t="s">
        <v>1727</v>
      </c>
      <c r="V929">
        <v>80000</v>
      </c>
      <c r="W929">
        <v>1</v>
      </c>
      <c r="X929" t="s">
        <v>52</v>
      </c>
      <c r="Y929" t="s">
        <v>53</v>
      </c>
      <c r="Z929" t="s">
        <v>23</v>
      </c>
      <c r="AA929" t="s">
        <v>3577</v>
      </c>
      <c r="AB929" t="s">
        <v>3578</v>
      </c>
      <c r="AC929" t="s">
        <v>3579</v>
      </c>
      <c r="AD929" t="s">
        <v>3479</v>
      </c>
      <c r="AE929" t="s">
        <v>3475</v>
      </c>
      <c r="AF929" s="2">
        <v>699.09820000000002</v>
      </c>
      <c r="AG929" s="2">
        <v>413.1463</v>
      </c>
      <c r="AH929" s="2">
        <v>285.95190000000002</v>
      </c>
      <c r="AI929" s="3">
        <v>0.409029661355157</v>
      </c>
    </row>
    <row r="930" spans="1:35">
      <c r="A930" s="1">
        <v>42023</v>
      </c>
      <c r="B930" s="1">
        <v>37170</v>
      </c>
      <c r="C930" t="s">
        <v>3701</v>
      </c>
      <c r="D930">
        <v>328</v>
      </c>
      <c r="E930">
        <v>14660</v>
      </c>
      <c r="F930">
        <v>1</v>
      </c>
      <c r="G930">
        <v>1</v>
      </c>
      <c r="H930">
        <v>1</v>
      </c>
      <c r="I930">
        <v>2</v>
      </c>
      <c r="J930" t="s">
        <v>3503</v>
      </c>
      <c r="K930" t="s">
        <v>3504</v>
      </c>
      <c r="L930" s="2">
        <v>413.1463</v>
      </c>
      <c r="M930" s="2">
        <v>699.09820000000002</v>
      </c>
      <c r="N930" t="s">
        <v>30</v>
      </c>
      <c r="O930" t="s">
        <v>296</v>
      </c>
      <c r="P930" t="s">
        <v>294</v>
      </c>
      <c r="Q930" t="s">
        <v>7259</v>
      </c>
      <c r="R930" s="1">
        <v>21250</v>
      </c>
      <c r="S930" t="s">
        <v>16</v>
      </c>
      <c r="T930" t="s">
        <v>29</v>
      </c>
      <c r="U930" t="s">
        <v>1728</v>
      </c>
      <c r="V930">
        <v>60000</v>
      </c>
      <c r="W930">
        <v>1</v>
      </c>
      <c r="X930" t="s">
        <v>17</v>
      </c>
      <c r="Y930" t="s">
        <v>18</v>
      </c>
      <c r="Z930" t="s">
        <v>19</v>
      </c>
      <c r="AA930" t="s">
        <v>3577</v>
      </c>
      <c r="AB930" t="s">
        <v>3578</v>
      </c>
      <c r="AC930" t="s">
        <v>3579</v>
      </c>
      <c r="AD930" t="s">
        <v>3479</v>
      </c>
      <c r="AE930" t="s">
        <v>3475</v>
      </c>
      <c r="AF930" s="2">
        <v>699.09820000000002</v>
      </c>
      <c r="AG930" s="2">
        <v>413.1463</v>
      </c>
      <c r="AH930" s="2">
        <v>285.95190000000002</v>
      </c>
      <c r="AI930" s="3">
        <v>0.409029661355157</v>
      </c>
    </row>
    <row r="931" spans="1:35">
      <c r="A931" s="1">
        <v>42029</v>
      </c>
      <c r="B931" s="1">
        <v>37172</v>
      </c>
      <c r="C931" t="s">
        <v>3740</v>
      </c>
      <c r="D931">
        <v>342</v>
      </c>
      <c r="E931">
        <v>14662</v>
      </c>
      <c r="F931">
        <v>4</v>
      </c>
      <c r="G931">
        <v>1</v>
      </c>
      <c r="H931">
        <v>1</v>
      </c>
      <c r="I931">
        <v>2</v>
      </c>
      <c r="J931" t="s">
        <v>3517</v>
      </c>
      <c r="K931" t="s">
        <v>3518</v>
      </c>
      <c r="L931" s="2">
        <v>413.1463</v>
      </c>
      <c r="M931" s="2">
        <v>699.09820000000002</v>
      </c>
      <c r="N931" t="s">
        <v>13</v>
      </c>
      <c r="O931" t="s">
        <v>985</v>
      </c>
      <c r="P931" t="s">
        <v>199</v>
      </c>
      <c r="Q931" t="s">
        <v>7260</v>
      </c>
      <c r="R931" s="1">
        <v>21314</v>
      </c>
      <c r="S931" t="s">
        <v>16</v>
      </c>
      <c r="T931" t="s">
        <v>16</v>
      </c>
      <c r="U931" t="s">
        <v>1729</v>
      </c>
      <c r="V931">
        <v>60000</v>
      </c>
      <c r="W931">
        <v>1</v>
      </c>
      <c r="X931" t="s">
        <v>17</v>
      </c>
      <c r="Y931" t="s">
        <v>18</v>
      </c>
      <c r="Z931" t="s">
        <v>19</v>
      </c>
      <c r="AA931" t="s">
        <v>3580</v>
      </c>
      <c r="AB931" t="s">
        <v>3578</v>
      </c>
      <c r="AC931" t="s">
        <v>3579</v>
      </c>
      <c r="AD931" t="s">
        <v>3479</v>
      </c>
      <c r="AE931" t="s">
        <v>3475</v>
      </c>
      <c r="AF931" s="2">
        <v>699.09820000000002</v>
      </c>
      <c r="AG931" s="2">
        <v>413.1463</v>
      </c>
      <c r="AH931" s="2">
        <v>285.95190000000002</v>
      </c>
      <c r="AI931" s="3">
        <v>0.409029661355157</v>
      </c>
    </row>
    <row r="932" spans="1:35">
      <c r="A932" s="1">
        <v>42034</v>
      </c>
      <c r="B932" s="1">
        <v>37186</v>
      </c>
      <c r="C932" t="s">
        <v>3764</v>
      </c>
      <c r="D932">
        <v>336</v>
      </c>
      <c r="E932">
        <v>14664</v>
      </c>
      <c r="F932">
        <v>4</v>
      </c>
      <c r="G932">
        <v>1</v>
      </c>
      <c r="H932">
        <v>1</v>
      </c>
      <c r="I932">
        <v>2</v>
      </c>
      <c r="J932" t="s">
        <v>3511</v>
      </c>
      <c r="K932" t="s">
        <v>3512</v>
      </c>
      <c r="L932" s="2">
        <v>413.1463</v>
      </c>
      <c r="M932" s="2">
        <v>699.09820000000002</v>
      </c>
      <c r="N932" t="s">
        <v>30</v>
      </c>
      <c r="O932" t="s">
        <v>916</v>
      </c>
      <c r="P932" t="s">
        <v>199</v>
      </c>
      <c r="Q932" t="s">
        <v>7261</v>
      </c>
      <c r="R932" s="1">
        <v>21338</v>
      </c>
      <c r="S932" t="s">
        <v>22</v>
      </c>
      <c r="T932" t="s">
        <v>29</v>
      </c>
      <c r="U932" t="s">
        <v>1730</v>
      </c>
      <c r="V932">
        <v>80000</v>
      </c>
      <c r="W932">
        <v>5</v>
      </c>
      <c r="X932" t="s">
        <v>135</v>
      </c>
      <c r="Y932" t="s">
        <v>45</v>
      </c>
      <c r="Z932" t="s">
        <v>19</v>
      </c>
      <c r="AA932" t="s">
        <v>3580</v>
      </c>
      <c r="AB932" t="s">
        <v>3578</v>
      </c>
      <c r="AC932" t="s">
        <v>3579</v>
      </c>
      <c r="AD932" t="s">
        <v>3479</v>
      </c>
      <c r="AE932" t="s">
        <v>3475</v>
      </c>
      <c r="AF932" s="2">
        <v>699.09820000000002</v>
      </c>
      <c r="AG932" s="2">
        <v>413.1463</v>
      </c>
      <c r="AH932" s="2">
        <v>285.95190000000002</v>
      </c>
      <c r="AI932" s="3">
        <v>0.409029661355157</v>
      </c>
    </row>
    <row r="933" spans="1:35">
      <c r="A933" s="1">
        <v>42262</v>
      </c>
      <c r="B933" s="1">
        <v>37430</v>
      </c>
      <c r="C933" t="s">
        <v>5385</v>
      </c>
      <c r="D933">
        <v>379</v>
      </c>
      <c r="E933">
        <v>14701</v>
      </c>
      <c r="F933">
        <v>7</v>
      </c>
      <c r="G933">
        <v>1</v>
      </c>
      <c r="H933">
        <v>1</v>
      </c>
      <c r="I933">
        <v>2</v>
      </c>
      <c r="J933" t="s">
        <v>3561</v>
      </c>
      <c r="K933" t="s">
        <v>3562</v>
      </c>
      <c r="L933" s="2">
        <v>1320.6838</v>
      </c>
      <c r="M933" s="2">
        <v>2181.5625</v>
      </c>
      <c r="N933" t="s">
        <v>13</v>
      </c>
      <c r="O933" t="s">
        <v>1731</v>
      </c>
      <c r="P933" t="s">
        <v>1732</v>
      </c>
      <c r="Q933" t="s">
        <v>7262</v>
      </c>
      <c r="R933" s="1">
        <v>26379</v>
      </c>
      <c r="S933" t="s">
        <v>22</v>
      </c>
      <c r="T933" t="s">
        <v>16</v>
      </c>
      <c r="U933" t="s">
        <v>1733</v>
      </c>
      <c r="V933">
        <v>20000</v>
      </c>
      <c r="W933">
        <v>0</v>
      </c>
      <c r="X933" t="s">
        <v>77</v>
      </c>
      <c r="Y933" t="s">
        <v>444</v>
      </c>
      <c r="Z933" t="s">
        <v>23</v>
      </c>
      <c r="AA933" t="s">
        <v>3583</v>
      </c>
      <c r="AB933" t="s">
        <v>3583</v>
      </c>
      <c r="AC933" t="s">
        <v>3584</v>
      </c>
      <c r="AD933" t="s">
        <v>3479</v>
      </c>
      <c r="AE933" t="s">
        <v>3475</v>
      </c>
      <c r="AF933" s="2">
        <v>2181.5625</v>
      </c>
      <c r="AG933" s="2">
        <v>1320.6838</v>
      </c>
      <c r="AH933" s="2">
        <v>860.87869999999998</v>
      </c>
      <c r="AI933" s="3">
        <v>0.39461564818793898</v>
      </c>
    </row>
    <row r="934" spans="1:35">
      <c r="A934" s="1">
        <v>42297</v>
      </c>
      <c r="B934" s="1">
        <v>37532</v>
      </c>
      <c r="C934" t="s">
        <v>5618</v>
      </c>
      <c r="D934">
        <v>371</v>
      </c>
      <c r="E934">
        <v>14708</v>
      </c>
      <c r="F934">
        <v>7</v>
      </c>
      <c r="G934">
        <v>1</v>
      </c>
      <c r="H934">
        <v>1</v>
      </c>
      <c r="I934">
        <v>2</v>
      </c>
      <c r="J934" t="s">
        <v>3553</v>
      </c>
      <c r="K934" t="s">
        <v>3554</v>
      </c>
      <c r="L934" s="2">
        <v>1320.6838</v>
      </c>
      <c r="M934" s="2">
        <v>2181.5625</v>
      </c>
      <c r="N934" t="s">
        <v>26</v>
      </c>
      <c r="O934" t="s">
        <v>1300</v>
      </c>
      <c r="P934" t="s">
        <v>215</v>
      </c>
      <c r="Q934" t="s">
        <v>7263</v>
      </c>
      <c r="R934" s="1">
        <v>26028</v>
      </c>
      <c r="S934" t="s">
        <v>22</v>
      </c>
      <c r="T934" t="s">
        <v>29</v>
      </c>
      <c r="U934" t="s">
        <v>1735</v>
      </c>
      <c r="V934">
        <v>20000</v>
      </c>
      <c r="W934">
        <v>0</v>
      </c>
      <c r="X934" t="s">
        <v>77</v>
      </c>
      <c r="Y934" t="s">
        <v>444</v>
      </c>
      <c r="Z934" t="s">
        <v>23</v>
      </c>
      <c r="AA934" t="s">
        <v>3583</v>
      </c>
      <c r="AB934" t="s">
        <v>3583</v>
      </c>
      <c r="AC934" t="s">
        <v>3584</v>
      </c>
      <c r="AD934" t="s">
        <v>3479</v>
      </c>
      <c r="AE934" t="s">
        <v>3475</v>
      </c>
      <c r="AF934" s="2">
        <v>2181.5625</v>
      </c>
      <c r="AG934" s="2">
        <v>1320.6838</v>
      </c>
      <c r="AH934" s="2">
        <v>860.87869999999998</v>
      </c>
      <c r="AI934" s="3">
        <v>0.39461564818793898</v>
      </c>
    </row>
    <row r="935" spans="1:35">
      <c r="A935" s="1">
        <v>42080</v>
      </c>
      <c r="B935" s="1">
        <v>37225</v>
      </c>
      <c r="C935" t="s">
        <v>4051</v>
      </c>
      <c r="D935">
        <v>311</v>
      </c>
      <c r="E935">
        <v>14709</v>
      </c>
      <c r="F935">
        <v>8</v>
      </c>
      <c r="G935">
        <v>1</v>
      </c>
      <c r="H935">
        <v>1</v>
      </c>
      <c r="I935">
        <v>2</v>
      </c>
      <c r="J935" t="s">
        <v>3487</v>
      </c>
      <c r="K935" t="s">
        <v>3488</v>
      </c>
      <c r="L935" s="2">
        <v>2171.2941999999998</v>
      </c>
      <c r="M935" s="2">
        <v>3578.27</v>
      </c>
      <c r="N935" t="s">
        <v>13</v>
      </c>
      <c r="O935" t="s">
        <v>46</v>
      </c>
      <c r="P935" t="s">
        <v>103</v>
      </c>
      <c r="Q935" t="s">
        <v>7264</v>
      </c>
      <c r="R935" s="1">
        <v>26006</v>
      </c>
      <c r="S935" t="s">
        <v>22</v>
      </c>
      <c r="T935" t="s">
        <v>16</v>
      </c>
      <c r="U935" t="s">
        <v>1736</v>
      </c>
      <c r="V935">
        <v>30000</v>
      </c>
      <c r="W935">
        <v>0</v>
      </c>
      <c r="X935" t="s">
        <v>57</v>
      </c>
      <c r="Y935" t="s">
        <v>444</v>
      </c>
      <c r="Z935" t="s">
        <v>23</v>
      </c>
      <c r="AA935" t="s">
        <v>3585</v>
      </c>
      <c r="AB935" t="s">
        <v>3585</v>
      </c>
      <c r="AC935" t="s">
        <v>3584</v>
      </c>
      <c r="AD935" t="s">
        <v>3479</v>
      </c>
      <c r="AE935" t="s">
        <v>3475</v>
      </c>
      <c r="AF935" s="2">
        <v>3578.27</v>
      </c>
      <c r="AG935" s="2">
        <v>2171.2941999999998</v>
      </c>
      <c r="AH935" s="2">
        <v>1406.9757999999999</v>
      </c>
      <c r="AI935" s="3">
        <v>0.39320001006072802</v>
      </c>
    </row>
    <row r="936" spans="1:35">
      <c r="A936" s="1">
        <v>42077</v>
      </c>
      <c r="B936" s="1">
        <v>37304</v>
      </c>
      <c r="C936" t="s">
        <v>4029</v>
      </c>
      <c r="D936">
        <v>312</v>
      </c>
      <c r="E936">
        <v>14713</v>
      </c>
      <c r="F936">
        <v>8</v>
      </c>
      <c r="G936">
        <v>1</v>
      </c>
      <c r="H936">
        <v>1</v>
      </c>
      <c r="I936">
        <v>2</v>
      </c>
      <c r="J936" t="s">
        <v>3489</v>
      </c>
      <c r="K936" t="s">
        <v>3490</v>
      </c>
      <c r="L936" s="2">
        <v>2171.2941999999998</v>
      </c>
      <c r="M936" s="2">
        <v>3578.27</v>
      </c>
      <c r="N936" t="s">
        <v>13</v>
      </c>
      <c r="O936" t="s">
        <v>14</v>
      </c>
      <c r="P936" t="s">
        <v>161</v>
      </c>
      <c r="Q936" t="s">
        <v>7265</v>
      </c>
      <c r="R936" s="1">
        <v>25757</v>
      </c>
      <c r="S936" t="s">
        <v>22</v>
      </c>
      <c r="T936" t="s">
        <v>16</v>
      </c>
      <c r="U936" t="s">
        <v>1737</v>
      </c>
      <c r="V936">
        <v>40000</v>
      </c>
      <c r="W936">
        <v>2</v>
      </c>
      <c r="X936" t="s">
        <v>52</v>
      </c>
      <c r="Y936" t="s">
        <v>60</v>
      </c>
      <c r="Z936" t="s">
        <v>19</v>
      </c>
      <c r="AA936" t="s">
        <v>3585</v>
      </c>
      <c r="AB936" t="s">
        <v>3585</v>
      </c>
      <c r="AC936" t="s">
        <v>3584</v>
      </c>
      <c r="AD936" t="s">
        <v>3479</v>
      </c>
      <c r="AE936" t="s">
        <v>3475</v>
      </c>
      <c r="AF936" s="2">
        <v>3578.27</v>
      </c>
      <c r="AG936" s="2">
        <v>2171.2941999999998</v>
      </c>
      <c r="AH936" s="2">
        <v>1406.9757999999999</v>
      </c>
      <c r="AI936" s="3">
        <v>0.39320001006072802</v>
      </c>
    </row>
    <row r="937" spans="1:35">
      <c r="A937" s="1">
        <v>42301</v>
      </c>
      <c r="B937" s="1">
        <v>37448</v>
      </c>
      <c r="C937" t="s">
        <v>5654</v>
      </c>
      <c r="D937">
        <v>368</v>
      </c>
      <c r="E937">
        <v>14714</v>
      </c>
      <c r="F937">
        <v>7</v>
      </c>
      <c r="G937">
        <v>1</v>
      </c>
      <c r="H937">
        <v>1</v>
      </c>
      <c r="I937">
        <v>2</v>
      </c>
      <c r="J937" t="s">
        <v>3547</v>
      </c>
      <c r="K937" t="s">
        <v>3548</v>
      </c>
      <c r="L937" s="2">
        <v>1518.7864</v>
      </c>
      <c r="M937" s="2">
        <v>2443.35</v>
      </c>
      <c r="N937" t="s">
        <v>30</v>
      </c>
      <c r="O937" t="s">
        <v>308</v>
      </c>
      <c r="P937" t="s">
        <v>136</v>
      </c>
      <c r="Q937" t="s">
        <v>7266</v>
      </c>
      <c r="R937" s="1">
        <v>25791</v>
      </c>
      <c r="S937" t="s">
        <v>22</v>
      </c>
      <c r="T937" t="s">
        <v>29</v>
      </c>
      <c r="U937" t="s">
        <v>1738</v>
      </c>
      <c r="V937">
        <v>40000</v>
      </c>
      <c r="W937">
        <v>2</v>
      </c>
      <c r="X937" t="s">
        <v>52</v>
      </c>
      <c r="Y937" t="s">
        <v>60</v>
      </c>
      <c r="Z937" t="s">
        <v>19</v>
      </c>
      <c r="AA937" t="s">
        <v>3583</v>
      </c>
      <c r="AB937" t="s">
        <v>3583</v>
      </c>
      <c r="AC937" t="s">
        <v>3584</v>
      </c>
      <c r="AD937" t="s">
        <v>3479</v>
      </c>
      <c r="AE937" t="s">
        <v>3475</v>
      </c>
      <c r="AF937" s="2">
        <v>2443.35</v>
      </c>
      <c r="AG937" s="2">
        <v>1518.7864</v>
      </c>
      <c r="AH937" s="2">
        <v>924.56359999999995</v>
      </c>
      <c r="AI937" s="3">
        <v>0.37839998362903399</v>
      </c>
    </row>
    <row r="938" spans="1:35">
      <c r="A938" s="1">
        <v>42288</v>
      </c>
      <c r="B938" s="1">
        <v>37429</v>
      </c>
      <c r="C938" t="s">
        <v>5549</v>
      </c>
      <c r="D938">
        <v>368</v>
      </c>
      <c r="E938">
        <v>14716</v>
      </c>
      <c r="F938">
        <v>7</v>
      </c>
      <c r="G938">
        <v>1</v>
      </c>
      <c r="H938">
        <v>1</v>
      </c>
      <c r="I938">
        <v>2</v>
      </c>
      <c r="J938" t="s">
        <v>3547</v>
      </c>
      <c r="K938" t="s">
        <v>3548</v>
      </c>
      <c r="L938" s="2">
        <v>1518.7864</v>
      </c>
      <c r="M938" s="2">
        <v>2443.35</v>
      </c>
      <c r="N938" t="s">
        <v>30</v>
      </c>
      <c r="O938" t="s">
        <v>37</v>
      </c>
      <c r="P938" t="s">
        <v>138</v>
      </c>
      <c r="Q938" t="s">
        <v>7267</v>
      </c>
      <c r="R938" s="1">
        <v>26085</v>
      </c>
      <c r="S938" t="s">
        <v>22</v>
      </c>
      <c r="T938" t="s">
        <v>29</v>
      </c>
      <c r="U938" t="s">
        <v>1739</v>
      </c>
      <c r="V938">
        <v>40000</v>
      </c>
      <c r="W938">
        <v>2</v>
      </c>
      <c r="X938" t="s">
        <v>52</v>
      </c>
      <c r="Y938" t="s">
        <v>60</v>
      </c>
      <c r="Z938" t="s">
        <v>19</v>
      </c>
      <c r="AA938" t="s">
        <v>3583</v>
      </c>
      <c r="AB938" t="s">
        <v>3583</v>
      </c>
      <c r="AC938" t="s">
        <v>3584</v>
      </c>
      <c r="AD938" t="s">
        <v>3479</v>
      </c>
      <c r="AE938" t="s">
        <v>3475</v>
      </c>
      <c r="AF938" s="2">
        <v>2443.35</v>
      </c>
      <c r="AG938" s="2">
        <v>1518.7864</v>
      </c>
      <c r="AH938" s="2">
        <v>924.56359999999995</v>
      </c>
      <c r="AI938" s="3">
        <v>0.37839998362903399</v>
      </c>
    </row>
    <row r="939" spans="1:35">
      <c r="A939" s="1">
        <v>42286</v>
      </c>
      <c r="B939" s="1">
        <v>37486</v>
      </c>
      <c r="C939" t="s">
        <v>5537</v>
      </c>
      <c r="D939">
        <v>370</v>
      </c>
      <c r="E939">
        <v>14719</v>
      </c>
      <c r="F939">
        <v>7</v>
      </c>
      <c r="G939">
        <v>1</v>
      </c>
      <c r="H939">
        <v>1</v>
      </c>
      <c r="I939">
        <v>2</v>
      </c>
      <c r="J939" t="s">
        <v>3551</v>
      </c>
      <c r="K939" t="s">
        <v>3552</v>
      </c>
      <c r="L939" s="2">
        <v>1518.7864</v>
      </c>
      <c r="M939" s="2">
        <v>2443.35</v>
      </c>
      <c r="N939" t="s">
        <v>13</v>
      </c>
      <c r="O939" t="s">
        <v>1290</v>
      </c>
      <c r="P939" t="s">
        <v>190</v>
      </c>
      <c r="Q939" t="s">
        <v>7268</v>
      </c>
      <c r="R939" s="1">
        <v>25666</v>
      </c>
      <c r="S939" t="s">
        <v>16</v>
      </c>
      <c r="T939" t="s">
        <v>16</v>
      </c>
      <c r="U939" t="s">
        <v>1740</v>
      </c>
      <c r="V939">
        <v>40000</v>
      </c>
      <c r="W939">
        <v>2</v>
      </c>
      <c r="X939" t="s">
        <v>52</v>
      </c>
      <c r="Y939" t="s">
        <v>60</v>
      </c>
      <c r="Z939" t="s">
        <v>23</v>
      </c>
      <c r="AA939" t="s">
        <v>3583</v>
      </c>
      <c r="AB939" t="s">
        <v>3583</v>
      </c>
      <c r="AC939" t="s">
        <v>3584</v>
      </c>
      <c r="AD939" t="s">
        <v>3479</v>
      </c>
      <c r="AE939" t="s">
        <v>3475</v>
      </c>
      <c r="AF939" s="2">
        <v>2443.35</v>
      </c>
      <c r="AG939" s="2">
        <v>1518.7864</v>
      </c>
      <c r="AH939" s="2">
        <v>924.56359999999995</v>
      </c>
      <c r="AI939" s="3">
        <v>0.37839998362903399</v>
      </c>
    </row>
    <row r="940" spans="1:35">
      <c r="A940" s="1">
        <v>42035</v>
      </c>
      <c r="B940" s="1">
        <v>37169</v>
      </c>
      <c r="C940" t="s">
        <v>3775</v>
      </c>
      <c r="D940">
        <v>340</v>
      </c>
      <c r="E940">
        <v>14722</v>
      </c>
      <c r="F940">
        <v>1</v>
      </c>
      <c r="G940">
        <v>1</v>
      </c>
      <c r="H940">
        <v>1</v>
      </c>
      <c r="I940">
        <v>2</v>
      </c>
      <c r="J940" t="s">
        <v>3515</v>
      </c>
      <c r="K940" t="s">
        <v>3516</v>
      </c>
      <c r="L940" s="2">
        <v>413.1463</v>
      </c>
      <c r="M940" s="2">
        <v>699.09820000000002</v>
      </c>
      <c r="N940" t="s">
        <v>30</v>
      </c>
      <c r="O940" t="s">
        <v>627</v>
      </c>
      <c r="P940" t="s">
        <v>236</v>
      </c>
      <c r="Q940" t="s">
        <v>7269</v>
      </c>
      <c r="R940" s="1">
        <v>27390</v>
      </c>
      <c r="S940" t="s">
        <v>22</v>
      </c>
      <c r="T940" t="s">
        <v>29</v>
      </c>
      <c r="U940" t="s">
        <v>1741</v>
      </c>
      <c r="V940">
        <v>40000</v>
      </c>
      <c r="W940">
        <v>3</v>
      </c>
      <c r="X940" t="s">
        <v>52</v>
      </c>
      <c r="Y940" t="s">
        <v>60</v>
      </c>
      <c r="Z940" t="s">
        <v>19</v>
      </c>
      <c r="AA940" t="s">
        <v>3577</v>
      </c>
      <c r="AB940" t="s">
        <v>3578</v>
      </c>
      <c r="AC940" t="s">
        <v>3579</v>
      </c>
      <c r="AD940" t="s">
        <v>3479</v>
      </c>
      <c r="AE940" t="s">
        <v>3475</v>
      </c>
      <c r="AF940" s="2">
        <v>699.09820000000002</v>
      </c>
      <c r="AG940" s="2">
        <v>413.1463</v>
      </c>
      <c r="AH940" s="2">
        <v>285.95190000000002</v>
      </c>
      <c r="AI940" s="3">
        <v>0.409029661355157</v>
      </c>
    </row>
    <row r="941" spans="1:35">
      <c r="A941" s="1">
        <v>42029</v>
      </c>
      <c r="B941" s="1">
        <v>37236</v>
      </c>
      <c r="C941" t="s">
        <v>3742</v>
      </c>
      <c r="D941">
        <v>322</v>
      </c>
      <c r="E941">
        <v>14726</v>
      </c>
      <c r="F941">
        <v>1</v>
      </c>
      <c r="G941">
        <v>1</v>
      </c>
      <c r="H941">
        <v>1</v>
      </c>
      <c r="I941">
        <v>2</v>
      </c>
      <c r="J941" t="s">
        <v>3497</v>
      </c>
      <c r="K941" t="s">
        <v>3498</v>
      </c>
      <c r="L941" s="2">
        <v>413.1463</v>
      </c>
      <c r="M941" s="2">
        <v>699.09820000000002</v>
      </c>
      <c r="N941" t="s">
        <v>13</v>
      </c>
      <c r="O941" t="s">
        <v>433</v>
      </c>
      <c r="P941" t="s">
        <v>15</v>
      </c>
      <c r="Q941" t="s">
        <v>7270</v>
      </c>
      <c r="R941" s="1">
        <v>24291</v>
      </c>
      <c r="S941" t="s">
        <v>22</v>
      </c>
      <c r="T941" t="s">
        <v>16</v>
      </c>
      <c r="U941" t="s">
        <v>1742</v>
      </c>
      <c r="V941">
        <v>60000</v>
      </c>
      <c r="W941">
        <v>0</v>
      </c>
      <c r="X941" t="s">
        <v>135</v>
      </c>
      <c r="Y941" t="s">
        <v>53</v>
      </c>
      <c r="Z941" t="s">
        <v>23</v>
      </c>
      <c r="AA941" t="s">
        <v>3577</v>
      </c>
      <c r="AB941" t="s">
        <v>3578</v>
      </c>
      <c r="AC941" t="s">
        <v>3579</v>
      </c>
      <c r="AD941" t="s">
        <v>3479</v>
      </c>
      <c r="AE941" t="s">
        <v>3475</v>
      </c>
      <c r="AF941" s="2">
        <v>699.09820000000002</v>
      </c>
      <c r="AG941" s="2">
        <v>413.1463</v>
      </c>
      <c r="AH941" s="2">
        <v>285.95190000000002</v>
      </c>
      <c r="AI941" s="3">
        <v>0.409029661355157</v>
      </c>
    </row>
    <row r="942" spans="1:35">
      <c r="A942" s="1">
        <v>42012</v>
      </c>
      <c r="B942" s="1">
        <v>37216</v>
      </c>
      <c r="C942" t="s">
        <v>3629</v>
      </c>
      <c r="D942">
        <v>342</v>
      </c>
      <c r="E942">
        <v>14727</v>
      </c>
      <c r="F942">
        <v>1</v>
      </c>
      <c r="G942">
        <v>1</v>
      </c>
      <c r="H942">
        <v>1</v>
      </c>
      <c r="I942">
        <v>2</v>
      </c>
      <c r="J942" t="s">
        <v>3517</v>
      </c>
      <c r="K942" t="s">
        <v>3518</v>
      </c>
      <c r="L942" s="2">
        <v>413.1463</v>
      </c>
      <c r="M942" s="2">
        <v>699.09820000000002</v>
      </c>
      <c r="N942" t="s">
        <v>26</v>
      </c>
      <c r="O942" t="s">
        <v>349</v>
      </c>
      <c r="P942" t="s">
        <v>184</v>
      </c>
      <c r="Q942" t="s">
        <v>7271</v>
      </c>
      <c r="R942" s="1">
        <v>24294</v>
      </c>
      <c r="S942" t="s">
        <v>22</v>
      </c>
      <c r="T942" t="s">
        <v>29</v>
      </c>
      <c r="U942" t="s">
        <v>1743</v>
      </c>
      <c r="V942">
        <v>60000</v>
      </c>
      <c r="W942">
        <v>0</v>
      </c>
      <c r="X942" t="s">
        <v>135</v>
      </c>
      <c r="Y942" t="s">
        <v>53</v>
      </c>
      <c r="Z942" t="s">
        <v>19</v>
      </c>
      <c r="AA942" t="s">
        <v>3577</v>
      </c>
      <c r="AB942" t="s">
        <v>3578</v>
      </c>
      <c r="AC942" t="s">
        <v>3579</v>
      </c>
      <c r="AD942" t="s">
        <v>3479</v>
      </c>
      <c r="AE942" t="s">
        <v>3475</v>
      </c>
      <c r="AF942" s="2">
        <v>699.09820000000002</v>
      </c>
      <c r="AG942" s="2">
        <v>413.1463</v>
      </c>
      <c r="AH942" s="2">
        <v>285.95190000000002</v>
      </c>
      <c r="AI942" s="3">
        <v>0.409029661355157</v>
      </c>
    </row>
    <row r="943" spans="1:35">
      <c r="A943" s="1">
        <v>42028</v>
      </c>
      <c r="B943" s="1">
        <v>37186</v>
      </c>
      <c r="C943" t="s">
        <v>3733</v>
      </c>
      <c r="D943">
        <v>330</v>
      </c>
      <c r="E943">
        <v>14728</v>
      </c>
      <c r="F943">
        <v>1</v>
      </c>
      <c r="G943">
        <v>1</v>
      </c>
      <c r="H943">
        <v>1</v>
      </c>
      <c r="I943">
        <v>2</v>
      </c>
      <c r="J943" t="s">
        <v>3505</v>
      </c>
      <c r="K943" t="s">
        <v>3506</v>
      </c>
      <c r="L943" s="2">
        <v>413.1463</v>
      </c>
      <c r="M943" s="2">
        <v>699.09820000000002</v>
      </c>
      <c r="N943" t="s">
        <v>26</v>
      </c>
      <c r="O943" t="s">
        <v>31</v>
      </c>
      <c r="P943" t="s">
        <v>146</v>
      </c>
      <c r="Q943" t="s">
        <v>7272</v>
      </c>
      <c r="R943" s="1">
        <v>24249</v>
      </c>
      <c r="S943" t="s">
        <v>22</v>
      </c>
      <c r="T943" t="s">
        <v>29</v>
      </c>
      <c r="U943" t="s">
        <v>1744</v>
      </c>
      <c r="V943">
        <v>60000</v>
      </c>
      <c r="W943">
        <v>0</v>
      </c>
      <c r="X943" t="s">
        <v>135</v>
      </c>
      <c r="Y943" t="s">
        <v>53</v>
      </c>
      <c r="Z943" t="s">
        <v>19</v>
      </c>
      <c r="AA943" t="s">
        <v>3577</v>
      </c>
      <c r="AB943" t="s">
        <v>3578</v>
      </c>
      <c r="AC943" t="s">
        <v>3579</v>
      </c>
      <c r="AD943" t="s">
        <v>3479</v>
      </c>
      <c r="AE943" t="s">
        <v>3475</v>
      </c>
      <c r="AF943" s="2">
        <v>699.09820000000002</v>
      </c>
      <c r="AG943" s="2">
        <v>413.1463</v>
      </c>
      <c r="AH943" s="2">
        <v>285.95190000000002</v>
      </c>
      <c r="AI943" s="3">
        <v>0.409029661355157</v>
      </c>
    </row>
    <row r="944" spans="1:35">
      <c r="A944" s="1">
        <v>42061</v>
      </c>
      <c r="B944" s="1">
        <v>37196</v>
      </c>
      <c r="C944" t="s">
        <v>3930</v>
      </c>
      <c r="D944">
        <v>340</v>
      </c>
      <c r="E944">
        <v>14730</v>
      </c>
      <c r="F944">
        <v>4</v>
      </c>
      <c r="G944">
        <v>1</v>
      </c>
      <c r="H944">
        <v>1</v>
      </c>
      <c r="I944">
        <v>2</v>
      </c>
      <c r="J944" t="s">
        <v>3515</v>
      </c>
      <c r="K944" t="s">
        <v>3516</v>
      </c>
      <c r="L944" s="2">
        <v>413.1463</v>
      </c>
      <c r="M944" s="2">
        <v>699.09820000000002</v>
      </c>
      <c r="N944" t="s">
        <v>13</v>
      </c>
      <c r="O944" t="s">
        <v>756</v>
      </c>
      <c r="P944" t="s">
        <v>1167</v>
      </c>
      <c r="Q944" t="s">
        <v>7273</v>
      </c>
      <c r="R944" s="1">
        <v>19407</v>
      </c>
      <c r="S944" t="s">
        <v>16</v>
      </c>
      <c r="T944" t="s">
        <v>16</v>
      </c>
      <c r="U944" t="s">
        <v>1745</v>
      </c>
      <c r="V944">
        <v>20000</v>
      </c>
      <c r="W944">
        <v>2</v>
      </c>
      <c r="X944" t="s">
        <v>57</v>
      </c>
      <c r="Y944" t="s">
        <v>444</v>
      </c>
      <c r="Z944" t="s">
        <v>23</v>
      </c>
      <c r="AA944" t="s">
        <v>3580</v>
      </c>
      <c r="AB944" t="s">
        <v>3578</v>
      </c>
      <c r="AC944" t="s">
        <v>3579</v>
      </c>
      <c r="AD944" t="s">
        <v>3479</v>
      </c>
      <c r="AE944" t="s">
        <v>3475</v>
      </c>
      <c r="AF944" s="2">
        <v>699.09820000000002</v>
      </c>
      <c r="AG944" s="2">
        <v>413.1463</v>
      </c>
      <c r="AH944" s="2">
        <v>285.95190000000002</v>
      </c>
      <c r="AI944" s="3">
        <v>0.409029661355157</v>
      </c>
    </row>
    <row r="945" spans="1:35">
      <c r="A945" s="1">
        <v>42060</v>
      </c>
      <c r="B945" s="1">
        <v>37217</v>
      </c>
      <c r="C945" t="s">
        <v>3923</v>
      </c>
      <c r="D945">
        <v>320</v>
      </c>
      <c r="E945">
        <v>14731</v>
      </c>
      <c r="F945">
        <v>4</v>
      </c>
      <c r="G945">
        <v>1</v>
      </c>
      <c r="H945">
        <v>1</v>
      </c>
      <c r="I945">
        <v>2</v>
      </c>
      <c r="J945" t="s">
        <v>3495</v>
      </c>
      <c r="K945" t="s">
        <v>3496</v>
      </c>
      <c r="L945" s="2">
        <v>413.1463</v>
      </c>
      <c r="M945" s="2">
        <v>699.09820000000002</v>
      </c>
      <c r="N945" t="s">
        <v>13</v>
      </c>
      <c r="O945" t="s">
        <v>69</v>
      </c>
      <c r="P945" t="s">
        <v>180</v>
      </c>
      <c r="Q945" t="s">
        <v>7274</v>
      </c>
      <c r="R945" s="1">
        <v>19504</v>
      </c>
      <c r="S945" t="s">
        <v>16</v>
      </c>
      <c r="T945" t="s">
        <v>16</v>
      </c>
      <c r="U945" t="s">
        <v>1746</v>
      </c>
      <c r="V945">
        <v>30000</v>
      </c>
      <c r="W945">
        <v>1</v>
      </c>
      <c r="X945" t="s">
        <v>17</v>
      </c>
      <c r="Y945" t="s">
        <v>53</v>
      </c>
      <c r="Z945" t="s">
        <v>19</v>
      </c>
      <c r="AA945" t="s">
        <v>3580</v>
      </c>
      <c r="AB945" t="s">
        <v>3578</v>
      </c>
      <c r="AC945" t="s">
        <v>3579</v>
      </c>
      <c r="AD945" t="s">
        <v>3479</v>
      </c>
      <c r="AE945" t="s">
        <v>3475</v>
      </c>
      <c r="AF945" s="2">
        <v>699.09820000000002</v>
      </c>
      <c r="AG945" s="2">
        <v>413.1463</v>
      </c>
      <c r="AH945" s="2">
        <v>285.95190000000002</v>
      </c>
      <c r="AI945" s="3">
        <v>0.409029661355157</v>
      </c>
    </row>
    <row r="946" spans="1:35">
      <c r="A946" s="1">
        <v>42039</v>
      </c>
      <c r="B946" s="1">
        <v>37201</v>
      </c>
      <c r="C946" t="s">
        <v>3801</v>
      </c>
      <c r="D946">
        <v>328</v>
      </c>
      <c r="E946">
        <v>14732</v>
      </c>
      <c r="F946">
        <v>1</v>
      </c>
      <c r="G946">
        <v>1</v>
      </c>
      <c r="H946">
        <v>1</v>
      </c>
      <c r="I946">
        <v>2</v>
      </c>
      <c r="J946" t="s">
        <v>3503</v>
      </c>
      <c r="K946" t="s">
        <v>3504</v>
      </c>
      <c r="L946" s="2">
        <v>413.1463</v>
      </c>
      <c r="M946" s="2">
        <v>699.09820000000002</v>
      </c>
      <c r="N946" t="s">
        <v>30</v>
      </c>
      <c r="O946" t="s">
        <v>379</v>
      </c>
      <c r="P946" t="s">
        <v>334</v>
      </c>
      <c r="Q946" t="s">
        <v>7275</v>
      </c>
      <c r="R946" s="1">
        <v>19687</v>
      </c>
      <c r="S946" t="s">
        <v>16</v>
      </c>
      <c r="T946" t="s">
        <v>29</v>
      </c>
      <c r="U946" t="s">
        <v>1747</v>
      </c>
      <c r="V946">
        <v>30000</v>
      </c>
      <c r="W946">
        <v>1</v>
      </c>
      <c r="X946" t="s">
        <v>17</v>
      </c>
      <c r="Y946" t="s">
        <v>53</v>
      </c>
      <c r="Z946" t="s">
        <v>19</v>
      </c>
      <c r="AA946" t="s">
        <v>3577</v>
      </c>
      <c r="AB946" t="s">
        <v>3578</v>
      </c>
      <c r="AC946" t="s">
        <v>3579</v>
      </c>
      <c r="AD946" t="s">
        <v>3479</v>
      </c>
      <c r="AE946" t="s">
        <v>3475</v>
      </c>
      <c r="AF946" s="2">
        <v>699.09820000000002</v>
      </c>
      <c r="AG946" s="2">
        <v>413.1463</v>
      </c>
      <c r="AH946" s="2">
        <v>285.95190000000002</v>
      </c>
      <c r="AI946" s="3">
        <v>0.409029661355157</v>
      </c>
    </row>
    <row r="947" spans="1:35">
      <c r="A947" s="1">
        <v>42036</v>
      </c>
      <c r="B947" s="1">
        <v>37214</v>
      </c>
      <c r="C947" t="s">
        <v>3780</v>
      </c>
      <c r="D947">
        <v>342</v>
      </c>
      <c r="E947">
        <v>14733</v>
      </c>
      <c r="F947">
        <v>4</v>
      </c>
      <c r="G947">
        <v>1</v>
      </c>
      <c r="H947">
        <v>1</v>
      </c>
      <c r="I947">
        <v>2</v>
      </c>
      <c r="J947" t="s">
        <v>3517</v>
      </c>
      <c r="K947" t="s">
        <v>3518</v>
      </c>
      <c r="L947" s="2">
        <v>413.1463</v>
      </c>
      <c r="M947" s="2">
        <v>699.09820000000002</v>
      </c>
      <c r="N947" t="s">
        <v>13</v>
      </c>
      <c r="O947" t="s">
        <v>58</v>
      </c>
      <c r="P947" t="s">
        <v>155</v>
      </c>
      <c r="Q947" t="s">
        <v>7276</v>
      </c>
      <c r="R947" s="1">
        <v>19416</v>
      </c>
      <c r="S947" t="s">
        <v>16</v>
      </c>
      <c r="T947" t="s">
        <v>16</v>
      </c>
      <c r="U947" t="s">
        <v>1748</v>
      </c>
      <c r="V947">
        <v>30000</v>
      </c>
      <c r="W947">
        <v>1</v>
      </c>
      <c r="X947" t="s">
        <v>17</v>
      </c>
      <c r="Y947" t="s">
        <v>53</v>
      </c>
      <c r="Z947" t="s">
        <v>19</v>
      </c>
      <c r="AA947" t="s">
        <v>3580</v>
      </c>
      <c r="AB947" t="s">
        <v>3578</v>
      </c>
      <c r="AC947" t="s">
        <v>3579</v>
      </c>
      <c r="AD947" t="s">
        <v>3479</v>
      </c>
      <c r="AE947" t="s">
        <v>3475</v>
      </c>
      <c r="AF947" s="2">
        <v>699.09820000000002</v>
      </c>
      <c r="AG947" s="2">
        <v>413.1463</v>
      </c>
      <c r="AH947" s="2">
        <v>285.95190000000002</v>
      </c>
      <c r="AI947" s="3">
        <v>0.409029661355157</v>
      </c>
    </row>
    <row r="948" spans="1:35">
      <c r="A948" s="1">
        <v>42041</v>
      </c>
      <c r="B948" s="1">
        <v>37176</v>
      </c>
      <c r="C948" t="s">
        <v>3815</v>
      </c>
      <c r="D948">
        <v>332</v>
      </c>
      <c r="E948">
        <v>14734</v>
      </c>
      <c r="F948">
        <v>1</v>
      </c>
      <c r="G948">
        <v>1</v>
      </c>
      <c r="H948">
        <v>1</v>
      </c>
      <c r="I948">
        <v>2</v>
      </c>
      <c r="J948" t="s">
        <v>3507</v>
      </c>
      <c r="K948" t="s">
        <v>3508</v>
      </c>
      <c r="L948" s="2">
        <v>413.1463</v>
      </c>
      <c r="M948" s="2">
        <v>699.09820000000002</v>
      </c>
      <c r="N948" t="s">
        <v>13</v>
      </c>
      <c r="O948" t="s">
        <v>646</v>
      </c>
      <c r="P948" t="s">
        <v>70</v>
      </c>
      <c r="Q948" t="s">
        <v>7277</v>
      </c>
      <c r="R948" s="1">
        <v>19674</v>
      </c>
      <c r="S948" t="s">
        <v>16</v>
      </c>
      <c r="T948" t="s">
        <v>16</v>
      </c>
      <c r="U948" t="s">
        <v>1749</v>
      </c>
      <c r="V948">
        <v>30000</v>
      </c>
      <c r="W948">
        <v>1</v>
      </c>
      <c r="X948" t="s">
        <v>17</v>
      </c>
      <c r="Y948" t="s">
        <v>53</v>
      </c>
      <c r="Z948" t="s">
        <v>19</v>
      </c>
      <c r="AA948" t="s">
        <v>3577</v>
      </c>
      <c r="AB948" t="s">
        <v>3578</v>
      </c>
      <c r="AC948" t="s">
        <v>3579</v>
      </c>
      <c r="AD948" t="s">
        <v>3479</v>
      </c>
      <c r="AE948" t="s">
        <v>3475</v>
      </c>
      <c r="AF948" s="2">
        <v>699.09820000000002</v>
      </c>
      <c r="AG948" s="2">
        <v>413.1463</v>
      </c>
      <c r="AH948" s="2">
        <v>285.95190000000002</v>
      </c>
      <c r="AI948" s="3">
        <v>0.409029661355157</v>
      </c>
    </row>
    <row r="949" spans="1:35">
      <c r="A949" s="1">
        <v>42041</v>
      </c>
      <c r="B949" s="1">
        <v>37193</v>
      </c>
      <c r="C949" t="s">
        <v>3816</v>
      </c>
      <c r="D949">
        <v>334</v>
      </c>
      <c r="E949">
        <v>14735</v>
      </c>
      <c r="F949">
        <v>1</v>
      </c>
      <c r="G949">
        <v>1</v>
      </c>
      <c r="H949">
        <v>1</v>
      </c>
      <c r="I949">
        <v>2</v>
      </c>
      <c r="J949" t="s">
        <v>3509</v>
      </c>
      <c r="K949" t="s">
        <v>3510</v>
      </c>
      <c r="L949" s="2">
        <v>413.1463</v>
      </c>
      <c r="M949" s="2">
        <v>699.09820000000002</v>
      </c>
      <c r="N949" t="s">
        <v>30</v>
      </c>
      <c r="O949" t="s">
        <v>276</v>
      </c>
      <c r="P949" t="s">
        <v>572</v>
      </c>
      <c r="Q949" t="s">
        <v>7278</v>
      </c>
      <c r="R949" s="1">
        <v>19642</v>
      </c>
      <c r="S949" t="s">
        <v>16</v>
      </c>
      <c r="T949" t="s">
        <v>29</v>
      </c>
      <c r="U949" t="s">
        <v>1750</v>
      </c>
      <c r="V949">
        <v>30000</v>
      </c>
      <c r="W949">
        <v>1</v>
      </c>
      <c r="X949" t="s">
        <v>52</v>
      </c>
      <c r="Y949" t="s">
        <v>60</v>
      </c>
      <c r="Z949" t="s">
        <v>19</v>
      </c>
      <c r="AA949" t="s">
        <v>3577</v>
      </c>
      <c r="AB949" t="s">
        <v>3578</v>
      </c>
      <c r="AC949" t="s">
        <v>3579</v>
      </c>
      <c r="AD949" t="s">
        <v>3479</v>
      </c>
      <c r="AE949" t="s">
        <v>3475</v>
      </c>
      <c r="AF949" s="2">
        <v>699.09820000000002</v>
      </c>
      <c r="AG949" s="2">
        <v>413.1463</v>
      </c>
      <c r="AH949" s="2">
        <v>285.95190000000002</v>
      </c>
      <c r="AI949" s="3">
        <v>0.409029661355157</v>
      </c>
    </row>
    <row r="950" spans="1:35">
      <c r="A950" s="1">
        <v>42059</v>
      </c>
      <c r="B950" s="1">
        <v>37253</v>
      </c>
      <c r="C950" t="s">
        <v>3912</v>
      </c>
      <c r="D950">
        <v>324</v>
      </c>
      <c r="E950">
        <v>14737</v>
      </c>
      <c r="F950">
        <v>1</v>
      </c>
      <c r="G950">
        <v>1</v>
      </c>
      <c r="H950">
        <v>1</v>
      </c>
      <c r="I950">
        <v>2</v>
      </c>
      <c r="J950" t="s">
        <v>3499</v>
      </c>
      <c r="K950" t="s">
        <v>3500</v>
      </c>
      <c r="L950" s="2">
        <v>413.1463</v>
      </c>
      <c r="M950" s="2">
        <v>699.09820000000002</v>
      </c>
      <c r="N950" t="s">
        <v>13</v>
      </c>
      <c r="O950" t="s">
        <v>1598</v>
      </c>
      <c r="P950" t="s">
        <v>632</v>
      </c>
      <c r="Q950" t="s">
        <v>7279</v>
      </c>
      <c r="R950" s="1">
        <v>19864</v>
      </c>
      <c r="S950" t="s">
        <v>22</v>
      </c>
      <c r="T950" t="s">
        <v>16</v>
      </c>
      <c r="U950" t="s">
        <v>1751</v>
      </c>
      <c r="V950">
        <v>20000</v>
      </c>
      <c r="W950">
        <v>3</v>
      </c>
      <c r="X950" t="s">
        <v>77</v>
      </c>
      <c r="Y950" t="s">
        <v>60</v>
      </c>
      <c r="Z950" t="s">
        <v>19</v>
      </c>
      <c r="AA950" t="s">
        <v>3577</v>
      </c>
      <c r="AB950" t="s">
        <v>3578</v>
      </c>
      <c r="AC950" t="s">
        <v>3579</v>
      </c>
      <c r="AD950" t="s">
        <v>3479</v>
      </c>
      <c r="AE950" t="s">
        <v>3475</v>
      </c>
      <c r="AF950" s="2">
        <v>699.09820000000002</v>
      </c>
      <c r="AG950" s="2">
        <v>413.1463</v>
      </c>
      <c r="AH950" s="2">
        <v>285.95190000000002</v>
      </c>
      <c r="AI950" s="3">
        <v>0.409029661355157</v>
      </c>
    </row>
    <row r="951" spans="1:35">
      <c r="A951" s="1">
        <v>42077</v>
      </c>
      <c r="B951" s="1">
        <v>37270</v>
      </c>
      <c r="C951" t="s">
        <v>4028</v>
      </c>
      <c r="D951">
        <v>326</v>
      </c>
      <c r="E951">
        <v>14738</v>
      </c>
      <c r="F951">
        <v>4</v>
      </c>
      <c r="G951">
        <v>1</v>
      </c>
      <c r="H951">
        <v>1</v>
      </c>
      <c r="I951">
        <v>2</v>
      </c>
      <c r="J951" t="s">
        <v>3501</v>
      </c>
      <c r="K951" t="s">
        <v>3502</v>
      </c>
      <c r="L951" s="2">
        <v>413.1463</v>
      </c>
      <c r="M951" s="2">
        <v>699.09820000000002</v>
      </c>
      <c r="N951" t="s">
        <v>13</v>
      </c>
      <c r="O951" t="s">
        <v>67</v>
      </c>
      <c r="P951" t="s">
        <v>99</v>
      </c>
      <c r="Q951" t="s">
        <v>7280</v>
      </c>
      <c r="R951" s="1">
        <v>19798</v>
      </c>
      <c r="S951" t="s">
        <v>16</v>
      </c>
      <c r="T951" t="s">
        <v>16</v>
      </c>
      <c r="U951" t="s">
        <v>1752</v>
      </c>
      <c r="V951">
        <v>40000</v>
      </c>
      <c r="W951">
        <v>1</v>
      </c>
      <c r="X951" t="s">
        <v>52</v>
      </c>
      <c r="Y951" t="s">
        <v>60</v>
      </c>
      <c r="Z951" t="s">
        <v>19</v>
      </c>
      <c r="AA951" t="s">
        <v>3580</v>
      </c>
      <c r="AB951" t="s">
        <v>3578</v>
      </c>
      <c r="AC951" t="s">
        <v>3579</v>
      </c>
      <c r="AD951" t="s">
        <v>3479</v>
      </c>
      <c r="AE951" t="s">
        <v>3475</v>
      </c>
      <c r="AF951" s="2">
        <v>699.09820000000002</v>
      </c>
      <c r="AG951" s="2">
        <v>413.1463</v>
      </c>
      <c r="AH951" s="2">
        <v>285.95190000000002</v>
      </c>
      <c r="AI951" s="3">
        <v>0.409029661355157</v>
      </c>
    </row>
    <row r="952" spans="1:35">
      <c r="A952" s="1">
        <v>42089</v>
      </c>
      <c r="B952" s="1">
        <v>37321</v>
      </c>
      <c r="C952" t="s">
        <v>4108</v>
      </c>
      <c r="D952">
        <v>340</v>
      </c>
      <c r="E952">
        <v>14739</v>
      </c>
      <c r="F952">
        <v>4</v>
      </c>
      <c r="G952">
        <v>1</v>
      </c>
      <c r="H952">
        <v>1</v>
      </c>
      <c r="I952">
        <v>2</v>
      </c>
      <c r="J952" t="s">
        <v>3515</v>
      </c>
      <c r="K952" t="s">
        <v>3516</v>
      </c>
      <c r="L952" s="2">
        <v>413.1463</v>
      </c>
      <c r="M952" s="2">
        <v>699.09820000000002</v>
      </c>
      <c r="N952" t="s">
        <v>13</v>
      </c>
      <c r="O952" t="s">
        <v>327</v>
      </c>
      <c r="P952" t="s">
        <v>95</v>
      </c>
      <c r="Q952" t="s">
        <v>7281</v>
      </c>
      <c r="R952" s="1">
        <v>19993</v>
      </c>
      <c r="S952" t="s">
        <v>16</v>
      </c>
      <c r="T952" t="s">
        <v>16</v>
      </c>
      <c r="U952" t="s">
        <v>1753</v>
      </c>
      <c r="V952">
        <v>40000</v>
      </c>
      <c r="W952">
        <v>1</v>
      </c>
      <c r="X952" t="s">
        <v>52</v>
      </c>
      <c r="Y952" t="s">
        <v>60</v>
      </c>
      <c r="Z952" t="s">
        <v>19</v>
      </c>
      <c r="AA952" t="s">
        <v>3580</v>
      </c>
      <c r="AB952" t="s">
        <v>3578</v>
      </c>
      <c r="AC952" t="s">
        <v>3579</v>
      </c>
      <c r="AD952" t="s">
        <v>3479</v>
      </c>
      <c r="AE952" t="s">
        <v>3475</v>
      </c>
      <c r="AF952" s="2">
        <v>699.09820000000002</v>
      </c>
      <c r="AG952" s="2">
        <v>413.1463</v>
      </c>
      <c r="AH952" s="2">
        <v>285.95190000000002</v>
      </c>
      <c r="AI952" s="3">
        <v>0.409029661355157</v>
      </c>
    </row>
    <row r="953" spans="1:35">
      <c r="A953" s="1">
        <v>42080</v>
      </c>
      <c r="B953" s="1">
        <v>37262</v>
      </c>
      <c r="C953" t="s">
        <v>4049</v>
      </c>
      <c r="D953">
        <v>320</v>
      </c>
      <c r="E953">
        <v>14741</v>
      </c>
      <c r="F953">
        <v>4</v>
      </c>
      <c r="G953">
        <v>1</v>
      </c>
      <c r="H953">
        <v>1</v>
      </c>
      <c r="I953">
        <v>2</v>
      </c>
      <c r="J953" t="s">
        <v>3495</v>
      </c>
      <c r="K953" t="s">
        <v>3496</v>
      </c>
      <c r="L953" s="2">
        <v>413.1463</v>
      </c>
      <c r="M953" s="2">
        <v>699.09820000000002</v>
      </c>
      <c r="N953" t="s">
        <v>30</v>
      </c>
      <c r="O953" t="s">
        <v>721</v>
      </c>
      <c r="P953" t="s">
        <v>309</v>
      </c>
      <c r="Q953" t="s">
        <v>7282</v>
      </c>
      <c r="R953" s="1">
        <v>19939</v>
      </c>
      <c r="S953" t="s">
        <v>16</v>
      </c>
      <c r="T953" t="s">
        <v>29</v>
      </c>
      <c r="U953" t="s">
        <v>1754</v>
      </c>
      <c r="V953">
        <v>40000</v>
      </c>
      <c r="W953">
        <v>1</v>
      </c>
      <c r="X953" t="s">
        <v>52</v>
      </c>
      <c r="Y953" t="s">
        <v>60</v>
      </c>
      <c r="Z953" t="s">
        <v>19</v>
      </c>
      <c r="AA953" t="s">
        <v>3580</v>
      </c>
      <c r="AB953" t="s">
        <v>3578</v>
      </c>
      <c r="AC953" t="s">
        <v>3579</v>
      </c>
      <c r="AD953" t="s">
        <v>3479</v>
      </c>
      <c r="AE953" t="s">
        <v>3475</v>
      </c>
      <c r="AF953" s="2">
        <v>699.09820000000002</v>
      </c>
      <c r="AG953" s="2">
        <v>413.1463</v>
      </c>
      <c r="AH953" s="2">
        <v>285.95190000000002</v>
      </c>
      <c r="AI953" s="3">
        <v>0.409029661355157</v>
      </c>
    </row>
    <row r="954" spans="1:35">
      <c r="A954" s="1">
        <v>42066</v>
      </c>
      <c r="B954" s="1">
        <v>37267</v>
      </c>
      <c r="C954" t="s">
        <v>3958</v>
      </c>
      <c r="D954">
        <v>340</v>
      </c>
      <c r="E954">
        <v>14744</v>
      </c>
      <c r="F954">
        <v>1</v>
      </c>
      <c r="G954">
        <v>1</v>
      </c>
      <c r="H954">
        <v>1</v>
      </c>
      <c r="I954">
        <v>2</v>
      </c>
      <c r="J954" t="s">
        <v>3515</v>
      </c>
      <c r="K954" t="s">
        <v>3516</v>
      </c>
      <c r="L954" s="2">
        <v>413.1463</v>
      </c>
      <c r="M954" s="2">
        <v>699.09820000000002</v>
      </c>
      <c r="N954" t="s">
        <v>13</v>
      </c>
      <c r="O954" t="s">
        <v>435</v>
      </c>
      <c r="P954" t="s">
        <v>15</v>
      </c>
      <c r="Q954" t="s">
        <v>7283</v>
      </c>
      <c r="R954" s="1">
        <v>20327</v>
      </c>
      <c r="S954" t="s">
        <v>16</v>
      </c>
      <c r="T954" t="s">
        <v>16</v>
      </c>
      <c r="U954" t="s">
        <v>1755</v>
      </c>
      <c r="V954">
        <v>40000</v>
      </c>
      <c r="W954">
        <v>1</v>
      </c>
      <c r="X954" t="s">
        <v>52</v>
      </c>
      <c r="Y954" t="s">
        <v>60</v>
      </c>
      <c r="Z954" t="s">
        <v>19</v>
      </c>
      <c r="AA954" t="s">
        <v>3577</v>
      </c>
      <c r="AB954" t="s">
        <v>3578</v>
      </c>
      <c r="AC954" t="s">
        <v>3579</v>
      </c>
      <c r="AD954" t="s">
        <v>3479</v>
      </c>
      <c r="AE954" t="s">
        <v>3475</v>
      </c>
      <c r="AF954" s="2">
        <v>699.09820000000002</v>
      </c>
      <c r="AG954" s="2">
        <v>413.1463</v>
      </c>
      <c r="AH954" s="2">
        <v>285.95190000000002</v>
      </c>
      <c r="AI954" s="3">
        <v>0.409029661355157</v>
      </c>
    </row>
    <row r="955" spans="1:35">
      <c r="A955" s="1">
        <v>42072</v>
      </c>
      <c r="B955" s="1">
        <v>37222</v>
      </c>
      <c r="C955" t="s">
        <v>3998</v>
      </c>
      <c r="D955">
        <v>324</v>
      </c>
      <c r="E955">
        <v>14746</v>
      </c>
      <c r="F955">
        <v>4</v>
      </c>
      <c r="G955">
        <v>1</v>
      </c>
      <c r="H955">
        <v>1</v>
      </c>
      <c r="I955">
        <v>2</v>
      </c>
      <c r="J955" t="s">
        <v>3499</v>
      </c>
      <c r="K955" t="s">
        <v>3500</v>
      </c>
      <c r="L955" s="2">
        <v>413.1463</v>
      </c>
      <c r="M955" s="2">
        <v>699.09820000000002</v>
      </c>
      <c r="N955" t="s">
        <v>30</v>
      </c>
      <c r="O955" t="s">
        <v>857</v>
      </c>
      <c r="P955" t="s">
        <v>203</v>
      </c>
      <c r="Q955" t="s">
        <v>7284</v>
      </c>
      <c r="R955" s="1">
        <v>20184</v>
      </c>
      <c r="S955" t="s">
        <v>16</v>
      </c>
      <c r="T955" t="s">
        <v>29</v>
      </c>
      <c r="U955" t="s">
        <v>1756</v>
      </c>
      <c r="V955">
        <v>40000</v>
      </c>
      <c r="W955">
        <v>1</v>
      </c>
      <c r="X955" t="s">
        <v>52</v>
      </c>
      <c r="Y955" t="s">
        <v>60</v>
      </c>
      <c r="Z955" t="s">
        <v>19</v>
      </c>
      <c r="AA955" t="s">
        <v>3580</v>
      </c>
      <c r="AB955" t="s">
        <v>3578</v>
      </c>
      <c r="AC955" t="s">
        <v>3579</v>
      </c>
      <c r="AD955" t="s">
        <v>3479</v>
      </c>
      <c r="AE955" t="s">
        <v>3475</v>
      </c>
      <c r="AF955" s="2">
        <v>699.09820000000002</v>
      </c>
      <c r="AG955" s="2">
        <v>413.1463</v>
      </c>
      <c r="AH955" s="2">
        <v>285.95190000000002</v>
      </c>
      <c r="AI955" s="3">
        <v>0.409029661355157</v>
      </c>
    </row>
    <row r="956" spans="1:35">
      <c r="A956" s="1">
        <v>42081</v>
      </c>
      <c r="B956" s="1">
        <v>37233</v>
      </c>
      <c r="C956" t="s">
        <v>4054</v>
      </c>
      <c r="D956">
        <v>326</v>
      </c>
      <c r="E956">
        <v>14747</v>
      </c>
      <c r="F956">
        <v>4</v>
      </c>
      <c r="G956">
        <v>1</v>
      </c>
      <c r="H956">
        <v>1</v>
      </c>
      <c r="I956">
        <v>2</v>
      </c>
      <c r="J956" t="s">
        <v>3501</v>
      </c>
      <c r="K956" t="s">
        <v>3502</v>
      </c>
      <c r="L956" s="2">
        <v>413.1463</v>
      </c>
      <c r="M956" s="2">
        <v>699.09820000000002</v>
      </c>
      <c r="N956" t="s">
        <v>13</v>
      </c>
      <c r="O956" t="s">
        <v>618</v>
      </c>
      <c r="P956" t="s">
        <v>283</v>
      </c>
      <c r="Q956" t="s">
        <v>7285</v>
      </c>
      <c r="R956" s="1">
        <v>20409</v>
      </c>
      <c r="S956" t="s">
        <v>16</v>
      </c>
      <c r="T956" t="s">
        <v>16</v>
      </c>
      <c r="U956" t="s">
        <v>1757</v>
      </c>
      <c r="V956">
        <v>40000</v>
      </c>
      <c r="W956">
        <v>1</v>
      </c>
      <c r="X956" t="s">
        <v>52</v>
      </c>
      <c r="Y956" t="s">
        <v>60</v>
      </c>
      <c r="Z956" t="s">
        <v>19</v>
      </c>
      <c r="AA956" t="s">
        <v>3580</v>
      </c>
      <c r="AB956" t="s">
        <v>3578</v>
      </c>
      <c r="AC956" t="s">
        <v>3579</v>
      </c>
      <c r="AD956" t="s">
        <v>3479</v>
      </c>
      <c r="AE956" t="s">
        <v>3475</v>
      </c>
      <c r="AF956" s="2">
        <v>699.09820000000002</v>
      </c>
      <c r="AG956" s="2">
        <v>413.1463</v>
      </c>
      <c r="AH956" s="2">
        <v>285.95190000000002</v>
      </c>
      <c r="AI956" s="3">
        <v>0.409029661355157</v>
      </c>
    </row>
    <row r="957" spans="1:35">
      <c r="A957" s="1">
        <v>42081</v>
      </c>
      <c r="B957" s="1">
        <v>37242</v>
      </c>
      <c r="C957" t="s">
        <v>4055</v>
      </c>
      <c r="D957">
        <v>336</v>
      </c>
      <c r="E957">
        <v>14750</v>
      </c>
      <c r="F957">
        <v>4</v>
      </c>
      <c r="G957">
        <v>1</v>
      </c>
      <c r="H957">
        <v>1</v>
      </c>
      <c r="I957">
        <v>2</v>
      </c>
      <c r="J957" t="s">
        <v>3511</v>
      </c>
      <c r="K957" t="s">
        <v>3512</v>
      </c>
      <c r="L957" s="2">
        <v>413.1463</v>
      </c>
      <c r="M957" s="2">
        <v>699.09820000000002</v>
      </c>
      <c r="N957" t="s">
        <v>30</v>
      </c>
      <c r="O957" t="s">
        <v>771</v>
      </c>
      <c r="P957" t="s">
        <v>598</v>
      </c>
      <c r="Q957" t="s">
        <v>7286</v>
      </c>
      <c r="R957" s="1">
        <v>20764</v>
      </c>
      <c r="S957" t="s">
        <v>16</v>
      </c>
      <c r="T957" t="s">
        <v>29</v>
      </c>
      <c r="U957" t="s">
        <v>1758</v>
      </c>
      <c r="V957">
        <v>40000</v>
      </c>
      <c r="W957">
        <v>1</v>
      </c>
      <c r="X957" t="s">
        <v>52</v>
      </c>
      <c r="Y957" t="s">
        <v>60</v>
      </c>
      <c r="Z957" t="s">
        <v>19</v>
      </c>
      <c r="AA957" t="s">
        <v>3580</v>
      </c>
      <c r="AB957" t="s">
        <v>3578</v>
      </c>
      <c r="AC957" t="s">
        <v>3579</v>
      </c>
      <c r="AD957" t="s">
        <v>3479</v>
      </c>
      <c r="AE957" t="s">
        <v>3475</v>
      </c>
      <c r="AF957" s="2">
        <v>699.09820000000002</v>
      </c>
      <c r="AG957" s="2">
        <v>413.1463</v>
      </c>
      <c r="AH957" s="2">
        <v>285.95190000000002</v>
      </c>
      <c r="AI957" s="3">
        <v>0.409029661355157</v>
      </c>
    </row>
    <row r="958" spans="1:35">
      <c r="A958" s="1">
        <v>42124</v>
      </c>
      <c r="B958" s="1">
        <v>37340</v>
      </c>
      <c r="C958" t="s">
        <v>4343</v>
      </c>
      <c r="D958">
        <v>340</v>
      </c>
      <c r="E958">
        <v>14752</v>
      </c>
      <c r="F958">
        <v>4</v>
      </c>
      <c r="G958">
        <v>1</v>
      </c>
      <c r="H958">
        <v>1</v>
      </c>
      <c r="I958">
        <v>2</v>
      </c>
      <c r="J958" t="s">
        <v>3515</v>
      </c>
      <c r="K958" t="s">
        <v>3516</v>
      </c>
      <c r="L958" s="2">
        <v>413.1463</v>
      </c>
      <c r="M958" s="2">
        <v>699.09820000000002</v>
      </c>
      <c r="N958" t="s">
        <v>13</v>
      </c>
      <c r="O958" t="s">
        <v>69</v>
      </c>
      <c r="P958" t="s">
        <v>347</v>
      </c>
      <c r="Q958" t="s">
        <v>7287</v>
      </c>
      <c r="R958" s="1">
        <v>21135</v>
      </c>
      <c r="S958" t="s">
        <v>16</v>
      </c>
      <c r="T958" t="s">
        <v>16</v>
      </c>
      <c r="U958" t="s">
        <v>1759</v>
      </c>
      <c r="V958">
        <v>40000</v>
      </c>
      <c r="W958">
        <v>1</v>
      </c>
      <c r="X958" t="s">
        <v>52</v>
      </c>
      <c r="Y958" t="s">
        <v>60</v>
      </c>
      <c r="Z958" t="s">
        <v>19</v>
      </c>
      <c r="AA958" t="s">
        <v>3580</v>
      </c>
      <c r="AB958" t="s">
        <v>3578</v>
      </c>
      <c r="AC958" t="s">
        <v>3579</v>
      </c>
      <c r="AD958" t="s">
        <v>3479</v>
      </c>
      <c r="AE958" t="s">
        <v>3475</v>
      </c>
      <c r="AF958" s="2">
        <v>699.09820000000002</v>
      </c>
      <c r="AG958" s="2">
        <v>413.1463</v>
      </c>
      <c r="AH958" s="2">
        <v>285.95190000000002</v>
      </c>
      <c r="AI958" s="3">
        <v>0.409029661355157</v>
      </c>
    </row>
    <row r="959" spans="1:35">
      <c r="A959" s="1">
        <v>42097</v>
      </c>
      <c r="B959" s="1">
        <v>37284</v>
      </c>
      <c r="C959" t="s">
        <v>4149</v>
      </c>
      <c r="D959">
        <v>330</v>
      </c>
      <c r="E959">
        <v>14753</v>
      </c>
      <c r="F959">
        <v>1</v>
      </c>
      <c r="G959">
        <v>1</v>
      </c>
      <c r="H959">
        <v>1</v>
      </c>
      <c r="I959">
        <v>2</v>
      </c>
      <c r="J959" t="s">
        <v>3505</v>
      </c>
      <c r="K959" t="s">
        <v>3506</v>
      </c>
      <c r="L959" s="2">
        <v>413.1463</v>
      </c>
      <c r="M959" s="2">
        <v>699.09820000000002</v>
      </c>
      <c r="N959" t="s">
        <v>13</v>
      </c>
      <c r="O959" t="s">
        <v>601</v>
      </c>
      <c r="P959" t="s">
        <v>321</v>
      </c>
      <c r="Q959" t="s">
        <v>7288</v>
      </c>
      <c r="R959" s="1">
        <v>21090</v>
      </c>
      <c r="S959" t="s">
        <v>16</v>
      </c>
      <c r="T959" t="s">
        <v>16</v>
      </c>
      <c r="U959" t="s">
        <v>1760</v>
      </c>
      <c r="V959">
        <v>40000</v>
      </c>
      <c r="W959">
        <v>1</v>
      </c>
      <c r="X959" t="s">
        <v>52</v>
      </c>
      <c r="Y959" t="s">
        <v>60</v>
      </c>
      <c r="Z959" t="s">
        <v>19</v>
      </c>
      <c r="AA959" t="s">
        <v>3577</v>
      </c>
      <c r="AB959" t="s">
        <v>3578</v>
      </c>
      <c r="AC959" t="s">
        <v>3579</v>
      </c>
      <c r="AD959" t="s">
        <v>3479</v>
      </c>
      <c r="AE959" t="s">
        <v>3475</v>
      </c>
      <c r="AF959" s="2">
        <v>699.09820000000002</v>
      </c>
      <c r="AG959" s="2">
        <v>413.1463</v>
      </c>
      <c r="AH959" s="2">
        <v>285.95190000000002</v>
      </c>
      <c r="AI959" s="3">
        <v>0.409029661355157</v>
      </c>
    </row>
    <row r="960" spans="1:35">
      <c r="A960" s="1">
        <v>42101</v>
      </c>
      <c r="B960" s="1">
        <v>37317</v>
      </c>
      <c r="C960" t="s">
        <v>4177</v>
      </c>
      <c r="D960">
        <v>338</v>
      </c>
      <c r="E960">
        <v>14754</v>
      </c>
      <c r="F960">
        <v>1</v>
      </c>
      <c r="G960">
        <v>1</v>
      </c>
      <c r="H960">
        <v>1</v>
      </c>
      <c r="I960">
        <v>2</v>
      </c>
      <c r="J960" t="s">
        <v>3513</v>
      </c>
      <c r="K960" t="s">
        <v>3514</v>
      </c>
      <c r="L960" s="2">
        <v>413.1463</v>
      </c>
      <c r="M960" s="2">
        <v>699.09820000000002</v>
      </c>
      <c r="N960" t="s">
        <v>13</v>
      </c>
      <c r="O960" t="s">
        <v>554</v>
      </c>
      <c r="P960" t="s">
        <v>490</v>
      </c>
      <c r="Q960" t="s">
        <v>7289</v>
      </c>
      <c r="R960" s="1">
        <v>21141</v>
      </c>
      <c r="S960" t="s">
        <v>16</v>
      </c>
      <c r="T960" t="s">
        <v>16</v>
      </c>
      <c r="U960" t="s">
        <v>1761</v>
      </c>
      <c r="V960">
        <v>40000</v>
      </c>
      <c r="W960">
        <v>1</v>
      </c>
      <c r="X960" t="s">
        <v>52</v>
      </c>
      <c r="Y960" t="s">
        <v>60</v>
      </c>
      <c r="Z960" t="s">
        <v>19</v>
      </c>
      <c r="AA960" t="s">
        <v>3577</v>
      </c>
      <c r="AB960" t="s">
        <v>3578</v>
      </c>
      <c r="AC960" t="s">
        <v>3579</v>
      </c>
      <c r="AD960" t="s">
        <v>3479</v>
      </c>
      <c r="AE960" t="s">
        <v>3475</v>
      </c>
      <c r="AF960" s="2">
        <v>699.09820000000002</v>
      </c>
      <c r="AG960" s="2">
        <v>413.1463</v>
      </c>
      <c r="AH960" s="2">
        <v>285.95190000000002</v>
      </c>
      <c r="AI960" s="3">
        <v>0.409029661355157</v>
      </c>
    </row>
    <row r="961" spans="1:35">
      <c r="A961" s="1">
        <v>42119</v>
      </c>
      <c r="B961" s="1">
        <v>37340</v>
      </c>
      <c r="C961" t="s">
        <v>4298</v>
      </c>
      <c r="D961">
        <v>324</v>
      </c>
      <c r="E961">
        <v>14755</v>
      </c>
      <c r="F961">
        <v>4</v>
      </c>
      <c r="G961">
        <v>1</v>
      </c>
      <c r="H961">
        <v>1</v>
      </c>
      <c r="I961">
        <v>2</v>
      </c>
      <c r="J961" t="s">
        <v>3499</v>
      </c>
      <c r="K961" t="s">
        <v>3500</v>
      </c>
      <c r="L961" s="2">
        <v>413.1463</v>
      </c>
      <c r="M961" s="2">
        <v>699.09820000000002</v>
      </c>
      <c r="N961" t="s">
        <v>13</v>
      </c>
      <c r="O961" t="s">
        <v>383</v>
      </c>
      <c r="P961" t="s">
        <v>255</v>
      </c>
      <c r="Q961" t="s">
        <v>7290</v>
      </c>
      <c r="R961" s="1">
        <v>21145</v>
      </c>
      <c r="S961" t="s">
        <v>16</v>
      </c>
      <c r="T961" t="s">
        <v>16</v>
      </c>
      <c r="U961" t="s">
        <v>1762</v>
      </c>
      <c r="V961">
        <v>40000</v>
      </c>
      <c r="W961">
        <v>1</v>
      </c>
      <c r="X961" t="s">
        <v>52</v>
      </c>
      <c r="Y961" t="s">
        <v>60</v>
      </c>
      <c r="Z961" t="s">
        <v>19</v>
      </c>
      <c r="AA961" t="s">
        <v>3580</v>
      </c>
      <c r="AB961" t="s">
        <v>3578</v>
      </c>
      <c r="AC961" t="s">
        <v>3579</v>
      </c>
      <c r="AD961" t="s">
        <v>3479</v>
      </c>
      <c r="AE961" t="s">
        <v>3475</v>
      </c>
      <c r="AF961" s="2">
        <v>699.09820000000002</v>
      </c>
      <c r="AG961" s="2">
        <v>413.1463</v>
      </c>
      <c r="AH961" s="2">
        <v>285.95190000000002</v>
      </c>
      <c r="AI961" s="3">
        <v>0.409029661355157</v>
      </c>
    </row>
    <row r="962" spans="1:35">
      <c r="A962" s="1">
        <v>42122</v>
      </c>
      <c r="B962" s="1">
        <v>37266</v>
      </c>
      <c r="C962" t="s">
        <v>4316</v>
      </c>
      <c r="D962">
        <v>324</v>
      </c>
      <c r="E962">
        <v>14756</v>
      </c>
      <c r="F962">
        <v>4</v>
      </c>
      <c r="G962">
        <v>1</v>
      </c>
      <c r="H962">
        <v>1</v>
      </c>
      <c r="I962">
        <v>2</v>
      </c>
      <c r="J962" t="s">
        <v>3499</v>
      </c>
      <c r="K962" t="s">
        <v>3500</v>
      </c>
      <c r="L962" s="2">
        <v>413.1463</v>
      </c>
      <c r="M962" s="2">
        <v>699.09820000000002</v>
      </c>
      <c r="N962" t="s">
        <v>13</v>
      </c>
      <c r="O962" t="s">
        <v>327</v>
      </c>
      <c r="P962" t="s">
        <v>144</v>
      </c>
      <c r="Q962" t="s">
        <v>7291</v>
      </c>
      <c r="R962" s="1">
        <v>20955</v>
      </c>
      <c r="S962" t="s">
        <v>16</v>
      </c>
      <c r="T962" t="s">
        <v>16</v>
      </c>
      <c r="U962" t="s">
        <v>1763</v>
      </c>
      <c r="V962">
        <v>40000</v>
      </c>
      <c r="W962">
        <v>1</v>
      </c>
      <c r="X962" t="s">
        <v>52</v>
      </c>
      <c r="Y962" t="s">
        <v>60</v>
      </c>
      <c r="Z962" t="s">
        <v>19</v>
      </c>
      <c r="AA962" t="s">
        <v>3580</v>
      </c>
      <c r="AB962" t="s">
        <v>3578</v>
      </c>
      <c r="AC962" t="s">
        <v>3579</v>
      </c>
      <c r="AD962" t="s">
        <v>3479</v>
      </c>
      <c r="AE962" t="s">
        <v>3475</v>
      </c>
      <c r="AF962" s="2">
        <v>699.09820000000002</v>
      </c>
      <c r="AG962" s="2">
        <v>413.1463</v>
      </c>
      <c r="AH962" s="2">
        <v>285.95190000000002</v>
      </c>
      <c r="AI962" s="3">
        <v>0.409029661355157</v>
      </c>
    </row>
    <row r="963" spans="1:35">
      <c r="A963" s="1">
        <v>42114</v>
      </c>
      <c r="B963" s="1">
        <v>37346</v>
      </c>
      <c r="C963" t="s">
        <v>4264</v>
      </c>
      <c r="D963">
        <v>334</v>
      </c>
      <c r="E963">
        <v>14757</v>
      </c>
      <c r="F963">
        <v>4</v>
      </c>
      <c r="G963">
        <v>1</v>
      </c>
      <c r="H963">
        <v>1</v>
      </c>
      <c r="I963">
        <v>2</v>
      </c>
      <c r="J963" t="s">
        <v>3509</v>
      </c>
      <c r="K963" t="s">
        <v>3510</v>
      </c>
      <c r="L963" s="2">
        <v>413.1463</v>
      </c>
      <c r="M963" s="2">
        <v>699.09820000000002</v>
      </c>
      <c r="N963" t="s">
        <v>30</v>
      </c>
      <c r="O963" t="s">
        <v>31</v>
      </c>
      <c r="P963" t="s">
        <v>99</v>
      </c>
      <c r="Q963" t="s">
        <v>7292</v>
      </c>
      <c r="R963" s="1">
        <v>20822</v>
      </c>
      <c r="S963" t="s">
        <v>16</v>
      </c>
      <c r="T963" t="s">
        <v>29</v>
      </c>
      <c r="U963" t="s">
        <v>1764</v>
      </c>
      <c r="V963">
        <v>40000</v>
      </c>
      <c r="W963">
        <v>1</v>
      </c>
      <c r="X963" t="s">
        <v>52</v>
      </c>
      <c r="Y963" t="s">
        <v>60</v>
      </c>
      <c r="Z963" t="s">
        <v>19</v>
      </c>
      <c r="AA963" t="s">
        <v>3580</v>
      </c>
      <c r="AB963" t="s">
        <v>3578</v>
      </c>
      <c r="AC963" t="s">
        <v>3579</v>
      </c>
      <c r="AD963" t="s">
        <v>3479</v>
      </c>
      <c r="AE963" t="s">
        <v>3475</v>
      </c>
      <c r="AF963" s="2">
        <v>699.09820000000002</v>
      </c>
      <c r="AG963" s="2">
        <v>413.1463</v>
      </c>
      <c r="AH963" s="2">
        <v>285.95190000000002</v>
      </c>
      <c r="AI963" s="3">
        <v>0.409029661355157</v>
      </c>
    </row>
    <row r="964" spans="1:35">
      <c r="A964" s="1">
        <v>42070</v>
      </c>
      <c r="B964" s="1">
        <v>37279</v>
      </c>
      <c r="C964" t="s">
        <v>3988</v>
      </c>
      <c r="D964">
        <v>311</v>
      </c>
      <c r="E964">
        <v>14769</v>
      </c>
      <c r="F964">
        <v>8</v>
      </c>
      <c r="G964">
        <v>1</v>
      </c>
      <c r="H964">
        <v>1</v>
      </c>
      <c r="I964">
        <v>2</v>
      </c>
      <c r="J964" t="s">
        <v>3487</v>
      </c>
      <c r="K964" t="s">
        <v>3488</v>
      </c>
      <c r="L964" s="2">
        <v>2171.2941999999998</v>
      </c>
      <c r="M964" s="2">
        <v>3578.27</v>
      </c>
      <c r="N964" t="s">
        <v>30</v>
      </c>
      <c r="O964" t="s">
        <v>145</v>
      </c>
      <c r="P964" t="s">
        <v>119</v>
      </c>
      <c r="Q964" t="s">
        <v>7293</v>
      </c>
      <c r="R964" s="1">
        <v>25096</v>
      </c>
      <c r="S964" t="s">
        <v>16</v>
      </c>
      <c r="T964" t="s">
        <v>29</v>
      </c>
      <c r="U964" t="s">
        <v>1765</v>
      </c>
      <c r="V964">
        <v>30000</v>
      </c>
      <c r="W964">
        <v>1</v>
      </c>
      <c r="X964" t="s">
        <v>17</v>
      </c>
      <c r="Y964" t="s">
        <v>60</v>
      </c>
      <c r="Z964" t="s">
        <v>19</v>
      </c>
      <c r="AA964" t="s">
        <v>3585</v>
      </c>
      <c r="AB964" t="s">
        <v>3585</v>
      </c>
      <c r="AC964" t="s">
        <v>3584</v>
      </c>
      <c r="AD964" t="s">
        <v>3479</v>
      </c>
      <c r="AE964" t="s">
        <v>3475</v>
      </c>
      <c r="AF964" s="2">
        <v>3578.27</v>
      </c>
      <c r="AG964" s="2">
        <v>2171.2941999999998</v>
      </c>
      <c r="AH964" s="2">
        <v>1406.9757999999999</v>
      </c>
      <c r="AI964" s="3">
        <v>0.39320001006072802</v>
      </c>
    </row>
    <row r="965" spans="1:35">
      <c r="A965" s="1">
        <v>42083</v>
      </c>
      <c r="B965" s="1">
        <v>37254</v>
      </c>
      <c r="C965" t="s">
        <v>4073</v>
      </c>
      <c r="D965">
        <v>312</v>
      </c>
      <c r="E965">
        <v>14772</v>
      </c>
      <c r="F965">
        <v>8</v>
      </c>
      <c r="G965">
        <v>1</v>
      </c>
      <c r="H965">
        <v>1</v>
      </c>
      <c r="I965">
        <v>2</v>
      </c>
      <c r="J965" t="s">
        <v>3489</v>
      </c>
      <c r="K965" t="s">
        <v>3490</v>
      </c>
      <c r="L965" s="2">
        <v>2171.2941999999998</v>
      </c>
      <c r="M965" s="2">
        <v>3578.27</v>
      </c>
      <c r="N965" t="s">
        <v>30</v>
      </c>
      <c r="O965" t="s">
        <v>814</v>
      </c>
      <c r="P965" t="s">
        <v>25</v>
      </c>
      <c r="Q965" t="s">
        <v>7294</v>
      </c>
      <c r="R965" s="1">
        <v>25134</v>
      </c>
      <c r="S965" t="s">
        <v>16</v>
      </c>
      <c r="T965" t="s">
        <v>29</v>
      </c>
      <c r="U965" t="s">
        <v>1766</v>
      </c>
      <c r="V965">
        <v>30000</v>
      </c>
      <c r="W965">
        <v>1</v>
      </c>
      <c r="X965" t="s">
        <v>17</v>
      </c>
      <c r="Y965" t="s">
        <v>60</v>
      </c>
      <c r="Z965" t="s">
        <v>19</v>
      </c>
      <c r="AA965" t="s">
        <v>3585</v>
      </c>
      <c r="AB965" t="s">
        <v>3585</v>
      </c>
      <c r="AC965" t="s">
        <v>3584</v>
      </c>
      <c r="AD965" t="s">
        <v>3479</v>
      </c>
      <c r="AE965" t="s">
        <v>3475</v>
      </c>
      <c r="AF965" s="2">
        <v>3578.27</v>
      </c>
      <c r="AG965" s="2">
        <v>2171.2941999999998</v>
      </c>
      <c r="AH965" s="2">
        <v>1406.9757999999999</v>
      </c>
      <c r="AI965" s="3">
        <v>0.39320001006072802</v>
      </c>
    </row>
    <row r="966" spans="1:35">
      <c r="A966" s="1">
        <v>42281</v>
      </c>
      <c r="B966" s="1">
        <v>37444</v>
      </c>
      <c r="C966" t="s">
        <v>5511</v>
      </c>
      <c r="D966">
        <v>375</v>
      </c>
      <c r="E966">
        <v>14773</v>
      </c>
      <c r="F966">
        <v>7</v>
      </c>
      <c r="G966">
        <v>1</v>
      </c>
      <c r="H966">
        <v>1</v>
      </c>
      <c r="I966">
        <v>2</v>
      </c>
      <c r="J966" t="s">
        <v>3557</v>
      </c>
      <c r="K966" t="s">
        <v>3558</v>
      </c>
      <c r="L966" s="2">
        <v>1320.6838</v>
      </c>
      <c r="M966" s="2">
        <v>2181.5625</v>
      </c>
      <c r="N966" t="s">
        <v>13</v>
      </c>
      <c r="O966" t="s">
        <v>141</v>
      </c>
      <c r="P966" t="s">
        <v>199</v>
      </c>
      <c r="Q966" t="s">
        <v>7295</v>
      </c>
      <c r="R966" s="1">
        <v>24955</v>
      </c>
      <c r="S966" t="s">
        <v>16</v>
      </c>
      <c r="T966" t="s">
        <v>16</v>
      </c>
      <c r="U966" t="s">
        <v>1767</v>
      </c>
      <c r="V966">
        <v>40000</v>
      </c>
      <c r="W966">
        <v>0</v>
      </c>
      <c r="X966" t="s">
        <v>135</v>
      </c>
      <c r="Y966" t="s">
        <v>60</v>
      </c>
      <c r="Z966" t="s">
        <v>19</v>
      </c>
      <c r="AA966" t="s">
        <v>3583</v>
      </c>
      <c r="AB966" t="s">
        <v>3583</v>
      </c>
      <c r="AC966" t="s">
        <v>3584</v>
      </c>
      <c r="AD966" t="s">
        <v>3479</v>
      </c>
      <c r="AE966" t="s">
        <v>3475</v>
      </c>
      <c r="AF966" s="2">
        <v>2181.5625</v>
      </c>
      <c r="AG966" s="2">
        <v>1320.6838</v>
      </c>
      <c r="AH966" s="2">
        <v>860.87869999999998</v>
      </c>
      <c r="AI966" s="3">
        <v>0.39461564818793898</v>
      </c>
    </row>
    <row r="967" spans="1:35">
      <c r="A967" s="1">
        <v>42067</v>
      </c>
      <c r="B967" s="1">
        <v>37277</v>
      </c>
      <c r="C967" t="s">
        <v>3969</v>
      </c>
      <c r="D967">
        <v>311</v>
      </c>
      <c r="E967">
        <v>14774</v>
      </c>
      <c r="F967">
        <v>8</v>
      </c>
      <c r="G967">
        <v>1</v>
      </c>
      <c r="H967">
        <v>1</v>
      </c>
      <c r="I967">
        <v>2</v>
      </c>
      <c r="J967" t="s">
        <v>3487</v>
      </c>
      <c r="K967" t="s">
        <v>3488</v>
      </c>
      <c r="L967" s="2">
        <v>2171.2941999999998</v>
      </c>
      <c r="M967" s="2">
        <v>3578.27</v>
      </c>
      <c r="N967" t="s">
        <v>13</v>
      </c>
      <c r="O967" t="s">
        <v>878</v>
      </c>
      <c r="P967" t="s">
        <v>1167</v>
      </c>
      <c r="Q967" t="s">
        <v>7296</v>
      </c>
      <c r="R967" s="1">
        <v>24914</v>
      </c>
      <c r="S967" t="s">
        <v>22</v>
      </c>
      <c r="T967" t="s">
        <v>16</v>
      </c>
      <c r="U967" t="s">
        <v>1768</v>
      </c>
      <c r="V967">
        <v>40000</v>
      </c>
      <c r="W967">
        <v>0</v>
      </c>
      <c r="X967" t="s">
        <v>135</v>
      </c>
      <c r="Y967" t="s">
        <v>60</v>
      </c>
      <c r="Z967" t="s">
        <v>19</v>
      </c>
      <c r="AA967" t="s">
        <v>3585</v>
      </c>
      <c r="AB967" t="s">
        <v>3585</v>
      </c>
      <c r="AC967" t="s">
        <v>3584</v>
      </c>
      <c r="AD967" t="s">
        <v>3479</v>
      </c>
      <c r="AE967" t="s">
        <v>3475</v>
      </c>
      <c r="AF967" s="2">
        <v>3578.27</v>
      </c>
      <c r="AG967" s="2">
        <v>2171.2941999999998</v>
      </c>
      <c r="AH967" s="2">
        <v>1406.9757999999999</v>
      </c>
      <c r="AI967" s="3">
        <v>0.39320001006072802</v>
      </c>
    </row>
    <row r="968" spans="1:35">
      <c r="A968" s="1">
        <v>42071</v>
      </c>
      <c r="B968" s="1">
        <v>37222</v>
      </c>
      <c r="C968" t="s">
        <v>3993</v>
      </c>
      <c r="D968">
        <v>314</v>
      </c>
      <c r="E968">
        <v>14775</v>
      </c>
      <c r="F968">
        <v>8</v>
      </c>
      <c r="G968">
        <v>1</v>
      </c>
      <c r="H968">
        <v>1</v>
      </c>
      <c r="I968">
        <v>2</v>
      </c>
      <c r="J968" t="s">
        <v>3493</v>
      </c>
      <c r="K968" t="s">
        <v>3494</v>
      </c>
      <c r="L968" s="2">
        <v>2171.2941999999998</v>
      </c>
      <c r="M968" s="2">
        <v>3578.27</v>
      </c>
      <c r="N968" t="s">
        <v>26</v>
      </c>
      <c r="O968" t="s">
        <v>502</v>
      </c>
      <c r="P968" t="s">
        <v>72</v>
      </c>
      <c r="Q968" t="s">
        <v>7297</v>
      </c>
      <c r="R968" s="1">
        <v>25157</v>
      </c>
      <c r="S968" t="s">
        <v>16</v>
      </c>
      <c r="T968" t="s">
        <v>29</v>
      </c>
      <c r="U968" t="s">
        <v>1769</v>
      </c>
      <c r="V968">
        <v>40000</v>
      </c>
      <c r="W968">
        <v>0</v>
      </c>
      <c r="X968" t="s">
        <v>135</v>
      </c>
      <c r="Y968" t="s">
        <v>60</v>
      </c>
      <c r="Z968" t="s">
        <v>19</v>
      </c>
      <c r="AA968" t="s">
        <v>3585</v>
      </c>
      <c r="AB968" t="s">
        <v>3585</v>
      </c>
      <c r="AC968" t="s">
        <v>3584</v>
      </c>
      <c r="AD968" t="s">
        <v>3479</v>
      </c>
      <c r="AE968" t="s">
        <v>3475</v>
      </c>
      <c r="AF968" s="2">
        <v>3578.27</v>
      </c>
      <c r="AG968" s="2">
        <v>2171.2941999999998</v>
      </c>
      <c r="AH968" s="2">
        <v>1406.9757999999999</v>
      </c>
      <c r="AI968" s="3">
        <v>0.39320001006072802</v>
      </c>
    </row>
    <row r="969" spans="1:35">
      <c r="A969" s="1">
        <v>42294</v>
      </c>
      <c r="B969" s="1">
        <v>37531</v>
      </c>
      <c r="C969" t="s">
        <v>5599</v>
      </c>
      <c r="D969">
        <v>368</v>
      </c>
      <c r="E969">
        <v>14779</v>
      </c>
      <c r="F969">
        <v>7</v>
      </c>
      <c r="G969">
        <v>1</v>
      </c>
      <c r="H969">
        <v>1</v>
      </c>
      <c r="I969">
        <v>2</v>
      </c>
      <c r="J969" t="s">
        <v>3547</v>
      </c>
      <c r="K969" t="s">
        <v>3548</v>
      </c>
      <c r="L969" s="2">
        <v>1518.7864</v>
      </c>
      <c r="M969" s="2">
        <v>2443.35</v>
      </c>
      <c r="N969" t="s">
        <v>13</v>
      </c>
      <c r="O969" t="s">
        <v>400</v>
      </c>
      <c r="P969" t="s">
        <v>209</v>
      </c>
      <c r="Q969" t="s">
        <v>7298</v>
      </c>
      <c r="R969" s="1">
        <v>24543</v>
      </c>
      <c r="S969" t="s">
        <v>22</v>
      </c>
      <c r="T969" t="s">
        <v>16</v>
      </c>
      <c r="U969" t="s">
        <v>1770</v>
      </c>
      <c r="V969">
        <v>10000</v>
      </c>
      <c r="W969">
        <v>3</v>
      </c>
      <c r="X969" t="s">
        <v>77</v>
      </c>
      <c r="Y969" t="s">
        <v>444</v>
      </c>
      <c r="Z969" t="s">
        <v>19</v>
      </c>
      <c r="AA969" t="s">
        <v>3583</v>
      </c>
      <c r="AB969" t="s">
        <v>3583</v>
      </c>
      <c r="AC969" t="s">
        <v>3584</v>
      </c>
      <c r="AD969" t="s">
        <v>3479</v>
      </c>
      <c r="AE969" t="s">
        <v>3475</v>
      </c>
      <c r="AF969" s="2">
        <v>2443.35</v>
      </c>
      <c r="AG969" s="2">
        <v>1518.7864</v>
      </c>
      <c r="AH969" s="2">
        <v>924.56359999999995</v>
      </c>
      <c r="AI969" s="3">
        <v>0.37839998362903399</v>
      </c>
    </row>
    <row r="970" spans="1:35">
      <c r="A970" s="1">
        <v>42086</v>
      </c>
      <c r="B970" s="1">
        <v>37219</v>
      </c>
      <c r="C970" t="s">
        <v>4089</v>
      </c>
      <c r="D970">
        <v>312</v>
      </c>
      <c r="E970">
        <v>14789</v>
      </c>
      <c r="F970">
        <v>8</v>
      </c>
      <c r="G970">
        <v>1</v>
      </c>
      <c r="H970">
        <v>1</v>
      </c>
      <c r="I970">
        <v>2</v>
      </c>
      <c r="J970" t="s">
        <v>3489</v>
      </c>
      <c r="K970" t="s">
        <v>3490</v>
      </c>
      <c r="L970" s="2">
        <v>2171.2941999999998</v>
      </c>
      <c r="M970" s="2">
        <v>3578.27</v>
      </c>
      <c r="N970" t="s">
        <v>30</v>
      </c>
      <c r="O970" t="s">
        <v>890</v>
      </c>
      <c r="P970" t="s">
        <v>68</v>
      </c>
      <c r="Q970" t="s">
        <v>7299</v>
      </c>
      <c r="R970" s="1">
        <v>24383</v>
      </c>
      <c r="S970" t="s">
        <v>22</v>
      </c>
      <c r="T970" t="s">
        <v>29</v>
      </c>
      <c r="U970" t="s">
        <v>1771</v>
      </c>
      <c r="V970">
        <v>20000</v>
      </c>
      <c r="W970">
        <v>2</v>
      </c>
      <c r="X970" t="s">
        <v>57</v>
      </c>
      <c r="Y970" t="s">
        <v>444</v>
      </c>
      <c r="Z970" t="s">
        <v>19</v>
      </c>
      <c r="AA970" t="s">
        <v>3585</v>
      </c>
      <c r="AB970" t="s">
        <v>3585</v>
      </c>
      <c r="AC970" t="s">
        <v>3584</v>
      </c>
      <c r="AD970" t="s">
        <v>3479</v>
      </c>
      <c r="AE970" t="s">
        <v>3475</v>
      </c>
      <c r="AF970" s="2">
        <v>3578.27</v>
      </c>
      <c r="AG970" s="2">
        <v>2171.2941999999998</v>
      </c>
      <c r="AH970" s="2">
        <v>1406.9757999999999</v>
      </c>
      <c r="AI970" s="3">
        <v>0.39320001006072802</v>
      </c>
    </row>
    <row r="971" spans="1:35">
      <c r="A971" s="1">
        <v>42297</v>
      </c>
      <c r="B971" s="1">
        <v>37488</v>
      </c>
      <c r="C971" t="s">
        <v>5624</v>
      </c>
      <c r="D971">
        <v>379</v>
      </c>
      <c r="E971">
        <v>14790</v>
      </c>
      <c r="F971">
        <v>7</v>
      </c>
      <c r="G971">
        <v>1</v>
      </c>
      <c r="H971">
        <v>1</v>
      </c>
      <c r="I971">
        <v>2</v>
      </c>
      <c r="J971" t="s">
        <v>3561</v>
      </c>
      <c r="K971" t="s">
        <v>3562</v>
      </c>
      <c r="L971" s="2">
        <v>1320.6838</v>
      </c>
      <c r="M971" s="2">
        <v>2181.5625</v>
      </c>
      <c r="N971" t="s">
        <v>13</v>
      </c>
      <c r="O971" t="s">
        <v>1590</v>
      </c>
      <c r="P971" t="s">
        <v>282</v>
      </c>
      <c r="Q971" t="s">
        <v>7300</v>
      </c>
      <c r="R971" s="1">
        <v>24512</v>
      </c>
      <c r="S971" t="s">
        <v>16</v>
      </c>
      <c r="T971" t="s">
        <v>16</v>
      </c>
      <c r="U971" t="s">
        <v>1772</v>
      </c>
      <c r="V971">
        <v>40000</v>
      </c>
      <c r="W971">
        <v>0</v>
      </c>
      <c r="X971" t="s">
        <v>17</v>
      </c>
      <c r="Y971" t="s">
        <v>60</v>
      </c>
      <c r="Z971" t="s">
        <v>19</v>
      </c>
      <c r="AA971" t="s">
        <v>3583</v>
      </c>
      <c r="AB971" t="s">
        <v>3583</v>
      </c>
      <c r="AC971" t="s">
        <v>3584</v>
      </c>
      <c r="AD971" t="s">
        <v>3479</v>
      </c>
      <c r="AE971" t="s">
        <v>3475</v>
      </c>
      <c r="AF971" s="2">
        <v>2181.5625</v>
      </c>
      <c r="AG971" s="2">
        <v>1320.6838</v>
      </c>
      <c r="AH971" s="2">
        <v>860.87869999999998</v>
      </c>
      <c r="AI971" s="3">
        <v>0.39461564818793898</v>
      </c>
    </row>
    <row r="972" spans="1:35">
      <c r="A972" s="1">
        <v>42307</v>
      </c>
      <c r="B972" s="1">
        <v>37517</v>
      </c>
      <c r="C972" t="s">
        <v>5691</v>
      </c>
      <c r="D972">
        <v>370</v>
      </c>
      <c r="E972">
        <v>14791</v>
      </c>
      <c r="F972">
        <v>7</v>
      </c>
      <c r="G972">
        <v>1</v>
      </c>
      <c r="H972">
        <v>1</v>
      </c>
      <c r="I972">
        <v>2</v>
      </c>
      <c r="J972" t="s">
        <v>3551</v>
      </c>
      <c r="K972" t="s">
        <v>3552</v>
      </c>
      <c r="L972" s="2">
        <v>1518.7864</v>
      </c>
      <c r="M972" s="2">
        <v>2443.35</v>
      </c>
      <c r="N972" t="s">
        <v>26</v>
      </c>
      <c r="O972" t="s">
        <v>137</v>
      </c>
      <c r="P972" t="s">
        <v>226</v>
      </c>
      <c r="Q972" t="s">
        <v>7301</v>
      </c>
      <c r="R972" s="1">
        <v>24594</v>
      </c>
      <c r="S972" t="s">
        <v>16</v>
      </c>
      <c r="T972" t="s">
        <v>29</v>
      </c>
      <c r="U972" t="s">
        <v>1773</v>
      </c>
      <c r="V972">
        <v>40000</v>
      </c>
      <c r="W972">
        <v>0</v>
      </c>
      <c r="X972" t="s">
        <v>17</v>
      </c>
      <c r="Y972" t="s">
        <v>60</v>
      </c>
      <c r="Z972" t="s">
        <v>19</v>
      </c>
      <c r="AA972" t="s">
        <v>3583</v>
      </c>
      <c r="AB972" t="s">
        <v>3583</v>
      </c>
      <c r="AC972" t="s">
        <v>3584</v>
      </c>
      <c r="AD972" t="s">
        <v>3479</v>
      </c>
      <c r="AE972" t="s">
        <v>3475</v>
      </c>
      <c r="AF972" s="2">
        <v>2443.35</v>
      </c>
      <c r="AG972" s="2">
        <v>1518.7864</v>
      </c>
      <c r="AH972" s="2">
        <v>924.56359999999995</v>
      </c>
      <c r="AI972" s="3">
        <v>0.37839998362903399</v>
      </c>
    </row>
    <row r="973" spans="1:35">
      <c r="A973" s="1">
        <v>42068</v>
      </c>
      <c r="B973" s="1">
        <v>37277</v>
      </c>
      <c r="C973" t="s">
        <v>3972</v>
      </c>
      <c r="D973">
        <v>312</v>
      </c>
      <c r="E973">
        <v>14795</v>
      </c>
      <c r="F973">
        <v>8</v>
      </c>
      <c r="G973">
        <v>1</v>
      </c>
      <c r="H973">
        <v>1</v>
      </c>
      <c r="I973">
        <v>2</v>
      </c>
      <c r="J973" t="s">
        <v>3489</v>
      </c>
      <c r="K973" t="s">
        <v>3490</v>
      </c>
      <c r="L973" s="2">
        <v>2171.2941999999998</v>
      </c>
      <c r="M973" s="2">
        <v>3578.27</v>
      </c>
      <c r="N973" t="s">
        <v>30</v>
      </c>
      <c r="O973" t="s">
        <v>218</v>
      </c>
      <c r="P973" t="s">
        <v>140</v>
      </c>
      <c r="Q973" t="s">
        <v>7302</v>
      </c>
      <c r="R973" s="1">
        <v>24172</v>
      </c>
      <c r="S973" t="s">
        <v>16</v>
      </c>
      <c r="T973" t="s">
        <v>29</v>
      </c>
      <c r="U973" t="s">
        <v>1774</v>
      </c>
      <c r="V973">
        <v>30000</v>
      </c>
      <c r="W973">
        <v>1</v>
      </c>
      <c r="X973" t="s">
        <v>17</v>
      </c>
      <c r="Y973" t="s">
        <v>53</v>
      </c>
      <c r="Z973" t="s">
        <v>19</v>
      </c>
      <c r="AA973" t="s">
        <v>3585</v>
      </c>
      <c r="AB973" t="s">
        <v>3585</v>
      </c>
      <c r="AC973" t="s">
        <v>3584</v>
      </c>
      <c r="AD973" t="s">
        <v>3479</v>
      </c>
      <c r="AE973" t="s">
        <v>3475</v>
      </c>
      <c r="AF973" s="2">
        <v>3578.27</v>
      </c>
      <c r="AG973" s="2">
        <v>2171.2941999999998</v>
      </c>
      <c r="AH973" s="2">
        <v>1406.9757999999999</v>
      </c>
      <c r="AI973" s="3">
        <v>0.39320001006072802</v>
      </c>
    </row>
    <row r="974" spans="1:35">
      <c r="A974" s="1">
        <v>42303</v>
      </c>
      <c r="B974" s="1">
        <v>37491</v>
      </c>
      <c r="C974" t="s">
        <v>5673</v>
      </c>
      <c r="D974">
        <v>379</v>
      </c>
      <c r="E974">
        <v>14796</v>
      </c>
      <c r="F974">
        <v>7</v>
      </c>
      <c r="G974">
        <v>1</v>
      </c>
      <c r="H974">
        <v>1</v>
      </c>
      <c r="I974">
        <v>2</v>
      </c>
      <c r="J974" t="s">
        <v>3561</v>
      </c>
      <c r="K974" t="s">
        <v>3562</v>
      </c>
      <c r="L974" s="2">
        <v>1320.6838</v>
      </c>
      <c r="M974" s="2">
        <v>2181.5625</v>
      </c>
      <c r="N974" t="s">
        <v>13</v>
      </c>
      <c r="O974" t="s">
        <v>1668</v>
      </c>
      <c r="P974" t="s">
        <v>328</v>
      </c>
      <c r="Q974" t="s">
        <v>7303</v>
      </c>
      <c r="R974" s="1">
        <v>23750</v>
      </c>
      <c r="S974" t="s">
        <v>22</v>
      </c>
      <c r="T974" t="s">
        <v>16</v>
      </c>
      <c r="U974" t="s">
        <v>1775</v>
      </c>
      <c r="V974">
        <v>10000</v>
      </c>
      <c r="W974">
        <v>4</v>
      </c>
      <c r="X974" t="s">
        <v>77</v>
      </c>
      <c r="Y974" t="s">
        <v>444</v>
      </c>
      <c r="Z974" t="s">
        <v>19</v>
      </c>
      <c r="AA974" t="s">
        <v>3583</v>
      </c>
      <c r="AB974" t="s">
        <v>3583</v>
      </c>
      <c r="AC974" t="s">
        <v>3584</v>
      </c>
      <c r="AD974" t="s">
        <v>3479</v>
      </c>
      <c r="AE974" t="s">
        <v>3475</v>
      </c>
      <c r="AF974" s="2">
        <v>2181.5625</v>
      </c>
      <c r="AG974" s="2">
        <v>1320.6838</v>
      </c>
      <c r="AH974" s="2">
        <v>860.87869999999998</v>
      </c>
      <c r="AI974" s="3">
        <v>0.39461564818793898</v>
      </c>
    </row>
    <row r="975" spans="1:35">
      <c r="A975" s="1">
        <v>42089</v>
      </c>
      <c r="B975" s="1">
        <v>37306</v>
      </c>
      <c r="C975" t="s">
        <v>4113</v>
      </c>
      <c r="D975">
        <v>311</v>
      </c>
      <c r="E975">
        <v>14797</v>
      </c>
      <c r="F975">
        <v>8</v>
      </c>
      <c r="G975">
        <v>1</v>
      </c>
      <c r="H975">
        <v>1</v>
      </c>
      <c r="I975">
        <v>2</v>
      </c>
      <c r="J975" t="s">
        <v>3487</v>
      </c>
      <c r="K975" t="s">
        <v>3488</v>
      </c>
      <c r="L975" s="2">
        <v>2171.2941999999998</v>
      </c>
      <c r="M975" s="2">
        <v>3578.27</v>
      </c>
      <c r="N975" t="s">
        <v>13</v>
      </c>
      <c r="O975" t="s">
        <v>1172</v>
      </c>
      <c r="P975" t="s">
        <v>140</v>
      </c>
      <c r="Q975" t="s">
        <v>7304</v>
      </c>
      <c r="R975" s="1">
        <v>23750</v>
      </c>
      <c r="S975" t="s">
        <v>22</v>
      </c>
      <c r="T975" t="s">
        <v>16</v>
      </c>
      <c r="U975" t="s">
        <v>1776</v>
      </c>
      <c r="V975">
        <v>10000</v>
      </c>
      <c r="W975">
        <v>4</v>
      </c>
      <c r="X975" t="s">
        <v>77</v>
      </c>
      <c r="Y975" t="s">
        <v>444</v>
      </c>
      <c r="Z975" t="s">
        <v>19</v>
      </c>
      <c r="AA975" t="s">
        <v>3585</v>
      </c>
      <c r="AB975" t="s">
        <v>3585</v>
      </c>
      <c r="AC975" t="s">
        <v>3584</v>
      </c>
      <c r="AD975" t="s">
        <v>3479</v>
      </c>
      <c r="AE975" t="s">
        <v>3475</v>
      </c>
      <c r="AF975" s="2">
        <v>3578.27</v>
      </c>
      <c r="AG975" s="2">
        <v>2171.2941999999998</v>
      </c>
      <c r="AH975" s="2">
        <v>1406.9757999999999</v>
      </c>
      <c r="AI975" s="3">
        <v>0.39320001006072802</v>
      </c>
    </row>
    <row r="976" spans="1:35">
      <c r="A976" s="1">
        <v>42289</v>
      </c>
      <c r="B976" s="1">
        <v>37512</v>
      </c>
      <c r="C976" t="s">
        <v>5552</v>
      </c>
      <c r="D976">
        <v>373</v>
      </c>
      <c r="E976">
        <v>14798</v>
      </c>
      <c r="F976">
        <v>7</v>
      </c>
      <c r="G976">
        <v>1</v>
      </c>
      <c r="H976">
        <v>1</v>
      </c>
      <c r="I976">
        <v>2</v>
      </c>
      <c r="J976" t="s">
        <v>3555</v>
      </c>
      <c r="K976" t="s">
        <v>3556</v>
      </c>
      <c r="L976" s="2">
        <v>1320.6838</v>
      </c>
      <c r="M976" s="2">
        <v>2181.5625</v>
      </c>
      <c r="N976" t="s">
        <v>30</v>
      </c>
      <c r="O976" t="s">
        <v>564</v>
      </c>
      <c r="P976" t="s">
        <v>115</v>
      </c>
      <c r="Q976" t="s">
        <v>7305</v>
      </c>
      <c r="R976" s="1">
        <v>23972</v>
      </c>
      <c r="S976" t="s">
        <v>22</v>
      </c>
      <c r="T976" t="s">
        <v>29</v>
      </c>
      <c r="U976" t="s">
        <v>1777</v>
      </c>
      <c r="V976">
        <v>10000</v>
      </c>
      <c r="W976">
        <v>4</v>
      </c>
      <c r="X976" t="s">
        <v>77</v>
      </c>
      <c r="Y976" t="s">
        <v>444</v>
      </c>
      <c r="Z976" t="s">
        <v>19</v>
      </c>
      <c r="AA976" t="s">
        <v>3583</v>
      </c>
      <c r="AB976" t="s">
        <v>3583</v>
      </c>
      <c r="AC976" t="s">
        <v>3584</v>
      </c>
      <c r="AD976" t="s">
        <v>3479</v>
      </c>
      <c r="AE976" t="s">
        <v>3475</v>
      </c>
      <c r="AF976" s="2">
        <v>2181.5625</v>
      </c>
      <c r="AG976" s="2">
        <v>1320.6838</v>
      </c>
      <c r="AH976" s="2">
        <v>860.87869999999998</v>
      </c>
      <c r="AI976" s="3">
        <v>0.39461564818793898</v>
      </c>
    </row>
    <row r="977" spans="1:35">
      <c r="A977" s="1">
        <v>42069</v>
      </c>
      <c r="B977" s="1">
        <v>37228</v>
      </c>
      <c r="C977" t="s">
        <v>3975</v>
      </c>
      <c r="D977">
        <v>314</v>
      </c>
      <c r="E977">
        <v>14800</v>
      </c>
      <c r="F977">
        <v>8</v>
      </c>
      <c r="G977">
        <v>1</v>
      </c>
      <c r="H977">
        <v>1</v>
      </c>
      <c r="I977">
        <v>2</v>
      </c>
      <c r="J977" t="s">
        <v>3493</v>
      </c>
      <c r="K977" t="s">
        <v>3494</v>
      </c>
      <c r="L977" s="2">
        <v>2171.2941999999998</v>
      </c>
      <c r="M977" s="2">
        <v>3578.27</v>
      </c>
      <c r="N977" t="s">
        <v>30</v>
      </c>
      <c r="O977" t="s">
        <v>201</v>
      </c>
      <c r="P977" t="s">
        <v>453</v>
      </c>
      <c r="Q977" t="s">
        <v>7306</v>
      </c>
      <c r="R977" s="1">
        <v>23745</v>
      </c>
      <c r="S977" t="s">
        <v>16</v>
      </c>
      <c r="T977" t="s">
        <v>29</v>
      </c>
      <c r="U977" t="s">
        <v>1778</v>
      </c>
      <c r="V977">
        <v>30000</v>
      </c>
      <c r="W977">
        <v>1</v>
      </c>
      <c r="X977" t="s">
        <v>17</v>
      </c>
      <c r="Y977" t="s">
        <v>53</v>
      </c>
      <c r="Z977" t="s">
        <v>19</v>
      </c>
      <c r="AA977" t="s">
        <v>3585</v>
      </c>
      <c r="AB977" t="s">
        <v>3585</v>
      </c>
      <c r="AC977" t="s">
        <v>3584</v>
      </c>
      <c r="AD977" t="s">
        <v>3479</v>
      </c>
      <c r="AE977" t="s">
        <v>3475</v>
      </c>
      <c r="AF977" s="2">
        <v>3578.27</v>
      </c>
      <c r="AG977" s="2">
        <v>2171.2941999999998</v>
      </c>
      <c r="AH977" s="2">
        <v>1406.9757999999999</v>
      </c>
      <c r="AI977" s="3">
        <v>0.39320001006072802</v>
      </c>
    </row>
    <row r="978" spans="1:35">
      <c r="A978" s="1">
        <v>42095</v>
      </c>
      <c r="B978" s="1">
        <v>37319</v>
      </c>
      <c r="C978" t="s">
        <v>4143</v>
      </c>
      <c r="D978">
        <v>311</v>
      </c>
      <c r="E978">
        <v>14801</v>
      </c>
      <c r="F978">
        <v>8</v>
      </c>
      <c r="G978">
        <v>1</v>
      </c>
      <c r="H978">
        <v>1</v>
      </c>
      <c r="I978">
        <v>2</v>
      </c>
      <c r="J978" t="s">
        <v>3487</v>
      </c>
      <c r="K978" t="s">
        <v>3488</v>
      </c>
      <c r="L978" s="2">
        <v>2171.2941999999998</v>
      </c>
      <c r="M978" s="2">
        <v>3578.27</v>
      </c>
      <c r="N978" t="s">
        <v>30</v>
      </c>
      <c r="O978" t="s">
        <v>1639</v>
      </c>
      <c r="P978" t="s">
        <v>111</v>
      </c>
      <c r="Q978" t="s">
        <v>7307</v>
      </c>
      <c r="R978" s="1">
        <v>23422</v>
      </c>
      <c r="S978" t="s">
        <v>16</v>
      </c>
      <c r="T978" t="s">
        <v>29</v>
      </c>
      <c r="U978" t="s">
        <v>1779</v>
      </c>
      <c r="V978">
        <v>10000</v>
      </c>
      <c r="W978">
        <v>3</v>
      </c>
      <c r="X978" t="s">
        <v>77</v>
      </c>
      <c r="Y978" t="s">
        <v>444</v>
      </c>
      <c r="Z978" t="s">
        <v>23</v>
      </c>
      <c r="AA978" t="s">
        <v>3585</v>
      </c>
      <c r="AB978" t="s">
        <v>3585</v>
      </c>
      <c r="AC978" t="s">
        <v>3584</v>
      </c>
      <c r="AD978" t="s">
        <v>3479</v>
      </c>
      <c r="AE978" t="s">
        <v>3475</v>
      </c>
      <c r="AF978" s="2">
        <v>3578.27</v>
      </c>
      <c r="AG978" s="2">
        <v>2171.2941999999998</v>
      </c>
      <c r="AH978" s="2">
        <v>1406.9757999999999</v>
      </c>
      <c r="AI978" s="3">
        <v>0.39320001006072802</v>
      </c>
    </row>
    <row r="979" spans="1:35">
      <c r="A979" s="1">
        <v>42307</v>
      </c>
      <c r="B979" s="1">
        <v>37512</v>
      </c>
      <c r="C979" t="s">
        <v>5692</v>
      </c>
      <c r="D979">
        <v>369</v>
      </c>
      <c r="E979">
        <v>14802</v>
      </c>
      <c r="F979">
        <v>7</v>
      </c>
      <c r="G979">
        <v>1</v>
      </c>
      <c r="H979">
        <v>1</v>
      </c>
      <c r="I979">
        <v>2</v>
      </c>
      <c r="J979" t="s">
        <v>3549</v>
      </c>
      <c r="K979" t="s">
        <v>3550</v>
      </c>
      <c r="L979" s="2">
        <v>1518.7864</v>
      </c>
      <c r="M979" s="2">
        <v>2443.35</v>
      </c>
      <c r="N979" t="s">
        <v>30</v>
      </c>
      <c r="O979" t="s">
        <v>871</v>
      </c>
      <c r="P979" t="s">
        <v>85</v>
      </c>
      <c r="Q979" t="s">
        <v>7308</v>
      </c>
      <c r="R979" s="1">
        <v>23639</v>
      </c>
      <c r="S979" t="s">
        <v>22</v>
      </c>
      <c r="T979" t="s">
        <v>29</v>
      </c>
      <c r="U979" t="s">
        <v>1780</v>
      </c>
      <c r="V979">
        <v>20000</v>
      </c>
      <c r="W979">
        <v>2</v>
      </c>
      <c r="X979" t="s">
        <v>57</v>
      </c>
      <c r="Y979" t="s">
        <v>444</v>
      </c>
      <c r="Z979" t="s">
        <v>19</v>
      </c>
      <c r="AA979" t="s">
        <v>3583</v>
      </c>
      <c r="AB979" t="s">
        <v>3583</v>
      </c>
      <c r="AC979" t="s">
        <v>3584</v>
      </c>
      <c r="AD979" t="s">
        <v>3479</v>
      </c>
      <c r="AE979" t="s">
        <v>3475</v>
      </c>
      <c r="AF979" s="2">
        <v>2443.35</v>
      </c>
      <c r="AG979" s="2">
        <v>1518.7864</v>
      </c>
      <c r="AH979" s="2">
        <v>924.56359999999995</v>
      </c>
      <c r="AI979" s="3">
        <v>0.37839998362903399</v>
      </c>
    </row>
    <row r="980" spans="1:35">
      <c r="A980" s="1">
        <v>42111</v>
      </c>
      <c r="B980" s="1">
        <v>37320</v>
      </c>
      <c r="C980" t="s">
        <v>4247</v>
      </c>
      <c r="D980">
        <v>310</v>
      </c>
      <c r="E980">
        <v>14803</v>
      </c>
      <c r="F980">
        <v>8</v>
      </c>
      <c r="G980">
        <v>1</v>
      </c>
      <c r="H980">
        <v>1</v>
      </c>
      <c r="I980">
        <v>2</v>
      </c>
      <c r="J980" t="s">
        <v>3485</v>
      </c>
      <c r="K980" t="s">
        <v>3486</v>
      </c>
      <c r="L980" s="2">
        <v>2171.2941999999998</v>
      </c>
      <c r="M980" s="2">
        <v>3578.27</v>
      </c>
      <c r="N980" t="s">
        <v>30</v>
      </c>
      <c r="O980" t="s">
        <v>814</v>
      </c>
      <c r="P980" t="s">
        <v>103</v>
      </c>
      <c r="Q980" t="s">
        <v>7309</v>
      </c>
      <c r="R980" s="1">
        <v>23535</v>
      </c>
      <c r="S980" t="s">
        <v>22</v>
      </c>
      <c r="T980" t="s">
        <v>29</v>
      </c>
      <c r="U980" t="s">
        <v>1781</v>
      </c>
      <c r="V980">
        <v>20000</v>
      </c>
      <c r="W980">
        <v>3</v>
      </c>
      <c r="X980" t="s">
        <v>57</v>
      </c>
      <c r="Y980" t="s">
        <v>444</v>
      </c>
      <c r="Z980" t="s">
        <v>19</v>
      </c>
      <c r="AA980" t="s">
        <v>3585</v>
      </c>
      <c r="AB980" t="s">
        <v>3585</v>
      </c>
      <c r="AC980" t="s">
        <v>3584</v>
      </c>
      <c r="AD980" t="s">
        <v>3479</v>
      </c>
      <c r="AE980" t="s">
        <v>3475</v>
      </c>
      <c r="AF980" s="2">
        <v>3578.27</v>
      </c>
      <c r="AG980" s="2">
        <v>2171.2941999999998</v>
      </c>
      <c r="AH980" s="2">
        <v>1406.9757999999999</v>
      </c>
      <c r="AI980" s="3">
        <v>0.39320001006072802</v>
      </c>
    </row>
    <row r="981" spans="1:35">
      <c r="A981" s="1">
        <v>42332</v>
      </c>
      <c r="B981" s="1">
        <v>37465</v>
      </c>
      <c r="C981" t="s">
        <v>5847</v>
      </c>
      <c r="D981">
        <v>368</v>
      </c>
      <c r="E981">
        <v>14813</v>
      </c>
      <c r="F981">
        <v>7</v>
      </c>
      <c r="G981">
        <v>1</v>
      </c>
      <c r="H981">
        <v>1</v>
      </c>
      <c r="I981">
        <v>2</v>
      </c>
      <c r="J981" t="s">
        <v>3547</v>
      </c>
      <c r="K981" t="s">
        <v>3548</v>
      </c>
      <c r="L981" s="2">
        <v>1518.7864</v>
      </c>
      <c r="M981" s="2">
        <v>2443.35</v>
      </c>
      <c r="N981" t="s">
        <v>30</v>
      </c>
      <c r="O981" t="s">
        <v>764</v>
      </c>
      <c r="P981" t="s">
        <v>505</v>
      </c>
      <c r="Q981" t="s">
        <v>7310</v>
      </c>
      <c r="R981" s="1">
        <v>23133</v>
      </c>
      <c r="S981" t="s">
        <v>22</v>
      </c>
      <c r="T981" t="s">
        <v>29</v>
      </c>
      <c r="U981" t="s">
        <v>1782</v>
      </c>
      <c r="V981">
        <v>20000</v>
      </c>
      <c r="W981">
        <v>4</v>
      </c>
      <c r="X981" t="s">
        <v>57</v>
      </c>
      <c r="Y981" t="s">
        <v>444</v>
      </c>
      <c r="Z981" t="s">
        <v>19</v>
      </c>
      <c r="AA981" t="s">
        <v>3583</v>
      </c>
      <c r="AB981" t="s">
        <v>3583</v>
      </c>
      <c r="AC981" t="s">
        <v>3584</v>
      </c>
      <c r="AD981" t="s">
        <v>3479</v>
      </c>
      <c r="AE981" t="s">
        <v>3475</v>
      </c>
      <c r="AF981" s="2">
        <v>2443.35</v>
      </c>
      <c r="AG981" s="2">
        <v>1518.7864</v>
      </c>
      <c r="AH981" s="2">
        <v>924.56359999999995</v>
      </c>
      <c r="AI981" s="3">
        <v>0.37839998362903399</v>
      </c>
    </row>
    <row r="982" spans="1:35">
      <c r="A982" s="1">
        <v>42317</v>
      </c>
      <c r="B982" s="1">
        <v>37476</v>
      </c>
      <c r="C982" t="s">
        <v>5750</v>
      </c>
      <c r="D982">
        <v>373</v>
      </c>
      <c r="E982">
        <v>14818</v>
      </c>
      <c r="F982">
        <v>7</v>
      </c>
      <c r="G982">
        <v>1</v>
      </c>
      <c r="H982">
        <v>1</v>
      </c>
      <c r="I982">
        <v>2</v>
      </c>
      <c r="J982" t="s">
        <v>3555</v>
      </c>
      <c r="K982" t="s">
        <v>3556</v>
      </c>
      <c r="L982" s="2">
        <v>1320.6838</v>
      </c>
      <c r="M982" s="2">
        <v>2181.5625</v>
      </c>
      <c r="N982" t="s">
        <v>30</v>
      </c>
      <c r="O982" t="s">
        <v>880</v>
      </c>
      <c r="P982" t="s">
        <v>34</v>
      </c>
      <c r="Q982" t="s">
        <v>7311</v>
      </c>
      <c r="R982" s="1">
        <v>23523</v>
      </c>
      <c r="S982" t="s">
        <v>22</v>
      </c>
      <c r="T982" t="s">
        <v>29</v>
      </c>
      <c r="U982" t="s">
        <v>1783</v>
      </c>
      <c r="V982">
        <v>30000</v>
      </c>
      <c r="W982">
        <v>2</v>
      </c>
      <c r="X982" t="s">
        <v>52</v>
      </c>
      <c r="Y982" t="s">
        <v>60</v>
      </c>
      <c r="Z982" t="s">
        <v>19</v>
      </c>
      <c r="AA982" t="s">
        <v>3583</v>
      </c>
      <c r="AB982" t="s">
        <v>3583</v>
      </c>
      <c r="AC982" t="s">
        <v>3584</v>
      </c>
      <c r="AD982" t="s">
        <v>3479</v>
      </c>
      <c r="AE982" t="s">
        <v>3475</v>
      </c>
      <c r="AF982" s="2">
        <v>2181.5625</v>
      </c>
      <c r="AG982" s="2">
        <v>1320.6838</v>
      </c>
      <c r="AH982" s="2">
        <v>860.87869999999998</v>
      </c>
      <c r="AI982" s="3">
        <v>0.39461564818793898</v>
      </c>
    </row>
    <row r="983" spans="1:35">
      <c r="A983" s="1">
        <v>42104</v>
      </c>
      <c r="B983" s="1">
        <v>37254</v>
      </c>
      <c r="C983" t="s">
        <v>4192</v>
      </c>
      <c r="D983">
        <v>310</v>
      </c>
      <c r="E983">
        <v>14819</v>
      </c>
      <c r="F983">
        <v>8</v>
      </c>
      <c r="G983">
        <v>1</v>
      </c>
      <c r="H983">
        <v>1</v>
      </c>
      <c r="I983">
        <v>2</v>
      </c>
      <c r="J983" t="s">
        <v>3485</v>
      </c>
      <c r="K983" t="s">
        <v>3486</v>
      </c>
      <c r="L983" s="2">
        <v>2171.2941999999998</v>
      </c>
      <c r="M983" s="2">
        <v>3578.27</v>
      </c>
      <c r="N983" t="s">
        <v>30</v>
      </c>
      <c r="O983" t="s">
        <v>234</v>
      </c>
      <c r="P983" t="s">
        <v>34</v>
      </c>
      <c r="Q983" t="s">
        <v>7312</v>
      </c>
      <c r="R983" s="1">
        <v>23537</v>
      </c>
      <c r="S983" t="s">
        <v>16</v>
      </c>
      <c r="T983" t="s">
        <v>29</v>
      </c>
      <c r="U983" t="s">
        <v>1784</v>
      </c>
      <c r="V983">
        <v>30000</v>
      </c>
      <c r="W983">
        <v>2</v>
      </c>
      <c r="X983" t="s">
        <v>52</v>
      </c>
      <c r="Y983" t="s">
        <v>60</v>
      </c>
      <c r="Z983" t="s">
        <v>23</v>
      </c>
      <c r="AA983" t="s">
        <v>3585</v>
      </c>
      <c r="AB983" t="s">
        <v>3585</v>
      </c>
      <c r="AC983" t="s">
        <v>3584</v>
      </c>
      <c r="AD983" t="s">
        <v>3479</v>
      </c>
      <c r="AE983" t="s">
        <v>3475</v>
      </c>
      <c r="AF983" s="2">
        <v>3578.27</v>
      </c>
      <c r="AG983" s="2">
        <v>2171.2941999999998</v>
      </c>
      <c r="AH983" s="2">
        <v>1406.9757999999999</v>
      </c>
      <c r="AI983" s="3">
        <v>0.39320001006072802</v>
      </c>
    </row>
    <row r="984" spans="1:35">
      <c r="A984" s="1">
        <v>42104</v>
      </c>
      <c r="B984" s="1">
        <v>37294</v>
      </c>
      <c r="C984" t="s">
        <v>4194</v>
      </c>
      <c r="D984">
        <v>310</v>
      </c>
      <c r="E984">
        <v>14822</v>
      </c>
      <c r="F984">
        <v>8</v>
      </c>
      <c r="G984">
        <v>1</v>
      </c>
      <c r="H984">
        <v>1</v>
      </c>
      <c r="I984">
        <v>2</v>
      </c>
      <c r="J984" t="s">
        <v>3485</v>
      </c>
      <c r="K984" t="s">
        <v>3486</v>
      </c>
      <c r="L984" s="2">
        <v>2171.2941999999998</v>
      </c>
      <c r="M984" s="2">
        <v>3578.27</v>
      </c>
      <c r="N984" t="s">
        <v>30</v>
      </c>
      <c r="O984" t="s">
        <v>145</v>
      </c>
      <c r="P984" t="s">
        <v>103</v>
      </c>
      <c r="Q984" t="s">
        <v>7313</v>
      </c>
      <c r="R984" s="1">
        <v>23279</v>
      </c>
      <c r="S984" t="s">
        <v>22</v>
      </c>
      <c r="T984" t="s">
        <v>29</v>
      </c>
      <c r="U984" t="s">
        <v>1785</v>
      </c>
      <c r="V984">
        <v>30000</v>
      </c>
      <c r="W984">
        <v>3</v>
      </c>
      <c r="X984" t="s">
        <v>52</v>
      </c>
      <c r="Y984" t="s">
        <v>60</v>
      </c>
      <c r="Z984" t="s">
        <v>19</v>
      </c>
      <c r="AA984" t="s">
        <v>3585</v>
      </c>
      <c r="AB984" t="s">
        <v>3585</v>
      </c>
      <c r="AC984" t="s">
        <v>3584</v>
      </c>
      <c r="AD984" t="s">
        <v>3479</v>
      </c>
      <c r="AE984" t="s">
        <v>3475</v>
      </c>
      <c r="AF984" s="2">
        <v>3578.27</v>
      </c>
      <c r="AG984" s="2">
        <v>2171.2941999999998</v>
      </c>
      <c r="AH984" s="2">
        <v>1406.9757999999999</v>
      </c>
      <c r="AI984" s="3">
        <v>0.39320001006072802</v>
      </c>
    </row>
    <row r="985" spans="1:35">
      <c r="A985" s="1">
        <v>42098</v>
      </c>
      <c r="B985" s="1">
        <v>37294</v>
      </c>
      <c r="C985" t="s">
        <v>4162</v>
      </c>
      <c r="D985">
        <v>311</v>
      </c>
      <c r="E985">
        <v>14823</v>
      </c>
      <c r="F985">
        <v>8</v>
      </c>
      <c r="G985">
        <v>1</v>
      </c>
      <c r="H985">
        <v>1</v>
      </c>
      <c r="I985">
        <v>2</v>
      </c>
      <c r="J985" t="s">
        <v>3487</v>
      </c>
      <c r="K985" t="s">
        <v>3488</v>
      </c>
      <c r="L985" s="2">
        <v>2171.2941999999998</v>
      </c>
      <c r="M985" s="2">
        <v>3578.27</v>
      </c>
      <c r="N985" t="s">
        <v>13</v>
      </c>
      <c r="O985" t="s">
        <v>203</v>
      </c>
      <c r="P985" t="s">
        <v>1122</v>
      </c>
      <c r="Q985" t="s">
        <v>7314</v>
      </c>
      <c r="R985" s="1">
        <v>23373</v>
      </c>
      <c r="S985" t="s">
        <v>22</v>
      </c>
      <c r="T985" t="s">
        <v>16</v>
      </c>
      <c r="U985" t="s">
        <v>1786</v>
      </c>
      <c r="V985">
        <v>30000</v>
      </c>
      <c r="W985">
        <v>3</v>
      </c>
      <c r="X985" t="s">
        <v>52</v>
      </c>
      <c r="Y985" t="s">
        <v>60</v>
      </c>
      <c r="Z985" t="s">
        <v>19</v>
      </c>
      <c r="AA985" t="s">
        <v>3585</v>
      </c>
      <c r="AB985" t="s">
        <v>3585</v>
      </c>
      <c r="AC985" t="s">
        <v>3584</v>
      </c>
      <c r="AD985" t="s">
        <v>3479</v>
      </c>
      <c r="AE985" t="s">
        <v>3475</v>
      </c>
      <c r="AF985" s="2">
        <v>3578.27</v>
      </c>
      <c r="AG985" s="2">
        <v>2171.2941999999998</v>
      </c>
      <c r="AH985" s="2">
        <v>1406.9757999999999</v>
      </c>
      <c r="AI985" s="3">
        <v>0.39320001006072802</v>
      </c>
    </row>
    <row r="986" spans="1:35">
      <c r="A986" s="1">
        <v>42114</v>
      </c>
      <c r="B986" s="1">
        <v>37255</v>
      </c>
      <c r="C986" t="s">
        <v>4268</v>
      </c>
      <c r="D986">
        <v>312</v>
      </c>
      <c r="E986">
        <v>14824</v>
      </c>
      <c r="F986">
        <v>8</v>
      </c>
      <c r="G986">
        <v>1</v>
      </c>
      <c r="H986">
        <v>1</v>
      </c>
      <c r="I986">
        <v>2</v>
      </c>
      <c r="J986" t="s">
        <v>3489</v>
      </c>
      <c r="K986" t="s">
        <v>3490</v>
      </c>
      <c r="L986" s="2">
        <v>2171.2941999999998</v>
      </c>
      <c r="M986" s="2">
        <v>3578.27</v>
      </c>
      <c r="N986" t="s">
        <v>13</v>
      </c>
      <c r="O986" t="s">
        <v>483</v>
      </c>
      <c r="P986" t="s">
        <v>173</v>
      </c>
      <c r="Q986" t="s">
        <v>7315</v>
      </c>
      <c r="R986" s="1">
        <v>23332</v>
      </c>
      <c r="S986" t="s">
        <v>22</v>
      </c>
      <c r="T986" t="s">
        <v>16</v>
      </c>
      <c r="U986" t="s">
        <v>1787</v>
      </c>
      <c r="V986">
        <v>30000</v>
      </c>
      <c r="W986">
        <v>3</v>
      </c>
      <c r="X986" t="s">
        <v>52</v>
      </c>
      <c r="Y986" t="s">
        <v>60</v>
      </c>
      <c r="Z986" t="s">
        <v>19</v>
      </c>
      <c r="AA986" t="s">
        <v>3585</v>
      </c>
      <c r="AB986" t="s">
        <v>3585</v>
      </c>
      <c r="AC986" t="s">
        <v>3584</v>
      </c>
      <c r="AD986" t="s">
        <v>3479</v>
      </c>
      <c r="AE986" t="s">
        <v>3475</v>
      </c>
      <c r="AF986" s="2">
        <v>3578.27</v>
      </c>
      <c r="AG986" s="2">
        <v>2171.2941999999998</v>
      </c>
      <c r="AH986" s="2">
        <v>1406.9757999999999</v>
      </c>
      <c r="AI986" s="3">
        <v>0.39320001006072802</v>
      </c>
    </row>
    <row r="987" spans="1:35">
      <c r="A987" s="1">
        <v>42103</v>
      </c>
      <c r="B987" s="1">
        <v>37241</v>
      </c>
      <c r="C987" t="s">
        <v>4186</v>
      </c>
      <c r="D987">
        <v>312</v>
      </c>
      <c r="E987">
        <v>14827</v>
      </c>
      <c r="F987">
        <v>8</v>
      </c>
      <c r="G987">
        <v>1</v>
      </c>
      <c r="H987">
        <v>1</v>
      </c>
      <c r="I987">
        <v>2</v>
      </c>
      <c r="J987" t="s">
        <v>3489</v>
      </c>
      <c r="K987" t="s">
        <v>3490</v>
      </c>
      <c r="L987" s="2">
        <v>2171.2941999999998</v>
      </c>
      <c r="M987" s="2">
        <v>3578.27</v>
      </c>
      <c r="N987" t="s">
        <v>13</v>
      </c>
      <c r="O987" t="s">
        <v>267</v>
      </c>
      <c r="P987" t="s">
        <v>474</v>
      </c>
      <c r="Q987" t="s">
        <v>7316</v>
      </c>
      <c r="R987" s="1">
        <v>28949</v>
      </c>
      <c r="S987" t="s">
        <v>22</v>
      </c>
      <c r="T987" t="s">
        <v>16</v>
      </c>
      <c r="U987" t="s">
        <v>1788</v>
      </c>
      <c r="V987">
        <v>30000</v>
      </c>
      <c r="W987">
        <v>3</v>
      </c>
      <c r="X987" t="s">
        <v>52</v>
      </c>
      <c r="Y987" t="s">
        <v>60</v>
      </c>
      <c r="Z987" t="s">
        <v>19</v>
      </c>
      <c r="AA987" t="s">
        <v>3585</v>
      </c>
      <c r="AB987" t="s">
        <v>3585</v>
      </c>
      <c r="AC987" t="s">
        <v>3584</v>
      </c>
      <c r="AD987" t="s">
        <v>3479</v>
      </c>
      <c r="AE987" t="s">
        <v>3475</v>
      </c>
      <c r="AF987" s="2">
        <v>3578.27</v>
      </c>
      <c r="AG987" s="2">
        <v>2171.2941999999998</v>
      </c>
      <c r="AH987" s="2">
        <v>1406.9757999999999</v>
      </c>
      <c r="AI987" s="3">
        <v>0.39320001006072802</v>
      </c>
    </row>
    <row r="988" spans="1:35">
      <c r="A988" s="1">
        <v>42121</v>
      </c>
      <c r="B988" s="1">
        <v>37283</v>
      </c>
      <c r="C988" t="s">
        <v>4312</v>
      </c>
      <c r="D988">
        <v>314</v>
      </c>
      <c r="E988">
        <v>14830</v>
      </c>
      <c r="F988">
        <v>8</v>
      </c>
      <c r="G988">
        <v>1</v>
      </c>
      <c r="H988">
        <v>1</v>
      </c>
      <c r="I988">
        <v>2</v>
      </c>
      <c r="J988" t="s">
        <v>3493</v>
      </c>
      <c r="K988" t="s">
        <v>3494</v>
      </c>
      <c r="L988" s="2">
        <v>2171.2941999999998</v>
      </c>
      <c r="M988" s="2">
        <v>3578.27</v>
      </c>
      <c r="N988" t="s">
        <v>30</v>
      </c>
      <c r="O988" t="s">
        <v>588</v>
      </c>
      <c r="P988" t="s">
        <v>424</v>
      </c>
      <c r="Q988" t="s">
        <v>7317</v>
      </c>
      <c r="R988" s="1">
        <v>23236</v>
      </c>
      <c r="S988" t="s">
        <v>16</v>
      </c>
      <c r="T988" t="s">
        <v>29</v>
      </c>
      <c r="U988" t="s">
        <v>1789</v>
      </c>
      <c r="V988">
        <v>40000</v>
      </c>
      <c r="W988">
        <v>1</v>
      </c>
      <c r="X988" t="s">
        <v>17</v>
      </c>
      <c r="Y988" t="s">
        <v>53</v>
      </c>
      <c r="Z988" t="s">
        <v>19</v>
      </c>
      <c r="AA988" t="s">
        <v>3585</v>
      </c>
      <c r="AB988" t="s">
        <v>3585</v>
      </c>
      <c r="AC988" t="s">
        <v>3584</v>
      </c>
      <c r="AD988" t="s">
        <v>3479</v>
      </c>
      <c r="AE988" t="s">
        <v>3475</v>
      </c>
      <c r="AF988" s="2">
        <v>3578.27</v>
      </c>
      <c r="AG988" s="2">
        <v>2171.2941999999998</v>
      </c>
      <c r="AH988" s="2">
        <v>1406.9757999999999</v>
      </c>
      <c r="AI988" s="3">
        <v>0.39320001006072802</v>
      </c>
    </row>
    <row r="989" spans="1:35">
      <c r="A989" s="1">
        <v>42142</v>
      </c>
      <c r="B989" s="1">
        <v>37362</v>
      </c>
      <c r="C989" t="s">
        <v>4475</v>
      </c>
      <c r="D989">
        <v>311</v>
      </c>
      <c r="E989">
        <v>14838</v>
      </c>
      <c r="F989">
        <v>8</v>
      </c>
      <c r="G989">
        <v>1</v>
      </c>
      <c r="H989">
        <v>1</v>
      </c>
      <c r="I989">
        <v>2</v>
      </c>
      <c r="J989" t="s">
        <v>3487</v>
      </c>
      <c r="K989" t="s">
        <v>3488</v>
      </c>
      <c r="L989" s="2">
        <v>2171.2941999999998</v>
      </c>
      <c r="M989" s="2">
        <v>3578.27</v>
      </c>
      <c r="N989" t="s">
        <v>13</v>
      </c>
      <c r="O989" t="s">
        <v>504</v>
      </c>
      <c r="P989" t="s">
        <v>214</v>
      </c>
      <c r="Q989" t="s">
        <v>7318</v>
      </c>
      <c r="R989" s="1">
        <v>28332</v>
      </c>
      <c r="S989" t="s">
        <v>22</v>
      </c>
      <c r="T989" t="s">
        <v>16</v>
      </c>
      <c r="U989" t="s">
        <v>1790</v>
      </c>
      <c r="V989">
        <v>30000</v>
      </c>
      <c r="W989">
        <v>0</v>
      </c>
      <c r="X989" t="s">
        <v>52</v>
      </c>
      <c r="Y989" t="s">
        <v>60</v>
      </c>
      <c r="Z989" t="s">
        <v>23</v>
      </c>
      <c r="AA989" t="s">
        <v>3585</v>
      </c>
      <c r="AB989" t="s">
        <v>3585</v>
      </c>
      <c r="AC989" t="s">
        <v>3584</v>
      </c>
      <c r="AD989" t="s">
        <v>3479</v>
      </c>
      <c r="AE989" t="s">
        <v>3475</v>
      </c>
      <c r="AF989" s="2">
        <v>3578.27</v>
      </c>
      <c r="AG989" s="2">
        <v>2171.2941999999998</v>
      </c>
      <c r="AH989" s="2">
        <v>1406.9757999999999</v>
      </c>
      <c r="AI989" s="3">
        <v>0.39320001006072802</v>
      </c>
    </row>
    <row r="990" spans="1:35">
      <c r="A990" s="1">
        <v>42024</v>
      </c>
      <c r="B990" s="1">
        <v>37261</v>
      </c>
      <c r="C990" t="s">
        <v>3710</v>
      </c>
      <c r="D990">
        <v>314</v>
      </c>
      <c r="E990">
        <v>14846</v>
      </c>
      <c r="F990">
        <v>10</v>
      </c>
      <c r="G990">
        <v>1</v>
      </c>
      <c r="H990">
        <v>1</v>
      </c>
      <c r="I990">
        <v>2</v>
      </c>
      <c r="J990" t="s">
        <v>3493</v>
      </c>
      <c r="K990" t="s">
        <v>3494</v>
      </c>
      <c r="L990" s="2">
        <v>2171.2941999999998</v>
      </c>
      <c r="M990" s="2">
        <v>3578.27</v>
      </c>
      <c r="N990" t="s">
        <v>26</v>
      </c>
      <c r="O990" t="s">
        <v>868</v>
      </c>
      <c r="P990" t="s">
        <v>205</v>
      </c>
      <c r="Q990" t="s">
        <v>7319</v>
      </c>
      <c r="R990" s="1">
        <v>27346</v>
      </c>
      <c r="S990" t="s">
        <v>22</v>
      </c>
      <c r="T990" t="s">
        <v>29</v>
      </c>
      <c r="U990" t="s">
        <v>1791</v>
      </c>
      <c r="V990">
        <v>20000</v>
      </c>
      <c r="W990">
        <v>0</v>
      </c>
      <c r="X990" t="s">
        <v>77</v>
      </c>
      <c r="Y990" t="s">
        <v>444</v>
      </c>
      <c r="Z990" t="s">
        <v>19</v>
      </c>
      <c r="AA990" t="s">
        <v>3588</v>
      </c>
      <c r="AB990" t="s">
        <v>3588</v>
      </c>
      <c r="AC990" t="s">
        <v>3584</v>
      </c>
      <c r="AD990" t="s">
        <v>3479</v>
      </c>
      <c r="AE990" t="s">
        <v>3475</v>
      </c>
      <c r="AF990" s="2">
        <v>3578.27</v>
      </c>
      <c r="AG990" s="2">
        <v>2171.2941999999998</v>
      </c>
      <c r="AH990" s="2">
        <v>1406.9757999999999</v>
      </c>
      <c r="AI990" s="3">
        <v>0.39320001006072802</v>
      </c>
    </row>
    <row r="991" spans="1:35">
      <c r="A991" s="1">
        <v>42025</v>
      </c>
      <c r="B991" s="1">
        <v>37162</v>
      </c>
      <c r="C991" t="s">
        <v>3718</v>
      </c>
      <c r="D991">
        <v>313</v>
      </c>
      <c r="E991">
        <v>14847</v>
      </c>
      <c r="F991">
        <v>10</v>
      </c>
      <c r="G991">
        <v>1</v>
      </c>
      <c r="H991">
        <v>1</v>
      </c>
      <c r="I991">
        <v>2</v>
      </c>
      <c r="J991" t="s">
        <v>3491</v>
      </c>
      <c r="K991" t="s">
        <v>3492</v>
      </c>
      <c r="L991" s="2">
        <v>2171.2941999999998</v>
      </c>
      <c r="M991" s="2">
        <v>3578.27</v>
      </c>
      <c r="N991" t="s">
        <v>26</v>
      </c>
      <c r="O991" t="s">
        <v>1792</v>
      </c>
      <c r="P991" t="s">
        <v>1793</v>
      </c>
      <c r="Q991" t="s">
        <v>7320</v>
      </c>
      <c r="R991" s="1">
        <v>27100</v>
      </c>
      <c r="S991" t="s">
        <v>22</v>
      </c>
      <c r="T991" t="s">
        <v>29</v>
      </c>
      <c r="U991" t="s">
        <v>1794</v>
      </c>
      <c r="V991">
        <v>20000</v>
      </c>
      <c r="W991">
        <v>0</v>
      </c>
      <c r="X991" t="s">
        <v>77</v>
      </c>
      <c r="Y991" t="s">
        <v>444</v>
      </c>
      <c r="Z991" t="s">
        <v>23</v>
      </c>
      <c r="AA991" t="s">
        <v>3588</v>
      </c>
      <c r="AB991" t="s">
        <v>3588</v>
      </c>
      <c r="AC991" t="s">
        <v>3584</v>
      </c>
      <c r="AD991" t="s">
        <v>3479</v>
      </c>
      <c r="AE991" t="s">
        <v>3475</v>
      </c>
      <c r="AF991" s="2">
        <v>3578.27</v>
      </c>
      <c r="AG991" s="2">
        <v>2171.2941999999998</v>
      </c>
      <c r="AH991" s="2">
        <v>1406.9757999999999</v>
      </c>
      <c r="AI991" s="3">
        <v>0.39320001006072802</v>
      </c>
    </row>
    <row r="992" spans="1:35">
      <c r="A992" s="1">
        <v>42320</v>
      </c>
      <c r="B992" s="1">
        <v>37463</v>
      </c>
      <c r="C992" t="s">
        <v>5776</v>
      </c>
      <c r="D992">
        <v>371</v>
      </c>
      <c r="E992">
        <v>14848</v>
      </c>
      <c r="F992">
        <v>7</v>
      </c>
      <c r="G992">
        <v>1</v>
      </c>
      <c r="H992">
        <v>1</v>
      </c>
      <c r="I992">
        <v>2</v>
      </c>
      <c r="J992" t="s">
        <v>3553</v>
      </c>
      <c r="K992" t="s">
        <v>3554</v>
      </c>
      <c r="L992" s="2">
        <v>1320.6838</v>
      </c>
      <c r="M992" s="2">
        <v>2181.5625</v>
      </c>
      <c r="N992" t="s">
        <v>13</v>
      </c>
      <c r="O992" t="s">
        <v>491</v>
      </c>
      <c r="P992" t="s">
        <v>1795</v>
      </c>
      <c r="Q992" t="s">
        <v>7321</v>
      </c>
      <c r="R992" s="1">
        <v>27647</v>
      </c>
      <c r="S992" t="s">
        <v>22</v>
      </c>
      <c r="T992" t="s">
        <v>16</v>
      </c>
      <c r="U992" t="s">
        <v>1796</v>
      </c>
      <c r="V992">
        <v>30000</v>
      </c>
      <c r="W992">
        <v>0</v>
      </c>
      <c r="X992" t="s">
        <v>52</v>
      </c>
      <c r="Y992" t="s">
        <v>60</v>
      </c>
      <c r="Z992" t="s">
        <v>23</v>
      </c>
      <c r="AA992" t="s">
        <v>3583</v>
      </c>
      <c r="AB992" t="s">
        <v>3583</v>
      </c>
      <c r="AC992" t="s">
        <v>3584</v>
      </c>
      <c r="AD992" t="s">
        <v>3479</v>
      </c>
      <c r="AE992" t="s">
        <v>3475</v>
      </c>
      <c r="AF992" s="2">
        <v>2181.5625</v>
      </c>
      <c r="AG992" s="2">
        <v>1320.6838</v>
      </c>
      <c r="AH992" s="2">
        <v>860.87869999999998</v>
      </c>
      <c r="AI992" s="3">
        <v>0.39461564818793898</v>
      </c>
    </row>
    <row r="993" spans="1:35">
      <c r="A993" s="1">
        <v>42100</v>
      </c>
      <c r="B993" s="1">
        <v>37324</v>
      </c>
      <c r="C993" t="s">
        <v>4169</v>
      </c>
      <c r="D993">
        <v>340</v>
      </c>
      <c r="E993">
        <v>14852</v>
      </c>
      <c r="F993">
        <v>4</v>
      </c>
      <c r="G993">
        <v>1</v>
      </c>
      <c r="H993">
        <v>1</v>
      </c>
      <c r="I993">
        <v>2</v>
      </c>
      <c r="J993" t="s">
        <v>3515</v>
      </c>
      <c r="K993" t="s">
        <v>3516</v>
      </c>
      <c r="L993" s="2">
        <v>413.1463</v>
      </c>
      <c r="M993" s="2">
        <v>699.09820000000002</v>
      </c>
      <c r="N993" t="s">
        <v>13</v>
      </c>
      <c r="O993" t="s">
        <v>112</v>
      </c>
      <c r="P993" t="s">
        <v>95</v>
      </c>
      <c r="Q993" t="s">
        <v>7322</v>
      </c>
      <c r="R993" s="1">
        <v>28807</v>
      </c>
      <c r="S993" t="s">
        <v>22</v>
      </c>
      <c r="T993" t="s">
        <v>16</v>
      </c>
      <c r="U993" t="s">
        <v>1797</v>
      </c>
      <c r="V993">
        <v>60000</v>
      </c>
      <c r="W993">
        <v>0</v>
      </c>
      <c r="X993" t="s">
        <v>52</v>
      </c>
      <c r="Y993" t="s">
        <v>53</v>
      </c>
      <c r="Z993" t="s">
        <v>23</v>
      </c>
      <c r="AA993" t="s">
        <v>3580</v>
      </c>
      <c r="AB993" t="s">
        <v>3578</v>
      </c>
      <c r="AC993" t="s">
        <v>3579</v>
      </c>
      <c r="AD993" t="s">
        <v>3479</v>
      </c>
      <c r="AE993" t="s">
        <v>3475</v>
      </c>
      <c r="AF993" s="2">
        <v>699.09820000000002</v>
      </c>
      <c r="AG993" s="2">
        <v>413.1463</v>
      </c>
      <c r="AH993" s="2">
        <v>285.95190000000002</v>
      </c>
      <c r="AI993" s="3">
        <v>0.409029661355157</v>
      </c>
    </row>
    <row r="994" spans="1:35">
      <c r="A994" s="1">
        <v>42023</v>
      </c>
      <c r="B994" s="1">
        <v>37210</v>
      </c>
      <c r="C994" t="s">
        <v>3703</v>
      </c>
      <c r="D994">
        <v>311</v>
      </c>
      <c r="E994">
        <v>14861</v>
      </c>
      <c r="F994">
        <v>10</v>
      </c>
      <c r="G994">
        <v>1</v>
      </c>
      <c r="H994">
        <v>1</v>
      </c>
      <c r="I994">
        <v>2</v>
      </c>
      <c r="J994" t="s">
        <v>3487</v>
      </c>
      <c r="K994" t="s">
        <v>3488</v>
      </c>
      <c r="L994" s="2">
        <v>2171.2941999999998</v>
      </c>
      <c r="M994" s="2">
        <v>3578.27</v>
      </c>
      <c r="N994" t="s">
        <v>30</v>
      </c>
      <c r="O994" t="s">
        <v>1152</v>
      </c>
      <c r="P994" t="s">
        <v>226</v>
      </c>
      <c r="Q994" t="s">
        <v>7323</v>
      </c>
      <c r="R994" s="1">
        <v>26033</v>
      </c>
      <c r="S994" t="s">
        <v>22</v>
      </c>
      <c r="T994" t="s">
        <v>29</v>
      </c>
      <c r="U994" t="s">
        <v>1798</v>
      </c>
      <c r="V994">
        <v>40000</v>
      </c>
      <c r="W994">
        <v>2</v>
      </c>
      <c r="X994" t="s">
        <v>52</v>
      </c>
      <c r="Y994" t="s">
        <v>60</v>
      </c>
      <c r="Z994" t="s">
        <v>19</v>
      </c>
      <c r="AA994" t="s">
        <v>3588</v>
      </c>
      <c r="AB994" t="s">
        <v>3588</v>
      </c>
      <c r="AC994" t="s">
        <v>3584</v>
      </c>
      <c r="AD994" t="s">
        <v>3479</v>
      </c>
      <c r="AE994" t="s">
        <v>3475</v>
      </c>
      <c r="AF994" s="2">
        <v>3578.27</v>
      </c>
      <c r="AG994" s="2">
        <v>2171.2941999999998</v>
      </c>
      <c r="AH994" s="2">
        <v>1406.9757999999999</v>
      </c>
      <c r="AI994" s="3">
        <v>0.39320001006072802</v>
      </c>
    </row>
    <row r="995" spans="1:35">
      <c r="A995" s="1">
        <v>42095</v>
      </c>
      <c r="B995" s="1">
        <v>37300</v>
      </c>
      <c r="C995" t="s">
        <v>4141</v>
      </c>
      <c r="D995">
        <v>328</v>
      </c>
      <c r="E995">
        <v>14868</v>
      </c>
      <c r="F995">
        <v>4</v>
      </c>
      <c r="G995">
        <v>1</v>
      </c>
      <c r="H995">
        <v>1</v>
      </c>
      <c r="I995">
        <v>2</v>
      </c>
      <c r="J995" t="s">
        <v>3503</v>
      </c>
      <c r="K995" t="s">
        <v>3504</v>
      </c>
      <c r="L995" s="2">
        <v>413.1463</v>
      </c>
      <c r="M995" s="2">
        <v>699.09820000000002</v>
      </c>
      <c r="N995" t="s">
        <v>30</v>
      </c>
      <c r="O995" t="s">
        <v>518</v>
      </c>
      <c r="P995" t="s">
        <v>252</v>
      </c>
      <c r="Q995" t="s">
        <v>7324</v>
      </c>
      <c r="R995" s="1">
        <v>27626</v>
      </c>
      <c r="S995" t="s">
        <v>22</v>
      </c>
      <c r="T995" t="s">
        <v>29</v>
      </c>
      <c r="U995" t="s">
        <v>1799</v>
      </c>
      <c r="V995">
        <v>40000</v>
      </c>
      <c r="W995">
        <v>3</v>
      </c>
      <c r="X995" t="s">
        <v>52</v>
      </c>
      <c r="Y995" t="s">
        <v>60</v>
      </c>
      <c r="Z995" t="s">
        <v>19</v>
      </c>
      <c r="AA995" t="s">
        <v>3580</v>
      </c>
      <c r="AB995" t="s">
        <v>3578</v>
      </c>
      <c r="AC995" t="s">
        <v>3579</v>
      </c>
      <c r="AD995" t="s">
        <v>3479</v>
      </c>
      <c r="AE995" t="s">
        <v>3475</v>
      </c>
      <c r="AF995" s="2">
        <v>699.09820000000002</v>
      </c>
      <c r="AG995" s="2">
        <v>413.1463</v>
      </c>
      <c r="AH995" s="2">
        <v>285.95190000000002</v>
      </c>
      <c r="AI995" s="3">
        <v>0.409029661355157</v>
      </c>
    </row>
    <row r="996" spans="1:35">
      <c r="A996" s="1">
        <v>42115</v>
      </c>
      <c r="B996" s="1">
        <v>37292</v>
      </c>
      <c r="C996" t="s">
        <v>4271</v>
      </c>
      <c r="D996">
        <v>342</v>
      </c>
      <c r="E996">
        <v>14879</v>
      </c>
      <c r="F996">
        <v>4</v>
      </c>
      <c r="G996">
        <v>1</v>
      </c>
      <c r="H996">
        <v>1</v>
      </c>
      <c r="I996">
        <v>2</v>
      </c>
      <c r="J996" t="s">
        <v>3517</v>
      </c>
      <c r="K996" t="s">
        <v>3518</v>
      </c>
      <c r="L996" s="2">
        <v>413.1463</v>
      </c>
      <c r="M996" s="2">
        <v>699.09820000000002</v>
      </c>
      <c r="N996" t="s">
        <v>26</v>
      </c>
      <c r="O996" t="s">
        <v>318</v>
      </c>
      <c r="P996" t="s">
        <v>245</v>
      </c>
      <c r="Q996" t="s">
        <v>7325</v>
      </c>
      <c r="R996" s="1">
        <v>24437</v>
      </c>
      <c r="S996" t="s">
        <v>22</v>
      </c>
      <c r="T996" t="s">
        <v>29</v>
      </c>
      <c r="U996" t="s">
        <v>1800</v>
      </c>
      <c r="V996">
        <v>60000</v>
      </c>
      <c r="W996">
        <v>0</v>
      </c>
      <c r="X996" t="s">
        <v>135</v>
      </c>
      <c r="Y996" t="s">
        <v>53</v>
      </c>
      <c r="Z996" t="s">
        <v>19</v>
      </c>
      <c r="AA996" t="s">
        <v>3580</v>
      </c>
      <c r="AB996" t="s">
        <v>3578</v>
      </c>
      <c r="AC996" t="s">
        <v>3579</v>
      </c>
      <c r="AD996" t="s">
        <v>3479</v>
      </c>
      <c r="AE996" t="s">
        <v>3475</v>
      </c>
      <c r="AF996" s="2">
        <v>699.09820000000002</v>
      </c>
      <c r="AG996" s="2">
        <v>413.1463</v>
      </c>
      <c r="AH996" s="2">
        <v>285.95190000000002</v>
      </c>
      <c r="AI996" s="3">
        <v>0.409029661355157</v>
      </c>
    </row>
    <row r="997" spans="1:35">
      <c r="A997" s="1">
        <v>42106</v>
      </c>
      <c r="B997" s="1">
        <v>37300</v>
      </c>
      <c r="C997" t="s">
        <v>4207</v>
      </c>
      <c r="D997">
        <v>330</v>
      </c>
      <c r="E997">
        <v>14880</v>
      </c>
      <c r="F997">
        <v>4</v>
      </c>
      <c r="G997">
        <v>1</v>
      </c>
      <c r="H997">
        <v>1</v>
      </c>
      <c r="I997">
        <v>2</v>
      </c>
      <c r="J997" t="s">
        <v>3505</v>
      </c>
      <c r="K997" t="s">
        <v>3506</v>
      </c>
      <c r="L997" s="2">
        <v>413.1463</v>
      </c>
      <c r="M997" s="2">
        <v>699.09820000000002</v>
      </c>
      <c r="N997" t="s">
        <v>30</v>
      </c>
      <c r="O997" t="s">
        <v>145</v>
      </c>
      <c r="P997" t="s">
        <v>199</v>
      </c>
      <c r="Q997" t="s">
        <v>7326</v>
      </c>
      <c r="R997" s="1">
        <v>19459</v>
      </c>
      <c r="S997" t="s">
        <v>16</v>
      </c>
      <c r="T997" t="s">
        <v>29</v>
      </c>
      <c r="U997" t="s">
        <v>1801</v>
      </c>
      <c r="V997">
        <v>30000</v>
      </c>
      <c r="W997">
        <v>1</v>
      </c>
      <c r="X997" t="s">
        <v>17</v>
      </c>
      <c r="Y997" t="s">
        <v>53</v>
      </c>
      <c r="Z997" t="s">
        <v>19</v>
      </c>
      <c r="AA997" t="s">
        <v>3580</v>
      </c>
      <c r="AB997" t="s">
        <v>3578</v>
      </c>
      <c r="AC997" t="s">
        <v>3579</v>
      </c>
      <c r="AD997" t="s">
        <v>3479</v>
      </c>
      <c r="AE997" t="s">
        <v>3475</v>
      </c>
      <c r="AF997" s="2">
        <v>699.09820000000002</v>
      </c>
      <c r="AG997" s="2">
        <v>413.1463</v>
      </c>
      <c r="AH997" s="2">
        <v>285.95190000000002</v>
      </c>
      <c r="AI997" s="3">
        <v>0.409029661355157</v>
      </c>
    </row>
    <row r="998" spans="1:35">
      <c r="A998" s="1">
        <v>42143</v>
      </c>
      <c r="B998" s="1">
        <v>37321</v>
      </c>
      <c r="C998" t="s">
        <v>4482</v>
      </c>
      <c r="D998">
        <v>334</v>
      </c>
      <c r="E998">
        <v>14882</v>
      </c>
      <c r="F998">
        <v>4</v>
      </c>
      <c r="G998">
        <v>1</v>
      </c>
      <c r="H998">
        <v>1</v>
      </c>
      <c r="I998">
        <v>2</v>
      </c>
      <c r="J998" t="s">
        <v>3509</v>
      </c>
      <c r="K998" t="s">
        <v>3510</v>
      </c>
      <c r="L998" s="2">
        <v>413.1463</v>
      </c>
      <c r="M998" s="2">
        <v>699.09820000000002</v>
      </c>
      <c r="N998" t="s">
        <v>30</v>
      </c>
      <c r="O998" t="s">
        <v>881</v>
      </c>
      <c r="P998" t="s">
        <v>115</v>
      </c>
      <c r="Q998" t="s">
        <v>7327</v>
      </c>
      <c r="R998" s="1">
        <v>19653</v>
      </c>
      <c r="S998" t="s">
        <v>16</v>
      </c>
      <c r="T998" t="s">
        <v>29</v>
      </c>
      <c r="U998" t="s">
        <v>1802</v>
      </c>
      <c r="V998">
        <v>30000</v>
      </c>
      <c r="W998">
        <v>1</v>
      </c>
      <c r="X998" t="s">
        <v>17</v>
      </c>
      <c r="Y998" t="s">
        <v>53</v>
      </c>
      <c r="Z998" t="s">
        <v>19</v>
      </c>
      <c r="AA998" t="s">
        <v>3580</v>
      </c>
      <c r="AB998" t="s">
        <v>3578</v>
      </c>
      <c r="AC998" t="s">
        <v>3579</v>
      </c>
      <c r="AD998" t="s">
        <v>3479</v>
      </c>
      <c r="AE998" t="s">
        <v>3475</v>
      </c>
      <c r="AF998" s="2">
        <v>699.09820000000002</v>
      </c>
      <c r="AG998" s="2">
        <v>413.1463</v>
      </c>
      <c r="AH998" s="2">
        <v>285.95190000000002</v>
      </c>
      <c r="AI998" s="3">
        <v>0.409029661355157</v>
      </c>
    </row>
    <row r="999" spans="1:35">
      <c r="A999" s="1">
        <v>42154</v>
      </c>
      <c r="B999" s="1">
        <v>37323</v>
      </c>
      <c r="C999" t="s">
        <v>4547</v>
      </c>
      <c r="D999">
        <v>334</v>
      </c>
      <c r="E999">
        <v>14884</v>
      </c>
      <c r="F999">
        <v>4</v>
      </c>
      <c r="G999">
        <v>1</v>
      </c>
      <c r="H999">
        <v>1</v>
      </c>
      <c r="I999">
        <v>2</v>
      </c>
      <c r="J999" t="s">
        <v>3509</v>
      </c>
      <c r="K999" t="s">
        <v>3510</v>
      </c>
      <c r="L999" s="2">
        <v>413.1463</v>
      </c>
      <c r="M999" s="2">
        <v>699.09820000000002</v>
      </c>
      <c r="N999" t="s">
        <v>30</v>
      </c>
      <c r="O999" t="s">
        <v>312</v>
      </c>
      <c r="P999" t="s">
        <v>25</v>
      </c>
      <c r="Q999" t="s">
        <v>7328</v>
      </c>
      <c r="R999" s="1">
        <v>19454</v>
      </c>
      <c r="S999" t="s">
        <v>16</v>
      </c>
      <c r="T999" t="s">
        <v>29</v>
      </c>
      <c r="U999" t="s">
        <v>1803</v>
      </c>
      <c r="V999">
        <v>30000</v>
      </c>
      <c r="W999">
        <v>1</v>
      </c>
      <c r="X999" t="s">
        <v>17</v>
      </c>
      <c r="Y999" t="s">
        <v>53</v>
      </c>
      <c r="Z999" t="s">
        <v>19</v>
      </c>
      <c r="AA999" t="s">
        <v>3580</v>
      </c>
      <c r="AB999" t="s">
        <v>3578</v>
      </c>
      <c r="AC999" t="s">
        <v>3579</v>
      </c>
      <c r="AD999" t="s">
        <v>3479</v>
      </c>
      <c r="AE999" t="s">
        <v>3475</v>
      </c>
      <c r="AF999" s="2">
        <v>699.09820000000002</v>
      </c>
      <c r="AG999" s="2">
        <v>413.1463</v>
      </c>
      <c r="AH999" s="2">
        <v>285.95190000000002</v>
      </c>
      <c r="AI999" s="3">
        <v>0.409029661355157</v>
      </c>
    </row>
    <row r="1000" spans="1:35">
      <c r="A1000" s="1">
        <v>42140</v>
      </c>
      <c r="B1000" s="1">
        <v>37320</v>
      </c>
      <c r="C1000" t="s">
        <v>4455</v>
      </c>
      <c r="D1000">
        <v>336</v>
      </c>
      <c r="E1000">
        <v>14891</v>
      </c>
      <c r="F1000">
        <v>4</v>
      </c>
      <c r="G1000">
        <v>1</v>
      </c>
      <c r="H1000">
        <v>1</v>
      </c>
      <c r="I1000">
        <v>2</v>
      </c>
      <c r="J1000" t="s">
        <v>3511</v>
      </c>
      <c r="K1000" t="s">
        <v>3512</v>
      </c>
      <c r="L1000" s="2">
        <v>413.1463</v>
      </c>
      <c r="M1000" s="2">
        <v>699.09820000000002</v>
      </c>
      <c r="N1000" t="s">
        <v>13</v>
      </c>
      <c r="O1000" t="s">
        <v>387</v>
      </c>
      <c r="P1000" t="s">
        <v>505</v>
      </c>
      <c r="Q1000" t="s">
        <v>7329</v>
      </c>
      <c r="R1000" s="1">
        <v>19854</v>
      </c>
      <c r="S1000" t="s">
        <v>16</v>
      </c>
      <c r="T1000" t="s">
        <v>16</v>
      </c>
      <c r="U1000" t="s">
        <v>1804</v>
      </c>
      <c r="V1000">
        <v>40000</v>
      </c>
      <c r="W1000">
        <v>1</v>
      </c>
      <c r="X1000" t="s">
        <v>52</v>
      </c>
      <c r="Y1000" t="s">
        <v>60</v>
      </c>
      <c r="Z1000" t="s">
        <v>19</v>
      </c>
      <c r="AA1000" t="s">
        <v>3580</v>
      </c>
      <c r="AB1000" t="s">
        <v>3578</v>
      </c>
      <c r="AC1000" t="s">
        <v>3579</v>
      </c>
      <c r="AD1000" t="s">
        <v>3479</v>
      </c>
      <c r="AE1000" t="s">
        <v>3475</v>
      </c>
      <c r="AF1000" s="2">
        <v>699.09820000000002</v>
      </c>
      <c r="AG1000" s="2">
        <v>413.1463</v>
      </c>
      <c r="AH1000" s="2">
        <v>285.95190000000002</v>
      </c>
      <c r="AI1000" s="3">
        <v>0.409029661355157</v>
      </c>
    </row>
    <row r="1001" spans="1:35">
      <c r="A1001" s="1">
        <v>42140</v>
      </c>
      <c r="B1001" s="1">
        <v>37350</v>
      </c>
      <c r="C1001" t="s">
        <v>4458</v>
      </c>
      <c r="D1001">
        <v>326</v>
      </c>
      <c r="E1001">
        <v>14892</v>
      </c>
      <c r="F1001">
        <v>4</v>
      </c>
      <c r="G1001">
        <v>1</v>
      </c>
      <c r="H1001">
        <v>1</v>
      </c>
      <c r="I1001">
        <v>2</v>
      </c>
      <c r="J1001" t="s">
        <v>3501</v>
      </c>
      <c r="K1001" t="s">
        <v>3502</v>
      </c>
      <c r="L1001" s="2">
        <v>413.1463</v>
      </c>
      <c r="M1001" s="2">
        <v>699.09820000000002</v>
      </c>
      <c r="N1001" t="s">
        <v>30</v>
      </c>
      <c r="O1001" t="s">
        <v>172</v>
      </c>
      <c r="P1001" t="s">
        <v>320</v>
      </c>
      <c r="Q1001" t="s">
        <v>7330</v>
      </c>
      <c r="R1001" s="1">
        <v>20125</v>
      </c>
      <c r="S1001" t="s">
        <v>16</v>
      </c>
      <c r="T1001" t="s">
        <v>29</v>
      </c>
      <c r="U1001" t="s">
        <v>1805</v>
      </c>
      <c r="V1001">
        <v>40000</v>
      </c>
      <c r="W1001">
        <v>1</v>
      </c>
      <c r="X1001" t="s">
        <v>52</v>
      </c>
      <c r="Y1001" t="s">
        <v>60</v>
      </c>
      <c r="Z1001" t="s">
        <v>19</v>
      </c>
      <c r="AA1001" t="s">
        <v>3580</v>
      </c>
      <c r="AB1001" t="s">
        <v>3578</v>
      </c>
      <c r="AC1001" t="s">
        <v>3579</v>
      </c>
      <c r="AD1001" t="s">
        <v>3479</v>
      </c>
      <c r="AE1001" t="s">
        <v>3475</v>
      </c>
      <c r="AF1001" s="2">
        <v>699.09820000000002</v>
      </c>
      <c r="AG1001" s="2">
        <v>413.1463</v>
      </c>
      <c r="AH1001" s="2">
        <v>285.95190000000002</v>
      </c>
      <c r="AI1001" s="3">
        <v>0.409029661355157</v>
      </c>
    </row>
    <row r="1002" spans="1:35">
      <c r="A1002" s="1">
        <v>42155</v>
      </c>
      <c r="B1002" s="1">
        <v>37323</v>
      </c>
      <c r="C1002" t="s">
        <v>4549</v>
      </c>
      <c r="D1002">
        <v>330</v>
      </c>
      <c r="E1002">
        <v>14894</v>
      </c>
      <c r="F1002">
        <v>1</v>
      </c>
      <c r="G1002">
        <v>1</v>
      </c>
      <c r="H1002">
        <v>1</v>
      </c>
      <c r="I1002">
        <v>2</v>
      </c>
      <c r="J1002" t="s">
        <v>3505</v>
      </c>
      <c r="K1002" t="s">
        <v>3506</v>
      </c>
      <c r="L1002" s="2">
        <v>413.1463</v>
      </c>
      <c r="M1002" s="2">
        <v>699.09820000000002</v>
      </c>
      <c r="N1002" t="s">
        <v>13</v>
      </c>
      <c r="O1002" t="s">
        <v>229</v>
      </c>
      <c r="P1002" t="s">
        <v>173</v>
      </c>
      <c r="Q1002" t="s">
        <v>7331</v>
      </c>
      <c r="R1002" s="1">
        <v>20412</v>
      </c>
      <c r="S1002" t="s">
        <v>16</v>
      </c>
      <c r="T1002" t="s">
        <v>16</v>
      </c>
      <c r="U1002" t="s">
        <v>1806</v>
      </c>
      <c r="V1002">
        <v>40000</v>
      </c>
      <c r="W1002">
        <v>1</v>
      </c>
      <c r="X1002" t="s">
        <v>52</v>
      </c>
      <c r="Y1002" t="s">
        <v>60</v>
      </c>
      <c r="Z1002" t="s">
        <v>19</v>
      </c>
      <c r="AA1002" t="s">
        <v>3577</v>
      </c>
      <c r="AB1002" t="s">
        <v>3578</v>
      </c>
      <c r="AC1002" t="s">
        <v>3579</v>
      </c>
      <c r="AD1002" t="s">
        <v>3479</v>
      </c>
      <c r="AE1002" t="s">
        <v>3475</v>
      </c>
      <c r="AF1002" s="2">
        <v>699.09820000000002</v>
      </c>
      <c r="AG1002" s="2">
        <v>413.1463</v>
      </c>
      <c r="AH1002" s="2">
        <v>285.95190000000002</v>
      </c>
      <c r="AI1002" s="3">
        <v>0.409029661355157</v>
      </c>
    </row>
    <row r="1003" spans="1:35">
      <c r="A1003" s="1">
        <v>42127</v>
      </c>
      <c r="B1003" s="1">
        <v>37268</v>
      </c>
      <c r="C1003" t="s">
        <v>4363</v>
      </c>
      <c r="D1003">
        <v>334</v>
      </c>
      <c r="E1003">
        <v>14895</v>
      </c>
      <c r="F1003">
        <v>4</v>
      </c>
      <c r="G1003">
        <v>1</v>
      </c>
      <c r="H1003">
        <v>1</v>
      </c>
      <c r="I1003">
        <v>2</v>
      </c>
      <c r="J1003" t="s">
        <v>3509</v>
      </c>
      <c r="K1003" t="s">
        <v>3510</v>
      </c>
      <c r="L1003" s="2">
        <v>413.1463</v>
      </c>
      <c r="M1003" s="2">
        <v>699.09820000000002</v>
      </c>
      <c r="N1003" t="s">
        <v>13</v>
      </c>
      <c r="O1003" t="s">
        <v>1281</v>
      </c>
      <c r="P1003" t="s">
        <v>101</v>
      </c>
      <c r="Q1003" t="s">
        <v>7332</v>
      </c>
      <c r="R1003" s="1">
        <v>20369</v>
      </c>
      <c r="S1003" t="s">
        <v>16</v>
      </c>
      <c r="T1003" t="s">
        <v>16</v>
      </c>
      <c r="U1003" t="s">
        <v>1807</v>
      </c>
      <c r="V1003">
        <v>40000</v>
      </c>
      <c r="W1003">
        <v>1</v>
      </c>
      <c r="X1003" t="s">
        <v>52</v>
      </c>
      <c r="Y1003" t="s">
        <v>60</v>
      </c>
      <c r="Z1003" t="s">
        <v>19</v>
      </c>
      <c r="AA1003" t="s">
        <v>3580</v>
      </c>
      <c r="AB1003" t="s">
        <v>3578</v>
      </c>
      <c r="AC1003" t="s">
        <v>3579</v>
      </c>
      <c r="AD1003" t="s">
        <v>3479</v>
      </c>
      <c r="AE1003" t="s">
        <v>3475</v>
      </c>
      <c r="AF1003" s="2">
        <v>699.09820000000002</v>
      </c>
      <c r="AG1003" s="2">
        <v>413.1463</v>
      </c>
      <c r="AH1003" s="2">
        <v>285.95190000000002</v>
      </c>
      <c r="AI1003" s="3">
        <v>0.409029661355157</v>
      </c>
    </row>
    <row r="1004" spans="1:35">
      <c r="A1004" s="1">
        <v>42143</v>
      </c>
      <c r="B1004" s="1">
        <v>37319</v>
      </c>
      <c r="C1004" t="s">
        <v>4478</v>
      </c>
      <c r="D1004">
        <v>324</v>
      </c>
      <c r="E1004">
        <v>14896</v>
      </c>
      <c r="F1004">
        <v>4</v>
      </c>
      <c r="G1004">
        <v>1</v>
      </c>
      <c r="H1004">
        <v>1</v>
      </c>
      <c r="I1004">
        <v>2</v>
      </c>
      <c r="J1004" t="s">
        <v>3499</v>
      </c>
      <c r="K1004" t="s">
        <v>3500</v>
      </c>
      <c r="L1004" s="2">
        <v>413.1463</v>
      </c>
      <c r="M1004" s="2">
        <v>699.09820000000002</v>
      </c>
      <c r="N1004" t="s">
        <v>30</v>
      </c>
      <c r="O1004" t="s">
        <v>322</v>
      </c>
      <c r="P1004" t="s">
        <v>113</v>
      </c>
      <c r="Q1004" t="s">
        <v>7333</v>
      </c>
      <c r="R1004" s="1">
        <v>20220</v>
      </c>
      <c r="S1004" t="s">
        <v>16</v>
      </c>
      <c r="T1004" t="s">
        <v>29</v>
      </c>
      <c r="U1004" t="s">
        <v>1808</v>
      </c>
      <c r="V1004">
        <v>40000</v>
      </c>
      <c r="W1004">
        <v>1</v>
      </c>
      <c r="X1004" t="s">
        <v>52</v>
      </c>
      <c r="Y1004" t="s">
        <v>60</v>
      </c>
      <c r="Z1004" t="s">
        <v>19</v>
      </c>
      <c r="AA1004" t="s">
        <v>3580</v>
      </c>
      <c r="AB1004" t="s">
        <v>3578</v>
      </c>
      <c r="AC1004" t="s">
        <v>3579</v>
      </c>
      <c r="AD1004" t="s">
        <v>3479</v>
      </c>
      <c r="AE1004" t="s">
        <v>3475</v>
      </c>
      <c r="AF1004" s="2">
        <v>699.09820000000002</v>
      </c>
      <c r="AG1004" s="2">
        <v>413.1463</v>
      </c>
      <c r="AH1004" s="2">
        <v>285.95190000000002</v>
      </c>
      <c r="AI1004" s="3">
        <v>0.409029661355157</v>
      </c>
    </row>
    <row r="1005" spans="1:35">
      <c r="A1005" s="1">
        <v>42140</v>
      </c>
      <c r="B1005" s="1">
        <v>37298</v>
      </c>
      <c r="C1005" t="s">
        <v>4451</v>
      </c>
      <c r="D1005">
        <v>328</v>
      </c>
      <c r="E1005">
        <v>14902</v>
      </c>
      <c r="F1005">
        <v>4</v>
      </c>
      <c r="G1005">
        <v>1</v>
      </c>
      <c r="H1005">
        <v>1</v>
      </c>
      <c r="I1005">
        <v>2</v>
      </c>
      <c r="J1005" t="s">
        <v>3503</v>
      </c>
      <c r="K1005" t="s">
        <v>3504</v>
      </c>
      <c r="L1005" s="2">
        <v>413.1463</v>
      </c>
      <c r="M1005" s="2">
        <v>699.09820000000002</v>
      </c>
      <c r="N1005" t="s">
        <v>30</v>
      </c>
      <c r="O1005" t="s">
        <v>944</v>
      </c>
      <c r="P1005" t="s">
        <v>136</v>
      </c>
      <c r="Q1005" t="s">
        <v>7334</v>
      </c>
      <c r="R1005" s="1">
        <v>20722</v>
      </c>
      <c r="S1005" t="s">
        <v>16</v>
      </c>
      <c r="T1005" t="s">
        <v>29</v>
      </c>
      <c r="U1005" t="s">
        <v>1809</v>
      </c>
      <c r="V1005">
        <v>40000</v>
      </c>
      <c r="W1005">
        <v>1</v>
      </c>
      <c r="X1005" t="s">
        <v>52</v>
      </c>
      <c r="Y1005" t="s">
        <v>60</v>
      </c>
      <c r="Z1005" t="s">
        <v>19</v>
      </c>
      <c r="AA1005" t="s">
        <v>3580</v>
      </c>
      <c r="AB1005" t="s">
        <v>3578</v>
      </c>
      <c r="AC1005" t="s">
        <v>3579</v>
      </c>
      <c r="AD1005" t="s">
        <v>3479</v>
      </c>
      <c r="AE1005" t="s">
        <v>3475</v>
      </c>
      <c r="AF1005" s="2">
        <v>699.09820000000002</v>
      </c>
      <c r="AG1005" s="2">
        <v>413.1463</v>
      </c>
      <c r="AH1005" s="2">
        <v>285.95190000000002</v>
      </c>
      <c r="AI1005" s="3">
        <v>0.409029661355157</v>
      </c>
    </row>
    <row r="1006" spans="1:35">
      <c r="A1006" s="1">
        <v>42125</v>
      </c>
      <c r="B1006" s="1">
        <v>37300</v>
      </c>
      <c r="C1006" t="s">
        <v>4352</v>
      </c>
      <c r="D1006">
        <v>332</v>
      </c>
      <c r="E1006">
        <v>14912</v>
      </c>
      <c r="F1006">
        <v>4</v>
      </c>
      <c r="G1006">
        <v>1</v>
      </c>
      <c r="H1006">
        <v>1</v>
      </c>
      <c r="I1006">
        <v>2</v>
      </c>
      <c r="J1006" t="s">
        <v>3507</v>
      </c>
      <c r="K1006" t="s">
        <v>3508</v>
      </c>
      <c r="L1006" s="2">
        <v>413.1463</v>
      </c>
      <c r="M1006" s="2">
        <v>699.09820000000002</v>
      </c>
      <c r="N1006" t="s">
        <v>30</v>
      </c>
      <c r="O1006" t="s">
        <v>721</v>
      </c>
      <c r="P1006" t="s">
        <v>254</v>
      </c>
      <c r="Q1006" t="s">
        <v>7335</v>
      </c>
      <c r="R1006" s="1">
        <v>21053</v>
      </c>
      <c r="S1006" t="s">
        <v>16</v>
      </c>
      <c r="T1006" t="s">
        <v>29</v>
      </c>
      <c r="U1006" t="s">
        <v>1810</v>
      </c>
      <c r="V1006">
        <v>40000</v>
      </c>
      <c r="W1006">
        <v>1</v>
      </c>
      <c r="X1006" t="s">
        <v>52</v>
      </c>
      <c r="Y1006" t="s">
        <v>60</v>
      </c>
      <c r="Z1006" t="s">
        <v>19</v>
      </c>
      <c r="AA1006" t="s">
        <v>3580</v>
      </c>
      <c r="AB1006" t="s">
        <v>3578</v>
      </c>
      <c r="AC1006" t="s">
        <v>3579</v>
      </c>
      <c r="AD1006" t="s">
        <v>3479</v>
      </c>
      <c r="AE1006" t="s">
        <v>3475</v>
      </c>
      <c r="AF1006" s="2">
        <v>699.09820000000002</v>
      </c>
      <c r="AG1006" s="2">
        <v>413.1463</v>
      </c>
      <c r="AH1006" s="2">
        <v>285.95190000000002</v>
      </c>
      <c r="AI1006" s="3">
        <v>0.409029661355157</v>
      </c>
    </row>
    <row r="1007" spans="1:35">
      <c r="A1007" s="1">
        <v>42170</v>
      </c>
      <c r="B1007" s="1">
        <v>37397</v>
      </c>
      <c r="C1007" t="s">
        <v>4644</v>
      </c>
      <c r="D1007">
        <v>338</v>
      </c>
      <c r="E1007">
        <v>14913</v>
      </c>
      <c r="F1007">
        <v>4</v>
      </c>
      <c r="G1007">
        <v>1</v>
      </c>
      <c r="H1007">
        <v>1</v>
      </c>
      <c r="I1007">
        <v>2</v>
      </c>
      <c r="J1007" t="s">
        <v>3513</v>
      </c>
      <c r="K1007" t="s">
        <v>3514</v>
      </c>
      <c r="L1007" s="2">
        <v>413.1463</v>
      </c>
      <c r="M1007" s="2">
        <v>699.09820000000002</v>
      </c>
      <c r="N1007" t="s">
        <v>30</v>
      </c>
      <c r="O1007" t="s">
        <v>50</v>
      </c>
      <c r="P1007" t="s">
        <v>277</v>
      </c>
      <c r="Q1007" t="s">
        <v>7336</v>
      </c>
      <c r="R1007" s="1">
        <v>21111</v>
      </c>
      <c r="S1007" t="s">
        <v>16</v>
      </c>
      <c r="T1007" t="s">
        <v>29</v>
      </c>
      <c r="U1007" t="s">
        <v>1811</v>
      </c>
      <c r="V1007">
        <v>40000</v>
      </c>
      <c r="W1007">
        <v>1</v>
      </c>
      <c r="X1007" t="s">
        <v>52</v>
      </c>
      <c r="Y1007" t="s">
        <v>60</v>
      </c>
      <c r="Z1007" t="s">
        <v>19</v>
      </c>
      <c r="AA1007" t="s">
        <v>3580</v>
      </c>
      <c r="AB1007" t="s">
        <v>3578</v>
      </c>
      <c r="AC1007" t="s">
        <v>3579</v>
      </c>
      <c r="AD1007" t="s">
        <v>3479</v>
      </c>
      <c r="AE1007" t="s">
        <v>3475</v>
      </c>
      <c r="AF1007" s="2">
        <v>699.09820000000002</v>
      </c>
      <c r="AG1007" s="2">
        <v>413.1463</v>
      </c>
      <c r="AH1007" s="2">
        <v>285.95190000000002</v>
      </c>
      <c r="AI1007" s="3">
        <v>0.409029661355157</v>
      </c>
    </row>
    <row r="1008" spans="1:35">
      <c r="A1008" s="1">
        <v>42178</v>
      </c>
      <c r="B1008" s="1">
        <v>37397</v>
      </c>
      <c r="C1008" t="s">
        <v>4703</v>
      </c>
      <c r="D1008">
        <v>330</v>
      </c>
      <c r="E1008">
        <v>14914</v>
      </c>
      <c r="F1008">
        <v>4</v>
      </c>
      <c r="G1008">
        <v>1</v>
      </c>
      <c r="H1008">
        <v>1</v>
      </c>
      <c r="I1008">
        <v>2</v>
      </c>
      <c r="J1008" t="s">
        <v>3505</v>
      </c>
      <c r="K1008" t="s">
        <v>3506</v>
      </c>
      <c r="L1008" s="2">
        <v>413.1463</v>
      </c>
      <c r="M1008" s="2">
        <v>699.09820000000002</v>
      </c>
      <c r="N1008" t="s">
        <v>30</v>
      </c>
      <c r="O1008" t="s">
        <v>944</v>
      </c>
      <c r="P1008" t="s">
        <v>314</v>
      </c>
      <c r="Q1008" t="s">
        <v>7337</v>
      </c>
      <c r="R1008" s="1">
        <v>21050</v>
      </c>
      <c r="S1008" t="s">
        <v>16</v>
      </c>
      <c r="T1008" t="s">
        <v>29</v>
      </c>
      <c r="U1008" t="s">
        <v>1812</v>
      </c>
      <c r="V1008">
        <v>40000</v>
      </c>
      <c r="W1008">
        <v>1</v>
      </c>
      <c r="X1008" t="s">
        <v>52</v>
      </c>
      <c r="Y1008" t="s">
        <v>60</v>
      </c>
      <c r="Z1008" t="s">
        <v>19</v>
      </c>
      <c r="AA1008" t="s">
        <v>3580</v>
      </c>
      <c r="AB1008" t="s">
        <v>3578</v>
      </c>
      <c r="AC1008" t="s">
        <v>3579</v>
      </c>
      <c r="AD1008" t="s">
        <v>3479</v>
      </c>
      <c r="AE1008" t="s">
        <v>3475</v>
      </c>
      <c r="AF1008" s="2">
        <v>699.09820000000002</v>
      </c>
      <c r="AG1008" s="2">
        <v>413.1463</v>
      </c>
      <c r="AH1008" s="2">
        <v>285.95190000000002</v>
      </c>
      <c r="AI1008" s="3">
        <v>0.409029661355157</v>
      </c>
    </row>
    <row r="1009" spans="1:35">
      <c r="A1009" s="1">
        <v>42167</v>
      </c>
      <c r="B1009" s="1">
        <v>37318</v>
      </c>
      <c r="C1009" t="s">
        <v>4630</v>
      </c>
      <c r="D1009">
        <v>322</v>
      </c>
      <c r="E1009">
        <v>14915</v>
      </c>
      <c r="F1009">
        <v>1</v>
      </c>
      <c r="G1009">
        <v>1</v>
      </c>
      <c r="H1009">
        <v>1</v>
      </c>
      <c r="I1009">
        <v>2</v>
      </c>
      <c r="J1009" t="s">
        <v>3497</v>
      </c>
      <c r="K1009" t="s">
        <v>3498</v>
      </c>
      <c r="L1009" s="2">
        <v>413.1463</v>
      </c>
      <c r="M1009" s="2">
        <v>699.09820000000002</v>
      </c>
      <c r="N1009" t="s">
        <v>30</v>
      </c>
      <c r="O1009" t="s">
        <v>593</v>
      </c>
      <c r="P1009" t="s">
        <v>294</v>
      </c>
      <c r="Q1009" t="s">
        <v>7338</v>
      </c>
      <c r="R1009" s="1">
        <v>21104</v>
      </c>
      <c r="S1009" t="s">
        <v>16</v>
      </c>
      <c r="T1009" t="s">
        <v>29</v>
      </c>
      <c r="U1009" t="s">
        <v>1813</v>
      </c>
      <c r="V1009">
        <v>40000</v>
      </c>
      <c r="W1009">
        <v>1</v>
      </c>
      <c r="X1009" t="s">
        <v>52</v>
      </c>
      <c r="Y1009" t="s">
        <v>60</v>
      </c>
      <c r="Z1009" t="s">
        <v>19</v>
      </c>
      <c r="AA1009" t="s">
        <v>3577</v>
      </c>
      <c r="AB1009" t="s">
        <v>3578</v>
      </c>
      <c r="AC1009" t="s">
        <v>3579</v>
      </c>
      <c r="AD1009" t="s">
        <v>3479</v>
      </c>
      <c r="AE1009" t="s">
        <v>3475</v>
      </c>
      <c r="AF1009" s="2">
        <v>699.09820000000002</v>
      </c>
      <c r="AG1009" s="2">
        <v>413.1463</v>
      </c>
      <c r="AH1009" s="2">
        <v>285.95190000000002</v>
      </c>
      <c r="AI1009" s="3">
        <v>0.409029661355157</v>
      </c>
    </row>
    <row r="1010" spans="1:35">
      <c r="A1010" s="1">
        <v>42333</v>
      </c>
      <c r="B1010" s="1">
        <v>37560</v>
      </c>
      <c r="C1010" t="s">
        <v>5851</v>
      </c>
      <c r="D1010">
        <v>379</v>
      </c>
      <c r="E1010">
        <v>14925</v>
      </c>
      <c r="F1010">
        <v>7</v>
      </c>
      <c r="G1010">
        <v>1</v>
      </c>
      <c r="H1010">
        <v>1</v>
      </c>
      <c r="I1010">
        <v>2</v>
      </c>
      <c r="J1010" t="s">
        <v>3561</v>
      </c>
      <c r="K1010" t="s">
        <v>3562</v>
      </c>
      <c r="L1010" s="2">
        <v>1320.6838</v>
      </c>
      <c r="M1010" s="2">
        <v>2181.5625</v>
      </c>
      <c r="N1010" t="s">
        <v>30</v>
      </c>
      <c r="O1010" t="s">
        <v>289</v>
      </c>
      <c r="P1010" t="s">
        <v>280</v>
      </c>
      <c r="Q1010" t="s">
        <v>7339</v>
      </c>
      <c r="R1010" s="1">
        <v>25139</v>
      </c>
      <c r="S1010" t="s">
        <v>16</v>
      </c>
      <c r="T1010" t="s">
        <v>29</v>
      </c>
      <c r="U1010" t="s">
        <v>1814</v>
      </c>
      <c r="V1010">
        <v>30000</v>
      </c>
      <c r="W1010">
        <v>1</v>
      </c>
      <c r="X1010" t="s">
        <v>17</v>
      </c>
      <c r="Y1010" t="s">
        <v>60</v>
      </c>
      <c r="Z1010" t="s">
        <v>19</v>
      </c>
      <c r="AA1010" t="s">
        <v>3583</v>
      </c>
      <c r="AB1010" t="s">
        <v>3583</v>
      </c>
      <c r="AC1010" t="s">
        <v>3584</v>
      </c>
      <c r="AD1010" t="s">
        <v>3479</v>
      </c>
      <c r="AE1010" t="s">
        <v>3475</v>
      </c>
      <c r="AF1010" s="2">
        <v>2181.5625</v>
      </c>
      <c r="AG1010" s="2">
        <v>1320.6838</v>
      </c>
      <c r="AH1010" s="2">
        <v>860.87869999999998</v>
      </c>
      <c r="AI1010" s="3">
        <v>0.39461564818793898</v>
      </c>
    </row>
    <row r="1011" spans="1:35">
      <c r="A1011" s="1">
        <v>42335</v>
      </c>
      <c r="B1011" s="1">
        <v>37512</v>
      </c>
      <c r="C1011" t="s">
        <v>5871</v>
      </c>
      <c r="D1011">
        <v>369</v>
      </c>
      <c r="E1011">
        <v>14926</v>
      </c>
      <c r="F1011">
        <v>7</v>
      </c>
      <c r="G1011">
        <v>1</v>
      </c>
      <c r="H1011">
        <v>1</v>
      </c>
      <c r="I1011">
        <v>2</v>
      </c>
      <c r="J1011" t="s">
        <v>3549</v>
      </c>
      <c r="K1011" t="s">
        <v>3550</v>
      </c>
      <c r="L1011" s="2">
        <v>1518.7864</v>
      </c>
      <c r="M1011" s="2">
        <v>2443.35</v>
      </c>
      <c r="N1011" t="s">
        <v>13</v>
      </c>
      <c r="O1011" t="s">
        <v>766</v>
      </c>
      <c r="P1011" t="s">
        <v>572</v>
      </c>
      <c r="Q1011" t="s">
        <v>7340</v>
      </c>
      <c r="R1011" s="1">
        <v>24918</v>
      </c>
      <c r="S1011" t="s">
        <v>16</v>
      </c>
      <c r="T1011" t="s">
        <v>16</v>
      </c>
      <c r="U1011" t="s">
        <v>1815</v>
      </c>
      <c r="V1011">
        <v>30000</v>
      </c>
      <c r="W1011">
        <v>1</v>
      </c>
      <c r="X1011" t="s">
        <v>17</v>
      </c>
      <c r="Y1011" t="s">
        <v>60</v>
      </c>
      <c r="Z1011" t="s">
        <v>19</v>
      </c>
      <c r="AA1011" t="s">
        <v>3583</v>
      </c>
      <c r="AB1011" t="s">
        <v>3583</v>
      </c>
      <c r="AC1011" t="s">
        <v>3584</v>
      </c>
      <c r="AD1011" t="s">
        <v>3479</v>
      </c>
      <c r="AE1011" t="s">
        <v>3475</v>
      </c>
      <c r="AF1011" s="2">
        <v>2443.35</v>
      </c>
      <c r="AG1011" s="2">
        <v>1518.7864</v>
      </c>
      <c r="AH1011" s="2">
        <v>924.56359999999995</v>
      </c>
      <c r="AI1011" s="3">
        <v>0.37839998362903399</v>
      </c>
    </row>
    <row r="1012" spans="1:35">
      <c r="A1012" s="1">
        <v>42142</v>
      </c>
      <c r="B1012" s="1">
        <v>37317</v>
      </c>
      <c r="C1012" t="s">
        <v>4474</v>
      </c>
      <c r="D1012">
        <v>312</v>
      </c>
      <c r="E1012">
        <v>14927</v>
      </c>
      <c r="F1012">
        <v>8</v>
      </c>
      <c r="G1012">
        <v>1</v>
      </c>
      <c r="H1012">
        <v>1</v>
      </c>
      <c r="I1012">
        <v>2</v>
      </c>
      <c r="J1012" t="s">
        <v>3489</v>
      </c>
      <c r="K1012" t="s">
        <v>3490</v>
      </c>
      <c r="L1012" s="2">
        <v>2171.2941999999998</v>
      </c>
      <c r="M1012" s="2">
        <v>3578.27</v>
      </c>
      <c r="N1012" t="s">
        <v>30</v>
      </c>
      <c r="O1012" t="s">
        <v>1175</v>
      </c>
      <c r="P1012" t="s">
        <v>290</v>
      </c>
      <c r="Q1012" t="s">
        <v>7341</v>
      </c>
      <c r="R1012" s="1">
        <v>25107</v>
      </c>
      <c r="S1012" t="s">
        <v>16</v>
      </c>
      <c r="T1012" t="s">
        <v>29</v>
      </c>
      <c r="U1012" t="s">
        <v>1816</v>
      </c>
      <c r="V1012">
        <v>30000</v>
      </c>
      <c r="W1012">
        <v>1</v>
      </c>
      <c r="X1012" t="s">
        <v>17</v>
      </c>
      <c r="Y1012" t="s">
        <v>60</v>
      </c>
      <c r="Z1012" t="s">
        <v>19</v>
      </c>
      <c r="AA1012" t="s">
        <v>3585</v>
      </c>
      <c r="AB1012" t="s">
        <v>3585</v>
      </c>
      <c r="AC1012" t="s">
        <v>3584</v>
      </c>
      <c r="AD1012" t="s">
        <v>3479</v>
      </c>
      <c r="AE1012" t="s">
        <v>3475</v>
      </c>
      <c r="AF1012" s="2">
        <v>3578.27</v>
      </c>
      <c r="AG1012" s="2">
        <v>2171.2941999999998</v>
      </c>
      <c r="AH1012" s="2">
        <v>1406.9757999999999</v>
      </c>
      <c r="AI1012" s="3">
        <v>0.39320001006072802</v>
      </c>
    </row>
    <row r="1013" spans="1:35">
      <c r="A1013" s="1">
        <v>42034</v>
      </c>
      <c r="B1013" s="1">
        <v>37260</v>
      </c>
      <c r="C1013" t="s">
        <v>3768</v>
      </c>
      <c r="D1013">
        <v>310</v>
      </c>
      <c r="E1013">
        <v>14928</v>
      </c>
      <c r="F1013">
        <v>10</v>
      </c>
      <c r="G1013">
        <v>1</v>
      </c>
      <c r="H1013">
        <v>1</v>
      </c>
      <c r="I1013">
        <v>2</v>
      </c>
      <c r="J1013" t="s">
        <v>3485</v>
      </c>
      <c r="K1013" t="s">
        <v>3486</v>
      </c>
      <c r="L1013" s="2">
        <v>2171.2941999999998</v>
      </c>
      <c r="M1013" s="2">
        <v>3578.27</v>
      </c>
      <c r="N1013" t="s">
        <v>13</v>
      </c>
      <c r="O1013" t="s">
        <v>454</v>
      </c>
      <c r="P1013" t="s">
        <v>363</v>
      </c>
      <c r="Q1013" t="s">
        <v>7342</v>
      </c>
      <c r="R1013" s="1">
        <v>24918</v>
      </c>
      <c r="S1013" t="s">
        <v>16</v>
      </c>
      <c r="T1013" t="s">
        <v>16</v>
      </c>
      <c r="U1013" t="s">
        <v>1817</v>
      </c>
      <c r="V1013">
        <v>30000</v>
      </c>
      <c r="W1013">
        <v>1</v>
      </c>
      <c r="X1013" t="s">
        <v>17</v>
      </c>
      <c r="Y1013" t="s">
        <v>60</v>
      </c>
      <c r="Z1013" t="s">
        <v>19</v>
      </c>
      <c r="AA1013" t="s">
        <v>3588</v>
      </c>
      <c r="AB1013" t="s">
        <v>3588</v>
      </c>
      <c r="AC1013" t="s">
        <v>3584</v>
      </c>
      <c r="AD1013" t="s">
        <v>3479</v>
      </c>
      <c r="AE1013" t="s">
        <v>3475</v>
      </c>
      <c r="AF1013" s="2">
        <v>3578.27</v>
      </c>
      <c r="AG1013" s="2">
        <v>2171.2941999999998</v>
      </c>
      <c r="AH1013" s="2">
        <v>1406.9757999999999</v>
      </c>
      <c r="AI1013" s="3">
        <v>0.39320001006072802</v>
      </c>
    </row>
    <row r="1014" spans="1:35">
      <c r="A1014" s="1">
        <v>42022</v>
      </c>
      <c r="B1014" s="1">
        <v>37189</v>
      </c>
      <c r="C1014" t="s">
        <v>3697</v>
      </c>
      <c r="D1014">
        <v>310</v>
      </c>
      <c r="E1014">
        <v>14929</v>
      </c>
      <c r="F1014">
        <v>10</v>
      </c>
      <c r="G1014">
        <v>1</v>
      </c>
      <c r="H1014">
        <v>1</v>
      </c>
      <c r="I1014">
        <v>2</v>
      </c>
      <c r="J1014" t="s">
        <v>3485</v>
      </c>
      <c r="K1014" t="s">
        <v>3486</v>
      </c>
      <c r="L1014" s="2">
        <v>2171.2941999999998</v>
      </c>
      <c r="M1014" s="2">
        <v>3578.27</v>
      </c>
      <c r="N1014" t="s">
        <v>13</v>
      </c>
      <c r="O1014" t="s">
        <v>742</v>
      </c>
      <c r="P1014" t="s">
        <v>195</v>
      </c>
      <c r="Q1014" t="s">
        <v>7343</v>
      </c>
      <c r="R1014" s="1">
        <v>25114</v>
      </c>
      <c r="S1014" t="s">
        <v>16</v>
      </c>
      <c r="T1014" t="s">
        <v>16</v>
      </c>
      <c r="U1014" t="s">
        <v>1818</v>
      </c>
      <c r="V1014">
        <v>30000</v>
      </c>
      <c r="W1014">
        <v>1</v>
      </c>
      <c r="X1014" t="s">
        <v>17</v>
      </c>
      <c r="Y1014" t="s">
        <v>60</v>
      </c>
      <c r="Z1014" t="s">
        <v>19</v>
      </c>
      <c r="AA1014" t="s">
        <v>3588</v>
      </c>
      <c r="AB1014" t="s">
        <v>3588</v>
      </c>
      <c r="AC1014" t="s">
        <v>3584</v>
      </c>
      <c r="AD1014" t="s">
        <v>3479</v>
      </c>
      <c r="AE1014" t="s">
        <v>3475</v>
      </c>
      <c r="AF1014" s="2">
        <v>3578.27</v>
      </c>
      <c r="AG1014" s="2">
        <v>2171.2941999999998</v>
      </c>
      <c r="AH1014" s="2">
        <v>1406.9757999999999</v>
      </c>
      <c r="AI1014" s="3">
        <v>0.39320001006072802</v>
      </c>
    </row>
    <row r="1015" spans="1:35">
      <c r="A1015" s="1">
        <v>42314</v>
      </c>
      <c r="B1015" s="1">
        <v>37503</v>
      </c>
      <c r="C1015" t="s">
        <v>5732</v>
      </c>
      <c r="D1015">
        <v>377</v>
      </c>
      <c r="E1015">
        <v>14930</v>
      </c>
      <c r="F1015">
        <v>7</v>
      </c>
      <c r="G1015">
        <v>1</v>
      </c>
      <c r="H1015">
        <v>1</v>
      </c>
      <c r="I1015">
        <v>2</v>
      </c>
      <c r="J1015" t="s">
        <v>3559</v>
      </c>
      <c r="K1015" t="s">
        <v>3560</v>
      </c>
      <c r="L1015" s="2">
        <v>1320.6838</v>
      </c>
      <c r="M1015" s="2">
        <v>2181.5625</v>
      </c>
      <c r="N1015" t="s">
        <v>30</v>
      </c>
      <c r="O1015" t="s">
        <v>362</v>
      </c>
      <c r="P1015" t="s">
        <v>207</v>
      </c>
      <c r="Q1015" t="s">
        <v>7344</v>
      </c>
      <c r="R1015" s="1">
        <v>25020</v>
      </c>
      <c r="S1015" t="s">
        <v>22</v>
      </c>
      <c r="T1015" t="s">
        <v>29</v>
      </c>
      <c r="U1015" t="s">
        <v>1819</v>
      </c>
      <c r="V1015">
        <v>30000</v>
      </c>
      <c r="W1015">
        <v>1</v>
      </c>
      <c r="X1015" t="s">
        <v>17</v>
      </c>
      <c r="Y1015" t="s">
        <v>60</v>
      </c>
      <c r="Z1015" t="s">
        <v>23</v>
      </c>
      <c r="AA1015" t="s">
        <v>3583</v>
      </c>
      <c r="AB1015" t="s">
        <v>3583</v>
      </c>
      <c r="AC1015" t="s">
        <v>3584</v>
      </c>
      <c r="AD1015" t="s">
        <v>3479</v>
      </c>
      <c r="AE1015" t="s">
        <v>3475</v>
      </c>
      <c r="AF1015" s="2">
        <v>2181.5625</v>
      </c>
      <c r="AG1015" s="2">
        <v>1320.6838</v>
      </c>
      <c r="AH1015" s="2">
        <v>860.87869999999998</v>
      </c>
      <c r="AI1015" s="3">
        <v>0.39461564818793898</v>
      </c>
    </row>
    <row r="1016" spans="1:35">
      <c r="A1016" s="1">
        <v>42337</v>
      </c>
      <c r="B1016" s="1">
        <v>37545</v>
      </c>
      <c r="C1016" t="s">
        <v>5883</v>
      </c>
      <c r="D1016">
        <v>371</v>
      </c>
      <c r="E1016">
        <v>14931</v>
      </c>
      <c r="F1016">
        <v>7</v>
      </c>
      <c r="G1016">
        <v>1</v>
      </c>
      <c r="H1016">
        <v>1</v>
      </c>
      <c r="I1016">
        <v>2</v>
      </c>
      <c r="J1016" t="s">
        <v>3553</v>
      </c>
      <c r="K1016" t="s">
        <v>3554</v>
      </c>
      <c r="L1016" s="2">
        <v>1320.6838</v>
      </c>
      <c r="M1016" s="2">
        <v>2181.5625</v>
      </c>
      <c r="N1016" t="s">
        <v>13</v>
      </c>
      <c r="O1016" t="s">
        <v>1100</v>
      </c>
      <c r="P1016" t="s">
        <v>490</v>
      </c>
      <c r="Q1016" t="s">
        <v>7345</v>
      </c>
      <c r="R1016" s="1">
        <v>25144</v>
      </c>
      <c r="S1016" t="s">
        <v>16</v>
      </c>
      <c r="T1016" t="s">
        <v>16</v>
      </c>
      <c r="U1016" t="s">
        <v>1820</v>
      </c>
      <c r="V1016">
        <v>40000</v>
      </c>
      <c r="W1016">
        <v>0</v>
      </c>
      <c r="X1016" t="s">
        <v>135</v>
      </c>
      <c r="Y1016" t="s">
        <v>60</v>
      </c>
      <c r="Z1016" t="s">
        <v>19</v>
      </c>
      <c r="AA1016" t="s">
        <v>3583</v>
      </c>
      <c r="AB1016" t="s">
        <v>3583</v>
      </c>
      <c r="AC1016" t="s">
        <v>3584</v>
      </c>
      <c r="AD1016" t="s">
        <v>3479</v>
      </c>
      <c r="AE1016" t="s">
        <v>3475</v>
      </c>
      <c r="AF1016" s="2">
        <v>2181.5625</v>
      </c>
      <c r="AG1016" s="2">
        <v>1320.6838</v>
      </c>
      <c r="AH1016" s="2">
        <v>860.87869999999998</v>
      </c>
      <c r="AI1016" s="3">
        <v>0.39461564818793898</v>
      </c>
    </row>
    <row r="1017" spans="1:35">
      <c r="A1017" s="1">
        <v>42011</v>
      </c>
      <c r="B1017" s="1">
        <v>37200</v>
      </c>
      <c r="C1017" t="s">
        <v>3624</v>
      </c>
      <c r="D1017">
        <v>311</v>
      </c>
      <c r="E1017">
        <v>14937</v>
      </c>
      <c r="F1017">
        <v>10</v>
      </c>
      <c r="G1017">
        <v>1</v>
      </c>
      <c r="H1017">
        <v>1</v>
      </c>
      <c r="I1017">
        <v>2</v>
      </c>
      <c r="J1017" t="s">
        <v>3487</v>
      </c>
      <c r="K1017" t="s">
        <v>3488</v>
      </c>
      <c r="L1017" s="2">
        <v>2171.2941999999998</v>
      </c>
      <c r="M1017" s="2">
        <v>3578.27</v>
      </c>
      <c r="N1017" t="s">
        <v>13</v>
      </c>
      <c r="O1017" t="s">
        <v>761</v>
      </c>
      <c r="P1017" t="s">
        <v>474</v>
      </c>
      <c r="Q1017" t="s">
        <v>7346</v>
      </c>
      <c r="R1017" s="1">
        <v>24434</v>
      </c>
      <c r="S1017" t="s">
        <v>22</v>
      </c>
      <c r="T1017" t="s">
        <v>16</v>
      </c>
      <c r="U1017" t="s">
        <v>1821</v>
      </c>
      <c r="V1017">
        <v>10000</v>
      </c>
      <c r="W1017">
        <v>4</v>
      </c>
      <c r="X1017" t="s">
        <v>77</v>
      </c>
      <c r="Y1017" t="s">
        <v>444</v>
      </c>
      <c r="Z1017" t="s">
        <v>19</v>
      </c>
      <c r="AA1017" t="s">
        <v>3588</v>
      </c>
      <c r="AB1017" t="s">
        <v>3588</v>
      </c>
      <c r="AC1017" t="s">
        <v>3584</v>
      </c>
      <c r="AD1017" t="s">
        <v>3479</v>
      </c>
      <c r="AE1017" t="s">
        <v>3475</v>
      </c>
      <c r="AF1017" s="2">
        <v>3578.27</v>
      </c>
      <c r="AG1017" s="2">
        <v>2171.2941999999998</v>
      </c>
      <c r="AH1017" s="2">
        <v>1406.9757999999999</v>
      </c>
      <c r="AI1017" s="3">
        <v>0.39320001006072802</v>
      </c>
    </row>
    <row r="1018" spans="1:35">
      <c r="A1018" s="1">
        <v>42144</v>
      </c>
      <c r="B1018" s="1">
        <v>37331</v>
      </c>
      <c r="C1018" t="s">
        <v>4486</v>
      </c>
      <c r="D1018">
        <v>313</v>
      </c>
      <c r="E1018">
        <v>14939</v>
      </c>
      <c r="F1018">
        <v>8</v>
      </c>
      <c r="G1018">
        <v>1</v>
      </c>
      <c r="H1018">
        <v>1</v>
      </c>
      <c r="I1018">
        <v>2</v>
      </c>
      <c r="J1018" t="s">
        <v>3491</v>
      </c>
      <c r="K1018" t="s">
        <v>3492</v>
      </c>
      <c r="L1018" s="2">
        <v>2171.2941999999998</v>
      </c>
      <c r="M1018" s="2">
        <v>3578.27</v>
      </c>
      <c r="N1018" t="s">
        <v>13</v>
      </c>
      <c r="O1018" t="s">
        <v>1166</v>
      </c>
      <c r="P1018" t="s">
        <v>215</v>
      </c>
      <c r="Q1018" t="s">
        <v>7347</v>
      </c>
      <c r="R1018" s="1">
        <v>24580</v>
      </c>
      <c r="S1018" t="s">
        <v>16</v>
      </c>
      <c r="T1018" t="s">
        <v>16</v>
      </c>
      <c r="U1018" t="s">
        <v>1822</v>
      </c>
      <c r="V1018">
        <v>40000</v>
      </c>
      <c r="W1018">
        <v>0</v>
      </c>
      <c r="X1018" t="s">
        <v>17</v>
      </c>
      <c r="Y1018" t="s">
        <v>60</v>
      </c>
      <c r="Z1018" t="s">
        <v>19</v>
      </c>
      <c r="AA1018" t="s">
        <v>3585</v>
      </c>
      <c r="AB1018" t="s">
        <v>3585</v>
      </c>
      <c r="AC1018" t="s">
        <v>3584</v>
      </c>
      <c r="AD1018" t="s">
        <v>3479</v>
      </c>
      <c r="AE1018" t="s">
        <v>3475</v>
      </c>
      <c r="AF1018" s="2">
        <v>3578.27</v>
      </c>
      <c r="AG1018" s="2">
        <v>2171.2941999999998</v>
      </c>
      <c r="AH1018" s="2">
        <v>1406.9757999999999</v>
      </c>
      <c r="AI1018" s="3">
        <v>0.39320001006072802</v>
      </c>
    </row>
    <row r="1019" spans="1:35">
      <c r="A1019" s="1">
        <v>42143</v>
      </c>
      <c r="B1019" s="1">
        <v>37351</v>
      </c>
      <c r="C1019" t="s">
        <v>4480</v>
      </c>
      <c r="D1019">
        <v>313</v>
      </c>
      <c r="E1019">
        <v>14940</v>
      </c>
      <c r="F1019">
        <v>8</v>
      </c>
      <c r="G1019">
        <v>1</v>
      </c>
      <c r="H1019">
        <v>1</v>
      </c>
      <c r="I1019">
        <v>2</v>
      </c>
      <c r="J1019" t="s">
        <v>3491</v>
      </c>
      <c r="K1019" t="s">
        <v>3492</v>
      </c>
      <c r="L1019" s="2">
        <v>2171.2941999999998</v>
      </c>
      <c r="M1019" s="2">
        <v>3578.27</v>
      </c>
      <c r="N1019" t="s">
        <v>26</v>
      </c>
      <c r="O1019" t="s">
        <v>1184</v>
      </c>
      <c r="P1019" t="s">
        <v>830</v>
      </c>
      <c r="Q1019" t="s">
        <v>7348</v>
      </c>
      <c r="R1019" s="1">
        <v>24526</v>
      </c>
      <c r="S1019" t="s">
        <v>16</v>
      </c>
      <c r="T1019" t="s">
        <v>29</v>
      </c>
      <c r="U1019" t="s">
        <v>1823</v>
      </c>
      <c r="V1019">
        <v>40000</v>
      </c>
      <c r="W1019">
        <v>0</v>
      </c>
      <c r="X1019" t="s">
        <v>17</v>
      </c>
      <c r="Y1019" t="s">
        <v>60</v>
      </c>
      <c r="Z1019" t="s">
        <v>23</v>
      </c>
      <c r="AA1019" t="s">
        <v>3585</v>
      </c>
      <c r="AB1019" t="s">
        <v>3585</v>
      </c>
      <c r="AC1019" t="s">
        <v>3584</v>
      </c>
      <c r="AD1019" t="s">
        <v>3479</v>
      </c>
      <c r="AE1019" t="s">
        <v>3475</v>
      </c>
      <c r="AF1019" s="2">
        <v>3578.27</v>
      </c>
      <c r="AG1019" s="2">
        <v>2171.2941999999998</v>
      </c>
      <c r="AH1019" s="2">
        <v>1406.9757999999999</v>
      </c>
      <c r="AI1019" s="3">
        <v>0.39320001006072802</v>
      </c>
    </row>
    <row r="1020" spans="1:35">
      <c r="A1020" s="1">
        <v>42018</v>
      </c>
      <c r="B1020" s="1">
        <v>37233</v>
      </c>
      <c r="C1020" t="s">
        <v>3663</v>
      </c>
      <c r="D1020">
        <v>314</v>
      </c>
      <c r="E1020">
        <v>14941</v>
      </c>
      <c r="F1020">
        <v>10</v>
      </c>
      <c r="G1020">
        <v>1</v>
      </c>
      <c r="H1020">
        <v>1</v>
      </c>
      <c r="I1020">
        <v>2</v>
      </c>
      <c r="J1020" t="s">
        <v>3493</v>
      </c>
      <c r="K1020" t="s">
        <v>3494</v>
      </c>
      <c r="L1020" s="2">
        <v>2171.2941999999998</v>
      </c>
      <c r="M1020" s="2">
        <v>3578.27</v>
      </c>
      <c r="N1020" t="s">
        <v>30</v>
      </c>
      <c r="O1020" t="s">
        <v>721</v>
      </c>
      <c r="P1020" t="s">
        <v>261</v>
      </c>
      <c r="Q1020" t="s">
        <v>7349</v>
      </c>
      <c r="R1020" s="1">
        <v>24315</v>
      </c>
      <c r="S1020" t="s">
        <v>22</v>
      </c>
      <c r="T1020" t="s">
        <v>29</v>
      </c>
      <c r="U1020" t="s">
        <v>1824</v>
      </c>
      <c r="V1020">
        <v>20000</v>
      </c>
      <c r="W1020">
        <v>2</v>
      </c>
      <c r="X1020" t="s">
        <v>57</v>
      </c>
      <c r="Y1020" t="s">
        <v>444</v>
      </c>
      <c r="Z1020" t="s">
        <v>19</v>
      </c>
      <c r="AA1020" t="s">
        <v>3588</v>
      </c>
      <c r="AB1020" t="s">
        <v>3588</v>
      </c>
      <c r="AC1020" t="s">
        <v>3584</v>
      </c>
      <c r="AD1020" t="s">
        <v>3479</v>
      </c>
      <c r="AE1020" t="s">
        <v>3475</v>
      </c>
      <c r="AF1020" s="2">
        <v>3578.27</v>
      </c>
      <c r="AG1020" s="2">
        <v>2171.2941999999998</v>
      </c>
      <c r="AH1020" s="2">
        <v>1406.9757999999999</v>
      </c>
      <c r="AI1020" s="3">
        <v>0.39320001006072802</v>
      </c>
    </row>
    <row r="1021" spans="1:35">
      <c r="A1021" s="1">
        <v>42369</v>
      </c>
      <c r="B1021" s="1">
        <v>37538</v>
      </c>
      <c r="C1021" t="s">
        <v>6222</v>
      </c>
      <c r="D1021">
        <v>369</v>
      </c>
      <c r="E1021">
        <v>14944</v>
      </c>
      <c r="F1021">
        <v>7</v>
      </c>
      <c r="G1021">
        <v>1</v>
      </c>
      <c r="H1021">
        <v>1</v>
      </c>
      <c r="I1021">
        <v>2</v>
      </c>
      <c r="J1021" t="s">
        <v>3549</v>
      </c>
      <c r="K1021" t="s">
        <v>3550</v>
      </c>
      <c r="L1021" s="2">
        <v>1518.7864</v>
      </c>
      <c r="M1021" s="2">
        <v>2443.35</v>
      </c>
      <c r="N1021" t="s">
        <v>13</v>
      </c>
      <c r="O1021" t="s">
        <v>651</v>
      </c>
      <c r="P1021" t="s">
        <v>1169</v>
      </c>
      <c r="Q1021" t="s">
        <v>7350</v>
      </c>
      <c r="R1021" s="1">
        <v>23964</v>
      </c>
      <c r="S1021" t="s">
        <v>22</v>
      </c>
      <c r="T1021" t="s">
        <v>16</v>
      </c>
      <c r="U1021" t="s">
        <v>1825</v>
      </c>
      <c r="V1021">
        <v>10000</v>
      </c>
      <c r="W1021">
        <v>5</v>
      </c>
      <c r="X1021" t="s">
        <v>77</v>
      </c>
      <c r="Y1021" t="s">
        <v>444</v>
      </c>
      <c r="Z1021" t="s">
        <v>19</v>
      </c>
      <c r="AA1021" t="s">
        <v>3583</v>
      </c>
      <c r="AB1021" t="s">
        <v>3583</v>
      </c>
      <c r="AC1021" t="s">
        <v>3584</v>
      </c>
      <c r="AD1021" t="s">
        <v>3479</v>
      </c>
      <c r="AE1021" t="s">
        <v>3475</v>
      </c>
      <c r="AF1021" s="2">
        <v>2443.35</v>
      </c>
      <c r="AG1021" s="2">
        <v>1518.7864</v>
      </c>
      <c r="AH1021" s="2">
        <v>924.56359999999995</v>
      </c>
      <c r="AI1021" s="3">
        <v>0.37839998362903399</v>
      </c>
    </row>
    <row r="1022" spans="1:35">
      <c r="A1022" s="1">
        <v>42127</v>
      </c>
      <c r="B1022" s="1">
        <v>37318</v>
      </c>
      <c r="C1022" t="s">
        <v>4365</v>
      </c>
      <c r="D1022">
        <v>314</v>
      </c>
      <c r="E1022">
        <v>14945</v>
      </c>
      <c r="F1022">
        <v>8</v>
      </c>
      <c r="G1022">
        <v>1</v>
      </c>
      <c r="H1022">
        <v>1</v>
      </c>
      <c r="I1022">
        <v>2</v>
      </c>
      <c r="J1022" t="s">
        <v>3493</v>
      </c>
      <c r="K1022" t="s">
        <v>3494</v>
      </c>
      <c r="L1022" s="2">
        <v>2171.2941999999998</v>
      </c>
      <c r="M1022" s="2">
        <v>3578.27</v>
      </c>
      <c r="N1022" t="s">
        <v>30</v>
      </c>
      <c r="O1022" t="s">
        <v>238</v>
      </c>
      <c r="P1022" t="s">
        <v>407</v>
      </c>
      <c r="Q1022" t="s">
        <v>7351</v>
      </c>
      <c r="R1022" s="1">
        <v>24084</v>
      </c>
      <c r="S1022" t="s">
        <v>22</v>
      </c>
      <c r="T1022" t="s">
        <v>29</v>
      </c>
      <c r="U1022" t="s">
        <v>1826</v>
      </c>
      <c r="V1022">
        <v>10000</v>
      </c>
      <c r="W1022">
        <v>5</v>
      </c>
      <c r="X1022" t="s">
        <v>77</v>
      </c>
      <c r="Y1022" t="s">
        <v>444</v>
      </c>
      <c r="Z1022" t="s">
        <v>19</v>
      </c>
      <c r="AA1022" t="s">
        <v>3585</v>
      </c>
      <c r="AB1022" t="s">
        <v>3585</v>
      </c>
      <c r="AC1022" t="s">
        <v>3584</v>
      </c>
      <c r="AD1022" t="s">
        <v>3479</v>
      </c>
      <c r="AE1022" t="s">
        <v>3475</v>
      </c>
      <c r="AF1022" s="2">
        <v>3578.27</v>
      </c>
      <c r="AG1022" s="2">
        <v>2171.2941999999998</v>
      </c>
      <c r="AH1022" s="2">
        <v>1406.9757999999999</v>
      </c>
      <c r="AI1022" s="3">
        <v>0.39320001006072802</v>
      </c>
    </row>
    <row r="1023" spans="1:35">
      <c r="A1023" s="1">
        <v>42352</v>
      </c>
      <c r="B1023" s="1">
        <v>37522</v>
      </c>
      <c r="C1023" t="s">
        <v>6049</v>
      </c>
      <c r="D1023">
        <v>375</v>
      </c>
      <c r="E1023">
        <v>14946</v>
      </c>
      <c r="F1023">
        <v>7</v>
      </c>
      <c r="G1023">
        <v>1</v>
      </c>
      <c r="H1023">
        <v>1</v>
      </c>
      <c r="I1023">
        <v>2</v>
      </c>
      <c r="J1023" t="s">
        <v>3557</v>
      </c>
      <c r="K1023" t="s">
        <v>3558</v>
      </c>
      <c r="L1023" s="2">
        <v>1320.6838</v>
      </c>
      <c r="M1023" s="2">
        <v>2181.5625</v>
      </c>
      <c r="N1023" t="s">
        <v>13</v>
      </c>
      <c r="O1023" t="s">
        <v>630</v>
      </c>
      <c r="P1023" t="s">
        <v>370</v>
      </c>
      <c r="Q1023" t="s">
        <v>7352</v>
      </c>
      <c r="R1023" s="1">
        <v>23989</v>
      </c>
      <c r="S1023" t="s">
        <v>22</v>
      </c>
      <c r="T1023" t="s">
        <v>16</v>
      </c>
      <c r="U1023" t="s">
        <v>1827</v>
      </c>
      <c r="V1023">
        <v>20000</v>
      </c>
      <c r="W1023">
        <v>2</v>
      </c>
      <c r="X1023" t="s">
        <v>57</v>
      </c>
      <c r="Y1023" t="s">
        <v>444</v>
      </c>
      <c r="Z1023" t="s">
        <v>19</v>
      </c>
      <c r="AA1023" t="s">
        <v>3583</v>
      </c>
      <c r="AB1023" t="s">
        <v>3583</v>
      </c>
      <c r="AC1023" t="s">
        <v>3584</v>
      </c>
      <c r="AD1023" t="s">
        <v>3479</v>
      </c>
      <c r="AE1023" t="s">
        <v>3475</v>
      </c>
      <c r="AF1023" s="2">
        <v>2181.5625</v>
      </c>
      <c r="AG1023" s="2">
        <v>1320.6838</v>
      </c>
      <c r="AH1023" s="2">
        <v>860.87869999999998</v>
      </c>
      <c r="AI1023" s="3">
        <v>0.39461564818793898</v>
      </c>
    </row>
    <row r="1024" spans="1:35">
      <c r="A1024" s="1">
        <v>42006</v>
      </c>
      <c r="B1024" s="1">
        <v>37240</v>
      </c>
      <c r="C1024" t="s">
        <v>3598</v>
      </c>
      <c r="D1024">
        <v>312</v>
      </c>
      <c r="E1024">
        <v>14947</v>
      </c>
      <c r="F1024">
        <v>10</v>
      </c>
      <c r="G1024">
        <v>1</v>
      </c>
      <c r="H1024">
        <v>1</v>
      </c>
      <c r="I1024">
        <v>2</v>
      </c>
      <c r="J1024" t="s">
        <v>3489</v>
      </c>
      <c r="K1024" t="s">
        <v>3490</v>
      </c>
      <c r="L1024" s="2">
        <v>2171.2941999999998</v>
      </c>
      <c r="M1024" s="2">
        <v>3578.27</v>
      </c>
      <c r="N1024" t="s">
        <v>13</v>
      </c>
      <c r="O1024" t="s">
        <v>74</v>
      </c>
      <c r="P1024" t="s">
        <v>686</v>
      </c>
      <c r="Q1024" t="s">
        <v>7353</v>
      </c>
      <c r="R1024" s="1">
        <v>23753</v>
      </c>
      <c r="S1024" t="s">
        <v>22</v>
      </c>
      <c r="T1024" t="s">
        <v>16</v>
      </c>
      <c r="U1024" t="s">
        <v>1828</v>
      </c>
      <c r="V1024">
        <v>20000</v>
      </c>
      <c r="W1024">
        <v>2</v>
      </c>
      <c r="X1024" t="s">
        <v>57</v>
      </c>
      <c r="Y1024" t="s">
        <v>444</v>
      </c>
      <c r="Z1024" t="s">
        <v>19</v>
      </c>
      <c r="AA1024" t="s">
        <v>3588</v>
      </c>
      <c r="AB1024" t="s">
        <v>3588</v>
      </c>
      <c r="AC1024" t="s">
        <v>3584</v>
      </c>
      <c r="AD1024" t="s">
        <v>3479</v>
      </c>
      <c r="AE1024" t="s">
        <v>3475</v>
      </c>
      <c r="AF1024" s="2">
        <v>3578.27</v>
      </c>
      <c r="AG1024" s="2">
        <v>2171.2941999999998</v>
      </c>
      <c r="AH1024" s="2">
        <v>1406.9757999999999</v>
      </c>
      <c r="AI1024" s="3">
        <v>0.39320001006072802</v>
      </c>
    </row>
    <row r="1025" spans="1:35">
      <c r="A1025" s="1">
        <v>42354</v>
      </c>
      <c r="B1025" s="1">
        <v>37524</v>
      </c>
      <c r="C1025" t="s">
        <v>6065</v>
      </c>
      <c r="D1025">
        <v>377</v>
      </c>
      <c r="E1025">
        <v>14948</v>
      </c>
      <c r="F1025">
        <v>7</v>
      </c>
      <c r="G1025">
        <v>1</v>
      </c>
      <c r="H1025">
        <v>1</v>
      </c>
      <c r="I1025">
        <v>2</v>
      </c>
      <c r="J1025" t="s">
        <v>3559</v>
      </c>
      <c r="K1025" t="s">
        <v>3560</v>
      </c>
      <c r="L1025" s="2">
        <v>1320.6838</v>
      </c>
      <c r="M1025" s="2">
        <v>2181.5625</v>
      </c>
      <c r="N1025" t="s">
        <v>13</v>
      </c>
      <c r="O1025" t="s">
        <v>170</v>
      </c>
      <c r="P1025" t="s">
        <v>62</v>
      </c>
      <c r="Q1025" t="s">
        <v>7354</v>
      </c>
      <c r="R1025" s="1">
        <v>23843</v>
      </c>
      <c r="S1025" t="s">
        <v>16</v>
      </c>
      <c r="T1025" t="s">
        <v>16</v>
      </c>
      <c r="U1025" t="s">
        <v>1829</v>
      </c>
      <c r="V1025">
        <v>30000</v>
      </c>
      <c r="W1025">
        <v>1</v>
      </c>
      <c r="X1025" t="s">
        <v>17</v>
      </c>
      <c r="Y1025" t="s">
        <v>53</v>
      </c>
      <c r="Z1025" t="s">
        <v>19</v>
      </c>
      <c r="AA1025" t="s">
        <v>3583</v>
      </c>
      <c r="AB1025" t="s">
        <v>3583</v>
      </c>
      <c r="AC1025" t="s">
        <v>3584</v>
      </c>
      <c r="AD1025" t="s">
        <v>3479</v>
      </c>
      <c r="AE1025" t="s">
        <v>3475</v>
      </c>
      <c r="AF1025" s="2">
        <v>2181.5625</v>
      </c>
      <c r="AG1025" s="2">
        <v>1320.6838</v>
      </c>
      <c r="AH1025" s="2">
        <v>860.87869999999998</v>
      </c>
      <c r="AI1025" s="3">
        <v>0.39461564818793898</v>
      </c>
    </row>
    <row r="1026" spans="1:35">
      <c r="A1026" s="1">
        <v>42022</v>
      </c>
      <c r="B1026" s="1">
        <v>37236</v>
      </c>
      <c r="C1026" t="s">
        <v>3698</v>
      </c>
      <c r="D1026">
        <v>310</v>
      </c>
      <c r="E1026">
        <v>14949</v>
      </c>
      <c r="F1026">
        <v>10</v>
      </c>
      <c r="G1026">
        <v>1</v>
      </c>
      <c r="H1026">
        <v>1</v>
      </c>
      <c r="I1026">
        <v>2</v>
      </c>
      <c r="J1026" t="s">
        <v>3485</v>
      </c>
      <c r="K1026" t="s">
        <v>3486</v>
      </c>
      <c r="L1026" s="2">
        <v>2171.2941999999998</v>
      </c>
      <c r="M1026" s="2">
        <v>3578.27</v>
      </c>
      <c r="N1026" t="s">
        <v>13</v>
      </c>
      <c r="O1026" t="s">
        <v>1172</v>
      </c>
      <c r="P1026" t="s">
        <v>268</v>
      </c>
      <c r="Q1026" t="s">
        <v>7355</v>
      </c>
      <c r="R1026" s="1">
        <v>23846</v>
      </c>
      <c r="S1026" t="s">
        <v>16</v>
      </c>
      <c r="T1026" t="s">
        <v>16</v>
      </c>
      <c r="U1026" t="s">
        <v>1830</v>
      </c>
      <c r="V1026">
        <v>30000</v>
      </c>
      <c r="W1026">
        <v>1</v>
      </c>
      <c r="X1026" t="s">
        <v>17</v>
      </c>
      <c r="Y1026" t="s">
        <v>53</v>
      </c>
      <c r="Z1026" t="s">
        <v>19</v>
      </c>
      <c r="AA1026" t="s">
        <v>3588</v>
      </c>
      <c r="AB1026" t="s">
        <v>3588</v>
      </c>
      <c r="AC1026" t="s">
        <v>3584</v>
      </c>
      <c r="AD1026" t="s">
        <v>3479</v>
      </c>
      <c r="AE1026" t="s">
        <v>3475</v>
      </c>
      <c r="AF1026" s="2">
        <v>3578.27</v>
      </c>
      <c r="AG1026" s="2">
        <v>2171.2941999999998</v>
      </c>
      <c r="AH1026" s="2">
        <v>1406.9757999999999</v>
      </c>
      <c r="AI1026" s="3">
        <v>0.39320001006072802</v>
      </c>
    </row>
    <row r="1027" spans="1:35">
      <c r="A1027" s="1">
        <v>42017</v>
      </c>
      <c r="B1027" s="1">
        <v>37159</v>
      </c>
      <c r="C1027" t="s">
        <v>3662</v>
      </c>
      <c r="D1027">
        <v>310</v>
      </c>
      <c r="E1027">
        <v>14950</v>
      </c>
      <c r="F1027">
        <v>10</v>
      </c>
      <c r="G1027">
        <v>1</v>
      </c>
      <c r="H1027">
        <v>1</v>
      </c>
      <c r="I1027">
        <v>2</v>
      </c>
      <c r="J1027" t="s">
        <v>3485</v>
      </c>
      <c r="K1027" t="s">
        <v>3486</v>
      </c>
      <c r="L1027" s="2">
        <v>2171.2941999999998</v>
      </c>
      <c r="M1027" s="2">
        <v>3578.27</v>
      </c>
      <c r="N1027" t="s">
        <v>30</v>
      </c>
      <c r="O1027" t="s">
        <v>276</v>
      </c>
      <c r="P1027" t="s">
        <v>101</v>
      </c>
      <c r="Q1027" t="s">
        <v>7356</v>
      </c>
      <c r="R1027" s="1">
        <v>23616</v>
      </c>
      <c r="S1027" t="s">
        <v>22</v>
      </c>
      <c r="T1027" t="s">
        <v>29</v>
      </c>
      <c r="U1027" t="s">
        <v>1831</v>
      </c>
      <c r="V1027">
        <v>10000</v>
      </c>
      <c r="W1027">
        <v>3</v>
      </c>
      <c r="X1027" t="s">
        <v>77</v>
      </c>
      <c r="Y1027" t="s">
        <v>444</v>
      </c>
      <c r="Z1027" t="s">
        <v>19</v>
      </c>
      <c r="AA1027" t="s">
        <v>3588</v>
      </c>
      <c r="AB1027" t="s">
        <v>3588</v>
      </c>
      <c r="AC1027" t="s">
        <v>3584</v>
      </c>
      <c r="AD1027" t="s">
        <v>3479</v>
      </c>
      <c r="AE1027" t="s">
        <v>3475</v>
      </c>
      <c r="AF1027" s="2">
        <v>3578.27</v>
      </c>
      <c r="AG1027" s="2">
        <v>2171.2941999999998</v>
      </c>
      <c r="AH1027" s="2">
        <v>1406.9757999999999</v>
      </c>
      <c r="AI1027" s="3">
        <v>0.39320001006072802</v>
      </c>
    </row>
    <row r="1028" spans="1:35">
      <c r="A1028" s="1">
        <v>42149</v>
      </c>
      <c r="B1028" s="1">
        <v>37353</v>
      </c>
      <c r="C1028" t="s">
        <v>4522</v>
      </c>
      <c r="D1028">
        <v>311</v>
      </c>
      <c r="E1028">
        <v>14951</v>
      </c>
      <c r="F1028">
        <v>8</v>
      </c>
      <c r="G1028">
        <v>1</v>
      </c>
      <c r="H1028">
        <v>1</v>
      </c>
      <c r="I1028">
        <v>2</v>
      </c>
      <c r="J1028" t="s">
        <v>3487</v>
      </c>
      <c r="K1028" t="s">
        <v>3488</v>
      </c>
      <c r="L1028" s="2">
        <v>2171.2941999999998</v>
      </c>
      <c r="M1028" s="2">
        <v>3578.27</v>
      </c>
      <c r="N1028" t="s">
        <v>30</v>
      </c>
      <c r="O1028" t="s">
        <v>865</v>
      </c>
      <c r="P1028" t="s">
        <v>59</v>
      </c>
      <c r="Q1028" t="s">
        <v>7357</v>
      </c>
      <c r="R1028" s="1">
        <v>23646</v>
      </c>
      <c r="S1028" t="s">
        <v>16</v>
      </c>
      <c r="T1028" t="s">
        <v>29</v>
      </c>
      <c r="U1028" t="s">
        <v>1832</v>
      </c>
      <c r="V1028">
        <v>30000</v>
      </c>
      <c r="W1028">
        <v>1</v>
      </c>
      <c r="X1028" t="s">
        <v>17</v>
      </c>
      <c r="Y1028" t="s">
        <v>53</v>
      </c>
      <c r="Z1028" t="s">
        <v>19</v>
      </c>
      <c r="AA1028" t="s">
        <v>3585</v>
      </c>
      <c r="AB1028" t="s">
        <v>3585</v>
      </c>
      <c r="AC1028" t="s">
        <v>3584</v>
      </c>
      <c r="AD1028" t="s">
        <v>3479</v>
      </c>
      <c r="AE1028" t="s">
        <v>3475</v>
      </c>
      <c r="AF1028" s="2">
        <v>3578.27</v>
      </c>
      <c r="AG1028" s="2">
        <v>2171.2941999999998</v>
      </c>
      <c r="AH1028" s="2">
        <v>1406.9757999999999</v>
      </c>
      <c r="AI1028" s="3">
        <v>0.39320001006072802</v>
      </c>
    </row>
    <row r="1029" spans="1:35">
      <c r="A1029" s="1">
        <v>42151</v>
      </c>
      <c r="B1029" s="1">
        <v>37340</v>
      </c>
      <c r="C1029" t="s">
        <v>4531</v>
      </c>
      <c r="D1029">
        <v>311</v>
      </c>
      <c r="E1029">
        <v>14952</v>
      </c>
      <c r="F1029">
        <v>8</v>
      </c>
      <c r="G1029">
        <v>1</v>
      </c>
      <c r="H1029">
        <v>1</v>
      </c>
      <c r="I1029">
        <v>2</v>
      </c>
      <c r="J1029" t="s">
        <v>3487</v>
      </c>
      <c r="K1029" t="s">
        <v>3488</v>
      </c>
      <c r="L1029" s="2">
        <v>2171.2941999999998</v>
      </c>
      <c r="M1029" s="2">
        <v>3578.27</v>
      </c>
      <c r="N1029" t="s">
        <v>30</v>
      </c>
      <c r="O1029" t="s">
        <v>1009</v>
      </c>
      <c r="P1029" t="s">
        <v>632</v>
      </c>
      <c r="Q1029" t="s">
        <v>7358</v>
      </c>
      <c r="R1029" s="1">
        <v>23703</v>
      </c>
      <c r="S1029" t="s">
        <v>16</v>
      </c>
      <c r="T1029" t="s">
        <v>29</v>
      </c>
      <c r="U1029" t="s">
        <v>1833</v>
      </c>
      <c r="V1029">
        <v>30000</v>
      </c>
      <c r="W1029">
        <v>1</v>
      </c>
      <c r="X1029" t="s">
        <v>17</v>
      </c>
      <c r="Y1029" t="s">
        <v>53</v>
      </c>
      <c r="Z1029" t="s">
        <v>19</v>
      </c>
      <c r="AA1029" t="s">
        <v>3585</v>
      </c>
      <c r="AB1029" t="s">
        <v>3585</v>
      </c>
      <c r="AC1029" t="s">
        <v>3584</v>
      </c>
      <c r="AD1029" t="s">
        <v>3479</v>
      </c>
      <c r="AE1029" t="s">
        <v>3475</v>
      </c>
      <c r="AF1029" s="2">
        <v>3578.27</v>
      </c>
      <c r="AG1029" s="2">
        <v>2171.2941999999998</v>
      </c>
      <c r="AH1029" s="2">
        <v>1406.9757999999999</v>
      </c>
      <c r="AI1029" s="3">
        <v>0.39320001006072802</v>
      </c>
    </row>
    <row r="1030" spans="1:35">
      <c r="A1030" s="1">
        <v>42136</v>
      </c>
      <c r="B1030" s="1">
        <v>37308</v>
      </c>
      <c r="C1030" t="s">
        <v>4421</v>
      </c>
      <c r="D1030">
        <v>310</v>
      </c>
      <c r="E1030">
        <v>14956</v>
      </c>
      <c r="F1030">
        <v>8</v>
      </c>
      <c r="G1030">
        <v>1</v>
      </c>
      <c r="H1030">
        <v>1</v>
      </c>
      <c r="I1030">
        <v>2</v>
      </c>
      <c r="J1030" t="s">
        <v>3485</v>
      </c>
      <c r="K1030" t="s">
        <v>3486</v>
      </c>
      <c r="L1030" s="2">
        <v>2171.2941999999998</v>
      </c>
      <c r="M1030" s="2">
        <v>3578.27</v>
      </c>
      <c r="N1030" t="s">
        <v>30</v>
      </c>
      <c r="O1030" t="s">
        <v>1222</v>
      </c>
      <c r="P1030" t="s">
        <v>317</v>
      </c>
      <c r="Q1030" t="s">
        <v>7359</v>
      </c>
      <c r="R1030" s="1">
        <v>23112</v>
      </c>
      <c r="S1030" t="s">
        <v>22</v>
      </c>
      <c r="T1030" t="s">
        <v>29</v>
      </c>
      <c r="U1030" t="s">
        <v>1834</v>
      </c>
      <c r="V1030">
        <v>20000</v>
      </c>
      <c r="W1030">
        <v>4</v>
      </c>
      <c r="X1030" t="s">
        <v>57</v>
      </c>
      <c r="Y1030" t="s">
        <v>444</v>
      </c>
      <c r="Z1030" t="s">
        <v>19</v>
      </c>
      <c r="AA1030" t="s">
        <v>3585</v>
      </c>
      <c r="AB1030" t="s">
        <v>3585</v>
      </c>
      <c r="AC1030" t="s">
        <v>3584</v>
      </c>
      <c r="AD1030" t="s">
        <v>3479</v>
      </c>
      <c r="AE1030" t="s">
        <v>3475</v>
      </c>
      <c r="AF1030" s="2">
        <v>3578.27</v>
      </c>
      <c r="AG1030" s="2">
        <v>2171.2941999999998</v>
      </c>
      <c r="AH1030" s="2">
        <v>1406.9757999999999</v>
      </c>
      <c r="AI1030" s="3">
        <v>0.39320001006072802</v>
      </c>
    </row>
    <row r="1031" spans="1:35">
      <c r="A1031" s="1">
        <v>42341</v>
      </c>
      <c r="B1031" s="1">
        <v>37551</v>
      </c>
      <c r="C1031" t="s">
        <v>5926</v>
      </c>
      <c r="D1031">
        <v>377</v>
      </c>
      <c r="E1031">
        <v>14957</v>
      </c>
      <c r="F1031">
        <v>7</v>
      </c>
      <c r="G1031">
        <v>1</v>
      </c>
      <c r="H1031">
        <v>1</v>
      </c>
      <c r="I1031">
        <v>2</v>
      </c>
      <c r="J1031" t="s">
        <v>3559</v>
      </c>
      <c r="K1031" t="s">
        <v>3560</v>
      </c>
      <c r="L1031" s="2">
        <v>1320.6838</v>
      </c>
      <c r="M1031" s="2">
        <v>2181.5625</v>
      </c>
      <c r="N1031" t="s">
        <v>30</v>
      </c>
      <c r="O1031" t="s">
        <v>475</v>
      </c>
      <c r="P1031" t="s">
        <v>468</v>
      </c>
      <c r="Q1031" t="s">
        <v>7360</v>
      </c>
      <c r="R1031" s="1">
        <v>23163</v>
      </c>
      <c r="S1031" t="s">
        <v>22</v>
      </c>
      <c r="T1031" t="s">
        <v>29</v>
      </c>
      <c r="U1031" t="s">
        <v>1835</v>
      </c>
      <c r="V1031">
        <v>20000</v>
      </c>
      <c r="W1031">
        <v>4</v>
      </c>
      <c r="X1031" t="s">
        <v>57</v>
      </c>
      <c r="Y1031" t="s">
        <v>444</v>
      </c>
      <c r="Z1031" t="s">
        <v>19</v>
      </c>
      <c r="AA1031" t="s">
        <v>3583</v>
      </c>
      <c r="AB1031" t="s">
        <v>3583</v>
      </c>
      <c r="AC1031" t="s">
        <v>3584</v>
      </c>
      <c r="AD1031" t="s">
        <v>3479</v>
      </c>
      <c r="AE1031" t="s">
        <v>3475</v>
      </c>
      <c r="AF1031" s="2">
        <v>2181.5625</v>
      </c>
      <c r="AG1031" s="2">
        <v>1320.6838</v>
      </c>
      <c r="AH1031" s="2">
        <v>860.87869999999998</v>
      </c>
      <c r="AI1031" s="3">
        <v>0.39461564818793898</v>
      </c>
    </row>
    <row r="1032" spans="1:35">
      <c r="A1032" s="1">
        <v>42352</v>
      </c>
      <c r="B1032" s="1">
        <v>37538</v>
      </c>
      <c r="C1032" t="s">
        <v>6054</v>
      </c>
      <c r="D1032">
        <v>377</v>
      </c>
      <c r="E1032">
        <v>14960</v>
      </c>
      <c r="F1032">
        <v>7</v>
      </c>
      <c r="G1032">
        <v>1</v>
      </c>
      <c r="H1032">
        <v>1</v>
      </c>
      <c r="I1032">
        <v>2</v>
      </c>
      <c r="J1032" t="s">
        <v>3559</v>
      </c>
      <c r="K1032" t="s">
        <v>3560</v>
      </c>
      <c r="L1032" s="2">
        <v>1320.6838</v>
      </c>
      <c r="M1032" s="2">
        <v>2181.5625</v>
      </c>
      <c r="N1032" t="s">
        <v>13</v>
      </c>
      <c r="O1032" t="s">
        <v>114</v>
      </c>
      <c r="P1032" t="s">
        <v>490</v>
      </c>
      <c r="Q1032" t="s">
        <v>7361</v>
      </c>
      <c r="R1032" s="1">
        <v>24061</v>
      </c>
      <c r="S1032" t="s">
        <v>22</v>
      </c>
      <c r="T1032" t="s">
        <v>16</v>
      </c>
      <c r="U1032" t="s">
        <v>1836</v>
      </c>
      <c r="V1032">
        <v>30000</v>
      </c>
      <c r="W1032">
        <v>2</v>
      </c>
      <c r="X1032" t="s">
        <v>52</v>
      </c>
      <c r="Y1032" t="s">
        <v>60</v>
      </c>
      <c r="Z1032" t="s">
        <v>19</v>
      </c>
      <c r="AA1032" t="s">
        <v>3583</v>
      </c>
      <c r="AB1032" t="s">
        <v>3583</v>
      </c>
      <c r="AC1032" t="s">
        <v>3584</v>
      </c>
      <c r="AD1032" t="s">
        <v>3479</v>
      </c>
      <c r="AE1032" t="s">
        <v>3475</v>
      </c>
      <c r="AF1032" s="2">
        <v>2181.5625</v>
      </c>
      <c r="AG1032" s="2">
        <v>1320.6838</v>
      </c>
      <c r="AH1032" s="2">
        <v>860.87869999999998</v>
      </c>
      <c r="AI1032" s="3">
        <v>0.39461564818793898</v>
      </c>
    </row>
    <row r="1033" spans="1:35">
      <c r="A1033" s="1">
        <v>42358</v>
      </c>
      <c r="B1033" s="1">
        <v>37530</v>
      </c>
      <c r="C1033" t="s">
        <v>6113</v>
      </c>
      <c r="D1033">
        <v>375</v>
      </c>
      <c r="E1033">
        <v>14965</v>
      </c>
      <c r="F1033">
        <v>7</v>
      </c>
      <c r="G1033">
        <v>1</v>
      </c>
      <c r="H1033">
        <v>1</v>
      </c>
      <c r="I1033">
        <v>2</v>
      </c>
      <c r="J1033" t="s">
        <v>3557</v>
      </c>
      <c r="K1033" t="s">
        <v>3558</v>
      </c>
      <c r="L1033" s="2">
        <v>1320.6838</v>
      </c>
      <c r="M1033" s="2">
        <v>2181.5625</v>
      </c>
      <c r="N1033" t="s">
        <v>13</v>
      </c>
      <c r="O1033" t="s">
        <v>196</v>
      </c>
      <c r="P1033" t="s">
        <v>138</v>
      </c>
      <c r="Q1033" t="s">
        <v>7362</v>
      </c>
      <c r="R1033" s="1">
        <v>23567</v>
      </c>
      <c r="S1033" t="s">
        <v>16</v>
      </c>
      <c r="T1033" t="s">
        <v>16</v>
      </c>
      <c r="U1033" t="s">
        <v>1837</v>
      </c>
      <c r="V1033">
        <v>30000</v>
      </c>
      <c r="W1033">
        <v>2</v>
      </c>
      <c r="X1033" t="s">
        <v>52</v>
      </c>
      <c r="Y1033" t="s">
        <v>60</v>
      </c>
      <c r="Z1033" t="s">
        <v>23</v>
      </c>
      <c r="AA1033" t="s">
        <v>3583</v>
      </c>
      <c r="AB1033" t="s">
        <v>3583</v>
      </c>
      <c r="AC1033" t="s">
        <v>3584</v>
      </c>
      <c r="AD1033" t="s">
        <v>3479</v>
      </c>
      <c r="AE1033" t="s">
        <v>3475</v>
      </c>
      <c r="AF1033" s="2">
        <v>2181.5625</v>
      </c>
      <c r="AG1033" s="2">
        <v>1320.6838</v>
      </c>
      <c r="AH1033" s="2">
        <v>860.87869999999998</v>
      </c>
      <c r="AI1033" s="3">
        <v>0.39461564818793898</v>
      </c>
    </row>
    <row r="1034" spans="1:35">
      <c r="A1034" s="1">
        <v>42345</v>
      </c>
      <c r="B1034" s="1">
        <v>37479</v>
      </c>
      <c r="C1034" t="s">
        <v>5960</v>
      </c>
      <c r="D1034">
        <v>379</v>
      </c>
      <c r="E1034">
        <v>14966</v>
      </c>
      <c r="F1034">
        <v>7</v>
      </c>
      <c r="G1034">
        <v>1</v>
      </c>
      <c r="H1034">
        <v>1</v>
      </c>
      <c r="I1034">
        <v>2</v>
      </c>
      <c r="J1034" t="s">
        <v>3561</v>
      </c>
      <c r="K1034" t="s">
        <v>3562</v>
      </c>
      <c r="L1034" s="2">
        <v>1320.6838</v>
      </c>
      <c r="M1034" s="2">
        <v>2181.5625</v>
      </c>
      <c r="N1034" t="s">
        <v>13</v>
      </c>
      <c r="O1034" t="s">
        <v>1217</v>
      </c>
      <c r="P1034" t="s">
        <v>232</v>
      </c>
      <c r="Q1034" t="s">
        <v>7363</v>
      </c>
      <c r="R1034" s="1">
        <v>23502</v>
      </c>
      <c r="S1034" t="s">
        <v>22</v>
      </c>
      <c r="T1034" t="s">
        <v>16</v>
      </c>
      <c r="U1034" t="s">
        <v>1838</v>
      </c>
      <c r="V1034">
        <v>30000</v>
      </c>
      <c r="W1034">
        <v>2</v>
      </c>
      <c r="X1034" t="s">
        <v>52</v>
      </c>
      <c r="Y1034" t="s">
        <v>60</v>
      </c>
      <c r="Z1034" t="s">
        <v>19</v>
      </c>
      <c r="AA1034" t="s">
        <v>3583</v>
      </c>
      <c r="AB1034" t="s">
        <v>3583</v>
      </c>
      <c r="AC1034" t="s">
        <v>3584</v>
      </c>
      <c r="AD1034" t="s">
        <v>3479</v>
      </c>
      <c r="AE1034" t="s">
        <v>3475</v>
      </c>
      <c r="AF1034" s="2">
        <v>2181.5625</v>
      </c>
      <c r="AG1034" s="2">
        <v>1320.6838</v>
      </c>
      <c r="AH1034" s="2">
        <v>860.87869999999998</v>
      </c>
      <c r="AI1034" s="3">
        <v>0.39461564818793898</v>
      </c>
    </row>
    <row r="1035" spans="1:35">
      <c r="A1035" s="1">
        <v>42142</v>
      </c>
      <c r="B1035" s="1">
        <v>37353</v>
      </c>
      <c r="C1035" t="s">
        <v>4473</v>
      </c>
      <c r="D1035">
        <v>314</v>
      </c>
      <c r="E1035">
        <v>14967</v>
      </c>
      <c r="F1035">
        <v>8</v>
      </c>
      <c r="G1035">
        <v>1</v>
      </c>
      <c r="H1035">
        <v>1</v>
      </c>
      <c r="I1035">
        <v>2</v>
      </c>
      <c r="J1035" t="s">
        <v>3493</v>
      </c>
      <c r="K1035" t="s">
        <v>3494</v>
      </c>
      <c r="L1035" s="2">
        <v>2171.2941999999998</v>
      </c>
      <c r="M1035" s="2">
        <v>3578.27</v>
      </c>
      <c r="N1035" t="s">
        <v>30</v>
      </c>
      <c r="O1035" t="s">
        <v>1128</v>
      </c>
      <c r="P1035" t="s">
        <v>474</v>
      </c>
      <c r="Q1035" t="s">
        <v>7364</v>
      </c>
      <c r="R1035" s="1">
        <v>23512</v>
      </c>
      <c r="S1035" t="s">
        <v>22</v>
      </c>
      <c r="T1035" t="s">
        <v>29</v>
      </c>
      <c r="U1035" t="s">
        <v>1839</v>
      </c>
      <c r="V1035">
        <v>30000</v>
      </c>
      <c r="W1035">
        <v>2</v>
      </c>
      <c r="X1035" t="s">
        <v>52</v>
      </c>
      <c r="Y1035" t="s">
        <v>60</v>
      </c>
      <c r="Z1035" t="s">
        <v>19</v>
      </c>
      <c r="AA1035" t="s">
        <v>3585</v>
      </c>
      <c r="AB1035" t="s">
        <v>3585</v>
      </c>
      <c r="AC1035" t="s">
        <v>3584</v>
      </c>
      <c r="AD1035" t="s">
        <v>3479</v>
      </c>
      <c r="AE1035" t="s">
        <v>3475</v>
      </c>
      <c r="AF1035" s="2">
        <v>3578.27</v>
      </c>
      <c r="AG1035" s="2">
        <v>2171.2941999999998</v>
      </c>
      <c r="AH1035" s="2">
        <v>1406.9757999999999</v>
      </c>
      <c r="AI1035" s="3">
        <v>0.39320001006072802</v>
      </c>
    </row>
    <row r="1036" spans="1:35">
      <c r="A1036" s="1">
        <v>42167</v>
      </c>
      <c r="B1036" s="1">
        <v>37325</v>
      </c>
      <c r="C1036" t="s">
        <v>4628</v>
      </c>
      <c r="D1036">
        <v>311</v>
      </c>
      <c r="E1036">
        <v>14969</v>
      </c>
      <c r="F1036">
        <v>8</v>
      </c>
      <c r="G1036">
        <v>1</v>
      </c>
      <c r="H1036">
        <v>1</v>
      </c>
      <c r="I1036">
        <v>2</v>
      </c>
      <c r="J1036" t="s">
        <v>3487</v>
      </c>
      <c r="K1036" t="s">
        <v>3488</v>
      </c>
      <c r="L1036" s="2">
        <v>2171.2941999999998</v>
      </c>
      <c r="M1036" s="2">
        <v>3578.27</v>
      </c>
      <c r="N1036" t="s">
        <v>13</v>
      </c>
      <c r="O1036" t="s">
        <v>33</v>
      </c>
      <c r="P1036" t="s">
        <v>232</v>
      </c>
      <c r="Q1036" t="s">
        <v>7365</v>
      </c>
      <c r="R1036" s="1">
        <v>23107</v>
      </c>
      <c r="S1036" t="s">
        <v>22</v>
      </c>
      <c r="T1036" t="s">
        <v>16</v>
      </c>
      <c r="U1036" t="s">
        <v>1840</v>
      </c>
      <c r="V1036">
        <v>30000</v>
      </c>
      <c r="W1036">
        <v>3</v>
      </c>
      <c r="X1036" t="s">
        <v>52</v>
      </c>
      <c r="Y1036" t="s">
        <v>60</v>
      </c>
      <c r="Z1036" t="s">
        <v>19</v>
      </c>
      <c r="AA1036" t="s">
        <v>3585</v>
      </c>
      <c r="AB1036" t="s">
        <v>3585</v>
      </c>
      <c r="AC1036" t="s">
        <v>3584</v>
      </c>
      <c r="AD1036" t="s">
        <v>3479</v>
      </c>
      <c r="AE1036" t="s">
        <v>3475</v>
      </c>
      <c r="AF1036" s="2">
        <v>3578.27</v>
      </c>
      <c r="AG1036" s="2">
        <v>2171.2941999999998</v>
      </c>
      <c r="AH1036" s="2">
        <v>1406.9757999999999</v>
      </c>
      <c r="AI1036" s="3">
        <v>0.39320001006072802</v>
      </c>
    </row>
    <row r="1037" spans="1:35">
      <c r="A1037" s="1">
        <v>42015</v>
      </c>
      <c r="B1037" s="1">
        <v>37225</v>
      </c>
      <c r="C1037" t="s">
        <v>3645</v>
      </c>
      <c r="D1037">
        <v>313</v>
      </c>
      <c r="E1037">
        <v>14975</v>
      </c>
      <c r="F1037">
        <v>10</v>
      </c>
      <c r="G1037">
        <v>1</v>
      </c>
      <c r="H1037">
        <v>1</v>
      </c>
      <c r="I1037">
        <v>2</v>
      </c>
      <c r="J1037" t="s">
        <v>3491</v>
      </c>
      <c r="K1037" t="s">
        <v>3492</v>
      </c>
      <c r="L1037" s="2">
        <v>2171.2941999999998</v>
      </c>
      <c r="M1037" s="2">
        <v>3578.27</v>
      </c>
      <c r="N1037" t="s">
        <v>13</v>
      </c>
      <c r="O1037" t="s">
        <v>186</v>
      </c>
      <c r="P1037" t="s">
        <v>512</v>
      </c>
      <c r="Q1037" t="s">
        <v>7366</v>
      </c>
      <c r="R1037" s="1">
        <v>23195</v>
      </c>
      <c r="S1037" t="s">
        <v>16</v>
      </c>
      <c r="T1037" t="s">
        <v>16</v>
      </c>
      <c r="U1037" t="s">
        <v>1841</v>
      </c>
      <c r="V1037">
        <v>40000</v>
      </c>
      <c r="W1037">
        <v>1</v>
      </c>
      <c r="X1037" t="s">
        <v>17</v>
      </c>
      <c r="Y1037" t="s">
        <v>53</v>
      </c>
      <c r="Z1037" t="s">
        <v>19</v>
      </c>
      <c r="AA1037" t="s">
        <v>3588</v>
      </c>
      <c r="AB1037" t="s">
        <v>3588</v>
      </c>
      <c r="AC1037" t="s">
        <v>3584</v>
      </c>
      <c r="AD1037" t="s">
        <v>3479</v>
      </c>
      <c r="AE1037" t="s">
        <v>3475</v>
      </c>
      <c r="AF1037" s="2">
        <v>3578.27</v>
      </c>
      <c r="AG1037" s="2">
        <v>2171.2941999999998</v>
      </c>
      <c r="AH1037" s="2">
        <v>1406.9757999999999</v>
      </c>
      <c r="AI1037" s="3">
        <v>0.39320001006072802</v>
      </c>
    </row>
    <row r="1038" spans="1:35">
      <c r="A1038" s="1">
        <v>42358</v>
      </c>
      <c r="B1038" s="1">
        <v>37551</v>
      </c>
      <c r="C1038" t="s">
        <v>6120</v>
      </c>
      <c r="D1038">
        <v>375</v>
      </c>
      <c r="E1038">
        <v>14976</v>
      </c>
      <c r="F1038">
        <v>7</v>
      </c>
      <c r="G1038">
        <v>1</v>
      </c>
      <c r="H1038">
        <v>1</v>
      </c>
      <c r="I1038">
        <v>2</v>
      </c>
      <c r="J1038" t="s">
        <v>3557</v>
      </c>
      <c r="K1038" t="s">
        <v>3558</v>
      </c>
      <c r="L1038" s="2">
        <v>1320.6838</v>
      </c>
      <c r="M1038" s="2">
        <v>2181.5625</v>
      </c>
      <c r="N1038" t="s">
        <v>13</v>
      </c>
      <c r="O1038" t="s">
        <v>452</v>
      </c>
      <c r="P1038" t="s">
        <v>511</v>
      </c>
      <c r="Q1038" t="s">
        <v>7367</v>
      </c>
      <c r="R1038" s="1">
        <v>22808</v>
      </c>
      <c r="S1038" t="s">
        <v>16</v>
      </c>
      <c r="T1038" t="s">
        <v>16</v>
      </c>
      <c r="U1038" t="s">
        <v>1842</v>
      </c>
      <c r="V1038">
        <v>40000</v>
      </c>
      <c r="W1038">
        <v>1</v>
      </c>
      <c r="X1038" t="s">
        <v>17</v>
      </c>
      <c r="Y1038" t="s">
        <v>53</v>
      </c>
      <c r="Z1038" t="s">
        <v>19</v>
      </c>
      <c r="AA1038" t="s">
        <v>3583</v>
      </c>
      <c r="AB1038" t="s">
        <v>3583</v>
      </c>
      <c r="AC1038" t="s">
        <v>3584</v>
      </c>
      <c r="AD1038" t="s">
        <v>3479</v>
      </c>
      <c r="AE1038" t="s">
        <v>3475</v>
      </c>
      <c r="AF1038" s="2">
        <v>2181.5625</v>
      </c>
      <c r="AG1038" s="2">
        <v>1320.6838</v>
      </c>
      <c r="AH1038" s="2">
        <v>860.87869999999998</v>
      </c>
      <c r="AI1038" s="3">
        <v>0.39461564818793898</v>
      </c>
    </row>
    <row r="1039" spans="1:35">
      <c r="A1039" s="1">
        <v>42179</v>
      </c>
      <c r="B1039" s="1">
        <v>37383</v>
      </c>
      <c r="C1039" t="s">
        <v>4719</v>
      </c>
      <c r="D1039">
        <v>311</v>
      </c>
      <c r="E1039">
        <v>14978</v>
      </c>
      <c r="F1039">
        <v>8</v>
      </c>
      <c r="G1039">
        <v>1</v>
      </c>
      <c r="H1039">
        <v>1</v>
      </c>
      <c r="I1039">
        <v>2</v>
      </c>
      <c r="J1039" t="s">
        <v>3487</v>
      </c>
      <c r="K1039" t="s">
        <v>3488</v>
      </c>
      <c r="L1039" s="2">
        <v>2171.2941999999998</v>
      </c>
      <c r="M1039" s="2">
        <v>3578.27</v>
      </c>
      <c r="N1039" t="s">
        <v>13</v>
      </c>
      <c r="O1039" t="s">
        <v>802</v>
      </c>
      <c r="P1039" t="s">
        <v>460</v>
      </c>
      <c r="Q1039" t="s">
        <v>7368</v>
      </c>
      <c r="R1039" s="1">
        <v>28581</v>
      </c>
      <c r="S1039" t="s">
        <v>22</v>
      </c>
      <c r="T1039" t="s">
        <v>16</v>
      </c>
      <c r="U1039" t="s">
        <v>1843</v>
      </c>
      <c r="V1039">
        <v>30000</v>
      </c>
      <c r="W1039">
        <v>4</v>
      </c>
      <c r="X1039" t="s">
        <v>52</v>
      </c>
      <c r="Y1039" t="s">
        <v>60</v>
      </c>
      <c r="Z1039" t="s">
        <v>19</v>
      </c>
      <c r="AA1039" t="s">
        <v>3585</v>
      </c>
      <c r="AB1039" t="s">
        <v>3585</v>
      </c>
      <c r="AC1039" t="s">
        <v>3584</v>
      </c>
      <c r="AD1039" t="s">
        <v>3479</v>
      </c>
      <c r="AE1039" t="s">
        <v>3475</v>
      </c>
      <c r="AF1039" s="2">
        <v>3578.27</v>
      </c>
      <c r="AG1039" s="2">
        <v>2171.2941999999998</v>
      </c>
      <c r="AH1039" s="2">
        <v>1406.9757999999999</v>
      </c>
      <c r="AI1039" s="3">
        <v>0.39320001006072802</v>
      </c>
    </row>
    <row r="1040" spans="1:35">
      <c r="A1040" s="1">
        <v>42167</v>
      </c>
      <c r="B1040" s="1">
        <v>37354</v>
      </c>
      <c r="C1040" t="s">
        <v>4633</v>
      </c>
      <c r="D1040">
        <v>310</v>
      </c>
      <c r="E1040">
        <v>14979</v>
      </c>
      <c r="F1040">
        <v>8</v>
      </c>
      <c r="G1040">
        <v>1</v>
      </c>
      <c r="H1040">
        <v>1</v>
      </c>
      <c r="I1040">
        <v>2</v>
      </c>
      <c r="J1040" t="s">
        <v>3485</v>
      </c>
      <c r="K1040" t="s">
        <v>3486</v>
      </c>
      <c r="L1040" s="2">
        <v>2171.2941999999998</v>
      </c>
      <c r="M1040" s="2">
        <v>3578.27</v>
      </c>
      <c r="N1040" t="s">
        <v>13</v>
      </c>
      <c r="O1040" t="s">
        <v>1125</v>
      </c>
      <c r="P1040" t="s">
        <v>157</v>
      </c>
      <c r="Q1040" t="s">
        <v>7369</v>
      </c>
      <c r="R1040" s="1">
        <v>28556</v>
      </c>
      <c r="S1040" t="s">
        <v>22</v>
      </c>
      <c r="T1040" t="s">
        <v>16</v>
      </c>
      <c r="U1040" t="s">
        <v>1844</v>
      </c>
      <c r="V1040">
        <v>30000</v>
      </c>
      <c r="W1040">
        <v>4</v>
      </c>
      <c r="X1040" t="s">
        <v>52</v>
      </c>
      <c r="Y1040" t="s">
        <v>60</v>
      </c>
      <c r="Z1040" t="s">
        <v>19</v>
      </c>
      <c r="AA1040" t="s">
        <v>3585</v>
      </c>
      <c r="AB1040" t="s">
        <v>3585</v>
      </c>
      <c r="AC1040" t="s">
        <v>3584</v>
      </c>
      <c r="AD1040" t="s">
        <v>3479</v>
      </c>
      <c r="AE1040" t="s">
        <v>3475</v>
      </c>
      <c r="AF1040" s="2">
        <v>3578.27</v>
      </c>
      <c r="AG1040" s="2">
        <v>2171.2941999999998</v>
      </c>
      <c r="AH1040" s="2">
        <v>1406.9757999999999</v>
      </c>
      <c r="AI1040" s="3">
        <v>0.39320001006072802</v>
      </c>
    </row>
    <row r="1041" spans="1:35">
      <c r="A1041" s="1">
        <v>42019</v>
      </c>
      <c r="B1041" s="1">
        <v>37175</v>
      </c>
      <c r="C1041" t="s">
        <v>3677</v>
      </c>
      <c r="D1041">
        <v>310</v>
      </c>
      <c r="E1041">
        <v>14984</v>
      </c>
      <c r="F1041">
        <v>10</v>
      </c>
      <c r="G1041">
        <v>1</v>
      </c>
      <c r="H1041">
        <v>1</v>
      </c>
      <c r="I1041">
        <v>2</v>
      </c>
      <c r="J1041" t="s">
        <v>3485</v>
      </c>
      <c r="K1041" t="s">
        <v>3486</v>
      </c>
      <c r="L1041" s="2">
        <v>2171.2941999999998</v>
      </c>
      <c r="M1041" s="2">
        <v>3578.27</v>
      </c>
      <c r="N1041" t="s">
        <v>30</v>
      </c>
      <c r="O1041" t="s">
        <v>1845</v>
      </c>
      <c r="P1041" t="s">
        <v>370</v>
      </c>
      <c r="Q1041" t="s">
        <v>7370</v>
      </c>
      <c r="R1041" s="1">
        <v>28807</v>
      </c>
      <c r="S1041" t="s">
        <v>22</v>
      </c>
      <c r="T1041" t="s">
        <v>29</v>
      </c>
      <c r="U1041" t="s">
        <v>1846</v>
      </c>
      <c r="V1041">
        <v>30000</v>
      </c>
      <c r="W1041">
        <v>5</v>
      </c>
      <c r="X1041" t="s">
        <v>52</v>
      </c>
      <c r="Y1041" t="s">
        <v>60</v>
      </c>
      <c r="Z1041" t="s">
        <v>19</v>
      </c>
      <c r="AA1041" t="s">
        <v>3588</v>
      </c>
      <c r="AB1041" t="s">
        <v>3588</v>
      </c>
      <c r="AC1041" t="s">
        <v>3584</v>
      </c>
      <c r="AD1041" t="s">
        <v>3479</v>
      </c>
      <c r="AE1041" t="s">
        <v>3475</v>
      </c>
      <c r="AF1041" s="2">
        <v>3578.27</v>
      </c>
      <c r="AG1041" s="2">
        <v>2171.2941999999998</v>
      </c>
      <c r="AH1041" s="2">
        <v>1406.9757999999999</v>
      </c>
      <c r="AI1041" s="3">
        <v>0.39320001006072802</v>
      </c>
    </row>
    <row r="1042" spans="1:35">
      <c r="A1042" s="1">
        <v>42157</v>
      </c>
      <c r="B1042" s="1">
        <v>37315</v>
      </c>
      <c r="C1042" t="s">
        <v>4564</v>
      </c>
      <c r="D1042">
        <v>314</v>
      </c>
      <c r="E1042">
        <v>14990</v>
      </c>
      <c r="F1042">
        <v>8</v>
      </c>
      <c r="G1042">
        <v>1</v>
      </c>
      <c r="H1042">
        <v>1</v>
      </c>
      <c r="I1042">
        <v>2</v>
      </c>
      <c r="J1042" t="s">
        <v>3493</v>
      </c>
      <c r="K1042" t="s">
        <v>3494</v>
      </c>
      <c r="L1042" s="2">
        <v>2171.2941999999998</v>
      </c>
      <c r="M1042" s="2">
        <v>3578.27</v>
      </c>
      <c r="N1042" t="s">
        <v>13</v>
      </c>
      <c r="O1042" t="s">
        <v>203</v>
      </c>
      <c r="P1042" t="s">
        <v>89</v>
      </c>
      <c r="Q1042" t="s">
        <v>7371</v>
      </c>
      <c r="R1042" s="1">
        <v>27785</v>
      </c>
      <c r="S1042" t="s">
        <v>22</v>
      </c>
      <c r="T1042" t="s">
        <v>16</v>
      </c>
      <c r="U1042" t="s">
        <v>1847</v>
      </c>
      <c r="V1042">
        <v>30000</v>
      </c>
      <c r="W1042">
        <v>0</v>
      </c>
      <c r="X1042" t="s">
        <v>52</v>
      </c>
      <c r="Y1042" t="s">
        <v>60</v>
      </c>
      <c r="Z1042" t="s">
        <v>23</v>
      </c>
      <c r="AA1042" t="s">
        <v>3585</v>
      </c>
      <c r="AB1042" t="s">
        <v>3585</v>
      </c>
      <c r="AC1042" t="s">
        <v>3584</v>
      </c>
      <c r="AD1042" t="s">
        <v>3479</v>
      </c>
      <c r="AE1042" t="s">
        <v>3475</v>
      </c>
      <c r="AF1042" s="2">
        <v>3578.27</v>
      </c>
      <c r="AG1042" s="2">
        <v>2171.2941999999998</v>
      </c>
      <c r="AH1042" s="2">
        <v>1406.9757999999999</v>
      </c>
      <c r="AI1042" s="3">
        <v>0.39320001006072802</v>
      </c>
    </row>
    <row r="1043" spans="1:35">
      <c r="A1043" s="1">
        <v>42023</v>
      </c>
      <c r="B1043" s="1">
        <v>37212</v>
      </c>
      <c r="C1043" t="s">
        <v>3700</v>
      </c>
      <c r="D1043">
        <v>313</v>
      </c>
      <c r="E1043">
        <v>14991</v>
      </c>
      <c r="F1043">
        <v>10</v>
      </c>
      <c r="G1043">
        <v>1</v>
      </c>
      <c r="H1043">
        <v>1</v>
      </c>
      <c r="I1043">
        <v>2</v>
      </c>
      <c r="J1043" t="s">
        <v>3491</v>
      </c>
      <c r="K1043" t="s">
        <v>3492</v>
      </c>
      <c r="L1043" s="2">
        <v>2171.2941999999998</v>
      </c>
      <c r="M1043" s="2">
        <v>3578.27</v>
      </c>
      <c r="N1043" t="s">
        <v>13</v>
      </c>
      <c r="O1043" t="s">
        <v>196</v>
      </c>
      <c r="P1043" t="s">
        <v>81</v>
      </c>
      <c r="Q1043" t="s">
        <v>7372</v>
      </c>
      <c r="R1043" s="1">
        <v>27816</v>
      </c>
      <c r="S1043" t="s">
        <v>22</v>
      </c>
      <c r="T1043" t="s">
        <v>16</v>
      </c>
      <c r="U1043" t="s">
        <v>1848</v>
      </c>
      <c r="V1043">
        <v>30000</v>
      </c>
      <c r="W1043">
        <v>0</v>
      </c>
      <c r="X1043" t="s">
        <v>52</v>
      </c>
      <c r="Y1043" t="s">
        <v>60</v>
      </c>
      <c r="Z1043" t="s">
        <v>23</v>
      </c>
      <c r="AA1043" t="s">
        <v>3588</v>
      </c>
      <c r="AB1043" t="s">
        <v>3588</v>
      </c>
      <c r="AC1043" t="s">
        <v>3584</v>
      </c>
      <c r="AD1043" t="s">
        <v>3479</v>
      </c>
      <c r="AE1043" t="s">
        <v>3475</v>
      </c>
      <c r="AF1043" s="2">
        <v>3578.27</v>
      </c>
      <c r="AG1043" s="2">
        <v>2171.2941999999998</v>
      </c>
      <c r="AH1043" s="2">
        <v>1406.9757999999999</v>
      </c>
      <c r="AI1043" s="3">
        <v>0.39320001006072802</v>
      </c>
    </row>
    <row r="1044" spans="1:35">
      <c r="A1044" s="1">
        <v>42367</v>
      </c>
      <c r="B1044" s="1">
        <v>37547</v>
      </c>
      <c r="C1044" t="s">
        <v>6207</v>
      </c>
      <c r="D1044">
        <v>373</v>
      </c>
      <c r="E1044">
        <v>14995</v>
      </c>
      <c r="F1044">
        <v>7</v>
      </c>
      <c r="G1044">
        <v>1</v>
      </c>
      <c r="H1044">
        <v>1</v>
      </c>
      <c r="I1044">
        <v>2</v>
      </c>
      <c r="J1044" t="s">
        <v>3555</v>
      </c>
      <c r="K1044" t="s">
        <v>3556</v>
      </c>
      <c r="L1044" s="2">
        <v>1320.6838</v>
      </c>
      <c r="M1044" s="2">
        <v>2181.5625</v>
      </c>
      <c r="N1044" t="s">
        <v>26</v>
      </c>
      <c r="O1044" t="s">
        <v>1126</v>
      </c>
      <c r="P1044" t="s">
        <v>465</v>
      </c>
      <c r="Q1044" t="s">
        <v>7373</v>
      </c>
      <c r="R1044" s="1">
        <v>27158</v>
      </c>
      <c r="S1044" t="s">
        <v>22</v>
      </c>
      <c r="T1044" t="s">
        <v>29</v>
      </c>
      <c r="U1044" t="s">
        <v>1849</v>
      </c>
      <c r="V1044">
        <v>20000</v>
      </c>
      <c r="W1044">
        <v>0</v>
      </c>
      <c r="X1044" t="s">
        <v>77</v>
      </c>
      <c r="Y1044" t="s">
        <v>444</v>
      </c>
      <c r="Z1044" t="s">
        <v>23</v>
      </c>
      <c r="AA1044" t="s">
        <v>3583</v>
      </c>
      <c r="AB1044" t="s">
        <v>3583</v>
      </c>
      <c r="AC1044" t="s">
        <v>3584</v>
      </c>
      <c r="AD1044" t="s">
        <v>3479</v>
      </c>
      <c r="AE1044" t="s">
        <v>3475</v>
      </c>
      <c r="AF1044" s="2">
        <v>2181.5625</v>
      </c>
      <c r="AG1044" s="2">
        <v>1320.6838</v>
      </c>
      <c r="AH1044" s="2">
        <v>860.87869999999998</v>
      </c>
      <c r="AI1044" s="3">
        <v>0.39461564818793898</v>
      </c>
    </row>
    <row r="1045" spans="1:35">
      <c r="A1045" s="1">
        <v>42163</v>
      </c>
      <c r="B1045" s="1">
        <v>37309</v>
      </c>
      <c r="C1045" t="s">
        <v>4597</v>
      </c>
      <c r="D1045">
        <v>314</v>
      </c>
      <c r="E1045">
        <v>14997</v>
      </c>
      <c r="F1045">
        <v>8</v>
      </c>
      <c r="G1045">
        <v>1</v>
      </c>
      <c r="H1045">
        <v>1</v>
      </c>
      <c r="I1045">
        <v>2</v>
      </c>
      <c r="J1045" t="s">
        <v>3493</v>
      </c>
      <c r="K1045" t="s">
        <v>3494</v>
      </c>
      <c r="L1045" s="2">
        <v>2171.2941999999998</v>
      </c>
      <c r="M1045" s="2">
        <v>3578.27</v>
      </c>
      <c r="N1045" t="s">
        <v>13</v>
      </c>
      <c r="O1045" t="s">
        <v>350</v>
      </c>
      <c r="P1045" t="s">
        <v>309</v>
      </c>
      <c r="Q1045" t="s">
        <v>7374</v>
      </c>
      <c r="R1045" s="1">
        <v>27550</v>
      </c>
      <c r="S1045" t="s">
        <v>16</v>
      </c>
      <c r="T1045" t="s">
        <v>16</v>
      </c>
      <c r="U1045" t="s">
        <v>1850</v>
      </c>
      <c r="V1045">
        <v>30000</v>
      </c>
      <c r="W1045">
        <v>0</v>
      </c>
      <c r="X1045" t="s">
        <v>52</v>
      </c>
      <c r="Y1045" t="s">
        <v>60</v>
      </c>
      <c r="Z1045" t="s">
        <v>23</v>
      </c>
      <c r="AA1045" t="s">
        <v>3585</v>
      </c>
      <c r="AB1045" t="s">
        <v>3585</v>
      </c>
      <c r="AC1045" t="s">
        <v>3584</v>
      </c>
      <c r="AD1045" t="s">
        <v>3479</v>
      </c>
      <c r="AE1045" t="s">
        <v>3475</v>
      </c>
      <c r="AF1045" s="2">
        <v>3578.27</v>
      </c>
      <c r="AG1045" s="2">
        <v>2171.2941999999998</v>
      </c>
      <c r="AH1045" s="2">
        <v>1406.9757999999999</v>
      </c>
      <c r="AI1045" s="3">
        <v>0.39320001006072802</v>
      </c>
    </row>
    <row r="1046" spans="1:35">
      <c r="A1046" s="1">
        <v>42344</v>
      </c>
      <c r="B1046" s="1">
        <v>37580</v>
      </c>
      <c r="C1046" t="s">
        <v>5953</v>
      </c>
      <c r="D1046">
        <v>368</v>
      </c>
      <c r="E1046">
        <v>14998</v>
      </c>
      <c r="F1046">
        <v>7</v>
      </c>
      <c r="G1046">
        <v>1</v>
      </c>
      <c r="H1046">
        <v>1</v>
      </c>
      <c r="I1046">
        <v>2</v>
      </c>
      <c r="J1046" t="s">
        <v>3547</v>
      </c>
      <c r="K1046" t="s">
        <v>3548</v>
      </c>
      <c r="L1046" s="2">
        <v>1518.7864</v>
      </c>
      <c r="M1046" s="2">
        <v>2443.35</v>
      </c>
      <c r="N1046" t="s">
        <v>13</v>
      </c>
      <c r="O1046" t="s">
        <v>383</v>
      </c>
      <c r="P1046" t="s">
        <v>293</v>
      </c>
      <c r="Q1046" t="s">
        <v>7375</v>
      </c>
      <c r="R1046" s="1">
        <v>27135</v>
      </c>
      <c r="S1046" t="s">
        <v>22</v>
      </c>
      <c r="T1046" t="s">
        <v>16</v>
      </c>
      <c r="U1046" t="s">
        <v>1851</v>
      </c>
      <c r="V1046">
        <v>20000</v>
      </c>
      <c r="W1046">
        <v>0</v>
      </c>
      <c r="X1046" t="s">
        <v>77</v>
      </c>
      <c r="Y1046" t="s">
        <v>444</v>
      </c>
      <c r="Z1046" t="s">
        <v>23</v>
      </c>
      <c r="AA1046" t="s">
        <v>3583</v>
      </c>
      <c r="AB1046" t="s">
        <v>3583</v>
      </c>
      <c r="AC1046" t="s">
        <v>3584</v>
      </c>
      <c r="AD1046" t="s">
        <v>3479</v>
      </c>
      <c r="AE1046" t="s">
        <v>3475</v>
      </c>
      <c r="AF1046" s="2">
        <v>2443.35</v>
      </c>
      <c r="AG1046" s="2">
        <v>1518.7864</v>
      </c>
      <c r="AH1046" s="2">
        <v>924.56359999999995</v>
      </c>
      <c r="AI1046" s="3">
        <v>0.37839998362903399</v>
      </c>
    </row>
    <row r="1047" spans="1:35">
      <c r="A1047" s="1">
        <v>42357</v>
      </c>
      <c r="B1047" s="1">
        <v>37560</v>
      </c>
      <c r="C1047" t="s">
        <v>6101</v>
      </c>
      <c r="D1047">
        <v>377</v>
      </c>
      <c r="E1047">
        <v>15002</v>
      </c>
      <c r="F1047">
        <v>7</v>
      </c>
      <c r="G1047">
        <v>1</v>
      </c>
      <c r="H1047">
        <v>1</v>
      </c>
      <c r="I1047">
        <v>2</v>
      </c>
      <c r="J1047" t="s">
        <v>3559</v>
      </c>
      <c r="K1047" t="s">
        <v>3560</v>
      </c>
      <c r="L1047" s="2">
        <v>1320.6838</v>
      </c>
      <c r="M1047" s="2">
        <v>2181.5625</v>
      </c>
      <c r="N1047" t="s">
        <v>26</v>
      </c>
      <c r="O1047" t="s">
        <v>389</v>
      </c>
      <c r="P1047" t="s">
        <v>212</v>
      </c>
      <c r="Q1047" t="s">
        <v>7376</v>
      </c>
      <c r="R1047" s="1">
        <v>26760</v>
      </c>
      <c r="S1047" t="s">
        <v>22</v>
      </c>
      <c r="T1047" t="s">
        <v>29</v>
      </c>
      <c r="U1047" t="s">
        <v>1852</v>
      </c>
      <c r="V1047">
        <v>20000</v>
      </c>
      <c r="W1047">
        <v>0</v>
      </c>
      <c r="X1047" t="s">
        <v>77</v>
      </c>
      <c r="Y1047" t="s">
        <v>444</v>
      </c>
      <c r="Z1047" t="s">
        <v>23</v>
      </c>
      <c r="AA1047" t="s">
        <v>3583</v>
      </c>
      <c r="AB1047" t="s">
        <v>3583</v>
      </c>
      <c r="AC1047" t="s">
        <v>3584</v>
      </c>
      <c r="AD1047" t="s">
        <v>3479</v>
      </c>
      <c r="AE1047" t="s">
        <v>3475</v>
      </c>
      <c r="AF1047" s="2">
        <v>2181.5625</v>
      </c>
      <c r="AG1047" s="2">
        <v>1320.6838</v>
      </c>
      <c r="AH1047" s="2">
        <v>860.87869999999998</v>
      </c>
      <c r="AI1047" s="3">
        <v>0.39461564818793898</v>
      </c>
    </row>
    <row r="1048" spans="1:35">
      <c r="A1048" s="1">
        <v>42349</v>
      </c>
      <c r="B1048" s="1">
        <v>37571</v>
      </c>
      <c r="C1048" t="s">
        <v>6003</v>
      </c>
      <c r="D1048">
        <v>370</v>
      </c>
      <c r="E1048">
        <v>15003</v>
      </c>
      <c r="F1048">
        <v>7</v>
      </c>
      <c r="G1048">
        <v>1</v>
      </c>
      <c r="H1048">
        <v>1</v>
      </c>
      <c r="I1048">
        <v>2</v>
      </c>
      <c r="J1048" t="s">
        <v>3551</v>
      </c>
      <c r="K1048" t="s">
        <v>3552</v>
      </c>
      <c r="L1048" s="2">
        <v>1518.7864</v>
      </c>
      <c r="M1048" s="2">
        <v>2443.35</v>
      </c>
      <c r="N1048" t="s">
        <v>13</v>
      </c>
      <c r="O1048" t="s">
        <v>348</v>
      </c>
      <c r="P1048" t="s">
        <v>15</v>
      </c>
      <c r="Q1048" t="s">
        <v>7377</v>
      </c>
      <c r="R1048" s="1">
        <v>26928</v>
      </c>
      <c r="S1048" t="s">
        <v>22</v>
      </c>
      <c r="T1048" t="s">
        <v>16</v>
      </c>
      <c r="U1048" t="s">
        <v>1853</v>
      </c>
      <c r="V1048">
        <v>20000</v>
      </c>
      <c r="W1048">
        <v>0</v>
      </c>
      <c r="X1048" t="s">
        <v>77</v>
      </c>
      <c r="Y1048" t="s">
        <v>444</v>
      </c>
      <c r="Z1048" t="s">
        <v>23</v>
      </c>
      <c r="AA1048" t="s">
        <v>3583</v>
      </c>
      <c r="AB1048" t="s">
        <v>3583</v>
      </c>
      <c r="AC1048" t="s">
        <v>3584</v>
      </c>
      <c r="AD1048" t="s">
        <v>3479</v>
      </c>
      <c r="AE1048" t="s">
        <v>3475</v>
      </c>
      <c r="AF1048" s="2">
        <v>2443.35</v>
      </c>
      <c r="AG1048" s="2">
        <v>1518.7864</v>
      </c>
      <c r="AH1048" s="2">
        <v>924.56359999999995</v>
      </c>
      <c r="AI1048" s="3">
        <v>0.37839998362903399</v>
      </c>
    </row>
    <row r="1049" spans="1:35">
      <c r="A1049" s="1">
        <v>42367</v>
      </c>
      <c r="B1049" s="1">
        <v>37554</v>
      </c>
      <c r="C1049" t="s">
        <v>6208</v>
      </c>
      <c r="D1049">
        <v>369</v>
      </c>
      <c r="E1049">
        <v>15004</v>
      </c>
      <c r="F1049">
        <v>7</v>
      </c>
      <c r="G1049">
        <v>1</v>
      </c>
      <c r="H1049">
        <v>1</v>
      </c>
      <c r="I1049">
        <v>2</v>
      </c>
      <c r="J1049" t="s">
        <v>3549</v>
      </c>
      <c r="K1049" t="s">
        <v>3550</v>
      </c>
      <c r="L1049" s="2">
        <v>1518.7864</v>
      </c>
      <c r="M1049" s="2">
        <v>2443.35</v>
      </c>
      <c r="N1049" t="s">
        <v>26</v>
      </c>
      <c r="O1049" t="s">
        <v>981</v>
      </c>
      <c r="P1049" t="s">
        <v>511</v>
      </c>
      <c r="Q1049" t="s">
        <v>7378</v>
      </c>
      <c r="R1049" s="1">
        <v>27003</v>
      </c>
      <c r="S1049" t="s">
        <v>22</v>
      </c>
      <c r="T1049" t="s">
        <v>29</v>
      </c>
      <c r="U1049" t="s">
        <v>1854</v>
      </c>
      <c r="V1049">
        <v>20000</v>
      </c>
      <c r="W1049">
        <v>0</v>
      </c>
      <c r="X1049" t="s">
        <v>77</v>
      </c>
      <c r="Y1049" t="s">
        <v>444</v>
      </c>
      <c r="Z1049" t="s">
        <v>19</v>
      </c>
      <c r="AA1049" t="s">
        <v>3583</v>
      </c>
      <c r="AB1049" t="s">
        <v>3583</v>
      </c>
      <c r="AC1049" t="s">
        <v>3584</v>
      </c>
      <c r="AD1049" t="s">
        <v>3479</v>
      </c>
      <c r="AE1049" t="s">
        <v>3475</v>
      </c>
      <c r="AF1049" s="2">
        <v>2443.35</v>
      </c>
      <c r="AG1049" s="2">
        <v>1518.7864</v>
      </c>
      <c r="AH1049" s="2">
        <v>924.56359999999995</v>
      </c>
      <c r="AI1049" s="3">
        <v>0.37839998362903399</v>
      </c>
    </row>
    <row r="1050" spans="1:35">
      <c r="A1050" s="1">
        <v>42173</v>
      </c>
      <c r="B1050" s="1">
        <v>37320</v>
      </c>
      <c r="C1050" t="s">
        <v>4657</v>
      </c>
      <c r="D1050">
        <v>342</v>
      </c>
      <c r="E1050">
        <v>15005</v>
      </c>
      <c r="F1050">
        <v>4</v>
      </c>
      <c r="G1050">
        <v>1</v>
      </c>
      <c r="H1050">
        <v>1</v>
      </c>
      <c r="I1050">
        <v>2</v>
      </c>
      <c r="J1050" t="s">
        <v>3517</v>
      </c>
      <c r="K1050" t="s">
        <v>3518</v>
      </c>
      <c r="L1050" s="2">
        <v>413.1463</v>
      </c>
      <c r="M1050" s="2">
        <v>699.09820000000002</v>
      </c>
      <c r="N1050" t="s">
        <v>13</v>
      </c>
      <c r="O1050" t="s">
        <v>344</v>
      </c>
      <c r="P1050" t="s">
        <v>309</v>
      </c>
      <c r="Q1050" t="s">
        <v>7379</v>
      </c>
      <c r="R1050" s="1">
        <v>28753</v>
      </c>
      <c r="S1050" t="s">
        <v>22</v>
      </c>
      <c r="T1050" t="s">
        <v>16</v>
      </c>
      <c r="U1050" t="s">
        <v>1855</v>
      </c>
      <c r="V1050">
        <v>60000</v>
      </c>
      <c r="W1050">
        <v>0</v>
      </c>
      <c r="X1050" t="s">
        <v>52</v>
      </c>
      <c r="Y1050" t="s">
        <v>53</v>
      </c>
      <c r="Z1050" t="s">
        <v>23</v>
      </c>
      <c r="AA1050" t="s">
        <v>3580</v>
      </c>
      <c r="AB1050" t="s">
        <v>3578</v>
      </c>
      <c r="AC1050" t="s">
        <v>3579</v>
      </c>
      <c r="AD1050" t="s">
        <v>3479</v>
      </c>
      <c r="AE1050" t="s">
        <v>3475</v>
      </c>
      <c r="AF1050" s="2">
        <v>699.09820000000002</v>
      </c>
      <c r="AG1050" s="2">
        <v>413.1463</v>
      </c>
      <c r="AH1050" s="2">
        <v>285.95190000000002</v>
      </c>
      <c r="AI1050" s="3">
        <v>0.409029661355157</v>
      </c>
    </row>
    <row r="1051" spans="1:35">
      <c r="A1051" s="1">
        <v>42159</v>
      </c>
      <c r="B1051" s="1">
        <v>37310</v>
      </c>
      <c r="C1051" t="s">
        <v>4571</v>
      </c>
      <c r="D1051">
        <v>338</v>
      </c>
      <c r="E1051">
        <v>15006</v>
      </c>
      <c r="F1051">
        <v>4</v>
      </c>
      <c r="G1051">
        <v>1</v>
      </c>
      <c r="H1051">
        <v>1</v>
      </c>
      <c r="I1051">
        <v>2</v>
      </c>
      <c r="J1051" t="s">
        <v>3513</v>
      </c>
      <c r="K1051" t="s">
        <v>3514</v>
      </c>
      <c r="L1051" s="2">
        <v>413.1463</v>
      </c>
      <c r="M1051" s="2">
        <v>699.09820000000002</v>
      </c>
      <c r="N1051" t="s">
        <v>26</v>
      </c>
      <c r="O1051" t="s">
        <v>147</v>
      </c>
      <c r="P1051" t="s">
        <v>393</v>
      </c>
      <c r="Q1051" t="s">
        <v>7380</v>
      </c>
      <c r="R1051" s="1">
        <v>28815</v>
      </c>
      <c r="S1051" t="s">
        <v>16</v>
      </c>
      <c r="T1051" t="s">
        <v>29</v>
      </c>
      <c r="U1051" t="s">
        <v>1856</v>
      </c>
      <c r="V1051">
        <v>70000</v>
      </c>
      <c r="W1051">
        <v>0</v>
      </c>
      <c r="X1051" t="s">
        <v>52</v>
      </c>
      <c r="Y1051" t="s">
        <v>53</v>
      </c>
      <c r="Z1051" t="s">
        <v>19</v>
      </c>
      <c r="AA1051" t="s">
        <v>3580</v>
      </c>
      <c r="AB1051" t="s">
        <v>3578</v>
      </c>
      <c r="AC1051" t="s">
        <v>3579</v>
      </c>
      <c r="AD1051" t="s">
        <v>3479</v>
      </c>
      <c r="AE1051" t="s">
        <v>3475</v>
      </c>
      <c r="AF1051" s="2">
        <v>699.09820000000002</v>
      </c>
      <c r="AG1051" s="2">
        <v>413.1463</v>
      </c>
      <c r="AH1051" s="2">
        <v>285.95190000000002</v>
      </c>
      <c r="AI1051" s="3">
        <v>0.409029661355157</v>
      </c>
    </row>
    <row r="1052" spans="1:35">
      <c r="A1052" s="1">
        <v>42162</v>
      </c>
      <c r="B1052" s="1">
        <v>37377</v>
      </c>
      <c r="C1052" t="s">
        <v>4589</v>
      </c>
      <c r="D1052">
        <v>342</v>
      </c>
      <c r="E1052">
        <v>15016</v>
      </c>
      <c r="F1052">
        <v>4</v>
      </c>
      <c r="G1052">
        <v>1</v>
      </c>
      <c r="H1052">
        <v>1</v>
      </c>
      <c r="I1052">
        <v>2</v>
      </c>
      <c r="J1052" t="s">
        <v>3517</v>
      </c>
      <c r="K1052" t="s">
        <v>3518</v>
      </c>
      <c r="L1052" s="2">
        <v>413.1463</v>
      </c>
      <c r="M1052" s="2">
        <v>699.09820000000002</v>
      </c>
      <c r="N1052" t="s">
        <v>13</v>
      </c>
      <c r="O1052" t="s">
        <v>123</v>
      </c>
      <c r="P1052" t="s">
        <v>406</v>
      </c>
      <c r="Q1052" t="s">
        <v>7381</v>
      </c>
      <c r="R1052" s="1">
        <v>29264</v>
      </c>
      <c r="S1052" t="s">
        <v>22</v>
      </c>
      <c r="T1052" t="s">
        <v>16</v>
      </c>
      <c r="U1052" t="s">
        <v>1857</v>
      </c>
      <c r="V1052">
        <v>40000</v>
      </c>
      <c r="W1052">
        <v>0</v>
      </c>
      <c r="X1052" t="s">
        <v>77</v>
      </c>
      <c r="Y1052" t="s">
        <v>60</v>
      </c>
      <c r="Z1052" t="s">
        <v>23</v>
      </c>
      <c r="AA1052" t="s">
        <v>3580</v>
      </c>
      <c r="AB1052" t="s">
        <v>3578</v>
      </c>
      <c r="AC1052" t="s">
        <v>3579</v>
      </c>
      <c r="AD1052" t="s">
        <v>3479</v>
      </c>
      <c r="AE1052" t="s">
        <v>3475</v>
      </c>
      <c r="AF1052" s="2">
        <v>699.09820000000002</v>
      </c>
      <c r="AG1052" s="2">
        <v>413.1463</v>
      </c>
      <c r="AH1052" s="2">
        <v>285.95190000000002</v>
      </c>
      <c r="AI1052" s="3">
        <v>0.409029661355157</v>
      </c>
    </row>
    <row r="1053" spans="1:35">
      <c r="A1053" s="1">
        <v>42178</v>
      </c>
      <c r="B1053" s="1">
        <v>37409</v>
      </c>
      <c r="C1053" t="s">
        <v>4702</v>
      </c>
      <c r="D1053">
        <v>328</v>
      </c>
      <c r="E1053">
        <v>15017</v>
      </c>
      <c r="F1053">
        <v>4</v>
      </c>
      <c r="G1053">
        <v>1</v>
      </c>
      <c r="H1053">
        <v>1</v>
      </c>
      <c r="I1053">
        <v>2</v>
      </c>
      <c r="J1053" t="s">
        <v>3503</v>
      </c>
      <c r="K1053" t="s">
        <v>3504</v>
      </c>
      <c r="L1053" s="2">
        <v>413.1463</v>
      </c>
      <c r="M1053" s="2">
        <v>699.09820000000002</v>
      </c>
      <c r="N1053" t="s">
        <v>26</v>
      </c>
      <c r="O1053" t="s">
        <v>106</v>
      </c>
      <c r="P1053" t="s">
        <v>259</v>
      </c>
      <c r="Q1053" t="s">
        <v>7382</v>
      </c>
      <c r="R1053" s="1">
        <v>29516</v>
      </c>
      <c r="S1053" t="s">
        <v>22</v>
      </c>
      <c r="T1053" t="s">
        <v>29</v>
      </c>
      <c r="U1053" t="s">
        <v>1858</v>
      </c>
      <c r="V1053">
        <v>20000</v>
      </c>
      <c r="W1053">
        <v>0</v>
      </c>
      <c r="X1053" t="s">
        <v>52</v>
      </c>
      <c r="Y1053" t="s">
        <v>53</v>
      </c>
      <c r="Z1053" t="s">
        <v>23</v>
      </c>
      <c r="AA1053" t="s">
        <v>3580</v>
      </c>
      <c r="AB1053" t="s">
        <v>3578</v>
      </c>
      <c r="AC1053" t="s">
        <v>3579</v>
      </c>
      <c r="AD1053" t="s">
        <v>3479</v>
      </c>
      <c r="AE1053" t="s">
        <v>3475</v>
      </c>
      <c r="AF1053" s="2">
        <v>699.09820000000002</v>
      </c>
      <c r="AG1053" s="2">
        <v>413.1463</v>
      </c>
      <c r="AH1053" s="2">
        <v>285.95190000000002</v>
      </c>
      <c r="AI1053" s="3">
        <v>0.409029661355157</v>
      </c>
    </row>
    <row r="1054" spans="1:35">
      <c r="A1054" s="1">
        <v>42172</v>
      </c>
      <c r="B1054" s="1">
        <v>37380</v>
      </c>
      <c r="C1054" t="s">
        <v>4653</v>
      </c>
      <c r="D1054">
        <v>328</v>
      </c>
      <c r="E1054">
        <v>15023</v>
      </c>
      <c r="F1054">
        <v>1</v>
      </c>
      <c r="G1054">
        <v>1</v>
      </c>
      <c r="H1054">
        <v>1</v>
      </c>
      <c r="I1054">
        <v>2</v>
      </c>
      <c r="J1054" t="s">
        <v>3503</v>
      </c>
      <c r="K1054" t="s">
        <v>3504</v>
      </c>
      <c r="L1054" s="2">
        <v>413.1463</v>
      </c>
      <c r="M1054" s="2">
        <v>699.09820000000002</v>
      </c>
      <c r="N1054" t="s">
        <v>13</v>
      </c>
      <c r="O1054" t="s">
        <v>766</v>
      </c>
      <c r="P1054" t="s">
        <v>1169</v>
      </c>
      <c r="Q1054" t="s">
        <v>7383</v>
      </c>
      <c r="R1054" s="1">
        <v>29039</v>
      </c>
      <c r="S1054" t="s">
        <v>16</v>
      </c>
      <c r="T1054" t="s">
        <v>16</v>
      </c>
      <c r="U1054" t="s">
        <v>1859</v>
      </c>
      <c r="V1054">
        <v>70000</v>
      </c>
      <c r="W1054">
        <v>0</v>
      </c>
      <c r="X1054" t="s">
        <v>52</v>
      </c>
      <c r="Y1054" t="s">
        <v>53</v>
      </c>
      <c r="Z1054" t="s">
        <v>19</v>
      </c>
      <c r="AA1054" t="s">
        <v>3577</v>
      </c>
      <c r="AB1054" t="s">
        <v>3578</v>
      </c>
      <c r="AC1054" t="s">
        <v>3579</v>
      </c>
      <c r="AD1054" t="s">
        <v>3479</v>
      </c>
      <c r="AE1054" t="s">
        <v>3475</v>
      </c>
      <c r="AF1054" s="2">
        <v>699.09820000000002</v>
      </c>
      <c r="AG1054" s="2">
        <v>413.1463</v>
      </c>
      <c r="AH1054" s="2">
        <v>285.95190000000002</v>
      </c>
      <c r="AI1054" s="3">
        <v>0.409029661355157</v>
      </c>
    </row>
    <row r="1055" spans="1:35">
      <c r="A1055" s="1">
        <v>42022</v>
      </c>
      <c r="B1055" s="1">
        <v>37225</v>
      </c>
      <c r="C1055" t="s">
        <v>3694</v>
      </c>
      <c r="D1055">
        <v>311</v>
      </c>
      <c r="E1055">
        <v>15046</v>
      </c>
      <c r="F1055">
        <v>10</v>
      </c>
      <c r="G1055">
        <v>1</v>
      </c>
      <c r="H1055">
        <v>1</v>
      </c>
      <c r="I1055">
        <v>2</v>
      </c>
      <c r="J1055" t="s">
        <v>3487</v>
      </c>
      <c r="K1055" t="s">
        <v>3488</v>
      </c>
      <c r="L1055" s="2">
        <v>2171.2941999999998</v>
      </c>
      <c r="M1055" s="2">
        <v>3578.27</v>
      </c>
      <c r="N1055" t="s">
        <v>30</v>
      </c>
      <c r="O1055" t="s">
        <v>158</v>
      </c>
      <c r="P1055" t="s">
        <v>282</v>
      </c>
      <c r="Q1055" t="s">
        <v>7384</v>
      </c>
      <c r="R1055" s="1">
        <v>16028</v>
      </c>
      <c r="S1055" t="s">
        <v>16</v>
      </c>
      <c r="T1055" t="s">
        <v>29</v>
      </c>
      <c r="U1055" t="s">
        <v>1860</v>
      </c>
      <c r="V1055">
        <v>40000</v>
      </c>
      <c r="W1055">
        <v>1</v>
      </c>
      <c r="X1055" t="s">
        <v>135</v>
      </c>
      <c r="Y1055" t="s">
        <v>60</v>
      </c>
      <c r="Z1055" t="s">
        <v>19</v>
      </c>
      <c r="AA1055" t="s">
        <v>3588</v>
      </c>
      <c r="AB1055" t="s">
        <v>3588</v>
      </c>
      <c r="AC1055" t="s">
        <v>3584</v>
      </c>
      <c r="AD1055" t="s">
        <v>3479</v>
      </c>
      <c r="AE1055" t="s">
        <v>3475</v>
      </c>
      <c r="AF1055" s="2">
        <v>3578.27</v>
      </c>
      <c r="AG1055" s="2">
        <v>2171.2941999999998</v>
      </c>
      <c r="AH1055" s="2">
        <v>1406.9757999999999</v>
      </c>
      <c r="AI1055" s="3">
        <v>0.39320001006072802</v>
      </c>
    </row>
    <row r="1056" spans="1:35">
      <c r="A1056" s="1">
        <v>42023</v>
      </c>
      <c r="B1056" s="1">
        <v>37182</v>
      </c>
      <c r="C1056" t="s">
        <v>3702</v>
      </c>
      <c r="D1056">
        <v>310</v>
      </c>
      <c r="E1056">
        <v>15047</v>
      </c>
      <c r="F1056">
        <v>10</v>
      </c>
      <c r="G1056">
        <v>1</v>
      </c>
      <c r="H1056">
        <v>1</v>
      </c>
      <c r="I1056">
        <v>2</v>
      </c>
      <c r="J1056" t="s">
        <v>3485</v>
      </c>
      <c r="K1056" t="s">
        <v>3486</v>
      </c>
      <c r="L1056" s="2">
        <v>2171.2941999999998</v>
      </c>
      <c r="M1056" s="2">
        <v>3578.27</v>
      </c>
      <c r="N1056" t="s">
        <v>30</v>
      </c>
      <c r="O1056" t="s">
        <v>308</v>
      </c>
      <c r="P1056" t="s">
        <v>232</v>
      </c>
      <c r="Q1056" t="s">
        <v>7385</v>
      </c>
      <c r="R1056" s="1">
        <v>22504</v>
      </c>
      <c r="S1056" t="s">
        <v>16</v>
      </c>
      <c r="T1056" t="s">
        <v>29</v>
      </c>
      <c r="U1056" t="s">
        <v>1861</v>
      </c>
      <c r="V1056">
        <v>30000</v>
      </c>
      <c r="W1056">
        <v>3</v>
      </c>
      <c r="X1056" t="s">
        <v>135</v>
      </c>
      <c r="Y1056" t="s">
        <v>60</v>
      </c>
      <c r="Z1056" t="s">
        <v>19</v>
      </c>
      <c r="AA1056" t="s">
        <v>3588</v>
      </c>
      <c r="AB1056" t="s">
        <v>3588</v>
      </c>
      <c r="AC1056" t="s">
        <v>3584</v>
      </c>
      <c r="AD1056" t="s">
        <v>3479</v>
      </c>
      <c r="AE1056" t="s">
        <v>3475</v>
      </c>
      <c r="AF1056" s="2">
        <v>3578.27</v>
      </c>
      <c r="AG1056" s="2">
        <v>2171.2941999999998</v>
      </c>
      <c r="AH1056" s="2">
        <v>1406.9757999999999</v>
      </c>
      <c r="AI1056" s="3">
        <v>0.39320001006072802</v>
      </c>
    </row>
    <row r="1057" spans="1:35">
      <c r="A1057" s="1">
        <v>42036</v>
      </c>
      <c r="B1057" s="1">
        <v>37211</v>
      </c>
      <c r="C1057" t="s">
        <v>3778</v>
      </c>
      <c r="D1057">
        <v>313</v>
      </c>
      <c r="E1057">
        <v>15048</v>
      </c>
      <c r="F1057">
        <v>10</v>
      </c>
      <c r="G1057">
        <v>1</v>
      </c>
      <c r="H1057">
        <v>1</v>
      </c>
      <c r="I1057">
        <v>2</v>
      </c>
      <c r="J1057" t="s">
        <v>3491</v>
      </c>
      <c r="K1057" t="s">
        <v>3492</v>
      </c>
      <c r="L1057" s="2">
        <v>2171.2941999999998</v>
      </c>
      <c r="M1057" s="2">
        <v>3578.27</v>
      </c>
      <c r="N1057" t="s">
        <v>30</v>
      </c>
      <c r="O1057" t="s">
        <v>502</v>
      </c>
      <c r="P1057" t="s">
        <v>87</v>
      </c>
      <c r="Q1057" t="s">
        <v>7386</v>
      </c>
      <c r="R1057" s="1">
        <v>22451</v>
      </c>
      <c r="S1057" t="s">
        <v>16</v>
      </c>
      <c r="T1057" t="s">
        <v>29</v>
      </c>
      <c r="U1057" t="s">
        <v>1862</v>
      </c>
      <c r="V1057">
        <v>30000</v>
      </c>
      <c r="W1057">
        <v>3</v>
      </c>
      <c r="X1057" t="s">
        <v>135</v>
      </c>
      <c r="Y1057" t="s">
        <v>60</v>
      </c>
      <c r="Z1057" t="s">
        <v>19</v>
      </c>
      <c r="AA1057" t="s">
        <v>3588</v>
      </c>
      <c r="AB1057" t="s">
        <v>3588</v>
      </c>
      <c r="AC1057" t="s">
        <v>3584</v>
      </c>
      <c r="AD1057" t="s">
        <v>3479</v>
      </c>
      <c r="AE1057" t="s">
        <v>3475</v>
      </c>
      <c r="AF1057" s="2">
        <v>3578.27</v>
      </c>
      <c r="AG1057" s="2">
        <v>2171.2941999999998</v>
      </c>
      <c r="AH1057" s="2">
        <v>1406.9757999999999</v>
      </c>
      <c r="AI1057" s="3">
        <v>0.39320001006072802</v>
      </c>
    </row>
    <row r="1058" spans="1:35">
      <c r="A1058" s="1">
        <v>42183</v>
      </c>
      <c r="B1058" s="1">
        <v>37348</v>
      </c>
      <c r="C1058" t="s">
        <v>4748</v>
      </c>
      <c r="D1058">
        <v>314</v>
      </c>
      <c r="E1058">
        <v>15050</v>
      </c>
      <c r="F1058">
        <v>8</v>
      </c>
      <c r="G1058">
        <v>1</v>
      </c>
      <c r="H1058">
        <v>1</v>
      </c>
      <c r="I1058">
        <v>2</v>
      </c>
      <c r="J1058" t="s">
        <v>3493</v>
      </c>
      <c r="K1058" t="s">
        <v>3494</v>
      </c>
      <c r="L1058" s="2">
        <v>2171.2941999999998</v>
      </c>
      <c r="M1058" s="2">
        <v>3578.27</v>
      </c>
      <c r="N1058" t="s">
        <v>13</v>
      </c>
      <c r="O1058" t="s">
        <v>792</v>
      </c>
      <c r="P1058" t="s">
        <v>328</v>
      </c>
      <c r="Q1058" t="s">
        <v>7387</v>
      </c>
      <c r="R1058" s="1">
        <v>22260</v>
      </c>
      <c r="S1058" t="s">
        <v>22</v>
      </c>
      <c r="T1058" t="s">
        <v>16</v>
      </c>
      <c r="U1058" t="s">
        <v>1863</v>
      </c>
      <c r="V1058">
        <v>20000</v>
      </c>
      <c r="W1058">
        <v>1</v>
      </c>
      <c r="X1058" t="s">
        <v>52</v>
      </c>
      <c r="Y1058" t="s">
        <v>444</v>
      </c>
      <c r="Z1058" t="s">
        <v>23</v>
      </c>
      <c r="AA1058" t="s">
        <v>3585</v>
      </c>
      <c r="AB1058" t="s">
        <v>3585</v>
      </c>
      <c r="AC1058" t="s">
        <v>3584</v>
      </c>
      <c r="AD1058" t="s">
        <v>3479</v>
      </c>
      <c r="AE1058" t="s">
        <v>3475</v>
      </c>
      <c r="AF1058" s="2">
        <v>3578.27</v>
      </c>
      <c r="AG1058" s="2">
        <v>2171.2941999999998</v>
      </c>
      <c r="AH1058" s="2">
        <v>1406.9757999999999</v>
      </c>
      <c r="AI1058" s="3">
        <v>0.39320001006072802</v>
      </c>
    </row>
    <row r="1059" spans="1:35">
      <c r="A1059" s="1">
        <v>42044</v>
      </c>
      <c r="B1059" s="1">
        <v>37176</v>
      </c>
      <c r="C1059" t="s">
        <v>3829</v>
      </c>
      <c r="D1059">
        <v>313</v>
      </c>
      <c r="E1059">
        <v>15051</v>
      </c>
      <c r="F1059">
        <v>10</v>
      </c>
      <c r="G1059">
        <v>1</v>
      </c>
      <c r="H1059">
        <v>1</v>
      </c>
      <c r="I1059">
        <v>2</v>
      </c>
      <c r="J1059" t="s">
        <v>3491</v>
      </c>
      <c r="K1059" t="s">
        <v>3492</v>
      </c>
      <c r="L1059" s="2">
        <v>2171.2941999999998</v>
      </c>
      <c r="M1059" s="2">
        <v>3578.27</v>
      </c>
      <c r="N1059" t="s">
        <v>73</v>
      </c>
      <c r="O1059" t="s">
        <v>78</v>
      </c>
      <c r="P1059" t="s">
        <v>492</v>
      </c>
      <c r="Q1059" t="s">
        <v>7388</v>
      </c>
      <c r="R1059" s="1">
        <v>22059</v>
      </c>
      <c r="S1059" t="s">
        <v>22</v>
      </c>
      <c r="T1059" t="s">
        <v>76</v>
      </c>
      <c r="U1059" t="s">
        <v>1864</v>
      </c>
      <c r="V1059">
        <v>20000</v>
      </c>
      <c r="W1059">
        <v>1</v>
      </c>
      <c r="X1059" t="s">
        <v>52</v>
      </c>
      <c r="Y1059" t="s">
        <v>444</v>
      </c>
      <c r="Z1059" t="s">
        <v>23</v>
      </c>
      <c r="AA1059" t="s">
        <v>3588</v>
      </c>
      <c r="AB1059" t="s">
        <v>3588</v>
      </c>
      <c r="AC1059" t="s">
        <v>3584</v>
      </c>
      <c r="AD1059" t="s">
        <v>3479</v>
      </c>
      <c r="AE1059" t="s">
        <v>3475</v>
      </c>
      <c r="AF1059" s="2">
        <v>3578.27</v>
      </c>
      <c r="AG1059" s="2">
        <v>2171.2941999999998</v>
      </c>
      <c r="AH1059" s="2">
        <v>1406.9757999999999</v>
      </c>
      <c r="AI1059" s="3">
        <v>0.39320001006072802</v>
      </c>
    </row>
    <row r="1060" spans="1:35">
      <c r="A1060" s="1">
        <v>42163</v>
      </c>
      <c r="B1060" s="1">
        <v>37383</v>
      </c>
      <c r="C1060" t="s">
        <v>4603</v>
      </c>
      <c r="D1060">
        <v>313</v>
      </c>
      <c r="E1060">
        <v>15054</v>
      </c>
      <c r="F1060">
        <v>8</v>
      </c>
      <c r="G1060">
        <v>1</v>
      </c>
      <c r="H1060">
        <v>1</v>
      </c>
      <c r="I1060">
        <v>2</v>
      </c>
      <c r="J1060" t="s">
        <v>3491</v>
      </c>
      <c r="K1060" t="s">
        <v>3492</v>
      </c>
      <c r="L1060" s="2">
        <v>2171.2941999999998</v>
      </c>
      <c r="M1060" s="2">
        <v>3578.27</v>
      </c>
      <c r="N1060" t="s">
        <v>13</v>
      </c>
      <c r="O1060" t="s">
        <v>589</v>
      </c>
      <c r="P1060" t="s">
        <v>195</v>
      </c>
      <c r="Q1060" t="s">
        <v>7389</v>
      </c>
      <c r="R1060" s="1">
        <v>21595</v>
      </c>
      <c r="S1060" t="s">
        <v>22</v>
      </c>
      <c r="T1060" t="s">
        <v>16</v>
      </c>
      <c r="U1060" t="s">
        <v>1865</v>
      </c>
      <c r="V1060">
        <v>20000</v>
      </c>
      <c r="W1060">
        <v>2</v>
      </c>
      <c r="X1060" t="s">
        <v>52</v>
      </c>
      <c r="Y1060" t="s">
        <v>444</v>
      </c>
      <c r="Z1060" t="s">
        <v>19</v>
      </c>
      <c r="AA1060" t="s">
        <v>3585</v>
      </c>
      <c r="AB1060" t="s">
        <v>3585</v>
      </c>
      <c r="AC1060" t="s">
        <v>3584</v>
      </c>
      <c r="AD1060" t="s">
        <v>3479</v>
      </c>
      <c r="AE1060" t="s">
        <v>3475</v>
      </c>
      <c r="AF1060" s="2">
        <v>3578.27</v>
      </c>
      <c r="AG1060" s="2">
        <v>2171.2941999999998</v>
      </c>
      <c r="AH1060" s="2">
        <v>1406.9757999999999</v>
      </c>
      <c r="AI1060" s="3">
        <v>0.39320001006072802</v>
      </c>
    </row>
    <row r="1061" spans="1:35">
      <c r="A1061" s="1">
        <v>42157</v>
      </c>
      <c r="B1061" s="1">
        <v>37330</v>
      </c>
      <c r="C1061" t="s">
        <v>4565</v>
      </c>
      <c r="D1061">
        <v>314</v>
      </c>
      <c r="E1061">
        <v>15055</v>
      </c>
      <c r="F1061">
        <v>8</v>
      </c>
      <c r="G1061">
        <v>1</v>
      </c>
      <c r="H1061">
        <v>1</v>
      </c>
      <c r="I1061">
        <v>2</v>
      </c>
      <c r="J1061" t="s">
        <v>3493</v>
      </c>
      <c r="K1061" t="s">
        <v>3494</v>
      </c>
      <c r="L1061" s="2">
        <v>2171.2941999999998</v>
      </c>
      <c r="M1061" s="2">
        <v>3578.27</v>
      </c>
      <c r="N1061" t="s">
        <v>13</v>
      </c>
      <c r="O1061" t="s">
        <v>799</v>
      </c>
      <c r="P1061" t="s">
        <v>25</v>
      </c>
      <c r="Q1061" t="s">
        <v>7390</v>
      </c>
      <c r="R1061" s="1">
        <v>21753</v>
      </c>
      <c r="S1061" t="s">
        <v>16</v>
      </c>
      <c r="T1061" t="s">
        <v>16</v>
      </c>
      <c r="U1061" t="s">
        <v>1866</v>
      </c>
      <c r="V1061">
        <v>20000</v>
      </c>
      <c r="W1061">
        <v>2</v>
      </c>
      <c r="X1061" t="s">
        <v>52</v>
      </c>
      <c r="Y1061" t="s">
        <v>444</v>
      </c>
      <c r="Z1061" t="s">
        <v>19</v>
      </c>
      <c r="AA1061" t="s">
        <v>3585</v>
      </c>
      <c r="AB1061" t="s">
        <v>3585</v>
      </c>
      <c r="AC1061" t="s">
        <v>3584</v>
      </c>
      <c r="AD1061" t="s">
        <v>3479</v>
      </c>
      <c r="AE1061" t="s">
        <v>3475</v>
      </c>
      <c r="AF1061" s="2">
        <v>3578.27</v>
      </c>
      <c r="AG1061" s="2">
        <v>2171.2941999999998</v>
      </c>
      <c r="AH1061" s="2">
        <v>1406.9757999999999</v>
      </c>
      <c r="AI1061" s="3">
        <v>0.39320001006072802</v>
      </c>
    </row>
    <row r="1062" spans="1:35">
      <c r="A1062" s="1">
        <v>42048</v>
      </c>
      <c r="B1062" s="1">
        <v>37244</v>
      </c>
      <c r="C1062" t="s">
        <v>3857</v>
      </c>
      <c r="D1062">
        <v>310</v>
      </c>
      <c r="E1062">
        <v>15056</v>
      </c>
      <c r="F1062">
        <v>10</v>
      </c>
      <c r="G1062">
        <v>1</v>
      </c>
      <c r="H1062">
        <v>1</v>
      </c>
      <c r="I1062">
        <v>2</v>
      </c>
      <c r="J1062" t="s">
        <v>3485</v>
      </c>
      <c r="K1062" t="s">
        <v>3486</v>
      </c>
      <c r="L1062" s="2">
        <v>2171.2941999999998</v>
      </c>
      <c r="M1062" s="2">
        <v>3578.27</v>
      </c>
      <c r="N1062" t="s">
        <v>30</v>
      </c>
      <c r="O1062" t="s">
        <v>92</v>
      </c>
      <c r="P1062" t="s">
        <v>40</v>
      </c>
      <c r="Q1062" t="s">
        <v>7391</v>
      </c>
      <c r="R1062" s="1">
        <v>21642</v>
      </c>
      <c r="S1062" t="s">
        <v>16</v>
      </c>
      <c r="T1062" t="s">
        <v>29</v>
      </c>
      <c r="U1062" t="s">
        <v>1867</v>
      </c>
      <c r="V1062">
        <v>20000</v>
      </c>
      <c r="W1062">
        <v>2</v>
      </c>
      <c r="X1062" t="s">
        <v>52</v>
      </c>
      <c r="Y1062" t="s">
        <v>444</v>
      </c>
      <c r="Z1062" t="s">
        <v>19</v>
      </c>
      <c r="AA1062" t="s">
        <v>3588</v>
      </c>
      <c r="AB1062" t="s">
        <v>3588</v>
      </c>
      <c r="AC1062" t="s">
        <v>3584</v>
      </c>
      <c r="AD1062" t="s">
        <v>3479</v>
      </c>
      <c r="AE1062" t="s">
        <v>3475</v>
      </c>
      <c r="AF1062" s="2">
        <v>3578.27</v>
      </c>
      <c r="AG1062" s="2">
        <v>2171.2941999999998</v>
      </c>
      <c r="AH1062" s="2">
        <v>1406.9757999999999</v>
      </c>
      <c r="AI1062" s="3">
        <v>0.39320001006072802</v>
      </c>
    </row>
    <row r="1063" spans="1:35">
      <c r="A1063" s="1">
        <v>42045</v>
      </c>
      <c r="B1063" s="1">
        <v>37190</v>
      </c>
      <c r="C1063" t="s">
        <v>3833</v>
      </c>
      <c r="D1063">
        <v>310</v>
      </c>
      <c r="E1063">
        <v>15058</v>
      </c>
      <c r="F1063">
        <v>10</v>
      </c>
      <c r="G1063">
        <v>1</v>
      </c>
      <c r="H1063">
        <v>1</v>
      </c>
      <c r="I1063">
        <v>2</v>
      </c>
      <c r="J1063" t="s">
        <v>3485</v>
      </c>
      <c r="K1063" t="s">
        <v>3486</v>
      </c>
      <c r="L1063" s="2">
        <v>2171.2941999999998</v>
      </c>
      <c r="M1063" s="2">
        <v>3578.27</v>
      </c>
      <c r="N1063" t="s">
        <v>13</v>
      </c>
      <c r="O1063" t="s">
        <v>33</v>
      </c>
      <c r="P1063" t="s">
        <v>40</v>
      </c>
      <c r="Q1063" t="s">
        <v>7392</v>
      </c>
      <c r="R1063" s="1">
        <v>21881</v>
      </c>
      <c r="S1063" t="s">
        <v>16</v>
      </c>
      <c r="T1063" t="s">
        <v>16</v>
      </c>
      <c r="U1063" t="s">
        <v>1868</v>
      </c>
      <c r="V1063">
        <v>30000</v>
      </c>
      <c r="W1063">
        <v>3</v>
      </c>
      <c r="X1063" t="s">
        <v>135</v>
      </c>
      <c r="Y1063" t="s">
        <v>60</v>
      </c>
      <c r="Z1063" t="s">
        <v>19</v>
      </c>
      <c r="AA1063" t="s">
        <v>3588</v>
      </c>
      <c r="AB1063" t="s">
        <v>3588</v>
      </c>
      <c r="AC1063" t="s">
        <v>3584</v>
      </c>
      <c r="AD1063" t="s">
        <v>3479</v>
      </c>
      <c r="AE1063" t="s">
        <v>3475</v>
      </c>
      <c r="AF1063" s="2">
        <v>3578.27</v>
      </c>
      <c r="AG1063" s="2">
        <v>2171.2941999999998</v>
      </c>
      <c r="AH1063" s="2">
        <v>1406.9757999999999</v>
      </c>
      <c r="AI1063" s="3">
        <v>0.39320001006072802</v>
      </c>
    </row>
    <row r="1064" spans="1:35">
      <c r="A1064" s="1">
        <v>42044</v>
      </c>
      <c r="B1064" s="1">
        <v>37257</v>
      </c>
      <c r="C1064" t="s">
        <v>3830</v>
      </c>
      <c r="D1064">
        <v>312</v>
      </c>
      <c r="E1064">
        <v>15059</v>
      </c>
      <c r="F1064">
        <v>10</v>
      </c>
      <c r="G1064">
        <v>1</v>
      </c>
      <c r="H1064">
        <v>1</v>
      </c>
      <c r="I1064">
        <v>2</v>
      </c>
      <c r="J1064" t="s">
        <v>3489</v>
      </c>
      <c r="K1064" t="s">
        <v>3490</v>
      </c>
      <c r="L1064" s="2">
        <v>2171.2941999999998</v>
      </c>
      <c r="M1064" s="2">
        <v>3578.27</v>
      </c>
      <c r="N1064" t="s">
        <v>30</v>
      </c>
      <c r="O1064" t="s">
        <v>356</v>
      </c>
      <c r="P1064" t="s">
        <v>28</v>
      </c>
      <c r="Q1064" t="s">
        <v>7393</v>
      </c>
      <c r="R1064" s="1">
        <v>21807</v>
      </c>
      <c r="S1064" t="s">
        <v>16</v>
      </c>
      <c r="T1064" t="s">
        <v>29</v>
      </c>
      <c r="U1064" t="s">
        <v>1869</v>
      </c>
      <c r="V1064">
        <v>30000</v>
      </c>
      <c r="W1064">
        <v>3</v>
      </c>
      <c r="X1064" t="s">
        <v>135</v>
      </c>
      <c r="Y1064" t="s">
        <v>60</v>
      </c>
      <c r="Z1064" t="s">
        <v>19</v>
      </c>
      <c r="AA1064" t="s">
        <v>3588</v>
      </c>
      <c r="AB1064" t="s">
        <v>3588</v>
      </c>
      <c r="AC1064" t="s">
        <v>3584</v>
      </c>
      <c r="AD1064" t="s">
        <v>3479</v>
      </c>
      <c r="AE1064" t="s">
        <v>3475</v>
      </c>
      <c r="AF1064" s="2">
        <v>3578.27</v>
      </c>
      <c r="AG1064" s="2">
        <v>2171.2941999999998</v>
      </c>
      <c r="AH1064" s="2">
        <v>1406.9757999999999</v>
      </c>
      <c r="AI1064" s="3">
        <v>0.39320001006072802</v>
      </c>
    </row>
    <row r="1065" spans="1:35">
      <c r="A1065" s="1">
        <v>42361</v>
      </c>
      <c r="B1065" s="1">
        <v>37545</v>
      </c>
      <c r="C1065" t="s">
        <v>6146</v>
      </c>
      <c r="D1065">
        <v>371</v>
      </c>
      <c r="E1065">
        <v>15061</v>
      </c>
      <c r="F1065">
        <v>7</v>
      </c>
      <c r="G1065">
        <v>1</v>
      </c>
      <c r="H1065">
        <v>1</v>
      </c>
      <c r="I1065">
        <v>2</v>
      </c>
      <c r="J1065" t="s">
        <v>3553</v>
      </c>
      <c r="K1065" t="s">
        <v>3554</v>
      </c>
      <c r="L1065" s="2">
        <v>1320.6838</v>
      </c>
      <c r="M1065" s="2">
        <v>2181.5625</v>
      </c>
      <c r="N1065" t="s">
        <v>30</v>
      </c>
      <c r="O1065" t="s">
        <v>1088</v>
      </c>
      <c r="P1065" t="s">
        <v>192</v>
      </c>
      <c r="Q1065" t="s">
        <v>7394</v>
      </c>
      <c r="R1065" s="1">
        <v>22064</v>
      </c>
      <c r="S1065" t="s">
        <v>16</v>
      </c>
      <c r="T1065" t="s">
        <v>29</v>
      </c>
      <c r="U1065" t="s">
        <v>1870</v>
      </c>
      <c r="V1065">
        <v>30000</v>
      </c>
      <c r="W1065">
        <v>3</v>
      </c>
      <c r="X1065" t="s">
        <v>135</v>
      </c>
      <c r="Y1065" t="s">
        <v>60</v>
      </c>
      <c r="Z1065" t="s">
        <v>19</v>
      </c>
      <c r="AA1065" t="s">
        <v>3583</v>
      </c>
      <c r="AB1065" t="s">
        <v>3583</v>
      </c>
      <c r="AC1065" t="s">
        <v>3584</v>
      </c>
      <c r="AD1065" t="s">
        <v>3479</v>
      </c>
      <c r="AE1065" t="s">
        <v>3475</v>
      </c>
      <c r="AF1065" s="2">
        <v>2181.5625</v>
      </c>
      <c r="AG1065" s="2">
        <v>1320.6838</v>
      </c>
      <c r="AH1065" s="2">
        <v>860.87869999999998</v>
      </c>
      <c r="AI1065" s="3">
        <v>0.39461564818793898</v>
      </c>
    </row>
    <row r="1066" spans="1:35">
      <c r="A1066" s="1">
        <v>42040</v>
      </c>
      <c r="B1066" s="1">
        <v>37213</v>
      </c>
      <c r="C1066" t="s">
        <v>3805</v>
      </c>
      <c r="D1066">
        <v>310</v>
      </c>
      <c r="E1066">
        <v>15062</v>
      </c>
      <c r="F1066">
        <v>10</v>
      </c>
      <c r="G1066">
        <v>1</v>
      </c>
      <c r="H1066">
        <v>1</v>
      </c>
      <c r="I1066">
        <v>2</v>
      </c>
      <c r="J1066" t="s">
        <v>3485</v>
      </c>
      <c r="K1066" t="s">
        <v>3486</v>
      </c>
      <c r="L1066" s="2">
        <v>2171.2941999999998</v>
      </c>
      <c r="M1066" s="2">
        <v>3578.27</v>
      </c>
      <c r="N1066" t="s">
        <v>30</v>
      </c>
      <c r="O1066" t="s">
        <v>92</v>
      </c>
      <c r="P1066" t="s">
        <v>779</v>
      </c>
      <c r="Q1066" t="s">
        <v>7395</v>
      </c>
      <c r="R1066" s="1">
        <v>22181</v>
      </c>
      <c r="S1066" t="s">
        <v>22</v>
      </c>
      <c r="T1066" t="s">
        <v>29</v>
      </c>
      <c r="U1066" t="s">
        <v>1871</v>
      </c>
      <c r="V1066">
        <v>30000</v>
      </c>
      <c r="W1066">
        <v>3</v>
      </c>
      <c r="X1066" t="s">
        <v>135</v>
      </c>
      <c r="Y1066" t="s">
        <v>60</v>
      </c>
      <c r="Z1066" t="s">
        <v>19</v>
      </c>
      <c r="AA1066" t="s">
        <v>3588</v>
      </c>
      <c r="AB1066" t="s">
        <v>3588</v>
      </c>
      <c r="AC1066" t="s">
        <v>3584</v>
      </c>
      <c r="AD1066" t="s">
        <v>3479</v>
      </c>
      <c r="AE1066" t="s">
        <v>3475</v>
      </c>
      <c r="AF1066" s="2">
        <v>3578.27</v>
      </c>
      <c r="AG1066" s="2">
        <v>2171.2941999999998</v>
      </c>
      <c r="AH1066" s="2">
        <v>1406.9757999999999</v>
      </c>
      <c r="AI1066" s="3">
        <v>0.39320001006072802</v>
      </c>
    </row>
    <row r="1067" spans="1:35">
      <c r="A1067" s="1">
        <v>42176</v>
      </c>
      <c r="B1067" s="1">
        <v>37310</v>
      </c>
      <c r="C1067" t="s">
        <v>4693</v>
      </c>
      <c r="D1067">
        <v>311</v>
      </c>
      <c r="E1067">
        <v>15063</v>
      </c>
      <c r="F1067">
        <v>8</v>
      </c>
      <c r="G1067">
        <v>1</v>
      </c>
      <c r="H1067">
        <v>1</v>
      </c>
      <c r="I1067">
        <v>2</v>
      </c>
      <c r="J1067" t="s">
        <v>3487</v>
      </c>
      <c r="K1067" t="s">
        <v>3488</v>
      </c>
      <c r="L1067" s="2">
        <v>2171.2941999999998</v>
      </c>
      <c r="M1067" s="2">
        <v>3578.27</v>
      </c>
      <c r="N1067" t="s">
        <v>30</v>
      </c>
      <c r="O1067" t="s">
        <v>213</v>
      </c>
      <c r="P1067" t="s">
        <v>465</v>
      </c>
      <c r="Q1067" t="s">
        <v>7396</v>
      </c>
      <c r="R1067" s="1">
        <v>22086</v>
      </c>
      <c r="S1067" t="s">
        <v>16</v>
      </c>
      <c r="T1067" t="s">
        <v>29</v>
      </c>
      <c r="U1067" t="s">
        <v>1872</v>
      </c>
      <c r="V1067">
        <v>30000</v>
      </c>
      <c r="W1067">
        <v>3</v>
      </c>
      <c r="X1067" t="s">
        <v>17</v>
      </c>
      <c r="Y1067" t="s">
        <v>60</v>
      </c>
      <c r="Z1067" t="s">
        <v>19</v>
      </c>
      <c r="AA1067" t="s">
        <v>3585</v>
      </c>
      <c r="AB1067" t="s">
        <v>3585</v>
      </c>
      <c r="AC1067" t="s">
        <v>3584</v>
      </c>
      <c r="AD1067" t="s">
        <v>3479</v>
      </c>
      <c r="AE1067" t="s">
        <v>3475</v>
      </c>
      <c r="AF1067" s="2">
        <v>3578.27</v>
      </c>
      <c r="AG1067" s="2">
        <v>2171.2941999999998</v>
      </c>
      <c r="AH1067" s="2">
        <v>1406.9757999999999</v>
      </c>
      <c r="AI1067" s="3">
        <v>0.39320001006072802</v>
      </c>
    </row>
    <row r="1068" spans="1:35">
      <c r="A1068" s="1">
        <v>42350</v>
      </c>
      <c r="B1068" s="1">
        <v>37486</v>
      </c>
      <c r="C1068" t="s">
        <v>6018</v>
      </c>
      <c r="D1068">
        <v>370</v>
      </c>
      <c r="E1068">
        <v>15064</v>
      </c>
      <c r="F1068">
        <v>7</v>
      </c>
      <c r="G1068">
        <v>1</v>
      </c>
      <c r="H1068">
        <v>1</v>
      </c>
      <c r="I1068">
        <v>2</v>
      </c>
      <c r="J1068" t="s">
        <v>3551</v>
      </c>
      <c r="K1068" t="s">
        <v>3552</v>
      </c>
      <c r="L1068" s="2">
        <v>1518.7864</v>
      </c>
      <c r="M1068" s="2">
        <v>2443.35</v>
      </c>
      <c r="N1068" t="s">
        <v>13</v>
      </c>
      <c r="O1068" t="s">
        <v>637</v>
      </c>
      <c r="P1068" t="s">
        <v>198</v>
      </c>
      <c r="Q1068" t="s">
        <v>7397</v>
      </c>
      <c r="R1068" s="1">
        <v>22131</v>
      </c>
      <c r="S1068" t="s">
        <v>16</v>
      </c>
      <c r="T1068" t="s">
        <v>16</v>
      </c>
      <c r="U1068" t="s">
        <v>1873</v>
      </c>
      <c r="V1068">
        <v>30000</v>
      </c>
      <c r="W1068">
        <v>3</v>
      </c>
      <c r="X1068" t="s">
        <v>17</v>
      </c>
      <c r="Y1068" t="s">
        <v>60</v>
      </c>
      <c r="Z1068" t="s">
        <v>19</v>
      </c>
      <c r="AA1068" t="s">
        <v>3583</v>
      </c>
      <c r="AB1068" t="s">
        <v>3583</v>
      </c>
      <c r="AC1068" t="s">
        <v>3584</v>
      </c>
      <c r="AD1068" t="s">
        <v>3479</v>
      </c>
      <c r="AE1068" t="s">
        <v>3475</v>
      </c>
      <c r="AF1068" s="2">
        <v>2443.35</v>
      </c>
      <c r="AG1068" s="2">
        <v>1518.7864</v>
      </c>
      <c r="AH1068" s="2">
        <v>924.56359999999995</v>
      </c>
      <c r="AI1068" s="3">
        <v>0.37839998362903399</v>
      </c>
    </row>
    <row r="1069" spans="1:35">
      <c r="A1069" s="1">
        <v>42362</v>
      </c>
      <c r="B1069" s="1">
        <v>37511</v>
      </c>
      <c r="C1069" t="s">
        <v>6151</v>
      </c>
      <c r="D1069">
        <v>373</v>
      </c>
      <c r="E1069">
        <v>15067</v>
      </c>
      <c r="F1069">
        <v>7</v>
      </c>
      <c r="G1069">
        <v>1</v>
      </c>
      <c r="H1069">
        <v>1</v>
      </c>
      <c r="I1069">
        <v>2</v>
      </c>
      <c r="J1069" t="s">
        <v>3555</v>
      </c>
      <c r="K1069" t="s">
        <v>3556</v>
      </c>
      <c r="L1069" s="2">
        <v>1320.6838</v>
      </c>
      <c r="M1069" s="2">
        <v>2181.5625</v>
      </c>
      <c r="N1069" t="s">
        <v>30</v>
      </c>
      <c r="O1069" t="s">
        <v>234</v>
      </c>
      <c r="P1069" t="s">
        <v>214</v>
      </c>
      <c r="Q1069" t="s">
        <v>7398</v>
      </c>
      <c r="R1069" s="1">
        <v>25604</v>
      </c>
      <c r="S1069" t="s">
        <v>22</v>
      </c>
      <c r="T1069" t="s">
        <v>29</v>
      </c>
      <c r="U1069" t="s">
        <v>1874</v>
      </c>
      <c r="V1069">
        <v>10000</v>
      </c>
      <c r="W1069">
        <v>2</v>
      </c>
      <c r="X1069" t="s">
        <v>57</v>
      </c>
      <c r="Y1069" t="s">
        <v>444</v>
      </c>
      <c r="Z1069" t="s">
        <v>19</v>
      </c>
      <c r="AA1069" t="s">
        <v>3583</v>
      </c>
      <c r="AB1069" t="s">
        <v>3583</v>
      </c>
      <c r="AC1069" t="s">
        <v>3584</v>
      </c>
      <c r="AD1069" t="s">
        <v>3479</v>
      </c>
      <c r="AE1069" t="s">
        <v>3475</v>
      </c>
      <c r="AF1069" s="2">
        <v>2181.5625</v>
      </c>
      <c r="AG1069" s="2">
        <v>1320.6838</v>
      </c>
      <c r="AH1069" s="2">
        <v>860.87869999999998</v>
      </c>
      <c r="AI1069" s="3">
        <v>0.39461564818793898</v>
      </c>
    </row>
    <row r="1070" spans="1:35">
      <c r="A1070" s="1">
        <v>42341</v>
      </c>
      <c r="B1070" s="1">
        <v>37543</v>
      </c>
      <c r="C1070" t="s">
        <v>5918</v>
      </c>
      <c r="D1070">
        <v>377</v>
      </c>
      <c r="E1070">
        <v>15070</v>
      </c>
      <c r="F1070">
        <v>7</v>
      </c>
      <c r="G1070">
        <v>1</v>
      </c>
      <c r="H1070">
        <v>1</v>
      </c>
      <c r="I1070">
        <v>2</v>
      </c>
      <c r="J1070" t="s">
        <v>3559</v>
      </c>
      <c r="K1070" t="s">
        <v>3560</v>
      </c>
      <c r="L1070" s="2">
        <v>1320.6838</v>
      </c>
      <c r="M1070" s="2">
        <v>2181.5625</v>
      </c>
      <c r="N1070" t="s">
        <v>13</v>
      </c>
      <c r="O1070" t="s">
        <v>316</v>
      </c>
      <c r="P1070" t="s">
        <v>153</v>
      </c>
      <c r="Q1070" t="s">
        <v>7399</v>
      </c>
      <c r="R1070" s="1">
        <v>25302</v>
      </c>
      <c r="S1070" t="s">
        <v>22</v>
      </c>
      <c r="T1070" t="s">
        <v>16</v>
      </c>
      <c r="U1070" t="s">
        <v>1875</v>
      </c>
      <c r="V1070">
        <v>10000</v>
      </c>
      <c r="W1070">
        <v>2</v>
      </c>
      <c r="X1070" t="s">
        <v>57</v>
      </c>
      <c r="Y1070" t="s">
        <v>444</v>
      </c>
      <c r="Z1070" t="s">
        <v>19</v>
      </c>
      <c r="AA1070" t="s">
        <v>3583</v>
      </c>
      <c r="AB1070" t="s">
        <v>3583</v>
      </c>
      <c r="AC1070" t="s">
        <v>3584</v>
      </c>
      <c r="AD1070" t="s">
        <v>3479</v>
      </c>
      <c r="AE1070" t="s">
        <v>3475</v>
      </c>
      <c r="AF1070" s="2">
        <v>2181.5625</v>
      </c>
      <c r="AG1070" s="2">
        <v>1320.6838</v>
      </c>
      <c r="AH1070" s="2">
        <v>860.87869999999998</v>
      </c>
      <c r="AI1070" s="3">
        <v>0.39461564818793898</v>
      </c>
    </row>
    <row r="1071" spans="1:35">
      <c r="A1071" s="1">
        <v>42349</v>
      </c>
      <c r="B1071" s="1">
        <v>37503</v>
      </c>
      <c r="C1071" t="s">
        <v>6008</v>
      </c>
      <c r="D1071">
        <v>371</v>
      </c>
      <c r="E1071">
        <v>15071</v>
      </c>
      <c r="F1071">
        <v>7</v>
      </c>
      <c r="G1071">
        <v>1</v>
      </c>
      <c r="H1071">
        <v>1</v>
      </c>
      <c r="I1071">
        <v>2</v>
      </c>
      <c r="J1071" t="s">
        <v>3553</v>
      </c>
      <c r="K1071" t="s">
        <v>3554</v>
      </c>
      <c r="L1071" s="2">
        <v>1320.6838</v>
      </c>
      <c r="M1071" s="2">
        <v>2181.5625</v>
      </c>
      <c r="N1071" t="s">
        <v>26</v>
      </c>
      <c r="O1071" t="s">
        <v>1222</v>
      </c>
      <c r="P1071" t="s">
        <v>217</v>
      </c>
      <c r="Q1071" t="s">
        <v>7400</v>
      </c>
      <c r="R1071" s="1">
        <v>25919</v>
      </c>
      <c r="S1071" t="s">
        <v>22</v>
      </c>
      <c r="T1071" t="s">
        <v>29</v>
      </c>
      <c r="U1071" t="s">
        <v>1876</v>
      </c>
      <c r="V1071">
        <v>30000</v>
      </c>
      <c r="W1071">
        <v>0</v>
      </c>
      <c r="X1071" t="s">
        <v>17</v>
      </c>
      <c r="Y1071" t="s">
        <v>60</v>
      </c>
      <c r="Z1071" t="s">
        <v>19</v>
      </c>
      <c r="AA1071" t="s">
        <v>3583</v>
      </c>
      <c r="AB1071" t="s">
        <v>3583</v>
      </c>
      <c r="AC1071" t="s">
        <v>3584</v>
      </c>
      <c r="AD1071" t="s">
        <v>3479</v>
      </c>
      <c r="AE1071" t="s">
        <v>3475</v>
      </c>
      <c r="AF1071" s="2">
        <v>2181.5625</v>
      </c>
      <c r="AG1071" s="2">
        <v>1320.6838</v>
      </c>
      <c r="AH1071" s="2">
        <v>860.87869999999998</v>
      </c>
      <c r="AI1071" s="3">
        <v>0.39461564818793898</v>
      </c>
    </row>
    <row r="1072" spans="1:35">
      <c r="A1072" s="1">
        <v>42349</v>
      </c>
      <c r="B1072" s="1">
        <v>37494</v>
      </c>
      <c r="C1072" t="s">
        <v>6011</v>
      </c>
      <c r="D1072">
        <v>379</v>
      </c>
      <c r="E1072">
        <v>15072</v>
      </c>
      <c r="F1072">
        <v>7</v>
      </c>
      <c r="G1072">
        <v>1</v>
      </c>
      <c r="H1072">
        <v>1</v>
      </c>
      <c r="I1072">
        <v>2</v>
      </c>
      <c r="J1072" t="s">
        <v>3561</v>
      </c>
      <c r="K1072" t="s">
        <v>3562</v>
      </c>
      <c r="L1072" s="2">
        <v>1320.6838</v>
      </c>
      <c r="M1072" s="2">
        <v>2181.5625</v>
      </c>
      <c r="N1072" t="s">
        <v>26</v>
      </c>
      <c r="O1072" t="s">
        <v>631</v>
      </c>
      <c r="P1072" t="s">
        <v>561</v>
      </c>
      <c r="Q1072" t="s">
        <v>7401</v>
      </c>
      <c r="R1072" s="1">
        <v>25753</v>
      </c>
      <c r="S1072" t="s">
        <v>22</v>
      </c>
      <c r="T1072" t="s">
        <v>29</v>
      </c>
      <c r="U1072" t="s">
        <v>1877</v>
      </c>
      <c r="V1072">
        <v>30000</v>
      </c>
      <c r="W1072">
        <v>0</v>
      </c>
      <c r="X1072" t="s">
        <v>17</v>
      </c>
      <c r="Y1072" t="s">
        <v>60</v>
      </c>
      <c r="Z1072" t="s">
        <v>19</v>
      </c>
      <c r="AA1072" t="s">
        <v>3583</v>
      </c>
      <c r="AB1072" t="s">
        <v>3583</v>
      </c>
      <c r="AC1072" t="s">
        <v>3584</v>
      </c>
      <c r="AD1072" t="s">
        <v>3479</v>
      </c>
      <c r="AE1072" t="s">
        <v>3475</v>
      </c>
      <c r="AF1072" s="2">
        <v>2181.5625</v>
      </c>
      <c r="AG1072" s="2">
        <v>1320.6838</v>
      </c>
      <c r="AH1072" s="2">
        <v>860.87869999999998</v>
      </c>
      <c r="AI1072" s="3">
        <v>0.39461564818793898</v>
      </c>
    </row>
    <row r="1073" spans="1:35">
      <c r="A1073" s="1">
        <v>42159</v>
      </c>
      <c r="B1073" s="1">
        <v>37303</v>
      </c>
      <c r="C1073" t="s">
        <v>4575</v>
      </c>
      <c r="D1073">
        <v>313</v>
      </c>
      <c r="E1073">
        <v>15073</v>
      </c>
      <c r="F1073">
        <v>8</v>
      </c>
      <c r="G1073">
        <v>1</v>
      </c>
      <c r="H1073">
        <v>1</v>
      </c>
      <c r="I1073">
        <v>2</v>
      </c>
      <c r="J1073" t="s">
        <v>3491</v>
      </c>
      <c r="K1073" t="s">
        <v>3492</v>
      </c>
      <c r="L1073" s="2">
        <v>2171.2941999999998</v>
      </c>
      <c r="M1073" s="2">
        <v>3578.27</v>
      </c>
      <c r="N1073" t="s">
        <v>26</v>
      </c>
      <c r="O1073" t="s">
        <v>542</v>
      </c>
      <c r="P1073" t="s">
        <v>171</v>
      </c>
      <c r="Q1073" t="s">
        <v>7402</v>
      </c>
      <c r="R1073" s="1">
        <v>25695</v>
      </c>
      <c r="S1073" t="s">
        <v>16</v>
      </c>
      <c r="T1073" t="s">
        <v>29</v>
      </c>
      <c r="U1073" t="s">
        <v>1878</v>
      </c>
      <c r="V1073">
        <v>30000</v>
      </c>
      <c r="W1073">
        <v>0</v>
      </c>
      <c r="X1073" t="s">
        <v>17</v>
      </c>
      <c r="Y1073" t="s">
        <v>60</v>
      </c>
      <c r="Z1073" t="s">
        <v>19</v>
      </c>
      <c r="AA1073" t="s">
        <v>3585</v>
      </c>
      <c r="AB1073" t="s">
        <v>3585</v>
      </c>
      <c r="AC1073" t="s">
        <v>3584</v>
      </c>
      <c r="AD1073" t="s">
        <v>3479</v>
      </c>
      <c r="AE1073" t="s">
        <v>3475</v>
      </c>
      <c r="AF1073" s="2">
        <v>3578.27</v>
      </c>
      <c r="AG1073" s="2">
        <v>2171.2941999999998</v>
      </c>
      <c r="AH1073" s="2">
        <v>1406.9757999999999</v>
      </c>
      <c r="AI1073" s="3">
        <v>0.39320001006072802</v>
      </c>
    </row>
    <row r="1074" spans="1:35">
      <c r="A1074" s="1">
        <v>42041</v>
      </c>
      <c r="B1074" s="1">
        <v>37235</v>
      </c>
      <c r="C1074" t="s">
        <v>3811</v>
      </c>
      <c r="D1074">
        <v>313</v>
      </c>
      <c r="E1074">
        <v>15077</v>
      </c>
      <c r="F1074">
        <v>10</v>
      </c>
      <c r="G1074">
        <v>1</v>
      </c>
      <c r="H1074">
        <v>1</v>
      </c>
      <c r="I1074">
        <v>2</v>
      </c>
      <c r="J1074" t="s">
        <v>3491</v>
      </c>
      <c r="K1074" t="s">
        <v>3492</v>
      </c>
      <c r="L1074" s="2">
        <v>2171.2941999999998</v>
      </c>
      <c r="M1074" s="2">
        <v>3578.27</v>
      </c>
      <c r="N1074" t="s">
        <v>26</v>
      </c>
      <c r="O1074" t="s">
        <v>524</v>
      </c>
      <c r="P1074" t="s">
        <v>125</v>
      </c>
      <c r="Q1074" t="s">
        <v>7403</v>
      </c>
      <c r="R1074" s="1">
        <v>25339</v>
      </c>
      <c r="S1074" t="s">
        <v>16</v>
      </c>
      <c r="T1074" t="s">
        <v>29</v>
      </c>
      <c r="U1074" t="s">
        <v>1879</v>
      </c>
      <c r="V1074">
        <v>30000</v>
      </c>
      <c r="W1074">
        <v>0</v>
      </c>
      <c r="X1074" t="s">
        <v>17</v>
      </c>
      <c r="Y1074" t="s">
        <v>60</v>
      </c>
      <c r="Z1074" t="s">
        <v>19</v>
      </c>
      <c r="AA1074" t="s">
        <v>3588</v>
      </c>
      <c r="AB1074" t="s">
        <v>3588</v>
      </c>
      <c r="AC1074" t="s">
        <v>3584</v>
      </c>
      <c r="AD1074" t="s">
        <v>3479</v>
      </c>
      <c r="AE1074" t="s">
        <v>3475</v>
      </c>
      <c r="AF1074" s="2">
        <v>3578.27</v>
      </c>
      <c r="AG1074" s="2">
        <v>2171.2941999999998</v>
      </c>
      <c r="AH1074" s="2">
        <v>1406.9757999999999</v>
      </c>
      <c r="AI1074" s="3">
        <v>0.39320001006072802</v>
      </c>
    </row>
    <row r="1075" spans="1:35">
      <c r="A1075" s="1">
        <v>42039</v>
      </c>
      <c r="B1075" s="1">
        <v>37238</v>
      </c>
      <c r="C1075" t="s">
        <v>3798</v>
      </c>
      <c r="D1075">
        <v>313</v>
      </c>
      <c r="E1075">
        <v>15078</v>
      </c>
      <c r="F1075">
        <v>10</v>
      </c>
      <c r="G1075">
        <v>1</v>
      </c>
      <c r="H1075">
        <v>1</v>
      </c>
      <c r="I1075">
        <v>2</v>
      </c>
      <c r="J1075" t="s">
        <v>3491</v>
      </c>
      <c r="K1075" t="s">
        <v>3492</v>
      </c>
      <c r="L1075" s="2">
        <v>2171.2941999999998</v>
      </c>
      <c r="M1075" s="2">
        <v>3578.27</v>
      </c>
      <c r="N1075" t="s">
        <v>13</v>
      </c>
      <c r="O1075" t="s">
        <v>919</v>
      </c>
      <c r="P1075" t="s">
        <v>66</v>
      </c>
      <c r="Q1075" t="s">
        <v>7404</v>
      </c>
      <c r="R1075" s="1">
        <v>25425</v>
      </c>
      <c r="S1075" t="s">
        <v>22</v>
      </c>
      <c r="T1075" t="s">
        <v>16</v>
      </c>
      <c r="U1075" t="s">
        <v>1880</v>
      </c>
      <c r="V1075">
        <v>30000</v>
      </c>
      <c r="W1075">
        <v>0</v>
      </c>
      <c r="X1075" t="s">
        <v>17</v>
      </c>
      <c r="Y1075" t="s">
        <v>60</v>
      </c>
      <c r="Z1075" t="s">
        <v>23</v>
      </c>
      <c r="AA1075" t="s">
        <v>3588</v>
      </c>
      <c r="AB1075" t="s">
        <v>3588</v>
      </c>
      <c r="AC1075" t="s">
        <v>3584</v>
      </c>
      <c r="AD1075" t="s">
        <v>3479</v>
      </c>
      <c r="AE1075" t="s">
        <v>3475</v>
      </c>
      <c r="AF1075" s="2">
        <v>3578.27</v>
      </c>
      <c r="AG1075" s="2">
        <v>2171.2941999999998</v>
      </c>
      <c r="AH1075" s="2">
        <v>1406.9757999999999</v>
      </c>
      <c r="AI1075" s="3">
        <v>0.39320001006072802</v>
      </c>
    </row>
    <row r="1076" spans="1:35">
      <c r="A1076" s="1">
        <v>42364</v>
      </c>
      <c r="B1076" s="1">
        <v>37575</v>
      </c>
      <c r="C1076" t="s">
        <v>6173</v>
      </c>
      <c r="D1076">
        <v>379</v>
      </c>
      <c r="E1076">
        <v>15079</v>
      </c>
      <c r="F1076">
        <v>7</v>
      </c>
      <c r="G1076">
        <v>1</v>
      </c>
      <c r="H1076">
        <v>1</v>
      </c>
      <c r="I1076">
        <v>2</v>
      </c>
      <c r="J1076" t="s">
        <v>3561</v>
      </c>
      <c r="K1076" t="s">
        <v>3562</v>
      </c>
      <c r="L1076" s="2">
        <v>1320.6838</v>
      </c>
      <c r="M1076" s="2">
        <v>2181.5625</v>
      </c>
      <c r="N1076" t="s">
        <v>13</v>
      </c>
      <c r="O1076" t="s">
        <v>304</v>
      </c>
      <c r="P1076" t="s">
        <v>103</v>
      </c>
      <c r="Q1076" t="s">
        <v>7405</v>
      </c>
      <c r="R1076" s="1">
        <v>25358</v>
      </c>
      <c r="S1076" t="s">
        <v>16</v>
      </c>
      <c r="T1076" t="s">
        <v>16</v>
      </c>
      <c r="U1076" t="s">
        <v>1881</v>
      </c>
      <c r="V1076">
        <v>30000</v>
      </c>
      <c r="W1076">
        <v>0</v>
      </c>
      <c r="X1076" t="s">
        <v>17</v>
      </c>
      <c r="Y1076" t="s">
        <v>60</v>
      </c>
      <c r="Z1076" t="s">
        <v>19</v>
      </c>
      <c r="AA1076" t="s">
        <v>3583</v>
      </c>
      <c r="AB1076" t="s">
        <v>3583</v>
      </c>
      <c r="AC1076" t="s">
        <v>3584</v>
      </c>
      <c r="AD1076" t="s">
        <v>3479</v>
      </c>
      <c r="AE1076" t="s">
        <v>3475</v>
      </c>
      <c r="AF1076" s="2">
        <v>2181.5625</v>
      </c>
      <c r="AG1076" s="2">
        <v>1320.6838</v>
      </c>
      <c r="AH1076" s="2">
        <v>860.87869999999998</v>
      </c>
      <c r="AI1076" s="3">
        <v>0.39461564818793898</v>
      </c>
    </row>
    <row r="1077" spans="1:35">
      <c r="A1077" s="1">
        <v>42185</v>
      </c>
      <c r="B1077" s="1">
        <v>37357</v>
      </c>
      <c r="C1077" t="s">
        <v>4759</v>
      </c>
      <c r="D1077">
        <v>311</v>
      </c>
      <c r="E1077">
        <v>15080</v>
      </c>
      <c r="F1077">
        <v>8</v>
      </c>
      <c r="G1077">
        <v>1</v>
      </c>
      <c r="H1077">
        <v>1</v>
      </c>
      <c r="I1077">
        <v>2</v>
      </c>
      <c r="J1077" t="s">
        <v>3487</v>
      </c>
      <c r="K1077" t="s">
        <v>3488</v>
      </c>
      <c r="L1077" s="2">
        <v>2171.2941999999998</v>
      </c>
      <c r="M1077" s="2">
        <v>3578.27</v>
      </c>
      <c r="N1077" t="s">
        <v>26</v>
      </c>
      <c r="O1077" t="s">
        <v>1300</v>
      </c>
      <c r="P1077" t="s">
        <v>570</v>
      </c>
      <c r="Q1077" t="s">
        <v>7406</v>
      </c>
      <c r="R1077" s="1">
        <v>25516</v>
      </c>
      <c r="S1077" t="s">
        <v>16</v>
      </c>
      <c r="T1077" t="s">
        <v>29</v>
      </c>
      <c r="U1077" t="s">
        <v>1882</v>
      </c>
      <c r="V1077">
        <v>40000</v>
      </c>
      <c r="W1077">
        <v>0</v>
      </c>
      <c r="X1077" t="s">
        <v>135</v>
      </c>
      <c r="Y1077" t="s">
        <v>60</v>
      </c>
      <c r="Z1077" t="s">
        <v>19</v>
      </c>
      <c r="AA1077" t="s">
        <v>3585</v>
      </c>
      <c r="AB1077" t="s">
        <v>3585</v>
      </c>
      <c r="AC1077" t="s">
        <v>3584</v>
      </c>
      <c r="AD1077" t="s">
        <v>3479</v>
      </c>
      <c r="AE1077" t="s">
        <v>3475</v>
      </c>
      <c r="AF1077" s="2">
        <v>3578.27</v>
      </c>
      <c r="AG1077" s="2">
        <v>2171.2941999999998</v>
      </c>
      <c r="AH1077" s="2">
        <v>1406.9757999999999</v>
      </c>
      <c r="AI1077" s="3">
        <v>0.39320001006072802</v>
      </c>
    </row>
    <row r="1078" spans="1:35">
      <c r="A1078" s="1">
        <v>42037</v>
      </c>
      <c r="B1078" s="1">
        <v>37258</v>
      </c>
      <c r="C1078" t="s">
        <v>3784</v>
      </c>
      <c r="D1078">
        <v>313</v>
      </c>
      <c r="E1078">
        <v>15081</v>
      </c>
      <c r="F1078">
        <v>10</v>
      </c>
      <c r="G1078">
        <v>1</v>
      </c>
      <c r="H1078">
        <v>1</v>
      </c>
      <c r="I1078">
        <v>2</v>
      </c>
      <c r="J1078" t="s">
        <v>3491</v>
      </c>
      <c r="K1078" t="s">
        <v>3492</v>
      </c>
      <c r="L1078" s="2">
        <v>2171.2941999999998</v>
      </c>
      <c r="M1078" s="2">
        <v>3578.27</v>
      </c>
      <c r="N1078" t="s">
        <v>26</v>
      </c>
      <c r="O1078" t="s">
        <v>1693</v>
      </c>
      <c r="P1078" t="s">
        <v>129</v>
      </c>
      <c r="Q1078" t="s">
        <v>7407</v>
      </c>
      <c r="R1078" s="1">
        <v>25557</v>
      </c>
      <c r="S1078" t="s">
        <v>16</v>
      </c>
      <c r="T1078" t="s">
        <v>29</v>
      </c>
      <c r="U1078" t="s">
        <v>1883</v>
      </c>
      <c r="V1078">
        <v>40000</v>
      </c>
      <c r="W1078">
        <v>0</v>
      </c>
      <c r="X1078" t="s">
        <v>135</v>
      </c>
      <c r="Y1078" t="s">
        <v>60</v>
      </c>
      <c r="Z1078" t="s">
        <v>19</v>
      </c>
      <c r="AA1078" t="s">
        <v>3588</v>
      </c>
      <c r="AB1078" t="s">
        <v>3588</v>
      </c>
      <c r="AC1078" t="s">
        <v>3584</v>
      </c>
      <c r="AD1078" t="s">
        <v>3479</v>
      </c>
      <c r="AE1078" t="s">
        <v>3475</v>
      </c>
      <c r="AF1078" s="2">
        <v>3578.27</v>
      </c>
      <c r="AG1078" s="2">
        <v>2171.2941999999998</v>
      </c>
      <c r="AH1078" s="2">
        <v>1406.9757999999999</v>
      </c>
      <c r="AI1078" s="3">
        <v>0.39320001006072802</v>
      </c>
    </row>
    <row r="1079" spans="1:35">
      <c r="A1079" s="1">
        <v>42350</v>
      </c>
      <c r="B1079" s="1">
        <v>37538</v>
      </c>
      <c r="C1079" t="s">
        <v>6021</v>
      </c>
      <c r="D1079">
        <v>377</v>
      </c>
      <c r="E1079">
        <v>15082</v>
      </c>
      <c r="F1079">
        <v>7</v>
      </c>
      <c r="G1079">
        <v>1</v>
      </c>
      <c r="H1079">
        <v>1</v>
      </c>
      <c r="I1079">
        <v>2</v>
      </c>
      <c r="J1079" t="s">
        <v>3559</v>
      </c>
      <c r="K1079" t="s">
        <v>3560</v>
      </c>
      <c r="L1079" s="2">
        <v>1320.6838</v>
      </c>
      <c r="M1079" s="2">
        <v>2181.5625</v>
      </c>
      <c r="N1079" t="s">
        <v>13</v>
      </c>
      <c r="O1079" t="s">
        <v>893</v>
      </c>
      <c r="P1079" t="s">
        <v>62</v>
      </c>
      <c r="Q1079" t="s">
        <v>7408</v>
      </c>
      <c r="R1079" s="1">
        <v>25367</v>
      </c>
      <c r="S1079" t="s">
        <v>16</v>
      </c>
      <c r="T1079" t="s">
        <v>16</v>
      </c>
      <c r="U1079" t="s">
        <v>1884</v>
      </c>
      <c r="V1079">
        <v>40000</v>
      </c>
      <c r="W1079">
        <v>0</v>
      </c>
      <c r="X1079" t="s">
        <v>135</v>
      </c>
      <c r="Y1079" t="s">
        <v>60</v>
      </c>
      <c r="Z1079" t="s">
        <v>19</v>
      </c>
      <c r="AA1079" t="s">
        <v>3583</v>
      </c>
      <c r="AB1079" t="s">
        <v>3583</v>
      </c>
      <c r="AC1079" t="s">
        <v>3584</v>
      </c>
      <c r="AD1079" t="s">
        <v>3479</v>
      </c>
      <c r="AE1079" t="s">
        <v>3475</v>
      </c>
      <c r="AF1079" s="2">
        <v>2181.5625</v>
      </c>
      <c r="AG1079" s="2">
        <v>1320.6838</v>
      </c>
      <c r="AH1079" s="2">
        <v>860.87869999999998</v>
      </c>
      <c r="AI1079" s="3">
        <v>0.39461564818793898</v>
      </c>
    </row>
    <row r="1080" spans="1:35">
      <c r="A1080" s="1">
        <v>42081</v>
      </c>
      <c r="B1080" s="1">
        <v>37247</v>
      </c>
      <c r="C1080" t="s">
        <v>4060</v>
      </c>
      <c r="D1080">
        <v>313</v>
      </c>
      <c r="E1080">
        <v>15083</v>
      </c>
      <c r="F1080">
        <v>10</v>
      </c>
      <c r="G1080">
        <v>1</v>
      </c>
      <c r="H1080">
        <v>1</v>
      </c>
      <c r="I1080">
        <v>2</v>
      </c>
      <c r="J1080" t="s">
        <v>3491</v>
      </c>
      <c r="K1080" t="s">
        <v>3492</v>
      </c>
      <c r="L1080" s="2">
        <v>2171.2941999999998</v>
      </c>
      <c r="M1080" s="2">
        <v>3578.27</v>
      </c>
      <c r="N1080" t="s">
        <v>26</v>
      </c>
      <c r="O1080" t="s">
        <v>1263</v>
      </c>
      <c r="P1080" t="s">
        <v>217</v>
      </c>
      <c r="Q1080" t="s">
        <v>7409</v>
      </c>
      <c r="R1080" s="1">
        <v>25389</v>
      </c>
      <c r="S1080" t="s">
        <v>16</v>
      </c>
      <c r="T1080" t="s">
        <v>29</v>
      </c>
      <c r="U1080" t="s">
        <v>1885</v>
      </c>
      <c r="V1080">
        <v>40000</v>
      </c>
      <c r="W1080">
        <v>0</v>
      </c>
      <c r="X1080" t="s">
        <v>135</v>
      </c>
      <c r="Y1080" t="s">
        <v>60</v>
      </c>
      <c r="Z1080" t="s">
        <v>19</v>
      </c>
      <c r="AA1080" t="s">
        <v>3588</v>
      </c>
      <c r="AB1080" t="s">
        <v>3588</v>
      </c>
      <c r="AC1080" t="s">
        <v>3584</v>
      </c>
      <c r="AD1080" t="s">
        <v>3479</v>
      </c>
      <c r="AE1080" t="s">
        <v>3475</v>
      </c>
      <c r="AF1080" s="2">
        <v>3578.27</v>
      </c>
      <c r="AG1080" s="2">
        <v>2171.2941999999998</v>
      </c>
      <c r="AH1080" s="2">
        <v>1406.9757999999999</v>
      </c>
      <c r="AI1080" s="3">
        <v>0.39320001006072802</v>
      </c>
    </row>
    <row r="1081" spans="1:35">
      <c r="A1081" s="1">
        <v>42210</v>
      </c>
      <c r="B1081" s="1">
        <v>37380</v>
      </c>
      <c r="C1081" t="s">
        <v>4956</v>
      </c>
      <c r="D1081">
        <v>375</v>
      </c>
      <c r="E1081">
        <v>15084</v>
      </c>
      <c r="F1081">
        <v>8</v>
      </c>
      <c r="G1081">
        <v>1</v>
      </c>
      <c r="H1081">
        <v>1</v>
      </c>
      <c r="I1081">
        <v>2</v>
      </c>
      <c r="J1081" t="s">
        <v>3557</v>
      </c>
      <c r="K1081" t="s">
        <v>3558</v>
      </c>
      <c r="L1081" s="2">
        <v>1320.6838</v>
      </c>
      <c r="M1081" s="2">
        <v>2181.5625</v>
      </c>
      <c r="N1081" t="s">
        <v>26</v>
      </c>
      <c r="O1081" t="s">
        <v>566</v>
      </c>
      <c r="P1081" t="s">
        <v>157</v>
      </c>
      <c r="Q1081" t="s">
        <v>7410</v>
      </c>
      <c r="R1081" s="1">
        <v>25466</v>
      </c>
      <c r="S1081" t="s">
        <v>22</v>
      </c>
      <c r="T1081" t="s">
        <v>29</v>
      </c>
      <c r="U1081" t="s">
        <v>1886</v>
      </c>
      <c r="V1081">
        <v>40000</v>
      </c>
      <c r="W1081">
        <v>0</v>
      </c>
      <c r="X1081" t="s">
        <v>135</v>
      </c>
      <c r="Y1081" t="s">
        <v>60</v>
      </c>
      <c r="Z1081" t="s">
        <v>19</v>
      </c>
      <c r="AA1081" t="s">
        <v>3585</v>
      </c>
      <c r="AB1081" t="s">
        <v>3585</v>
      </c>
      <c r="AC1081" t="s">
        <v>3584</v>
      </c>
      <c r="AD1081" t="s">
        <v>3479</v>
      </c>
      <c r="AE1081" t="s">
        <v>3475</v>
      </c>
      <c r="AF1081" s="2">
        <v>2181.5625</v>
      </c>
      <c r="AG1081" s="2">
        <v>1320.6838</v>
      </c>
      <c r="AH1081" s="2">
        <v>860.87869999999998</v>
      </c>
      <c r="AI1081" s="3">
        <v>0.39461564818793898</v>
      </c>
    </row>
    <row r="1082" spans="1:35">
      <c r="A1082" s="1">
        <v>42087</v>
      </c>
      <c r="B1082" s="1">
        <v>37308</v>
      </c>
      <c r="C1082" t="s">
        <v>4100</v>
      </c>
      <c r="D1082">
        <v>313</v>
      </c>
      <c r="E1082">
        <v>15087</v>
      </c>
      <c r="F1082">
        <v>10</v>
      </c>
      <c r="G1082">
        <v>1</v>
      </c>
      <c r="H1082">
        <v>1</v>
      </c>
      <c r="I1082">
        <v>2</v>
      </c>
      <c r="J1082" t="s">
        <v>3491</v>
      </c>
      <c r="K1082" t="s">
        <v>3492</v>
      </c>
      <c r="L1082" s="2">
        <v>2171.2941999999998</v>
      </c>
      <c r="M1082" s="2">
        <v>3578.27</v>
      </c>
      <c r="N1082" t="s">
        <v>26</v>
      </c>
      <c r="O1082" t="s">
        <v>36</v>
      </c>
      <c r="P1082" t="s">
        <v>538</v>
      </c>
      <c r="Q1082" t="s">
        <v>7411</v>
      </c>
      <c r="R1082" s="1">
        <v>25327</v>
      </c>
      <c r="S1082" t="s">
        <v>22</v>
      </c>
      <c r="T1082" t="s">
        <v>29</v>
      </c>
      <c r="U1082" t="s">
        <v>1887</v>
      </c>
      <c r="V1082">
        <v>50000</v>
      </c>
      <c r="W1082">
        <v>0</v>
      </c>
      <c r="X1082" t="s">
        <v>135</v>
      </c>
      <c r="Y1082" t="s">
        <v>53</v>
      </c>
      <c r="Z1082" t="s">
        <v>23</v>
      </c>
      <c r="AA1082" t="s">
        <v>3588</v>
      </c>
      <c r="AB1082" t="s">
        <v>3588</v>
      </c>
      <c r="AC1082" t="s">
        <v>3584</v>
      </c>
      <c r="AD1082" t="s">
        <v>3479</v>
      </c>
      <c r="AE1082" t="s">
        <v>3475</v>
      </c>
      <c r="AF1082" s="2">
        <v>3578.27</v>
      </c>
      <c r="AG1082" s="2">
        <v>2171.2941999999998</v>
      </c>
      <c r="AH1082" s="2">
        <v>1406.9757999999999</v>
      </c>
      <c r="AI1082" s="3">
        <v>0.39320001006072802</v>
      </c>
    </row>
    <row r="1083" spans="1:35">
      <c r="A1083" s="1">
        <v>42084</v>
      </c>
      <c r="B1083" s="1">
        <v>37286</v>
      </c>
      <c r="C1083" t="s">
        <v>4076</v>
      </c>
      <c r="D1083">
        <v>314</v>
      </c>
      <c r="E1083">
        <v>15088</v>
      </c>
      <c r="F1083">
        <v>10</v>
      </c>
      <c r="G1083">
        <v>1</v>
      </c>
      <c r="H1083">
        <v>1</v>
      </c>
      <c r="I1083">
        <v>2</v>
      </c>
      <c r="J1083" t="s">
        <v>3493</v>
      </c>
      <c r="K1083" t="s">
        <v>3494</v>
      </c>
      <c r="L1083" s="2">
        <v>2171.2941999999998</v>
      </c>
      <c r="M1083" s="2">
        <v>3578.27</v>
      </c>
      <c r="N1083" t="s">
        <v>26</v>
      </c>
      <c r="O1083" t="s">
        <v>564</v>
      </c>
      <c r="P1083" t="s">
        <v>223</v>
      </c>
      <c r="Q1083" t="s">
        <v>7412</v>
      </c>
      <c r="R1083" s="1">
        <v>25271</v>
      </c>
      <c r="S1083" t="s">
        <v>22</v>
      </c>
      <c r="T1083" t="s">
        <v>29</v>
      </c>
      <c r="U1083" t="s">
        <v>1888</v>
      </c>
      <c r="V1083">
        <v>50000</v>
      </c>
      <c r="W1083">
        <v>0</v>
      </c>
      <c r="X1083" t="s">
        <v>135</v>
      </c>
      <c r="Y1083" t="s">
        <v>53</v>
      </c>
      <c r="Z1083" t="s">
        <v>19</v>
      </c>
      <c r="AA1083" t="s">
        <v>3588</v>
      </c>
      <c r="AB1083" t="s">
        <v>3588</v>
      </c>
      <c r="AC1083" t="s">
        <v>3584</v>
      </c>
      <c r="AD1083" t="s">
        <v>3479</v>
      </c>
      <c r="AE1083" t="s">
        <v>3475</v>
      </c>
      <c r="AF1083" s="2">
        <v>3578.27</v>
      </c>
      <c r="AG1083" s="2">
        <v>2171.2941999999998</v>
      </c>
      <c r="AH1083" s="2">
        <v>1406.9757999999999</v>
      </c>
      <c r="AI1083" s="3">
        <v>0.39320001006072802</v>
      </c>
    </row>
    <row r="1084" spans="1:35">
      <c r="A1084" s="1">
        <v>42089</v>
      </c>
      <c r="B1084" s="1">
        <v>37288</v>
      </c>
      <c r="C1084" t="s">
        <v>4111</v>
      </c>
      <c r="D1084">
        <v>312</v>
      </c>
      <c r="E1084">
        <v>15089</v>
      </c>
      <c r="F1084">
        <v>10</v>
      </c>
      <c r="G1084">
        <v>1</v>
      </c>
      <c r="H1084">
        <v>1</v>
      </c>
      <c r="I1084">
        <v>2</v>
      </c>
      <c r="J1084" t="s">
        <v>3489</v>
      </c>
      <c r="K1084" t="s">
        <v>3490</v>
      </c>
      <c r="L1084" s="2">
        <v>2171.2941999999998</v>
      </c>
      <c r="M1084" s="2">
        <v>3578.27</v>
      </c>
      <c r="N1084" t="s">
        <v>13</v>
      </c>
      <c r="O1084" t="s">
        <v>103</v>
      </c>
      <c r="P1084" t="s">
        <v>353</v>
      </c>
      <c r="Q1084" t="s">
        <v>7413</v>
      </c>
      <c r="R1084" s="1">
        <v>25509</v>
      </c>
      <c r="S1084" t="s">
        <v>16</v>
      </c>
      <c r="T1084" t="s">
        <v>16</v>
      </c>
      <c r="U1084" t="s">
        <v>1889</v>
      </c>
      <c r="V1084">
        <v>50000</v>
      </c>
      <c r="W1084">
        <v>0</v>
      </c>
      <c r="X1084" t="s">
        <v>135</v>
      </c>
      <c r="Y1084" t="s">
        <v>53</v>
      </c>
      <c r="Z1084" t="s">
        <v>19</v>
      </c>
      <c r="AA1084" t="s">
        <v>3588</v>
      </c>
      <c r="AB1084" t="s">
        <v>3588</v>
      </c>
      <c r="AC1084" t="s">
        <v>3584</v>
      </c>
      <c r="AD1084" t="s">
        <v>3479</v>
      </c>
      <c r="AE1084" t="s">
        <v>3475</v>
      </c>
      <c r="AF1084" s="2">
        <v>3578.27</v>
      </c>
      <c r="AG1084" s="2">
        <v>2171.2941999999998</v>
      </c>
      <c r="AH1084" s="2">
        <v>1406.9757999999999</v>
      </c>
      <c r="AI1084" s="3">
        <v>0.39320001006072802</v>
      </c>
    </row>
    <row r="1085" spans="1:35">
      <c r="A1085" s="1">
        <v>42081</v>
      </c>
      <c r="B1085" s="1">
        <v>37236</v>
      </c>
      <c r="C1085" t="s">
        <v>4056</v>
      </c>
      <c r="D1085">
        <v>312</v>
      </c>
      <c r="E1085">
        <v>15097</v>
      </c>
      <c r="F1085">
        <v>10</v>
      </c>
      <c r="G1085">
        <v>1</v>
      </c>
      <c r="H1085">
        <v>1</v>
      </c>
      <c r="I1085">
        <v>2</v>
      </c>
      <c r="J1085" t="s">
        <v>3489</v>
      </c>
      <c r="K1085" t="s">
        <v>3490</v>
      </c>
      <c r="L1085" s="2">
        <v>2171.2941999999998</v>
      </c>
      <c r="M1085" s="2">
        <v>3578.27</v>
      </c>
      <c r="N1085" t="s">
        <v>30</v>
      </c>
      <c r="O1085" t="s">
        <v>252</v>
      </c>
      <c r="P1085" t="s">
        <v>49</v>
      </c>
      <c r="Q1085" t="s">
        <v>7414</v>
      </c>
      <c r="R1085" s="1">
        <v>16550</v>
      </c>
      <c r="S1085" t="s">
        <v>16</v>
      </c>
      <c r="T1085" t="s">
        <v>29</v>
      </c>
      <c r="U1085" t="s">
        <v>1890</v>
      </c>
      <c r="V1085">
        <v>110000</v>
      </c>
      <c r="W1085">
        <v>3</v>
      </c>
      <c r="X1085" t="s">
        <v>17</v>
      </c>
      <c r="Y1085" t="s">
        <v>45</v>
      </c>
      <c r="Z1085" t="s">
        <v>19</v>
      </c>
      <c r="AA1085" t="s">
        <v>3588</v>
      </c>
      <c r="AB1085" t="s">
        <v>3588</v>
      </c>
      <c r="AC1085" t="s">
        <v>3584</v>
      </c>
      <c r="AD1085" t="s">
        <v>3479</v>
      </c>
      <c r="AE1085" t="s">
        <v>3475</v>
      </c>
      <c r="AF1085" s="2">
        <v>3578.27</v>
      </c>
      <c r="AG1085" s="2">
        <v>2171.2941999999998</v>
      </c>
      <c r="AH1085" s="2">
        <v>1406.9757999999999</v>
      </c>
      <c r="AI1085" s="3">
        <v>0.39320001006072802</v>
      </c>
    </row>
    <row r="1086" spans="1:35">
      <c r="A1086" s="1">
        <v>42192</v>
      </c>
      <c r="B1086" s="1">
        <v>37374</v>
      </c>
      <c r="C1086" t="s">
        <v>4816</v>
      </c>
      <c r="D1086">
        <v>379</v>
      </c>
      <c r="E1086">
        <v>15100</v>
      </c>
      <c r="F1086">
        <v>8</v>
      </c>
      <c r="G1086">
        <v>1</v>
      </c>
      <c r="H1086">
        <v>1</v>
      </c>
      <c r="I1086">
        <v>2</v>
      </c>
      <c r="J1086" t="s">
        <v>3561</v>
      </c>
      <c r="K1086" t="s">
        <v>3562</v>
      </c>
      <c r="L1086" s="2">
        <v>1320.6838</v>
      </c>
      <c r="M1086" s="2">
        <v>2181.5625</v>
      </c>
      <c r="N1086" t="s">
        <v>30</v>
      </c>
      <c r="O1086" t="s">
        <v>497</v>
      </c>
      <c r="P1086" t="s">
        <v>570</v>
      </c>
      <c r="Q1086" t="s">
        <v>7415</v>
      </c>
      <c r="R1086" s="1">
        <v>17129</v>
      </c>
      <c r="S1086" t="s">
        <v>16</v>
      </c>
      <c r="T1086" t="s">
        <v>29</v>
      </c>
      <c r="U1086" t="s">
        <v>1891</v>
      </c>
      <c r="V1086">
        <v>110000</v>
      </c>
      <c r="W1086">
        <v>3</v>
      </c>
      <c r="X1086" t="s">
        <v>17</v>
      </c>
      <c r="Y1086" t="s">
        <v>45</v>
      </c>
      <c r="Z1086" t="s">
        <v>23</v>
      </c>
      <c r="AA1086" t="s">
        <v>3585</v>
      </c>
      <c r="AB1086" t="s">
        <v>3585</v>
      </c>
      <c r="AC1086" t="s">
        <v>3584</v>
      </c>
      <c r="AD1086" t="s">
        <v>3479</v>
      </c>
      <c r="AE1086" t="s">
        <v>3475</v>
      </c>
      <c r="AF1086" s="2">
        <v>2181.5625</v>
      </c>
      <c r="AG1086" s="2">
        <v>1320.6838</v>
      </c>
      <c r="AH1086" s="2">
        <v>860.87869999999998</v>
      </c>
      <c r="AI1086" s="3">
        <v>0.39461564818793898</v>
      </c>
    </row>
    <row r="1087" spans="1:35">
      <c r="A1087" s="1">
        <v>42192</v>
      </c>
      <c r="B1087" s="1">
        <v>37429</v>
      </c>
      <c r="C1087" t="s">
        <v>4822</v>
      </c>
      <c r="D1087">
        <v>371</v>
      </c>
      <c r="E1087">
        <v>15101</v>
      </c>
      <c r="F1087">
        <v>8</v>
      </c>
      <c r="G1087">
        <v>1</v>
      </c>
      <c r="H1087">
        <v>1</v>
      </c>
      <c r="I1087">
        <v>2</v>
      </c>
      <c r="J1087" t="s">
        <v>3553</v>
      </c>
      <c r="K1087" t="s">
        <v>3554</v>
      </c>
      <c r="L1087" s="2">
        <v>1320.6838</v>
      </c>
      <c r="M1087" s="2">
        <v>2181.5625</v>
      </c>
      <c r="N1087" t="s">
        <v>13</v>
      </c>
      <c r="O1087" t="s">
        <v>455</v>
      </c>
      <c r="P1087" t="s">
        <v>468</v>
      </c>
      <c r="Q1087" t="s">
        <v>7416</v>
      </c>
      <c r="R1087" s="1">
        <v>17092</v>
      </c>
      <c r="S1087" t="s">
        <v>22</v>
      </c>
      <c r="T1087" t="s">
        <v>16</v>
      </c>
      <c r="U1087" t="s">
        <v>1892</v>
      </c>
      <c r="V1087">
        <v>120000</v>
      </c>
      <c r="W1087">
        <v>4</v>
      </c>
      <c r="X1087" t="s">
        <v>17</v>
      </c>
      <c r="Y1087" t="s">
        <v>45</v>
      </c>
      <c r="Z1087" t="s">
        <v>19</v>
      </c>
      <c r="AA1087" t="s">
        <v>3585</v>
      </c>
      <c r="AB1087" t="s">
        <v>3585</v>
      </c>
      <c r="AC1087" t="s">
        <v>3584</v>
      </c>
      <c r="AD1087" t="s">
        <v>3479</v>
      </c>
      <c r="AE1087" t="s">
        <v>3475</v>
      </c>
      <c r="AF1087" s="2">
        <v>2181.5625</v>
      </c>
      <c r="AG1087" s="2">
        <v>1320.6838</v>
      </c>
      <c r="AH1087" s="2">
        <v>860.87869999999998</v>
      </c>
      <c r="AI1087" s="3">
        <v>0.39461564818793898</v>
      </c>
    </row>
    <row r="1088" spans="1:35">
      <c r="A1088" s="1">
        <v>42091</v>
      </c>
      <c r="B1088" s="1">
        <v>37297</v>
      </c>
      <c r="C1088" t="s">
        <v>4123</v>
      </c>
      <c r="D1088">
        <v>312</v>
      </c>
      <c r="E1088">
        <v>15106</v>
      </c>
      <c r="F1088">
        <v>10</v>
      </c>
      <c r="G1088">
        <v>1</v>
      </c>
      <c r="H1088">
        <v>1</v>
      </c>
      <c r="I1088">
        <v>2</v>
      </c>
      <c r="J1088" t="s">
        <v>3489</v>
      </c>
      <c r="K1088" t="s">
        <v>3490</v>
      </c>
      <c r="L1088" s="2">
        <v>2171.2941999999998</v>
      </c>
      <c r="M1088" s="2">
        <v>3578.27</v>
      </c>
      <c r="N1088" t="s">
        <v>13</v>
      </c>
      <c r="O1088" t="s">
        <v>37</v>
      </c>
      <c r="P1088" t="s">
        <v>153</v>
      </c>
      <c r="Q1088" t="s">
        <v>7417</v>
      </c>
      <c r="R1088" s="1">
        <v>20035</v>
      </c>
      <c r="S1088" t="s">
        <v>16</v>
      </c>
      <c r="T1088" t="s">
        <v>16</v>
      </c>
      <c r="U1088" t="s">
        <v>1893</v>
      </c>
      <c r="V1088">
        <v>170000</v>
      </c>
      <c r="W1088">
        <v>3</v>
      </c>
      <c r="X1088" t="s">
        <v>57</v>
      </c>
      <c r="Y1088" t="s">
        <v>18</v>
      </c>
      <c r="Z1088" t="s">
        <v>19</v>
      </c>
      <c r="AA1088" t="s">
        <v>3588</v>
      </c>
      <c r="AB1088" t="s">
        <v>3588</v>
      </c>
      <c r="AC1088" t="s">
        <v>3584</v>
      </c>
      <c r="AD1088" t="s">
        <v>3479</v>
      </c>
      <c r="AE1088" t="s">
        <v>3475</v>
      </c>
      <c r="AF1088" s="2">
        <v>3578.27</v>
      </c>
      <c r="AG1088" s="2">
        <v>2171.2941999999998</v>
      </c>
      <c r="AH1088" s="2">
        <v>1406.9757999999999</v>
      </c>
      <c r="AI1088" s="3">
        <v>0.39320001006072802</v>
      </c>
    </row>
    <row r="1089" spans="1:35">
      <c r="A1089" s="1">
        <v>42189</v>
      </c>
      <c r="B1089" s="1">
        <v>37382</v>
      </c>
      <c r="C1089" t="s">
        <v>4790</v>
      </c>
      <c r="D1089">
        <v>375</v>
      </c>
      <c r="E1089">
        <v>15114</v>
      </c>
      <c r="F1089">
        <v>8</v>
      </c>
      <c r="G1089">
        <v>1</v>
      </c>
      <c r="H1089">
        <v>1</v>
      </c>
      <c r="I1089">
        <v>2</v>
      </c>
      <c r="J1089" t="s">
        <v>3557</v>
      </c>
      <c r="K1089" t="s">
        <v>3558</v>
      </c>
      <c r="L1089" s="2">
        <v>1320.6838</v>
      </c>
      <c r="M1089" s="2">
        <v>2181.5625</v>
      </c>
      <c r="N1089" t="s">
        <v>30</v>
      </c>
      <c r="O1089" t="s">
        <v>528</v>
      </c>
      <c r="P1089" t="s">
        <v>129</v>
      </c>
      <c r="Q1089" t="s">
        <v>7418</v>
      </c>
      <c r="R1089" s="1">
        <v>18928</v>
      </c>
      <c r="S1089" t="s">
        <v>16</v>
      </c>
      <c r="T1089" t="s">
        <v>29</v>
      </c>
      <c r="U1089" t="s">
        <v>1894</v>
      </c>
      <c r="V1089">
        <v>110000</v>
      </c>
      <c r="W1089">
        <v>4</v>
      </c>
      <c r="X1089" t="s">
        <v>52</v>
      </c>
      <c r="Y1089" t="s">
        <v>18</v>
      </c>
      <c r="Z1089" t="s">
        <v>19</v>
      </c>
      <c r="AA1089" t="s">
        <v>3585</v>
      </c>
      <c r="AB1089" t="s">
        <v>3585</v>
      </c>
      <c r="AC1089" t="s">
        <v>3584</v>
      </c>
      <c r="AD1089" t="s">
        <v>3479</v>
      </c>
      <c r="AE1089" t="s">
        <v>3475</v>
      </c>
      <c r="AF1089" s="2">
        <v>2181.5625</v>
      </c>
      <c r="AG1089" s="2">
        <v>1320.6838</v>
      </c>
      <c r="AH1089" s="2">
        <v>860.87869999999998</v>
      </c>
      <c r="AI1089" s="3">
        <v>0.39461564818793898</v>
      </c>
    </row>
    <row r="1090" spans="1:35">
      <c r="A1090" s="1">
        <v>42189</v>
      </c>
      <c r="B1090" s="1">
        <v>37388</v>
      </c>
      <c r="C1090" t="s">
        <v>4795</v>
      </c>
      <c r="D1090">
        <v>369</v>
      </c>
      <c r="E1090">
        <v>15116</v>
      </c>
      <c r="F1090">
        <v>8</v>
      </c>
      <c r="G1090">
        <v>1</v>
      </c>
      <c r="H1090">
        <v>1</v>
      </c>
      <c r="I1090">
        <v>2</v>
      </c>
      <c r="J1090" t="s">
        <v>3549</v>
      </c>
      <c r="K1090" t="s">
        <v>3550</v>
      </c>
      <c r="L1090" s="2">
        <v>1518.7864</v>
      </c>
      <c r="M1090" s="2">
        <v>2443.35</v>
      </c>
      <c r="N1090" t="s">
        <v>30</v>
      </c>
      <c r="O1090" t="s">
        <v>712</v>
      </c>
      <c r="P1090" t="s">
        <v>259</v>
      </c>
      <c r="Q1090" t="s">
        <v>7419</v>
      </c>
      <c r="R1090" s="1">
        <v>18379</v>
      </c>
      <c r="S1090" t="s">
        <v>16</v>
      </c>
      <c r="T1090" t="s">
        <v>29</v>
      </c>
      <c r="U1090" t="s">
        <v>1895</v>
      </c>
      <c r="V1090">
        <v>100000</v>
      </c>
      <c r="W1090">
        <v>3</v>
      </c>
      <c r="X1090" t="s">
        <v>52</v>
      </c>
      <c r="Y1090" t="s">
        <v>45</v>
      </c>
      <c r="Z1090" t="s">
        <v>23</v>
      </c>
      <c r="AA1090" t="s">
        <v>3585</v>
      </c>
      <c r="AB1090" t="s">
        <v>3585</v>
      </c>
      <c r="AC1090" t="s">
        <v>3584</v>
      </c>
      <c r="AD1090" t="s">
        <v>3479</v>
      </c>
      <c r="AE1090" t="s">
        <v>3475</v>
      </c>
      <c r="AF1090" s="2">
        <v>2443.35</v>
      </c>
      <c r="AG1090" s="2">
        <v>1518.7864</v>
      </c>
      <c r="AH1090" s="2">
        <v>924.56359999999995</v>
      </c>
      <c r="AI1090" s="3">
        <v>0.37839998362903399</v>
      </c>
    </row>
    <row r="1091" spans="1:35">
      <c r="A1091" s="1">
        <v>42207</v>
      </c>
      <c r="B1091" s="1">
        <v>37440</v>
      </c>
      <c r="C1091" t="s">
        <v>4939</v>
      </c>
      <c r="D1091">
        <v>379</v>
      </c>
      <c r="E1091">
        <v>15117</v>
      </c>
      <c r="F1091">
        <v>8</v>
      </c>
      <c r="G1091">
        <v>1</v>
      </c>
      <c r="H1091">
        <v>1</v>
      </c>
      <c r="I1091">
        <v>2</v>
      </c>
      <c r="J1091" t="s">
        <v>3561</v>
      </c>
      <c r="K1091" t="s">
        <v>3562</v>
      </c>
      <c r="L1091" s="2">
        <v>1320.6838</v>
      </c>
      <c r="M1091" s="2">
        <v>2181.5625</v>
      </c>
      <c r="N1091" t="s">
        <v>30</v>
      </c>
      <c r="O1091" t="s">
        <v>234</v>
      </c>
      <c r="P1091" t="s">
        <v>97</v>
      </c>
      <c r="Q1091" t="s">
        <v>7420</v>
      </c>
      <c r="R1091" s="1">
        <v>18032</v>
      </c>
      <c r="S1091" t="s">
        <v>16</v>
      </c>
      <c r="T1091" t="s">
        <v>29</v>
      </c>
      <c r="U1091" t="s">
        <v>1896</v>
      </c>
      <c r="V1091">
        <v>100000</v>
      </c>
      <c r="W1091">
        <v>3</v>
      </c>
      <c r="X1091" t="s">
        <v>52</v>
      </c>
      <c r="Y1091" t="s">
        <v>45</v>
      </c>
      <c r="Z1091" t="s">
        <v>19</v>
      </c>
      <c r="AA1091" t="s">
        <v>3585</v>
      </c>
      <c r="AB1091" t="s">
        <v>3585</v>
      </c>
      <c r="AC1091" t="s">
        <v>3584</v>
      </c>
      <c r="AD1091" t="s">
        <v>3479</v>
      </c>
      <c r="AE1091" t="s">
        <v>3475</v>
      </c>
      <c r="AF1091" s="2">
        <v>2181.5625</v>
      </c>
      <c r="AG1091" s="2">
        <v>1320.6838</v>
      </c>
      <c r="AH1091" s="2">
        <v>860.87869999999998</v>
      </c>
      <c r="AI1091" s="3">
        <v>0.39461564818793898</v>
      </c>
    </row>
    <row r="1092" spans="1:35">
      <c r="A1092" s="1">
        <v>42066</v>
      </c>
      <c r="B1092" s="1">
        <v>37295</v>
      </c>
      <c r="C1092" t="s">
        <v>3961</v>
      </c>
      <c r="D1092">
        <v>310</v>
      </c>
      <c r="E1092">
        <v>15118</v>
      </c>
      <c r="F1092">
        <v>10</v>
      </c>
      <c r="G1092">
        <v>1</v>
      </c>
      <c r="H1092">
        <v>1</v>
      </c>
      <c r="I1092">
        <v>2</v>
      </c>
      <c r="J1092" t="s">
        <v>3485</v>
      </c>
      <c r="K1092" t="s">
        <v>3486</v>
      </c>
      <c r="L1092" s="2">
        <v>2171.2941999999998</v>
      </c>
      <c r="M1092" s="2">
        <v>3578.27</v>
      </c>
      <c r="N1092" t="s">
        <v>13</v>
      </c>
      <c r="O1092" t="s">
        <v>203</v>
      </c>
      <c r="P1092" t="s">
        <v>460</v>
      </c>
      <c r="Q1092" t="s">
        <v>7421</v>
      </c>
      <c r="R1092" s="1">
        <v>18088</v>
      </c>
      <c r="S1092" t="s">
        <v>16</v>
      </c>
      <c r="T1092" t="s">
        <v>16</v>
      </c>
      <c r="U1092" t="s">
        <v>1897</v>
      </c>
      <c r="V1092">
        <v>170000</v>
      </c>
      <c r="W1092">
        <v>5</v>
      </c>
      <c r="X1092" t="s">
        <v>57</v>
      </c>
      <c r="Y1092" t="s">
        <v>45</v>
      </c>
      <c r="Z1092" t="s">
        <v>19</v>
      </c>
      <c r="AA1092" t="s">
        <v>3588</v>
      </c>
      <c r="AB1092" t="s">
        <v>3588</v>
      </c>
      <c r="AC1092" t="s">
        <v>3584</v>
      </c>
      <c r="AD1092" t="s">
        <v>3479</v>
      </c>
      <c r="AE1092" t="s">
        <v>3475</v>
      </c>
      <c r="AF1092" s="2">
        <v>3578.27</v>
      </c>
      <c r="AG1092" s="2">
        <v>2171.2941999999998</v>
      </c>
      <c r="AH1092" s="2">
        <v>1406.9757999999999</v>
      </c>
      <c r="AI1092" s="3">
        <v>0.39320001006072802</v>
      </c>
    </row>
    <row r="1093" spans="1:35">
      <c r="A1093" s="1">
        <v>42203</v>
      </c>
      <c r="B1093" s="1">
        <v>37367</v>
      </c>
      <c r="C1093" t="s">
        <v>4908</v>
      </c>
      <c r="D1093">
        <v>324</v>
      </c>
      <c r="E1093">
        <v>15155</v>
      </c>
      <c r="F1093">
        <v>4</v>
      </c>
      <c r="G1093">
        <v>1</v>
      </c>
      <c r="H1093">
        <v>1</v>
      </c>
      <c r="I1093">
        <v>2</v>
      </c>
      <c r="J1093" t="s">
        <v>3499</v>
      </c>
      <c r="K1093" t="s">
        <v>3500</v>
      </c>
      <c r="L1093" s="2">
        <v>413.1463</v>
      </c>
      <c r="M1093" s="2">
        <v>699.09820000000002</v>
      </c>
      <c r="N1093" t="s">
        <v>30</v>
      </c>
      <c r="O1093" t="s">
        <v>802</v>
      </c>
      <c r="P1093" t="s">
        <v>1122</v>
      </c>
      <c r="Q1093" t="s">
        <v>7422</v>
      </c>
      <c r="R1093" s="1">
        <v>15227</v>
      </c>
      <c r="S1093" t="s">
        <v>16</v>
      </c>
      <c r="T1093" t="s">
        <v>29</v>
      </c>
      <c r="U1093" t="s">
        <v>1898</v>
      </c>
      <c r="V1093">
        <v>70000</v>
      </c>
      <c r="W1093">
        <v>5</v>
      </c>
      <c r="X1093" t="s">
        <v>135</v>
      </c>
      <c r="Y1093" t="s">
        <v>45</v>
      </c>
      <c r="Z1093" t="s">
        <v>19</v>
      </c>
      <c r="AA1093" t="s">
        <v>3580</v>
      </c>
      <c r="AB1093" t="s">
        <v>3578</v>
      </c>
      <c r="AC1093" t="s">
        <v>3579</v>
      </c>
      <c r="AD1093" t="s">
        <v>3479</v>
      </c>
      <c r="AE1093" t="s">
        <v>3475</v>
      </c>
      <c r="AF1093" s="2">
        <v>699.09820000000002</v>
      </c>
      <c r="AG1093" s="2">
        <v>413.1463</v>
      </c>
      <c r="AH1093" s="2">
        <v>285.95190000000002</v>
      </c>
      <c r="AI1093" s="3">
        <v>0.409029661355157</v>
      </c>
    </row>
    <row r="1094" spans="1:35">
      <c r="A1094" s="1">
        <v>42205</v>
      </c>
      <c r="B1094" s="1">
        <v>37407</v>
      </c>
      <c r="C1094" t="s">
        <v>4923</v>
      </c>
      <c r="D1094">
        <v>320</v>
      </c>
      <c r="E1094">
        <v>15166</v>
      </c>
      <c r="F1094">
        <v>4</v>
      </c>
      <c r="G1094">
        <v>1</v>
      </c>
      <c r="H1094">
        <v>1</v>
      </c>
      <c r="I1094">
        <v>2</v>
      </c>
      <c r="J1094" t="s">
        <v>3495</v>
      </c>
      <c r="K1094" t="s">
        <v>3496</v>
      </c>
      <c r="L1094" s="2">
        <v>413.1463</v>
      </c>
      <c r="M1094" s="2">
        <v>699.09820000000002</v>
      </c>
      <c r="N1094" t="s">
        <v>30</v>
      </c>
      <c r="O1094" t="s">
        <v>604</v>
      </c>
      <c r="P1094" t="s">
        <v>266</v>
      </c>
      <c r="Q1094" t="s">
        <v>7423</v>
      </c>
      <c r="R1094" s="1">
        <v>15960</v>
      </c>
      <c r="S1094" t="s">
        <v>16</v>
      </c>
      <c r="T1094" t="s">
        <v>29</v>
      </c>
      <c r="U1094" t="s">
        <v>1899</v>
      </c>
      <c r="V1094">
        <v>130000</v>
      </c>
      <c r="W1094">
        <v>2</v>
      </c>
      <c r="X1094" t="s">
        <v>17</v>
      </c>
      <c r="Y1094" t="s">
        <v>45</v>
      </c>
      <c r="Z1094" t="s">
        <v>19</v>
      </c>
      <c r="AA1094" t="s">
        <v>3580</v>
      </c>
      <c r="AB1094" t="s">
        <v>3578</v>
      </c>
      <c r="AC1094" t="s">
        <v>3579</v>
      </c>
      <c r="AD1094" t="s">
        <v>3479</v>
      </c>
      <c r="AE1094" t="s">
        <v>3475</v>
      </c>
      <c r="AF1094" s="2">
        <v>699.09820000000002</v>
      </c>
      <c r="AG1094" s="2">
        <v>413.1463</v>
      </c>
      <c r="AH1094" s="2">
        <v>285.95190000000002</v>
      </c>
      <c r="AI1094" s="3">
        <v>0.409029661355157</v>
      </c>
    </row>
    <row r="1095" spans="1:35">
      <c r="A1095" s="1">
        <v>42210</v>
      </c>
      <c r="B1095" s="1">
        <v>37395</v>
      </c>
      <c r="C1095" t="s">
        <v>4963</v>
      </c>
      <c r="D1095">
        <v>334</v>
      </c>
      <c r="E1095">
        <v>15167</v>
      </c>
      <c r="F1095">
        <v>1</v>
      </c>
      <c r="G1095">
        <v>1</v>
      </c>
      <c r="H1095">
        <v>1</v>
      </c>
      <c r="I1095">
        <v>2</v>
      </c>
      <c r="J1095" t="s">
        <v>3509</v>
      </c>
      <c r="K1095" t="s">
        <v>3510</v>
      </c>
      <c r="L1095" s="2">
        <v>413.1463</v>
      </c>
      <c r="M1095" s="2">
        <v>699.09820000000002</v>
      </c>
      <c r="N1095" t="s">
        <v>30</v>
      </c>
      <c r="O1095" t="s">
        <v>207</v>
      </c>
      <c r="P1095" t="s">
        <v>101</v>
      </c>
      <c r="Q1095" t="s">
        <v>7424</v>
      </c>
      <c r="R1095" s="1">
        <v>15789</v>
      </c>
      <c r="S1095" t="s">
        <v>16</v>
      </c>
      <c r="T1095" t="s">
        <v>29</v>
      </c>
      <c r="U1095" t="s">
        <v>1900</v>
      </c>
      <c r="V1095">
        <v>130000</v>
      </c>
      <c r="W1095">
        <v>2</v>
      </c>
      <c r="X1095" t="s">
        <v>17</v>
      </c>
      <c r="Y1095" t="s">
        <v>45</v>
      </c>
      <c r="Z1095" t="s">
        <v>19</v>
      </c>
      <c r="AA1095" t="s">
        <v>3577</v>
      </c>
      <c r="AB1095" t="s">
        <v>3578</v>
      </c>
      <c r="AC1095" t="s">
        <v>3579</v>
      </c>
      <c r="AD1095" t="s">
        <v>3479</v>
      </c>
      <c r="AE1095" t="s">
        <v>3475</v>
      </c>
      <c r="AF1095" s="2">
        <v>699.09820000000002</v>
      </c>
      <c r="AG1095" s="2">
        <v>413.1463</v>
      </c>
      <c r="AH1095" s="2">
        <v>285.95190000000002</v>
      </c>
      <c r="AI1095" s="3">
        <v>0.409029661355157</v>
      </c>
    </row>
    <row r="1096" spans="1:35">
      <c r="A1096" s="1">
        <v>42200</v>
      </c>
      <c r="B1096" s="1">
        <v>37338</v>
      </c>
      <c r="C1096" t="s">
        <v>4885</v>
      </c>
      <c r="D1096">
        <v>336</v>
      </c>
      <c r="E1096">
        <v>15188</v>
      </c>
      <c r="F1096">
        <v>1</v>
      </c>
      <c r="G1096">
        <v>1</v>
      </c>
      <c r="H1096">
        <v>1</v>
      </c>
      <c r="I1096">
        <v>2</v>
      </c>
      <c r="J1096" t="s">
        <v>3511</v>
      </c>
      <c r="K1096" t="s">
        <v>3512</v>
      </c>
      <c r="L1096" s="2">
        <v>413.1463</v>
      </c>
      <c r="M1096" s="2">
        <v>699.09820000000002</v>
      </c>
      <c r="N1096" t="s">
        <v>13</v>
      </c>
      <c r="O1096" t="s">
        <v>743</v>
      </c>
      <c r="P1096" t="s">
        <v>1169</v>
      </c>
      <c r="Q1096" t="s">
        <v>7425</v>
      </c>
      <c r="R1096" s="1">
        <v>27098</v>
      </c>
      <c r="S1096" t="s">
        <v>22</v>
      </c>
      <c r="T1096" t="s">
        <v>16</v>
      </c>
      <c r="U1096" t="s">
        <v>1901</v>
      </c>
      <c r="V1096">
        <v>60000</v>
      </c>
      <c r="W1096">
        <v>0</v>
      </c>
      <c r="X1096" t="s">
        <v>52</v>
      </c>
      <c r="Y1096" t="s">
        <v>18</v>
      </c>
      <c r="Z1096" t="s">
        <v>19</v>
      </c>
      <c r="AA1096" t="s">
        <v>3577</v>
      </c>
      <c r="AB1096" t="s">
        <v>3578</v>
      </c>
      <c r="AC1096" t="s">
        <v>3579</v>
      </c>
      <c r="AD1096" t="s">
        <v>3479</v>
      </c>
      <c r="AE1096" t="s">
        <v>3475</v>
      </c>
      <c r="AF1096" s="2">
        <v>699.09820000000002</v>
      </c>
      <c r="AG1096" s="2">
        <v>413.1463</v>
      </c>
      <c r="AH1096" s="2">
        <v>285.95190000000002</v>
      </c>
      <c r="AI1096" s="3">
        <v>0.409029661355157</v>
      </c>
    </row>
    <row r="1097" spans="1:35">
      <c r="A1097" s="1">
        <v>42212</v>
      </c>
      <c r="B1097" s="1">
        <v>37423</v>
      </c>
      <c r="C1097" t="s">
        <v>4975</v>
      </c>
      <c r="D1097">
        <v>332</v>
      </c>
      <c r="E1097">
        <v>15189</v>
      </c>
      <c r="F1097">
        <v>1</v>
      </c>
      <c r="G1097">
        <v>1</v>
      </c>
      <c r="H1097">
        <v>1</v>
      </c>
      <c r="I1097">
        <v>2</v>
      </c>
      <c r="J1097" t="s">
        <v>3507</v>
      </c>
      <c r="K1097" t="s">
        <v>3508</v>
      </c>
      <c r="L1097" s="2">
        <v>413.1463</v>
      </c>
      <c r="M1097" s="2">
        <v>699.09820000000002</v>
      </c>
      <c r="N1097" t="s">
        <v>26</v>
      </c>
      <c r="O1097" t="s">
        <v>916</v>
      </c>
      <c r="P1097" t="s">
        <v>71</v>
      </c>
      <c r="Q1097" t="s">
        <v>7426</v>
      </c>
      <c r="R1097" s="1">
        <v>27256</v>
      </c>
      <c r="S1097" t="s">
        <v>16</v>
      </c>
      <c r="T1097" t="s">
        <v>29</v>
      </c>
      <c r="U1097" t="s">
        <v>1902</v>
      </c>
      <c r="V1097">
        <v>60000</v>
      </c>
      <c r="W1097">
        <v>0</v>
      </c>
      <c r="X1097" t="s">
        <v>52</v>
      </c>
      <c r="Y1097" t="s">
        <v>18</v>
      </c>
      <c r="Z1097" t="s">
        <v>19</v>
      </c>
      <c r="AA1097" t="s">
        <v>3577</v>
      </c>
      <c r="AB1097" t="s">
        <v>3578</v>
      </c>
      <c r="AC1097" t="s">
        <v>3579</v>
      </c>
      <c r="AD1097" t="s">
        <v>3479</v>
      </c>
      <c r="AE1097" t="s">
        <v>3475</v>
      </c>
      <c r="AF1097" s="2">
        <v>699.09820000000002</v>
      </c>
      <c r="AG1097" s="2">
        <v>413.1463</v>
      </c>
      <c r="AH1097" s="2">
        <v>285.95190000000002</v>
      </c>
      <c r="AI1097" s="3">
        <v>0.409029661355157</v>
      </c>
    </row>
    <row r="1098" spans="1:35">
      <c r="A1098" s="1">
        <v>42196</v>
      </c>
      <c r="B1098" s="1">
        <v>37336</v>
      </c>
      <c r="C1098" t="s">
        <v>4843</v>
      </c>
      <c r="D1098">
        <v>332</v>
      </c>
      <c r="E1098">
        <v>15191</v>
      </c>
      <c r="F1098">
        <v>4</v>
      </c>
      <c r="G1098">
        <v>1</v>
      </c>
      <c r="H1098">
        <v>1</v>
      </c>
      <c r="I1098">
        <v>2</v>
      </c>
      <c r="J1098" t="s">
        <v>3507</v>
      </c>
      <c r="K1098" t="s">
        <v>3508</v>
      </c>
      <c r="L1098" s="2">
        <v>413.1463</v>
      </c>
      <c r="M1098" s="2">
        <v>699.09820000000002</v>
      </c>
      <c r="N1098" t="s">
        <v>13</v>
      </c>
      <c r="O1098" t="s">
        <v>1100</v>
      </c>
      <c r="P1098" t="s">
        <v>194</v>
      </c>
      <c r="Q1098" t="s">
        <v>7427</v>
      </c>
      <c r="R1098" s="1">
        <v>27260</v>
      </c>
      <c r="S1098" t="s">
        <v>22</v>
      </c>
      <c r="T1098" t="s">
        <v>16</v>
      </c>
      <c r="U1098" t="s">
        <v>1903</v>
      </c>
      <c r="V1098">
        <v>60000</v>
      </c>
      <c r="W1098">
        <v>0</v>
      </c>
      <c r="X1098" t="s">
        <v>57</v>
      </c>
      <c r="Y1098" t="s">
        <v>18</v>
      </c>
      <c r="Z1098" t="s">
        <v>23</v>
      </c>
      <c r="AA1098" t="s">
        <v>3580</v>
      </c>
      <c r="AB1098" t="s">
        <v>3578</v>
      </c>
      <c r="AC1098" t="s">
        <v>3579</v>
      </c>
      <c r="AD1098" t="s">
        <v>3479</v>
      </c>
      <c r="AE1098" t="s">
        <v>3475</v>
      </c>
      <c r="AF1098" s="2">
        <v>699.09820000000002</v>
      </c>
      <c r="AG1098" s="2">
        <v>413.1463</v>
      </c>
      <c r="AH1098" s="2">
        <v>285.95190000000002</v>
      </c>
      <c r="AI1098" s="3">
        <v>0.409029661355157</v>
      </c>
    </row>
    <row r="1099" spans="1:35">
      <c r="A1099" s="1">
        <v>42203</v>
      </c>
      <c r="B1099" s="1">
        <v>37368</v>
      </c>
      <c r="C1099" t="s">
        <v>4910</v>
      </c>
      <c r="D1099">
        <v>322</v>
      </c>
      <c r="E1099">
        <v>15193</v>
      </c>
      <c r="F1099">
        <v>4</v>
      </c>
      <c r="G1099">
        <v>1</v>
      </c>
      <c r="H1099">
        <v>1</v>
      </c>
      <c r="I1099">
        <v>2</v>
      </c>
      <c r="J1099" t="s">
        <v>3497</v>
      </c>
      <c r="K1099" t="s">
        <v>3498</v>
      </c>
      <c r="L1099" s="2">
        <v>413.1463</v>
      </c>
      <c r="M1099" s="2">
        <v>699.09820000000002</v>
      </c>
      <c r="N1099" t="s">
        <v>13</v>
      </c>
      <c r="O1099" t="s">
        <v>683</v>
      </c>
      <c r="P1099" t="s">
        <v>64</v>
      </c>
      <c r="Q1099" t="s">
        <v>7428</v>
      </c>
      <c r="R1099" s="1">
        <v>24184</v>
      </c>
      <c r="S1099" t="s">
        <v>22</v>
      </c>
      <c r="T1099" t="s">
        <v>16</v>
      </c>
      <c r="U1099" t="s">
        <v>1904</v>
      </c>
      <c r="V1099">
        <v>120000</v>
      </c>
      <c r="W1099">
        <v>2</v>
      </c>
      <c r="X1099" t="s">
        <v>17</v>
      </c>
      <c r="Y1099" t="s">
        <v>45</v>
      </c>
      <c r="Z1099" t="s">
        <v>19</v>
      </c>
      <c r="AA1099" t="s">
        <v>3580</v>
      </c>
      <c r="AB1099" t="s">
        <v>3578</v>
      </c>
      <c r="AC1099" t="s">
        <v>3579</v>
      </c>
      <c r="AD1099" t="s">
        <v>3479</v>
      </c>
      <c r="AE1099" t="s">
        <v>3475</v>
      </c>
      <c r="AF1099" s="2">
        <v>699.09820000000002</v>
      </c>
      <c r="AG1099" s="2">
        <v>413.1463</v>
      </c>
      <c r="AH1099" s="2">
        <v>285.95190000000002</v>
      </c>
      <c r="AI1099" s="3">
        <v>0.409029661355157</v>
      </c>
    </row>
    <row r="1100" spans="1:35">
      <c r="A1100" s="1">
        <v>42206</v>
      </c>
      <c r="B1100" s="1">
        <v>37355</v>
      </c>
      <c r="C1100" t="s">
        <v>4930</v>
      </c>
      <c r="D1100">
        <v>332</v>
      </c>
      <c r="E1100">
        <v>15194</v>
      </c>
      <c r="F1100">
        <v>4</v>
      </c>
      <c r="G1100">
        <v>1</v>
      </c>
      <c r="H1100">
        <v>1</v>
      </c>
      <c r="I1100">
        <v>2</v>
      </c>
      <c r="J1100" t="s">
        <v>3507</v>
      </c>
      <c r="K1100" t="s">
        <v>3508</v>
      </c>
      <c r="L1100" s="2">
        <v>413.1463</v>
      </c>
      <c r="M1100" s="2">
        <v>699.09820000000002</v>
      </c>
      <c r="N1100" t="s">
        <v>13</v>
      </c>
      <c r="O1100" t="s">
        <v>637</v>
      </c>
      <c r="P1100" t="s">
        <v>40</v>
      </c>
      <c r="Q1100" t="s">
        <v>7429</v>
      </c>
      <c r="R1100" s="1">
        <v>24435</v>
      </c>
      <c r="S1100" t="s">
        <v>22</v>
      </c>
      <c r="T1100" t="s">
        <v>16</v>
      </c>
      <c r="U1100" t="s">
        <v>1905</v>
      </c>
      <c r="V1100">
        <v>120000</v>
      </c>
      <c r="W1100">
        <v>2</v>
      </c>
      <c r="X1100" t="s">
        <v>17</v>
      </c>
      <c r="Y1100" t="s">
        <v>45</v>
      </c>
      <c r="Z1100" t="s">
        <v>23</v>
      </c>
      <c r="AA1100" t="s">
        <v>3580</v>
      </c>
      <c r="AB1100" t="s">
        <v>3578</v>
      </c>
      <c r="AC1100" t="s">
        <v>3579</v>
      </c>
      <c r="AD1100" t="s">
        <v>3479</v>
      </c>
      <c r="AE1100" t="s">
        <v>3475</v>
      </c>
      <c r="AF1100" s="2">
        <v>699.09820000000002</v>
      </c>
      <c r="AG1100" s="2">
        <v>413.1463</v>
      </c>
      <c r="AH1100" s="2">
        <v>285.95190000000002</v>
      </c>
      <c r="AI1100" s="3">
        <v>0.409029661355157</v>
      </c>
    </row>
    <row r="1101" spans="1:35">
      <c r="A1101" s="1">
        <v>42198</v>
      </c>
      <c r="B1101" s="1">
        <v>37428</v>
      </c>
      <c r="C1101" t="s">
        <v>4865</v>
      </c>
      <c r="D1101">
        <v>332</v>
      </c>
      <c r="E1101">
        <v>15195</v>
      </c>
      <c r="F1101">
        <v>4</v>
      </c>
      <c r="G1101">
        <v>1</v>
      </c>
      <c r="H1101">
        <v>1</v>
      </c>
      <c r="I1101">
        <v>2</v>
      </c>
      <c r="J1101" t="s">
        <v>3507</v>
      </c>
      <c r="K1101" t="s">
        <v>3508</v>
      </c>
      <c r="L1101" s="2">
        <v>413.1463</v>
      </c>
      <c r="M1101" s="2">
        <v>699.09820000000002</v>
      </c>
      <c r="N1101" t="s">
        <v>13</v>
      </c>
      <c r="O1101" t="s">
        <v>196</v>
      </c>
      <c r="P1101" t="s">
        <v>21</v>
      </c>
      <c r="Q1101" t="s">
        <v>7430</v>
      </c>
      <c r="R1101" s="1">
        <v>24357</v>
      </c>
      <c r="S1101" t="s">
        <v>22</v>
      </c>
      <c r="T1101" t="s">
        <v>16</v>
      </c>
      <c r="U1101" t="s">
        <v>1906</v>
      </c>
      <c r="V1101">
        <v>120000</v>
      </c>
      <c r="W1101">
        <v>2</v>
      </c>
      <c r="X1101" t="s">
        <v>17</v>
      </c>
      <c r="Y1101" t="s">
        <v>45</v>
      </c>
      <c r="Z1101" t="s">
        <v>19</v>
      </c>
      <c r="AA1101" t="s">
        <v>3580</v>
      </c>
      <c r="AB1101" t="s">
        <v>3578</v>
      </c>
      <c r="AC1101" t="s">
        <v>3579</v>
      </c>
      <c r="AD1101" t="s">
        <v>3479</v>
      </c>
      <c r="AE1101" t="s">
        <v>3475</v>
      </c>
      <c r="AF1101" s="2">
        <v>699.09820000000002</v>
      </c>
      <c r="AG1101" s="2">
        <v>413.1463</v>
      </c>
      <c r="AH1101" s="2">
        <v>285.95190000000002</v>
      </c>
      <c r="AI1101" s="3">
        <v>0.409029661355157</v>
      </c>
    </row>
    <row r="1102" spans="1:35">
      <c r="A1102" s="1">
        <v>42215</v>
      </c>
      <c r="B1102" s="1">
        <v>37390</v>
      </c>
      <c r="C1102" t="s">
        <v>4995</v>
      </c>
      <c r="D1102">
        <v>328</v>
      </c>
      <c r="E1102">
        <v>15196</v>
      </c>
      <c r="F1102">
        <v>4</v>
      </c>
      <c r="G1102">
        <v>1</v>
      </c>
      <c r="H1102">
        <v>1</v>
      </c>
      <c r="I1102">
        <v>2</v>
      </c>
      <c r="J1102" t="s">
        <v>3503</v>
      </c>
      <c r="K1102" t="s">
        <v>3504</v>
      </c>
      <c r="L1102" s="2">
        <v>413.1463</v>
      </c>
      <c r="M1102" s="2">
        <v>699.09820000000002</v>
      </c>
      <c r="N1102" t="s">
        <v>13</v>
      </c>
      <c r="O1102" t="s">
        <v>679</v>
      </c>
      <c r="P1102" t="s">
        <v>144</v>
      </c>
      <c r="Q1102" t="s">
        <v>7431</v>
      </c>
      <c r="R1102" s="1">
        <v>24284</v>
      </c>
      <c r="S1102" t="s">
        <v>22</v>
      </c>
      <c r="T1102" t="s">
        <v>16</v>
      </c>
      <c r="U1102" t="s">
        <v>1907</v>
      </c>
      <c r="V1102">
        <v>120000</v>
      </c>
      <c r="W1102">
        <v>2</v>
      </c>
      <c r="X1102" t="s">
        <v>17</v>
      </c>
      <c r="Y1102" t="s">
        <v>45</v>
      </c>
      <c r="Z1102" t="s">
        <v>19</v>
      </c>
      <c r="AA1102" t="s">
        <v>3580</v>
      </c>
      <c r="AB1102" t="s">
        <v>3578</v>
      </c>
      <c r="AC1102" t="s">
        <v>3579</v>
      </c>
      <c r="AD1102" t="s">
        <v>3479</v>
      </c>
      <c r="AE1102" t="s">
        <v>3475</v>
      </c>
      <c r="AF1102" s="2">
        <v>699.09820000000002</v>
      </c>
      <c r="AG1102" s="2">
        <v>413.1463</v>
      </c>
      <c r="AH1102" s="2">
        <v>285.95190000000002</v>
      </c>
      <c r="AI1102" s="3">
        <v>0.409029661355157</v>
      </c>
    </row>
    <row r="1103" spans="1:35">
      <c r="A1103" s="1">
        <v>42189</v>
      </c>
      <c r="B1103" s="1">
        <v>37328</v>
      </c>
      <c r="C1103" t="s">
        <v>4791</v>
      </c>
      <c r="D1103">
        <v>336</v>
      </c>
      <c r="E1103">
        <v>15199</v>
      </c>
      <c r="F1103">
        <v>4</v>
      </c>
      <c r="G1103">
        <v>1</v>
      </c>
      <c r="H1103">
        <v>1</v>
      </c>
      <c r="I1103">
        <v>2</v>
      </c>
      <c r="J1103" t="s">
        <v>3511</v>
      </c>
      <c r="K1103" t="s">
        <v>3512</v>
      </c>
      <c r="L1103" s="2">
        <v>413.1463</v>
      </c>
      <c r="M1103" s="2">
        <v>699.09820000000002</v>
      </c>
      <c r="N1103" t="s">
        <v>13</v>
      </c>
      <c r="O1103" t="s">
        <v>774</v>
      </c>
      <c r="P1103" t="s">
        <v>63</v>
      </c>
      <c r="Q1103" t="s">
        <v>7432</v>
      </c>
      <c r="R1103" s="1">
        <v>20890</v>
      </c>
      <c r="S1103" t="s">
        <v>16</v>
      </c>
      <c r="T1103" t="s">
        <v>16</v>
      </c>
      <c r="U1103" t="s">
        <v>1908</v>
      </c>
      <c r="V1103">
        <v>70000</v>
      </c>
      <c r="W1103">
        <v>3</v>
      </c>
      <c r="X1103" t="s">
        <v>52</v>
      </c>
      <c r="Y1103" t="s">
        <v>18</v>
      </c>
      <c r="Z1103" t="s">
        <v>19</v>
      </c>
      <c r="AA1103" t="s">
        <v>3580</v>
      </c>
      <c r="AB1103" t="s">
        <v>3578</v>
      </c>
      <c r="AC1103" t="s">
        <v>3579</v>
      </c>
      <c r="AD1103" t="s">
        <v>3479</v>
      </c>
      <c r="AE1103" t="s">
        <v>3475</v>
      </c>
      <c r="AF1103" s="2">
        <v>699.09820000000002</v>
      </c>
      <c r="AG1103" s="2">
        <v>413.1463</v>
      </c>
      <c r="AH1103" s="2">
        <v>285.95190000000002</v>
      </c>
      <c r="AI1103" s="3">
        <v>0.409029661355157</v>
      </c>
    </row>
    <row r="1104" spans="1:35">
      <c r="A1104" s="1">
        <v>42230</v>
      </c>
      <c r="B1104" s="1">
        <v>37364</v>
      </c>
      <c r="C1104" t="s">
        <v>5123</v>
      </c>
      <c r="D1104">
        <v>334</v>
      </c>
      <c r="E1104">
        <v>15200</v>
      </c>
      <c r="F1104">
        <v>4</v>
      </c>
      <c r="G1104">
        <v>1</v>
      </c>
      <c r="H1104">
        <v>1</v>
      </c>
      <c r="I1104">
        <v>2</v>
      </c>
      <c r="J1104" t="s">
        <v>3509</v>
      </c>
      <c r="K1104" t="s">
        <v>3510</v>
      </c>
      <c r="L1104" s="2">
        <v>413.1463</v>
      </c>
      <c r="M1104" s="2">
        <v>699.09820000000002</v>
      </c>
      <c r="N1104" t="s">
        <v>30</v>
      </c>
      <c r="O1104" t="s">
        <v>456</v>
      </c>
      <c r="P1104" t="s">
        <v>1909</v>
      </c>
      <c r="Q1104" t="s">
        <v>7433</v>
      </c>
      <c r="R1104" s="1">
        <v>20861</v>
      </c>
      <c r="S1104" t="s">
        <v>16</v>
      </c>
      <c r="T1104" t="s">
        <v>29</v>
      </c>
      <c r="U1104" t="s">
        <v>1910</v>
      </c>
      <c r="V1104">
        <v>70000</v>
      </c>
      <c r="W1104">
        <v>3</v>
      </c>
      <c r="X1104" t="s">
        <v>52</v>
      </c>
      <c r="Y1104" t="s">
        <v>18</v>
      </c>
      <c r="Z1104" t="s">
        <v>19</v>
      </c>
      <c r="AA1104" t="s">
        <v>3580</v>
      </c>
      <c r="AB1104" t="s">
        <v>3578</v>
      </c>
      <c r="AC1104" t="s">
        <v>3579</v>
      </c>
      <c r="AD1104" t="s">
        <v>3479</v>
      </c>
      <c r="AE1104" t="s">
        <v>3475</v>
      </c>
      <c r="AF1104" s="2">
        <v>699.09820000000002</v>
      </c>
      <c r="AG1104" s="2">
        <v>413.1463</v>
      </c>
      <c r="AH1104" s="2">
        <v>285.95190000000002</v>
      </c>
      <c r="AI1104" s="3">
        <v>0.409029661355157</v>
      </c>
    </row>
    <row r="1105" spans="1:35">
      <c r="A1105" s="1">
        <v>42218</v>
      </c>
      <c r="B1105" s="1">
        <v>37367</v>
      </c>
      <c r="C1105" t="s">
        <v>5021</v>
      </c>
      <c r="D1105">
        <v>340</v>
      </c>
      <c r="E1105">
        <v>15203</v>
      </c>
      <c r="F1105">
        <v>4</v>
      </c>
      <c r="G1105">
        <v>1</v>
      </c>
      <c r="H1105">
        <v>1</v>
      </c>
      <c r="I1105">
        <v>2</v>
      </c>
      <c r="J1105" t="s">
        <v>3515</v>
      </c>
      <c r="K1105" t="s">
        <v>3516</v>
      </c>
      <c r="L1105" s="2">
        <v>413.1463</v>
      </c>
      <c r="M1105" s="2">
        <v>699.09820000000002</v>
      </c>
      <c r="N1105" t="s">
        <v>13</v>
      </c>
      <c r="O1105" t="s">
        <v>292</v>
      </c>
      <c r="P1105" t="s">
        <v>407</v>
      </c>
      <c r="Q1105" t="s">
        <v>7434</v>
      </c>
      <c r="R1105" s="1">
        <v>21080</v>
      </c>
      <c r="S1105" t="s">
        <v>16</v>
      </c>
      <c r="T1105" t="s">
        <v>16</v>
      </c>
      <c r="U1105" t="s">
        <v>1911</v>
      </c>
      <c r="V1105">
        <v>90000</v>
      </c>
      <c r="W1105">
        <v>2</v>
      </c>
      <c r="X1105" t="s">
        <v>52</v>
      </c>
      <c r="Y1105" t="s">
        <v>18</v>
      </c>
      <c r="Z1105" t="s">
        <v>19</v>
      </c>
      <c r="AA1105" t="s">
        <v>3580</v>
      </c>
      <c r="AB1105" t="s">
        <v>3578</v>
      </c>
      <c r="AC1105" t="s">
        <v>3579</v>
      </c>
      <c r="AD1105" t="s">
        <v>3479</v>
      </c>
      <c r="AE1105" t="s">
        <v>3475</v>
      </c>
      <c r="AF1105" s="2">
        <v>699.09820000000002</v>
      </c>
      <c r="AG1105" s="2">
        <v>413.1463</v>
      </c>
      <c r="AH1105" s="2">
        <v>285.95190000000002</v>
      </c>
      <c r="AI1105" s="3">
        <v>0.409029661355157</v>
      </c>
    </row>
    <row r="1106" spans="1:35">
      <c r="A1106" s="1">
        <v>42243</v>
      </c>
      <c r="B1106" s="1">
        <v>37428</v>
      </c>
      <c r="C1106" t="s">
        <v>5248</v>
      </c>
      <c r="D1106">
        <v>332</v>
      </c>
      <c r="E1106">
        <v>15252</v>
      </c>
      <c r="F1106">
        <v>1</v>
      </c>
      <c r="G1106">
        <v>1</v>
      </c>
      <c r="H1106">
        <v>1</v>
      </c>
      <c r="I1106">
        <v>2</v>
      </c>
      <c r="J1106" t="s">
        <v>3507</v>
      </c>
      <c r="K1106" t="s">
        <v>3508</v>
      </c>
      <c r="L1106" s="2">
        <v>413.1463</v>
      </c>
      <c r="M1106" s="2">
        <v>699.09820000000002</v>
      </c>
      <c r="N1106" t="s">
        <v>26</v>
      </c>
      <c r="O1106" t="s">
        <v>595</v>
      </c>
      <c r="P1106" t="s">
        <v>105</v>
      </c>
      <c r="Q1106" t="s">
        <v>7435</v>
      </c>
      <c r="R1106" s="1">
        <v>29265</v>
      </c>
      <c r="S1106" t="s">
        <v>16</v>
      </c>
      <c r="T1106" t="s">
        <v>29</v>
      </c>
      <c r="U1106" t="s">
        <v>1912</v>
      </c>
      <c r="V1106">
        <v>40000</v>
      </c>
      <c r="W1106">
        <v>0</v>
      </c>
      <c r="X1106" t="s">
        <v>57</v>
      </c>
      <c r="Y1106" t="s">
        <v>53</v>
      </c>
      <c r="Z1106" t="s">
        <v>19</v>
      </c>
      <c r="AA1106" t="s">
        <v>3577</v>
      </c>
      <c r="AB1106" t="s">
        <v>3578</v>
      </c>
      <c r="AC1106" t="s">
        <v>3579</v>
      </c>
      <c r="AD1106" t="s">
        <v>3479</v>
      </c>
      <c r="AE1106" t="s">
        <v>3475</v>
      </c>
      <c r="AF1106" s="2">
        <v>699.09820000000002</v>
      </c>
      <c r="AG1106" s="2">
        <v>413.1463</v>
      </c>
      <c r="AH1106" s="2">
        <v>285.95190000000002</v>
      </c>
      <c r="AI1106" s="3">
        <v>0.409029661355157</v>
      </c>
    </row>
    <row r="1107" spans="1:35">
      <c r="A1107" s="1">
        <v>42218</v>
      </c>
      <c r="B1107" s="1">
        <v>37425</v>
      </c>
      <c r="C1107" t="s">
        <v>5020</v>
      </c>
      <c r="D1107">
        <v>322</v>
      </c>
      <c r="E1107">
        <v>15254</v>
      </c>
      <c r="F1107">
        <v>5</v>
      </c>
      <c r="G1107">
        <v>1</v>
      </c>
      <c r="H1107">
        <v>1</v>
      </c>
      <c r="I1107">
        <v>2</v>
      </c>
      <c r="J1107" t="s">
        <v>3497</v>
      </c>
      <c r="K1107" t="s">
        <v>3498</v>
      </c>
      <c r="L1107" s="2">
        <v>413.1463</v>
      </c>
      <c r="M1107" s="2">
        <v>699.09820000000002</v>
      </c>
      <c r="N1107" t="s">
        <v>26</v>
      </c>
      <c r="O1107" t="s">
        <v>445</v>
      </c>
      <c r="P1107" t="s">
        <v>392</v>
      </c>
      <c r="Q1107" t="s">
        <v>7436</v>
      </c>
      <c r="R1107" s="1">
        <v>29275</v>
      </c>
      <c r="S1107" t="s">
        <v>16</v>
      </c>
      <c r="T1107" t="s">
        <v>29</v>
      </c>
      <c r="U1107" t="s">
        <v>1913</v>
      </c>
      <c r="V1107">
        <v>40000</v>
      </c>
      <c r="W1107">
        <v>0</v>
      </c>
      <c r="X1107" t="s">
        <v>57</v>
      </c>
      <c r="Y1107" t="s">
        <v>53</v>
      </c>
      <c r="Z1107" t="s">
        <v>23</v>
      </c>
      <c r="AA1107" t="s">
        <v>3581</v>
      </c>
      <c r="AB1107" t="s">
        <v>3578</v>
      </c>
      <c r="AC1107" t="s">
        <v>3579</v>
      </c>
      <c r="AD1107" t="s">
        <v>3479</v>
      </c>
      <c r="AE1107" t="s">
        <v>3475</v>
      </c>
      <c r="AF1107" s="2">
        <v>699.09820000000002</v>
      </c>
      <c r="AG1107" s="2">
        <v>413.1463</v>
      </c>
      <c r="AH1107" s="2">
        <v>285.95190000000002</v>
      </c>
      <c r="AI1107" s="3">
        <v>0.409029661355157</v>
      </c>
    </row>
    <row r="1108" spans="1:35">
      <c r="A1108" s="1">
        <v>42222</v>
      </c>
      <c r="B1108" s="1">
        <v>37370</v>
      </c>
      <c r="C1108" t="s">
        <v>5050</v>
      </c>
      <c r="D1108">
        <v>342</v>
      </c>
      <c r="E1108">
        <v>15255</v>
      </c>
      <c r="F1108">
        <v>4</v>
      </c>
      <c r="G1108">
        <v>1</v>
      </c>
      <c r="H1108">
        <v>1</v>
      </c>
      <c r="I1108">
        <v>2</v>
      </c>
      <c r="J1108" t="s">
        <v>3517</v>
      </c>
      <c r="K1108" t="s">
        <v>3518</v>
      </c>
      <c r="L1108" s="2">
        <v>413.1463</v>
      </c>
      <c r="M1108" s="2">
        <v>699.09820000000002</v>
      </c>
      <c r="N1108" t="s">
        <v>13</v>
      </c>
      <c r="O1108" t="s">
        <v>228</v>
      </c>
      <c r="P1108" t="s">
        <v>377</v>
      </c>
      <c r="Q1108" t="s">
        <v>7437</v>
      </c>
      <c r="R1108" s="1">
        <v>28645</v>
      </c>
      <c r="S1108" t="s">
        <v>16</v>
      </c>
      <c r="T1108" t="s">
        <v>16</v>
      </c>
      <c r="U1108" t="s">
        <v>1914</v>
      </c>
      <c r="V1108">
        <v>40000</v>
      </c>
      <c r="W1108">
        <v>0</v>
      </c>
      <c r="X1108" t="s">
        <v>57</v>
      </c>
      <c r="Y1108" t="s">
        <v>53</v>
      </c>
      <c r="Z1108" t="s">
        <v>19</v>
      </c>
      <c r="AA1108" t="s">
        <v>3580</v>
      </c>
      <c r="AB1108" t="s">
        <v>3578</v>
      </c>
      <c r="AC1108" t="s">
        <v>3579</v>
      </c>
      <c r="AD1108" t="s">
        <v>3479</v>
      </c>
      <c r="AE1108" t="s">
        <v>3475</v>
      </c>
      <c r="AF1108" s="2">
        <v>699.09820000000002</v>
      </c>
      <c r="AG1108" s="2">
        <v>413.1463</v>
      </c>
      <c r="AH1108" s="2">
        <v>285.95190000000002</v>
      </c>
      <c r="AI1108" s="3">
        <v>0.409029661355157</v>
      </c>
    </row>
    <row r="1109" spans="1:35">
      <c r="A1109" s="1">
        <v>42233</v>
      </c>
      <c r="B1109" s="1">
        <v>37385</v>
      </c>
      <c r="C1109" t="s">
        <v>5145</v>
      </c>
      <c r="D1109">
        <v>332</v>
      </c>
      <c r="E1109">
        <v>15256</v>
      </c>
      <c r="F1109">
        <v>4</v>
      </c>
      <c r="G1109">
        <v>1</v>
      </c>
      <c r="H1109">
        <v>1</v>
      </c>
      <c r="I1109">
        <v>2</v>
      </c>
      <c r="J1109" t="s">
        <v>3507</v>
      </c>
      <c r="K1109" t="s">
        <v>3508</v>
      </c>
      <c r="L1109" s="2">
        <v>413.1463</v>
      </c>
      <c r="M1109" s="2">
        <v>699.09820000000002</v>
      </c>
      <c r="N1109" t="s">
        <v>13</v>
      </c>
      <c r="O1109" t="s">
        <v>186</v>
      </c>
      <c r="P1109" t="s">
        <v>259</v>
      </c>
      <c r="Q1109" t="s">
        <v>7438</v>
      </c>
      <c r="R1109" s="1">
        <v>28544</v>
      </c>
      <c r="S1109" t="s">
        <v>22</v>
      </c>
      <c r="T1109" t="s">
        <v>16</v>
      </c>
      <c r="U1109" t="s">
        <v>1915</v>
      </c>
      <c r="V1109">
        <v>40000</v>
      </c>
      <c r="W1109">
        <v>0</v>
      </c>
      <c r="X1109" t="s">
        <v>57</v>
      </c>
      <c r="Y1109" t="s">
        <v>53</v>
      </c>
      <c r="Z1109" t="s">
        <v>23</v>
      </c>
      <c r="AA1109" t="s">
        <v>3580</v>
      </c>
      <c r="AB1109" t="s">
        <v>3578</v>
      </c>
      <c r="AC1109" t="s">
        <v>3579</v>
      </c>
      <c r="AD1109" t="s">
        <v>3479</v>
      </c>
      <c r="AE1109" t="s">
        <v>3475</v>
      </c>
      <c r="AF1109" s="2">
        <v>699.09820000000002</v>
      </c>
      <c r="AG1109" s="2">
        <v>413.1463</v>
      </c>
      <c r="AH1109" s="2">
        <v>285.95190000000002</v>
      </c>
      <c r="AI1109" s="3">
        <v>0.409029661355157</v>
      </c>
    </row>
    <row r="1110" spans="1:35">
      <c r="A1110" s="1">
        <v>42238</v>
      </c>
      <c r="B1110" s="1">
        <v>37425</v>
      </c>
      <c r="C1110" t="s">
        <v>5200</v>
      </c>
      <c r="D1110">
        <v>332</v>
      </c>
      <c r="E1110">
        <v>15276</v>
      </c>
      <c r="F1110">
        <v>4</v>
      </c>
      <c r="G1110">
        <v>1</v>
      </c>
      <c r="H1110">
        <v>1</v>
      </c>
      <c r="I1110">
        <v>2</v>
      </c>
      <c r="J1110" t="s">
        <v>3507</v>
      </c>
      <c r="K1110" t="s">
        <v>3508</v>
      </c>
      <c r="L1110" s="2">
        <v>413.1463</v>
      </c>
      <c r="M1110" s="2">
        <v>699.09820000000002</v>
      </c>
      <c r="N1110" t="s">
        <v>26</v>
      </c>
      <c r="O1110" t="s">
        <v>108</v>
      </c>
      <c r="P1110" t="s">
        <v>704</v>
      </c>
      <c r="Q1110" t="s">
        <v>7439</v>
      </c>
      <c r="R1110" s="1">
        <v>27186</v>
      </c>
      <c r="S1110" t="s">
        <v>22</v>
      </c>
      <c r="T1110" t="s">
        <v>29</v>
      </c>
      <c r="U1110" t="s">
        <v>1916</v>
      </c>
      <c r="V1110">
        <v>30000</v>
      </c>
      <c r="W1110">
        <v>0</v>
      </c>
      <c r="X1110" t="s">
        <v>52</v>
      </c>
      <c r="Y1110" t="s">
        <v>53</v>
      </c>
      <c r="Z1110" t="s">
        <v>23</v>
      </c>
      <c r="AA1110" t="s">
        <v>3580</v>
      </c>
      <c r="AB1110" t="s">
        <v>3578</v>
      </c>
      <c r="AC1110" t="s">
        <v>3579</v>
      </c>
      <c r="AD1110" t="s">
        <v>3479</v>
      </c>
      <c r="AE1110" t="s">
        <v>3475</v>
      </c>
      <c r="AF1110" s="2">
        <v>699.09820000000002</v>
      </c>
      <c r="AG1110" s="2">
        <v>413.1463</v>
      </c>
      <c r="AH1110" s="2">
        <v>285.95190000000002</v>
      </c>
      <c r="AI1110" s="3">
        <v>0.409029661355157</v>
      </c>
    </row>
    <row r="1111" spans="1:35">
      <c r="A1111" s="1">
        <v>42243</v>
      </c>
      <c r="B1111" s="1">
        <v>37423</v>
      </c>
      <c r="C1111" t="s">
        <v>5250</v>
      </c>
      <c r="D1111">
        <v>332</v>
      </c>
      <c r="E1111">
        <v>15280</v>
      </c>
      <c r="F1111">
        <v>4</v>
      </c>
      <c r="G1111">
        <v>1</v>
      </c>
      <c r="H1111">
        <v>1</v>
      </c>
      <c r="I1111">
        <v>2</v>
      </c>
      <c r="J1111" t="s">
        <v>3507</v>
      </c>
      <c r="K1111" t="s">
        <v>3508</v>
      </c>
      <c r="L1111" s="2">
        <v>413.1463</v>
      </c>
      <c r="M1111" s="2">
        <v>699.09820000000002</v>
      </c>
      <c r="N1111" t="s">
        <v>26</v>
      </c>
      <c r="O1111" t="s">
        <v>591</v>
      </c>
      <c r="P1111" t="s">
        <v>246</v>
      </c>
      <c r="Q1111" t="s">
        <v>7440</v>
      </c>
      <c r="R1111" s="1">
        <v>25002</v>
      </c>
      <c r="S1111" t="s">
        <v>22</v>
      </c>
      <c r="T1111" t="s">
        <v>29</v>
      </c>
      <c r="U1111" t="s">
        <v>1917</v>
      </c>
      <c r="V1111">
        <v>80000</v>
      </c>
      <c r="W1111">
        <v>0</v>
      </c>
      <c r="X1111" t="s">
        <v>17</v>
      </c>
      <c r="Y1111" t="s">
        <v>45</v>
      </c>
      <c r="Z1111" t="s">
        <v>23</v>
      </c>
      <c r="AA1111" t="s">
        <v>3580</v>
      </c>
      <c r="AB1111" t="s">
        <v>3578</v>
      </c>
      <c r="AC1111" t="s">
        <v>3579</v>
      </c>
      <c r="AD1111" t="s">
        <v>3479</v>
      </c>
      <c r="AE1111" t="s">
        <v>3475</v>
      </c>
      <c r="AF1111" s="2">
        <v>699.09820000000002</v>
      </c>
      <c r="AG1111" s="2">
        <v>413.1463</v>
      </c>
      <c r="AH1111" s="2">
        <v>285.95190000000002</v>
      </c>
      <c r="AI1111" s="3">
        <v>0.409029661355157</v>
      </c>
    </row>
    <row r="1112" spans="1:35">
      <c r="A1112" s="1">
        <v>42219</v>
      </c>
      <c r="B1112" s="1">
        <v>37423</v>
      </c>
      <c r="C1112" t="s">
        <v>5029</v>
      </c>
      <c r="D1112">
        <v>340</v>
      </c>
      <c r="E1112">
        <v>15284</v>
      </c>
      <c r="F1112">
        <v>4</v>
      </c>
      <c r="G1112">
        <v>1</v>
      </c>
      <c r="H1112">
        <v>1</v>
      </c>
      <c r="I1112">
        <v>2</v>
      </c>
      <c r="J1112" t="s">
        <v>3515</v>
      </c>
      <c r="K1112" t="s">
        <v>3516</v>
      </c>
      <c r="L1112" s="2">
        <v>413.1463</v>
      </c>
      <c r="M1112" s="2">
        <v>699.09820000000002</v>
      </c>
      <c r="N1112" t="s">
        <v>13</v>
      </c>
      <c r="O1112" t="s">
        <v>556</v>
      </c>
      <c r="P1112" t="s">
        <v>353</v>
      </c>
      <c r="Q1112" t="s">
        <v>7441</v>
      </c>
      <c r="R1112" s="1">
        <v>26371</v>
      </c>
      <c r="S1112" t="s">
        <v>22</v>
      </c>
      <c r="T1112" t="s">
        <v>16</v>
      </c>
      <c r="U1112" t="s">
        <v>1918</v>
      </c>
      <c r="V1112">
        <v>40000</v>
      </c>
      <c r="W1112">
        <v>0</v>
      </c>
      <c r="X1112" t="s">
        <v>135</v>
      </c>
      <c r="Y1112" t="s">
        <v>53</v>
      </c>
      <c r="Z1112" t="s">
        <v>23</v>
      </c>
      <c r="AA1112" t="s">
        <v>3580</v>
      </c>
      <c r="AB1112" t="s">
        <v>3578</v>
      </c>
      <c r="AC1112" t="s">
        <v>3579</v>
      </c>
      <c r="AD1112" t="s">
        <v>3479</v>
      </c>
      <c r="AE1112" t="s">
        <v>3475</v>
      </c>
      <c r="AF1112" s="2">
        <v>699.09820000000002</v>
      </c>
      <c r="AG1112" s="2">
        <v>413.1463</v>
      </c>
      <c r="AH1112" s="2">
        <v>285.95190000000002</v>
      </c>
      <c r="AI1112" s="3">
        <v>0.409029661355157</v>
      </c>
    </row>
    <row r="1113" spans="1:35">
      <c r="A1113" s="1">
        <v>42244</v>
      </c>
      <c r="B1113" s="1">
        <v>37474</v>
      </c>
      <c r="C1113" t="s">
        <v>5258</v>
      </c>
      <c r="D1113">
        <v>342</v>
      </c>
      <c r="E1113">
        <v>15287</v>
      </c>
      <c r="F1113">
        <v>1</v>
      </c>
      <c r="G1113">
        <v>1</v>
      </c>
      <c r="H1113">
        <v>1</v>
      </c>
      <c r="I1113">
        <v>2</v>
      </c>
      <c r="J1113" t="s">
        <v>3517</v>
      </c>
      <c r="K1113" t="s">
        <v>3518</v>
      </c>
      <c r="L1113" s="2">
        <v>413.1463</v>
      </c>
      <c r="M1113" s="2">
        <v>699.09820000000002</v>
      </c>
      <c r="N1113" t="s">
        <v>30</v>
      </c>
      <c r="O1113" t="s">
        <v>306</v>
      </c>
      <c r="P1113" t="s">
        <v>173</v>
      </c>
      <c r="Q1113" t="s">
        <v>7442</v>
      </c>
      <c r="R1113" s="1">
        <v>26777</v>
      </c>
      <c r="S1113" t="s">
        <v>22</v>
      </c>
      <c r="T1113" t="s">
        <v>29</v>
      </c>
      <c r="U1113" t="s">
        <v>1919</v>
      </c>
      <c r="V1113">
        <v>50000</v>
      </c>
      <c r="W1113">
        <v>1</v>
      </c>
      <c r="X1113" t="s">
        <v>135</v>
      </c>
      <c r="Y1113" t="s">
        <v>53</v>
      </c>
      <c r="Z1113" t="s">
        <v>19</v>
      </c>
      <c r="AA1113" t="s">
        <v>3577</v>
      </c>
      <c r="AB1113" t="s">
        <v>3578</v>
      </c>
      <c r="AC1113" t="s">
        <v>3579</v>
      </c>
      <c r="AD1113" t="s">
        <v>3479</v>
      </c>
      <c r="AE1113" t="s">
        <v>3475</v>
      </c>
      <c r="AF1113" s="2">
        <v>699.09820000000002</v>
      </c>
      <c r="AG1113" s="2">
        <v>413.1463</v>
      </c>
      <c r="AH1113" s="2">
        <v>285.95190000000002</v>
      </c>
      <c r="AI1113" s="3">
        <v>0.409029661355157</v>
      </c>
    </row>
    <row r="1114" spans="1:35">
      <c r="A1114" s="1">
        <v>42218</v>
      </c>
      <c r="B1114" s="1">
        <v>37388</v>
      </c>
      <c r="C1114" t="s">
        <v>5026</v>
      </c>
      <c r="D1114">
        <v>328</v>
      </c>
      <c r="E1114">
        <v>15288</v>
      </c>
      <c r="F1114">
        <v>4</v>
      </c>
      <c r="G1114">
        <v>1</v>
      </c>
      <c r="H1114">
        <v>1</v>
      </c>
      <c r="I1114">
        <v>2</v>
      </c>
      <c r="J1114" t="s">
        <v>3503</v>
      </c>
      <c r="K1114" t="s">
        <v>3504</v>
      </c>
      <c r="L1114" s="2">
        <v>413.1463</v>
      </c>
      <c r="M1114" s="2">
        <v>699.09820000000002</v>
      </c>
      <c r="N1114" t="s">
        <v>13</v>
      </c>
      <c r="O1114" t="s">
        <v>608</v>
      </c>
      <c r="P1114" t="s">
        <v>329</v>
      </c>
      <c r="Q1114" t="s">
        <v>7443</v>
      </c>
      <c r="R1114" s="1">
        <v>26751</v>
      </c>
      <c r="S1114" t="s">
        <v>16</v>
      </c>
      <c r="T1114" t="s">
        <v>16</v>
      </c>
      <c r="U1114" t="s">
        <v>1920</v>
      </c>
      <c r="V1114">
        <v>50000</v>
      </c>
      <c r="W1114">
        <v>1</v>
      </c>
      <c r="X1114" t="s">
        <v>135</v>
      </c>
      <c r="Y1114" t="s">
        <v>53</v>
      </c>
      <c r="Z1114" t="s">
        <v>19</v>
      </c>
      <c r="AA1114" t="s">
        <v>3580</v>
      </c>
      <c r="AB1114" t="s">
        <v>3578</v>
      </c>
      <c r="AC1114" t="s">
        <v>3579</v>
      </c>
      <c r="AD1114" t="s">
        <v>3479</v>
      </c>
      <c r="AE1114" t="s">
        <v>3475</v>
      </c>
      <c r="AF1114" s="2">
        <v>699.09820000000002</v>
      </c>
      <c r="AG1114" s="2">
        <v>413.1463</v>
      </c>
      <c r="AH1114" s="2">
        <v>285.95190000000002</v>
      </c>
      <c r="AI1114" s="3">
        <v>0.409029661355157</v>
      </c>
    </row>
    <row r="1115" spans="1:35">
      <c r="A1115" s="1">
        <v>42240</v>
      </c>
      <c r="B1115" s="1">
        <v>37421</v>
      </c>
      <c r="C1115" t="s">
        <v>5218</v>
      </c>
      <c r="D1115">
        <v>342</v>
      </c>
      <c r="E1115">
        <v>15289</v>
      </c>
      <c r="F1115">
        <v>4</v>
      </c>
      <c r="G1115">
        <v>1</v>
      </c>
      <c r="H1115">
        <v>1</v>
      </c>
      <c r="I1115">
        <v>2</v>
      </c>
      <c r="J1115" t="s">
        <v>3517</v>
      </c>
      <c r="K1115" t="s">
        <v>3518</v>
      </c>
      <c r="L1115" s="2">
        <v>413.1463</v>
      </c>
      <c r="M1115" s="2">
        <v>699.09820000000002</v>
      </c>
      <c r="N1115" t="s">
        <v>30</v>
      </c>
      <c r="O1115" t="s">
        <v>372</v>
      </c>
      <c r="P1115" t="s">
        <v>314</v>
      </c>
      <c r="Q1115" t="s">
        <v>7444</v>
      </c>
      <c r="R1115" s="1">
        <v>26343</v>
      </c>
      <c r="S1115" t="s">
        <v>16</v>
      </c>
      <c r="T1115" t="s">
        <v>29</v>
      </c>
      <c r="U1115" t="s">
        <v>1921</v>
      </c>
      <c r="V1115">
        <v>40000</v>
      </c>
      <c r="W1115">
        <v>1</v>
      </c>
      <c r="X1115" t="s">
        <v>135</v>
      </c>
      <c r="Y1115" t="s">
        <v>53</v>
      </c>
      <c r="Z1115" t="s">
        <v>19</v>
      </c>
      <c r="AA1115" t="s">
        <v>3580</v>
      </c>
      <c r="AB1115" t="s">
        <v>3578</v>
      </c>
      <c r="AC1115" t="s">
        <v>3579</v>
      </c>
      <c r="AD1115" t="s">
        <v>3479</v>
      </c>
      <c r="AE1115" t="s">
        <v>3475</v>
      </c>
      <c r="AF1115" s="2">
        <v>699.09820000000002</v>
      </c>
      <c r="AG1115" s="2">
        <v>413.1463</v>
      </c>
      <c r="AH1115" s="2">
        <v>285.95190000000002</v>
      </c>
      <c r="AI1115" s="3">
        <v>0.409029661355157</v>
      </c>
    </row>
    <row r="1116" spans="1:35">
      <c r="A1116" s="1">
        <v>42261</v>
      </c>
      <c r="B1116" s="1">
        <v>37431</v>
      </c>
      <c r="C1116" t="s">
        <v>5377</v>
      </c>
      <c r="D1116">
        <v>336</v>
      </c>
      <c r="E1116">
        <v>15290</v>
      </c>
      <c r="F1116">
        <v>1</v>
      </c>
      <c r="G1116">
        <v>1</v>
      </c>
      <c r="H1116">
        <v>1</v>
      </c>
      <c r="I1116">
        <v>2</v>
      </c>
      <c r="J1116" t="s">
        <v>3511</v>
      </c>
      <c r="K1116" t="s">
        <v>3512</v>
      </c>
      <c r="L1116" s="2">
        <v>413.1463</v>
      </c>
      <c r="M1116" s="2">
        <v>699.09820000000002</v>
      </c>
      <c r="N1116" t="s">
        <v>13</v>
      </c>
      <c r="O1116" t="s">
        <v>263</v>
      </c>
      <c r="P1116" t="s">
        <v>366</v>
      </c>
      <c r="Q1116" t="s">
        <v>7445</v>
      </c>
      <c r="R1116" s="1">
        <v>26507</v>
      </c>
      <c r="S1116" t="s">
        <v>16</v>
      </c>
      <c r="T1116" t="s">
        <v>16</v>
      </c>
      <c r="U1116" t="s">
        <v>1922</v>
      </c>
      <c r="V1116">
        <v>50000</v>
      </c>
      <c r="W1116">
        <v>1</v>
      </c>
      <c r="X1116" t="s">
        <v>135</v>
      </c>
      <c r="Y1116" t="s">
        <v>53</v>
      </c>
      <c r="Z1116" t="s">
        <v>23</v>
      </c>
      <c r="AA1116" t="s">
        <v>3577</v>
      </c>
      <c r="AB1116" t="s">
        <v>3578</v>
      </c>
      <c r="AC1116" t="s">
        <v>3579</v>
      </c>
      <c r="AD1116" t="s">
        <v>3479</v>
      </c>
      <c r="AE1116" t="s">
        <v>3475</v>
      </c>
      <c r="AF1116" s="2">
        <v>699.09820000000002</v>
      </c>
      <c r="AG1116" s="2">
        <v>413.1463</v>
      </c>
      <c r="AH1116" s="2">
        <v>285.95190000000002</v>
      </c>
      <c r="AI1116" s="3">
        <v>0.409029661355157</v>
      </c>
    </row>
    <row r="1117" spans="1:35">
      <c r="A1117" s="1">
        <v>42271</v>
      </c>
      <c r="B1117" s="1">
        <v>37450</v>
      </c>
      <c r="C1117" t="s">
        <v>5439</v>
      </c>
      <c r="D1117">
        <v>330</v>
      </c>
      <c r="E1117">
        <v>15302</v>
      </c>
      <c r="F1117">
        <v>4</v>
      </c>
      <c r="G1117">
        <v>1</v>
      </c>
      <c r="H1117">
        <v>1</v>
      </c>
      <c r="I1117">
        <v>2</v>
      </c>
      <c r="J1117" t="s">
        <v>3505</v>
      </c>
      <c r="K1117" t="s">
        <v>3506</v>
      </c>
      <c r="L1117" s="2">
        <v>413.1463</v>
      </c>
      <c r="M1117" s="2">
        <v>699.09820000000002</v>
      </c>
      <c r="N1117" t="s">
        <v>30</v>
      </c>
      <c r="O1117" t="s">
        <v>251</v>
      </c>
      <c r="P1117" t="s">
        <v>299</v>
      </c>
      <c r="Q1117" t="s">
        <v>7446</v>
      </c>
      <c r="R1117" s="1">
        <v>26492</v>
      </c>
      <c r="S1117" t="s">
        <v>22</v>
      </c>
      <c r="T1117" t="s">
        <v>29</v>
      </c>
      <c r="U1117" t="s">
        <v>1923</v>
      </c>
      <c r="V1117">
        <v>70000</v>
      </c>
      <c r="W1117">
        <v>1</v>
      </c>
      <c r="X1117" t="s">
        <v>135</v>
      </c>
      <c r="Y1117" t="s">
        <v>18</v>
      </c>
      <c r="Z1117" t="s">
        <v>19</v>
      </c>
      <c r="AA1117" t="s">
        <v>3580</v>
      </c>
      <c r="AB1117" t="s">
        <v>3578</v>
      </c>
      <c r="AC1117" t="s">
        <v>3579</v>
      </c>
      <c r="AD1117" t="s">
        <v>3479</v>
      </c>
      <c r="AE1117" t="s">
        <v>3475</v>
      </c>
      <c r="AF1117" s="2">
        <v>699.09820000000002</v>
      </c>
      <c r="AG1117" s="2">
        <v>413.1463</v>
      </c>
      <c r="AH1117" s="2">
        <v>285.95190000000002</v>
      </c>
      <c r="AI1117" s="3">
        <v>0.409029661355157</v>
      </c>
    </row>
    <row r="1118" spans="1:35">
      <c r="A1118" s="1">
        <v>42249</v>
      </c>
      <c r="B1118" s="1">
        <v>37472</v>
      </c>
      <c r="C1118" t="s">
        <v>5291</v>
      </c>
      <c r="D1118">
        <v>340</v>
      </c>
      <c r="E1118">
        <v>15303</v>
      </c>
      <c r="F1118">
        <v>4</v>
      </c>
      <c r="G1118">
        <v>1</v>
      </c>
      <c r="H1118">
        <v>1</v>
      </c>
      <c r="I1118">
        <v>2</v>
      </c>
      <c r="J1118" t="s">
        <v>3515</v>
      </c>
      <c r="K1118" t="s">
        <v>3516</v>
      </c>
      <c r="L1118" s="2">
        <v>413.1463</v>
      </c>
      <c r="M1118" s="2">
        <v>699.09820000000002</v>
      </c>
      <c r="N1118" t="s">
        <v>30</v>
      </c>
      <c r="O1118" t="s">
        <v>409</v>
      </c>
      <c r="P1118" t="s">
        <v>261</v>
      </c>
      <c r="Q1118" t="s">
        <v>7447</v>
      </c>
      <c r="R1118" s="1">
        <v>16368</v>
      </c>
      <c r="S1118" t="s">
        <v>22</v>
      </c>
      <c r="T1118" t="s">
        <v>29</v>
      </c>
      <c r="U1118" t="s">
        <v>1924</v>
      </c>
      <c r="V1118">
        <v>70000</v>
      </c>
      <c r="W1118">
        <v>4</v>
      </c>
      <c r="X1118" t="s">
        <v>17</v>
      </c>
      <c r="Y1118" t="s">
        <v>45</v>
      </c>
      <c r="Z1118" t="s">
        <v>19</v>
      </c>
      <c r="AA1118" t="s">
        <v>3580</v>
      </c>
      <c r="AB1118" t="s">
        <v>3578</v>
      </c>
      <c r="AC1118" t="s">
        <v>3579</v>
      </c>
      <c r="AD1118" t="s">
        <v>3479</v>
      </c>
      <c r="AE1118" t="s">
        <v>3475</v>
      </c>
      <c r="AF1118" s="2">
        <v>699.09820000000002</v>
      </c>
      <c r="AG1118" s="2">
        <v>413.1463</v>
      </c>
      <c r="AH1118" s="2">
        <v>285.95190000000002</v>
      </c>
      <c r="AI1118" s="3">
        <v>0.409029661355157</v>
      </c>
    </row>
    <row r="1119" spans="1:35">
      <c r="A1119" s="1">
        <v>42257</v>
      </c>
      <c r="B1119" s="1">
        <v>37447</v>
      </c>
      <c r="C1119" t="s">
        <v>5338</v>
      </c>
      <c r="D1119">
        <v>342</v>
      </c>
      <c r="E1119">
        <v>15308</v>
      </c>
      <c r="F1119">
        <v>4</v>
      </c>
      <c r="G1119">
        <v>1</v>
      </c>
      <c r="H1119">
        <v>1</v>
      </c>
      <c r="I1119">
        <v>2</v>
      </c>
      <c r="J1119" t="s">
        <v>3517</v>
      </c>
      <c r="K1119" t="s">
        <v>3518</v>
      </c>
      <c r="L1119" s="2">
        <v>413.1463</v>
      </c>
      <c r="M1119" s="2">
        <v>699.09820000000002</v>
      </c>
      <c r="N1119" t="s">
        <v>30</v>
      </c>
      <c r="O1119" t="s">
        <v>27</v>
      </c>
      <c r="P1119" t="s">
        <v>62</v>
      </c>
      <c r="Q1119" t="s">
        <v>7448</v>
      </c>
      <c r="R1119" s="1">
        <v>16538</v>
      </c>
      <c r="S1119" t="s">
        <v>16</v>
      </c>
      <c r="T1119" t="s">
        <v>29</v>
      </c>
      <c r="U1119" t="s">
        <v>1925</v>
      </c>
      <c r="V1119">
        <v>60000</v>
      </c>
      <c r="W1119">
        <v>4</v>
      </c>
      <c r="X1119" t="s">
        <v>17</v>
      </c>
      <c r="Y1119" t="s">
        <v>45</v>
      </c>
      <c r="Z1119" t="s">
        <v>19</v>
      </c>
      <c r="AA1119" t="s">
        <v>3580</v>
      </c>
      <c r="AB1119" t="s">
        <v>3578</v>
      </c>
      <c r="AC1119" t="s">
        <v>3579</v>
      </c>
      <c r="AD1119" t="s">
        <v>3479</v>
      </c>
      <c r="AE1119" t="s">
        <v>3475</v>
      </c>
      <c r="AF1119" s="2">
        <v>699.09820000000002</v>
      </c>
      <c r="AG1119" s="2">
        <v>413.1463</v>
      </c>
      <c r="AH1119" s="2">
        <v>285.95190000000002</v>
      </c>
      <c r="AI1119" s="3">
        <v>0.409029661355157</v>
      </c>
    </row>
    <row r="1120" spans="1:35">
      <c r="A1120" s="1">
        <v>42270</v>
      </c>
      <c r="B1120" s="1">
        <v>37474</v>
      </c>
      <c r="C1120" t="s">
        <v>5432</v>
      </c>
      <c r="D1120">
        <v>334</v>
      </c>
      <c r="E1120">
        <v>15309</v>
      </c>
      <c r="F1120">
        <v>4</v>
      </c>
      <c r="G1120">
        <v>1</v>
      </c>
      <c r="H1120">
        <v>1</v>
      </c>
      <c r="I1120">
        <v>2</v>
      </c>
      <c r="J1120" t="s">
        <v>3509</v>
      </c>
      <c r="K1120" t="s">
        <v>3510</v>
      </c>
      <c r="L1120" s="2">
        <v>413.1463</v>
      </c>
      <c r="M1120" s="2">
        <v>699.09820000000002</v>
      </c>
      <c r="N1120" t="s">
        <v>13</v>
      </c>
      <c r="O1120" t="s">
        <v>862</v>
      </c>
      <c r="P1120" t="s">
        <v>66</v>
      </c>
      <c r="Q1120" t="s">
        <v>7449</v>
      </c>
      <c r="R1120" s="1">
        <v>16651</v>
      </c>
      <c r="S1120" t="s">
        <v>16</v>
      </c>
      <c r="T1120" t="s">
        <v>16</v>
      </c>
      <c r="U1120" t="s">
        <v>1926</v>
      </c>
      <c r="V1120">
        <v>60000</v>
      </c>
      <c r="W1120">
        <v>4</v>
      </c>
      <c r="X1120" t="s">
        <v>17</v>
      </c>
      <c r="Y1120" t="s">
        <v>45</v>
      </c>
      <c r="Z1120" t="s">
        <v>19</v>
      </c>
      <c r="AA1120" t="s">
        <v>3580</v>
      </c>
      <c r="AB1120" t="s">
        <v>3578</v>
      </c>
      <c r="AC1120" t="s">
        <v>3579</v>
      </c>
      <c r="AD1120" t="s">
        <v>3479</v>
      </c>
      <c r="AE1120" t="s">
        <v>3475</v>
      </c>
      <c r="AF1120" s="2">
        <v>699.09820000000002</v>
      </c>
      <c r="AG1120" s="2">
        <v>413.1463</v>
      </c>
      <c r="AH1120" s="2">
        <v>285.95190000000002</v>
      </c>
      <c r="AI1120" s="3">
        <v>0.409029661355157</v>
      </c>
    </row>
    <row r="1121" spans="1:35">
      <c r="A1121" s="1">
        <v>42256</v>
      </c>
      <c r="B1121" s="1">
        <v>37396</v>
      </c>
      <c r="C1121" t="s">
        <v>5330</v>
      </c>
      <c r="D1121">
        <v>332</v>
      </c>
      <c r="E1121">
        <v>15311</v>
      </c>
      <c r="F1121">
        <v>1</v>
      </c>
      <c r="G1121">
        <v>1</v>
      </c>
      <c r="H1121">
        <v>1</v>
      </c>
      <c r="I1121">
        <v>2</v>
      </c>
      <c r="J1121" t="s">
        <v>3507</v>
      </c>
      <c r="K1121" t="s">
        <v>3508</v>
      </c>
      <c r="L1121" s="2">
        <v>413.1463</v>
      </c>
      <c r="M1121" s="2">
        <v>699.09820000000002</v>
      </c>
      <c r="N1121" t="s">
        <v>13</v>
      </c>
      <c r="O1121" t="s">
        <v>989</v>
      </c>
      <c r="P1121" t="s">
        <v>366</v>
      </c>
      <c r="Q1121" t="s">
        <v>7450</v>
      </c>
      <c r="R1121" s="1">
        <v>16639</v>
      </c>
      <c r="S1121" t="s">
        <v>16</v>
      </c>
      <c r="T1121" t="s">
        <v>16</v>
      </c>
      <c r="U1121" t="s">
        <v>1927</v>
      </c>
      <c r="V1121">
        <v>60000</v>
      </c>
      <c r="W1121">
        <v>4</v>
      </c>
      <c r="X1121" t="s">
        <v>17</v>
      </c>
      <c r="Y1121" t="s">
        <v>45</v>
      </c>
      <c r="Z1121" t="s">
        <v>19</v>
      </c>
      <c r="AA1121" t="s">
        <v>3577</v>
      </c>
      <c r="AB1121" t="s">
        <v>3578</v>
      </c>
      <c r="AC1121" t="s">
        <v>3579</v>
      </c>
      <c r="AD1121" t="s">
        <v>3479</v>
      </c>
      <c r="AE1121" t="s">
        <v>3475</v>
      </c>
      <c r="AF1121" s="2">
        <v>699.09820000000002</v>
      </c>
      <c r="AG1121" s="2">
        <v>413.1463</v>
      </c>
      <c r="AH1121" s="2">
        <v>285.95190000000002</v>
      </c>
      <c r="AI1121" s="3">
        <v>0.409029661355157</v>
      </c>
    </row>
    <row r="1122" spans="1:35">
      <c r="A1122" s="1">
        <v>42259</v>
      </c>
      <c r="B1122" s="1">
        <v>37418</v>
      </c>
      <c r="C1122" t="s">
        <v>5355</v>
      </c>
      <c r="D1122">
        <v>328</v>
      </c>
      <c r="E1122">
        <v>15312</v>
      </c>
      <c r="F1122">
        <v>4</v>
      </c>
      <c r="G1122">
        <v>1</v>
      </c>
      <c r="H1122">
        <v>1</v>
      </c>
      <c r="I1122">
        <v>2</v>
      </c>
      <c r="J1122" t="s">
        <v>3503</v>
      </c>
      <c r="K1122" t="s">
        <v>3504</v>
      </c>
      <c r="L1122" s="2">
        <v>413.1463</v>
      </c>
      <c r="M1122" s="2">
        <v>699.09820000000002</v>
      </c>
      <c r="N1122" t="s">
        <v>30</v>
      </c>
      <c r="O1122" t="s">
        <v>628</v>
      </c>
      <c r="P1122" t="s">
        <v>422</v>
      </c>
      <c r="Q1122" t="s">
        <v>7451</v>
      </c>
      <c r="R1122" s="1">
        <v>16633</v>
      </c>
      <c r="S1122" t="s">
        <v>16</v>
      </c>
      <c r="T1122" t="s">
        <v>29</v>
      </c>
      <c r="U1122" t="s">
        <v>1928</v>
      </c>
      <c r="V1122">
        <v>60000</v>
      </c>
      <c r="W1122">
        <v>4</v>
      </c>
      <c r="X1122" t="s">
        <v>17</v>
      </c>
      <c r="Y1122" t="s">
        <v>45</v>
      </c>
      <c r="Z1122" t="s">
        <v>19</v>
      </c>
      <c r="AA1122" t="s">
        <v>3580</v>
      </c>
      <c r="AB1122" t="s">
        <v>3578</v>
      </c>
      <c r="AC1122" t="s">
        <v>3579</v>
      </c>
      <c r="AD1122" t="s">
        <v>3479</v>
      </c>
      <c r="AE1122" t="s">
        <v>3475</v>
      </c>
      <c r="AF1122" s="2">
        <v>699.09820000000002</v>
      </c>
      <c r="AG1122" s="2">
        <v>413.1463</v>
      </c>
      <c r="AH1122" s="2">
        <v>285.95190000000002</v>
      </c>
      <c r="AI1122" s="3">
        <v>0.409029661355157</v>
      </c>
    </row>
    <row r="1123" spans="1:35">
      <c r="A1123" s="1">
        <v>42260</v>
      </c>
      <c r="B1123" s="1">
        <v>37415</v>
      </c>
      <c r="C1123" t="s">
        <v>5365</v>
      </c>
      <c r="D1123">
        <v>340</v>
      </c>
      <c r="E1123">
        <v>15314</v>
      </c>
      <c r="F1123">
        <v>4</v>
      </c>
      <c r="G1123">
        <v>1</v>
      </c>
      <c r="H1123">
        <v>1</v>
      </c>
      <c r="I1123">
        <v>2</v>
      </c>
      <c r="J1123" t="s">
        <v>3515</v>
      </c>
      <c r="K1123" t="s">
        <v>3516</v>
      </c>
      <c r="L1123" s="2">
        <v>413.1463</v>
      </c>
      <c r="M1123" s="2">
        <v>699.09820000000002</v>
      </c>
      <c r="N1123" t="s">
        <v>13</v>
      </c>
      <c r="O1123" t="s">
        <v>260</v>
      </c>
      <c r="P1123" t="s">
        <v>25</v>
      </c>
      <c r="Q1123" t="s">
        <v>7452</v>
      </c>
      <c r="R1123" s="1">
        <v>17019</v>
      </c>
      <c r="S1123" t="s">
        <v>22</v>
      </c>
      <c r="T1123" t="s">
        <v>16</v>
      </c>
      <c r="U1123" t="s">
        <v>1929</v>
      </c>
      <c r="V1123">
        <v>60000</v>
      </c>
      <c r="W1123">
        <v>5</v>
      </c>
      <c r="X1123" t="s">
        <v>17</v>
      </c>
      <c r="Y1123" t="s">
        <v>45</v>
      </c>
      <c r="Z1123" t="s">
        <v>19</v>
      </c>
      <c r="AA1123" t="s">
        <v>3580</v>
      </c>
      <c r="AB1123" t="s">
        <v>3578</v>
      </c>
      <c r="AC1123" t="s">
        <v>3579</v>
      </c>
      <c r="AD1123" t="s">
        <v>3479</v>
      </c>
      <c r="AE1123" t="s">
        <v>3475</v>
      </c>
      <c r="AF1123" s="2">
        <v>699.09820000000002</v>
      </c>
      <c r="AG1123" s="2">
        <v>413.1463</v>
      </c>
      <c r="AH1123" s="2">
        <v>285.95190000000002</v>
      </c>
      <c r="AI1123" s="3">
        <v>0.409029661355157</v>
      </c>
    </row>
    <row r="1124" spans="1:35">
      <c r="A1124" s="1">
        <v>42266</v>
      </c>
      <c r="B1124" s="1">
        <v>37399</v>
      </c>
      <c r="C1124" t="s">
        <v>5408</v>
      </c>
      <c r="D1124">
        <v>328</v>
      </c>
      <c r="E1124">
        <v>15320</v>
      </c>
      <c r="F1124">
        <v>1</v>
      </c>
      <c r="G1124">
        <v>1</v>
      </c>
      <c r="H1124">
        <v>1</v>
      </c>
      <c r="I1124">
        <v>2</v>
      </c>
      <c r="J1124" t="s">
        <v>3503</v>
      </c>
      <c r="K1124" t="s">
        <v>3504</v>
      </c>
      <c r="L1124" s="2">
        <v>413.1463</v>
      </c>
      <c r="M1124" s="2">
        <v>699.09820000000002</v>
      </c>
      <c r="N1124" t="s">
        <v>13</v>
      </c>
      <c r="O1124" t="s">
        <v>260</v>
      </c>
      <c r="P1124" t="s">
        <v>286</v>
      </c>
      <c r="Q1124" t="s">
        <v>7453</v>
      </c>
      <c r="R1124" s="1">
        <v>17276</v>
      </c>
      <c r="S1124" t="s">
        <v>16</v>
      </c>
      <c r="T1124" t="s">
        <v>16</v>
      </c>
      <c r="U1124" t="s">
        <v>1930</v>
      </c>
      <c r="V1124">
        <v>70000</v>
      </c>
      <c r="W1124">
        <v>4</v>
      </c>
      <c r="X1124" t="s">
        <v>17</v>
      </c>
      <c r="Y1124" t="s">
        <v>45</v>
      </c>
      <c r="Z1124" t="s">
        <v>19</v>
      </c>
      <c r="AA1124" t="s">
        <v>3577</v>
      </c>
      <c r="AB1124" t="s">
        <v>3578</v>
      </c>
      <c r="AC1124" t="s">
        <v>3579</v>
      </c>
      <c r="AD1124" t="s">
        <v>3479</v>
      </c>
      <c r="AE1124" t="s">
        <v>3475</v>
      </c>
      <c r="AF1124" s="2">
        <v>699.09820000000002</v>
      </c>
      <c r="AG1124" s="2">
        <v>413.1463</v>
      </c>
      <c r="AH1124" s="2">
        <v>285.95190000000002</v>
      </c>
      <c r="AI1124" s="3">
        <v>0.409029661355157</v>
      </c>
    </row>
    <row r="1125" spans="1:35">
      <c r="A1125" s="1">
        <v>42274</v>
      </c>
      <c r="B1125" s="1">
        <v>37495</v>
      </c>
      <c r="C1125" t="s">
        <v>5463</v>
      </c>
      <c r="D1125">
        <v>328</v>
      </c>
      <c r="E1125">
        <v>15321</v>
      </c>
      <c r="F1125">
        <v>4</v>
      </c>
      <c r="G1125">
        <v>1</v>
      </c>
      <c r="H1125">
        <v>1</v>
      </c>
      <c r="I1125">
        <v>2</v>
      </c>
      <c r="J1125" t="s">
        <v>3503</v>
      </c>
      <c r="K1125" t="s">
        <v>3504</v>
      </c>
      <c r="L1125" s="2">
        <v>413.1463</v>
      </c>
      <c r="M1125" s="2">
        <v>699.09820000000002</v>
      </c>
      <c r="N1125" t="s">
        <v>13</v>
      </c>
      <c r="O1125" t="s">
        <v>165</v>
      </c>
      <c r="P1125" t="s">
        <v>177</v>
      </c>
      <c r="Q1125" t="s">
        <v>7454</v>
      </c>
      <c r="R1125" s="1">
        <v>17291</v>
      </c>
      <c r="S1125" t="s">
        <v>16</v>
      </c>
      <c r="T1125" t="s">
        <v>16</v>
      </c>
      <c r="U1125" t="s">
        <v>1931</v>
      </c>
      <c r="V1125">
        <v>80000</v>
      </c>
      <c r="W1125">
        <v>5</v>
      </c>
      <c r="X1125" t="s">
        <v>17</v>
      </c>
      <c r="Y1125" t="s">
        <v>45</v>
      </c>
      <c r="Z1125" t="s">
        <v>19</v>
      </c>
      <c r="AA1125" t="s">
        <v>3580</v>
      </c>
      <c r="AB1125" t="s">
        <v>3578</v>
      </c>
      <c r="AC1125" t="s">
        <v>3579</v>
      </c>
      <c r="AD1125" t="s">
        <v>3479</v>
      </c>
      <c r="AE1125" t="s">
        <v>3475</v>
      </c>
      <c r="AF1125" s="2">
        <v>699.09820000000002</v>
      </c>
      <c r="AG1125" s="2">
        <v>413.1463</v>
      </c>
      <c r="AH1125" s="2">
        <v>285.95190000000002</v>
      </c>
      <c r="AI1125" s="3">
        <v>0.409029661355157</v>
      </c>
    </row>
    <row r="1126" spans="1:35">
      <c r="A1126" s="1">
        <v>42266</v>
      </c>
      <c r="B1126" s="1">
        <v>37405</v>
      </c>
      <c r="C1126" t="s">
        <v>5409</v>
      </c>
      <c r="D1126">
        <v>326</v>
      </c>
      <c r="E1126">
        <v>15322</v>
      </c>
      <c r="F1126">
        <v>1</v>
      </c>
      <c r="G1126">
        <v>1</v>
      </c>
      <c r="H1126">
        <v>1</v>
      </c>
      <c r="I1126">
        <v>2</v>
      </c>
      <c r="J1126" t="s">
        <v>3501</v>
      </c>
      <c r="K1126" t="s">
        <v>3502</v>
      </c>
      <c r="L1126" s="2">
        <v>413.1463</v>
      </c>
      <c r="M1126" s="2">
        <v>699.09820000000002</v>
      </c>
      <c r="N1126" t="s">
        <v>13</v>
      </c>
      <c r="O1126" t="s">
        <v>228</v>
      </c>
      <c r="P1126" t="s">
        <v>598</v>
      </c>
      <c r="Q1126" t="s">
        <v>7455</v>
      </c>
      <c r="R1126" s="1">
        <v>17389</v>
      </c>
      <c r="S1126" t="s">
        <v>16</v>
      </c>
      <c r="T1126" t="s">
        <v>16</v>
      </c>
      <c r="U1126" t="s">
        <v>1932</v>
      </c>
      <c r="V1126">
        <v>80000</v>
      </c>
      <c r="W1126">
        <v>5</v>
      </c>
      <c r="X1126" t="s">
        <v>17</v>
      </c>
      <c r="Y1126" t="s">
        <v>45</v>
      </c>
      <c r="Z1126" t="s">
        <v>19</v>
      </c>
      <c r="AA1126" t="s">
        <v>3577</v>
      </c>
      <c r="AB1126" t="s">
        <v>3578</v>
      </c>
      <c r="AC1126" t="s">
        <v>3579</v>
      </c>
      <c r="AD1126" t="s">
        <v>3479</v>
      </c>
      <c r="AE1126" t="s">
        <v>3475</v>
      </c>
      <c r="AF1126" s="2">
        <v>699.09820000000002</v>
      </c>
      <c r="AG1126" s="2">
        <v>413.1463</v>
      </c>
      <c r="AH1126" s="2">
        <v>285.95190000000002</v>
      </c>
      <c r="AI1126" s="3">
        <v>0.409029661355157</v>
      </c>
    </row>
    <row r="1127" spans="1:35">
      <c r="A1127" s="1">
        <v>42259</v>
      </c>
      <c r="B1127" s="1">
        <v>37411</v>
      </c>
      <c r="C1127" t="s">
        <v>5356</v>
      </c>
      <c r="D1127">
        <v>338</v>
      </c>
      <c r="E1127">
        <v>15325</v>
      </c>
      <c r="F1127">
        <v>1</v>
      </c>
      <c r="G1127">
        <v>1</v>
      </c>
      <c r="H1127">
        <v>1</v>
      </c>
      <c r="I1127">
        <v>2</v>
      </c>
      <c r="J1127" t="s">
        <v>3513</v>
      </c>
      <c r="K1127" t="s">
        <v>3514</v>
      </c>
      <c r="L1127" s="2">
        <v>413.1463</v>
      </c>
      <c r="M1127" s="2">
        <v>699.09820000000002</v>
      </c>
      <c r="N1127" t="s">
        <v>13</v>
      </c>
      <c r="O1127" t="s">
        <v>435</v>
      </c>
      <c r="P1127" t="s">
        <v>505</v>
      </c>
      <c r="Q1127" t="s">
        <v>7456</v>
      </c>
      <c r="R1127" s="1">
        <v>17673</v>
      </c>
      <c r="S1127" t="s">
        <v>16</v>
      </c>
      <c r="T1127" t="s">
        <v>16</v>
      </c>
      <c r="U1127" t="s">
        <v>1933</v>
      </c>
      <c r="V1127">
        <v>60000</v>
      </c>
      <c r="W1127">
        <v>2</v>
      </c>
      <c r="X1127" t="s">
        <v>52</v>
      </c>
      <c r="Y1127" t="s">
        <v>18</v>
      </c>
      <c r="Z1127" t="s">
        <v>19</v>
      </c>
      <c r="AA1127" t="s">
        <v>3577</v>
      </c>
      <c r="AB1127" t="s">
        <v>3578</v>
      </c>
      <c r="AC1127" t="s">
        <v>3579</v>
      </c>
      <c r="AD1127" t="s">
        <v>3479</v>
      </c>
      <c r="AE1127" t="s">
        <v>3475</v>
      </c>
      <c r="AF1127" s="2">
        <v>699.09820000000002</v>
      </c>
      <c r="AG1127" s="2">
        <v>413.1463</v>
      </c>
      <c r="AH1127" s="2">
        <v>285.95190000000002</v>
      </c>
      <c r="AI1127" s="3">
        <v>0.409029661355157</v>
      </c>
    </row>
    <row r="1128" spans="1:35">
      <c r="A1128" s="1">
        <v>42263</v>
      </c>
      <c r="B1128" s="1">
        <v>37460</v>
      </c>
      <c r="C1128" t="s">
        <v>5388</v>
      </c>
      <c r="D1128">
        <v>320</v>
      </c>
      <c r="E1128">
        <v>15328</v>
      </c>
      <c r="F1128">
        <v>4</v>
      </c>
      <c r="G1128">
        <v>1</v>
      </c>
      <c r="H1128">
        <v>1</v>
      </c>
      <c r="I1128">
        <v>2</v>
      </c>
      <c r="J1128" t="s">
        <v>3495</v>
      </c>
      <c r="K1128" t="s">
        <v>3496</v>
      </c>
      <c r="L1128" s="2">
        <v>413.1463</v>
      </c>
      <c r="M1128" s="2">
        <v>699.09820000000002</v>
      </c>
      <c r="N1128" t="s">
        <v>13</v>
      </c>
      <c r="O1128" t="s">
        <v>414</v>
      </c>
      <c r="P1128" t="s">
        <v>393</v>
      </c>
      <c r="Q1128" t="s">
        <v>7457</v>
      </c>
      <c r="R1128" s="1">
        <v>17859</v>
      </c>
      <c r="S1128" t="s">
        <v>16</v>
      </c>
      <c r="T1128" t="s">
        <v>16</v>
      </c>
      <c r="U1128" t="s">
        <v>1934</v>
      </c>
      <c r="V1128">
        <v>70000</v>
      </c>
      <c r="W1128">
        <v>4</v>
      </c>
      <c r="X1128" t="s">
        <v>17</v>
      </c>
      <c r="Y1128" t="s">
        <v>45</v>
      </c>
      <c r="Z1128" t="s">
        <v>19</v>
      </c>
      <c r="AA1128" t="s">
        <v>3580</v>
      </c>
      <c r="AB1128" t="s">
        <v>3578</v>
      </c>
      <c r="AC1128" t="s">
        <v>3579</v>
      </c>
      <c r="AD1128" t="s">
        <v>3479</v>
      </c>
      <c r="AE1128" t="s">
        <v>3475</v>
      </c>
      <c r="AF1128" s="2">
        <v>699.09820000000002</v>
      </c>
      <c r="AG1128" s="2">
        <v>413.1463</v>
      </c>
      <c r="AH1128" s="2">
        <v>285.95190000000002</v>
      </c>
      <c r="AI1128" s="3">
        <v>0.409029661355157</v>
      </c>
    </row>
    <row r="1129" spans="1:35">
      <c r="A1129" s="1">
        <v>42271</v>
      </c>
      <c r="B1129" s="1">
        <v>37493</v>
      </c>
      <c r="C1129" t="s">
        <v>5440</v>
      </c>
      <c r="D1129">
        <v>342</v>
      </c>
      <c r="E1129">
        <v>15329</v>
      </c>
      <c r="F1129">
        <v>4</v>
      </c>
      <c r="G1129">
        <v>1</v>
      </c>
      <c r="H1129">
        <v>1</v>
      </c>
      <c r="I1129">
        <v>2</v>
      </c>
      <c r="J1129" t="s">
        <v>3517</v>
      </c>
      <c r="K1129" t="s">
        <v>3518</v>
      </c>
      <c r="L1129" s="2">
        <v>413.1463</v>
      </c>
      <c r="M1129" s="2">
        <v>699.09820000000002</v>
      </c>
      <c r="N1129" t="s">
        <v>30</v>
      </c>
      <c r="O1129" t="s">
        <v>251</v>
      </c>
      <c r="P1129" t="s">
        <v>175</v>
      </c>
      <c r="Q1129" t="s">
        <v>7458</v>
      </c>
      <c r="R1129" s="1">
        <v>17825</v>
      </c>
      <c r="S1129" t="s">
        <v>22</v>
      </c>
      <c r="T1129" t="s">
        <v>29</v>
      </c>
      <c r="U1129" t="s">
        <v>1935</v>
      </c>
      <c r="V1129">
        <v>70000</v>
      </c>
      <c r="W1129">
        <v>4</v>
      </c>
      <c r="X1129" t="s">
        <v>17</v>
      </c>
      <c r="Y1129" t="s">
        <v>45</v>
      </c>
      <c r="Z1129" t="s">
        <v>19</v>
      </c>
      <c r="AA1129" t="s">
        <v>3580</v>
      </c>
      <c r="AB1129" t="s">
        <v>3578</v>
      </c>
      <c r="AC1129" t="s">
        <v>3579</v>
      </c>
      <c r="AD1129" t="s">
        <v>3479</v>
      </c>
      <c r="AE1129" t="s">
        <v>3475</v>
      </c>
      <c r="AF1129" s="2">
        <v>699.09820000000002</v>
      </c>
      <c r="AG1129" s="2">
        <v>413.1463</v>
      </c>
      <c r="AH1129" s="2">
        <v>285.95190000000002</v>
      </c>
      <c r="AI1129" s="3">
        <v>0.409029661355157</v>
      </c>
    </row>
    <row r="1130" spans="1:35">
      <c r="A1130" s="1">
        <v>42278</v>
      </c>
      <c r="B1130" s="1">
        <v>37508</v>
      </c>
      <c r="C1130" t="s">
        <v>5490</v>
      </c>
      <c r="D1130">
        <v>332</v>
      </c>
      <c r="E1130">
        <v>15333</v>
      </c>
      <c r="F1130">
        <v>4</v>
      </c>
      <c r="G1130">
        <v>1</v>
      </c>
      <c r="H1130">
        <v>1</v>
      </c>
      <c r="I1130">
        <v>2</v>
      </c>
      <c r="J1130" t="s">
        <v>3507</v>
      </c>
      <c r="K1130" t="s">
        <v>3508</v>
      </c>
      <c r="L1130" s="2">
        <v>413.1463</v>
      </c>
      <c r="M1130" s="2">
        <v>699.09820000000002</v>
      </c>
      <c r="N1130" t="s">
        <v>30</v>
      </c>
      <c r="O1130" t="s">
        <v>1127</v>
      </c>
      <c r="P1130" t="s">
        <v>136</v>
      </c>
      <c r="Q1130" t="s">
        <v>7459</v>
      </c>
      <c r="R1130" s="1">
        <v>18207</v>
      </c>
      <c r="S1130" t="s">
        <v>16</v>
      </c>
      <c r="T1130" t="s">
        <v>29</v>
      </c>
      <c r="U1130" t="s">
        <v>1936</v>
      </c>
      <c r="V1130">
        <v>60000</v>
      </c>
      <c r="W1130">
        <v>2</v>
      </c>
      <c r="X1130" t="s">
        <v>17</v>
      </c>
      <c r="Y1130" t="s">
        <v>45</v>
      </c>
      <c r="Z1130" t="s">
        <v>19</v>
      </c>
      <c r="AA1130" t="s">
        <v>3580</v>
      </c>
      <c r="AB1130" t="s">
        <v>3578</v>
      </c>
      <c r="AC1130" t="s">
        <v>3579</v>
      </c>
      <c r="AD1130" t="s">
        <v>3479</v>
      </c>
      <c r="AE1130" t="s">
        <v>3475</v>
      </c>
      <c r="AF1130" s="2">
        <v>699.09820000000002</v>
      </c>
      <c r="AG1130" s="2">
        <v>413.1463</v>
      </c>
      <c r="AH1130" s="2">
        <v>285.95190000000002</v>
      </c>
      <c r="AI1130" s="3">
        <v>0.409029661355157</v>
      </c>
    </row>
    <row r="1131" spans="1:35">
      <c r="A1131" s="1">
        <v>42279</v>
      </c>
      <c r="B1131" s="1">
        <v>37484</v>
      </c>
      <c r="C1131" t="s">
        <v>5498</v>
      </c>
      <c r="D1131">
        <v>324</v>
      </c>
      <c r="E1131">
        <v>15337</v>
      </c>
      <c r="F1131">
        <v>4</v>
      </c>
      <c r="G1131">
        <v>1</v>
      </c>
      <c r="H1131">
        <v>1</v>
      </c>
      <c r="I1131">
        <v>2</v>
      </c>
      <c r="J1131" t="s">
        <v>3499</v>
      </c>
      <c r="K1131" t="s">
        <v>3500</v>
      </c>
      <c r="L1131" s="2">
        <v>413.1463</v>
      </c>
      <c r="M1131" s="2">
        <v>699.09820000000002</v>
      </c>
      <c r="N1131" t="s">
        <v>30</v>
      </c>
      <c r="O1131" t="s">
        <v>1218</v>
      </c>
      <c r="P1131" t="s">
        <v>422</v>
      </c>
      <c r="Q1131" t="s">
        <v>7460</v>
      </c>
      <c r="R1131" s="1">
        <v>18411</v>
      </c>
      <c r="S1131" t="s">
        <v>16</v>
      </c>
      <c r="T1131" t="s">
        <v>29</v>
      </c>
      <c r="U1131" t="s">
        <v>1937</v>
      </c>
      <c r="V1131">
        <v>60000</v>
      </c>
      <c r="W1131">
        <v>2</v>
      </c>
      <c r="X1131" t="s">
        <v>52</v>
      </c>
      <c r="Y1131" t="s">
        <v>18</v>
      </c>
      <c r="Z1131" t="s">
        <v>19</v>
      </c>
      <c r="AA1131" t="s">
        <v>3580</v>
      </c>
      <c r="AB1131" t="s">
        <v>3578</v>
      </c>
      <c r="AC1131" t="s">
        <v>3579</v>
      </c>
      <c r="AD1131" t="s">
        <v>3479</v>
      </c>
      <c r="AE1131" t="s">
        <v>3475</v>
      </c>
      <c r="AF1131" s="2">
        <v>699.09820000000002</v>
      </c>
      <c r="AG1131" s="2">
        <v>413.1463</v>
      </c>
      <c r="AH1131" s="2">
        <v>285.95190000000002</v>
      </c>
      <c r="AI1131" s="3">
        <v>0.409029661355157</v>
      </c>
    </row>
    <row r="1132" spans="1:35">
      <c r="A1132" s="1">
        <v>42293</v>
      </c>
      <c r="B1132" s="1">
        <v>37490</v>
      </c>
      <c r="C1132" t="s">
        <v>5590</v>
      </c>
      <c r="D1132">
        <v>322</v>
      </c>
      <c r="E1132">
        <v>15338</v>
      </c>
      <c r="F1132">
        <v>4</v>
      </c>
      <c r="G1132">
        <v>1</v>
      </c>
      <c r="H1132">
        <v>1</v>
      </c>
      <c r="I1132">
        <v>2</v>
      </c>
      <c r="J1132" t="s">
        <v>3497</v>
      </c>
      <c r="K1132" t="s">
        <v>3498</v>
      </c>
      <c r="L1132" s="2">
        <v>413.1463</v>
      </c>
      <c r="M1132" s="2">
        <v>699.09820000000002</v>
      </c>
      <c r="N1132" t="s">
        <v>30</v>
      </c>
      <c r="O1132" t="s">
        <v>1127</v>
      </c>
      <c r="P1132" t="s">
        <v>153</v>
      </c>
      <c r="Q1132" t="s">
        <v>7461</v>
      </c>
      <c r="R1132" s="1">
        <v>18445</v>
      </c>
      <c r="S1132" t="s">
        <v>16</v>
      </c>
      <c r="T1132" t="s">
        <v>29</v>
      </c>
      <c r="U1132" t="s">
        <v>1938</v>
      </c>
      <c r="V1132">
        <v>60000</v>
      </c>
      <c r="W1132">
        <v>2</v>
      </c>
      <c r="X1132" t="s">
        <v>52</v>
      </c>
      <c r="Y1132" t="s">
        <v>18</v>
      </c>
      <c r="Z1132" t="s">
        <v>19</v>
      </c>
      <c r="AA1132" t="s">
        <v>3580</v>
      </c>
      <c r="AB1132" t="s">
        <v>3578</v>
      </c>
      <c r="AC1132" t="s">
        <v>3579</v>
      </c>
      <c r="AD1132" t="s">
        <v>3479</v>
      </c>
      <c r="AE1132" t="s">
        <v>3475</v>
      </c>
      <c r="AF1132" s="2">
        <v>699.09820000000002</v>
      </c>
      <c r="AG1132" s="2">
        <v>413.1463</v>
      </c>
      <c r="AH1132" s="2">
        <v>285.95190000000002</v>
      </c>
      <c r="AI1132" s="3">
        <v>0.409029661355157</v>
      </c>
    </row>
    <row r="1133" spans="1:35">
      <c r="A1133" s="1">
        <v>42293</v>
      </c>
      <c r="B1133" s="1">
        <v>37507</v>
      </c>
      <c r="C1133" t="s">
        <v>5592</v>
      </c>
      <c r="D1133">
        <v>332</v>
      </c>
      <c r="E1133">
        <v>15339</v>
      </c>
      <c r="F1133">
        <v>4</v>
      </c>
      <c r="G1133">
        <v>1</v>
      </c>
      <c r="H1133">
        <v>1</v>
      </c>
      <c r="I1133">
        <v>2</v>
      </c>
      <c r="J1133" t="s">
        <v>3507</v>
      </c>
      <c r="K1133" t="s">
        <v>3508</v>
      </c>
      <c r="L1133" s="2">
        <v>413.1463</v>
      </c>
      <c r="M1133" s="2">
        <v>699.09820000000002</v>
      </c>
      <c r="N1133" t="s">
        <v>13</v>
      </c>
      <c r="O1133" t="s">
        <v>141</v>
      </c>
      <c r="P1133" t="s">
        <v>68</v>
      </c>
      <c r="Q1133" t="s">
        <v>7462</v>
      </c>
      <c r="R1133" s="1">
        <v>18445</v>
      </c>
      <c r="S1133" t="s">
        <v>16</v>
      </c>
      <c r="T1133" t="s">
        <v>16</v>
      </c>
      <c r="U1133" t="s">
        <v>1939</v>
      </c>
      <c r="V1133">
        <v>60000</v>
      </c>
      <c r="W1133">
        <v>2</v>
      </c>
      <c r="X1133" t="s">
        <v>52</v>
      </c>
      <c r="Y1133" t="s">
        <v>18</v>
      </c>
      <c r="Z1133" t="s">
        <v>19</v>
      </c>
      <c r="AA1133" t="s">
        <v>3580</v>
      </c>
      <c r="AB1133" t="s">
        <v>3578</v>
      </c>
      <c r="AC1133" t="s">
        <v>3579</v>
      </c>
      <c r="AD1133" t="s">
        <v>3479</v>
      </c>
      <c r="AE1133" t="s">
        <v>3475</v>
      </c>
      <c r="AF1133" s="2">
        <v>699.09820000000002</v>
      </c>
      <c r="AG1133" s="2">
        <v>413.1463</v>
      </c>
      <c r="AH1133" s="2">
        <v>285.95190000000002</v>
      </c>
      <c r="AI1133" s="3">
        <v>0.409029661355157</v>
      </c>
    </row>
    <row r="1134" spans="1:35">
      <c r="A1134" s="1">
        <v>42295</v>
      </c>
      <c r="B1134" s="1">
        <v>37483</v>
      </c>
      <c r="C1134" t="s">
        <v>5604</v>
      </c>
      <c r="D1134">
        <v>320</v>
      </c>
      <c r="E1134">
        <v>15341</v>
      </c>
      <c r="F1134">
        <v>4</v>
      </c>
      <c r="G1134">
        <v>1</v>
      </c>
      <c r="H1134">
        <v>1</v>
      </c>
      <c r="I1134">
        <v>2</v>
      </c>
      <c r="J1134" t="s">
        <v>3495</v>
      </c>
      <c r="K1134" t="s">
        <v>3496</v>
      </c>
      <c r="L1134" s="2">
        <v>413.1463</v>
      </c>
      <c r="M1134" s="2">
        <v>699.09820000000002</v>
      </c>
      <c r="N1134" t="s">
        <v>30</v>
      </c>
      <c r="O1134" t="s">
        <v>475</v>
      </c>
      <c r="P1134" t="s">
        <v>226</v>
      </c>
      <c r="Q1134" t="s">
        <v>7463</v>
      </c>
      <c r="R1134" s="1">
        <v>18944</v>
      </c>
      <c r="S1134" t="s">
        <v>16</v>
      </c>
      <c r="T1134" t="s">
        <v>29</v>
      </c>
      <c r="U1134" t="s">
        <v>1940</v>
      </c>
      <c r="V1134">
        <v>60000</v>
      </c>
      <c r="W1134">
        <v>2</v>
      </c>
      <c r="X1134" t="s">
        <v>52</v>
      </c>
      <c r="Y1134" t="s">
        <v>18</v>
      </c>
      <c r="Z1134" t="s">
        <v>19</v>
      </c>
      <c r="AA1134" t="s">
        <v>3580</v>
      </c>
      <c r="AB1134" t="s">
        <v>3578</v>
      </c>
      <c r="AC1134" t="s">
        <v>3579</v>
      </c>
      <c r="AD1134" t="s">
        <v>3479</v>
      </c>
      <c r="AE1134" t="s">
        <v>3475</v>
      </c>
      <c r="AF1134" s="2">
        <v>699.09820000000002</v>
      </c>
      <c r="AG1134" s="2">
        <v>413.1463</v>
      </c>
      <c r="AH1134" s="2">
        <v>285.95190000000002</v>
      </c>
      <c r="AI1134" s="3">
        <v>0.409029661355157</v>
      </c>
    </row>
    <row r="1135" spans="1:35">
      <c r="A1135" s="1">
        <v>42294</v>
      </c>
      <c r="B1135" s="1">
        <v>37451</v>
      </c>
      <c r="C1135" t="s">
        <v>5596</v>
      </c>
      <c r="D1135">
        <v>322</v>
      </c>
      <c r="E1135">
        <v>15342</v>
      </c>
      <c r="F1135">
        <v>4</v>
      </c>
      <c r="G1135">
        <v>1</v>
      </c>
      <c r="H1135">
        <v>1</v>
      </c>
      <c r="I1135">
        <v>2</v>
      </c>
      <c r="J1135" t="s">
        <v>3497</v>
      </c>
      <c r="K1135" t="s">
        <v>3498</v>
      </c>
      <c r="L1135" s="2">
        <v>413.1463</v>
      </c>
      <c r="M1135" s="2">
        <v>699.09820000000002</v>
      </c>
      <c r="N1135" t="s">
        <v>30</v>
      </c>
      <c r="O1135" t="s">
        <v>137</v>
      </c>
      <c r="P1135" t="s">
        <v>155</v>
      </c>
      <c r="Q1135" t="s">
        <v>7464</v>
      </c>
      <c r="R1135" s="1">
        <v>18739</v>
      </c>
      <c r="S1135" t="s">
        <v>16</v>
      </c>
      <c r="T1135" t="s">
        <v>29</v>
      </c>
      <c r="U1135" t="s">
        <v>1941</v>
      </c>
      <c r="V1135">
        <v>60000</v>
      </c>
      <c r="W1135">
        <v>2</v>
      </c>
      <c r="X1135" t="s">
        <v>52</v>
      </c>
      <c r="Y1135" t="s">
        <v>18</v>
      </c>
      <c r="Z1135" t="s">
        <v>19</v>
      </c>
      <c r="AA1135" t="s">
        <v>3580</v>
      </c>
      <c r="AB1135" t="s">
        <v>3578</v>
      </c>
      <c r="AC1135" t="s">
        <v>3579</v>
      </c>
      <c r="AD1135" t="s">
        <v>3479</v>
      </c>
      <c r="AE1135" t="s">
        <v>3475</v>
      </c>
      <c r="AF1135" s="2">
        <v>699.09820000000002</v>
      </c>
      <c r="AG1135" s="2">
        <v>413.1463</v>
      </c>
      <c r="AH1135" s="2">
        <v>285.95190000000002</v>
      </c>
      <c r="AI1135" s="3">
        <v>0.409029661355157</v>
      </c>
    </row>
    <row r="1136" spans="1:35">
      <c r="A1136" s="1">
        <v>42279</v>
      </c>
      <c r="B1136" s="1">
        <v>37480</v>
      </c>
      <c r="C1136" t="s">
        <v>5494</v>
      </c>
      <c r="D1136">
        <v>336</v>
      </c>
      <c r="E1136">
        <v>15343</v>
      </c>
      <c r="F1136">
        <v>4</v>
      </c>
      <c r="G1136">
        <v>1</v>
      </c>
      <c r="H1136">
        <v>1</v>
      </c>
      <c r="I1136">
        <v>2</v>
      </c>
      <c r="J1136" t="s">
        <v>3511</v>
      </c>
      <c r="K1136" t="s">
        <v>3512</v>
      </c>
      <c r="L1136" s="2">
        <v>413.1463</v>
      </c>
      <c r="M1136" s="2">
        <v>699.09820000000002</v>
      </c>
      <c r="N1136" t="s">
        <v>13</v>
      </c>
      <c r="O1136" t="s">
        <v>236</v>
      </c>
      <c r="P1136" t="s">
        <v>291</v>
      </c>
      <c r="Q1136" t="s">
        <v>7465</v>
      </c>
      <c r="R1136" s="1">
        <v>18878</v>
      </c>
      <c r="S1136" t="s">
        <v>16</v>
      </c>
      <c r="T1136" t="s">
        <v>16</v>
      </c>
      <c r="U1136" t="s">
        <v>1942</v>
      </c>
      <c r="V1136">
        <v>60000</v>
      </c>
      <c r="W1136">
        <v>2</v>
      </c>
      <c r="X1136" t="s">
        <v>52</v>
      </c>
      <c r="Y1136" t="s">
        <v>18</v>
      </c>
      <c r="Z1136" t="s">
        <v>19</v>
      </c>
      <c r="AA1136" t="s">
        <v>3580</v>
      </c>
      <c r="AB1136" t="s">
        <v>3578</v>
      </c>
      <c r="AC1136" t="s">
        <v>3579</v>
      </c>
      <c r="AD1136" t="s">
        <v>3479</v>
      </c>
      <c r="AE1136" t="s">
        <v>3475</v>
      </c>
      <c r="AF1136" s="2">
        <v>699.09820000000002</v>
      </c>
      <c r="AG1136" s="2">
        <v>413.1463</v>
      </c>
      <c r="AH1136" s="2">
        <v>285.95190000000002</v>
      </c>
      <c r="AI1136" s="3">
        <v>0.409029661355157</v>
      </c>
    </row>
    <row r="1137" spans="1:35">
      <c r="A1137" s="1">
        <v>42284</v>
      </c>
      <c r="B1137" s="1">
        <v>37465</v>
      </c>
      <c r="C1137" t="s">
        <v>5523</v>
      </c>
      <c r="D1137">
        <v>324</v>
      </c>
      <c r="E1137">
        <v>15345</v>
      </c>
      <c r="F1137">
        <v>4</v>
      </c>
      <c r="G1137">
        <v>1</v>
      </c>
      <c r="H1137">
        <v>1</v>
      </c>
      <c r="I1137">
        <v>2</v>
      </c>
      <c r="J1137" t="s">
        <v>3499</v>
      </c>
      <c r="K1137" t="s">
        <v>3500</v>
      </c>
      <c r="L1137" s="2">
        <v>413.1463</v>
      </c>
      <c r="M1137" s="2">
        <v>699.09820000000002</v>
      </c>
      <c r="N1137" t="s">
        <v>30</v>
      </c>
      <c r="O1137" t="s">
        <v>289</v>
      </c>
      <c r="P1137" t="s">
        <v>329</v>
      </c>
      <c r="Q1137" t="s">
        <v>7466</v>
      </c>
      <c r="R1137" s="1">
        <v>18764</v>
      </c>
      <c r="S1137" t="s">
        <v>16</v>
      </c>
      <c r="T1137" t="s">
        <v>29</v>
      </c>
      <c r="U1137" t="s">
        <v>1943</v>
      </c>
      <c r="V1137">
        <v>70000</v>
      </c>
      <c r="W1137">
        <v>4</v>
      </c>
      <c r="X1137" t="s">
        <v>52</v>
      </c>
      <c r="Y1137" t="s">
        <v>18</v>
      </c>
      <c r="Z1137" t="s">
        <v>23</v>
      </c>
      <c r="AA1137" t="s">
        <v>3580</v>
      </c>
      <c r="AB1137" t="s">
        <v>3578</v>
      </c>
      <c r="AC1137" t="s">
        <v>3579</v>
      </c>
      <c r="AD1137" t="s">
        <v>3479</v>
      </c>
      <c r="AE1137" t="s">
        <v>3475</v>
      </c>
      <c r="AF1137" s="2">
        <v>699.09820000000002</v>
      </c>
      <c r="AG1137" s="2">
        <v>413.1463</v>
      </c>
      <c r="AH1137" s="2">
        <v>285.95190000000002</v>
      </c>
      <c r="AI1137" s="3">
        <v>0.409029661355157</v>
      </c>
    </row>
    <row r="1138" spans="1:35">
      <c r="A1138" s="1">
        <v>42284</v>
      </c>
      <c r="B1138" s="1">
        <v>37518</v>
      </c>
      <c r="C1138" t="s">
        <v>5526</v>
      </c>
      <c r="D1138">
        <v>332</v>
      </c>
      <c r="E1138">
        <v>15346</v>
      </c>
      <c r="F1138">
        <v>4</v>
      </c>
      <c r="G1138">
        <v>1</v>
      </c>
      <c r="H1138">
        <v>1</v>
      </c>
      <c r="I1138">
        <v>2</v>
      </c>
      <c r="J1138" t="s">
        <v>3507</v>
      </c>
      <c r="K1138" t="s">
        <v>3508</v>
      </c>
      <c r="L1138" s="2">
        <v>413.1463</v>
      </c>
      <c r="M1138" s="2">
        <v>699.09820000000002</v>
      </c>
      <c r="N1138" t="s">
        <v>13</v>
      </c>
      <c r="O1138" t="s">
        <v>327</v>
      </c>
      <c r="P1138" t="s">
        <v>293</v>
      </c>
      <c r="Q1138" t="s">
        <v>7467</v>
      </c>
      <c r="R1138" s="1">
        <v>18701</v>
      </c>
      <c r="S1138" t="s">
        <v>22</v>
      </c>
      <c r="T1138" t="s">
        <v>16</v>
      </c>
      <c r="U1138" t="s">
        <v>1944</v>
      </c>
      <c r="V1138">
        <v>70000</v>
      </c>
      <c r="W1138">
        <v>4</v>
      </c>
      <c r="X1138" t="s">
        <v>52</v>
      </c>
      <c r="Y1138" t="s">
        <v>18</v>
      </c>
      <c r="Z1138" t="s">
        <v>19</v>
      </c>
      <c r="AA1138" t="s">
        <v>3580</v>
      </c>
      <c r="AB1138" t="s">
        <v>3578</v>
      </c>
      <c r="AC1138" t="s">
        <v>3579</v>
      </c>
      <c r="AD1138" t="s">
        <v>3479</v>
      </c>
      <c r="AE1138" t="s">
        <v>3475</v>
      </c>
      <c r="AF1138" s="2">
        <v>699.09820000000002</v>
      </c>
      <c r="AG1138" s="2">
        <v>413.1463</v>
      </c>
      <c r="AH1138" s="2">
        <v>285.95190000000002</v>
      </c>
      <c r="AI1138" s="3">
        <v>0.409029661355157</v>
      </c>
    </row>
    <row r="1139" spans="1:35">
      <c r="A1139" s="1">
        <v>42299</v>
      </c>
      <c r="B1139" s="1">
        <v>37500</v>
      </c>
      <c r="C1139" t="s">
        <v>5636</v>
      </c>
      <c r="D1139">
        <v>332</v>
      </c>
      <c r="E1139">
        <v>15347</v>
      </c>
      <c r="F1139">
        <v>4</v>
      </c>
      <c r="G1139">
        <v>1</v>
      </c>
      <c r="H1139">
        <v>1</v>
      </c>
      <c r="I1139">
        <v>2</v>
      </c>
      <c r="J1139" t="s">
        <v>3507</v>
      </c>
      <c r="K1139" t="s">
        <v>3508</v>
      </c>
      <c r="L1139" s="2">
        <v>413.1463</v>
      </c>
      <c r="M1139" s="2">
        <v>699.09820000000002</v>
      </c>
      <c r="N1139" t="s">
        <v>30</v>
      </c>
      <c r="O1139" t="s">
        <v>128</v>
      </c>
      <c r="P1139" t="s">
        <v>779</v>
      </c>
      <c r="Q1139" t="s">
        <v>7468</v>
      </c>
      <c r="R1139" s="1">
        <v>19172</v>
      </c>
      <c r="S1139" t="s">
        <v>16</v>
      </c>
      <c r="T1139" t="s">
        <v>29</v>
      </c>
      <c r="U1139" t="s">
        <v>1945</v>
      </c>
      <c r="V1139">
        <v>60000</v>
      </c>
      <c r="W1139">
        <v>3</v>
      </c>
      <c r="X1139" t="s">
        <v>57</v>
      </c>
      <c r="Y1139" t="s">
        <v>18</v>
      </c>
      <c r="Z1139" t="s">
        <v>19</v>
      </c>
      <c r="AA1139" t="s">
        <v>3580</v>
      </c>
      <c r="AB1139" t="s">
        <v>3578</v>
      </c>
      <c r="AC1139" t="s">
        <v>3579</v>
      </c>
      <c r="AD1139" t="s">
        <v>3479</v>
      </c>
      <c r="AE1139" t="s">
        <v>3475</v>
      </c>
      <c r="AF1139" s="2">
        <v>699.09820000000002</v>
      </c>
      <c r="AG1139" s="2">
        <v>413.1463</v>
      </c>
      <c r="AH1139" s="2">
        <v>285.95190000000002</v>
      </c>
      <c r="AI1139" s="3">
        <v>0.409029661355157</v>
      </c>
    </row>
    <row r="1140" spans="1:35">
      <c r="A1140" s="1">
        <v>42289</v>
      </c>
      <c r="B1140" s="1">
        <v>37520</v>
      </c>
      <c r="C1140" t="s">
        <v>5555</v>
      </c>
      <c r="D1140">
        <v>340</v>
      </c>
      <c r="E1140">
        <v>15348</v>
      </c>
      <c r="F1140">
        <v>1</v>
      </c>
      <c r="G1140">
        <v>1</v>
      </c>
      <c r="H1140">
        <v>1</v>
      </c>
      <c r="I1140">
        <v>2</v>
      </c>
      <c r="J1140" t="s">
        <v>3515</v>
      </c>
      <c r="K1140" t="s">
        <v>3516</v>
      </c>
      <c r="L1140" s="2">
        <v>413.1463</v>
      </c>
      <c r="M1140" s="2">
        <v>699.09820000000002</v>
      </c>
      <c r="N1140" t="s">
        <v>13</v>
      </c>
      <c r="O1140" t="s">
        <v>705</v>
      </c>
      <c r="P1140" t="s">
        <v>107</v>
      </c>
      <c r="Q1140" t="s">
        <v>7469</v>
      </c>
      <c r="R1140" s="1">
        <v>19317</v>
      </c>
      <c r="S1140" t="s">
        <v>22</v>
      </c>
      <c r="T1140" t="s">
        <v>16</v>
      </c>
      <c r="U1140" t="s">
        <v>1946</v>
      </c>
      <c r="V1140">
        <v>70000</v>
      </c>
      <c r="W1140">
        <v>4</v>
      </c>
      <c r="X1140" t="s">
        <v>52</v>
      </c>
      <c r="Y1140" t="s">
        <v>18</v>
      </c>
      <c r="Z1140" t="s">
        <v>19</v>
      </c>
      <c r="AA1140" t="s">
        <v>3577</v>
      </c>
      <c r="AB1140" t="s">
        <v>3578</v>
      </c>
      <c r="AC1140" t="s">
        <v>3579</v>
      </c>
      <c r="AD1140" t="s">
        <v>3479</v>
      </c>
      <c r="AE1140" t="s">
        <v>3475</v>
      </c>
      <c r="AF1140" s="2">
        <v>699.09820000000002</v>
      </c>
      <c r="AG1140" s="2">
        <v>413.1463</v>
      </c>
      <c r="AH1140" s="2">
        <v>285.95190000000002</v>
      </c>
      <c r="AI1140" s="3">
        <v>0.409029661355157</v>
      </c>
    </row>
    <row r="1141" spans="1:35">
      <c r="A1141" s="1">
        <v>42308</v>
      </c>
      <c r="B1141" s="1">
        <v>37541</v>
      </c>
      <c r="C1141" t="s">
        <v>5706</v>
      </c>
      <c r="D1141">
        <v>328</v>
      </c>
      <c r="E1141">
        <v>15349</v>
      </c>
      <c r="F1141">
        <v>4</v>
      </c>
      <c r="G1141">
        <v>1</v>
      </c>
      <c r="H1141">
        <v>1</v>
      </c>
      <c r="I1141">
        <v>2</v>
      </c>
      <c r="J1141" t="s">
        <v>3503</v>
      </c>
      <c r="K1141" t="s">
        <v>3504</v>
      </c>
      <c r="L1141" s="2">
        <v>413.1463</v>
      </c>
      <c r="M1141" s="2">
        <v>699.09820000000002</v>
      </c>
      <c r="N1141" t="s">
        <v>30</v>
      </c>
      <c r="O1141" t="s">
        <v>306</v>
      </c>
      <c r="P1141" t="s">
        <v>95</v>
      </c>
      <c r="Q1141" t="s">
        <v>7470</v>
      </c>
      <c r="R1141" s="1">
        <v>19308</v>
      </c>
      <c r="S1141" t="s">
        <v>16</v>
      </c>
      <c r="T1141" t="s">
        <v>29</v>
      </c>
      <c r="U1141" t="s">
        <v>1947</v>
      </c>
      <c r="V1141">
        <v>70000</v>
      </c>
      <c r="W1141">
        <v>4</v>
      </c>
      <c r="X1141" t="s">
        <v>52</v>
      </c>
      <c r="Y1141" t="s">
        <v>18</v>
      </c>
      <c r="Z1141" t="s">
        <v>19</v>
      </c>
      <c r="AA1141" t="s">
        <v>3580</v>
      </c>
      <c r="AB1141" t="s">
        <v>3578</v>
      </c>
      <c r="AC1141" t="s">
        <v>3579</v>
      </c>
      <c r="AD1141" t="s">
        <v>3479</v>
      </c>
      <c r="AE1141" t="s">
        <v>3475</v>
      </c>
      <c r="AF1141" s="2">
        <v>699.09820000000002</v>
      </c>
      <c r="AG1141" s="2">
        <v>413.1463</v>
      </c>
      <c r="AH1141" s="2">
        <v>285.95190000000002</v>
      </c>
      <c r="AI1141" s="3">
        <v>0.409029661355157</v>
      </c>
    </row>
    <row r="1142" spans="1:35">
      <c r="A1142" s="1">
        <v>42294</v>
      </c>
      <c r="B1142" s="1">
        <v>37434</v>
      </c>
      <c r="C1142" t="s">
        <v>5600</v>
      </c>
      <c r="D1142">
        <v>320</v>
      </c>
      <c r="E1142">
        <v>15350</v>
      </c>
      <c r="F1142">
        <v>1</v>
      </c>
      <c r="G1142">
        <v>1</v>
      </c>
      <c r="H1142">
        <v>1</v>
      </c>
      <c r="I1142">
        <v>2</v>
      </c>
      <c r="J1142" t="s">
        <v>3495</v>
      </c>
      <c r="K1142" t="s">
        <v>3496</v>
      </c>
      <c r="L1142" s="2">
        <v>413.1463</v>
      </c>
      <c r="M1142" s="2">
        <v>699.09820000000002</v>
      </c>
      <c r="N1142" t="s">
        <v>30</v>
      </c>
      <c r="O1142" t="s">
        <v>1035</v>
      </c>
      <c r="P1142" t="s">
        <v>157</v>
      </c>
      <c r="Q1142" t="s">
        <v>7471</v>
      </c>
      <c r="R1142" s="1">
        <v>19239</v>
      </c>
      <c r="S1142" t="s">
        <v>16</v>
      </c>
      <c r="T1142" t="s">
        <v>29</v>
      </c>
      <c r="U1142" t="s">
        <v>1948</v>
      </c>
      <c r="V1142">
        <v>70000</v>
      </c>
      <c r="W1142">
        <v>4</v>
      </c>
      <c r="X1142" t="s">
        <v>52</v>
      </c>
      <c r="Y1142" t="s">
        <v>18</v>
      </c>
      <c r="Z1142" t="s">
        <v>23</v>
      </c>
      <c r="AA1142" t="s">
        <v>3577</v>
      </c>
      <c r="AB1142" t="s">
        <v>3578</v>
      </c>
      <c r="AC1142" t="s">
        <v>3579</v>
      </c>
      <c r="AD1142" t="s">
        <v>3479</v>
      </c>
      <c r="AE1142" t="s">
        <v>3475</v>
      </c>
      <c r="AF1142" s="2">
        <v>699.09820000000002</v>
      </c>
      <c r="AG1142" s="2">
        <v>413.1463</v>
      </c>
      <c r="AH1142" s="2">
        <v>285.95190000000002</v>
      </c>
      <c r="AI1142" s="3">
        <v>0.409029661355157</v>
      </c>
    </row>
    <row r="1143" spans="1:35">
      <c r="A1143" s="1">
        <v>42069</v>
      </c>
      <c r="B1143" s="1">
        <v>37217</v>
      </c>
      <c r="C1143" t="s">
        <v>3979</v>
      </c>
      <c r="D1143">
        <v>311</v>
      </c>
      <c r="E1143">
        <v>15354</v>
      </c>
      <c r="F1143">
        <v>10</v>
      </c>
      <c r="G1143">
        <v>1</v>
      </c>
      <c r="H1143">
        <v>1</v>
      </c>
      <c r="I1143">
        <v>2</v>
      </c>
      <c r="J1143" t="s">
        <v>3487</v>
      </c>
      <c r="K1143" t="s">
        <v>3488</v>
      </c>
      <c r="L1143" s="2">
        <v>2171.2941999999998</v>
      </c>
      <c r="M1143" s="2">
        <v>3578.27</v>
      </c>
      <c r="N1143" t="s">
        <v>13</v>
      </c>
      <c r="O1143" t="s">
        <v>650</v>
      </c>
      <c r="P1143" t="s">
        <v>194</v>
      </c>
      <c r="Q1143" t="s">
        <v>7472</v>
      </c>
      <c r="R1143" s="1">
        <v>20858</v>
      </c>
      <c r="S1143" t="s">
        <v>16</v>
      </c>
      <c r="T1143" t="s">
        <v>16</v>
      </c>
      <c r="U1143" t="s">
        <v>1949</v>
      </c>
      <c r="V1143">
        <v>170000</v>
      </c>
      <c r="W1143">
        <v>3</v>
      </c>
      <c r="X1143" t="s">
        <v>17</v>
      </c>
      <c r="Y1143" t="s">
        <v>45</v>
      </c>
      <c r="Z1143" t="s">
        <v>19</v>
      </c>
      <c r="AA1143" t="s">
        <v>3588</v>
      </c>
      <c r="AB1143" t="s">
        <v>3588</v>
      </c>
      <c r="AC1143" t="s">
        <v>3584</v>
      </c>
      <c r="AD1143" t="s">
        <v>3479</v>
      </c>
      <c r="AE1143" t="s">
        <v>3475</v>
      </c>
      <c r="AF1143" s="2">
        <v>3578.27</v>
      </c>
      <c r="AG1143" s="2">
        <v>2171.2941999999998</v>
      </c>
      <c r="AH1143" s="2">
        <v>1406.9757999999999</v>
      </c>
      <c r="AI1143" s="3">
        <v>0.39320001006072802</v>
      </c>
    </row>
    <row r="1144" spans="1:35">
      <c r="A1144" s="1">
        <v>42197</v>
      </c>
      <c r="B1144" s="1">
        <v>37375</v>
      </c>
      <c r="C1144" t="s">
        <v>4856</v>
      </c>
      <c r="D1144">
        <v>370</v>
      </c>
      <c r="E1144">
        <v>15357</v>
      </c>
      <c r="F1144">
        <v>8</v>
      </c>
      <c r="G1144">
        <v>1</v>
      </c>
      <c r="H1144">
        <v>1</v>
      </c>
      <c r="I1144">
        <v>2</v>
      </c>
      <c r="J1144" t="s">
        <v>3551</v>
      </c>
      <c r="K1144" t="s">
        <v>3552</v>
      </c>
      <c r="L1144" s="2">
        <v>1518.7864</v>
      </c>
      <c r="M1144" s="2">
        <v>2443.35</v>
      </c>
      <c r="N1144" t="s">
        <v>13</v>
      </c>
      <c r="O1144" t="s">
        <v>1388</v>
      </c>
      <c r="P1144" t="s">
        <v>153</v>
      </c>
      <c r="Q1144" t="s">
        <v>7473</v>
      </c>
      <c r="R1144" s="1">
        <v>20384</v>
      </c>
      <c r="S1144" t="s">
        <v>16</v>
      </c>
      <c r="T1144" t="s">
        <v>16</v>
      </c>
      <c r="U1144" t="s">
        <v>1950</v>
      </c>
      <c r="V1144">
        <v>120000</v>
      </c>
      <c r="W1144">
        <v>2</v>
      </c>
      <c r="X1144" t="s">
        <v>77</v>
      </c>
      <c r="Y1144" t="s">
        <v>18</v>
      </c>
      <c r="Z1144" t="s">
        <v>19</v>
      </c>
      <c r="AA1144" t="s">
        <v>3585</v>
      </c>
      <c r="AB1144" t="s">
        <v>3585</v>
      </c>
      <c r="AC1144" t="s">
        <v>3584</v>
      </c>
      <c r="AD1144" t="s">
        <v>3479</v>
      </c>
      <c r="AE1144" t="s">
        <v>3475</v>
      </c>
      <c r="AF1144" s="2">
        <v>2443.35</v>
      </c>
      <c r="AG1144" s="2">
        <v>1518.7864</v>
      </c>
      <c r="AH1144" s="2">
        <v>924.56359999999995</v>
      </c>
      <c r="AI1144" s="3">
        <v>0.37839998362903399</v>
      </c>
    </row>
    <row r="1145" spans="1:35">
      <c r="A1145" s="1">
        <v>42290</v>
      </c>
      <c r="B1145" s="1">
        <v>37463</v>
      </c>
      <c r="C1145" t="s">
        <v>5561</v>
      </c>
      <c r="D1145">
        <v>324</v>
      </c>
      <c r="E1145">
        <v>15364</v>
      </c>
      <c r="F1145">
        <v>1</v>
      </c>
      <c r="G1145">
        <v>1</v>
      </c>
      <c r="H1145">
        <v>1</v>
      </c>
      <c r="I1145">
        <v>2</v>
      </c>
      <c r="J1145" t="s">
        <v>3499</v>
      </c>
      <c r="K1145" t="s">
        <v>3500</v>
      </c>
      <c r="L1145" s="2">
        <v>413.1463</v>
      </c>
      <c r="M1145" s="2">
        <v>699.09820000000002</v>
      </c>
      <c r="N1145" t="s">
        <v>13</v>
      </c>
      <c r="O1145" t="s">
        <v>618</v>
      </c>
      <c r="P1145" t="s">
        <v>184</v>
      </c>
      <c r="Q1145" t="s">
        <v>7474</v>
      </c>
      <c r="R1145" s="1">
        <v>23794</v>
      </c>
      <c r="S1145" t="s">
        <v>22</v>
      </c>
      <c r="T1145" t="s">
        <v>16</v>
      </c>
      <c r="U1145" t="s">
        <v>1951</v>
      </c>
      <c r="V1145">
        <v>90000</v>
      </c>
      <c r="W1145">
        <v>5</v>
      </c>
      <c r="X1145" t="s">
        <v>52</v>
      </c>
      <c r="Y1145" t="s">
        <v>18</v>
      </c>
      <c r="Z1145" t="s">
        <v>19</v>
      </c>
      <c r="AA1145" t="s">
        <v>3577</v>
      </c>
      <c r="AB1145" t="s">
        <v>3578</v>
      </c>
      <c r="AC1145" t="s">
        <v>3579</v>
      </c>
      <c r="AD1145" t="s">
        <v>3479</v>
      </c>
      <c r="AE1145" t="s">
        <v>3475</v>
      </c>
      <c r="AF1145" s="2">
        <v>699.09820000000002</v>
      </c>
      <c r="AG1145" s="2">
        <v>413.1463</v>
      </c>
      <c r="AH1145" s="2">
        <v>285.95190000000002</v>
      </c>
      <c r="AI1145" s="3">
        <v>0.409029661355157</v>
      </c>
    </row>
    <row r="1146" spans="1:35">
      <c r="A1146" s="1">
        <v>42330</v>
      </c>
      <c r="B1146" s="1">
        <v>37528</v>
      </c>
      <c r="C1146" t="s">
        <v>5833</v>
      </c>
      <c r="D1146">
        <v>336</v>
      </c>
      <c r="E1146">
        <v>15365</v>
      </c>
      <c r="F1146">
        <v>4</v>
      </c>
      <c r="G1146">
        <v>1</v>
      </c>
      <c r="H1146">
        <v>1</v>
      </c>
      <c r="I1146">
        <v>2</v>
      </c>
      <c r="J1146" t="s">
        <v>3511</v>
      </c>
      <c r="K1146" t="s">
        <v>3512</v>
      </c>
      <c r="L1146" s="2">
        <v>413.1463</v>
      </c>
      <c r="M1146" s="2">
        <v>699.09820000000002</v>
      </c>
      <c r="N1146" t="s">
        <v>30</v>
      </c>
      <c r="O1146" t="s">
        <v>374</v>
      </c>
      <c r="P1146" t="s">
        <v>314</v>
      </c>
      <c r="Q1146" t="s">
        <v>7475</v>
      </c>
      <c r="R1146" s="1">
        <v>24039</v>
      </c>
      <c r="S1146" t="s">
        <v>16</v>
      </c>
      <c r="T1146" t="s">
        <v>29</v>
      </c>
      <c r="U1146" t="s">
        <v>1952</v>
      </c>
      <c r="V1146">
        <v>120000</v>
      </c>
      <c r="W1146">
        <v>3</v>
      </c>
      <c r="X1146" t="s">
        <v>17</v>
      </c>
      <c r="Y1146" t="s">
        <v>45</v>
      </c>
      <c r="Z1146" t="s">
        <v>19</v>
      </c>
      <c r="AA1146" t="s">
        <v>3580</v>
      </c>
      <c r="AB1146" t="s">
        <v>3578</v>
      </c>
      <c r="AC1146" t="s">
        <v>3579</v>
      </c>
      <c r="AD1146" t="s">
        <v>3479</v>
      </c>
      <c r="AE1146" t="s">
        <v>3475</v>
      </c>
      <c r="AF1146" s="2">
        <v>699.09820000000002</v>
      </c>
      <c r="AG1146" s="2">
        <v>413.1463</v>
      </c>
      <c r="AH1146" s="2">
        <v>285.95190000000002</v>
      </c>
      <c r="AI1146" s="3">
        <v>0.409029661355157</v>
      </c>
    </row>
    <row r="1147" spans="1:35">
      <c r="A1147" s="1">
        <v>42332</v>
      </c>
      <c r="B1147" s="1">
        <v>37524</v>
      </c>
      <c r="C1147" t="s">
        <v>5840</v>
      </c>
      <c r="D1147">
        <v>320</v>
      </c>
      <c r="E1147">
        <v>15367</v>
      </c>
      <c r="F1147">
        <v>1</v>
      </c>
      <c r="G1147">
        <v>1</v>
      </c>
      <c r="H1147">
        <v>1</v>
      </c>
      <c r="I1147">
        <v>2</v>
      </c>
      <c r="J1147" t="s">
        <v>3495</v>
      </c>
      <c r="K1147" t="s">
        <v>3496</v>
      </c>
      <c r="L1147" s="2">
        <v>413.1463</v>
      </c>
      <c r="M1147" s="2">
        <v>699.09820000000002</v>
      </c>
      <c r="N1147" t="s">
        <v>26</v>
      </c>
      <c r="O1147" t="s">
        <v>174</v>
      </c>
      <c r="P1147" t="s">
        <v>688</v>
      </c>
      <c r="Q1147" t="s">
        <v>7476</v>
      </c>
      <c r="R1147" s="1">
        <v>23381</v>
      </c>
      <c r="S1147" t="s">
        <v>22</v>
      </c>
      <c r="T1147" t="s">
        <v>29</v>
      </c>
      <c r="U1147" t="s">
        <v>1953</v>
      </c>
      <c r="V1147">
        <v>90000</v>
      </c>
      <c r="W1147">
        <v>0</v>
      </c>
      <c r="X1147" t="s">
        <v>52</v>
      </c>
      <c r="Y1147" t="s">
        <v>18</v>
      </c>
      <c r="Z1147" t="s">
        <v>23</v>
      </c>
      <c r="AA1147" t="s">
        <v>3577</v>
      </c>
      <c r="AB1147" t="s">
        <v>3578</v>
      </c>
      <c r="AC1147" t="s">
        <v>3579</v>
      </c>
      <c r="AD1147" t="s">
        <v>3479</v>
      </c>
      <c r="AE1147" t="s">
        <v>3475</v>
      </c>
      <c r="AF1147" s="2">
        <v>699.09820000000002</v>
      </c>
      <c r="AG1147" s="2">
        <v>413.1463</v>
      </c>
      <c r="AH1147" s="2">
        <v>285.95190000000002</v>
      </c>
      <c r="AI1147" s="3">
        <v>0.409029661355157</v>
      </c>
    </row>
    <row r="1148" spans="1:35">
      <c r="A1148" s="1">
        <v>42328</v>
      </c>
      <c r="B1148" s="1">
        <v>37491</v>
      </c>
      <c r="C1148" t="s">
        <v>5816</v>
      </c>
      <c r="D1148">
        <v>320</v>
      </c>
      <c r="E1148">
        <v>15369</v>
      </c>
      <c r="F1148">
        <v>1</v>
      </c>
      <c r="G1148">
        <v>1</v>
      </c>
      <c r="H1148">
        <v>1</v>
      </c>
      <c r="I1148">
        <v>2</v>
      </c>
      <c r="J1148" t="s">
        <v>3495</v>
      </c>
      <c r="K1148" t="s">
        <v>3496</v>
      </c>
      <c r="L1148" s="2">
        <v>413.1463</v>
      </c>
      <c r="M1148" s="2">
        <v>699.09820000000002</v>
      </c>
      <c r="N1148" t="s">
        <v>13</v>
      </c>
      <c r="O1148" t="s">
        <v>1281</v>
      </c>
      <c r="P1148" t="s">
        <v>187</v>
      </c>
      <c r="Q1148" t="s">
        <v>7477</v>
      </c>
      <c r="R1148" s="1">
        <v>20506</v>
      </c>
      <c r="S1148" t="s">
        <v>16</v>
      </c>
      <c r="T1148" t="s">
        <v>16</v>
      </c>
      <c r="U1148" t="s">
        <v>1954</v>
      </c>
      <c r="V1148">
        <v>70000</v>
      </c>
      <c r="W1148">
        <v>3</v>
      </c>
      <c r="X1148" t="s">
        <v>52</v>
      </c>
      <c r="Y1148" t="s">
        <v>18</v>
      </c>
      <c r="Z1148" t="s">
        <v>19</v>
      </c>
      <c r="AA1148" t="s">
        <v>3577</v>
      </c>
      <c r="AB1148" t="s">
        <v>3578</v>
      </c>
      <c r="AC1148" t="s">
        <v>3579</v>
      </c>
      <c r="AD1148" t="s">
        <v>3479</v>
      </c>
      <c r="AE1148" t="s">
        <v>3475</v>
      </c>
      <c r="AF1148" s="2">
        <v>699.09820000000002</v>
      </c>
      <c r="AG1148" s="2">
        <v>413.1463</v>
      </c>
      <c r="AH1148" s="2">
        <v>285.95190000000002</v>
      </c>
      <c r="AI1148" s="3">
        <v>0.409029661355157</v>
      </c>
    </row>
    <row r="1149" spans="1:35">
      <c r="A1149" s="1">
        <v>42325</v>
      </c>
      <c r="B1149" s="1">
        <v>37553</v>
      </c>
      <c r="C1149" t="s">
        <v>5797</v>
      </c>
      <c r="D1149">
        <v>324</v>
      </c>
      <c r="E1149">
        <v>15371</v>
      </c>
      <c r="F1149">
        <v>1</v>
      </c>
      <c r="G1149">
        <v>1</v>
      </c>
      <c r="H1149">
        <v>1</v>
      </c>
      <c r="I1149">
        <v>2</v>
      </c>
      <c r="J1149" t="s">
        <v>3499</v>
      </c>
      <c r="K1149" t="s">
        <v>3500</v>
      </c>
      <c r="L1149" s="2">
        <v>413.1463</v>
      </c>
      <c r="M1149" s="2">
        <v>699.09820000000002</v>
      </c>
      <c r="N1149" t="s">
        <v>13</v>
      </c>
      <c r="O1149" t="s">
        <v>415</v>
      </c>
      <c r="P1149" t="s">
        <v>184</v>
      </c>
      <c r="Q1149" t="s">
        <v>7478</v>
      </c>
      <c r="R1149" s="1">
        <v>20518</v>
      </c>
      <c r="S1149" t="s">
        <v>16</v>
      </c>
      <c r="T1149" t="s">
        <v>16</v>
      </c>
      <c r="U1149" t="s">
        <v>1955</v>
      </c>
      <c r="V1149">
        <v>80000</v>
      </c>
      <c r="W1149">
        <v>3</v>
      </c>
      <c r="X1149" t="s">
        <v>52</v>
      </c>
      <c r="Y1149" t="s">
        <v>18</v>
      </c>
      <c r="Z1149" t="s">
        <v>23</v>
      </c>
      <c r="AA1149" t="s">
        <v>3577</v>
      </c>
      <c r="AB1149" t="s">
        <v>3578</v>
      </c>
      <c r="AC1149" t="s">
        <v>3579</v>
      </c>
      <c r="AD1149" t="s">
        <v>3479</v>
      </c>
      <c r="AE1149" t="s">
        <v>3475</v>
      </c>
      <c r="AF1149" s="2">
        <v>699.09820000000002</v>
      </c>
      <c r="AG1149" s="2">
        <v>413.1463</v>
      </c>
      <c r="AH1149" s="2">
        <v>285.95190000000002</v>
      </c>
      <c r="AI1149" s="3">
        <v>0.409029661355157</v>
      </c>
    </row>
    <row r="1150" spans="1:35">
      <c r="A1150" s="1">
        <v>42338</v>
      </c>
      <c r="B1150" s="1">
        <v>37518</v>
      </c>
      <c r="C1150" t="s">
        <v>5896</v>
      </c>
      <c r="D1150">
        <v>322</v>
      </c>
      <c r="E1150">
        <v>15372</v>
      </c>
      <c r="F1150">
        <v>1</v>
      </c>
      <c r="G1150">
        <v>1</v>
      </c>
      <c r="H1150">
        <v>1</v>
      </c>
      <c r="I1150">
        <v>2</v>
      </c>
      <c r="J1150" t="s">
        <v>3497</v>
      </c>
      <c r="K1150" t="s">
        <v>3498</v>
      </c>
      <c r="L1150" s="2">
        <v>413.1463</v>
      </c>
      <c r="M1150" s="2">
        <v>699.09820000000002</v>
      </c>
      <c r="N1150" t="s">
        <v>13</v>
      </c>
      <c r="O1150" t="s">
        <v>483</v>
      </c>
      <c r="P1150" t="s">
        <v>288</v>
      </c>
      <c r="Q1150" t="s">
        <v>7479</v>
      </c>
      <c r="R1150" s="1">
        <v>20655</v>
      </c>
      <c r="S1150" t="s">
        <v>16</v>
      </c>
      <c r="T1150" t="s">
        <v>16</v>
      </c>
      <c r="U1150" t="s">
        <v>1956</v>
      </c>
      <c r="V1150">
        <v>80000</v>
      </c>
      <c r="W1150">
        <v>3</v>
      </c>
      <c r="X1150" t="s">
        <v>52</v>
      </c>
      <c r="Y1150" t="s">
        <v>18</v>
      </c>
      <c r="Z1150" t="s">
        <v>23</v>
      </c>
      <c r="AA1150" t="s">
        <v>3577</v>
      </c>
      <c r="AB1150" t="s">
        <v>3578</v>
      </c>
      <c r="AC1150" t="s">
        <v>3579</v>
      </c>
      <c r="AD1150" t="s">
        <v>3479</v>
      </c>
      <c r="AE1150" t="s">
        <v>3475</v>
      </c>
      <c r="AF1150" s="2">
        <v>699.09820000000002</v>
      </c>
      <c r="AG1150" s="2">
        <v>413.1463</v>
      </c>
      <c r="AH1150" s="2">
        <v>285.95190000000002</v>
      </c>
      <c r="AI1150" s="3">
        <v>0.409029661355157</v>
      </c>
    </row>
    <row r="1151" spans="1:35">
      <c r="A1151" s="1">
        <v>42317</v>
      </c>
      <c r="B1151" s="1">
        <v>37543</v>
      </c>
      <c r="C1151" t="s">
        <v>5751</v>
      </c>
      <c r="D1151">
        <v>330</v>
      </c>
      <c r="E1151">
        <v>15374</v>
      </c>
      <c r="F1151">
        <v>4</v>
      </c>
      <c r="G1151">
        <v>1</v>
      </c>
      <c r="H1151">
        <v>1</v>
      </c>
      <c r="I1151">
        <v>2</v>
      </c>
      <c r="J1151" t="s">
        <v>3505</v>
      </c>
      <c r="K1151" t="s">
        <v>3506</v>
      </c>
      <c r="L1151" s="2">
        <v>413.1463</v>
      </c>
      <c r="M1151" s="2">
        <v>699.09820000000002</v>
      </c>
      <c r="N1151" t="s">
        <v>30</v>
      </c>
      <c r="O1151" t="s">
        <v>899</v>
      </c>
      <c r="P1151" t="s">
        <v>194</v>
      </c>
      <c r="Q1151" t="s">
        <v>7480</v>
      </c>
      <c r="R1151" s="1">
        <v>12704</v>
      </c>
      <c r="S1151" t="s">
        <v>16</v>
      </c>
      <c r="T1151" t="s">
        <v>29</v>
      </c>
      <c r="U1151" t="s">
        <v>1957</v>
      </c>
      <c r="V1151">
        <v>70000</v>
      </c>
      <c r="W1151">
        <v>4</v>
      </c>
      <c r="X1151" t="s">
        <v>135</v>
      </c>
      <c r="Y1151" t="s">
        <v>45</v>
      </c>
      <c r="Z1151" t="s">
        <v>19</v>
      </c>
      <c r="AA1151" t="s">
        <v>3580</v>
      </c>
      <c r="AB1151" t="s">
        <v>3578</v>
      </c>
      <c r="AC1151" t="s">
        <v>3579</v>
      </c>
      <c r="AD1151" t="s">
        <v>3479</v>
      </c>
      <c r="AE1151" t="s">
        <v>3475</v>
      </c>
      <c r="AF1151" s="2">
        <v>699.09820000000002</v>
      </c>
      <c r="AG1151" s="2">
        <v>413.1463</v>
      </c>
      <c r="AH1151" s="2">
        <v>285.95190000000002</v>
      </c>
      <c r="AI1151" s="3">
        <v>0.409029661355157</v>
      </c>
    </row>
    <row r="1152" spans="1:35">
      <c r="A1152" s="1">
        <v>42323</v>
      </c>
      <c r="B1152" s="1">
        <v>37460</v>
      </c>
      <c r="C1152" t="s">
        <v>5787</v>
      </c>
      <c r="D1152">
        <v>336</v>
      </c>
      <c r="E1152">
        <v>15379</v>
      </c>
      <c r="F1152">
        <v>4</v>
      </c>
      <c r="G1152">
        <v>1</v>
      </c>
      <c r="H1152">
        <v>1</v>
      </c>
      <c r="I1152">
        <v>2</v>
      </c>
      <c r="J1152" t="s">
        <v>3511</v>
      </c>
      <c r="K1152" t="s">
        <v>3512</v>
      </c>
      <c r="L1152" s="2">
        <v>413.1463</v>
      </c>
      <c r="M1152" s="2">
        <v>699.09820000000002</v>
      </c>
      <c r="N1152" t="s">
        <v>30</v>
      </c>
      <c r="O1152" t="s">
        <v>106</v>
      </c>
      <c r="P1152" t="s">
        <v>246</v>
      </c>
      <c r="Q1152" t="s">
        <v>7481</v>
      </c>
      <c r="R1152" s="1">
        <v>23338</v>
      </c>
      <c r="S1152" t="s">
        <v>16</v>
      </c>
      <c r="T1152" t="s">
        <v>29</v>
      </c>
      <c r="U1152" t="s">
        <v>1958</v>
      </c>
      <c r="V1152">
        <v>130000</v>
      </c>
      <c r="W1152">
        <v>3</v>
      </c>
      <c r="X1152" t="s">
        <v>17</v>
      </c>
      <c r="Y1152" t="s">
        <v>45</v>
      </c>
      <c r="Z1152" t="s">
        <v>19</v>
      </c>
      <c r="AA1152" t="s">
        <v>3580</v>
      </c>
      <c r="AB1152" t="s">
        <v>3578</v>
      </c>
      <c r="AC1152" t="s">
        <v>3579</v>
      </c>
      <c r="AD1152" t="s">
        <v>3479</v>
      </c>
      <c r="AE1152" t="s">
        <v>3475</v>
      </c>
      <c r="AF1152" s="2">
        <v>699.09820000000002</v>
      </c>
      <c r="AG1152" s="2">
        <v>413.1463</v>
      </c>
      <c r="AH1152" s="2">
        <v>285.95190000000002</v>
      </c>
      <c r="AI1152" s="3">
        <v>0.409029661355157</v>
      </c>
    </row>
    <row r="1153" spans="1:35">
      <c r="A1153" s="1">
        <v>42329</v>
      </c>
      <c r="B1153" s="1">
        <v>37525</v>
      </c>
      <c r="C1153" t="s">
        <v>5827</v>
      </c>
      <c r="D1153">
        <v>324</v>
      </c>
      <c r="E1153">
        <v>15380</v>
      </c>
      <c r="F1153">
        <v>1</v>
      </c>
      <c r="G1153">
        <v>1</v>
      </c>
      <c r="H1153">
        <v>1</v>
      </c>
      <c r="I1153">
        <v>2</v>
      </c>
      <c r="J1153" t="s">
        <v>3499</v>
      </c>
      <c r="K1153" t="s">
        <v>3500</v>
      </c>
      <c r="L1153" s="2">
        <v>413.1463</v>
      </c>
      <c r="M1153" s="2">
        <v>699.09820000000002</v>
      </c>
      <c r="N1153" t="s">
        <v>13</v>
      </c>
      <c r="O1153" t="s">
        <v>110</v>
      </c>
      <c r="P1153" t="s">
        <v>275</v>
      </c>
      <c r="Q1153" t="s">
        <v>7482</v>
      </c>
      <c r="R1153" s="1">
        <v>22927</v>
      </c>
      <c r="S1153" t="s">
        <v>16</v>
      </c>
      <c r="T1153" t="s">
        <v>16</v>
      </c>
      <c r="U1153" t="s">
        <v>1959</v>
      </c>
      <c r="V1153">
        <v>100000</v>
      </c>
      <c r="W1153">
        <v>1</v>
      </c>
      <c r="X1153" t="s">
        <v>52</v>
      </c>
      <c r="Y1153" t="s">
        <v>18</v>
      </c>
      <c r="Z1153" t="s">
        <v>19</v>
      </c>
      <c r="AA1153" t="s">
        <v>3577</v>
      </c>
      <c r="AB1153" t="s">
        <v>3578</v>
      </c>
      <c r="AC1153" t="s">
        <v>3579</v>
      </c>
      <c r="AD1153" t="s">
        <v>3479</v>
      </c>
      <c r="AE1153" t="s">
        <v>3475</v>
      </c>
      <c r="AF1153" s="2">
        <v>699.09820000000002</v>
      </c>
      <c r="AG1153" s="2">
        <v>413.1463</v>
      </c>
      <c r="AH1153" s="2">
        <v>285.95190000000002</v>
      </c>
      <c r="AI1153" s="3">
        <v>0.409029661355157</v>
      </c>
    </row>
    <row r="1154" spans="1:35">
      <c r="A1154" s="1">
        <v>42314</v>
      </c>
      <c r="B1154" s="1">
        <v>37487</v>
      </c>
      <c r="C1154" t="s">
        <v>5737</v>
      </c>
      <c r="D1154">
        <v>324</v>
      </c>
      <c r="E1154">
        <v>15388</v>
      </c>
      <c r="F1154">
        <v>4</v>
      </c>
      <c r="G1154">
        <v>1</v>
      </c>
      <c r="H1154">
        <v>1</v>
      </c>
      <c r="I1154">
        <v>2</v>
      </c>
      <c r="J1154" t="s">
        <v>3499</v>
      </c>
      <c r="K1154" t="s">
        <v>3500</v>
      </c>
      <c r="L1154" s="2">
        <v>413.1463</v>
      </c>
      <c r="M1154" s="2">
        <v>699.09820000000002</v>
      </c>
      <c r="N1154" t="s">
        <v>30</v>
      </c>
      <c r="O1154" t="s">
        <v>374</v>
      </c>
      <c r="P1154" t="s">
        <v>672</v>
      </c>
      <c r="Q1154" t="s">
        <v>7483</v>
      </c>
      <c r="R1154" s="1">
        <v>22300</v>
      </c>
      <c r="S1154" t="s">
        <v>16</v>
      </c>
      <c r="T1154" t="s">
        <v>29</v>
      </c>
      <c r="U1154" t="s">
        <v>1960</v>
      </c>
      <c r="V1154">
        <v>130000</v>
      </c>
      <c r="W1154">
        <v>1</v>
      </c>
      <c r="X1154" t="s">
        <v>17</v>
      </c>
      <c r="Y1154" t="s">
        <v>45</v>
      </c>
      <c r="Z1154" t="s">
        <v>19</v>
      </c>
      <c r="AA1154" t="s">
        <v>3580</v>
      </c>
      <c r="AB1154" t="s">
        <v>3578</v>
      </c>
      <c r="AC1154" t="s">
        <v>3579</v>
      </c>
      <c r="AD1154" t="s">
        <v>3479</v>
      </c>
      <c r="AE1154" t="s">
        <v>3475</v>
      </c>
      <c r="AF1154" s="2">
        <v>699.09820000000002</v>
      </c>
      <c r="AG1154" s="2">
        <v>413.1463</v>
      </c>
      <c r="AH1154" s="2">
        <v>285.95190000000002</v>
      </c>
      <c r="AI1154" s="3">
        <v>0.409029661355157</v>
      </c>
    </row>
    <row r="1155" spans="1:35">
      <c r="A1155" s="1">
        <v>42338</v>
      </c>
      <c r="B1155" s="1">
        <v>37538</v>
      </c>
      <c r="C1155" t="s">
        <v>5895</v>
      </c>
      <c r="D1155">
        <v>322</v>
      </c>
      <c r="E1155">
        <v>15389</v>
      </c>
      <c r="F1155">
        <v>4</v>
      </c>
      <c r="G1155">
        <v>1</v>
      </c>
      <c r="H1155">
        <v>1</v>
      </c>
      <c r="I1155">
        <v>2</v>
      </c>
      <c r="J1155" t="s">
        <v>3497</v>
      </c>
      <c r="K1155" t="s">
        <v>3498</v>
      </c>
      <c r="L1155" s="2">
        <v>413.1463</v>
      </c>
      <c r="M1155" s="2">
        <v>699.09820000000002</v>
      </c>
      <c r="N1155" t="s">
        <v>30</v>
      </c>
      <c r="O1155" t="s">
        <v>599</v>
      </c>
      <c r="P1155" t="s">
        <v>64</v>
      </c>
      <c r="Q1155" t="s">
        <v>7484</v>
      </c>
      <c r="R1155" s="1">
        <v>22530</v>
      </c>
      <c r="S1155" t="s">
        <v>22</v>
      </c>
      <c r="T1155" t="s">
        <v>29</v>
      </c>
      <c r="U1155" t="s">
        <v>1961</v>
      </c>
      <c r="V1155">
        <v>130000</v>
      </c>
      <c r="W1155">
        <v>1</v>
      </c>
      <c r="X1155" t="s">
        <v>17</v>
      </c>
      <c r="Y1155" t="s">
        <v>45</v>
      </c>
      <c r="Z1155" t="s">
        <v>23</v>
      </c>
      <c r="AA1155" t="s">
        <v>3580</v>
      </c>
      <c r="AB1155" t="s">
        <v>3578</v>
      </c>
      <c r="AC1155" t="s">
        <v>3579</v>
      </c>
      <c r="AD1155" t="s">
        <v>3479</v>
      </c>
      <c r="AE1155" t="s">
        <v>3475</v>
      </c>
      <c r="AF1155" s="2">
        <v>699.09820000000002</v>
      </c>
      <c r="AG1155" s="2">
        <v>413.1463</v>
      </c>
      <c r="AH1155" s="2">
        <v>285.95190000000002</v>
      </c>
      <c r="AI1155" s="3">
        <v>0.409029661355157</v>
      </c>
    </row>
    <row r="1156" spans="1:35">
      <c r="A1156" s="1">
        <v>42334</v>
      </c>
      <c r="B1156" s="1">
        <v>37478</v>
      </c>
      <c r="C1156" t="s">
        <v>5860</v>
      </c>
      <c r="D1156">
        <v>336</v>
      </c>
      <c r="E1156">
        <v>15394</v>
      </c>
      <c r="F1156">
        <v>4</v>
      </c>
      <c r="G1156">
        <v>1</v>
      </c>
      <c r="H1156">
        <v>1</v>
      </c>
      <c r="I1156">
        <v>2</v>
      </c>
      <c r="J1156" t="s">
        <v>3511</v>
      </c>
      <c r="K1156" t="s">
        <v>3512</v>
      </c>
      <c r="L1156" s="2">
        <v>413.1463</v>
      </c>
      <c r="M1156" s="2">
        <v>699.09820000000002</v>
      </c>
      <c r="N1156" t="s">
        <v>30</v>
      </c>
      <c r="O1156" t="s">
        <v>331</v>
      </c>
      <c r="P1156" t="s">
        <v>66</v>
      </c>
      <c r="Q1156" t="s">
        <v>7485</v>
      </c>
      <c r="R1156" s="1">
        <v>13246</v>
      </c>
      <c r="S1156" t="s">
        <v>16</v>
      </c>
      <c r="T1156" t="s">
        <v>29</v>
      </c>
      <c r="U1156" t="s">
        <v>1962</v>
      </c>
      <c r="V1156">
        <v>90000</v>
      </c>
      <c r="W1156">
        <v>4</v>
      </c>
      <c r="X1156" t="s">
        <v>17</v>
      </c>
      <c r="Y1156" t="s">
        <v>45</v>
      </c>
      <c r="Z1156" t="s">
        <v>19</v>
      </c>
      <c r="AA1156" t="s">
        <v>3580</v>
      </c>
      <c r="AB1156" t="s">
        <v>3578</v>
      </c>
      <c r="AC1156" t="s">
        <v>3579</v>
      </c>
      <c r="AD1156" t="s">
        <v>3479</v>
      </c>
      <c r="AE1156" t="s">
        <v>3475</v>
      </c>
      <c r="AF1156" s="2">
        <v>699.09820000000002</v>
      </c>
      <c r="AG1156" s="2">
        <v>413.1463</v>
      </c>
      <c r="AH1156" s="2">
        <v>285.95190000000002</v>
      </c>
      <c r="AI1156" s="3">
        <v>0.409029661355157</v>
      </c>
    </row>
    <row r="1157" spans="1:35">
      <c r="A1157" s="1">
        <v>42332</v>
      </c>
      <c r="B1157" s="1">
        <v>37566</v>
      </c>
      <c r="C1157" t="s">
        <v>5845</v>
      </c>
      <c r="D1157">
        <v>330</v>
      </c>
      <c r="E1157">
        <v>15396</v>
      </c>
      <c r="F1157">
        <v>1</v>
      </c>
      <c r="G1157">
        <v>1</v>
      </c>
      <c r="H1157">
        <v>1</v>
      </c>
      <c r="I1157">
        <v>2</v>
      </c>
      <c r="J1157" t="s">
        <v>3505</v>
      </c>
      <c r="K1157" t="s">
        <v>3506</v>
      </c>
      <c r="L1157" s="2">
        <v>413.1463</v>
      </c>
      <c r="M1157" s="2">
        <v>699.09820000000002</v>
      </c>
      <c r="N1157" t="s">
        <v>30</v>
      </c>
      <c r="O1157" t="s">
        <v>202</v>
      </c>
      <c r="P1157" t="s">
        <v>66</v>
      </c>
      <c r="Q1157" t="s">
        <v>7486</v>
      </c>
      <c r="R1157" s="1">
        <v>22222</v>
      </c>
      <c r="S1157" t="s">
        <v>16</v>
      </c>
      <c r="T1157" t="s">
        <v>29</v>
      </c>
      <c r="U1157" t="s">
        <v>1963</v>
      </c>
      <c r="V1157">
        <v>100000</v>
      </c>
      <c r="W1157">
        <v>3</v>
      </c>
      <c r="X1157" t="s">
        <v>52</v>
      </c>
      <c r="Y1157" t="s">
        <v>18</v>
      </c>
      <c r="Z1157" t="s">
        <v>19</v>
      </c>
      <c r="AA1157" t="s">
        <v>3577</v>
      </c>
      <c r="AB1157" t="s">
        <v>3578</v>
      </c>
      <c r="AC1157" t="s">
        <v>3579</v>
      </c>
      <c r="AD1157" t="s">
        <v>3479</v>
      </c>
      <c r="AE1157" t="s">
        <v>3475</v>
      </c>
      <c r="AF1157" s="2">
        <v>699.09820000000002</v>
      </c>
      <c r="AG1157" s="2">
        <v>413.1463</v>
      </c>
      <c r="AH1157" s="2">
        <v>285.95190000000002</v>
      </c>
      <c r="AI1157" s="3">
        <v>0.409029661355157</v>
      </c>
    </row>
    <row r="1158" spans="1:35">
      <c r="A1158" s="1">
        <v>42309</v>
      </c>
      <c r="B1158" s="1">
        <v>37543</v>
      </c>
      <c r="C1158" t="s">
        <v>5709</v>
      </c>
      <c r="D1158">
        <v>328</v>
      </c>
      <c r="E1158">
        <v>15398</v>
      </c>
      <c r="F1158">
        <v>4</v>
      </c>
      <c r="G1158">
        <v>1</v>
      </c>
      <c r="H1158">
        <v>1</v>
      </c>
      <c r="I1158">
        <v>2</v>
      </c>
      <c r="J1158" t="s">
        <v>3503</v>
      </c>
      <c r="K1158" t="s">
        <v>3504</v>
      </c>
      <c r="L1158" s="2">
        <v>413.1463</v>
      </c>
      <c r="M1158" s="2">
        <v>699.09820000000002</v>
      </c>
      <c r="N1158" t="s">
        <v>13</v>
      </c>
      <c r="O1158" t="s">
        <v>304</v>
      </c>
      <c r="P1158" t="s">
        <v>56</v>
      </c>
      <c r="Q1158" t="s">
        <v>7487</v>
      </c>
      <c r="R1158" s="1">
        <v>22202</v>
      </c>
      <c r="S1158" t="s">
        <v>16</v>
      </c>
      <c r="T1158" t="s">
        <v>16</v>
      </c>
      <c r="U1158" t="s">
        <v>1964</v>
      </c>
      <c r="V1158">
        <v>150000</v>
      </c>
      <c r="W1158">
        <v>1</v>
      </c>
      <c r="X1158" t="s">
        <v>52</v>
      </c>
      <c r="Y1158" t="s">
        <v>18</v>
      </c>
      <c r="Z1158" t="s">
        <v>19</v>
      </c>
      <c r="AA1158" t="s">
        <v>3580</v>
      </c>
      <c r="AB1158" t="s">
        <v>3578</v>
      </c>
      <c r="AC1158" t="s">
        <v>3579</v>
      </c>
      <c r="AD1158" t="s">
        <v>3479</v>
      </c>
      <c r="AE1158" t="s">
        <v>3475</v>
      </c>
      <c r="AF1158" s="2">
        <v>699.09820000000002</v>
      </c>
      <c r="AG1158" s="2">
        <v>413.1463</v>
      </c>
      <c r="AH1158" s="2">
        <v>285.95190000000002</v>
      </c>
      <c r="AI1158" s="3">
        <v>0.409029661355157</v>
      </c>
    </row>
    <row r="1159" spans="1:35">
      <c r="A1159" s="1">
        <v>42352</v>
      </c>
      <c r="B1159" s="1">
        <v>37574</v>
      </c>
      <c r="C1159" t="s">
        <v>6055</v>
      </c>
      <c r="D1159">
        <v>324</v>
      </c>
      <c r="E1159">
        <v>15399</v>
      </c>
      <c r="F1159">
        <v>4</v>
      </c>
      <c r="G1159">
        <v>1</v>
      </c>
      <c r="H1159">
        <v>1</v>
      </c>
      <c r="I1159">
        <v>2</v>
      </c>
      <c r="J1159" t="s">
        <v>3499</v>
      </c>
      <c r="K1159" t="s">
        <v>3500</v>
      </c>
      <c r="L1159" s="2">
        <v>413.1463</v>
      </c>
      <c r="M1159" s="2">
        <v>699.09820000000002</v>
      </c>
      <c r="N1159" t="s">
        <v>30</v>
      </c>
      <c r="O1159" t="s">
        <v>712</v>
      </c>
      <c r="P1159" t="s">
        <v>105</v>
      </c>
      <c r="Q1159" t="s">
        <v>7488</v>
      </c>
      <c r="R1159" s="1">
        <v>19937</v>
      </c>
      <c r="S1159" t="s">
        <v>22</v>
      </c>
      <c r="T1159" t="s">
        <v>29</v>
      </c>
      <c r="U1159" t="s">
        <v>1965</v>
      </c>
      <c r="V1159">
        <v>80000</v>
      </c>
      <c r="W1159">
        <v>2</v>
      </c>
      <c r="X1159" t="s">
        <v>77</v>
      </c>
      <c r="Y1159" t="s">
        <v>53</v>
      </c>
      <c r="Z1159" t="s">
        <v>19</v>
      </c>
      <c r="AA1159" t="s">
        <v>3580</v>
      </c>
      <c r="AB1159" t="s">
        <v>3578</v>
      </c>
      <c r="AC1159" t="s">
        <v>3579</v>
      </c>
      <c r="AD1159" t="s">
        <v>3479</v>
      </c>
      <c r="AE1159" t="s">
        <v>3475</v>
      </c>
      <c r="AF1159" s="2">
        <v>699.09820000000002</v>
      </c>
      <c r="AG1159" s="2">
        <v>413.1463</v>
      </c>
      <c r="AH1159" s="2">
        <v>285.95190000000002</v>
      </c>
      <c r="AI1159" s="3">
        <v>0.409029661355157</v>
      </c>
    </row>
    <row r="1160" spans="1:35">
      <c r="A1160" s="1">
        <v>42345</v>
      </c>
      <c r="B1160" s="1">
        <v>37533</v>
      </c>
      <c r="C1160" t="s">
        <v>5969</v>
      </c>
      <c r="D1160">
        <v>332</v>
      </c>
      <c r="E1160">
        <v>15404</v>
      </c>
      <c r="F1160">
        <v>4</v>
      </c>
      <c r="G1160">
        <v>1</v>
      </c>
      <c r="H1160">
        <v>1</v>
      </c>
      <c r="I1160">
        <v>2</v>
      </c>
      <c r="J1160" t="s">
        <v>3507</v>
      </c>
      <c r="K1160" t="s">
        <v>3508</v>
      </c>
      <c r="L1160" s="2">
        <v>413.1463</v>
      </c>
      <c r="M1160" s="2">
        <v>699.09820000000002</v>
      </c>
      <c r="N1160" t="s">
        <v>30</v>
      </c>
      <c r="O1160" t="s">
        <v>48</v>
      </c>
      <c r="P1160" t="s">
        <v>275</v>
      </c>
      <c r="Q1160" t="s">
        <v>7489</v>
      </c>
      <c r="R1160" s="1">
        <v>19847</v>
      </c>
      <c r="S1160" t="s">
        <v>22</v>
      </c>
      <c r="T1160" t="s">
        <v>29</v>
      </c>
      <c r="U1160" t="s">
        <v>1966</v>
      </c>
      <c r="V1160">
        <v>70000</v>
      </c>
      <c r="W1160">
        <v>3</v>
      </c>
      <c r="X1160" t="s">
        <v>57</v>
      </c>
      <c r="Y1160" t="s">
        <v>18</v>
      </c>
      <c r="Z1160" t="s">
        <v>19</v>
      </c>
      <c r="AA1160" t="s">
        <v>3580</v>
      </c>
      <c r="AB1160" t="s">
        <v>3578</v>
      </c>
      <c r="AC1160" t="s">
        <v>3579</v>
      </c>
      <c r="AD1160" t="s">
        <v>3479</v>
      </c>
      <c r="AE1160" t="s">
        <v>3475</v>
      </c>
      <c r="AF1160" s="2">
        <v>699.09820000000002</v>
      </c>
      <c r="AG1160" s="2">
        <v>413.1463</v>
      </c>
      <c r="AH1160" s="2">
        <v>285.95190000000002</v>
      </c>
      <c r="AI1160" s="3">
        <v>0.409029661355157</v>
      </c>
    </row>
    <row r="1161" spans="1:35">
      <c r="A1161" s="1">
        <v>42345</v>
      </c>
      <c r="B1161" s="1">
        <v>37558</v>
      </c>
      <c r="C1161" t="s">
        <v>5961</v>
      </c>
      <c r="D1161">
        <v>332</v>
      </c>
      <c r="E1161">
        <v>15409</v>
      </c>
      <c r="F1161">
        <v>1</v>
      </c>
      <c r="G1161">
        <v>1</v>
      </c>
      <c r="H1161">
        <v>1</v>
      </c>
      <c r="I1161">
        <v>2</v>
      </c>
      <c r="J1161" t="s">
        <v>3507</v>
      </c>
      <c r="K1161" t="s">
        <v>3508</v>
      </c>
      <c r="L1161" s="2">
        <v>413.1463</v>
      </c>
      <c r="M1161" s="2">
        <v>699.09820000000002</v>
      </c>
      <c r="N1161" t="s">
        <v>13</v>
      </c>
      <c r="O1161" t="s">
        <v>260</v>
      </c>
      <c r="P1161" t="s">
        <v>309</v>
      </c>
      <c r="Q1161" t="s">
        <v>7490</v>
      </c>
      <c r="R1161" s="1">
        <v>19209</v>
      </c>
      <c r="S1161" t="s">
        <v>16</v>
      </c>
      <c r="T1161" t="s">
        <v>16</v>
      </c>
      <c r="U1161" t="s">
        <v>1967</v>
      </c>
      <c r="V1161">
        <v>40000</v>
      </c>
      <c r="W1161">
        <v>3</v>
      </c>
      <c r="X1161" t="s">
        <v>52</v>
      </c>
      <c r="Y1161" t="s">
        <v>18</v>
      </c>
      <c r="Z1161" t="s">
        <v>23</v>
      </c>
      <c r="AA1161" t="s">
        <v>3577</v>
      </c>
      <c r="AB1161" t="s">
        <v>3578</v>
      </c>
      <c r="AC1161" t="s">
        <v>3579</v>
      </c>
      <c r="AD1161" t="s">
        <v>3479</v>
      </c>
      <c r="AE1161" t="s">
        <v>3475</v>
      </c>
      <c r="AF1161" s="2">
        <v>699.09820000000002</v>
      </c>
      <c r="AG1161" s="2">
        <v>413.1463</v>
      </c>
      <c r="AH1161" s="2">
        <v>285.95190000000002</v>
      </c>
      <c r="AI1161" s="3">
        <v>0.409029661355157</v>
      </c>
    </row>
    <row r="1162" spans="1:35">
      <c r="A1162" s="1">
        <v>42367</v>
      </c>
      <c r="B1162" s="1">
        <v>37586</v>
      </c>
      <c r="C1162" t="s">
        <v>6204</v>
      </c>
      <c r="D1162">
        <v>326</v>
      </c>
      <c r="E1162">
        <v>15410</v>
      </c>
      <c r="F1162">
        <v>4</v>
      </c>
      <c r="G1162">
        <v>1</v>
      </c>
      <c r="H1162">
        <v>1</v>
      </c>
      <c r="I1162">
        <v>2</v>
      </c>
      <c r="J1162" t="s">
        <v>3501</v>
      </c>
      <c r="K1162" t="s">
        <v>3502</v>
      </c>
      <c r="L1162" s="2">
        <v>413.1463</v>
      </c>
      <c r="M1162" s="2">
        <v>699.09820000000002</v>
      </c>
      <c r="N1162" t="s">
        <v>30</v>
      </c>
      <c r="O1162" t="s">
        <v>593</v>
      </c>
      <c r="P1162" t="s">
        <v>250</v>
      </c>
      <c r="Q1162" t="s">
        <v>7491</v>
      </c>
      <c r="R1162" s="1">
        <v>19167</v>
      </c>
      <c r="S1162" t="s">
        <v>16</v>
      </c>
      <c r="T1162" t="s">
        <v>29</v>
      </c>
      <c r="U1162" t="s">
        <v>1968</v>
      </c>
      <c r="V1162">
        <v>40000</v>
      </c>
      <c r="W1162">
        <v>3</v>
      </c>
      <c r="X1162" t="s">
        <v>52</v>
      </c>
      <c r="Y1162" t="s">
        <v>18</v>
      </c>
      <c r="Z1162" t="s">
        <v>23</v>
      </c>
      <c r="AA1162" t="s">
        <v>3580</v>
      </c>
      <c r="AB1162" t="s">
        <v>3578</v>
      </c>
      <c r="AC1162" t="s">
        <v>3579</v>
      </c>
      <c r="AD1162" t="s">
        <v>3479</v>
      </c>
      <c r="AE1162" t="s">
        <v>3475</v>
      </c>
      <c r="AF1162" s="2">
        <v>699.09820000000002</v>
      </c>
      <c r="AG1162" s="2">
        <v>413.1463</v>
      </c>
      <c r="AH1162" s="2">
        <v>285.95190000000002</v>
      </c>
      <c r="AI1162" s="3">
        <v>0.409029661355157</v>
      </c>
    </row>
    <row r="1163" spans="1:35">
      <c r="A1163" s="1">
        <v>42343</v>
      </c>
      <c r="B1163" s="1">
        <v>37528</v>
      </c>
      <c r="C1163" t="s">
        <v>5944</v>
      </c>
      <c r="D1163">
        <v>342</v>
      </c>
      <c r="E1163">
        <v>15411</v>
      </c>
      <c r="F1163">
        <v>4</v>
      </c>
      <c r="G1163">
        <v>1</v>
      </c>
      <c r="H1163">
        <v>1</v>
      </c>
      <c r="I1163">
        <v>2</v>
      </c>
      <c r="J1163" t="s">
        <v>3517</v>
      </c>
      <c r="K1163" t="s">
        <v>3518</v>
      </c>
      <c r="L1163" s="2">
        <v>413.1463</v>
      </c>
      <c r="M1163" s="2">
        <v>699.09820000000002</v>
      </c>
      <c r="N1163" t="s">
        <v>13</v>
      </c>
      <c r="O1163" t="s">
        <v>556</v>
      </c>
      <c r="P1163" t="s">
        <v>570</v>
      </c>
      <c r="Q1163" t="s">
        <v>7492</v>
      </c>
      <c r="R1163" s="1">
        <v>13826</v>
      </c>
      <c r="S1163" t="s">
        <v>22</v>
      </c>
      <c r="T1163" t="s">
        <v>16</v>
      </c>
      <c r="U1163" t="s">
        <v>1969</v>
      </c>
      <c r="V1163">
        <v>70000</v>
      </c>
      <c r="W1163">
        <v>4</v>
      </c>
      <c r="X1163" t="s">
        <v>135</v>
      </c>
      <c r="Y1163" t="s">
        <v>45</v>
      </c>
      <c r="Z1163" t="s">
        <v>19</v>
      </c>
      <c r="AA1163" t="s">
        <v>3580</v>
      </c>
      <c r="AB1163" t="s">
        <v>3578</v>
      </c>
      <c r="AC1163" t="s">
        <v>3579</v>
      </c>
      <c r="AD1163" t="s">
        <v>3479</v>
      </c>
      <c r="AE1163" t="s">
        <v>3475</v>
      </c>
      <c r="AF1163" s="2">
        <v>699.09820000000002</v>
      </c>
      <c r="AG1163" s="2">
        <v>413.1463</v>
      </c>
      <c r="AH1163" s="2">
        <v>285.95190000000002</v>
      </c>
      <c r="AI1163" s="3">
        <v>0.409029661355157</v>
      </c>
    </row>
    <row r="1164" spans="1:35">
      <c r="A1164" s="1">
        <v>42349</v>
      </c>
      <c r="B1164" s="1">
        <v>37524</v>
      </c>
      <c r="C1164" t="s">
        <v>6000</v>
      </c>
      <c r="D1164">
        <v>320</v>
      </c>
      <c r="E1164">
        <v>15417</v>
      </c>
      <c r="F1164">
        <v>4</v>
      </c>
      <c r="G1164">
        <v>1</v>
      </c>
      <c r="H1164">
        <v>1</v>
      </c>
      <c r="I1164">
        <v>2</v>
      </c>
      <c r="J1164" t="s">
        <v>3495</v>
      </c>
      <c r="K1164" t="s">
        <v>3496</v>
      </c>
      <c r="L1164" s="2">
        <v>413.1463</v>
      </c>
      <c r="M1164" s="2">
        <v>699.09820000000002</v>
      </c>
      <c r="N1164" t="s">
        <v>13</v>
      </c>
      <c r="O1164" t="s">
        <v>222</v>
      </c>
      <c r="P1164" t="s">
        <v>42</v>
      </c>
      <c r="Q1164" t="s">
        <v>7493</v>
      </c>
      <c r="R1164" s="1">
        <v>15132</v>
      </c>
      <c r="S1164" t="s">
        <v>22</v>
      </c>
      <c r="T1164" t="s">
        <v>16</v>
      </c>
      <c r="U1164" t="s">
        <v>1970</v>
      </c>
      <c r="V1164">
        <v>70000</v>
      </c>
      <c r="W1164">
        <v>5</v>
      </c>
      <c r="X1164" t="s">
        <v>135</v>
      </c>
      <c r="Y1164" t="s">
        <v>45</v>
      </c>
      <c r="Z1164" t="s">
        <v>19</v>
      </c>
      <c r="AA1164" t="s">
        <v>3580</v>
      </c>
      <c r="AB1164" t="s">
        <v>3578</v>
      </c>
      <c r="AC1164" t="s">
        <v>3579</v>
      </c>
      <c r="AD1164" t="s">
        <v>3479</v>
      </c>
      <c r="AE1164" t="s">
        <v>3475</v>
      </c>
      <c r="AF1164" s="2">
        <v>699.09820000000002</v>
      </c>
      <c r="AG1164" s="2">
        <v>413.1463</v>
      </c>
      <c r="AH1164" s="2">
        <v>285.95190000000002</v>
      </c>
      <c r="AI1164" s="3">
        <v>0.409029661355157</v>
      </c>
    </row>
    <row r="1165" spans="1:35">
      <c r="A1165" s="1">
        <v>42354</v>
      </c>
      <c r="B1165" s="1">
        <v>37499</v>
      </c>
      <c r="C1165" t="s">
        <v>6064</v>
      </c>
      <c r="D1165">
        <v>328</v>
      </c>
      <c r="E1165">
        <v>15419</v>
      </c>
      <c r="F1165">
        <v>1</v>
      </c>
      <c r="G1165">
        <v>1</v>
      </c>
      <c r="H1165">
        <v>1</v>
      </c>
      <c r="I1165">
        <v>2</v>
      </c>
      <c r="J1165" t="s">
        <v>3503</v>
      </c>
      <c r="K1165" t="s">
        <v>3504</v>
      </c>
      <c r="L1165" s="2">
        <v>413.1463</v>
      </c>
      <c r="M1165" s="2">
        <v>699.09820000000002</v>
      </c>
      <c r="N1165" t="s">
        <v>13</v>
      </c>
      <c r="O1165" t="s">
        <v>754</v>
      </c>
      <c r="P1165" t="s">
        <v>173</v>
      </c>
      <c r="Q1165" t="s">
        <v>7494</v>
      </c>
      <c r="R1165" s="1">
        <v>24854</v>
      </c>
      <c r="S1165" t="s">
        <v>22</v>
      </c>
      <c r="T1165" t="s">
        <v>16</v>
      </c>
      <c r="U1165" t="s">
        <v>1971</v>
      </c>
      <c r="V1165">
        <v>100000</v>
      </c>
      <c r="W1165">
        <v>2</v>
      </c>
      <c r="X1165" t="s">
        <v>17</v>
      </c>
      <c r="Y1165" t="s">
        <v>45</v>
      </c>
      <c r="Z1165" t="s">
        <v>19</v>
      </c>
      <c r="AA1165" t="s">
        <v>3577</v>
      </c>
      <c r="AB1165" t="s">
        <v>3578</v>
      </c>
      <c r="AC1165" t="s">
        <v>3579</v>
      </c>
      <c r="AD1165" t="s">
        <v>3479</v>
      </c>
      <c r="AE1165" t="s">
        <v>3475</v>
      </c>
      <c r="AF1165" s="2">
        <v>699.09820000000002</v>
      </c>
      <c r="AG1165" s="2">
        <v>413.1463</v>
      </c>
      <c r="AH1165" s="2">
        <v>285.95190000000002</v>
      </c>
      <c r="AI1165" s="3">
        <v>0.409029661355157</v>
      </c>
    </row>
    <row r="1166" spans="1:35">
      <c r="A1166" s="1">
        <v>42354</v>
      </c>
      <c r="B1166" s="1">
        <v>37579</v>
      </c>
      <c r="C1166" t="s">
        <v>6070</v>
      </c>
      <c r="D1166">
        <v>320</v>
      </c>
      <c r="E1166">
        <v>15422</v>
      </c>
      <c r="F1166">
        <v>1</v>
      </c>
      <c r="G1166">
        <v>1</v>
      </c>
      <c r="H1166">
        <v>1</v>
      </c>
      <c r="I1166">
        <v>2</v>
      </c>
      <c r="J1166" t="s">
        <v>3495</v>
      </c>
      <c r="K1166" t="s">
        <v>3496</v>
      </c>
      <c r="L1166" s="2">
        <v>413.1463</v>
      </c>
      <c r="M1166" s="2">
        <v>699.09820000000002</v>
      </c>
      <c r="N1166" t="s">
        <v>26</v>
      </c>
      <c r="O1166" t="s">
        <v>376</v>
      </c>
      <c r="P1166" t="s">
        <v>246</v>
      </c>
      <c r="Q1166" t="s">
        <v>7495</v>
      </c>
      <c r="R1166" s="1">
        <v>29046</v>
      </c>
      <c r="S1166" t="s">
        <v>16</v>
      </c>
      <c r="T1166" t="s">
        <v>29</v>
      </c>
      <c r="U1166" t="s">
        <v>1972</v>
      </c>
      <c r="V1166">
        <v>40000</v>
      </c>
      <c r="W1166">
        <v>0</v>
      </c>
      <c r="X1166" t="s">
        <v>57</v>
      </c>
      <c r="Y1166" t="s">
        <v>53</v>
      </c>
      <c r="Z1166" t="s">
        <v>19</v>
      </c>
      <c r="AA1166" t="s">
        <v>3577</v>
      </c>
      <c r="AB1166" t="s">
        <v>3578</v>
      </c>
      <c r="AC1166" t="s">
        <v>3579</v>
      </c>
      <c r="AD1166" t="s">
        <v>3479</v>
      </c>
      <c r="AE1166" t="s">
        <v>3475</v>
      </c>
      <c r="AF1166" s="2">
        <v>699.09820000000002</v>
      </c>
      <c r="AG1166" s="2">
        <v>413.1463</v>
      </c>
      <c r="AH1166" s="2">
        <v>285.95190000000002</v>
      </c>
      <c r="AI1166" s="3">
        <v>0.409029661355157</v>
      </c>
    </row>
    <row r="1167" spans="1:35">
      <c r="A1167" s="1">
        <v>42349</v>
      </c>
      <c r="B1167" s="1">
        <v>37503</v>
      </c>
      <c r="C1167" t="s">
        <v>6005</v>
      </c>
      <c r="D1167">
        <v>338</v>
      </c>
      <c r="E1167">
        <v>15427</v>
      </c>
      <c r="F1167">
        <v>4</v>
      </c>
      <c r="G1167">
        <v>1</v>
      </c>
      <c r="H1167">
        <v>1</v>
      </c>
      <c r="I1167">
        <v>2</v>
      </c>
      <c r="J1167" t="s">
        <v>3513</v>
      </c>
      <c r="K1167" t="s">
        <v>3514</v>
      </c>
      <c r="L1167" s="2">
        <v>413.1463</v>
      </c>
      <c r="M1167" s="2">
        <v>699.09820000000002</v>
      </c>
      <c r="N1167" t="s">
        <v>26</v>
      </c>
      <c r="O1167" t="s">
        <v>427</v>
      </c>
      <c r="P1167" t="s">
        <v>105</v>
      </c>
      <c r="Q1167" t="s">
        <v>7496</v>
      </c>
      <c r="R1167" s="1">
        <v>29177</v>
      </c>
      <c r="S1167" t="s">
        <v>22</v>
      </c>
      <c r="T1167" t="s">
        <v>29</v>
      </c>
      <c r="U1167" t="s">
        <v>1973</v>
      </c>
      <c r="V1167">
        <v>60000</v>
      </c>
      <c r="W1167">
        <v>0</v>
      </c>
      <c r="X1167" t="s">
        <v>52</v>
      </c>
      <c r="Y1167" t="s">
        <v>53</v>
      </c>
      <c r="Z1167" t="s">
        <v>23</v>
      </c>
      <c r="AA1167" t="s">
        <v>3580</v>
      </c>
      <c r="AB1167" t="s">
        <v>3578</v>
      </c>
      <c r="AC1167" t="s">
        <v>3579</v>
      </c>
      <c r="AD1167" t="s">
        <v>3479</v>
      </c>
      <c r="AE1167" t="s">
        <v>3475</v>
      </c>
      <c r="AF1167" s="2">
        <v>699.09820000000002</v>
      </c>
      <c r="AG1167" s="2">
        <v>413.1463</v>
      </c>
      <c r="AH1167" s="2">
        <v>285.95190000000002</v>
      </c>
      <c r="AI1167" s="3">
        <v>0.409029661355157</v>
      </c>
    </row>
    <row r="1168" spans="1:35">
      <c r="A1168" s="1">
        <v>42355</v>
      </c>
      <c r="B1168" s="1">
        <v>37520</v>
      </c>
      <c r="C1168" t="s">
        <v>6082</v>
      </c>
      <c r="D1168">
        <v>342</v>
      </c>
      <c r="E1168">
        <v>15428</v>
      </c>
      <c r="F1168">
        <v>4</v>
      </c>
      <c r="G1168">
        <v>1</v>
      </c>
      <c r="H1168">
        <v>1</v>
      </c>
      <c r="I1168">
        <v>2</v>
      </c>
      <c r="J1168" t="s">
        <v>3517</v>
      </c>
      <c r="K1168" t="s">
        <v>3518</v>
      </c>
      <c r="L1168" s="2">
        <v>413.1463</v>
      </c>
      <c r="M1168" s="2">
        <v>699.09820000000002</v>
      </c>
      <c r="N1168" t="s">
        <v>13</v>
      </c>
      <c r="O1168" t="s">
        <v>765</v>
      </c>
      <c r="P1168" t="s">
        <v>294</v>
      </c>
      <c r="Q1168" t="s">
        <v>7497</v>
      </c>
      <c r="R1168" s="1">
        <v>28976</v>
      </c>
      <c r="S1168" t="s">
        <v>16</v>
      </c>
      <c r="T1168" t="s">
        <v>16</v>
      </c>
      <c r="U1168" t="s">
        <v>1974</v>
      </c>
      <c r="V1168">
        <v>60000</v>
      </c>
      <c r="W1168">
        <v>0</v>
      </c>
      <c r="X1168" t="s">
        <v>52</v>
      </c>
      <c r="Y1168" t="s">
        <v>53</v>
      </c>
      <c r="Z1168" t="s">
        <v>19</v>
      </c>
      <c r="AA1168" t="s">
        <v>3580</v>
      </c>
      <c r="AB1168" t="s">
        <v>3578</v>
      </c>
      <c r="AC1168" t="s">
        <v>3579</v>
      </c>
      <c r="AD1168" t="s">
        <v>3479</v>
      </c>
      <c r="AE1168" t="s">
        <v>3475</v>
      </c>
      <c r="AF1168" s="2">
        <v>699.09820000000002</v>
      </c>
      <c r="AG1168" s="2">
        <v>413.1463</v>
      </c>
      <c r="AH1168" s="2">
        <v>285.95190000000002</v>
      </c>
      <c r="AI1168" s="3">
        <v>0.409029661355157</v>
      </c>
    </row>
    <row r="1169" spans="1:35">
      <c r="A1169" s="1">
        <v>42360</v>
      </c>
      <c r="B1169" s="1">
        <v>37582</v>
      </c>
      <c r="C1169" t="s">
        <v>6125</v>
      </c>
      <c r="D1169">
        <v>324</v>
      </c>
      <c r="E1169">
        <v>15429</v>
      </c>
      <c r="F1169">
        <v>4</v>
      </c>
      <c r="G1169">
        <v>1</v>
      </c>
      <c r="H1169">
        <v>1</v>
      </c>
      <c r="I1169">
        <v>2</v>
      </c>
      <c r="J1169" t="s">
        <v>3499</v>
      </c>
      <c r="K1169" t="s">
        <v>3500</v>
      </c>
      <c r="L1169" s="2">
        <v>413.1463</v>
      </c>
      <c r="M1169" s="2">
        <v>699.09820000000002</v>
      </c>
      <c r="N1169" t="s">
        <v>13</v>
      </c>
      <c r="O1169" t="s">
        <v>723</v>
      </c>
      <c r="P1169" t="s">
        <v>338</v>
      </c>
      <c r="Q1169" t="s">
        <v>7498</v>
      </c>
      <c r="R1169" s="1">
        <v>28964</v>
      </c>
      <c r="S1169" t="s">
        <v>16</v>
      </c>
      <c r="T1169" t="s">
        <v>16</v>
      </c>
      <c r="U1169" t="s">
        <v>1975</v>
      </c>
      <c r="V1169">
        <v>70000</v>
      </c>
      <c r="W1169">
        <v>0</v>
      </c>
      <c r="X1169" t="s">
        <v>52</v>
      </c>
      <c r="Y1169" t="s">
        <v>53</v>
      </c>
      <c r="Z1169" t="s">
        <v>23</v>
      </c>
      <c r="AA1169" t="s">
        <v>3580</v>
      </c>
      <c r="AB1169" t="s">
        <v>3578</v>
      </c>
      <c r="AC1169" t="s">
        <v>3579</v>
      </c>
      <c r="AD1169" t="s">
        <v>3479</v>
      </c>
      <c r="AE1169" t="s">
        <v>3475</v>
      </c>
      <c r="AF1169" s="2">
        <v>699.09820000000002</v>
      </c>
      <c r="AG1169" s="2">
        <v>413.1463</v>
      </c>
      <c r="AH1169" s="2">
        <v>285.95190000000002</v>
      </c>
      <c r="AI1169" s="3">
        <v>0.409029661355157</v>
      </c>
    </row>
    <row r="1170" spans="1:35">
      <c r="A1170" s="1">
        <v>42361</v>
      </c>
      <c r="B1170" s="1">
        <v>37565</v>
      </c>
      <c r="C1170" t="s">
        <v>6137</v>
      </c>
      <c r="D1170">
        <v>338</v>
      </c>
      <c r="E1170">
        <v>15432</v>
      </c>
      <c r="F1170">
        <v>4</v>
      </c>
      <c r="G1170">
        <v>1</v>
      </c>
      <c r="H1170">
        <v>1</v>
      </c>
      <c r="I1170">
        <v>2</v>
      </c>
      <c r="J1170" t="s">
        <v>3513</v>
      </c>
      <c r="K1170" t="s">
        <v>3514</v>
      </c>
      <c r="L1170" s="2">
        <v>413.1463</v>
      </c>
      <c r="M1170" s="2">
        <v>699.09820000000002</v>
      </c>
      <c r="N1170" t="s">
        <v>13</v>
      </c>
      <c r="O1170" t="s">
        <v>222</v>
      </c>
      <c r="P1170" t="s">
        <v>194</v>
      </c>
      <c r="Q1170" t="s">
        <v>7499</v>
      </c>
      <c r="R1170" s="1">
        <v>28720</v>
      </c>
      <c r="S1170" t="s">
        <v>22</v>
      </c>
      <c r="T1170" t="s">
        <v>16</v>
      </c>
      <c r="U1170" t="s">
        <v>1976</v>
      </c>
      <c r="V1170">
        <v>60000</v>
      </c>
      <c r="W1170">
        <v>0</v>
      </c>
      <c r="X1170" t="s">
        <v>52</v>
      </c>
      <c r="Y1170" t="s">
        <v>53</v>
      </c>
      <c r="Z1170" t="s">
        <v>19</v>
      </c>
      <c r="AA1170" t="s">
        <v>3580</v>
      </c>
      <c r="AB1170" t="s">
        <v>3578</v>
      </c>
      <c r="AC1170" t="s">
        <v>3579</v>
      </c>
      <c r="AD1170" t="s">
        <v>3479</v>
      </c>
      <c r="AE1170" t="s">
        <v>3475</v>
      </c>
      <c r="AF1170" s="2">
        <v>699.09820000000002</v>
      </c>
      <c r="AG1170" s="2">
        <v>413.1463</v>
      </c>
      <c r="AH1170" s="2">
        <v>285.95190000000002</v>
      </c>
      <c r="AI1170" s="3">
        <v>0.409029661355157</v>
      </c>
    </row>
    <row r="1171" spans="1:35">
      <c r="A1171" s="1">
        <v>42345</v>
      </c>
      <c r="B1171" s="1">
        <v>37550</v>
      </c>
      <c r="C1171" t="s">
        <v>5955</v>
      </c>
      <c r="D1171">
        <v>336</v>
      </c>
      <c r="E1171">
        <v>15433</v>
      </c>
      <c r="F1171">
        <v>4</v>
      </c>
      <c r="G1171">
        <v>1</v>
      </c>
      <c r="H1171">
        <v>1</v>
      </c>
      <c r="I1171">
        <v>2</v>
      </c>
      <c r="J1171" t="s">
        <v>3511</v>
      </c>
      <c r="K1171" t="s">
        <v>3512</v>
      </c>
      <c r="L1171" s="2">
        <v>413.1463</v>
      </c>
      <c r="M1171" s="2">
        <v>699.09820000000002</v>
      </c>
      <c r="N1171" t="s">
        <v>13</v>
      </c>
      <c r="O1171" t="s">
        <v>112</v>
      </c>
      <c r="P1171" t="s">
        <v>664</v>
      </c>
      <c r="Q1171" t="s">
        <v>7500</v>
      </c>
      <c r="R1171" s="1">
        <v>28720</v>
      </c>
      <c r="S1171" t="s">
        <v>22</v>
      </c>
      <c r="T1171" t="s">
        <v>16</v>
      </c>
      <c r="U1171" t="s">
        <v>1977</v>
      </c>
      <c r="V1171">
        <v>60000</v>
      </c>
      <c r="W1171">
        <v>0</v>
      </c>
      <c r="X1171" t="s">
        <v>52</v>
      </c>
      <c r="Y1171" t="s">
        <v>53</v>
      </c>
      <c r="Z1171" t="s">
        <v>23</v>
      </c>
      <c r="AA1171" t="s">
        <v>3580</v>
      </c>
      <c r="AB1171" t="s">
        <v>3578</v>
      </c>
      <c r="AC1171" t="s">
        <v>3579</v>
      </c>
      <c r="AD1171" t="s">
        <v>3479</v>
      </c>
      <c r="AE1171" t="s">
        <v>3475</v>
      </c>
      <c r="AF1171" s="2">
        <v>699.09820000000002</v>
      </c>
      <c r="AG1171" s="2">
        <v>413.1463</v>
      </c>
      <c r="AH1171" s="2">
        <v>285.95190000000002</v>
      </c>
      <c r="AI1171" s="3">
        <v>0.409029661355157</v>
      </c>
    </row>
    <row r="1172" spans="1:35">
      <c r="A1172" s="1">
        <v>42097</v>
      </c>
      <c r="B1172" s="1">
        <v>37237</v>
      </c>
      <c r="C1172" t="s">
        <v>4154</v>
      </c>
      <c r="D1172">
        <v>312</v>
      </c>
      <c r="E1172">
        <v>15440</v>
      </c>
      <c r="F1172">
        <v>10</v>
      </c>
      <c r="G1172">
        <v>1</v>
      </c>
      <c r="H1172">
        <v>1</v>
      </c>
      <c r="I1172">
        <v>2</v>
      </c>
      <c r="J1172" t="s">
        <v>3489</v>
      </c>
      <c r="K1172" t="s">
        <v>3490</v>
      </c>
      <c r="L1172" s="2">
        <v>2171.2941999999998</v>
      </c>
      <c r="M1172" s="2">
        <v>3578.27</v>
      </c>
      <c r="N1172" t="s">
        <v>13</v>
      </c>
      <c r="O1172" t="s">
        <v>14</v>
      </c>
      <c r="P1172" t="s">
        <v>490</v>
      </c>
      <c r="Q1172" t="s">
        <v>7501</v>
      </c>
      <c r="R1172" s="1">
        <v>27111</v>
      </c>
      <c r="S1172" t="s">
        <v>16</v>
      </c>
      <c r="T1172" t="s">
        <v>16</v>
      </c>
      <c r="U1172" t="s">
        <v>1978</v>
      </c>
      <c r="V1172">
        <v>10000</v>
      </c>
      <c r="W1172">
        <v>0</v>
      </c>
      <c r="X1172" t="s">
        <v>135</v>
      </c>
      <c r="Y1172" t="s">
        <v>444</v>
      </c>
      <c r="Z1172" t="s">
        <v>19</v>
      </c>
      <c r="AA1172" t="s">
        <v>3588</v>
      </c>
      <c r="AB1172" t="s">
        <v>3588</v>
      </c>
      <c r="AC1172" t="s">
        <v>3584</v>
      </c>
      <c r="AD1172" t="s">
        <v>3479</v>
      </c>
      <c r="AE1172" t="s">
        <v>3475</v>
      </c>
      <c r="AF1172" s="2">
        <v>3578.27</v>
      </c>
      <c r="AG1172" s="2">
        <v>2171.2941999999998</v>
      </c>
      <c r="AH1172" s="2">
        <v>1406.9757999999999</v>
      </c>
      <c r="AI1172" s="3">
        <v>0.39320001006072802</v>
      </c>
    </row>
    <row r="1173" spans="1:35">
      <c r="A1173" s="1">
        <v>42101</v>
      </c>
      <c r="B1173" s="1">
        <v>37236</v>
      </c>
      <c r="C1173" t="s">
        <v>4179</v>
      </c>
      <c r="D1173">
        <v>313</v>
      </c>
      <c r="E1173">
        <v>15453</v>
      </c>
      <c r="F1173">
        <v>10</v>
      </c>
      <c r="G1173">
        <v>1</v>
      </c>
      <c r="H1173">
        <v>1</v>
      </c>
      <c r="I1173">
        <v>2</v>
      </c>
      <c r="J1173" t="s">
        <v>3491</v>
      </c>
      <c r="K1173" t="s">
        <v>3492</v>
      </c>
      <c r="L1173" s="2">
        <v>2171.2941999999998</v>
      </c>
      <c r="M1173" s="2">
        <v>3578.27</v>
      </c>
      <c r="N1173" t="s">
        <v>30</v>
      </c>
      <c r="O1173" t="s">
        <v>1040</v>
      </c>
      <c r="P1173" t="s">
        <v>291</v>
      </c>
      <c r="Q1173" t="s">
        <v>7502</v>
      </c>
      <c r="R1173" s="1">
        <v>21408</v>
      </c>
      <c r="S1173" t="s">
        <v>16</v>
      </c>
      <c r="T1173" t="s">
        <v>29</v>
      </c>
      <c r="U1173" t="s">
        <v>1979</v>
      </c>
      <c r="V1173">
        <v>20000</v>
      </c>
      <c r="W1173">
        <v>1</v>
      </c>
      <c r="X1173" t="s">
        <v>17</v>
      </c>
      <c r="Y1173" t="s">
        <v>444</v>
      </c>
      <c r="Z1173" t="s">
        <v>19</v>
      </c>
      <c r="AA1173" t="s">
        <v>3588</v>
      </c>
      <c r="AB1173" t="s">
        <v>3588</v>
      </c>
      <c r="AC1173" t="s">
        <v>3584</v>
      </c>
      <c r="AD1173" t="s">
        <v>3479</v>
      </c>
      <c r="AE1173" t="s">
        <v>3475</v>
      </c>
      <c r="AF1173" s="2">
        <v>3578.27</v>
      </c>
      <c r="AG1173" s="2">
        <v>2171.2941999999998</v>
      </c>
      <c r="AH1173" s="2">
        <v>1406.9757999999999</v>
      </c>
      <c r="AI1173" s="3">
        <v>0.39320001006072802</v>
      </c>
    </row>
    <row r="1174" spans="1:35">
      <c r="A1174" s="1">
        <v>42216</v>
      </c>
      <c r="B1174" s="1">
        <v>37416</v>
      </c>
      <c r="C1174" t="s">
        <v>5003</v>
      </c>
      <c r="D1174">
        <v>371</v>
      </c>
      <c r="E1174">
        <v>15454</v>
      </c>
      <c r="F1174">
        <v>8</v>
      </c>
      <c r="G1174">
        <v>1</v>
      </c>
      <c r="H1174">
        <v>1</v>
      </c>
      <c r="I1174">
        <v>2</v>
      </c>
      <c r="J1174" t="s">
        <v>3553</v>
      </c>
      <c r="K1174" t="s">
        <v>3554</v>
      </c>
      <c r="L1174" s="2">
        <v>1320.6838</v>
      </c>
      <c r="M1174" s="2">
        <v>2181.5625</v>
      </c>
      <c r="N1174" t="s">
        <v>13</v>
      </c>
      <c r="O1174" t="s">
        <v>46</v>
      </c>
      <c r="P1174" t="s">
        <v>49</v>
      </c>
      <c r="Q1174" t="s">
        <v>7503</v>
      </c>
      <c r="R1174" s="1">
        <v>20335</v>
      </c>
      <c r="S1174" t="s">
        <v>16</v>
      </c>
      <c r="T1174" t="s">
        <v>16</v>
      </c>
      <c r="U1174" t="s">
        <v>1980</v>
      </c>
      <c r="V1174">
        <v>20000</v>
      </c>
      <c r="W1174">
        <v>1</v>
      </c>
      <c r="X1174" t="s">
        <v>17</v>
      </c>
      <c r="Y1174" t="s">
        <v>60</v>
      </c>
      <c r="Z1174" t="s">
        <v>19</v>
      </c>
      <c r="AA1174" t="s">
        <v>3585</v>
      </c>
      <c r="AB1174" t="s">
        <v>3585</v>
      </c>
      <c r="AC1174" t="s">
        <v>3584</v>
      </c>
      <c r="AD1174" t="s">
        <v>3479</v>
      </c>
      <c r="AE1174" t="s">
        <v>3475</v>
      </c>
      <c r="AF1174" s="2">
        <v>2181.5625</v>
      </c>
      <c r="AG1174" s="2">
        <v>1320.6838</v>
      </c>
      <c r="AH1174" s="2">
        <v>860.87869999999998</v>
      </c>
      <c r="AI1174" s="3">
        <v>0.39461564818793898</v>
      </c>
    </row>
    <row r="1175" spans="1:35">
      <c r="A1175" s="1">
        <v>42208</v>
      </c>
      <c r="B1175" s="1">
        <v>37392</v>
      </c>
      <c r="C1175" t="s">
        <v>4945</v>
      </c>
      <c r="D1175">
        <v>375</v>
      </c>
      <c r="E1175">
        <v>15456</v>
      </c>
      <c r="F1175">
        <v>8</v>
      </c>
      <c r="G1175">
        <v>1</v>
      </c>
      <c r="H1175">
        <v>1</v>
      </c>
      <c r="I1175">
        <v>2</v>
      </c>
      <c r="J1175" t="s">
        <v>3557</v>
      </c>
      <c r="K1175" t="s">
        <v>3558</v>
      </c>
      <c r="L1175" s="2">
        <v>1320.6838</v>
      </c>
      <c r="M1175" s="2">
        <v>2181.5625</v>
      </c>
      <c r="N1175" t="s">
        <v>13</v>
      </c>
      <c r="O1175" t="s">
        <v>169</v>
      </c>
      <c r="P1175" t="s">
        <v>907</v>
      </c>
      <c r="Q1175" t="s">
        <v>7504</v>
      </c>
      <c r="R1175" s="1">
        <v>14898</v>
      </c>
      <c r="S1175" t="s">
        <v>22</v>
      </c>
      <c r="T1175" t="s">
        <v>16</v>
      </c>
      <c r="U1175" t="s">
        <v>1981</v>
      </c>
      <c r="V1175">
        <v>20000</v>
      </c>
      <c r="W1175">
        <v>1</v>
      </c>
      <c r="X1175" t="s">
        <v>17</v>
      </c>
      <c r="Y1175" t="s">
        <v>60</v>
      </c>
      <c r="Z1175" t="s">
        <v>19</v>
      </c>
      <c r="AA1175" t="s">
        <v>3585</v>
      </c>
      <c r="AB1175" t="s">
        <v>3585</v>
      </c>
      <c r="AC1175" t="s">
        <v>3584</v>
      </c>
      <c r="AD1175" t="s">
        <v>3479</v>
      </c>
      <c r="AE1175" t="s">
        <v>3475</v>
      </c>
      <c r="AF1175" s="2">
        <v>2181.5625</v>
      </c>
      <c r="AG1175" s="2">
        <v>1320.6838</v>
      </c>
      <c r="AH1175" s="2">
        <v>860.87869999999998</v>
      </c>
      <c r="AI1175" s="3">
        <v>0.39461564818793898</v>
      </c>
    </row>
    <row r="1176" spans="1:35">
      <c r="A1176" s="1">
        <v>42188</v>
      </c>
      <c r="B1176" s="1">
        <v>37351</v>
      </c>
      <c r="C1176" t="s">
        <v>4774</v>
      </c>
      <c r="D1176">
        <v>379</v>
      </c>
      <c r="E1176">
        <v>15457</v>
      </c>
      <c r="F1176">
        <v>8</v>
      </c>
      <c r="G1176">
        <v>1</v>
      </c>
      <c r="H1176">
        <v>1</v>
      </c>
      <c r="I1176">
        <v>2</v>
      </c>
      <c r="J1176" t="s">
        <v>3561</v>
      </c>
      <c r="K1176" t="s">
        <v>3562</v>
      </c>
      <c r="L1176" s="2">
        <v>1320.6838</v>
      </c>
      <c r="M1176" s="2">
        <v>2181.5625</v>
      </c>
      <c r="N1176" t="s">
        <v>30</v>
      </c>
      <c r="O1176" t="s">
        <v>904</v>
      </c>
      <c r="P1176" t="s">
        <v>290</v>
      </c>
      <c r="Q1176" t="s">
        <v>7505</v>
      </c>
      <c r="R1176" s="1">
        <v>15035</v>
      </c>
      <c r="S1176" t="s">
        <v>16</v>
      </c>
      <c r="T1176" t="s">
        <v>29</v>
      </c>
      <c r="U1176" t="s">
        <v>1982</v>
      </c>
      <c r="V1176">
        <v>20000</v>
      </c>
      <c r="W1176">
        <v>1</v>
      </c>
      <c r="X1176" t="s">
        <v>52</v>
      </c>
      <c r="Y1176" t="s">
        <v>444</v>
      </c>
      <c r="Z1176" t="s">
        <v>19</v>
      </c>
      <c r="AA1176" t="s">
        <v>3585</v>
      </c>
      <c r="AB1176" t="s">
        <v>3585</v>
      </c>
      <c r="AC1176" t="s">
        <v>3584</v>
      </c>
      <c r="AD1176" t="s">
        <v>3479</v>
      </c>
      <c r="AE1176" t="s">
        <v>3475</v>
      </c>
      <c r="AF1176" s="2">
        <v>2181.5625</v>
      </c>
      <c r="AG1176" s="2">
        <v>1320.6838</v>
      </c>
      <c r="AH1176" s="2">
        <v>860.87869999999998</v>
      </c>
      <c r="AI1176" s="3">
        <v>0.39461564818793898</v>
      </c>
    </row>
    <row r="1177" spans="1:35">
      <c r="A1177" s="1">
        <v>42186</v>
      </c>
      <c r="B1177" s="1">
        <v>37379</v>
      </c>
      <c r="C1177" t="s">
        <v>4763</v>
      </c>
      <c r="D1177">
        <v>371</v>
      </c>
      <c r="E1177">
        <v>15460</v>
      </c>
      <c r="F1177">
        <v>8</v>
      </c>
      <c r="G1177">
        <v>1</v>
      </c>
      <c r="H1177">
        <v>1</v>
      </c>
      <c r="I1177">
        <v>2</v>
      </c>
      <c r="J1177" t="s">
        <v>3553</v>
      </c>
      <c r="K1177" t="s">
        <v>3554</v>
      </c>
      <c r="L1177" s="2">
        <v>1320.6838</v>
      </c>
      <c r="M1177" s="2">
        <v>2181.5625</v>
      </c>
      <c r="N1177" t="s">
        <v>30</v>
      </c>
      <c r="O1177" t="s">
        <v>86</v>
      </c>
      <c r="P1177" t="s">
        <v>115</v>
      </c>
      <c r="Q1177" t="s">
        <v>7506</v>
      </c>
      <c r="R1177" s="1">
        <v>15385</v>
      </c>
      <c r="S1177" t="s">
        <v>16</v>
      </c>
      <c r="T1177" t="s">
        <v>29</v>
      </c>
      <c r="U1177" t="s">
        <v>1983</v>
      </c>
      <c r="V1177">
        <v>20000</v>
      </c>
      <c r="W1177">
        <v>1</v>
      </c>
      <c r="X1177" t="s">
        <v>52</v>
      </c>
      <c r="Y1177" t="s">
        <v>444</v>
      </c>
      <c r="Z1177" t="s">
        <v>19</v>
      </c>
      <c r="AA1177" t="s">
        <v>3585</v>
      </c>
      <c r="AB1177" t="s">
        <v>3585</v>
      </c>
      <c r="AC1177" t="s">
        <v>3584</v>
      </c>
      <c r="AD1177" t="s">
        <v>3479</v>
      </c>
      <c r="AE1177" t="s">
        <v>3475</v>
      </c>
      <c r="AF1177" s="2">
        <v>2181.5625</v>
      </c>
      <c r="AG1177" s="2">
        <v>1320.6838</v>
      </c>
      <c r="AH1177" s="2">
        <v>860.87869999999998</v>
      </c>
      <c r="AI1177" s="3">
        <v>0.39461564818793898</v>
      </c>
    </row>
    <row r="1178" spans="1:35">
      <c r="A1178" s="1">
        <v>42342</v>
      </c>
      <c r="B1178" s="1">
        <v>37567</v>
      </c>
      <c r="C1178" t="s">
        <v>5934</v>
      </c>
      <c r="D1178">
        <v>324</v>
      </c>
      <c r="E1178">
        <v>15466</v>
      </c>
      <c r="F1178">
        <v>4</v>
      </c>
      <c r="G1178">
        <v>1</v>
      </c>
      <c r="H1178">
        <v>1</v>
      </c>
      <c r="I1178">
        <v>2</v>
      </c>
      <c r="J1178" t="s">
        <v>3499</v>
      </c>
      <c r="K1178" t="s">
        <v>3500</v>
      </c>
      <c r="L1178" s="2">
        <v>413.1463</v>
      </c>
      <c r="M1178" s="2">
        <v>699.09820000000002</v>
      </c>
      <c r="N1178" t="s">
        <v>13</v>
      </c>
      <c r="O1178" t="s">
        <v>435</v>
      </c>
      <c r="P1178" t="s">
        <v>187</v>
      </c>
      <c r="Q1178" t="s">
        <v>7507</v>
      </c>
      <c r="R1178" s="1">
        <v>25576</v>
      </c>
      <c r="S1178" t="s">
        <v>16</v>
      </c>
      <c r="T1178" t="s">
        <v>16</v>
      </c>
      <c r="U1178" t="s">
        <v>1984</v>
      </c>
      <c r="V1178">
        <v>50000</v>
      </c>
      <c r="W1178">
        <v>1</v>
      </c>
      <c r="X1178" t="s">
        <v>17</v>
      </c>
      <c r="Y1178" t="s">
        <v>53</v>
      </c>
      <c r="Z1178" t="s">
        <v>19</v>
      </c>
      <c r="AA1178" t="s">
        <v>3580</v>
      </c>
      <c r="AB1178" t="s">
        <v>3578</v>
      </c>
      <c r="AC1178" t="s">
        <v>3579</v>
      </c>
      <c r="AD1178" t="s">
        <v>3479</v>
      </c>
      <c r="AE1178" t="s">
        <v>3475</v>
      </c>
      <c r="AF1178" s="2">
        <v>699.09820000000002</v>
      </c>
      <c r="AG1178" s="2">
        <v>413.1463</v>
      </c>
      <c r="AH1178" s="2">
        <v>285.95190000000002</v>
      </c>
      <c r="AI1178" s="3">
        <v>0.409029661355157</v>
      </c>
    </row>
    <row r="1179" spans="1:35">
      <c r="A1179" s="1">
        <v>42362</v>
      </c>
      <c r="B1179" s="1">
        <v>37572</v>
      </c>
      <c r="C1179" t="s">
        <v>6150</v>
      </c>
      <c r="D1179">
        <v>332</v>
      </c>
      <c r="E1179">
        <v>15467</v>
      </c>
      <c r="F1179">
        <v>4</v>
      </c>
      <c r="G1179">
        <v>1</v>
      </c>
      <c r="H1179">
        <v>1</v>
      </c>
      <c r="I1179">
        <v>2</v>
      </c>
      <c r="J1179" t="s">
        <v>3507</v>
      </c>
      <c r="K1179" t="s">
        <v>3508</v>
      </c>
      <c r="L1179" s="2">
        <v>413.1463</v>
      </c>
      <c r="M1179" s="2">
        <v>699.09820000000002</v>
      </c>
      <c r="N1179" t="s">
        <v>13</v>
      </c>
      <c r="O1179" t="s">
        <v>149</v>
      </c>
      <c r="P1179" t="s">
        <v>468</v>
      </c>
      <c r="Q1179" t="s">
        <v>7508</v>
      </c>
      <c r="R1179" s="1">
        <v>25782</v>
      </c>
      <c r="S1179" t="s">
        <v>16</v>
      </c>
      <c r="T1179" t="s">
        <v>16</v>
      </c>
      <c r="U1179" t="s">
        <v>1985</v>
      </c>
      <c r="V1179">
        <v>50000</v>
      </c>
      <c r="W1179">
        <v>1</v>
      </c>
      <c r="X1179" t="s">
        <v>17</v>
      </c>
      <c r="Y1179" t="s">
        <v>53</v>
      </c>
      <c r="Z1179" t="s">
        <v>19</v>
      </c>
      <c r="AA1179" t="s">
        <v>3580</v>
      </c>
      <c r="AB1179" t="s">
        <v>3578</v>
      </c>
      <c r="AC1179" t="s">
        <v>3579</v>
      </c>
      <c r="AD1179" t="s">
        <v>3479</v>
      </c>
      <c r="AE1179" t="s">
        <v>3475</v>
      </c>
      <c r="AF1179" s="2">
        <v>699.09820000000002</v>
      </c>
      <c r="AG1179" s="2">
        <v>413.1463</v>
      </c>
      <c r="AH1179" s="2">
        <v>285.95190000000002</v>
      </c>
      <c r="AI1179" s="3">
        <v>0.409029661355157</v>
      </c>
    </row>
    <row r="1180" spans="1:35">
      <c r="A1180" s="1">
        <v>42343</v>
      </c>
      <c r="B1180" s="1">
        <v>37548</v>
      </c>
      <c r="C1180" t="s">
        <v>5940</v>
      </c>
      <c r="D1180">
        <v>326</v>
      </c>
      <c r="E1180">
        <v>15471</v>
      </c>
      <c r="F1180">
        <v>4</v>
      </c>
      <c r="G1180">
        <v>1</v>
      </c>
      <c r="H1180">
        <v>1</v>
      </c>
      <c r="I1180">
        <v>2</v>
      </c>
      <c r="J1180" t="s">
        <v>3501</v>
      </c>
      <c r="K1180" t="s">
        <v>3502</v>
      </c>
      <c r="L1180" s="2">
        <v>413.1463</v>
      </c>
      <c r="M1180" s="2">
        <v>699.09820000000002</v>
      </c>
      <c r="N1180" t="s">
        <v>30</v>
      </c>
      <c r="O1180" t="s">
        <v>65</v>
      </c>
      <c r="P1180" t="s">
        <v>688</v>
      </c>
      <c r="Q1180" t="s">
        <v>7509</v>
      </c>
      <c r="R1180" s="1">
        <v>25270</v>
      </c>
      <c r="S1180" t="s">
        <v>22</v>
      </c>
      <c r="T1180" t="s">
        <v>29</v>
      </c>
      <c r="U1180" t="s">
        <v>1986</v>
      </c>
      <c r="V1180">
        <v>50000</v>
      </c>
      <c r="W1180">
        <v>2</v>
      </c>
      <c r="X1180" t="s">
        <v>17</v>
      </c>
      <c r="Y1180" t="s">
        <v>53</v>
      </c>
      <c r="Z1180" t="s">
        <v>19</v>
      </c>
      <c r="AA1180" t="s">
        <v>3580</v>
      </c>
      <c r="AB1180" t="s">
        <v>3578</v>
      </c>
      <c r="AC1180" t="s">
        <v>3579</v>
      </c>
      <c r="AD1180" t="s">
        <v>3479</v>
      </c>
      <c r="AE1180" t="s">
        <v>3475</v>
      </c>
      <c r="AF1180" s="2">
        <v>699.09820000000002</v>
      </c>
      <c r="AG1180" s="2">
        <v>413.1463</v>
      </c>
      <c r="AH1180" s="2">
        <v>285.95190000000002</v>
      </c>
      <c r="AI1180" s="3">
        <v>0.409029661355157</v>
      </c>
    </row>
    <row r="1181" spans="1:35">
      <c r="A1181" s="1">
        <v>42340</v>
      </c>
      <c r="B1181" s="1">
        <v>37492</v>
      </c>
      <c r="C1181" t="s">
        <v>5914</v>
      </c>
      <c r="D1181">
        <v>320</v>
      </c>
      <c r="E1181">
        <v>15472</v>
      </c>
      <c r="F1181">
        <v>1</v>
      </c>
      <c r="G1181">
        <v>1</v>
      </c>
      <c r="H1181">
        <v>1</v>
      </c>
      <c r="I1181">
        <v>2</v>
      </c>
      <c r="J1181" t="s">
        <v>3495</v>
      </c>
      <c r="K1181" t="s">
        <v>3496</v>
      </c>
      <c r="L1181" s="2">
        <v>413.1463</v>
      </c>
      <c r="M1181" s="2">
        <v>699.09820000000002</v>
      </c>
      <c r="N1181" t="s">
        <v>30</v>
      </c>
      <c r="O1181" t="s">
        <v>98</v>
      </c>
      <c r="P1181" t="s">
        <v>25</v>
      </c>
      <c r="Q1181" t="s">
        <v>7510</v>
      </c>
      <c r="R1181" s="1">
        <v>25494</v>
      </c>
      <c r="S1181" t="s">
        <v>22</v>
      </c>
      <c r="T1181" t="s">
        <v>29</v>
      </c>
      <c r="U1181" t="s">
        <v>1987</v>
      </c>
      <c r="V1181">
        <v>50000</v>
      </c>
      <c r="W1181">
        <v>2</v>
      </c>
      <c r="X1181" t="s">
        <v>17</v>
      </c>
      <c r="Y1181" t="s">
        <v>53</v>
      </c>
      <c r="Z1181" t="s">
        <v>19</v>
      </c>
      <c r="AA1181" t="s">
        <v>3577</v>
      </c>
      <c r="AB1181" t="s">
        <v>3578</v>
      </c>
      <c r="AC1181" t="s">
        <v>3579</v>
      </c>
      <c r="AD1181" t="s">
        <v>3479</v>
      </c>
      <c r="AE1181" t="s">
        <v>3475</v>
      </c>
      <c r="AF1181" s="2">
        <v>699.09820000000002</v>
      </c>
      <c r="AG1181" s="2">
        <v>413.1463</v>
      </c>
      <c r="AH1181" s="2">
        <v>285.95190000000002</v>
      </c>
      <c r="AI1181" s="3">
        <v>0.409029661355157</v>
      </c>
    </row>
    <row r="1182" spans="1:35">
      <c r="A1182" s="1">
        <v>42339</v>
      </c>
      <c r="B1182" s="1">
        <v>37569</v>
      </c>
      <c r="C1182" t="s">
        <v>5898</v>
      </c>
      <c r="D1182">
        <v>326</v>
      </c>
      <c r="E1182">
        <v>15473</v>
      </c>
      <c r="F1182">
        <v>4</v>
      </c>
      <c r="G1182">
        <v>1</v>
      </c>
      <c r="H1182">
        <v>1</v>
      </c>
      <c r="I1182">
        <v>2</v>
      </c>
      <c r="J1182" t="s">
        <v>3501</v>
      </c>
      <c r="K1182" t="s">
        <v>3502</v>
      </c>
      <c r="L1182" s="2">
        <v>413.1463</v>
      </c>
      <c r="M1182" s="2">
        <v>699.09820000000002</v>
      </c>
      <c r="N1182" t="s">
        <v>30</v>
      </c>
      <c r="O1182" t="s">
        <v>182</v>
      </c>
      <c r="P1182" t="s">
        <v>47</v>
      </c>
      <c r="Q1182" t="s">
        <v>7511</v>
      </c>
      <c r="R1182" s="1">
        <v>25308</v>
      </c>
      <c r="S1182" t="s">
        <v>22</v>
      </c>
      <c r="T1182" t="s">
        <v>29</v>
      </c>
      <c r="U1182" t="s">
        <v>1988</v>
      </c>
      <c r="V1182">
        <v>50000</v>
      </c>
      <c r="W1182">
        <v>2</v>
      </c>
      <c r="X1182" t="s">
        <v>17</v>
      </c>
      <c r="Y1182" t="s">
        <v>53</v>
      </c>
      <c r="Z1182" t="s">
        <v>23</v>
      </c>
      <c r="AA1182" t="s">
        <v>3580</v>
      </c>
      <c r="AB1182" t="s">
        <v>3578</v>
      </c>
      <c r="AC1182" t="s">
        <v>3579</v>
      </c>
      <c r="AD1182" t="s">
        <v>3479</v>
      </c>
      <c r="AE1182" t="s">
        <v>3475</v>
      </c>
      <c r="AF1182" s="2">
        <v>699.09820000000002</v>
      </c>
      <c r="AG1182" s="2">
        <v>413.1463</v>
      </c>
      <c r="AH1182" s="2">
        <v>285.95190000000002</v>
      </c>
      <c r="AI1182" s="3">
        <v>0.409029661355157</v>
      </c>
    </row>
    <row r="1183" spans="1:35">
      <c r="A1183" s="1">
        <v>42360</v>
      </c>
      <c r="B1183" s="1">
        <v>37572</v>
      </c>
      <c r="C1183" t="s">
        <v>6128</v>
      </c>
      <c r="D1183">
        <v>336</v>
      </c>
      <c r="E1183">
        <v>15474</v>
      </c>
      <c r="F1183">
        <v>4</v>
      </c>
      <c r="G1183">
        <v>1</v>
      </c>
      <c r="H1183">
        <v>1</v>
      </c>
      <c r="I1183">
        <v>2</v>
      </c>
      <c r="J1183" t="s">
        <v>3511</v>
      </c>
      <c r="K1183" t="s">
        <v>3512</v>
      </c>
      <c r="L1183" s="2">
        <v>413.1463</v>
      </c>
      <c r="M1183" s="2">
        <v>699.09820000000002</v>
      </c>
      <c r="N1183" t="s">
        <v>13</v>
      </c>
      <c r="O1183" t="s">
        <v>415</v>
      </c>
      <c r="P1183" t="s">
        <v>62</v>
      </c>
      <c r="Q1183" t="s">
        <v>7512</v>
      </c>
      <c r="R1183" s="1">
        <v>25325</v>
      </c>
      <c r="S1183" t="s">
        <v>16</v>
      </c>
      <c r="T1183" t="s">
        <v>16</v>
      </c>
      <c r="U1183" t="s">
        <v>1989</v>
      </c>
      <c r="V1183">
        <v>50000</v>
      </c>
      <c r="W1183">
        <v>2</v>
      </c>
      <c r="X1183" t="s">
        <v>17</v>
      </c>
      <c r="Y1183" t="s">
        <v>53</v>
      </c>
      <c r="Z1183" t="s">
        <v>19</v>
      </c>
      <c r="AA1183" t="s">
        <v>3580</v>
      </c>
      <c r="AB1183" t="s">
        <v>3578</v>
      </c>
      <c r="AC1183" t="s">
        <v>3579</v>
      </c>
      <c r="AD1183" t="s">
        <v>3479</v>
      </c>
      <c r="AE1183" t="s">
        <v>3475</v>
      </c>
      <c r="AF1183" s="2">
        <v>699.09820000000002</v>
      </c>
      <c r="AG1183" s="2">
        <v>413.1463</v>
      </c>
      <c r="AH1183" s="2">
        <v>285.95190000000002</v>
      </c>
      <c r="AI1183" s="3">
        <v>0.409029661355157</v>
      </c>
    </row>
    <row r="1184" spans="1:35">
      <c r="A1184" s="1">
        <v>42360</v>
      </c>
      <c r="B1184" s="1">
        <v>37536</v>
      </c>
      <c r="C1184" t="s">
        <v>6132</v>
      </c>
      <c r="D1184">
        <v>334</v>
      </c>
      <c r="E1184">
        <v>15475</v>
      </c>
      <c r="F1184">
        <v>4</v>
      </c>
      <c r="G1184">
        <v>1</v>
      </c>
      <c r="H1184">
        <v>1</v>
      </c>
      <c r="I1184">
        <v>2</v>
      </c>
      <c r="J1184" t="s">
        <v>3509</v>
      </c>
      <c r="K1184" t="s">
        <v>3510</v>
      </c>
      <c r="L1184" s="2">
        <v>413.1463</v>
      </c>
      <c r="M1184" s="2">
        <v>699.09820000000002</v>
      </c>
      <c r="N1184" t="s">
        <v>30</v>
      </c>
      <c r="O1184" t="s">
        <v>703</v>
      </c>
      <c r="P1184" t="s">
        <v>286</v>
      </c>
      <c r="Q1184" t="s">
        <v>7513</v>
      </c>
      <c r="R1184" s="1">
        <v>25494</v>
      </c>
      <c r="S1184" t="s">
        <v>22</v>
      </c>
      <c r="T1184" t="s">
        <v>29</v>
      </c>
      <c r="U1184" t="s">
        <v>1990</v>
      </c>
      <c r="V1184">
        <v>50000</v>
      </c>
      <c r="W1184">
        <v>2</v>
      </c>
      <c r="X1184" t="s">
        <v>17</v>
      </c>
      <c r="Y1184" t="s">
        <v>53</v>
      </c>
      <c r="Z1184" t="s">
        <v>19</v>
      </c>
      <c r="AA1184" t="s">
        <v>3580</v>
      </c>
      <c r="AB1184" t="s">
        <v>3578</v>
      </c>
      <c r="AC1184" t="s">
        <v>3579</v>
      </c>
      <c r="AD1184" t="s">
        <v>3479</v>
      </c>
      <c r="AE1184" t="s">
        <v>3475</v>
      </c>
      <c r="AF1184" s="2">
        <v>699.09820000000002</v>
      </c>
      <c r="AG1184" s="2">
        <v>413.1463</v>
      </c>
      <c r="AH1184" s="2">
        <v>285.95190000000002</v>
      </c>
      <c r="AI1184" s="3">
        <v>0.409029661355157</v>
      </c>
    </row>
    <row r="1185" spans="1:35">
      <c r="A1185" s="1">
        <v>42109</v>
      </c>
      <c r="B1185" s="1">
        <v>37258</v>
      </c>
      <c r="C1185" t="s">
        <v>4223</v>
      </c>
      <c r="D1185">
        <v>314</v>
      </c>
      <c r="E1185">
        <v>15614</v>
      </c>
      <c r="F1185">
        <v>10</v>
      </c>
      <c r="G1185">
        <v>1</v>
      </c>
      <c r="H1185">
        <v>1</v>
      </c>
      <c r="I1185">
        <v>2</v>
      </c>
      <c r="J1185" t="s">
        <v>3493</v>
      </c>
      <c r="K1185" t="s">
        <v>3494</v>
      </c>
      <c r="L1185" s="2">
        <v>2171.2941999999998</v>
      </c>
      <c r="M1185" s="2">
        <v>3578.27</v>
      </c>
      <c r="N1185" t="s">
        <v>30</v>
      </c>
      <c r="O1185" t="s">
        <v>793</v>
      </c>
      <c r="P1185" t="s">
        <v>111</v>
      </c>
      <c r="Q1185" t="s">
        <v>7514</v>
      </c>
      <c r="R1185" s="1">
        <v>27347</v>
      </c>
      <c r="S1185" t="s">
        <v>16</v>
      </c>
      <c r="T1185" t="s">
        <v>29</v>
      </c>
      <c r="U1185" t="s">
        <v>1991</v>
      </c>
      <c r="V1185">
        <v>40000</v>
      </c>
      <c r="W1185">
        <v>1</v>
      </c>
      <c r="X1185" t="s">
        <v>17</v>
      </c>
      <c r="Y1185" t="s">
        <v>53</v>
      </c>
      <c r="Z1185" t="s">
        <v>19</v>
      </c>
      <c r="AA1185" t="s">
        <v>3588</v>
      </c>
      <c r="AB1185" t="s">
        <v>3588</v>
      </c>
      <c r="AC1185" t="s">
        <v>3584</v>
      </c>
      <c r="AD1185" t="s">
        <v>3479</v>
      </c>
      <c r="AE1185" t="s">
        <v>3475</v>
      </c>
      <c r="AF1185" s="2">
        <v>3578.27</v>
      </c>
      <c r="AG1185" s="2">
        <v>2171.2941999999998</v>
      </c>
      <c r="AH1185" s="2">
        <v>1406.9757999999999</v>
      </c>
      <c r="AI1185" s="3">
        <v>0.39320001006072802</v>
      </c>
    </row>
    <row r="1186" spans="1:35">
      <c r="A1186" s="1">
        <v>42109</v>
      </c>
      <c r="B1186" s="1">
        <v>37295</v>
      </c>
      <c r="C1186" t="s">
        <v>4228</v>
      </c>
      <c r="D1186">
        <v>310</v>
      </c>
      <c r="E1186">
        <v>15619</v>
      </c>
      <c r="F1186">
        <v>10</v>
      </c>
      <c r="G1186">
        <v>1</v>
      </c>
      <c r="H1186">
        <v>1</v>
      </c>
      <c r="I1186">
        <v>2</v>
      </c>
      <c r="J1186" t="s">
        <v>3485</v>
      </c>
      <c r="K1186" t="s">
        <v>3486</v>
      </c>
      <c r="L1186" s="2">
        <v>2171.2941999999998</v>
      </c>
      <c r="M1186" s="2">
        <v>3578.27</v>
      </c>
      <c r="N1186" t="s">
        <v>13</v>
      </c>
      <c r="O1186" t="s">
        <v>162</v>
      </c>
      <c r="P1186" t="s">
        <v>561</v>
      </c>
      <c r="Q1186" t="s">
        <v>7515</v>
      </c>
      <c r="R1186" s="1">
        <v>26749</v>
      </c>
      <c r="S1186" t="s">
        <v>16</v>
      </c>
      <c r="T1186" t="s">
        <v>16</v>
      </c>
      <c r="U1186" t="s">
        <v>1992</v>
      </c>
      <c r="V1186">
        <v>40000</v>
      </c>
      <c r="W1186">
        <v>1</v>
      </c>
      <c r="X1186" t="s">
        <v>17</v>
      </c>
      <c r="Y1186" t="s">
        <v>53</v>
      </c>
      <c r="Z1186" t="s">
        <v>19</v>
      </c>
      <c r="AA1186" t="s">
        <v>3588</v>
      </c>
      <c r="AB1186" t="s">
        <v>3588</v>
      </c>
      <c r="AC1186" t="s">
        <v>3584</v>
      </c>
      <c r="AD1186" t="s">
        <v>3479</v>
      </c>
      <c r="AE1186" t="s">
        <v>3475</v>
      </c>
      <c r="AF1186" s="2">
        <v>3578.27</v>
      </c>
      <c r="AG1186" s="2">
        <v>2171.2941999999998</v>
      </c>
      <c r="AH1186" s="2">
        <v>1406.9757999999999</v>
      </c>
      <c r="AI1186" s="3">
        <v>0.39320001006072802</v>
      </c>
    </row>
    <row r="1187" spans="1:35">
      <c r="A1187" s="1">
        <v>42101</v>
      </c>
      <c r="B1187" s="1">
        <v>37295</v>
      </c>
      <c r="C1187" t="s">
        <v>4175</v>
      </c>
      <c r="D1187">
        <v>312</v>
      </c>
      <c r="E1187">
        <v>15620</v>
      </c>
      <c r="F1187">
        <v>10</v>
      </c>
      <c r="G1187">
        <v>1</v>
      </c>
      <c r="H1187">
        <v>1</v>
      </c>
      <c r="I1187">
        <v>2</v>
      </c>
      <c r="J1187" t="s">
        <v>3489</v>
      </c>
      <c r="K1187" t="s">
        <v>3490</v>
      </c>
      <c r="L1187" s="2">
        <v>2171.2941999999998</v>
      </c>
      <c r="M1187" s="2">
        <v>3578.27</v>
      </c>
      <c r="N1187" t="s">
        <v>26</v>
      </c>
      <c r="O1187" t="s">
        <v>524</v>
      </c>
      <c r="P1187" t="s">
        <v>561</v>
      </c>
      <c r="Q1187" t="s">
        <v>7516</v>
      </c>
      <c r="R1187" s="1">
        <v>26803</v>
      </c>
      <c r="S1187" t="s">
        <v>22</v>
      </c>
      <c r="T1187" t="s">
        <v>29</v>
      </c>
      <c r="U1187" t="s">
        <v>1993</v>
      </c>
      <c r="V1187">
        <v>50000</v>
      </c>
      <c r="W1187">
        <v>0</v>
      </c>
      <c r="X1187" t="s">
        <v>135</v>
      </c>
      <c r="Y1187" t="s">
        <v>53</v>
      </c>
      <c r="Z1187" t="s">
        <v>23</v>
      </c>
      <c r="AA1187" t="s">
        <v>3588</v>
      </c>
      <c r="AB1187" t="s">
        <v>3588</v>
      </c>
      <c r="AC1187" t="s">
        <v>3584</v>
      </c>
      <c r="AD1187" t="s">
        <v>3479</v>
      </c>
      <c r="AE1187" t="s">
        <v>3475</v>
      </c>
      <c r="AF1187" s="2">
        <v>3578.27</v>
      </c>
      <c r="AG1187" s="2">
        <v>2171.2941999999998</v>
      </c>
      <c r="AH1187" s="2">
        <v>1406.9757999999999</v>
      </c>
      <c r="AI1187" s="3">
        <v>0.39320001006072802</v>
      </c>
    </row>
    <row r="1188" spans="1:35">
      <c r="A1188" s="1">
        <v>42103</v>
      </c>
      <c r="B1188" s="1">
        <v>37240</v>
      </c>
      <c r="C1188" t="s">
        <v>4188</v>
      </c>
      <c r="D1188">
        <v>310</v>
      </c>
      <c r="E1188">
        <v>15621</v>
      </c>
      <c r="F1188">
        <v>10</v>
      </c>
      <c r="G1188">
        <v>1</v>
      </c>
      <c r="H1188">
        <v>1</v>
      </c>
      <c r="I1188">
        <v>2</v>
      </c>
      <c r="J1188" t="s">
        <v>3485</v>
      </c>
      <c r="K1188" t="s">
        <v>3486</v>
      </c>
      <c r="L1188" s="2">
        <v>2171.2941999999998</v>
      </c>
      <c r="M1188" s="2">
        <v>3578.27</v>
      </c>
      <c r="N1188" t="s">
        <v>26</v>
      </c>
      <c r="O1188" t="s">
        <v>500</v>
      </c>
      <c r="P1188" t="s">
        <v>268</v>
      </c>
      <c r="Q1188" t="s">
        <v>7517</v>
      </c>
      <c r="R1188" s="1">
        <v>26933</v>
      </c>
      <c r="S1188" t="s">
        <v>22</v>
      </c>
      <c r="T1188" t="s">
        <v>29</v>
      </c>
      <c r="U1188" t="s">
        <v>1994</v>
      </c>
      <c r="V1188">
        <v>50000</v>
      </c>
      <c r="W1188">
        <v>0</v>
      </c>
      <c r="X1188" t="s">
        <v>135</v>
      </c>
      <c r="Y1188" t="s">
        <v>53</v>
      </c>
      <c r="Z1188" t="s">
        <v>19</v>
      </c>
      <c r="AA1188" t="s">
        <v>3588</v>
      </c>
      <c r="AB1188" t="s">
        <v>3588</v>
      </c>
      <c r="AC1188" t="s">
        <v>3584</v>
      </c>
      <c r="AD1188" t="s">
        <v>3479</v>
      </c>
      <c r="AE1188" t="s">
        <v>3475</v>
      </c>
      <c r="AF1188" s="2">
        <v>3578.27</v>
      </c>
      <c r="AG1188" s="2">
        <v>2171.2941999999998</v>
      </c>
      <c r="AH1188" s="2">
        <v>1406.9757999999999</v>
      </c>
      <c r="AI1188" s="3">
        <v>0.39320001006072802</v>
      </c>
    </row>
    <row r="1189" spans="1:35">
      <c r="A1189" s="1">
        <v>42202</v>
      </c>
      <c r="B1189" s="1">
        <v>37373</v>
      </c>
      <c r="C1189" t="s">
        <v>4903</v>
      </c>
      <c r="D1189">
        <v>370</v>
      </c>
      <c r="E1189">
        <v>15622</v>
      </c>
      <c r="F1189">
        <v>8</v>
      </c>
      <c r="G1189">
        <v>1</v>
      </c>
      <c r="H1189">
        <v>1</v>
      </c>
      <c r="I1189">
        <v>2</v>
      </c>
      <c r="J1189" t="s">
        <v>3551</v>
      </c>
      <c r="K1189" t="s">
        <v>3552</v>
      </c>
      <c r="L1189" s="2">
        <v>1518.7864</v>
      </c>
      <c r="M1189" s="2">
        <v>2443.35</v>
      </c>
      <c r="N1189" t="s">
        <v>13</v>
      </c>
      <c r="O1189" t="s">
        <v>1995</v>
      </c>
      <c r="P1189" t="s">
        <v>1996</v>
      </c>
      <c r="Q1189" t="s">
        <v>7518</v>
      </c>
      <c r="R1189" s="1">
        <v>26587</v>
      </c>
      <c r="S1189" t="s">
        <v>22</v>
      </c>
      <c r="T1189" t="s">
        <v>16</v>
      </c>
      <c r="U1189" t="s">
        <v>1997</v>
      </c>
      <c r="V1189">
        <v>30000</v>
      </c>
      <c r="W1189">
        <v>0</v>
      </c>
      <c r="X1189" t="s">
        <v>57</v>
      </c>
      <c r="Y1189" t="s">
        <v>444</v>
      </c>
      <c r="Z1189" t="s">
        <v>23</v>
      </c>
      <c r="AA1189" t="s">
        <v>3585</v>
      </c>
      <c r="AB1189" t="s">
        <v>3585</v>
      </c>
      <c r="AC1189" t="s">
        <v>3584</v>
      </c>
      <c r="AD1189" t="s">
        <v>3479</v>
      </c>
      <c r="AE1189" t="s">
        <v>3475</v>
      </c>
      <c r="AF1189" s="2">
        <v>2443.35</v>
      </c>
      <c r="AG1189" s="2">
        <v>1518.7864</v>
      </c>
      <c r="AH1189" s="2">
        <v>924.56359999999995</v>
      </c>
      <c r="AI1189" s="3">
        <v>0.37839998362903399</v>
      </c>
    </row>
    <row r="1190" spans="1:35">
      <c r="A1190" s="1">
        <v>42227</v>
      </c>
      <c r="B1190" s="1">
        <v>37406</v>
      </c>
      <c r="C1190" t="s">
        <v>5092</v>
      </c>
      <c r="D1190">
        <v>370</v>
      </c>
      <c r="E1190">
        <v>15625</v>
      </c>
      <c r="F1190">
        <v>8</v>
      </c>
      <c r="G1190">
        <v>1</v>
      </c>
      <c r="H1190">
        <v>1</v>
      </c>
      <c r="I1190">
        <v>2</v>
      </c>
      <c r="J1190" t="s">
        <v>3551</v>
      </c>
      <c r="K1190" t="s">
        <v>3552</v>
      </c>
      <c r="L1190" s="2">
        <v>1518.7864</v>
      </c>
      <c r="M1190" s="2">
        <v>2443.35</v>
      </c>
      <c r="N1190" t="s">
        <v>13</v>
      </c>
      <c r="O1190" t="s">
        <v>224</v>
      </c>
      <c r="P1190" t="s">
        <v>214</v>
      </c>
      <c r="Q1190" t="s">
        <v>7519</v>
      </c>
      <c r="R1190" s="1">
        <v>26589</v>
      </c>
      <c r="S1190" t="s">
        <v>16</v>
      </c>
      <c r="T1190" t="s">
        <v>16</v>
      </c>
      <c r="U1190" t="s">
        <v>1998</v>
      </c>
      <c r="V1190">
        <v>40000</v>
      </c>
      <c r="W1190">
        <v>1</v>
      </c>
      <c r="X1190" t="s">
        <v>52</v>
      </c>
      <c r="Y1190" t="s">
        <v>60</v>
      </c>
      <c r="Z1190" t="s">
        <v>19</v>
      </c>
      <c r="AA1190" t="s">
        <v>3585</v>
      </c>
      <c r="AB1190" t="s">
        <v>3585</v>
      </c>
      <c r="AC1190" t="s">
        <v>3584</v>
      </c>
      <c r="AD1190" t="s">
        <v>3479</v>
      </c>
      <c r="AE1190" t="s">
        <v>3475</v>
      </c>
      <c r="AF1190" s="2">
        <v>2443.35</v>
      </c>
      <c r="AG1190" s="2">
        <v>1518.7864</v>
      </c>
      <c r="AH1190" s="2">
        <v>924.56359999999995</v>
      </c>
      <c r="AI1190" s="3">
        <v>0.37839998362903399</v>
      </c>
    </row>
    <row r="1191" spans="1:35">
      <c r="A1191" s="1">
        <v>42247</v>
      </c>
      <c r="B1191" s="1">
        <v>37426</v>
      </c>
      <c r="C1191" t="s">
        <v>5281</v>
      </c>
      <c r="D1191">
        <v>371</v>
      </c>
      <c r="E1191">
        <v>15626</v>
      </c>
      <c r="F1191">
        <v>8</v>
      </c>
      <c r="G1191">
        <v>1</v>
      </c>
      <c r="H1191">
        <v>1</v>
      </c>
      <c r="I1191">
        <v>2</v>
      </c>
      <c r="J1191" t="s">
        <v>3553</v>
      </c>
      <c r="K1191" t="s">
        <v>3554</v>
      </c>
      <c r="L1191" s="2">
        <v>1320.6838</v>
      </c>
      <c r="M1191" s="2">
        <v>2181.5625</v>
      </c>
      <c r="N1191" t="s">
        <v>13</v>
      </c>
      <c r="O1191" t="s">
        <v>260</v>
      </c>
      <c r="P1191" t="s">
        <v>688</v>
      </c>
      <c r="Q1191" t="s">
        <v>7520</v>
      </c>
      <c r="R1191" s="1">
        <v>26503</v>
      </c>
      <c r="S1191" t="s">
        <v>16</v>
      </c>
      <c r="T1191" t="s">
        <v>16</v>
      </c>
      <c r="U1191" t="s">
        <v>1999</v>
      </c>
      <c r="V1191">
        <v>40000</v>
      </c>
      <c r="W1191">
        <v>1</v>
      </c>
      <c r="X1191" t="s">
        <v>52</v>
      </c>
      <c r="Y1191" t="s">
        <v>60</v>
      </c>
      <c r="Z1191" t="s">
        <v>19</v>
      </c>
      <c r="AA1191" t="s">
        <v>3585</v>
      </c>
      <c r="AB1191" t="s">
        <v>3585</v>
      </c>
      <c r="AC1191" t="s">
        <v>3584</v>
      </c>
      <c r="AD1191" t="s">
        <v>3479</v>
      </c>
      <c r="AE1191" t="s">
        <v>3475</v>
      </c>
      <c r="AF1191" s="2">
        <v>2181.5625</v>
      </c>
      <c r="AG1191" s="2">
        <v>1320.6838</v>
      </c>
      <c r="AH1191" s="2">
        <v>860.87869999999998</v>
      </c>
      <c r="AI1191" s="3">
        <v>0.39461564818793898</v>
      </c>
    </row>
    <row r="1192" spans="1:35">
      <c r="A1192" s="1">
        <v>42236</v>
      </c>
      <c r="B1192" s="1">
        <v>37400</v>
      </c>
      <c r="C1192" t="s">
        <v>5183</v>
      </c>
      <c r="D1192">
        <v>373</v>
      </c>
      <c r="E1192">
        <v>15627</v>
      </c>
      <c r="F1192">
        <v>8</v>
      </c>
      <c r="G1192">
        <v>1</v>
      </c>
      <c r="H1192">
        <v>1</v>
      </c>
      <c r="I1192">
        <v>2</v>
      </c>
      <c r="J1192" t="s">
        <v>3555</v>
      </c>
      <c r="K1192" t="s">
        <v>3556</v>
      </c>
      <c r="L1192" s="2">
        <v>1320.6838</v>
      </c>
      <c r="M1192" s="2">
        <v>2181.5625</v>
      </c>
      <c r="N1192" t="s">
        <v>13</v>
      </c>
      <c r="O1192" t="s">
        <v>639</v>
      </c>
      <c r="P1192" t="s">
        <v>632</v>
      </c>
      <c r="Q1192" t="s">
        <v>7521</v>
      </c>
      <c r="R1192" s="1">
        <v>26657</v>
      </c>
      <c r="S1192" t="s">
        <v>22</v>
      </c>
      <c r="T1192" t="s">
        <v>16</v>
      </c>
      <c r="U1192" t="s">
        <v>2000</v>
      </c>
      <c r="V1192">
        <v>40000</v>
      </c>
      <c r="W1192">
        <v>2</v>
      </c>
      <c r="X1192" t="s">
        <v>52</v>
      </c>
      <c r="Y1192" t="s">
        <v>60</v>
      </c>
      <c r="Z1192" t="s">
        <v>19</v>
      </c>
      <c r="AA1192" t="s">
        <v>3585</v>
      </c>
      <c r="AB1192" t="s">
        <v>3585</v>
      </c>
      <c r="AC1192" t="s">
        <v>3584</v>
      </c>
      <c r="AD1192" t="s">
        <v>3479</v>
      </c>
      <c r="AE1192" t="s">
        <v>3475</v>
      </c>
      <c r="AF1192" s="2">
        <v>2181.5625</v>
      </c>
      <c r="AG1192" s="2">
        <v>1320.6838</v>
      </c>
      <c r="AH1192" s="2">
        <v>860.87869999999998</v>
      </c>
      <c r="AI1192" s="3">
        <v>0.39461564818793898</v>
      </c>
    </row>
    <row r="1193" spans="1:35">
      <c r="A1193" s="1">
        <v>42120</v>
      </c>
      <c r="B1193" s="1">
        <v>37292</v>
      </c>
      <c r="C1193" t="s">
        <v>4304</v>
      </c>
      <c r="D1193">
        <v>311</v>
      </c>
      <c r="E1193">
        <v>15630</v>
      </c>
      <c r="F1193">
        <v>10</v>
      </c>
      <c r="G1193">
        <v>1</v>
      </c>
      <c r="H1193">
        <v>1</v>
      </c>
      <c r="I1193">
        <v>2</v>
      </c>
      <c r="J1193" t="s">
        <v>3487</v>
      </c>
      <c r="K1193" t="s">
        <v>3488</v>
      </c>
      <c r="L1193" s="2">
        <v>2171.2941999999998</v>
      </c>
      <c r="M1193" s="2">
        <v>3578.27</v>
      </c>
      <c r="N1193" t="s">
        <v>26</v>
      </c>
      <c r="O1193" t="s">
        <v>824</v>
      </c>
      <c r="P1193" t="s">
        <v>282</v>
      </c>
      <c r="Q1193" t="s">
        <v>7522</v>
      </c>
      <c r="R1193" s="1">
        <v>26056</v>
      </c>
      <c r="S1193" t="s">
        <v>22</v>
      </c>
      <c r="T1193" t="s">
        <v>29</v>
      </c>
      <c r="U1193" t="s">
        <v>2001</v>
      </c>
      <c r="V1193">
        <v>20000</v>
      </c>
      <c r="W1193">
        <v>0</v>
      </c>
      <c r="X1193" t="s">
        <v>77</v>
      </c>
      <c r="Y1193" t="s">
        <v>444</v>
      </c>
      <c r="Z1193" t="s">
        <v>23</v>
      </c>
      <c r="AA1193" t="s">
        <v>3588</v>
      </c>
      <c r="AB1193" t="s">
        <v>3588</v>
      </c>
      <c r="AC1193" t="s">
        <v>3584</v>
      </c>
      <c r="AD1193" t="s">
        <v>3479</v>
      </c>
      <c r="AE1193" t="s">
        <v>3475</v>
      </c>
      <c r="AF1193" s="2">
        <v>3578.27</v>
      </c>
      <c r="AG1193" s="2">
        <v>2171.2941999999998</v>
      </c>
      <c r="AH1193" s="2">
        <v>1406.9757999999999</v>
      </c>
      <c r="AI1193" s="3">
        <v>0.39320001006072802</v>
      </c>
    </row>
    <row r="1194" spans="1:35">
      <c r="A1194" s="1">
        <v>42120</v>
      </c>
      <c r="B1194" s="1">
        <v>37276</v>
      </c>
      <c r="C1194" t="s">
        <v>4301</v>
      </c>
      <c r="D1194">
        <v>312</v>
      </c>
      <c r="E1194">
        <v>15631</v>
      </c>
      <c r="F1194">
        <v>10</v>
      </c>
      <c r="G1194">
        <v>1</v>
      </c>
      <c r="H1194">
        <v>1</v>
      </c>
      <c r="I1194">
        <v>2</v>
      </c>
      <c r="J1194" t="s">
        <v>3489</v>
      </c>
      <c r="K1194" t="s">
        <v>3490</v>
      </c>
      <c r="L1194" s="2">
        <v>2171.2941999999998</v>
      </c>
      <c r="M1194" s="2">
        <v>3578.27</v>
      </c>
      <c r="N1194" t="s">
        <v>13</v>
      </c>
      <c r="O1194" t="s">
        <v>645</v>
      </c>
      <c r="P1194" t="s">
        <v>134</v>
      </c>
      <c r="Q1194" t="s">
        <v>7523</v>
      </c>
      <c r="R1194" s="1">
        <v>26249</v>
      </c>
      <c r="S1194" t="s">
        <v>22</v>
      </c>
      <c r="T1194" t="s">
        <v>16</v>
      </c>
      <c r="U1194" t="s">
        <v>2002</v>
      </c>
      <c r="V1194">
        <v>20000</v>
      </c>
      <c r="W1194">
        <v>0</v>
      </c>
      <c r="X1194" t="s">
        <v>77</v>
      </c>
      <c r="Y1194" t="s">
        <v>444</v>
      </c>
      <c r="Z1194" t="s">
        <v>19</v>
      </c>
      <c r="AA1194" t="s">
        <v>3588</v>
      </c>
      <c r="AB1194" t="s">
        <v>3588</v>
      </c>
      <c r="AC1194" t="s">
        <v>3584</v>
      </c>
      <c r="AD1194" t="s">
        <v>3479</v>
      </c>
      <c r="AE1194" t="s">
        <v>3475</v>
      </c>
      <c r="AF1194" s="2">
        <v>3578.27</v>
      </c>
      <c r="AG1194" s="2">
        <v>2171.2941999999998</v>
      </c>
      <c r="AH1194" s="2">
        <v>1406.9757999999999</v>
      </c>
      <c r="AI1194" s="3">
        <v>0.39320001006072802</v>
      </c>
    </row>
    <row r="1195" spans="1:35">
      <c r="A1195" s="1">
        <v>42136</v>
      </c>
      <c r="B1195" s="1">
        <v>37309</v>
      </c>
      <c r="C1195" t="s">
        <v>4418</v>
      </c>
      <c r="D1195">
        <v>314</v>
      </c>
      <c r="E1195">
        <v>15632</v>
      </c>
      <c r="F1195">
        <v>10</v>
      </c>
      <c r="G1195">
        <v>1</v>
      </c>
      <c r="H1195">
        <v>1</v>
      </c>
      <c r="I1195">
        <v>2</v>
      </c>
      <c r="J1195" t="s">
        <v>3493</v>
      </c>
      <c r="K1195" t="s">
        <v>3494</v>
      </c>
      <c r="L1195" s="2">
        <v>2171.2941999999998</v>
      </c>
      <c r="M1195" s="2">
        <v>3578.27</v>
      </c>
      <c r="N1195" t="s">
        <v>26</v>
      </c>
      <c r="O1195" t="s">
        <v>1096</v>
      </c>
      <c r="P1195" t="s">
        <v>38</v>
      </c>
      <c r="Q1195" t="s">
        <v>7524</v>
      </c>
      <c r="R1195" s="1">
        <v>25942</v>
      </c>
      <c r="S1195" t="s">
        <v>16</v>
      </c>
      <c r="T1195" t="s">
        <v>29</v>
      </c>
      <c r="U1195" t="s">
        <v>2003</v>
      </c>
      <c r="V1195">
        <v>20000</v>
      </c>
      <c r="W1195">
        <v>0</v>
      </c>
      <c r="X1195" t="s">
        <v>77</v>
      </c>
      <c r="Y1195" t="s">
        <v>444</v>
      </c>
      <c r="Z1195" t="s">
        <v>23</v>
      </c>
      <c r="AA1195" t="s">
        <v>3588</v>
      </c>
      <c r="AB1195" t="s">
        <v>3588</v>
      </c>
      <c r="AC1195" t="s">
        <v>3584</v>
      </c>
      <c r="AD1195" t="s">
        <v>3479</v>
      </c>
      <c r="AE1195" t="s">
        <v>3475</v>
      </c>
      <c r="AF1195" s="2">
        <v>3578.27</v>
      </c>
      <c r="AG1195" s="2">
        <v>2171.2941999999998</v>
      </c>
      <c r="AH1195" s="2">
        <v>1406.9757999999999</v>
      </c>
      <c r="AI1195" s="3">
        <v>0.39320001006072802</v>
      </c>
    </row>
    <row r="1196" spans="1:35">
      <c r="A1196" s="1">
        <v>42229</v>
      </c>
      <c r="B1196" s="1">
        <v>37405</v>
      </c>
      <c r="C1196" t="s">
        <v>5113</v>
      </c>
      <c r="D1196">
        <v>370</v>
      </c>
      <c r="E1196">
        <v>15649</v>
      </c>
      <c r="F1196">
        <v>8</v>
      </c>
      <c r="G1196">
        <v>1</v>
      </c>
      <c r="H1196">
        <v>1</v>
      </c>
      <c r="I1196">
        <v>2</v>
      </c>
      <c r="J1196" t="s">
        <v>3551</v>
      </c>
      <c r="K1196" t="s">
        <v>3552</v>
      </c>
      <c r="L1196" s="2">
        <v>1518.7864</v>
      </c>
      <c r="M1196" s="2">
        <v>2443.35</v>
      </c>
      <c r="N1196" t="s">
        <v>30</v>
      </c>
      <c r="O1196" t="s">
        <v>272</v>
      </c>
      <c r="P1196" t="s">
        <v>83</v>
      </c>
      <c r="Q1196" t="s">
        <v>7525</v>
      </c>
      <c r="R1196" s="1">
        <v>15807</v>
      </c>
      <c r="S1196" t="s">
        <v>16</v>
      </c>
      <c r="T1196" t="s">
        <v>29</v>
      </c>
      <c r="U1196" t="s">
        <v>2004</v>
      </c>
      <c r="V1196">
        <v>30000</v>
      </c>
      <c r="W1196">
        <v>1</v>
      </c>
      <c r="X1196" t="s">
        <v>17</v>
      </c>
      <c r="Y1196" t="s">
        <v>60</v>
      </c>
      <c r="Z1196" t="s">
        <v>19</v>
      </c>
      <c r="AA1196" t="s">
        <v>3585</v>
      </c>
      <c r="AB1196" t="s">
        <v>3585</v>
      </c>
      <c r="AC1196" t="s">
        <v>3584</v>
      </c>
      <c r="AD1196" t="s">
        <v>3479</v>
      </c>
      <c r="AE1196" t="s">
        <v>3475</v>
      </c>
      <c r="AF1196" s="2">
        <v>2443.35</v>
      </c>
      <c r="AG1196" s="2">
        <v>1518.7864</v>
      </c>
      <c r="AH1196" s="2">
        <v>924.56359999999995</v>
      </c>
      <c r="AI1196" s="3">
        <v>0.37839998362903399</v>
      </c>
    </row>
    <row r="1197" spans="1:35">
      <c r="A1197" s="1">
        <v>42144</v>
      </c>
      <c r="B1197" s="1">
        <v>37380</v>
      </c>
      <c r="C1197" t="s">
        <v>4484</v>
      </c>
      <c r="D1197">
        <v>314</v>
      </c>
      <c r="E1197">
        <v>15652</v>
      </c>
      <c r="F1197">
        <v>10</v>
      </c>
      <c r="G1197">
        <v>1</v>
      </c>
      <c r="H1197">
        <v>1</v>
      </c>
      <c r="I1197">
        <v>2</v>
      </c>
      <c r="J1197" t="s">
        <v>3493</v>
      </c>
      <c r="K1197" t="s">
        <v>3494</v>
      </c>
      <c r="L1197" s="2">
        <v>2171.2941999999998</v>
      </c>
      <c r="M1197" s="2">
        <v>3578.27</v>
      </c>
      <c r="N1197" t="s">
        <v>30</v>
      </c>
      <c r="O1197" t="s">
        <v>755</v>
      </c>
      <c r="P1197" t="s">
        <v>56</v>
      </c>
      <c r="Q1197" t="s">
        <v>7526</v>
      </c>
      <c r="R1197" s="1">
        <v>22426</v>
      </c>
      <c r="S1197" t="s">
        <v>16</v>
      </c>
      <c r="T1197" t="s">
        <v>29</v>
      </c>
      <c r="U1197" t="s">
        <v>2005</v>
      </c>
      <c r="V1197">
        <v>30000</v>
      </c>
      <c r="W1197">
        <v>4</v>
      </c>
      <c r="X1197" t="s">
        <v>135</v>
      </c>
      <c r="Y1197" t="s">
        <v>60</v>
      </c>
      <c r="Z1197" t="s">
        <v>19</v>
      </c>
      <c r="AA1197" t="s">
        <v>3588</v>
      </c>
      <c r="AB1197" t="s">
        <v>3588</v>
      </c>
      <c r="AC1197" t="s">
        <v>3584</v>
      </c>
      <c r="AD1197" t="s">
        <v>3479</v>
      </c>
      <c r="AE1197" t="s">
        <v>3475</v>
      </c>
      <c r="AF1197" s="2">
        <v>3578.27</v>
      </c>
      <c r="AG1197" s="2">
        <v>2171.2941999999998</v>
      </c>
      <c r="AH1197" s="2">
        <v>1406.9757999999999</v>
      </c>
      <c r="AI1197" s="3">
        <v>0.39320001006072802</v>
      </c>
    </row>
    <row r="1198" spans="1:35">
      <c r="A1198" s="1">
        <v>42136</v>
      </c>
      <c r="B1198" s="1">
        <v>37329</v>
      </c>
      <c r="C1198" t="s">
        <v>4417</v>
      </c>
      <c r="D1198">
        <v>312</v>
      </c>
      <c r="E1198">
        <v>15653</v>
      </c>
      <c r="F1198">
        <v>10</v>
      </c>
      <c r="G1198">
        <v>1</v>
      </c>
      <c r="H1198">
        <v>1</v>
      </c>
      <c r="I1198">
        <v>2</v>
      </c>
      <c r="J1198" t="s">
        <v>3489</v>
      </c>
      <c r="K1198" t="s">
        <v>3490</v>
      </c>
      <c r="L1198" s="2">
        <v>2171.2941999999998</v>
      </c>
      <c r="M1198" s="2">
        <v>3578.27</v>
      </c>
      <c r="N1198" t="s">
        <v>13</v>
      </c>
      <c r="O1198" t="s">
        <v>931</v>
      </c>
      <c r="P1198" t="s">
        <v>658</v>
      </c>
      <c r="Q1198" t="s">
        <v>7527</v>
      </c>
      <c r="R1198" s="1">
        <v>22439</v>
      </c>
      <c r="S1198" t="s">
        <v>22</v>
      </c>
      <c r="T1198" t="s">
        <v>16</v>
      </c>
      <c r="U1198" t="s">
        <v>2006</v>
      </c>
      <c r="V1198">
        <v>30000</v>
      </c>
      <c r="W1198">
        <v>3</v>
      </c>
      <c r="X1198" t="s">
        <v>135</v>
      </c>
      <c r="Y1198" t="s">
        <v>60</v>
      </c>
      <c r="Z1198" t="s">
        <v>19</v>
      </c>
      <c r="AA1198" t="s">
        <v>3588</v>
      </c>
      <c r="AB1198" t="s">
        <v>3588</v>
      </c>
      <c r="AC1198" t="s">
        <v>3584</v>
      </c>
      <c r="AD1198" t="s">
        <v>3479</v>
      </c>
      <c r="AE1198" t="s">
        <v>3475</v>
      </c>
      <c r="AF1198" s="2">
        <v>3578.27</v>
      </c>
      <c r="AG1198" s="2">
        <v>2171.2941999999998</v>
      </c>
      <c r="AH1198" s="2">
        <v>1406.9757999999999</v>
      </c>
      <c r="AI1198" s="3">
        <v>0.39320001006072802</v>
      </c>
    </row>
    <row r="1199" spans="1:35">
      <c r="A1199" s="1">
        <v>42241</v>
      </c>
      <c r="B1199" s="1">
        <v>37410</v>
      </c>
      <c r="C1199" t="s">
        <v>5221</v>
      </c>
      <c r="D1199">
        <v>373</v>
      </c>
      <c r="E1199">
        <v>15655</v>
      </c>
      <c r="F1199">
        <v>8</v>
      </c>
      <c r="G1199">
        <v>1</v>
      </c>
      <c r="H1199">
        <v>1</v>
      </c>
      <c r="I1199">
        <v>2</v>
      </c>
      <c r="J1199" t="s">
        <v>3555</v>
      </c>
      <c r="K1199" t="s">
        <v>3556</v>
      </c>
      <c r="L1199" s="2">
        <v>1320.6838</v>
      </c>
      <c r="M1199" s="2">
        <v>2181.5625</v>
      </c>
      <c r="N1199" t="s">
        <v>30</v>
      </c>
      <c r="O1199" t="s">
        <v>128</v>
      </c>
      <c r="P1199" t="s">
        <v>529</v>
      </c>
      <c r="Q1199" t="s">
        <v>7528</v>
      </c>
      <c r="R1199" s="1">
        <v>22222</v>
      </c>
      <c r="S1199" t="s">
        <v>16</v>
      </c>
      <c r="T1199" t="s">
        <v>29</v>
      </c>
      <c r="U1199" t="s">
        <v>2007</v>
      </c>
      <c r="V1199">
        <v>20000</v>
      </c>
      <c r="W1199">
        <v>1</v>
      </c>
      <c r="X1199" t="s">
        <v>52</v>
      </c>
      <c r="Y1199" t="s">
        <v>444</v>
      </c>
      <c r="Z1199" t="s">
        <v>19</v>
      </c>
      <c r="AA1199" t="s">
        <v>3585</v>
      </c>
      <c r="AB1199" t="s">
        <v>3585</v>
      </c>
      <c r="AC1199" t="s">
        <v>3584</v>
      </c>
      <c r="AD1199" t="s">
        <v>3479</v>
      </c>
      <c r="AE1199" t="s">
        <v>3475</v>
      </c>
      <c r="AF1199" s="2">
        <v>2181.5625</v>
      </c>
      <c r="AG1199" s="2">
        <v>1320.6838</v>
      </c>
      <c r="AH1199" s="2">
        <v>860.87869999999998</v>
      </c>
      <c r="AI1199" s="3">
        <v>0.39461564818793898</v>
      </c>
    </row>
    <row r="1200" spans="1:35">
      <c r="A1200" s="1">
        <v>42229</v>
      </c>
      <c r="B1200" s="1">
        <v>37417</v>
      </c>
      <c r="C1200" t="s">
        <v>5106</v>
      </c>
      <c r="D1200">
        <v>368</v>
      </c>
      <c r="E1200">
        <v>15656</v>
      </c>
      <c r="F1200">
        <v>8</v>
      </c>
      <c r="G1200">
        <v>1</v>
      </c>
      <c r="H1200">
        <v>1</v>
      </c>
      <c r="I1200">
        <v>2</v>
      </c>
      <c r="J1200" t="s">
        <v>3547</v>
      </c>
      <c r="K1200" t="s">
        <v>3548</v>
      </c>
      <c r="L1200" s="2">
        <v>1518.7864</v>
      </c>
      <c r="M1200" s="2">
        <v>2443.35</v>
      </c>
      <c r="N1200" t="s">
        <v>13</v>
      </c>
      <c r="O1200" t="s">
        <v>563</v>
      </c>
      <c r="P1200" t="s">
        <v>81</v>
      </c>
      <c r="Q1200" t="s">
        <v>7529</v>
      </c>
      <c r="R1200" s="1">
        <v>22082</v>
      </c>
      <c r="S1200" t="s">
        <v>22</v>
      </c>
      <c r="T1200" t="s">
        <v>16</v>
      </c>
      <c r="U1200" t="s">
        <v>2008</v>
      </c>
      <c r="V1200">
        <v>20000</v>
      </c>
      <c r="W1200">
        <v>1</v>
      </c>
      <c r="X1200" t="s">
        <v>52</v>
      </c>
      <c r="Y1200" t="s">
        <v>444</v>
      </c>
      <c r="Z1200" t="s">
        <v>23</v>
      </c>
      <c r="AA1200" t="s">
        <v>3585</v>
      </c>
      <c r="AB1200" t="s">
        <v>3585</v>
      </c>
      <c r="AC1200" t="s">
        <v>3584</v>
      </c>
      <c r="AD1200" t="s">
        <v>3479</v>
      </c>
      <c r="AE1200" t="s">
        <v>3475</v>
      </c>
      <c r="AF1200" s="2">
        <v>2443.35</v>
      </c>
      <c r="AG1200" s="2">
        <v>1518.7864</v>
      </c>
      <c r="AH1200" s="2">
        <v>924.56359999999995</v>
      </c>
      <c r="AI1200" s="3">
        <v>0.37839998362903399</v>
      </c>
    </row>
    <row r="1201" spans="1:35">
      <c r="A1201" s="1">
        <v>42132</v>
      </c>
      <c r="B1201" s="1">
        <v>37351</v>
      </c>
      <c r="C1201" t="s">
        <v>4399</v>
      </c>
      <c r="D1201">
        <v>313</v>
      </c>
      <c r="E1201">
        <v>15657</v>
      </c>
      <c r="F1201">
        <v>10</v>
      </c>
      <c r="G1201">
        <v>1</v>
      </c>
      <c r="H1201">
        <v>1</v>
      </c>
      <c r="I1201">
        <v>2</v>
      </c>
      <c r="J1201" t="s">
        <v>3491</v>
      </c>
      <c r="K1201" t="s">
        <v>3492</v>
      </c>
      <c r="L1201" s="2">
        <v>2171.2941999999998</v>
      </c>
      <c r="M1201" s="2">
        <v>3578.27</v>
      </c>
      <c r="N1201" t="s">
        <v>13</v>
      </c>
      <c r="O1201" t="s">
        <v>249</v>
      </c>
      <c r="P1201" t="s">
        <v>505</v>
      </c>
      <c r="Q1201" t="s">
        <v>7530</v>
      </c>
      <c r="R1201" s="1">
        <v>22087</v>
      </c>
      <c r="S1201" t="s">
        <v>16</v>
      </c>
      <c r="T1201" t="s">
        <v>16</v>
      </c>
      <c r="U1201" t="s">
        <v>2009</v>
      </c>
      <c r="V1201">
        <v>30000</v>
      </c>
      <c r="W1201">
        <v>3</v>
      </c>
      <c r="X1201" t="s">
        <v>135</v>
      </c>
      <c r="Y1201" t="s">
        <v>60</v>
      </c>
      <c r="Z1201" t="s">
        <v>19</v>
      </c>
      <c r="AA1201" t="s">
        <v>3588</v>
      </c>
      <c r="AB1201" t="s">
        <v>3588</v>
      </c>
      <c r="AC1201" t="s">
        <v>3584</v>
      </c>
      <c r="AD1201" t="s">
        <v>3479</v>
      </c>
      <c r="AE1201" t="s">
        <v>3475</v>
      </c>
      <c r="AF1201" s="2">
        <v>3578.27</v>
      </c>
      <c r="AG1201" s="2">
        <v>2171.2941999999998</v>
      </c>
      <c r="AH1201" s="2">
        <v>1406.9757999999999</v>
      </c>
      <c r="AI1201" s="3">
        <v>0.39320001006072802</v>
      </c>
    </row>
    <row r="1202" spans="1:35">
      <c r="A1202" s="1">
        <v>42235</v>
      </c>
      <c r="B1202" s="1">
        <v>37445</v>
      </c>
      <c r="C1202" t="s">
        <v>5161</v>
      </c>
      <c r="D1202">
        <v>369</v>
      </c>
      <c r="E1202">
        <v>15659</v>
      </c>
      <c r="F1202">
        <v>8</v>
      </c>
      <c r="G1202">
        <v>1</v>
      </c>
      <c r="H1202">
        <v>1</v>
      </c>
      <c r="I1202">
        <v>2</v>
      </c>
      <c r="J1202" t="s">
        <v>3549</v>
      </c>
      <c r="K1202" t="s">
        <v>3550</v>
      </c>
      <c r="L1202" s="2">
        <v>1518.7864</v>
      </c>
      <c r="M1202" s="2">
        <v>2443.35</v>
      </c>
      <c r="N1202" t="s">
        <v>30</v>
      </c>
      <c r="O1202" t="s">
        <v>142</v>
      </c>
      <c r="P1202" t="s">
        <v>243</v>
      </c>
      <c r="Q1202" t="s">
        <v>7531</v>
      </c>
      <c r="R1202" s="1">
        <v>21595</v>
      </c>
      <c r="S1202" t="s">
        <v>16</v>
      </c>
      <c r="T1202" t="s">
        <v>29</v>
      </c>
      <c r="U1202" t="s">
        <v>2010</v>
      </c>
      <c r="V1202">
        <v>20000</v>
      </c>
      <c r="W1202">
        <v>2</v>
      </c>
      <c r="X1202" t="s">
        <v>52</v>
      </c>
      <c r="Y1202" t="s">
        <v>444</v>
      </c>
      <c r="Z1202" t="s">
        <v>19</v>
      </c>
      <c r="AA1202" t="s">
        <v>3585</v>
      </c>
      <c r="AB1202" t="s">
        <v>3585</v>
      </c>
      <c r="AC1202" t="s">
        <v>3584</v>
      </c>
      <c r="AD1202" t="s">
        <v>3479</v>
      </c>
      <c r="AE1202" t="s">
        <v>3475</v>
      </c>
      <c r="AF1202" s="2">
        <v>2443.35</v>
      </c>
      <c r="AG1202" s="2">
        <v>1518.7864</v>
      </c>
      <c r="AH1202" s="2">
        <v>924.56359999999995</v>
      </c>
      <c r="AI1202" s="3">
        <v>0.37839998362903399</v>
      </c>
    </row>
    <row r="1203" spans="1:35">
      <c r="A1203" s="1">
        <v>42174</v>
      </c>
      <c r="B1203" s="1">
        <v>37351</v>
      </c>
      <c r="C1203" t="s">
        <v>4668</v>
      </c>
      <c r="D1203">
        <v>310</v>
      </c>
      <c r="E1203">
        <v>15660</v>
      </c>
      <c r="F1203">
        <v>10</v>
      </c>
      <c r="G1203">
        <v>1</v>
      </c>
      <c r="H1203">
        <v>1</v>
      </c>
      <c r="I1203">
        <v>2</v>
      </c>
      <c r="J1203" t="s">
        <v>3485</v>
      </c>
      <c r="K1203" t="s">
        <v>3486</v>
      </c>
      <c r="L1203" s="2">
        <v>2171.2941999999998</v>
      </c>
      <c r="M1203" s="2">
        <v>3578.27</v>
      </c>
      <c r="N1203" t="s">
        <v>30</v>
      </c>
      <c r="O1203" t="s">
        <v>225</v>
      </c>
      <c r="P1203" t="s">
        <v>476</v>
      </c>
      <c r="Q1203" t="s">
        <v>7532</v>
      </c>
      <c r="R1203" s="1">
        <v>21795</v>
      </c>
      <c r="S1203" t="s">
        <v>16</v>
      </c>
      <c r="T1203" t="s">
        <v>29</v>
      </c>
      <c r="U1203" t="s">
        <v>2011</v>
      </c>
      <c r="V1203">
        <v>20000</v>
      </c>
      <c r="W1203">
        <v>2</v>
      </c>
      <c r="X1203" t="s">
        <v>52</v>
      </c>
      <c r="Y1203" t="s">
        <v>444</v>
      </c>
      <c r="Z1203" t="s">
        <v>19</v>
      </c>
      <c r="AA1203" t="s">
        <v>3588</v>
      </c>
      <c r="AB1203" t="s">
        <v>3588</v>
      </c>
      <c r="AC1203" t="s">
        <v>3584</v>
      </c>
      <c r="AD1203" t="s">
        <v>3479</v>
      </c>
      <c r="AE1203" t="s">
        <v>3475</v>
      </c>
      <c r="AF1203" s="2">
        <v>3578.27</v>
      </c>
      <c r="AG1203" s="2">
        <v>2171.2941999999998</v>
      </c>
      <c r="AH1203" s="2">
        <v>1406.9757999999999</v>
      </c>
      <c r="AI1203" s="3">
        <v>0.39320001006072802</v>
      </c>
    </row>
    <row r="1204" spans="1:35">
      <c r="A1204" s="1">
        <v>42163</v>
      </c>
      <c r="B1204" s="1">
        <v>37354</v>
      </c>
      <c r="C1204" t="s">
        <v>4598</v>
      </c>
      <c r="D1204">
        <v>312</v>
      </c>
      <c r="E1204">
        <v>15661</v>
      </c>
      <c r="F1204">
        <v>10</v>
      </c>
      <c r="G1204">
        <v>1</v>
      </c>
      <c r="H1204">
        <v>1</v>
      </c>
      <c r="I1204">
        <v>2</v>
      </c>
      <c r="J1204" t="s">
        <v>3489</v>
      </c>
      <c r="K1204" t="s">
        <v>3490</v>
      </c>
      <c r="L1204" s="2">
        <v>2171.2941999999998</v>
      </c>
      <c r="M1204" s="2">
        <v>3578.27</v>
      </c>
      <c r="N1204" t="s">
        <v>13</v>
      </c>
      <c r="O1204" t="s">
        <v>989</v>
      </c>
      <c r="P1204" t="s">
        <v>275</v>
      </c>
      <c r="Q1204" t="s">
        <v>7533</v>
      </c>
      <c r="R1204" s="1">
        <v>21782</v>
      </c>
      <c r="S1204" t="s">
        <v>16</v>
      </c>
      <c r="T1204" t="s">
        <v>16</v>
      </c>
      <c r="U1204" t="s">
        <v>2012</v>
      </c>
      <c r="V1204">
        <v>30000</v>
      </c>
      <c r="W1204">
        <v>3</v>
      </c>
      <c r="X1204" t="s">
        <v>135</v>
      </c>
      <c r="Y1204" t="s">
        <v>60</v>
      </c>
      <c r="Z1204" t="s">
        <v>19</v>
      </c>
      <c r="AA1204" t="s">
        <v>3588</v>
      </c>
      <c r="AB1204" t="s">
        <v>3588</v>
      </c>
      <c r="AC1204" t="s">
        <v>3584</v>
      </c>
      <c r="AD1204" t="s">
        <v>3479</v>
      </c>
      <c r="AE1204" t="s">
        <v>3475</v>
      </c>
      <c r="AF1204" s="2">
        <v>3578.27</v>
      </c>
      <c r="AG1204" s="2">
        <v>2171.2941999999998</v>
      </c>
      <c r="AH1204" s="2">
        <v>1406.9757999999999</v>
      </c>
      <c r="AI1204" s="3">
        <v>0.39320001006072802</v>
      </c>
    </row>
    <row r="1205" spans="1:35">
      <c r="A1205" s="1">
        <v>42163</v>
      </c>
      <c r="B1205" s="1">
        <v>37333</v>
      </c>
      <c r="C1205" t="s">
        <v>4601</v>
      </c>
      <c r="D1205">
        <v>314</v>
      </c>
      <c r="E1205">
        <v>15662</v>
      </c>
      <c r="F1205">
        <v>10</v>
      </c>
      <c r="G1205">
        <v>1</v>
      </c>
      <c r="H1205">
        <v>1</v>
      </c>
      <c r="I1205">
        <v>2</v>
      </c>
      <c r="J1205" t="s">
        <v>3493</v>
      </c>
      <c r="K1205" t="s">
        <v>3494</v>
      </c>
      <c r="L1205" s="2">
        <v>2171.2941999999998</v>
      </c>
      <c r="M1205" s="2">
        <v>3578.27</v>
      </c>
      <c r="N1205" t="s">
        <v>30</v>
      </c>
      <c r="O1205" t="s">
        <v>108</v>
      </c>
      <c r="P1205" t="s">
        <v>245</v>
      </c>
      <c r="Q1205" t="s">
        <v>7534</v>
      </c>
      <c r="R1205" s="1">
        <v>22060</v>
      </c>
      <c r="S1205" t="s">
        <v>16</v>
      </c>
      <c r="T1205" t="s">
        <v>29</v>
      </c>
      <c r="U1205" t="s">
        <v>2013</v>
      </c>
      <c r="V1205">
        <v>30000</v>
      </c>
      <c r="W1205">
        <v>3</v>
      </c>
      <c r="X1205" t="s">
        <v>17</v>
      </c>
      <c r="Y1205" t="s">
        <v>60</v>
      </c>
      <c r="Z1205" t="s">
        <v>19</v>
      </c>
      <c r="AA1205" t="s">
        <v>3588</v>
      </c>
      <c r="AB1205" t="s">
        <v>3588</v>
      </c>
      <c r="AC1205" t="s">
        <v>3584</v>
      </c>
      <c r="AD1205" t="s">
        <v>3479</v>
      </c>
      <c r="AE1205" t="s">
        <v>3475</v>
      </c>
      <c r="AF1205" s="2">
        <v>3578.27</v>
      </c>
      <c r="AG1205" s="2">
        <v>2171.2941999999998</v>
      </c>
      <c r="AH1205" s="2">
        <v>1406.9757999999999</v>
      </c>
      <c r="AI1205" s="3">
        <v>0.39320001006072802</v>
      </c>
    </row>
    <row r="1206" spans="1:35">
      <c r="A1206" s="1">
        <v>42220</v>
      </c>
      <c r="B1206" s="1">
        <v>37405</v>
      </c>
      <c r="C1206" t="s">
        <v>5036</v>
      </c>
      <c r="D1206">
        <v>377</v>
      </c>
      <c r="E1206">
        <v>15664</v>
      </c>
      <c r="F1206">
        <v>8</v>
      </c>
      <c r="G1206">
        <v>1</v>
      </c>
      <c r="H1206">
        <v>1</v>
      </c>
      <c r="I1206">
        <v>2</v>
      </c>
      <c r="J1206" t="s">
        <v>3559</v>
      </c>
      <c r="K1206" t="s">
        <v>3560</v>
      </c>
      <c r="L1206" s="2">
        <v>1320.6838</v>
      </c>
      <c r="M1206" s="2">
        <v>2181.5625</v>
      </c>
      <c r="N1206" t="s">
        <v>26</v>
      </c>
      <c r="O1206" t="s">
        <v>82</v>
      </c>
      <c r="P1206" t="s">
        <v>232</v>
      </c>
      <c r="Q1206" t="s">
        <v>7535</v>
      </c>
      <c r="R1206" s="1">
        <v>21666</v>
      </c>
      <c r="S1206" t="s">
        <v>22</v>
      </c>
      <c r="T1206" t="s">
        <v>29</v>
      </c>
      <c r="U1206" t="s">
        <v>2014</v>
      </c>
      <c r="V1206">
        <v>30000</v>
      </c>
      <c r="W1206">
        <v>0</v>
      </c>
      <c r="X1206" t="s">
        <v>17</v>
      </c>
      <c r="Y1206" t="s">
        <v>60</v>
      </c>
      <c r="Z1206" t="s">
        <v>19</v>
      </c>
      <c r="AA1206" t="s">
        <v>3585</v>
      </c>
      <c r="AB1206" t="s">
        <v>3585</v>
      </c>
      <c r="AC1206" t="s">
        <v>3584</v>
      </c>
      <c r="AD1206" t="s">
        <v>3479</v>
      </c>
      <c r="AE1206" t="s">
        <v>3475</v>
      </c>
      <c r="AF1206" s="2">
        <v>2181.5625</v>
      </c>
      <c r="AG1206" s="2">
        <v>1320.6838</v>
      </c>
      <c r="AH1206" s="2">
        <v>860.87869999999998</v>
      </c>
      <c r="AI1206" s="3">
        <v>0.39461564818793898</v>
      </c>
    </row>
    <row r="1207" spans="1:35">
      <c r="A1207" s="1">
        <v>42217</v>
      </c>
      <c r="B1207" s="1">
        <v>37391</v>
      </c>
      <c r="C1207" t="s">
        <v>5013</v>
      </c>
      <c r="D1207">
        <v>369</v>
      </c>
      <c r="E1207">
        <v>15667</v>
      </c>
      <c r="F1207">
        <v>8</v>
      </c>
      <c r="G1207">
        <v>1</v>
      </c>
      <c r="H1207">
        <v>1</v>
      </c>
      <c r="I1207">
        <v>2</v>
      </c>
      <c r="J1207" t="s">
        <v>3549</v>
      </c>
      <c r="K1207" t="s">
        <v>3550</v>
      </c>
      <c r="L1207" s="2">
        <v>1518.7864</v>
      </c>
      <c r="M1207" s="2">
        <v>2443.35</v>
      </c>
      <c r="N1207" t="s">
        <v>13</v>
      </c>
      <c r="O1207" t="s">
        <v>984</v>
      </c>
      <c r="P1207" t="s">
        <v>89</v>
      </c>
      <c r="Q1207" t="s">
        <v>7536</v>
      </c>
      <c r="R1207" s="1">
        <v>25828</v>
      </c>
      <c r="S1207" t="s">
        <v>16</v>
      </c>
      <c r="T1207" t="s">
        <v>16</v>
      </c>
      <c r="U1207" t="s">
        <v>2015</v>
      </c>
      <c r="V1207">
        <v>30000</v>
      </c>
      <c r="W1207">
        <v>0</v>
      </c>
      <c r="X1207" t="s">
        <v>17</v>
      </c>
      <c r="Y1207" t="s">
        <v>60</v>
      </c>
      <c r="Z1207" t="s">
        <v>19</v>
      </c>
      <c r="AA1207" t="s">
        <v>3585</v>
      </c>
      <c r="AB1207" t="s">
        <v>3585</v>
      </c>
      <c r="AC1207" t="s">
        <v>3584</v>
      </c>
      <c r="AD1207" t="s">
        <v>3479</v>
      </c>
      <c r="AE1207" t="s">
        <v>3475</v>
      </c>
      <c r="AF1207" s="2">
        <v>2443.35</v>
      </c>
      <c r="AG1207" s="2">
        <v>1518.7864</v>
      </c>
      <c r="AH1207" s="2">
        <v>924.56359999999995</v>
      </c>
      <c r="AI1207" s="3">
        <v>0.37839998362903399</v>
      </c>
    </row>
    <row r="1208" spans="1:35">
      <c r="A1208" s="1">
        <v>42181</v>
      </c>
      <c r="B1208" s="1">
        <v>37346</v>
      </c>
      <c r="C1208" t="s">
        <v>4730</v>
      </c>
      <c r="D1208">
        <v>313</v>
      </c>
      <c r="E1208">
        <v>15668</v>
      </c>
      <c r="F1208">
        <v>10</v>
      </c>
      <c r="G1208">
        <v>1</v>
      </c>
      <c r="H1208">
        <v>1</v>
      </c>
      <c r="I1208">
        <v>2</v>
      </c>
      <c r="J1208" t="s">
        <v>3491</v>
      </c>
      <c r="K1208" t="s">
        <v>3492</v>
      </c>
      <c r="L1208" s="2">
        <v>2171.2941999999998</v>
      </c>
      <c r="M1208" s="2">
        <v>3578.27</v>
      </c>
      <c r="N1208" t="s">
        <v>13</v>
      </c>
      <c r="O1208" t="s">
        <v>568</v>
      </c>
      <c r="P1208" t="s">
        <v>209</v>
      </c>
      <c r="Q1208" t="s">
        <v>7537</v>
      </c>
      <c r="R1208" s="1">
        <v>25626</v>
      </c>
      <c r="S1208" t="s">
        <v>16</v>
      </c>
      <c r="T1208" t="s">
        <v>16</v>
      </c>
      <c r="U1208" t="s">
        <v>2016</v>
      </c>
      <c r="V1208">
        <v>40000</v>
      </c>
      <c r="W1208">
        <v>0</v>
      </c>
      <c r="X1208" t="s">
        <v>135</v>
      </c>
      <c r="Y1208" t="s">
        <v>60</v>
      </c>
      <c r="Z1208" t="s">
        <v>23</v>
      </c>
      <c r="AA1208" t="s">
        <v>3588</v>
      </c>
      <c r="AB1208" t="s">
        <v>3588</v>
      </c>
      <c r="AC1208" t="s">
        <v>3584</v>
      </c>
      <c r="AD1208" t="s">
        <v>3479</v>
      </c>
      <c r="AE1208" t="s">
        <v>3475</v>
      </c>
      <c r="AF1208" s="2">
        <v>3578.27</v>
      </c>
      <c r="AG1208" s="2">
        <v>2171.2941999999998</v>
      </c>
      <c r="AH1208" s="2">
        <v>1406.9757999999999</v>
      </c>
      <c r="AI1208" s="3">
        <v>0.39320001006072802</v>
      </c>
    </row>
    <row r="1209" spans="1:35">
      <c r="A1209" s="1">
        <v>42165</v>
      </c>
      <c r="B1209" s="1">
        <v>37325</v>
      </c>
      <c r="C1209" t="s">
        <v>4615</v>
      </c>
      <c r="D1209">
        <v>314</v>
      </c>
      <c r="E1209">
        <v>15669</v>
      </c>
      <c r="F1209">
        <v>10</v>
      </c>
      <c r="G1209">
        <v>1</v>
      </c>
      <c r="H1209">
        <v>1</v>
      </c>
      <c r="I1209">
        <v>2</v>
      </c>
      <c r="J1209" t="s">
        <v>3493</v>
      </c>
      <c r="K1209" t="s">
        <v>3494</v>
      </c>
      <c r="L1209" s="2">
        <v>2171.2941999999998</v>
      </c>
      <c r="M1209" s="2">
        <v>3578.27</v>
      </c>
      <c r="N1209" t="s">
        <v>26</v>
      </c>
      <c r="O1209" t="s">
        <v>2017</v>
      </c>
      <c r="P1209" t="s">
        <v>2018</v>
      </c>
      <c r="Q1209" t="s">
        <v>7538</v>
      </c>
      <c r="R1209" s="1">
        <v>25682</v>
      </c>
      <c r="S1209" t="s">
        <v>16</v>
      </c>
      <c r="T1209" t="s">
        <v>29</v>
      </c>
      <c r="U1209" t="s">
        <v>2019</v>
      </c>
      <c r="V1209">
        <v>40000</v>
      </c>
      <c r="W1209">
        <v>0</v>
      </c>
      <c r="X1209" t="s">
        <v>135</v>
      </c>
      <c r="Y1209" t="s">
        <v>60</v>
      </c>
      <c r="Z1209" t="s">
        <v>19</v>
      </c>
      <c r="AA1209" t="s">
        <v>3588</v>
      </c>
      <c r="AB1209" t="s">
        <v>3588</v>
      </c>
      <c r="AC1209" t="s">
        <v>3584</v>
      </c>
      <c r="AD1209" t="s">
        <v>3479</v>
      </c>
      <c r="AE1209" t="s">
        <v>3475</v>
      </c>
      <c r="AF1209" s="2">
        <v>3578.27</v>
      </c>
      <c r="AG1209" s="2">
        <v>2171.2941999999998</v>
      </c>
      <c r="AH1209" s="2">
        <v>1406.9757999999999</v>
      </c>
      <c r="AI1209" s="3">
        <v>0.39320001006072802</v>
      </c>
    </row>
    <row r="1210" spans="1:35">
      <c r="A1210" s="1">
        <v>42261</v>
      </c>
      <c r="B1210" s="1">
        <v>37464</v>
      </c>
      <c r="C1210" t="s">
        <v>5381</v>
      </c>
      <c r="D1210">
        <v>368</v>
      </c>
      <c r="E1210">
        <v>15674</v>
      </c>
      <c r="F1210">
        <v>8</v>
      </c>
      <c r="G1210">
        <v>1</v>
      </c>
      <c r="H1210">
        <v>1</v>
      </c>
      <c r="I1210">
        <v>2</v>
      </c>
      <c r="J1210" t="s">
        <v>3547</v>
      </c>
      <c r="K1210" t="s">
        <v>3548</v>
      </c>
      <c r="L1210" s="2">
        <v>1518.7864</v>
      </c>
      <c r="M1210" s="2">
        <v>2443.35</v>
      </c>
      <c r="N1210" t="s">
        <v>13</v>
      </c>
      <c r="O1210" t="s">
        <v>1637</v>
      </c>
      <c r="P1210" t="s">
        <v>2020</v>
      </c>
      <c r="Q1210" t="s">
        <v>7539</v>
      </c>
      <c r="R1210" s="1">
        <v>25392</v>
      </c>
      <c r="S1210" t="s">
        <v>22</v>
      </c>
      <c r="T1210" t="s">
        <v>16</v>
      </c>
      <c r="U1210" t="s">
        <v>2021</v>
      </c>
      <c r="V1210">
        <v>30000</v>
      </c>
      <c r="W1210">
        <v>0</v>
      </c>
      <c r="X1210" t="s">
        <v>17</v>
      </c>
      <c r="Y1210" t="s">
        <v>60</v>
      </c>
      <c r="Z1210" t="s">
        <v>19</v>
      </c>
      <c r="AA1210" t="s">
        <v>3585</v>
      </c>
      <c r="AB1210" t="s">
        <v>3585</v>
      </c>
      <c r="AC1210" t="s">
        <v>3584</v>
      </c>
      <c r="AD1210" t="s">
        <v>3479</v>
      </c>
      <c r="AE1210" t="s">
        <v>3475</v>
      </c>
      <c r="AF1210" s="2">
        <v>2443.35</v>
      </c>
      <c r="AG1210" s="2">
        <v>1518.7864</v>
      </c>
      <c r="AH1210" s="2">
        <v>924.56359999999995</v>
      </c>
      <c r="AI1210" s="3">
        <v>0.37839998362903399</v>
      </c>
    </row>
    <row r="1211" spans="1:35">
      <c r="A1211" s="1">
        <v>42257</v>
      </c>
      <c r="B1211" s="1">
        <v>37453</v>
      </c>
      <c r="C1211" t="s">
        <v>5340</v>
      </c>
      <c r="D1211">
        <v>368</v>
      </c>
      <c r="E1211">
        <v>15675</v>
      </c>
      <c r="F1211">
        <v>8</v>
      </c>
      <c r="G1211">
        <v>1</v>
      </c>
      <c r="H1211">
        <v>1</v>
      </c>
      <c r="I1211">
        <v>2</v>
      </c>
      <c r="J1211" t="s">
        <v>3547</v>
      </c>
      <c r="K1211" t="s">
        <v>3548</v>
      </c>
      <c r="L1211" s="2">
        <v>1518.7864</v>
      </c>
      <c r="M1211" s="2">
        <v>2443.35</v>
      </c>
      <c r="N1211" t="s">
        <v>13</v>
      </c>
      <c r="O1211" t="s">
        <v>556</v>
      </c>
      <c r="P1211" t="s">
        <v>779</v>
      </c>
      <c r="Q1211" t="s">
        <v>7540</v>
      </c>
      <c r="R1211" s="1">
        <v>25492</v>
      </c>
      <c r="S1211" t="s">
        <v>16</v>
      </c>
      <c r="T1211" t="s">
        <v>16</v>
      </c>
      <c r="U1211" t="s">
        <v>2022</v>
      </c>
      <c r="V1211">
        <v>40000</v>
      </c>
      <c r="W1211">
        <v>0</v>
      </c>
      <c r="X1211" t="s">
        <v>135</v>
      </c>
      <c r="Y1211" t="s">
        <v>60</v>
      </c>
      <c r="Z1211" t="s">
        <v>19</v>
      </c>
      <c r="AA1211" t="s">
        <v>3585</v>
      </c>
      <c r="AB1211" t="s">
        <v>3585</v>
      </c>
      <c r="AC1211" t="s">
        <v>3584</v>
      </c>
      <c r="AD1211" t="s">
        <v>3479</v>
      </c>
      <c r="AE1211" t="s">
        <v>3475</v>
      </c>
      <c r="AF1211" s="2">
        <v>2443.35</v>
      </c>
      <c r="AG1211" s="2">
        <v>1518.7864</v>
      </c>
      <c r="AH1211" s="2">
        <v>924.56359999999995</v>
      </c>
      <c r="AI1211" s="3">
        <v>0.37839998362903399</v>
      </c>
    </row>
    <row r="1212" spans="1:35">
      <c r="A1212" s="1">
        <v>42257</v>
      </c>
      <c r="B1212" s="1">
        <v>37464</v>
      </c>
      <c r="C1212" t="s">
        <v>5346</v>
      </c>
      <c r="D1212">
        <v>377</v>
      </c>
      <c r="E1212">
        <v>15684</v>
      </c>
      <c r="F1212">
        <v>8</v>
      </c>
      <c r="G1212">
        <v>1</v>
      </c>
      <c r="H1212">
        <v>1</v>
      </c>
      <c r="I1212">
        <v>2</v>
      </c>
      <c r="J1212" t="s">
        <v>3559</v>
      </c>
      <c r="K1212" t="s">
        <v>3560</v>
      </c>
      <c r="L1212" s="2">
        <v>1320.6838</v>
      </c>
      <c r="M1212" s="2">
        <v>2181.5625</v>
      </c>
      <c r="N1212" t="s">
        <v>13</v>
      </c>
      <c r="O1212" t="s">
        <v>467</v>
      </c>
      <c r="P1212" t="s">
        <v>40</v>
      </c>
      <c r="Q1212" t="s">
        <v>7541</v>
      </c>
      <c r="R1212" s="1">
        <v>16263</v>
      </c>
      <c r="S1212" t="s">
        <v>22</v>
      </c>
      <c r="T1212" t="s">
        <v>16</v>
      </c>
      <c r="U1212" t="s">
        <v>2023</v>
      </c>
      <c r="V1212">
        <v>90000</v>
      </c>
      <c r="W1212">
        <v>5</v>
      </c>
      <c r="X1212" t="s">
        <v>52</v>
      </c>
      <c r="Y1212" t="s">
        <v>18</v>
      </c>
      <c r="Z1212" t="s">
        <v>23</v>
      </c>
      <c r="AA1212" t="s">
        <v>3585</v>
      </c>
      <c r="AB1212" t="s">
        <v>3585</v>
      </c>
      <c r="AC1212" t="s">
        <v>3584</v>
      </c>
      <c r="AD1212" t="s">
        <v>3479</v>
      </c>
      <c r="AE1212" t="s">
        <v>3475</v>
      </c>
      <c r="AF1212" s="2">
        <v>2181.5625</v>
      </c>
      <c r="AG1212" s="2">
        <v>1320.6838</v>
      </c>
      <c r="AH1212" s="2">
        <v>860.87869999999998</v>
      </c>
      <c r="AI1212" s="3">
        <v>0.39461564818793898</v>
      </c>
    </row>
    <row r="1213" spans="1:35">
      <c r="A1213" s="1">
        <v>42273</v>
      </c>
      <c r="B1213" s="1">
        <v>37441</v>
      </c>
      <c r="C1213" t="s">
        <v>5460</v>
      </c>
      <c r="D1213">
        <v>370</v>
      </c>
      <c r="E1213">
        <v>15685</v>
      </c>
      <c r="F1213">
        <v>8</v>
      </c>
      <c r="G1213">
        <v>1</v>
      </c>
      <c r="H1213">
        <v>1</v>
      </c>
      <c r="I1213">
        <v>2</v>
      </c>
      <c r="J1213" t="s">
        <v>3551</v>
      </c>
      <c r="K1213" t="s">
        <v>3552</v>
      </c>
      <c r="L1213" s="2">
        <v>1518.7864</v>
      </c>
      <c r="M1213" s="2">
        <v>2443.35</v>
      </c>
      <c r="N1213" t="s">
        <v>30</v>
      </c>
      <c r="O1213" t="s">
        <v>36</v>
      </c>
      <c r="P1213" t="s">
        <v>232</v>
      </c>
      <c r="Q1213" t="s">
        <v>7542</v>
      </c>
      <c r="R1213" s="1">
        <v>16232</v>
      </c>
      <c r="S1213" t="s">
        <v>16</v>
      </c>
      <c r="T1213" t="s">
        <v>29</v>
      </c>
      <c r="U1213" t="s">
        <v>2024</v>
      </c>
      <c r="V1213">
        <v>110000</v>
      </c>
      <c r="W1213">
        <v>3</v>
      </c>
      <c r="X1213" t="s">
        <v>17</v>
      </c>
      <c r="Y1213" t="s">
        <v>45</v>
      </c>
      <c r="Z1213" t="s">
        <v>19</v>
      </c>
      <c r="AA1213" t="s">
        <v>3585</v>
      </c>
      <c r="AB1213" t="s">
        <v>3585</v>
      </c>
      <c r="AC1213" t="s">
        <v>3584</v>
      </c>
      <c r="AD1213" t="s">
        <v>3479</v>
      </c>
      <c r="AE1213" t="s">
        <v>3475</v>
      </c>
      <c r="AF1213" s="2">
        <v>2443.35</v>
      </c>
      <c r="AG1213" s="2">
        <v>1518.7864</v>
      </c>
      <c r="AH1213" s="2">
        <v>924.56359999999995</v>
      </c>
      <c r="AI1213" s="3">
        <v>0.37839998362903399</v>
      </c>
    </row>
    <row r="1214" spans="1:35">
      <c r="A1214" s="1">
        <v>42184</v>
      </c>
      <c r="B1214" s="1">
        <v>37323</v>
      </c>
      <c r="C1214" t="s">
        <v>4751</v>
      </c>
      <c r="D1214">
        <v>312</v>
      </c>
      <c r="E1214">
        <v>15691</v>
      </c>
      <c r="F1214">
        <v>10</v>
      </c>
      <c r="G1214">
        <v>1</v>
      </c>
      <c r="H1214">
        <v>1</v>
      </c>
      <c r="I1214">
        <v>2</v>
      </c>
      <c r="J1214" t="s">
        <v>3489</v>
      </c>
      <c r="K1214" t="s">
        <v>3490</v>
      </c>
      <c r="L1214" s="2">
        <v>2171.2941999999998</v>
      </c>
      <c r="M1214" s="2">
        <v>3578.27</v>
      </c>
      <c r="N1214" t="s">
        <v>13</v>
      </c>
      <c r="O1214" t="s">
        <v>440</v>
      </c>
      <c r="P1214" t="s">
        <v>146</v>
      </c>
      <c r="Q1214" t="s">
        <v>7543</v>
      </c>
      <c r="R1214" s="1">
        <v>19892</v>
      </c>
      <c r="S1214" t="s">
        <v>16</v>
      </c>
      <c r="T1214" t="s">
        <v>16</v>
      </c>
      <c r="U1214" t="s">
        <v>2025</v>
      </c>
      <c r="V1214">
        <v>90000</v>
      </c>
      <c r="W1214">
        <v>3</v>
      </c>
      <c r="X1214" t="s">
        <v>57</v>
      </c>
      <c r="Y1214" t="s">
        <v>18</v>
      </c>
      <c r="Z1214" t="s">
        <v>19</v>
      </c>
      <c r="AA1214" t="s">
        <v>3588</v>
      </c>
      <c r="AB1214" t="s">
        <v>3588</v>
      </c>
      <c r="AC1214" t="s">
        <v>3584</v>
      </c>
      <c r="AD1214" t="s">
        <v>3479</v>
      </c>
      <c r="AE1214" t="s">
        <v>3475</v>
      </c>
      <c r="AF1214" s="2">
        <v>3578.27</v>
      </c>
      <c r="AG1214" s="2">
        <v>2171.2941999999998</v>
      </c>
      <c r="AH1214" s="2">
        <v>1406.9757999999999</v>
      </c>
      <c r="AI1214" s="3">
        <v>0.39320001006072802</v>
      </c>
    </row>
    <row r="1215" spans="1:35">
      <c r="A1215" s="1">
        <v>42157</v>
      </c>
      <c r="B1215" s="1">
        <v>37372</v>
      </c>
      <c r="C1215" t="s">
        <v>4566</v>
      </c>
      <c r="D1215">
        <v>312</v>
      </c>
      <c r="E1215">
        <v>15692</v>
      </c>
      <c r="F1215">
        <v>10</v>
      </c>
      <c r="G1215">
        <v>1</v>
      </c>
      <c r="H1215">
        <v>1</v>
      </c>
      <c r="I1215">
        <v>2</v>
      </c>
      <c r="J1215" t="s">
        <v>3489</v>
      </c>
      <c r="K1215" t="s">
        <v>3490</v>
      </c>
      <c r="L1215" s="2">
        <v>2171.2941999999998</v>
      </c>
      <c r="M1215" s="2">
        <v>3578.27</v>
      </c>
      <c r="N1215" t="s">
        <v>13</v>
      </c>
      <c r="O1215" t="s">
        <v>179</v>
      </c>
      <c r="P1215" t="s">
        <v>99</v>
      </c>
      <c r="Q1215" t="s">
        <v>7544</v>
      </c>
      <c r="R1215" s="1">
        <v>19828</v>
      </c>
      <c r="S1215" t="s">
        <v>16</v>
      </c>
      <c r="T1215" t="s">
        <v>16</v>
      </c>
      <c r="U1215" t="s">
        <v>2026</v>
      </c>
      <c r="V1215">
        <v>90000</v>
      </c>
      <c r="W1215">
        <v>3</v>
      </c>
      <c r="X1215" t="s">
        <v>57</v>
      </c>
      <c r="Y1215" t="s">
        <v>18</v>
      </c>
      <c r="Z1215" t="s">
        <v>19</v>
      </c>
      <c r="AA1215" t="s">
        <v>3588</v>
      </c>
      <c r="AB1215" t="s">
        <v>3588</v>
      </c>
      <c r="AC1215" t="s">
        <v>3584</v>
      </c>
      <c r="AD1215" t="s">
        <v>3479</v>
      </c>
      <c r="AE1215" t="s">
        <v>3475</v>
      </c>
      <c r="AF1215" s="2">
        <v>3578.27</v>
      </c>
      <c r="AG1215" s="2">
        <v>2171.2941999999998</v>
      </c>
      <c r="AH1215" s="2">
        <v>1406.9757999999999</v>
      </c>
      <c r="AI1215" s="3">
        <v>0.39320001006072802</v>
      </c>
    </row>
    <row r="1216" spans="1:35">
      <c r="A1216" s="1">
        <v>42276</v>
      </c>
      <c r="B1216" s="1">
        <v>37495</v>
      </c>
      <c r="C1216" t="s">
        <v>5470</v>
      </c>
      <c r="D1216">
        <v>375</v>
      </c>
      <c r="E1216">
        <v>15693</v>
      </c>
      <c r="F1216">
        <v>8</v>
      </c>
      <c r="G1216">
        <v>1</v>
      </c>
      <c r="H1216">
        <v>1</v>
      </c>
      <c r="I1216">
        <v>2</v>
      </c>
      <c r="J1216" t="s">
        <v>3557</v>
      </c>
      <c r="K1216" t="s">
        <v>3558</v>
      </c>
      <c r="L1216" s="2">
        <v>1320.6838</v>
      </c>
      <c r="M1216" s="2">
        <v>2181.5625</v>
      </c>
      <c r="N1216" t="s">
        <v>30</v>
      </c>
      <c r="O1216" t="s">
        <v>758</v>
      </c>
      <c r="P1216" t="s">
        <v>291</v>
      </c>
      <c r="Q1216" t="s">
        <v>7545</v>
      </c>
      <c r="R1216" s="1">
        <v>19924</v>
      </c>
      <c r="S1216" t="s">
        <v>22</v>
      </c>
      <c r="T1216" t="s">
        <v>29</v>
      </c>
      <c r="U1216" t="s">
        <v>2027</v>
      </c>
      <c r="V1216">
        <v>90000</v>
      </c>
      <c r="W1216">
        <v>3</v>
      </c>
      <c r="X1216" t="s">
        <v>57</v>
      </c>
      <c r="Y1216" t="s">
        <v>18</v>
      </c>
      <c r="Z1216" t="s">
        <v>19</v>
      </c>
      <c r="AA1216" t="s">
        <v>3585</v>
      </c>
      <c r="AB1216" t="s">
        <v>3585</v>
      </c>
      <c r="AC1216" t="s">
        <v>3584</v>
      </c>
      <c r="AD1216" t="s">
        <v>3479</v>
      </c>
      <c r="AE1216" t="s">
        <v>3475</v>
      </c>
      <c r="AF1216" s="2">
        <v>2181.5625</v>
      </c>
      <c r="AG1216" s="2">
        <v>1320.6838</v>
      </c>
      <c r="AH1216" s="2">
        <v>860.87869999999998</v>
      </c>
      <c r="AI1216" s="3">
        <v>0.39461564818793898</v>
      </c>
    </row>
    <row r="1217" spans="1:35">
      <c r="A1217" s="1">
        <v>42156</v>
      </c>
      <c r="B1217" s="1">
        <v>37297</v>
      </c>
      <c r="C1217" t="s">
        <v>4551</v>
      </c>
      <c r="D1217">
        <v>314</v>
      </c>
      <c r="E1217">
        <v>15695</v>
      </c>
      <c r="F1217">
        <v>10</v>
      </c>
      <c r="G1217">
        <v>1</v>
      </c>
      <c r="H1217">
        <v>1</v>
      </c>
      <c r="I1217">
        <v>2</v>
      </c>
      <c r="J1217" t="s">
        <v>3493</v>
      </c>
      <c r="K1217" t="s">
        <v>3494</v>
      </c>
      <c r="L1217" s="2">
        <v>2171.2941999999998</v>
      </c>
      <c r="M1217" s="2">
        <v>3578.27</v>
      </c>
      <c r="N1217" t="s">
        <v>13</v>
      </c>
      <c r="O1217" t="s">
        <v>1063</v>
      </c>
      <c r="P1217" t="s">
        <v>529</v>
      </c>
      <c r="Q1217" t="s">
        <v>7546</v>
      </c>
      <c r="R1217" s="1">
        <v>19893</v>
      </c>
      <c r="S1217" t="s">
        <v>16</v>
      </c>
      <c r="T1217" t="s">
        <v>16</v>
      </c>
      <c r="U1217" t="s">
        <v>2028</v>
      </c>
      <c r="V1217">
        <v>150000</v>
      </c>
      <c r="W1217">
        <v>3</v>
      </c>
      <c r="X1217" t="s">
        <v>77</v>
      </c>
      <c r="Y1217" t="s">
        <v>18</v>
      </c>
      <c r="Z1217" t="s">
        <v>19</v>
      </c>
      <c r="AA1217" t="s">
        <v>3588</v>
      </c>
      <c r="AB1217" t="s">
        <v>3588</v>
      </c>
      <c r="AC1217" t="s">
        <v>3584</v>
      </c>
      <c r="AD1217" t="s">
        <v>3479</v>
      </c>
      <c r="AE1217" t="s">
        <v>3475</v>
      </c>
      <c r="AF1217" s="2">
        <v>3578.27</v>
      </c>
      <c r="AG1217" s="2">
        <v>2171.2941999999998</v>
      </c>
      <c r="AH1217" s="2">
        <v>1406.9757999999999</v>
      </c>
      <c r="AI1217" s="3">
        <v>0.39320001006072802</v>
      </c>
    </row>
    <row r="1218" spans="1:35">
      <c r="A1218" s="1">
        <v>42264</v>
      </c>
      <c r="B1218" s="1">
        <v>37450</v>
      </c>
      <c r="C1218" t="s">
        <v>5393</v>
      </c>
      <c r="D1218">
        <v>377</v>
      </c>
      <c r="E1218">
        <v>15697</v>
      </c>
      <c r="F1218">
        <v>8</v>
      </c>
      <c r="G1218">
        <v>1</v>
      </c>
      <c r="H1218">
        <v>1</v>
      </c>
      <c r="I1218">
        <v>2</v>
      </c>
      <c r="J1218" t="s">
        <v>3559</v>
      </c>
      <c r="K1218" t="s">
        <v>3560</v>
      </c>
      <c r="L1218" s="2">
        <v>1320.6838</v>
      </c>
      <c r="M1218" s="2">
        <v>2181.5625</v>
      </c>
      <c r="N1218" t="s">
        <v>30</v>
      </c>
      <c r="O1218" t="s">
        <v>202</v>
      </c>
      <c r="P1218" t="s">
        <v>311</v>
      </c>
      <c r="Q1218" t="s">
        <v>7547</v>
      </c>
      <c r="R1218" s="1">
        <v>19546</v>
      </c>
      <c r="S1218" t="s">
        <v>16</v>
      </c>
      <c r="T1218" t="s">
        <v>29</v>
      </c>
      <c r="U1218" t="s">
        <v>2029</v>
      </c>
      <c r="V1218">
        <v>110000</v>
      </c>
      <c r="W1218">
        <v>2</v>
      </c>
      <c r="X1218" t="s">
        <v>52</v>
      </c>
      <c r="Y1218" t="s">
        <v>18</v>
      </c>
      <c r="Z1218" t="s">
        <v>19</v>
      </c>
      <c r="AA1218" t="s">
        <v>3585</v>
      </c>
      <c r="AB1218" t="s">
        <v>3585</v>
      </c>
      <c r="AC1218" t="s">
        <v>3584</v>
      </c>
      <c r="AD1218" t="s">
        <v>3479</v>
      </c>
      <c r="AE1218" t="s">
        <v>3475</v>
      </c>
      <c r="AF1218" s="2">
        <v>2181.5625</v>
      </c>
      <c r="AG1218" s="2">
        <v>1320.6838</v>
      </c>
      <c r="AH1218" s="2">
        <v>860.87869999999998</v>
      </c>
      <c r="AI1218" s="3">
        <v>0.39461564818793898</v>
      </c>
    </row>
    <row r="1219" spans="1:35">
      <c r="A1219" s="1">
        <v>42193</v>
      </c>
      <c r="B1219" s="1">
        <v>37397</v>
      </c>
      <c r="C1219" t="s">
        <v>4827</v>
      </c>
      <c r="D1219">
        <v>373</v>
      </c>
      <c r="E1219">
        <v>15699</v>
      </c>
      <c r="F1219">
        <v>10</v>
      </c>
      <c r="G1219">
        <v>1</v>
      </c>
      <c r="H1219">
        <v>1</v>
      </c>
      <c r="I1219">
        <v>2</v>
      </c>
      <c r="J1219" t="s">
        <v>3555</v>
      </c>
      <c r="K1219" t="s">
        <v>3556</v>
      </c>
      <c r="L1219" s="2">
        <v>1320.6838</v>
      </c>
      <c r="M1219" s="2">
        <v>2181.5625</v>
      </c>
      <c r="N1219" t="s">
        <v>13</v>
      </c>
      <c r="O1219" t="s">
        <v>711</v>
      </c>
      <c r="P1219" t="s">
        <v>101</v>
      </c>
      <c r="Q1219" t="s">
        <v>7548</v>
      </c>
      <c r="R1219" s="1">
        <v>19613</v>
      </c>
      <c r="S1219" t="s">
        <v>16</v>
      </c>
      <c r="T1219" t="s">
        <v>16</v>
      </c>
      <c r="U1219" t="s">
        <v>2030</v>
      </c>
      <c r="V1219">
        <v>170000</v>
      </c>
      <c r="W1219">
        <v>0</v>
      </c>
      <c r="X1219" t="s">
        <v>17</v>
      </c>
      <c r="Y1219" t="s">
        <v>45</v>
      </c>
      <c r="Z1219" t="s">
        <v>19</v>
      </c>
      <c r="AA1219" t="s">
        <v>3588</v>
      </c>
      <c r="AB1219" t="s">
        <v>3588</v>
      </c>
      <c r="AC1219" t="s">
        <v>3584</v>
      </c>
      <c r="AD1219" t="s">
        <v>3479</v>
      </c>
      <c r="AE1219" t="s">
        <v>3475</v>
      </c>
      <c r="AF1219" s="2">
        <v>2181.5625</v>
      </c>
      <c r="AG1219" s="2">
        <v>1320.6838</v>
      </c>
      <c r="AH1219" s="2">
        <v>860.87869999999998</v>
      </c>
      <c r="AI1219" s="3">
        <v>0.39461564818793898</v>
      </c>
    </row>
    <row r="1220" spans="1:35">
      <c r="A1220" s="1">
        <v>42197</v>
      </c>
      <c r="B1220" s="1">
        <v>37428</v>
      </c>
      <c r="C1220" t="s">
        <v>4861</v>
      </c>
      <c r="D1220">
        <v>377</v>
      </c>
      <c r="E1220">
        <v>15702</v>
      </c>
      <c r="F1220">
        <v>10</v>
      </c>
      <c r="G1220">
        <v>1</v>
      </c>
      <c r="H1220">
        <v>1</v>
      </c>
      <c r="I1220">
        <v>2</v>
      </c>
      <c r="J1220" t="s">
        <v>3559</v>
      </c>
      <c r="K1220" t="s">
        <v>3560</v>
      </c>
      <c r="L1220" s="2">
        <v>1320.6838</v>
      </c>
      <c r="M1220" s="2">
        <v>2181.5625</v>
      </c>
      <c r="N1220" t="s">
        <v>30</v>
      </c>
      <c r="O1220" t="s">
        <v>1044</v>
      </c>
      <c r="P1220" t="s">
        <v>35</v>
      </c>
      <c r="Q1220" t="s">
        <v>7549</v>
      </c>
      <c r="R1220" s="1">
        <v>19224</v>
      </c>
      <c r="S1220" t="s">
        <v>16</v>
      </c>
      <c r="T1220" t="s">
        <v>29</v>
      </c>
      <c r="U1220" t="s">
        <v>2031</v>
      </c>
      <c r="V1220">
        <v>130000</v>
      </c>
      <c r="W1220">
        <v>4</v>
      </c>
      <c r="X1220" t="s">
        <v>57</v>
      </c>
      <c r="Y1220" t="s">
        <v>18</v>
      </c>
      <c r="Z1220" t="s">
        <v>19</v>
      </c>
      <c r="AA1220" t="s">
        <v>3588</v>
      </c>
      <c r="AB1220" t="s">
        <v>3588</v>
      </c>
      <c r="AC1220" t="s">
        <v>3584</v>
      </c>
      <c r="AD1220" t="s">
        <v>3479</v>
      </c>
      <c r="AE1220" t="s">
        <v>3475</v>
      </c>
      <c r="AF1220" s="2">
        <v>2181.5625</v>
      </c>
      <c r="AG1220" s="2">
        <v>1320.6838</v>
      </c>
      <c r="AH1220" s="2">
        <v>860.87869999999998</v>
      </c>
      <c r="AI1220" s="3">
        <v>0.39461564818793898</v>
      </c>
    </row>
    <row r="1221" spans="1:35">
      <c r="A1221" s="1">
        <v>42249</v>
      </c>
      <c r="B1221" s="1">
        <v>37450</v>
      </c>
      <c r="C1221" t="s">
        <v>5290</v>
      </c>
      <c r="D1221">
        <v>375</v>
      </c>
      <c r="E1221">
        <v>15926</v>
      </c>
      <c r="F1221">
        <v>8</v>
      </c>
      <c r="G1221">
        <v>1</v>
      </c>
      <c r="H1221">
        <v>1</v>
      </c>
      <c r="I1221">
        <v>2</v>
      </c>
      <c r="J1221" t="s">
        <v>3557</v>
      </c>
      <c r="K1221" t="s">
        <v>3558</v>
      </c>
      <c r="L1221" s="2">
        <v>1320.6838</v>
      </c>
      <c r="M1221" s="2">
        <v>2181.5625</v>
      </c>
      <c r="N1221" t="s">
        <v>30</v>
      </c>
      <c r="O1221" t="s">
        <v>899</v>
      </c>
      <c r="P1221" t="s">
        <v>226</v>
      </c>
      <c r="Q1221" t="s">
        <v>7550</v>
      </c>
      <c r="R1221" s="1">
        <v>20497</v>
      </c>
      <c r="S1221" t="s">
        <v>22</v>
      </c>
      <c r="T1221" t="s">
        <v>29</v>
      </c>
      <c r="U1221" t="s">
        <v>2032</v>
      </c>
      <c r="V1221">
        <v>120000</v>
      </c>
      <c r="W1221">
        <v>3</v>
      </c>
      <c r="X1221" t="s">
        <v>57</v>
      </c>
      <c r="Y1221" t="s">
        <v>18</v>
      </c>
      <c r="Z1221" t="s">
        <v>19</v>
      </c>
      <c r="AA1221" t="s">
        <v>3585</v>
      </c>
      <c r="AB1221" t="s">
        <v>3585</v>
      </c>
      <c r="AC1221" t="s">
        <v>3584</v>
      </c>
      <c r="AD1221" t="s">
        <v>3479</v>
      </c>
      <c r="AE1221" t="s">
        <v>3475</v>
      </c>
      <c r="AF1221" s="2">
        <v>2181.5625</v>
      </c>
      <c r="AG1221" s="2">
        <v>1320.6838</v>
      </c>
      <c r="AH1221" s="2">
        <v>860.87869999999998</v>
      </c>
      <c r="AI1221" s="3">
        <v>0.39461564818793898</v>
      </c>
    </row>
    <row r="1222" spans="1:35">
      <c r="A1222" s="1">
        <v>42255</v>
      </c>
      <c r="B1222" s="1">
        <v>37464</v>
      </c>
      <c r="C1222" t="s">
        <v>5322</v>
      </c>
      <c r="D1222">
        <v>373</v>
      </c>
      <c r="E1222">
        <v>15927</v>
      </c>
      <c r="F1222">
        <v>8</v>
      </c>
      <c r="G1222">
        <v>1</v>
      </c>
      <c r="H1222">
        <v>1</v>
      </c>
      <c r="I1222">
        <v>2</v>
      </c>
      <c r="J1222" t="s">
        <v>3555</v>
      </c>
      <c r="K1222" t="s">
        <v>3556</v>
      </c>
      <c r="L1222" s="2">
        <v>1320.6838</v>
      </c>
      <c r="M1222" s="2">
        <v>2181.5625</v>
      </c>
      <c r="N1222" t="s">
        <v>13</v>
      </c>
      <c r="O1222" t="s">
        <v>130</v>
      </c>
      <c r="P1222" t="s">
        <v>21</v>
      </c>
      <c r="Q1222" t="s">
        <v>7551</v>
      </c>
      <c r="R1222" s="1">
        <v>20793</v>
      </c>
      <c r="S1222" t="s">
        <v>22</v>
      </c>
      <c r="T1222" t="s">
        <v>16</v>
      </c>
      <c r="U1222" t="s">
        <v>2033</v>
      </c>
      <c r="V1222">
        <v>120000</v>
      </c>
      <c r="W1222">
        <v>3</v>
      </c>
      <c r="X1222" t="s">
        <v>57</v>
      </c>
      <c r="Y1222" t="s">
        <v>18</v>
      </c>
      <c r="Z1222" t="s">
        <v>19</v>
      </c>
      <c r="AA1222" t="s">
        <v>3585</v>
      </c>
      <c r="AB1222" t="s">
        <v>3585</v>
      </c>
      <c r="AC1222" t="s">
        <v>3584</v>
      </c>
      <c r="AD1222" t="s">
        <v>3479</v>
      </c>
      <c r="AE1222" t="s">
        <v>3475</v>
      </c>
      <c r="AF1222" s="2">
        <v>2181.5625</v>
      </c>
      <c r="AG1222" s="2">
        <v>1320.6838</v>
      </c>
      <c r="AH1222" s="2">
        <v>860.87869999999998</v>
      </c>
      <c r="AI1222" s="3">
        <v>0.39461564818793898</v>
      </c>
    </row>
    <row r="1223" spans="1:35">
      <c r="A1223" s="1">
        <v>42270</v>
      </c>
      <c r="B1223" s="1">
        <v>37411</v>
      </c>
      <c r="C1223" t="s">
        <v>5437</v>
      </c>
      <c r="D1223">
        <v>375</v>
      </c>
      <c r="E1223">
        <v>15928</v>
      </c>
      <c r="F1223">
        <v>8</v>
      </c>
      <c r="G1223">
        <v>1</v>
      </c>
      <c r="H1223">
        <v>1</v>
      </c>
      <c r="I1223">
        <v>2</v>
      </c>
      <c r="J1223" t="s">
        <v>3557</v>
      </c>
      <c r="K1223" t="s">
        <v>3558</v>
      </c>
      <c r="L1223" s="2">
        <v>1320.6838</v>
      </c>
      <c r="M1223" s="2">
        <v>2181.5625</v>
      </c>
      <c r="N1223" t="s">
        <v>30</v>
      </c>
      <c r="O1223" t="s">
        <v>1159</v>
      </c>
      <c r="P1223" t="s">
        <v>490</v>
      </c>
      <c r="Q1223" t="s">
        <v>7552</v>
      </c>
      <c r="R1223" s="1">
        <v>20583</v>
      </c>
      <c r="S1223" t="s">
        <v>22</v>
      </c>
      <c r="T1223" t="s">
        <v>29</v>
      </c>
      <c r="U1223" t="s">
        <v>2034</v>
      </c>
      <c r="V1223">
        <v>120000</v>
      </c>
      <c r="W1223">
        <v>3</v>
      </c>
      <c r="X1223" t="s">
        <v>57</v>
      </c>
      <c r="Y1223" t="s">
        <v>18</v>
      </c>
      <c r="Z1223" t="s">
        <v>19</v>
      </c>
      <c r="AA1223" t="s">
        <v>3585</v>
      </c>
      <c r="AB1223" t="s">
        <v>3585</v>
      </c>
      <c r="AC1223" t="s">
        <v>3584</v>
      </c>
      <c r="AD1223" t="s">
        <v>3479</v>
      </c>
      <c r="AE1223" t="s">
        <v>3475</v>
      </c>
      <c r="AF1223" s="2">
        <v>2181.5625</v>
      </c>
      <c r="AG1223" s="2">
        <v>1320.6838</v>
      </c>
      <c r="AH1223" s="2">
        <v>860.87869999999998</v>
      </c>
      <c r="AI1223" s="3">
        <v>0.39461564818793898</v>
      </c>
    </row>
    <row r="1224" spans="1:35">
      <c r="A1224" s="1">
        <v>42198</v>
      </c>
      <c r="B1224" s="1">
        <v>37345</v>
      </c>
      <c r="C1224" t="s">
        <v>4867</v>
      </c>
      <c r="D1224">
        <v>377</v>
      </c>
      <c r="E1224">
        <v>15929</v>
      </c>
      <c r="F1224">
        <v>10</v>
      </c>
      <c r="G1224">
        <v>1</v>
      </c>
      <c r="H1224">
        <v>1</v>
      </c>
      <c r="I1224">
        <v>2</v>
      </c>
      <c r="J1224" t="s">
        <v>3559</v>
      </c>
      <c r="K1224" t="s">
        <v>3560</v>
      </c>
      <c r="L1224" s="2">
        <v>1320.6838</v>
      </c>
      <c r="M1224" s="2">
        <v>2181.5625</v>
      </c>
      <c r="N1224" t="s">
        <v>30</v>
      </c>
      <c r="O1224" t="s">
        <v>265</v>
      </c>
      <c r="P1224" t="s">
        <v>155</v>
      </c>
      <c r="Q1224" t="s">
        <v>7553</v>
      </c>
      <c r="R1224" s="1">
        <v>20677</v>
      </c>
      <c r="S1224" t="s">
        <v>16</v>
      </c>
      <c r="T1224" t="s">
        <v>29</v>
      </c>
      <c r="U1224" t="s">
        <v>2035</v>
      </c>
      <c r="V1224">
        <v>150000</v>
      </c>
      <c r="W1224">
        <v>3</v>
      </c>
      <c r="X1224" t="s">
        <v>57</v>
      </c>
      <c r="Y1224" t="s">
        <v>18</v>
      </c>
      <c r="Z1224" t="s">
        <v>19</v>
      </c>
      <c r="AA1224" t="s">
        <v>3588</v>
      </c>
      <c r="AB1224" t="s">
        <v>3588</v>
      </c>
      <c r="AC1224" t="s">
        <v>3584</v>
      </c>
      <c r="AD1224" t="s">
        <v>3479</v>
      </c>
      <c r="AE1224" t="s">
        <v>3475</v>
      </c>
      <c r="AF1224" s="2">
        <v>2181.5625</v>
      </c>
      <c r="AG1224" s="2">
        <v>1320.6838</v>
      </c>
      <c r="AH1224" s="2">
        <v>860.87869999999998</v>
      </c>
      <c r="AI1224" s="3">
        <v>0.39461564818793898</v>
      </c>
    </row>
    <row r="1225" spans="1:35">
      <c r="A1225" s="1">
        <v>42254</v>
      </c>
      <c r="B1225" s="1">
        <v>37484</v>
      </c>
      <c r="C1225" t="s">
        <v>5319</v>
      </c>
      <c r="D1225">
        <v>369</v>
      </c>
      <c r="E1225">
        <v>15932</v>
      </c>
      <c r="F1225">
        <v>8</v>
      </c>
      <c r="G1225">
        <v>1</v>
      </c>
      <c r="H1225">
        <v>1</v>
      </c>
      <c r="I1225">
        <v>2</v>
      </c>
      <c r="J1225" t="s">
        <v>3549</v>
      </c>
      <c r="K1225" t="s">
        <v>3550</v>
      </c>
      <c r="L1225" s="2">
        <v>1518.7864</v>
      </c>
      <c r="M1225" s="2">
        <v>2443.35</v>
      </c>
      <c r="N1225" t="s">
        <v>30</v>
      </c>
      <c r="O1225" t="s">
        <v>1703</v>
      </c>
      <c r="P1225" t="s">
        <v>83</v>
      </c>
      <c r="Q1225" t="s">
        <v>7554</v>
      </c>
      <c r="R1225" s="1">
        <v>20343</v>
      </c>
      <c r="S1225" t="s">
        <v>16</v>
      </c>
      <c r="T1225" t="s">
        <v>29</v>
      </c>
      <c r="U1225" t="s">
        <v>2036</v>
      </c>
      <c r="V1225">
        <v>130000</v>
      </c>
      <c r="W1225">
        <v>3</v>
      </c>
      <c r="X1225" t="s">
        <v>52</v>
      </c>
      <c r="Y1225" t="s">
        <v>18</v>
      </c>
      <c r="Z1225" t="s">
        <v>19</v>
      </c>
      <c r="AA1225" t="s">
        <v>3585</v>
      </c>
      <c r="AB1225" t="s">
        <v>3585</v>
      </c>
      <c r="AC1225" t="s">
        <v>3584</v>
      </c>
      <c r="AD1225" t="s">
        <v>3479</v>
      </c>
      <c r="AE1225" t="s">
        <v>3475</v>
      </c>
      <c r="AF1225" s="2">
        <v>2443.35</v>
      </c>
      <c r="AG1225" s="2">
        <v>1518.7864</v>
      </c>
      <c r="AH1225" s="2">
        <v>924.56359999999995</v>
      </c>
      <c r="AI1225" s="3">
        <v>0.37839998362903399</v>
      </c>
    </row>
    <row r="1226" spans="1:35">
      <c r="A1226" s="1">
        <v>42211</v>
      </c>
      <c r="B1226" s="1">
        <v>37388</v>
      </c>
      <c r="C1226" t="s">
        <v>4965</v>
      </c>
      <c r="D1226">
        <v>373</v>
      </c>
      <c r="E1226">
        <v>15933</v>
      </c>
      <c r="F1226">
        <v>10</v>
      </c>
      <c r="G1226">
        <v>1</v>
      </c>
      <c r="H1226">
        <v>1</v>
      </c>
      <c r="I1226">
        <v>2</v>
      </c>
      <c r="J1226" t="s">
        <v>3555</v>
      </c>
      <c r="K1226" t="s">
        <v>3556</v>
      </c>
      <c r="L1226" s="2">
        <v>1320.6838</v>
      </c>
      <c r="M1226" s="2">
        <v>2181.5625</v>
      </c>
      <c r="N1226" t="s">
        <v>13</v>
      </c>
      <c r="O1226" t="s">
        <v>224</v>
      </c>
      <c r="P1226" t="s">
        <v>97</v>
      </c>
      <c r="Q1226" t="s">
        <v>7555</v>
      </c>
      <c r="R1226" s="1">
        <v>20123</v>
      </c>
      <c r="S1226" t="s">
        <v>22</v>
      </c>
      <c r="T1226" t="s">
        <v>16</v>
      </c>
      <c r="U1226" t="s">
        <v>2037</v>
      </c>
      <c r="V1226">
        <v>160000</v>
      </c>
      <c r="W1226">
        <v>2</v>
      </c>
      <c r="X1226" t="s">
        <v>57</v>
      </c>
      <c r="Y1226" t="s">
        <v>18</v>
      </c>
      <c r="Z1226" t="s">
        <v>23</v>
      </c>
      <c r="AA1226" t="s">
        <v>3588</v>
      </c>
      <c r="AB1226" t="s">
        <v>3588</v>
      </c>
      <c r="AC1226" t="s">
        <v>3584</v>
      </c>
      <c r="AD1226" t="s">
        <v>3479</v>
      </c>
      <c r="AE1226" t="s">
        <v>3475</v>
      </c>
      <c r="AF1226" s="2">
        <v>2181.5625</v>
      </c>
      <c r="AG1226" s="2">
        <v>1320.6838</v>
      </c>
      <c r="AH1226" s="2">
        <v>860.87869999999998</v>
      </c>
      <c r="AI1226" s="3">
        <v>0.39461564818793898</v>
      </c>
    </row>
    <row r="1227" spans="1:35">
      <c r="A1227" s="1">
        <v>42196</v>
      </c>
      <c r="B1227" s="1">
        <v>37407</v>
      </c>
      <c r="C1227" t="s">
        <v>4847</v>
      </c>
      <c r="D1227">
        <v>373</v>
      </c>
      <c r="E1227">
        <v>16033</v>
      </c>
      <c r="F1227">
        <v>10</v>
      </c>
      <c r="G1227">
        <v>1</v>
      </c>
      <c r="H1227">
        <v>1</v>
      </c>
      <c r="I1227">
        <v>2</v>
      </c>
      <c r="J1227" t="s">
        <v>3555</v>
      </c>
      <c r="K1227" t="s">
        <v>3556</v>
      </c>
      <c r="L1227" s="2">
        <v>1320.6838</v>
      </c>
      <c r="M1227" s="2">
        <v>2181.5625</v>
      </c>
      <c r="N1227" t="s">
        <v>26</v>
      </c>
      <c r="O1227" t="s">
        <v>335</v>
      </c>
      <c r="P1227" t="s">
        <v>212</v>
      </c>
      <c r="Q1227" t="s">
        <v>7556</v>
      </c>
      <c r="R1227" s="1">
        <v>26221</v>
      </c>
      <c r="S1227" t="s">
        <v>16</v>
      </c>
      <c r="T1227" t="s">
        <v>29</v>
      </c>
      <c r="U1227" t="s">
        <v>2038</v>
      </c>
      <c r="V1227">
        <v>10000</v>
      </c>
      <c r="W1227">
        <v>0</v>
      </c>
      <c r="X1227" t="s">
        <v>135</v>
      </c>
      <c r="Y1227" t="s">
        <v>444</v>
      </c>
      <c r="Z1227" t="s">
        <v>19</v>
      </c>
      <c r="AA1227" t="s">
        <v>3588</v>
      </c>
      <c r="AB1227" t="s">
        <v>3588</v>
      </c>
      <c r="AC1227" t="s">
        <v>3584</v>
      </c>
      <c r="AD1227" t="s">
        <v>3479</v>
      </c>
      <c r="AE1227" t="s">
        <v>3475</v>
      </c>
      <c r="AF1227" s="2">
        <v>2181.5625</v>
      </c>
      <c r="AG1227" s="2">
        <v>1320.6838</v>
      </c>
      <c r="AH1227" s="2">
        <v>860.87869999999998</v>
      </c>
      <c r="AI1227" s="3">
        <v>0.39461564818793898</v>
      </c>
    </row>
    <row r="1228" spans="1:35">
      <c r="A1228" s="1">
        <v>42208</v>
      </c>
      <c r="B1228" s="1">
        <v>37436</v>
      </c>
      <c r="C1228" t="s">
        <v>4946</v>
      </c>
      <c r="D1228">
        <v>373</v>
      </c>
      <c r="E1228">
        <v>16045</v>
      </c>
      <c r="F1228">
        <v>10</v>
      </c>
      <c r="G1228">
        <v>1</v>
      </c>
      <c r="H1228">
        <v>1</v>
      </c>
      <c r="I1228">
        <v>2</v>
      </c>
      <c r="J1228" t="s">
        <v>3555</v>
      </c>
      <c r="K1228" t="s">
        <v>3556</v>
      </c>
      <c r="L1228" s="2">
        <v>1320.6838</v>
      </c>
      <c r="M1228" s="2">
        <v>2181.5625</v>
      </c>
      <c r="N1228" t="s">
        <v>30</v>
      </c>
      <c r="O1228" t="s">
        <v>1300</v>
      </c>
      <c r="P1228" t="s">
        <v>207</v>
      </c>
      <c r="Q1228" t="s">
        <v>7557</v>
      </c>
      <c r="R1228" s="1">
        <v>21370</v>
      </c>
      <c r="S1228" t="s">
        <v>16</v>
      </c>
      <c r="T1228" t="s">
        <v>29</v>
      </c>
      <c r="U1228" t="s">
        <v>2039</v>
      </c>
      <c r="V1228">
        <v>20000</v>
      </c>
      <c r="W1228">
        <v>1</v>
      </c>
      <c r="X1228" t="s">
        <v>135</v>
      </c>
      <c r="Y1228" t="s">
        <v>60</v>
      </c>
      <c r="Z1228" t="s">
        <v>19</v>
      </c>
      <c r="AA1228" t="s">
        <v>3588</v>
      </c>
      <c r="AB1228" t="s">
        <v>3588</v>
      </c>
      <c r="AC1228" t="s">
        <v>3584</v>
      </c>
      <c r="AD1228" t="s">
        <v>3479</v>
      </c>
      <c r="AE1228" t="s">
        <v>3475</v>
      </c>
      <c r="AF1228" s="2">
        <v>2181.5625</v>
      </c>
      <c r="AG1228" s="2">
        <v>1320.6838</v>
      </c>
      <c r="AH1228" s="2">
        <v>860.87869999999998</v>
      </c>
      <c r="AI1228" s="3">
        <v>0.39461564818793898</v>
      </c>
    </row>
    <row r="1229" spans="1:35">
      <c r="A1229" s="1">
        <v>42191</v>
      </c>
      <c r="B1229" s="1">
        <v>37402</v>
      </c>
      <c r="C1229" t="s">
        <v>4814</v>
      </c>
      <c r="D1229">
        <v>370</v>
      </c>
      <c r="E1229">
        <v>16046</v>
      </c>
      <c r="F1229">
        <v>10</v>
      </c>
      <c r="G1229">
        <v>1</v>
      </c>
      <c r="H1229">
        <v>1</v>
      </c>
      <c r="I1229">
        <v>2</v>
      </c>
      <c r="J1229" t="s">
        <v>3551</v>
      </c>
      <c r="K1229" t="s">
        <v>3552</v>
      </c>
      <c r="L1229" s="2">
        <v>1518.7864</v>
      </c>
      <c r="M1229" s="2">
        <v>2443.35</v>
      </c>
      <c r="N1229" t="s">
        <v>30</v>
      </c>
      <c r="O1229" t="s">
        <v>1059</v>
      </c>
      <c r="P1229" t="s">
        <v>529</v>
      </c>
      <c r="Q1229" t="s">
        <v>7558</v>
      </c>
      <c r="R1229" s="1">
        <v>21417</v>
      </c>
      <c r="S1229" t="s">
        <v>22</v>
      </c>
      <c r="T1229" t="s">
        <v>29</v>
      </c>
      <c r="U1229" t="s">
        <v>2040</v>
      </c>
      <c r="V1229">
        <v>20000</v>
      </c>
      <c r="W1229">
        <v>1</v>
      </c>
      <c r="X1229" t="s">
        <v>135</v>
      </c>
      <c r="Y1229" t="s">
        <v>60</v>
      </c>
      <c r="Z1229" t="s">
        <v>19</v>
      </c>
      <c r="AA1229" t="s">
        <v>3588</v>
      </c>
      <c r="AB1229" t="s">
        <v>3588</v>
      </c>
      <c r="AC1229" t="s">
        <v>3584</v>
      </c>
      <c r="AD1229" t="s">
        <v>3479</v>
      </c>
      <c r="AE1229" t="s">
        <v>3475</v>
      </c>
      <c r="AF1229" s="2">
        <v>2443.35</v>
      </c>
      <c r="AG1229" s="2">
        <v>1518.7864</v>
      </c>
      <c r="AH1229" s="2">
        <v>924.56359999999995</v>
      </c>
      <c r="AI1229" s="3">
        <v>0.37839998362903399</v>
      </c>
    </row>
    <row r="1230" spans="1:35">
      <c r="A1230" s="1">
        <v>42214</v>
      </c>
      <c r="B1230" s="1">
        <v>37413</v>
      </c>
      <c r="C1230" t="s">
        <v>4987</v>
      </c>
      <c r="D1230">
        <v>375</v>
      </c>
      <c r="E1230">
        <v>16053</v>
      </c>
      <c r="F1230">
        <v>10</v>
      </c>
      <c r="G1230">
        <v>1</v>
      </c>
      <c r="H1230">
        <v>1</v>
      </c>
      <c r="I1230">
        <v>2</v>
      </c>
      <c r="J1230" t="s">
        <v>3557</v>
      </c>
      <c r="K1230" t="s">
        <v>3558</v>
      </c>
      <c r="L1230" s="2">
        <v>1320.6838</v>
      </c>
      <c r="M1230" s="2">
        <v>2181.5625</v>
      </c>
      <c r="N1230" t="s">
        <v>13</v>
      </c>
      <c r="O1230" t="s">
        <v>630</v>
      </c>
      <c r="P1230" t="s">
        <v>187</v>
      </c>
      <c r="Q1230" t="s">
        <v>7559</v>
      </c>
      <c r="R1230" s="1">
        <v>20624</v>
      </c>
      <c r="S1230" t="s">
        <v>16</v>
      </c>
      <c r="T1230" t="s">
        <v>16</v>
      </c>
      <c r="U1230" t="s">
        <v>2041</v>
      </c>
      <c r="V1230">
        <v>20000</v>
      </c>
      <c r="W1230">
        <v>1</v>
      </c>
      <c r="X1230" t="s">
        <v>17</v>
      </c>
      <c r="Y1230" t="s">
        <v>60</v>
      </c>
      <c r="Z1230" t="s">
        <v>19</v>
      </c>
      <c r="AA1230" t="s">
        <v>3588</v>
      </c>
      <c r="AB1230" t="s">
        <v>3588</v>
      </c>
      <c r="AC1230" t="s">
        <v>3584</v>
      </c>
      <c r="AD1230" t="s">
        <v>3479</v>
      </c>
      <c r="AE1230" t="s">
        <v>3475</v>
      </c>
      <c r="AF1230" s="2">
        <v>2181.5625</v>
      </c>
      <c r="AG1230" s="2">
        <v>1320.6838</v>
      </c>
      <c r="AH1230" s="2">
        <v>860.87869999999998</v>
      </c>
      <c r="AI1230" s="3">
        <v>0.39461564818793898</v>
      </c>
    </row>
    <row r="1231" spans="1:35">
      <c r="A1231" s="1">
        <v>42195</v>
      </c>
      <c r="B1231" s="1">
        <v>37372</v>
      </c>
      <c r="C1231" t="s">
        <v>4839</v>
      </c>
      <c r="D1231">
        <v>377</v>
      </c>
      <c r="E1231">
        <v>16054</v>
      </c>
      <c r="F1231">
        <v>10</v>
      </c>
      <c r="G1231">
        <v>1</v>
      </c>
      <c r="H1231">
        <v>1</v>
      </c>
      <c r="I1231">
        <v>2</v>
      </c>
      <c r="J1231" t="s">
        <v>3559</v>
      </c>
      <c r="K1231" t="s">
        <v>3560</v>
      </c>
      <c r="L1231" s="2">
        <v>1320.6838</v>
      </c>
      <c r="M1231" s="2">
        <v>2181.5625</v>
      </c>
      <c r="N1231" t="s">
        <v>13</v>
      </c>
      <c r="O1231" t="s">
        <v>984</v>
      </c>
      <c r="P1231" t="s">
        <v>460</v>
      </c>
      <c r="Q1231" t="s">
        <v>7560</v>
      </c>
      <c r="R1231" s="1">
        <v>20625</v>
      </c>
      <c r="S1231" t="s">
        <v>22</v>
      </c>
      <c r="T1231" t="s">
        <v>16</v>
      </c>
      <c r="U1231" t="s">
        <v>2042</v>
      </c>
      <c r="V1231">
        <v>20000</v>
      </c>
      <c r="W1231">
        <v>1</v>
      </c>
      <c r="X1231" t="s">
        <v>17</v>
      </c>
      <c r="Y1231" t="s">
        <v>60</v>
      </c>
      <c r="Z1231" t="s">
        <v>19</v>
      </c>
      <c r="AA1231" t="s">
        <v>3588</v>
      </c>
      <c r="AB1231" t="s">
        <v>3588</v>
      </c>
      <c r="AC1231" t="s">
        <v>3584</v>
      </c>
      <c r="AD1231" t="s">
        <v>3479</v>
      </c>
      <c r="AE1231" t="s">
        <v>3475</v>
      </c>
      <c r="AF1231" s="2">
        <v>2181.5625</v>
      </c>
      <c r="AG1231" s="2">
        <v>1320.6838</v>
      </c>
      <c r="AH1231" s="2">
        <v>860.87869999999998</v>
      </c>
      <c r="AI1231" s="3">
        <v>0.39461564818793898</v>
      </c>
    </row>
    <row r="1232" spans="1:35">
      <c r="A1232" s="1">
        <v>42255</v>
      </c>
      <c r="B1232" s="1">
        <v>37492</v>
      </c>
      <c r="C1232" t="s">
        <v>5324</v>
      </c>
      <c r="D1232">
        <v>368</v>
      </c>
      <c r="E1232">
        <v>16196</v>
      </c>
      <c r="F1232">
        <v>8</v>
      </c>
      <c r="G1232">
        <v>1</v>
      </c>
      <c r="H1232">
        <v>1</v>
      </c>
      <c r="I1232">
        <v>2</v>
      </c>
      <c r="J1232" t="s">
        <v>3547</v>
      </c>
      <c r="K1232" t="s">
        <v>3548</v>
      </c>
      <c r="L1232" s="2">
        <v>1518.7864</v>
      </c>
      <c r="M1232" s="2">
        <v>2443.35</v>
      </c>
      <c r="N1232" t="s">
        <v>13</v>
      </c>
      <c r="O1232" t="s">
        <v>489</v>
      </c>
      <c r="P1232" t="s">
        <v>2020</v>
      </c>
      <c r="Q1232" t="s">
        <v>7561</v>
      </c>
      <c r="R1232" s="1">
        <v>26958</v>
      </c>
      <c r="S1232" t="s">
        <v>16</v>
      </c>
      <c r="T1232" t="s">
        <v>16</v>
      </c>
      <c r="U1232" t="s">
        <v>2043</v>
      </c>
      <c r="V1232">
        <v>40000</v>
      </c>
      <c r="W1232">
        <v>1</v>
      </c>
      <c r="X1232" t="s">
        <v>17</v>
      </c>
      <c r="Y1232" t="s">
        <v>53</v>
      </c>
      <c r="Z1232" t="s">
        <v>19</v>
      </c>
      <c r="AA1232" t="s">
        <v>3585</v>
      </c>
      <c r="AB1232" t="s">
        <v>3585</v>
      </c>
      <c r="AC1232" t="s">
        <v>3584</v>
      </c>
      <c r="AD1232" t="s">
        <v>3479</v>
      </c>
      <c r="AE1232" t="s">
        <v>3475</v>
      </c>
      <c r="AF1232" s="2">
        <v>2443.35</v>
      </c>
      <c r="AG1232" s="2">
        <v>1518.7864</v>
      </c>
      <c r="AH1232" s="2">
        <v>924.56359999999995</v>
      </c>
      <c r="AI1232" s="3">
        <v>0.37839998362903399</v>
      </c>
    </row>
    <row r="1233" spans="1:35">
      <c r="A1233" s="1">
        <v>42266</v>
      </c>
      <c r="B1233" s="1">
        <v>37437</v>
      </c>
      <c r="C1233" t="s">
        <v>5410</v>
      </c>
      <c r="D1233">
        <v>371</v>
      </c>
      <c r="E1233">
        <v>16197</v>
      </c>
      <c r="F1233">
        <v>8</v>
      </c>
      <c r="G1233">
        <v>1</v>
      </c>
      <c r="H1233">
        <v>1</v>
      </c>
      <c r="I1233">
        <v>2</v>
      </c>
      <c r="J1233" t="s">
        <v>3553</v>
      </c>
      <c r="K1233" t="s">
        <v>3554</v>
      </c>
      <c r="L1233" s="2">
        <v>1320.6838</v>
      </c>
      <c r="M1233" s="2">
        <v>2181.5625</v>
      </c>
      <c r="N1233" t="s">
        <v>26</v>
      </c>
      <c r="O1233" t="s">
        <v>124</v>
      </c>
      <c r="P1233" t="s">
        <v>353</v>
      </c>
      <c r="Q1233" t="s">
        <v>7562</v>
      </c>
      <c r="R1233" s="1">
        <v>26530</v>
      </c>
      <c r="S1233" t="s">
        <v>22</v>
      </c>
      <c r="T1233" t="s">
        <v>29</v>
      </c>
      <c r="U1233" t="s">
        <v>2044</v>
      </c>
      <c r="V1233">
        <v>20000</v>
      </c>
      <c r="W1233">
        <v>0</v>
      </c>
      <c r="X1233" t="s">
        <v>77</v>
      </c>
      <c r="Y1233" t="s">
        <v>444</v>
      </c>
      <c r="Z1233" t="s">
        <v>23</v>
      </c>
      <c r="AA1233" t="s">
        <v>3585</v>
      </c>
      <c r="AB1233" t="s">
        <v>3585</v>
      </c>
      <c r="AC1233" t="s">
        <v>3584</v>
      </c>
      <c r="AD1233" t="s">
        <v>3479</v>
      </c>
      <c r="AE1233" t="s">
        <v>3475</v>
      </c>
      <c r="AF1233" s="2">
        <v>2181.5625</v>
      </c>
      <c r="AG1233" s="2">
        <v>1320.6838</v>
      </c>
      <c r="AH1233" s="2">
        <v>860.87869999999998</v>
      </c>
      <c r="AI1233" s="3">
        <v>0.39461564818793898</v>
      </c>
    </row>
    <row r="1234" spans="1:35">
      <c r="A1234" s="1">
        <v>42268</v>
      </c>
      <c r="B1234" s="1">
        <v>37462</v>
      </c>
      <c r="C1234" t="s">
        <v>5425</v>
      </c>
      <c r="D1234">
        <v>373</v>
      </c>
      <c r="E1234">
        <v>16199</v>
      </c>
      <c r="F1234">
        <v>8</v>
      </c>
      <c r="G1234">
        <v>1</v>
      </c>
      <c r="H1234">
        <v>1</v>
      </c>
      <c r="I1234">
        <v>2</v>
      </c>
      <c r="J1234" t="s">
        <v>3555</v>
      </c>
      <c r="K1234" t="s">
        <v>3556</v>
      </c>
      <c r="L1234" s="2">
        <v>1320.6838</v>
      </c>
      <c r="M1234" s="2">
        <v>2181.5625</v>
      </c>
      <c r="N1234" t="s">
        <v>13</v>
      </c>
      <c r="O1234" t="s">
        <v>462</v>
      </c>
      <c r="P1234" t="s">
        <v>72</v>
      </c>
      <c r="Q1234" t="s">
        <v>7563</v>
      </c>
      <c r="R1234" s="1">
        <v>26529</v>
      </c>
      <c r="S1234" t="s">
        <v>22</v>
      </c>
      <c r="T1234" t="s">
        <v>16</v>
      </c>
      <c r="U1234" t="s">
        <v>2045</v>
      </c>
      <c r="V1234">
        <v>40000</v>
      </c>
      <c r="W1234">
        <v>2</v>
      </c>
      <c r="X1234" t="s">
        <v>52</v>
      </c>
      <c r="Y1234" t="s">
        <v>60</v>
      </c>
      <c r="Z1234" t="s">
        <v>19</v>
      </c>
      <c r="AA1234" t="s">
        <v>3585</v>
      </c>
      <c r="AB1234" t="s">
        <v>3585</v>
      </c>
      <c r="AC1234" t="s">
        <v>3584</v>
      </c>
      <c r="AD1234" t="s">
        <v>3479</v>
      </c>
      <c r="AE1234" t="s">
        <v>3475</v>
      </c>
      <c r="AF1234" s="2">
        <v>2181.5625</v>
      </c>
      <c r="AG1234" s="2">
        <v>1320.6838</v>
      </c>
      <c r="AH1234" s="2">
        <v>860.87869999999998</v>
      </c>
      <c r="AI1234" s="3">
        <v>0.39461564818793898</v>
      </c>
    </row>
    <row r="1235" spans="1:35">
      <c r="A1235" s="1">
        <v>42206</v>
      </c>
      <c r="B1235" s="1">
        <v>37378</v>
      </c>
      <c r="C1235" t="s">
        <v>4936</v>
      </c>
      <c r="D1235">
        <v>371</v>
      </c>
      <c r="E1235">
        <v>16201</v>
      </c>
      <c r="F1235">
        <v>10</v>
      </c>
      <c r="G1235">
        <v>1</v>
      </c>
      <c r="H1235">
        <v>1</v>
      </c>
      <c r="I1235">
        <v>2</v>
      </c>
      <c r="J1235" t="s">
        <v>3553</v>
      </c>
      <c r="K1235" t="s">
        <v>3554</v>
      </c>
      <c r="L1235" s="2">
        <v>1320.6838</v>
      </c>
      <c r="M1235" s="2">
        <v>2181.5625</v>
      </c>
      <c r="N1235" t="s">
        <v>13</v>
      </c>
      <c r="O1235" t="s">
        <v>199</v>
      </c>
      <c r="P1235" t="s">
        <v>103</v>
      </c>
      <c r="Q1235" t="s">
        <v>7564</v>
      </c>
      <c r="R1235" s="1">
        <v>26182</v>
      </c>
      <c r="S1235" t="s">
        <v>22</v>
      </c>
      <c r="T1235" t="s">
        <v>16</v>
      </c>
      <c r="U1235" t="s">
        <v>2046</v>
      </c>
      <c r="V1235">
        <v>20000</v>
      </c>
      <c r="W1235">
        <v>0</v>
      </c>
      <c r="X1235" t="s">
        <v>77</v>
      </c>
      <c r="Y1235" t="s">
        <v>444</v>
      </c>
      <c r="Z1235" t="s">
        <v>19</v>
      </c>
      <c r="AA1235" t="s">
        <v>3588</v>
      </c>
      <c r="AB1235" t="s">
        <v>3588</v>
      </c>
      <c r="AC1235" t="s">
        <v>3584</v>
      </c>
      <c r="AD1235" t="s">
        <v>3479</v>
      </c>
      <c r="AE1235" t="s">
        <v>3475</v>
      </c>
      <c r="AF1235" s="2">
        <v>2181.5625</v>
      </c>
      <c r="AG1235" s="2">
        <v>1320.6838</v>
      </c>
      <c r="AH1235" s="2">
        <v>860.87869999999998</v>
      </c>
      <c r="AI1235" s="3">
        <v>0.39461564818793898</v>
      </c>
    </row>
    <row r="1236" spans="1:35">
      <c r="A1236" s="1">
        <v>42294</v>
      </c>
      <c r="B1236" s="1">
        <v>37491</v>
      </c>
      <c r="C1236" t="s">
        <v>5597</v>
      </c>
      <c r="D1236">
        <v>369</v>
      </c>
      <c r="E1236">
        <v>16206</v>
      </c>
      <c r="F1236">
        <v>8</v>
      </c>
      <c r="G1236">
        <v>1</v>
      </c>
      <c r="H1236">
        <v>1</v>
      </c>
      <c r="I1236">
        <v>2</v>
      </c>
      <c r="J1236" t="s">
        <v>3549</v>
      </c>
      <c r="K1236" t="s">
        <v>3550</v>
      </c>
      <c r="L1236" s="2">
        <v>1518.7864</v>
      </c>
      <c r="M1236" s="2">
        <v>2443.35</v>
      </c>
      <c r="N1236" t="s">
        <v>30</v>
      </c>
      <c r="O1236" t="s">
        <v>362</v>
      </c>
      <c r="P1236" t="s">
        <v>407</v>
      </c>
      <c r="Q1236" t="s">
        <v>7565</v>
      </c>
      <c r="R1236" s="1">
        <v>26072</v>
      </c>
      <c r="S1236" t="s">
        <v>22</v>
      </c>
      <c r="T1236" t="s">
        <v>29</v>
      </c>
      <c r="U1236" t="s">
        <v>2047</v>
      </c>
      <c r="V1236">
        <v>40000</v>
      </c>
      <c r="W1236">
        <v>2</v>
      </c>
      <c r="X1236" t="s">
        <v>52</v>
      </c>
      <c r="Y1236" t="s">
        <v>60</v>
      </c>
      <c r="Z1236" t="s">
        <v>19</v>
      </c>
      <c r="AA1236" t="s">
        <v>3585</v>
      </c>
      <c r="AB1236" t="s">
        <v>3585</v>
      </c>
      <c r="AC1236" t="s">
        <v>3584</v>
      </c>
      <c r="AD1236" t="s">
        <v>3479</v>
      </c>
      <c r="AE1236" t="s">
        <v>3475</v>
      </c>
      <c r="AF1236" s="2">
        <v>2443.35</v>
      </c>
      <c r="AG1236" s="2">
        <v>1518.7864</v>
      </c>
      <c r="AH1236" s="2">
        <v>924.56359999999995</v>
      </c>
      <c r="AI1236" s="3">
        <v>0.37839998362903399</v>
      </c>
    </row>
    <row r="1237" spans="1:35">
      <c r="A1237" s="1">
        <v>42288</v>
      </c>
      <c r="B1237" s="1">
        <v>37422</v>
      </c>
      <c r="C1237" t="s">
        <v>5543</v>
      </c>
      <c r="D1237">
        <v>369</v>
      </c>
      <c r="E1237">
        <v>16207</v>
      </c>
      <c r="F1237">
        <v>8</v>
      </c>
      <c r="G1237">
        <v>1</v>
      </c>
      <c r="H1237">
        <v>1</v>
      </c>
      <c r="I1237">
        <v>2</v>
      </c>
      <c r="J1237" t="s">
        <v>3549</v>
      </c>
      <c r="K1237" t="s">
        <v>3550</v>
      </c>
      <c r="L1237" s="2">
        <v>1518.7864</v>
      </c>
      <c r="M1237" s="2">
        <v>2443.35</v>
      </c>
      <c r="N1237" t="s">
        <v>13</v>
      </c>
      <c r="O1237" t="s">
        <v>63</v>
      </c>
      <c r="P1237" t="s">
        <v>468</v>
      </c>
      <c r="Q1237" t="s">
        <v>7566</v>
      </c>
      <c r="R1237" s="1">
        <v>26005</v>
      </c>
      <c r="S1237" t="s">
        <v>22</v>
      </c>
      <c r="T1237" t="s">
        <v>16</v>
      </c>
      <c r="U1237" t="s">
        <v>2048</v>
      </c>
      <c r="V1237">
        <v>40000</v>
      </c>
      <c r="W1237">
        <v>2</v>
      </c>
      <c r="X1237" t="s">
        <v>52</v>
      </c>
      <c r="Y1237" t="s">
        <v>60</v>
      </c>
      <c r="Z1237" t="s">
        <v>19</v>
      </c>
      <c r="AA1237" t="s">
        <v>3585</v>
      </c>
      <c r="AB1237" t="s">
        <v>3585</v>
      </c>
      <c r="AC1237" t="s">
        <v>3584</v>
      </c>
      <c r="AD1237" t="s">
        <v>3479</v>
      </c>
      <c r="AE1237" t="s">
        <v>3475</v>
      </c>
      <c r="AF1237" s="2">
        <v>2443.35</v>
      </c>
      <c r="AG1237" s="2">
        <v>1518.7864</v>
      </c>
      <c r="AH1237" s="2">
        <v>924.56359999999995</v>
      </c>
      <c r="AI1237" s="3">
        <v>0.37839998362903399</v>
      </c>
    </row>
    <row r="1238" spans="1:35">
      <c r="A1238" s="1">
        <v>42236</v>
      </c>
      <c r="B1238" s="1">
        <v>37428</v>
      </c>
      <c r="C1238" t="s">
        <v>5174</v>
      </c>
      <c r="D1238">
        <v>379</v>
      </c>
      <c r="E1238">
        <v>16250</v>
      </c>
      <c r="F1238">
        <v>10</v>
      </c>
      <c r="G1238">
        <v>1</v>
      </c>
      <c r="H1238">
        <v>1</v>
      </c>
      <c r="I1238">
        <v>2</v>
      </c>
      <c r="J1238" t="s">
        <v>3561</v>
      </c>
      <c r="K1238" t="s">
        <v>3562</v>
      </c>
      <c r="L1238" s="2">
        <v>1320.6838</v>
      </c>
      <c r="M1238" s="2">
        <v>2181.5625</v>
      </c>
      <c r="N1238" t="s">
        <v>13</v>
      </c>
      <c r="O1238" t="s">
        <v>761</v>
      </c>
      <c r="P1238" t="s">
        <v>131</v>
      </c>
      <c r="Q1238" t="s">
        <v>7567</v>
      </c>
      <c r="R1238" s="1">
        <v>24979</v>
      </c>
      <c r="S1238" t="s">
        <v>22</v>
      </c>
      <c r="T1238" t="s">
        <v>16</v>
      </c>
      <c r="U1238" t="s">
        <v>2049</v>
      </c>
      <c r="V1238">
        <v>40000</v>
      </c>
      <c r="W1238">
        <v>0</v>
      </c>
      <c r="X1238" t="s">
        <v>135</v>
      </c>
      <c r="Y1238" t="s">
        <v>60</v>
      </c>
      <c r="Z1238" t="s">
        <v>19</v>
      </c>
      <c r="AA1238" t="s">
        <v>3588</v>
      </c>
      <c r="AB1238" t="s">
        <v>3588</v>
      </c>
      <c r="AC1238" t="s">
        <v>3584</v>
      </c>
      <c r="AD1238" t="s">
        <v>3479</v>
      </c>
      <c r="AE1238" t="s">
        <v>3475</v>
      </c>
      <c r="AF1238" s="2">
        <v>2181.5625</v>
      </c>
      <c r="AG1238" s="2">
        <v>1320.6838</v>
      </c>
      <c r="AH1238" s="2">
        <v>860.87869999999998</v>
      </c>
      <c r="AI1238" s="3">
        <v>0.39461564818793898</v>
      </c>
    </row>
    <row r="1239" spans="1:35">
      <c r="A1239" s="1">
        <v>42290</v>
      </c>
      <c r="B1239" s="1">
        <v>37483</v>
      </c>
      <c r="C1239" t="s">
        <v>5564</v>
      </c>
      <c r="D1239">
        <v>377</v>
      </c>
      <c r="E1239">
        <v>16252</v>
      </c>
      <c r="F1239">
        <v>8</v>
      </c>
      <c r="G1239">
        <v>1</v>
      </c>
      <c r="H1239">
        <v>1</v>
      </c>
      <c r="I1239">
        <v>2</v>
      </c>
      <c r="J1239" t="s">
        <v>3559</v>
      </c>
      <c r="K1239" t="s">
        <v>3560</v>
      </c>
      <c r="L1239" s="2">
        <v>1320.6838</v>
      </c>
      <c r="M1239" s="2">
        <v>2181.5625</v>
      </c>
      <c r="N1239" t="s">
        <v>13</v>
      </c>
      <c r="O1239" t="s">
        <v>577</v>
      </c>
      <c r="P1239" t="s">
        <v>1135</v>
      </c>
      <c r="Q1239" t="s">
        <v>7568</v>
      </c>
      <c r="R1239" s="1">
        <v>24737</v>
      </c>
      <c r="S1239" t="s">
        <v>22</v>
      </c>
      <c r="T1239" t="s">
        <v>16</v>
      </c>
      <c r="U1239" t="s">
        <v>2050</v>
      </c>
      <c r="V1239">
        <v>10000</v>
      </c>
      <c r="W1239">
        <v>3</v>
      </c>
      <c r="X1239" t="s">
        <v>77</v>
      </c>
      <c r="Y1239" t="s">
        <v>444</v>
      </c>
      <c r="Z1239" t="s">
        <v>19</v>
      </c>
      <c r="AA1239" t="s">
        <v>3585</v>
      </c>
      <c r="AB1239" t="s">
        <v>3585</v>
      </c>
      <c r="AC1239" t="s">
        <v>3584</v>
      </c>
      <c r="AD1239" t="s">
        <v>3479</v>
      </c>
      <c r="AE1239" t="s">
        <v>3475</v>
      </c>
      <c r="AF1239" s="2">
        <v>2181.5625</v>
      </c>
      <c r="AG1239" s="2">
        <v>1320.6838</v>
      </c>
      <c r="AH1239" s="2">
        <v>860.87869999999998</v>
      </c>
      <c r="AI1239" s="3">
        <v>0.39461564818793898</v>
      </c>
    </row>
    <row r="1240" spans="1:35">
      <c r="A1240" s="1">
        <v>42280</v>
      </c>
      <c r="B1240" s="1">
        <v>37490</v>
      </c>
      <c r="C1240" t="s">
        <v>5500</v>
      </c>
      <c r="D1240">
        <v>371</v>
      </c>
      <c r="E1240">
        <v>16253</v>
      </c>
      <c r="F1240">
        <v>8</v>
      </c>
      <c r="G1240">
        <v>1</v>
      </c>
      <c r="H1240">
        <v>1</v>
      </c>
      <c r="I1240">
        <v>2</v>
      </c>
      <c r="J1240" t="s">
        <v>3553</v>
      </c>
      <c r="K1240" t="s">
        <v>3554</v>
      </c>
      <c r="L1240" s="2">
        <v>1320.6838</v>
      </c>
      <c r="M1240" s="2">
        <v>2181.5625</v>
      </c>
      <c r="N1240" t="s">
        <v>30</v>
      </c>
      <c r="O1240" t="s">
        <v>86</v>
      </c>
      <c r="P1240" t="s">
        <v>62</v>
      </c>
      <c r="Q1240" t="s">
        <v>7569</v>
      </c>
      <c r="R1240" s="1">
        <v>24718</v>
      </c>
      <c r="S1240" t="s">
        <v>22</v>
      </c>
      <c r="T1240" t="s">
        <v>29</v>
      </c>
      <c r="U1240" t="s">
        <v>2051</v>
      </c>
      <c r="V1240">
        <v>20000</v>
      </c>
      <c r="W1240">
        <v>1</v>
      </c>
      <c r="X1240" t="s">
        <v>52</v>
      </c>
      <c r="Y1240" t="s">
        <v>444</v>
      </c>
      <c r="Z1240" t="s">
        <v>23</v>
      </c>
      <c r="AA1240" t="s">
        <v>3585</v>
      </c>
      <c r="AB1240" t="s">
        <v>3585</v>
      </c>
      <c r="AC1240" t="s">
        <v>3584</v>
      </c>
      <c r="AD1240" t="s">
        <v>3479</v>
      </c>
      <c r="AE1240" t="s">
        <v>3475</v>
      </c>
      <c r="AF1240" s="2">
        <v>2181.5625</v>
      </c>
      <c r="AG1240" s="2">
        <v>1320.6838</v>
      </c>
      <c r="AH1240" s="2">
        <v>860.87869999999998</v>
      </c>
      <c r="AI1240" s="3">
        <v>0.39461564818793898</v>
      </c>
    </row>
    <row r="1241" spans="1:35">
      <c r="A1241" s="1">
        <v>42221</v>
      </c>
      <c r="B1241" s="1">
        <v>37436</v>
      </c>
      <c r="C1241" t="s">
        <v>5041</v>
      </c>
      <c r="D1241">
        <v>371</v>
      </c>
      <c r="E1241">
        <v>16260</v>
      </c>
      <c r="F1241">
        <v>10</v>
      </c>
      <c r="G1241">
        <v>1</v>
      </c>
      <c r="H1241">
        <v>1</v>
      </c>
      <c r="I1241">
        <v>2</v>
      </c>
      <c r="J1241" t="s">
        <v>3553</v>
      </c>
      <c r="K1241" t="s">
        <v>3554</v>
      </c>
      <c r="L1241" s="2">
        <v>1320.6838</v>
      </c>
      <c r="M1241" s="2">
        <v>2181.5625</v>
      </c>
      <c r="N1241" t="s">
        <v>30</v>
      </c>
      <c r="O1241" t="s">
        <v>168</v>
      </c>
      <c r="P1241" t="s">
        <v>501</v>
      </c>
      <c r="Q1241" t="s">
        <v>7570</v>
      </c>
      <c r="R1241" s="1">
        <v>24158</v>
      </c>
      <c r="S1241" t="s">
        <v>22</v>
      </c>
      <c r="T1241" t="s">
        <v>29</v>
      </c>
      <c r="U1241" t="s">
        <v>2052</v>
      </c>
      <c r="V1241">
        <v>20000</v>
      </c>
      <c r="W1241">
        <v>1</v>
      </c>
      <c r="X1241" t="s">
        <v>57</v>
      </c>
      <c r="Y1241" t="s">
        <v>444</v>
      </c>
      <c r="Z1241" t="s">
        <v>23</v>
      </c>
      <c r="AA1241" t="s">
        <v>3588</v>
      </c>
      <c r="AB1241" t="s">
        <v>3588</v>
      </c>
      <c r="AC1241" t="s">
        <v>3584</v>
      </c>
      <c r="AD1241" t="s">
        <v>3479</v>
      </c>
      <c r="AE1241" t="s">
        <v>3475</v>
      </c>
      <c r="AF1241" s="2">
        <v>2181.5625</v>
      </c>
      <c r="AG1241" s="2">
        <v>1320.6838</v>
      </c>
      <c r="AH1241" s="2">
        <v>860.87869999999998</v>
      </c>
      <c r="AI1241" s="3">
        <v>0.39461564818793898</v>
      </c>
    </row>
    <row r="1242" spans="1:35">
      <c r="A1242" s="1">
        <v>42299</v>
      </c>
      <c r="B1242" s="1">
        <v>37439</v>
      </c>
      <c r="C1242" t="s">
        <v>5637</v>
      </c>
      <c r="D1242">
        <v>370</v>
      </c>
      <c r="E1242">
        <v>16263</v>
      </c>
      <c r="F1242">
        <v>8</v>
      </c>
      <c r="G1242">
        <v>1</v>
      </c>
      <c r="H1242">
        <v>1</v>
      </c>
      <c r="I1242">
        <v>2</v>
      </c>
      <c r="J1242" t="s">
        <v>3551</v>
      </c>
      <c r="K1242" t="s">
        <v>3552</v>
      </c>
      <c r="L1242" s="2">
        <v>1518.7864</v>
      </c>
      <c r="M1242" s="2">
        <v>2443.35</v>
      </c>
      <c r="N1242" t="s">
        <v>13</v>
      </c>
      <c r="O1242" t="s">
        <v>260</v>
      </c>
      <c r="P1242" t="s">
        <v>275</v>
      </c>
      <c r="Q1242" t="s">
        <v>7571</v>
      </c>
      <c r="R1242" s="1">
        <v>24634</v>
      </c>
      <c r="S1242" t="s">
        <v>16</v>
      </c>
      <c r="T1242" t="s">
        <v>16</v>
      </c>
      <c r="U1242" t="s">
        <v>2053</v>
      </c>
      <c r="V1242">
        <v>40000</v>
      </c>
      <c r="W1242">
        <v>0</v>
      </c>
      <c r="X1242" t="s">
        <v>17</v>
      </c>
      <c r="Y1242" t="s">
        <v>60</v>
      </c>
      <c r="Z1242" t="s">
        <v>19</v>
      </c>
      <c r="AA1242" t="s">
        <v>3585</v>
      </c>
      <c r="AB1242" t="s">
        <v>3585</v>
      </c>
      <c r="AC1242" t="s">
        <v>3584</v>
      </c>
      <c r="AD1242" t="s">
        <v>3479</v>
      </c>
      <c r="AE1242" t="s">
        <v>3475</v>
      </c>
      <c r="AF1242" s="2">
        <v>2443.35</v>
      </c>
      <c r="AG1242" s="2">
        <v>1518.7864</v>
      </c>
      <c r="AH1242" s="2">
        <v>924.56359999999995</v>
      </c>
      <c r="AI1242" s="3">
        <v>0.37839998362903399</v>
      </c>
    </row>
    <row r="1243" spans="1:35">
      <c r="A1243" s="1">
        <v>42291</v>
      </c>
      <c r="B1243" s="1">
        <v>37496</v>
      </c>
      <c r="C1243" t="s">
        <v>5574</v>
      </c>
      <c r="D1243">
        <v>368</v>
      </c>
      <c r="E1243">
        <v>16267</v>
      </c>
      <c r="F1243">
        <v>8</v>
      </c>
      <c r="G1243">
        <v>1</v>
      </c>
      <c r="H1243">
        <v>1</v>
      </c>
      <c r="I1243">
        <v>2</v>
      </c>
      <c r="J1243" t="s">
        <v>3547</v>
      </c>
      <c r="K1243" t="s">
        <v>3548</v>
      </c>
      <c r="L1243" s="2">
        <v>1518.7864</v>
      </c>
      <c r="M1243" s="2">
        <v>2443.35</v>
      </c>
      <c r="N1243" t="s">
        <v>13</v>
      </c>
      <c r="O1243" t="s">
        <v>196</v>
      </c>
      <c r="P1243" t="s">
        <v>686</v>
      </c>
      <c r="Q1243" t="s">
        <v>7572</v>
      </c>
      <c r="R1243" s="1">
        <v>24403</v>
      </c>
      <c r="S1243" t="s">
        <v>16</v>
      </c>
      <c r="T1243" t="s">
        <v>16</v>
      </c>
      <c r="U1243" t="s">
        <v>2054</v>
      </c>
      <c r="V1243">
        <v>30000</v>
      </c>
      <c r="W1243">
        <v>1</v>
      </c>
      <c r="X1243" t="s">
        <v>17</v>
      </c>
      <c r="Y1243" t="s">
        <v>53</v>
      </c>
      <c r="Z1243" t="s">
        <v>19</v>
      </c>
      <c r="AA1243" t="s">
        <v>3585</v>
      </c>
      <c r="AB1243" t="s">
        <v>3585</v>
      </c>
      <c r="AC1243" t="s">
        <v>3584</v>
      </c>
      <c r="AD1243" t="s">
        <v>3479</v>
      </c>
      <c r="AE1243" t="s">
        <v>3475</v>
      </c>
      <c r="AF1243" s="2">
        <v>2443.35</v>
      </c>
      <c r="AG1243" s="2">
        <v>1518.7864</v>
      </c>
      <c r="AH1243" s="2">
        <v>924.56359999999995</v>
      </c>
      <c r="AI1243" s="3">
        <v>0.37839998362903399</v>
      </c>
    </row>
    <row r="1244" spans="1:35">
      <c r="A1244" s="1">
        <v>42285</v>
      </c>
      <c r="B1244" s="1">
        <v>37458</v>
      </c>
      <c r="C1244" t="s">
        <v>5535</v>
      </c>
      <c r="D1244">
        <v>375</v>
      </c>
      <c r="E1244">
        <v>16269</v>
      </c>
      <c r="F1244">
        <v>8</v>
      </c>
      <c r="G1244">
        <v>1</v>
      </c>
      <c r="H1244">
        <v>1</v>
      </c>
      <c r="I1244">
        <v>2</v>
      </c>
      <c r="J1244" t="s">
        <v>3557</v>
      </c>
      <c r="K1244" t="s">
        <v>3558</v>
      </c>
      <c r="L1244" s="2">
        <v>1320.6838</v>
      </c>
      <c r="M1244" s="2">
        <v>2181.5625</v>
      </c>
      <c r="N1244" t="s">
        <v>30</v>
      </c>
      <c r="O1244" t="s">
        <v>1133</v>
      </c>
      <c r="P1244" t="s">
        <v>93</v>
      </c>
      <c r="Q1244" t="s">
        <v>7573</v>
      </c>
      <c r="R1244" s="1">
        <v>24163</v>
      </c>
      <c r="S1244" t="s">
        <v>16</v>
      </c>
      <c r="T1244" t="s">
        <v>29</v>
      </c>
      <c r="U1244" t="s">
        <v>2055</v>
      </c>
      <c r="V1244">
        <v>30000</v>
      </c>
      <c r="W1244">
        <v>1</v>
      </c>
      <c r="X1244" t="s">
        <v>17</v>
      </c>
      <c r="Y1244" t="s">
        <v>53</v>
      </c>
      <c r="Z1244" t="s">
        <v>19</v>
      </c>
      <c r="AA1244" t="s">
        <v>3585</v>
      </c>
      <c r="AB1244" t="s">
        <v>3585</v>
      </c>
      <c r="AC1244" t="s">
        <v>3584</v>
      </c>
      <c r="AD1244" t="s">
        <v>3479</v>
      </c>
      <c r="AE1244" t="s">
        <v>3475</v>
      </c>
      <c r="AF1244" s="2">
        <v>2181.5625</v>
      </c>
      <c r="AG1244" s="2">
        <v>1320.6838</v>
      </c>
      <c r="AH1244" s="2">
        <v>860.87869999999998</v>
      </c>
      <c r="AI1244" s="3">
        <v>0.39461564818793898</v>
      </c>
    </row>
    <row r="1245" spans="1:35">
      <c r="A1245" s="1">
        <v>42305</v>
      </c>
      <c r="B1245" s="1">
        <v>37500</v>
      </c>
      <c r="C1245" t="s">
        <v>5679</v>
      </c>
      <c r="D1245">
        <v>373</v>
      </c>
      <c r="E1245">
        <v>16270</v>
      </c>
      <c r="F1245">
        <v>8</v>
      </c>
      <c r="G1245">
        <v>1</v>
      </c>
      <c r="H1245">
        <v>1</v>
      </c>
      <c r="I1245">
        <v>2</v>
      </c>
      <c r="J1245" t="s">
        <v>3555</v>
      </c>
      <c r="K1245" t="s">
        <v>3556</v>
      </c>
      <c r="L1245" s="2">
        <v>1320.6838</v>
      </c>
      <c r="M1245" s="2">
        <v>2181.5625</v>
      </c>
      <c r="N1245" t="s">
        <v>13</v>
      </c>
      <c r="O1245" t="s">
        <v>447</v>
      </c>
      <c r="P1245" t="s">
        <v>101</v>
      </c>
      <c r="Q1245" t="s">
        <v>7574</v>
      </c>
      <c r="R1245" s="1">
        <v>24268</v>
      </c>
      <c r="S1245" t="s">
        <v>16</v>
      </c>
      <c r="T1245" t="s">
        <v>16</v>
      </c>
      <c r="U1245" t="s">
        <v>2056</v>
      </c>
      <c r="V1245">
        <v>30000</v>
      </c>
      <c r="W1245">
        <v>1</v>
      </c>
      <c r="X1245" t="s">
        <v>17</v>
      </c>
      <c r="Y1245" t="s">
        <v>53</v>
      </c>
      <c r="Z1245" t="s">
        <v>19</v>
      </c>
      <c r="AA1245" t="s">
        <v>3585</v>
      </c>
      <c r="AB1245" t="s">
        <v>3585</v>
      </c>
      <c r="AC1245" t="s">
        <v>3584</v>
      </c>
      <c r="AD1245" t="s">
        <v>3479</v>
      </c>
      <c r="AE1245" t="s">
        <v>3475</v>
      </c>
      <c r="AF1245" s="2">
        <v>2181.5625</v>
      </c>
      <c r="AG1245" s="2">
        <v>1320.6838</v>
      </c>
      <c r="AH1245" s="2">
        <v>860.87869999999998</v>
      </c>
      <c r="AI1245" s="3">
        <v>0.39461564818793898</v>
      </c>
    </row>
    <row r="1246" spans="1:35">
      <c r="A1246" s="1">
        <v>42308</v>
      </c>
      <c r="B1246" s="1">
        <v>37441</v>
      </c>
      <c r="C1246" t="s">
        <v>5703</v>
      </c>
      <c r="D1246">
        <v>369</v>
      </c>
      <c r="E1246">
        <v>16271</v>
      </c>
      <c r="F1246">
        <v>8</v>
      </c>
      <c r="G1246">
        <v>1</v>
      </c>
      <c r="H1246">
        <v>1</v>
      </c>
      <c r="I1246">
        <v>2</v>
      </c>
      <c r="J1246" t="s">
        <v>3549</v>
      </c>
      <c r="K1246" t="s">
        <v>3550</v>
      </c>
      <c r="L1246" s="2">
        <v>1518.7864</v>
      </c>
      <c r="M1246" s="2">
        <v>2443.35</v>
      </c>
      <c r="N1246" t="s">
        <v>30</v>
      </c>
      <c r="O1246" t="s">
        <v>132</v>
      </c>
      <c r="P1246" t="s">
        <v>217</v>
      </c>
      <c r="Q1246" t="s">
        <v>7575</v>
      </c>
      <c r="R1246" s="1">
        <v>23906</v>
      </c>
      <c r="S1246" t="s">
        <v>22</v>
      </c>
      <c r="T1246" t="s">
        <v>29</v>
      </c>
      <c r="U1246" t="s">
        <v>2057</v>
      </c>
      <c r="V1246">
        <v>20000</v>
      </c>
      <c r="W1246">
        <v>2</v>
      </c>
      <c r="X1246" t="s">
        <v>57</v>
      </c>
      <c r="Y1246" t="s">
        <v>444</v>
      </c>
      <c r="Z1246" t="s">
        <v>19</v>
      </c>
      <c r="AA1246" t="s">
        <v>3585</v>
      </c>
      <c r="AB1246" t="s">
        <v>3585</v>
      </c>
      <c r="AC1246" t="s">
        <v>3584</v>
      </c>
      <c r="AD1246" t="s">
        <v>3479</v>
      </c>
      <c r="AE1246" t="s">
        <v>3475</v>
      </c>
      <c r="AF1246" s="2">
        <v>2443.35</v>
      </c>
      <c r="AG1246" s="2">
        <v>1518.7864</v>
      </c>
      <c r="AH1246" s="2">
        <v>924.56359999999995</v>
      </c>
      <c r="AI1246" s="3">
        <v>0.37839998362903399</v>
      </c>
    </row>
    <row r="1247" spans="1:35">
      <c r="A1247" s="1">
        <v>42243</v>
      </c>
      <c r="B1247" s="1">
        <v>37400</v>
      </c>
      <c r="C1247" t="s">
        <v>5251</v>
      </c>
      <c r="D1247">
        <v>379</v>
      </c>
      <c r="E1247">
        <v>16272</v>
      </c>
      <c r="F1247">
        <v>10</v>
      </c>
      <c r="G1247">
        <v>1</v>
      </c>
      <c r="H1247">
        <v>1</v>
      </c>
      <c r="I1247">
        <v>2</v>
      </c>
      <c r="J1247" t="s">
        <v>3561</v>
      </c>
      <c r="K1247" t="s">
        <v>3562</v>
      </c>
      <c r="L1247" s="2">
        <v>1320.6838</v>
      </c>
      <c r="M1247" s="2">
        <v>2181.5625</v>
      </c>
      <c r="N1247" t="s">
        <v>13</v>
      </c>
      <c r="O1247" t="s">
        <v>1301</v>
      </c>
      <c r="P1247" t="s">
        <v>226</v>
      </c>
      <c r="Q1247" t="s">
        <v>7576</v>
      </c>
      <c r="R1247" s="1">
        <v>23961</v>
      </c>
      <c r="S1247" t="s">
        <v>22</v>
      </c>
      <c r="T1247" t="s">
        <v>16</v>
      </c>
      <c r="U1247" t="s">
        <v>2058</v>
      </c>
      <c r="V1247">
        <v>20000</v>
      </c>
      <c r="W1247">
        <v>2</v>
      </c>
      <c r="X1247" t="s">
        <v>57</v>
      </c>
      <c r="Y1247" t="s">
        <v>444</v>
      </c>
      <c r="Z1247" t="s">
        <v>19</v>
      </c>
      <c r="AA1247" t="s">
        <v>3588</v>
      </c>
      <c r="AB1247" t="s">
        <v>3588</v>
      </c>
      <c r="AC1247" t="s">
        <v>3584</v>
      </c>
      <c r="AD1247" t="s">
        <v>3479</v>
      </c>
      <c r="AE1247" t="s">
        <v>3475</v>
      </c>
      <c r="AF1247" s="2">
        <v>2181.5625</v>
      </c>
      <c r="AG1247" s="2">
        <v>1320.6838</v>
      </c>
      <c r="AH1247" s="2">
        <v>860.87869999999998</v>
      </c>
      <c r="AI1247" s="3">
        <v>0.39461564818793898</v>
      </c>
    </row>
    <row r="1248" spans="1:35">
      <c r="A1248" s="1">
        <v>42223</v>
      </c>
      <c r="B1248" s="1">
        <v>37373</v>
      </c>
      <c r="C1248" t="s">
        <v>5063</v>
      </c>
      <c r="D1248">
        <v>368</v>
      </c>
      <c r="E1248">
        <v>16275</v>
      </c>
      <c r="F1248">
        <v>10</v>
      </c>
      <c r="G1248">
        <v>1</v>
      </c>
      <c r="H1248">
        <v>1</v>
      </c>
      <c r="I1248">
        <v>2</v>
      </c>
      <c r="J1248" t="s">
        <v>3547</v>
      </c>
      <c r="K1248" t="s">
        <v>3548</v>
      </c>
      <c r="L1248" s="2">
        <v>1518.7864</v>
      </c>
      <c r="M1248" s="2">
        <v>2443.35</v>
      </c>
      <c r="N1248" t="s">
        <v>30</v>
      </c>
      <c r="O1248" t="s">
        <v>575</v>
      </c>
      <c r="P1248" t="s">
        <v>492</v>
      </c>
      <c r="Q1248" t="s">
        <v>7577</v>
      </c>
      <c r="R1248" s="1">
        <v>23377</v>
      </c>
      <c r="S1248" t="s">
        <v>16</v>
      </c>
      <c r="T1248" t="s">
        <v>29</v>
      </c>
      <c r="U1248" t="s">
        <v>2059</v>
      </c>
      <c r="V1248">
        <v>20000</v>
      </c>
      <c r="W1248">
        <v>2</v>
      </c>
      <c r="X1248" t="s">
        <v>57</v>
      </c>
      <c r="Y1248" t="s">
        <v>444</v>
      </c>
      <c r="Z1248" t="s">
        <v>23</v>
      </c>
      <c r="AA1248" t="s">
        <v>3588</v>
      </c>
      <c r="AB1248" t="s">
        <v>3588</v>
      </c>
      <c r="AC1248" t="s">
        <v>3584</v>
      </c>
      <c r="AD1248" t="s">
        <v>3479</v>
      </c>
      <c r="AE1248" t="s">
        <v>3475</v>
      </c>
      <c r="AF1248" s="2">
        <v>2443.35</v>
      </c>
      <c r="AG1248" s="2">
        <v>1518.7864</v>
      </c>
      <c r="AH1248" s="2">
        <v>924.56359999999995</v>
      </c>
      <c r="AI1248" s="3">
        <v>0.37839998362903399</v>
      </c>
    </row>
    <row r="1249" spans="1:35">
      <c r="A1249" s="1">
        <v>42247</v>
      </c>
      <c r="B1249" s="1">
        <v>37380</v>
      </c>
      <c r="C1249" t="s">
        <v>5280</v>
      </c>
      <c r="D1249">
        <v>373</v>
      </c>
      <c r="E1249">
        <v>16277</v>
      </c>
      <c r="F1249">
        <v>10</v>
      </c>
      <c r="G1249">
        <v>1</v>
      </c>
      <c r="H1249">
        <v>1</v>
      </c>
      <c r="I1249">
        <v>2</v>
      </c>
      <c r="J1249" t="s">
        <v>3555</v>
      </c>
      <c r="K1249" t="s">
        <v>3556</v>
      </c>
      <c r="L1249" s="2">
        <v>1320.6838</v>
      </c>
      <c r="M1249" s="2">
        <v>2181.5625</v>
      </c>
      <c r="N1249" t="s">
        <v>30</v>
      </c>
      <c r="O1249" t="s">
        <v>27</v>
      </c>
      <c r="P1249" t="s">
        <v>159</v>
      </c>
      <c r="Q1249" t="s">
        <v>7578</v>
      </c>
      <c r="R1249" s="1">
        <v>23648</v>
      </c>
      <c r="S1249" t="s">
        <v>16</v>
      </c>
      <c r="T1249" t="s">
        <v>29</v>
      </c>
      <c r="U1249" t="s">
        <v>2060</v>
      </c>
      <c r="V1249">
        <v>30000</v>
      </c>
      <c r="W1249">
        <v>1</v>
      </c>
      <c r="X1249" t="s">
        <v>17</v>
      </c>
      <c r="Y1249" t="s">
        <v>53</v>
      </c>
      <c r="Z1249" t="s">
        <v>19</v>
      </c>
      <c r="AA1249" t="s">
        <v>3588</v>
      </c>
      <c r="AB1249" t="s">
        <v>3588</v>
      </c>
      <c r="AC1249" t="s">
        <v>3584</v>
      </c>
      <c r="AD1249" t="s">
        <v>3479</v>
      </c>
      <c r="AE1249" t="s">
        <v>3475</v>
      </c>
      <c r="AF1249" s="2">
        <v>2181.5625</v>
      </c>
      <c r="AG1249" s="2">
        <v>1320.6838</v>
      </c>
      <c r="AH1249" s="2">
        <v>860.87869999999998</v>
      </c>
      <c r="AI1249" s="3">
        <v>0.39461564818793898</v>
      </c>
    </row>
    <row r="1250" spans="1:35">
      <c r="A1250" s="1">
        <v>42294</v>
      </c>
      <c r="B1250" s="1">
        <v>37450</v>
      </c>
      <c r="C1250" t="s">
        <v>5595</v>
      </c>
      <c r="D1250">
        <v>368</v>
      </c>
      <c r="E1250">
        <v>16278</v>
      </c>
      <c r="F1250">
        <v>8</v>
      </c>
      <c r="G1250">
        <v>1</v>
      </c>
      <c r="H1250">
        <v>1</v>
      </c>
      <c r="I1250">
        <v>2</v>
      </c>
      <c r="J1250" t="s">
        <v>3547</v>
      </c>
      <c r="K1250" t="s">
        <v>3548</v>
      </c>
      <c r="L1250" s="2">
        <v>1518.7864</v>
      </c>
      <c r="M1250" s="2">
        <v>2443.35</v>
      </c>
      <c r="N1250" t="s">
        <v>13</v>
      </c>
      <c r="O1250" t="s">
        <v>350</v>
      </c>
      <c r="P1250" t="s">
        <v>347</v>
      </c>
      <c r="Q1250" t="s">
        <v>7579</v>
      </c>
      <c r="R1250" s="1">
        <v>23551</v>
      </c>
      <c r="S1250" t="s">
        <v>16</v>
      </c>
      <c r="T1250" t="s">
        <v>16</v>
      </c>
      <c r="U1250" t="s">
        <v>2061</v>
      </c>
      <c r="V1250">
        <v>30000</v>
      </c>
      <c r="W1250">
        <v>2</v>
      </c>
      <c r="X1250" t="s">
        <v>52</v>
      </c>
      <c r="Y1250" t="s">
        <v>444</v>
      </c>
      <c r="Z1250" t="s">
        <v>23</v>
      </c>
      <c r="AA1250" t="s">
        <v>3585</v>
      </c>
      <c r="AB1250" t="s">
        <v>3585</v>
      </c>
      <c r="AC1250" t="s">
        <v>3584</v>
      </c>
      <c r="AD1250" t="s">
        <v>3479</v>
      </c>
      <c r="AE1250" t="s">
        <v>3475</v>
      </c>
      <c r="AF1250" s="2">
        <v>2443.35</v>
      </c>
      <c r="AG1250" s="2">
        <v>1518.7864</v>
      </c>
      <c r="AH1250" s="2">
        <v>924.56359999999995</v>
      </c>
      <c r="AI1250" s="3">
        <v>0.37839998362903399</v>
      </c>
    </row>
    <row r="1251" spans="1:35">
      <c r="A1251" s="1">
        <v>42234</v>
      </c>
      <c r="B1251" s="1">
        <v>37460</v>
      </c>
      <c r="C1251" t="s">
        <v>5156</v>
      </c>
      <c r="D1251">
        <v>377</v>
      </c>
      <c r="E1251">
        <v>16287</v>
      </c>
      <c r="F1251">
        <v>10</v>
      </c>
      <c r="G1251">
        <v>1</v>
      </c>
      <c r="H1251">
        <v>1</v>
      </c>
      <c r="I1251">
        <v>2</v>
      </c>
      <c r="J1251" t="s">
        <v>3559</v>
      </c>
      <c r="K1251" t="s">
        <v>3560</v>
      </c>
      <c r="L1251" s="2">
        <v>1320.6838</v>
      </c>
      <c r="M1251" s="2">
        <v>2181.5625</v>
      </c>
      <c r="N1251" t="s">
        <v>26</v>
      </c>
      <c r="O1251" t="s">
        <v>548</v>
      </c>
      <c r="P1251" t="s">
        <v>474</v>
      </c>
      <c r="Q1251" t="s">
        <v>7580</v>
      </c>
      <c r="R1251" s="1">
        <v>24414</v>
      </c>
      <c r="S1251" t="s">
        <v>16</v>
      </c>
      <c r="T1251" t="s">
        <v>29</v>
      </c>
      <c r="U1251" t="s">
        <v>2062</v>
      </c>
      <c r="V1251">
        <v>40000</v>
      </c>
      <c r="W1251">
        <v>0</v>
      </c>
      <c r="X1251" t="s">
        <v>17</v>
      </c>
      <c r="Y1251" t="s">
        <v>18</v>
      </c>
      <c r="Z1251" t="s">
        <v>19</v>
      </c>
      <c r="AA1251" t="s">
        <v>3588</v>
      </c>
      <c r="AB1251" t="s">
        <v>3588</v>
      </c>
      <c r="AC1251" t="s">
        <v>3584</v>
      </c>
      <c r="AD1251" t="s">
        <v>3479</v>
      </c>
      <c r="AE1251" t="s">
        <v>3475</v>
      </c>
      <c r="AF1251" s="2">
        <v>2181.5625</v>
      </c>
      <c r="AG1251" s="2">
        <v>1320.6838</v>
      </c>
      <c r="AH1251" s="2">
        <v>860.87869999999998</v>
      </c>
      <c r="AI1251" s="3">
        <v>0.39461564818793898</v>
      </c>
    </row>
    <row r="1252" spans="1:35">
      <c r="A1252" s="1">
        <v>42299</v>
      </c>
      <c r="B1252" s="1">
        <v>37491</v>
      </c>
      <c r="C1252" t="s">
        <v>5642</v>
      </c>
      <c r="D1252">
        <v>373</v>
      </c>
      <c r="E1252">
        <v>16290</v>
      </c>
      <c r="F1252">
        <v>8</v>
      </c>
      <c r="G1252">
        <v>1</v>
      </c>
      <c r="H1252">
        <v>1</v>
      </c>
      <c r="I1252">
        <v>2</v>
      </c>
      <c r="J1252" t="s">
        <v>3555</v>
      </c>
      <c r="K1252" t="s">
        <v>3556</v>
      </c>
      <c r="L1252" s="2">
        <v>1320.6838</v>
      </c>
      <c r="M1252" s="2">
        <v>2181.5625</v>
      </c>
      <c r="N1252" t="s">
        <v>13</v>
      </c>
      <c r="O1252" t="s">
        <v>71</v>
      </c>
      <c r="P1252" t="s">
        <v>93</v>
      </c>
      <c r="Q1252" t="s">
        <v>7581</v>
      </c>
      <c r="R1252" s="1">
        <v>24038</v>
      </c>
      <c r="S1252" t="s">
        <v>22</v>
      </c>
      <c r="T1252" t="s">
        <v>16</v>
      </c>
      <c r="U1252" t="s">
        <v>2063</v>
      </c>
      <c r="V1252">
        <v>30000</v>
      </c>
      <c r="W1252">
        <v>2</v>
      </c>
      <c r="X1252" t="s">
        <v>52</v>
      </c>
      <c r="Y1252" t="s">
        <v>60</v>
      </c>
      <c r="Z1252" t="s">
        <v>19</v>
      </c>
      <c r="AA1252" t="s">
        <v>3585</v>
      </c>
      <c r="AB1252" t="s">
        <v>3585</v>
      </c>
      <c r="AC1252" t="s">
        <v>3584</v>
      </c>
      <c r="AD1252" t="s">
        <v>3479</v>
      </c>
      <c r="AE1252" t="s">
        <v>3475</v>
      </c>
      <c r="AF1252" s="2">
        <v>2181.5625</v>
      </c>
      <c r="AG1252" s="2">
        <v>1320.6838</v>
      </c>
      <c r="AH1252" s="2">
        <v>860.87869999999998</v>
      </c>
      <c r="AI1252" s="3">
        <v>0.39461564818793898</v>
      </c>
    </row>
    <row r="1253" spans="1:35">
      <c r="A1253" s="1">
        <v>42325</v>
      </c>
      <c r="B1253" s="1">
        <v>37559</v>
      </c>
      <c r="C1253" t="s">
        <v>5798</v>
      </c>
      <c r="D1253">
        <v>379</v>
      </c>
      <c r="E1253">
        <v>16297</v>
      </c>
      <c r="F1253">
        <v>8</v>
      </c>
      <c r="G1253">
        <v>1</v>
      </c>
      <c r="H1253">
        <v>1</v>
      </c>
      <c r="I1253">
        <v>2</v>
      </c>
      <c r="J1253" t="s">
        <v>3561</v>
      </c>
      <c r="K1253" t="s">
        <v>3562</v>
      </c>
      <c r="L1253" s="2">
        <v>1320.6838</v>
      </c>
      <c r="M1253" s="2">
        <v>2181.5625</v>
      </c>
      <c r="N1253" t="s">
        <v>30</v>
      </c>
      <c r="O1253" t="s">
        <v>128</v>
      </c>
      <c r="P1253" t="s">
        <v>99</v>
      </c>
      <c r="Q1253" t="s">
        <v>7582</v>
      </c>
      <c r="R1253" s="1">
        <v>23266</v>
      </c>
      <c r="S1253" t="s">
        <v>16</v>
      </c>
      <c r="T1253" t="s">
        <v>29</v>
      </c>
      <c r="U1253" t="s">
        <v>2064</v>
      </c>
      <c r="V1253">
        <v>40000</v>
      </c>
      <c r="W1253">
        <v>1</v>
      </c>
      <c r="X1253" t="s">
        <v>17</v>
      </c>
      <c r="Y1253" t="s">
        <v>53</v>
      </c>
      <c r="Z1253" t="s">
        <v>19</v>
      </c>
      <c r="AA1253" t="s">
        <v>3585</v>
      </c>
      <c r="AB1253" t="s">
        <v>3585</v>
      </c>
      <c r="AC1253" t="s">
        <v>3584</v>
      </c>
      <c r="AD1253" t="s">
        <v>3479</v>
      </c>
      <c r="AE1253" t="s">
        <v>3475</v>
      </c>
      <c r="AF1253" s="2">
        <v>2181.5625</v>
      </c>
      <c r="AG1253" s="2">
        <v>1320.6838</v>
      </c>
      <c r="AH1253" s="2">
        <v>860.87869999999998</v>
      </c>
      <c r="AI1253" s="3">
        <v>0.39461564818793898</v>
      </c>
    </row>
    <row r="1254" spans="1:35">
      <c r="A1254" s="1">
        <v>42319</v>
      </c>
      <c r="B1254" s="1">
        <v>37549</v>
      </c>
      <c r="C1254" t="s">
        <v>5761</v>
      </c>
      <c r="D1254">
        <v>371</v>
      </c>
      <c r="E1254">
        <v>16298</v>
      </c>
      <c r="F1254">
        <v>8</v>
      </c>
      <c r="G1254">
        <v>1</v>
      </c>
      <c r="H1254">
        <v>1</v>
      </c>
      <c r="I1254">
        <v>2</v>
      </c>
      <c r="J1254" t="s">
        <v>3553</v>
      </c>
      <c r="K1254" t="s">
        <v>3554</v>
      </c>
      <c r="L1254" s="2">
        <v>1320.6838</v>
      </c>
      <c r="M1254" s="2">
        <v>2181.5625</v>
      </c>
      <c r="N1254" t="s">
        <v>30</v>
      </c>
      <c r="O1254" t="s">
        <v>566</v>
      </c>
      <c r="P1254" t="s">
        <v>538</v>
      </c>
      <c r="Q1254" t="s">
        <v>7583</v>
      </c>
      <c r="R1254" s="1">
        <v>23147</v>
      </c>
      <c r="S1254" t="s">
        <v>16</v>
      </c>
      <c r="T1254" t="s">
        <v>29</v>
      </c>
      <c r="U1254" t="s">
        <v>2065</v>
      </c>
      <c r="V1254">
        <v>40000</v>
      </c>
      <c r="W1254">
        <v>1</v>
      </c>
      <c r="X1254" t="s">
        <v>17</v>
      </c>
      <c r="Y1254" t="s">
        <v>53</v>
      </c>
      <c r="Z1254" t="s">
        <v>19</v>
      </c>
      <c r="AA1254" t="s">
        <v>3585</v>
      </c>
      <c r="AB1254" t="s">
        <v>3585</v>
      </c>
      <c r="AC1254" t="s">
        <v>3584</v>
      </c>
      <c r="AD1254" t="s">
        <v>3479</v>
      </c>
      <c r="AE1254" t="s">
        <v>3475</v>
      </c>
      <c r="AF1254" s="2">
        <v>2181.5625</v>
      </c>
      <c r="AG1254" s="2">
        <v>1320.6838</v>
      </c>
      <c r="AH1254" s="2">
        <v>860.87869999999998</v>
      </c>
      <c r="AI1254" s="3">
        <v>0.39461564818793898</v>
      </c>
    </row>
    <row r="1255" spans="1:35">
      <c r="A1255" s="1">
        <v>42338</v>
      </c>
      <c r="B1255" s="1">
        <v>37510</v>
      </c>
      <c r="C1255" t="s">
        <v>5897</v>
      </c>
      <c r="D1255">
        <v>368</v>
      </c>
      <c r="E1255">
        <v>16305</v>
      </c>
      <c r="F1255">
        <v>8</v>
      </c>
      <c r="G1255">
        <v>1</v>
      </c>
      <c r="H1255">
        <v>1</v>
      </c>
      <c r="I1255">
        <v>2</v>
      </c>
      <c r="J1255" t="s">
        <v>3547</v>
      </c>
      <c r="K1255" t="s">
        <v>3548</v>
      </c>
      <c r="L1255" s="2">
        <v>1518.7864</v>
      </c>
      <c r="M1255" s="2">
        <v>2443.35</v>
      </c>
      <c r="N1255" t="s">
        <v>13</v>
      </c>
      <c r="O1255" t="s">
        <v>535</v>
      </c>
      <c r="P1255" t="s">
        <v>95</v>
      </c>
      <c r="Q1255" t="s">
        <v>7584</v>
      </c>
      <c r="R1255" s="1">
        <v>29121</v>
      </c>
      <c r="S1255" t="s">
        <v>22</v>
      </c>
      <c r="T1255" t="s">
        <v>16</v>
      </c>
      <c r="U1255" t="s">
        <v>2066</v>
      </c>
      <c r="V1255">
        <v>30000</v>
      </c>
      <c r="W1255">
        <v>3</v>
      </c>
      <c r="X1255" t="s">
        <v>52</v>
      </c>
      <c r="Y1255" t="s">
        <v>60</v>
      </c>
      <c r="Z1255" t="s">
        <v>19</v>
      </c>
      <c r="AA1255" t="s">
        <v>3585</v>
      </c>
      <c r="AB1255" t="s">
        <v>3585</v>
      </c>
      <c r="AC1255" t="s">
        <v>3584</v>
      </c>
      <c r="AD1255" t="s">
        <v>3479</v>
      </c>
      <c r="AE1255" t="s">
        <v>3475</v>
      </c>
      <c r="AF1255" s="2">
        <v>2443.35</v>
      </c>
      <c r="AG1255" s="2">
        <v>1518.7864</v>
      </c>
      <c r="AH1255" s="2">
        <v>924.56359999999995</v>
      </c>
      <c r="AI1255" s="3">
        <v>0.37839998362903399</v>
      </c>
    </row>
    <row r="1256" spans="1:35">
      <c r="A1256" s="1">
        <v>42313</v>
      </c>
      <c r="B1256" s="1">
        <v>37460</v>
      </c>
      <c r="C1256" t="s">
        <v>5727</v>
      </c>
      <c r="D1256">
        <v>371</v>
      </c>
      <c r="E1256">
        <v>16307</v>
      </c>
      <c r="F1256">
        <v>8</v>
      </c>
      <c r="G1256">
        <v>1</v>
      </c>
      <c r="H1256">
        <v>1</v>
      </c>
      <c r="I1256">
        <v>2</v>
      </c>
      <c r="J1256" t="s">
        <v>3553</v>
      </c>
      <c r="K1256" t="s">
        <v>3554</v>
      </c>
      <c r="L1256" s="2">
        <v>1320.6838</v>
      </c>
      <c r="M1256" s="2">
        <v>2181.5625</v>
      </c>
      <c r="N1256" t="s">
        <v>30</v>
      </c>
      <c r="O1256" t="s">
        <v>500</v>
      </c>
      <c r="P1256" t="s">
        <v>470</v>
      </c>
      <c r="Q1256" t="s">
        <v>7585</v>
      </c>
      <c r="R1256" s="1">
        <v>23169</v>
      </c>
      <c r="S1256" t="s">
        <v>16</v>
      </c>
      <c r="T1256" t="s">
        <v>29</v>
      </c>
      <c r="U1256" t="s">
        <v>2067</v>
      </c>
      <c r="V1256">
        <v>40000</v>
      </c>
      <c r="W1256">
        <v>1</v>
      </c>
      <c r="X1256" t="s">
        <v>17</v>
      </c>
      <c r="Y1256" t="s">
        <v>53</v>
      </c>
      <c r="Z1256" t="s">
        <v>19</v>
      </c>
      <c r="AA1256" t="s">
        <v>3585</v>
      </c>
      <c r="AB1256" t="s">
        <v>3585</v>
      </c>
      <c r="AC1256" t="s">
        <v>3584</v>
      </c>
      <c r="AD1256" t="s">
        <v>3479</v>
      </c>
      <c r="AE1256" t="s">
        <v>3475</v>
      </c>
      <c r="AF1256" s="2">
        <v>2181.5625</v>
      </c>
      <c r="AG1256" s="2">
        <v>1320.6838</v>
      </c>
      <c r="AH1256" s="2">
        <v>860.87869999999998</v>
      </c>
      <c r="AI1256" s="3">
        <v>0.39461564818793898</v>
      </c>
    </row>
    <row r="1257" spans="1:35">
      <c r="A1257" s="1">
        <v>42225</v>
      </c>
      <c r="B1257" s="1">
        <v>37405</v>
      </c>
      <c r="C1257" t="s">
        <v>5085</v>
      </c>
      <c r="D1257">
        <v>379</v>
      </c>
      <c r="E1257">
        <v>16308</v>
      </c>
      <c r="F1257">
        <v>10</v>
      </c>
      <c r="G1257">
        <v>1</v>
      </c>
      <c r="H1257">
        <v>1</v>
      </c>
      <c r="I1257">
        <v>2</v>
      </c>
      <c r="J1257" t="s">
        <v>3561</v>
      </c>
      <c r="K1257" t="s">
        <v>3562</v>
      </c>
      <c r="L1257" s="2">
        <v>1320.6838</v>
      </c>
      <c r="M1257" s="2">
        <v>2181.5625</v>
      </c>
      <c r="N1257" t="s">
        <v>30</v>
      </c>
      <c r="O1257" t="s">
        <v>620</v>
      </c>
      <c r="P1257" t="s">
        <v>171</v>
      </c>
      <c r="Q1257" t="s">
        <v>7586</v>
      </c>
      <c r="R1257" s="1">
        <v>23128</v>
      </c>
      <c r="S1257" t="s">
        <v>16</v>
      </c>
      <c r="T1257" t="s">
        <v>29</v>
      </c>
      <c r="U1257" t="s">
        <v>2068</v>
      </c>
      <c r="V1257">
        <v>40000</v>
      </c>
      <c r="W1257">
        <v>1</v>
      </c>
      <c r="X1257" t="s">
        <v>17</v>
      </c>
      <c r="Y1257" t="s">
        <v>53</v>
      </c>
      <c r="Z1257" t="s">
        <v>19</v>
      </c>
      <c r="AA1257" t="s">
        <v>3588</v>
      </c>
      <c r="AB1257" t="s">
        <v>3588</v>
      </c>
      <c r="AC1257" t="s">
        <v>3584</v>
      </c>
      <c r="AD1257" t="s">
        <v>3479</v>
      </c>
      <c r="AE1257" t="s">
        <v>3475</v>
      </c>
      <c r="AF1257" s="2">
        <v>2181.5625</v>
      </c>
      <c r="AG1257" s="2">
        <v>1320.6838</v>
      </c>
      <c r="AH1257" s="2">
        <v>860.87869999999998</v>
      </c>
      <c r="AI1257" s="3">
        <v>0.39461564818793898</v>
      </c>
    </row>
    <row r="1258" spans="1:35">
      <c r="A1258" s="1">
        <v>42314</v>
      </c>
      <c r="B1258" s="1">
        <v>37465</v>
      </c>
      <c r="C1258" t="s">
        <v>5734</v>
      </c>
      <c r="D1258">
        <v>377</v>
      </c>
      <c r="E1258">
        <v>16309</v>
      </c>
      <c r="F1258">
        <v>8</v>
      </c>
      <c r="G1258">
        <v>1</v>
      </c>
      <c r="H1258">
        <v>1</v>
      </c>
      <c r="I1258">
        <v>2</v>
      </c>
      <c r="J1258" t="s">
        <v>3559</v>
      </c>
      <c r="K1258" t="s">
        <v>3560</v>
      </c>
      <c r="L1258" s="2">
        <v>1320.6838</v>
      </c>
      <c r="M1258" s="2">
        <v>2181.5625</v>
      </c>
      <c r="N1258" t="s">
        <v>30</v>
      </c>
      <c r="O1258" t="s">
        <v>520</v>
      </c>
      <c r="P1258" t="s">
        <v>460</v>
      </c>
      <c r="Q1258" t="s">
        <v>7587</v>
      </c>
      <c r="R1258" s="1">
        <v>22910</v>
      </c>
      <c r="S1258" t="s">
        <v>16</v>
      </c>
      <c r="T1258" t="s">
        <v>29</v>
      </c>
      <c r="U1258" t="s">
        <v>2069</v>
      </c>
      <c r="V1258">
        <v>40000</v>
      </c>
      <c r="W1258">
        <v>1</v>
      </c>
      <c r="X1258" t="s">
        <v>17</v>
      </c>
      <c r="Y1258" t="s">
        <v>53</v>
      </c>
      <c r="Z1258" t="s">
        <v>19</v>
      </c>
      <c r="AA1258" t="s">
        <v>3585</v>
      </c>
      <c r="AB1258" t="s">
        <v>3585</v>
      </c>
      <c r="AC1258" t="s">
        <v>3584</v>
      </c>
      <c r="AD1258" t="s">
        <v>3479</v>
      </c>
      <c r="AE1258" t="s">
        <v>3475</v>
      </c>
      <c r="AF1258" s="2">
        <v>2181.5625</v>
      </c>
      <c r="AG1258" s="2">
        <v>1320.6838</v>
      </c>
      <c r="AH1258" s="2">
        <v>860.87869999999998</v>
      </c>
      <c r="AI1258" s="3">
        <v>0.39461564818793898</v>
      </c>
    </row>
    <row r="1259" spans="1:35">
      <c r="A1259" s="1">
        <v>42219</v>
      </c>
      <c r="B1259" s="1">
        <v>37365</v>
      </c>
      <c r="C1259" t="s">
        <v>5027</v>
      </c>
      <c r="D1259">
        <v>379</v>
      </c>
      <c r="E1259">
        <v>16311</v>
      </c>
      <c r="F1259">
        <v>10</v>
      </c>
      <c r="G1259">
        <v>1</v>
      </c>
      <c r="H1259">
        <v>1</v>
      </c>
      <c r="I1259">
        <v>2</v>
      </c>
      <c r="J1259" t="s">
        <v>3561</v>
      </c>
      <c r="K1259" t="s">
        <v>3562</v>
      </c>
      <c r="L1259" s="2">
        <v>1320.6838</v>
      </c>
      <c r="M1259" s="2">
        <v>2181.5625</v>
      </c>
      <c r="N1259" t="s">
        <v>13</v>
      </c>
      <c r="O1259" t="s">
        <v>133</v>
      </c>
      <c r="P1259" t="s">
        <v>75</v>
      </c>
      <c r="Q1259" t="s">
        <v>7588</v>
      </c>
      <c r="R1259" s="1">
        <v>22929</v>
      </c>
      <c r="S1259" t="s">
        <v>16</v>
      </c>
      <c r="T1259" t="s">
        <v>16</v>
      </c>
      <c r="U1259" t="s">
        <v>2070</v>
      </c>
      <c r="V1259">
        <v>40000</v>
      </c>
      <c r="W1259">
        <v>1</v>
      </c>
      <c r="X1259" t="s">
        <v>17</v>
      </c>
      <c r="Y1259" t="s">
        <v>53</v>
      </c>
      <c r="Z1259" t="s">
        <v>19</v>
      </c>
      <c r="AA1259" t="s">
        <v>3588</v>
      </c>
      <c r="AB1259" t="s">
        <v>3588</v>
      </c>
      <c r="AC1259" t="s">
        <v>3584</v>
      </c>
      <c r="AD1259" t="s">
        <v>3479</v>
      </c>
      <c r="AE1259" t="s">
        <v>3475</v>
      </c>
      <c r="AF1259" s="2">
        <v>2181.5625</v>
      </c>
      <c r="AG1259" s="2">
        <v>1320.6838</v>
      </c>
      <c r="AH1259" s="2">
        <v>860.87869999999998</v>
      </c>
      <c r="AI1259" s="3">
        <v>0.39461564818793898</v>
      </c>
    </row>
    <row r="1260" spans="1:35">
      <c r="A1260" s="1">
        <v>42322</v>
      </c>
      <c r="B1260" s="1">
        <v>37514</v>
      </c>
      <c r="C1260" t="s">
        <v>5782</v>
      </c>
      <c r="D1260">
        <v>370</v>
      </c>
      <c r="E1260">
        <v>16313</v>
      </c>
      <c r="F1260">
        <v>8</v>
      </c>
      <c r="G1260">
        <v>1</v>
      </c>
      <c r="H1260">
        <v>1</v>
      </c>
      <c r="I1260">
        <v>2</v>
      </c>
      <c r="J1260" t="s">
        <v>3551</v>
      </c>
      <c r="K1260" t="s">
        <v>3552</v>
      </c>
      <c r="L1260" s="2">
        <v>1518.7864</v>
      </c>
      <c r="M1260" s="2">
        <v>2443.35</v>
      </c>
      <c r="N1260" t="s">
        <v>30</v>
      </c>
      <c r="O1260" t="s">
        <v>337</v>
      </c>
      <c r="P1260" t="s">
        <v>71</v>
      </c>
      <c r="Q1260" t="s">
        <v>7589</v>
      </c>
      <c r="R1260" s="1">
        <v>28575</v>
      </c>
      <c r="S1260" t="s">
        <v>22</v>
      </c>
      <c r="T1260" t="s">
        <v>29</v>
      </c>
      <c r="U1260" t="s">
        <v>2071</v>
      </c>
      <c r="V1260">
        <v>30000</v>
      </c>
      <c r="W1260">
        <v>4</v>
      </c>
      <c r="X1260" t="s">
        <v>52</v>
      </c>
      <c r="Y1260" t="s">
        <v>60</v>
      </c>
      <c r="Z1260" t="s">
        <v>19</v>
      </c>
      <c r="AA1260" t="s">
        <v>3585</v>
      </c>
      <c r="AB1260" t="s">
        <v>3585</v>
      </c>
      <c r="AC1260" t="s">
        <v>3584</v>
      </c>
      <c r="AD1260" t="s">
        <v>3479</v>
      </c>
      <c r="AE1260" t="s">
        <v>3475</v>
      </c>
      <c r="AF1260" s="2">
        <v>2443.35</v>
      </c>
      <c r="AG1260" s="2">
        <v>1518.7864</v>
      </c>
      <c r="AH1260" s="2">
        <v>924.56359999999995</v>
      </c>
      <c r="AI1260" s="3">
        <v>0.37839998362903399</v>
      </c>
    </row>
    <row r="1261" spans="1:35">
      <c r="A1261" s="1">
        <v>42324</v>
      </c>
      <c r="B1261" s="1">
        <v>37476</v>
      </c>
      <c r="C1261" t="s">
        <v>5792</v>
      </c>
      <c r="D1261">
        <v>379</v>
      </c>
      <c r="E1261">
        <v>16316</v>
      </c>
      <c r="F1261">
        <v>8</v>
      </c>
      <c r="G1261">
        <v>1</v>
      </c>
      <c r="H1261">
        <v>1</v>
      </c>
      <c r="I1261">
        <v>2</v>
      </c>
      <c r="J1261" t="s">
        <v>3561</v>
      </c>
      <c r="K1261" t="s">
        <v>3562</v>
      </c>
      <c r="L1261" s="2">
        <v>1320.6838</v>
      </c>
      <c r="M1261" s="2">
        <v>2181.5625</v>
      </c>
      <c r="N1261" t="s">
        <v>26</v>
      </c>
      <c r="O1261" t="s">
        <v>500</v>
      </c>
      <c r="P1261" t="s">
        <v>511</v>
      </c>
      <c r="Q1261" t="s">
        <v>7590</v>
      </c>
      <c r="R1261" s="1">
        <v>28422</v>
      </c>
      <c r="S1261" t="s">
        <v>22</v>
      </c>
      <c r="T1261" t="s">
        <v>29</v>
      </c>
      <c r="U1261" t="s">
        <v>2072</v>
      </c>
      <c r="V1261">
        <v>30000</v>
      </c>
      <c r="W1261">
        <v>0</v>
      </c>
      <c r="X1261" t="s">
        <v>52</v>
      </c>
      <c r="Y1261" t="s">
        <v>60</v>
      </c>
      <c r="Z1261" t="s">
        <v>23</v>
      </c>
      <c r="AA1261" t="s">
        <v>3585</v>
      </c>
      <c r="AB1261" t="s">
        <v>3585</v>
      </c>
      <c r="AC1261" t="s">
        <v>3584</v>
      </c>
      <c r="AD1261" t="s">
        <v>3479</v>
      </c>
      <c r="AE1261" t="s">
        <v>3475</v>
      </c>
      <c r="AF1261" s="2">
        <v>2181.5625</v>
      </c>
      <c r="AG1261" s="2">
        <v>1320.6838</v>
      </c>
      <c r="AH1261" s="2">
        <v>860.87869999999998</v>
      </c>
      <c r="AI1261" s="3">
        <v>0.39461564818793898</v>
      </c>
    </row>
    <row r="1262" spans="1:35">
      <c r="A1262" s="1">
        <v>42236</v>
      </c>
      <c r="B1262" s="1">
        <v>37399</v>
      </c>
      <c r="C1262" t="s">
        <v>5177</v>
      </c>
      <c r="D1262">
        <v>375</v>
      </c>
      <c r="E1262">
        <v>16317</v>
      </c>
      <c r="F1262">
        <v>10</v>
      </c>
      <c r="G1262">
        <v>1</v>
      </c>
      <c r="H1262">
        <v>1</v>
      </c>
      <c r="I1262">
        <v>2</v>
      </c>
      <c r="J1262" t="s">
        <v>3557</v>
      </c>
      <c r="K1262" t="s">
        <v>3558</v>
      </c>
      <c r="L1262" s="2">
        <v>1320.6838</v>
      </c>
      <c r="M1262" s="2">
        <v>2181.5625</v>
      </c>
      <c r="N1262" t="s">
        <v>13</v>
      </c>
      <c r="O1262" t="s">
        <v>621</v>
      </c>
      <c r="P1262" t="s">
        <v>431</v>
      </c>
      <c r="Q1262" t="s">
        <v>7591</v>
      </c>
      <c r="R1262" s="1">
        <v>28391</v>
      </c>
      <c r="S1262" t="s">
        <v>22</v>
      </c>
      <c r="T1262" t="s">
        <v>16</v>
      </c>
      <c r="U1262" t="s">
        <v>2073</v>
      </c>
      <c r="V1262">
        <v>30000</v>
      </c>
      <c r="W1262">
        <v>0</v>
      </c>
      <c r="X1262" t="s">
        <v>52</v>
      </c>
      <c r="Y1262" t="s">
        <v>60</v>
      </c>
      <c r="Z1262" t="s">
        <v>23</v>
      </c>
      <c r="AA1262" t="s">
        <v>3588</v>
      </c>
      <c r="AB1262" t="s">
        <v>3588</v>
      </c>
      <c r="AC1262" t="s">
        <v>3584</v>
      </c>
      <c r="AD1262" t="s">
        <v>3479</v>
      </c>
      <c r="AE1262" t="s">
        <v>3475</v>
      </c>
      <c r="AF1262" s="2">
        <v>2181.5625</v>
      </c>
      <c r="AG1262" s="2">
        <v>1320.6838</v>
      </c>
      <c r="AH1262" s="2">
        <v>860.87869999999998</v>
      </c>
      <c r="AI1262" s="3">
        <v>0.39461564818793898</v>
      </c>
    </row>
    <row r="1263" spans="1:35">
      <c r="A1263" s="1">
        <v>42242</v>
      </c>
      <c r="B1263" s="1">
        <v>37436</v>
      </c>
      <c r="C1263" t="s">
        <v>5237</v>
      </c>
      <c r="D1263">
        <v>371</v>
      </c>
      <c r="E1263">
        <v>16318</v>
      </c>
      <c r="F1263">
        <v>10</v>
      </c>
      <c r="G1263">
        <v>1</v>
      </c>
      <c r="H1263">
        <v>1</v>
      </c>
      <c r="I1263">
        <v>2</v>
      </c>
      <c r="J1263" t="s">
        <v>3553</v>
      </c>
      <c r="K1263" t="s">
        <v>3554</v>
      </c>
      <c r="L1263" s="2">
        <v>1320.6838</v>
      </c>
      <c r="M1263" s="2">
        <v>2181.5625</v>
      </c>
      <c r="N1263" t="s">
        <v>26</v>
      </c>
      <c r="O1263" t="s">
        <v>1202</v>
      </c>
      <c r="P1263" t="s">
        <v>85</v>
      </c>
      <c r="Q1263" t="s">
        <v>7592</v>
      </c>
      <c r="R1263" s="1">
        <v>28284</v>
      </c>
      <c r="S1263" t="s">
        <v>22</v>
      </c>
      <c r="T1263" t="s">
        <v>29</v>
      </c>
      <c r="U1263" t="s">
        <v>2074</v>
      </c>
      <c r="V1263">
        <v>30000</v>
      </c>
      <c r="W1263">
        <v>0</v>
      </c>
      <c r="X1263" t="s">
        <v>52</v>
      </c>
      <c r="Y1263" t="s">
        <v>60</v>
      </c>
      <c r="Z1263" t="s">
        <v>23</v>
      </c>
      <c r="AA1263" t="s">
        <v>3588</v>
      </c>
      <c r="AB1263" t="s">
        <v>3588</v>
      </c>
      <c r="AC1263" t="s">
        <v>3584</v>
      </c>
      <c r="AD1263" t="s">
        <v>3479</v>
      </c>
      <c r="AE1263" t="s">
        <v>3475</v>
      </c>
      <c r="AF1263" s="2">
        <v>2181.5625</v>
      </c>
      <c r="AG1263" s="2">
        <v>1320.6838</v>
      </c>
      <c r="AH1263" s="2">
        <v>860.87869999999998</v>
      </c>
      <c r="AI1263" s="3">
        <v>0.39461564818793898</v>
      </c>
    </row>
    <row r="1264" spans="1:35">
      <c r="A1264" s="1">
        <v>42246</v>
      </c>
      <c r="B1264" s="1">
        <v>37446</v>
      </c>
      <c r="C1264" t="s">
        <v>5270</v>
      </c>
      <c r="D1264">
        <v>369</v>
      </c>
      <c r="E1264">
        <v>16324</v>
      </c>
      <c r="F1264">
        <v>10</v>
      </c>
      <c r="G1264">
        <v>1</v>
      </c>
      <c r="H1264">
        <v>1</v>
      </c>
      <c r="I1264">
        <v>2</v>
      </c>
      <c r="J1264" t="s">
        <v>3549</v>
      </c>
      <c r="K1264" t="s">
        <v>3550</v>
      </c>
      <c r="L1264" s="2">
        <v>1518.7864</v>
      </c>
      <c r="M1264" s="2">
        <v>2443.35</v>
      </c>
      <c r="N1264" t="s">
        <v>13</v>
      </c>
      <c r="O1264" t="s">
        <v>766</v>
      </c>
      <c r="P1264" t="s">
        <v>317</v>
      </c>
      <c r="Q1264" t="s">
        <v>7593</v>
      </c>
      <c r="R1264" s="1">
        <v>27472</v>
      </c>
      <c r="S1264" t="s">
        <v>16</v>
      </c>
      <c r="T1264" t="s">
        <v>16</v>
      </c>
      <c r="U1264" t="s">
        <v>2075</v>
      </c>
      <c r="V1264">
        <v>40000</v>
      </c>
      <c r="W1264">
        <v>1</v>
      </c>
      <c r="X1264" t="s">
        <v>17</v>
      </c>
      <c r="Y1264" t="s">
        <v>53</v>
      </c>
      <c r="Z1264" t="s">
        <v>19</v>
      </c>
      <c r="AA1264" t="s">
        <v>3588</v>
      </c>
      <c r="AB1264" t="s">
        <v>3588</v>
      </c>
      <c r="AC1264" t="s">
        <v>3584</v>
      </c>
      <c r="AD1264" t="s">
        <v>3479</v>
      </c>
      <c r="AE1264" t="s">
        <v>3475</v>
      </c>
      <c r="AF1264" s="2">
        <v>2443.35</v>
      </c>
      <c r="AG1264" s="2">
        <v>1518.7864</v>
      </c>
      <c r="AH1264" s="2">
        <v>924.56359999999995</v>
      </c>
      <c r="AI1264" s="3">
        <v>0.37839998362903399</v>
      </c>
    </row>
    <row r="1265" spans="1:35">
      <c r="A1265" s="1">
        <v>42321</v>
      </c>
      <c r="B1265" s="1">
        <v>37557</v>
      </c>
      <c r="C1265" t="s">
        <v>5778</v>
      </c>
      <c r="D1265">
        <v>373</v>
      </c>
      <c r="E1265">
        <v>16327</v>
      </c>
      <c r="F1265">
        <v>8</v>
      </c>
      <c r="G1265">
        <v>1</v>
      </c>
      <c r="H1265">
        <v>1</v>
      </c>
      <c r="I1265">
        <v>2</v>
      </c>
      <c r="J1265" t="s">
        <v>3555</v>
      </c>
      <c r="K1265" t="s">
        <v>3556</v>
      </c>
      <c r="L1265" s="2">
        <v>1320.6838</v>
      </c>
      <c r="M1265" s="2">
        <v>2181.5625</v>
      </c>
      <c r="N1265" t="s">
        <v>13</v>
      </c>
      <c r="O1265" t="s">
        <v>504</v>
      </c>
      <c r="P1265" t="s">
        <v>136</v>
      </c>
      <c r="Q1265" t="s">
        <v>7594</v>
      </c>
      <c r="R1265" s="1">
        <v>26729</v>
      </c>
      <c r="S1265" t="s">
        <v>22</v>
      </c>
      <c r="T1265" t="s">
        <v>16</v>
      </c>
      <c r="U1265" t="s">
        <v>2076</v>
      </c>
      <c r="V1265">
        <v>20000</v>
      </c>
      <c r="W1265">
        <v>0</v>
      </c>
      <c r="X1265" t="s">
        <v>77</v>
      </c>
      <c r="Y1265" t="s">
        <v>444</v>
      </c>
      <c r="Z1265" t="s">
        <v>23</v>
      </c>
      <c r="AA1265" t="s">
        <v>3585</v>
      </c>
      <c r="AB1265" t="s">
        <v>3585</v>
      </c>
      <c r="AC1265" t="s">
        <v>3584</v>
      </c>
      <c r="AD1265" t="s">
        <v>3479</v>
      </c>
      <c r="AE1265" t="s">
        <v>3475</v>
      </c>
      <c r="AF1265" s="2">
        <v>2181.5625</v>
      </c>
      <c r="AG1265" s="2">
        <v>1320.6838</v>
      </c>
      <c r="AH1265" s="2">
        <v>860.87869999999998</v>
      </c>
      <c r="AI1265" s="3">
        <v>0.39461564818793898</v>
      </c>
    </row>
    <row r="1266" spans="1:35">
      <c r="A1266" s="1">
        <v>42231</v>
      </c>
      <c r="B1266" s="1">
        <v>37385</v>
      </c>
      <c r="C1266" t="s">
        <v>5132</v>
      </c>
      <c r="D1266">
        <v>371</v>
      </c>
      <c r="E1266">
        <v>16328</v>
      </c>
      <c r="F1266">
        <v>10</v>
      </c>
      <c r="G1266">
        <v>1</v>
      </c>
      <c r="H1266">
        <v>1</v>
      </c>
      <c r="I1266">
        <v>2</v>
      </c>
      <c r="J1266" t="s">
        <v>3553</v>
      </c>
      <c r="K1266" t="s">
        <v>3554</v>
      </c>
      <c r="L1266" s="2">
        <v>1320.6838</v>
      </c>
      <c r="M1266" s="2">
        <v>2181.5625</v>
      </c>
      <c r="N1266" t="s">
        <v>13</v>
      </c>
      <c r="O1266" t="s">
        <v>281</v>
      </c>
      <c r="P1266" t="s">
        <v>59</v>
      </c>
      <c r="Q1266" t="s">
        <v>7595</v>
      </c>
      <c r="R1266" s="1">
        <v>26710</v>
      </c>
      <c r="S1266" t="s">
        <v>22</v>
      </c>
      <c r="T1266" t="s">
        <v>16</v>
      </c>
      <c r="U1266" t="s">
        <v>2077</v>
      </c>
      <c r="V1266">
        <v>20000</v>
      </c>
      <c r="W1266">
        <v>0</v>
      </c>
      <c r="X1266" t="s">
        <v>77</v>
      </c>
      <c r="Y1266" t="s">
        <v>444</v>
      </c>
      <c r="Z1266" t="s">
        <v>19</v>
      </c>
      <c r="AA1266" t="s">
        <v>3588</v>
      </c>
      <c r="AB1266" t="s">
        <v>3588</v>
      </c>
      <c r="AC1266" t="s">
        <v>3584</v>
      </c>
      <c r="AD1266" t="s">
        <v>3479</v>
      </c>
      <c r="AE1266" t="s">
        <v>3475</v>
      </c>
      <c r="AF1266" s="2">
        <v>2181.5625</v>
      </c>
      <c r="AG1266" s="2">
        <v>1320.6838</v>
      </c>
      <c r="AH1266" s="2">
        <v>860.87869999999998</v>
      </c>
      <c r="AI1266" s="3">
        <v>0.39461564818793898</v>
      </c>
    </row>
    <row r="1267" spans="1:35">
      <c r="A1267" s="1">
        <v>42218</v>
      </c>
      <c r="B1267" s="1">
        <v>37404</v>
      </c>
      <c r="C1267" t="s">
        <v>5025</v>
      </c>
      <c r="D1267">
        <v>369</v>
      </c>
      <c r="E1267">
        <v>16329</v>
      </c>
      <c r="F1267">
        <v>10</v>
      </c>
      <c r="G1267">
        <v>1</v>
      </c>
      <c r="H1267">
        <v>1</v>
      </c>
      <c r="I1267">
        <v>2</v>
      </c>
      <c r="J1267" t="s">
        <v>3549</v>
      </c>
      <c r="K1267" t="s">
        <v>3550</v>
      </c>
      <c r="L1267" s="2">
        <v>1518.7864</v>
      </c>
      <c r="M1267" s="2">
        <v>2443.35</v>
      </c>
      <c r="N1267" t="s">
        <v>26</v>
      </c>
      <c r="O1267" t="s">
        <v>802</v>
      </c>
      <c r="P1267" t="s">
        <v>161</v>
      </c>
      <c r="Q1267" t="s">
        <v>7596</v>
      </c>
      <c r="R1267" s="1">
        <v>27011</v>
      </c>
      <c r="S1267" t="s">
        <v>22</v>
      </c>
      <c r="T1267" t="s">
        <v>29</v>
      </c>
      <c r="U1267" t="s">
        <v>2078</v>
      </c>
      <c r="V1267">
        <v>20000</v>
      </c>
      <c r="W1267">
        <v>0</v>
      </c>
      <c r="X1267" t="s">
        <v>77</v>
      </c>
      <c r="Y1267" t="s">
        <v>444</v>
      </c>
      <c r="Z1267" t="s">
        <v>23</v>
      </c>
      <c r="AA1267" t="s">
        <v>3588</v>
      </c>
      <c r="AB1267" t="s">
        <v>3588</v>
      </c>
      <c r="AC1267" t="s">
        <v>3584</v>
      </c>
      <c r="AD1267" t="s">
        <v>3479</v>
      </c>
      <c r="AE1267" t="s">
        <v>3475</v>
      </c>
      <c r="AF1267" s="2">
        <v>2443.35</v>
      </c>
      <c r="AG1267" s="2">
        <v>1518.7864</v>
      </c>
      <c r="AH1267" s="2">
        <v>924.56359999999995</v>
      </c>
      <c r="AI1267" s="3">
        <v>0.37839998362903399</v>
      </c>
    </row>
    <row r="1268" spans="1:35">
      <c r="A1268" s="1">
        <v>42311</v>
      </c>
      <c r="B1268" s="1">
        <v>37467</v>
      </c>
      <c r="C1268" t="s">
        <v>5718</v>
      </c>
      <c r="D1268">
        <v>377</v>
      </c>
      <c r="E1268">
        <v>16389</v>
      </c>
      <c r="F1268">
        <v>8</v>
      </c>
      <c r="G1268">
        <v>1</v>
      </c>
      <c r="H1268">
        <v>1</v>
      </c>
      <c r="I1268">
        <v>2</v>
      </c>
      <c r="J1268" t="s">
        <v>3559</v>
      </c>
      <c r="K1268" t="s">
        <v>3560</v>
      </c>
      <c r="L1268" s="2">
        <v>1320.6838</v>
      </c>
      <c r="M1268" s="2">
        <v>2181.5625</v>
      </c>
      <c r="N1268" t="s">
        <v>13</v>
      </c>
      <c r="O1268" t="s">
        <v>398</v>
      </c>
      <c r="P1268" t="s">
        <v>271</v>
      </c>
      <c r="Q1268" t="s">
        <v>7597</v>
      </c>
      <c r="R1268" s="1">
        <v>25115</v>
      </c>
      <c r="S1268" t="s">
        <v>22</v>
      </c>
      <c r="T1268" t="s">
        <v>16</v>
      </c>
      <c r="U1268" t="s">
        <v>2079</v>
      </c>
      <c r="V1268">
        <v>30000</v>
      </c>
      <c r="W1268">
        <v>1</v>
      </c>
      <c r="X1268" t="s">
        <v>17</v>
      </c>
      <c r="Y1268" t="s">
        <v>60</v>
      </c>
      <c r="Z1268" t="s">
        <v>19</v>
      </c>
      <c r="AA1268" t="s">
        <v>3585</v>
      </c>
      <c r="AB1268" t="s">
        <v>3585</v>
      </c>
      <c r="AC1268" t="s">
        <v>3584</v>
      </c>
      <c r="AD1268" t="s">
        <v>3479</v>
      </c>
      <c r="AE1268" t="s">
        <v>3475</v>
      </c>
      <c r="AF1268" s="2">
        <v>2181.5625</v>
      </c>
      <c r="AG1268" s="2">
        <v>1320.6838</v>
      </c>
      <c r="AH1268" s="2">
        <v>860.87869999999998</v>
      </c>
      <c r="AI1268" s="3">
        <v>0.39461564818793898</v>
      </c>
    </row>
    <row r="1269" spans="1:35">
      <c r="A1269" s="1">
        <v>42334</v>
      </c>
      <c r="B1269" s="1">
        <v>37563</v>
      </c>
      <c r="C1269" t="s">
        <v>5858</v>
      </c>
      <c r="D1269">
        <v>373</v>
      </c>
      <c r="E1269">
        <v>16390</v>
      </c>
      <c r="F1269">
        <v>8</v>
      </c>
      <c r="G1269">
        <v>1</v>
      </c>
      <c r="H1269">
        <v>1</v>
      </c>
      <c r="I1269">
        <v>2</v>
      </c>
      <c r="J1269" t="s">
        <v>3555</v>
      </c>
      <c r="K1269" t="s">
        <v>3556</v>
      </c>
      <c r="L1269" s="2">
        <v>1320.6838</v>
      </c>
      <c r="M1269" s="2">
        <v>2181.5625</v>
      </c>
      <c r="N1269" t="s">
        <v>13</v>
      </c>
      <c r="O1269" t="s">
        <v>503</v>
      </c>
      <c r="P1269" t="s">
        <v>93</v>
      </c>
      <c r="Q1269" t="s">
        <v>7598</v>
      </c>
      <c r="R1269" s="1">
        <v>24894</v>
      </c>
      <c r="S1269" t="s">
        <v>22</v>
      </c>
      <c r="T1269" t="s">
        <v>16</v>
      </c>
      <c r="U1269" t="s">
        <v>2080</v>
      </c>
      <c r="V1269">
        <v>30000</v>
      </c>
      <c r="W1269">
        <v>1</v>
      </c>
      <c r="X1269" t="s">
        <v>17</v>
      </c>
      <c r="Y1269" t="s">
        <v>60</v>
      </c>
      <c r="Z1269" t="s">
        <v>23</v>
      </c>
      <c r="AA1269" t="s">
        <v>3585</v>
      </c>
      <c r="AB1269" t="s">
        <v>3585</v>
      </c>
      <c r="AC1269" t="s">
        <v>3584</v>
      </c>
      <c r="AD1269" t="s">
        <v>3479</v>
      </c>
      <c r="AE1269" t="s">
        <v>3475</v>
      </c>
      <c r="AF1269" s="2">
        <v>2181.5625</v>
      </c>
      <c r="AG1269" s="2">
        <v>1320.6838</v>
      </c>
      <c r="AH1269" s="2">
        <v>860.87869999999998</v>
      </c>
      <c r="AI1269" s="3">
        <v>0.39461564818793898</v>
      </c>
    </row>
    <row r="1270" spans="1:35">
      <c r="A1270" s="1">
        <v>42236</v>
      </c>
      <c r="B1270" s="1">
        <v>37439</v>
      </c>
      <c r="C1270" t="s">
        <v>5172</v>
      </c>
      <c r="D1270">
        <v>370</v>
      </c>
      <c r="E1270">
        <v>16405</v>
      </c>
      <c r="F1270">
        <v>10</v>
      </c>
      <c r="G1270">
        <v>1</v>
      </c>
      <c r="H1270">
        <v>1</v>
      </c>
      <c r="I1270">
        <v>2</v>
      </c>
      <c r="J1270" t="s">
        <v>3551</v>
      </c>
      <c r="K1270" t="s">
        <v>3552</v>
      </c>
      <c r="L1270" s="2">
        <v>1518.7864</v>
      </c>
      <c r="M1270" s="2">
        <v>2443.35</v>
      </c>
      <c r="N1270" t="s">
        <v>26</v>
      </c>
      <c r="O1270" t="s">
        <v>904</v>
      </c>
      <c r="P1270" t="s">
        <v>79</v>
      </c>
      <c r="Q1270" t="s">
        <v>7599</v>
      </c>
      <c r="R1270" s="1">
        <v>24570</v>
      </c>
      <c r="S1270" t="s">
        <v>16</v>
      </c>
      <c r="T1270" t="s">
        <v>29</v>
      </c>
      <c r="U1270" t="s">
        <v>2081</v>
      </c>
      <c r="V1270">
        <v>40000</v>
      </c>
      <c r="W1270">
        <v>0</v>
      </c>
      <c r="X1270" t="s">
        <v>17</v>
      </c>
      <c r="Y1270" t="s">
        <v>60</v>
      </c>
      <c r="Z1270" t="s">
        <v>19</v>
      </c>
      <c r="AA1270" t="s">
        <v>3588</v>
      </c>
      <c r="AB1270" t="s">
        <v>3588</v>
      </c>
      <c r="AC1270" t="s">
        <v>3584</v>
      </c>
      <c r="AD1270" t="s">
        <v>3479</v>
      </c>
      <c r="AE1270" t="s">
        <v>3475</v>
      </c>
      <c r="AF1270" s="2">
        <v>2443.35</v>
      </c>
      <c r="AG1270" s="2">
        <v>1518.7864</v>
      </c>
      <c r="AH1270" s="2">
        <v>924.56359999999995</v>
      </c>
      <c r="AI1270" s="3">
        <v>0.37839998362903399</v>
      </c>
    </row>
    <row r="1271" spans="1:35">
      <c r="A1271" s="1">
        <v>42224</v>
      </c>
      <c r="B1271" s="1">
        <v>37398</v>
      </c>
      <c r="C1271" t="s">
        <v>5072</v>
      </c>
      <c r="D1271">
        <v>375</v>
      </c>
      <c r="E1271">
        <v>16406</v>
      </c>
      <c r="F1271">
        <v>10</v>
      </c>
      <c r="G1271">
        <v>1</v>
      </c>
      <c r="H1271">
        <v>1</v>
      </c>
      <c r="I1271">
        <v>2</v>
      </c>
      <c r="J1271" t="s">
        <v>3557</v>
      </c>
      <c r="K1271" t="s">
        <v>3558</v>
      </c>
      <c r="L1271" s="2">
        <v>1320.6838</v>
      </c>
      <c r="M1271" s="2">
        <v>2181.5625</v>
      </c>
      <c r="N1271" t="s">
        <v>13</v>
      </c>
      <c r="O1271" t="s">
        <v>611</v>
      </c>
      <c r="P1271" t="s">
        <v>146</v>
      </c>
      <c r="Q1271" t="s">
        <v>7600</v>
      </c>
      <c r="R1271" s="1">
        <v>24790</v>
      </c>
      <c r="S1271" t="s">
        <v>16</v>
      </c>
      <c r="T1271" t="s">
        <v>16</v>
      </c>
      <c r="U1271" t="s">
        <v>2082</v>
      </c>
      <c r="V1271">
        <v>40000</v>
      </c>
      <c r="W1271">
        <v>0</v>
      </c>
      <c r="X1271" t="s">
        <v>17</v>
      </c>
      <c r="Y1271" t="s">
        <v>60</v>
      </c>
      <c r="Z1271" t="s">
        <v>23</v>
      </c>
      <c r="AA1271" t="s">
        <v>3588</v>
      </c>
      <c r="AB1271" t="s">
        <v>3588</v>
      </c>
      <c r="AC1271" t="s">
        <v>3584</v>
      </c>
      <c r="AD1271" t="s">
        <v>3479</v>
      </c>
      <c r="AE1271" t="s">
        <v>3475</v>
      </c>
      <c r="AF1271" s="2">
        <v>2181.5625</v>
      </c>
      <c r="AG1271" s="2">
        <v>1320.6838</v>
      </c>
      <c r="AH1271" s="2">
        <v>860.87869999999998</v>
      </c>
      <c r="AI1271" s="3">
        <v>0.39461564818793898</v>
      </c>
    </row>
    <row r="1272" spans="1:35">
      <c r="A1272" s="1">
        <v>42329</v>
      </c>
      <c r="B1272" s="1">
        <v>37544</v>
      </c>
      <c r="C1272" t="s">
        <v>5823</v>
      </c>
      <c r="D1272">
        <v>368</v>
      </c>
      <c r="E1272">
        <v>16409</v>
      </c>
      <c r="F1272">
        <v>8</v>
      </c>
      <c r="G1272">
        <v>1</v>
      </c>
      <c r="H1272">
        <v>1</v>
      </c>
      <c r="I1272">
        <v>2</v>
      </c>
      <c r="J1272" t="s">
        <v>3547</v>
      </c>
      <c r="K1272" t="s">
        <v>3548</v>
      </c>
      <c r="L1272" s="2">
        <v>1518.7864</v>
      </c>
      <c r="M1272" s="2">
        <v>2443.35</v>
      </c>
      <c r="N1272" t="s">
        <v>30</v>
      </c>
      <c r="O1272" t="s">
        <v>94</v>
      </c>
      <c r="P1272" t="s">
        <v>85</v>
      </c>
      <c r="Q1272" t="s">
        <v>7601</v>
      </c>
      <c r="R1272" s="1">
        <v>24032</v>
      </c>
      <c r="S1272" t="s">
        <v>16</v>
      </c>
      <c r="T1272" t="s">
        <v>29</v>
      </c>
      <c r="U1272" t="s">
        <v>2083</v>
      </c>
      <c r="V1272">
        <v>30000</v>
      </c>
      <c r="W1272">
        <v>1</v>
      </c>
      <c r="X1272" t="s">
        <v>17</v>
      </c>
      <c r="Y1272" t="s">
        <v>53</v>
      </c>
      <c r="Z1272" t="s">
        <v>19</v>
      </c>
      <c r="AA1272" t="s">
        <v>3585</v>
      </c>
      <c r="AB1272" t="s">
        <v>3585</v>
      </c>
      <c r="AC1272" t="s">
        <v>3584</v>
      </c>
      <c r="AD1272" t="s">
        <v>3479</v>
      </c>
      <c r="AE1272" t="s">
        <v>3475</v>
      </c>
      <c r="AF1272" s="2">
        <v>2443.35</v>
      </c>
      <c r="AG1272" s="2">
        <v>1518.7864</v>
      </c>
      <c r="AH1272" s="2">
        <v>924.56359999999995</v>
      </c>
      <c r="AI1272" s="3">
        <v>0.37839998362903399</v>
      </c>
    </row>
    <row r="1273" spans="1:35">
      <c r="A1273" s="1">
        <v>42239</v>
      </c>
      <c r="B1273" s="1">
        <v>37411</v>
      </c>
      <c r="C1273" t="s">
        <v>5207</v>
      </c>
      <c r="D1273">
        <v>368</v>
      </c>
      <c r="E1273">
        <v>16410</v>
      </c>
      <c r="F1273">
        <v>10</v>
      </c>
      <c r="G1273">
        <v>1</v>
      </c>
      <c r="H1273">
        <v>1</v>
      </c>
      <c r="I1273">
        <v>2</v>
      </c>
      <c r="J1273" t="s">
        <v>3547</v>
      </c>
      <c r="K1273" t="s">
        <v>3548</v>
      </c>
      <c r="L1273" s="2">
        <v>1518.7864</v>
      </c>
      <c r="M1273" s="2">
        <v>2443.35</v>
      </c>
      <c r="N1273" t="s">
        <v>30</v>
      </c>
      <c r="O1273" t="s">
        <v>1221</v>
      </c>
      <c r="P1273" t="s">
        <v>153</v>
      </c>
      <c r="Q1273" t="s">
        <v>7602</v>
      </c>
      <c r="R1273" s="1">
        <v>23669</v>
      </c>
      <c r="S1273" t="s">
        <v>22</v>
      </c>
      <c r="T1273" t="s">
        <v>29</v>
      </c>
      <c r="U1273" t="s">
        <v>2084</v>
      </c>
      <c r="V1273">
        <v>10000</v>
      </c>
      <c r="W1273">
        <v>4</v>
      </c>
      <c r="X1273" t="s">
        <v>77</v>
      </c>
      <c r="Y1273" t="s">
        <v>444</v>
      </c>
      <c r="Z1273" t="s">
        <v>19</v>
      </c>
      <c r="AA1273" t="s">
        <v>3588</v>
      </c>
      <c r="AB1273" t="s">
        <v>3588</v>
      </c>
      <c r="AC1273" t="s">
        <v>3584</v>
      </c>
      <c r="AD1273" t="s">
        <v>3479</v>
      </c>
      <c r="AE1273" t="s">
        <v>3475</v>
      </c>
      <c r="AF1273" s="2">
        <v>2443.35</v>
      </c>
      <c r="AG1273" s="2">
        <v>1518.7864</v>
      </c>
      <c r="AH1273" s="2">
        <v>924.56359999999995</v>
      </c>
      <c r="AI1273" s="3">
        <v>0.37839998362903399</v>
      </c>
    </row>
    <row r="1274" spans="1:35">
      <c r="A1274" s="1">
        <v>42350</v>
      </c>
      <c r="B1274" s="1">
        <v>37564</v>
      </c>
      <c r="C1274" t="s">
        <v>6026</v>
      </c>
      <c r="D1274">
        <v>377</v>
      </c>
      <c r="E1274">
        <v>16411</v>
      </c>
      <c r="F1274">
        <v>8</v>
      </c>
      <c r="G1274">
        <v>1</v>
      </c>
      <c r="H1274">
        <v>1</v>
      </c>
      <c r="I1274">
        <v>2</v>
      </c>
      <c r="J1274" t="s">
        <v>3559</v>
      </c>
      <c r="K1274" t="s">
        <v>3560</v>
      </c>
      <c r="L1274" s="2">
        <v>1320.6838</v>
      </c>
      <c r="M1274" s="2">
        <v>2181.5625</v>
      </c>
      <c r="N1274" t="s">
        <v>13</v>
      </c>
      <c r="O1274" t="s">
        <v>535</v>
      </c>
      <c r="P1274" t="s">
        <v>109</v>
      </c>
      <c r="Q1274" t="s">
        <v>7603</v>
      </c>
      <c r="R1274" s="1">
        <v>23610</v>
      </c>
      <c r="S1274" t="s">
        <v>22</v>
      </c>
      <c r="T1274" t="s">
        <v>16</v>
      </c>
      <c r="U1274" t="s">
        <v>2085</v>
      </c>
      <c r="V1274">
        <v>10000</v>
      </c>
      <c r="W1274">
        <v>3</v>
      </c>
      <c r="X1274" t="s">
        <v>77</v>
      </c>
      <c r="Y1274" t="s">
        <v>444</v>
      </c>
      <c r="Z1274" t="s">
        <v>19</v>
      </c>
      <c r="AA1274" t="s">
        <v>3585</v>
      </c>
      <c r="AB1274" t="s">
        <v>3585</v>
      </c>
      <c r="AC1274" t="s">
        <v>3584</v>
      </c>
      <c r="AD1274" t="s">
        <v>3479</v>
      </c>
      <c r="AE1274" t="s">
        <v>3475</v>
      </c>
      <c r="AF1274" s="2">
        <v>2181.5625</v>
      </c>
      <c r="AG1274" s="2">
        <v>1320.6838</v>
      </c>
      <c r="AH1274" s="2">
        <v>860.87869999999998</v>
      </c>
      <c r="AI1274" s="3">
        <v>0.39461564818793898</v>
      </c>
    </row>
    <row r="1275" spans="1:35">
      <c r="A1275" s="1">
        <v>42352</v>
      </c>
      <c r="B1275" s="1">
        <v>37579</v>
      </c>
      <c r="C1275" t="s">
        <v>6053</v>
      </c>
      <c r="D1275">
        <v>370</v>
      </c>
      <c r="E1275">
        <v>16414</v>
      </c>
      <c r="F1275">
        <v>8</v>
      </c>
      <c r="G1275">
        <v>1</v>
      </c>
      <c r="H1275">
        <v>1</v>
      </c>
      <c r="I1275">
        <v>2</v>
      </c>
      <c r="J1275" t="s">
        <v>3551</v>
      </c>
      <c r="K1275" t="s">
        <v>3552</v>
      </c>
      <c r="L1275" s="2">
        <v>1518.7864</v>
      </c>
      <c r="M1275" s="2">
        <v>2443.35</v>
      </c>
      <c r="N1275" t="s">
        <v>30</v>
      </c>
      <c r="O1275" t="s">
        <v>376</v>
      </c>
      <c r="P1275" t="s">
        <v>113</v>
      </c>
      <c r="Q1275" t="s">
        <v>7604</v>
      </c>
      <c r="R1275" s="1">
        <v>23545</v>
      </c>
      <c r="S1275" t="s">
        <v>22</v>
      </c>
      <c r="T1275" t="s">
        <v>29</v>
      </c>
      <c r="U1275" t="s">
        <v>2086</v>
      </c>
      <c r="V1275">
        <v>10000</v>
      </c>
      <c r="W1275">
        <v>3</v>
      </c>
      <c r="X1275" t="s">
        <v>77</v>
      </c>
      <c r="Y1275" t="s">
        <v>444</v>
      </c>
      <c r="Z1275" t="s">
        <v>19</v>
      </c>
      <c r="AA1275" t="s">
        <v>3585</v>
      </c>
      <c r="AB1275" t="s">
        <v>3585</v>
      </c>
      <c r="AC1275" t="s">
        <v>3584</v>
      </c>
      <c r="AD1275" t="s">
        <v>3479</v>
      </c>
      <c r="AE1275" t="s">
        <v>3475</v>
      </c>
      <c r="AF1275" s="2">
        <v>2443.35</v>
      </c>
      <c r="AG1275" s="2">
        <v>1518.7864</v>
      </c>
      <c r="AH1275" s="2">
        <v>924.56359999999995</v>
      </c>
      <c r="AI1275" s="3">
        <v>0.37839998362903399</v>
      </c>
    </row>
    <row r="1276" spans="1:35">
      <c r="A1276" s="1">
        <v>42238</v>
      </c>
      <c r="B1276" s="1">
        <v>37446</v>
      </c>
      <c r="C1276" t="s">
        <v>5201</v>
      </c>
      <c r="D1276">
        <v>373</v>
      </c>
      <c r="E1276">
        <v>16417</v>
      </c>
      <c r="F1276">
        <v>10</v>
      </c>
      <c r="G1276">
        <v>1</v>
      </c>
      <c r="H1276">
        <v>1</v>
      </c>
      <c r="I1276">
        <v>2</v>
      </c>
      <c r="J1276" t="s">
        <v>3555</v>
      </c>
      <c r="K1276" t="s">
        <v>3556</v>
      </c>
      <c r="L1276" s="2">
        <v>1320.6838</v>
      </c>
      <c r="M1276" s="2">
        <v>2181.5625</v>
      </c>
      <c r="N1276" t="s">
        <v>13</v>
      </c>
      <c r="O1276" t="s">
        <v>141</v>
      </c>
      <c r="P1276" t="s">
        <v>184</v>
      </c>
      <c r="Q1276" t="s">
        <v>7605</v>
      </c>
      <c r="R1276" s="1">
        <v>23621</v>
      </c>
      <c r="S1276" t="s">
        <v>22</v>
      </c>
      <c r="T1276" t="s">
        <v>16</v>
      </c>
      <c r="U1276" t="s">
        <v>2087</v>
      </c>
      <c r="V1276">
        <v>30000</v>
      </c>
      <c r="W1276">
        <v>2</v>
      </c>
      <c r="X1276" t="s">
        <v>52</v>
      </c>
      <c r="Y1276" t="s">
        <v>444</v>
      </c>
      <c r="Z1276" t="s">
        <v>19</v>
      </c>
      <c r="AA1276" t="s">
        <v>3588</v>
      </c>
      <c r="AB1276" t="s">
        <v>3588</v>
      </c>
      <c r="AC1276" t="s">
        <v>3584</v>
      </c>
      <c r="AD1276" t="s">
        <v>3479</v>
      </c>
      <c r="AE1276" t="s">
        <v>3475</v>
      </c>
      <c r="AF1276" s="2">
        <v>2181.5625</v>
      </c>
      <c r="AG1276" s="2">
        <v>1320.6838</v>
      </c>
      <c r="AH1276" s="2">
        <v>860.87869999999998</v>
      </c>
      <c r="AI1276" s="3">
        <v>0.39461564818793898</v>
      </c>
    </row>
    <row r="1277" spans="1:35">
      <c r="A1277" s="1">
        <v>42237</v>
      </c>
      <c r="B1277" s="1">
        <v>37447</v>
      </c>
      <c r="C1277" t="s">
        <v>5186</v>
      </c>
      <c r="D1277">
        <v>375</v>
      </c>
      <c r="E1277">
        <v>16420</v>
      </c>
      <c r="F1277">
        <v>10</v>
      </c>
      <c r="G1277">
        <v>1</v>
      </c>
      <c r="H1277">
        <v>1</v>
      </c>
      <c r="I1277">
        <v>2</v>
      </c>
      <c r="J1277" t="s">
        <v>3557</v>
      </c>
      <c r="K1277" t="s">
        <v>3558</v>
      </c>
      <c r="L1277" s="2">
        <v>1320.6838</v>
      </c>
      <c r="M1277" s="2">
        <v>2181.5625</v>
      </c>
      <c r="N1277" t="s">
        <v>13</v>
      </c>
      <c r="O1277" t="s">
        <v>626</v>
      </c>
      <c r="P1277" t="s">
        <v>779</v>
      </c>
      <c r="Q1277" t="s">
        <v>7606</v>
      </c>
      <c r="R1277" s="1">
        <v>23334</v>
      </c>
      <c r="S1277" t="s">
        <v>22</v>
      </c>
      <c r="T1277" t="s">
        <v>16</v>
      </c>
      <c r="U1277" t="s">
        <v>2088</v>
      </c>
      <c r="V1277">
        <v>20000</v>
      </c>
      <c r="W1277">
        <v>3</v>
      </c>
      <c r="X1277" t="s">
        <v>57</v>
      </c>
      <c r="Y1277" t="s">
        <v>444</v>
      </c>
      <c r="Z1277" t="s">
        <v>19</v>
      </c>
      <c r="AA1277" t="s">
        <v>3588</v>
      </c>
      <c r="AB1277" t="s">
        <v>3588</v>
      </c>
      <c r="AC1277" t="s">
        <v>3584</v>
      </c>
      <c r="AD1277" t="s">
        <v>3479</v>
      </c>
      <c r="AE1277" t="s">
        <v>3475</v>
      </c>
      <c r="AF1277" s="2">
        <v>2181.5625</v>
      </c>
      <c r="AG1277" s="2">
        <v>1320.6838</v>
      </c>
      <c r="AH1277" s="2">
        <v>860.87869999999998</v>
      </c>
      <c r="AI1277" s="3">
        <v>0.39461564818793898</v>
      </c>
    </row>
    <row r="1278" spans="1:35">
      <c r="A1278" s="1">
        <v>42350</v>
      </c>
      <c r="B1278" s="1">
        <v>37487</v>
      </c>
      <c r="C1278" t="s">
        <v>6022</v>
      </c>
      <c r="D1278">
        <v>371</v>
      </c>
      <c r="E1278">
        <v>16422</v>
      </c>
      <c r="F1278">
        <v>8</v>
      </c>
      <c r="G1278">
        <v>1</v>
      </c>
      <c r="H1278">
        <v>1</v>
      </c>
      <c r="I1278">
        <v>2</v>
      </c>
      <c r="J1278" t="s">
        <v>3553</v>
      </c>
      <c r="K1278" t="s">
        <v>3554</v>
      </c>
      <c r="L1278" s="2">
        <v>1320.6838</v>
      </c>
      <c r="M1278" s="2">
        <v>2181.5625</v>
      </c>
      <c r="N1278" t="s">
        <v>13</v>
      </c>
      <c r="O1278" t="s">
        <v>489</v>
      </c>
      <c r="P1278" t="s">
        <v>474</v>
      </c>
      <c r="Q1278" t="s">
        <v>7607</v>
      </c>
      <c r="R1278" s="1">
        <v>23097</v>
      </c>
      <c r="S1278" t="s">
        <v>22</v>
      </c>
      <c r="T1278" t="s">
        <v>16</v>
      </c>
      <c r="U1278" t="s">
        <v>2089</v>
      </c>
      <c r="V1278">
        <v>20000</v>
      </c>
      <c r="W1278">
        <v>3</v>
      </c>
      <c r="X1278" t="s">
        <v>57</v>
      </c>
      <c r="Y1278" t="s">
        <v>444</v>
      </c>
      <c r="Z1278" t="s">
        <v>19</v>
      </c>
      <c r="AA1278" t="s">
        <v>3585</v>
      </c>
      <c r="AB1278" t="s">
        <v>3585</v>
      </c>
      <c r="AC1278" t="s">
        <v>3584</v>
      </c>
      <c r="AD1278" t="s">
        <v>3479</v>
      </c>
      <c r="AE1278" t="s">
        <v>3475</v>
      </c>
      <c r="AF1278" s="2">
        <v>2181.5625</v>
      </c>
      <c r="AG1278" s="2">
        <v>1320.6838</v>
      </c>
      <c r="AH1278" s="2">
        <v>860.87869999999998</v>
      </c>
      <c r="AI1278" s="3">
        <v>0.39461564818793898</v>
      </c>
    </row>
    <row r="1279" spans="1:35">
      <c r="A1279" s="1">
        <v>42253</v>
      </c>
      <c r="B1279" s="1">
        <v>37457</v>
      </c>
      <c r="C1279" t="s">
        <v>5316</v>
      </c>
      <c r="D1279">
        <v>377</v>
      </c>
      <c r="E1279">
        <v>16427</v>
      </c>
      <c r="F1279">
        <v>10</v>
      </c>
      <c r="G1279">
        <v>1</v>
      </c>
      <c r="H1279">
        <v>1</v>
      </c>
      <c r="I1279">
        <v>2</v>
      </c>
      <c r="J1279" t="s">
        <v>3559</v>
      </c>
      <c r="K1279" t="s">
        <v>3560</v>
      </c>
      <c r="L1279" s="2">
        <v>1320.6838</v>
      </c>
      <c r="M1279" s="2">
        <v>2181.5625</v>
      </c>
      <c r="N1279" t="s">
        <v>26</v>
      </c>
      <c r="O1279" t="s">
        <v>1043</v>
      </c>
      <c r="P1279" t="s">
        <v>779</v>
      </c>
      <c r="Q1279" t="s">
        <v>7608</v>
      </c>
      <c r="R1279" s="1">
        <v>24181</v>
      </c>
      <c r="S1279" t="s">
        <v>22</v>
      </c>
      <c r="T1279" t="s">
        <v>29</v>
      </c>
      <c r="U1279" t="s">
        <v>2090</v>
      </c>
      <c r="V1279">
        <v>60000</v>
      </c>
      <c r="W1279">
        <v>0</v>
      </c>
      <c r="X1279" t="s">
        <v>135</v>
      </c>
      <c r="Y1279" t="s">
        <v>53</v>
      </c>
      <c r="Z1279" t="s">
        <v>19</v>
      </c>
      <c r="AA1279" t="s">
        <v>3588</v>
      </c>
      <c r="AB1279" t="s">
        <v>3588</v>
      </c>
      <c r="AC1279" t="s">
        <v>3584</v>
      </c>
      <c r="AD1279" t="s">
        <v>3479</v>
      </c>
      <c r="AE1279" t="s">
        <v>3475</v>
      </c>
      <c r="AF1279" s="2">
        <v>2181.5625</v>
      </c>
      <c r="AG1279" s="2">
        <v>1320.6838</v>
      </c>
      <c r="AH1279" s="2">
        <v>860.87869999999998</v>
      </c>
      <c r="AI1279" s="3">
        <v>0.39461564818793898</v>
      </c>
    </row>
    <row r="1280" spans="1:35">
      <c r="A1280" s="1">
        <v>42267</v>
      </c>
      <c r="B1280" s="1">
        <v>37453</v>
      </c>
      <c r="C1280" t="s">
        <v>5420</v>
      </c>
      <c r="D1280">
        <v>379</v>
      </c>
      <c r="E1280">
        <v>16428</v>
      </c>
      <c r="F1280">
        <v>10</v>
      </c>
      <c r="G1280">
        <v>1</v>
      </c>
      <c r="H1280">
        <v>1</v>
      </c>
      <c r="I1280">
        <v>2</v>
      </c>
      <c r="J1280" t="s">
        <v>3561</v>
      </c>
      <c r="K1280" t="s">
        <v>3562</v>
      </c>
      <c r="L1280" s="2">
        <v>1320.6838</v>
      </c>
      <c r="M1280" s="2">
        <v>2181.5625</v>
      </c>
      <c r="N1280" t="s">
        <v>13</v>
      </c>
      <c r="O1280" t="s">
        <v>179</v>
      </c>
      <c r="P1280" t="s">
        <v>199</v>
      </c>
      <c r="Q1280" t="s">
        <v>7609</v>
      </c>
      <c r="R1280" s="1">
        <v>23098</v>
      </c>
      <c r="S1280" t="s">
        <v>22</v>
      </c>
      <c r="T1280" t="s">
        <v>16</v>
      </c>
      <c r="U1280" t="s">
        <v>2091</v>
      </c>
      <c r="V1280">
        <v>20000</v>
      </c>
      <c r="W1280">
        <v>4</v>
      </c>
      <c r="X1280" t="s">
        <v>57</v>
      </c>
      <c r="Y1280" t="s">
        <v>444</v>
      </c>
      <c r="Z1280" t="s">
        <v>19</v>
      </c>
      <c r="AA1280" t="s">
        <v>3588</v>
      </c>
      <c r="AB1280" t="s">
        <v>3588</v>
      </c>
      <c r="AC1280" t="s">
        <v>3584</v>
      </c>
      <c r="AD1280" t="s">
        <v>3479</v>
      </c>
      <c r="AE1280" t="s">
        <v>3475</v>
      </c>
      <c r="AF1280" s="2">
        <v>2181.5625</v>
      </c>
      <c r="AG1280" s="2">
        <v>1320.6838</v>
      </c>
      <c r="AH1280" s="2">
        <v>860.87869999999998</v>
      </c>
      <c r="AI1280" s="3">
        <v>0.39461564818793898</v>
      </c>
    </row>
    <row r="1281" spans="1:35">
      <c r="A1281" s="1">
        <v>42367</v>
      </c>
      <c r="B1281" s="1">
        <v>37534</v>
      </c>
      <c r="C1281" t="s">
        <v>6202</v>
      </c>
      <c r="D1281">
        <v>369</v>
      </c>
      <c r="E1281">
        <v>16429</v>
      </c>
      <c r="F1281">
        <v>8</v>
      </c>
      <c r="G1281">
        <v>1</v>
      </c>
      <c r="H1281">
        <v>1</v>
      </c>
      <c r="I1281">
        <v>2</v>
      </c>
      <c r="J1281" t="s">
        <v>3549</v>
      </c>
      <c r="K1281" t="s">
        <v>3550</v>
      </c>
      <c r="L1281" s="2">
        <v>1518.7864</v>
      </c>
      <c r="M1281" s="2">
        <v>2443.35</v>
      </c>
      <c r="N1281" t="s">
        <v>30</v>
      </c>
      <c r="O1281" t="s">
        <v>117</v>
      </c>
      <c r="P1281" t="s">
        <v>159</v>
      </c>
      <c r="Q1281" t="s">
        <v>7610</v>
      </c>
      <c r="R1281" s="1">
        <v>22935</v>
      </c>
      <c r="S1281" t="s">
        <v>16</v>
      </c>
      <c r="T1281" t="s">
        <v>29</v>
      </c>
      <c r="U1281" t="s">
        <v>2092</v>
      </c>
      <c r="V1281">
        <v>30000</v>
      </c>
      <c r="W1281">
        <v>1</v>
      </c>
      <c r="X1281" t="s">
        <v>52</v>
      </c>
      <c r="Y1281" t="s">
        <v>60</v>
      </c>
      <c r="Z1281" t="s">
        <v>19</v>
      </c>
      <c r="AA1281" t="s">
        <v>3585</v>
      </c>
      <c r="AB1281" t="s">
        <v>3585</v>
      </c>
      <c r="AC1281" t="s">
        <v>3584</v>
      </c>
      <c r="AD1281" t="s">
        <v>3479</v>
      </c>
      <c r="AE1281" t="s">
        <v>3475</v>
      </c>
      <c r="AF1281" s="2">
        <v>2443.35</v>
      </c>
      <c r="AG1281" s="2">
        <v>1518.7864</v>
      </c>
      <c r="AH1281" s="2">
        <v>924.56359999999995</v>
      </c>
      <c r="AI1281" s="3">
        <v>0.37839998362903399</v>
      </c>
    </row>
    <row r="1282" spans="1:35">
      <c r="A1282" s="1">
        <v>42350</v>
      </c>
      <c r="B1282" s="1">
        <v>37556</v>
      </c>
      <c r="C1282" t="s">
        <v>6024</v>
      </c>
      <c r="D1282">
        <v>368</v>
      </c>
      <c r="E1282">
        <v>16442</v>
      </c>
      <c r="F1282">
        <v>8</v>
      </c>
      <c r="G1282">
        <v>1</v>
      </c>
      <c r="H1282">
        <v>1</v>
      </c>
      <c r="I1282">
        <v>2</v>
      </c>
      <c r="J1282" t="s">
        <v>3547</v>
      </c>
      <c r="K1282" t="s">
        <v>3548</v>
      </c>
      <c r="L1282" s="2">
        <v>1518.7864</v>
      </c>
      <c r="M1282" s="2">
        <v>2443.35</v>
      </c>
      <c r="N1282" t="s">
        <v>13</v>
      </c>
      <c r="O1282" t="s">
        <v>61</v>
      </c>
      <c r="P1282" t="s">
        <v>95</v>
      </c>
      <c r="Q1282" t="s">
        <v>7611</v>
      </c>
      <c r="R1282" s="1">
        <v>29094</v>
      </c>
      <c r="S1282" t="s">
        <v>22</v>
      </c>
      <c r="T1282" t="s">
        <v>16</v>
      </c>
      <c r="U1282" t="s">
        <v>2093</v>
      </c>
      <c r="V1282">
        <v>30000</v>
      </c>
      <c r="W1282">
        <v>3</v>
      </c>
      <c r="X1282" t="s">
        <v>52</v>
      </c>
      <c r="Y1282" t="s">
        <v>60</v>
      </c>
      <c r="Z1282" t="s">
        <v>19</v>
      </c>
      <c r="AA1282" t="s">
        <v>3585</v>
      </c>
      <c r="AB1282" t="s">
        <v>3585</v>
      </c>
      <c r="AC1282" t="s">
        <v>3584</v>
      </c>
      <c r="AD1282" t="s">
        <v>3479</v>
      </c>
      <c r="AE1282" t="s">
        <v>3475</v>
      </c>
      <c r="AF1282" s="2">
        <v>2443.35</v>
      </c>
      <c r="AG1282" s="2">
        <v>1518.7864</v>
      </c>
      <c r="AH1282" s="2">
        <v>924.56359999999995</v>
      </c>
      <c r="AI1282" s="3">
        <v>0.37839998362903399</v>
      </c>
    </row>
    <row r="1283" spans="1:35">
      <c r="A1283" s="1">
        <v>42273</v>
      </c>
      <c r="B1283" s="1">
        <v>37419</v>
      </c>
      <c r="C1283" t="s">
        <v>5455</v>
      </c>
      <c r="D1283">
        <v>370</v>
      </c>
      <c r="E1283">
        <v>16444</v>
      </c>
      <c r="F1283">
        <v>10</v>
      </c>
      <c r="G1283">
        <v>1</v>
      </c>
      <c r="H1283">
        <v>1</v>
      </c>
      <c r="I1283">
        <v>2</v>
      </c>
      <c r="J1283" t="s">
        <v>3551</v>
      </c>
      <c r="K1283" t="s">
        <v>3552</v>
      </c>
      <c r="L1283" s="2">
        <v>1518.7864</v>
      </c>
      <c r="M1283" s="2">
        <v>2443.35</v>
      </c>
      <c r="N1283" t="s">
        <v>30</v>
      </c>
      <c r="O1283" t="s">
        <v>528</v>
      </c>
      <c r="P1283" t="s">
        <v>38</v>
      </c>
      <c r="Q1283" t="s">
        <v>7612</v>
      </c>
      <c r="R1283" s="1">
        <v>23307</v>
      </c>
      <c r="S1283" t="s">
        <v>16</v>
      </c>
      <c r="T1283" t="s">
        <v>29</v>
      </c>
      <c r="U1283" t="s">
        <v>2094</v>
      </c>
      <c r="V1283">
        <v>40000</v>
      </c>
      <c r="W1283">
        <v>1</v>
      </c>
      <c r="X1283" t="s">
        <v>17</v>
      </c>
      <c r="Y1283" t="s">
        <v>53</v>
      </c>
      <c r="Z1283" t="s">
        <v>19</v>
      </c>
      <c r="AA1283" t="s">
        <v>3588</v>
      </c>
      <c r="AB1283" t="s">
        <v>3588</v>
      </c>
      <c r="AC1283" t="s">
        <v>3584</v>
      </c>
      <c r="AD1283" t="s">
        <v>3479</v>
      </c>
      <c r="AE1283" t="s">
        <v>3475</v>
      </c>
      <c r="AF1283" s="2">
        <v>2443.35</v>
      </c>
      <c r="AG1283" s="2">
        <v>1518.7864</v>
      </c>
      <c r="AH1283" s="2">
        <v>924.56359999999995</v>
      </c>
      <c r="AI1283" s="3">
        <v>0.37839998362903399</v>
      </c>
    </row>
    <row r="1284" spans="1:35">
      <c r="A1284" s="1">
        <v>42258</v>
      </c>
      <c r="B1284" s="1">
        <v>37441</v>
      </c>
      <c r="C1284" t="s">
        <v>5348</v>
      </c>
      <c r="D1284">
        <v>369</v>
      </c>
      <c r="E1284">
        <v>16445</v>
      </c>
      <c r="F1284">
        <v>10</v>
      </c>
      <c r="G1284">
        <v>1</v>
      </c>
      <c r="H1284">
        <v>1</v>
      </c>
      <c r="I1284">
        <v>2</v>
      </c>
      <c r="J1284" t="s">
        <v>3549</v>
      </c>
      <c r="K1284" t="s">
        <v>3550</v>
      </c>
      <c r="L1284" s="2">
        <v>1518.7864</v>
      </c>
      <c r="M1284" s="2">
        <v>2443.35</v>
      </c>
      <c r="N1284" t="s">
        <v>30</v>
      </c>
      <c r="O1284" t="s">
        <v>959</v>
      </c>
      <c r="P1284" t="s">
        <v>424</v>
      </c>
      <c r="Q1284" t="s">
        <v>7613</v>
      </c>
      <c r="R1284" s="1">
        <v>22810</v>
      </c>
      <c r="S1284" t="s">
        <v>22</v>
      </c>
      <c r="T1284" t="s">
        <v>29</v>
      </c>
      <c r="U1284" t="s">
        <v>2095</v>
      </c>
      <c r="V1284">
        <v>30000</v>
      </c>
      <c r="W1284">
        <v>1</v>
      </c>
      <c r="X1284" t="s">
        <v>52</v>
      </c>
      <c r="Y1284" t="s">
        <v>60</v>
      </c>
      <c r="Z1284" t="s">
        <v>19</v>
      </c>
      <c r="AA1284" t="s">
        <v>3588</v>
      </c>
      <c r="AB1284" t="s">
        <v>3588</v>
      </c>
      <c r="AC1284" t="s">
        <v>3584</v>
      </c>
      <c r="AD1284" t="s">
        <v>3479</v>
      </c>
      <c r="AE1284" t="s">
        <v>3475</v>
      </c>
      <c r="AF1284" s="2">
        <v>2443.35</v>
      </c>
      <c r="AG1284" s="2">
        <v>1518.7864</v>
      </c>
      <c r="AH1284" s="2">
        <v>924.56359999999995</v>
      </c>
      <c r="AI1284" s="3">
        <v>0.37839998362903399</v>
      </c>
    </row>
    <row r="1285" spans="1:35">
      <c r="A1285" s="1">
        <v>42257</v>
      </c>
      <c r="B1285" s="1">
        <v>37423</v>
      </c>
      <c r="C1285" t="s">
        <v>5342</v>
      </c>
      <c r="D1285">
        <v>373</v>
      </c>
      <c r="E1285">
        <v>16446</v>
      </c>
      <c r="F1285">
        <v>10</v>
      </c>
      <c r="G1285">
        <v>1</v>
      </c>
      <c r="H1285">
        <v>1</v>
      </c>
      <c r="I1285">
        <v>2</v>
      </c>
      <c r="J1285" t="s">
        <v>3555</v>
      </c>
      <c r="K1285" t="s">
        <v>3556</v>
      </c>
      <c r="L1285" s="2">
        <v>1320.6838</v>
      </c>
      <c r="M1285" s="2">
        <v>2181.5625</v>
      </c>
      <c r="N1285" t="s">
        <v>30</v>
      </c>
      <c r="O1285" t="s">
        <v>1048</v>
      </c>
      <c r="P1285" t="s">
        <v>129</v>
      </c>
      <c r="Q1285" t="s">
        <v>7614</v>
      </c>
      <c r="R1285" s="1">
        <v>22778</v>
      </c>
      <c r="S1285" t="s">
        <v>16</v>
      </c>
      <c r="T1285" t="s">
        <v>29</v>
      </c>
      <c r="U1285" t="s">
        <v>2096</v>
      </c>
      <c r="V1285">
        <v>30000</v>
      </c>
      <c r="W1285">
        <v>1</v>
      </c>
      <c r="X1285" t="s">
        <v>52</v>
      </c>
      <c r="Y1285" t="s">
        <v>60</v>
      </c>
      <c r="Z1285" t="s">
        <v>19</v>
      </c>
      <c r="AA1285" t="s">
        <v>3588</v>
      </c>
      <c r="AB1285" t="s">
        <v>3588</v>
      </c>
      <c r="AC1285" t="s">
        <v>3584</v>
      </c>
      <c r="AD1285" t="s">
        <v>3479</v>
      </c>
      <c r="AE1285" t="s">
        <v>3475</v>
      </c>
      <c r="AF1285" s="2">
        <v>2181.5625</v>
      </c>
      <c r="AG1285" s="2">
        <v>1320.6838</v>
      </c>
      <c r="AH1285" s="2">
        <v>860.87869999999998</v>
      </c>
      <c r="AI1285" s="3">
        <v>0.39461564818793898</v>
      </c>
    </row>
    <row r="1286" spans="1:35">
      <c r="A1286" s="1">
        <v>42277</v>
      </c>
      <c r="B1286" s="1">
        <v>37421</v>
      </c>
      <c r="C1286" t="s">
        <v>5478</v>
      </c>
      <c r="D1286">
        <v>377</v>
      </c>
      <c r="E1286">
        <v>16447</v>
      </c>
      <c r="F1286">
        <v>10</v>
      </c>
      <c r="G1286">
        <v>1</v>
      </c>
      <c r="H1286">
        <v>1</v>
      </c>
      <c r="I1286">
        <v>2</v>
      </c>
      <c r="J1286" t="s">
        <v>3559</v>
      </c>
      <c r="K1286" t="s">
        <v>3560</v>
      </c>
      <c r="L1286" s="2">
        <v>1320.6838</v>
      </c>
      <c r="M1286" s="2">
        <v>2181.5625</v>
      </c>
      <c r="N1286" t="s">
        <v>30</v>
      </c>
      <c r="O1286" t="s">
        <v>817</v>
      </c>
      <c r="P1286" t="s">
        <v>510</v>
      </c>
      <c r="Q1286" t="s">
        <v>7615</v>
      </c>
      <c r="R1286" s="1">
        <v>22989</v>
      </c>
      <c r="S1286" t="s">
        <v>16</v>
      </c>
      <c r="T1286" t="s">
        <v>29</v>
      </c>
      <c r="U1286" t="s">
        <v>2097</v>
      </c>
      <c r="V1286">
        <v>40000</v>
      </c>
      <c r="W1286">
        <v>1</v>
      </c>
      <c r="X1286" t="s">
        <v>17</v>
      </c>
      <c r="Y1286" t="s">
        <v>53</v>
      </c>
      <c r="Z1286" t="s">
        <v>19</v>
      </c>
      <c r="AA1286" t="s">
        <v>3588</v>
      </c>
      <c r="AB1286" t="s">
        <v>3588</v>
      </c>
      <c r="AC1286" t="s">
        <v>3584</v>
      </c>
      <c r="AD1286" t="s">
        <v>3479</v>
      </c>
      <c r="AE1286" t="s">
        <v>3475</v>
      </c>
      <c r="AF1286" s="2">
        <v>2181.5625</v>
      </c>
      <c r="AG1286" s="2">
        <v>1320.6838</v>
      </c>
      <c r="AH1286" s="2">
        <v>860.87869999999998</v>
      </c>
      <c r="AI1286" s="3">
        <v>0.39461564818793898</v>
      </c>
    </row>
    <row r="1287" spans="1:35">
      <c r="A1287" s="1">
        <v>42351</v>
      </c>
      <c r="B1287" s="1">
        <v>37545</v>
      </c>
      <c r="C1287" t="s">
        <v>6029</v>
      </c>
      <c r="D1287">
        <v>371</v>
      </c>
      <c r="E1287">
        <v>16448</v>
      </c>
      <c r="F1287">
        <v>8</v>
      </c>
      <c r="G1287">
        <v>1</v>
      </c>
      <c r="H1287">
        <v>1</v>
      </c>
      <c r="I1287">
        <v>2</v>
      </c>
      <c r="J1287" t="s">
        <v>3553</v>
      </c>
      <c r="K1287" t="s">
        <v>3554</v>
      </c>
      <c r="L1287" s="2">
        <v>1320.6838</v>
      </c>
      <c r="M1287" s="2">
        <v>2181.5625</v>
      </c>
      <c r="N1287" t="s">
        <v>30</v>
      </c>
      <c r="O1287" t="s">
        <v>188</v>
      </c>
      <c r="P1287" t="s">
        <v>103</v>
      </c>
      <c r="Q1287" t="s">
        <v>7616</v>
      </c>
      <c r="R1287" s="1">
        <v>22679</v>
      </c>
      <c r="S1287" t="s">
        <v>16</v>
      </c>
      <c r="T1287" t="s">
        <v>29</v>
      </c>
      <c r="U1287" t="s">
        <v>2098</v>
      </c>
      <c r="V1287">
        <v>40000</v>
      </c>
      <c r="W1287">
        <v>1</v>
      </c>
      <c r="X1287" t="s">
        <v>17</v>
      </c>
      <c r="Y1287" t="s">
        <v>53</v>
      </c>
      <c r="Z1287" t="s">
        <v>19</v>
      </c>
      <c r="AA1287" t="s">
        <v>3585</v>
      </c>
      <c r="AB1287" t="s">
        <v>3585</v>
      </c>
      <c r="AC1287" t="s">
        <v>3584</v>
      </c>
      <c r="AD1287" t="s">
        <v>3479</v>
      </c>
      <c r="AE1287" t="s">
        <v>3475</v>
      </c>
      <c r="AF1287" s="2">
        <v>2181.5625</v>
      </c>
      <c r="AG1287" s="2">
        <v>1320.6838</v>
      </c>
      <c r="AH1287" s="2">
        <v>860.87869999999998</v>
      </c>
      <c r="AI1287" s="3">
        <v>0.39461564818793898</v>
      </c>
    </row>
    <row r="1288" spans="1:35">
      <c r="A1288" s="1">
        <v>42339</v>
      </c>
      <c r="B1288" s="1">
        <v>37488</v>
      </c>
      <c r="C1288" t="s">
        <v>5904</v>
      </c>
      <c r="D1288">
        <v>375</v>
      </c>
      <c r="E1288">
        <v>16451</v>
      </c>
      <c r="F1288">
        <v>8</v>
      </c>
      <c r="G1288">
        <v>1</v>
      </c>
      <c r="H1288">
        <v>1</v>
      </c>
      <c r="I1288">
        <v>2</v>
      </c>
      <c r="J1288" t="s">
        <v>3557</v>
      </c>
      <c r="K1288" t="s">
        <v>3558</v>
      </c>
      <c r="L1288" s="2">
        <v>1320.6838</v>
      </c>
      <c r="M1288" s="2">
        <v>2181.5625</v>
      </c>
      <c r="N1288" t="s">
        <v>13</v>
      </c>
      <c r="O1288" t="s">
        <v>487</v>
      </c>
      <c r="P1288" t="s">
        <v>91</v>
      </c>
      <c r="Q1288" t="s">
        <v>7617</v>
      </c>
      <c r="R1288" s="1">
        <v>28373</v>
      </c>
      <c r="S1288" t="s">
        <v>22</v>
      </c>
      <c r="T1288" t="s">
        <v>16</v>
      </c>
      <c r="U1288" t="s">
        <v>2099</v>
      </c>
      <c r="V1288">
        <v>30000</v>
      </c>
      <c r="W1288">
        <v>0</v>
      </c>
      <c r="X1288" t="s">
        <v>52</v>
      </c>
      <c r="Y1288" t="s">
        <v>60</v>
      </c>
      <c r="Z1288" t="s">
        <v>23</v>
      </c>
      <c r="AA1288" t="s">
        <v>3585</v>
      </c>
      <c r="AB1288" t="s">
        <v>3585</v>
      </c>
      <c r="AC1288" t="s">
        <v>3584</v>
      </c>
      <c r="AD1288" t="s">
        <v>3479</v>
      </c>
      <c r="AE1288" t="s">
        <v>3475</v>
      </c>
      <c r="AF1288" s="2">
        <v>2181.5625</v>
      </c>
      <c r="AG1288" s="2">
        <v>1320.6838</v>
      </c>
      <c r="AH1288" s="2">
        <v>860.87869999999998</v>
      </c>
      <c r="AI1288" s="3">
        <v>0.39461564818793898</v>
      </c>
    </row>
    <row r="1289" spans="1:35">
      <c r="A1289" s="1">
        <v>42249</v>
      </c>
      <c r="B1289" s="1">
        <v>37430</v>
      </c>
      <c r="C1289" t="s">
        <v>5295</v>
      </c>
      <c r="D1289">
        <v>370</v>
      </c>
      <c r="E1289">
        <v>16461</v>
      </c>
      <c r="F1289">
        <v>10</v>
      </c>
      <c r="G1289">
        <v>1</v>
      </c>
      <c r="H1289">
        <v>1</v>
      </c>
      <c r="I1289">
        <v>2</v>
      </c>
      <c r="J1289" t="s">
        <v>3551</v>
      </c>
      <c r="K1289" t="s">
        <v>3552</v>
      </c>
      <c r="L1289" s="2">
        <v>1518.7864</v>
      </c>
      <c r="M1289" s="2">
        <v>2443.35</v>
      </c>
      <c r="N1289" t="s">
        <v>26</v>
      </c>
      <c r="O1289" t="s">
        <v>890</v>
      </c>
      <c r="P1289" t="s">
        <v>268</v>
      </c>
      <c r="Q1289" t="s">
        <v>7618</v>
      </c>
      <c r="R1289" s="1">
        <v>27796</v>
      </c>
      <c r="S1289" t="s">
        <v>22</v>
      </c>
      <c r="T1289" t="s">
        <v>29</v>
      </c>
      <c r="U1289" t="s">
        <v>2100</v>
      </c>
      <c r="V1289">
        <v>30000</v>
      </c>
      <c r="W1289">
        <v>0</v>
      </c>
      <c r="X1289" t="s">
        <v>52</v>
      </c>
      <c r="Y1289" t="s">
        <v>60</v>
      </c>
      <c r="Z1289" t="s">
        <v>23</v>
      </c>
      <c r="AA1289" t="s">
        <v>3588</v>
      </c>
      <c r="AB1289" t="s">
        <v>3588</v>
      </c>
      <c r="AC1289" t="s">
        <v>3584</v>
      </c>
      <c r="AD1289" t="s">
        <v>3479</v>
      </c>
      <c r="AE1289" t="s">
        <v>3475</v>
      </c>
      <c r="AF1289" s="2">
        <v>2443.35</v>
      </c>
      <c r="AG1289" s="2">
        <v>1518.7864</v>
      </c>
      <c r="AH1289" s="2">
        <v>924.56359999999995</v>
      </c>
      <c r="AI1289" s="3">
        <v>0.37839998362903399</v>
      </c>
    </row>
    <row r="1290" spans="1:35">
      <c r="A1290" s="1">
        <v>42271</v>
      </c>
      <c r="B1290" s="1">
        <v>37420</v>
      </c>
      <c r="C1290" t="s">
        <v>5443</v>
      </c>
      <c r="D1290">
        <v>369</v>
      </c>
      <c r="E1290">
        <v>16465</v>
      </c>
      <c r="F1290">
        <v>10</v>
      </c>
      <c r="G1290">
        <v>1</v>
      </c>
      <c r="H1290">
        <v>1</v>
      </c>
      <c r="I1290">
        <v>2</v>
      </c>
      <c r="J1290" t="s">
        <v>3549</v>
      </c>
      <c r="K1290" t="s">
        <v>3550</v>
      </c>
      <c r="L1290" s="2">
        <v>1518.7864</v>
      </c>
      <c r="M1290" s="2">
        <v>2443.35</v>
      </c>
      <c r="N1290" t="s">
        <v>26</v>
      </c>
      <c r="O1290" t="s">
        <v>883</v>
      </c>
      <c r="P1290" t="s">
        <v>266</v>
      </c>
      <c r="Q1290" t="s">
        <v>7619</v>
      </c>
      <c r="R1290" s="1">
        <v>27334</v>
      </c>
      <c r="S1290" t="s">
        <v>22</v>
      </c>
      <c r="T1290" t="s">
        <v>29</v>
      </c>
      <c r="U1290" t="s">
        <v>2101</v>
      </c>
      <c r="V1290">
        <v>20000</v>
      </c>
      <c r="W1290">
        <v>0</v>
      </c>
      <c r="X1290" t="s">
        <v>77</v>
      </c>
      <c r="Y1290" t="s">
        <v>444</v>
      </c>
      <c r="Z1290" t="s">
        <v>23</v>
      </c>
      <c r="AA1290" t="s">
        <v>3588</v>
      </c>
      <c r="AB1290" t="s">
        <v>3588</v>
      </c>
      <c r="AC1290" t="s">
        <v>3584</v>
      </c>
      <c r="AD1290" t="s">
        <v>3479</v>
      </c>
      <c r="AE1290" t="s">
        <v>3475</v>
      </c>
      <c r="AF1290" s="2">
        <v>2443.35</v>
      </c>
      <c r="AG1290" s="2">
        <v>1518.7864</v>
      </c>
      <c r="AH1290" s="2">
        <v>924.56359999999995</v>
      </c>
      <c r="AI1290" s="3">
        <v>0.37839998362903399</v>
      </c>
    </row>
    <row r="1291" spans="1:35">
      <c r="A1291" s="1">
        <v>42367</v>
      </c>
      <c r="B1291" s="1">
        <v>37552</v>
      </c>
      <c r="C1291" t="s">
        <v>6196</v>
      </c>
      <c r="D1291">
        <v>377</v>
      </c>
      <c r="E1291">
        <v>16466</v>
      </c>
      <c r="F1291">
        <v>8</v>
      </c>
      <c r="G1291">
        <v>1</v>
      </c>
      <c r="H1291">
        <v>1</v>
      </c>
      <c r="I1291">
        <v>2</v>
      </c>
      <c r="J1291" t="s">
        <v>3559</v>
      </c>
      <c r="K1291" t="s">
        <v>3560</v>
      </c>
      <c r="L1291" s="2">
        <v>1320.6838</v>
      </c>
      <c r="M1291" s="2">
        <v>2181.5625</v>
      </c>
      <c r="N1291" t="s">
        <v>26</v>
      </c>
      <c r="O1291" t="s">
        <v>550</v>
      </c>
      <c r="P1291" t="s">
        <v>194</v>
      </c>
      <c r="Q1291" t="s">
        <v>7620</v>
      </c>
      <c r="R1291" s="1">
        <v>27195</v>
      </c>
      <c r="S1291" t="s">
        <v>22</v>
      </c>
      <c r="T1291" t="s">
        <v>29</v>
      </c>
      <c r="U1291" t="s">
        <v>2102</v>
      </c>
      <c r="V1291">
        <v>20000</v>
      </c>
      <c r="W1291">
        <v>0</v>
      </c>
      <c r="X1291" t="s">
        <v>77</v>
      </c>
      <c r="Y1291" t="s">
        <v>444</v>
      </c>
      <c r="Z1291" t="s">
        <v>23</v>
      </c>
      <c r="AA1291" t="s">
        <v>3585</v>
      </c>
      <c r="AB1291" t="s">
        <v>3585</v>
      </c>
      <c r="AC1291" t="s">
        <v>3584</v>
      </c>
      <c r="AD1291" t="s">
        <v>3479</v>
      </c>
      <c r="AE1291" t="s">
        <v>3475</v>
      </c>
      <c r="AF1291" s="2">
        <v>2181.5625</v>
      </c>
      <c r="AG1291" s="2">
        <v>1320.6838</v>
      </c>
      <c r="AH1291" s="2">
        <v>860.87869999999998</v>
      </c>
      <c r="AI1291" s="3">
        <v>0.39461564818793898</v>
      </c>
    </row>
    <row r="1292" spans="1:35">
      <c r="A1292" s="1">
        <v>42255</v>
      </c>
      <c r="B1292" s="1">
        <v>37411</v>
      </c>
      <c r="C1292" t="s">
        <v>5328</v>
      </c>
      <c r="D1292">
        <v>371</v>
      </c>
      <c r="E1292">
        <v>16470</v>
      </c>
      <c r="F1292">
        <v>10</v>
      </c>
      <c r="G1292">
        <v>1</v>
      </c>
      <c r="H1292">
        <v>1</v>
      </c>
      <c r="I1292">
        <v>2</v>
      </c>
      <c r="J1292" t="s">
        <v>3553</v>
      </c>
      <c r="K1292" t="s">
        <v>3554</v>
      </c>
      <c r="L1292" s="2">
        <v>1320.6838</v>
      </c>
      <c r="M1292" s="2">
        <v>2181.5625</v>
      </c>
      <c r="N1292" t="s">
        <v>13</v>
      </c>
      <c r="O1292" t="s">
        <v>973</v>
      </c>
      <c r="P1292" t="s">
        <v>929</v>
      </c>
      <c r="Q1292" t="s">
        <v>7621</v>
      </c>
      <c r="R1292" s="1">
        <v>27707</v>
      </c>
      <c r="S1292" t="s">
        <v>16</v>
      </c>
      <c r="T1292" t="s">
        <v>16</v>
      </c>
      <c r="U1292" t="s">
        <v>2103</v>
      </c>
      <c r="V1292">
        <v>40000</v>
      </c>
      <c r="W1292">
        <v>1</v>
      </c>
      <c r="X1292" t="s">
        <v>17</v>
      </c>
      <c r="Y1292" t="s">
        <v>53</v>
      </c>
      <c r="Z1292" t="s">
        <v>19</v>
      </c>
      <c r="AA1292" t="s">
        <v>3588</v>
      </c>
      <c r="AB1292" t="s">
        <v>3588</v>
      </c>
      <c r="AC1292" t="s">
        <v>3584</v>
      </c>
      <c r="AD1292" t="s">
        <v>3479</v>
      </c>
      <c r="AE1292" t="s">
        <v>3475</v>
      </c>
      <c r="AF1292" s="2">
        <v>2181.5625</v>
      </c>
      <c r="AG1292" s="2">
        <v>1320.6838</v>
      </c>
      <c r="AH1292" s="2">
        <v>860.87869999999998</v>
      </c>
      <c r="AI1292" s="3">
        <v>0.39461564818793898</v>
      </c>
    </row>
    <row r="1293" spans="1:35">
      <c r="A1293" s="1">
        <v>42341</v>
      </c>
      <c r="B1293" s="1">
        <v>37531</v>
      </c>
      <c r="C1293" t="s">
        <v>5925</v>
      </c>
      <c r="D1293">
        <v>379</v>
      </c>
      <c r="E1293">
        <v>16475</v>
      </c>
      <c r="F1293">
        <v>8</v>
      </c>
      <c r="G1293">
        <v>1</v>
      </c>
      <c r="H1293">
        <v>1</v>
      </c>
      <c r="I1293">
        <v>2</v>
      </c>
      <c r="J1293" t="s">
        <v>3561</v>
      </c>
      <c r="K1293" t="s">
        <v>3562</v>
      </c>
      <c r="L1293" s="2">
        <v>1320.6838</v>
      </c>
      <c r="M1293" s="2">
        <v>2181.5625</v>
      </c>
      <c r="N1293" t="s">
        <v>13</v>
      </c>
      <c r="O1293" t="s">
        <v>489</v>
      </c>
      <c r="P1293" t="s">
        <v>195</v>
      </c>
      <c r="Q1293" t="s">
        <v>7622</v>
      </c>
      <c r="R1293" s="1">
        <v>27011</v>
      </c>
      <c r="S1293" t="s">
        <v>22</v>
      </c>
      <c r="T1293" t="s">
        <v>16</v>
      </c>
      <c r="U1293" t="s">
        <v>2104</v>
      </c>
      <c r="V1293">
        <v>20000</v>
      </c>
      <c r="W1293">
        <v>0</v>
      </c>
      <c r="X1293" t="s">
        <v>77</v>
      </c>
      <c r="Y1293" t="s">
        <v>444</v>
      </c>
      <c r="Z1293" t="s">
        <v>23</v>
      </c>
      <c r="AA1293" t="s">
        <v>3585</v>
      </c>
      <c r="AB1293" t="s">
        <v>3585</v>
      </c>
      <c r="AC1293" t="s">
        <v>3584</v>
      </c>
      <c r="AD1293" t="s">
        <v>3479</v>
      </c>
      <c r="AE1293" t="s">
        <v>3475</v>
      </c>
      <c r="AF1293" s="2">
        <v>2181.5625</v>
      </c>
      <c r="AG1293" s="2">
        <v>1320.6838</v>
      </c>
      <c r="AH1293" s="2">
        <v>860.87869999999998</v>
      </c>
      <c r="AI1293" s="3">
        <v>0.39461564818793898</v>
      </c>
    </row>
    <row r="1294" spans="1:35">
      <c r="A1294" s="1">
        <v>42273</v>
      </c>
      <c r="B1294" s="1">
        <v>37447</v>
      </c>
      <c r="C1294" t="s">
        <v>5462</v>
      </c>
      <c r="D1294">
        <v>369</v>
      </c>
      <c r="E1294">
        <v>16509</v>
      </c>
      <c r="F1294">
        <v>10</v>
      </c>
      <c r="G1294">
        <v>1</v>
      </c>
      <c r="H1294">
        <v>1</v>
      </c>
      <c r="I1294">
        <v>2</v>
      </c>
      <c r="J1294" t="s">
        <v>3549</v>
      </c>
      <c r="K1294" t="s">
        <v>3550</v>
      </c>
      <c r="L1294" s="2">
        <v>1518.7864</v>
      </c>
      <c r="M1294" s="2">
        <v>2443.35</v>
      </c>
      <c r="N1294" t="s">
        <v>30</v>
      </c>
      <c r="O1294" t="s">
        <v>895</v>
      </c>
      <c r="P1294" t="s">
        <v>79</v>
      </c>
      <c r="Q1294" t="s">
        <v>7623</v>
      </c>
      <c r="R1294" s="1">
        <v>15098</v>
      </c>
      <c r="S1294" t="s">
        <v>16</v>
      </c>
      <c r="T1294" t="s">
        <v>29</v>
      </c>
      <c r="U1294" t="s">
        <v>2105</v>
      </c>
      <c r="V1294">
        <v>30000</v>
      </c>
      <c r="W1294">
        <v>1</v>
      </c>
      <c r="X1294" t="s">
        <v>17</v>
      </c>
      <c r="Y1294" t="s">
        <v>60</v>
      </c>
      <c r="Z1294" t="s">
        <v>19</v>
      </c>
      <c r="AA1294" t="s">
        <v>3588</v>
      </c>
      <c r="AB1294" t="s">
        <v>3588</v>
      </c>
      <c r="AC1294" t="s">
        <v>3584</v>
      </c>
      <c r="AD1294" t="s">
        <v>3479</v>
      </c>
      <c r="AE1294" t="s">
        <v>3475</v>
      </c>
      <c r="AF1294" s="2">
        <v>2443.35</v>
      </c>
      <c r="AG1294" s="2">
        <v>1518.7864</v>
      </c>
      <c r="AH1294" s="2">
        <v>924.56359999999995</v>
      </c>
      <c r="AI1294" s="3">
        <v>0.37839998362903399</v>
      </c>
    </row>
    <row r="1295" spans="1:35">
      <c r="A1295" s="1">
        <v>42277</v>
      </c>
      <c r="B1295" s="1">
        <v>37426</v>
      </c>
      <c r="C1295" t="s">
        <v>5483</v>
      </c>
      <c r="D1295">
        <v>370</v>
      </c>
      <c r="E1295">
        <v>16512</v>
      </c>
      <c r="F1295">
        <v>10</v>
      </c>
      <c r="G1295">
        <v>1</v>
      </c>
      <c r="H1295">
        <v>1</v>
      </c>
      <c r="I1295">
        <v>2</v>
      </c>
      <c r="J1295" t="s">
        <v>3551</v>
      </c>
      <c r="K1295" t="s">
        <v>3552</v>
      </c>
      <c r="L1295" s="2">
        <v>1518.7864</v>
      </c>
      <c r="M1295" s="2">
        <v>2443.35</v>
      </c>
      <c r="N1295" t="s">
        <v>13</v>
      </c>
      <c r="O1295" t="s">
        <v>934</v>
      </c>
      <c r="P1295" t="s">
        <v>664</v>
      </c>
      <c r="Q1295" t="s">
        <v>7624</v>
      </c>
      <c r="R1295" s="1">
        <v>15438</v>
      </c>
      <c r="S1295" t="s">
        <v>22</v>
      </c>
      <c r="T1295" t="s">
        <v>16</v>
      </c>
      <c r="U1295" t="s">
        <v>2106</v>
      </c>
      <c r="V1295">
        <v>40000</v>
      </c>
      <c r="W1295">
        <v>1</v>
      </c>
      <c r="X1295" t="s">
        <v>135</v>
      </c>
      <c r="Y1295" t="s">
        <v>60</v>
      </c>
      <c r="Z1295" t="s">
        <v>19</v>
      </c>
      <c r="AA1295" t="s">
        <v>3588</v>
      </c>
      <c r="AB1295" t="s">
        <v>3588</v>
      </c>
      <c r="AC1295" t="s">
        <v>3584</v>
      </c>
      <c r="AD1295" t="s">
        <v>3479</v>
      </c>
      <c r="AE1295" t="s">
        <v>3475</v>
      </c>
      <c r="AF1295" s="2">
        <v>2443.35</v>
      </c>
      <c r="AG1295" s="2">
        <v>1518.7864</v>
      </c>
      <c r="AH1295" s="2">
        <v>924.56359999999995</v>
      </c>
      <c r="AI1295" s="3">
        <v>0.37839998362903399</v>
      </c>
    </row>
    <row r="1296" spans="1:35">
      <c r="A1296" s="1">
        <v>42281</v>
      </c>
      <c r="B1296" s="1">
        <v>37434</v>
      </c>
      <c r="C1296" t="s">
        <v>5512</v>
      </c>
      <c r="D1296">
        <v>379</v>
      </c>
      <c r="E1296">
        <v>16530</v>
      </c>
      <c r="F1296">
        <v>10</v>
      </c>
      <c r="G1296">
        <v>1</v>
      </c>
      <c r="H1296">
        <v>1</v>
      </c>
      <c r="I1296">
        <v>2</v>
      </c>
      <c r="J1296" t="s">
        <v>3561</v>
      </c>
      <c r="K1296" t="s">
        <v>3562</v>
      </c>
      <c r="L1296" s="2">
        <v>1320.6838</v>
      </c>
      <c r="M1296" s="2">
        <v>2181.5625</v>
      </c>
      <c r="N1296" t="s">
        <v>30</v>
      </c>
      <c r="O1296" t="s">
        <v>1159</v>
      </c>
      <c r="P1296" t="s">
        <v>171</v>
      </c>
      <c r="Q1296" t="s">
        <v>7625</v>
      </c>
      <c r="R1296" s="1">
        <v>15997</v>
      </c>
      <c r="S1296" t="s">
        <v>16</v>
      </c>
      <c r="T1296" t="s">
        <v>29</v>
      </c>
      <c r="U1296" t="s">
        <v>2108</v>
      </c>
      <c r="V1296">
        <v>30000</v>
      </c>
      <c r="W1296">
        <v>1</v>
      </c>
      <c r="X1296" t="s">
        <v>17</v>
      </c>
      <c r="Y1296" t="s">
        <v>60</v>
      </c>
      <c r="Z1296" t="s">
        <v>19</v>
      </c>
      <c r="AA1296" t="s">
        <v>3588</v>
      </c>
      <c r="AB1296" t="s">
        <v>3588</v>
      </c>
      <c r="AC1296" t="s">
        <v>3584</v>
      </c>
      <c r="AD1296" t="s">
        <v>3479</v>
      </c>
      <c r="AE1296" t="s">
        <v>3475</v>
      </c>
      <c r="AF1296" s="2">
        <v>2181.5625</v>
      </c>
      <c r="AG1296" s="2">
        <v>1320.6838</v>
      </c>
      <c r="AH1296" s="2">
        <v>860.87869999999998</v>
      </c>
      <c r="AI1296" s="3">
        <v>0.39461564818793898</v>
      </c>
    </row>
    <row r="1297" spans="1:35">
      <c r="A1297" s="1">
        <v>42305</v>
      </c>
      <c r="B1297" s="1">
        <v>37532</v>
      </c>
      <c r="C1297" t="s">
        <v>5681</v>
      </c>
      <c r="D1297">
        <v>370</v>
      </c>
      <c r="E1297">
        <v>16531</v>
      </c>
      <c r="F1297">
        <v>10</v>
      </c>
      <c r="G1297">
        <v>1</v>
      </c>
      <c r="H1297">
        <v>1</v>
      </c>
      <c r="I1297">
        <v>2</v>
      </c>
      <c r="J1297" t="s">
        <v>3551</v>
      </c>
      <c r="K1297" t="s">
        <v>3552</v>
      </c>
      <c r="L1297" s="2">
        <v>1518.7864</v>
      </c>
      <c r="M1297" s="2">
        <v>2443.35</v>
      </c>
      <c r="N1297" t="s">
        <v>30</v>
      </c>
      <c r="O1297" t="s">
        <v>475</v>
      </c>
      <c r="P1297" t="s">
        <v>140</v>
      </c>
      <c r="Q1297" t="s">
        <v>7626</v>
      </c>
      <c r="R1297" s="1">
        <v>15882</v>
      </c>
      <c r="S1297" t="s">
        <v>22</v>
      </c>
      <c r="T1297" t="s">
        <v>29</v>
      </c>
      <c r="U1297" t="s">
        <v>2109</v>
      </c>
      <c r="V1297">
        <v>30000</v>
      </c>
      <c r="W1297">
        <v>1</v>
      </c>
      <c r="X1297" t="s">
        <v>17</v>
      </c>
      <c r="Y1297" t="s">
        <v>60</v>
      </c>
      <c r="Z1297" t="s">
        <v>19</v>
      </c>
      <c r="AA1297" t="s">
        <v>3588</v>
      </c>
      <c r="AB1297" t="s">
        <v>3588</v>
      </c>
      <c r="AC1297" t="s">
        <v>3584</v>
      </c>
      <c r="AD1297" t="s">
        <v>3479</v>
      </c>
      <c r="AE1297" t="s">
        <v>3475</v>
      </c>
      <c r="AF1297" s="2">
        <v>2443.35</v>
      </c>
      <c r="AG1297" s="2">
        <v>1518.7864</v>
      </c>
      <c r="AH1297" s="2">
        <v>924.56359999999995</v>
      </c>
      <c r="AI1297" s="3">
        <v>0.37839998362903399</v>
      </c>
    </row>
    <row r="1298" spans="1:35">
      <c r="A1298" s="1">
        <v>42365</v>
      </c>
      <c r="B1298" s="1">
        <v>37506</v>
      </c>
      <c r="C1298" t="s">
        <v>6178</v>
      </c>
      <c r="D1298">
        <v>379</v>
      </c>
      <c r="E1298">
        <v>16534</v>
      </c>
      <c r="F1298">
        <v>8</v>
      </c>
      <c r="G1298">
        <v>1</v>
      </c>
      <c r="H1298">
        <v>1</v>
      </c>
      <c r="I1298">
        <v>2</v>
      </c>
      <c r="J1298" t="s">
        <v>3561</v>
      </c>
      <c r="K1298" t="s">
        <v>3562</v>
      </c>
      <c r="L1298" s="2">
        <v>1320.6838</v>
      </c>
      <c r="M1298" s="2">
        <v>2181.5625</v>
      </c>
      <c r="N1298" t="s">
        <v>30</v>
      </c>
      <c r="O1298" t="s">
        <v>360</v>
      </c>
      <c r="P1298" t="s">
        <v>2107</v>
      </c>
      <c r="Q1298" t="s">
        <v>7627</v>
      </c>
      <c r="R1298" s="1">
        <v>22317</v>
      </c>
      <c r="S1298" t="s">
        <v>16</v>
      </c>
      <c r="T1298" t="s">
        <v>29</v>
      </c>
      <c r="U1298" t="s">
        <v>2110</v>
      </c>
      <c r="V1298">
        <v>30000</v>
      </c>
      <c r="W1298">
        <v>4</v>
      </c>
      <c r="X1298" t="s">
        <v>135</v>
      </c>
      <c r="Y1298" t="s">
        <v>60</v>
      </c>
      <c r="Z1298" t="s">
        <v>19</v>
      </c>
      <c r="AA1298" t="s">
        <v>3585</v>
      </c>
      <c r="AB1298" t="s">
        <v>3585</v>
      </c>
      <c r="AC1298" t="s">
        <v>3584</v>
      </c>
      <c r="AD1298" t="s">
        <v>3479</v>
      </c>
      <c r="AE1298" t="s">
        <v>3475</v>
      </c>
      <c r="AF1298" s="2">
        <v>2181.5625</v>
      </c>
      <c r="AG1298" s="2">
        <v>1320.6838</v>
      </c>
      <c r="AH1298" s="2">
        <v>860.87869999999998</v>
      </c>
      <c r="AI1298" s="3">
        <v>0.39461564818793898</v>
      </c>
    </row>
    <row r="1299" spans="1:35">
      <c r="A1299" s="1">
        <v>42299</v>
      </c>
      <c r="B1299" s="1">
        <v>37505</v>
      </c>
      <c r="C1299" t="s">
        <v>5640</v>
      </c>
      <c r="D1299">
        <v>377</v>
      </c>
      <c r="E1299">
        <v>16541</v>
      </c>
      <c r="F1299">
        <v>10</v>
      </c>
      <c r="G1299">
        <v>1</v>
      </c>
      <c r="H1299">
        <v>1</v>
      </c>
      <c r="I1299">
        <v>2</v>
      </c>
      <c r="J1299" t="s">
        <v>3559</v>
      </c>
      <c r="K1299" t="s">
        <v>3560</v>
      </c>
      <c r="L1299" s="2">
        <v>1320.6838</v>
      </c>
      <c r="M1299" s="2">
        <v>2181.5625</v>
      </c>
      <c r="N1299" t="s">
        <v>13</v>
      </c>
      <c r="O1299" t="s">
        <v>420</v>
      </c>
      <c r="P1299" t="s">
        <v>511</v>
      </c>
      <c r="Q1299" t="s">
        <v>7628</v>
      </c>
      <c r="R1299" s="1">
        <v>22278</v>
      </c>
      <c r="S1299" t="s">
        <v>22</v>
      </c>
      <c r="T1299" t="s">
        <v>16</v>
      </c>
      <c r="U1299" t="s">
        <v>2111</v>
      </c>
      <c r="V1299">
        <v>20000</v>
      </c>
      <c r="W1299">
        <v>1</v>
      </c>
      <c r="X1299" t="s">
        <v>52</v>
      </c>
      <c r="Y1299" t="s">
        <v>444</v>
      </c>
      <c r="Z1299" t="s">
        <v>23</v>
      </c>
      <c r="AA1299" t="s">
        <v>3588</v>
      </c>
      <c r="AB1299" t="s">
        <v>3588</v>
      </c>
      <c r="AC1299" t="s">
        <v>3584</v>
      </c>
      <c r="AD1299" t="s">
        <v>3479</v>
      </c>
      <c r="AE1299" t="s">
        <v>3475</v>
      </c>
      <c r="AF1299" s="2">
        <v>2181.5625</v>
      </c>
      <c r="AG1299" s="2">
        <v>1320.6838</v>
      </c>
      <c r="AH1299" s="2">
        <v>860.87869999999998</v>
      </c>
      <c r="AI1299" s="3">
        <v>0.39461564818793898</v>
      </c>
    </row>
    <row r="1300" spans="1:35">
      <c r="A1300" s="1">
        <v>42287</v>
      </c>
      <c r="B1300" s="1">
        <v>37468</v>
      </c>
      <c r="C1300" t="s">
        <v>5541</v>
      </c>
      <c r="D1300">
        <v>379</v>
      </c>
      <c r="E1300">
        <v>16546</v>
      </c>
      <c r="F1300">
        <v>10</v>
      </c>
      <c r="G1300">
        <v>1</v>
      </c>
      <c r="H1300">
        <v>1</v>
      </c>
      <c r="I1300">
        <v>2</v>
      </c>
      <c r="J1300" t="s">
        <v>3561</v>
      </c>
      <c r="K1300" t="s">
        <v>3562</v>
      </c>
      <c r="L1300" s="2">
        <v>1320.6838</v>
      </c>
      <c r="M1300" s="2">
        <v>2181.5625</v>
      </c>
      <c r="N1300" t="s">
        <v>13</v>
      </c>
      <c r="O1300" t="s">
        <v>430</v>
      </c>
      <c r="P1300" t="s">
        <v>63</v>
      </c>
      <c r="Q1300" t="s">
        <v>7629</v>
      </c>
      <c r="R1300" s="1">
        <v>21790</v>
      </c>
      <c r="S1300" t="s">
        <v>16</v>
      </c>
      <c r="T1300" t="s">
        <v>16</v>
      </c>
      <c r="U1300" t="s">
        <v>2112</v>
      </c>
      <c r="V1300">
        <v>20000</v>
      </c>
      <c r="W1300">
        <v>2</v>
      </c>
      <c r="X1300" t="s">
        <v>52</v>
      </c>
      <c r="Y1300" t="s">
        <v>444</v>
      </c>
      <c r="Z1300" t="s">
        <v>19</v>
      </c>
      <c r="AA1300" t="s">
        <v>3588</v>
      </c>
      <c r="AB1300" t="s">
        <v>3588</v>
      </c>
      <c r="AC1300" t="s">
        <v>3584</v>
      </c>
      <c r="AD1300" t="s">
        <v>3479</v>
      </c>
      <c r="AE1300" t="s">
        <v>3475</v>
      </c>
      <c r="AF1300" s="2">
        <v>2181.5625</v>
      </c>
      <c r="AG1300" s="2">
        <v>1320.6838</v>
      </c>
      <c r="AH1300" s="2">
        <v>860.87869999999998</v>
      </c>
      <c r="AI1300" s="3">
        <v>0.39461564818793898</v>
      </c>
    </row>
    <row r="1301" spans="1:35">
      <c r="A1301" s="1">
        <v>42281</v>
      </c>
      <c r="B1301" s="1">
        <v>37459</v>
      </c>
      <c r="C1301" t="s">
        <v>5508</v>
      </c>
      <c r="D1301">
        <v>371</v>
      </c>
      <c r="E1301">
        <v>16550</v>
      </c>
      <c r="F1301">
        <v>10</v>
      </c>
      <c r="G1301">
        <v>1</v>
      </c>
      <c r="H1301">
        <v>1</v>
      </c>
      <c r="I1301">
        <v>2</v>
      </c>
      <c r="J1301" t="s">
        <v>3553</v>
      </c>
      <c r="K1301" t="s">
        <v>3554</v>
      </c>
      <c r="L1301" s="2">
        <v>1320.6838</v>
      </c>
      <c r="M1301" s="2">
        <v>2181.5625</v>
      </c>
      <c r="N1301" t="s">
        <v>13</v>
      </c>
      <c r="O1301" t="s">
        <v>630</v>
      </c>
      <c r="P1301" t="s">
        <v>658</v>
      </c>
      <c r="Q1301" t="s">
        <v>7630</v>
      </c>
      <c r="R1301" s="1">
        <v>21603</v>
      </c>
      <c r="S1301" t="s">
        <v>16</v>
      </c>
      <c r="T1301" t="s">
        <v>16</v>
      </c>
      <c r="U1301" t="s">
        <v>2113</v>
      </c>
      <c r="V1301">
        <v>30000</v>
      </c>
      <c r="W1301">
        <v>0</v>
      </c>
      <c r="X1301" t="s">
        <v>17</v>
      </c>
      <c r="Y1301" t="s">
        <v>60</v>
      </c>
      <c r="Z1301" t="s">
        <v>19</v>
      </c>
      <c r="AA1301" t="s">
        <v>3588</v>
      </c>
      <c r="AB1301" t="s">
        <v>3588</v>
      </c>
      <c r="AC1301" t="s">
        <v>3584</v>
      </c>
      <c r="AD1301" t="s">
        <v>3479</v>
      </c>
      <c r="AE1301" t="s">
        <v>3475</v>
      </c>
      <c r="AF1301" s="2">
        <v>2181.5625</v>
      </c>
      <c r="AG1301" s="2">
        <v>1320.6838</v>
      </c>
      <c r="AH1301" s="2">
        <v>860.87869999999998</v>
      </c>
      <c r="AI1301" s="3">
        <v>0.39461564818793898</v>
      </c>
    </row>
    <row r="1302" spans="1:35">
      <c r="A1302" s="1">
        <v>42298</v>
      </c>
      <c r="B1302" s="1">
        <v>37532</v>
      </c>
      <c r="C1302" t="s">
        <v>5630</v>
      </c>
      <c r="D1302">
        <v>379</v>
      </c>
      <c r="E1302">
        <v>16553</v>
      </c>
      <c r="F1302">
        <v>10</v>
      </c>
      <c r="G1302">
        <v>1</v>
      </c>
      <c r="H1302">
        <v>1</v>
      </c>
      <c r="I1302">
        <v>2</v>
      </c>
      <c r="J1302" t="s">
        <v>3561</v>
      </c>
      <c r="K1302" t="s">
        <v>3562</v>
      </c>
      <c r="L1302" s="2">
        <v>1320.6838</v>
      </c>
      <c r="M1302" s="2">
        <v>2181.5625</v>
      </c>
      <c r="N1302" t="s">
        <v>30</v>
      </c>
      <c r="O1302" t="s">
        <v>687</v>
      </c>
      <c r="P1302" t="s">
        <v>277</v>
      </c>
      <c r="Q1302" t="s">
        <v>7631</v>
      </c>
      <c r="R1302" s="1">
        <v>21614</v>
      </c>
      <c r="S1302" t="s">
        <v>16</v>
      </c>
      <c r="T1302" t="s">
        <v>29</v>
      </c>
      <c r="U1302" t="s">
        <v>2114</v>
      </c>
      <c r="V1302">
        <v>40000</v>
      </c>
      <c r="W1302">
        <v>3</v>
      </c>
      <c r="X1302" t="s">
        <v>135</v>
      </c>
      <c r="Y1302" t="s">
        <v>60</v>
      </c>
      <c r="Z1302" t="s">
        <v>19</v>
      </c>
      <c r="AA1302" t="s">
        <v>3588</v>
      </c>
      <c r="AB1302" t="s">
        <v>3588</v>
      </c>
      <c r="AC1302" t="s">
        <v>3584</v>
      </c>
      <c r="AD1302" t="s">
        <v>3479</v>
      </c>
      <c r="AE1302" t="s">
        <v>3475</v>
      </c>
      <c r="AF1302" s="2">
        <v>2181.5625</v>
      </c>
      <c r="AG1302" s="2">
        <v>1320.6838</v>
      </c>
      <c r="AH1302" s="2">
        <v>860.87869999999998</v>
      </c>
      <c r="AI1302" s="3">
        <v>0.39461564818793898</v>
      </c>
    </row>
    <row r="1303" spans="1:35">
      <c r="A1303" s="1">
        <v>42308</v>
      </c>
      <c r="B1303" s="1">
        <v>37481</v>
      </c>
      <c r="C1303" t="s">
        <v>5702</v>
      </c>
      <c r="D1303">
        <v>377</v>
      </c>
      <c r="E1303">
        <v>16554</v>
      </c>
      <c r="F1303">
        <v>10</v>
      </c>
      <c r="G1303">
        <v>1</v>
      </c>
      <c r="H1303">
        <v>1</v>
      </c>
      <c r="I1303">
        <v>2</v>
      </c>
      <c r="J1303" t="s">
        <v>3559</v>
      </c>
      <c r="K1303" t="s">
        <v>3560</v>
      </c>
      <c r="L1303" s="2">
        <v>1320.6838</v>
      </c>
      <c r="M1303" s="2">
        <v>2181.5625</v>
      </c>
      <c r="N1303" t="s">
        <v>30</v>
      </c>
      <c r="O1303" t="s">
        <v>158</v>
      </c>
      <c r="P1303" t="s">
        <v>171</v>
      </c>
      <c r="Q1303" t="s">
        <v>7632</v>
      </c>
      <c r="R1303" s="1">
        <v>21414</v>
      </c>
      <c r="S1303" t="s">
        <v>22</v>
      </c>
      <c r="T1303" t="s">
        <v>29</v>
      </c>
      <c r="U1303" t="s">
        <v>2115</v>
      </c>
      <c r="V1303">
        <v>30000</v>
      </c>
      <c r="W1303">
        <v>1</v>
      </c>
      <c r="X1303" t="s">
        <v>17</v>
      </c>
      <c r="Y1303" t="s">
        <v>60</v>
      </c>
      <c r="Z1303" t="s">
        <v>19</v>
      </c>
      <c r="AA1303" t="s">
        <v>3588</v>
      </c>
      <c r="AB1303" t="s">
        <v>3588</v>
      </c>
      <c r="AC1303" t="s">
        <v>3584</v>
      </c>
      <c r="AD1303" t="s">
        <v>3479</v>
      </c>
      <c r="AE1303" t="s">
        <v>3475</v>
      </c>
      <c r="AF1303" s="2">
        <v>2181.5625</v>
      </c>
      <c r="AG1303" s="2">
        <v>1320.6838</v>
      </c>
      <c r="AH1303" s="2">
        <v>860.87869999999998</v>
      </c>
      <c r="AI1303" s="3">
        <v>0.39461564818793898</v>
      </c>
    </row>
    <row r="1304" spans="1:35">
      <c r="A1304" s="1">
        <v>42305</v>
      </c>
      <c r="B1304" s="1">
        <v>37522</v>
      </c>
      <c r="C1304" t="s">
        <v>5680</v>
      </c>
      <c r="D1304">
        <v>373</v>
      </c>
      <c r="E1304">
        <v>16561</v>
      </c>
      <c r="F1304">
        <v>10</v>
      </c>
      <c r="G1304">
        <v>1</v>
      </c>
      <c r="H1304">
        <v>1</v>
      </c>
      <c r="I1304">
        <v>2</v>
      </c>
      <c r="J1304" t="s">
        <v>3555</v>
      </c>
      <c r="K1304" t="s">
        <v>3556</v>
      </c>
      <c r="L1304" s="2">
        <v>1320.6838</v>
      </c>
      <c r="M1304" s="2">
        <v>2181.5625</v>
      </c>
      <c r="N1304" t="s">
        <v>13</v>
      </c>
      <c r="O1304" t="s">
        <v>489</v>
      </c>
      <c r="P1304" t="s">
        <v>87</v>
      </c>
      <c r="Q1304" t="s">
        <v>7633</v>
      </c>
      <c r="R1304" s="1">
        <v>25908</v>
      </c>
      <c r="S1304" t="s">
        <v>16</v>
      </c>
      <c r="T1304" t="s">
        <v>16</v>
      </c>
      <c r="U1304" t="s">
        <v>2116</v>
      </c>
      <c r="V1304">
        <v>30000</v>
      </c>
      <c r="W1304">
        <v>0</v>
      </c>
      <c r="X1304" t="s">
        <v>17</v>
      </c>
      <c r="Y1304" t="s">
        <v>60</v>
      </c>
      <c r="Z1304" t="s">
        <v>19</v>
      </c>
      <c r="AA1304" t="s">
        <v>3588</v>
      </c>
      <c r="AB1304" t="s">
        <v>3588</v>
      </c>
      <c r="AC1304" t="s">
        <v>3584</v>
      </c>
      <c r="AD1304" t="s">
        <v>3479</v>
      </c>
      <c r="AE1304" t="s">
        <v>3475</v>
      </c>
      <c r="AF1304" s="2">
        <v>2181.5625</v>
      </c>
      <c r="AG1304" s="2">
        <v>1320.6838</v>
      </c>
      <c r="AH1304" s="2">
        <v>860.87869999999998</v>
      </c>
      <c r="AI1304" s="3">
        <v>0.39461564818793898</v>
      </c>
    </row>
    <row r="1305" spans="1:35">
      <c r="A1305" s="1">
        <v>42301</v>
      </c>
      <c r="B1305" s="1">
        <v>37451</v>
      </c>
      <c r="C1305" t="s">
        <v>5652</v>
      </c>
      <c r="D1305">
        <v>377</v>
      </c>
      <c r="E1305">
        <v>16562</v>
      </c>
      <c r="F1305">
        <v>10</v>
      </c>
      <c r="G1305">
        <v>1</v>
      </c>
      <c r="H1305">
        <v>1</v>
      </c>
      <c r="I1305">
        <v>2</v>
      </c>
      <c r="J1305" t="s">
        <v>3559</v>
      </c>
      <c r="K1305" t="s">
        <v>3560</v>
      </c>
      <c r="L1305" s="2">
        <v>1320.6838</v>
      </c>
      <c r="M1305" s="2">
        <v>2181.5625</v>
      </c>
      <c r="N1305" t="s">
        <v>26</v>
      </c>
      <c r="O1305" t="s">
        <v>564</v>
      </c>
      <c r="P1305" t="s">
        <v>68</v>
      </c>
      <c r="Q1305" t="s">
        <v>7634</v>
      </c>
      <c r="R1305" s="1">
        <v>25821</v>
      </c>
      <c r="S1305" t="s">
        <v>16</v>
      </c>
      <c r="T1305" t="s">
        <v>29</v>
      </c>
      <c r="U1305" t="s">
        <v>2117</v>
      </c>
      <c r="V1305">
        <v>40000</v>
      </c>
      <c r="W1305">
        <v>0</v>
      </c>
      <c r="X1305" t="s">
        <v>135</v>
      </c>
      <c r="Y1305" t="s">
        <v>60</v>
      </c>
      <c r="Z1305" t="s">
        <v>19</v>
      </c>
      <c r="AA1305" t="s">
        <v>3588</v>
      </c>
      <c r="AB1305" t="s">
        <v>3588</v>
      </c>
      <c r="AC1305" t="s">
        <v>3584</v>
      </c>
      <c r="AD1305" t="s">
        <v>3479</v>
      </c>
      <c r="AE1305" t="s">
        <v>3475</v>
      </c>
      <c r="AF1305" s="2">
        <v>2181.5625</v>
      </c>
      <c r="AG1305" s="2">
        <v>1320.6838</v>
      </c>
      <c r="AH1305" s="2">
        <v>860.87869999999998</v>
      </c>
      <c r="AI1305" s="3">
        <v>0.39461564818793898</v>
      </c>
    </row>
    <row r="1306" spans="1:35">
      <c r="A1306" s="1">
        <v>42300</v>
      </c>
      <c r="B1306" s="1">
        <v>37434</v>
      </c>
      <c r="C1306" t="s">
        <v>5647</v>
      </c>
      <c r="D1306">
        <v>377</v>
      </c>
      <c r="E1306">
        <v>16573</v>
      </c>
      <c r="F1306">
        <v>10</v>
      </c>
      <c r="G1306">
        <v>1</v>
      </c>
      <c r="H1306">
        <v>1</v>
      </c>
      <c r="I1306">
        <v>2</v>
      </c>
      <c r="J1306" t="s">
        <v>3559</v>
      </c>
      <c r="K1306" t="s">
        <v>3560</v>
      </c>
      <c r="L1306" s="2">
        <v>1320.6838</v>
      </c>
      <c r="M1306" s="2">
        <v>2181.5625</v>
      </c>
      <c r="N1306" t="s">
        <v>13</v>
      </c>
      <c r="O1306" t="s">
        <v>24</v>
      </c>
      <c r="P1306" t="s">
        <v>97</v>
      </c>
      <c r="Q1306" t="s">
        <v>7635</v>
      </c>
      <c r="R1306" s="1">
        <v>24878</v>
      </c>
      <c r="S1306" t="s">
        <v>22</v>
      </c>
      <c r="T1306" t="s">
        <v>16</v>
      </c>
      <c r="U1306" t="s">
        <v>2118</v>
      </c>
      <c r="V1306">
        <v>20000</v>
      </c>
      <c r="W1306">
        <v>1</v>
      </c>
      <c r="X1306" t="s">
        <v>52</v>
      </c>
      <c r="Y1306" t="s">
        <v>444</v>
      </c>
      <c r="Z1306" t="s">
        <v>23</v>
      </c>
      <c r="AA1306" t="s">
        <v>3588</v>
      </c>
      <c r="AB1306" t="s">
        <v>3588</v>
      </c>
      <c r="AC1306" t="s">
        <v>3584</v>
      </c>
      <c r="AD1306" t="s">
        <v>3479</v>
      </c>
      <c r="AE1306" t="s">
        <v>3475</v>
      </c>
      <c r="AF1306" s="2">
        <v>2181.5625</v>
      </c>
      <c r="AG1306" s="2">
        <v>1320.6838</v>
      </c>
      <c r="AH1306" s="2">
        <v>860.87869999999998</v>
      </c>
      <c r="AI1306" s="3">
        <v>0.39461564818793898</v>
      </c>
    </row>
    <row r="1307" spans="1:35">
      <c r="A1307" s="1">
        <v>42289</v>
      </c>
      <c r="B1307" s="1">
        <v>37522</v>
      </c>
      <c r="C1307" t="s">
        <v>5559</v>
      </c>
      <c r="D1307">
        <v>379</v>
      </c>
      <c r="E1307">
        <v>16575</v>
      </c>
      <c r="F1307">
        <v>10</v>
      </c>
      <c r="G1307">
        <v>1</v>
      </c>
      <c r="H1307">
        <v>1</v>
      </c>
      <c r="I1307">
        <v>2</v>
      </c>
      <c r="J1307" t="s">
        <v>3561</v>
      </c>
      <c r="K1307" t="s">
        <v>3562</v>
      </c>
      <c r="L1307" s="2">
        <v>1320.6838</v>
      </c>
      <c r="M1307" s="2">
        <v>2181.5625</v>
      </c>
      <c r="N1307" t="s">
        <v>30</v>
      </c>
      <c r="O1307" t="s">
        <v>895</v>
      </c>
      <c r="P1307" t="s">
        <v>370</v>
      </c>
      <c r="Q1307" t="s">
        <v>7636</v>
      </c>
      <c r="R1307" s="1">
        <v>16318</v>
      </c>
      <c r="S1307" t="s">
        <v>22</v>
      </c>
      <c r="T1307" t="s">
        <v>29</v>
      </c>
      <c r="U1307" t="s">
        <v>2119</v>
      </c>
      <c r="V1307">
        <v>170000</v>
      </c>
      <c r="W1307">
        <v>3</v>
      </c>
      <c r="X1307" t="s">
        <v>135</v>
      </c>
      <c r="Y1307" t="s">
        <v>45</v>
      </c>
      <c r="Z1307" t="s">
        <v>23</v>
      </c>
      <c r="AA1307" t="s">
        <v>3588</v>
      </c>
      <c r="AB1307" t="s">
        <v>3588</v>
      </c>
      <c r="AC1307" t="s">
        <v>3584</v>
      </c>
      <c r="AD1307" t="s">
        <v>3479</v>
      </c>
      <c r="AE1307" t="s">
        <v>3475</v>
      </c>
      <c r="AF1307" s="2">
        <v>2181.5625</v>
      </c>
      <c r="AG1307" s="2">
        <v>1320.6838</v>
      </c>
      <c r="AH1307" s="2">
        <v>860.87869999999998</v>
      </c>
      <c r="AI1307" s="3">
        <v>0.39461564818793898</v>
      </c>
    </row>
    <row r="1308" spans="1:35">
      <c r="A1308" s="1">
        <v>42286</v>
      </c>
      <c r="B1308" s="1">
        <v>37487</v>
      </c>
      <c r="C1308" t="s">
        <v>5538</v>
      </c>
      <c r="D1308">
        <v>368</v>
      </c>
      <c r="E1308">
        <v>16585</v>
      </c>
      <c r="F1308">
        <v>10</v>
      </c>
      <c r="G1308">
        <v>1</v>
      </c>
      <c r="H1308">
        <v>1</v>
      </c>
      <c r="I1308">
        <v>2</v>
      </c>
      <c r="J1308" t="s">
        <v>3547</v>
      </c>
      <c r="K1308" t="s">
        <v>3548</v>
      </c>
      <c r="L1308" s="2">
        <v>1518.7864</v>
      </c>
      <c r="M1308" s="2">
        <v>2443.35</v>
      </c>
      <c r="N1308" t="s">
        <v>13</v>
      </c>
      <c r="O1308" t="s">
        <v>732</v>
      </c>
      <c r="P1308" t="s">
        <v>470</v>
      </c>
      <c r="Q1308" t="s">
        <v>7637</v>
      </c>
      <c r="R1308" s="1">
        <v>19850</v>
      </c>
      <c r="S1308" t="s">
        <v>16</v>
      </c>
      <c r="T1308" t="s">
        <v>16</v>
      </c>
      <c r="U1308" t="s">
        <v>2120</v>
      </c>
      <c r="V1308">
        <v>170000</v>
      </c>
      <c r="W1308">
        <v>0</v>
      </c>
      <c r="X1308" t="s">
        <v>77</v>
      </c>
      <c r="Y1308" t="s">
        <v>18</v>
      </c>
      <c r="Z1308" t="s">
        <v>19</v>
      </c>
      <c r="AA1308" t="s">
        <v>3588</v>
      </c>
      <c r="AB1308" t="s">
        <v>3588</v>
      </c>
      <c r="AC1308" t="s">
        <v>3584</v>
      </c>
      <c r="AD1308" t="s">
        <v>3479</v>
      </c>
      <c r="AE1308" t="s">
        <v>3475</v>
      </c>
      <c r="AF1308" s="2">
        <v>2443.35</v>
      </c>
      <c r="AG1308" s="2">
        <v>1518.7864</v>
      </c>
      <c r="AH1308" s="2">
        <v>924.56359999999995</v>
      </c>
      <c r="AI1308" s="3">
        <v>0.37839998362903399</v>
      </c>
    </row>
    <row r="1309" spans="1:35">
      <c r="A1309" s="1">
        <v>42309</v>
      </c>
      <c r="B1309" s="1">
        <v>37531</v>
      </c>
      <c r="C1309" t="s">
        <v>5707</v>
      </c>
      <c r="D1309">
        <v>377</v>
      </c>
      <c r="E1309">
        <v>16588</v>
      </c>
      <c r="F1309">
        <v>10</v>
      </c>
      <c r="G1309">
        <v>1</v>
      </c>
      <c r="H1309">
        <v>1</v>
      </c>
      <c r="I1309">
        <v>2</v>
      </c>
      <c r="J1309" t="s">
        <v>3559</v>
      </c>
      <c r="K1309" t="s">
        <v>3560</v>
      </c>
      <c r="L1309" s="2">
        <v>1320.6838</v>
      </c>
      <c r="M1309" s="2">
        <v>2181.5625</v>
      </c>
      <c r="N1309" t="s">
        <v>13</v>
      </c>
      <c r="O1309" t="s">
        <v>525</v>
      </c>
      <c r="P1309" t="s">
        <v>290</v>
      </c>
      <c r="Q1309" t="s">
        <v>7638</v>
      </c>
      <c r="R1309" s="1">
        <v>19452</v>
      </c>
      <c r="S1309" t="s">
        <v>16</v>
      </c>
      <c r="T1309" t="s">
        <v>16</v>
      </c>
      <c r="U1309" t="s">
        <v>2121</v>
      </c>
      <c r="V1309">
        <v>130000</v>
      </c>
      <c r="W1309">
        <v>4</v>
      </c>
      <c r="X1309" t="s">
        <v>52</v>
      </c>
      <c r="Y1309" t="s">
        <v>18</v>
      </c>
      <c r="Z1309" t="s">
        <v>19</v>
      </c>
      <c r="AA1309" t="s">
        <v>3588</v>
      </c>
      <c r="AB1309" t="s">
        <v>3588</v>
      </c>
      <c r="AC1309" t="s">
        <v>3584</v>
      </c>
      <c r="AD1309" t="s">
        <v>3479</v>
      </c>
      <c r="AE1309" t="s">
        <v>3475</v>
      </c>
      <c r="AF1309" s="2">
        <v>2181.5625</v>
      </c>
      <c r="AG1309" s="2">
        <v>1320.6838</v>
      </c>
      <c r="AH1309" s="2">
        <v>860.87869999999998</v>
      </c>
      <c r="AI1309" s="3">
        <v>0.39461564818793898</v>
      </c>
    </row>
    <row r="1310" spans="1:35">
      <c r="A1310" s="1">
        <v>42337</v>
      </c>
      <c r="B1310" s="1">
        <v>37542</v>
      </c>
      <c r="C1310" t="s">
        <v>5886</v>
      </c>
      <c r="D1310">
        <v>369</v>
      </c>
      <c r="E1310">
        <v>16589</v>
      </c>
      <c r="F1310">
        <v>10</v>
      </c>
      <c r="G1310">
        <v>1</v>
      </c>
      <c r="H1310">
        <v>1</v>
      </c>
      <c r="I1310">
        <v>2</v>
      </c>
      <c r="J1310" t="s">
        <v>3549</v>
      </c>
      <c r="K1310" t="s">
        <v>3550</v>
      </c>
      <c r="L1310" s="2">
        <v>1518.7864</v>
      </c>
      <c r="M1310" s="2">
        <v>2443.35</v>
      </c>
      <c r="N1310" t="s">
        <v>13</v>
      </c>
      <c r="O1310" t="s">
        <v>103</v>
      </c>
      <c r="P1310" t="s">
        <v>907</v>
      </c>
      <c r="Q1310" t="s">
        <v>7639</v>
      </c>
      <c r="R1310" s="1">
        <v>19459</v>
      </c>
      <c r="S1310" t="s">
        <v>16</v>
      </c>
      <c r="T1310" t="s">
        <v>16</v>
      </c>
      <c r="U1310" t="s">
        <v>2122</v>
      </c>
      <c r="V1310">
        <v>130000</v>
      </c>
      <c r="W1310">
        <v>5</v>
      </c>
      <c r="X1310" t="s">
        <v>52</v>
      </c>
      <c r="Y1310" t="s">
        <v>18</v>
      </c>
      <c r="Z1310" t="s">
        <v>19</v>
      </c>
      <c r="AA1310" t="s">
        <v>3588</v>
      </c>
      <c r="AB1310" t="s">
        <v>3588</v>
      </c>
      <c r="AC1310" t="s">
        <v>3584</v>
      </c>
      <c r="AD1310" t="s">
        <v>3479</v>
      </c>
      <c r="AE1310" t="s">
        <v>3475</v>
      </c>
      <c r="AF1310" s="2">
        <v>2443.35</v>
      </c>
      <c r="AG1310" s="2">
        <v>1518.7864</v>
      </c>
      <c r="AH1310" s="2">
        <v>924.56359999999995</v>
      </c>
      <c r="AI1310" s="3">
        <v>0.37839998362903399</v>
      </c>
    </row>
    <row r="1311" spans="1:35">
      <c r="A1311" s="1">
        <v>42330</v>
      </c>
      <c r="B1311" s="1">
        <v>37480</v>
      </c>
      <c r="C1311" t="s">
        <v>5830</v>
      </c>
      <c r="D1311">
        <v>368</v>
      </c>
      <c r="E1311">
        <v>16594</v>
      </c>
      <c r="F1311">
        <v>10</v>
      </c>
      <c r="G1311">
        <v>1</v>
      </c>
      <c r="H1311">
        <v>1</v>
      </c>
      <c r="I1311">
        <v>2</v>
      </c>
      <c r="J1311" t="s">
        <v>3547</v>
      </c>
      <c r="K1311" t="s">
        <v>3548</v>
      </c>
      <c r="L1311" s="2">
        <v>1518.7864</v>
      </c>
      <c r="M1311" s="2">
        <v>2443.35</v>
      </c>
      <c r="N1311" t="s">
        <v>13</v>
      </c>
      <c r="O1311" t="s">
        <v>603</v>
      </c>
      <c r="P1311" t="s">
        <v>343</v>
      </c>
      <c r="Q1311" t="s">
        <v>7640</v>
      </c>
      <c r="R1311" s="1">
        <v>19057</v>
      </c>
      <c r="S1311" t="s">
        <v>16</v>
      </c>
      <c r="T1311" t="s">
        <v>16</v>
      </c>
      <c r="U1311" t="s">
        <v>2123</v>
      </c>
      <c r="V1311">
        <v>170000</v>
      </c>
      <c r="W1311">
        <v>4</v>
      </c>
      <c r="X1311" t="s">
        <v>17</v>
      </c>
      <c r="Y1311" t="s">
        <v>45</v>
      </c>
      <c r="Z1311" t="s">
        <v>23</v>
      </c>
      <c r="AA1311" t="s">
        <v>3588</v>
      </c>
      <c r="AB1311" t="s">
        <v>3588</v>
      </c>
      <c r="AC1311" t="s">
        <v>3584</v>
      </c>
      <c r="AD1311" t="s">
        <v>3479</v>
      </c>
      <c r="AE1311" t="s">
        <v>3475</v>
      </c>
      <c r="AF1311" s="2">
        <v>2443.35</v>
      </c>
      <c r="AG1311" s="2">
        <v>1518.7864</v>
      </c>
      <c r="AH1311" s="2">
        <v>924.56359999999995</v>
      </c>
      <c r="AI1311" s="3">
        <v>0.37839998362903399</v>
      </c>
    </row>
    <row r="1312" spans="1:35">
      <c r="A1312" s="1">
        <v>42327</v>
      </c>
      <c r="B1312" s="1">
        <v>37536</v>
      </c>
      <c r="C1312" t="s">
        <v>5811</v>
      </c>
      <c r="D1312">
        <v>373</v>
      </c>
      <c r="E1312">
        <v>16595</v>
      </c>
      <c r="F1312">
        <v>10</v>
      </c>
      <c r="G1312">
        <v>1</v>
      </c>
      <c r="H1312">
        <v>1</v>
      </c>
      <c r="I1312">
        <v>2</v>
      </c>
      <c r="J1312" t="s">
        <v>3555</v>
      </c>
      <c r="K1312" t="s">
        <v>3556</v>
      </c>
      <c r="L1312" s="2">
        <v>1320.6838</v>
      </c>
      <c r="M1312" s="2">
        <v>2181.5625</v>
      </c>
      <c r="N1312" t="s">
        <v>13</v>
      </c>
      <c r="O1312" t="s">
        <v>415</v>
      </c>
      <c r="P1312" t="s">
        <v>166</v>
      </c>
      <c r="Q1312" t="s">
        <v>7641</v>
      </c>
      <c r="R1312" s="1">
        <v>19194</v>
      </c>
      <c r="S1312" t="s">
        <v>16</v>
      </c>
      <c r="T1312" t="s">
        <v>16</v>
      </c>
      <c r="U1312" t="s">
        <v>2124</v>
      </c>
      <c r="V1312">
        <v>170000</v>
      </c>
      <c r="W1312">
        <v>4</v>
      </c>
      <c r="X1312" t="s">
        <v>17</v>
      </c>
      <c r="Y1312" t="s">
        <v>45</v>
      </c>
      <c r="Z1312" t="s">
        <v>19</v>
      </c>
      <c r="AA1312" t="s">
        <v>3588</v>
      </c>
      <c r="AB1312" t="s">
        <v>3588</v>
      </c>
      <c r="AC1312" t="s">
        <v>3584</v>
      </c>
      <c r="AD1312" t="s">
        <v>3479</v>
      </c>
      <c r="AE1312" t="s">
        <v>3475</v>
      </c>
      <c r="AF1312" s="2">
        <v>2181.5625</v>
      </c>
      <c r="AG1312" s="2">
        <v>1320.6838</v>
      </c>
      <c r="AH1312" s="2">
        <v>860.87869999999998</v>
      </c>
      <c r="AI1312" s="3">
        <v>0.39461564818793898</v>
      </c>
    </row>
    <row r="1313" spans="1:35">
      <c r="A1313" s="1">
        <v>42332</v>
      </c>
      <c r="B1313" s="1">
        <v>37478</v>
      </c>
      <c r="C1313" t="s">
        <v>5846</v>
      </c>
      <c r="D1313">
        <v>368</v>
      </c>
      <c r="E1313">
        <v>16598</v>
      </c>
      <c r="F1313">
        <v>10</v>
      </c>
      <c r="G1313">
        <v>1</v>
      </c>
      <c r="H1313">
        <v>1</v>
      </c>
      <c r="I1313">
        <v>2</v>
      </c>
      <c r="J1313" t="s">
        <v>3547</v>
      </c>
      <c r="K1313" t="s">
        <v>3548</v>
      </c>
      <c r="L1313" s="2">
        <v>1518.7864</v>
      </c>
      <c r="M1313" s="2">
        <v>2443.35</v>
      </c>
      <c r="N1313" t="s">
        <v>30</v>
      </c>
      <c r="O1313" t="s">
        <v>817</v>
      </c>
      <c r="P1313" t="s">
        <v>59</v>
      </c>
      <c r="Q1313" t="s">
        <v>7642</v>
      </c>
      <c r="R1313" s="1">
        <v>18935</v>
      </c>
      <c r="S1313" t="s">
        <v>22</v>
      </c>
      <c r="T1313" t="s">
        <v>29</v>
      </c>
      <c r="U1313" t="s">
        <v>2125</v>
      </c>
      <c r="V1313">
        <v>130000</v>
      </c>
      <c r="W1313">
        <v>4</v>
      </c>
      <c r="X1313" t="s">
        <v>57</v>
      </c>
      <c r="Y1313" t="s">
        <v>18</v>
      </c>
      <c r="Z1313" t="s">
        <v>23</v>
      </c>
      <c r="AA1313" t="s">
        <v>3588</v>
      </c>
      <c r="AB1313" t="s">
        <v>3588</v>
      </c>
      <c r="AC1313" t="s">
        <v>3584</v>
      </c>
      <c r="AD1313" t="s">
        <v>3479</v>
      </c>
      <c r="AE1313" t="s">
        <v>3475</v>
      </c>
      <c r="AF1313" s="2">
        <v>2443.35</v>
      </c>
      <c r="AG1313" s="2">
        <v>1518.7864</v>
      </c>
      <c r="AH1313" s="2">
        <v>924.56359999999995</v>
      </c>
      <c r="AI1313" s="3">
        <v>0.37839998362903399</v>
      </c>
    </row>
    <row r="1314" spans="1:35">
      <c r="A1314" s="1">
        <v>42319</v>
      </c>
      <c r="B1314" s="1">
        <v>37520</v>
      </c>
      <c r="C1314" t="s">
        <v>5768</v>
      </c>
      <c r="D1314">
        <v>369</v>
      </c>
      <c r="E1314">
        <v>16822</v>
      </c>
      <c r="F1314">
        <v>10</v>
      </c>
      <c r="G1314">
        <v>1</v>
      </c>
      <c r="H1314">
        <v>1</v>
      </c>
      <c r="I1314">
        <v>2</v>
      </c>
      <c r="J1314" t="s">
        <v>3549</v>
      </c>
      <c r="K1314" t="s">
        <v>3550</v>
      </c>
      <c r="L1314" s="2">
        <v>1518.7864</v>
      </c>
      <c r="M1314" s="2">
        <v>2443.35</v>
      </c>
      <c r="N1314" t="s">
        <v>13</v>
      </c>
      <c r="O1314" t="s">
        <v>340</v>
      </c>
      <c r="P1314" t="s">
        <v>212</v>
      </c>
      <c r="Q1314" t="s">
        <v>7643</v>
      </c>
      <c r="R1314" s="1">
        <v>21517</v>
      </c>
      <c r="S1314" t="s">
        <v>16</v>
      </c>
      <c r="T1314" t="s">
        <v>16</v>
      </c>
      <c r="U1314" t="s">
        <v>2127</v>
      </c>
      <c r="V1314">
        <v>150000</v>
      </c>
      <c r="W1314">
        <v>1</v>
      </c>
      <c r="X1314" t="s">
        <v>52</v>
      </c>
      <c r="Y1314" t="s">
        <v>18</v>
      </c>
      <c r="Z1314" t="s">
        <v>23</v>
      </c>
      <c r="AA1314" t="s">
        <v>3588</v>
      </c>
      <c r="AB1314" t="s">
        <v>3588</v>
      </c>
      <c r="AC1314" t="s">
        <v>3584</v>
      </c>
      <c r="AD1314" t="s">
        <v>3479</v>
      </c>
      <c r="AE1314" t="s">
        <v>3475</v>
      </c>
      <c r="AF1314" s="2">
        <v>2443.35</v>
      </c>
      <c r="AG1314" s="2">
        <v>1518.7864</v>
      </c>
      <c r="AH1314" s="2">
        <v>924.56359999999995</v>
      </c>
      <c r="AI1314" s="3">
        <v>0.37839998362903399</v>
      </c>
    </row>
    <row r="1315" spans="1:35">
      <c r="A1315" s="1">
        <v>42318</v>
      </c>
      <c r="B1315" s="1">
        <v>37485</v>
      </c>
      <c r="C1315" t="s">
        <v>5759</v>
      </c>
      <c r="D1315">
        <v>370</v>
      </c>
      <c r="E1315">
        <v>16823</v>
      </c>
      <c r="F1315">
        <v>10</v>
      </c>
      <c r="G1315">
        <v>1</v>
      </c>
      <c r="H1315">
        <v>1</v>
      </c>
      <c r="I1315">
        <v>2</v>
      </c>
      <c r="J1315" t="s">
        <v>3551</v>
      </c>
      <c r="K1315" t="s">
        <v>3552</v>
      </c>
      <c r="L1315" s="2">
        <v>1518.7864</v>
      </c>
      <c r="M1315" s="2">
        <v>2443.35</v>
      </c>
      <c r="N1315" t="s">
        <v>30</v>
      </c>
      <c r="O1315" t="s">
        <v>814</v>
      </c>
      <c r="P1315" t="s">
        <v>34</v>
      </c>
      <c r="Q1315" t="s">
        <v>7644</v>
      </c>
      <c r="R1315" s="1">
        <v>21386</v>
      </c>
      <c r="S1315" t="s">
        <v>16</v>
      </c>
      <c r="T1315" t="s">
        <v>29</v>
      </c>
      <c r="U1315" t="s">
        <v>2128</v>
      </c>
      <c r="V1315">
        <v>160000</v>
      </c>
      <c r="W1315">
        <v>1</v>
      </c>
      <c r="X1315" t="s">
        <v>52</v>
      </c>
      <c r="Y1315" t="s">
        <v>18</v>
      </c>
      <c r="Z1315" t="s">
        <v>23</v>
      </c>
      <c r="AA1315" t="s">
        <v>3588</v>
      </c>
      <c r="AB1315" t="s">
        <v>3588</v>
      </c>
      <c r="AC1315" t="s">
        <v>3584</v>
      </c>
      <c r="AD1315" t="s">
        <v>3479</v>
      </c>
      <c r="AE1315" t="s">
        <v>3475</v>
      </c>
      <c r="AF1315" s="2">
        <v>2443.35</v>
      </c>
      <c r="AG1315" s="2">
        <v>1518.7864</v>
      </c>
      <c r="AH1315" s="2">
        <v>924.56359999999995</v>
      </c>
      <c r="AI1315" s="3">
        <v>0.37839998362903399</v>
      </c>
    </row>
    <row r="1316" spans="1:35">
      <c r="A1316" s="1">
        <v>42324</v>
      </c>
      <c r="B1316" s="1">
        <v>37513</v>
      </c>
      <c r="C1316" t="s">
        <v>5793</v>
      </c>
      <c r="D1316">
        <v>369</v>
      </c>
      <c r="E1316">
        <v>16828</v>
      </c>
      <c r="F1316">
        <v>10</v>
      </c>
      <c r="G1316">
        <v>1</v>
      </c>
      <c r="H1316">
        <v>1</v>
      </c>
      <c r="I1316">
        <v>2</v>
      </c>
      <c r="J1316" t="s">
        <v>3549</v>
      </c>
      <c r="K1316" t="s">
        <v>3550</v>
      </c>
      <c r="L1316" s="2">
        <v>1518.7864</v>
      </c>
      <c r="M1316" s="2">
        <v>2443.35</v>
      </c>
      <c r="N1316" t="s">
        <v>13</v>
      </c>
      <c r="O1316" t="s">
        <v>608</v>
      </c>
      <c r="P1316" t="s">
        <v>481</v>
      </c>
      <c r="Q1316" t="s">
        <v>7645</v>
      </c>
      <c r="R1316" s="1">
        <v>20495</v>
      </c>
      <c r="S1316" t="s">
        <v>16</v>
      </c>
      <c r="T1316" t="s">
        <v>16</v>
      </c>
      <c r="U1316" t="s">
        <v>2129</v>
      </c>
      <c r="V1316">
        <v>160000</v>
      </c>
      <c r="W1316">
        <v>2</v>
      </c>
      <c r="X1316" t="s">
        <v>57</v>
      </c>
      <c r="Y1316" t="s">
        <v>18</v>
      </c>
      <c r="Z1316" t="s">
        <v>19</v>
      </c>
      <c r="AA1316" t="s">
        <v>3588</v>
      </c>
      <c r="AB1316" t="s">
        <v>3588</v>
      </c>
      <c r="AC1316" t="s">
        <v>3584</v>
      </c>
      <c r="AD1316" t="s">
        <v>3479</v>
      </c>
      <c r="AE1316" t="s">
        <v>3475</v>
      </c>
      <c r="AF1316" s="2">
        <v>2443.35</v>
      </c>
      <c r="AG1316" s="2">
        <v>1518.7864</v>
      </c>
      <c r="AH1316" s="2">
        <v>924.56359999999995</v>
      </c>
      <c r="AI1316" s="3">
        <v>0.37839998362903399</v>
      </c>
    </row>
    <row r="1317" spans="1:35">
      <c r="A1317" s="1">
        <v>42316</v>
      </c>
      <c r="B1317" s="1">
        <v>37533</v>
      </c>
      <c r="C1317" t="s">
        <v>5749</v>
      </c>
      <c r="D1317">
        <v>368</v>
      </c>
      <c r="E1317">
        <v>16829</v>
      </c>
      <c r="F1317">
        <v>10</v>
      </c>
      <c r="G1317">
        <v>1</v>
      </c>
      <c r="H1317">
        <v>1</v>
      </c>
      <c r="I1317">
        <v>2</v>
      </c>
      <c r="J1317" t="s">
        <v>3547</v>
      </c>
      <c r="K1317" t="s">
        <v>3548</v>
      </c>
      <c r="L1317" s="2">
        <v>1518.7864</v>
      </c>
      <c r="M1317" s="2">
        <v>2443.35</v>
      </c>
      <c r="N1317" t="s">
        <v>13</v>
      </c>
      <c r="O1317" t="s">
        <v>1155</v>
      </c>
      <c r="P1317" t="s">
        <v>62</v>
      </c>
      <c r="Q1317" t="s">
        <v>7646</v>
      </c>
      <c r="R1317" s="1">
        <v>20572</v>
      </c>
      <c r="S1317" t="s">
        <v>16</v>
      </c>
      <c r="T1317" t="s">
        <v>16</v>
      </c>
      <c r="U1317" t="s">
        <v>2130</v>
      </c>
      <c r="V1317">
        <v>160000</v>
      </c>
      <c r="W1317">
        <v>2</v>
      </c>
      <c r="X1317" t="s">
        <v>57</v>
      </c>
      <c r="Y1317" t="s">
        <v>18</v>
      </c>
      <c r="Z1317" t="s">
        <v>19</v>
      </c>
      <c r="AA1317" t="s">
        <v>3588</v>
      </c>
      <c r="AB1317" t="s">
        <v>3588</v>
      </c>
      <c r="AC1317" t="s">
        <v>3584</v>
      </c>
      <c r="AD1317" t="s">
        <v>3479</v>
      </c>
      <c r="AE1317" t="s">
        <v>3475</v>
      </c>
      <c r="AF1317" s="2">
        <v>2443.35</v>
      </c>
      <c r="AG1317" s="2">
        <v>1518.7864</v>
      </c>
      <c r="AH1317" s="2">
        <v>924.56359999999995</v>
      </c>
      <c r="AI1317" s="3">
        <v>0.37839998362903399</v>
      </c>
    </row>
    <row r="1318" spans="1:35">
      <c r="A1318" s="1">
        <v>42333</v>
      </c>
      <c r="B1318" s="1">
        <v>37475</v>
      </c>
      <c r="C1318" t="s">
        <v>5855</v>
      </c>
      <c r="D1318">
        <v>368</v>
      </c>
      <c r="E1318">
        <v>16831</v>
      </c>
      <c r="F1318">
        <v>10</v>
      </c>
      <c r="G1318">
        <v>1</v>
      </c>
      <c r="H1318">
        <v>1</v>
      </c>
      <c r="I1318">
        <v>2</v>
      </c>
      <c r="J1318" t="s">
        <v>3547</v>
      </c>
      <c r="K1318" t="s">
        <v>3548</v>
      </c>
      <c r="L1318" s="2">
        <v>1518.7864</v>
      </c>
      <c r="M1318" s="2">
        <v>2443.35</v>
      </c>
      <c r="N1318" t="s">
        <v>13</v>
      </c>
      <c r="O1318" t="s">
        <v>269</v>
      </c>
      <c r="P1318" t="s">
        <v>232</v>
      </c>
      <c r="Q1318" t="s">
        <v>7647</v>
      </c>
      <c r="R1318" s="1">
        <v>20221</v>
      </c>
      <c r="S1318" t="s">
        <v>16</v>
      </c>
      <c r="T1318" t="s">
        <v>16</v>
      </c>
      <c r="U1318" t="s">
        <v>2131</v>
      </c>
      <c r="V1318">
        <v>130000</v>
      </c>
      <c r="W1318">
        <v>3</v>
      </c>
      <c r="X1318" t="s">
        <v>52</v>
      </c>
      <c r="Y1318" t="s">
        <v>18</v>
      </c>
      <c r="Z1318" t="s">
        <v>19</v>
      </c>
      <c r="AA1318" t="s">
        <v>3588</v>
      </c>
      <c r="AB1318" t="s">
        <v>3588</v>
      </c>
      <c r="AC1318" t="s">
        <v>3584</v>
      </c>
      <c r="AD1318" t="s">
        <v>3479</v>
      </c>
      <c r="AE1318" t="s">
        <v>3475</v>
      </c>
      <c r="AF1318" s="2">
        <v>2443.35</v>
      </c>
      <c r="AG1318" s="2">
        <v>1518.7864</v>
      </c>
      <c r="AH1318" s="2">
        <v>924.56359999999995</v>
      </c>
      <c r="AI1318" s="3">
        <v>0.37839998362903399</v>
      </c>
    </row>
    <row r="1319" spans="1:35">
      <c r="A1319" s="1">
        <v>42320</v>
      </c>
      <c r="B1319" s="1">
        <v>37516</v>
      </c>
      <c r="C1319" t="s">
        <v>5772</v>
      </c>
      <c r="D1319">
        <v>371</v>
      </c>
      <c r="E1319">
        <v>16938</v>
      </c>
      <c r="F1319">
        <v>10</v>
      </c>
      <c r="G1319">
        <v>1</v>
      </c>
      <c r="H1319">
        <v>1</v>
      </c>
      <c r="I1319">
        <v>2</v>
      </c>
      <c r="J1319" t="s">
        <v>3553</v>
      </c>
      <c r="K1319" t="s">
        <v>3554</v>
      </c>
      <c r="L1319" s="2">
        <v>1320.6838</v>
      </c>
      <c r="M1319" s="2">
        <v>2181.5625</v>
      </c>
      <c r="N1319" t="s">
        <v>30</v>
      </c>
      <c r="O1319" t="s">
        <v>182</v>
      </c>
      <c r="P1319" t="s">
        <v>273</v>
      </c>
      <c r="Q1319" t="s">
        <v>7648</v>
      </c>
      <c r="R1319" s="1">
        <v>21316</v>
      </c>
      <c r="S1319" t="s">
        <v>22</v>
      </c>
      <c r="T1319" t="s">
        <v>29</v>
      </c>
      <c r="U1319" t="s">
        <v>2133</v>
      </c>
      <c r="V1319">
        <v>20000</v>
      </c>
      <c r="W1319">
        <v>1</v>
      </c>
      <c r="X1319" t="s">
        <v>17</v>
      </c>
      <c r="Y1319" t="s">
        <v>444</v>
      </c>
      <c r="Z1319" t="s">
        <v>19</v>
      </c>
      <c r="AA1319" t="s">
        <v>3588</v>
      </c>
      <c r="AB1319" t="s">
        <v>3588</v>
      </c>
      <c r="AC1319" t="s">
        <v>3584</v>
      </c>
      <c r="AD1319" t="s">
        <v>3479</v>
      </c>
      <c r="AE1319" t="s">
        <v>3475</v>
      </c>
      <c r="AF1319" s="2">
        <v>2181.5625</v>
      </c>
      <c r="AG1319" s="2">
        <v>1320.6838</v>
      </c>
      <c r="AH1319" s="2">
        <v>860.87869999999998</v>
      </c>
      <c r="AI1319" s="3">
        <v>0.39461564818793898</v>
      </c>
    </row>
    <row r="1320" spans="1:35">
      <c r="A1320" s="1">
        <v>42189</v>
      </c>
      <c r="B1320" s="1">
        <v>37329</v>
      </c>
      <c r="C1320" t="s">
        <v>4793</v>
      </c>
      <c r="D1320">
        <v>381</v>
      </c>
      <c r="E1320">
        <v>16942</v>
      </c>
      <c r="F1320">
        <v>7</v>
      </c>
      <c r="G1320">
        <v>1</v>
      </c>
      <c r="H1320">
        <v>1</v>
      </c>
      <c r="I1320">
        <v>2</v>
      </c>
      <c r="J1320" t="s">
        <v>3563</v>
      </c>
      <c r="K1320" t="s">
        <v>3564</v>
      </c>
      <c r="L1320" s="2">
        <v>605.64919999999995</v>
      </c>
      <c r="M1320" s="2">
        <v>1000.4375</v>
      </c>
      <c r="N1320" t="s">
        <v>30</v>
      </c>
      <c r="O1320" t="s">
        <v>703</v>
      </c>
      <c r="P1320" t="s">
        <v>49</v>
      </c>
      <c r="Q1320" t="s">
        <v>7649</v>
      </c>
      <c r="R1320" s="1">
        <v>19818</v>
      </c>
      <c r="S1320" t="s">
        <v>16</v>
      </c>
      <c r="T1320" t="s">
        <v>29</v>
      </c>
      <c r="U1320" t="s">
        <v>2134</v>
      </c>
      <c r="V1320">
        <v>10000</v>
      </c>
      <c r="W1320">
        <v>2</v>
      </c>
      <c r="X1320" t="s">
        <v>52</v>
      </c>
      <c r="Y1320" t="s">
        <v>444</v>
      </c>
      <c r="Z1320" t="s">
        <v>19</v>
      </c>
      <c r="AA1320" t="s">
        <v>3583</v>
      </c>
      <c r="AB1320" t="s">
        <v>3583</v>
      </c>
      <c r="AC1320" t="s">
        <v>3584</v>
      </c>
      <c r="AD1320" t="s">
        <v>3479</v>
      </c>
      <c r="AE1320" t="s">
        <v>3475</v>
      </c>
      <c r="AF1320" s="2">
        <v>1000.4375</v>
      </c>
      <c r="AG1320" s="2">
        <v>605.64919999999995</v>
      </c>
      <c r="AH1320" s="2">
        <v>394.78829999999999</v>
      </c>
      <c r="AI1320" s="3">
        <v>0.39461565565065299</v>
      </c>
    </row>
    <row r="1321" spans="1:35">
      <c r="A1321" s="1">
        <v>42336</v>
      </c>
      <c r="B1321" s="1">
        <v>37487</v>
      </c>
      <c r="C1321" t="s">
        <v>5878</v>
      </c>
      <c r="D1321">
        <v>369</v>
      </c>
      <c r="E1321">
        <v>16945</v>
      </c>
      <c r="F1321">
        <v>10</v>
      </c>
      <c r="G1321">
        <v>1</v>
      </c>
      <c r="H1321">
        <v>1</v>
      </c>
      <c r="I1321">
        <v>2</v>
      </c>
      <c r="J1321" t="s">
        <v>3549</v>
      </c>
      <c r="K1321" t="s">
        <v>3550</v>
      </c>
      <c r="L1321" s="2">
        <v>1518.7864</v>
      </c>
      <c r="M1321" s="2">
        <v>2443.35</v>
      </c>
      <c r="N1321" t="s">
        <v>30</v>
      </c>
      <c r="O1321" t="s">
        <v>251</v>
      </c>
      <c r="P1321" t="s">
        <v>376</v>
      </c>
      <c r="Q1321" t="s">
        <v>7650</v>
      </c>
      <c r="R1321" s="1">
        <v>14014</v>
      </c>
      <c r="S1321" t="s">
        <v>22</v>
      </c>
      <c r="T1321" t="s">
        <v>29</v>
      </c>
      <c r="U1321" t="s">
        <v>2135</v>
      </c>
      <c r="V1321">
        <v>30000</v>
      </c>
      <c r="W1321">
        <v>1</v>
      </c>
      <c r="X1321" t="s">
        <v>135</v>
      </c>
      <c r="Y1321" t="s">
        <v>60</v>
      </c>
      <c r="Z1321" t="s">
        <v>19</v>
      </c>
      <c r="AA1321" t="s">
        <v>3588</v>
      </c>
      <c r="AB1321" t="s">
        <v>3588</v>
      </c>
      <c r="AC1321" t="s">
        <v>3584</v>
      </c>
      <c r="AD1321" t="s">
        <v>3479</v>
      </c>
      <c r="AE1321" t="s">
        <v>3475</v>
      </c>
      <c r="AF1321" s="2">
        <v>2443.35</v>
      </c>
      <c r="AG1321" s="2">
        <v>1518.7864</v>
      </c>
      <c r="AH1321" s="2">
        <v>924.56359999999995</v>
      </c>
      <c r="AI1321" s="3">
        <v>0.37839998362903399</v>
      </c>
    </row>
    <row r="1322" spans="1:35">
      <c r="A1322" s="1">
        <v>42341</v>
      </c>
      <c r="B1322" s="1">
        <v>37511</v>
      </c>
      <c r="C1322" t="s">
        <v>5932</v>
      </c>
      <c r="D1322">
        <v>379</v>
      </c>
      <c r="E1322">
        <v>16946</v>
      </c>
      <c r="F1322">
        <v>10</v>
      </c>
      <c r="G1322">
        <v>1</v>
      </c>
      <c r="H1322">
        <v>1</v>
      </c>
      <c r="I1322">
        <v>2</v>
      </c>
      <c r="J1322" t="s">
        <v>3561</v>
      </c>
      <c r="K1322" t="s">
        <v>3562</v>
      </c>
      <c r="L1322" s="2">
        <v>1320.6838</v>
      </c>
      <c r="M1322" s="2">
        <v>2181.5625</v>
      </c>
      <c r="N1322" t="s">
        <v>30</v>
      </c>
      <c r="O1322" t="s">
        <v>1263</v>
      </c>
      <c r="P1322" t="s">
        <v>136</v>
      </c>
      <c r="Q1322" t="s">
        <v>7651</v>
      </c>
      <c r="R1322" s="1">
        <v>14087</v>
      </c>
      <c r="S1322" t="s">
        <v>16</v>
      </c>
      <c r="T1322" t="s">
        <v>29</v>
      </c>
      <c r="U1322" t="s">
        <v>2136</v>
      </c>
      <c r="V1322">
        <v>30000</v>
      </c>
      <c r="W1322">
        <v>1</v>
      </c>
      <c r="X1322" t="s">
        <v>135</v>
      </c>
      <c r="Y1322" t="s">
        <v>60</v>
      </c>
      <c r="Z1322" t="s">
        <v>19</v>
      </c>
      <c r="AA1322" t="s">
        <v>3588</v>
      </c>
      <c r="AB1322" t="s">
        <v>3588</v>
      </c>
      <c r="AC1322" t="s">
        <v>3584</v>
      </c>
      <c r="AD1322" t="s">
        <v>3479</v>
      </c>
      <c r="AE1322" t="s">
        <v>3475</v>
      </c>
      <c r="AF1322" s="2">
        <v>2181.5625</v>
      </c>
      <c r="AG1322" s="2">
        <v>1320.6838</v>
      </c>
      <c r="AH1322" s="2">
        <v>860.87869999999998</v>
      </c>
      <c r="AI1322" s="3">
        <v>0.39461564818793898</v>
      </c>
    </row>
    <row r="1323" spans="1:35">
      <c r="A1323" s="1">
        <v>42214</v>
      </c>
      <c r="B1323" s="1">
        <v>37416</v>
      </c>
      <c r="C1323" t="s">
        <v>4989</v>
      </c>
      <c r="D1323">
        <v>387</v>
      </c>
      <c r="E1323">
        <v>17080</v>
      </c>
      <c r="F1323">
        <v>7</v>
      </c>
      <c r="G1323">
        <v>1</v>
      </c>
      <c r="H1323">
        <v>1</v>
      </c>
      <c r="I1323">
        <v>2</v>
      </c>
      <c r="J1323" t="s">
        <v>3569</v>
      </c>
      <c r="K1323" t="s">
        <v>3570</v>
      </c>
      <c r="L1323" s="2">
        <v>605.64919999999995</v>
      </c>
      <c r="M1323" s="2">
        <v>1000.4375</v>
      </c>
      <c r="N1323" t="s">
        <v>26</v>
      </c>
      <c r="O1323" t="s">
        <v>372</v>
      </c>
      <c r="P1323" t="s">
        <v>587</v>
      </c>
      <c r="Q1323" t="s">
        <v>7652</v>
      </c>
      <c r="R1323" s="1">
        <v>26684</v>
      </c>
      <c r="S1323" t="s">
        <v>22</v>
      </c>
      <c r="T1323" t="s">
        <v>29</v>
      </c>
      <c r="U1323" t="s">
        <v>2137</v>
      </c>
      <c r="V1323">
        <v>30000</v>
      </c>
      <c r="W1323">
        <v>0</v>
      </c>
      <c r="X1323" t="s">
        <v>52</v>
      </c>
      <c r="Y1323" t="s">
        <v>60</v>
      </c>
      <c r="Z1323" t="s">
        <v>19</v>
      </c>
      <c r="AA1323" t="s">
        <v>3583</v>
      </c>
      <c r="AB1323" t="s">
        <v>3583</v>
      </c>
      <c r="AC1323" t="s">
        <v>3584</v>
      </c>
      <c r="AD1323" t="s">
        <v>3479</v>
      </c>
      <c r="AE1323" t="s">
        <v>3475</v>
      </c>
      <c r="AF1323" s="2">
        <v>1000.4375</v>
      </c>
      <c r="AG1323" s="2">
        <v>605.64919999999995</v>
      </c>
      <c r="AH1323" s="2">
        <v>394.78829999999999</v>
      </c>
      <c r="AI1323" s="3">
        <v>0.39461565565065299</v>
      </c>
    </row>
    <row r="1324" spans="1:35">
      <c r="A1324" s="1">
        <v>42353</v>
      </c>
      <c r="B1324" s="1">
        <v>37540</v>
      </c>
      <c r="C1324" t="s">
        <v>6059</v>
      </c>
      <c r="D1324">
        <v>375</v>
      </c>
      <c r="E1324">
        <v>17085</v>
      </c>
      <c r="F1324">
        <v>10</v>
      </c>
      <c r="G1324">
        <v>1</v>
      </c>
      <c r="H1324">
        <v>1</v>
      </c>
      <c r="I1324">
        <v>2</v>
      </c>
      <c r="J1324" t="s">
        <v>3557</v>
      </c>
      <c r="K1324" t="s">
        <v>3558</v>
      </c>
      <c r="L1324" s="2">
        <v>1320.6838</v>
      </c>
      <c r="M1324" s="2">
        <v>2181.5625</v>
      </c>
      <c r="N1324" t="s">
        <v>13</v>
      </c>
      <c r="O1324" t="s">
        <v>196</v>
      </c>
      <c r="P1324" t="s">
        <v>226</v>
      </c>
      <c r="Q1324" t="s">
        <v>7653</v>
      </c>
      <c r="R1324" s="1">
        <v>27127</v>
      </c>
      <c r="S1324" t="s">
        <v>16</v>
      </c>
      <c r="T1324" t="s">
        <v>16</v>
      </c>
      <c r="U1324" t="s">
        <v>2138</v>
      </c>
      <c r="V1324">
        <v>40000</v>
      </c>
      <c r="W1324">
        <v>1</v>
      </c>
      <c r="X1324" t="s">
        <v>17</v>
      </c>
      <c r="Y1324" t="s">
        <v>53</v>
      </c>
      <c r="Z1324" t="s">
        <v>19</v>
      </c>
      <c r="AA1324" t="s">
        <v>3588</v>
      </c>
      <c r="AB1324" t="s">
        <v>3588</v>
      </c>
      <c r="AC1324" t="s">
        <v>3584</v>
      </c>
      <c r="AD1324" t="s">
        <v>3479</v>
      </c>
      <c r="AE1324" t="s">
        <v>3475</v>
      </c>
      <c r="AF1324" s="2">
        <v>2181.5625</v>
      </c>
      <c r="AG1324" s="2">
        <v>1320.6838</v>
      </c>
      <c r="AH1324" s="2">
        <v>860.87869999999998</v>
      </c>
      <c r="AI1324" s="3">
        <v>0.39461564818793898</v>
      </c>
    </row>
    <row r="1325" spans="1:35">
      <c r="A1325" s="1">
        <v>42362</v>
      </c>
      <c r="B1325" s="1">
        <v>37521</v>
      </c>
      <c r="C1325" t="s">
        <v>6154</v>
      </c>
      <c r="D1325">
        <v>375</v>
      </c>
      <c r="E1325">
        <v>17094</v>
      </c>
      <c r="F1325">
        <v>10</v>
      </c>
      <c r="G1325">
        <v>1</v>
      </c>
      <c r="H1325">
        <v>1</v>
      </c>
      <c r="I1325">
        <v>2</v>
      </c>
      <c r="J1325" t="s">
        <v>3557</v>
      </c>
      <c r="K1325" t="s">
        <v>3558</v>
      </c>
      <c r="L1325" s="2">
        <v>1320.6838</v>
      </c>
      <c r="M1325" s="2">
        <v>2181.5625</v>
      </c>
      <c r="N1325" t="s">
        <v>13</v>
      </c>
      <c r="O1325" t="s">
        <v>33</v>
      </c>
      <c r="P1325" t="s">
        <v>97</v>
      </c>
      <c r="Q1325" t="s">
        <v>7654</v>
      </c>
      <c r="R1325" s="1">
        <v>26851</v>
      </c>
      <c r="S1325" t="s">
        <v>22</v>
      </c>
      <c r="T1325" t="s">
        <v>16</v>
      </c>
      <c r="U1325" t="s">
        <v>2139</v>
      </c>
      <c r="V1325">
        <v>50000</v>
      </c>
      <c r="W1325">
        <v>0</v>
      </c>
      <c r="X1325" t="s">
        <v>135</v>
      </c>
      <c r="Y1325" t="s">
        <v>53</v>
      </c>
      <c r="Z1325" t="s">
        <v>19</v>
      </c>
      <c r="AA1325" t="s">
        <v>3588</v>
      </c>
      <c r="AB1325" t="s">
        <v>3588</v>
      </c>
      <c r="AC1325" t="s">
        <v>3584</v>
      </c>
      <c r="AD1325" t="s">
        <v>3479</v>
      </c>
      <c r="AE1325" t="s">
        <v>3475</v>
      </c>
      <c r="AF1325" s="2">
        <v>2181.5625</v>
      </c>
      <c r="AG1325" s="2">
        <v>1320.6838</v>
      </c>
      <c r="AH1325" s="2">
        <v>860.87869999999998</v>
      </c>
      <c r="AI1325" s="3">
        <v>0.39461564818793898</v>
      </c>
    </row>
    <row r="1326" spans="1:35">
      <c r="A1326" s="1">
        <v>42191</v>
      </c>
      <c r="B1326" s="1">
        <v>37378</v>
      </c>
      <c r="C1326" t="s">
        <v>4812</v>
      </c>
      <c r="D1326">
        <v>385</v>
      </c>
      <c r="E1326">
        <v>17095</v>
      </c>
      <c r="F1326">
        <v>7</v>
      </c>
      <c r="G1326">
        <v>1</v>
      </c>
      <c r="H1326">
        <v>1</v>
      </c>
      <c r="I1326">
        <v>2</v>
      </c>
      <c r="J1326" t="s">
        <v>3567</v>
      </c>
      <c r="K1326" t="s">
        <v>3568</v>
      </c>
      <c r="L1326" s="2">
        <v>605.64919999999995</v>
      </c>
      <c r="M1326" s="2">
        <v>1000.4375</v>
      </c>
      <c r="N1326" t="s">
        <v>13</v>
      </c>
      <c r="O1326" t="s">
        <v>608</v>
      </c>
      <c r="P1326" t="s">
        <v>99</v>
      </c>
      <c r="Q1326" t="s">
        <v>7655</v>
      </c>
      <c r="R1326" s="1">
        <v>26335</v>
      </c>
      <c r="S1326" t="s">
        <v>22</v>
      </c>
      <c r="T1326" t="s">
        <v>16</v>
      </c>
      <c r="U1326" t="s">
        <v>2140</v>
      </c>
      <c r="V1326">
        <v>20000</v>
      </c>
      <c r="W1326">
        <v>0</v>
      </c>
      <c r="X1326" t="s">
        <v>77</v>
      </c>
      <c r="Y1326" t="s">
        <v>444</v>
      </c>
      <c r="Z1326" t="s">
        <v>23</v>
      </c>
      <c r="AA1326" t="s">
        <v>3583</v>
      </c>
      <c r="AB1326" t="s">
        <v>3583</v>
      </c>
      <c r="AC1326" t="s">
        <v>3584</v>
      </c>
      <c r="AD1326" t="s">
        <v>3479</v>
      </c>
      <c r="AE1326" t="s">
        <v>3475</v>
      </c>
      <c r="AF1326" s="2">
        <v>1000.4375</v>
      </c>
      <c r="AG1326" s="2">
        <v>605.64919999999995</v>
      </c>
      <c r="AH1326" s="2">
        <v>394.78829999999999</v>
      </c>
      <c r="AI1326" s="3">
        <v>0.39461565565065299</v>
      </c>
    </row>
    <row r="1327" spans="1:35">
      <c r="A1327" s="1">
        <v>42345</v>
      </c>
      <c r="B1327" s="1">
        <v>37531</v>
      </c>
      <c r="C1327" t="s">
        <v>5959</v>
      </c>
      <c r="D1327">
        <v>371</v>
      </c>
      <c r="E1327">
        <v>17097</v>
      </c>
      <c r="F1327">
        <v>10</v>
      </c>
      <c r="G1327">
        <v>1</v>
      </c>
      <c r="H1327">
        <v>1</v>
      </c>
      <c r="I1327">
        <v>2</v>
      </c>
      <c r="J1327" t="s">
        <v>3553</v>
      </c>
      <c r="K1327" t="s">
        <v>3554</v>
      </c>
      <c r="L1327" s="2">
        <v>1320.6838</v>
      </c>
      <c r="M1327" s="2">
        <v>2181.5625</v>
      </c>
      <c r="N1327" t="s">
        <v>26</v>
      </c>
      <c r="O1327" t="s">
        <v>128</v>
      </c>
      <c r="P1327" t="s">
        <v>215</v>
      </c>
      <c r="Q1327" t="s">
        <v>7656</v>
      </c>
      <c r="R1327" s="1">
        <v>26335</v>
      </c>
      <c r="S1327" t="s">
        <v>22</v>
      </c>
      <c r="T1327" t="s">
        <v>29</v>
      </c>
      <c r="U1327" t="s">
        <v>2141</v>
      </c>
      <c r="V1327">
        <v>30000</v>
      </c>
      <c r="W1327">
        <v>0</v>
      </c>
      <c r="X1327" t="s">
        <v>57</v>
      </c>
      <c r="Y1327" t="s">
        <v>444</v>
      </c>
      <c r="Z1327" t="s">
        <v>23</v>
      </c>
      <c r="AA1327" t="s">
        <v>3588</v>
      </c>
      <c r="AB1327" t="s">
        <v>3588</v>
      </c>
      <c r="AC1327" t="s">
        <v>3584</v>
      </c>
      <c r="AD1327" t="s">
        <v>3479</v>
      </c>
      <c r="AE1327" t="s">
        <v>3475</v>
      </c>
      <c r="AF1327" s="2">
        <v>2181.5625</v>
      </c>
      <c r="AG1327" s="2">
        <v>1320.6838</v>
      </c>
      <c r="AH1327" s="2">
        <v>860.87869999999998</v>
      </c>
      <c r="AI1327" s="3">
        <v>0.39461564818793898</v>
      </c>
    </row>
    <row r="1328" spans="1:35">
      <c r="A1328" s="1">
        <v>42345</v>
      </c>
      <c r="B1328" s="1">
        <v>37578</v>
      </c>
      <c r="C1328" t="s">
        <v>5971</v>
      </c>
      <c r="D1328">
        <v>371</v>
      </c>
      <c r="E1328">
        <v>17098</v>
      </c>
      <c r="F1328">
        <v>10</v>
      </c>
      <c r="G1328">
        <v>1</v>
      </c>
      <c r="H1328">
        <v>1</v>
      </c>
      <c r="I1328">
        <v>2</v>
      </c>
      <c r="J1328" t="s">
        <v>3553</v>
      </c>
      <c r="K1328" t="s">
        <v>3554</v>
      </c>
      <c r="L1328" s="2">
        <v>1320.6838</v>
      </c>
      <c r="M1328" s="2">
        <v>2181.5625</v>
      </c>
      <c r="N1328" t="s">
        <v>13</v>
      </c>
      <c r="O1328" t="s">
        <v>154</v>
      </c>
      <c r="P1328" t="s">
        <v>468</v>
      </c>
      <c r="Q1328" t="s">
        <v>7657</v>
      </c>
      <c r="R1328" s="1">
        <v>26314</v>
      </c>
      <c r="S1328" t="s">
        <v>22</v>
      </c>
      <c r="T1328" t="s">
        <v>16</v>
      </c>
      <c r="U1328" t="s">
        <v>2142</v>
      </c>
      <c r="V1328">
        <v>30000</v>
      </c>
      <c r="W1328">
        <v>0</v>
      </c>
      <c r="X1328" t="s">
        <v>57</v>
      </c>
      <c r="Y1328" t="s">
        <v>444</v>
      </c>
      <c r="Z1328" t="s">
        <v>23</v>
      </c>
      <c r="AA1328" t="s">
        <v>3588</v>
      </c>
      <c r="AB1328" t="s">
        <v>3588</v>
      </c>
      <c r="AC1328" t="s">
        <v>3584</v>
      </c>
      <c r="AD1328" t="s">
        <v>3479</v>
      </c>
      <c r="AE1328" t="s">
        <v>3475</v>
      </c>
      <c r="AF1328" s="2">
        <v>2181.5625</v>
      </c>
      <c r="AG1328" s="2">
        <v>1320.6838</v>
      </c>
      <c r="AH1328" s="2">
        <v>860.87869999999998</v>
      </c>
      <c r="AI1328" s="3">
        <v>0.39461564818793898</v>
      </c>
    </row>
    <row r="1329" spans="1:35">
      <c r="A1329" s="1">
        <v>42241</v>
      </c>
      <c r="B1329" s="1">
        <v>37464</v>
      </c>
      <c r="C1329" t="s">
        <v>5226</v>
      </c>
      <c r="D1329">
        <v>389</v>
      </c>
      <c r="E1329">
        <v>17099</v>
      </c>
      <c r="F1329">
        <v>7</v>
      </c>
      <c r="G1329">
        <v>1</v>
      </c>
      <c r="H1329">
        <v>1</v>
      </c>
      <c r="I1329">
        <v>2</v>
      </c>
      <c r="J1329" t="s">
        <v>3571</v>
      </c>
      <c r="K1329" t="s">
        <v>3572</v>
      </c>
      <c r="L1329" s="2">
        <v>605.64919999999995</v>
      </c>
      <c r="M1329" s="2">
        <v>1000.4375</v>
      </c>
      <c r="N1329" t="s">
        <v>13</v>
      </c>
      <c r="O1329" t="s">
        <v>621</v>
      </c>
      <c r="P1329" t="s">
        <v>209</v>
      </c>
      <c r="Q1329" t="s">
        <v>7658</v>
      </c>
      <c r="R1329" s="1">
        <v>26620</v>
      </c>
      <c r="S1329" t="s">
        <v>22</v>
      </c>
      <c r="T1329" t="s">
        <v>16</v>
      </c>
      <c r="U1329" t="s">
        <v>2143</v>
      </c>
      <c r="V1329">
        <v>30000</v>
      </c>
      <c r="W1329">
        <v>0</v>
      </c>
      <c r="X1329" t="s">
        <v>57</v>
      </c>
      <c r="Y1329" t="s">
        <v>444</v>
      </c>
      <c r="Z1329" t="s">
        <v>23</v>
      </c>
      <c r="AA1329" t="s">
        <v>3583</v>
      </c>
      <c r="AB1329" t="s">
        <v>3583</v>
      </c>
      <c r="AC1329" t="s">
        <v>3584</v>
      </c>
      <c r="AD1329" t="s">
        <v>3479</v>
      </c>
      <c r="AE1329" t="s">
        <v>3475</v>
      </c>
      <c r="AF1329" s="2">
        <v>1000.4375</v>
      </c>
      <c r="AG1329" s="2">
        <v>605.64919999999995</v>
      </c>
      <c r="AH1329" s="2">
        <v>394.78829999999999</v>
      </c>
      <c r="AI1329" s="3">
        <v>0.39461565565065299</v>
      </c>
    </row>
    <row r="1330" spans="1:35">
      <c r="A1330" s="1">
        <v>42276</v>
      </c>
      <c r="B1330" s="1">
        <v>37484</v>
      </c>
      <c r="C1330" t="s">
        <v>5474</v>
      </c>
      <c r="D1330">
        <v>383</v>
      </c>
      <c r="E1330">
        <v>17109</v>
      </c>
      <c r="F1330">
        <v>7</v>
      </c>
      <c r="G1330">
        <v>1</v>
      </c>
      <c r="H1330">
        <v>1</v>
      </c>
      <c r="I1330">
        <v>2</v>
      </c>
      <c r="J1330" t="s">
        <v>3565</v>
      </c>
      <c r="K1330" t="s">
        <v>3566</v>
      </c>
      <c r="L1330" s="2">
        <v>605.64919999999995</v>
      </c>
      <c r="M1330" s="2">
        <v>1000.4375</v>
      </c>
      <c r="N1330" t="s">
        <v>26</v>
      </c>
      <c r="O1330" t="s">
        <v>48</v>
      </c>
      <c r="P1330" t="s">
        <v>66</v>
      </c>
      <c r="Q1330" t="s">
        <v>7659</v>
      </c>
      <c r="R1330" s="1">
        <v>26073</v>
      </c>
      <c r="S1330" t="s">
        <v>22</v>
      </c>
      <c r="T1330" t="s">
        <v>29</v>
      </c>
      <c r="U1330" t="s">
        <v>2144</v>
      </c>
      <c r="V1330">
        <v>30000</v>
      </c>
      <c r="W1330">
        <v>0</v>
      </c>
      <c r="X1330" t="s">
        <v>57</v>
      </c>
      <c r="Y1330" t="s">
        <v>444</v>
      </c>
      <c r="Z1330" t="s">
        <v>23</v>
      </c>
      <c r="AA1330" t="s">
        <v>3583</v>
      </c>
      <c r="AB1330" t="s">
        <v>3583</v>
      </c>
      <c r="AC1330" t="s">
        <v>3584</v>
      </c>
      <c r="AD1330" t="s">
        <v>3479</v>
      </c>
      <c r="AE1330" t="s">
        <v>3475</v>
      </c>
      <c r="AF1330" s="2">
        <v>1000.4375</v>
      </c>
      <c r="AG1330" s="2">
        <v>605.64919999999995</v>
      </c>
      <c r="AH1330" s="2">
        <v>394.78829999999999</v>
      </c>
      <c r="AI1330" s="3">
        <v>0.39461565565065299</v>
      </c>
    </row>
    <row r="1331" spans="1:35">
      <c r="A1331" s="1">
        <v>42367</v>
      </c>
      <c r="B1331" s="1">
        <v>37581</v>
      </c>
      <c r="C1331" t="s">
        <v>6203</v>
      </c>
      <c r="D1331">
        <v>377</v>
      </c>
      <c r="E1331">
        <v>17115</v>
      </c>
      <c r="F1331">
        <v>10</v>
      </c>
      <c r="G1331">
        <v>1</v>
      </c>
      <c r="H1331">
        <v>1</v>
      </c>
      <c r="I1331">
        <v>2</v>
      </c>
      <c r="J1331" t="s">
        <v>3559</v>
      </c>
      <c r="K1331" t="s">
        <v>3560</v>
      </c>
      <c r="L1331" s="2">
        <v>1320.6838</v>
      </c>
      <c r="M1331" s="2">
        <v>2181.5625</v>
      </c>
      <c r="N1331" t="s">
        <v>30</v>
      </c>
      <c r="O1331" t="s">
        <v>1576</v>
      </c>
      <c r="P1331" t="s">
        <v>474</v>
      </c>
      <c r="Q1331" t="s">
        <v>7660</v>
      </c>
      <c r="R1331" s="1">
        <v>25976</v>
      </c>
      <c r="S1331" t="s">
        <v>16</v>
      </c>
      <c r="T1331" t="s">
        <v>29</v>
      </c>
      <c r="U1331" t="s">
        <v>2145</v>
      </c>
      <c r="V1331">
        <v>40000</v>
      </c>
      <c r="W1331">
        <v>2</v>
      </c>
      <c r="X1331" t="s">
        <v>52</v>
      </c>
      <c r="Y1331" t="s">
        <v>60</v>
      </c>
      <c r="Z1331" t="s">
        <v>23</v>
      </c>
      <c r="AA1331" t="s">
        <v>3588</v>
      </c>
      <c r="AB1331" t="s">
        <v>3588</v>
      </c>
      <c r="AC1331" t="s">
        <v>3584</v>
      </c>
      <c r="AD1331" t="s">
        <v>3479</v>
      </c>
      <c r="AE1331" t="s">
        <v>3475</v>
      </c>
      <c r="AF1331" s="2">
        <v>2181.5625</v>
      </c>
      <c r="AG1331" s="2">
        <v>1320.6838</v>
      </c>
      <c r="AH1331" s="2">
        <v>860.87869999999998</v>
      </c>
      <c r="AI1331" s="3">
        <v>0.39461564818793898</v>
      </c>
    </row>
    <row r="1332" spans="1:35">
      <c r="A1332" s="1">
        <v>42340</v>
      </c>
      <c r="B1332" s="1">
        <v>37524</v>
      </c>
      <c r="C1332" t="s">
        <v>5915</v>
      </c>
      <c r="D1332">
        <v>371</v>
      </c>
      <c r="E1332">
        <v>17182</v>
      </c>
      <c r="F1332">
        <v>10</v>
      </c>
      <c r="G1332">
        <v>1</v>
      </c>
      <c r="H1332">
        <v>1</v>
      </c>
      <c r="I1332">
        <v>2</v>
      </c>
      <c r="J1332" t="s">
        <v>3553</v>
      </c>
      <c r="K1332" t="s">
        <v>3554</v>
      </c>
      <c r="L1332" s="2">
        <v>1320.6838</v>
      </c>
      <c r="M1332" s="2">
        <v>2181.5625</v>
      </c>
      <c r="N1332" t="s">
        <v>30</v>
      </c>
      <c r="O1332" t="s">
        <v>145</v>
      </c>
      <c r="P1332" t="s">
        <v>261</v>
      </c>
      <c r="Q1332" t="s">
        <v>7661</v>
      </c>
      <c r="R1332" s="1">
        <v>21315</v>
      </c>
      <c r="S1332" t="s">
        <v>22</v>
      </c>
      <c r="T1332" t="s">
        <v>29</v>
      </c>
      <c r="U1332" t="s">
        <v>2146</v>
      </c>
      <c r="V1332">
        <v>170000</v>
      </c>
      <c r="W1332">
        <v>2</v>
      </c>
      <c r="X1332" t="s">
        <v>17</v>
      </c>
      <c r="Y1332" t="s">
        <v>45</v>
      </c>
      <c r="Z1332" t="s">
        <v>23</v>
      </c>
      <c r="AA1332" t="s">
        <v>3588</v>
      </c>
      <c r="AB1332" t="s">
        <v>3588</v>
      </c>
      <c r="AC1332" t="s">
        <v>3584</v>
      </c>
      <c r="AD1332" t="s">
        <v>3479</v>
      </c>
      <c r="AE1332" t="s">
        <v>3475</v>
      </c>
      <c r="AF1332" s="2">
        <v>2181.5625</v>
      </c>
      <c r="AG1332" s="2">
        <v>1320.6838</v>
      </c>
      <c r="AH1332" s="2">
        <v>860.87869999999998</v>
      </c>
      <c r="AI1332" s="3">
        <v>0.39461564818793898</v>
      </c>
    </row>
    <row r="1333" spans="1:35">
      <c r="A1333" s="1">
        <v>42360</v>
      </c>
      <c r="B1333" s="1">
        <v>37514</v>
      </c>
      <c r="C1333" t="s">
        <v>6133</v>
      </c>
      <c r="D1333">
        <v>375</v>
      </c>
      <c r="E1333">
        <v>17185</v>
      </c>
      <c r="F1333">
        <v>10</v>
      </c>
      <c r="G1333">
        <v>1</v>
      </c>
      <c r="H1333">
        <v>1</v>
      </c>
      <c r="I1333">
        <v>2</v>
      </c>
      <c r="J1333" t="s">
        <v>3557</v>
      </c>
      <c r="K1333" t="s">
        <v>3558</v>
      </c>
      <c r="L1333" s="2">
        <v>1320.6838</v>
      </c>
      <c r="M1333" s="2">
        <v>2181.5625</v>
      </c>
      <c r="N1333" t="s">
        <v>30</v>
      </c>
      <c r="O1333" t="s">
        <v>265</v>
      </c>
      <c r="P1333" t="s">
        <v>195</v>
      </c>
      <c r="Q1333" t="s">
        <v>7662</v>
      </c>
      <c r="R1333" s="1">
        <v>21084</v>
      </c>
      <c r="S1333" t="s">
        <v>16</v>
      </c>
      <c r="T1333" t="s">
        <v>29</v>
      </c>
      <c r="U1333" t="s">
        <v>2147</v>
      </c>
      <c r="V1333">
        <v>170000</v>
      </c>
      <c r="W1333">
        <v>4</v>
      </c>
      <c r="X1333" t="s">
        <v>52</v>
      </c>
      <c r="Y1333" t="s">
        <v>18</v>
      </c>
      <c r="Z1333" t="s">
        <v>23</v>
      </c>
      <c r="AA1333" t="s">
        <v>3588</v>
      </c>
      <c r="AB1333" t="s">
        <v>3588</v>
      </c>
      <c r="AC1333" t="s">
        <v>3584</v>
      </c>
      <c r="AD1333" t="s">
        <v>3479</v>
      </c>
      <c r="AE1333" t="s">
        <v>3475</v>
      </c>
      <c r="AF1333" s="2">
        <v>2181.5625</v>
      </c>
      <c r="AG1333" s="2">
        <v>1320.6838</v>
      </c>
      <c r="AH1333" s="2">
        <v>860.87869999999998</v>
      </c>
      <c r="AI1333" s="3">
        <v>0.39461564818793898</v>
      </c>
    </row>
    <row r="1334" spans="1:35">
      <c r="A1334" s="1">
        <v>42270</v>
      </c>
      <c r="B1334" s="1">
        <v>37492</v>
      </c>
      <c r="C1334" t="s">
        <v>5431</v>
      </c>
      <c r="D1334">
        <v>389</v>
      </c>
      <c r="E1334">
        <v>17187</v>
      </c>
      <c r="F1334">
        <v>7</v>
      </c>
      <c r="G1334">
        <v>1</v>
      </c>
      <c r="H1334">
        <v>1</v>
      </c>
      <c r="I1334">
        <v>2</v>
      </c>
      <c r="J1334" t="s">
        <v>3571</v>
      </c>
      <c r="K1334" t="s">
        <v>3572</v>
      </c>
      <c r="L1334" s="2">
        <v>605.64919999999995</v>
      </c>
      <c r="M1334" s="2">
        <v>1000.4375</v>
      </c>
      <c r="N1334" t="s">
        <v>13</v>
      </c>
      <c r="O1334" t="s">
        <v>74</v>
      </c>
      <c r="P1334" t="s">
        <v>192</v>
      </c>
      <c r="Q1334" t="s">
        <v>7663</v>
      </c>
      <c r="R1334" s="1">
        <v>20180</v>
      </c>
      <c r="S1334" t="s">
        <v>22</v>
      </c>
      <c r="T1334" t="s">
        <v>16</v>
      </c>
      <c r="U1334" t="s">
        <v>2148</v>
      </c>
      <c r="V1334">
        <v>90000</v>
      </c>
      <c r="W1334">
        <v>2</v>
      </c>
      <c r="X1334" t="s">
        <v>57</v>
      </c>
      <c r="Y1334" t="s">
        <v>18</v>
      </c>
      <c r="Z1334" t="s">
        <v>19</v>
      </c>
      <c r="AA1334" t="s">
        <v>3583</v>
      </c>
      <c r="AB1334" t="s">
        <v>3583</v>
      </c>
      <c r="AC1334" t="s">
        <v>3584</v>
      </c>
      <c r="AD1334" t="s">
        <v>3479</v>
      </c>
      <c r="AE1334" t="s">
        <v>3475</v>
      </c>
      <c r="AF1334" s="2">
        <v>1000.4375</v>
      </c>
      <c r="AG1334" s="2">
        <v>605.64919999999995</v>
      </c>
      <c r="AH1334" s="2">
        <v>394.78829999999999</v>
      </c>
      <c r="AI1334" s="3">
        <v>0.39461565565065299</v>
      </c>
    </row>
    <row r="1335" spans="1:35">
      <c r="A1335" s="1">
        <v>42269</v>
      </c>
      <c r="B1335" s="1">
        <v>37403</v>
      </c>
      <c r="C1335" t="s">
        <v>5426</v>
      </c>
      <c r="D1335">
        <v>389</v>
      </c>
      <c r="E1335">
        <v>17188</v>
      </c>
      <c r="F1335">
        <v>7</v>
      </c>
      <c r="G1335">
        <v>1</v>
      </c>
      <c r="H1335">
        <v>1</v>
      </c>
      <c r="I1335">
        <v>2</v>
      </c>
      <c r="J1335" t="s">
        <v>3571</v>
      </c>
      <c r="K1335" t="s">
        <v>3572</v>
      </c>
      <c r="L1335" s="2">
        <v>605.64919999999995</v>
      </c>
      <c r="M1335" s="2">
        <v>1000.4375</v>
      </c>
      <c r="N1335" t="s">
        <v>30</v>
      </c>
      <c r="O1335" t="s">
        <v>939</v>
      </c>
      <c r="P1335" t="s">
        <v>587</v>
      </c>
      <c r="Q1335" t="s">
        <v>7664</v>
      </c>
      <c r="R1335" s="1">
        <v>20353</v>
      </c>
      <c r="S1335" t="s">
        <v>16</v>
      </c>
      <c r="T1335" t="s">
        <v>29</v>
      </c>
      <c r="U1335" t="s">
        <v>2149</v>
      </c>
      <c r="V1335">
        <v>110000</v>
      </c>
      <c r="W1335">
        <v>3</v>
      </c>
      <c r="X1335" t="s">
        <v>52</v>
      </c>
      <c r="Y1335" t="s">
        <v>18</v>
      </c>
      <c r="Z1335" t="s">
        <v>19</v>
      </c>
      <c r="AA1335" t="s">
        <v>3583</v>
      </c>
      <c r="AB1335" t="s">
        <v>3583</v>
      </c>
      <c r="AC1335" t="s">
        <v>3584</v>
      </c>
      <c r="AD1335" t="s">
        <v>3479</v>
      </c>
      <c r="AE1335" t="s">
        <v>3475</v>
      </c>
      <c r="AF1335" s="2">
        <v>1000.4375</v>
      </c>
      <c r="AG1335" s="2">
        <v>605.64919999999995</v>
      </c>
      <c r="AH1335" s="2">
        <v>394.78829999999999</v>
      </c>
      <c r="AI1335" s="3">
        <v>0.39461565565065299</v>
      </c>
    </row>
    <row r="1336" spans="1:35">
      <c r="A1336" s="1">
        <v>42360</v>
      </c>
      <c r="B1336" s="1">
        <v>37572</v>
      </c>
      <c r="C1336" t="s">
        <v>6134</v>
      </c>
      <c r="D1336">
        <v>379</v>
      </c>
      <c r="E1336">
        <v>17192</v>
      </c>
      <c r="F1336">
        <v>10</v>
      </c>
      <c r="G1336">
        <v>1</v>
      </c>
      <c r="H1336">
        <v>1</v>
      </c>
      <c r="I1336">
        <v>2</v>
      </c>
      <c r="J1336" t="s">
        <v>3561</v>
      </c>
      <c r="K1336" t="s">
        <v>3562</v>
      </c>
      <c r="L1336" s="2">
        <v>1320.6838</v>
      </c>
      <c r="M1336" s="2">
        <v>2181.5625</v>
      </c>
      <c r="N1336" t="s">
        <v>13</v>
      </c>
      <c r="O1336" t="s">
        <v>836</v>
      </c>
      <c r="P1336" t="s">
        <v>190</v>
      </c>
      <c r="Q1336" t="s">
        <v>7665</v>
      </c>
      <c r="R1336" s="1">
        <v>20355</v>
      </c>
      <c r="S1336" t="s">
        <v>22</v>
      </c>
      <c r="T1336" t="s">
        <v>16</v>
      </c>
      <c r="U1336" t="s">
        <v>2150</v>
      </c>
      <c r="V1336">
        <v>160000</v>
      </c>
      <c r="W1336">
        <v>2</v>
      </c>
      <c r="X1336" t="s">
        <v>57</v>
      </c>
      <c r="Y1336" t="s">
        <v>18</v>
      </c>
      <c r="Z1336" t="s">
        <v>23</v>
      </c>
      <c r="AA1336" t="s">
        <v>3588</v>
      </c>
      <c r="AB1336" t="s">
        <v>3588</v>
      </c>
      <c r="AC1336" t="s">
        <v>3584</v>
      </c>
      <c r="AD1336" t="s">
        <v>3479</v>
      </c>
      <c r="AE1336" t="s">
        <v>3475</v>
      </c>
      <c r="AF1336" s="2">
        <v>2181.5625</v>
      </c>
      <c r="AG1336" s="2">
        <v>1320.6838</v>
      </c>
      <c r="AH1336" s="2">
        <v>860.87869999999998</v>
      </c>
      <c r="AI1336" s="3">
        <v>0.39461564818793898</v>
      </c>
    </row>
    <row r="1337" spans="1:35">
      <c r="A1337" s="1">
        <v>42281</v>
      </c>
      <c r="B1337" s="1">
        <v>37515</v>
      </c>
      <c r="C1337" t="s">
        <v>5507</v>
      </c>
      <c r="D1337">
        <v>387</v>
      </c>
      <c r="E1337">
        <v>17195</v>
      </c>
      <c r="F1337">
        <v>7</v>
      </c>
      <c r="G1337">
        <v>1</v>
      </c>
      <c r="H1337">
        <v>1</v>
      </c>
      <c r="I1337">
        <v>2</v>
      </c>
      <c r="J1337" t="s">
        <v>3569</v>
      </c>
      <c r="K1337" t="s">
        <v>3570</v>
      </c>
      <c r="L1337" s="2">
        <v>605.64919999999995</v>
      </c>
      <c r="M1337" s="2">
        <v>1000.4375</v>
      </c>
      <c r="N1337" t="s">
        <v>13</v>
      </c>
      <c r="O1337" t="s">
        <v>498</v>
      </c>
      <c r="P1337" t="s">
        <v>664</v>
      </c>
      <c r="Q1337" t="s">
        <v>7666</v>
      </c>
      <c r="R1337" s="1">
        <v>16214</v>
      </c>
      <c r="S1337" t="s">
        <v>16</v>
      </c>
      <c r="T1337" t="s">
        <v>16</v>
      </c>
      <c r="U1337" t="s">
        <v>2151</v>
      </c>
      <c r="V1337">
        <v>70000</v>
      </c>
      <c r="W1337">
        <v>5</v>
      </c>
      <c r="X1337" t="s">
        <v>57</v>
      </c>
      <c r="Y1337" t="s">
        <v>18</v>
      </c>
      <c r="Z1337" t="s">
        <v>19</v>
      </c>
      <c r="AA1337" t="s">
        <v>3583</v>
      </c>
      <c r="AB1337" t="s">
        <v>3583</v>
      </c>
      <c r="AC1337" t="s">
        <v>3584</v>
      </c>
      <c r="AD1337" t="s">
        <v>3479</v>
      </c>
      <c r="AE1337" t="s">
        <v>3475</v>
      </c>
      <c r="AF1337" s="2">
        <v>1000.4375</v>
      </c>
      <c r="AG1337" s="2">
        <v>605.64919999999995</v>
      </c>
      <c r="AH1337" s="2">
        <v>394.78829999999999</v>
      </c>
      <c r="AI1337" s="3">
        <v>0.39461565565065299</v>
      </c>
    </row>
    <row r="1338" spans="1:35">
      <c r="A1338" s="1">
        <v>42307</v>
      </c>
      <c r="B1338" s="1">
        <v>37519</v>
      </c>
      <c r="C1338" t="s">
        <v>5694</v>
      </c>
      <c r="D1338">
        <v>385</v>
      </c>
      <c r="E1338">
        <v>17196</v>
      </c>
      <c r="F1338">
        <v>7</v>
      </c>
      <c r="G1338">
        <v>1</v>
      </c>
      <c r="H1338">
        <v>1</v>
      </c>
      <c r="I1338">
        <v>2</v>
      </c>
      <c r="J1338" t="s">
        <v>3567</v>
      </c>
      <c r="K1338" t="s">
        <v>3568</v>
      </c>
      <c r="L1338" s="2">
        <v>605.64919999999995</v>
      </c>
      <c r="M1338" s="2">
        <v>1000.4375</v>
      </c>
      <c r="N1338" t="s">
        <v>13</v>
      </c>
      <c r="O1338" t="s">
        <v>1295</v>
      </c>
      <c r="P1338" t="s">
        <v>209</v>
      </c>
      <c r="Q1338" t="s">
        <v>7667</v>
      </c>
      <c r="R1338" s="1">
        <v>16280</v>
      </c>
      <c r="S1338" t="s">
        <v>22</v>
      </c>
      <c r="T1338" t="s">
        <v>16</v>
      </c>
      <c r="U1338" t="s">
        <v>2152</v>
      </c>
      <c r="V1338">
        <v>70000</v>
      </c>
      <c r="W1338">
        <v>5</v>
      </c>
      <c r="X1338" t="s">
        <v>57</v>
      </c>
      <c r="Y1338" t="s">
        <v>18</v>
      </c>
      <c r="Z1338" t="s">
        <v>19</v>
      </c>
      <c r="AA1338" t="s">
        <v>3583</v>
      </c>
      <c r="AB1338" t="s">
        <v>3583</v>
      </c>
      <c r="AC1338" t="s">
        <v>3584</v>
      </c>
      <c r="AD1338" t="s">
        <v>3479</v>
      </c>
      <c r="AE1338" t="s">
        <v>3475</v>
      </c>
      <c r="AF1338" s="2">
        <v>1000.4375</v>
      </c>
      <c r="AG1338" s="2">
        <v>605.64919999999995</v>
      </c>
      <c r="AH1338" s="2">
        <v>394.78829999999999</v>
      </c>
      <c r="AI1338" s="3">
        <v>0.39461565565065299</v>
      </c>
    </row>
    <row r="1339" spans="1:35">
      <c r="A1339" s="1">
        <v>42369</v>
      </c>
      <c r="B1339" s="1">
        <v>37569</v>
      </c>
      <c r="C1339" t="s">
        <v>6218</v>
      </c>
      <c r="D1339">
        <v>377</v>
      </c>
      <c r="E1339">
        <v>17202</v>
      </c>
      <c r="F1339">
        <v>10</v>
      </c>
      <c r="G1339">
        <v>1</v>
      </c>
      <c r="H1339">
        <v>1</v>
      </c>
      <c r="I1339">
        <v>2</v>
      </c>
      <c r="J1339" t="s">
        <v>3559</v>
      </c>
      <c r="K1339" t="s">
        <v>3560</v>
      </c>
      <c r="L1339" s="2">
        <v>1320.6838</v>
      </c>
      <c r="M1339" s="2">
        <v>2181.5625</v>
      </c>
      <c r="N1339" t="s">
        <v>30</v>
      </c>
      <c r="O1339" t="s">
        <v>128</v>
      </c>
      <c r="P1339" t="s">
        <v>290</v>
      </c>
      <c r="Q1339" t="s">
        <v>7668</v>
      </c>
      <c r="R1339" s="1">
        <v>16544</v>
      </c>
      <c r="S1339" t="s">
        <v>16</v>
      </c>
      <c r="T1339" t="s">
        <v>29</v>
      </c>
      <c r="U1339" t="s">
        <v>2153</v>
      </c>
      <c r="V1339">
        <v>110000</v>
      </c>
      <c r="W1339">
        <v>3</v>
      </c>
      <c r="X1339" t="s">
        <v>17</v>
      </c>
      <c r="Y1339" t="s">
        <v>45</v>
      </c>
      <c r="Z1339" t="s">
        <v>19</v>
      </c>
      <c r="AA1339" t="s">
        <v>3588</v>
      </c>
      <c r="AB1339" t="s">
        <v>3588</v>
      </c>
      <c r="AC1339" t="s">
        <v>3584</v>
      </c>
      <c r="AD1339" t="s">
        <v>3479</v>
      </c>
      <c r="AE1339" t="s">
        <v>3475</v>
      </c>
      <c r="AF1339" s="2">
        <v>2181.5625</v>
      </c>
      <c r="AG1339" s="2">
        <v>1320.6838</v>
      </c>
      <c r="AH1339" s="2">
        <v>860.87869999999998</v>
      </c>
      <c r="AI1339" s="3">
        <v>0.39461564818793898</v>
      </c>
    </row>
    <row r="1340" spans="1:35">
      <c r="A1340" s="1">
        <v>42350</v>
      </c>
      <c r="B1340" s="1">
        <v>37539</v>
      </c>
      <c r="C1340" t="s">
        <v>6016</v>
      </c>
      <c r="D1340">
        <v>377</v>
      </c>
      <c r="E1340">
        <v>17203</v>
      </c>
      <c r="F1340">
        <v>10</v>
      </c>
      <c r="G1340">
        <v>1</v>
      </c>
      <c r="H1340">
        <v>1</v>
      </c>
      <c r="I1340">
        <v>2</v>
      </c>
      <c r="J1340" t="s">
        <v>3559</v>
      </c>
      <c r="K1340" t="s">
        <v>3560</v>
      </c>
      <c r="L1340" s="2">
        <v>1320.6838</v>
      </c>
      <c r="M1340" s="2">
        <v>2181.5625</v>
      </c>
      <c r="N1340" t="s">
        <v>30</v>
      </c>
      <c r="O1340" t="s">
        <v>116</v>
      </c>
      <c r="P1340" t="s">
        <v>131</v>
      </c>
      <c r="Q1340" t="s">
        <v>7669</v>
      </c>
      <c r="R1340" s="1">
        <v>16486</v>
      </c>
      <c r="S1340" t="s">
        <v>16</v>
      </c>
      <c r="T1340" t="s">
        <v>29</v>
      </c>
      <c r="U1340" t="s">
        <v>2154</v>
      </c>
      <c r="V1340">
        <v>130000</v>
      </c>
      <c r="W1340">
        <v>4</v>
      </c>
      <c r="X1340" t="s">
        <v>52</v>
      </c>
      <c r="Y1340" t="s">
        <v>18</v>
      </c>
      <c r="Z1340" t="s">
        <v>19</v>
      </c>
      <c r="AA1340" t="s">
        <v>3588</v>
      </c>
      <c r="AB1340" t="s">
        <v>3588</v>
      </c>
      <c r="AC1340" t="s">
        <v>3584</v>
      </c>
      <c r="AD1340" t="s">
        <v>3479</v>
      </c>
      <c r="AE1340" t="s">
        <v>3475</v>
      </c>
      <c r="AF1340" s="2">
        <v>2181.5625</v>
      </c>
      <c r="AG1340" s="2">
        <v>1320.6838</v>
      </c>
      <c r="AH1340" s="2">
        <v>860.87869999999998</v>
      </c>
      <c r="AI1340" s="3">
        <v>0.39461564818793898</v>
      </c>
    </row>
    <row r="1341" spans="1:35">
      <c r="A1341" s="1">
        <v>42300</v>
      </c>
      <c r="B1341" s="1">
        <v>37504</v>
      </c>
      <c r="C1341" t="s">
        <v>5649</v>
      </c>
      <c r="D1341">
        <v>389</v>
      </c>
      <c r="E1341">
        <v>17206</v>
      </c>
      <c r="F1341">
        <v>7</v>
      </c>
      <c r="G1341">
        <v>1</v>
      </c>
      <c r="H1341">
        <v>1</v>
      </c>
      <c r="I1341">
        <v>2</v>
      </c>
      <c r="J1341" t="s">
        <v>3571</v>
      </c>
      <c r="K1341" t="s">
        <v>3572</v>
      </c>
      <c r="L1341" s="2">
        <v>605.64919999999995</v>
      </c>
      <c r="M1341" s="2">
        <v>1000.4375</v>
      </c>
      <c r="N1341" t="s">
        <v>13</v>
      </c>
      <c r="O1341" t="s">
        <v>416</v>
      </c>
      <c r="P1341" t="s">
        <v>422</v>
      </c>
      <c r="Q1341" t="s">
        <v>7670</v>
      </c>
      <c r="R1341" s="1">
        <v>19736</v>
      </c>
      <c r="S1341" t="s">
        <v>16</v>
      </c>
      <c r="T1341" t="s">
        <v>16</v>
      </c>
      <c r="U1341" t="s">
        <v>2155</v>
      </c>
      <c r="V1341">
        <v>90000</v>
      </c>
      <c r="W1341">
        <v>3</v>
      </c>
      <c r="X1341" t="s">
        <v>57</v>
      </c>
      <c r="Y1341" t="s">
        <v>18</v>
      </c>
      <c r="Z1341" t="s">
        <v>23</v>
      </c>
      <c r="AA1341" t="s">
        <v>3583</v>
      </c>
      <c r="AB1341" t="s">
        <v>3583</v>
      </c>
      <c r="AC1341" t="s">
        <v>3584</v>
      </c>
      <c r="AD1341" t="s">
        <v>3479</v>
      </c>
      <c r="AE1341" t="s">
        <v>3475</v>
      </c>
      <c r="AF1341" s="2">
        <v>1000.4375</v>
      </c>
      <c r="AG1341" s="2">
        <v>605.64919999999995</v>
      </c>
      <c r="AH1341" s="2">
        <v>394.78829999999999</v>
      </c>
      <c r="AI1341" s="3">
        <v>0.39461565565065299</v>
      </c>
    </row>
    <row r="1342" spans="1:35">
      <c r="A1342" s="1">
        <v>42355</v>
      </c>
      <c r="B1342" s="1">
        <v>37497</v>
      </c>
      <c r="C1342" t="s">
        <v>6076</v>
      </c>
      <c r="D1342">
        <v>377</v>
      </c>
      <c r="E1342">
        <v>17207</v>
      </c>
      <c r="F1342">
        <v>10</v>
      </c>
      <c r="G1342">
        <v>1</v>
      </c>
      <c r="H1342">
        <v>1</v>
      </c>
      <c r="I1342">
        <v>2</v>
      </c>
      <c r="J1342" t="s">
        <v>3559</v>
      </c>
      <c r="K1342" t="s">
        <v>3560</v>
      </c>
      <c r="L1342" s="2">
        <v>1320.6838</v>
      </c>
      <c r="M1342" s="2">
        <v>2181.5625</v>
      </c>
      <c r="N1342" t="s">
        <v>13</v>
      </c>
      <c r="O1342" t="s">
        <v>46</v>
      </c>
      <c r="P1342" t="s">
        <v>25</v>
      </c>
      <c r="Q1342" t="s">
        <v>7671</v>
      </c>
      <c r="R1342" s="1">
        <v>19495</v>
      </c>
      <c r="S1342" t="s">
        <v>22</v>
      </c>
      <c r="T1342" t="s">
        <v>16</v>
      </c>
      <c r="U1342" t="s">
        <v>2156</v>
      </c>
      <c r="V1342">
        <v>80000</v>
      </c>
      <c r="W1342">
        <v>4</v>
      </c>
      <c r="X1342" t="s">
        <v>52</v>
      </c>
      <c r="Y1342" t="s">
        <v>18</v>
      </c>
      <c r="Z1342" t="s">
        <v>19</v>
      </c>
      <c r="AA1342" t="s">
        <v>3588</v>
      </c>
      <c r="AB1342" t="s">
        <v>3588</v>
      </c>
      <c r="AC1342" t="s">
        <v>3584</v>
      </c>
      <c r="AD1342" t="s">
        <v>3479</v>
      </c>
      <c r="AE1342" t="s">
        <v>3475</v>
      </c>
      <c r="AF1342" s="2">
        <v>2181.5625</v>
      </c>
      <c r="AG1342" s="2">
        <v>1320.6838</v>
      </c>
      <c r="AH1342" s="2">
        <v>860.87869999999998</v>
      </c>
      <c r="AI1342" s="3">
        <v>0.39461564818793898</v>
      </c>
    </row>
    <row r="1343" spans="1:35">
      <c r="A1343" s="1">
        <v>42346</v>
      </c>
      <c r="B1343" s="1">
        <v>37540</v>
      </c>
      <c r="C1343" t="s">
        <v>5975</v>
      </c>
      <c r="D1343">
        <v>370</v>
      </c>
      <c r="E1343">
        <v>17214</v>
      </c>
      <c r="F1343">
        <v>10</v>
      </c>
      <c r="G1343">
        <v>1</v>
      </c>
      <c r="H1343">
        <v>1</v>
      </c>
      <c r="I1343">
        <v>2</v>
      </c>
      <c r="J1343" t="s">
        <v>3551</v>
      </c>
      <c r="K1343" t="s">
        <v>3552</v>
      </c>
      <c r="L1343" s="2">
        <v>1518.7864</v>
      </c>
      <c r="M1343" s="2">
        <v>2443.35</v>
      </c>
      <c r="N1343" t="s">
        <v>13</v>
      </c>
      <c r="O1343" t="s">
        <v>170</v>
      </c>
      <c r="P1343" t="s">
        <v>210</v>
      </c>
      <c r="Q1343" t="s">
        <v>7672</v>
      </c>
      <c r="R1343" s="1">
        <v>19257</v>
      </c>
      <c r="S1343" t="s">
        <v>16</v>
      </c>
      <c r="T1343" t="s">
        <v>16</v>
      </c>
      <c r="U1343" t="s">
        <v>2157</v>
      </c>
      <c r="V1343">
        <v>130000</v>
      </c>
      <c r="W1343">
        <v>4</v>
      </c>
      <c r="X1343" t="s">
        <v>57</v>
      </c>
      <c r="Y1343" t="s">
        <v>18</v>
      </c>
      <c r="Z1343" t="s">
        <v>19</v>
      </c>
      <c r="AA1343" t="s">
        <v>3588</v>
      </c>
      <c r="AB1343" t="s">
        <v>3588</v>
      </c>
      <c r="AC1343" t="s">
        <v>3584</v>
      </c>
      <c r="AD1343" t="s">
        <v>3479</v>
      </c>
      <c r="AE1343" t="s">
        <v>3475</v>
      </c>
      <c r="AF1343" s="2">
        <v>2443.35</v>
      </c>
      <c r="AG1343" s="2">
        <v>1518.7864</v>
      </c>
      <c r="AH1343" s="2">
        <v>924.56359999999995</v>
      </c>
      <c r="AI1343" s="3">
        <v>0.37839998362903399</v>
      </c>
    </row>
    <row r="1344" spans="1:35">
      <c r="A1344" s="1">
        <v>42303</v>
      </c>
      <c r="B1344" s="1">
        <v>37456</v>
      </c>
      <c r="C1344" t="s">
        <v>5670</v>
      </c>
      <c r="D1344">
        <v>381</v>
      </c>
      <c r="E1344">
        <v>17216</v>
      </c>
      <c r="F1344">
        <v>7</v>
      </c>
      <c r="G1344">
        <v>1</v>
      </c>
      <c r="H1344">
        <v>1</v>
      </c>
      <c r="I1344">
        <v>2</v>
      </c>
      <c r="J1344" t="s">
        <v>3563</v>
      </c>
      <c r="K1344" t="s">
        <v>3564</v>
      </c>
      <c r="L1344" s="2">
        <v>605.64919999999995</v>
      </c>
      <c r="M1344" s="2">
        <v>1000.4375</v>
      </c>
      <c r="N1344" t="s">
        <v>30</v>
      </c>
      <c r="O1344" t="s">
        <v>1035</v>
      </c>
      <c r="P1344" t="s">
        <v>89</v>
      </c>
      <c r="Q1344" t="s">
        <v>7673</v>
      </c>
      <c r="R1344" s="1">
        <v>18424</v>
      </c>
      <c r="S1344" t="s">
        <v>16</v>
      </c>
      <c r="T1344" t="s">
        <v>29</v>
      </c>
      <c r="U1344" t="s">
        <v>2158</v>
      </c>
      <c r="V1344">
        <v>90000</v>
      </c>
      <c r="W1344">
        <v>4</v>
      </c>
      <c r="X1344" t="s">
        <v>57</v>
      </c>
      <c r="Y1344" t="s">
        <v>45</v>
      </c>
      <c r="Z1344" t="s">
        <v>19</v>
      </c>
      <c r="AA1344" t="s">
        <v>3583</v>
      </c>
      <c r="AB1344" t="s">
        <v>3583</v>
      </c>
      <c r="AC1344" t="s">
        <v>3584</v>
      </c>
      <c r="AD1344" t="s">
        <v>3479</v>
      </c>
      <c r="AE1344" t="s">
        <v>3475</v>
      </c>
      <c r="AF1344" s="2">
        <v>1000.4375</v>
      </c>
      <c r="AG1344" s="2">
        <v>605.64919999999995</v>
      </c>
      <c r="AH1344" s="2">
        <v>394.78829999999999</v>
      </c>
      <c r="AI1344" s="3">
        <v>0.39461565565065299</v>
      </c>
    </row>
    <row r="1345" spans="1:35">
      <c r="A1345" s="1">
        <v>42353</v>
      </c>
      <c r="B1345" s="1">
        <v>37505</v>
      </c>
      <c r="C1345" t="s">
        <v>6057</v>
      </c>
      <c r="D1345">
        <v>375</v>
      </c>
      <c r="E1345">
        <v>17218</v>
      </c>
      <c r="F1345">
        <v>10</v>
      </c>
      <c r="G1345">
        <v>1</v>
      </c>
      <c r="H1345">
        <v>1</v>
      </c>
      <c r="I1345">
        <v>2</v>
      </c>
      <c r="J1345" t="s">
        <v>3557</v>
      </c>
      <c r="K1345" t="s">
        <v>3558</v>
      </c>
      <c r="L1345" s="2">
        <v>1320.6838</v>
      </c>
      <c r="M1345" s="2">
        <v>2181.5625</v>
      </c>
      <c r="N1345" t="s">
        <v>13</v>
      </c>
      <c r="O1345" t="s">
        <v>1388</v>
      </c>
      <c r="P1345" t="s">
        <v>38</v>
      </c>
      <c r="Q1345" t="s">
        <v>7674</v>
      </c>
      <c r="R1345" s="1">
        <v>18342</v>
      </c>
      <c r="S1345" t="s">
        <v>16</v>
      </c>
      <c r="T1345" t="s">
        <v>16</v>
      </c>
      <c r="U1345" t="s">
        <v>2159</v>
      </c>
      <c r="V1345">
        <v>110000</v>
      </c>
      <c r="W1345">
        <v>4</v>
      </c>
      <c r="X1345" t="s">
        <v>57</v>
      </c>
      <c r="Y1345" t="s">
        <v>45</v>
      </c>
      <c r="Z1345" t="s">
        <v>19</v>
      </c>
      <c r="AA1345" t="s">
        <v>3588</v>
      </c>
      <c r="AB1345" t="s">
        <v>3588</v>
      </c>
      <c r="AC1345" t="s">
        <v>3584</v>
      </c>
      <c r="AD1345" t="s">
        <v>3479</v>
      </c>
      <c r="AE1345" t="s">
        <v>3475</v>
      </c>
      <c r="AF1345" s="2">
        <v>2181.5625</v>
      </c>
      <c r="AG1345" s="2">
        <v>1320.6838</v>
      </c>
      <c r="AH1345" s="2">
        <v>860.87869999999998</v>
      </c>
      <c r="AI1345" s="3">
        <v>0.39461564818793898</v>
      </c>
    </row>
    <row r="1346" spans="1:35">
      <c r="A1346" s="1">
        <v>42345</v>
      </c>
      <c r="B1346" s="1">
        <v>37509</v>
      </c>
      <c r="C1346" t="s">
        <v>5965</v>
      </c>
      <c r="D1346">
        <v>371</v>
      </c>
      <c r="E1346">
        <v>17225</v>
      </c>
      <c r="F1346">
        <v>10</v>
      </c>
      <c r="G1346">
        <v>1</v>
      </c>
      <c r="H1346">
        <v>1</v>
      </c>
      <c r="I1346">
        <v>2</v>
      </c>
      <c r="J1346" t="s">
        <v>3553</v>
      </c>
      <c r="K1346" t="s">
        <v>3554</v>
      </c>
      <c r="L1346" s="2">
        <v>1320.6838</v>
      </c>
      <c r="M1346" s="2">
        <v>2181.5625</v>
      </c>
      <c r="N1346" t="s">
        <v>13</v>
      </c>
      <c r="O1346" t="s">
        <v>1094</v>
      </c>
      <c r="P1346" t="s">
        <v>97</v>
      </c>
      <c r="Q1346" t="s">
        <v>7675</v>
      </c>
      <c r="R1346" s="1">
        <v>17685</v>
      </c>
      <c r="S1346" t="s">
        <v>16</v>
      </c>
      <c r="T1346" t="s">
        <v>16</v>
      </c>
      <c r="U1346" t="s">
        <v>2160</v>
      </c>
      <c r="V1346">
        <v>160000</v>
      </c>
      <c r="W1346">
        <v>5</v>
      </c>
      <c r="X1346" t="s">
        <v>77</v>
      </c>
      <c r="Y1346" t="s">
        <v>18</v>
      </c>
      <c r="Z1346" t="s">
        <v>19</v>
      </c>
      <c r="AA1346" t="s">
        <v>3588</v>
      </c>
      <c r="AB1346" t="s">
        <v>3588</v>
      </c>
      <c r="AC1346" t="s">
        <v>3584</v>
      </c>
      <c r="AD1346" t="s">
        <v>3479</v>
      </c>
      <c r="AE1346" t="s">
        <v>3475</v>
      </c>
      <c r="AF1346" s="2">
        <v>2181.5625</v>
      </c>
      <c r="AG1346" s="2">
        <v>1320.6838</v>
      </c>
      <c r="AH1346" s="2">
        <v>860.87869999999998</v>
      </c>
      <c r="AI1346" s="3">
        <v>0.39461564818793898</v>
      </c>
    </row>
    <row r="1347" spans="1:35">
      <c r="A1347" s="1">
        <v>42368</v>
      </c>
      <c r="B1347" s="1">
        <v>37535</v>
      </c>
      <c r="C1347" t="s">
        <v>6210</v>
      </c>
      <c r="D1347">
        <v>377</v>
      </c>
      <c r="E1347">
        <v>17626</v>
      </c>
      <c r="F1347">
        <v>10</v>
      </c>
      <c r="G1347">
        <v>1</v>
      </c>
      <c r="H1347">
        <v>1</v>
      </c>
      <c r="I1347">
        <v>2</v>
      </c>
      <c r="J1347" t="s">
        <v>3559</v>
      </c>
      <c r="K1347" t="s">
        <v>3560</v>
      </c>
      <c r="L1347" s="2">
        <v>1320.6838</v>
      </c>
      <c r="M1347" s="2">
        <v>2181.5625</v>
      </c>
      <c r="N1347" t="s">
        <v>13</v>
      </c>
      <c r="O1347" t="s">
        <v>316</v>
      </c>
      <c r="P1347" t="s">
        <v>220</v>
      </c>
      <c r="Q1347" t="s">
        <v>7676</v>
      </c>
      <c r="R1347" s="1">
        <v>27207</v>
      </c>
      <c r="S1347" t="s">
        <v>16</v>
      </c>
      <c r="T1347" t="s">
        <v>16</v>
      </c>
      <c r="U1347" t="s">
        <v>2161</v>
      </c>
      <c r="V1347">
        <v>40000</v>
      </c>
      <c r="W1347">
        <v>1</v>
      </c>
      <c r="X1347" t="s">
        <v>17</v>
      </c>
      <c r="Y1347" t="s">
        <v>53</v>
      </c>
      <c r="Z1347" t="s">
        <v>19</v>
      </c>
      <c r="AA1347" t="s">
        <v>3588</v>
      </c>
      <c r="AB1347" t="s">
        <v>3588</v>
      </c>
      <c r="AC1347" t="s">
        <v>3584</v>
      </c>
      <c r="AD1347" t="s">
        <v>3479</v>
      </c>
      <c r="AE1347" t="s">
        <v>3475</v>
      </c>
      <c r="AF1347" s="2">
        <v>2181.5625</v>
      </c>
      <c r="AG1347" s="2">
        <v>1320.6838</v>
      </c>
      <c r="AH1347" s="2">
        <v>860.87869999999998</v>
      </c>
      <c r="AI1347" s="3">
        <v>0.39461564818793898</v>
      </c>
    </row>
    <row r="1348" spans="1:35">
      <c r="A1348" s="1">
        <v>42339</v>
      </c>
      <c r="B1348" s="1">
        <v>37525</v>
      </c>
      <c r="C1348" t="s">
        <v>5901</v>
      </c>
      <c r="D1348">
        <v>379</v>
      </c>
      <c r="E1348">
        <v>17627</v>
      </c>
      <c r="F1348">
        <v>10</v>
      </c>
      <c r="G1348">
        <v>1</v>
      </c>
      <c r="H1348">
        <v>1</v>
      </c>
      <c r="I1348">
        <v>2</v>
      </c>
      <c r="J1348" t="s">
        <v>3561</v>
      </c>
      <c r="K1348" t="s">
        <v>3562</v>
      </c>
      <c r="L1348" s="2">
        <v>1320.6838</v>
      </c>
      <c r="M1348" s="2">
        <v>2181.5625</v>
      </c>
      <c r="N1348" t="s">
        <v>13</v>
      </c>
      <c r="O1348" t="s">
        <v>348</v>
      </c>
      <c r="P1348" t="s">
        <v>686</v>
      </c>
      <c r="Q1348" t="s">
        <v>7677</v>
      </c>
      <c r="R1348" s="1">
        <v>27281</v>
      </c>
      <c r="S1348" t="s">
        <v>16</v>
      </c>
      <c r="T1348" t="s">
        <v>16</v>
      </c>
      <c r="U1348" t="s">
        <v>2162</v>
      </c>
      <c r="V1348">
        <v>40000</v>
      </c>
      <c r="W1348">
        <v>1</v>
      </c>
      <c r="X1348" t="s">
        <v>17</v>
      </c>
      <c r="Y1348" t="s">
        <v>53</v>
      </c>
      <c r="Z1348" t="s">
        <v>19</v>
      </c>
      <c r="AA1348" t="s">
        <v>3588</v>
      </c>
      <c r="AB1348" t="s">
        <v>3588</v>
      </c>
      <c r="AC1348" t="s">
        <v>3584</v>
      </c>
      <c r="AD1348" t="s">
        <v>3479</v>
      </c>
      <c r="AE1348" t="s">
        <v>3475</v>
      </c>
      <c r="AF1348" s="2">
        <v>2181.5625</v>
      </c>
      <c r="AG1348" s="2">
        <v>1320.6838</v>
      </c>
      <c r="AH1348" s="2">
        <v>860.87869999999998</v>
      </c>
      <c r="AI1348" s="3">
        <v>0.39461564818793898</v>
      </c>
    </row>
    <row r="1349" spans="1:35">
      <c r="A1349" s="1">
        <v>42324</v>
      </c>
      <c r="B1349" s="1">
        <v>37481</v>
      </c>
      <c r="C1349" t="s">
        <v>5791</v>
      </c>
      <c r="D1349">
        <v>385</v>
      </c>
      <c r="E1349">
        <v>17633</v>
      </c>
      <c r="F1349">
        <v>7</v>
      </c>
      <c r="G1349">
        <v>1</v>
      </c>
      <c r="H1349">
        <v>1</v>
      </c>
      <c r="I1349">
        <v>2</v>
      </c>
      <c r="J1349" t="s">
        <v>3567</v>
      </c>
      <c r="K1349" t="s">
        <v>3568</v>
      </c>
      <c r="L1349" s="2">
        <v>605.64919999999995</v>
      </c>
      <c r="M1349" s="2">
        <v>1000.4375</v>
      </c>
      <c r="N1349" t="s">
        <v>13</v>
      </c>
      <c r="O1349" t="s">
        <v>480</v>
      </c>
      <c r="P1349" t="s">
        <v>97</v>
      </c>
      <c r="Q1349" t="s">
        <v>7678</v>
      </c>
      <c r="R1349" s="1">
        <v>26610</v>
      </c>
      <c r="S1349" t="s">
        <v>22</v>
      </c>
      <c r="T1349" t="s">
        <v>16</v>
      </c>
      <c r="U1349" t="s">
        <v>2163</v>
      </c>
      <c r="V1349">
        <v>20000</v>
      </c>
      <c r="W1349">
        <v>0</v>
      </c>
      <c r="X1349" t="s">
        <v>77</v>
      </c>
      <c r="Y1349" t="s">
        <v>444</v>
      </c>
      <c r="Z1349" t="s">
        <v>23</v>
      </c>
      <c r="AA1349" t="s">
        <v>3583</v>
      </c>
      <c r="AB1349" t="s">
        <v>3583</v>
      </c>
      <c r="AC1349" t="s">
        <v>3584</v>
      </c>
      <c r="AD1349" t="s">
        <v>3479</v>
      </c>
      <c r="AE1349" t="s">
        <v>3475</v>
      </c>
      <c r="AF1349" s="2">
        <v>1000.4375</v>
      </c>
      <c r="AG1349" s="2">
        <v>605.64919999999995</v>
      </c>
      <c r="AH1349" s="2">
        <v>394.78829999999999</v>
      </c>
      <c r="AI1349" s="3">
        <v>0.39461565565065299</v>
      </c>
    </row>
    <row r="1350" spans="1:35">
      <c r="A1350" s="1">
        <v>42329</v>
      </c>
      <c r="B1350" s="1">
        <v>37498</v>
      </c>
      <c r="C1350" t="s">
        <v>5825</v>
      </c>
      <c r="D1350">
        <v>385</v>
      </c>
      <c r="E1350">
        <v>17634</v>
      </c>
      <c r="F1350">
        <v>7</v>
      </c>
      <c r="G1350">
        <v>1</v>
      </c>
      <c r="H1350">
        <v>1</v>
      </c>
      <c r="I1350">
        <v>2</v>
      </c>
      <c r="J1350" t="s">
        <v>3567</v>
      </c>
      <c r="K1350" t="s">
        <v>3568</v>
      </c>
      <c r="L1350" s="2">
        <v>605.64919999999995</v>
      </c>
      <c r="M1350" s="2">
        <v>1000.4375</v>
      </c>
      <c r="N1350" t="s">
        <v>26</v>
      </c>
      <c r="O1350" t="s">
        <v>1060</v>
      </c>
      <c r="P1350" t="s">
        <v>830</v>
      </c>
      <c r="Q1350" t="s">
        <v>7679</v>
      </c>
      <c r="R1350" s="1">
        <v>26455</v>
      </c>
      <c r="S1350" t="s">
        <v>22</v>
      </c>
      <c r="T1350" t="s">
        <v>29</v>
      </c>
      <c r="U1350" t="s">
        <v>2164</v>
      </c>
      <c r="V1350">
        <v>20000</v>
      </c>
      <c r="W1350">
        <v>0</v>
      </c>
      <c r="X1350" t="s">
        <v>77</v>
      </c>
      <c r="Y1350" t="s">
        <v>444</v>
      </c>
      <c r="Z1350" t="s">
        <v>23</v>
      </c>
      <c r="AA1350" t="s">
        <v>3583</v>
      </c>
      <c r="AB1350" t="s">
        <v>3583</v>
      </c>
      <c r="AC1350" t="s">
        <v>3584</v>
      </c>
      <c r="AD1350" t="s">
        <v>3479</v>
      </c>
      <c r="AE1350" t="s">
        <v>3475</v>
      </c>
      <c r="AF1350" s="2">
        <v>1000.4375</v>
      </c>
      <c r="AG1350" s="2">
        <v>605.64919999999995</v>
      </c>
      <c r="AH1350" s="2">
        <v>394.78829999999999</v>
      </c>
      <c r="AI1350" s="3">
        <v>0.39461565565065299</v>
      </c>
    </row>
    <row r="1351" spans="1:35">
      <c r="A1351" s="1">
        <v>42335</v>
      </c>
      <c r="B1351" s="1">
        <v>37468</v>
      </c>
      <c r="C1351" t="s">
        <v>5872</v>
      </c>
      <c r="D1351">
        <v>389</v>
      </c>
      <c r="E1351">
        <v>17641</v>
      </c>
      <c r="F1351">
        <v>7</v>
      </c>
      <c r="G1351">
        <v>1</v>
      </c>
      <c r="H1351">
        <v>1</v>
      </c>
      <c r="I1351">
        <v>2</v>
      </c>
      <c r="J1351" t="s">
        <v>3571</v>
      </c>
      <c r="K1351" t="s">
        <v>3572</v>
      </c>
      <c r="L1351" s="2">
        <v>605.64919999999995</v>
      </c>
      <c r="M1351" s="2">
        <v>1000.4375</v>
      </c>
      <c r="N1351" t="s">
        <v>13</v>
      </c>
      <c r="O1351" t="s">
        <v>2165</v>
      </c>
      <c r="P1351" t="s">
        <v>2166</v>
      </c>
      <c r="Q1351" t="s">
        <v>7680</v>
      </c>
      <c r="R1351" s="1">
        <v>26007</v>
      </c>
      <c r="S1351" t="s">
        <v>22</v>
      </c>
      <c r="T1351" t="s">
        <v>16</v>
      </c>
      <c r="U1351" t="s">
        <v>2167</v>
      </c>
      <c r="V1351">
        <v>20000</v>
      </c>
      <c r="W1351">
        <v>0</v>
      </c>
      <c r="X1351" t="s">
        <v>77</v>
      </c>
      <c r="Y1351" t="s">
        <v>444</v>
      </c>
      <c r="Z1351" t="s">
        <v>23</v>
      </c>
      <c r="AA1351" t="s">
        <v>3583</v>
      </c>
      <c r="AB1351" t="s">
        <v>3583</v>
      </c>
      <c r="AC1351" t="s">
        <v>3584</v>
      </c>
      <c r="AD1351" t="s">
        <v>3479</v>
      </c>
      <c r="AE1351" t="s">
        <v>3475</v>
      </c>
      <c r="AF1351" s="2">
        <v>1000.4375</v>
      </c>
      <c r="AG1351" s="2">
        <v>605.64919999999995</v>
      </c>
      <c r="AH1351" s="2">
        <v>394.78829999999999</v>
      </c>
      <c r="AI1351" s="3">
        <v>0.39461565565065299</v>
      </c>
    </row>
    <row r="1352" spans="1:35">
      <c r="A1352" s="1">
        <v>42356</v>
      </c>
      <c r="B1352" s="1">
        <v>37527</v>
      </c>
      <c r="C1352" t="s">
        <v>6088</v>
      </c>
      <c r="D1352">
        <v>387</v>
      </c>
      <c r="E1352">
        <v>17646</v>
      </c>
      <c r="F1352">
        <v>7</v>
      </c>
      <c r="G1352">
        <v>1</v>
      </c>
      <c r="H1352">
        <v>1</v>
      </c>
      <c r="I1352">
        <v>2</v>
      </c>
      <c r="J1352" t="s">
        <v>3569</v>
      </c>
      <c r="K1352" t="s">
        <v>3570</v>
      </c>
      <c r="L1352" s="2">
        <v>605.64919999999995</v>
      </c>
      <c r="M1352" s="2">
        <v>1000.4375</v>
      </c>
      <c r="N1352" t="s">
        <v>26</v>
      </c>
      <c r="O1352" t="s">
        <v>167</v>
      </c>
      <c r="P1352" t="s">
        <v>474</v>
      </c>
      <c r="Q1352" t="s">
        <v>7681</v>
      </c>
      <c r="R1352" s="1">
        <v>26050</v>
      </c>
      <c r="S1352" t="s">
        <v>22</v>
      </c>
      <c r="T1352" t="s">
        <v>29</v>
      </c>
      <c r="U1352" t="s">
        <v>2168</v>
      </c>
      <c r="V1352">
        <v>30000</v>
      </c>
      <c r="W1352">
        <v>0</v>
      </c>
      <c r="X1352" t="s">
        <v>57</v>
      </c>
      <c r="Y1352" t="s">
        <v>444</v>
      </c>
      <c r="Z1352" t="s">
        <v>23</v>
      </c>
      <c r="AA1352" t="s">
        <v>3583</v>
      </c>
      <c r="AB1352" t="s">
        <v>3583</v>
      </c>
      <c r="AC1352" t="s">
        <v>3584</v>
      </c>
      <c r="AD1352" t="s">
        <v>3479</v>
      </c>
      <c r="AE1352" t="s">
        <v>3475</v>
      </c>
      <c r="AF1352" s="2">
        <v>1000.4375</v>
      </c>
      <c r="AG1352" s="2">
        <v>605.64919999999995</v>
      </c>
      <c r="AH1352" s="2">
        <v>394.78829999999999</v>
      </c>
      <c r="AI1352" s="3">
        <v>0.39461565565065299</v>
      </c>
    </row>
    <row r="1353" spans="1:35">
      <c r="A1353" s="1">
        <v>42344</v>
      </c>
      <c r="B1353" s="1">
        <v>37570</v>
      </c>
      <c r="C1353" t="s">
        <v>5951</v>
      </c>
      <c r="D1353">
        <v>385</v>
      </c>
      <c r="E1353">
        <v>17647</v>
      </c>
      <c r="F1353">
        <v>7</v>
      </c>
      <c r="G1353">
        <v>1</v>
      </c>
      <c r="H1353">
        <v>1</v>
      </c>
      <c r="I1353">
        <v>2</v>
      </c>
      <c r="J1353" t="s">
        <v>3567</v>
      </c>
      <c r="K1353" t="s">
        <v>3568</v>
      </c>
      <c r="L1353" s="2">
        <v>605.64919999999995</v>
      </c>
      <c r="M1353" s="2">
        <v>1000.4375</v>
      </c>
      <c r="N1353" t="s">
        <v>30</v>
      </c>
      <c r="O1353" t="s">
        <v>305</v>
      </c>
      <c r="P1353" t="s">
        <v>125</v>
      </c>
      <c r="Q1353" t="s">
        <v>7682</v>
      </c>
      <c r="R1353" s="1">
        <v>26252</v>
      </c>
      <c r="S1353" t="s">
        <v>22</v>
      </c>
      <c r="T1353" t="s">
        <v>29</v>
      </c>
      <c r="U1353" t="s">
        <v>2169</v>
      </c>
      <c r="V1353">
        <v>40000</v>
      </c>
      <c r="W1353">
        <v>2</v>
      </c>
      <c r="X1353" t="s">
        <v>52</v>
      </c>
      <c r="Y1353" t="s">
        <v>60</v>
      </c>
      <c r="Z1353" t="s">
        <v>19</v>
      </c>
      <c r="AA1353" t="s">
        <v>3583</v>
      </c>
      <c r="AB1353" t="s">
        <v>3583</v>
      </c>
      <c r="AC1353" t="s">
        <v>3584</v>
      </c>
      <c r="AD1353" t="s">
        <v>3479</v>
      </c>
      <c r="AE1353" t="s">
        <v>3475</v>
      </c>
      <c r="AF1353" s="2">
        <v>1000.4375</v>
      </c>
      <c r="AG1353" s="2">
        <v>605.64919999999995</v>
      </c>
      <c r="AH1353" s="2">
        <v>394.78829999999999</v>
      </c>
      <c r="AI1353" s="3">
        <v>0.39461565565065299</v>
      </c>
    </row>
    <row r="1354" spans="1:35">
      <c r="A1354" s="1">
        <v>42365</v>
      </c>
      <c r="B1354" s="1">
        <v>37586</v>
      </c>
      <c r="C1354" t="s">
        <v>6180</v>
      </c>
      <c r="D1354">
        <v>385</v>
      </c>
      <c r="E1354">
        <v>17648</v>
      </c>
      <c r="F1354">
        <v>7</v>
      </c>
      <c r="G1354">
        <v>1</v>
      </c>
      <c r="H1354">
        <v>1</v>
      </c>
      <c r="I1354">
        <v>2</v>
      </c>
      <c r="J1354" t="s">
        <v>3567</v>
      </c>
      <c r="K1354" t="s">
        <v>3568</v>
      </c>
      <c r="L1354" s="2">
        <v>605.64919999999995</v>
      </c>
      <c r="M1354" s="2">
        <v>1000.4375</v>
      </c>
      <c r="N1354" t="s">
        <v>13</v>
      </c>
      <c r="O1354" t="s">
        <v>130</v>
      </c>
      <c r="P1354" t="s">
        <v>664</v>
      </c>
      <c r="Q1354" t="s">
        <v>7683</v>
      </c>
      <c r="R1354" s="1">
        <v>26040</v>
      </c>
      <c r="S1354" t="s">
        <v>22</v>
      </c>
      <c r="T1354" t="s">
        <v>16</v>
      </c>
      <c r="U1354" t="s">
        <v>2170</v>
      </c>
      <c r="V1354">
        <v>40000</v>
      </c>
      <c r="W1354">
        <v>2</v>
      </c>
      <c r="X1354" t="s">
        <v>52</v>
      </c>
      <c r="Y1354" t="s">
        <v>60</v>
      </c>
      <c r="Z1354" t="s">
        <v>19</v>
      </c>
      <c r="AA1354" t="s">
        <v>3583</v>
      </c>
      <c r="AB1354" t="s">
        <v>3583</v>
      </c>
      <c r="AC1354" t="s">
        <v>3584</v>
      </c>
      <c r="AD1354" t="s">
        <v>3479</v>
      </c>
      <c r="AE1354" t="s">
        <v>3475</v>
      </c>
      <c r="AF1354" s="2">
        <v>1000.4375</v>
      </c>
      <c r="AG1354" s="2">
        <v>605.64919999999995</v>
      </c>
      <c r="AH1354" s="2">
        <v>394.78829999999999</v>
      </c>
      <c r="AI1354" s="3">
        <v>0.39461565565065299</v>
      </c>
    </row>
    <row r="1355" spans="1:35">
      <c r="A1355" s="1">
        <v>42343</v>
      </c>
      <c r="B1355" s="1">
        <v>37563</v>
      </c>
      <c r="C1355" t="s">
        <v>5941</v>
      </c>
      <c r="D1355">
        <v>389</v>
      </c>
      <c r="E1355">
        <v>17651</v>
      </c>
      <c r="F1355">
        <v>7</v>
      </c>
      <c r="G1355">
        <v>1</v>
      </c>
      <c r="H1355">
        <v>1</v>
      </c>
      <c r="I1355">
        <v>2</v>
      </c>
      <c r="J1355" t="s">
        <v>3571</v>
      </c>
      <c r="K1355" t="s">
        <v>3572</v>
      </c>
      <c r="L1355" s="2">
        <v>605.64919999999995</v>
      </c>
      <c r="M1355" s="2">
        <v>1000.4375</v>
      </c>
      <c r="N1355" t="s">
        <v>13</v>
      </c>
      <c r="O1355" t="s">
        <v>67</v>
      </c>
      <c r="P1355" t="s">
        <v>148</v>
      </c>
      <c r="Q1355" t="s">
        <v>7684</v>
      </c>
      <c r="R1355" s="1">
        <v>25624</v>
      </c>
      <c r="S1355" t="s">
        <v>22</v>
      </c>
      <c r="T1355" t="s">
        <v>16</v>
      </c>
      <c r="U1355" t="s">
        <v>2171</v>
      </c>
      <c r="V1355">
        <v>40000</v>
      </c>
      <c r="W1355">
        <v>2</v>
      </c>
      <c r="X1355" t="s">
        <v>52</v>
      </c>
      <c r="Y1355" t="s">
        <v>60</v>
      </c>
      <c r="Z1355" t="s">
        <v>19</v>
      </c>
      <c r="AA1355" t="s">
        <v>3583</v>
      </c>
      <c r="AB1355" t="s">
        <v>3583</v>
      </c>
      <c r="AC1355" t="s">
        <v>3584</v>
      </c>
      <c r="AD1355" t="s">
        <v>3479</v>
      </c>
      <c r="AE1355" t="s">
        <v>3475</v>
      </c>
      <c r="AF1355" s="2">
        <v>1000.4375</v>
      </c>
      <c r="AG1355" s="2">
        <v>605.64919999999995</v>
      </c>
      <c r="AH1355" s="2">
        <v>394.78829999999999</v>
      </c>
      <c r="AI1355" s="3">
        <v>0.39461565565065299</v>
      </c>
    </row>
    <row r="1356" spans="1:35">
      <c r="A1356" s="1">
        <v>42021</v>
      </c>
      <c r="B1356" s="1">
        <v>37163</v>
      </c>
      <c r="C1356" t="s">
        <v>3686</v>
      </c>
      <c r="D1356">
        <v>334</v>
      </c>
      <c r="E1356">
        <v>18008</v>
      </c>
      <c r="F1356">
        <v>7</v>
      </c>
      <c r="G1356">
        <v>1</v>
      </c>
      <c r="H1356">
        <v>1</v>
      </c>
      <c r="I1356">
        <v>2</v>
      </c>
      <c r="J1356" t="s">
        <v>3509</v>
      </c>
      <c r="K1356" t="s">
        <v>3510</v>
      </c>
      <c r="L1356" s="2">
        <v>413.1463</v>
      </c>
      <c r="M1356" s="2">
        <v>699.09820000000002</v>
      </c>
      <c r="N1356" t="s">
        <v>30</v>
      </c>
      <c r="O1356" t="s">
        <v>128</v>
      </c>
      <c r="P1356" t="s">
        <v>79</v>
      </c>
      <c r="Q1356" t="s">
        <v>7685</v>
      </c>
      <c r="R1356" s="1">
        <v>24003</v>
      </c>
      <c r="S1356" t="s">
        <v>22</v>
      </c>
      <c r="T1356" t="s">
        <v>29</v>
      </c>
      <c r="U1356" t="s">
        <v>2172</v>
      </c>
      <c r="V1356">
        <v>30000</v>
      </c>
      <c r="W1356">
        <v>2</v>
      </c>
      <c r="X1356" t="s">
        <v>52</v>
      </c>
      <c r="Y1356" t="s">
        <v>60</v>
      </c>
      <c r="Z1356" t="s">
        <v>19</v>
      </c>
      <c r="AA1356" t="s">
        <v>3583</v>
      </c>
      <c r="AB1356" t="s">
        <v>3583</v>
      </c>
      <c r="AC1356" t="s">
        <v>3584</v>
      </c>
      <c r="AD1356" t="s">
        <v>3479</v>
      </c>
      <c r="AE1356" t="s">
        <v>3475</v>
      </c>
      <c r="AF1356" s="2">
        <v>699.09820000000002</v>
      </c>
      <c r="AG1356" s="2">
        <v>413.1463</v>
      </c>
      <c r="AH1356" s="2">
        <v>285.95190000000002</v>
      </c>
      <c r="AI1356" s="3">
        <v>0.409029661355157</v>
      </c>
    </row>
    <row r="1357" spans="1:35">
      <c r="A1357" s="1">
        <v>42031</v>
      </c>
      <c r="B1357" s="1">
        <v>37239</v>
      </c>
      <c r="C1357" t="s">
        <v>3748</v>
      </c>
      <c r="D1357">
        <v>328</v>
      </c>
      <c r="E1357">
        <v>18009</v>
      </c>
      <c r="F1357">
        <v>7</v>
      </c>
      <c r="G1357">
        <v>1</v>
      </c>
      <c r="H1357">
        <v>1</v>
      </c>
      <c r="I1357">
        <v>2</v>
      </c>
      <c r="J1357" t="s">
        <v>3503</v>
      </c>
      <c r="K1357" t="s">
        <v>3504</v>
      </c>
      <c r="L1357" s="2">
        <v>413.1463</v>
      </c>
      <c r="M1357" s="2">
        <v>699.09820000000002</v>
      </c>
      <c r="N1357" t="s">
        <v>30</v>
      </c>
      <c r="O1357" t="s">
        <v>128</v>
      </c>
      <c r="P1357" t="s">
        <v>353</v>
      </c>
      <c r="Q1357" t="s">
        <v>7686</v>
      </c>
      <c r="R1357" s="1">
        <v>23866</v>
      </c>
      <c r="S1357" t="s">
        <v>22</v>
      </c>
      <c r="T1357" t="s">
        <v>29</v>
      </c>
      <c r="U1357" t="s">
        <v>2173</v>
      </c>
      <c r="V1357">
        <v>30000</v>
      </c>
      <c r="W1357">
        <v>2</v>
      </c>
      <c r="X1357" t="s">
        <v>52</v>
      </c>
      <c r="Y1357" t="s">
        <v>60</v>
      </c>
      <c r="Z1357" t="s">
        <v>19</v>
      </c>
      <c r="AA1357" t="s">
        <v>3583</v>
      </c>
      <c r="AB1357" t="s">
        <v>3583</v>
      </c>
      <c r="AC1357" t="s">
        <v>3584</v>
      </c>
      <c r="AD1357" t="s">
        <v>3479</v>
      </c>
      <c r="AE1357" t="s">
        <v>3475</v>
      </c>
      <c r="AF1357" s="2">
        <v>699.09820000000002</v>
      </c>
      <c r="AG1357" s="2">
        <v>413.1463</v>
      </c>
      <c r="AH1357" s="2">
        <v>285.95190000000002</v>
      </c>
      <c r="AI1357" s="3">
        <v>0.409029661355157</v>
      </c>
    </row>
    <row r="1358" spans="1:35">
      <c r="A1358" s="1">
        <v>42041</v>
      </c>
      <c r="B1358" s="1">
        <v>37271</v>
      </c>
      <c r="C1358" t="s">
        <v>3810</v>
      </c>
      <c r="D1358">
        <v>324</v>
      </c>
      <c r="E1358">
        <v>18010</v>
      </c>
      <c r="F1358">
        <v>7</v>
      </c>
      <c r="G1358">
        <v>1</v>
      </c>
      <c r="H1358">
        <v>1</v>
      </c>
      <c r="I1358">
        <v>2</v>
      </c>
      <c r="J1358" t="s">
        <v>3499</v>
      </c>
      <c r="K1358" t="s">
        <v>3500</v>
      </c>
      <c r="L1358" s="2">
        <v>413.1463</v>
      </c>
      <c r="M1358" s="2">
        <v>699.09820000000002</v>
      </c>
      <c r="N1358" t="s">
        <v>13</v>
      </c>
      <c r="O1358" t="s">
        <v>58</v>
      </c>
      <c r="P1358" t="s">
        <v>476</v>
      </c>
      <c r="Q1358" t="s">
        <v>7687</v>
      </c>
      <c r="R1358" s="1">
        <v>23872</v>
      </c>
      <c r="S1358" t="s">
        <v>22</v>
      </c>
      <c r="T1358" t="s">
        <v>16</v>
      </c>
      <c r="U1358" t="s">
        <v>2174</v>
      </c>
      <c r="V1358">
        <v>30000</v>
      </c>
      <c r="W1358">
        <v>2</v>
      </c>
      <c r="X1358" t="s">
        <v>52</v>
      </c>
      <c r="Y1358" t="s">
        <v>60</v>
      </c>
      <c r="Z1358" t="s">
        <v>19</v>
      </c>
      <c r="AA1358" t="s">
        <v>3583</v>
      </c>
      <c r="AB1358" t="s">
        <v>3583</v>
      </c>
      <c r="AC1358" t="s">
        <v>3584</v>
      </c>
      <c r="AD1358" t="s">
        <v>3479</v>
      </c>
      <c r="AE1358" t="s">
        <v>3475</v>
      </c>
      <c r="AF1358" s="2">
        <v>699.09820000000002</v>
      </c>
      <c r="AG1358" s="2">
        <v>413.1463</v>
      </c>
      <c r="AH1358" s="2">
        <v>285.95190000000002</v>
      </c>
      <c r="AI1358" s="3">
        <v>0.409029661355157</v>
      </c>
    </row>
    <row r="1359" spans="1:35">
      <c r="A1359" s="1">
        <v>42039</v>
      </c>
      <c r="B1359" s="1">
        <v>37206</v>
      </c>
      <c r="C1359" t="s">
        <v>3797</v>
      </c>
      <c r="D1359">
        <v>330</v>
      </c>
      <c r="E1359">
        <v>18011</v>
      </c>
      <c r="F1359">
        <v>7</v>
      </c>
      <c r="G1359">
        <v>1</v>
      </c>
      <c r="H1359">
        <v>1</v>
      </c>
      <c r="I1359">
        <v>2</v>
      </c>
      <c r="J1359" t="s">
        <v>3505</v>
      </c>
      <c r="K1359" t="s">
        <v>3506</v>
      </c>
      <c r="L1359" s="2">
        <v>413.1463</v>
      </c>
      <c r="M1359" s="2">
        <v>699.09820000000002</v>
      </c>
      <c r="N1359" t="s">
        <v>13</v>
      </c>
      <c r="O1359" t="s">
        <v>448</v>
      </c>
      <c r="P1359" t="s">
        <v>529</v>
      </c>
      <c r="Q1359" t="s">
        <v>7688</v>
      </c>
      <c r="R1359" s="1">
        <v>23865</v>
      </c>
      <c r="S1359" t="s">
        <v>22</v>
      </c>
      <c r="T1359" t="s">
        <v>16</v>
      </c>
      <c r="U1359" t="s">
        <v>2175</v>
      </c>
      <c r="V1359">
        <v>30000</v>
      </c>
      <c r="W1359">
        <v>2</v>
      </c>
      <c r="X1359" t="s">
        <v>52</v>
      </c>
      <c r="Y1359" t="s">
        <v>60</v>
      </c>
      <c r="Z1359" t="s">
        <v>19</v>
      </c>
      <c r="AA1359" t="s">
        <v>3583</v>
      </c>
      <c r="AB1359" t="s">
        <v>3583</v>
      </c>
      <c r="AC1359" t="s">
        <v>3584</v>
      </c>
      <c r="AD1359" t="s">
        <v>3479</v>
      </c>
      <c r="AE1359" t="s">
        <v>3475</v>
      </c>
      <c r="AF1359" s="2">
        <v>699.09820000000002</v>
      </c>
      <c r="AG1359" s="2">
        <v>413.1463</v>
      </c>
      <c r="AH1359" s="2">
        <v>285.95190000000002</v>
      </c>
      <c r="AI1359" s="3">
        <v>0.409029661355157</v>
      </c>
    </row>
    <row r="1360" spans="1:35">
      <c r="A1360" s="1">
        <v>42046</v>
      </c>
      <c r="B1360" s="1">
        <v>37202</v>
      </c>
      <c r="C1360" t="s">
        <v>3846</v>
      </c>
      <c r="D1360">
        <v>330</v>
      </c>
      <c r="E1360">
        <v>18038</v>
      </c>
      <c r="F1360">
        <v>7</v>
      </c>
      <c r="G1360">
        <v>1</v>
      </c>
      <c r="H1360">
        <v>1</v>
      </c>
      <c r="I1360">
        <v>2</v>
      </c>
      <c r="J1360" t="s">
        <v>3505</v>
      </c>
      <c r="K1360" t="s">
        <v>3506</v>
      </c>
      <c r="L1360" s="2">
        <v>413.1463</v>
      </c>
      <c r="M1360" s="2">
        <v>699.09820000000002</v>
      </c>
      <c r="N1360" t="s">
        <v>26</v>
      </c>
      <c r="O1360" t="s">
        <v>500</v>
      </c>
      <c r="P1360" t="s">
        <v>194</v>
      </c>
      <c r="Q1360" t="s">
        <v>7689</v>
      </c>
      <c r="R1360" s="1">
        <v>27532</v>
      </c>
      <c r="S1360" t="s">
        <v>22</v>
      </c>
      <c r="T1360" t="s">
        <v>29</v>
      </c>
      <c r="U1360" t="s">
        <v>2176</v>
      </c>
      <c r="V1360">
        <v>30000</v>
      </c>
      <c r="W1360">
        <v>0</v>
      </c>
      <c r="X1360" t="s">
        <v>52</v>
      </c>
      <c r="Y1360" t="s">
        <v>60</v>
      </c>
      <c r="Z1360" t="s">
        <v>23</v>
      </c>
      <c r="AA1360" t="s">
        <v>3583</v>
      </c>
      <c r="AB1360" t="s">
        <v>3583</v>
      </c>
      <c r="AC1360" t="s">
        <v>3584</v>
      </c>
      <c r="AD1360" t="s">
        <v>3479</v>
      </c>
      <c r="AE1360" t="s">
        <v>3475</v>
      </c>
      <c r="AF1360" s="2">
        <v>699.09820000000002</v>
      </c>
      <c r="AG1360" s="2">
        <v>413.1463</v>
      </c>
      <c r="AH1360" s="2">
        <v>285.95190000000002</v>
      </c>
      <c r="AI1360" s="3">
        <v>0.409029661355157</v>
      </c>
    </row>
    <row r="1361" spans="1:35">
      <c r="A1361" s="1">
        <v>42070</v>
      </c>
      <c r="B1361" s="1">
        <v>37279</v>
      </c>
      <c r="C1361" t="s">
        <v>3990</v>
      </c>
      <c r="D1361">
        <v>324</v>
      </c>
      <c r="E1361">
        <v>18039</v>
      </c>
      <c r="F1361">
        <v>7</v>
      </c>
      <c r="G1361">
        <v>1</v>
      </c>
      <c r="H1361">
        <v>1</v>
      </c>
      <c r="I1361">
        <v>2</v>
      </c>
      <c r="J1361" t="s">
        <v>3499</v>
      </c>
      <c r="K1361" t="s">
        <v>3500</v>
      </c>
      <c r="L1361" s="2">
        <v>413.1463</v>
      </c>
      <c r="M1361" s="2">
        <v>699.09820000000002</v>
      </c>
      <c r="N1361" t="s">
        <v>13</v>
      </c>
      <c r="O1361" t="s">
        <v>608</v>
      </c>
      <c r="P1361" t="s">
        <v>406</v>
      </c>
      <c r="Q1361" t="s">
        <v>7690</v>
      </c>
      <c r="R1361" s="1">
        <v>27686</v>
      </c>
      <c r="S1361" t="s">
        <v>16</v>
      </c>
      <c r="T1361" t="s">
        <v>16</v>
      </c>
      <c r="U1361" t="s">
        <v>2177</v>
      </c>
      <c r="V1361">
        <v>30000</v>
      </c>
      <c r="W1361">
        <v>0</v>
      </c>
      <c r="X1361" t="s">
        <v>52</v>
      </c>
      <c r="Y1361" t="s">
        <v>60</v>
      </c>
      <c r="Z1361" t="s">
        <v>23</v>
      </c>
      <c r="AA1361" t="s">
        <v>3583</v>
      </c>
      <c r="AB1361" t="s">
        <v>3583</v>
      </c>
      <c r="AC1361" t="s">
        <v>3584</v>
      </c>
      <c r="AD1361" t="s">
        <v>3479</v>
      </c>
      <c r="AE1361" t="s">
        <v>3475</v>
      </c>
      <c r="AF1361" s="2">
        <v>699.09820000000002</v>
      </c>
      <c r="AG1361" s="2">
        <v>413.1463</v>
      </c>
      <c r="AH1361" s="2">
        <v>285.95190000000002</v>
      </c>
      <c r="AI1361" s="3">
        <v>0.409029661355157</v>
      </c>
    </row>
    <row r="1362" spans="1:35">
      <c r="A1362" s="1">
        <v>42089</v>
      </c>
      <c r="B1362" s="1">
        <v>37292</v>
      </c>
      <c r="C1362" t="s">
        <v>4114</v>
      </c>
      <c r="D1362">
        <v>332</v>
      </c>
      <c r="E1362">
        <v>18046</v>
      </c>
      <c r="F1362">
        <v>7</v>
      </c>
      <c r="G1362">
        <v>1</v>
      </c>
      <c r="H1362">
        <v>1</v>
      </c>
      <c r="I1362">
        <v>2</v>
      </c>
      <c r="J1362" t="s">
        <v>3507</v>
      </c>
      <c r="K1362" t="s">
        <v>3508</v>
      </c>
      <c r="L1362" s="2">
        <v>413.1463</v>
      </c>
      <c r="M1362" s="2">
        <v>699.09820000000002</v>
      </c>
      <c r="N1362" t="s">
        <v>13</v>
      </c>
      <c r="O1362" t="s">
        <v>1590</v>
      </c>
      <c r="P1362" t="s">
        <v>476</v>
      </c>
      <c r="Q1362" t="s">
        <v>7691</v>
      </c>
      <c r="R1362" s="1">
        <v>26910</v>
      </c>
      <c r="S1362" t="s">
        <v>22</v>
      </c>
      <c r="T1362" t="s">
        <v>16</v>
      </c>
      <c r="U1362" t="s">
        <v>2178</v>
      </c>
      <c r="V1362">
        <v>30000</v>
      </c>
      <c r="W1362">
        <v>0</v>
      </c>
      <c r="X1362" t="s">
        <v>52</v>
      </c>
      <c r="Y1362" t="s">
        <v>60</v>
      </c>
      <c r="Z1362" t="s">
        <v>23</v>
      </c>
      <c r="AA1362" t="s">
        <v>3583</v>
      </c>
      <c r="AB1362" t="s">
        <v>3583</v>
      </c>
      <c r="AC1362" t="s">
        <v>3584</v>
      </c>
      <c r="AD1362" t="s">
        <v>3479</v>
      </c>
      <c r="AE1362" t="s">
        <v>3475</v>
      </c>
      <c r="AF1362" s="2">
        <v>699.09820000000002</v>
      </c>
      <c r="AG1362" s="2">
        <v>413.1463</v>
      </c>
      <c r="AH1362" s="2">
        <v>285.95190000000002</v>
      </c>
      <c r="AI1362" s="3">
        <v>0.409029661355157</v>
      </c>
    </row>
    <row r="1363" spans="1:35">
      <c r="A1363" s="1">
        <v>42186</v>
      </c>
      <c r="B1363" s="1">
        <v>37364</v>
      </c>
      <c r="C1363" t="s">
        <v>4767</v>
      </c>
      <c r="D1363">
        <v>385</v>
      </c>
      <c r="E1363">
        <v>18047</v>
      </c>
      <c r="F1363">
        <v>8</v>
      </c>
      <c r="G1363">
        <v>1</v>
      </c>
      <c r="H1363">
        <v>1</v>
      </c>
      <c r="I1363">
        <v>2</v>
      </c>
      <c r="J1363" t="s">
        <v>3567</v>
      </c>
      <c r="K1363" t="s">
        <v>3568</v>
      </c>
      <c r="L1363" s="2">
        <v>605.64919999999995</v>
      </c>
      <c r="M1363" s="2">
        <v>1000.4375</v>
      </c>
      <c r="N1363" t="s">
        <v>26</v>
      </c>
      <c r="O1363" t="s">
        <v>200</v>
      </c>
      <c r="P1363" t="s">
        <v>214</v>
      </c>
      <c r="Q1363" t="s">
        <v>7692</v>
      </c>
      <c r="R1363" s="1">
        <v>27069</v>
      </c>
      <c r="S1363" t="s">
        <v>16</v>
      </c>
      <c r="T1363" t="s">
        <v>29</v>
      </c>
      <c r="U1363" t="s">
        <v>2179</v>
      </c>
      <c r="V1363">
        <v>30000</v>
      </c>
      <c r="W1363">
        <v>0</v>
      </c>
      <c r="X1363" t="s">
        <v>52</v>
      </c>
      <c r="Y1363" t="s">
        <v>60</v>
      </c>
      <c r="Z1363" t="s">
        <v>23</v>
      </c>
      <c r="AA1363" t="s">
        <v>3585</v>
      </c>
      <c r="AB1363" t="s">
        <v>3585</v>
      </c>
      <c r="AC1363" t="s">
        <v>3584</v>
      </c>
      <c r="AD1363" t="s">
        <v>3479</v>
      </c>
      <c r="AE1363" t="s">
        <v>3475</v>
      </c>
      <c r="AF1363" s="2">
        <v>1000.4375</v>
      </c>
      <c r="AG1363" s="2">
        <v>605.64919999999995</v>
      </c>
      <c r="AH1363" s="2">
        <v>394.78829999999999</v>
      </c>
      <c r="AI1363" s="3">
        <v>0.39461565565065299</v>
      </c>
    </row>
    <row r="1364" spans="1:35">
      <c r="A1364" s="1">
        <v>42187</v>
      </c>
      <c r="B1364" s="1">
        <v>37361</v>
      </c>
      <c r="C1364" t="s">
        <v>4772</v>
      </c>
      <c r="D1364">
        <v>381</v>
      </c>
      <c r="E1364">
        <v>18125</v>
      </c>
      <c r="F1364">
        <v>8</v>
      </c>
      <c r="G1364">
        <v>1</v>
      </c>
      <c r="H1364">
        <v>1</v>
      </c>
      <c r="I1364">
        <v>2</v>
      </c>
      <c r="J1364" t="s">
        <v>3563</v>
      </c>
      <c r="K1364" t="s">
        <v>3564</v>
      </c>
      <c r="L1364" s="2">
        <v>605.64919999999995</v>
      </c>
      <c r="M1364" s="2">
        <v>1000.4375</v>
      </c>
      <c r="N1364" t="s">
        <v>30</v>
      </c>
      <c r="O1364" t="s">
        <v>167</v>
      </c>
      <c r="P1364" t="s">
        <v>223</v>
      </c>
      <c r="Q1364" t="s">
        <v>7693</v>
      </c>
      <c r="R1364" s="1">
        <v>21325</v>
      </c>
      <c r="S1364" t="s">
        <v>16</v>
      </c>
      <c r="T1364" t="s">
        <v>29</v>
      </c>
      <c r="U1364" t="s">
        <v>2180</v>
      </c>
      <c r="V1364">
        <v>130000</v>
      </c>
      <c r="W1364">
        <v>2</v>
      </c>
      <c r="X1364" t="s">
        <v>17</v>
      </c>
      <c r="Y1364" t="s">
        <v>45</v>
      </c>
      <c r="Z1364" t="s">
        <v>19</v>
      </c>
      <c r="AA1364" t="s">
        <v>3585</v>
      </c>
      <c r="AB1364" t="s">
        <v>3585</v>
      </c>
      <c r="AC1364" t="s">
        <v>3584</v>
      </c>
      <c r="AD1364" t="s">
        <v>3479</v>
      </c>
      <c r="AE1364" t="s">
        <v>3475</v>
      </c>
      <c r="AF1364" s="2">
        <v>1000.4375</v>
      </c>
      <c r="AG1364" s="2">
        <v>605.64919999999995</v>
      </c>
      <c r="AH1364" s="2">
        <v>394.78829999999999</v>
      </c>
      <c r="AI1364" s="3">
        <v>0.39461565565065299</v>
      </c>
    </row>
    <row r="1365" spans="1:35">
      <c r="A1365" s="1">
        <v>42196</v>
      </c>
      <c r="B1365" s="1">
        <v>37405</v>
      </c>
      <c r="C1365" t="s">
        <v>4852</v>
      </c>
      <c r="D1365">
        <v>387</v>
      </c>
      <c r="E1365">
        <v>18130</v>
      </c>
      <c r="F1365">
        <v>8</v>
      </c>
      <c r="G1365">
        <v>1</v>
      </c>
      <c r="H1365">
        <v>1</v>
      </c>
      <c r="I1365">
        <v>2</v>
      </c>
      <c r="J1365" t="s">
        <v>3569</v>
      </c>
      <c r="K1365" t="s">
        <v>3570</v>
      </c>
      <c r="L1365" s="2">
        <v>605.64919999999995</v>
      </c>
      <c r="M1365" s="2">
        <v>1000.4375</v>
      </c>
      <c r="N1365" t="s">
        <v>30</v>
      </c>
      <c r="O1365" t="s">
        <v>703</v>
      </c>
      <c r="P1365" t="s">
        <v>481</v>
      </c>
      <c r="Q1365" t="s">
        <v>7694</v>
      </c>
      <c r="R1365" s="1">
        <v>20859</v>
      </c>
      <c r="S1365" t="s">
        <v>22</v>
      </c>
      <c r="T1365" t="s">
        <v>29</v>
      </c>
      <c r="U1365" t="s">
        <v>2181</v>
      </c>
      <c r="V1365">
        <v>130000</v>
      </c>
      <c r="W1365">
        <v>3</v>
      </c>
      <c r="X1365" t="s">
        <v>52</v>
      </c>
      <c r="Y1365" t="s">
        <v>18</v>
      </c>
      <c r="Z1365" t="s">
        <v>23</v>
      </c>
      <c r="AA1365" t="s">
        <v>3585</v>
      </c>
      <c r="AB1365" t="s">
        <v>3585</v>
      </c>
      <c r="AC1365" t="s">
        <v>3584</v>
      </c>
      <c r="AD1365" t="s">
        <v>3479</v>
      </c>
      <c r="AE1365" t="s">
        <v>3475</v>
      </c>
      <c r="AF1365" s="2">
        <v>1000.4375</v>
      </c>
      <c r="AG1365" s="2">
        <v>605.64919999999995</v>
      </c>
      <c r="AH1365" s="2">
        <v>394.78829999999999</v>
      </c>
      <c r="AI1365" s="3">
        <v>0.39461565565065299</v>
      </c>
    </row>
    <row r="1366" spans="1:35">
      <c r="A1366" s="1">
        <v>42082</v>
      </c>
      <c r="B1366" s="1">
        <v>37305</v>
      </c>
      <c r="C1366" t="s">
        <v>4062</v>
      </c>
      <c r="D1366">
        <v>320</v>
      </c>
      <c r="E1366">
        <v>18131</v>
      </c>
      <c r="F1366">
        <v>7</v>
      </c>
      <c r="G1366">
        <v>1</v>
      </c>
      <c r="H1366">
        <v>1</v>
      </c>
      <c r="I1366">
        <v>2</v>
      </c>
      <c r="J1366" t="s">
        <v>3495</v>
      </c>
      <c r="K1366" t="s">
        <v>3496</v>
      </c>
      <c r="L1366" s="2">
        <v>413.1463</v>
      </c>
      <c r="M1366" s="2">
        <v>699.09820000000002</v>
      </c>
      <c r="N1366" t="s">
        <v>30</v>
      </c>
      <c r="O1366" t="s">
        <v>805</v>
      </c>
      <c r="P1366" t="s">
        <v>465</v>
      </c>
      <c r="Q1366" t="s">
        <v>7695</v>
      </c>
      <c r="R1366" s="1">
        <v>20461</v>
      </c>
      <c r="S1366" t="s">
        <v>22</v>
      </c>
      <c r="T1366" t="s">
        <v>29</v>
      </c>
      <c r="U1366" t="s">
        <v>2182</v>
      </c>
      <c r="V1366">
        <v>110000</v>
      </c>
      <c r="W1366">
        <v>2</v>
      </c>
      <c r="X1366" t="s">
        <v>52</v>
      </c>
      <c r="Y1366" t="s">
        <v>18</v>
      </c>
      <c r="Z1366" t="s">
        <v>19</v>
      </c>
      <c r="AA1366" t="s">
        <v>3583</v>
      </c>
      <c r="AB1366" t="s">
        <v>3583</v>
      </c>
      <c r="AC1366" t="s">
        <v>3584</v>
      </c>
      <c r="AD1366" t="s">
        <v>3479</v>
      </c>
      <c r="AE1366" t="s">
        <v>3475</v>
      </c>
      <c r="AF1366" s="2">
        <v>699.09820000000002</v>
      </c>
      <c r="AG1366" s="2">
        <v>413.1463</v>
      </c>
      <c r="AH1366" s="2">
        <v>285.95190000000002</v>
      </c>
      <c r="AI1366" s="3">
        <v>0.409029661355157</v>
      </c>
    </row>
    <row r="1367" spans="1:35">
      <c r="A1367" s="1">
        <v>42080</v>
      </c>
      <c r="B1367" s="1">
        <v>37238</v>
      </c>
      <c r="C1367" t="s">
        <v>4045</v>
      </c>
      <c r="D1367">
        <v>322</v>
      </c>
      <c r="E1367">
        <v>18132</v>
      </c>
      <c r="F1367">
        <v>7</v>
      </c>
      <c r="G1367">
        <v>1</v>
      </c>
      <c r="H1367">
        <v>1</v>
      </c>
      <c r="I1367">
        <v>2</v>
      </c>
      <c r="J1367" t="s">
        <v>3497</v>
      </c>
      <c r="K1367" t="s">
        <v>3498</v>
      </c>
      <c r="L1367" s="2">
        <v>413.1463</v>
      </c>
      <c r="M1367" s="2">
        <v>699.09820000000002</v>
      </c>
      <c r="N1367" t="s">
        <v>30</v>
      </c>
      <c r="O1367" t="s">
        <v>566</v>
      </c>
      <c r="P1367" t="s">
        <v>220</v>
      </c>
      <c r="Q1367" t="s">
        <v>7696</v>
      </c>
      <c r="R1367" s="1">
        <v>20628</v>
      </c>
      <c r="S1367" t="s">
        <v>16</v>
      </c>
      <c r="T1367" t="s">
        <v>29</v>
      </c>
      <c r="U1367" t="s">
        <v>2183</v>
      </c>
      <c r="V1367">
        <v>110000</v>
      </c>
      <c r="W1367">
        <v>2</v>
      </c>
      <c r="X1367" t="s">
        <v>52</v>
      </c>
      <c r="Y1367" t="s">
        <v>18</v>
      </c>
      <c r="Z1367" t="s">
        <v>19</v>
      </c>
      <c r="AA1367" t="s">
        <v>3583</v>
      </c>
      <c r="AB1367" t="s">
        <v>3583</v>
      </c>
      <c r="AC1367" t="s">
        <v>3584</v>
      </c>
      <c r="AD1367" t="s">
        <v>3479</v>
      </c>
      <c r="AE1367" t="s">
        <v>3475</v>
      </c>
      <c r="AF1367" s="2">
        <v>699.09820000000002</v>
      </c>
      <c r="AG1367" s="2">
        <v>413.1463</v>
      </c>
      <c r="AH1367" s="2">
        <v>285.95190000000002</v>
      </c>
      <c r="AI1367" s="3">
        <v>0.409029661355157</v>
      </c>
    </row>
    <row r="1368" spans="1:35">
      <c r="A1368" s="1">
        <v>42226</v>
      </c>
      <c r="B1368" s="1">
        <v>37433</v>
      </c>
      <c r="C1368" t="s">
        <v>5089</v>
      </c>
      <c r="D1368">
        <v>389</v>
      </c>
      <c r="E1368">
        <v>18133</v>
      </c>
      <c r="F1368">
        <v>8</v>
      </c>
      <c r="G1368">
        <v>1</v>
      </c>
      <c r="H1368">
        <v>1</v>
      </c>
      <c r="I1368">
        <v>2</v>
      </c>
      <c r="J1368" t="s">
        <v>3571</v>
      </c>
      <c r="K1368" t="s">
        <v>3572</v>
      </c>
      <c r="L1368" s="2">
        <v>605.64919999999995</v>
      </c>
      <c r="M1368" s="2">
        <v>1000.4375</v>
      </c>
      <c r="N1368" t="s">
        <v>30</v>
      </c>
      <c r="O1368" t="s">
        <v>1576</v>
      </c>
      <c r="P1368" t="s">
        <v>672</v>
      </c>
      <c r="Q1368" t="s">
        <v>7697</v>
      </c>
      <c r="R1368" s="1">
        <v>20464</v>
      </c>
      <c r="S1368" t="s">
        <v>22</v>
      </c>
      <c r="T1368" t="s">
        <v>29</v>
      </c>
      <c r="U1368" t="s">
        <v>2184</v>
      </c>
      <c r="V1368">
        <v>120000</v>
      </c>
      <c r="W1368">
        <v>3</v>
      </c>
      <c r="X1368" t="s">
        <v>57</v>
      </c>
      <c r="Y1368" t="s">
        <v>18</v>
      </c>
      <c r="Z1368" t="s">
        <v>19</v>
      </c>
      <c r="AA1368" t="s">
        <v>3585</v>
      </c>
      <c r="AB1368" t="s">
        <v>3585</v>
      </c>
      <c r="AC1368" t="s">
        <v>3584</v>
      </c>
      <c r="AD1368" t="s">
        <v>3479</v>
      </c>
      <c r="AE1368" t="s">
        <v>3475</v>
      </c>
      <c r="AF1368" s="2">
        <v>1000.4375</v>
      </c>
      <c r="AG1368" s="2">
        <v>605.64919999999995</v>
      </c>
      <c r="AH1368" s="2">
        <v>394.78829999999999</v>
      </c>
      <c r="AI1368" s="3">
        <v>0.39461565565065299</v>
      </c>
    </row>
    <row r="1369" spans="1:35">
      <c r="A1369" s="1">
        <v>42231</v>
      </c>
      <c r="B1369" s="1">
        <v>37432</v>
      </c>
      <c r="C1369" t="s">
        <v>5133</v>
      </c>
      <c r="D1369">
        <v>385</v>
      </c>
      <c r="E1369">
        <v>18134</v>
      </c>
      <c r="F1369">
        <v>8</v>
      </c>
      <c r="G1369">
        <v>1</v>
      </c>
      <c r="H1369">
        <v>1</v>
      </c>
      <c r="I1369">
        <v>2</v>
      </c>
      <c r="J1369" t="s">
        <v>3567</v>
      </c>
      <c r="K1369" t="s">
        <v>3568</v>
      </c>
      <c r="L1369" s="2">
        <v>605.64919999999995</v>
      </c>
      <c r="M1369" s="2">
        <v>1000.4375</v>
      </c>
      <c r="N1369" t="s">
        <v>30</v>
      </c>
      <c r="O1369" t="s">
        <v>451</v>
      </c>
      <c r="P1369" t="s">
        <v>317</v>
      </c>
      <c r="Q1369" t="s">
        <v>7698</v>
      </c>
      <c r="R1369" s="1">
        <v>20480</v>
      </c>
      <c r="S1369" t="s">
        <v>16</v>
      </c>
      <c r="T1369" t="s">
        <v>29</v>
      </c>
      <c r="U1369" t="s">
        <v>2185</v>
      </c>
      <c r="V1369">
        <v>120000</v>
      </c>
      <c r="W1369">
        <v>3</v>
      </c>
      <c r="X1369" t="s">
        <v>57</v>
      </c>
      <c r="Y1369" t="s">
        <v>18</v>
      </c>
      <c r="Z1369" t="s">
        <v>19</v>
      </c>
      <c r="AA1369" t="s">
        <v>3585</v>
      </c>
      <c r="AB1369" t="s">
        <v>3585</v>
      </c>
      <c r="AC1369" t="s">
        <v>3584</v>
      </c>
      <c r="AD1369" t="s">
        <v>3479</v>
      </c>
      <c r="AE1369" t="s">
        <v>3475</v>
      </c>
      <c r="AF1369" s="2">
        <v>1000.4375</v>
      </c>
      <c r="AG1369" s="2">
        <v>605.64919999999995</v>
      </c>
      <c r="AH1369" s="2">
        <v>394.78829999999999</v>
      </c>
      <c r="AI1369" s="3">
        <v>0.39461565565065299</v>
      </c>
    </row>
    <row r="1370" spans="1:35">
      <c r="A1370" s="1">
        <v>42069</v>
      </c>
      <c r="B1370" s="1">
        <v>37225</v>
      </c>
      <c r="C1370" t="s">
        <v>3981</v>
      </c>
      <c r="D1370">
        <v>342</v>
      </c>
      <c r="E1370">
        <v>18137</v>
      </c>
      <c r="F1370">
        <v>7</v>
      </c>
      <c r="G1370">
        <v>1</v>
      </c>
      <c r="H1370">
        <v>1</v>
      </c>
      <c r="I1370">
        <v>2</v>
      </c>
      <c r="J1370" t="s">
        <v>3517</v>
      </c>
      <c r="K1370" t="s">
        <v>3518</v>
      </c>
      <c r="L1370" s="2">
        <v>413.1463</v>
      </c>
      <c r="M1370" s="2">
        <v>699.09820000000002</v>
      </c>
      <c r="N1370" t="s">
        <v>13</v>
      </c>
      <c r="O1370" t="s">
        <v>284</v>
      </c>
      <c r="P1370" t="s">
        <v>194</v>
      </c>
      <c r="Q1370" t="s">
        <v>7699</v>
      </c>
      <c r="R1370" s="1">
        <v>20100</v>
      </c>
      <c r="S1370" t="s">
        <v>16</v>
      </c>
      <c r="T1370" t="s">
        <v>16</v>
      </c>
      <c r="U1370" t="s">
        <v>2186</v>
      </c>
      <c r="V1370">
        <v>90000</v>
      </c>
      <c r="W1370">
        <v>2</v>
      </c>
      <c r="X1370" t="s">
        <v>57</v>
      </c>
      <c r="Y1370" t="s">
        <v>18</v>
      </c>
      <c r="Z1370" t="s">
        <v>19</v>
      </c>
      <c r="AA1370" t="s">
        <v>3583</v>
      </c>
      <c r="AB1370" t="s">
        <v>3583</v>
      </c>
      <c r="AC1370" t="s">
        <v>3584</v>
      </c>
      <c r="AD1370" t="s">
        <v>3479</v>
      </c>
      <c r="AE1370" t="s">
        <v>3475</v>
      </c>
      <c r="AF1370" s="2">
        <v>699.09820000000002</v>
      </c>
      <c r="AG1370" s="2">
        <v>413.1463</v>
      </c>
      <c r="AH1370" s="2">
        <v>285.95190000000002</v>
      </c>
      <c r="AI1370" s="3">
        <v>0.409029661355157</v>
      </c>
    </row>
    <row r="1371" spans="1:35">
      <c r="A1371" s="1">
        <v>42242</v>
      </c>
      <c r="B1371" s="1">
        <v>37454</v>
      </c>
      <c r="C1371" t="s">
        <v>5234</v>
      </c>
      <c r="D1371">
        <v>383</v>
      </c>
      <c r="E1371">
        <v>18139</v>
      </c>
      <c r="F1371">
        <v>8</v>
      </c>
      <c r="G1371">
        <v>1</v>
      </c>
      <c r="H1371">
        <v>1</v>
      </c>
      <c r="I1371">
        <v>2</v>
      </c>
      <c r="J1371" t="s">
        <v>3565</v>
      </c>
      <c r="K1371" t="s">
        <v>3566</v>
      </c>
      <c r="L1371" s="2">
        <v>605.64919999999995</v>
      </c>
      <c r="M1371" s="2">
        <v>1000.4375</v>
      </c>
      <c r="N1371" t="s">
        <v>30</v>
      </c>
      <c r="O1371" t="s">
        <v>98</v>
      </c>
      <c r="P1371" t="s">
        <v>594</v>
      </c>
      <c r="Q1371" t="s">
        <v>7700</v>
      </c>
      <c r="R1371" s="1">
        <v>20132</v>
      </c>
      <c r="S1371" t="s">
        <v>16</v>
      </c>
      <c r="T1371" t="s">
        <v>29</v>
      </c>
      <c r="U1371" t="s">
        <v>2187</v>
      </c>
      <c r="V1371">
        <v>120000</v>
      </c>
      <c r="W1371">
        <v>3</v>
      </c>
      <c r="X1371" t="s">
        <v>77</v>
      </c>
      <c r="Y1371" t="s">
        <v>18</v>
      </c>
      <c r="Z1371" t="s">
        <v>19</v>
      </c>
      <c r="AA1371" t="s">
        <v>3585</v>
      </c>
      <c r="AB1371" t="s">
        <v>3585</v>
      </c>
      <c r="AC1371" t="s">
        <v>3584</v>
      </c>
      <c r="AD1371" t="s">
        <v>3479</v>
      </c>
      <c r="AE1371" t="s">
        <v>3475</v>
      </c>
      <c r="AF1371" s="2">
        <v>1000.4375</v>
      </c>
      <c r="AG1371" s="2">
        <v>605.64919999999995</v>
      </c>
      <c r="AH1371" s="2">
        <v>394.78829999999999</v>
      </c>
      <c r="AI1371" s="3">
        <v>0.39461565565065299</v>
      </c>
    </row>
    <row r="1372" spans="1:35">
      <c r="A1372" s="1">
        <v>42240</v>
      </c>
      <c r="B1372" s="1">
        <v>37453</v>
      </c>
      <c r="C1372" t="s">
        <v>5209</v>
      </c>
      <c r="D1372">
        <v>381</v>
      </c>
      <c r="E1372">
        <v>18140</v>
      </c>
      <c r="F1372">
        <v>8</v>
      </c>
      <c r="G1372">
        <v>1</v>
      </c>
      <c r="H1372">
        <v>1</v>
      </c>
      <c r="I1372">
        <v>2</v>
      </c>
      <c r="J1372" t="s">
        <v>3563</v>
      </c>
      <c r="K1372" t="s">
        <v>3564</v>
      </c>
      <c r="L1372" s="2">
        <v>605.64919999999995</v>
      </c>
      <c r="M1372" s="2">
        <v>1000.4375</v>
      </c>
      <c r="N1372" t="s">
        <v>13</v>
      </c>
      <c r="O1372" t="s">
        <v>1449</v>
      </c>
      <c r="P1372" t="s">
        <v>688</v>
      </c>
      <c r="Q1372" t="s">
        <v>7701</v>
      </c>
      <c r="R1372" s="1">
        <v>20273</v>
      </c>
      <c r="S1372" t="s">
        <v>16</v>
      </c>
      <c r="T1372" t="s">
        <v>16</v>
      </c>
      <c r="U1372" t="s">
        <v>2188</v>
      </c>
      <c r="V1372">
        <v>130000</v>
      </c>
      <c r="W1372">
        <v>3</v>
      </c>
      <c r="X1372" t="s">
        <v>52</v>
      </c>
      <c r="Y1372" t="s">
        <v>18</v>
      </c>
      <c r="Z1372" t="s">
        <v>23</v>
      </c>
      <c r="AA1372" t="s">
        <v>3585</v>
      </c>
      <c r="AB1372" t="s">
        <v>3585</v>
      </c>
      <c r="AC1372" t="s">
        <v>3584</v>
      </c>
      <c r="AD1372" t="s">
        <v>3479</v>
      </c>
      <c r="AE1372" t="s">
        <v>3475</v>
      </c>
      <c r="AF1372" s="2">
        <v>1000.4375</v>
      </c>
      <c r="AG1372" s="2">
        <v>605.64919999999995</v>
      </c>
      <c r="AH1372" s="2">
        <v>394.78829999999999</v>
      </c>
      <c r="AI1372" s="3">
        <v>0.39461565565065299</v>
      </c>
    </row>
    <row r="1373" spans="1:35">
      <c r="A1373" s="1">
        <v>42101</v>
      </c>
      <c r="B1373" s="1">
        <v>37331</v>
      </c>
      <c r="C1373" t="s">
        <v>4174</v>
      </c>
      <c r="D1373">
        <v>340</v>
      </c>
      <c r="E1373">
        <v>18143</v>
      </c>
      <c r="F1373">
        <v>7</v>
      </c>
      <c r="G1373">
        <v>1</v>
      </c>
      <c r="H1373">
        <v>1</v>
      </c>
      <c r="I1373">
        <v>2</v>
      </c>
      <c r="J1373" t="s">
        <v>3515</v>
      </c>
      <c r="K1373" t="s">
        <v>3516</v>
      </c>
      <c r="L1373" s="2">
        <v>413.1463</v>
      </c>
      <c r="M1373" s="2">
        <v>699.09820000000002</v>
      </c>
      <c r="N1373" t="s">
        <v>13</v>
      </c>
      <c r="O1373" t="s">
        <v>193</v>
      </c>
      <c r="P1373" t="s">
        <v>271</v>
      </c>
      <c r="Q1373" t="s">
        <v>7702</v>
      </c>
      <c r="R1373" s="1">
        <v>16390</v>
      </c>
      <c r="S1373" t="s">
        <v>22</v>
      </c>
      <c r="T1373" t="s">
        <v>16</v>
      </c>
      <c r="U1373" t="s">
        <v>2189</v>
      </c>
      <c r="V1373">
        <v>70000</v>
      </c>
      <c r="W1373">
        <v>5</v>
      </c>
      <c r="X1373" t="s">
        <v>57</v>
      </c>
      <c r="Y1373" t="s">
        <v>18</v>
      </c>
      <c r="Z1373" t="s">
        <v>19</v>
      </c>
      <c r="AA1373" t="s">
        <v>3583</v>
      </c>
      <c r="AB1373" t="s">
        <v>3583</v>
      </c>
      <c r="AC1373" t="s">
        <v>3584</v>
      </c>
      <c r="AD1373" t="s">
        <v>3479</v>
      </c>
      <c r="AE1373" t="s">
        <v>3475</v>
      </c>
      <c r="AF1373" s="2">
        <v>699.09820000000002</v>
      </c>
      <c r="AG1373" s="2">
        <v>413.1463</v>
      </c>
      <c r="AH1373" s="2">
        <v>285.95190000000002</v>
      </c>
      <c r="AI1373" s="3">
        <v>0.409029661355157</v>
      </c>
    </row>
    <row r="1374" spans="1:35">
      <c r="A1374" s="1">
        <v>42112</v>
      </c>
      <c r="B1374" s="1">
        <v>37290</v>
      </c>
      <c r="C1374" t="s">
        <v>4252</v>
      </c>
      <c r="D1374">
        <v>328</v>
      </c>
      <c r="E1374">
        <v>18148</v>
      </c>
      <c r="F1374">
        <v>7</v>
      </c>
      <c r="G1374">
        <v>1</v>
      </c>
      <c r="H1374">
        <v>1</v>
      </c>
      <c r="I1374">
        <v>2</v>
      </c>
      <c r="J1374" t="s">
        <v>3503</v>
      </c>
      <c r="K1374" t="s">
        <v>3504</v>
      </c>
      <c r="L1374" s="2">
        <v>413.1463</v>
      </c>
      <c r="M1374" s="2">
        <v>699.09820000000002</v>
      </c>
      <c r="N1374" t="s">
        <v>30</v>
      </c>
      <c r="O1374" t="s">
        <v>117</v>
      </c>
      <c r="P1374" t="s">
        <v>21</v>
      </c>
      <c r="Q1374" t="s">
        <v>7703</v>
      </c>
      <c r="R1374" s="1">
        <v>16754</v>
      </c>
      <c r="S1374" t="s">
        <v>16</v>
      </c>
      <c r="T1374" t="s">
        <v>29</v>
      </c>
      <c r="U1374" t="s">
        <v>2190</v>
      </c>
      <c r="V1374">
        <v>60000</v>
      </c>
      <c r="W1374">
        <v>3</v>
      </c>
      <c r="X1374" t="s">
        <v>77</v>
      </c>
      <c r="Y1374" t="s">
        <v>53</v>
      </c>
      <c r="Z1374" t="s">
        <v>19</v>
      </c>
      <c r="AA1374" t="s">
        <v>3583</v>
      </c>
      <c r="AB1374" t="s">
        <v>3583</v>
      </c>
      <c r="AC1374" t="s">
        <v>3584</v>
      </c>
      <c r="AD1374" t="s">
        <v>3479</v>
      </c>
      <c r="AE1374" t="s">
        <v>3475</v>
      </c>
      <c r="AF1374" s="2">
        <v>699.09820000000002</v>
      </c>
      <c r="AG1374" s="2">
        <v>413.1463</v>
      </c>
      <c r="AH1374" s="2">
        <v>285.95190000000002</v>
      </c>
      <c r="AI1374" s="3">
        <v>0.409029661355157</v>
      </c>
    </row>
    <row r="1375" spans="1:35">
      <c r="A1375" s="1">
        <v>42298</v>
      </c>
      <c r="B1375" s="1">
        <v>37432</v>
      </c>
      <c r="C1375" t="s">
        <v>5631</v>
      </c>
      <c r="D1375">
        <v>387</v>
      </c>
      <c r="E1375">
        <v>18157</v>
      </c>
      <c r="F1375">
        <v>8</v>
      </c>
      <c r="G1375">
        <v>1</v>
      </c>
      <c r="H1375">
        <v>1</v>
      </c>
      <c r="I1375">
        <v>2</v>
      </c>
      <c r="J1375" t="s">
        <v>3569</v>
      </c>
      <c r="K1375" t="s">
        <v>3570</v>
      </c>
      <c r="L1375" s="2">
        <v>605.64919999999995</v>
      </c>
      <c r="M1375" s="2">
        <v>1000.4375</v>
      </c>
      <c r="N1375" t="s">
        <v>30</v>
      </c>
      <c r="O1375" t="s">
        <v>588</v>
      </c>
      <c r="P1375" t="s">
        <v>704</v>
      </c>
      <c r="Q1375" t="s">
        <v>7704</v>
      </c>
      <c r="R1375" s="1">
        <v>19424</v>
      </c>
      <c r="S1375" t="s">
        <v>22</v>
      </c>
      <c r="T1375" t="s">
        <v>29</v>
      </c>
      <c r="U1375" t="s">
        <v>2191</v>
      </c>
      <c r="V1375">
        <v>90000</v>
      </c>
      <c r="W1375">
        <v>3</v>
      </c>
      <c r="X1375" t="s">
        <v>52</v>
      </c>
      <c r="Y1375" t="s">
        <v>18</v>
      </c>
      <c r="Z1375" t="s">
        <v>19</v>
      </c>
      <c r="AA1375" t="s">
        <v>3585</v>
      </c>
      <c r="AB1375" t="s">
        <v>3585</v>
      </c>
      <c r="AC1375" t="s">
        <v>3584</v>
      </c>
      <c r="AD1375" t="s">
        <v>3479</v>
      </c>
      <c r="AE1375" t="s">
        <v>3475</v>
      </c>
      <c r="AF1375" s="2">
        <v>1000.4375</v>
      </c>
      <c r="AG1375" s="2">
        <v>605.64919999999995</v>
      </c>
      <c r="AH1375" s="2">
        <v>394.78829999999999</v>
      </c>
      <c r="AI1375" s="3">
        <v>0.39461565565065299</v>
      </c>
    </row>
    <row r="1376" spans="1:35">
      <c r="A1376" s="1">
        <v>42139</v>
      </c>
      <c r="B1376" s="1">
        <v>37348</v>
      </c>
      <c r="C1376" t="s">
        <v>4447</v>
      </c>
      <c r="D1376">
        <v>328</v>
      </c>
      <c r="E1376">
        <v>18163</v>
      </c>
      <c r="F1376">
        <v>7</v>
      </c>
      <c r="G1376">
        <v>1</v>
      </c>
      <c r="H1376">
        <v>1</v>
      </c>
      <c r="I1376">
        <v>2</v>
      </c>
      <c r="J1376" t="s">
        <v>3503</v>
      </c>
      <c r="K1376" t="s">
        <v>3504</v>
      </c>
      <c r="L1376" s="2">
        <v>413.1463</v>
      </c>
      <c r="M1376" s="2">
        <v>699.09820000000002</v>
      </c>
      <c r="N1376" t="s">
        <v>13</v>
      </c>
      <c r="O1376" t="s">
        <v>284</v>
      </c>
      <c r="P1376" t="s">
        <v>68</v>
      </c>
      <c r="Q1376" t="s">
        <v>7705</v>
      </c>
      <c r="R1376" s="1">
        <v>19401</v>
      </c>
      <c r="S1376" t="s">
        <v>16</v>
      </c>
      <c r="T1376" t="s">
        <v>16</v>
      </c>
      <c r="U1376" t="s">
        <v>2192</v>
      </c>
      <c r="V1376">
        <v>100000</v>
      </c>
      <c r="W1376">
        <v>3</v>
      </c>
      <c r="X1376" t="s">
        <v>17</v>
      </c>
      <c r="Y1376" t="s">
        <v>45</v>
      </c>
      <c r="Z1376" t="s">
        <v>19</v>
      </c>
      <c r="AA1376" t="s">
        <v>3583</v>
      </c>
      <c r="AB1376" t="s">
        <v>3583</v>
      </c>
      <c r="AC1376" t="s">
        <v>3584</v>
      </c>
      <c r="AD1376" t="s">
        <v>3479</v>
      </c>
      <c r="AE1376" t="s">
        <v>3475</v>
      </c>
      <c r="AF1376" s="2">
        <v>699.09820000000002</v>
      </c>
      <c r="AG1376" s="2">
        <v>413.1463</v>
      </c>
      <c r="AH1376" s="2">
        <v>285.95190000000002</v>
      </c>
      <c r="AI1376" s="3">
        <v>0.409029661355157</v>
      </c>
    </row>
    <row r="1377" spans="1:35">
      <c r="A1377" s="1">
        <v>42327</v>
      </c>
      <c r="B1377" s="1">
        <v>37535</v>
      </c>
      <c r="C1377" t="s">
        <v>5810</v>
      </c>
      <c r="D1377">
        <v>389</v>
      </c>
      <c r="E1377">
        <v>18164</v>
      </c>
      <c r="F1377">
        <v>8</v>
      </c>
      <c r="G1377">
        <v>1</v>
      </c>
      <c r="H1377">
        <v>1</v>
      </c>
      <c r="I1377">
        <v>2</v>
      </c>
      <c r="J1377" t="s">
        <v>3571</v>
      </c>
      <c r="K1377" t="s">
        <v>3572</v>
      </c>
      <c r="L1377" s="2">
        <v>605.64919999999995</v>
      </c>
      <c r="M1377" s="2">
        <v>1000.4375</v>
      </c>
      <c r="N1377" t="s">
        <v>30</v>
      </c>
      <c r="O1377" t="s">
        <v>550</v>
      </c>
      <c r="P1377" t="s">
        <v>56</v>
      </c>
      <c r="Q1377" t="s">
        <v>7706</v>
      </c>
      <c r="R1377" s="1">
        <v>19591</v>
      </c>
      <c r="S1377" t="s">
        <v>16</v>
      </c>
      <c r="T1377" t="s">
        <v>29</v>
      </c>
      <c r="U1377" t="s">
        <v>2193</v>
      </c>
      <c r="V1377">
        <v>120000</v>
      </c>
      <c r="W1377">
        <v>3</v>
      </c>
      <c r="X1377" t="s">
        <v>17</v>
      </c>
      <c r="Y1377" t="s">
        <v>45</v>
      </c>
      <c r="Z1377" t="s">
        <v>19</v>
      </c>
      <c r="AA1377" t="s">
        <v>3585</v>
      </c>
      <c r="AB1377" t="s">
        <v>3585</v>
      </c>
      <c r="AC1377" t="s">
        <v>3584</v>
      </c>
      <c r="AD1377" t="s">
        <v>3479</v>
      </c>
      <c r="AE1377" t="s">
        <v>3475</v>
      </c>
      <c r="AF1377" s="2">
        <v>1000.4375</v>
      </c>
      <c r="AG1377" s="2">
        <v>605.64919999999995</v>
      </c>
      <c r="AH1377" s="2">
        <v>394.78829999999999</v>
      </c>
      <c r="AI1377" s="3">
        <v>0.39461565565065299</v>
      </c>
    </row>
    <row r="1378" spans="1:35">
      <c r="A1378" s="1">
        <v>42345</v>
      </c>
      <c r="B1378" s="1">
        <v>37569</v>
      </c>
      <c r="C1378" t="s">
        <v>5968</v>
      </c>
      <c r="D1378">
        <v>389</v>
      </c>
      <c r="E1378">
        <v>18167</v>
      </c>
      <c r="F1378">
        <v>8</v>
      </c>
      <c r="G1378">
        <v>1</v>
      </c>
      <c r="H1378">
        <v>1</v>
      </c>
      <c r="I1378">
        <v>2</v>
      </c>
      <c r="J1378" t="s">
        <v>3571</v>
      </c>
      <c r="K1378" t="s">
        <v>3572</v>
      </c>
      <c r="L1378" s="2">
        <v>605.64919999999995</v>
      </c>
      <c r="M1378" s="2">
        <v>1000.4375</v>
      </c>
      <c r="N1378" t="s">
        <v>13</v>
      </c>
      <c r="O1378" t="s">
        <v>1301</v>
      </c>
      <c r="P1378" t="s">
        <v>171</v>
      </c>
      <c r="Q1378" t="s">
        <v>7707</v>
      </c>
      <c r="R1378" s="1">
        <v>19034</v>
      </c>
      <c r="S1378" t="s">
        <v>16</v>
      </c>
      <c r="T1378" t="s">
        <v>16</v>
      </c>
      <c r="U1378" t="s">
        <v>2194</v>
      </c>
      <c r="V1378">
        <v>90000</v>
      </c>
      <c r="W1378">
        <v>4</v>
      </c>
      <c r="X1378" t="s">
        <v>57</v>
      </c>
      <c r="Y1378" t="s">
        <v>18</v>
      </c>
      <c r="Z1378" t="s">
        <v>23</v>
      </c>
      <c r="AA1378" t="s">
        <v>3585</v>
      </c>
      <c r="AB1378" t="s">
        <v>3585</v>
      </c>
      <c r="AC1378" t="s">
        <v>3584</v>
      </c>
      <c r="AD1378" t="s">
        <v>3479</v>
      </c>
      <c r="AE1378" t="s">
        <v>3475</v>
      </c>
      <c r="AF1378" s="2">
        <v>1000.4375</v>
      </c>
      <c r="AG1378" s="2">
        <v>605.64919999999995</v>
      </c>
      <c r="AH1378" s="2">
        <v>394.78829999999999</v>
      </c>
      <c r="AI1378" s="3">
        <v>0.39461565565065299</v>
      </c>
    </row>
    <row r="1379" spans="1:35">
      <c r="A1379" s="1">
        <v>42366</v>
      </c>
      <c r="B1379" s="1">
        <v>37531</v>
      </c>
      <c r="C1379" t="s">
        <v>6186</v>
      </c>
      <c r="D1379">
        <v>381</v>
      </c>
      <c r="E1379">
        <v>18171</v>
      </c>
      <c r="F1379">
        <v>8</v>
      </c>
      <c r="G1379">
        <v>1</v>
      </c>
      <c r="H1379">
        <v>1</v>
      </c>
      <c r="I1379">
        <v>2</v>
      </c>
      <c r="J1379" t="s">
        <v>3563</v>
      </c>
      <c r="K1379" t="s">
        <v>3564</v>
      </c>
      <c r="L1379" s="2">
        <v>605.64919999999995</v>
      </c>
      <c r="M1379" s="2">
        <v>1000.4375</v>
      </c>
      <c r="N1379" t="s">
        <v>13</v>
      </c>
      <c r="O1379" t="s">
        <v>74</v>
      </c>
      <c r="P1379" t="s">
        <v>227</v>
      </c>
      <c r="Q1379" t="s">
        <v>7708</v>
      </c>
      <c r="R1379" s="1">
        <v>18721</v>
      </c>
      <c r="S1379" t="s">
        <v>16</v>
      </c>
      <c r="T1379" t="s">
        <v>16</v>
      </c>
      <c r="U1379" t="s">
        <v>2195</v>
      </c>
      <c r="V1379">
        <v>110000</v>
      </c>
      <c r="W1379">
        <v>4</v>
      </c>
      <c r="X1379" t="s">
        <v>52</v>
      </c>
      <c r="Y1379" t="s">
        <v>18</v>
      </c>
      <c r="Z1379" t="s">
        <v>19</v>
      </c>
      <c r="AA1379" t="s">
        <v>3585</v>
      </c>
      <c r="AB1379" t="s">
        <v>3585</v>
      </c>
      <c r="AC1379" t="s">
        <v>3584</v>
      </c>
      <c r="AD1379" t="s">
        <v>3479</v>
      </c>
      <c r="AE1379" t="s">
        <v>3475</v>
      </c>
      <c r="AF1379" s="2">
        <v>1000.4375</v>
      </c>
      <c r="AG1379" s="2">
        <v>605.64919999999995</v>
      </c>
      <c r="AH1379" s="2">
        <v>394.78829999999999</v>
      </c>
      <c r="AI1379" s="3">
        <v>0.39461565565065299</v>
      </c>
    </row>
    <row r="1380" spans="1:35">
      <c r="A1380" s="1">
        <v>42149</v>
      </c>
      <c r="B1380" s="1">
        <v>37286</v>
      </c>
      <c r="C1380" t="s">
        <v>4517</v>
      </c>
      <c r="D1380">
        <v>338</v>
      </c>
      <c r="E1380">
        <v>18175</v>
      </c>
      <c r="F1380">
        <v>7</v>
      </c>
      <c r="G1380">
        <v>1</v>
      </c>
      <c r="H1380">
        <v>1</v>
      </c>
      <c r="I1380">
        <v>2</v>
      </c>
      <c r="J1380" t="s">
        <v>3513</v>
      </c>
      <c r="K1380" t="s">
        <v>3514</v>
      </c>
      <c r="L1380" s="2">
        <v>413.1463</v>
      </c>
      <c r="M1380" s="2">
        <v>699.09820000000002</v>
      </c>
      <c r="N1380" t="s">
        <v>30</v>
      </c>
      <c r="O1380" t="s">
        <v>459</v>
      </c>
      <c r="P1380" t="s">
        <v>101</v>
      </c>
      <c r="Q1380" t="s">
        <v>7709</v>
      </c>
      <c r="R1380" s="1">
        <v>18399</v>
      </c>
      <c r="S1380" t="s">
        <v>16</v>
      </c>
      <c r="T1380" t="s">
        <v>29</v>
      </c>
      <c r="U1380" t="s">
        <v>2196</v>
      </c>
      <c r="V1380">
        <v>90000</v>
      </c>
      <c r="W1380">
        <v>4</v>
      </c>
      <c r="X1380" t="s">
        <v>57</v>
      </c>
      <c r="Y1380" t="s">
        <v>45</v>
      </c>
      <c r="Z1380" t="s">
        <v>23</v>
      </c>
      <c r="AA1380" t="s">
        <v>3583</v>
      </c>
      <c r="AB1380" t="s">
        <v>3583</v>
      </c>
      <c r="AC1380" t="s">
        <v>3584</v>
      </c>
      <c r="AD1380" t="s">
        <v>3479</v>
      </c>
      <c r="AE1380" t="s">
        <v>3475</v>
      </c>
      <c r="AF1380" s="2">
        <v>699.09820000000002</v>
      </c>
      <c r="AG1380" s="2">
        <v>413.1463</v>
      </c>
      <c r="AH1380" s="2">
        <v>285.95190000000002</v>
      </c>
      <c r="AI1380" s="3">
        <v>0.409029661355157</v>
      </c>
    </row>
    <row r="1381" spans="1:35">
      <c r="A1381" s="1">
        <v>42350</v>
      </c>
      <c r="B1381" s="1">
        <v>37566</v>
      </c>
      <c r="C1381" t="s">
        <v>6014</v>
      </c>
      <c r="D1381">
        <v>381</v>
      </c>
      <c r="E1381">
        <v>18176</v>
      </c>
      <c r="F1381">
        <v>8</v>
      </c>
      <c r="G1381">
        <v>1</v>
      </c>
      <c r="H1381">
        <v>1</v>
      </c>
      <c r="I1381">
        <v>2</v>
      </c>
      <c r="J1381" t="s">
        <v>3563</v>
      </c>
      <c r="K1381" t="s">
        <v>3564</v>
      </c>
      <c r="L1381" s="2">
        <v>605.64919999999995</v>
      </c>
      <c r="M1381" s="2">
        <v>1000.4375</v>
      </c>
      <c r="N1381" t="s">
        <v>13</v>
      </c>
      <c r="O1381" t="s">
        <v>1021</v>
      </c>
      <c r="P1381" t="s">
        <v>194</v>
      </c>
      <c r="Q1381" t="s">
        <v>7710</v>
      </c>
      <c r="R1381" s="1">
        <v>18440</v>
      </c>
      <c r="S1381" t="s">
        <v>16</v>
      </c>
      <c r="T1381" t="s">
        <v>16</v>
      </c>
      <c r="U1381" t="s">
        <v>2197</v>
      </c>
      <c r="V1381">
        <v>110000</v>
      </c>
      <c r="W1381">
        <v>4</v>
      </c>
      <c r="X1381" t="s">
        <v>52</v>
      </c>
      <c r="Y1381" t="s">
        <v>45</v>
      </c>
      <c r="Z1381" t="s">
        <v>19</v>
      </c>
      <c r="AA1381" t="s">
        <v>3585</v>
      </c>
      <c r="AB1381" t="s">
        <v>3585</v>
      </c>
      <c r="AC1381" t="s">
        <v>3584</v>
      </c>
      <c r="AD1381" t="s">
        <v>3479</v>
      </c>
      <c r="AE1381" t="s">
        <v>3475</v>
      </c>
      <c r="AF1381" s="2">
        <v>1000.4375</v>
      </c>
      <c r="AG1381" s="2">
        <v>605.64919999999995</v>
      </c>
      <c r="AH1381" s="2">
        <v>394.78829999999999</v>
      </c>
      <c r="AI1381" s="3">
        <v>0.39461565565065299</v>
      </c>
    </row>
    <row r="1382" spans="1:35">
      <c r="A1382" s="1">
        <v>42362</v>
      </c>
      <c r="B1382" s="1">
        <v>37570</v>
      </c>
      <c r="C1382" t="s">
        <v>6155</v>
      </c>
      <c r="D1382">
        <v>385</v>
      </c>
      <c r="E1382">
        <v>18183</v>
      </c>
      <c r="F1382">
        <v>8</v>
      </c>
      <c r="G1382">
        <v>1</v>
      </c>
      <c r="H1382">
        <v>1</v>
      </c>
      <c r="I1382">
        <v>2</v>
      </c>
      <c r="J1382" t="s">
        <v>3567</v>
      </c>
      <c r="K1382" t="s">
        <v>3568</v>
      </c>
      <c r="L1382" s="2">
        <v>605.64919999999995</v>
      </c>
      <c r="M1382" s="2">
        <v>1000.4375</v>
      </c>
      <c r="N1382" t="s">
        <v>30</v>
      </c>
      <c r="O1382" t="s">
        <v>642</v>
      </c>
      <c r="P1382" t="s">
        <v>501</v>
      </c>
      <c r="Q1382" t="s">
        <v>7711</v>
      </c>
      <c r="R1382" s="1">
        <v>17886</v>
      </c>
      <c r="S1382" t="s">
        <v>16</v>
      </c>
      <c r="T1382" t="s">
        <v>29</v>
      </c>
      <c r="U1382" t="s">
        <v>2198</v>
      </c>
      <c r="V1382">
        <v>90000</v>
      </c>
      <c r="W1382">
        <v>4</v>
      </c>
      <c r="X1382" t="s">
        <v>77</v>
      </c>
      <c r="Y1382" t="s">
        <v>53</v>
      </c>
      <c r="Z1382" t="s">
        <v>19</v>
      </c>
      <c r="AA1382" t="s">
        <v>3585</v>
      </c>
      <c r="AB1382" t="s">
        <v>3585</v>
      </c>
      <c r="AC1382" t="s">
        <v>3584</v>
      </c>
      <c r="AD1382" t="s">
        <v>3479</v>
      </c>
      <c r="AE1382" t="s">
        <v>3475</v>
      </c>
      <c r="AF1382" s="2">
        <v>1000.4375</v>
      </c>
      <c r="AG1382" s="2">
        <v>605.64919999999995</v>
      </c>
      <c r="AH1382" s="2">
        <v>394.78829999999999</v>
      </c>
      <c r="AI1382" s="3">
        <v>0.39461565565065299</v>
      </c>
    </row>
    <row r="1383" spans="1:35">
      <c r="A1383" s="1">
        <v>42357</v>
      </c>
      <c r="B1383" s="1">
        <v>37579</v>
      </c>
      <c r="C1383" t="s">
        <v>6104</v>
      </c>
      <c r="D1383">
        <v>385</v>
      </c>
      <c r="E1383">
        <v>18185</v>
      </c>
      <c r="F1383">
        <v>8</v>
      </c>
      <c r="G1383">
        <v>1</v>
      </c>
      <c r="H1383">
        <v>1</v>
      </c>
      <c r="I1383">
        <v>2</v>
      </c>
      <c r="J1383" t="s">
        <v>3567</v>
      </c>
      <c r="K1383" t="s">
        <v>3568</v>
      </c>
      <c r="L1383" s="2">
        <v>605.64919999999995</v>
      </c>
      <c r="M1383" s="2">
        <v>1000.4375</v>
      </c>
      <c r="N1383" t="s">
        <v>30</v>
      </c>
      <c r="O1383" t="s">
        <v>548</v>
      </c>
      <c r="P1383" t="s">
        <v>21</v>
      </c>
      <c r="Q1383" t="s">
        <v>7712</v>
      </c>
      <c r="R1383" s="1">
        <v>17477</v>
      </c>
      <c r="S1383" t="s">
        <v>16</v>
      </c>
      <c r="T1383" t="s">
        <v>29</v>
      </c>
      <c r="U1383" t="s">
        <v>2199</v>
      </c>
      <c r="V1383">
        <v>110000</v>
      </c>
      <c r="W1383">
        <v>4</v>
      </c>
      <c r="X1383" t="s">
        <v>77</v>
      </c>
      <c r="Y1383" t="s">
        <v>18</v>
      </c>
      <c r="Z1383" t="s">
        <v>23</v>
      </c>
      <c r="AA1383" t="s">
        <v>3585</v>
      </c>
      <c r="AB1383" t="s">
        <v>3585</v>
      </c>
      <c r="AC1383" t="s">
        <v>3584</v>
      </c>
      <c r="AD1383" t="s">
        <v>3479</v>
      </c>
      <c r="AE1383" t="s">
        <v>3475</v>
      </c>
      <c r="AF1383" s="2">
        <v>1000.4375</v>
      </c>
      <c r="AG1383" s="2">
        <v>605.64919999999995</v>
      </c>
      <c r="AH1383" s="2">
        <v>394.78829999999999</v>
      </c>
      <c r="AI1383" s="3">
        <v>0.39461565565065299</v>
      </c>
    </row>
    <row r="1384" spans="1:35">
      <c r="A1384" s="1">
        <v>42363</v>
      </c>
      <c r="B1384" s="1">
        <v>37523</v>
      </c>
      <c r="C1384" t="s">
        <v>6168</v>
      </c>
      <c r="D1384">
        <v>389</v>
      </c>
      <c r="E1384">
        <v>18626</v>
      </c>
      <c r="F1384">
        <v>8</v>
      </c>
      <c r="G1384">
        <v>1</v>
      </c>
      <c r="H1384">
        <v>1</v>
      </c>
      <c r="I1384">
        <v>2</v>
      </c>
      <c r="J1384" t="s">
        <v>3571</v>
      </c>
      <c r="K1384" t="s">
        <v>3572</v>
      </c>
      <c r="L1384" s="2">
        <v>605.64919999999995</v>
      </c>
      <c r="M1384" s="2">
        <v>1000.4375</v>
      </c>
      <c r="N1384" t="s">
        <v>13</v>
      </c>
      <c r="O1384" t="s">
        <v>1591</v>
      </c>
      <c r="P1384" t="s">
        <v>490</v>
      </c>
      <c r="Q1384" t="s">
        <v>7713</v>
      </c>
      <c r="R1384" s="1">
        <v>26550</v>
      </c>
      <c r="S1384" t="s">
        <v>22</v>
      </c>
      <c r="T1384" t="s">
        <v>16</v>
      </c>
      <c r="U1384" t="s">
        <v>2200</v>
      </c>
      <c r="V1384">
        <v>40000</v>
      </c>
      <c r="W1384">
        <v>2</v>
      </c>
      <c r="X1384" t="s">
        <v>52</v>
      </c>
      <c r="Y1384" t="s">
        <v>60</v>
      </c>
      <c r="Z1384" t="s">
        <v>19</v>
      </c>
      <c r="AA1384" t="s">
        <v>3585</v>
      </c>
      <c r="AB1384" t="s">
        <v>3585</v>
      </c>
      <c r="AC1384" t="s">
        <v>3584</v>
      </c>
      <c r="AD1384" t="s">
        <v>3479</v>
      </c>
      <c r="AE1384" t="s">
        <v>3475</v>
      </c>
      <c r="AF1384" s="2">
        <v>1000.4375</v>
      </c>
      <c r="AG1384" s="2">
        <v>605.64919999999995</v>
      </c>
      <c r="AH1384" s="2">
        <v>394.78829999999999</v>
      </c>
      <c r="AI1384" s="3">
        <v>0.39461565565065299</v>
      </c>
    </row>
    <row r="1385" spans="1:35">
      <c r="A1385" s="1">
        <v>42137</v>
      </c>
      <c r="B1385" s="1">
        <v>37372</v>
      </c>
      <c r="C1385" t="s">
        <v>4436</v>
      </c>
      <c r="D1385">
        <v>342</v>
      </c>
      <c r="E1385">
        <v>18634</v>
      </c>
      <c r="F1385">
        <v>7</v>
      </c>
      <c r="G1385">
        <v>1</v>
      </c>
      <c r="H1385">
        <v>1</v>
      </c>
      <c r="I1385">
        <v>2</v>
      </c>
      <c r="J1385" t="s">
        <v>3517</v>
      </c>
      <c r="K1385" t="s">
        <v>3518</v>
      </c>
      <c r="L1385" s="2">
        <v>413.1463</v>
      </c>
      <c r="M1385" s="2">
        <v>699.09820000000002</v>
      </c>
      <c r="N1385" t="s">
        <v>26</v>
      </c>
      <c r="O1385" t="s">
        <v>895</v>
      </c>
      <c r="P1385" t="s">
        <v>163</v>
      </c>
      <c r="Q1385" t="s">
        <v>7714</v>
      </c>
      <c r="R1385" s="1">
        <v>26281</v>
      </c>
      <c r="S1385" t="s">
        <v>22</v>
      </c>
      <c r="T1385" t="s">
        <v>29</v>
      </c>
      <c r="U1385" t="s">
        <v>2201</v>
      </c>
      <c r="V1385">
        <v>30000</v>
      </c>
      <c r="W1385">
        <v>0</v>
      </c>
      <c r="X1385" t="s">
        <v>57</v>
      </c>
      <c r="Y1385" t="s">
        <v>444</v>
      </c>
      <c r="Z1385" t="s">
        <v>23</v>
      </c>
      <c r="AA1385" t="s">
        <v>3583</v>
      </c>
      <c r="AB1385" t="s">
        <v>3583</v>
      </c>
      <c r="AC1385" t="s">
        <v>3584</v>
      </c>
      <c r="AD1385" t="s">
        <v>3479</v>
      </c>
      <c r="AE1385" t="s">
        <v>3475</v>
      </c>
      <c r="AF1385" s="2">
        <v>699.09820000000002</v>
      </c>
      <c r="AG1385" s="2">
        <v>413.1463</v>
      </c>
      <c r="AH1385" s="2">
        <v>285.95190000000002</v>
      </c>
      <c r="AI1385" s="3">
        <v>0.409029661355157</v>
      </c>
    </row>
    <row r="1386" spans="1:35">
      <c r="A1386" s="1">
        <v>42020</v>
      </c>
      <c r="B1386" s="1">
        <v>37248</v>
      </c>
      <c r="C1386" t="s">
        <v>3679</v>
      </c>
      <c r="D1386">
        <v>311</v>
      </c>
      <c r="E1386">
        <v>18706</v>
      </c>
      <c r="F1386">
        <v>9</v>
      </c>
      <c r="G1386">
        <v>1</v>
      </c>
      <c r="H1386">
        <v>1</v>
      </c>
      <c r="I1386">
        <v>2</v>
      </c>
      <c r="J1386" t="s">
        <v>3487</v>
      </c>
      <c r="K1386" t="s">
        <v>3488</v>
      </c>
      <c r="L1386" s="2">
        <v>2171.2941999999998</v>
      </c>
      <c r="M1386" s="2">
        <v>3578.27</v>
      </c>
      <c r="N1386" t="s">
        <v>13</v>
      </c>
      <c r="O1386" t="s">
        <v>563</v>
      </c>
      <c r="P1386" t="s">
        <v>122</v>
      </c>
      <c r="Q1386" t="s">
        <v>7715</v>
      </c>
      <c r="R1386" s="1">
        <v>25342</v>
      </c>
      <c r="S1386" t="s">
        <v>22</v>
      </c>
      <c r="T1386" t="s">
        <v>16</v>
      </c>
      <c r="U1386" t="s">
        <v>2202</v>
      </c>
      <c r="V1386">
        <v>110000</v>
      </c>
      <c r="W1386">
        <v>1</v>
      </c>
      <c r="X1386" t="s">
        <v>135</v>
      </c>
      <c r="Y1386" t="s">
        <v>45</v>
      </c>
      <c r="Z1386" t="s">
        <v>19</v>
      </c>
      <c r="AA1386" t="s">
        <v>3586</v>
      </c>
      <c r="AB1386" t="s">
        <v>3586</v>
      </c>
      <c r="AC1386" t="s">
        <v>3587</v>
      </c>
      <c r="AD1386" t="s">
        <v>3479</v>
      </c>
      <c r="AE1386" t="s">
        <v>3475</v>
      </c>
      <c r="AF1386" s="2">
        <v>3578.27</v>
      </c>
      <c r="AG1386" s="2">
        <v>2171.2941999999998</v>
      </c>
      <c r="AH1386" s="2">
        <v>1406.9757999999999</v>
      </c>
      <c r="AI1386" s="3">
        <v>0.39320001006072802</v>
      </c>
    </row>
    <row r="1387" spans="1:35">
      <c r="A1387" s="1">
        <v>42033</v>
      </c>
      <c r="B1387" s="1">
        <v>37198</v>
      </c>
      <c r="C1387" t="s">
        <v>3758</v>
      </c>
      <c r="D1387">
        <v>310</v>
      </c>
      <c r="E1387">
        <v>18709</v>
      </c>
      <c r="F1387">
        <v>9</v>
      </c>
      <c r="G1387">
        <v>1</v>
      </c>
      <c r="H1387">
        <v>1</v>
      </c>
      <c r="I1387">
        <v>2</v>
      </c>
      <c r="J1387" t="s">
        <v>3485</v>
      </c>
      <c r="K1387" t="s">
        <v>3486</v>
      </c>
      <c r="L1387" s="2">
        <v>2171.2941999999998</v>
      </c>
      <c r="M1387" s="2">
        <v>3578.27</v>
      </c>
      <c r="N1387" t="s">
        <v>13</v>
      </c>
      <c r="O1387" t="s">
        <v>504</v>
      </c>
      <c r="P1387" t="s">
        <v>101</v>
      </c>
      <c r="Q1387" t="s">
        <v>7716</v>
      </c>
      <c r="R1387" s="1">
        <v>25360</v>
      </c>
      <c r="S1387" t="s">
        <v>16</v>
      </c>
      <c r="T1387" t="s">
        <v>16</v>
      </c>
      <c r="U1387" t="s">
        <v>2203</v>
      </c>
      <c r="V1387">
        <v>130000</v>
      </c>
      <c r="W1387">
        <v>1</v>
      </c>
      <c r="X1387" t="s">
        <v>135</v>
      </c>
      <c r="Y1387" t="s">
        <v>45</v>
      </c>
      <c r="Z1387" t="s">
        <v>19</v>
      </c>
      <c r="AA1387" t="s">
        <v>3586</v>
      </c>
      <c r="AB1387" t="s">
        <v>3586</v>
      </c>
      <c r="AC1387" t="s">
        <v>3587</v>
      </c>
      <c r="AD1387" t="s">
        <v>3479</v>
      </c>
      <c r="AE1387" t="s">
        <v>3475</v>
      </c>
      <c r="AF1387" s="2">
        <v>3578.27</v>
      </c>
      <c r="AG1387" s="2">
        <v>2171.2941999999998</v>
      </c>
      <c r="AH1387" s="2">
        <v>1406.9757999999999</v>
      </c>
      <c r="AI1387" s="3">
        <v>0.39320001006072802</v>
      </c>
    </row>
    <row r="1388" spans="1:35">
      <c r="A1388" s="1">
        <v>42011</v>
      </c>
      <c r="B1388" s="1">
        <v>37230</v>
      </c>
      <c r="C1388" t="s">
        <v>3627</v>
      </c>
      <c r="D1388">
        <v>311</v>
      </c>
      <c r="E1388">
        <v>18710</v>
      </c>
      <c r="F1388">
        <v>9</v>
      </c>
      <c r="G1388">
        <v>1</v>
      </c>
      <c r="H1388">
        <v>1</v>
      </c>
      <c r="I1388">
        <v>2</v>
      </c>
      <c r="J1388" t="s">
        <v>3487</v>
      </c>
      <c r="K1388" t="s">
        <v>3488</v>
      </c>
      <c r="L1388" s="2">
        <v>2171.2941999999998</v>
      </c>
      <c r="M1388" s="2">
        <v>3578.27</v>
      </c>
      <c r="N1388" t="s">
        <v>13</v>
      </c>
      <c r="O1388" t="s">
        <v>934</v>
      </c>
      <c r="P1388" t="s">
        <v>72</v>
      </c>
      <c r="Q1388" t="s">
        <v>7717</v>
      </c>
      <c r="R1388" s="1">
        <v>25436</v>
      </c>
      <c r="S1388" t="s">
        <v>16</v>
      </c>
      <c r="T1388" t="s">
        <v>16</v>
      </c>
      <c r="U1388" t="s">
        <v>2204</v>
      </c>
      <c r="V1388">
        <v>130000</v>
      </c>
      <c r="W1388">
        <v>1</v>
      </c>
      <c r="X1388" t="s">
        <v>135</v>
      </c>
      <c r="Y1388" t="s">
        <v>45</v>
      </c>
      <c r="Z1388" t="s">
        <v>19</v>
      </c>
      <c r="AA1388" t="s">
        <v>3586</v>
      </c>
      <c r="AB1388" t="s">
        <v>3586</v>
      </c>
      <c r="AC1388" t="s">
        <v>3587</v>
      </c>
      <c r="AD1388" t="s">
        <v>3479</v>
      </c>
      <c r="AE1388" t="s">
        <v>3475</v>
      </c>
      <c r="AF1388" s="2">
        <v>3578.27</v>
      </c>
      <c r="AG1388" s="2">
        <v>2171.2941999999998</v>
      </c>
      <c r="AH1388" s="2">
        <v>1406.9757999999999</v>
      </c>
      <c r="AI1388" s="3">
        <v>0.39320001006072802</v>
      </c>
    </row>
    <row r="1389" spans="1:35">
      <c r="A1389" s="1">
        <v>42016</v>
      </c>
      <c r="B1389" s="1">
        <v>37223</v>
      </c>
      <c r="C1389" t="s">
        <v>3656</v>
      </c>
      <c r="D1389">
        <v>314</v>
      </c>
      <c r="E1389">
        <v>18716</v>
      </c>
      <c r="F1389">
        <v>9</v>
      </c>
      <c r="G1389">
        <v>1</v>
      </c>
      <c r="H1389">
        <v>1</v>
      </c>
      <c r="I1389">
        <v>2</v>
      </c>
      <c r="J1389" t="s">
        <v>3493</v>
      </c>
      <c r="K1389" t="s">
        <v>3494</v>
      </c>
      <c r="L1389" s="2">
        <v>2171.2941999999998</v>
      </c>
      <c r="M1389" s="2">
        <v>3578.27</v>
      </c>
      <c r="N1389" t="s">
        <v>13</v>
      </c>
      <c r="O1389" t="s">
        <v>69</v>
      </c>
      <c r="P1389" t="s">
        <v>326</v>
      </c>
      <c r="Q1389" t="s">
        <v>7718</v>
      </c>
      <c r="R1389" s="1">
        <v>25051</v>
      </c>
      <c r="S1389" t="s">
        <v>16</v>
      </c>
      <c r="T1389" t="s">
        <v>16</v>
      </c>
      <c r="U1389" t="s">
        <v>2205</v>
      </c>
      <c r="V1389">
        <v>70000</v>
      </c>
      <c r="W1389">
        <v>0</v>
      </c>
      <c r="X1389" t="s">
        <v>17</v>
      </c>
      <c r="Y1389" t="s">
        <v>18</v>
      </c>
      <c r="Z1389" t="s">
        <v>23</v>
      </c>
      <c r="AA1389" t="s">
        <v>3586</v>
      </c>
      <c r="AB1389" t="s">
        <v>3586</v>
      </c>
      <c r="AC1389" t="s">
        <v>3587</v>
      </c>
      <c r="AD1389" t="s">
        <v>3479</v>
      </c>
      <c r="AE1389" t="s">
        <v>3475</v>
      </c>
      <c r="AF1389" s="2">
        <v>3578.27</v>
      </c>
      <c r="AG1389" s="2">
        <v>2171.2941999999998</v>
      </c>
      <c r="AH1389" s="2">
        <v>1406.9757999999999</v>
      </c>
      <c r="AI1389" s="3">
        <v>0.39320001006072802</v>
      </c>
    </row>
    <row r="1390" spans="1:35">
      <c r="A1390" s="1">
        <v>42034</v>
      </c>
      <c r="B1390" s="1">
        <v>37271</v>
      </c>
      <c r="C1390" t="s">
        <v>3769</v>
      </c>
      <c r="D1390">
        <v>314</v>
      </c>
      <c r="E1390">
        <v>18718</v>
      </c>
      <c r="F1390">
        <v>9</v>
      </c>
      <c r="G1390">
        <v>1</v>
      </c>
      <c r="H1390">
        <v>1</v>
      </c>
      <c r="I1390">
        <v>2</v>
      </c>
      <c r="J1390" t="s">
        <v>3493</v>
      </c>
      <c r="K1390" t="s">
        <v>3494</v>
      </c>
      <c r="L1390" s="2">
        <v>2171.2941999999998</v>
      </c>
      <c r="M1390" s="2">
        <v>3578.27</v>
      </c>
      <c r="N1390" t="s">
        <v>26</v>
      </c>
      <c r="O1390" t="s">
        <v>698</v>
      </c>
      <c r="P1390" t="s">
        <v>210</v>
      </c>
      <c r="Q1390" t="s">
        <v>7719</v>
      </c>
      <c r="R1390" s="1">
        <v>23903</v>
      </c>
      <c r="S1390" t="s">
        <v>22</v>
      </c>
      <c r="T1390" t="s">
        <v>29</v>
      </c>
      <c r="U1390" t="s">
        <v>2206</v>
      </c>
      <c r="V1390">
        <v>70000</v>
      </c>
      <c r="W1390">
        <v>0</v>
      </c>
      <c r="X1390" t="s">
        <v>17</v>
      </c>
      <c r="Y1390" t="s">
        <v>18</v>
      </c>
      <c r="Z1390" t="s">
        <v>23</v>
      </c>
      <c r="AA1390" t="s">
        <v>3586</v>
      </c>
      <c r="AB1390" t="s">
        <v>3586</v>
      </c>
      <c r="AC1390" t="s">
        <v>3587</v>
      </c>
      <c r="AD1390" t="s">
        <v>3479</v>
      </c>
      <c r="AE1390" t="s">
        <v>3475</v>
      </c>
      <c r="AF1390" s="2">
        <v>3578.27</v>
      </c>
      <c r="AG1390" s="2">
        <v>2171.2941999999998</v>
      </c>
      <c r="AH1390" s="2">
        <v>1406.9757999999999</v>
      </c>
      <c r="AI1390" s="3">
        <v>0.39320001006072802</v>
      </c>
    </row>
    <row r="1391" spans="1:35">
      <c r="A1391" s="1">
        <v>42019</v>
      </c>
      <c r="B1391" s="1">
        <v>37244</v>
      </c>
      <c r="C1391" t="s">
        <v>3672</v>
      </c>
      <c r="D1391">
        <v>312</v>
      </c>
      <c r="E1391">
        <v>18721</v>
      </c>
      <c r="F1391">
        <v>9</v>
      </c>
      <c r="G1391">
        <v>1</v>
      </c>
      <c r="H1391">
        <v>1</v>
      </c>
      <c r="I1391">
        <v>2</v>
      </c>
      <c r="J1391" t="s">
        <v>3489</v>
      </c>
      <c r="K1391" t="s">
        <v>3490</v>
      </c>
      <c r="L1391" s="2">
        <v>2171.2941999999998</v>
      </c>
      <c r="M1391" s="2">
        <v>3578.27</v>
      </c>
      <c r="N1391" t="s">
        <v>13</v>
      </c>
      <c r="O1391" t="s">
        <v>441</v>
      </c>
      <c r="P1391" t="s">
        <v>529</v>
      </c>
      <c r="Q1391" t="s">
        <v>7720</v>
      </c>
      <c r="R1391" s="1">
        <v>23167</v>
      </c>
      <c r="S1391" t="s">
        <v>22</v>
      </c>
      <c r="T1391" t="s">
        <v>16</v>
      </c>
      <c r="U1391" t="s">
        <v>2207</v>
      </c>
      <c r="V1391">
        <v>60000</v>
      </c>
      <c r="W1391">
        <v>3</v>
      </c>
      <c r="X1391" t="s">
        <v>17</v>
      </c>
      <c r="Y1391" t="s">
        <v>18</v>
      </c>
      <c r="Z1391" t="s">
        <v>23</v>
      </c>
      <c r="AA1391" t="s">
        <v>3586</v>
      </c>
      <c r="AB1391" t="s">
        <v>3586</v>
      </c>
      <c r="AC1391" t="s">
        <v>3587</v>
      </c>
      <c r="AD1391" t="s">
        <v>3479</v>
      </c>
      <c r="AE1391" t="s">
        <v>3475</v>
      </c>
      <c r="AF1391" s="2">
        <v>3578.27</v>
      </c>
      <c r="AG1391" s="2">
        <v>2171.2941999999998</v>
      </c>
      <c r="AH1391" s="2">
        <v>1406.9757999999999</v>
      </c>
      <c r="AI1391" s="3">
        <v>0.39320001006072802</v>
      </c>
    </row>
    <row r="1392" spans="1:35">
      <c r="A1392" s="1">
        <v>42012</v>
      </c>
      <c r="B1392" s="1">
        <v>37193</v>
      </c>
      <c r="C1392" t="s">
        <v>3633</v>
      </c>
      <c r="D1392">
        <v>314</v>
      </c>
      <c r="E1392">
        <v>18722</v>
      </c>
      <c r="F1392">
        <v>9</v>
      </c>
      <c r="G1392">
        <v>1</v>
      </c>
      <c r="H1392">
        <v>1</v>
      </c>
      <c r="I1392">
        <v>2</v>
      </c>
      <c r="J1392" t="s">
        <v>3493</v>
      </c>
      <c r="K1392" t="s">
        <v>3494</v>
      </c>
      <c r="L1392" s="2">
        <v>2171.2941999999998</v>
      </c>
      <c r="M1392" s="2">
        <v>3578.27</v>
      </c>
      <c r="N1392" t="s">
        <v>13</v>
      </c>
      <c r="O1392" t="s">
        <v>711</v>
      </c>
      <c r="P1392" t="s">
        <v>153</v>
      </c>
      <c r="Q1392" t="s">
        <v>7721</v>
      </c>
      <c r="R1392" s="1">
        <v>23211</v>
      </c>
      <c r="S1392" t="s">
        <v>22</v>
      </c>
      <c r="T1392" t="s">
        <v>16</v>
      </c>
      <c r="U1392" t="s">
        <v>2208</v>
      </c>
      <c r="V1392">
        <v>60000</v>
      </c>
      <c r="W1392">
        <v>3</v>
      </c>
      <c r="X1392" t="s">
        <v>17</v>
      </c>
      <c r="Y1392" t="s">
        <v>18</v>
      </c>
      <c r="Z1392" t="s">
        <v>19</v>
      </c>
      <c r="AA1392" t="s">
        <v>3586</v>
      </c>
      <c r="AB1392" t="s">
        <v>3586</v>
      </c>
      <c r="AC1392" t="s">
        <v>3587</v>
      </c>
      <c r="AD1392" t="s">
        <v>3479</v>
      </c>
      <c r="AE1392" t="s">
        <v>3475</v>
      </c>
      <c r="AF1392" s="2">
        <v>3578.27</v>
      </c>
      <c r="AG1392" s="2">
        <v>2171.2941999999998</v>
      </c>
      <c r="AH1392" s="2">
        <v>1406.9757999999999</v>
      </c>
      <c r="AI1392" s="3">
        <v>0.39320001006072802</v>
      </c>
    </row>
    <row r="1393" spans="1:35">
      <c r="A1393" s="1">
        <v>42028</v>
      </c>
      <c r="B1393" s="1">
        <v>37187</v>
      </c>
      <c r="C1393" t="s">
        <v>3737</v>
      </c>
      <c r="D1393">
        <v>311</v>
      </c>
      <c r="E1393">
        <v>18723</v>
      </c>
      <c r="F1393">
        <v>9</v>
      </c>
      <c r="G1393">
        <v>1</v>
      </c>
      <c r="H1393">
        <v>1</v>
      </c>
      <c r="I1393">
        <v>2</v>
      </c>
      <c r="J1393" t="s">
        <v>3487</v>
      </c>
      <c r="K1393" t="s">
        <v>3488</v>
      </c>
      <c r="L1393" s="2">
        <v>2171.2941999999998</v>
      </c>
      <c r="M1393" s="2">
        <v>3578.27</v>
      </c>
      <c r="N1393" t="s">
        <v>30</v>
      </c>
      <c r="O1393" t="s">
        <v>475</v>
      </c>
      <c r="P1393" t="s">
        <v>192</v>
      </c>
      <c r="Q1393" t="s">
        <v>7722</v>
      </c>
      <c r="R1393" s="1">
        <v>23150</v>
      </c>
      <c r="S1393" t="s">
        <v>22</v>
      </c>
      <c r="T1393" t="s">
        <v>29</v>
      </c>
      <c r="U1393" t="s">
        <v>2209</v>
      </c>
      <c r="V1393">
        <v>60000</v>
      </c>
      <c r="W1393">
        <v>3</v>
      </c>
      <c r="X1393" t="s">
        <v>17</v>
      </c>
      <c r="Y1393" t="s">
        <v>18</v>
      </c>
      <c r="Z1393" t="s">
        <v>23</v>
      </c>
      <c r="AA1393" t="s">
        <v>3586</v>
      </c>
      <c r="AB1393" t="s">
        <v>3586</v>
      </c>
      <c r="AC1393" t="s">
        <v>3587</v>
      </c>
      <c r="AD1393" t="s">
        <v>3479</v>
      </c>
      <c r="AE1393" t="s">
        <v>3475</v>
      </c>
      <c r="AF1393" s="2">
        <v>3578.27</v>
      </c>
      <c r="AG1393" s="2">
        <v>2171.2941999999998</v>
      </c>
      <c r="AH1393" s="2">
        <v>1406.9757999999999</v>
      </c>
      <c r="AI1393" s="3">
        <v>0.39320001006072802</v>
      </c>
    </row>
    <row r="1394" spans="1:35">
      <c r="A1394" s="1">
        <v>42026</v>
      </c>
      <c r="B1394" s="1">
        <v>37165</v>
      </c>
      <c r="C1394" t="s">
        <v>3721</v>
      </c>
      <c r="D1394">
        <v>311</v>
      </c>
      <c r="E1394">
        <v>18724</v>
      </c>
      <c r="F1394">
        <v>9</v>
      </c>
      <c r="G1394">
        <v>1</v>
      </c>
      <c r="H1394">
        <v>1</v>
      </c>
      <c r="I1394">
        <v>2</v>
      </c>
      <c r="J1394" t="s">
        <v>3487</v>
      </c>
      <c r="K1394" t="s">
        <v>3488</v>
      </c>
      <c r="L1394" s="2">
        <v>2171.2941999999998</v>
      </c>
      <c r="M1394" s="2">
        <v>3578.27</v>
      </c>
      <c r="N1394" t="s">
        <v>30</v>
      </c>
      <c r="O1394" t="s">
        <v>90</v>
      </c>
      <c r="P1394" t="s">
        <v>209</v>
      </c>
      <c r="Q1394" t="s">
        <v>7723</v>
      </c>
      <c r="R1394" s="1">
        <v>24782</v>
      </c>
      <c r="S1394" t="s">
        <v>16</v>
      </c>
      <c r="T1394" t="s">
        <v>29</v>
      </c>
      <c r="U1394" t="s">
        <v>2210</v>
      </c>
      <c r="V1394">
        <v>80000</v>
      </c>
      <c r="W1394">
        <v>5</v>
      </c>
      <c r="X1394" t="s">
        <v>17</v>
      </c>
      <c r="Y1394" t="s">
        <v>18</v>
      </c>
      <c r="Z1394" t="s">
        <v>19</v>
      </c>
      <c r="AA1394" t="s">
        <v>3586</v>
      </c>
      <c r="AB1394" t="s">
        <v>3586</v>
      </c>
      <c r="AC1394" t="s">
        <v>3587</v>
      </c>
      <c r="AD1394" t="s">
        <v>3479</v>
      </c>
      <c r="AE1394" t="s">
        <v>3475</v>
      </c>
      <c r="AF1394" s="2">
        <v>3578.27</v>
      </c>
      <c r="AG1394" s="2">
        <v>2171.2941999999998</v>
      </c>
      <c r="AH1394" s="2">
        <v>1406.9757999999999</v>
      </c>
      <c r="AI1394" s="3">
        <v>0.39320001006072802</v>
      </c>
    </row>
    <row r="1395" spans="1:35">
      <c r="A1395" s="1">
        <v>42013</v>
      </c>
      <c r="B1395" s="1">
        <v>37217</v>
      </c>
      <c r="C1395" t="s">
        <v>3636</v>
      </c>
      <c r="D1395">
        <v>313</v>
      </c>
      <c r="E1395">
        <v>18725</v>
      </c>
      <c r="F1395">
        <v>9</v>
      </c>
      <c r="G1395">
        <v>1</v>
      </c>
      <c r="H1395">
        <v>1</v>
      </c>
      <c r="I1395">
        <v>2</v>
      </c>
      <c r="J1395" t="s">
        <v>3491</v>
      </c>
      <c r="K1395" t="s">
        <v>3492</v>
      </c>
      <c r="L1395" s="2">
        <v>2171.2941999999998</v>
      </c>
      <c r="M1395" s="2">
        <v>3578.27</v>
      </c>
      <c r="N1395" t="s">
        <v>30</v>
      </c>
      <c r="O1395" t="s">
        <v>90</v>
      </c>
      <c r="P1395" t="s">
        <v>215</v>
      </c>
      <c r="Q1395" t="s">
        <v>7724</v>
      </c>
      <c r="R1395" s="1">
        <v>24754</v>
      </c>
      <c r="S1395" t="s">
        <v>22</v>
      </c>
      <c r="T1395" t="s">
        <v>29</v>
      </c>
      <c r="U1395" t="s">
        <v>2211</v>
      </c>
      <c r="V1395">
        <v>90000</v>
      </c>
      <c r="W1395">
        <v>3</v>
      </c>
      <c r="X1395" t="s">
        <v>17</v>
      </c>
      <c r="Y1395" t="s">
        <v>18</v>
      </c>
      <c r="Z1395" t="s">
        <v>19</v>
      </c>
      <c r="AA1395" t="s">
        <v>3586</v>
      </c>
      <c r="AB1395" t="s">
        <v>3586</v>
      </c>
      <c r="AC1395" t="s">
        <v>3587</v>
      </c>
      <c r="AD1395" t="s">
        <v>3479</v>
      </c>
      <c r="AE1395" t="s">
        <v>3475</v>
      </c>
      <c r="AF1395" s="2">
        <v>3578.27</v>
      </c>
      <c r="AG1395" s="2">
        <v>2171.2941999999998</v>
      </c>
      <c r="AH1395" s="2">
        <v>1406.9757999999999</v>
      </c>
      <c r="AI1395" s="3">
        <v>0.39320001006072802</v>
      </c>
    </row>
    <row r="1396" spans="1:35">
      <c r="A1396" s="1">
        <v>42014</v>
      </c>
      <c r="B1396" s="1">
        <v>37171</v>
      </c>
      <c r="C1396" t="s">
        <v>3642</v>
      </c>
      <c r="D1396">
        <v>310</v>
      </c>
      <c r="E1396">
        <v>18726</v>
      </c>
      <c r="F1396">
        <v>9</v>
      </c>
      <c r="G1396">
        <v>1</v>
      </c>
      <c r="H1396">
        <v>1</v>
      </c>
      <c r="I1396">
        <v>2</v>
      </c>
      <c r="J1396" t="s">
        <v>3485</v>
      </c>
      <c r="K1396" t="s">
        <v>3486</v>
      </c>
      <c r="L1396" s="2">
        <v>2171.2941999999998</v>
      </c>
      <c r="M1396" s="2">
        <v>3578.27</v>
      </c>
      <c r="N1396" t="s">
        <v>30</v>
      </c>
      <c r="O1396" t="s">
        <v>509</v>
      </c>
      <c r="P1396" t="s">
        <v>195</v>
      </c>
      <c r="Q1396" t="s">
        <v>7725</v>
      </c>
      <c r="R1396" s="1">
        <v>22707</v>
      </c>
      <c r="S1396" t="s">
        <v>22</v>
      </c>
      <c r="T1396" t="s">
        <v>29</v>
      </c>
      <c r="U1396" t="s">
        <v>2212</v>
      </c>
      <c r="V1396">
        <v>60000</v>
      </c>
      <c r="W1396">
        <v>1</v>
      </c>
      <c r="X1396" t="s">
        <v>17</v>
      </c>
      <c r="Y1396" t="s">
        <v>18</v>
      </c>
      <c r="Z1396" t="s">
        <v>19</v>
      </c>
      <c r="AA1396" t="s">
        <v>3586</v>
      </c>
      <c r="AB1396" t="s">
        <v>3586</v>
      </c>
      <c r="AC1396" t="s">
        <v>3587</v>
      </c>
      <c r="AD1396" t="s">
        <v>3479</v>
      </c>
      <c r="AE1396" t="s">
        <v>3475</v>
      </c>
      <c r="AF1396" s="2">
        <v>3578.27</v>
      </c>
      <c r="AG1396" s="2">
        <v>2171.2941999999998</v>
      </c>
      <c r="AH1396" s="2">
        <v>1406.9757999999999</v>
      </c>
      <c r="AI1396" s="3">
        <v>0.39320001006072802</v>
      </c>
    </row>
    <row r="1397" spans="1:35">
      <c r="A1397" s="1">
        <v>42026</v>
      </c>
      <c r="B1397" s="1">
        <v>37192</v>
      </c>
      <c r="C1397" t="s">
        <v>3722</v>
      </c>
      <c r="D1397">
        <v>314</v>
      </c>
      <c r="E1397">
        <v>18729</v>
      </c>
      <c r="F1397">
        <v>9</v>
      </c>
      <c r="G1397">
        <v>1</v>
      </c>
      <c r="H1397">
        <v>1</v>
      </c>
      <c r="I1397">
        <v>2</v>
      </c>
      <c r="J1397" t="s">
        <v>3493</v>
      </c>
      <c r="K1397" t="s">
        <v>3494</v>
      </c>
      <c r="L1397" s="2">
        <v>2171.2941999999998</v>
      </c>
      <c r="M1397" s="2">
        <v>3578.27</v>
      </c>
      <c r="N1397" t="s">
        <v>13</v>
      </c>
      <c r="O1397" t="s">
        <v>228</v>
      </c>
      <c r="P1397" t="s">
        <v>707</v>
      </c>
      <c r="Q1397" t="s">
        <v>7726</v>
      </c>
      <c r="R1397" s="1">
        <v>22012</v>
      </c>
      <c r="S1397" t="s">
        <v>22</v>
      </c>
      <c r="T1397" t="s">
        <v>16</v>
      </c>
      <c r="U1397" t="s">
        <v>2213</v>
      </c>
      <c r="V1397">
        <v>60000</v>
      </c>
      <c r="W1397">
        <v>1</v>
      </c>
      <c r="X1397" t="s">
        <v>52</v>
      </c>
      <c r="Y1397" t="s">
        <v>53</v>
      </c>
      <c r="Z1397" t="s">
        <v>19</v>
      </c>
      <c r="AA1397" t="s">
        <v>3586</v>
      </c>
      <c r="AB1397" t="s">
        <v>3586</v>
      </c>
      <c r="AC1397" t="s">
        <v>3587</v>
      </c>
      <c r="AD1397" t="s">
        <v>3479</v>
      </c>
      <c r="AE1397" t="s">
        <v>3475</v>
      </c>
      <c r="AF1397" s="2">
        <v>3578.27</v>
      </c>
      <c r="AG1397" s="2">
        <v>2171.2941999999998</v>
      </c>
      <c r="AH1397" s="2">
        <v>1406.9757999999999</v>
      </c>
      <c r="AI1397" s="3">
        <v>0.39320001006072802</v>
      </c>
    </row>
    <row r="1398" spans="1:35">
      <c r="A1398" s="1">
        <v>42031</v>
      </c>
      <c r="B1398" s="1">
        <v>37219</v>
      </c>
      <c r="C1398" t="s">
        <v>3747</v>
      </c>
      <c r="D1398">
        <v>312</v>
      </c>
      <c r="E1398">
        <v>18731</v>
      </c>
      <c r="F1398">
        <v>9</v>
      </c>
      <c r="G1398">
        <v>1</v>
      </c>
      <c r="H1398">
        <v>1</v>
      </c>
      <c r="I1398">
        <v>2</v>
      </c>
      <c r="J1398" t="s">
        <v>3489</v>
      </c>
      <c r="K1398" t="s">
        <v>3490</v>
      </c>
      <c r="L1398" s="2">
        <v>2171.2941999999998</v>
      </c>
      <c r="M1398" s="2">
        <v>3578.27</v>
      </c>
      <c r="N1398" t="s">
        <v>13</v>
      </c>
      <c r="O1398" t="s">
        <v>531</v>
      </c>
      <c r="P1398" t="s">
        <v>465</v>
      </c>
      <c r="Q1398" t="s">
        <v>7727</v>
      </c>
      <c r="R1398" s="1">
        <v>21733</v>
      </c>
      <c r="S1398" t="s">
        <v>22</v>
      </c>
      <c r="T1398" t="s">
        <v>16</v>
      </c>
      <c r="U1398" t="s">
        <v>2214</v>
      </c>
      <c r="V1398">
        <v>90000</v>
      </c>
      <c r="W1398">
        <v>1</v>
      </c>
      <c r="X1398" t="s">
        <v>17</v>
      </c>
      <c r="Y1398" t="s">
        <v>18</v>
      </c>
      <c r="Z1398" t="s">
        <v>19</v>
      </c>
      <c r="AA1398" t="s">
        <v>3586</v>
      </c>
      <c r="AB1398" t="s">
        <v>3586</v>
      </c>
      <c r="AC1398" t="s">
        <v>3587</v>
      </c>
      <c r="AD1398" t="s">
        <v>3479</v>
      </c>
      <c r="AE1398" t="s">
        <v>3475</v>
      </c>
      <c r="AF1398" s="2">
        <v>3578.27</v>
      </c>
      <c r="AG1398" s="2">
        <v>2171.2941999999998</v>
      </c>
      <c r="AH1398" s="2">
        <v>1406.9757999999999</v>
      </c>
      <c r="AI1398" s="3">
        <v>0.39320001006072802</v>
      </c>
    </row>
    <row r="1399" spans="1:35">
      <c r="A1399" s="1">
        <v>42015</v>
      </c>
      <c r="B1399" s="1">
        <v>37174</v>
      </c>
      <c r="C1399" t="s">
        <v>3649</v>
      </c>
      <c r="D1399">
        <v>310</v>
      </c>
      <c r="E1399">
        <v>18735</v>
      </c>
      <c r="F1399">
        <v>9</v>
      </c>
      <c r="G1399">
        <v>1</v>
      </c>
      <c r="H1399">
        <v>1</v>
      </c>
      <c r="I1399">
        <v>2</v>
      </c>
      <c r="J1399" t="s">
        <v>3485</v>
      </c>
      <c r="K1399" t="s">
        <v>3486</v>
      </c>
      <c r="L1399" s="2">
        <v>2171.2941999999998</v>
      </c>
      <c r="M1399" s="2">
        <v>3578.27</v>
      </c>
      <c r="N1399" t="s">
        <v>26</v>
      </c>
      <c r="O1399" t="s">
        <v>200</v>
      </c>
      <c r="P1399" t="s">
        <v>85</v>
      </c>
      <c r="Q1399" t="s">
        <v>7728</v>
      </c>
      <c r="R1399" s="1">
        <v>23670</v>
      </c>
      <c r="S1399" t="s">
        <v>22</v>
      </c>
      <c r="T1399" t="s">
        <v>29</v>
      </c>
      <c r="U1399" t="s">
        <v>2215</v>
      </c>
      <c r="V1399">
        <v>70000</v>
      </c>
      <c r="W1399">
        <v>0</v>
      </c>
      <c r="X1399" t="s">
        <v>17</v>
      </c>
      <c r="Y1399" t="s">
        <v>18</v>
      </c>
      <c r="Z1399" t="s">
        <v>19</v>
      </c>
      <c r="AA1399" t="s">
        <v>3586</v>
      </c>
      <c r="AB1399" t="s">
        <v>3586</v>
      </c>
      <c r="AC1399" t="s">
        <v>3587</v>
      </c>
      <c r="AD1399" t="s">
        <v>3479</v>
      </c>
      <c r="AE1399" t="s">
        <v>3475</v>
      </c>
      <c r="AF1399" s="2">
        <v>3578.27</v>
      </c>
      <c r="AG1399" s="2">
        <v>2171.2941999999998</v>
      </c>
      <c r="AH1399" s="2">
        <v>1406.9757999999999</v>
      </c>
      <c r="AI1399" s="3">
        <v>0.39320001006072802</v>
      </c>
    </row>
    <row r="1400" spans="1:35">
      <c r="A1400" s="1">
        <v>42030</v>
      </c>
      <c r="B1400" s="1">
        <v>37216</v>
      </c>
      <c r="C1400" t="s">
        <v>3743</v>
      </c>
      <c r="D1400">
        <v>310</v>
      </c>
      <c r="E1400">
        <v>18736</v>
      </c>
      <c r="F1400">
        <v>9</v>
      </c>
      <c r="G1400">
        <v>1</v>
      </c>
      <c r="H1400">
        <v>1</v>
      </c>
      <c r="I1400">
        <v>2</v>
      </c>
      <c r="J1400" t="s">
        <v>3485</v>
      </c>
      <c r="K1400" t="s">
        <v>3486</v>
      </c>
      <c r="L1400" s="2">
        <v>2171.2941999999998</v>
      </c>
      <c r="M1400" s="2">
        <v>3578.27</v>
      </c>
      <c r="N1400" t="s">
        <v>30</v>
      </c>
      <c r="O1400" t="s">
        <v>289</v>
      </c>
      <c r="P1400" t="s">
        <v>261</v>
      </c>
      <c r="Q1400" t="s">
        <v>7729</v>
      </c>
      <c r="R1400" s="1">
        <v>21714</v>
      </c>
      <c r="S1400" t="s">
        <v>22</v>
      </c>
      <c r="T1400" t="s">
        <v>29</v>
      </c>
      <c r="U1400" t="s">
        <v>2216</v>
      </c>
      <c r="V1400">
        <v>90000</v>
      </c>
      <c r="W1400">
        <v>1</v>
      </c>
      <c r="X1400" t="s">
        <v>17</v>
      </c>
      <c r="Y1400" t="s">
        <v>18</v>
      </c>
      <c r="Z1400" t="s">
        <v>19</v>
      </c>
      <c r="AA1400" t="s">
        <v>3586</v>
      </c>
      <c r="AB1400" t="s">
        <v>3586</v>
      </c>
      <c r="AC1400" t="s">
        <v>3587</v>
      </c>
      <c r="AD1400" t="s">
        <v>3479</v>
      </c>
      <c r="AE1400" t="s">
        <v>3475</v>
      </c>
      <c r="AF1400" s="2">
        <v>3578.27</v>
      </c>
      <c r="AG1400" s="2">
        <v>2171.2941999999998</v>
      </c>
      <c r="AH1400" s="2">
        <v>1406.9757999999999</v>
      </c>
      <c r="AI1400" s="3">
        <v>0.39320001006072802</v>
      </c>
    </row>
    <row r="1401" spans="1:35">
      <c r="A1401" s="1">
        <v>42031</v>
      </c>
      <c r="B1401" s="1">
        <v>37267</v>
      </c>
      <c r="C1401" t="s">
        <v>3750</v>
      </c>
      <c r="D1401">
        <v>314</v>
      </c>
      <c r="E1401">
        <v>18737</v>
      </c>
      <c r="F1401">
        <v>9</v>
      </c>
      <c r="G1401">
        <v>1</v>
      </c>
      <c r="H1401">
        <v>1</v>
      </c>
      <c r="I1401">
        <v>2</v>
      </c>
      <c r="J1401" t="s">
        <v>3493</v>
      </c>
      <c r="K1401" t="s">
        <v>3494</v>
      </c>
      <c r="L1401" s="2">
        <v>2171.2941999999998</v>
      </c>
      <c r="M1401" s="2">
        <v>3578.27</v>
      </c>
      <c r="N1401" t="s">
        <v>73</v>
      </c>
      <c r="O1401" t="s">
        <v>358</v>
      </c>
      <c r="P1401" t="s">
        <v>529</v>
      </c>
      <c r="Q1401" t="s">
        <v>7730</v>
      </c>
      <c r="R1401" s="1">
        <v>21752</v>
      </c>
      <c r="S1401" t="s">
        <v>22</v>
      </c>
      <c r="T1401" t="s">
        <v>76</v>
      </c>
      <c r="U1401" t="s">
        <v>2217</v>
      </c>
      <c r="V1401">
        <v>100000</v>
      </c>
      <c r="W1401">
        <v>5</v>
      </c>
      <c r="X1401" t="s">
        <v>17</v>
      </c>
      <c r="Y1401" t="s">
        <v>18</v>
      </c>
      <c r="Z1401" t="s">
        <v>19</v>
      </c>
      <c r="AA1401" t="s">
        <v>3586</v>
      </c>
      <c r="AB1401" t="s">
        <v>3586</v>
      </c>
      <c r="AC1401" t="s">
        <v>3587</v>
      </c>
      <c r="AD1401" t="s">
        <v>3479</v>
      </c>
      <c r="AE1401" t="s">
        <v>3475</v>
      </c>
      <c r="AF1401" s="2">
        <v>3578.27</v>
      </c>
      <c r="AG1401" s="2">
        <v>2171.2941999999998</v>
      </c>
      <c r="AH1401" s="2">
        <v>1406.9757999999999</v>
      </c>
      <c r="AI1401" s="3">
        <v>0.39320001006072802</v>
      </c>
    </row>
    <row r="1402" spans="1:35">
      <c r="A1402" s="1">
        <v>42020</v>
      </c>
      <c r="B1402" s="1">
        <v>37187</v>
      </c>
      <c r="C1402" t="s">
        <v>3684</v>
      </c>
      <c r="D1402">
        <v>312</v>
      </c>
      <c r="E1402">
        <v>18738</v>
      </c>
      <c r="F1402">
        <v>9</v>
      </c>
      <c r="G1402">
        <v>1</v>
      </c>
      <c r="H1402">
        <v>1</v>
      </c>
      <c r="I1402">
        <v>2</v>
      </c>
      <c r="J1402" t="s">
        <v>3489</v>
      </c>
      <c r="K1402" t="s">
        <v>3490</v>
      </c>
      <c r="L1402" s="2">
        <v>2171.2941999999998</v>
      </c>
      <c r="M1402" s="2">
        <v>3578.27</v>
      </c>
      <c r="N1402" t="s">
        <v>26</v>
      </c>
      <c r="O1402" t="s">
        <v>181</v>
      </c>
      <c r="P1402" t="s">
        <v>159</v>
      </c>
      <c r="Q1402" t="s">
        <v>7731</v>
      </c>
      <c r="R1402" s="1">
        <v>23113</v>
      </c>
      <c r="S1402" t="s">
        <v>22</v>
      </c>
      <c r="T1402" t="s">
        <v>29</v>
      </c>
      <c r="U1402" t="s">
        <v>2218</v>
      </c>
      <c r="V1402">
        <v>70000</v>
      </c>
      <c r="W1402">
        <v>0</v>
      </c>
      <c r="X1402" t="s">
        <v>17</v>
      </c>
      <c r="Y1402" t="s">
        <v>18</v>
      </c>
      <c r="Z1402" t="s">
        <v>23</v>
      </c>
      <c r="AA1402" t="s">
        <v>3586</v>
      </c>
      <c r="AB1402" t="s">
        <v>3586</v>
      </c>
      <c r="AC1402" t="s">
        <v>3587</v>
      </c>
      <c r="AD1402" t="s">
        <v>3479</v>
      </c>
      <c r="AE1402" t="s">
        <v>3475</v>
      </c>
      <c r="AF1402" s="2">
        <v>3578.27</v>
      </c>
      <c r="AG1402" s="2">
        <v>2171.2941999999998</v>
      </c>
      <c r="AH1402" s="2">
        <v>1406.9757999999999</v>
      </c>
      <c r="AI1402" s="3">
        <v>0.39320001006072802</v>
      </c>
    </row>
    <row r="1403" spans="1:35">
      <c r="A1403" s="1">
        <v>42024</v>
      </c>
      <c r="B1403" s="1">
        <v>37217</v>
      </c>
      <c r="C1403" t="s">
        <v>3706</v>
      </c>
      <c r="D1403">
        <v>311</v>
      </c>
      <c r="E1403">
        <v>18739</v>
      </c>
      <c r="F1403">
        <v>9</v>
      </c>
      <c r="G1403">
        <v>1</v>
      </c>
      <c r="H1403">
        <v>1</v>
      </c>
      <c r="I1403">
        <v>2</v>
      </c>
      <c r="J1403" t="s">
        <v>3487</v>
      </c>
      <c r="K1403" t="s">
        <v>3488</v>
      </c>
      <c r="L1403" s="2">
        <v>2171.2941999999998</v>
      </c>
      <c r="M1403" s="2">
        <v>3578.27</v>
      </c>
      <c r="N1403" t="s">
        <v>30</v>
      </c>
      <c r="O1403" t="s">
        <v>27</v>
      </c>
      <c r="P1403" t="s">
        <v>490</v>
      </c>
      <c r="Q1403" t="s">
        <v>7732</v>
      </c>
      <c r="R1403" s="1">
        <v>22459</v>
      </c>
      <c r="S1403" t="s">
        <v>16</v>
      </c>
      <c r="T1403" t="s">
        <v>29</v>
      </c>
      <c r="U1403" t="s">
        <v>2219</v>
      </c>
      <c r="V1403">
        <v>60000</v>
      </c>
      <c r="W1403">
        <v>1</v>
      </c>
      <c r="X1403" t="s">
        <v>52</v>
      </c>
      <c r="Y1403" t="s">
        <v>53</v>
      </c>
      <c r="Z1403" t="s">
        <v>19</v>
      </c>
      <c r="AA1403" t="s">
        <v>3586</v>
      </c>
      <c r="AB1403" t="s">
        <v>3586</v>
      </c>
      <c r="AC1403" t="s">
        <v>3587</v>
      </c>
      <c r="AD1403" t="s">
        <v>3479</v>
      </c>
      <c r="AE1403" t="s">
        <v>3475</v>
      </c>
      <c r="AF1403" s="2">
        <v>3578.27</v>
      </c>
      <c r="AG1403" s="2">
        <v>2171.2941999999998</v>
      </c>
      <c r="AH1403" s="2">
        <v>1406.9757999999999</v>
      </c>
      <c r="AI1403" s="3">
        <v>0.39320001006072802</v>
      </c>
    </row>
    <row r="1404" spans="1:35">
      <c r="A1404" s="1">
        <v>42012</v>
      </c>
      <c r="B1404" s="1">
        <v>37239</v>
      </c>
      <c r="C1404" t="s">
        <v>3628</v>
      </c>
      <c r="D1404">
        <v>314</v>
      </c>
      <c r="E1404">
        <v>18740</v>
      </c>
      <c r="F1404">
        <v>9</v>
      </c>
      <c r="G1404">
        <v>1</v>
      </c>
      <c r="H1404">
        <v>1</v>
      </c>
      <c r="I1404">
        <v>2</v>
      </c>
      <c r="J1404" t="s">
        <v>3493</v>
      </c>
      <c r="K1404" t="s">
        <v>3494</v>
      </c>
      <c r="L1404" s="2">
        <v>2171.2941999999998</v>
      </c>
      <c r="M1404" s="2">
        <v>3578.27</v>
      </c>
      <c r="N1404" t="s">
        <v>13</v>
      </c>
      <c r="O1404" t="s">
        <v>112</v>
      </c>
      <c r="P1404" t="s">
        <v>55</v>
      </c>
      <c r="Q1404" t="s">
        <v>7733</v>
      </c>
      <c r="R1404" s="1">
        <v>21432</v>
      </c>
      <c r="S1404" t="s">
        <v>16</v>
      </c>
      <c r="T1404" t="s">
        <v>16</v>
      </c>
      <c r="U1404" t="s">
        <v>2220</v>
      </c>
      <c r="V1404">
        <v>80000</v>
      </c>
      <c r="W1404">
        <v>5</v>
      </c>
      <c r="X1404" t="s">
        <v>17</v>
      </c>
      <c r="Y1404" t="s">
        <v>18</v>
      </c>
      <c r="Z1404" t="s">
        <v>23</v>
      </c>
      <c r="AA1404" t="s">
        <v>3586</v>
      </c>
      <c r="AB1404" t="s">
        <v>3586</v>
      </c>
      <c r="AC1404" t="s">
        <v>3587</v>
      </c>
      <c r="AD1404" t="s">
        <v>3479</v>
      </c>
      <c r="AE1404" t="s">
        <v>3475</v>
      </c>
      <c r="AF1404" s="2">
        <v>3578.27</v>
      </c>
      <c r="AG1404" s="2">
        <v>2171.2941999999998</v>
      </c>
      <c r="AH1404" s="2">
        <v>1406.9757999999999</v>
      </c>
      <c r="AI1404" s="3">
        <v>0.39320001006072802</v>
      </c>
    </row>
    <row r="1405" spans="1:35">
      <c r="A1405" s="1">
        <v>42006</v>
      </c>
      <c r="B1405" s="1">
        <v>37173</v>
      </c>
      <c r="C1405" t="s">
        <v>3601</v>
      </c>
      <c r="D1405">
        <v>312</v>
      </c>
      <c r="E1405">
        <v>18746</v>
      </c>
      <c r="F1405">
        <v>9</v>
      </c>
      <c r="G1405">
        <v>1</v>
      </c>
      <c r="H1405">
        <v>1</v>
      </c>
      <c r="I1405">
        <v>2</v>
      </c>
      <c r="J1405" t="s">
        <v>3489</v>
      </c>
      <c r="K1405" t="s">
        <v>3490</v>
      </c>
      <c r="L1405" s="2">
        <v>2171.2941999999998</v>
      </c>
      <c r="M1405" s="2">
        <v>3578.27</v>
      </c>
      <c r="N1405" t="s">
        <v>13</v>
      </c>
      <c r="O1405" t="s">
        <v>622</v>
      </c>
      <c r="P1405" t="s">
        <v>214</v>
      </c>
      <c r="Q1405" t="s">
        <v>7734</v>
      </c>
      <c r="R1405" s="1">
        <v>21139</v>
      </c>
      <c r="S1405" t="s">
        <v>22</v>
      </c>
      <c r="T1405" t="s">
        <v>16</v>
      </c>
      <c r="U1405" t="s">
        <v>2221</v>
      </c>
      <c r="V1405">
        <v>70000</v>
      </c>
      <c r="W1405">
        <v>1</v>
      </c>
      <c r="X1405" t="s">
        <v>52</v>
      </c>
      <c r="Y1405" t="s">
        <v>53</v>
      </c>
      <c r="Z1405" t="s">
        <v>23</v>
      </c>
      <c r="AA1405" t="s">
        <v>3586</v>
      </c>
      <c r="AB1405" t="s">
        <v>3586</v>
      </c>
      <c r="AC1405" t="s">
        <v>3587</v>
      </c>
      <c r="AD1405" t="s">
        <v>3479</v>
      </c>
      <c r="AE1405" t="s">
        <v>3475</v>
      </c>
      <c r="AF1405" s="2">
        <v>3578.27</v>
      </c>
      <c r="AG1405" s="2">
        <v>2171.2941999999998</v>
      </c>
      <c r="AH1405" s="2">
        <v>1406.9757999999999</v>
      </c>
      <c r="AI1405" s="3">
        <v>0.39320001006072802</v>
      </c>
    </row>
    <row r="1406" spans="1:35">
      <c r="A1406" s="1">
        <v>42006</v>
      </c>
      <c r="B1406" s="1">
        <v>37243</v>
      </c>
      <c r="C1406" t="s">
        <v>3600</v>
      </c>
      <c r="D1406">
        <v>314</v>
      </c>
      <c r="E1406">
        <v>18747</v>
      </c>
      <c r="F1406">
        <v>9</v>
      </c>
      <c r="G1406">
        <v>1</v>
      </c>
      <c r="H1406">
        <v>1</v>
      </c>
      <c r="I1406">
        <v>2</v>
      </c>
      <c r="J1406" t="s">
        <v>3493</v>
      </c>
      <c r="K1406" t="s">
        <v>3494</v>
      </c>
      <c r="L1406" s="2">
        <v>2171.2941999999998</v>
      </c>
      <c r="M1406" s="2">
        <v>3578.27</v>
      </c>
      <c r="N1406" t="s">
        <v>30</v>
      </c>
      <c r="O1406" t="s">
        <v>39</v>
      </c>
      <c r="P1406" t="s">
        <v>136</v>
      </c>
      <c r="Q1406" t="s">
        <v>7735</v>
      </c>
      <c r="R1406" s="1">
        <v>20584</v>
      </c>
      <c r="S1406" t="s">
        <v>22</v>
      </c>
      <c r="T1406" t="s">
        <v>29</v>
      </c>
      <c r="U1406" t="s">
        <v>2222</v>
      </c>
      <c r="V1406">
        <v>70000</v>
      </c>
      <c r="W1406">
        <v>2</v>
      </c>
      <c r="X1406" t="s">
        <v>52</v>
      </c>
      <c r="Y1406" t="s">
        <v>53</v>
      </c>
      <c r="Z1406" t="s">
        <v>23</v>
      </c>
      <c r="AA1406" t="s">
        <v>3586</v>
      </c>
      <c r="AB1406" t="s">
        <v>3586</v>
      </c>
      <c r="AC1406" t="s">
        <v>3587</v>
      </c>
      <c r="AD1406" t="s">
        <v>3479</v>
      </c>
      <c r="AE1406" t="s">
        <v>3475</v>
      </c>
      <c r="AF1406" s="2">
        <v>3578.27</v>
      </c>
      <c r="AG1406" s="2">
        <v>2171.2941999999998</v>
      </c>
      <c r="AH1406" s="2">
        <v>1406.9757999999999</v>
      </c>
      <c r="AI1406" s="3">
        <v>0.39320001006072802</v>
      </c>
    </row>
    <row r="1407" spans="1:35">
      <c r="A1407" s="1">
        <v>42020</v>
      </c>
      <c r="B1407" s="1">
        <v>37233</v>
      </c>
      <c r="C1407" t="s">
        <v>3680</v>
      </c>
      <c r="D1407">
        <v>314</v>
      </c>
      <c r="E1407">
        <v>18766</v>
      </c>
      <c r="F1407">
        <v>9</v>
      </c>
      <c r="G1407">
        <v>1</v>
      </c>
      <c r="H1407">
        <v>1</v>
      </c>
      <c r="I1407">
        <v>2</v>
      </c>
      <c r="J1407" t="s">
        <v>3493</v>
      </c>
      <c r="K1407" t="s">
        <v>3494</v>
      </c>
      <c r="L1407" s="2">
        <v>2171.2941999999998</v>
      </c>
      <c r="M1407" s="2">
        <v>3578.27</v>
      </c>
      <c r="N1407" t="s">
        <v>13</v>
      </c>
      <c r="O1407" t="s">
        <v>478</v>
      </c>
      <c r="P1407" t="s">
        <v>79</v>
      </c>
      <c r="Q1407" t="s">
        <v>7736</v>
      </c>
      <c r="R1407" s="1">
        <v>14625</v>
      </c>
      <c r="S1407" t="s">
        <v>16</v>
      </c>
      <c r="T1407" t="s">
        <v>16</v>
      </c>
      <c r="U1407" t="s">
        <v>2223</v>
      </c>
      <c r="V1407">
        <v>30000</v>
      </c>
      <c r="W1407">
        <v>2</v>
      </c>
      <c r="X1407" t="s">
        <v>52</v>
      </c>
      <c r="Y1407" t="s">
        <v>60</v>
      </c>
      <c r="Z1407" t="s">
        <v>23</v>
      </c>
      <c r="AA1407" t="s">
        <v>3586</v>
      </c>
      <c r="AB1407" t="s">
        <v>3586</v>
      </c>
      <c r="AC1407" t="s">
        <v>3587</v>
      </c>
      <c r="AD1407" t="s">
        <v>3479</v>
      </c>
      <c r="AE1407" t="s">
        <v>3475</v>
      </c>
      <c r="AF1407" s="2">
        <v>3578.27</v>
      </c>
      <c r="AG1407" s="2">
        <v>2171.2941999999998</v>
      </c>
      <c r="AH1407" s="2">
        <v>1406.9757999999999</v>
      </c>
      <c r="AI1407" s="3">
        <v>0.39320001006072802</v>
      </c>
    </row>
    <row r="1408" spans="1:35">
      <c r="A1408" s="1">
        <v>42018</v>
      </c>
      <c r="B1408" s="1">
        <v>37249</v>
      </c>
      <c r="C1408" t="s">
        <v>3664</v>
      </c>
      <c r="D1408">
        <v>313</v>
      </c>
      <c r="E1408">
        <v>18767</v>
      </c>
      <c r="F1408">
        <v>9</v>
      </c>
      <c r="G1408">
        <v>1</v>
      </c>
      <c r="H1408">
        <v>1</v>
      </c>
      <c r="I1408">
        <v>2</v>
      </c>
      <c r="J1408" t="s">
        <v>3491</v>
      </c>
      <c r="K1408" t="s">
        <v>3492</v>
      </c>
      <c r="L1408" s="2">
        <v>2171.2941999999998</v>
      </c>
      <c r="M1408" s="2">
        <v>3578.27</v>
      </c>
      <c r="N1408" t="s">
        <v>13</v>
      </c>
      <c r="O1408" t="s">
        <v>480</v>
      </c>
      <c r="P1408" t="s">
        <v>779</v>
      </c>
      <c r="Q1408" t="s">
        <v>7737</v>
      </c>
      <c r="R1408" s="1">
        <v>14955</v>
      </c>
      <c r="S1408" t="s">
        <v>16</v>
      </c>
      <c r="T1408" t="s">
        <v>16</v>
      </c>
      <c r="U1408" t="s">
        <v>2224</v>
      </c>
      <c r="V1408">
        <v>40000</v>
      </c>
      <c r="W1408">
        <v>2</v>
      </c>
      <c r="X1408" t="s">
        <v>17</v>
      </c>
      <c r="Y1408" t="s">
        <v>45</v>
      </c>
      <c r="Z1408" t="s">
        <v>19</v>
      </c>
      <c r="AA1408" t="s">
        <v>3586</v>
      </c>
      <c r="AB1408" t="s">
        <v>3586</v>
      </c>
      <c r="AC1408" t="s">
        <v>3587</v>
      </c>
      <c r="AD1408" t="s">
        <v>3479</v>
      </c>
      <c r="AE1408" t="s">
        <v>3475</v>
      </c>
      <c r="AF1408" s="2">
        <v>3578.27</v>
      </c>
      <c r="AG1408" s="2">
        <v>2171.2941999999998</v>
      </c>
      <c r="AH1408" s="2">
        <v>1406.9757999999999</v>
      </c>
      <c r="AI1408" s="3">
        <v>0.39320001006072802</v>
      </c>
    </row>
    <row r="1409" spans="1:35">
      <c r="A1409" s="1">
        <v>42029</v>
      </c>
      <c r="B1409" s="1">
        <v>37220</v>
      </c>
      <c r="C1409" t="s">
        <v>3739</v>
      </c>
      <c r="D1409">
        <v>314</v>
      </c>
      <c r="E1409">
        <v>18768</v>
      </c>
      <c r="F1409">
        <v>9</v>
      </c>
      <c r="G1409">
        <v>1</v>
      </c>
      <c r="H1409">
        <v>1</v>
      </c>
      <c r="I1409">
        <v>2</v>
      </c>
      <c r="J1409" t="s">
        <v>3493</v>
      </c>
      <c r="K1409" t="s">
        <v>3494</v>
      </c>
      <c r="L1409" s="2">
        <v>2171.2941999999998</v>
      </c>
      <c r="M1409" s="2">
        <v>3578.27</v>
      </c>
      <c r="N1409" t="s">
        <v>13</v>
      </c>
      <c r="O1409" t="s">
        <v>186</v>
      </c>
      <c r="P1409" t="s">
        <v>99</v>
      </c>
      <c r="Q1409" t="s">
        <v>7738</v>
      </c>
      <c r="R1409" s="1">
        <v>15395</v>
      </c>
      <c r="S1409" t="s">
        <v>16</v>
      </c>
      <c r="T1409" t="s">
        <v>16</v>
      </c>
      <c r="U1409" t="s">
        <v>2225</v>
      </c>
      <c r="V1409">
        <v>40000</v>
      </c>
      <c r="W1409">
        <v>2</v>
      </c>
      <c r="X1409" t="s">
        <v>17</v>
      </c>
      <c r="Y1409" t="s">
        <v>45</v>
      </c>
      <c r="Z1409" t="s">
        <v>19</v>
      </c>
      <c r="AA1409" t="s">
        <v>3586</v>
      </c>
      <c r="AB1409" t="s">
        <v>3586</v>
      </c>
      <c r="AC1409" t="s">
        <v>3587</v>
      </c>
      <c r="AD1409" t="s">
        <v>3479</v>
      </c>
      <c r="AE1409" t="s">
        <v>3475</v>
      </c>
      <c r="AF1409" s="2">
        <v>3578.27</v>
      </c>
      <c r="AG1409" s="2">
        <v>2171.2941999999998</v>
      </c>
      <c r="AH1409" s="2">
        <v>1406.9757999999999</v>
      </c>
      <c r="AI1409" s="3">
        <v>0.39320001006072802</v>
      </c>
    </row>
    <row r="1410" spans="1:35">
      <c r="A1410" s="1">
        <v>42022</v>
      </c>
      <c r="B1410" s="1">
        <v>37189</v>
      </c>
      <c r="C1410" t="s">
        <v>3699</v>
      </c>
      <c r="D1410">
        <v>312</v>
      </c>
      <c r="E1410">
        <v>18769</v>
      </c>
      <c r="F1410">
        <v>9</v>
      </c>
      <c r="G1410">
        <v>1</v>
      </c>
      <c r="H1410">
        <v>1</v>
      </c>
      <c r="I1410">
        <v>2</v>
      </c>
      <c r="J1410" t="s">
        <v>3489</v>
      </c>
      <c r="K1410" t="s">
        <v>3490</v>
      </c>
      <c r="L1410" s="2">
        <v>2171.2941999999998</v>
      </c>
      <c r="M1410" s="2">
        <v>3578.27</v>
      </c>
      <c r="N1410" t="s">
        <v>30</v>
      </c>
      <c r="O1410" t="s">
        <v>88</v>
      </c>
      <c r="P1410" t="s">
        <v>97</v>
      </c>
      <c r="Q1410" t="s">
        <v>7739</v>
      </c>
      <c r="R1410" s="1">
        <v>15921</v>
      </c>
      <c r="S1410" t="s">
        <v>16</v>
      </c>
      <c r="T1410" t="s">
        <v>29</v>
      </c>
      <c r="U1410" t="s">
        <v>2226</v>
      </c>
      <c r="V1410">
        <v>40000</v>
      </c>
      <c r="W1410">
        <v>2</v>
      </c>
      <c r="X1410" t="s">
        <v>17</v>
      </c>
      <c r="Y1410" t="s">
        <v>45</v>
      </c>
      <c r="Z1410" t="s">
        <v>19</v>
      </c>
      <c r="AA1410" t="s">
        <v>3586</v>
      </c>
      <c r="AB1410" t="s">
        <v>3586</v>
      </c>
      <c r="AC1410" t="s">
        <v>3587</v>
      </c>
      <c r="AD1410" t="s">
        <v>3479</v>
      </c>
      <c r="AE1410" t="s">
        <v>3475</v>
      </c>
      <c r="AF1410" s="2">
        <v>3578.27</v>
      </c>
      <c r="AG1410" s="2">
        <v>2171.2941999999998</v>
      </c>
      <c r="AH1410" s="2">
        <v>1406.9757999999999</v>
      </c>
      <c r="AI1410" s="3">
        <v>0.39320001006072802</v>
      </c>
    </row>
    <row r="1411" spans="1:35">
      <c r="A1411" s="1">
        <v>42007</v>
      </c>
      <c r="B1411" s="1">
        <v>37188</v>
      </c>
      <c r="C1411" t="s">
        <v>3605</v>
      </c>
      <c r="D1411">
        <v>313</v>
      </c>
      <c r="E1411">
        <v>18899</v>
      </c>
      <c r="F1411">
        <v>9</v>
      </c>
      <c r="G1411">
        <v>1</v>
      </c>
      <c r="H1411">
        <v>1</v>
      </c>
      <c r="I1411">
        <v>2</v>
      </c>
      <c r="J1411" t="s">
        <v>3491</v>
      </c>
      <c r="K1411" t="s">
        <v>3492</v>
      </c>
      <c r="L1411" s="2">
        <v>2171.2941999999998</v>
      </c>
      <c r="M1411" s="2">
        <v>3578.27</v>
      </c>
      <c r="N1411" t="s">
        <v>13</v>
      </c>
      <c r="O1411" t="s">
        <v>1097</v>
      </c>
      <c r="P1411" t="s">
        <v>210</v>
      </c>
      <c r="Q1411" t="s">
        <v>7740</v>
      </c>
      <c r="R1411" s="1">
        <v>18381</v>
      </c>
      <c r="S1411" t="s">
        <v>16</v>
      </c>
      <c r="T1411" t="s">
        <v>16</v>
      </c>
      <c r="U1411" t="s">
        <v>2227</v>
      </c>
      <c r="V1411">
        <v>30000</v>
      </c>
      <c r="W1411">
        <v>3</v>
      </c>
      <c r="X1411" t="s">
        <v>52</v>
      </c>
      <c r="Y1411" t="s">
        <v>60</v>
      </c>
      <c r="Z1411" t="s">
        <v>23</v>
      </c>
      <c r="AA1411" t="s">
        <v>3586</v>
      </c>
      <c r="AB1411" t="s">
        <v>3586</v>
      </c>
      <c r="AC1411" t="s">
        <v>3587</v>
      </c>
      <c r="AD1411" t="s">
        <v>3479</v>
      </c>
      <c r="AE1411" t="s">
        <v>3475</v>
      </c>
      <c r="AF1411" s="2">
        <v>3578.27</v>
      </c>
      <c r="AG1411" s="2">
        <v>2171.2941999999998</v>
      </c>
      <c r="AH1411" s="2">
        <v>1406.9757999999999</v>
      </c>
      <c r="AI1411" s="3">
        <v>0.39320001006072802</v>
      </c>
    </row>
    <row r="1412" spans="1:35">
      <c r="A1412" s="1">
        <v>42018</v>
      </c>
      <c r="B1412" s="1">
        <v>37200</v>
      </c>
      <c r="C1412" t="s">
        <v>3669</v>
      </c>
      <c r="D1412">
        <v>312</v>
      </c>
      <c r="E1412">
        <v>18900</v>
      </c>
      <c r="F1412">
        <v>9</v>
      </c>
      <c r="G1412">
        <v>1</v>
      </c>
      <c r="H1412">
        <v>1</v>
      </c>
      <c r="I1412">
        <v>2</v>
      </c>
      <c r="J1412" t="s">
        <v>3489</v>
      </c>
      <c r="K1412" t="s">
        <v>3490</v>
      </c>
      <c r="L1412" s="2">
        <v>2171.2941999999998</v>
      </c>
      <c r="M1412" s="2">
        <v>3578.27</v>
      </c>
      <c r="N1412" t="s">
        <v>13</v>
      </c>
      <c r="O1412" t="s">
        <v>843</v>
      </c>
      <c r="P1412" t="s">
        <v>25</v>
      </c>
      <c r="Q1412" t="s">
        <v>7741</v>
      </c>
      <c r="R1412" s="1">
        <v>18544</v>
      </c>
      <c r="S1412" t="s">
        <v>16</v>
      </c>
      <c r="T1412" t="s">
        <v>16</v>
      </c>
      <c r="U1412" t="s">
        <v>2228</v>
      </c>
      <c r="V1412">
        <v>30000</v>
      </c>
      <c r="W1412">
        <v>3</v>
      </c>
      <c r="X1412" t="s">
        <v>52</v>
      </c>
      <c r="Y1412" t="s">
        <v>60</v>
      </c>
      <c r="Z1412" t="s">
        <v>23</v>
      </c>
      <c r="AA1412" t="s">
        <v>3586</v>
      </c>
      <c r="AB1412" t="s">
        <v>3586</v>
      </c>
      <c r="AC1412" t="s">
        <v>3587</v>
      </c>
      <c r="AD1412" t="s">
        <v>3479</v>
      </c>
      <c r="AE1412" t="s">
        <v>3475</v>
      </c>
      <c r="AF1412" s="2">
        <v>3578.27</v>
      </c>
      <c r="AG1412" s="2">
        <v>2171.2941999999998</v>
      </c>
      <c r="AH1412" s="2">
        <v>1406.9757999999999</v>
      </c>
      <c r="AI1412" s="3">
        <v>0.39320001006072802</v>
      </c>
    </row>
    <row r="1413" spans="1:35">
      <c r="A1413" s="1">
        <v>42024</v>
      </c>
      <c r="B1413" s="1">
        <v>37167</v>
      </c>
      <c r="C1413" t="s">
        <v>3711</v>
      </c>
      <c r="D1413">
        <v>314</v>
      </c>
      <c r="E1413">
        <v>18902</v>
      </c>
      <c r="F1413">
        <v>9</v>
      </c>
      <c r="G1413">
        <v>1</v>
      </c>
      <c r="H1413">
        <v>1</v>
      </c>
      <c r="I1413">
        <v>2</v>
      </c>
      <c r="J1413" t="s">
        <v>3493</v>
      </c>
      <c r="K1413" t="s">
        <v>3494</v>
      </c>
      <c r="L1413" s="2">
        <v>2171.2941999999998</v>
      </c>
      <c r="M1413" s="2">
        <v>3578.27</v>
      </c>
      <c r="N1413" t="s">
        <v>13</v>
      </c>
      <c r="O1413" t="s">
        <v>1172</v>
      </c>
      <c r="P1413" t="s">
        <v>686</v>
      </c>
      <c r="Q1413" t="s">
        <v>7742</v>
      </c>
      <c r="R1413" s="1">
        <v>18856</v>
      </c>
      <c r="S1413" t="s">
        <v>16</v>
      </c>
      <c r="T1413" t="s">
        <v>16</v>
      </c>
      <c r="U1413" t="s">
        <v>2229</v>
      </c>
      <c r="V1413">
        <v>30000</v>
      </c>
      <c r="W1413">
        <v>3</v>
      </c>
      <c r="X1413" t="s">
        <v>57</v>
      </c>
      <c r="Y1413" t="s">
        <v>53</v>
      </c>
      <c r="Z1413" t="s">
        <v>23</v>
      </c>
      <c r="AA1413" t="s">
        <v>3586</v>
      </c>
      <c r="AB1413" t="s">
        <v>3586</v>
      </c>
      <c r="AC1413" t="s">
        <v>3587</v>
      </c>
      <c r="AD1413" t="s">
        <v>3479</v>
      </c>
      <c r="AE1413" t="s">
        <v>3475</v>
      </c>
      <c r="AF1413" s="2">
        <v>3578.27</v>
      </c>
      <c r="AG1413" s="2">
        <v>2171.2941999999998</v>
      </c>
      <c r="AH1413" s="2">
        <v>1406.9757999999999</v>
      </c>
      <c r="AI1413" s="3">
        <v>0.39320001006072802</v>
      </c>
    </row>
    <row r="1414" spans="1:35">
      <c r="A1414" s="1">
        <v>42021</v>
      </c>
      <c r="B1414" s="1">
        <v>37192</v>
      </c>
      <c r="C1414" t="s">
        <v>3691</v>
      </c>
      <c r="D1414">
        <v>314</v>
      </c>
      <c r="E1414">
        <v>18903</v>
      </c>
      <c r="F1414">
        <v>9</v>
      </c>
      <c r="G1414">
        <v>1</v>
      </c>
      <c r="H1414">
        <v>1</v>
      </c>
      <c r="I1414">
        <v>2</v>
      </c>
      <c r="J1414" t="s">
        <v>3493</v>
      </c>
      <c r="K1414" t="s">
        <v>3494</v>
      </c>
      <c r="L1414" s="2">
        <v>2171.2941999999998</v>
      </c>
      <c r="M1414" s="2">
        <v>3578.27</v>
      </c>
      <c r="N1414" t="s">
        <v>13</v>
      </c>
      <c r="O1414" t="s">
        <v>552</v>
      </c>
      <c r="P1414" t="s">
        <v>227</v>
      </c>
      <c r="Q1414" t="s">
        <v>7743</v>
      </c>
      <c r="R1414" s="1">
        <v>18959</v>
      </c>
      <c r="S1414" t="s">
        <v>22</v>
      </c>
      <c r="T1414" t="s">
        <v>16</v>
      </c>
      <c r="U1414" t="s">
        <v>2230</v>
      </c>
      <c r="V1414">
        <v>30000</v>
      </c>
      <c r="W1414">
        <v>3</v>
      </c>
      <c r="X1414" t="s">
        <v>57</v>
      </c>
      <c r="Y1414" t="s">
        <v>53</v>
      </c>
      <c r="Z1414" t="s">
        <v>19</v>
      </c>
      <c r="AA1414" t="s">
        <v>3586</v>
      </c>
      <c r="AB1414" t="s">
        <v>3586</v>
      </c>
      <c r="AC1414" t="s">
        <v>3587</v>
      </c>
      <c r="AD1414" t="s">
        <v>3479</v>
      </c>
      <c r="AE1414" t="s">
        <v>3475</v>
      </c>
      <c r="AF1414" s="2">
        <v>3578.27</v>
      </c>
      <c r="AG1414" s="2">
        <v>2171.2941999999998</v>
      </c>
      <c r="AH1414" s="2">
        <v>1406.9757999999999</v>
      </c>
      <c r="AI1414" s="3">
        <v>0.39320001006072802</v>
      </c>
    </row>
    <row r="1415" spans="1:35">
      <c r="A1415" s="1">
        <v>42007</v>
      </c>
      <c r="B1415" s="1">
        <v>37167</v>
      </c>
      <c r="C1415" t="s">
        <v>3602</v>
      </c>
      <c r="D1415">
        <v>312</v>
      </c>
      <c r="E1415">
        <v>18906</v>
      </c>
      <c r="F1415">
        <v>9</v>
      </c>
      <c r="G1415">
        <v>1</v>
      </c>
      <c r="H1415">
        <v>1</v>
      </c>
      <c r="I1415">
        <v>2</v>
      </c>
      <c r="J1415" t="s">
        <v>3489</v>
      </c>
      <c r="K1415" t="s">
        <v>3490</v>
      </c>
      <c r="L1415" s="2">
        <v>2171.2941999999998</v>
      </c>
      <c r="M1415" s="2">
        <v>3578.27</v>
      </c>
      <c r="N1415" t="s">
        <v>30</v>
      </c>
      <c r="O1415" t="s">
        <v>566</v>
      </c>
      <c r="P1415" t="s">
        <v>217</v>
      </c>
      <c r="Q1415" t="s">
        <v>7744</v>
      </c>
      <c r="R1415" s="1">
        <v>19097</v>
      </c>
      <c r="S1415" t="s">
        <v>22</v>
      </c>
      <c r="T1415" t="s">
        <v>29</v>
      </c>
      <c r="U1415" t="s">
        <v>2231</v>
      </c>
      <c r="V1415">
        <v>30000</v>
      </c>
      <c r="W1415">
        <v>3</v>
      </c>
      <c r="X1415" t="s">
        <v>57</v>
      </c>
      <c r="Y1415" t="s">
        <v>53</v>
      </c>
      <c r="Z1415" t="s">
        <v>19</v>
      </c>
      <c r="AA1415" t="s">
        <v>3586</v>
      </c>
      <c r="AB1415" t="s">
        <v>3586</v>
      </c>
      <c r="AC1415" t="s">
        <v>3587</v>
      </c>
      <c r="AD1415" t="s">
        <v>3479</v>
      </c>
      <c r="AE1415" t="s">
        <v>3475</v>
      </c>
      <c r="AF1415" s="2">
        <v>3578.27</v>
      </c>
      <c r="AG1415" s="2">
        <v>2171.2941999999998</v>
      </c>
      <c r="AH1415" s="2">
        <v>1406.9757999999999</v>
      </c>
      <c r="AI1415" s="3">
        <v>0.39320001006072802</v>
      </c>
    </row>
    <row r="1416" spans="1:35">
      <c r="A1416" s="1">
        <v>42025</v>
      </c>
      <c r="B1416" s="1">
        <v>37239</v>
      </c>
      <c r="C1416" t="s">
        <v>3716</v>
      </c>
      <c r="D1416">
        <v>314</v>
      </c>
      <c r="E1416">
        <v>18907</v>
      </c>
      <c r="F1416">
        <v>9</v>
      </c>
      <c r="G1416">
        <v>1</v>
      </c>
      <c r="H1416">
        <v>1</v>
      </c>
      <c r="I1416">
        <v>2</v>
      </c>
      <c r="J1416" t="s">
        <v>3493</v>
      </c>
      <c r="K1416" t="s">
        <v>3494</v>
      </c>
      <c r="L1416" s="2">
        <v>2171.2941999999998</v>
      </c>
      <c r="M1416" s="2">
        <v>3578.27</v>
      </c>
      <c r="N1416" t="s">
        <v>30</v>
      </c>
      <c r="O1416" t="s">
        <v>1159</v>
      </c>
      <c r="P1416" t="s">
        <v>115</v>
      </c>
      <c r="Q1416" t="s">
        <v>7745</v>
      </c>
      <c r="R1416" s="1">
        <v>19132</v>
      </c>
      <c r="S1416" t="s">
        <v>16</v>
      </c>
      <c r="T1416" t="s">
        <v>29</v>
      </c>
      <c r="U1416" t="s">
        <v>2232</v>
      </c>
      <c r="V1416">
        <v>30000</v>
      </c>
      <c r="W1416">
        <v>3</v>
      </c>
      <c r="X1416" t="s">
        <v>57</v>
      </c>
      <c r="Y1416" t="s">
        <v>53</v>
      </c>
      <c r="Z1416" t="s">
        <v>19</v>
      </c>
      <c r="AA1416" t="s">
        <v>3586</v>
      </c>
      <c r="AB1416" t="s">
        <v>3586</v>
      </c>
      <c r="AC1416" t="s">
        <v>3587</v>
      </c>
      <c r="AD1416" t="s">
        <v>3479</v>
      </c>
      <c r="AE1416" t="s">
        <v>3475</v>
      </c>
      <c r="AF1416" s="2">
        <v>3578.27</v>
      </c>
      <c r="AG1416" s="2">
        <v>2171.2941999999998</v>
      </c>
      <c r="AH1416" s="2">
        <v>1406.9757999999999</v>
      </c>
      <c r="AI1416" s="3">
        <v>0.39320001006072802</v>
      </c>
    </row>
    <row r="1417" spans="1:35">
      <c r="A1417" s="1">
        <v>42030</v>
      </c>
      <c r="B1417" s="1">
        <v>37225</v>
      </c>
      <c r="C1417" t="s">
        <v>3745</v>
      </c>
      <c r="D1417">
        <v>314</v>
      </c>
      <c r="E1417">
        <v>18908</v>
      </c>
      <c r="F1417">
        <v>9</v>
      </c>
      <c r="G1417">
        <v>1</v>
      </c>
      <c r="H1417">
        <v>1</v>
      </c>
      <c r="I1417">
        <v>2</v>
      </c>
      <c r="J1417" t="s">
        <v>3493</v>
      </c>
      <c r="K1417" t="s">
        <v>3494</v>
      </c>
      <c r="L1417" s="2">
        <v>2171.2941999999998</v>
      </c>
      <c r="M1417" s="2">
        <v>3578.27</v>
      </c>
      <c r="N1417" t="s">
        <v>30</v>
      </c>
      <c r="O1417" t="s">
        <v>1138</v>
      </c>
      <c r="P1417" t="s">
        <v>470</v>
      </c>
      <c r="Q1417" t="s">
        <v>7746</v>
      </c>
      <c r="R1417" s="1">
        <v>19953</v>
      </c>
      <c r="S1417" t="s">
        <v>22</v>
      </c>
      <c r="T1417" t="s">
        <v>29</v>
      </c>
      <c r="U1417" t="s">
        <v>2233</v>
      </c>
      <c r="V1417">
        <v>80000</v>
      </c>
      <c r="W1417">
        <v>2</v>
      </c>
      <c r="X1417" t="s">
        <v>52</v>
      </c>
      <c r="Y1417" t="s">
        <v>53</v>
      </c>
      <c r="Z1417" t="s">
        <v>23</v>
      </c>
      <c r="AA1417" t="s">
        <v>3586</v>
      </c>
      <c r="AB1417" t="s">
        <v>3586</v>
      </c>
      <c r="AC1417" t="s">
        <v>3587</v>
      </c>
      <c r="AD1417" t="s">
        <v>3479</v>
      </c>
      <c r="AE1417" t="s">
        <v>3475</v>
      </c>
      <c r="AF1417" s="2">
        <v>3578.27</v>
      </c>
      <c r="AG1417" s="2">
        <v>2171.2941999999998</v>
      </c>
      <c r="AH1417" s="2">
        <v>1406.9757999999999</v>
      </c>
      <c r="AI1417" s="3">
        <v>0.39320001006072802</v>
      </c>
    </row>
    <row r="1418" spans="1:35">
      <c r="A1418" s="1">
        <v>42007</v>
      </c>
      <c r="B1418" s="1">
        <v>37190</v>
      </c>
      <c r="C1418" t="s">
        <v>3607</v>
      </c>
      <c r="D1418">
        <v>314</v>
      </c>
      <c r="E1418">
        <v>18909</v>
      </c>
      <c r="F1418">
        <v>9</v>
      </c>
      <c r="G1418">
        <v>1</v>
      </c>
      <c r="H1418">
        <v>1</v>
      </c>
      <c r="I1418">
        <v>2</v>
      </c>
      <c r="J1418" t="s">
        <v>3493</v>
      </c>
      <c r="K1418" t="s">
        <v>3494</v>
      </c>
      <c r="L1418" s="2">
        <v>2171.2941999999998</v>
      </c>
      <c r="M1418" s="2">
        <v>3578.27</v>
      </c>
      <c r="N1418" t="s">
        <v>30</v>
      </c>
      <c r="O1418" t="s">
        <v>1723</v>
      </c>
      <c r="P1418" t="s">
        <v>341</v>
      </c>
      <c r="Q1418" t="s">
        <v>7747</v>
      </c>
      <c r="R1418" s="1">
        <v>20253</v>
      </c>
      <c r="S1418" t="s">
        <v>22</v>
      </c>
      <c r="T1418" t="s">
        <v>29</v>
      </c>
      <c r="U1418" t="s">
        <v>2234</v>
      </c>
      <c r="V1418">
        <v>80000</v>
      </c>
      <c r="W1418">
        <v>2</v>
      </c>
      <c r="X1418" t="s">
        <v>52</v>
      </c>
      <c r="Y1418" t="s">
        <v>53</v>
      </c>
      <c r="Z1418" t="s">
        <v>19</v>
      </c>
      <c r="AA1418" t="s">
        <v>3586</v>
      </c>
      <c r="AB1418" t="s">
        <v>3586</v>
      </c>
      <c r="AC1418" t="s">
        <v>3587</v>
      </c>
      <c r="AD1418" t="s">
        <v>3479</v>
      </c>
      <c r="AE1418" t="s">
        <v>3475</v>
      </c>
      <c r="AF1418" s="2">
        <v>3578.27</v>
      </c>
      <c r="AG1418" s="2">
        <v>2171.2941999999998</v>
      </c>
      <c r="AH1418" s="2">
        <v>1406.9757999999999</v>
      </c>
      <c r="AI1418" s="3">
        <v>0.39320001006072802</v>
      </c>
    </row>
    <row r="1419" spans="1:35">
      <c r="A1419" s="1">
        <v>42033</v>
      </c>
      <c r="B1419" s="1">
        <v>37219</v>
      </c>
      <c r="C1419" t="s">
        <v>3757</v>
      </c>
      <c r="D1419">
        <v>310</v>
      </c>
      <c r="E1419">
        <v>18928</v>
      </c>
      <c r="F1419">
        <v>9</v>
      </c>
      <c r="G1419">
        <v>1</v>
      </c>
      <c r="H1419">
        <v>1</v>
      </c>
      <c r="I1419">
        <v>2</v>
      </c>
      <c r="J1419" t="s">
        <v>3485</v>
      </c>
      <c r="K1419" t="s">
        <v>3486</v>
      </c>
      <c r="L1419" s="2">
        <v>2171.2941999999998</v>
      </c>
      <c r="M1419" s="2">
        <v>3578.27</v>
      </c>
      <c r="N1419" t="s">
        <v>30</v>
      </c>
      <c r="O1419" t="s">
        <v>1184</v>
      </c>
      <c r="P1419" t="s">
        <v>353</v>
      </c>
      <c r="Q1419" t="s">
        <v>7748</v>
      </c>
      <c r="R1419" s="1">
        <v>20146</v>
      </c>
      <c r="S1419" t="s">
        <v>16</v>
      </c>
      <c r="T1419" t="s">
        <v>29</v>
      </c>
      <c r="U1419" t="s">
        <v>2235</v>
      </c>
      <c r="V1419">
        <v>80000</v>
      </c>
      <c r="W1419">
        <v>2</v>
      </c>
      <c r="X1419" t="s">
        <v>57</v>
      </c>
      <c r="Y1419" t="s">
        <v>53</v>
      </c>
      <c r="Z1419" t="s">
        <v>19</v>
      </c>
      <c r="AA1419" t="s">
        <v>3586</v>
      </c>
      <c r="AB1419" t="s">
        <v>3586</v>
      </c>
      <c r="AC1419" t="s">
        <v>3587</v>
      </c>
      <c r="AD1419" t="s">
        <v>3479</v>
      </c>
      <c r="AE1419" t="s">
        <v>3475</v>
      </c>
      <c r="AF1419" s="2">
        <v>3578.27</v>
      </c>
      <c r="AG1419" s="2">
        <v>2171.2941999999998</v>
      </c>
      <c r="AH1419" s="2">
        <v>1406.9757999999999</v>
      </c>
      <c r="AI1419" s="3">
        <v>0.39320001006072802</v>
      </c>
    </row>
    <row r="1420" spans="1:35">
      <c r="A1420" s="1">
        <v>42024</v>
      </c>
      <c r="B1420" s="1">
        <v>37197</v>
      </c>
      <c r="C1420" t="s">
        <v>3707</v>
      </c>
      <c r="D1420">
        <v>313</v>
      </c>
      <c r="E1420">
        <v>18929</v>
      </c>
      <c r="F1420">
        <v>9</v>
      </c>
      <c r="G1420">
        <v>1</v>
      </c>
      <c r="H1420">
        <v>1</v>
      </c>
      <c r="I1420">
        <v>2</v>
      </c>
      <c r="J1420" t="s">
        <v>3491</v>
      </c>
      <c r="K1420" t="s">
        <v>3492</v>
      </c>
      <c r="L1420" s="2">
        <v>2171.2941999999998</v>
      </c>
      <c r="M1420" s="2">
        <v>3578.27</v>
      </c>
      <c r="N1420" t="s">
        <v>13</v>
      </c>
      <c r="O1420" t="s">
        <v>169</v>
      </c>
      <c r="P1420" t="s">
        <v>99</v>
      </c>
      <c r="Q1420" t="s">
        <v>7749</v>
      </c>
      <c r="R1420" s="1">
        <v>20257</v>
      </c>
      <c r="S1420" t="s">
        <v>22</v>
      </c>
      <c r="T1420" t="s">
        <v>16</v>
      </c>
      <c r="U1420" t="s">
        <v>2236</v>
      </c>
      <c r="V1420">
        <v>80000</v>
      </c>
      <c r="W1420">
        <v>2</v>
      </c>
      <c r="X1420" t="s">
        <v>57</v>
      </c>
      <c r="Y1420" t="s">
        <v>53</v>
      </c>
      <c r="Z1420" t="s">
        <v>19</v>
      </c>
      <c r="AA1420" t="s">
        <v>3586</v>
      </c>
      <c r="AB1420" t="s">
        <v>3586</v>
      </c>
      <c r="AC1420" t="s">
        <v>3587</v>
      </c>
      <c r="AD1420" t="s">
        <v>3479</v>
      </c>
      <c r="AE1420" t="s">
        <v>3475</v>
      </c>
      <c r="AF1420" s="2">
        <v>3578.27</v>
      </c>
      <c r="AG1420" s="2">
        <v>2171.2941999999998</v>
      </c>
      <c r="AH1420" s="2">
        <v>1406.9757999999999</v>
      </c>
      <c r="AI1420" s="3">
        <v>0.39320001006072802</v>
      </c>
    </row>
    <row r="1421" spans="1:35">
      <c r="A1421" s="1">
        <v>42028</v>
      </c>
      <c r="B1421" s="1">
        <v>37243</v>
      </c>
      <c r="C1421" t="s">
        <v>3736</v>
      </c>
      <c r="D1421">
        <v>312</v>
      </c>
      <c r="E1421">
        <v>18930</v>
      </c>
      <c r="F1421">
        <v>9</v>
      </c>
      <c r="G1421">
        <v>1</v>
      </c>
      <c r="H1421">
        <v>1</v>
      </c>
      <c r="I1421">
        <v>2</v>
      </c>
      <c r="J1421" t="s">
        <v>3489</v>
      </c>
      <c r="K1421" t="s">
        <v>3490</v>
      </c>
      <c r="L1421" s="2">
        <v>2171.2941999999998</v>
      </c>
      <c r="M1421" s="2">
        <v>3578.27</v>
      </c>
      <c r="N1421" t="s">
        <v>30</v>
      </c>
      <c r="O1421" t="s">
        <v>372</v>
      </c>
      <c r="P1421" t="s">
        <v>245</v>
      </c>
      <c r="Q1421" t="s">
        <v>7750</v>
      </c>
      <c r="R1421" s="1">
        <v>20379</v>
      </c>
      <c r="S1421" t="s">
        <v>22</v>
      </c>
      <c r="T1421" t="s">
        <v>29</v>
      </c>
      <c r="U1421" t="s">
        <v>2237</v>
      </c>
      <c r="V1421">
        <v>80000</v>
      </c>
      <c r="W1421">
        <v>2</v>
      </c>
      <c r="X1421" t="s">
        <v>57</v>
      </c>
      <c r="Y1421" t="s">
        <v>53</v>
      </c>
      <c r="Z1421" t="s">
        <v>23</v>
      </c>
      <c r="AA1421" t="s">
        <v>3586</v>
      </c>
      <c r="AB1421" t="s">
        <v>3586</v>
      </c>
      <c r="AC1421" t="s">
        <v>3587</v>
      </c>
      <c r="AD1421" t="s">
        <v>3479</v>
      </c>
      <c r="AE1421" t="s">
        <v>3475</v>
      </c>
      <c r="AF1421" s="2">
        <v>3578.27</v>
      </c>
      <c r="AG1421" s="2">
        <v>2171.2941999999998</v>
      </c>
      <c r="AH1421" s="2">
        <v>1406.9757999999999</v>
      </c>
      <c r="AI1421" s="3">
        <v>0.39320001006072802</v>
      </c>
    </row>
    <row r="1422" spans="1:35">
      <c r="A1422" s="1">
        <v>42023</v>
      </c>
      <c r="B1422" s="1">
        <v>37233</v>
      </c>
      <c r="C1422" t="s">
        <v>3704</v>
      </c>
      <c r="D1422">
        <v>313</v>
      </c>
      <c r="E1422">
        <v>18931</v>
      </c>
      <c r="F1422">
        <v>9</v>
      </c>
      <c r="G1422">
        <v>1</v>
      </c>
      <c r="H1422">
        <v>1</v>
      </c>
      <c r="I1422">
        <v>2</v>
      </c>
      <c r="J1422" t="s">
        <v>3491</v>
      </c>
      <c r="K1422" t="s">
        <v>3492</v>
      </c>
      <c r="L1422" s="2">
        <v>2171.2941999999998</v>
      </c>
      <c r="M1422" s="2">
        <v>3578.27</v>
      </c>
      <c r="N1422" t="s">
        <v>30</v>
      </c>
      <c r="O1422" t="s">
        <v>890</v>
      </c>
      <c r="P1422" t="s">
        <v>450</v>
      </c>
      <c r="Q1422" t="s">
        <v>7751</v>
      </c>
      <c r="R1422" s="1">
        <v>20803</v>
      </c>
      <c r="S1422" t="s">
        <v>16</v>
      </c>
      <c r="T1422" t="s">
        <v>29</v>
      </c>
      <c r="U1422" t="s">
        <v>2238</v>
      </c>
      <c r="V1422">
        <v>70000</v>
      </c>
      <c r="W1422">
        <v>2</v>
      </c>
      <c r="X1422" t="s">
        <v>57</v>
      </c>
      <c r="Y1422" t="s">
        <v>53</v>
      </c>
      <c r="Z1422" t="s">
        <v>19</v>
      </c>
      <c r="AA1422" t="s">
        <v>3586</v>
      </c>
      <c r="AB1422" t="s">
        <v>3586</v>
      </c>
      <c r="AC1422" t="s">
        <v>3587</v>
      </c>
      <c r="AD1422" t="s">
        <v>3479</v>
      </c>
      <c r="AE1422" t="s">
        <v>3475</v>
      </c>
      <c r="AF1422" s="2">
        <v>3578.27</v>
      </c>
      <c r="AG1422" s="2">
        <v>2171.2941999999998</v>
      </c>
      <c r="AH1422" s="2">
        <v>1406.9757999999999</v>
      </c>
      <c r="AI1422" s="3">
        <v>0.39320001006072802</v>
      </c>
    </row>
    <row r="1423" spans="1:35">
      <c r="A1423" s="1">
        <v>42185</v>
      </c>
      <c r="B1423" s="1">
        <v>37338</v>
      </c>
      <c r="C1423" t="s">
        <v>4760</v>
      </c>
      <c r="D1423">
        <v>334</v>
      </c>
      <c r="E1423">
        <v>19027</v>
      </c>
      <c r="F1423">
        <v>7</v>
      </c>
      <c r="G1423">
        <v>1</v>
      </c>
      <c r="H1423">
        <v>1</v>
      </c>
      <c r="I1423">
        <v>2</v>
      </c>
      <c r="J1423" t="s">
        <v>3509</v>
      </c>
      <c r="K1423" t="s">
        <v>3510</v>
      </c>
      <c r="L1423" s="2">
        <v>413.1463</v>
      </c>
      <c r="M1423" s="2">
        <v>699.09820000000002</v>
      </c>
      <c r="N1423" t="s">
        <v>30</v>
      </c>
      <c r="O1423" t="s">
        <v>352</v>
      </c>
      <c r="P1423" t="s">
        <v>658</v>
      </c>
      <c r="Q1423" t="s">
        <v>7752</v>
      </c>
      <c r="R1423" s="1">
        <v>21053</v>
      </c>
      <c r="S1423" t="s">
        <v>22</v>
      </c>
      <c r="T1423" t="s">
        <v>29</v>
      </c>
      <c r="U1423" t="s">
        <v>2239</v>
      </c>
      <c r="V1423">
        <v>100000</v>
      </c>
      <c r="W1423">
        <v>2</v>
      </c>
      <c r="X1423" t="s">
        <v>52</v>
      </c>
      <c r="Y1423" t="s">
        <v>18</v>
      </c>
      <c r="Z1423" t="s">
        <v>19</v>
      </c>
      <c r="AA1423" t="s">
        <v>3583</v>
      </c>
      <c r="AB1423" t="s">
        <v>3583</v>
      </c>
      <c r="AC1423" t="s">
        <v>3584</v>
      </c>
      <c r="AD1423" t="s">
        <v>3479</v>
      </c>
      <c r="AE1423" t="s">
        <v>3475</v>
      </c>
      <c r="AF1423" s="2">
        <v>699.09820000000002</v>
      </c>
      <c r="AG1423" s="2">
        <v>413.1463</v>
      </c>
      <c r="AH1423" s="2">
        <v>285.95190000000002</v>
      </c>
      <c r="AI1423" s="3">
        <v>0.409029661355157</v>
      </c>
    </row>
    <row r="1424" spans="1:35">
      <c r="A1424" s="1">
        <v>42174</v>
      </c>
      <c r="B1424" s="1">
        <v>37380</v>
      </c>
      <c r="C1424" t="s">
        <v>4671</v>
      </c>
      <c r="D1424">
        <v>342</v>
      </c>
      <c r="E1424">
        <v>19028</v>
      </c>
      <c r="F1424">
        <v>7</v>
      </c>
      <c r="G1424">
        <v>1</v>
      </c>
      <c r="H1424">
        <v>1</v>
      </c>
      <c r="I1424">
        <v>2</v>
      </c>
      <c r="J1424" t="s">
        <v>3517</v>
      </c>
      <c r="K1424" t="s">
        <v>3518</v>
      </c>
      <c r="L1424" s="2">
        <v>413.1463</v>
      </c>
      <c r="M1424" s="2">
        <v>699.09820000000002</v>
      </c>
      <c r="N1424" t="s">
        <v>13</v>
      </c>
      <c r="O1424" t="s">
        <v>191</v>
      </c>
      <c r="P1424" t="s">
        <v>56</v>
      </c>
      <c r="Q1424" t="s">
        <v>7753</v>
      </c>
      <c r="R1424" s="1">
        <v>20966</v>
      </c>
      <c r="S1424" t="s">
        <v>16</v>
      </c>
      <c r="T1424" t="s">
        <v>16</v>
      </c>
      <c r="U1424" t="s">
        <v>2240</v>
      </c>
      <c r="V1424">
        <v>110000</v>
      </c>
      <c r="W1424">
        <v>2</v>
      </c>
      <c r="X1424" t="s">
        <v>52</v>
      </c>
      <c r="Y1424" t="s">
        <v>18</v>
      </c>
      <c r="Z1424" t="s">
        <v>19</v>
      </c>
      <c r="AA1424" t="s">
        <v>3583</v>
      </c>
      <c r="AB1424" t="s">
        <v>3583</v>
      </c>
      <c r="AC1424" t="s">
        <v>3584</v>
      </c>
      <c r="AD1424" t="s">
        <v>3479</v>
      </c>
      <c r="AE1424" t="s">
        <v>3475</v>
      </c>
      <c r="AF1424" s="2">
        <v>699.09820000000002</v>
      </c>
      <c r="AG1424" s="2">
        <v>413.1463</v>
      </c>
      <c r="AH1424" s="2">
        <v>285.95190000000002</v>
      </c>
      <c r="AI1424" s="3">
        <v>0.409029661355157</v>
      </c>
    </row>
    <row r="1425" spans="1:35">
      <c r="A1425" s="1">
        <v>42352</v>
      </c>
      <c r="B1425" s="1">
        <v>37539</v>
      </c>
      <c r="C1425" t="s">
        <v>6041</v>
      </c>
      <c r="D1425">
        <v>385</v>
      </c>
      <c r="E1425">
        <v>19029</v>
      </c>
      <c r="F1425">
        <v>8</v>
      </c>
      <c r="G1425">
        <v>1</v>
      </c>
      <c r="H1425">
        <v>1</v>
      </c>
      <c r="I1425">
        <v>2</v>
      </c>
      <c r="J1425" t="s">
        <v>3567</v>
      </c>
      <c r="K1425" t="s">
        <v>3568</v>
      </c>
      <c r="L1425" s="2">
        <v>605.64919999999995</v>
      </c>
      <c r="M1425" s="2">
        <v>1000.4375</v>
      </c>
      <c r="N1425" t="s">
        <v>30</v>
      </c>
      <c r="O1425" t="s">
        <v>473</v>
      </c>
      <c r="P1425" t="s">
        <v>134</v>
      </c>
      <c r="Q1425" t="s">
        <v>7754</v>
      </c>
      <c r="R1425" s="1">
        <v>21045</v>
      </c>
      <c r="S1425" t="s">
        <v>16</v>
      </c>
      <c r="T1425" t="s">
        <v>29</v>
      </c>
      <c r="U1425" t="s">
        <v>2241</v>
      </c>
      <c r="V1425">
        <v>120000</v>
      </c>
      <c r="W1425">
        <v>2</v>
      </c>
      <c r="X1425" t="s">
        <v>57</v>
      </c>
      <c r="Y1425" t="s">
        <v>18</v>
      </c>
      <c r="Z1425" t="s">
        <v>19</v>
      </c>
      <c r="AA1425" t="s">
        <v>3585</v>
      </c>
      <c r="AB1425" t="s">
        <v>3585</v>
      </c>
      <c r="AC1425" t="s">
        <v>3584</v>
      </c>
      <c r="AD1425" t="s">
        <v>3479</v>
      </c>
      <c r="AE1425" t="s">
        <v>3475</v>
      </c>
      <c r="AF1425" s="2">
        <v>1000.4375</v>
      </c>
      <c r="AG1425" s="2">
        <v>605.64919999999995</v>
      </c>
      <c r="AH1425" s="2">
        <v>394.78829999999999</v>
      </c>
      <c r="AI1425" s="3">
        <v>0.39461565565065299</v>
      </c>
    </row>
    <row r="1426" spans="1:35">
      <c r="A1426" s="1">
        <v>42167</v>
      </c>
      <c r="B1426" s="1">
        <v>37347</v>
      </c>
      <c r="C1426" t="s">
        <v>4632</v>
      </c>
      <c r="D1426">
        <v>332</v>
      </c>
      <c r="E1426">
        <v>19033</v>
      </c>
      <c r="F1426">
        <v>7</v>
      </c>
      <c r="G1426">
        <v>1</v>
      </c>
      <c r="H1426">
        <v>1</v>
      </c>
      <c r="I1426">
        <v>2</v>
      </c>
      <c r="J1426" t="s">
        <v>3507</v>
      </c>
      <c r="K1426" t="s">
        <v>3508</v>
      </c>
      <c r="L1426" s="2">
        <v>413.1463</v>
      </c>
      <c r="M1426" s="2">
        <v>699.09820000000002</v>
      </c>
      <c r="N1426" t="s">
        <v>13</v>
      </c>
      <c r="O1426" t="s">
        <v>722</v>
      </c>
      <c r="P1426" t="s">
        <v>212</v>
      </c>
      <c r="Q1426" t="s">
        <v>7755</v>
      </c>
      <c r="R1426" s="1">
        <v>20699</v>
      </c>
      <c r="S1426" t="s">
        <v>22</v>
      </c>
      <c r="T1426" t="s">
        <v>16</v>
      </c>
      <c r="U1426" t="s">
        <v>2242</v>
      </c>
      <c r="V1426">
        <v>110000</v>
      </c>
      <c r="W1426">
        <v>2</v>
      </c>
      <c r="X1426" t="s">
        <v>52</v>
      </c>
      <c r="Y1426" t="s">
        <v>18</v>
      </c>
      <c r="Z1426" t="s">
        <v>19</v>
      </c>
      <c r="AA1426" t="s">
        <v>3583</v>
      </c>
      <c r="AB1426" t="s">
        <v>3583</v>
      </c>
      <c r="AC1426" t="s">
        <v>3584</v>
      </c>
      <c r="AD1426" t="s">
        <v>3479</v>
      </c>
      <c r="AE1426" t="s">
        <v>3475</v>
      </c>
      <c r="AF1426" s="2">
        <v>699.09820000000002</v>
      </c>
      <c r="AG1426" s="2">
        <v>413.1463</v>
      </c>
      <c r="AH1426" s="2">
        <v>285.95190000000002</v>
      </c>
      <c r="AI1426" s="3">
        <v>0.409029661355157</v>
      </c>
    </row>
    <row r="1427" spans="1:35">
      <c r="A1427" s="1">
        <v>42176</v>
      </c>
      <c r="B1427" s="1">
        <v>37373</v>
      </c>
      <c r="C1427" t="s">
        <v>4689</v>
      </c>
      <c r="D1427">
        <v>338</v>
      </c>
      <c r="E1427">
        <v>19041</v>
      </c>
      <c r="F1427">
        <v>7</v>
      </c>
      <c r="G1427">
        <v>1</v>
      </c>
      <c r="H1427">
        <v>1</v>
      </c>
      <c r="I1427">
        <v>2</v>
      </c>
      <c r="J1427" t="s">
        <v>3513</v>
      </c>
      <c r="K1427" t="s">
        <v>3514</v>
      </c>
      <c r="L1427" s="2">
        <v>413.1463</v>
      </c>
      <c r="M1427" s="2">
        <v>699.09820000000002</v>
      </c>
      <c r="N1427" t="s">
        <v>30</v>
      </c>
      <c r="O1427" t="s">
        <v>1370</v>
      </c>
      <c r="P1427" t="s">
        <v>122</v>
      </c>
      <c r="Q1427" t="s">
        <v>7756</v>
      </c>
      <c r="R1427" s="1">
        <v>16590</v>
      </c>
      <c r="S1427" t="s">
        <v>22</v>
      </c>
      <c r="T1427" t="s">
        <v>29</v>
      </c>
      <c r="U1427" t="s">
        <v>2243</v>
      </c>
      <c r="V1427">
        <v>70000</v>
      </c>
      <c r="W1427">
        <v>5</v>
      </c>
      <c r="X1427" t="s">
        <v>57</v>
      </c>
      <c r="Y1427" t="s">
        <v>18</v>
      </c>
      <c r="Z1427" t="s">
        <v>19</v>
      </c>
      <c r="AA1427" t="s">
        <v>3583</v>
      </c>
      <c r="AB1427" t="s">
        <v>3583</v>
      </c>
      <c r="AC1427" t="s">
        <v>3584</v>
      </c>
      <c r="AD1427" t="s">
        <v>3479</v>
      </c>
      <c r="AE1427" t="s">
        <v>3475</v>
      </c>
      <c r="AF1427" s="2">
        <v>699.09820000000002</v>
      </c>
      <c r="AG1427" s="2">
        <v>413.1463</v>
      </c>
      <c r="AH1427" s="2">
        <v>285.95190000000002</v>
      </c>
      <c r="AI1427" s="3">
        <v>0.409029661355157</v>
      </c>
    </row>
    <row r="1428" spans="1:35">
      <c r="A1428" s="1">
        <v>42173</v>
      </c>
      <c r="B1428" s="1">
        <v>37375</v>
      </c>
      <c r="C1428" t="s">
        <v>4667</v>
      </c>
      <c r="D1428">
        <v>328</v>
      </c>
      <c r="E1428">
        <v>19051</v>
      </c>
      <c r="F1428">
        <v>7</v>
      </c>
      <c r="G1428">
        <v>1</v>
      </c>
      <c r="H1428">
        <v>1</v>
      </c>
      <c r="I1428">
        <v>2</v>
      </c>
      <c r="J1428" t="s">
        <v>3503</v>
      </c>
      <c r="K1428" t="s">
        <v>3504</v>
      </c>
      <c r="L1428" s="2">
        <v>413.1463</v>
      </c>
      <c r="M1428" s="2">
        <v>699.09820000000002</v>
      </c>
      <c r="N1428" t="s">
        <v>30</v>
      </c>
      <c r="O1428" t="s">
        <v>254</v>
      </c>
      <c r="P1428" t="s">
        <v>146</v>
      </c>
      <c r="Q1428" t="s">
        <v>7757</v>
      </c>
      <c r="R1428" s="1">
        <v>19864</v>
      </c>
      <c r="S1428" t="s">
        <v>22</v>
      </c>
      <c r="T1428" t="s">
        <v>29</v>
      </c>
      <c r="U1428" t="s">
        <v>2244</v>
      </c>
      <c r="V1428">
        <v>90000</v>
      </c>
      <c r="W1428">
        <v>4</v>
      </c>
      <c r="X1428" t="s">
        <v>57</v>
      </c>
      <c r="Y1428" t="s">
        <v>18</v>
      </c>
      <c r="Z1428" t="s">
        <v>19</v>
      </c>
      <c r="AA1428" t="s">
        <v>3583</v>
      </c>
      <c r="AB1428" t="s">
        <v>3583</v>
      </c>
      <c r="AC1428" t="s">
        <v>3584</v>
      </c>
      <c r="AD1428" t="s">
        <v>3479</v>
      </c>
      <c r="AE1428" t="s">
        <v>3475</v>
      </c>
      <c r="AF1428" s="2">
        <v>699.09820000000002</v>
      </c>
      <c r="AG1428" s="2">
        <v>413.1463</v>
      </c>
      <c r="AH1428" s="2">
        <v>285.95190000000002</v>
      </c>
      <c r="AI1428" s="3">
        <v>0.409029661355157</v>
      </c>
    </row>
    <row r="1429" spans="1:35">
      <c r="A1429" s="1">
        <v>42201</v>
      </c>
      <c r="B1429" s="1">
        <v>37363</v>
      </c>
      <c r="C1429" t="s">
        <v>4889</v>
      </c>
      <c r="D1429">
        <v>322</v>
      </c>
      <c r="E1429">
        <v>19052</v>
      </c>
      <c r="F1429">
        <v>7</v>
      </c>
      <c r="G1429">
        <v>1</v>
      </c>
      <c r="H1429">
        <v>1</v>
      </c>
      <c r="I1429">
        <v>2</v>
      </c>
      <c r="J1429" t="s">
        <v>3497</v>
      </c>
      <c r="K1429" t="s">
        <v>3498</v>
      </c>
      <c r="L1429" s="2">
        <v>413.1463</v>
      </c>
      <c r="M1429" s="2">
        <v>699.09820000000002</v>
      </c>
      <c r="N1429" t="s">
        <v>30</v>
      </c>
      <c r="O1429" t="s">
        <v>312</v>
      </c>
      <c r="P1429" t="s">
        <v>215</v>
      </c>
      <c r="Q1429" t="s">
        <v>7758</v>
      </c>
      <c r="R1429" s="1">
        <v>19890</v>
      </c>
      <c r="S1429" t="s">
        <v>16</v>
      </c>
      <c r="T1429" t="s">
        <v>29</v>
      </c>
      <c r="U1429" t="s">
        <v>2245</v>
      </c>
      <c r="V1429">
        <v>90000</v>
      </c>
      <c r="W1429">
        <v>4</v>
      </c>
      <c r="X1429" t="s">
        <v>57</v>
      </c>
      <c r="Y1429" t="s">
        <v>18</v>
      </c>
      <c r="Z1429" t="s">
        <v>19</v>
      </c>
      <c r="AA1429" t="s">
        <v>3583</v>
      </c>
      <c r="AB1429" t="s">
        <v>3583</v>
      </c>
      <c r="AC1429" t="s">
        <v>3584</v>
      </c>
      <c r="AD1429" t="s">
        <v>3479</v>
      </c>
      <c r="AE1429" t="s">
        <v>3475</v>
      </c>
      <c r="AF1429" s="2">
        <v>699.09820000000002</v>
      </c>
      <c r="AG1429" s="2">
        <v>413.1463</v>
      </c>
      <c r="AH1429" s="2">
        <v>285.95190000000002</v>
      </c>
      <c r="AI1429" s="3">
        <v>0.409029661355157</v>
      </c>
    </row>
    <row r="1430" spans="1:35">
      <c r="A1430" s="1">
        <v>42198</v>
      </c>
      <c r="B1430" s="1">
        <v>37374</v>
      </c>
      <c r="C1430" t="s">
        <v>4873</v>
      </c>
      <c r="D1430">
        <v>336</v>
      </c>
      <c r="E1430">
        <v>19069</v>
      </c>
      <c r="F1430">
        <v>7</v>
      </c>
      <c r="G1430">
        <v>1</v>
      </c>
      <c r="H1430">
        <v>1</v>
      </c>
      <c r="I1430">
        <v>2</v>
      </c>
      <c r="J1430" t="s">
        <v>3511</v>
      </c>
      <c r="K1430" t="s">
        <v>3512</v>
      </c>
      <c r="L1430" s="2">
        <v>413.1463</v>
      </c>
      <c r="M1430" s="2">
        <v>699.09820000000002</v>
      </c>
      <c r="N1430" t="s">
        <v>13</v>
      </c>
      <c r="O1430" t="s">
        <v>299</v>
      </c>
      <c r="P1430" t="s">
        <v>704</v>
      </c>
      <c r="Q1430" t="s">
        <v>7759</v>
      </c>
      <c r="R1430" s="1">
        <v>18456</v>
      </c>
      <c r="S1430" t="s">
        <v>16</v>
      </c>
      <c r="T1430" t="s">
        <v>16</v>
      </c>
      <c r="U1430" t="s">
        <v>2246</v>
      </c>
      <c r="V1430">
        <v>90000</v>
      </c>
      <c r="W1430">
        <v>4</v>
      </c>
      <c r="X1430" t="s">
        <v>57</v>
      </c>
      <c r="Y1430" t="s">
        <v>45</v>
      </c>
      <c r="Z1430" t="s">
        <v>19</v>
      </c>
      <c r="AA1430" t="s">
        <v>3583</v>
      </c>
      <c r="AB1430" t="s">
        <v>3583</v>
      </c>
      <c r="AC1430" t="s">
        <v>3584</v>
      </c>
      <c r="AD1430" t="s">
        <v>3479</v>
      </c>
      <c r="AE1430" t="s">
        <v>3475</v>
      </c>
      <c r="AF1430" s="2">
        <v>699.09820000000002</v>
      </c>
      <c r="AG1430" s="2">
        <v>413.1463</v>
      </c>
      <c r="AH1430" s="2">
        <v>285.95190000000002</v>
      </c>
      <c r="AI1430" s="3">
        <v>0.409029661355157</v>
      </c>
    </row>
    <row r="1431" spans="1:35">
      <c r="A1431" s="1">
        <v>42240</v>
      </c>
      <c r="B1431" s="1">
        <v>37454</v>
      </c>
      <c r="C1431" t="s">
        <v>5214</v>
      </c>
      <c r="D1431">
        <v>338</v>
      </c>
      <c r="E1431">
        <v>19076</v>
      </c>
      <c r="F1431">
        <v>7</v>
      </c>
      <c r="G1431">
        <v>1</v>
      </c>
      <c r="H1431">
        <v>1</v>
      </c>
      <c r="I1431">
        <v>2</v>
      </c>
      <c r="J1431" t="s">
        <v>3513</v>
      </c>
      <c r="K1431" t="s">
        <v>3514</v>
      </c>
      <c r="L1431" s="2">
        <v>413.1463</v>
      </c>
      <c r="M1431" s="2">
        <v>699.09820000000002</v>
      </c>
      <c r="N1431" t="s">
        <v>30</v>
      </c>
      <c r="O1431" t="s">
        <v>117</v>
      </c>
      <c r="P1431" t="s">
        <v>490</v>
      </c>
      <c r="Q1431" t="s">
        <v>7760</v>
      </c>
      <c r="R1431" s="1">
        <v>17686</v>
      </c>
      <c r="S1431" t="s">
        <v>16</v>
      </c>
      <c r="T1431" t="s">
        <v>29</v>
      </c>
      <c r="U1431" t="s">
        <v>2247</v>
      </c>
      <c r="V1431">
        <v>90000</v>
      </c>
      <c r="W1431">
        <v>4</v>
      </c>
      <c r="X1431" t="s">
        <v>57</v>
      </c>
      <c r="Y1431" t="s">
        <v>45</v>
      </c>
      <c r="Z1431" t="s">
        <v>19</v>
      </c>
      <c r="AA1431" t="s">
        <v>3583</v>
      </c>
      <c r="AB1431" t="s">
        <v>3583</v>
      </c>
      <c r="AC1431" t="s">
        <v>3584</v>
      </c>
      <c r="AD1431" t="s">
        <v>3479</v>
      </c>
      <c r="AE1431" t="s">
        <v>3475</v>
      </c>
      <c r="AF1431" s="2">
        <v>699.09820000000002</v>
      </c>
      <c r="AG1431" s="2">
        <v>413.1463</v>
      </c>
      <c r="AH1431" s="2">
        <v>285.95190000000002</v>
      </c>
      <c r="AI1431" s="3">
        <v>0.409029661355157</v>
      </c>
    </row>
    <row r="1432" spans="1:35">
      <c r="A1432" s="1">
        <v>42020</v>
      </c>
      <c r="B1432" s="1">
        <v>37251</v>
      </c>
      <c r="C1432" t="s">
        <v>3683</v>
      </c>
      <c r="D1432">
        <v>312</v>
      </c>
      <c r="E1432">
        <v>19083</v>
      </c>
      <c r="F1432">
        <v>9</v>
      </c>
      <c r="G1432">
        <v>1</v>
      </c>
      <c r="H1432">
        <v>1</v>
      </c>
      <c r="I1432">
        <v>2</v>
      </c>
      <c r="J1432" t="s">
        <v>3489</v>
      </c>
      <c r="K1432" t="s">
        <v>3490</v>
      </c>
      <c r="L1432" s="2">
        <v>2171.2941999999998</v>
      </c>
      <c r="M1432" s="2">
        <v>3578.27</v>
      </c>
      <c r="N1432" t="s">
        <v>13</v>
      </c>
      <c r="O1432" t="s">
        <v>990</v>
      </c>
      <c r="P1432" t="s">
        <v>243</v>
      </c>
      <c r="Q1432" t="s">
        <v>7761</v>
      </c>
      <c r="R1432" s="1">
        <v>27435</v>
      </c>
      <c r="S1432" t="s">
        <v>22</v>
      </c>
      <c r="T1432" t="s">
        <v>16</v>
      </c>
      <c r="U1432" t="s">
        <v>2248</v>
      </c>
      <c r="V1432">
        <v>70000</v>
      </c>
      <c r="W1432">
        <v>0</v>
      </c>
      <c r="X1432" t="s">
        <v>17</v>
      </c>
      <c r="Y1432" t="s">
        <v>18</v>
      </c>
      <c r="Z1432" t="s">
        <v>23</v>
      </c>
      <c r="AA1432" t="s">
        <v>3586</v>
      </c>
      <c r="AB1432" t="s">
        <v>3586</v>
      </c>
      <c r="AC1432" t="s">
        <v>3587</v>
      </c>
      <c r="AD1432" t="s">
        <v>3479</v>
      </c>
      <c r="AE1432" t="s">
        <v>3475</v>
      </c>
      <c r="AF1432" s="2">
        <v>3578.27</v>
      </c>
      <c r="AG1432" s="2">
        <v>2171.2941999999998</v>
      </c>
      <c r="AH1432" s="2">
        <v>1406.9757999999999</v>
      </c>
      <c r="AI1432" s="3">
        <v>0.39320001006072802</v>
      </c>
    </row>
    <row r="1433" spans="1:35">
      <c r="A1433" s="1">
        <v>42015</v>
      </c>
      <c r="B1433" s="1">
        <v>37156</v>
      </c>
      <c r="C1433" t="s">
        <v>3644</v>
      </c>
      <c r="D1433">
        <v>312</v>
      </c>
      <c r="E1433">
        <v>19084</v>
      </c>
      <c r="F1433">
        <v>9</v>
      </c>
      <c r="G1433">
        <v>1</v>
      </c>
      <c r="H1433">
        <v>1</v>
      </c>
      <c r="I1433">
        <v>2</v>
      </c>
      <c r="J1433" t="s">
        <v>3489</v>
      </c>
      <c r="K1433" t="s">
        <v>3490</v>
      </c>
      <c r="L1433" s="2">
        <v>2171.2941999999998</v>
      </c>
      <c r="M1433" s="2">
        <v>3578.27</v>
      </c>
      <c r="N1433" t="s">
        <v>26</v>
      </c>
      <c r="O1433" t="s">
        <v>564</v>
      </c>
      <c r="P1433" t="s">
        <v>131</v>
      </c>
      <c r="Q1433" t="s">
        <v>7762</v>
      </c>
      <c r="R1433" s="1">
        <v>27985</v>
      </c>
      <c r="S1433" t="s">
        <v>22</v>
      </c>
      <c r="T1433" t="s">
        <v>29</v>
      </c>
      <c r="U1433" t="s">
        <v>2249</v>
      </c>
      <c r="V1433">
        <v>70000</v>
      </c>
      <c r="W1433">
        <v>0</v>
      </c>
      <c r="X1433" t="s">
        <v>17</v>
      </c>
      <c r="Y1433" t="s">
        <v>18</v>
      </c>
      <c r="Z1433" t="s">
        <v>23</v>
      </c>
      <c r="AA1433" t="s">
        <v>3586</v>
      </c>
      <c r="AB1433" t="s">
        <v>3586</v>
      </c>
      <c r="AC1433" t="s">
        <v>3587</v>
      </c>
      <c r="AD1433" t="s">
        <v>3479</v>
      </c>
      <c r="AE1433" t="s">
        <v>3475</v>
      </c>
      <c r="AF1433" s="2">
        <v>3578.27</v>
      </c>
      <c r="AG1433" s="2">
        <v>2171.2941999999998</v>
      </c>
      <c r="AH1433" s="2">
        <v>1406.9757999999999</v>
      </c>
      <c r="AI1433" s="3">
        <v>0.39320001006072802</v>
      </c>
    </row>
    <row r="1434" spans="1:35">
      <c r="A1434" s="1">
        <v>42018</v>
      </c>
      <c r="B1434" s="1">
        <v>37233</v>
      </c>
      <c r="C1434" t="s">
        <v>3670</v>
      </c>
      <c r="D1434">
        <v>310</v>
      </c>
      <c r="E1434">
        <v>19089</v>
      </c>
      <c r="F1434">
        <v>9</v>
      </c>
      <c r="G1434">
        <v>1</v>
      </c>
      <c r="H1434">
        <v>1</v>
      </c>
      <c r="I1434">
        <v>2</v>
      </c>
      <c r="J1434" t="s">
        <v>3485</v>
      </c>
      <c r="K1434" t="s">
        <v>3486</v>
      </c>
      <c r="L1434" s="2">
        <v>2171.2941999999998</v>
      </c>
      <c r="M1434" s="2">
        <v>3578.27</v>
      </c>
      <c r="N1434" t="s">
        <v>26</v>
      </c>
      <c r="O1434" t="s">
        <v>1845</v>
      </c>
      <c r="P1434" t="s">
        <v>453</v>
      </c>
      <c r="Q1434" t="s">
        <v>7763</v>
      </c>
      <c r="R1434" s="1">
        <v>27679</v>
      </c>
      <c r="S1434" t="s">
        <v>22</v>
      </c>
      <c r="T1434" t="s">
        <v>29</v>
      </c>
      <c r="U1434" t="s">
        <v>2250</v>
      </c>
      <c r="V1434">
        <v>90000</v>
      </c>
      <c r="W1434">
        <v>0</v>
      </c>
      <c r="X1434" t="s">
        <v>17</v>
      </c>
      <c r="Y1434" t="s">
        <v>18</v>
      </c>
      <c r="Z1434" t="s">
        <v>23</v>
      </c>
      <c r="AA1434" t="s">
        <v>3586</v>
      </c>
      <c r="AB1434" t="s">
        <v>3586</v>
      </c>
      <c r="AC1434" t="s">
        <v>3587</v>
      </c>
      <c r="AD1434" t="s">
        <v>3479</v>
      </c>
      <c r="AE1434" t="s">
        <v>3475</v>
      </c>
      <c r="AF1434" s="2">
        <v>3578.27</v>
      </c>
      <c r="AG1434" s="2">
        <v>2171.2941999999998</v>
      </c>
      <c r="AH1434" s="2">
        <v>1406.9757999999999</v>
      </c>
      <c r="AI1434" s="3">
        <v>0.39320001006072802</v>
      </c>
    </row>
    <row r="1435" spans="1:35">
      <c r="A1435" s="1">
        <v>42016</v>
      </c>
      <c r="B1435" s="1">
        <v>37220</v>
      </c>
      <c r="C1435" t="s">
        <v>3657</v>
      </c>
      <c r="D1435">
        <v>311</v>
      </c>
      <c r="E1435">
        <v>19093</v>
      </c>
      <c r="F1435">
        <v>9</v>
      </c>
      <c r="G1435">
        <v>1</v>
      </c>
      <c r="H1435">
        <v>1</v>
      </c>
      <c r="I1435">
        <v>2</v>
      </c>
      <c r="J1435" t="s">
        <v>3487</v>
      </c>
      <c r="K1435" t="s">
        <v>3488</v>
      </c>
      <c r="L1435" s="2">
        <v>2171.2941999999998</v>
      </c>
      <c r="M1435" s="2">
        <v>3578.27</v>
      </c>
      <c r="N1435" t="s">
        <v>26</v>
      </c>
      <c r="O1435" t="s">
        <v>1133</v>
      </c>
      <c r="P1435" t="s">
        <v>809</v>
      </c>
      <c r="Q1435" t="s">
        <v>7764</v>
      </c>
      <c r="R1435" s="1">
        <v>27383</v>
      </c>
      <c r="S1435" t="s">
        <v>22</v>
      </c>
      <c r="T1435" t="s">
        <v>29</v>
      </c>
      <c r="U1435" t="s">
        <v>2251</v>
      </c>
      <c r="V1435">
        <v>100000</v>
      </c>
      <c r="W1435">
        <v>0</v>
      </c>
      <c r="X1435" t="s">
        <v>57</v>
      </c>
      <c r="Y1435" t="s">
        <v>45</v>
      </c>
      <c r="Z1435" t="s">
        <v>19</v>
      </c>
      <c r="AA1435" t="s">
        <v>3586</v>
      </c>
      <c r="AB1435" t="s">
        <v>3586</v>
      </c>
      <c r="AC1435" t="s">
        <v>3587</v>
      </c>
      <c r="AD1435" t="s">
        <v>3479</v>
      </c>
      <c r="AE1435" t="s">
        <v>3475</v>
      </c>
      <c r="AF1435" s="2">
        <v>3578.27</v>
      </c>
      <c r="AG1435" s="2">
        <v>2171.2941999999998</v>
      </c>
      <c r="AH1435" s="2">
        <v>1406.9757999999999</v>
      </c>
      <c r="AI1435" s="3">
        <v>0.39320001006072802</v>
      </c>
    </row>
    <row r="1436" spans="1:35">
      <c r="A1436" s="1">
        <v>42025</v>
      </c>
      <c r="B1436" s="1">
        <v>37176</v>
      </c>
      <c r="C1436" t="s">
        <v>3717</v>
      </c>
      <c r="D1436">
        <v>314</v>
      </c>
      <c r="E1436">
        <v>19094</v>
      </c>
      <c r="F1436">
        <v>9</v>
      </c>
      <c r="G1436">
        <v>1</v>
      </c>
      <c r="H1436">
        <v>1</v>
      </c>
      <c r="I1436">
        <v>2</v>
      </c>
      <c r="J1436" t="s">
        <v>3493</v>
      </c>
      <c r="K1436" t="s">
        <v>3494</v>
      </c>
      <c r="L1436" s="2">
        <v>2171.2941999999998</v>
      </c>
      <c r="M1436" s="2">
        <v>3578.27</v>
      </c>
      <c r="N1436" t="s">
        <v>13</v>
      </c>
      <c r="O1436" t="s">
        <v>139</v>
      </c>
      <c r="P1436" t="s">
        <v>15</v>
      </c>
      <c r="Q1436" t="s">
        <v>7765</v>
      </c>
      <c r="R1436" s="1">
        <v>26838</v>
      </c>
      <c r="S1436" t="s">
        <v>22</v>
      </c>
      <c r="T1436" t="s">
        <v>16</v>
      </c>
      <c r="U1436" t="s">
        <v>2252</v>
      </c>
      <c r="V1436">
        <v>90000</v>
      </c>
      <c r="W1436">
        <v>0</v>
      </c>
      <c r="X1436" t="s">
        <v>17</v>
      </c>
      <c r="Y1436" t="s">
        <v>18</v>
      </c>
      <c r="Z1436" t="s">
        <v>23</v>
      </c>
      <c r="AA1436" t="s">
        <v>3586</v>
      </c>
      <c r="AB1436" t="s">
        <v>3586</v>
      </c>
      <c r="AC1436" t="s">
        <v>3587</v>
      </c>
      <c r="AD1436" t="s">
        <v>3479</v>
      </c>
      <c r="AE1436" t="s">
        <v>3475</v>
      </c>
      <c r="AF1436" s="2">
        <v>3578.27</v>
      </c>
      <c r="AG1436" s="2">
        <v>2171.2941999999998</v>
      </c>
      <c r="AH1436" s="2">
        <v>1406.9757999999999</v>
      </c>
      <c r="AI1436" s="3">
        <v>0.39320001006072802</v>
      </c>
    </row>
    <row r="1437" spans="1:35">
      <c r="A1437" s="1">
        <v>42057</v>
      </c>
      <c r="B1437" s="1">
        <v>37247</v>
      </c>
      <c r="C1437" t="s">
        <v>3902</v>
      </c>
      <c r="D1437">
        <v>313</v>
      </c>
      <c r="E1437">
        <v>19095</v>
      </c>
      <c r="F1437">
        <v>9</v>
      </c>
      <c r="G1437">
        <v>1</v>
      </c>
      <c r="H1437">
        <v>1</v>
      </c>
      <c r="I1437">
        <v>2</v>
      </c>
      <c r="J1437" t="s">
        <v>3491</v>
      </c>
      <c r="K1437" t="s">
        <v>3492</v>
      </c>
      <c r="L1437" s="2">
        <v>2171.2941999999998</v>
      </c>
      <c r="M1437" s="2">
        <v>3578.27</v>
      </c>
      <c r="N1437" t="s">
        <v>26</v>
      </c>
      <c r="O1437" t="s">
        <v>216</v>
      </c>
      <c r="P1437" t="s">
        <v>290</v>
      </c>
      <c r="Q1437" t="s">
        <v>7766</v>
      </c>
      <c r="R1437" s="1">
        <v>26975</v>
      </c>
      <c r="S1437" t="s">
        <v>22</v>
      </c>
      <c r="T1437" t="s">
        <v>29</v>
      </c>
      <c r="U1437" t="s">
        <v>2253</v>
      </c>
      <c r="V1437">
        <v>100000</v>
      </c>
      <c r="W1437">
        <v>0</v>
      </c>
      <c r="X1437" t="s">
        <v>57</v>
      </c>
      <c r="Y1437" t="s">
        <v>45</v>
      </c>
      <c r="Z1437" t="s">
        <v>19</v>
      </c>
      <c r="AA1437" t="s">
        <v>3586</v>
      </c>
      <c r="AB1437" t="s">
        <v>3586</v>
      </c>
      <c r="AC1437" t="s">
        <v>3587</v>
      </c>
      <c r="AD1437" t="s">
        <v>3479</v>
      </c>
      <c r="AE1437" t="s">
        <v>3475</v>
      </c>
      <c r="AF1437" s="2">
        <v>3578.27</v>
      </c>
      <c r="AG1437" s="2">
        <v>2171.2941999999998</v>
      </c>
      <c r="AH1437" s="2">
        <v>1406.9757999999999</v>
      </c>
      <c r="AI1437" s="3">
        <v>0.39320001006072802</v>
      </c>
    </row>
    <row r="1438" spans="1:35">
      <c r="A1438" s="1">
        <v>42037</v>
      </c>
      <c r="B1438" s="1">
        <v>37257</v>
      </c>
      <c r="C1438" t="s">
        <v>3785</v>
      </c>
      <c r="D1438">
        <v>313</v>
      </c>
      <c r="E1438">
        <v>19096</v>
      </c>
      <c r="F1438">
        <v>9</v>
      </c>
      <c r="G1438">
        <v>1</v>
      </c>
      <c r="H1438">
        <v>1</v>
      </c>
      <c r="I1438">
        <v>2</v>
      </c>
      <c r="J1438" t="s">
        <v>3491</v>
      </c>
      <c r="K1438" t="s">
        <v>3492</v>
      </c>
      <c r="L1438" s="2">
        <v>2171.2941999999998</v>
      </c>
      <c r="M1438" s="2">
        <v>3578.27</v>
      </c>
      <c r="N1438" t="s">
        <v>13</v>
      </c>
      <c r="O1438" t="s">
        <v>1295</v>
      </c>
      <c r="P1438" t="s">
        <v>907</v>
      </c>
      <c r="Q1438" t="s">
        <v>7767</v>
      </c>
      <c r="R1438" s="1">
        <v>26595</v>
      </c>
      <c r="S1438" t="s">
        <v>22</v>
      </c>
      <c r="T1438" t="s">
        <v>16</v>
      </c>
      <c r="U1438" t="s">
        <v>2254</v>
      </c>
      <c r="V1438">
        <v>100000</v>
      </c>
      <c r="W1438">
        <v>0</v>
      </c>
      <c r="X1438" t="s">
        <v>57</v>
      </c>
      <c r="Y1438" t="s">
        <v>45</v>
      </c>
      <c r="Z1438" t="s">
        <v>19</v>
      </c>
      <c r="AA1438" t="s">
        <v>3586</v>
      </c>
      <c r="AB1438" t="s">
        <v>3586</v>
      </c>
      <c r="AC1438" t="s">
        <v>3587</v>
      </c>
      <c r="AD1438" t="s">
        <v>3479</v>
      </c>
      <c r="AE1438" t="s">
        <v>3475</v>
      </c>
      <c r="AF1438" s="2">
        <v>3578.27</v>
      </c>
      <c r="AG1438" s="2">
        <v>2171.2941999999998</v>
      </c>
      <c r="AH1438" s="2">
        <v>1406.9757999999999</v>
      </c>
      <c r="AI1438" s="3">
        <v>0.39320001006072802</v>
      </c>
    </row>
    <row r="1439" spans="1:35">
      <c r="A1439" s="1">
        <v>42058</v>
      </c>
      <c r="B1439" s="1">
        <v>37199</v>
      </c>
      <c r="C1439" t="s">
        <v>3909</v>
      </c>
      <c r="D1439">
        <v>313</v>
      </c>
      <c r="E1439">
        <v>19099</v>
      </c>
      <c r="F1439">
        <v>9</v>
      </c>
      <c r="G1439">
        <v>1</v>
      </c>
      <c r="H1439">
        <v>1</v>
      </c>
      <c r="I1439">
        <v>2</v>
      </c>
      <c r="J1439" t="s">
        <v>3491</v>
      </c>
      <c r="K1439" t="s">
        <v>3492</v>
      </c>
      <c r="L1439" s="2">
        <v>2171.2941999999998</v>
      </c>
      <c r="M1439" s="2">
        <v>3578.27</v>
      </c>
      <c r="N1439" t="s">
        <v>26</v>
      </c>
      <c r="O1439" t="s">
        <v>620</v>
      </c>
      <c r="P1439" t="s">
        <v>226</v>
      </c>
      <c r="Q1439" t="s">
        <v>7768</v>
      </c>
      <c r="R1439" s="1">
        <v>26612</v>
      </c>
      <c r="S1439" t="s">
        <v>16</v>
      </c>
      <c r="T1439" t="s">
        <v>29</v>
      </c>
      <c r="U1439" t="s">
        <v>2255</v>
      </c>
      <c r="V1439">
        <v>120000</v>
      </c>
      <c r="W1439">
        <v>0</v>
      </c>
      <c r="X1439" t="s">
        <v>77</v>
      </c>
      <c r="Y1439" t="s">
        <v>18</v>
      </c>
      <c r="Z1439" t="s">
        <v>19</v>
      </c>
      <c r="AA1439" t="s">
        <v>3586</v>
      </c>
      <c r="AB1439" t="s">
        <v>3586</v>
      </c>
      <c r="AC1439" t="s">
        <v>3587</v>
      </c>
      <c r="AD1439" t="s">
        <v>3479</v>
      </c>
      <c r="AE1439" t="s">
        <v>3475</v>
      </c>
      <c r="AF1439" s="2">
        <v>3578.27</v>
      </c>
      <c r="AG1439" s="2">
        <v>2171.2941999999998</v>
      </c>
      <c r="AH1439" s="2">
        <v>1406.9757999999999</v>
      </c>
      <c r="AI1439" s="3">
        <v>0.39320001006072802</v>
      </c>
    </row>
    <row r="1440" spans="1:35">
      <c r="A1440" s="1">
        <v>42050</v>
      </c>
      <c r="B1440" s="1">
        <v>37250</v>
      </c>
      <c r="C1440" t="s">
        <v>3869</v>
      </c>
      <c r="D1440">
        <v>310</v>
      </c>
      <c r="E1440">
        <v>19102</v>
      </c>
      <c r="F1440">
        <v>9</v>
      </c>
      <c r="G1440">
        <v>1</v>
      </c>
      <c r="H1440">
        <v>1</v>
      </c>
      <c r="I1440">
        <v>2</v>
      </c>
      <c r="J1440" t="s">
        <v>3485</v>
      </c>
      <c r="K1440" t="s">
        <v>3486</v>
      </c>
      <c r="L1440" s="2">
        <v>2171.2941999999998</v>
      </c>
      <c r="M1440" s="2">
        <v>3578.27</v>
      </c>
      <c r="N1440" t="s">
        <v>26</v>
      </c>
      <c r="O1440" t="s">
        <v>360</v>
      </c>
      <c r="P1440" t="s">
        <v>161</v>
      </c>
      <c r="Q1440" t="s">
        <v>7769</v>
      </c>
      <c r="R1440" s="1">
        <v>25637</v>
      </c>
      <c r="S1440" t="s">
        <v>22</v>
      </c>
      <c r="T1440" t="s">
        <v>29</v>
      </c>
      <c r="U1440" t="s">
        <v>2256</v>
      </c>
      <c r="V1440">
        <v>100000</v>
      </c>
      <c r="W1440">
        <v>0</v>
      </c>
      <c r="X1440" t="s">
        <v>57</v>
      </c>
      <c r="Y1440" t="s">
        <v>45</v>
      </c>
      <c r="Z1440" t="s">
        <v>19</v>
      </c>
      <c r="AA1440" t="s">
        <v>3586</v>
      </c>
      <c r="AB1440" t="s">
        <v>3586</v>
      </c>
      <c r="AC1440" t="s">
        <v>3587</v>
      </c>
      <c r="AD1440" t="s">
        <v>3479</v>
      </c>
      <c r="AE1440" t="s">
        <v>3475</v>
      </c>
      <c r="AF1440" s="2">
        <v>3578.27</v>
      </c>
      <c r="AG1440" s="2">
        <v>2171.2941999999998</v>
      </c>
      <c r="AH1440" s="2">
        <v>1406.9757999999999</v>
      </c>
      <c r="AI1440" s="3">
        <v>0.39320001006072802</v>
      </c>
    </row>
    <row r="1441" spans="1:35">
      <c r="A1441" s="1">
        <v>42050</v>
      </c>
      <c r="B1441" s="1">
        <v>37193</v>
      </c>
      <c r="C1441" t="s">
        <v>3874</v>
      </c>
      <c r="D1441">
        <v>310</v>
      </c>
      <c r="E1441">
        <v>19105</v>
      </c>
      <c r="F1441">
        <v>9</v>
      </c>
      <c r="G1441">
        <v>1</v>
      </c>
      <c r="H1441">
        <v>1</v>
      </c>
      <c r="I1441">
        <v>2</v>
      </c>
      <c r="J1441" t="s">
        <v>3485</v>
      </c>
      <c r="K1441" t="s">
        <v>3486</v>
      </c>
      <c r="L1441" s="2">
        <v>2171.2941999999998</v>
      </c>
      <c r="M1441" s="2">
        <v>3578.27</v>
      </c>
      <c r="N1441" t="s">
        <v>26</v>
      </c>
      <c r="O1441" t="s">
        <v>814</v>
      </c>
      <c r="P1441" t="s">
        <v>97</v>
      </c>
      <c r="Q1441" t="s">
        <v>7770</v>
      </c>
      <c r="R1441" s="1">
        <v>26026</v>
      </c>
      <c r="S1441" t="s">
        <v>22</v>
      </c>
      <c r="T1441" t="s">
        <v>29</v>
      </c>
      <c r="U1441" t="s">
        <v>2257</v>
      </c>
      <c r="V1441">
        <v>150000</v>
      </c>
      <c r="W1441">
        <v>0</v>
      </c>
      <c r="X1441" t="s">
        <v>17</v>
      </c>
      <c r="Y1441" t="s">
        <v>45</v>
      </c>
      <c r="Z1441" t="s">
        <v>19</v>
      </c>
      <c r="AA1441" t="s">
        <v>3586</v>
      </c>
      <c r="AB1441" t="s">
        <v>3586</v>
      </c>
      <c r="AC1441" t="s">
        <v>3587</v>
      </c>
      <c r="AD1441" t="s">
        <v>3479</v>
      </c>
      <c r="AE1441" t="s">
        <v>3475</v>
      </c>
      <c r="AF1441" s="2">
        <v>3578.27</v>
      </c>
      <c r="AG1441" s="2">
        <v>2171.2941999999998</v>
      </c>
      <c r="AH1441" s="2">
        <v>1406.9757999999999</v>
      </c>
      <c r="AI1441" s="3">
        <v>0.39320001006072802</v>
      </c>
    </row>
    <row r="1442" spans="1:35">
      <c r="A1442" s="1">
        <v>42190</v>
      </c>
      <c r="B1442" s="1">
        <v>37419</v>
      </c>
      <c r="C1442" t="s">
        <v>4797</v>
      </c>
      <c r="D1442">
        <v>387</v>
      </c>
      <c r="E1442">
        <v>19172</v>
      </c>
      <c r="F1442">
        <v>10</v>
      </c>
      <c r="G1442">
        <v>1</v>
      </c>
      <c r="H1442">
        <v>1</v>
      </c>
      <c r="I1442">
        <v>2</v>
      </c>
      <c r="J1442" t="s">
        <v>3569</v>
      </c>
      <c r="K1442" t="s">
        <v>3570</v>
      </c>
      <c r="L1442" s="2">
        <v>605.64919999999995</v>
      </c>
      <c r="M1442" s="2">
        <v>1000.4375</v>
      </c>
      <c r="N1442" t="s">
        <v>13</v>
      </c>
      <c r="O1442" t="s">
        <v>472</v>
      </c>
      <c r="P1442" t="s">
        <v>159</v>
      </c>
      <c r="Q1442" t="s">
        <v>7771</v>
      </c>
      <c r="R1442" s="1">
        <v>27138</v>
      </c>
      <c r="S1442" t="s">
        <v>16</v>
      </c>
      <c r="T1442" t="s">
        <v>16</v>
      </c>
      <c r="U1442" t="s">
        <v>2258</v>
      </c>
      <c r="V1442">
        <v>40000</v>
      </c>
      <c r="W1442">
        <v>1</v>
      </c>
      <c r="X1442" t="s">
        <v>17</v>
      </c>
      <c r="Y1442" t="s">
        <v>53</v>
      </c>
      <c r="Z1442" t="s">
        <v>19</v>
      </c>
      <c r="AA1442" t="s">
        <v>3588</v>
      </c>
      <c r="AB1442" t="s">
        <v>3588</v>
      </c>
      <c r="AC1442" t="s">
        <v>3584</v>
      </c>
      <c r="AD1442" t="s">
        <v>3479</v>
      </c>
      <c r="AE1442" t="s">
        <v>3475</v>
      </c>
      <c r="AF1442" s="2">
        <v>1000.4375</v>
      </c>
      <c r="AG1442" s="2">
        <v>605.64919999999995</v>
      </c>
      <c r="AH1442" s="2">
        <v>394.78829999999999</v>
      </c>
      <c r="AI1442" s="3">
        <v>0.39461565565065299</v>
      </c>
    </row>
    <row r="1443" spans="1:35">
      <c r="A1443" s="1">
        <v>42212</v>
      </c>
      <c r="B1443" s="1">
        <v>37445</v>
      </c>
      <c r="C1443" t="s">
        <v>4976</v>
      </c>
      <c r="D1443">
        <v>383</v>
      </c>
      <c r="E1443">
        <v>19173</v>
      </c>
      <c r="F1443">
        <v>10</v>
      </c>
      <c r="G1443">
        <v>1</v>
      </c>
      <c r="H1443">
        <v>1</v>
      </c>
      <c r="I1443">
        <v>2</v>
      </c>
      <c r="J1443" t="s">
        <v>3565</v>
      </c>
      <c r="K1443" t="s">
        <v>3566</v>
      </c>
      <c r="L1443" s="2">
        <v>605.64919999999995</v>
      </c>
      <c r="M1443" s="2">
        <v>1000.4375</v>
      </c>
      <c r="N1443" t="s">
        <v>30</v>
      </c>
      <c r="O1443" t="s">
        <v>500</v>
      </c>
      <c r="P1443" t="s">
        <v>62</v>
      </c>
      <c r="Q1443" t="s">
        <v>7772</v>
      </c>
      <c r="R1443" s="1">
        <v>27107</v>
      </c>
      <c r="S1443" t="s">
        <v>16</v>
      </c>
      <c r="T1443" t="s">
        <v>29</v>
      </c>
      <c r="U1443" t="s">
        <v>2259</v>
      </c>
      <c r="V1443">
        <v>40000</v>
      </c>
      <c r="W1443">
        <v>1</v>
      </c>
      <c r="X1443" t="s">
        <v>17</v>
      </c>
      <c r="Y1443" t="s">
        <v>53</v>
      </c>
      <c r="Z1443" t="s">
        <v>19</v>
      </c>
      <c r="AA1443" t="s">
        <v>3588</v>
      </c>
      <c r="AB1443" t="s">
        <v>3588</v>
      </c>
      <c r="AC1443" t="s">
        <v>3584</v>
      </c>
      <c r="AD1443" t="s">
        <v>3479</v>
      </c>
      <c r="AE1443" t="s">
        <v>3475</v>
      </c>
      <c r="AF1443" s="2">
        <v>1000.4375</v>
      </c>
      <c r="AG1443" s="2">
        <v>605.64919999999995</v>
      </c>
      <c r="AH1443" s="2">
        <v>394.78829999999999</v>
      </c>
      <c r="AI1443" s="3">
        <v>0.39461565565065299</v>
      </c>
    </row>
    <row r="1444" spans="1:35">
      <c r="A1444" s="1">
        <v>42269</v>
      </c>
      <c r="B1444" s="1">
        <v>37485</v>
      </c>
      <c r="C1444" t="s">
        <v>5428</v>
      </c>
      <c r="D1444">
        <v>322</v>
      </c>
      <c r="E1444">
        <v>19174</v>
      </c>
      <c r="F1444">
        <v>7</v>
      </c>
      <c r="G1444">
        <v>1</v>
      </c>
      <c r="H1444">
        <v>1</v>
      </c>
      <c r="I1444">
        <v>2</v>
      </c>
      <c r="J1444" t="s">
        <v>3497</v>
      </c>
      <c r="K1444" t="s">
        <v>3498</v>
      </c>
      <c r="L1444" s="2">
        <v>413.1463</v>
      </c>
      <c r="M1444" s="2">
        <v>699.09820000000002</v>
      </c>
      <c r="N1444" t="s">
        <v>26</v>
      </c>
      <c r="O1444" t="s">
        <v>372</v>
      </c>
      <c r="P1444" t="s">
        <v>294</v>
      </c>
      <c r="Q1444" t="s">
        <v>7773</v>
      </c>
      <c r="R1444" s="1">
        <v>27001</v>
      </c>
      <c r="S1444" t="s">
        <v>22</v>
      </c>
      <c r="T1444" t="s">
        <v>29</v>
      </c>
      <c r="U1444" t="s">
        <v>2260</v>
      </c>
      <c r="V1444">
        <v>30000</v>
      </c>
      <c r="W1444">
        <v>0</v>
      </c>
      <c r="X1444" t="s">
        <v>57</v>
      </c>
      <c r="Y1444" t="s">
        <v>444</v>
      </c>
      <c r="Z1444" t="s">
        <v>23</v>
      </c>
      <c r="AA1444" t="s">
        <v>3583</v>
      </c>
      <c r="AB1444" t="s">
        <v>3583</v>
      </c>
      <c r="AC1444" t="s">
        <v>3584</v>
      </c>
      <c r="AD1444" t="s">
        <v>3479</v>
      </c>
      <c r="AE1444" t="s">
        <v>3475</v>
      </c>
      <c r="AF1444" s="2">
        <v>699.09820000000002</v>
      </c>
      <c r="AG1444" s="2">
        <v>413.1463</v>
      </c>
      <c r="AH1444" s="2">
        <v>285.95190000000002</v>
      </c>
      <c r="AI1444" s="3">
        <v>0.409029661355157</v>
      </c>
    </row>
    <row r="1445" spans="1:35">
      <c r="A1445" s="1">
        <v>42254</v>
      </c>
      <c r="B1445" s="1">
        <v>37442</v>
      </c>
      <c r="C1445" t="s">
        <v>5318</v>
      </c>
      <c r="D1445">
        <v>334</v>
      </c>
      <c r="E1445">
        <v>19181</v>
      </c>
      <c r="F1445">
        <v>7</v>
      </c>
      <c r="G1445">
        <v>1</v>
      </c>
      <c r="H1445">
        <v>1</v>
      </c>
      <c r="I1445">
        <v>2</v>
      </c>
      <c r="J1445" t="s">
        <v>3509</v>
      </c>
      <c r="K1445" t="s">
        <v>3510</v>
      </c>
      <c r="L1445" s="2">
        <v>413.1463</v>
      </c>
      <c r="M1445" s="2">
        <v>699.09820000000002</v>
      </c>
      <c r="N1445" t="s">
        <v>13</v>
      </c>
      <c r="O1445" t="s">
        <v>193</v>
      </c>
      <c r="P1445" t="s">
        <v>490</v>
      </c>
      <c r="Q1445" t="s">
        <v>7774</v>
      </c>
      <c r="R1445" s="1">
        <v>26597</v>
      </c>
      <c r="S1445" t="s">
        <v>22</v>
      </c>
      <c r="T1445" t="s">
        <v>16</v>
      </c>
      <c r="U1445" t="s">
        <v>2261</v>
      </c>
      <c r="V1445">
        <v>30000</v>
      </c>
      <c r="W1445">
        <v>0</v>
      </c>
      <c r="X1445" t="s">
        <v>57</v>
      </c>
      <c r="Y1445" t="s">
        <v>444</v>
      </c>
      <c r="Z1445" t="s">
        <v>23</v>
      </c>
      <c r="AA1445" t="s">
        <v>3583</v>
      </c>
      <c r="AB1445" t="s">
        <v>3583</v>
      </c>
      <c r="AC1445" t="s">
        <v>3584</v>
      </c>
      <c r="AD1445" t="s">
        <v>3479</v>
      </c>
      <c r="AE1445" t="s">
        <v>3475</v>
      </c>
      <c r="AF1445" s="2">
        <v>699.09820000000002</v>
      </c>
      <c r="AG1445" s="2">
        <v>413.1463</v>
      </c>
      <c r="AH1445" s="2">
        <v>285.95190000000002</v>
      </c>
      <c r="AI1445" s="3">
        <v>0.409029661355157</v>
      </c>
    </row>
    <row r="1446" spans="1:35">
      <c r="A1446" s="1">
        <v>42242</v>
      </c>
      <c r="B1446" s="1">
        <v>37465</v>
      </c>
      <c r="C1446" t="s">
        <v>5232</v>
      </c>
      <c r="D1446">
        <v>385</v>
      </c>
      <c r="E1446">
        <v>19192</v>
      </c>
      <c r="F1446">
        <v>10</v>
      </c>
      <c r="G1446">
        <v>1</v>
      </c>
      <c r="H1446">
        <v>1</v>
      </c>
      <c r="I1446">
        <v>2</v>
      </c>
      <c r="J1446" t="s">
        <v>3567</v>
      </c>
      <c r="K1446" t="s">
        <v>3568</v>
      </c>
      <c r="L1446" s="2">
        <v>605.64919999999995</v>
      </c>
      <c r="M1446" s="2">
        <v>1000.4375</v>
      </c>
      <c r="N1446" t="s">
        <v>30</v>
      </c>
      <c r="O1446" t="s">
        <v>528</v>
      </c>
      <c r="P1446" t="s">
        <v>34</v>
      </c>
      <c r="Q1446" t="s">
        <v>7775</v>
      </c>
      <c r="R1446" s="1">
        <v>25639</v>
      </c>
      <c r="S1446" t="s">
        <v>22</v>
      </c>
      <c r="T1446" t="s">
        <v>29</v>
      </c>
      <c r="U1446" t="s">
        <v>2262</v>
      </c>
      <c r="V1446">
        <v>40000</v>
      </c>
      <c r="W1446">
        <v>2</v>
      </c>
      <c r="X1446" t="s">
        <v>52</v>
      </c>
      <c r="Y1446" t="s">
        <v>60</v>
      </c>
      <c r="Z1446" t="s">
        <v>19</v>
      </c>
      <c r="AA1446" t="s">
        <v>3588</v>
      </c>
      <c r="AB1446" t="s">
        <v>3588</v>
      </c>
      <c r="AC1446" t="s">
        <v>3584</v>
      </c>
      <c r="AD1446" t="s">
        <v>3479</v>
      </c>
      <c r="AE1446" t="s">
        <v>3475</v>
      </c>
      <c r="AF1446" s="2">
        <v>1000.4375</v>
      </c>
      <c r="AG1446" s="2">
        <v>605.64919999999995</v>
      </c>
      <c r="AH1446" s="2">
        <v>394.78829999999999</v>
      </c>
      <c r="AI1446" s="3">
        <v>0.39461565565065299</v>
      </c>
    </row>
    <row r="1447" spans="1:35">
      <c r="A1447" s="1">
        <v>42237</v>
      </c>
      <c r="B1447" s="1">
        <v>37417</v>
      </c>
      <c r="C1447" t="s">
        <v>5192</v>
      </c>
      <c r="D1447">
        <v>385</v>
      </c>
      <c r="E1447">
        <v>19193</v>
      </c>
      <c r="F1447">
        <v>10</v>
      </c>
      <c r="G1447">
        <v>1</v>
      </c>
      <c r="H1447">
        <v>1</v>
      </c>
      <c r="I1447">
        <v>2</v>
      </c>
      <c r="J1447" t="s">
        <v>3567</v>
      </c>
      <c r="K1447" t="s">
        <v>3568</v>
      </c>
      <c r="L1447" s="2">
        <v>605.64919999999995</v>
      </c>
      <c r="M1447" s="2">
        <v>1000.4375</v>
      </c>
      <c r="N1447" t="s">
        <v>13</v>
      </c>
      <c r="O1447" t="s">
        <v>722</v>
      </c>
      <c r="P1447" t="s">
        <v>62</v>
      </c>
      <c r="Q1447" t="s">
        <v>7776</v>
      </c>
      <c r="R1447" s="1">
        <v>25894</v>
      </c>
      <c r="S1447" t="s">
        <v>22</v>
      </c>
      <c r="T1447" t="s">
        <v>16</v>
      </c>
      <c r="U1447" t="s">
        <v>2263</v>
      </c>
      <c r="V1447">
        <v>40000</v>
      </c>
      <c r="W1447">
        <v>2</v>
      </c>
      <c r="X1447" t="s">
        <v>52</v>
      </c>
      <c r="Y1447" t="s">
        <v>60</v>
      </c>
      <c r="Z1447" t="s">
        <v>19</v>
      </c>
      <c r="AA1447" t="s">
        <v>3588</v>
      </c>
      <c r="AB1447" t="s">
        <v>3588</v>
      </c>
      <c r="AC1447" t="s">
        <v>3584</v>
      </c>
      <c r="AD1447" t="s">
        <v>3479</v>
      </c>
      <c r="AE1447" t="s">
        <v>3475</v>
      </c>
      <c r="AF1447" s="2">
        <v>1000.4375</v>
      </c>
      <c r="AG1447" s="2">
        <v>605.64919999999995</v>
      </c>
      <c r="AH1447" s="2">
        <v>394.78829999999999</v>
      </c>
      <c r="AI1447" s="3">
        <v>0.39461565565065299</v>
      </c>
    </row>
    <row r="1448" spans="1:35">
      <c r="A1448" s="1">
        <v>42266</v>
      </c>
      <c r="B1448" s="1">
        <v>37456</v>
      </c>
      <c r="C1448" t="s">
        <v>5406</v>
      </c>
      <c r="D1448">
        <v>340</v>
      </c>
      <c r="E1448">
        <v>19194</v>
      </c>
      <c r="F1448">
        <v>7</v>
      </c>
      <c r="G1448">
        <v>1</v>
      </c>
      <c r="H1448">
        <v>1</v>
      </c>
      <c r="I1448">
        <v>2</v>
      </c>
      <c r="J1448" t="s">
        <v>3515</v>
      </c>
      <c r="K1448" t="s">
        <v>3516</v>
      </c>
      <c r="L1448" s="2">
        <v>413.1463</v>
      </c>
      <c r="M1448" s="2">
        <v>699.09820000000002</v>
      </c>
      <c r="N1448" t="s">
        <v>13</v>
      </c>
      <c r="O1448" t="s">
        <v>560</v>
      </c>
      <c r="P1448" t="s">
        <v>99</v>
      </c>
      <c r="Q1448" t="s">
        <v>7777</v>
      </c>
      <c r="R1448" s="1">
        <v>25659</v>
      </c>
      <c r="S1448" t="s">
        <v>22</v>
      </c>
      <c r="T1448" t="s">
        <v>16</v>
      </c>
      <c r="U1448" t="s">
        <v>2264</v>
      </c>
      <c r="V1448">
        <v>40000</v>
      </c>
      <c r="W1448">
        <v>2</v>
      </c>
      <c r="X1448" t="s">
        <v>52</v>
      </c>
      <c r="Y1448" t="s">
        <v>60</v>
      </c>
      <c r="Z1448" t="s">
        <v>19</v>
      </c>
      <c r="AA1448" t="s">
        <v>3583</v>
      </c>
      <c r="AB1448" t="s">
        <v>3583</v>
      </c>
      <c r="AC1448" t="s">
        <v>3584</v>
      </c>
      <c r="AD1448" t="s">
        <v>3479</v>
      </c>
      <c r="AE1448" t="s">
        <v>3475</v>
      </c>
      <c r="AF1448" s="2">
        <v>699.09820000000002</v>
      </c>
      <c r="AG1448" s="2">
        <v>413.1463</v>
      </c>
      <c r="AH1448" s="2">
        <v>285.95190000000002</v>
      </c>
      <c r="AI1448" s="3">
        <v>0.409029661355157</v>
      </c>
    </row>
    <row r="1449" spans="1:35">
      <c r="A1449" s="1">
        <v>42234</v>
      </c>
      <c r="B1449" s="1">
        <v>37454</v>
      </c>
      <c r="C1449" t="s">
        <v>5153</v>
      </c>
      <c r="D1449">
        <v>389</v>
      </c>
      <c r="E1449">
        <v>19195</v>
      </c>
      <c r="F1449">
        <v>10</v>
      </c>
      <c r="G1449">
        <v>1</v>
      </c>
      <c r="H1449">
        <v>1</v>
      </c>
      <c r="I1449">
        <v>2</v>
      </c>
      <c r="J1449" t="s">
        <v>3571</v>
      </c>
      <c r="K1449" t="s">
        <v>3572</v>
      </c>
      <c r="L1449" s="2">
        <v>605.64919999999995</v>
      </c>
      <c r="M1449" s="2">
        <v>1000.4375</v>
      </c>
      <c r="N1449" t="s">
        <v>13</v>
      </c>
      <c r="O1449" t="s">
        <v>504</v>
      </c>
      <c r="P1449" t="s">
        <v>317</v>
      </c>
      <c r="Q1449" t="s">
        <v>7778</v>
      </c>
      <c r="R1449" s="1">
        <v>25714</v>
      </c>
      <c r="S1449" t="s">
        <v>22</v>
      </c>
      <c r="T1449" t="s">
        <v>16</v>
      </c>
      <c r="U1449" t="s">
        <v>2265</v>
      </c>
      <c r="V1449">
        <v>40000</v>
      </c>
      <c r="W1449">
        <v>2</v>
      </c>
      <c r="X1449" t="s">
        <v>52</v>
      </c>
      <c r="Y1449" t="s">
        <v>60</v>
      </c>
      <c r="Z1449" t="s">
        <v>19</v>
      </c>
      <c r="AA1449" t="s">
        <v>3588</v>
      </c>
      <c r="AB1449" t="s">
        <v>3588</v>
      </c>
      <c r="AC1449" t="s">
        <v>3584</v>
      </c>
      <c r="AD1449" t="s">
        <v>3479</v>
      </c>
      <c r="AE1449" t="s">
        <v>3475</v>
      </c>
      <c r="AF1449" s="2">
        <v>1000.4375</v>
      </c>
      <c r="AG1449" s="2">
        <v>605.64919999999995</v>
      </c>
      <c r="AH1449" s="2">
        <v>394.78829999999999</v>
      </c>
      <c r="AI1449" s="3">
        <v>0.39461565565065299</v>
      </c>
    </row>
    <row r="1450" spans="1:35">
      <c r="A1450" s="1">
        <v>42231</v>
      </c>
      <c r="B1450" s="1">
        <v>37418</v>
      </c>
      <c r="C1450" t="s">
        <v>5129</v>
      </c>
      <c r="D1450">
        <v>389</v>
      </c>
      <c r="E1450">
        <v>19253</v>
      </c>
      <c r="F1450">
        <v>10</v>
      </c>
      <c r="G1450">
        <v>1</v>
      </c>
      <c r="H1450">
        <v>1</v>
      </c>
      <c r="I1450">
        <v>2</v>
      </c>
      <c r="J1450" t="s">
        <v>3571</v>
      </c>
      <c r="K1450" t="s">
        <v>3572</v>
      </c>
      <c r="L1450" s="2">
        <v>605.64919999999995</v>
      </c>
      <c r="M1450" s="2">
        <v>1000.4375</v>
      </c>
      <c r="N1450" t="s">
        <v>30</v>
      </c>
      <c r="O1450" t="s">
        <v>296</v>
      </c>
      <c r="P1450" t="s">
        <v>199</v>
      </c>
      <c r="Q1450" t="s">
        <v>7779</v>
      </c>
      <c r="R1450" s="1">
        <v>20536</v>
      </c>
      <c r="S1450" t="s">
        <v>22</v>
      </c>
      <c r="T1450" t="s">
        <v>29</v>
      </c>
      <c r="U1450" t="s">
        <v>2266</v>
      </c>
      <c r="V1450">
        <v>20000</v>
      </c>
      <c r="W1450">
        <v>1</v>
      </c>
      <c r="X1450" t="s">
        <v>17</v>
      </c>
      <c r="Y1450" t="s">
        <v>60</v>
      </c>
      <c r="Z1450" t="s">
        <v>19</v>
      </c>
      <c r="AA1450" t="s">
        <v>3588</v>
      </c>
      <c r="AB1450" t="s">
        <v>3588</v>
      </c>
      <c r="AC1450" t="s">
        <v>3584</v>
      </c>
      <c r="AD1450" t="s">
        <v>3479</v>
      </c>
      <c r="AE1450" t="s">
        <v>3475</v>
      </c>
      <c r="AF1450" s="2">
        <v>1000.4375</v>
      </c>
      <c r="AG1450" s="2">
        <v>605.64919999999995</v>
      </c>
      <c r="AH1450" s="2">
        <v>394.78829999999999</v>
      </c>
      <c r="AI1450" s="3">
        <v>0.39461565565065299</v>
      </c>
    </row>
    <row r="1451" spans="1:35">
      <c r="A1451" s="1">
        <v>42248</v>
      </c>
      <c r="B1451" s="1">
        <v>37464</v>
      </c>
      <c r="C1451" t="s">
        <v>5289</v>
      </c>
      <c r="D1451">
        <v>320</v>
      </c>
      <c r="E1451">
        <v>19255</v>
      </c>
      <c r="F1451">
        <v>7</v>
      </c>
      <c r="G1451">
        <v>1</v>
      </c>
      <c r="H1451">
        <v>1</v>
      </c>
      <c r="I1451">
        <v>2</v>
      </c>
      <c r="J1451" t="s">
        <v>3495</v>
      </c>
      <c r="K1451" t="s">
        <v>3496</v>
      </c>
      <c r="L1451" s="2">
        <v>413.1463</v>
      </c>
      <c r="M1451" s="2">
        <v>699.09820000000002</v>
      </c>
      <c r="N1451" t="s">
        <v>13</v>
      </c>
      <c r="O1451" t="s">
        <v>430</v>
      </c>
      <c r="P1451" t="s">
        <v>207</v>
      </c>
      <c r="Q1451" t="s">
        <v>7780</v>
      </c>
      <c r="R1451" s="1">
        <v>20134</v>
      </c>
      <c r="S1451" t="s">
        <v>22</v>
      </c>
      <c r="T1451" t="s">
        <v>16</v>
      </c>
      <c r="U1451" t="s">
        <v>2267</v>
      </c>
      <c r="V1451">
        <v>10000</v>
      </c>
      <c r="W1451">
        <v>2</v>
      </c>
      <c r="X1451" t="s">
        <v>52</v>
      </c>
      <c r="Y1451" t="s">
        <v>444</v>
      </c>
      <c r="Z1451" t="s">
        <v>19</v>
      </c>
      <c r="AA1451" t="s">
        <v>3583</v>
      </c>
      <c r="AB1451" t="s">
        <v>3583</v>
      </c>
      <c r="AC1451" t="s">
        <v>3584</v>
      </c>
      <c r="AD1451" t="s">
        <v>3479</v>
      </c>
      <c r="AE1451" t="s">
        <v>3475</v>
      </c>
      <c r="AF1451" s="2">
        <v>699.09820000000002</v>
      </c>
      <c r="AG1451" s="2">
        <v>413.1463</v>
      </c>
      <c r="AH1451" s="2">
        <v>285.95190000000002</v>
      </c>
      <c r="AI1451" s="3">
        <v>0.409029661355157</v>
      </c>
    </row>
    <row r="1452" spans="1:35">
      <c r="A1452" s="1">
        <v>42261</v>
      </c>
      <c r="B1452" s="1">
        <v>37463</v>
      </c>
      <c r="C1452" t="s">
        <v>5373</v>
      </c>
      <c r="D1452">
        <v>342</v>
      </c>
      <c r="E1452">
        <v>19256</v>
      </c>
      <c r="F1452">
        <v>7</v>
      </c>
      <c r="G1452">
        <v>1</v>
      </c>
      <c r="H1452">
        <v>1</v>
      </c>
      <c r="I1452">
        <v>2</v>
      </c>
      <c r="J1452" t="s">
        <v>3517</v>
      </c>
      <c r="K1452" t="s">
        <v>3518</v>
      </c>
      <c r="L1452" s="2">
        <v>413.1463</v>
      </c>
      <c r="M1452" s="2">
        <v>699.09820000000002</v>
      </c>
      <c r="N1452" t="s">
        <v>30</v>
      </c>
      <c r="O1452" t="s">
        <v>182</v>
      </c>
      <c r="P1452" t="s">
        <v>246</v>
      </c>
      <c r="Q1452" t="s">
        <v>7781</v>
      </c>
      <c r="R1452" s="1">
        <v>20159</v>
      </c>
      <c r="S1452" t="s">
        <v>16</v>
      </c>
      <c r="T1452" t="s">
        <v>29</v>
      </c>
      <c r="U1452" t="s">
        <v>2268</v>
      </c>
      <c r="V1452">
        <v>20000</v>
      </c>
      <c r="W1452">
        <v>1</v>
      </c>
      <c r="X1452" t="s">
        <v>17</v>
      </c>
      <c r="Y1452" t="s">
        <v>60</v>
      </c>
      <c r="Z1452" t="s">
        <v>19</v>
      </c>
      <c r="AA1452" t="s">
        <v>3583</v>
      </c>
      <c r="AB1452" t="s">
        <v>3583</v>
      </c>
      <c r="AC1452" t="s">
        <v>3584</v>
      </c>
      <c r="AD1452" t="s">
        <v>3479</v>
      </c>
      <c r="AE1452" t="s">
        <v>3475</v>
      </c>
      <c r="AF1452" s="2">
        <v>699.09820000000002</v>
      </c>
      <c r="AG1452" s="2">
        <v>413.1463</v>
      </c>
      <c r="AH1452" s="2">
        <v>285.95190000000002</v>
      </c>
      <c r="AI1452" s="3">
        <v>0.409029661355157</v>
      </c>
    </row>
    <row r="1453" spans="1:35">
      <c r="A1453" s="1">
        <v>42241</v>
      </c>
      <c r="B1453" s="1">
        <v>37420</v>
      </c>
      <c r="C1453" t="s">
        <v>5222</v>
      </c>
      <c r="D1453">
        <v>381</v>
      </c>
      <c r="E1453">
        <v>19258</v>
      </c>
      <c r="F1453">
        <v>10</v>
      </c>
      <c r="G1453">
        <v>1</v>
      </c>
      <c r="H1453">
        <v>1</v>
      </c>
      <c r="I1453">
        <v>2</v>
      </c>
      <c r="J1453" t="s">
        <v>3563</v>
      </c>
      <c r="K1453" t="s">
        <v>3564</v>
      </c>
      <c r="L1453" s="2">
        <v>605.64919999999995</v>
      </c>
      <c r="M1453" s="2">
        <v>1000.4375</v>
      </c>
      <c r="N1453" t="s">
        <v>13</v>
      </c>
      <c r="O1453" t="s">
        <v>1295</v>
      </c>
      <c r="P1453" t="s">
        <v>35</v>
      </c>
      <c r="Q1453" t="s">
        <v>7782</v>
      </c>
      <c r="R1453" s="1">
        <v>19865</v>
      </c>
      <c r="S1453" t="s">
        <v>16</v>
      </c>
      <c r="T1453" t="s">
        <v>16</v>
      </c>
      <c r="U1453" t="s">
        <v>2269</v>
      </c>
      <c r="V1453">
        <v>10000</v>
      </c>
      <c r="W1453">
        <v>2</v>
      </c>
      <c r="X1453" t="s">
        <v>52</v>
      </c>
      <c r="Y1453" t="s">
        <v>444</v>
      </c>
      <c r="Z1453" t="s">
        <v>19</v>
      </c>
      <c r="AA1453" t="s">
        <v>3588</v>
      </c>
      <c r="AB1453" t="s">
        <v>3588</v>
      </c>
      <c r="AC1453" t="s">
        <v>3584</v>
      </c>
      <c r="AD1453" t="s">
        <v>3479</v>
      </c>
      <c r="AE1453" t="s">
        <v>3475</v>
      </c>
      <c r="AF1453" s="2">
        <v>1000.4375</v>
      </c>
      <c r="AG1453" s="2">
        <v>605.64919999999995</v>
      </c>
      <c r="AH1453" s="2">
        <v>394.78829999999999</v>
      </c>
      <c r="AI1453" s="3">
        <v>0.39461565565065299</v>
      </c>
    </row>
    <row r="1454" spans="1:35">
      <c r="A1454" s="1">
        <v>42236</v>
      </c>
      <c r="B1454" s="1">
        <v>37370</v>
      </c>
      <c r="C1454" t="s">
        <v>5178</v>
      </c>
      <c r="D1454">
        <v>389</v>
      </c>
      <c r="E1454">
        <v>19260</v>
      </c>
      <c r="F1454">
        <v>10</v>
      </c>
      <c r="G1454">
        <v>1</v>
      </c>
      <c r="H1454">
        <v>1</v>
      </c>
      <c r="I1454">
        <v>2</v>
      </c>
      <c r="J1454" t="s">
        <v>3571</v>
      </c>
      <c r="K1454" t="s">
        <v>3572</v>
      </c>
      <c r="L1454" s="2">
        <v>605.64919999999995</v>
      </c>
      <c r="M1454" s="2">
        <v>1000.4375</v>
      </c>
      <c r="N1454" t="s">
        <v>30</v>
      </c>
      <c r="O1454" t="s">
        <v>354</v>
      </c>
      <c r="P1454" t="s">
        <v>664</v>
      </c>
      <c r="Q1454" t="s">
        <v>7783</v>
      </c>
      <c r="R1454" s="1">
        <v>14434</v>
      </c>
      <c r="S1454" t="s">
        <v>22</v>
      </c>
      <c r="T1454" t="s">
        <v>29</v>
      </c>
      <c r="U1454" t="s">
        <v>2270</v>
      </c>
      <c r="V1454">
        <v>20000</v>
      </c>
      <c r="W1454">
        <v>1</v>
      </c>
      <c r="X1454" t="s">
        <v>17</v>
      </c>
      <c r="Y1454" t="s">
        <v>60</v>
      </c>
      <c r="Z1454" t="s">
        <v>19</v>
      </c>
      <c r="AA1454" t="s">
        <v>3588</v>
      </c>
      <c r="AB1454" t="s">
        <v>3588</v>
      </c>
      <c r="AC1454" t="s">
        <v>3584</v>
      </c>
      <c r="AD1454" t="s">
        <v>3479</v>
      </c>
      <c r="AE1454" t="s">
        <v>3475</v>
      </c>
      <c r="AF1454" s="2">
        <v>1000.4375</v>
      </c>
      <c r="AG1454" s="2">
        <v>605.64919999999995</v>
      </c>
      <c r="AH1454" s="2">
        <v>394.78829999999999</v>
      </c>
      <c r="AI1454" s="3">
        <v>0.39461565565065299</v>
      </c>
    </row>
    <row r="1455" spans="1:35">
      <c r="A1455" s="1">
        <v>42258</v>
      </c>
      <c r="B1455" s="1">
        <v>37466</v>
      </c>
      <c r="C1455" t="s">
        <v>5353</v>
      </c>
      <c r="D1455">
        <v>389</v>
      </c>
      <c r="E1455">
        <v>19263</v>
      </c>
      <c r="F1455">
        <v>10</v>
      </c>
      <c r="G1455">
        <v>1</v>
      </c>
      <c r="H1455">
        <v>1</v>
      </c>
      <c r="I1455">
        <v>2</v>
      </c>
      <c r="J1455" t="s">
        <v>3571</v>
      </c>
      <c r="K1455" t="s">
        <v>3572</v>
      </c>
      <c r="L1455" s="2">
        <v>605.64919999999995</v>
      </c>
      <c r="M1455" s="2">
        <v>1000.4375</v>
      </c>
      <c r="N1455" t="s">
        <v>30</v>
      </c>
      <c r="O1455" t="s">
        <v>604</v>
      </c>
      <c r="P1455" t="s">
        <v>205</v>
      </c>
      <c r="Q1455" t="s">
        <v>7784</v>
      </c>
      <c r="R1455" s="1">
        <v>15652</v>
      </c>
      <c r="S1455" t="s">
        <v>16</v>
      </c>
      <c r="T1455" t="s">
        <v>29</v>
      </c>
      <c r="U1455" t="s">
        <v>2271</v>
      </c>
      <c r="V1455">
        <v>30000</v>
      </c>
      <c r="W1455">
        <v>1</v>
      </c>
      <c r="X1455" t="s">
        <v>17</v>
      </c>
      <c r="Y1455" t="s">
        <v>60</v>
      </c>
      <c r="Z1455" t="s">
        <v>19</v>
      </c>
      <c r="AA1455" t="s">
        <v>3588</v>
      </c>
      <c r="AB1455" t="s">
        <v>3588</v>
      </c>
      <c r="AC1455" t="s">
        <v>3584</v>
      </c>
      <c r="AD1455" t="s">
        <v>3479</v>
      </c>
      <c r="AE1455" t="s">
        <v>3475</v>
      </c>
      <c r="AF1455" s="2">
        <v>1000.4375</v>
      </c>
      <c r="AG1455" s="2">
        <v>605.64919999999995</v>
      </c>
      <c r="AH1455" s="2">
        <v>394.78829999999999</v>
      </c>
      <c r="AI1455" s="3">
        <v>0.39461565565065299</v>
      </c>
    </row>
    <row r="1456" spans="1:35">
      <c r="A1456" s="1">
        <v>42046</v>
      </c>
      <c r="B1456" s="1">
        <v>37195</v>
      </c>
      <c r="C1456" t="s">
        <v>3848</v>
      </c>
      <c r="D1456">
        <v>311</v>
      </c>
      <c r="E1456">
        <v>19264</v>
      </c>
      <c r="F1456">
        <v>9</v>
      </c>
      <c r="G1456">
        <v>1</v>
      </c>
      <c r="H1456">
        <v>1</v>
      </c>
      <c r="I1456">
        <v>2</v>
      </c>
      <c r="J1456" t="s">
        <v>3487</v>
      </c>
      <c r="K1456" t="s">
        <v>3488</v>
      </c>
      <c r="L1456" s="2">
        <v>2171.2941999999998</v>
      </c>
      <c r="M1456" s="2">
        <v>3578.27</v>
      </c>
      <c r="N1456" t="s">
        <v>13</v>
      </c>
      <c r="O1456" t="s">
        <v>519</v>
      </c>
      <c r="P1456" t="s">
        <v>95</v>
      </c>
      <c r="Q1456" t="s">
        <v>7785</v>
      </c>
      <c r="R1456" s="1">
        <v>29485</v>
      </c>
      <c r="S1456" t="s">
        <v>22</v>
      </c>
      <c r="T1456" t="s">
        <v>16</v>
      </c>
      <c r="U1456" t="s">
        <v>2272</v>
      </c>
      <c r="V1456">
        <v>10000</v>
      </c>
      <c r="W1456">
        <v>0</v>
      </c>
      <c r="X1456" t="s">
        <v>52</v>
      </c>
      <c r="Y1456" t="s">
        <v>444</v>
      </c>
      <c r="Z1456" t="s">
        <v>23</v>
      </c>
      <c r="AA1456" t="s">
        <v>3586</v>
      </c>
      <c r="AB1456" t="s">
        <v>3586</v>
      </c>
      <c r="AC1456" t="s">
        <v>3587</v>
      </c>
      <c r="AD1456" t="s">
        <v>3479</v>
      </c>
      <c r="AE1456" t="s">
        <v>3475</v>
      </c>
      <c r="AF1456" s="2">
        <v>3578.27</v>
      </c>
      <c r="AG1456" s="2">
        <v>2171.2941999999998</v>
      </c>
      <c r="AH1456" s="2">
        <v>1406.9757999999999</v>
      </c>
      <c r="AI1456" s="3">
        <v>0.39320001006072802</v>
      </c>
    </row>
    <row r="1457" spans="1:35">
      <c r="A1457" s="1">
        <v>42039</v>
      </c>
      <c r="B1457" s="1">
        <v>37256</v>
      </c>
      <c r="C1457" t="s">
        <v>3799</v>
      </c>
      <c r="D1457">
        <v>314</v>
      </c>
      <c r="E1457">
        <v>19269</v>
      </c>
      <c r="F1457">
        <v>9</v>
      </c>
      <c r="G1457">
        <v>1</v>
      </c>
      <c r="H1457">
        <v>1</v>
      </c>
      <c r="I1457">
        <v>2</v>
      </c>
      <c r="J1457" t="s">
        <v>3493</v>
      </c>
      <c r="K1457" t="s">
        <v>3494</v>
      </c>
      <c r="L1457" s="2">
        <v>2171.2941999999998</v>
      </c>
      <c r="M1457" s="2">
        <v>3578.27</v>
      </c>
      <c r="N1457" t="s">
        <v>26</v>
      </c>
      <c r="O1457" t="s">
        <v>1035</v>
      </c>
      <c r="P1457" t="s">
        <v>153</v>
      </c>
      <c r="Q1457" t="s">
        <v>7786</v>
      </c>
      <c r="R1457" s="1">
        <v>28207</v>
      </c>
      <c r="S1457" t="s">
        <v>22</v>
      </c>
      <c r="T1457" t="s">
        <v>29</v>
      </c>
      <c r="U1457" t="s">
        <v>2273</v>
      </c>
      <c r="V1457">
        <v>10000</v>
      </c>
      <c r="W1457">
        <v>0</v>
      </c>
      <c r="X1457" t="s">
        <v>57</v>
      </c>
      <c r="Y1457" t="s">
        <v>444</v>
      </c>
      <c r="Z1457" t="s">
        <v>23</v>
      </c>
      <c r="AA1457" t="s">
        <v>3586</v>
      </c>
      <c r="AB1457" t="s">
        <v>3586</v>
      </c>
      <c r="AC1457" t="s">
        <v>3587</v>
      </c>
      <c r="AD1457" t="s">
        <v>3479</v>
      </c>
      <c r="AE1457" t="s">
        <v>3475</v>
      </c>
      <c r="AF1457" s="2">
        <v>3578.27</v>
      </c>
      <c r="AG1457" s="2">
        <v>2171.2941999999998</v>
      </c>
      <c r="AH1457" s="2">
        <v>1406.9757999999999</v>
      </c>
      <c r="AI1457" s="3">
        <v>0.39320001006072802</v>
      </c>
    </row>
    <row r="1458" spans="1:35">
      <c r="A1458" s="1">
        <v>42039</v>
      </c>
      <c r="B1458" s="1">
        <v>37248</v>
      </c>
      <c r="C1458" t="s">
        <v>3800</v>
      </c>
      <c r="D1458">
        <v>312</v>
      </c>
      <c r="E1458">
        <v>19270</v>
      </c>
      <c r="F1458">
        <v>9</v>
      </c>
      <c r="G1458">
        <v>1</v>
      </c>
      <c r="H1458">
        <v>1</v>
      </c>
      <c r="I1458">
        <v>2</v>
      </c>
      <c r="J1458" t="s">
        <v>3489</v>
      </c>
      <c r="K1458" t="s">
        <v>3490</v>
      </c>
      <c r="L1458" s="2">
        <v>2171.2941999999998</v>
      </c>
      <c r="M1458" s="2">
        <v>3578.27</v>
      </c>
      <c r="N1458" t="s">
        <v>13</v>
      </c>
      <c r="O1458" t="s">
        <v>455</v>
      </c>
      <c r="P1458" t="s">
        <v>271</v>
      </c>
      <c r="Q1458" t="s">
        <v>7787</v>
      </c>
      <c r="R1458" s="1">
        <v>29215</v>
      </c>
      <c r="S1458" t="s">
        <v>16</v>
      </c>
      <c r="T1458" t="s">
        <v>16</v>
      </c>
      <c r="U1458" t="s">
        <v>2274</v>
      </c>
      <c r="V1458">
        <v>20000</v>
      </c>
      <c r="W1458">
        <v>0</v>
      </c>
      <c r="X1458" t="s">
        <v>17</v>
      </c>
      <c r="Y1458" t="s">
        <v>60</v>
      </c>
      <c r="Z1458" t="s">
        <v>19</v>
      </c>
      <c r="AA1458" t="s">
        <v>3586</v>
      </c>
      <c r="AB1458" t="s">
        <v>3586</v>
      </c>
      <c r="AC1458" t="s">
        <v>3587</v>
      </c>
      <c r="AD1458" t="s">
        <v>3479</v>
      </c>
      <c r="AE1458" t="s">
        <v>3475</v>
      </c>
      <c r="AF1458" s="2">
        <v>3578.27</v>
      </c>
      <c r="AG1458" s="2">
        <v>2171.2941999999998</v>
      </c>
      <c r="AH1458" s="2">
        <v>1406.9757999999999</v>
      </c>
      <c r="AI1458" s="3">
        <v>0.39320001006072802</v>
      </c>
    </row>
    <row r="1459" spans="1:35">
      <c r="A1459" s="1">
        <v>42038</v>
      </c>
      <c r="B1459" s="1">
        <v>37220</v>
      </c>
      <c r="C1459" t="s">
        <v>3793</v>
      </c>
      <c r="D1459">
        <v>313</v>
      </c>
      <c r="E1459">
        <v>19271</v>
      </c>
      <c r="F1459">
        <v>9</v>
      </c>
      <c r="G1459">
        <v>1</v>
      </c>
      <c r="H1459">
        <v>1</v>
      </c>
      <c r="I1459">
        <v>2</v>
      </c>
      <c r="J1459" t="s">
        <v>3491</v>
      </c>
      <c r="K1459" t="s">
        <v>3492</v>
      </c>
      <c r="L1459" s="2">
        <v>2171.2941999999998</v>
      </c>
      <c r="M1459" s="2">
        <v>3578.27</v>
      </c>
      <c r="N1459" t="s">
        <v>13</v>
      </c>
      <c r="O1459" t="s">
        <v>519</v>
      </c>
      <c r="P1459" t="s">
        <v>209</v>
      </c>
      <c r="Q1459" t="s">
        <v>7788</v>
      </c>
      <c r="R1459" s="1">
        <v>28625</v>
      </c>
      <c r="S1459" t="s">
        <v>16</v>
      </c>
      <c r="T1459" t="s">
        <v>16</v>
      </c>
      <c r="U1459" t="s">
        <v>2275</v>
      </c>
      <c r="V1459">
        <v>20000</v>
      </c>
      <c r="W1459">
        <v>0</v>
      </c>
      <c r="X1459" t="s">
        <v>17</v>
      </c>
      <c r="Y1459" t="s">
        <v>60</v>
      </c>
      <c r="Z1459" t="s">
        <v>19</v>
      </c>
      <c r="AA1459" t="s">
        <v>3586</v>
      </c>
      <c r="AB1459" t="s">
        <v>3586</v>
      </c>
      <c r="AC1459" t="s">
        <v>3587</v>
      </c>
      <c r="AD1459" t="s">
        <v>3479</v>
      </c>
      <c r="AE1459" t="s">
        <v>3475</v>
      </c>
      <c r="AF1459" s="2">
        <v>3578.27</v>
      </c>
      <c r="AG1459" s="2">
        <v>2171.2941999999998</v>
      </c>
      <c r="AH1459" s="2">
        <v>1406.9757999999999</v>
      </c>
      <c r="AI1459" s="3">
        <v>0.39320001006072802</v>
      </c>
    </row>
    <row r="1460" spans="1:35">
      <c r="A1460" s="1">
        <v>42300</v>
      </c>
      <c r="B1460" s="1">
        <v>37502</v>
      </c>
      <c r="C1460" t="s">
        <v>5648</v>
      </c>
      <c r="D1460">
        <v>322</v>
      </c>
      <c r="E1460">
        <v>19276</v>
      </c>
      <c r="F1460">
        <v>7</v>
      </c>
      <c r="G1460">
        <v>1</v>
      </c>
      <c r="H1460">
        <v>1</v>
      </c>
      <c r="I1460">
        <v>2</v>
      </c>
      <c r="J1460" t="s">
        <v>3497</v>
      </c>
      <c r="K1460" t="s">
        <v>3498</v>
      </c>
      <c r="L1460" s="2">
        <v>413.1463</v>
      </c>
      <c r="M1460" s="2">
        <v>699.09820000000002</v>
      </c>
      <c r="N1460" t="s">
        <v>13</v>
      </c>
      <c r="O1460" t="s">
        <v>24</v>
      </c>
      <c r="P1460" t="s">
        <v>79</v>
      </c>
      <c r="Q1460" t="s">
        <v>7789</v>
      </c>
      <c r="R1460" s="1">
        <v>22503</v>
      </c>
      <c r="S1460" t="s">
        <v>22</v>
      </c>
      <c r="T1460" t="s">
        <v>16</v>
      </c>
      <c r="U1460" t="s">
        <v>2276</v>
      </c>
      <c r="V1460">
        <v>20000</v>
      </c>
      <c r="W1460">
        <v>1</v>
      </c>
      <c r="X1460" t="s">
        <v>52</v>
      </c>
      <c r="Y1460" t="s">
        <v>444</v>
      </c>
      <c r="Z1460" t="s">
        <v>23</v>
      </c>
      <c r="AA1460" t="s">
        <v>3583</v>
      </c>
      <c r="AB1460" t="s">
        <v>3583</v>
      </c>
      <c r="AC1460" t="s">
        <v>3584</v>
      </c>
      <c r="AD1460" t="s">
        <v>3479</v>
      </c>
      <c r="AE1460" t="s">
        <v>3475</v>
      </c>
      <c r="AF1460" s="2">
        <v>699.09820000000002</v>
      </c>
      <c r="AG1460" s="2">
        <v>413.1463</v>
      </c>
      <c r="AH1460" s="2">
        <v>285.95190000000002</v>
      </c>
      <c r="AI1460" s="3">
        <v>0.409029661355157</v>
      </c>
    </row>
    <row r="1461" spans="1:35">
      <c r="A1461" s="1">
        <v>42256</v>
      </c>
      <c r="B1461" s="1">
        <v>37393</v>
      </c>
      <c r="C1461" t="s">
        <v>5337</v>
      </c>
      <c r="D1461">
        <v>383</v>
      </c>
      <c r="E1461">
        <v>19278</v>
      </c>
      <c r="F1461">
        <v>10</v>
      </c>
      <c r="G1461">
        <v>1</v>
      </c>
      <c r="H1461">
        <v>1</v>
      </c>
      <c r="I1461">
        <v>2</v>
      </c>
      <c r="J1461" t="s">
        <v>3565</v>
      </c>
      <c r="K1461" t="s">
        <v>3566</v>
      </c>
      <c r="L1461" s="2">
        <v>605.64919999999995</v>
      </c>
      <c r="M1461" s="2">
        <v>1000.4375</v>
      </c>
      <c r="N1461" t="s">
        <v>13</v>
      </c>
      <c r="O1461" t="s">
        <v>154</v>
      </c>
      <c r="P1461" t="s">
        <v>470</v>
      </c>
      <c r="Q1461" t="s">
        <v>7790</v>
      </c>
      <c r="R1461" s="1">
        <v>22110</v>
      </c>
      <c r="S1461" t="s">
        <v>22</v>
      </c>
      <c r="T1461" t="s">
        <v>16</v>
      </c>
      <c r="U1461" t="s">
        <v>2277</v>
      </c>
      <c r="V1461">
        <v>20000</v>
      </c>
      <c r="W1461">
        <v>1</v>
      </c>
      <c r="X1461" t="s">
        <v>52</v>
      </c>
      <c r="Y1461" t="s">
        <v>444</v>
      </c>
      <c r="Z1461" t="s">
        <v>23</v>
      </c>
      <c r="AA1461" t="s">
        <v>3588</v>
      </c>
      <c r="AB1461" t="s">
        <v>3588</v>
      </c>
      <c r="AC1461" t="s">
        <v>3584</v>
      </c>
      <c r="AD1461" t="s">
        <v>3479</v>
      </c>
      <c r="AE1461" t="s">
        <v>3475</v>
      </c>
      <c r="AF1461" s="2">
        <v>1000.4375</v>
      </c>
      <c r="AG1461" s="2">
        <v>605.64919999999995</v>
      </c>
      <c r="AH1461" s="2">
        <v>394.78829999999999</v>
      </c>
      <c r="AI1461" s="3">
        <v>0.39461565565065299</v>
      </c>
    </row>
    <row r="1462" spans="1:35">
      <c r="A1462" s="1">
        <v>42319</v>
      </c>
      <c r="B1462" s="1">
        <v>37541</v>
      </c>
      <c r="C1462" t="s">
        <v>5764</v>
      </c>
      <c r="D1462">
        <v>332</v>
      </c>
      <c r="E1462">
        <v>19280</v>
      </c>
      <c r="F1462">
        <v>7</v>
      </c>
      <c r="G1462">
        <v>1</v>
      </c>
      <c r="H1462">
        <v>1</v>
      </c>
      <c r="I1462">
        <v>2</v>
      </c>
      <c r="J1462" t="s">
        <v>3507</v>
      </c>
      <c r="K1462" t="s">
        <v>3508</v>
      </c>
      <c r="L1462" s="2">
        <v>413.1463</v>
      </c>
      <c r="M1462" s="2">
        <v>699.09820000000002</v>
      </c>
      <c r="N1462" t="s">
        <v>13</v>
      </c>
      <c r="O1462" t="s">
        <v>648</v>
      </c>
      <c r="P1462" t="s">
        <v>134</v>
      </c>
      <c r="Q1462" t="s">
        <v>7791</v>
      </c>
      <c r="R1462" s="1">
        <v>21424</v>
      </c>
      <c r="S1462" t="s">
        <v>16</v>
      </c>
      <c r="T1462" t="s">
        <v>16</v>
      </c>
      <c r="U1462" t="s">
        <v>2278</v>
      </c>
      <c r="V1462">
        <v>20000</v>
      </c>
      <c r="W1462">
        <v>2</v>
      </c>
      <c r="X1462" t="s">
        <v>52</v>
      </c>
      <c r="Y1462" t="s">
        <v>444</v>
      </c>
      <c r="Z1462" t="s">
        <v>19</v>
      </c>
      <c r="AA1462" t="s">
        <v>3583</v>
      </c>
      <c r="AB1462" t="s">
        <v>3583</v>
      </c>
      <c r="AC1462" t="s">
        <v>3584</v>
      </c>
      <c r="AD1462" t="s">
        <v>3479</v>
      </c>
      <c r="AE1462" t="s">
        <v>3475</v>
      </c>
      <c r="AF1462" s="2">
        <v>699.09820000000002</v>
      </c>
      <c r="AG1462" s="2">
        <v>413.1463</v>
      </c>
      <c r="AH1462" s="2">
        <v>285.95190000000002</v>
      </c>
      <c r="AI1462" s="3">
        <v>0.409029661355157</v>
      </c>
    </row>
    <row r="1463" spans="1:35">
      <c r="A1463" s="1">
        <v>42335</v>
      </c>
      <c r="B1463" s="1">
        <v>37512</v>
      </c>
      <c r="C1463" t="s">
        <v>5870</v>
      </c>
      <c r="D1463">
        <v>320</v>
      </c>
      <c r="E1463">
        <v>19282</v>
      </c>
      <c r="F1463">
        <v>7</v>
      </c>
      <c r="G1463">
        <v>1</v>
      </c>
      <c r="H1463">
        <v>1</v>
      </c>
      <c r="I1463">
        <v>2</v>
      </c>
      <c r="J1463" t="s">
        <v>3495</v>
      </c>
      <c r="K1463" t="s">
        <v>3496</v>
      </c>
      <c r="L1463" s="2">
        <v>413.1463</v>
      </c>
      <c r="M1463" s="2">
        <v>699.09820000000002</v>
      </c>
      <c r="N1463" t="s">
        <v>30</v>
      </c>
      <c r="O1463" t="s">
        <v>337</v>
      </c>
      <c r="P1463" t="s">
        <v>283</v>
      </c>
      <c r="Q1463" t="s">
        <v>7792</v>
      </c>
      <c r="R1463" s="1">
        <v>21313</v>
      </c>
      <c r="S1463" t="s">
        <v>16</v>
      </c>
      <c r="T1463" t="s">
        <v>29</v>
      </c>
      <c r="U1463" t="s">
        <v>2279</v>
      </c>
      <c r="V1463">
        <v>30000</v>
      </c>
      <c r="W1463">
        <v>1</v>
      </c>
      <c r="X1463" t="s">
        <v>135</v>
      </c>
      <c r="Y1463" t="s">
        <v>60</v>
      </c>
      <c r="Z1463" t="s">
        <v>19</v>
      </c>
      <c r="AA1463" t="s">
        <v>3583</v>
      </c>
      <c r="AB1463" t="s">
        <v>3583</v>
      </c>
      <c r="AC1463" t="s">
        <v>3584</v>
      </c>
      <c r="AD1463" t="s">
        <v>3479</v>
      </c>
      <c r="AE1463" t="s">
        <v>3475</v>
      </c>
      <c r="AF1463" s="2">
        <v>699.09820000000002</v>
      </c>
      <c r="AG1463" s="2">
        <v>413.1463</v>
      </c>
      <c r="AH1463" s="2">
        <v>285.95190000000002</v>
      </c>
      <c r="AI1463" s="3">
        <v>0.409029661355157</v>
      </c>
    </row>
    <row r="1464" spans="1:35">
      <c r="A1464" s="1">
        <v>42335</v>
      </c>
      <c r="B1464" s="1">
        <v>37469</v>
      </c>
      <c r="C1464" t="s">
        <v>5873</v>
      </c>
      <c r="D1464">
        <v>324</v>
      </c>
      <c r="E1464">
        <v>19287</v>
      </c>
      <c r="F1464">
        <v>7</v>
      </c>
      <c r="G1464">
        <v>1</v>
      </c>
      <c r="H1464">
        <v>1</v>
      </c>
      <c r="I1464">
        <v>2</v>
      </c>
      <c r="J1464" t="s">
        <v>3499</v>
      </c>
      <c r="K1464" t="s">
        <v>3500</v>
      </c>
      <c r="L1464" s="2">
        <v>413.1463</v>
      </c>
      <c r="M1464" s="2">
        <v>699.09820000000002</v>
      </c>
      <c r="N1464" t="s">
        <v>13</v>
      </c>
      <c r="O1464" t="s">
        <v>1082</v>
      </c>
      <c r="P1464" t="s">
        <v>570</v>
      </c>
      <c r="Q1464" t="s">
        <v>7793</v>
      </c>
      <c r="R1464" s="1">
        <v>21758</v>
      </c>
      <c r="S1464" t="s">
        <v>16</v>
      </c>
      <c r="T1464" t="s">
        <v>16</v>
      </c>
      <c r="U1464" t="s">
        <v>2280</v>
      </c>
      <c r="V1464">
        <v>30000</v>
      </c>
      <c r="W1464">
        <v>3</v>
      </c>
      <c r="X1464" t="s">
        <v>17</v>
      </c>
      <c r="Y1464" t="s">
        <v>60</v>
      </c>
      <c r="Z1464" t="s">
        <v>19</v>
      </c>
      <c r="AA1464" t="s">
        <v>3583</v>
      </c>
      <c r="AB1464" t="s">
        <v>3583</v>
      </c>
      <c r="AC1464" t="s">
        <v>3584</v>
      </c>
      <c r="AD1464" t="s">
        <v>3479</v>
      </c>
      <c r="AE1464" t="s">
        <v>3475</v>
      </c>
      <c r="AF1464" s="2">
        <v>699.09820000000002</v>
      </c>
      <c r="AG1464" s="2">
        <v>413.1463</v>
      </c>
      <c r="AH1464" s="2">
        <v>285.95190000000002</v>
      </c>
      <c r="AI1464" s="3">
        <v>0.409029661355157</v>
      </c>
    </row>
    <row r="1465" spans="1:35">
      <c r="A1465" s="1">
        <v>42276</v>
      </c>
      <c r="B1465" s="1">
        <v>37434</v>
      </c>
      <c r="C1465" t="s">
        <v>5473</v>
      </c>
      <c r="D1465">
        <v>389</v>
      </c>
      <c r="E1465">
        <v>19290</v>
      </c>
      <c r="F1465">
        <v>10</v>
      </c>
      <c r="G1465">
        <v>1</v>
      </c>
      <c r="H1465">
        <v>1</v>
      </c>
      <c r="I1465">
        <v>2</v>
      </c>
      <c r="J1465" t="s">
        <v>3571</v>
      </c>
      <c r="K1465" t="s">
        <v>3572</v>
      </c>
      <c r="L1465" s="2">
        <v>605.64919999999995</v>
      </c>
      <c r="M1465" s="2">
        <v>1000.4375</v>
      </c>
      <c r="N1465" t="s">
        <v>13</v>
      </c>
      <c r="O1465" t="s">
        <v>527</v>
      </c>
      <c r="P1465" t="s">
        <v>353</v>
      </c>
      <c r="Q1465" t="s">
        <v>7794</v>
      </c>
      <c r="R1465" s="1">
        <v>21311</v>
      </c>
      <c r="S1465" t="s">
        <v>22</v>
      </c>
      <c r="T1465" t="s">
        <v>16</v>
      </c>
      <c r="U1465" t="s">
        <v>2281</v>
      </c>
      <c r="V1465">
        <v>30000</v>
      </c>
      <c r="W1465">
        <v>1</v>
      </c>
      <c r="X1465" t="s">
        <v>17</v>
      </c>
      <c r="Y1465" t="s">
        <v>60</v>
      </c>
      <c r="Z1465" t="s">
        <v>19</v>
      </c>
      <c r="AA1465" t="s">
        <v>3588</v>
      </c>
      <c r="AB1465" t="s">
        <v>3588</v>
      </c>
      <c r="AC1465" t="s">
        <v>3584</v>
      </c>
      <c r="AD1465" t="s">
        <v>3479</v>
      </c>
      <c r="AE1465" t="s">
        <v>3475</v>
      </c>
      <c r="AF1465" s="2">
        <v>1000.4375</v>
      </c>
      <c r="AG1465" s="2">
        <v>605.64919999999995</v>
      </c>
      <c r="AH1465" s="2">
        <v>394.78829999999999</v>
      </c>
      <c r="AI1465" s="3">
        <v>0.39461565565065299</v>
      </c>
    </row>
    <row r="1466" spans="1:35">
      <c r="A1466" s="1">
        <v>42326</v>
      </c>
      <c r="B1466" s="1">
        <v>37491</v>
      </c>
      <c r="C1466" t="s">
        <v>5807</v>
      </c>
      <c r="D1466">
        <v>330</v>
      </c>
      <c r="E1466">
        <v>19292</v>
      </c>
      <c r="F1466">
        <v>7</v>
      </c>
      <c r="G1466">
        <v>1</v>
      </c>
      <c r="H1466">
        <v>1</v>
      </c>
      <c r="I1466">
        <v>2</v>
      </c>
      <c r="J1466" t="s">
        <v>3505</v>
      </c>
      <c r="K1466" t="s">
        <v>3506</v>
      </c>
      <c r="L1466" s="2">
        <v>413.1463</v>
      </c>
      <c r="M1466" s="2">
        <v>699.09820000000002</v>
      </c>
      <c r="N1466" t="s">
        <v>13</v>
      </c>
      <c r="O1466" t="s">
        <v>420</v>
      </c>
      <c r="P1466" t="s">
        <v>212</v>
      </c>
      <c r="Q1466" t="s">
        <v>7795</v>
      </c>
      <c r="R1466" s="1">
        <v>25909</v>
      </c>
      <c r="S1466" t="s">
        <v>16</v>
      </c>
      <c r="T1466" t="s">
        <v>16</v>
      </c>
      <c r="U1466" t="s">
        <v>2282</v>
      </c>
      <c r="V1466">
        <v>30000</v>
      </c>
      <c r="W1466">
        <v>0</v>
      </c>
      <c r="X1466" t="s">
        <v>17</v>
      </c>
      <c r="Y1466" t="s">
        <v>60</v>
      </c>
      <c r="Z1466" t="s">
        <v>19</v>
      </c>
      <c r="AA1466" t="s">
        <v>3583</v>
      </c>
      <c r="AB1466" t="s">
        <v>3583</v>
      </c>
      <c r="AC1466" t="s">
        <v>3584</v>
      </c>
      <c r="AD1466" t="s">
        <v>3479</v>
      </c>
      <c r="AE1466" t="s">
        <v>3475</v>
      </c>
      <c r="AF1466" s="2">
        <v>699.09820000000002</v>
      </c>
      <c r="AG1466" s="2">
        <v>413.1463</v>
      </c>
      <c r="AH1466" s="2">
        <v>285.95190000000002</v>
      </c>
      <c r="AI1466" s="3">
        <v>0.409029661355157</v>
      </c>
    </row>
    <row r="1467" spans="1:35">
      <c r="A1467" s="1">
        <v>42363</v>
      </c>
      <c r="B1467" s="1">
        <v>37589</v>
      </c>
      <c r="C1467" t="s">
        <v>6163</v>
      </c>
      <c r="D1467">
        <v>328</v>
      </c>
      <c r="E1467">
        <v>19293</v>
      </c>
      <c r="F1467">
        <v>7</v>
      </c>
      <c r="G1467">
        <v>1</v>
      </c>
      <c r="H1467">
        <v>1</v>
      </c>
      <c r="I1467">
        <v>2</v>
      </c>
      <c r="J1467" t="s">
        <v>3503</v>
      </c>
      <c r="K1467" t="s">
        <v>3504</v>
      </c>
      <c r="L1467" s="2">
        <v>413.1463</v>
      </c>
      <c r="M1467" s="2">
        <v>699.09820000000002</v>
      </c>
      <c r="N1467" t="s">
        <v>26</v>
      </c>
      <c r="O1467" t="s">
        <v>50</v>
      </c>
      <c r="P1467" t="s">
        <v>1169</v>
      </c>
      <c r="Q1467" t="s">
        <v>7796</v>
      </c>
      <c r="R1467" s="1">
        <v>25808</v>
      </c>
      <c r="S1467" t="s">
        <v>16</v>
      </c>
      <c r="T1467" t="s">
        <v>29</v>
      </c>
      <c r="U1467" t="s">
        <v>2283</v>
      </c>
      <c r="V1467">
        <v>30000</v>
      </c>
      <c r="W1467">
        <v>0</v>
      </c>
      <c r="X1467" t="s">
        <v>17</v>
      </c>
      <c r="Y1467" t="s">
        <v>60</v>
      </c>
      <c r="Z1467" t="s">
        <v>19</v>
      </c>
      <c r="AA1467" t="s">
        <v>3583</v>
      </c>
      <c r="AB1467" t="s">
        <v>3583</v>
      </c>
      <c r="AC1467" t="s">
        <v>3584</v>
      </c>
      <c r="AD1467" t="s">
        <v>3479</v>
      </c>
      <c r="AE1467" t="s">
        <v>3475</v>
      </c>
      <c r="AF1467" s="2">
        <v>699.09820000000002</v>
      </c>
      <c r="AG1467" s="2">
        <v>413.1463</v>
      </c>
      <c r="AH1467" s="2">
        <v>285.95190000000002</v>
      </c>
      <c r="AI1467" s="3">
        <v>0.409029661355157</v>
      </c>
    </row>
    <row r="1468" spans="1:35">
      <c r="A1468" s="1">
        <v>42351</v>
      </c>
      <c r="B1468" s="1">
        <v>37543</v>
      </c>
      <c r="C1468" t="s">
        <v>6035</v>
      </c>
      <c r="D1468">
        <v>338</v>
      </c>
      <c r="E1468">
        <v>19295</v>
      </c>
      <c r="F1468">
        <v>7</v>
      </c>
      <c r="G1468">
        <v>1</v>
      </c>
      <c r="H1468">
        <v>1</v>
      </c>
      <c r="I1468">
        <v>2</v>
      </c>
      <c r="J1468" t="s">
        <v>3513</v>
      </c>
      <c r="K1468" t="s">
        <v>3514</v>
      </c>
      <c r="L1468" s="2">
        <v>413.1463</v>
      </c>
      <c r="M1468" s="2">
        <v>699.09820000000002</v>
      </c>
      <c r="N1468" t="s">
        <v>30</v>
      </c>
      <c r="O1468" t="s">
        <v>372</v>
      </c>
      <c r="P1468" t="s">
        <v>598</v>
      </c>
      <c r="Q1468" t="s">
        <v>7797</v>
      </c>
      <c r="R1468" s="1">
        <v>25410</v>
      </c>
      <c r="S1468" t="s">
        <v>22</v>
      </c>
      <c r="T1468" t="s">
        <v>29</v>
      </c>
      <c r="U1468" t="s">
        <v>2284</v>
      </c>
      <c r="V1468">
        <v>10000</v>
      </c>
      <c r="W1468">
        <v>2</v>
      </c>
      <c r="X1468" t="s">
        <v>57</v>
      </c>
      <c r="Y1468" t="s">
        <v>444</v>
      </c>
      <c r="Z1468" t="s">
        <v>19</v>
      </c>
      <c r="AA1468" t="s">
        <v>3583</v>
      </c>
      <c r="AB1468" t="s">
        <v>3583</v>
      </c>
      <c r="AC1468" t="s">
        <v>3584</v>
      </c>
      <c r="AD1468" t="s">
        <v>3479</v>
      </c>
      <c r="AE1468" t="s">
        <v>3475</v>
      </c>
      <c r="AF1468" s="2">
        <v>699.09820000000002</v>
      </c>
      <c r="AG1468" s="2">
        <v>413.1463</v>
      </c>
      <c r="AH1468" s="2">
        <v>285.95190000000002</v>
      </c>
      <c r="AI1468" s="3">
        <v>0.409029661355157</v>
      </c>
    </row>
    <row r="1469" spans="1:35">
      <c r="A1469" s="1">
        <v>42354</v>
      </c>
      <c r="B1469" s="1">
        <v>37493</v>
      </c>
      <c r="C1469" t="s">
        <v>6067</v>
      </c>
      <c r="D1469">
        <v>326</v>
      </c>
      <c r="E1469">
        <v>19296</v>
      </c>
      <c r="F1469">
        <v>7</v>
      </c>
      <c r="G1469">
        <v>1</v>
      </c>
      <c r="H1469">
        <v>1</v>
      </c>
      <c r="I1469">
        <v>2</v>
      </c>
      <c r="J1469" t="s">
        <v>3501</v>
      </c>
      <c r="K1469" t="s">
        <v>3502</v>
      </c>
      <c r="L1469" s="2">
        <v>413.1463</v>
      </c>
      <c r="M1469" s="2">
        <v>699.09820000000002</v>
      </c>
      <c r="N1469" t="s">
        <v>13</v>
      </c>
      <c r="O1469" t="s">
        <v>1089</v>
      </c>
      <c r="P1469" t="s">
        <v>122</v>
      </c>
      <c r="Q1469" t="s">
        <v>7798</v>
      </c>
      <c r="R1469" s="1">
        <v>25207</v>
      </c>
      <c r="S1469" t="s">
        <v>22</v>
      </c>
      <c r="T1469" t="s">
        <v>16</v>
      </c>
      <c r="U1469" t="s">
        <v>2285</v>
      </c>
      <c r="V1469">
        <v>20000</v>
      </c>
      <c r="W1469">
        <v>0</v>
      </c>
      <c r="X1469" t="s">
        <v>52</v>
      </c>
      <c r="Y1469" t="s">
        <v>444</v>
      </c>
      <c r="Z1469" t="s">
        <v>23</v>
      </c>
      <c r="AA1469" t="s">
        <v>3583</v>
      </c>
      <c r="AB1469" t="s">
        <v>3583</v>
      </c>
      <c r="AC1469" t="s">
        <v>3584</v>
      </c>
      <c r="AD1469" t="s">
        <v>3479</v>
      </c>
      <c r="AE1469" t="s">
        <v>3475</v>
      </c>
      <c r="AF1469" s="2">
        <v>699.09820000000002</v>
      </c>
      <c r="AG1469" s="2">
        <v>413.1463</v>
      </c>
      <c r="AH1469" s="2">
        <v>285.95190000000002</v>
      </c>
      <c r="AI1469" s="3">
        <v>0.409029661355157</v>
      </c>
    </row>
    <row r="1470" spans="1:35">
      <c r="A1470" s="1">
        <v>42341</v>
      </c>
      <c r="B1470" s="1">
        <v>37505</v>
      </c>
      <c r="C1470" t="s">
        <v>5921</v>
      </c>
      <c r="D1470">
        <v>340</v>
      </c>
      <c r="E1470">
        <v>19297</v>
      </c>
      <c r="F1470">
        <v>7</v>
      </c>
      <c r="G1470">
        <v>1</v>
      </c>
      <c r="H1470">
        <v>1</v>
      </c>
      <c r="I1470">
        <v>2</v>
      </c>
      <c r="J1470" t="s">
        <v>3515</v>
      </c>
      <c r="K1470" t="s">
        <v>3516</v>
      </c>
      <c r="L1470" s="2">
        <v>413.1463</v>
      </c>
      <c r="M1470" s="2">
        <v>699.09820000000002</v>
      </c>
      <c r="N1470" t="s">
        <v>13</v>
      </c>
      <c r="O1470" t="s">
        <v>191</v>
      </c>
      <c r="P1470" t="s">
        <v>72</v>
      </c>
      <c r="Q1470" t="s">
        <v>7799</v>
      </c>
      <c r="R1470" s="1">
        <v>25436</v>
      </c>
      <c r="S1470" t="s">
        <v>22</v>
      </c>
      <c r="T1470" t="s">
        <v>16</v>
      </c>
      <c r="U1470" t="s">
        <v>2286</v>
      </c>
      <c r="V1470">
        <v>30000</v>
      </c>
      <c r="W1470">
        <v>0</v>
      </c>
      <c r="X1470" t="s">
        <v>17</v>
      </c>
      <c r="Y1470" t="s">
        <v>60</v>
      </c>
      <c r="Z1470" t="s">
        <v>19</v>
      </c>
      <c r="AA1470" t="s">
        <v>3583</v>
      </c>
      <c r="AB1470" t="s">
        <v>3583</v>
      </c>
      <c r="AC1470" t="s">
        <v>3584</v>
      </c>
      <c r="AD1470" t="s">
        <v>3479</v>
      </c>
      <c r="AE1470" t="s">
        <v>3475</v>
      </c>
      <c r="AF1470" s="2">
        <v>699.09820000000002</v>
      </c>
      <c r="AG1470" s="2">
        <v>413.1463</v>
      </c>
      <c r="AH1470" s="2">
        <v>285.95190000000002</v>
      </c>
      <c r="AI1470" s="3">
        <v>0.409029661355157</v>
      </c>
    </row>
    <row r="1471" spans="1:35">
      <c r="A1471" s="1">
        <v>42256</v>
      </c>
      <c r="B1471" s="1">
        <v>37481</v>
      </c>
      <c r="C1471" t="s">
        <v>5331</v>
      </c>
      <c r="D1471">
        <v>383</v>
      </c>
      <c r="E1471">
        <v>19299</v>
      </c>
      <c r="F1471">
        <v>10</v>
      </c>
      <c r="G1471">
        <v>1</v>
      </c>
      <c r="H1471">
        <v>1</v>
      </c>
      <c r="I1471">
        <v>2</v>
      </c>
      <c r="J1471" t="s">
        <v>3565</v>
      </c>
      <c r="K1471" t="s">
        <v>3566</v>
      </c>
      <c r="L1471" s="2">
        <v>605.64919999999995</v>
      </c>
      <c r="M1471" s="2">
        <v>1000.4375</v>
      </c>
      <c r="N1471" t="s">
        <v>26</v>
      </c>
      <c r="O1471" t="s">
        <v>459</v>
      </c>
      <c r="P1471" t="s">
        <v>1161</v>
      </c>
      <c r="Q1471" t="s">
        <v>7800</v>
      </c>
      <c r="R1471" s="1">
        <v>25488</v>
      </c>
      <c r="S1471" t="s">
        <v>16</v>
      </c>
      <c r="T1471" t="s">
        <v>29</v>
      </c>
      <c r="U1471" t="s">
        <v>2287</v>
      </c>
      <c r="V1471">
        <v>50000</v>
      </c>
      <c r="W1471">
        <v>0</v>
      </c>
      <c r="X1471" t="s">
        <v>135</v>
      </c>
      <c r="Y1471" t="s">
        <v>53</v>
      </c>
      <c r="Z1471" t="s">
        <v>19</v>
      </c>
      <c r="AA1471" t="s">
        <v>3588</v>
      </c>
      <c r="AB1471" t="s">
        <v>3588</v>
      </c>
      <c r="AC1471" t="s">
        <v>3584</v>
      </c>
      <c r="AD1471" t="s">
        <v>3479</v>
      </c>
      <c r="AE1471" t="s">
        <v>3475</v>
      </c>
      <c r="AF1471" s="2">
        <v>1000.4375</v>
      </c>
      <c r="AG1471" s="2">
        <v>605.64919999999995</v>
      </c>
      <c r="AH1471" s="2">
        <v>394.78829999999999</v>
      </c>
      <c r="AI1471" s="3">
        <v>0.39461565565065299</v>
      </c>
    </row>
    <row r="1472" spans="1:35">
      <c r="A1472" s="1">
        <v>42250</v>
      </c>
      <c r="B1472" s="1">
        <v>37383</v>
      </c>
      <c r="C1472" t="s">
        <v>5301</v>
      </c>
      <c r="D1472">
        <v>383</v>
      </c>
      <c r="E1472">
        <v>19301</v>
      </c>
      <c r="F1472">
        <v>10</v>
      </c>
      <c r="G1472">
        <v>1</v>
      </c>
      <c r="H1472">
        <v>1</v>
      </c>
      <c r="I1472">
        <v>2</v>
      </c>
      <c r="J1472" t="s">
        <v>3565</v>
      </c>
      <c r="K1472" t="s">
        <v>3566</v>
      </c>
      <c r="L1472" s="2">
        <v>605.64919999999995</v>
      </c>
      <c r="M1472" s="2">
        <v>1000.4375</v>
      </c>
      <c r="N1472" t="s">
        <v>30</v>
      </c>
      <c r="O1472" t="s">
        <v>802</v>
      </c>
      <c r="P1472" t="s">
        <v>210</v>
      </c>
      <c r="Q1472" t="s">
        <v>7801</v>
      </c>
      <c r="R1472" s="1">
        <v>19054</v>
      </c>
      <c r="S1472" t="s">
        <v>16</v>
      </c>
      <c r="T1472" t="s">
        <v>29</v>
      </c>
      <c r="U1472" t="s">
        <v>2288</v>
      </c>
      <c r="V1472">
        <v>20000</v>
      </c>
      <c r="W1472">
        <v>2</v>
      </c>
      <c r="X1472" t="s">
        <v>52</v>
      </c>
      <c r="Y1472" t="s">
        <v>444</v>
      </c>
      <c r="Z1472" t="s">
        <v>19</v>
      </c>
      <c r="AA1472" t="s">
        <v>3588</v>
      </c>
      <c r="AB1472" t="s">
        <v>3588</v>
      </c>
      <c r="AC1472" t="s">
        <v>3584</v>
      </c>
      <c r="AD1472" t="s">
        <v>3479</v>
      </c>
      <c r="AE1472" t="s">
        <v>3475</v>
      </c>
      <c r="AF1472" s="2">
        <v>1000.4375</v>
      </c>
      <c r="AG1472" s="2">
        <v>605.64919999999995</v>
      </c>
      <c r="AH1472" s="2">
        <v>394.78829999999999</v>
      </c>
      <c r="AI1472" s="3">
        <v>0.39461565565065299</v>
      </c>
    </row>
    <row r="1473" spans="1:35">
      <c r="A1473" s="1">
        <v>42296</v>
      </c>
      <c r="B1473" s="1">
        <v>37491</v>
      </c>
      <c r="C1473" t="s">
        <v>5609</v>
      </c>
      <c r="D1473">
        <v>385</v>
      </c>
      <c r="E1473">
        <v>19302</v>
      </c>
      <c r="F1473">
        <v>10</v>
      </c>
      <c r="G1473">
        <v>1</v>
      </c>
      <c r="H1473">
        <v>1</v>
      </c>
      <c r="I1473">
        <v>2</v>
      </c>
      <c r="J1473" t="s">
        <v>3567</v>
      </c>
      <c r="K1473" t="s">
        <v>3568</v>
      </c>
      <c r="L1473" s="2">
        <v>605.64919999999995</v>
      </c>
      <c r="M1473" s="2">
        <v>1000.4375</v>
      </c>
      <c r="N1473" t="s">
        <v>13</v>
      </c>
      <c r="O1473" t="s">
        <v>1087</v>
      </c>
      <c r="P1473" t="s">
        <v>72</v>
      </c>
      <c r="Q1473" t="s">
        <v>7802</v>
      </c>
      <c r="R1473" s="1">
        <v>18851</v>
      </c>
      <c r="S1473" t="s">
        <v>22</v>
      </c>
      <c r="T1473" t="s">
        <v>16</v>
      </c>
      <c r="U1473" t="s">
        <v>2289</v>
      </c>
      <c r="V1473">
        <v>10000</v>
      </c>
      <c r="W1473">
        <v>3</v>
      </c>
      <c r="X1473" t="s">
        <v>52</v>
      </c>
      <c r="Y1473" t="s">
        <v>444</v>
      </c>
      <c r="Z1473" t="s">
        <v>19</v>
      </c>
      <c r="AA1473" t="s">
        <v>3588</v>
      </c>
      <c r="AB1473" t="s">
        <v>3588</v>
      </c>
      <c r="AC1473" t="s">
        <v>3584</v>
      </c>
      <c r="AD1473" t="s">
        <v>3479</v>
      </c>
      <c r="AE1473" t="s">
        <v>3475</v>
      </c>
      <c r="AF1473" s="2">
        <v>1000.4375</v>
      </c>
      <c r="AG1473" s="2">
        <v>605.64919999999995</v>
      </c>
      <c r="AH1473" s="2">
        <v>394.78829999999999</v>
      </c>
      <c r="AI1473" s="3">
        <v>0.39461565565065299</v>
      </c>
    </row>
    <row r="1474" spans="1:35">
      <c r="A1474" s="1">
        <v>42297</v>
      </c>
      <c r="B1474" s="1">
        <v>37522</v>
      </c>
      <c r="C1474" t="s">
        <v>5620</v>
      </c>
      <c r="D1474">
        <v>383</v>
      </c>
      <c r="E1474">
        <v>19305</v>
      </c>
      <c r="F1474">
        <v>10</v>
      </c>
      <c r="G1474">
        <v>1</v>
      </c>
      <c r="H1474">
        <v>1</v>
      </c>
      <c r="I1474">
        <v>2</v>
      </c>
      <c r="J1474" t="s">
        <v>3565</v>
      </c>
      <c r="K1474" t="s">
        <v>3566</v>
      </c>
      <c r="L1474" s="2">
        <v>605.64919999999995</v>
      </c>
      <c r="M1474" s="2">
        <v>1000.4375</v>
      </c>
      <c r="N1474" t="s">
        <v>30</v>
      </c>
      <c r="O1474" t="s">
        <v>687</v>
      </c>
      <c r="P1474" t="s">
        <v>51</v>
      </c>
      <c r="Q1474" t="s">
        <v>7803</v>
      </c>
      <c r="R1474" s="1">
        <v>24890</v>
      </c>
      <c r="S1474" t="s">
        <v>22</v>
      </c>
      <c r="T1474" t="s">
        <v>29</v>
      </c>
      <c r="U1474" t="s">
        <v>2290</v>
      </c>
      <c r="V1474">
        <v>10000</v>
      </c>
      <c r="W1474">
        <v>2</v>
      </c>
      <c r="X1474" t="s">
        <v>57</v>
      </c>
      <c r="Y1474" t="s">
        <v>444</v>
      </c>
      <c r="Z1474" t="s">
        <v>19</v>
      </c>
      <c r="AA1474" t="s">
        <v>3588</v>
      </c>
      <c r="AB1474" t="s">
        <v>3588</v>
      </c>
      <c r="AC1474" t="s">
        <v>3584</v>
      </c>
      <c r="AD1474" t="s">
        <v>3479</v>
      </c>
      <c r="AE1474" t="s">
        <v>3475</v>
      </c>
      <c r="AF1474" s="2">
        <v>1000.4375</v>
      </c>
      <c r="AG1474" s="2">
        <v>605.64919999999995</v>
      </c>
      <c r="AH1474" s="2">
        <v>394.78829999999999</v>
      </c>
      <c r="AI1474" s="3">
        <v>0.39461565565065299</v>
      </c>
    </row>
    <row r="1475" spans="1:35">
      <c r="A1475" s="1">
        <v>42292</v>
      </c>
      <c r="B1475" s="1">
        <v>37524</v>
      </c>
      <c r="C1475" t="s">
        <v>5581</v>
      </c>
      <c r="D1475">
        <v>383</v>
      </c>
      <c r="E1475">
        <v>19308</v>
      </c>
      <c r="F1475">
        <v>10</v>
      </c>
      <c r="G1475">
        <v>1</v>
      </c>
      <c r="H1475">
        <v>1</v>
      </c>
      <c r="I1475">
        <v>2</v>
      </c>
      <c r="J1475" t="s">
        <v>3565</v>
      </c>
      <c r="K1475" t="s">
        <v>3566</v>
      </c>
      <c r="L1475" s="2">
        <v>605.64919999999995</v>
      </c>
      <c r="M1475" s="2">
        <v>1000.4375</v>
      </c>
      <c r="N1475" t="s">
        <v>30</v>
      </c>
      <c r="O1475" t="s">
        <v>158</v>
      </c>
      <c r="P1475" t="s">
        <v>59</v>
      </c>
      <c r="Q1475" t="s">
        <v>7804</v>
      </c>
      <c r="R1475" s="1">
        <v>24946</v>
      </c>
      <c r="S1475" t="s">
        <v>16</v>
      </c>
      <c r="T1475" t="s">
        <v>29</v>
      </c>
      <c r="U1475" t="s">
        <v>2291</v>
      </c>
      <c r="V1475">
        <v>30000</v>
      </c>
      <c r="W1475">
        <v>1</v>
      </c>
      <c r="X1475" t="s">
        <v>17</v>
      </c>
      <c r="Y1475" t="s">
        <v>60</v>
      </c>
      <c r="Z1475" t="s">
        <v>19</v>
      </c>
      <c r="AA1475" t="s">
        <v>3588</v>
      </c>
      <c r="AB1475" t="s">
        <v>3588</v>
      </c>
      <c r="AC1475" t="s">
        <v>3584</v>
      </c>
      <c r="AD1475" t="s">
        <v>3479</v>
      </c>
      <c r="AE1475" t="s">
        <v>3475</v>
      </c>
      <c r="AF1475" s="2">
        <v>1000.4375</v>
      </c>
      <c r="AG1475" s="2">
        <v>605.64919999999995</v>
      </c>
      <c r="AH1475" s="2">
        <v>394.78829999999999</v>
      </c>
      <c r="AI1475" s="3">
        <v>0.39461565565065299</v>
      </c>
    </row>
    <row r="1476" spans="1:35">
      <c r="A1476" s="1">
        <v>42343</v>
      </c>
      <c r="B1476" s="1">
        <v>37527</v>
      </c>
      <c r="C1476" t="s">
        <v>5942</v>
      </c>
      <c r="D1476">
        <v>336</v>
      </c>
      <c r="E1476">
        <v>19309</v>
      </c>
      <c r="F1476">
        <v>7</v>
      </c>
      <c r="G1476">
        <v>1</v>
      </c>
      <c r="H1476">
        <v>1</v>
      </c>
      <c r="I1476">
        <v>2</v>
      </c>
      <c r="J1476" t="s">
        <v>3511</v>
      </c>
      <c r="K1476" t="s">
        <v>3512</v>
      </c>
      <c r="L1476" s="2">
        <v>413.1463</v>
      </c>
      <c r="M1476" s="2">
        <v>699.09820000000002</v>
      </c>
      <c r="N1476" t="s">
        <v>13</v>
      </c>
      <c r="O1476" t="s">
        <v>448</v>
      </c>
      <c r="P1476" t="s">
        <v>40</v>
      </c>
      <c r="Q1476" t="s">
        <v>7805</v>
      </c>
      <c r="R1476" s="1">
        <v>25164</v>
      </c>
      <c r="S1476" t="s">
        <v>16</v>
      </c>
      <c r="T1476" t="s">
        <v>16</v>
      </c>
      <c r="U1476" t="s">
        <v>2292</v>
      </c>
      <c r="V1476">
        <v>30000</v>
      </c>
      <c r="W1476">
        <v>1</v>
      </c>
      <c r="X1476" t="s">
        <v>17</v>
      </c>
      <c r="Y1476" t="s">
        <v>60</v>
      </c>
      <c r="Z1476" t="s">
        <v>19</v>
      </c>
      <c r="AA1476" t="s">
        <v>3583</v>
      </c>
      <c r="AB1476" t="s">
        <v>3583</v>
      </c>
      <c r="AC1476" t="s">
        <v>3584</v>
      </c>
      <c r="AD1476" t="s">
        <v>3479</v>
      </c>
      <c r="AE1476" t="s">
        <v>3475</v>
      </c>
      <c r="AF1476" s="2">
        <v>699.09820000000002</v>
      </c>
      <c r="AG1476" s="2">
        <v>413.1463</v>
      </c>
      <c r="AH1476" s="2">
        <v>285.95190000000002</v>
      </c>
      <c r="AI1476" s="3">
        <v>0.409029661355157</v>
      </c>
    </row>
    <row r="1477" spans="1:35">
      <c r="A1477" s="1">
        <v>42340</v>
      </c>
      <c r="B1477" s="1">
        <v>37507</v>
      </c>
      <c r="C1477" t="s">
        <v>5913</v>
      </c>
      <c r="D1477">
        <v>342</v>
      </c>
      <c r="E1477">
        <v>19310</v>
      </c>
      <c r="F1477">
        <v>7</v>
      </c>
      <c r="G1477">
        <v>1</v>
      </c>
      <c r="H1477">
        <v>1</v>
      </c>
      <c r="I1477">
        <v>2</v>
      </c>
      <c r="J1477" t="s">
        <v>3517</v>
      </c>
      <c r="K1477" t="s">
        <v>3518</v>
      </c>
      <c r="L1477" s="2">
        <v>413.1463</v>
      </c>
      <c r="M1477" s="2">
        <v>699.09820000000002</v>
      </c>
      <c r="N1477" t="s">
        <v>26</v>
      </c>
      <c r="O1477" t="s">
        <v>1300</v>
      </c>
      <c r="P1477" t="s">
        <v>431</v>
      </c>
      <c r="Q1477" t="s">
        <v>7806</v>
      </c>
      <c r="R1477" s="1">
        <v>24944</v>
      </c>
      <c r="S1477" t="s">
        <v>16</v>
      </c>
      <c r="T1477" t="s">
        <v>29</v>
      </c>
      <c r="U1477" t="s">
        <v>2293</v>
      </c>
      <c r="V1477">
        <v>40000</v>
      </c>
      <c r="W1477">
        <v>0</v>
      </c>
      <c r="X1477" t="s">
        <v>135</v>
      </c>
      <c r="Y1477" t="s">
        <v>60</v>
      </c>
      <c r="Z1477" t="s">
        <v>19</v>
      </c>
      <c r="AA1477" t="s">
        <v>3583</v>
      </c>
      <c r="AB1477" t="s">
        <v>3583</v>
      </c>
      <c r="AC1477" t="s">
        <v>3584</v>
      </c>
      <c r="AD1477" t="s">
        <v>3479</v>
      </c>
      <c r="AE1477" t="s">
        <v>3475</v>
      </c>
      <c r="AF1477" s="2">
        <v>699.09820000000002</v>
      </c>
      <c r="AG1477" s="2">
        <v>413.1463</v>
      </c>
      <c r="AH1477" s="2">
        <v>285.95190000000002</v>
      </c>
      <c r="AI1477" s="3">
        <v>0.409029661355157</v>
      </c>
    </row>
    <row r="1478" spans="1:35">
      <c r="A1478" s="1">
        <v>42314</v>
      </c>
      <c r="B1478" s="1">
        <v>37493</v>
      </c>
      <c r="C1478" t="s">
        <v>5736</v>
      </c>
      <c r="D1478">
        <v>381</v>
      </c>
      <c r="E1478">
        <v>19312</v>
      </c>
      <c r="F1478">
        <v>10</v>
      </c>
      <c r="G1478">
        <v>1</v>
      </c>
      <c r="H1478">
        <v>1</v>
      </c>
      <c r="I1478">
        <v>2</v>
      </c>
      <c r="J1478" t="s">
        <v>3563</v>
      </c>
      <c r="K1478" t="s">
        <v>3564</v>
      </c>
      <c r="L1478" s="2">
        <v>605.64919999999995</v>
      </c>
      <c r="M1478" s="2">
        <v>1000.4375</v>
      </c>
      <c r="N1478" t="s">
        <v>26</v>
      </c>
      <c r="O1478" t="s">
        <v>1585</v>
      </c>
      <c r="P1478" t="s">
        <v>122</v>
      </c>
      <c r="Q1478" t="s">
        <v>7807</v>
      </c>
      <c r="R1478" s="1">
        <v>24856</v>
      </c>
      <c r="S1478" t="s">
        <v>16</v>
      </c>
      <c r="T1478" t="s">
        <v>29</v>
      </c>
      <c r="U1478" t="s">
        <v>2294</v>
      </c>
      <c r="V1478">
        <v>40000</v>
      </c>
      <c r="W1478">
        <v>0</v>
      </c>
      <c r="X1478" t="s">
        <v>17</v>
      </c>
      <c r="Y1478" t="s">
        <v>60</v>
      </c>
      <c r="Z1478" t="s">
        <v>19</v>
      </c>
      <c r="AA1478" t="s">
        <v>3588</v>
      </c>
      <c r="AB1478" t="s">
        <v>3588</v>
      </c>
      <c r="AC1478" t="s">
        <v>3584</v>
      </c>
      <c r="AD1478" t="s">
        <v>3479</v>
      </c>
      <c r="AE1478" t="s">
        <v>3475</v>
      </c>
      <c r="AF1478" s="2">
        <v>1000.4375</v>
      </c>
      <c r="AG1478" s="2">
        <v>605.64919999999995</v>
      </c>
      <c r="AH1478" s="2">
        <v>394.78829999999999</v>
      </c>
      <c r="AI1478" s="3">
        <v>0.39461565565065299</v>
      </c>
    </row>
    <row r="1479" spans="1:35">
      <c r="A1479" s="1">
        <v>42367</v>
      </c>
      <c r="B1479" s="1">
        <v>37600</v>
      </c>
      <c r="C1479" t="s">
        <v>6198</v>
      </c>
      <c r="D1479">
        <v>326</v>
      </c>
      <c r="E1479">
        <v>19313</v>
      </c>
      <c r="F1479">
        <v>7</v>
      </c>
      <c r="G1479">
        <v>1</v>
      </c>
      <c r="H1479">
        <v>1</v>
      </c>
      <c r="I1479">
        <v>2</v>
      </c>
      <c r="J1479" t="s">
        <v>3501</v>
      </c>
      <c r="K1479" t="s">
        <v>3502</v>
      </c>
      <c r="L1479" s="2">
        <v>413.1463</v>
      </c>
      <c r="M1479" s="2">
        <v>699.09820000000002</v>
      </c>
      <c r="N1479" t="s">
        <v>13</v>
      </c>
      <c r="O1479" t="s">
        <v>327</v>
      </c>
      <c r="P1479" t="s">
        <v>173</v>
      </c>
      <c r="Q1479" t="s">
        <v>7808</v>
      </c>
      <c r="R1479" s="1">
        <v>24542</v>
      </c>
      <c r="S1479" t="s">
        <v>22</v>
      </c>
      <c r="T1479" t="s">
        <v>16</v>
      </c>
      <c r="U1479" t="s">
        <v>2295</v>
      </c>
      <c r="V1479">
        <v>10000</v>
      </c>
      <c r="W1479">
        <v>3</v>
      </c>
      <c r="X1479" t="s">
        <v>57</v>
      </c>
      <c r="Y1479" t="s">
        <v>444</v>
      </c>
      <c r="Z1479" t="s">
        <v>19</v>
      </c>
      <c r="AA1479" t="s">
        <v>3583</v>
      </c>
      <c r="AB1479" t="s">
        <v>3583</v>
      </c>
      <c r="AC1479" t="s">
        <v>3584</v>
      </c>
      <c r="AD1479" t="s">
        <v>3479</v>
      </c>
      <c r="AE1479" t="s">
        <v>3475</v>
      </c>
      <c r="AF1479" s="2">
        <v>699.09820000000002</v>
      </c>
      <c r="AG1479" s="2">
        <v>413.1463</v>
      </c>
      <c r="AH1479" s="2">
        <v>285.95190000000002</v>
      </c>
      <c r="AI1479" s="3">
        <v>0.409029661355157</v>
      </c>
    </row>
    <row r="1480" spans="1:35">
      <c r="A1480" s="1">
        <v>42352</v>
      </c>
      <c r="B1480" s="1">
        <v>37529</v>
      </c>
      <c r="C1480" t="s">
        <v>6045</v>
      </c>
      <c r="D1480">
        <v>326</v>
      </c>
      <c r="E1480">
        <v>19315</v>
      </c>
      <c r="F1480">
        <v>7</v>
      </c>
      <c r="G1480">
        <v>1</v>
      </c>
      <c r="H1480">
        <v>1</v>
      </c>
      <c r="I1480">
        <v>2</v>
      </c>
      <c r="J1480" t="s">
        <v>3501</v>
      </c>
      <c r="K1480" t="s">
        <v>3502</v>
      </c>
      <c r="L1480" s="2">
        <v>413.1463</v>
      </c>
      <c r="M1480" s="2">
        <v>699.09820000000002</v>
      </c>
      <c r="N1480" t="s">
        <v>13</v>
      </c>
      <c r="O1480" t="s">
        <v>1320</v>
      </c>
      <c r="P1480" t="s">
        <v>664</v>
      </c>
      <c r="Q1480" t="s">
        <v>7809</v>
      </c>
      <c r="R1480" s="1">
        <v>24718</v>
      </c>
      <c r="S1480" t="s">
        <v>22</v>
      </c>
      <c r="T1480" t="s">
        <v>16</v>
      </c>
      <c r="U1480" t="s">
        <v>2296</v>
      </c>
      <c r="V1480">
        <v>20000</v>
      </c>
      <c r="W1480">
        <v>1</v>
      </c>
      <c r="X1480" t="s">
        <v>52</v>
      </c>
      <c r="Y1480" t="s">
        <v>444</v>
      </c>
      <c r="Z1480" t="s">
        <v>23</v>
      </c>
      <c r="AA1480" t="s">
        <v>3583</v>
      </c>
      <c r="AB1480" t="s">
        <v>3583</v>
      </c>
      <c r="AC1480" t="s">
        <v>3584</v>
      </c>
      <c r="AD1480" t="s">
        <v>3479</v>
      </c>
      <c r="AE1480" t="s">
        <v>3475</v>
      </c>
      <c r="AF1480" s="2">
        <v>699.09820000000002</v>
      </c>
      <c r="AG1480" s="2">
        <v>413.1463</v>
      </c>
      <c r="AH1480" s="2">
        <v>285.95190000000002</v>
      </c>
      <c r="AI1480" s="3">
        <v>0.409029661355157</v>
      </c>
    </row>
    <row r="1481" spans="1:35">
      <c r="A1481" s="1">
        <v>42320</v>
      </c>
      <c r="B1481" s="1">
        <v>37469</v>
      </c>
      <c r="C1481" t="s">
        <v>5777</v>
      </c>
      <c r="D1481">
        <v>389</v>
      </c>
      <c r="E1481">
        <v>19322</v>
      </c>
      <c r="F1481">
        <v>10</v>
      </c>
      <c r="G1481">
        <v>1</v>
      </c>
      <c r="H1481">
        <v>1</v>
      </c>
      <c r="I1481">
        <v>2</v>
      </c>
      <c r="J1481" t="s">
        <v>3571</v>
      </c>
      <c r="K1481" t="s">
        <v>3572</v>
      </c>
      <c r="L1481" s="2">
        <v>605.64919999999995</v>
      </c>
      <c r="M1481" s="2">
        <v>1000.4375</v>
      </c>
      <c r="N1481" t="s">
        <v>13</v>
      </c>
      <c r="O1481" t="s">
        <v>931</v>
      </c>
      <c r="P1481" t="s">
        <v>317</v>
      </c>
      <c r="Q1481" t="s">
        <v>7810</v>
      </c>
      <c r="R1481" s="1">
        <v>24214</v>
      </c>
      <c r="S1481" t="s">
        <v>22</v>
      </c>
      <c r="T1481" t="s">
        <v>16</v>
      </c>
      <c r="U1481" t="s">
        <v>2297</v>
      </c>
      <c r="V1481">
        <v>20000</v>
      </c>
      <c r="W1481">
        <v>1</v>
      </c>
      <c r="X1481" t="s">
        <v>57</v>
      </c>
      <c r="Y1481" t="s">
        <v>444</v>
      </c>
      <c r="Z1481" t="s">
        <v>23</v>
      </c>
      <c r="AA1481" t="s">
        <v>3588</v>
      </c>
      <c r="AB1481" t="s">
        <v>3588</v>
      </c>
      <c r="AC1481" t="s">
        <v>3584</v>
      </c>
      <c r="AD1481" t="s">
        <v>3479</v>
      </c>
      <c r="AE1481" t="s">
        <v>3475</v>
      </c>
      <c r="AF1481" s="2">
        <v>1000.4375</v>
      </c>
      <c r="AG1481" s="2">
        <v>605.64919999999995</v>
      </c>
      <c r="AH1481" s="2">
        <v>394.78829999999999</v>
      </c>
      <c r="AI1481" s="3">
        <v>0.39461565565065299</v>
      </c>
    </row>
    <row r="1482" spans="1:35">
      <c r="A1482" s="1">
        <v>42350</v>
      </c>
      <c r="B1482" s="1">
        <v>37578</v>
      </c>
      <c r="C1482" t="s">
        <v>6013</v>
      </c>
      <c r="D1482">
        <v>381</v>
      </c>
      <c r="E1482">
        <v>19337</v>
      </c>
      <c r="F1482">
        <v>10</v>
      </c>
      <c r="G1482">
        <v>1</v>
      </c>
      <c r="H1482">
        <v>1</v>
      </c>
      <c r="I1482">
        <v>2</v>
      </c>
      <c r="J1482" t="s">
        <v>3563</v>
      </c>
      <c r="K1482" t="s">
        <v>3564</v>
      </c>
      <c r="L1482" s="2">
        <v>605.64919999999995</v>
      </c>
      <c r="M1482" s="2">
        <v>1000.4375</v>
      </c>
      <c r="N1482" t="s">
        <v>30</v>
      </c>
      <c r="O1482" t="s">
        <v>502</v>
      </c>
      <c r="P1482" t="s">
        <v>159</v>
      </c>
      <c r="Q1482" t="s">
        <v>7811</v>
      </c>
      <c r="R1482" s="1">
        <v>23726</v>
      </c>
      <c r="S1482" t="s">
        <v>22</v>
      </c>
      <c r="T1482" t="s">
        <v>29</v>
      </c>
      <c r="U1482" t="s">
        <v>2298</v>
      </c>
      <c r="V1482">
        <v>20000</v>
      </c>
      <c r="W1482">
        <v>3</v>
      </c>
      <c r="X1482" t="s">
        <v>57</v>
      </c>
      <c r="Y1482" t="s">
        <v>444</v>
      </c>
      <c r="Z1482" t="s">
        <v>19</v>
      </c>
      <c r="AA1482" t="s">
        <v>3588</v>
      </c>
      <c r="AB1482" t="s">
        <v>3588</v>
      </c>
      <c r="AC1482" t="s">
        <v>3584</v>
      </c>
      <c r="AD1482" t="s">
        <v>3479</v>
      </c>
      <c r="AE1482" t="s">
        <v>3475</v>
      </c>
      <c r="AF1482" s="2">
        <v>1000.4375</v>
      </c>
      <c r="AG1482" s="2">
        <v>605.64919999999995</v>
      </c>
      <c r="AH1482" s="2">
        <v>394.78829999999999</v>
      </c>
      <c r="AI1482" s="3">
        <v>0.39461565565065299</v>
      </c>
    </row>
    <row r="1483" spans="1:35">
      <c r="A1483" s="1">
        <v>42363</v>
      </c>
      <c r="B1483" s="1">
        <v>37554</v>
      </c>
      <c r="C1483" t="s">
        <v>6164</v>
      </c>
      <c r="D1483">
        <v>389</v>
      </c>
      <c r="E1483">
        <v>19341</v>
      </c>
      <c r="F1483">
        <v>10</v>
      </c>
      <c r="G1483">
        <v>1</v>
      </c>
      <c r="H1483">
        <v>1</v>
      </c>
      <c r="I1483">
        <v>2</v>
      </c>
      <c r="J1483" t="s">
        <v>3571</v>
      </c>
      <c r="K1483" t="s">
        <v>3572</v>
      </c>
      <c r="L1483" s="2">
        <v>605.64919999999995</v>
      </c>
      <c r="M1483" s="2">
        <v>1000.4375</v>
      </c>
      <c r="N1483" t="s">
        <v>13</v>
      </c>
      <c r="O1483" t="s">
        <v>58</v>
      </c>
      <c r="P1483" t="s">
        <v>21</v>
      </c>
      <c r="Q1483" t="s">
        <v>7812</v>
      </c>
      <c r="R1483" s="1">
        <v>24343</v>
      </c>
      <c r="S1483" t="s">
        <v>16</v>
      </c>
      <c r="T1483" t="s">
        <v>16</v>
      </c>
      <c r="U1483" t="s">
        <v>2299</v>
      </c>
      <c r="V1483">
        <v>40000</v>
      </c>
      <c r="W1483">
        <v>0</v>
      </c>
      <c r="X1483" t="s">
        <v>17</v>
      </c>
      <c r="Y1483" t="s">
        <v>18</v>
      </c>
      <c r="Z1483" t="s">
        <v>19</v>
      </c>
      <c r="AA1483" t="s">
        <v>3588</v>
      </c>
      <c r="AB1483" t="s">
        <v>3588</v>
      </c>
      <c r="AC1483" t="s">
        <v>3584</v>
      </c>
      <c r="AD1483" t="s">
        <v>3479</v>
      </c>
      <c r="AE1483" t="s">
        <v>3475</v>
      </c>
      <c r="AF1483" s="2">
        <v>1000.4375</v>
      </c>
      <c r="AG1483" s="2">
        <v>605.64919999999995</v>
      </c>
      <c r="AH1483" s="2">
        <v>394.78829999999999</v>
      </c>
      <c r="AI1483" s="3">
        <v>0.39461565565065299</v>
      </c>
    </row>
    <row r="1484" spans="1:35">
      <c r="A1484" s="1">
        <v>42367</v>
      </c>
      <c r="B1484" s="1">
        <v>37565</v>
      </c>
      <c r="C1484" t="s">
        <v>6206</v>
      </c>
      <c r="D1484">
        <v>387</v>
      </c>
      <c r="E1484">
        <v>19359</v>
      </c>
      <c r="F1484">
        <v>10</v>
      </c>
      <c r="G1484">
        <v>1</v>
      </c>
      <c r="H1484">
        <v>1</v>
      </c>
      <c r="I1484">
        <v>2</v>
      </c>
      <c r="J1484" t="s">
        <v>3569</v>
      </c>
      <c r="K1484" t="s">
        <v>3570</v>
      </c>
      <c r="L1484" s="2">
        <v>605.64919999999995</v>
      </c>
      <c r="M1484" s="2">
        <v>1000.4375</v>
      </c>
      <c r="N1484" t="s">
        <v>13</v>
      </c>
      <c r="O1484" t="s">
        <v>461</v>
      </c>
      <c r="P1484" t="s">
        <v>248</v>
      </c>
      <c r="Q1484" t="s">
        <v>7813</v>
      </c>
      <c r="R1484" s="1">
        <v>23243</v>
      </c>
      <c r="S1484" t="s">
        <v>16</v>
      </c>
      <c r="T1484" t="s">
        <v>16</v>
      </c>
      <c r="U1484" t="s">
        <v>2300</v>
      </c>
      <c r="V1484">
        <v>40000</v>
      </c>
      <c r="W1484">
        <v>1</v>
      </c>
      <c r="X1484" t="s">
        <v>17</v>
      </c>
      <c r="Y1484" t="s">
        <v>53</v>
      </c>
      <c r="Z1484" t="s">
        <v>19</v>
      </c>
      <c r="AA1484" t="s">
        <v>3588</v>
      </c>
      <c r="AB1484" t="s">
        <v>3588</v>
      </c>
      <c r="AC1484" t="s">
        <v>3584</v>
      </c>
      <c r="AD1484" t="s">
        <v>3479</v>
      </c>
      <c r="AE1484" t="s">
        <v>3475</v>
      </c>
      <c r="AF1484" s="2">
        <v>1000.4375</v>
      </c>
      <c r="AG1484" s="2">
        <v>605.64919999999995</v>
      </c>
      <c r="AH1484" s="2">
        <v>394.78829999999999</v>
      </c>
      <c r="AI1484" s="3">
        <v>0.39461565565065299</v>
      </c>
    </row>
    <row r="1485" spans="1:35">
      <c r="A1485" s="1">
        <v>42358</v>
      </c>
      <c r="B1485" s="1">
        <v>37496</v>
      </c>
      <c r="C1485" t="s">
        <v>6116</v>
      </c>
      <c r="D1485">
        <v>383</v>
      </c>
      <c r="E1485">
        <v>19360</v>
      </c>
      <c r="F1485">
        <v>10</v>
      </c>
      <c r="G1485">
        <v>1</v>
      </c>
      <c r="H1485">
        <v>1</v>
      </c>
      <c r="I1485">
        <v>2</v>
      </c>
      <c r="J1485" t="s">
        <v>3565</v>
      </c>
      <c r="K1485" t="s">
        <v>3566</v>
      </c>
      <c r="L1485" s="2">
        <v>605.64919999999995</v>
      </c>
      <c r="M1485" s="2">
        <v>1000.4375</v>
      </c>
      <c r="N1485" t="s">
        <v>30</v>
      </c>
      <c r="O1485" t="s">
        <v>885</v>
      </c>
      <c r="P1485" t="s">
        <v>101</v>
      </c>
      <c r="Q1485" t="s">
        <v>7814</v>
      </c>
      <c r="R1485" s="1">
        <v>23105</v>
      </c>
      <c r="S1485" t="s">
        <v>16</v>
      </c>
      <c r="T1485" t="s">
        <v>29</v>
      </c>
      <c r="U1485" t="s">
        <v>2301</v>
      </c>
      <c r="V1485">
        <v>40000</v>
      </c>
      <c r="W1485">
        <v>1</v>
      </c>
      <c r="X1485" t="s">
        <v>17</v>
      </c>
      <c r="Y1485" t="s">
        <v>53</v>
      </c>
      <c r="Z1485" t="s">
        <v>19</v>
      </c>
      <c r="AA1485" t="s">
        <v>3588</v>
      </c>
      <c r="AB1485" t="s">
        <v>3588</v>
      </c>
      <c r="AC1485" t="s">
        <v>3584</v>
      </c>
      <c r="AD1485" t="s">
        <v>3479</v>
      </c>
      <c r="AE1485" t="s">
        <v>3475</v>
      </c>
      <c r="AF1485" s="2">
        <v>1000.4375</v>
      </c>
      <c r="AG1485" s="2">
        <v>605.64919999999995</v>
      </c>
      <c r="AH1485" s="2">
        <v>394.78829999999999</v>
      </c>
      <c r="AI1485" s="3">
        <v>0.39461565565065299</v>
      </c>
    </row>
    <row r="1486" spans="1:35">
      <c r="A1486" s="1">
        <v>42341</v>
      </c>
      <c r="B1486" s="1">
        <v>37501</v>
      </c>
      <c r="C1486" t="s">
        <v>5929</v>
      </c>
      <c r="D1486">
        <v>387</v>
      </c>
      <c r="E1486">
        <v>19361</v>
      </c>
      <c r="F1486">
        <v>10</v>
      </c>
      <c r="G1486">
        <v>1</v>
      </c>
      <c r="H1486">
        <v>1</v>
      </c>
      <c r="I1486">
        <v>2</v>
      </c>
      <c r="J1486" t="s">
        <v>3569</v>
      </c>
      <c r="K1486" t="s">
        <v>3570</v>
      </c>
      <c r="L1486" s="2">
        <v>605.64919999999995</v>
      </c>
      <c r="M1486" s="2">
        <v>1000.4375</v>
      </c>
      <c r="N1486" t="s">
        <v>30</v>
      </c>
      <c r="O1486" t="s">
        <v>647</v>
      </c>
      <c r="P1486" t="s">
        <v>470</v>
      </c>
      <c r="Q1486" t="s">
        <v>7815</v>
      </c>
      <c r="R1486" s="1">
        <v>23279</v>
      </c>
      <c r="S1486" t="s">
        <v>16</v>
      </c>
      <c r="T1486" t="s">
        <v>29</v>
      </c>
      <c r="U1486" t="s">
        <v>2302</v>
      </c>
      <c r="V1486">
        <v>40000</v>
      </c>
      <c r="W1486">
        <v>1</v>
      </c>
      <c r="X1486" t="s">
        <v>17</v>
      </c>
      <c r="Y1486" t="s">
        <v>53</v>
      </c>
      <c r="Z1486" t="s">
        <v>19</v>
      </c>
      <c r="AA1486" t="s">
        <v>3588</v>
      </c>
      <c r="AB1486" t="s">
        <v>3588</v>
      </c>
      <c r="AC1486" t="s">
        <v>3584</v>
      </c>
      <c r="AD1486" t="s">
        <v>3479</v>
      </c>
      <c r="AE1486" t="s">
        <v>3475</v>
      </c>
      <c r="AF1486" s="2">
        <v>1000.4375</v>
      </c>
      <c r="AG1486" s="2">
        <v>605.64919999999995</v>
      </c>
      <c r="AH1486" s="2">
        <v>394.78829999999999</v>
      </c>
      <c r="AI1486" s="3">
        <v>0.39461565565065299</v>
      </c>
    </row>
    <row r="1487" spans="1:35">
      <c r="A1487" s="1">
        <v>42348</v>
      </c>
      <c r="B1487" s="1">
        <v>37569</v>
      </c>
      <c r="C1487" t="s">
        <v>5995</v>
      </c>
      <c r="D1487">
        <v>383</v>
      </c>
      <c r="E1487">
        <v>19362</v>
      </c>
      <c r="F1487">
        <v>10</v>
      </c>
      <c r="G1487">
        <v>1</v>
      </c>
      <c r="H1487">
        <v>1</v>
      </c>
      <c r="I1487">
        <v>2</v>
      </c>
      <c r="J1487" t="s">
        <v>3565</v>
      </c>
      <c r="K1487" t="s">
        <v>3566</v>
      </c>
      <c r="L1487" s="2">
        <v>605.64919999999995</v>
      </c>
      <c r="M1487" s="2">
        <v>1000.4375</v>
      </c>
      <c r="N1487" t="s">
        <v>13</v>
      </c>
      <c r="O1487" t="s">
        <v>487</v>
      </c>
      <c r="P1487" t="s">
        <v>131</v>
      </c>
      <c r="Q1487" t="s">
        <v>7816</v>
      </c>
      <c r="R1487" s="1">
        <v>23236</v>
      </c>
      <c r="S1487" t="s">
        <v>16</v>
      </c>
      <c r="T1487" t="s">
        <v>16</v>
      </c>
      <c r="U1487" t="s">
        <v>2303</v>
      </c>
      <c r="V1487">
        <v>40000</v>
      </c>
      <c r="W1487">
        <v>1</v>
      </c>
      <c r="X1487" t="s">
        <v>17</v>
      </c>
      <c r="Y1487" t="s">
        <v>53</v>
      </c>
      <c r="Z1487" t="s">
        <v>19</v>
      </c>
      <c r="AA1487" t="s">
        <v>3588</v>
      </c>
      <c r="AB1487" t="s">
        <v>3588</v>
      </c>
      <c r="AC1487" t="s">
        <v>3584</v>
      </c>
      <c r="AD1487" t="s">
        <v>3479</v>
      </c>
      <c r="AE1487" t="s">
        <v>3475</v>
      </c>
      <c r="AF1487" s="2">
        <v>1000.4375</v>
      </c>
      <c r="AG1487" s="2">
        <v>605.64919999999995</v>
      </c>
      <c r="AH1487" s="2">
        <v>394.78829999999999</v>
      </c>
      <c r="AI1487" s="3">
        <v>0.39461565565065299</v>
      </c>
    </row>
    <row r="1488" spans="1:35">
      <c r="A1488" s="1">
        <v>42034</v>
      </c>
      <c r="B1488" s="1">
        <v>37203</v>
      </c>
      <c r="C1488" t="s">
        <v>3767</v>
      </c>
      <c r="D1488">
        <v>334</v>
      </c>
      <c r="E1488">
        <v>19422</v>
      </c>
      <c r="F1488">
        <v>8</v>
      </c>
      <c r="G1488">
        <v>1</v>
      </c>
      <c r="H1488">
        <v>1</v>
      </c>
      <c r="I1488">
        <v>2</v>
      </c>
      <c r="J1488" t="s">
        <v>3509</v>
      </c>
      <c r="K1488" t="s">
        <v>3510</v>
      </c>
      <c r="L1488" s="2">
        <v>413.1463</v>
      </c>
      <c r="M1488" s="2">
        <v>699.09820000000002</v>
      </c>
      <c r="N1488" t="s">
        <v>26</v>
      </c>
      <c r="O1488" t="s">
        <v>1176</v>
      </c>
      <c r="P1488" t="s">
        <v>217</v>
      </c>
      <c r="Q1488" t="s">
        <v>7817</v>
      </c>
      <c r="R1488" s="1">
        <v>25891</v>
      </c>
      <c r="S1488" t="s">
        <v>22</v>
      </c>
      <c r="T1488" t="s">
        <v>29</v>
      </c>
      <c r="U1488" t="s">
        <v>2304</v>
      </c>
      <c r="V1488">
        <v>20000</v>
      </c>
      <c r="W1488">
        <v>0</v>
      </c>
      <c r="X1488" t="s">
        <v>52</v>
      </c>
      <c r="Y1488" t="s">
        <v>444</v>
      </c>
      <c r="Z1488" t="s">
        <v>23</v>
      </c>
      <c r="AA1488" t="s">
        <v>3585</v>
      </c>
      <c r="AB1488" t="s">
        <v>3585</v>
      </c>
      <c r="AC1488" t="s">
        <v>3584</v>
      </c>
      <c r="AD1488" t="s">
        <v>3479</v>
      </c>
      <c r="AE1488" t="s">
        <v>3475</v>
      </c>
      <c r="AF1488" s="2">
        <v>699.09820000000002</v>
      </c>
      <c r="AG1488" s="2">
        <v>413.1463</v>
      </c>
      <c r="AH1488" s="2">
        <v>285.95190000000002</v>
      </c>
      <c r="AI1488" s="3">
        <v>0.409029661355157</v>
      </c>
    </row>
    <row r="1489" spans="1:35">
      <c r="A1489" s="1">
        <v>42009</v>
      </c>
      <c r="B1489" s="1">
        <v>37216</v>
      </c>
      <c r="C1489" t="s">
        <v>3616</v>
      </c>
      <c r="D1489">
        <v>326</v>
      </c>
      <c r="E1489">
        <v>19428</v>
      </c>
      <c r="F1489">
        <v>8</v>
      </c>
      <c r="G1489">
        <v>1</v>
      </c>
      <c r="H1489">
        <v>1</v>
      </c>
      <c r="I1489">
        <v>2</v>
      </c>
      <c r="J1489" t="s">
        <v>3501</v>
      </c>
      <c r="K1489" t="s">
        <v>3502</v>
      </c>
      <c r="L1489" s="2">
        <v>413.1463</v>
      </c>
      <c r="M1489" s="2">
        <v>699.09820000000002</v>
      </c>
      <c r="N1489" t="s">
        <v>13</v>
      </c>
      <c r="O1489" t="s">
        <v>1508</v>
      </c>
      <c r="P1489" t="s">
        <v>347</v>
      </c>
      <c r="Q1489" t="s">
        <v>7818</v>
      </c>
      <c r="R1489" s="1">
        <v>25685</v>
      </c>
      <c r="S1489" t="s">
        <v>16</v>
      </c>
      <c r="T1489" t="s">
        <v>16</v>
      </c>
      <c r="U1489" t="s">
        <v>2305</v>
      </c>
      <c r="V1489">
        <v>30000</v>
      </c>
      <c r="W1489">
        <v>0</v>
      </c>
      <c r="X1489" t="s">
        <v>17</v>
      </c>
      <c r="Y1489" t="s">
        <v>60</v>
      </c>
      <c r="Z1489" t="s">
        <v>19</v>
      </c>
      <c r="AA1489" t="s">
        <v>3585</v>
      </c>
      <c r="AB1489" t="s">
        <v>3585</v>
      </c>
      <c r="AC1489" t="s">
        <v>3584</v>
      </c>
      <c r="AD1489" t="s">
        <v>3479</v>
      </c>
      <c r="AE1489" t="s">
        <v>3475</v>
      </c>
      <c r="AF1489" s="2">
        <v>699.09820000000002</v>
      </c>
      <c r="AG1489" s="2">
        <v>413.1463</v>
      </c>
      <c r="AH1489" s="2">
        <v>285.95190000000002</v>
      </c>
      <c r="AI1489" s="3">
        <v>0.409029661355157</v>
      </c>
    </row>
    <row r="1490" spans="1:35">
      <c r="A1490" s="1">
        <v>42060</v>
      </c>
      <c r="B1490" s="1">
        <v>37216</v>
      </c>
      <c r="C1490" t="s">
        <v>3919</v>
      </c>
      <c r="D1490">
        <v>330</v>
      </c>
      <c r="E1490">
        <v>19429</v>
      </c>
      <c r="F1490">
        <v>8</v>
      </c>
      <c r="G1490">
        <v>1</v>
      </c>
      <c r="H1490">
        <v>1</v>
      </c>
      <c r="I1490">
        <v>2</v>
      </c>
      <c r="J1490" t="s">
        <v>3505</v>
      </c>
      <c r="K1490" t="s">
        <v>3506</v>
      </c>
      <c r="L1490" s="2">
        <v>413.1463</v>
      </c>
      <c r="M1490" s="2">
        <v>699.09820000000002</v>
      </c>
      <c r="N1490" t="s">
        <v>13</v>
      </c>
      <c r="O1490" t="s">
        <v>586</v>
      </c>
      <c r="P1490" t="s">
        <v>376</v>
      </c>
      <c r="Q1490" t="s">
        <v>7819</v>
      </c>
      <c r="R1490" s="1">
        <v>25816</v>
      </c>
      <c r="S1490" t="s">
        <v>22</v>
      </c>
      <c r="T1490" t="s">
        <v>16</v>
      </c>
      <c r="U1490" t="s">
        <v>2306</v>
      </c>
      <c r="V1490">
        <v>30000</v>
      </c>
      <c r="W1490">
        <v>0</v>
      </c>
      <c r="X1490" t="s">
        <v>17</v>
      </c>
      <c r="Y1490" t="s">
        <v>60</v>
      </c>
      <c r="Z1490" t="s">
        <v>19</v>
      </c>
      <c r="AA1490" t="s">
        <v>3585</v>
      </c>
      <c r="AB1490" t="s">
        <v>3585</v>
      </c>
      <c r="AC1490" t="s">
        <v>3584</v>
      </c>
      <c r="AD1490" t="s">
        <v>3479</v>
      </c>
      <c r="AE1490" t="s">
        <v>3475</v>
      </c>
      <c r="AF1490" s="2">
        <v>699.09820000000002</v>
      </c>
      <c r="AG1490" s="2">
        <v>413.1463</v>
      </c>
      <c r="AH1490" s="2">
        <v>285.95190000000002</v>
      </c>
      <c r="AI1490" s="3">
        <v>0.409029661355157</v>
      </c>
    </row>
    <row r="1491" spans="1:35">
      <c r="A1491" s="1">
        <v>42037</v>
      </c>
      <c r="B1491" s="1">
        <v>37256</v>
      </c>
      <c r="C1491" t="s">
        <v>3783</v>
      </c>
      <c r="D1491">
        <v>340</v>
      </c>
      <c r="E1491">
        <v>19432</v>
      </c>
      <c r="F1491">
        <v>8</v>
      </c>
      <c r="G1491">
        <v>1</v>
      </c>
      <c r="H1491">
        <v>1</v>
      </c>
      <c r="I1491">
        <v>2</v>
      </c>
      <c r="J1491" t="s">
        <v>3515</v>
      </c>
      <c r="K1491" t="s">
        <v>3516</v>
      </c>
      <c r="L1491" s="2">
        <v>413.1463</v>
      </c>
      <c r="M1491" s="2">
        <v>699.09820000000002</v>
      </c>
      <c r="N1491" t="s">
        <v>13</v>
      </c>
      <c r="O1491" t="s">
        <v>649</v>
      </c>
      <c r="P1491" t="s">
        <v>97</v>
      </c>
      <c r="Q1491" t="s">
        <v>7820</v>
      </c>
      <c r="R1491" s="1">
        <v>25459</v>
      </c>
      <c r="S1491" t="s">
        <v>22</v>
      </c>
      <c r="T1491" t="s">
        <v>16</v>
      </c>
      <c r="U1491" t="s">
        <v>2307</v>
      </c>
      <c r="V1491">
        <v>20000</v>
      </c>
      <c r="W1491">
        <v>0</v>
      </c>
      <c r="X1491" t="s">
        <v>52</v>
      </c>
      <c r="Y1491" t="s">
        <v>444</v>
      </c>
      <c r="Z1491" t="s">
        <v>23</v>
      </c>
      <c r="AA1491" t="s">
        <v>3585</v>
      </c>
      <c r="AB1491" t="s">
        <v>3585</v>
      </c>
      <c r="AC1491" t="s">
        <v>3584</v>
      </c>
      <c r="AD1491" t="s">
        <v>3479</v>
      </c>
      <c r="AE1491" t="s">
        <v>3475</v>
      </c>
      <c r="AF1491" s="2">
        <v>699.09820000000002</v>
      </c>
      <c r="AG1491" s="2">
        <v>413.1463</v>
      </c>
      <c r="AH1491" s="2">
        <v>285.95190000000002</v>
      </c>
      <c r="AI1491" s="3">
        <v>0.409029661355157</v>
      </c>
    </row>
    <row r="1492" spans="1:35">
      <c r="A1492" s="1">
        <v>42078</v>
      </c>
      <c r="B1492" s="1">
        <v>37305</v>
      </c>
      <c r="C1492" t="s">
        <v>4038</v>
      </c>
      <c r="D1492">
        <v>340</v>
      </c>
      <c r="E1492">
        <v>19438</v>
      </c>
      <c r="F1492">
        <v>8</v>
      </c>
      <c r="G1492">
        <v>1</v>
      </c>
      <c r="H1492">
        <v>1</v>
      </c>
      <c r="I1492">
        <v>2</v>
      </c>
      <c r="J1492" t="s">
        <v>3515</v>
      </c>
      <c r="K1492" t="s">
        <v>3516</v>
      </c>
      <c r="L1492" s="2">
        <v>413.1463</v>
      </c>
      <c r="M1492" s="2">
        <v>699.09820000000002</v>
      </c>
      <c r="N1492" t="s">
        <v>26</v>
      </c>
      <c r="O1492" t="s">
        <v>37</v>
      </c>
      <c r="P1492" t="s">
        <v>511</v>
      </c>
      <c r="Q1492" t="s">
        <v>7821</v>
      </c>
      <c r="R1492" s="1">
        <v>25466</v>
      </c>
      <c r="S1492" t="s">
        <v>16</v>
      </c>
      <c r="T1492" t="s">
        <v>29</v>
      </c>
      <c r="U1492" t="s">
        <v>2308</v>
      </c>
      <c r="V1492">
        <v>40000</v>
      </c>
      <c r="W1492">
        <v>0</v>
      </c>
      <c r="X1492" t="s">
        <v>135</v>
      </c>
      <c r="Y1492" t="s">
        <v>60</v>
      </c>
      <c r="Z1492" t="s">
        <v>19</v>
      </c>
      <c r="AA1492" t="s">
        <v>3585</v>
      </c>
      <c r="AB1492" t="s">
        <v>3585</v>
      </c>
      <c r="AC1492" t="s">
        <v>3584</v>
      </c>
      <c r="AD1492" t="s">
        <v>3479</v>
      </c>
      <c r="AE1492" t="s">
        <v>3475</v>
      </c>
      <c r="AF1492" s="2">
        <v>699.09820000000002</v>
      </c>
      <c r="AG1492" s="2">
        <v>413.1463</v>
      </c>
      <c r="AH1492" s="2">
        <v>285.95190000000002</v>
      </c>
      <c r="AI1492" s="3">
        <v>0.409029661355157</v>
      </c>
    </row>
    <row r="1493" spans="1:35">
      <c r="A1493" s="1">
        <v>42113</v>
      </c>
      <c r="B1493" s="1">
        <v>37274</v>
      </c>
      <c r="C1493" t="s">
        <v>4258</v>
      </c>
      <c r="D1493">
        <v>326</v>
      </c>
      <c r="E1493">
        <v>19439</v>
      </c>
      <c r="F1493">
        <v>8</v>
      </c>
      <c r="G1493">
        <v>1</v>
      </c>
      <c r="H1493">
        <v>1</v>
      </c>
      <c r="I1493">
        <v>2</v>
      </c>
      <c r="J1493" t="s">
        <v>3501</v>
      </c>
      <c r="K1493" t="s">
        <v>3502</v>
      </c>
      <c r="L1493" s="2">
        <v>413.1463</v>
      </c>
      <c r="M1493" s="2">
        <v>699.09820000000002</v>
      </c>
      <c r="N1493" t="s">
        <v>13</v>
      </c>
      <c r="O1493" t="s">
        <v>498</v>
      </c>
      <c r="P1493" t="s">
        <v>474</v>
      </c>
      <c r="Q1493" t="s">
        <v>7822</v>
      </c>
      <c r="R1493" s="1">
        <v>25276</v>
      </c>
      <c r="S1493" t="s">
        <v>22</v>
      </c>
      <c r="T1493" t="s">
        <v>16</v>
      </c>
      <c r="U1493" t="s">
        <v>2309</v>
      </c>
      <c r="V1493">
        <v>40000</v>
      </c>
      <c r="W1493">
        <v>0</v>
      </c>
      <c r="X1493" t="s">
        <v>135</v>
      </c>
      <c r="Y1493" t="s">
        <v>60</v>
      </c>
      <c r="Z1493" t="s">
        <v>19</v>
      </c>
      <c r="AA1493" t="s">
        <v>3585</v>
      </c>
      <c r="AB1493" t="s">
        <v>3585</v>
      </c>
      <c r="AC1493" t="s">
        <v>3584</v>
      </c>
      <c r="AD1493" t="s">
        <v>3479</v>
      </c>
      <c r="AE1493" t="s">
        <v>3475</v>
      </c>
      <c r="AF1493" s="2">
        <v>699.09820000000002</v>
      </c>
      <c r="AG1493" s="2">
        <v>413.1463</v>
      </c>
      <c r="AH1493" s="2">
        <v>285.95190000000002</v>
      </c>
      <c r="AI1493" s="3">
        <v>0.409029661355157</v>
      </c>
    </row>
    <row r="1494" spans="1:35">
      <c r="A1494" s="1">
        <v>42106</v>
      </c>
      <c r="B1494" s="1">
        <v>37327</v>
      </c>
      <c r="C1494" t="s">
        <v>4205</v>
      </c>
      <c r="D1494">
        <v>338</v>
      </c>
      <c r="E1494">
        <v>19443</v>
      </c>
      <c r="F1494">
        <v>8</v>
      </c>
      <c r="G1494">
        <v>1</v>
      </c>
      <c r="H1494">
        <v>1</v>
      </c>
      <c r="I1494">
        <v>2</v>
      </c>
      <c r="J1494" t="s">
        <v>3513</v>
      </c>
      <c r="K1494" t="s">
        <v>3514</v>
      </c>
      <c r="L1494" s="2">
        <v>413.1463</v>
      </c>
      <c r="M1494" s="2">
        <v>699.09820000000002</v>
      </c>
      <c r="N1494" t="s">
        <v>13</v>
      </c>
      <c r="O1494" t="s">
        <v>1598</v>
      </c>
      <c r="P1494" t="s">
        <v>431</v>
      </c>
      <c r="Q1494" t="s">
        <v>7823</v>
      </c>
      <c r="R1494" s="1">
        <v>18905</v>
      </c>
      <c r="S1494" t="s">
        <v>16</v>
      </c>
      <c r="T1494" t="s">
        <v>16</v>
      </c>
      <c r="U1494" t="s">
        <v>2310</v>
      </c>
      <c r="V1494">
        <v>20000</v>
      </c>
      <c r="W1494">
        <v>2</v>
      </c>
      <c r="X1494" t="s">
        <v>52</v>
      </c>
      <c r="Y1494" t="s">
        <v>444</v>
      </c>
      <c r="Z1494" t="s">
        <v>19</v>
      </c>
      <c r="AA1494" t="s">
        <v>3585</v>
      </c>
      <c r="AB1494" t="s">
        <v>3585</v>
      </c>
      <c r="AC1494" t="s">
        <v>3584</v>
      </c>
      <c r="AD1494" t="s">
        <v>3479</v>
      </c>
      <c r="AE1494" t="s">
        <v>3475</v>
      </c>
      <c r="AF1494" s="2">
        <v>699.09820000000002</v>
      </c>
      <c r="AG1494" s="2">
        <v>413.1463</v>
      </c>
      <c r="AH1494" s="2">
        <v>285.95190000000002</v>
      </c>
      <c r="AI1494" s="3">
        <v>0.409029661355157</v>
      </c>
    </row>
    <row r="1495" spans="1:35">
      <c r="A1495" s="1">
        <v>42108</v>
      </c>
      <c r="B1495" s="1">
        <v>37299</v>
      </c>
      <c r="C1495" t="s">
        <v>4219</v>
      </c>
      <c r="D1495">
        <v>332</v>
      </c>
      <c r="E1495">
        <v>19450</v>
      </c>
      <c r="F1495">
        <v>8</v>
      </c>
      <c r="G1495">
        <v>1</v>
      </c>
      <c r="H1495">
        <v>1</v>
      </c>
      <c r="I1495">
        <v>2</v>
      </c>
      <c r="J1495" t="s">
        <v>3507</v>
      </c>
      <c r="K1495" t="s">
        <v>3508</v>
      </c>
      <c r="L1495" s="2">
        <v>413.1463</v>
      </c>
      <c r="M1495" s="2">
        <v>699.09820000000002</v>
      </c>
      <c r="N1495" t="s">
        <v>13</v>
      </c>
      <c r="O1495" t="s">
        <v>661</v>
      </c>
      <c r="P1495" t="s">
        <v>62</v>
      </c>
      <c r="Q1495" t="s">
        <v>7824</v>
      </c>
      <c r="R1495" s="1">
        <v>24521</v>
      </c>
      <c r="S1495" t="s">
        <v>16</v>
      </c>
      <c r="T1495" t="s">
        <v>16</v>
      </c>
      <c r="U1495" t="s">
        <v>2311</v>
      </c>
      <c r="V1495">
        <v>30000</v>
      </c>
      <c r="W1495">
        <v>1</v>
      </c>
      <c r="X1495" t="s">
        <v>17</v>
      </c>
      <c r="Y1495" t="s">
        <v>60</v>
      </c>
      <c r="Z1495" t="s">
        <v>19</v>
      </c>
      <c r="AA1495" t="s">
        <v>3585</v>
      </c>
      <c r="AB1495" t="s">
        <v>3585</v>
      </c>
      <c r="AC1495" t="s">
        <v>3584</v>
      </c>
      <c r="AD1495" t="s">
        <v>3479</v>
      </c>
      <c r="AE1495" t="s">
        <v>3475</v>
      </c>
      <c r="AF1495" s="2">
        <v>699.09820000000002</v>
      </c>
      <c r="AG1495" s="2">
        <v>413.1463</v>
      </c>
      <c r="AH1495" s="2">
        <v>285.95190000000002</v>
      </c>
      <c r="AI1495" s="3">
        <v>0.409029661355157</v>
      </c>
    </row>
    <row r="1496" spans="1:35">
      <c r="A1496" s="1">
        <v>42122</v>
      </c>
      <c r="B1496" s="1">
        <v>37267</v>
      </c>
      <c r="C1496" t="s">
        <v>4319</v>
      </c>
      <c r="D1496">
        <v>334</v>
      </c>
      <c r="E1496">
        <v>19451</v>
      </c>
      <c r="F1496">
        <v>8</v>
      </c>
      <c r="G1496">
        <v>1</v>
      </c>
      <c r="H1496">
        <v>1</v>
      </c>
      <c r="I1496">
        <v>2</v>
      </c>
      <c r="J1496" t="s">
        <v>3509</v>
      </c>
      <c r="K1496" t="s">
        <v>3510</v>
      </c>
      <c r="L1496" s="2">
        <v>413.1463</v>
      </c>
      <c r="M1496" s="2">
        <v>699.09820000000002</v>
      </c>
      <c r="N1496" t="s">
        <v>13</v>
      </c>
      <c r="O1496" t="s">
        <v>584</v>
      </c>
      <c r="P1496" t="s">
        <v>207</v>
      </c>
      <c r="Q1496" t="s">
        <v>7825</v>
      </c>
      <c r="R1496" s="1">
        <v>24371</v>
      </c>
      <c r="S1496" t="s">
        <v>22</v>
      </c>
      <c r="T1496" t="s">
        <v>16</v>
      </c>
      <c r="U1496" t="s">
        <v>2312</v>
      </c>
      <c r="V1496">
        <v>10000</v>
      </c>
      <c r="W1496">
        <v>4</v>
      </c>
      <c r="X1496" t="s">
        <v>77</v>
      </c>
      <c r="Y1496" t="s">
        <v>444</v>
      </c>
      <c r="Z1496" t="s">
        <v>19</v>
      </c>
      <c r="AA1496" t="s">
        <v>3585</v>
      </c>
      <c r="AB1496" t="s">
        <v>3585</v>
      </c>
      <c r="AC1496" t="s">
        <v>3584</v>
      </c>
      <c r="AD1496" t="s">
        <v>3479</v>
      </c>
      <c r="AE1496" t="s">
        <v>3475</v>
      </c>
      <c r="AF1496" s="2">
        <v>699.09820000000002</v>
      </c>
      <c r="AG1496" s="2">
        <v>413.1463</v>
      </c>
      <c r="AH1496" s="2">
        <v>285.95190000000002</v>
      </c>
      <c r="AI1496" s="3">
        <v>0.409029661355157</v>
      </c>
    </row>
    <row r="1497" spans="1:35">
      <c r="A1497" s="1">
        <v>42124</v>
      </c>
      <c r="B1497" s="1">
        <v>37303</v>
      </c>
      <c r="C1497" t="s">
        <v>4344</v>
      </c>
      <c r="D1497">
        <v>330</v>
      </c>
      <c r="E1497">
        <v>19453</v>
      </c>
      <c r="F1497">
        <v>8</v>
      </c>
      <c r="G1497">
        <v>1</v>
      </c>
      <c r="H1497">
        <v>1</v>
      </c>
      <c r="I1497">
        <v>2</v>
      </c>
      <c r="J1497" t="s">
        <v>3505</v>
      </c>
      <c r="K1497" t="s">
        <v>3506</v>
      </c>
      <c r="L1497" s="2">
        <v>413.1463</v>
      </c>
      <c r="M1497" s="2">
        <v>699.09820000000002</v>
      </c>
      <c r="N1497" t="s">
        <v>26</v>
      </c>
      <c r="O1497" t="s">
        <v>895</v>
      </c>
      <c r="P1497" t="s">
        <v>830</v>
      </c>
      <c r="Q1497" t="s">
        <v>7826</v>
      </c>
      <c r="R1497" s="1">
        <v>24603</v>
      </c>
      <c r="S1497" t="s">
        <v>16</v>
      </c>
      <c r="T1497" t="s">
        <v>29</v>
      </c>
      <c r="U1497" t="s">
        <v>2313</v>
      </c>
      <c r="V1497">
        <v>40000</v>
      </c>
      <c r="W1497">
        <v>0</v>
      </c>
      <c r="X1497" t="s">
        <v>17</v>
      </c>
      <c r="Y1497" t="s">
        <v>60</v>
      </c>
      <c r="Z1497" t="s">
        <v>19</v>
      </c>
      <c r="AA1497" t="s">
        <v>3585</v>
      </c>
      <c r="AB1497" t="s">
        <v>3585</v>
      </c>
      <c r="AC1497" t="s">
        <v>3584</v>
      </c>
      <c r="AD1497" t="s">
        <v>3479</v>
      </c>
      <c r="AE1497" t="s">
        <v>3475</v>
      </c>
      <c r="AF1497" s="2">
        <v>699.09820000000002</v>
      </c>
      <c r="AG1497" s="2">
        <v>413.1463</v>
      </c>
      <c r="AH1497" s="2">
        <v>285.95190000000002</v>
      </c>
      <c r="AI1497" s="3">
        <v>0.409029661355157</v>
      </c>
    </row>
    <row r="1498" spans="1:35">
      <c r="A1498" s="1">
        <v>42118</v>
      </c>
      <c r="B1498" s="1">
        <v>37259</v>
      </c>
      <c r="C1498" t="s">
        <v>4292</v>
      </c>
      <c r="D1498">
        <v>326</v>
      </c>
      <c r="E1498">
        <v>19454</v>
      </c>
      <c r="F1498">
        <v>8</v>
      </c>
      <c r="G1498">
        <v>1</v>
      </c>
      <c r="H1498">
        <v>1</v>
      </c>
      <c r="I1498">
        <v>2</v>
      </c>
      <c r="J1498" t="s">
        <v>3501</v>
      </c>
      <c r="K1498" t="s">
        <v>3502</v>
      </c>
      <c r="L1498" s="2">
        <v>413.1463</v>
      </c>
      <c r="M1498" s="2">
        <v>699.09820000000002</v>
      </c>
      <c r="N1498" t="s">
        <v>13</v>
      </c>
      <c r="O1498" t="s">
        <v>589</v>
      </c>
      <c r="P1498" t="s">
        <v>664</v>
      </c>
      <c r="Q1498" t="s">
        <v>7827</v>
      </c>
      <c r="R1498" s="1">
        <v>24701</v>
      </c>
      <c r="S1498" t="s">
        <v>16</v>
      </c>
      <c r="T1498" t="s">
        <v>16</v>
      </c>
      <c r="U1498" t="s">
        <v>2314</v>
      </c>
      <c r="V1498">
        <v>40000</v>
      </c>
      <c r="W1498">
        <v>0</v>
      </c>
      <c r="X1498" t="s">
        <v>17</v>
      </c>
      <c r="Y1498" t="s">
        <v>60</v>
      </c>
      <c r="Z1498" t="s">
        <v>19</v>
      </c>
      <c r="AA1498" t="s">
        <v>3585</v>
      </c>
      <c r="AB1498" t="s">
        <v>3585</v>
      </c>
      <c r="AC1498" t="s">
        <v>3584</v>
      </c>
      <c r="AD1498" t="s">
        <v>3479</v>
      </c>
      <c r="AE1498" t="s">
        <v>3475</v>
      </c>
      <c r="AF1498" s="2">
        <v>699.09820000000002</v>
      </c>
      <c r="AG1498" s="2">
        <v>413.1463</v>
      </c>
      <c r="AH1498" s="2">
        <v>285.95190000000002</v>
      </c>
      <c r="AI1498" s="3">
        <v>0.409029661355157</v>
      </c>
    </row>
    <row r="1499" spans="1:35">
      <c r="A1499" s="1">
        <v>42119</v>
      </c>
      <c r="B1499" s="1">
        <v>37285</v>
      </c>
      <c r="C1499" t="s">
        <v>4295</v>
      </c>
      <c r="D1499">
        <v>324</v>
      </c>
      <c r="E1499">
        <v>19472</v>
      </c>
      <c r="F1499">
        <v>8</v>
      </c>
      <c r="G1499">
        <v>1</v>
      </c>
      <c r="H1499">
        <v>1</v>
      </c>
      <c r="I1499">
        <v>2</v>
      </c>
      <c r="J1499" t="s">
        <v>3499</v>
      </c>
      <c r="K1499" t="s">
        <v>3500</v>
      </c>
      <c r="L1499" s="2">
        <v>413.1463</v>
      </c>
      <c r="M1499" s="2">
        <v>699.09820000000002</v>
      </c>
      <c r="N1499" t="s">
        <v>30</v>
      </c>
      <c r="O1499" t="s">
        <v>124</v>
      </c>
      <c r="P1499" t="s">
        <v>207</v>
      </c>
      <c r="Q1499" t="s">
        <v>7828</v>
      </c>
      <c r="R1499" s="1">
        <v>23054</v>
      </c>
      <c r="S1499" t="s">
        <v>22</v>
      </c>
      <c r="T1499" t="s">
        <v>29</v>
      </c>
      <c r="U1499" t="s">
        <v>2315</v>
      </c>
      <c r="V1499">
        <v>20000</v>
      </c>
      <c r="W1499">
        <v>3</v>
      </c>
      <c r="X1499" t="s">
        <v>57</v>
      </c>
      <c r="Y1499" t="s">
        <v>444</v>
      </c>
      <c r="Z1499" t="s">
        <v>19</v>
      </c>
      <c r="AA1499" t="s">
        <v>3585</v>
      </c>
      <c r="AB1499" t="s">
        <v>3585</v>
      </c>
      <c r="AC1499" t="s">
        <v>3584</v>
      </c>
      <c r="AD1499" t="s">
        <v>3479</v>
      </c>
      <c r="AE1499" t="s">
        <v>3475</v>
      </c>
      <c r="AF1499" s="2">
        <v>699.09820000000002</v>
      </c>
      <c r="AG1499" s="2">
        <v>413.1463</v>
      </c>
      <c r="AH1499" s="2">
        <v>285.95190000000002</v>
      </c>
      <c r="AI1499" s="3">
        <v>0.409029661355157</v>
      </c>
    </row>
    <row r="1500" spans="1:35">
      <c r="A1500" s="1">
        <v>42130</v>
      </c>
      <c r="B1500" s="1">
        <v>37355</v>
      </c>
      <c r="C1500" t="s">
        <v>4386</v>
      </c>
      <c r="D1500">
        <v>320</v>
      </c>
      <c r="E1500">
        <v>19476</v>
      </c>
      <c r="F1500">
        <v>8</v>
      </c>
      <c r="G1500">
        <v>1</v>
      </c>
      <c r="H1500">
        <v>1</v>
      </c>
      <c r="I1500">
        <v>2</v>
      </c>
      <c r="J1500" t="s">
        <v>3495</v>
      </c>
      <c r="K1500" t="s">
        <v>3496</v>
      </c>
      <c r="L1500" s="2">
        <v>413.1463</v>
      </c>
      <c r="M1500" s="2">
        <v>699.09820000000002</v>
      </c>
      <c r="N1500" t="s">
        <v>26</v>
      </c>
      <c r="O1500" t="s">
        <v>298</v>
      </c>
      <c r="P1500" t="s">
        <v>166</v>
      </c>
      <c r="Q1500" t="s">
        <v>7829</v>
      </c>
      <c r="R1500" s="1">
        <v>24405</v>
      </c>
      <c r="S1500" t="s">
        <v>16</v>
      </c>
      <c r="T1500" t="s">
        <v>29</v>
      </c>
      <c r="U1500" t="s">
        <v>2316</v>
      </c>
      <c r="V1500">
        <v>40000</v>
      </c>
      <c r="W1500">
        <v>0</v>
      </c>
      <c r="X1500" t="s">
        <v>17</v>
      </c>
      <c r="Y1500" t="s">
        <v>18</v>
      </c>
      <c r="Z1500" t="s">
        <v>19</v>
      </c>
      <c r="AA1500" t="s">
        <v>3585</v>
      </c>
      <c r="AB1500" t="s">
        <v>3585</v>
      </c>
      <c r="AC1500" t="s">
        <v>3584</v>
      </c>
      <c r="AD1500" t="s">
        <v>3479</v>
      </c>
      <c r="AE1500" t="s">
        <v>3475</v>
      </c>
      <c r="AF1500" s="2">
        <v>699.09820000000002</v>
      </c>
      <c r="AG1500" s="2">
        <v>413.1463</v>
      </c>
      <c r="AH1500" s="2">
        <v>285.95190000000002</v>
      </c>
      <c r="AI1500" s="3">
        <v>0.409029661355157</v>
      </c>
    </row>
    <row r="1501" spans="1:35">
      <c r="A1501" s="1">
        <v>42148</v>
      </c>
      <c r="B1501" s="1">
        <v>37287</v>
      </c>
      <c r="C1501" t="s">
        <v>4508</v>
      </c>
      <c r="D1501">
        <v>322</v>
      </c>
      <c r="E1501">
        <v>19482</v>
      </c>
      <c r="F1501">
        <v>8</v>
      </c>
      <c r="G1501">
        <v>1</v>
      </c>
      <c r="H1501">
        <v>1</v>
      </c>
      <c r="I1501">
        <v>2</v>
      </c>
      <c r="J1501" t="s">
        <v>3497</v>
      </c>
      <c r="K1501" t="s">
        <v>3498</v>
      </c>
      <c r="L1501" s="2">
        <v>413.1463</v>
      </c>
      <c r="M1501" s="2">
        <v>699.09820000000002</v>
      </c>
      <c r="N1501" t="s">
        <v>13</v>
      </c>
      <c r="O1501" t="s">
        <v>441</v>
      </c>
      <c r="P1501" t="s">
        <v>460</v>
      </c>
      <c r="Q1501" t="s">
        <v>7830</v>
      </c>
      <c r="R1501" s="1">
        <v>22816</v>
      </c>
      <c r="S1501" t="s">
        <v>16</v>
      </c>
      <c r="T1501" t="s">
        <v>16</v>
      </c>
      <c r="U1501" t="s">
        <v>2317</v>
      </c>
      <c r="V1501">
        <v>30000</v>
      </c>
      <c r="W1501">
        <v>1</v>
      </c>
      <c r="X1501" t="s">
        <v>52</v>
      </c>
      <c r="Y1501" t="s">
        <v>60</v>
      </c>
      <c r="Z1501" t="s">
        <v>19</v>
      </c>
      <c r="AA1501" t="s">
        <v>3585</v>
      </c>
      <c r="AB1501" t="s">
        <v>3585</v>
      </c>
      <c r="AC1501" t="s">
        <v>3584</v>
      </c>
      <c r="AD1501" t="s">
        <v>3479</v>
      </c>
      <c r="AE1501" t="s">
        <v>3475</v>
      </c>
      <c r="AF1501" s="2">
        <v>699.09820000000002</v>
      </c>
      <c r="AG1501" s="2">
        <v>413.1463</v>
      </c>
      <c r="AH1501" s="2">
        <v>285.95190000000002</v>
      </c>
      <c r="AI1501" s="3">
        <v>0.409029661355157</v>
      </c>
    </row>
    <row r="1502" spans="1:35">
      <c r="A1502" s="1">
        <v>42148</v>
      </c>
      <c r="B1502" s="1">
        <v>37355</v>
      </c>
      <c r="C1502" t="s">
        <v>4510</v>
      </c>
      <c r="D1502">
        <v>326</v>
      </c>
      <c r="E1502">
        <v>19496</v>
      </c>
      <c r="F1502">
        <v>8</v>
      </c>
      <c r="G1502">
        <v>1</v>
      </c>
      <c r="H1502">
        <v>1</v>
      </c>
      <c r="I1502">
        <v>2</v>
      </c>
      <c r="J1502" t="s">
        <v>3501</v>
      </c>
      <c r="K1502" t="s">
        <v>3502</v>
      </c>
      <c r="L1502" s="2">
        <v>413.1463</v>
      </c>
      <c r="M1502" s="2">
        <v>699.09820000000002</v>
      </c>
      <c r="N1502" t="s">
        <v>13</v>
      </c>
      <c r="O1502" t="s">
        <v>206</v>
      </c>
      <c r="P1502" t="s">
        <v>561</v>
      </c>
      <c r="Q1502" t="s">
        <v>7831</v>
      </c>
      <c r="R1502" s="1">
        <v>28864</v>
      </c>
      <c r="S1502" t="s">
        <v>22</v>
      </c>
      <c r="T1502" t="s">
        <v>16</v>
      </c>
      <c r="U1502" t="s">
        <v>2318</v>
      </c>
      <c r="V1502">
        <v>30000</v>
      </c>
      <c r="W1502">
        <v>3</v>
      </c>
      <c r="X1502" t="s">
        <v>52</v>
      </c>
      <c r="Y1502" t="s">
        <v>60</v>
      </c>
      <c r="Z1502" t="s">
        <v>19</v>
      </c>
      <c r="AA1502" t="s">
        <v>3585</v>
      </c>
      <c r="AB1502" t="s">
        <v>3585</v>
      </c>
      <c r="AC1502" t="s">
        <v>3584</v>
      </c>
      <c r="AD1502" t="s">
        <v>3479</v>
      </c>
      <c r="AE1502" t="s">
        <v>3475</v>
      </c>
      <c r="AF1502" s="2">
        <v>699.09820000000002</v>
      </c>
      <c r="AG1502" s="2">
        <v>413.1463</v>
      </c>
      <c r="AH1502" s="2">
        <v>285.95190000000002</v>
      </c>
      <c r="AI1502" s="3">
        <v>0.409029661355157</v>
      </c>
    </row>
    <row r="1503" spans="1:35">
      <c r="A1503" s="1">
        <v>42173</v>
      </c>
      <c r="B1503" s="1">
        <v>37375</v>
      </c>
      <c r="C1503" t="s">
        <v>4660</v>
      </c>
      <c r="D1503">
        <v>328</v>
      </c>
      <c r="E1503">
        <v>19518</v>
      </c>
      <c r="F1503">
        <v>8</v>
      </c>
      <c r="G1503">
        <v>1</v>
      </c>
      <c r="H1503">
        <v>1</v>
      </c>
      <c r="I1503">
        <v>2</v>
      </c>
      <c r="J1503" t="s">
        <v>3503</v>
      </c>
      <c r="K1503" t="s">
        <v>3504</v>
      </c>
      <c r="L1503" s="2">
        <v>413.1463</v>
      </c>
      <c r="M1503" s="2">
        <v>699.09820000000002</v>
      </c>
      <c r="N1503" t="s">
        <v>13</v>
      </c>
      <c r="O1503" t="s">
        <v>1066</v>
      </c>
      <c r="P1503" t="s">
        <v>163</v>
      </c>
      <c r="Q1503" t="s">
        <v>7832</v>
      </c>
      <c r="R1503" s="1">
        <v>27404</v>
      </c>
      <c r="S1503" t="s">
        <v>22</v>
      </c>
      <c r="T1503" t="s">
        <v>16</v>
      </c>
      <c r="U1503" t="s">
        <v>2319</v>
      </c>
      <c r="V1503">
        <v>30000</v>
      </c>
      <c r="W1503">
        <v>0</v>
      </c>
      <c r="X1503" t="s">
        <v>52</v>
      </c>
      <c r="Y1503" t="s">
        <v>60</v>
      </c>
      <c r="Z1503" t="s">
        <v>23</v>
      </c>
      <c r="AA1503" t="s">
        <v>3585</v>
      </c>
      <c r="AB1503" t="s">
        <v>3585</v>
      </c>
      <c r="AC1503" t="s">
        <v>3584</v>
      </c>
      <c r="AD1503" t="s">
        <v>3479</v>
      </c>
      <c r="AE1503" t="s">
        <v>3475</v>
      </c>
      <c r="AF1503" s="2">
        <v>699.09820000000002</v>
      </c>
      <c r="AG1503" s="2">
        <v>413.1463</v>
      </c>
      <c r="AH1503" s="2">
        <v>285.95190000000002</v>
      </c>
      <c r="AI1503" s="3">
        <v>0.409029661355157</v>
      </c>
    </row>
    <row r="1504" spans="1:35">
      <c r="A1504" s="1">
        <v>42046</v>
      </c>
      <c r="B1504" s="1">
        <v>37262</v>
      </c>
      <c r="C1504" t="s">
        <v>3840</v>
      </c>
      <c r="D1504">
        <v>314</v>
      </c>
      <c r="E1504">
        <v>19555</v>
      </c>
      <c r="F1504">
        <v>9</v>
      </c>
      <c r="G1504">
        <v>1</v>
      </c>
      <c r="H1504">
        <v>1</v>
      </c>
      <c r="I1504">
        <v>2</v>
      </c>
      <c r="J1504" t="s">
        <v>3493</v>
      </c>
      <c r="K1504" t="s">
        <v>3494</v>
      </c>
      <c r="L1504" s="2">
        <v>2171.2941999999998</v>
      </c>
      <c r="M1504" s="2">
        <v>3578.27</v>
      </c>
      <c r="N1504" t="s">
        <v>13</v>
      </c>
      <c r="O1504" t="s">
        <v>74</v>
      </c>
      <c r="P1504" t="s">
        <v>210</v>
      </c>
      <c r="Q1504" t="s">
        <v>7833</v>
      </c>
      <c r="R1504" s="1">
        <v>25224</v>
      </c>
      <c r="S1504" t="s">
        <v>16</v>
      </c>
      <c r="T1504" t="s">
        <v>16</v>
      </c>
      <c r="U1504" t="s">
        <v>2320</v>
      </c>
      <c r="V1504">
        <v>90000</v>
      </c>
      <c r="W1504">
        <v>1</v>
      </c>
      <c r="X1504" t="s">
        <v>135</v>
      </c>
      <c r="Y1504" t="s">
        <v>45</v>
      </c>
      <c r="Z1504" t="s">
        <v>23</v>
      </c>
      <c r="AA1504" t="s">
        <v>3586</v>
      </c>
      <c r="AB1504" t="s">
        <v>3586</v>
      </c>
      <c r="AC1504" t="s">
        <v>3587</v>
      </c>
      <c r="AD1504" t="s">
        <v>3479</v>
      </c>
      <c r="AE1504" t="s">
        <v>3475</v>
      </c>
      <c r="AF1504" s="2">
        <v>3578.27</v>
      </c>
      <c r="AG1504" s="2">
        <v>2171.2941999999998</v>
      </c>
      <c r="AH1504" s="2">
        <v>1406.9757999999999</v>
      </c>
      <c r="AI1504" s="3">
        <v>0.39320001006072802</v>
      </c>
    </row>
    <row r="1505" spans="1:35">
      <c r="A1505" s="1">
        <v>42059</v>
      </c>
      <c r="B1505" s="1">
        <v>37208</v>
      </c>
      <c r="C1505" t="s">
        <v>3917</v>
      </c>
      <c r="D1505">
        <v>313</v>
      </c>
      <c r="E1505">
        <v>19556</v>
      </c>
      <c r="F1505">
        <v>9</v>
      </c>
      <c r="G1505">
        <v>1</v>
      </c>
      <c r="H1505">
        <v>1</v>
      </c>
      <c r="I1505">
        <v>2</v>
      </c>
      <c r="J1505" t="s">
        <v>3491</v>
      </c>
      <c r="K1505" t="s">
        <v>3492</v>
      </c>
      <c r="L1505" s="2">
        <v>2171.2941999999998</v>
      </c>
      <c r="M1505" s="2">
        <v>3578.27</v>
      </c>
      <c r="N1505" t="s">
        <v>30</v>
      </c>
      <c r="O1505" t="s">
        <v>1027</v>
      </c>
      <c r="P1505" t="s">
        <v>134</v>
      </c>
      <c r="Q1505" t="s">
        <v>7834</v>
      </c>
      <c r="R1505" s="1">
        <v>25387</v>
      </c>
      <c r="S1505" t="s">
        <v>16</v>
      </c>
      <c r="T1505" t="s">
        <v>29</v>
      </c>
      <c r="U1505" t="s">
        <v>2321</v>
      </c>
      <c r="V1505">
        <v>90000</v>
      </c>
      <c r="W1505">
        <v>1</v>
      </c>
      <c r="X1505" t="s">
        <v>135</v>
      </c>
      <c r="Y1505" t="s">
        <v>45</v>
      </c>
      <c r="Z1505" t="s">
        <v>19</v>
      </c>
      <c r="AA1505" t="s">
        <v>3586</v>
      </c>
      <c r="AB1505" t="s">
        <v>3586</v>
      </c>
      <c r="AC1505" t="s">
        <v>3587</v>
      </c>
      <c r="AD1505" t="s">
        <v>3479</v>
      </c>
      <c r="AE1505" t="s">
        <v>3475</v>
      </c>
      <c r="AF1505" s="2">
        <v>3578.27</v>
      </c>
      <c r="AG1505" s="2">
        <v>2171.2941999999998</v>
      </c>
      <c r="AH1505" s="2">
        <v>1406.9757999999999</v>
      </c>
      <c r="AI1505" s="3">
        <v>0.39320001006072802</v>
      </c>
    </row>
    <row r="1506" spans="1:35">
      <c r="A1506" s="1">
        <v>42063</v>
      </c>
      <c r="B1506" s="1">
        <v>37290</v>
      </c>
      <c r="C1506" t="s">
        <v>3938</v>
      </c>
      <c r="D1506">
        <v>310</v>
      </c>
      <c r="E1506">
        <v>19557</v>
      </c>
      <c r="F1506">
        <v>9</v>
      </c>
      <c r="G1506">
        <v>1</v>
      </c>
      <c r="H1506">
        <v>1</v>
      </c>
      <c r="I1506">
        <v>2</v>
      </c>
      <c r="J1506" t="s">
        <v>3485</v>
      </c>
      <c r="K1506" t="s">
        <v>3486</v>
      </c>
      <c r="L1506" s="2">
        <v>2171.2941999999998</v>
      </c>
      <c r="M1506" s="2">
        <v>3578.27</v>
      </c>
      <c r="N1506" t="s">
        <v>30</v>
      </c>
      <c r="O1506" t="s">
        <v>1128</v>
      </c>
      <c r="P1506" t="s">
        <v>450</v>
      </c>
      <c r="Q1506" t="s">
        <v>7835</v>
      </c>
      <c r="R1506" s="1">
        <v>25089</v>
      </c>
      <c r="S1506" t="s">
        <v>22</v>
      </c>
      <c r="T1506" t="s">
        <v>29</v>
      </c>
      <c r="U1506" t="s">
        <v>2322</v>
      </c>
      <c r="V1506">
        <v>60000</v>
      </c>
      <c r="W1506">
        <v>2</v>
      </c>
      <c r="X1506" t="s">
        <v>17</v>
      </c>
      <c r="Y1506" t="s">
        <v>18</v>
      </c>
      <c r="Z1506" t="s">
        <v>23</v>
      </c>
      <c r="AA1506" t="s">
        <v>3586</v>
      </c>
      <c r="AB1506" t="s">
        <v>3586</v>
      </c>
      <c r="AC1506" t="s">
        <v>3587</v>
      </c>
      <c r="AD1506" t="s">
        <v>3479</v>
      </c>
      <c r="AE1506" t="s">
        <v>3475</v>
      </c>
      <c r="AF1506" s="2">
        <v>3578.27</v>
      </c>
      <c r="AG1506" s="2">
        <v>2171.2941999999998</v>
      </c>
      <c r="AH1506" s="2">
        <v>1406.9757999999999</v>
      </c>
      <c r="AI1506" s="3">
        <v>0.39320001006072802</v>
      </c>
    </row>
    <row r="1507" spans="1:35">
      <c r="A1507" s="1">
        <v>42051</v>
      </c>
      <c r="B1507" s="1">
        <v>37195</v>
      </c>
      <c r="C1507" t="s">
        <v>3875</v>
      </c>
      <c r="D1507">
        <v>313</v>
      </c>
      <c r="E1507">
        <v>19558</v>
      </c>
      <c r="F1507">
        <v>9</v>
      </c>
      <c r="G1507">
        <v>1</v>
      </c>
      <c r="H1507">
        <v>1</v>
      </c>
      <c r="I1507">
        <v>2</v>
      </c>
      <c r="J1507" t="s">
        <v>3491</v>
      </c>
      <c r="K1507" t="s">
        <v>3492</v>
      </c>
      <c r="L1507" s="2">
        <v>2171.2941999999998</v>
      </c>
      <c r="M1507" s="2">
        <v>3578.27</v>
      </c>
      <c r="N1507" t="s">
        <v>30</v>
      </c>
      <c r="O1507" t="s">
        <v>1096</v>
      </c>
      <c r="P1507" t="s">
        <v>460</v>
      </c>
      <c r="Q1507" t="s">
        <v>7836</v>
      </c>
      <c r="R1507" s="1">
        <v>25635</v>
      </c>
      <c r="S1507" t="s">
        <v>16</v>
      </c>
      <c r="T1507" t="s">
        <v>29</v>
      </c>
      <c r="U1507" t="s">
        <v>2323</v>
      </c>
      <c r="V1507">
        <v>80000</v>
      </c>
      <c r="W1507">
        <v>4</v>
      </c>
      <c r="X1507" t="s">
        <v>135</v>
      </c>
      <c r="Y1507" t="s">
        <v>45</v>
      </c>
      <c r="Z1507" t="s">
        <v>19</v>
      </c>
      <c r="AA1507" t="s">
        <v>3586</v>
      </c>
      <c r="AB1507" t="s">
        <v>3586</v>
      </c>
      <c r="AC1507" t="s">
        <v>3587</v>
      </c>
      <c r="AD1507" t="s">
        <v>3479</v>
      </c>
      <c r="AE1507" t="s">
        <v>3475</v>
      </c>
      <c r="AF1507" s="2">
        <v>3578.27</v>
      </c>
      <c r="AG1507" s="2">
        <v>2171.2941999999998</v>
      </c>
      <c r="AH1507" s="2">
        <v>1406.9757999999999</v>
      </c>
      <c r="AI1507" s="3">
        <v>0.39320001006072802</v>
      </c>
    </row>
    <row r="1508" spans="1:35">
      <c r="A1508" s="1">
        <v>42052</v>
      </c>
      <c r="B1508" s="1">
        <v>37261</v>
      </c>
      <c r="C1508" t="s">
        <v>3879</v>
      </c>
      <c r="D1508">
        <v>314</v>
      </c>
      <c r="E1508">
        <v>19559</v>
      </c>
      <c r="F1508">
        <v>9</v>
      </c>
      <c r="G1508">
        <v>1</v>
      </c>
      <c r="H1508">
        <v>1</v>
      </c>
      <c r="I1508">
        <v>2</v>
      </c>
      <c r="J1508" t="s">
        <v>3493</v>
      </c>
      <c r="K1508" t="s">
        <v>3494</v>
      </c>
      <c r="L1508" s="2">
        <v>2171.2941999999998</v>
      </c>
      <c r="M1508" s="2">
        <v>3578.27</v>
      </c>
      <c r="N1508" t="s">
        <v>13</v>
      </c>
      <c r="O1508" t="s">
        <v>191</v>
      </c>
      <c r="P1508" t="s">
        <v>223</v>
      </c>
      <c r="Q1508" t="s">
        <v>7837</v>
      </c>
      <c r="R1508" s="1">
        <v>25919</v>
      </c>
      <c r="S1508" t="s">
        <v>16</v>
      </c>
      <c r="T1508" t="s">
        <v>16</v>
      </c>
      <c r="U1508" t="s">
        <v>2324</v>
      </c>
      <c r="V1508">
        <v>80000</v>
      </c>
      <c r="W1508">
        <v>5</v>
      </c>
      <c r="X1508" t="s">
        <v>135</v>
      </c>
      <c r="Y1508" t="s">
        <v>45</v>
      </c>
      <c r="Z1508" t="s">
        <v>19</v>
      </c>
      <c r="AA1508" t="s">
        <v>3586</v>
      </c>
      <c r="AB1508" t="s">
        <v>3586</v>
      </c>
      <c r="AC1508" t="s">
        <v>3587</v>
      </c>
      <c r="AD1508" t="s">
        <v>3479</v>
      </c>
      <c r="AE1508" t="s">
        <v>3475</v>
      </c>
      <c r="AF1508" s="2">
        <v>3578.27</v>
      </c>
      <c r="AG1508" s="2">
        <v>2171.2941999999998</v>
      </c>
      <c r="AH1508" s="2">
        <v>1406.9757999999999</v>
      </c>
      <c r="AI1508" s="3">
        <v>0.39320001006072802</v>
      </c>
    </row>
    <row r="1509" spans="1:35">
      <c r="A1509" s="1">
        <v>42042</v>
      </c>
      <c r="B1509" s="1">
        <v>37258</v>
      </c>
      <c r="C1509" t="s">
        <v>3820</v>
      </c>
      <c r="D1509">
        <v>310</v>
      </c>
      <c r="E1509">
        <v>19560</v>
      </c>
      <c r="F1509">
        <v>9</v>
      </c>
      <c r="G1509">
        <v>1</v>
      </c>
      <c r="H1509">
        <v>1</v>
      </c>
      <c r="I1509">
        <v>2</v>
      </c>
      <c r="J1509" t="s">
        <v>3485</v>
      </c>
      <c r="K1509" t="s">
        <v>3486</v>
      </c>
      <c r="L1509" s="2">
        <v>2171.2941999999998</v>
      </c>
      <c r="M1509" s="2">
        <v>3578.27</v>
      </c>
      <c r="N1509" t="s">
        <v>13</v>
      </c>
      <c r="O1509" t="s">
        <v>735</v>
      </c>
      <c r="P1509" t="s">
        <v>103</v>
      </c>
      <c r="Q1509" t="s">
        <v>7838</v>
      </c>
      <c r="R1509" s="1">
        <v>25685</v>
      </c>
      <c r="S1509" t="s">
        <v>16</v>
      </c>
      <c r="T1509" t="s">
        <v>16</v>
      </c>
      <c r="U1509" t="s">
        <v>2325</v>
      </c>
      <c r="V1509">
        <v>90000</v>
      </c>
      <c r="W1509">
        <v>2</v>
      </c>
      <c r="X1509" t="s">
        <v>17</v>
      </c>
      <c r="Y1509" t="s">
        <v>18</v>
      </c>
      <c r="Z1509" t="s">
        <v>19</v>
      </c>
      <c r="AA1509" t="s">
        <v>3586</v>
      </c>
      <c r="AB1509" t="s">
        <v>3586</v>
      </c>
      <c r="AC1509" t="s">
        <v>3587</v>
      </c>
      <c r="AD1509" t="s">
        <v>3479</v>
      </c>
      <c r="AE1509" t="s">
        <v>3475</v>
      </c>
      <c r="AF1509" s="2">
        <v>3578.27</v>
      </c>
      <c r="AG1509" s="2">
        <v>2171.2941999999998</v>
      </c>
      <c r="AH1509" s="2">
        <v>1406.9757999999999</v>
      </c>
      <c r="AI1509" s="3">
        <v>0.39320001006072802</v>
      </c>
    </row>
    <row r="1510" spans="1:35">
      <c r="A1510" s="1">
        <v>42046</v>
      </c>
      <c r="B1510" s="1">
        <v>37237</v>
      </c>
      <c r="C1510" t="s">
        <v>3851</v>
      </c>
      <c r="D1510">
        <v>313</v>
      </c>
      <c r="E1510">
        <v>19561</v>
      </c>
      <c r="F1510">
        <v>9</v>
      </c>
      <c r="G1510">
        <v>1</v>
      </c>
      <c r="H1510">
        <v>1</v>
      </c>
      <c r="I1510">
        <v>2</v>
      </c>
      <c r="J1510" t="s">
        <v>3491</v>
      </c>
      <c r="K1510" t="s">
        <v>3492</v>
      </c>
      <c r="L1510" s="2">
        <v>2171.2941999999998</v>
      </c>
      <c r="M1510" s="2">
        <v>3578.27</v>
      </c>
      <c r="N1510" t="s">
        <v>13</v>
      </c>
      <c r="O1510" t="s">
        <v>230</v>
      </c>
      <c r="P1510" t="s">
        <v>157</v>
      </c>
      <c r="Q1510" t="s">
        <v>7839</v>
      </c>
      <c r="R1510" s="1">
        <v>25708</v>
      </c>
      <c r="S1510" t="s">
        <v>16</v>
      </c>
      <c r="T1510" t="s">
        <v>16</v>
      </c>
      <c r="U1510" t="s">
        <v>2326</v>
      </c>
      <c r="V1510">
        <v>90000</v>
      </c>
      <c r="W1510">
        <v>2</v>
      </c>
      <c r="X1510" t="s">
        <v>17</v>
      </c>
      <c r="Y1510" t="s">
        <v>18</v>
      </c>
      <c r="Z1510" t="s">
        <v>19</v>
      </c>
      <c r="AA1510" t="s">
        <v>3586</v>
      </c>
      <c r="AB1510" t="s">
        <v>3586</v>
      </c>
      <c r="AC1510" t="s">
        <v>3587</v>
      </c>
      <c r="AD1510" t="s">
        <v>3479</v>
      </c>
      <c r="AE1510" t="s">
        <v>3475</v>
      </c>
      <c r="AF1510" s="2">
        <v>3578.27</v>
      </c>
      <c r="AG1510" s="2">
        <v>2171.2941999999998</v>
      </c>
      <c r="AH1510" s="2">
        <v>1406.9757999999999</v>
      </c>
      <c r="AI1510" s="3">
        <v>0.39320001006072802</v>
      </c>
    </row>
    <row r="1511" spans="1:35">
      <c r="A1511" s="1">
        <v>42036</v>
      </c>
      <c r="B1511" s="1">
        <v>37231</v>
      </c>
      <c r="C1511" t="s">
        <v>3781</v>
      </c>
      <c r="D1511">
        <v>311</v>
      </c>
      <c r="E1511">
        <v>19562</v>
      </c>
      <c r="F1511">
        <v>9</v>
      </c>
      <c r="G1511">
        <v>1</v>
      </c>
      <c r="H1511">
        <v>1</v>
      </c>
      <c r="I1511">
        <v>2</v>
      </c>
      <c r="J1511" t="s">
        <v>3487</v>
      </c>
      <c r="K1511" t="s">
        <v>3488</v>
      </c>
      <c r="L1511" s="2">
        <v>2171.2941999999998</v>
      </c>
      <c r="M1511" s="2">
        <v>3578.27</v>
      </c>
      <c r="N1511" t="s">
        <v>30</v>
      </c>
      <c r="O1511" t="s">
        <v>167</v>
      </c>
      <c r="P1511" t="s">
        <v>929</v>
      </c>
      <c r="Q1511" t="s">
        <v>7840</v>
      </c>
      <c r="R1511" s="1">
        <v>25103</v>
      </c>
      <c r="S1511" t="s">
        <v>22</v>
      </c>
      <c r="T1511" t="s">
        <v>29</v>
      </c>
      <c r="U1511" t="s">
        <v>2327</v>
      </c>
      <c r="V1511">
        <v>60000</v>
      </c>
      <c r="W1511">
        <v>2</v>
      </c>
      <c r="X1511" t="s">
        <v>17</v>
      </c>
      <c r="Y1511" t="s">
        <v>18</v>
      </c>
      <c r="Z1511" t="s">
        <v>19</v>
      </c>
      <c r="AA1511" t="s">
        <v>3586</v>
      </c>
      <c r="AB1511" t="s">
        <v>3586</v>
      </c>
      <c r="AC1511" t="s">
        <v>3587</v>
      </c>
      <c r="AD1511" t="s">
        <v>3479</v>
      </c>
      <c r="AE1511" t="s">
        <v>3475</v>
      </c>
      <c r="AF1511" s="2">
        <v>3578.27</v>
      </c>
      <c r="AG1511" s="2">
        <v>2171.2941999999998</v>
      </c>
      <c r="AH1511" s="2">
        <v>1406.9757999999999</v>
      </c>
      <c r="AI1511" s="3">
        <v>0.39320001006072802</v>
      </c>
    </row>
    <row r="1512" spans="1:35">
      <c r="A1512" s="1">
        <v>42058</v>
      </c>
      <c r="B1512" s="1">
        <v>37200</v>
      </c>
      <c r="C1512" t="s">
        <v>3908</v>
      </c>
      <c r="D1512">
        <v>313</v>
      </c>
      <c r="E1512">
        <v>19563</v>
      </c>
      <c r="F1512">
        <v>9</v>
      </c>
      <c r="G1512">
        <v>1</v>
      </c>
      <c r="H1512">
        <v>1</v>
      </c>
      <c r="I1512">
        <v>2</v>
      </c>
      <c r="J1512" t="s">
        <v>3491</v>
      </c>
      <c r="K1512" t="s">
        <v>3492</v>
      </c>
      <c r="L1512" s="2">
        <v>2171.2941999999998</v>
      </c>
      <c r="M1512" s="2">
        <v>3578.27</v>
      </c>
      <c r="N1512" t="s">
        <v>30</v>
      </c>
      <c r="O1512" t="s">
        <v>36</v>
      </c>
      <c r="P1512" t="s">
        <v>85</v>
      </c>
      <c r="Q1512" t="s">
        <v>7841</v>
      </c>
      <c r="R1512" s="1">
        <v>25127</v>
      </c>
      <c r="S1512" t="s">
        <v>16</v>
      </c>
      <c r="T1512" t="s">
        <v>29</v>
      </c>
      <c r="U1512" t="s">
        <v>2328</v>
      </c>
      <c r="V1512">
        <v>60000</v>
      </c>
      <c r="W1512">
        <v>2</v>
      </c>
      <c r="X1512" t="s">
        <v>17</v>
      </c>
      <c r="Y1512" t="s">
        <v>18</v>
      </c>
      <c r="Z1512" t="s">
        <v>19</v>
      </c>
      <c r="AA1512" t="s">
        <v>3586</v>
      </c>
      <c r="AB1512" t="s">
        <v>3586</v>
      </c>
      <c r="AC1512" t="s">
        <v>3587</v>
      </c>
      <c r="AD1512" t="s">
        <v>3479</v>
      </c>
      <c r="AE1512" t="s">
        <v>3475</v>
      </c>
      <c r="AF1512" s="2">
        <v>3578.27</v>
      </c>
      <c r="AG1512" s="2">
        <v>2171.2941999999998</v>
      </c>
      <c r="AH1512" s="2">
        <v>1406.9757999999999</v>
      </c>
      <c r="AI1512" s="3">
        <v>0.39320001006072802</v>
      </c>
    </row>
    <row r="1513" spans="1:35">
      <c r="A1513" s="1">
        <v>42058</v>
      </c>
      <c r="B1513" s="1">
        <v>37291</v>
      </c>
      <c r="C1513" t="s">
        <v>3907</v>
      </c>
      <c r="D1513">
        <v>313</v>
      </c>
      <c r="E1513">
        <v>19564</v>
      </c>
      <c r="F1513">
        <v>9</v>
      </c>
      <c r="G1513">
        <v>1</v>
      </c>
      <c r="H1513">
        <v>1</v>
      </c>
      <c r="I1513">
        <v>2</v>
      </c>
      <c r="J1513" t="s">
        <v>3491</v>
      </c>
      <c r="K1513" t="s">
        <v>3492</v>
      </c>
      <c r="L1513" s="2">
        <v>2171.2941999999998</v>
      </c>
      <c r="M1513" s="2">
        <v>3578.27</v>
      </c>
      <c r="N1513" t="s">
        <v>13</v>
      </c>
      <c r="O1513" t="s">
        <v>1094</v>
      </c>
      <c r="P1513" t="s">
        <v>217</v>
      </c>
      <c r="Q1513" t="s">
        <v>7842</v>
      </c>
      <c r="R1513" s="1">
        <v>25187</v>
      </c>
      <c r="S1513" t="s">
        <v>16</v>
      </c>
      <c r="T1513" t="s">
        <v>16</v>
      </c>
      <c r="U1513" t="s">
        <v>2329</v>
      </c>
      <c r="V1513">
        <v>60000</v>
      </c>
      <c r="W1513">
        <v>2</v>
      </c>
      <c r="X1513" t="s">
        <v>17</v>
      </c>
      <c r="Y1513" t="s">
        <v>18</v>
      </c>
      <c r="Z1513" t="s">
        <v>19</v>
      </c>
      <c r="AA1513" t="s">
        <v>3586</v>
      </c>
      <c r="AB1513" t="s">
        <v>3586</v>
      </c>
      <c r="AC1513" t="s">
        <v>3587</v>
      </c>
      <c r="AD1513" t="s">
        <v>3479</v>
      </c>
      <c r="AE1513" t="s">
        <v>3475</v>
      </c>
      <c r="AF1513" s="2">
        <v>3578.27</v>
      </c>
      <c r="AG1513" s="2">
        <v>2171.2941999999998</v>
      </c>
      <c r="AH1513" s="2">
        <v>1406.9757999999999</v>
      </c>
      <c r="AI1513" s="3">
        <v>0.39320001006072802</v>
      </c>
    </row>
    <row r="1514" spans="1:35">
      <c r="A1514" s="1">
        <v>42038</v>
      </c>
      <c r="B1514" s="1">
        <v>37240</v>
      </c>
      <c r="C1514" t="s">
        <v>3795</v>
      </c>
      <c r="D1514">
        <v>312</v>
      </c>
      <c r="E1514">
        <v>19565</v>
      </c>
      <c r="F1514">
        <v>9</v>
      </c>
      <c r="G1514">
        <v>1</v>
      </c>
      <c r="H1514">
        <v>1</v>
      </c>
      <c r="I1514">
        <v>2</v>
      </c>
      <c r="J1514" t="s">
        <v>3489</v>
      </c>
      <c r="K1514" t="s">
        <v>3490</v>
      </c>
      <c r="L1514" s="2">
        <v>2171.2941999999998</v>
      </c>
      <c r="M1514" s="2">
        <v>3578.27</v>
      </c>
      <c r="N1514" t="s">
        <v>30</v>
      </c>
      <c r="O1514" t="s">
        <v>689</v>
      </c>
      <c r="P1514" t="s">
        <v>852</v>
      </c>
      <c r="Q1514" t="s">
        <v>7843</v>
      </c>
      <c r="R1514" s="1">
        <v>24875</v>
      </c>
      <c r="S1514" t="s">
        <v>16</v>
      </c>
      <c r="T1514" t="s">
        <v>29</v>
      </c>
      <c r="U1514" t="s">
        <v>2330</v>
      </c>
      <c r="V1514">
        <v>60000</v>
      </c>
      <c r="W1514">
        <v>2</v>
      </c>
      <c r="X1514" t="s">
        <v>17</v>
      </c>
      <c r="Y1514" t="s">
        <v>18</v>
      </c>
      <c r="Z1514" t="s">
        <v>19</v>
      </c>
      <c r="AA1514" t="s">
        <v>3586</v>
      </c>
      <c r="AB1514" t="s">
        <v>3586</v>
      </c>
      <c r="AC1514" t="s">
        <v>3587</v>
      </c>
      <c r="AD1514" t="s">
        <v>3479</v>
      </c>
      <c r="AE1514" t="s">
        <v>3475</v>
      </c>
      <c r="AF1514" s="2">
        <v>3578.27</v>
      </c>
      <c r="AG1514" s="2">
        <v>2171.2941999999998</v>
      </c>
      <c r="AH1514" s="2">
        <v>1406.9757999999999</v>
      </c>
      <c r="AI1514" s="3">
        <v>0.39320001006072802</v>
      </c>
    </row>
    <row r="1515" spans="1:35">
      <c r="A1515" s="1">
        <v>42036</v>
      </c>
      <c r="B1515" s="1">
        <v>37232</v>
      </c>
      <c r="C1515" t="s">
        <v>3779</v>
      </c>
      <c r="D1515">
        <v>312</v>
      </c>
      <c r="E1515">
        <v>19568</v>
      </c>
      <c r="F1515">
        <v>9</v>
      </c>
      <c r="G1515">
        <v>1</v>
      </c>
      <c r="H1515">
        <v>1</v>
      </c>
      <c r="I1515">
        <v>2</v>
      </c>
      <c r="J1515" t="s">
        <v>3489</v>
      </c>
      <c r="K1515" t="s">
        <v>3490</v>
      </c>
      <c r="L1515" s="2">
        <v>2171.2941999999998</v>
      </c>
      <c r="M1515" s="2">
        <v>3578.27</v>
      </c>
      <c r="N1515" t="s">
        <v>30</v>
      </c>
      <c r="O1515" t="s">
        <v>1635</v>
      </c>
      <c r="P1515" t="s">
        <v>470</v>
      </c>
      <c r="Q1515" t="s">
        <v>7844</v>
      </c>
      <c r="R1515" s="1">
        <v>25452</v>
      </c>
      <c r="S1515" t="s">
        <v>16</v>
      </c>
      <c r="T1515" t="s">
        <v>29</v>
      </c>
      <c r="U1515" t="s">
        <v>2331</v>
      </c>
      <c r="V1515">
        <v>120000</v>
      </c>
      <c r="W1515">
        <v>1</v>
      </c>
      <c r="X1515" t="s">
        <v>135</v>
      </c>
      <c r="Y1515" t="s">
        <v>45</v>
      </c>
      <c r="Z1515" t="s">
        <v>23</v>
      </c>
      <c r="AA1515" t="s">
        <v>3586</v>
      </c>
      <c r="AB1515" t="s">
        <v>3586</v>
      </c>
      <c r="AC1515" t="s">
        <v>3587</v>
      </c>
      <c r="AD1515" t="s">
        <v>3479</v>
      </c>
      <c r="AE1515" t="s">
        <v>3475</v>
      </c>
      <c r="AF1515" s="2">
        <v>3578.27</v>
      </c>
      <c r="AG1515" s="2">
        <v>2171.2941999999998</v>
      </c>
      <c r="AH1515" s="2">
        <v>1406.9757999999999</v>
      </c>
      <c r="AI1515" s="3">
        <v>0.39320001006072802</v>
      </c>
    </row>
    <row r="1516" spans="1:35">
      <c r="A1516" s="1">
        <v>42046</v>
      </c>
      <c r="B1516" s="1">
        <v>37271</v>
      </c>
      <c r="C1516" t="s">
        <v>3849</v>
      </c>
      <c r="D1516">
        <v>313</v>
      </c>
      <c r="E1516">
        <v>19576</v>
      </c>
      <c r="F1516">
        <v>9</v>
      </c>
      <c r="G1516">
        <v>1</v>
      </c>
      <c r="H1516">
        <v>1</v>
      </c>
      <c r="I1516">
        <v>2</v>
      </c>
      <c r="J1516" t="s">
        <v>3491</v>
      </c>
      <c r="K1516" t="s">
        <v>3492</v>
      </c>
      <c r="L1516" s="2">
        <v>2171.2941999999998</v>
      </c>
      <c r="M1516" s="2">
        <v>3578.27</v>
      </c>
      <c r="N1516" t="s">
        <v>26</v>
      </c>
      <c r="O1516" t="s">
        <v>712</v>
      </c>
      <c r="P1516" t="s">
        <v>55</v>
      </c>
      <c r="Q1516" t="s">
        <v>7845</v>
      </c>
      <c r="R1516" s="1">
        <v>24127</v>
      </c>
      <c r="S1516" t="s">
        <v>22</v>
      </c>
      <c r="T1516" t="s">
        <v>29</v>
      </c>
      <c r="U1516" t="s">
        <v>2332</v>
      </c>
      <c r="V1516">
        <v>90000</v>
      </c>
      <c r="W1516">
        <v>0</v>
      </c>
      <c r="X1516" t="s">
        <v>17</v>
      </c>
      <c r="Y1516" t="s">
        <v>18</v>
      </c>
      <c r="Z1516" t="s">
        <v>19</v>
      </c>
      <c r="AA1516" t="s">
        <v>3586</v>
      </c>
      <c r="AB1516" t="s">
        <v>3586</v>
      </c>
      <c r="AC1516" t="s">
        <v>3587</v>
      </c>
      <c r="AD1516" t="s">
        <v>3479</v>
      </c>
      <c r="AE1516" t="s">
        <v>3475</v>
      </c>
      <c r="AF1516" s="2">
        <v>3578.27</v>
      </c>
      <c r="AG1516" s="2">
        <v>2171.2941999999998</v>
      </c>
      <c r="AH1516" s="2">
        <v>1406.9757999999999</v>
      </c>
      <c r="AI1516" s="3">
        <v>0.39320001006072802</v>
      </c>
    </row>
    <row r="1517" spans="1:35">
      <c r="A1517" s="1">
        <v>42059</v>
      </c>
      <c r="B1517" s="1">
        <v>37232</v>
      </c>
      <c r="C1517" t="s">
        <v>3916</v>
      </c>
      <c r="D1517">
        <v>311</v>
      </c>
      <c r="E1517">
        <v>19577</v>
      </c>
      <c r="F1517">
        <v>9</v>
      </c>
      <c r="G1517">
        <v>1</v>
      </c>
      <c r="H1517">
        <v>1</v>
      </c>
      <c r="I1517">
        <v>2</v>
      </c>
      <c r="J1517" t="s">
        <v>3487</v>
      </c>
      <c r="K1517" t="s">
        <v>3488</v>
      </c>
      <c r="L1517" s="2">
        <v>2171.2941999999998</v>
      </c>
      <c r="M1517" s="2">
        <v>3578.27</v>
      </c>
      <c r="N1517" t="s">
        <v>13</v>
      </c>
      <c r="O1517" t="s">
        <v>103</v>
      </c>
      <c r="P1517" t="s">
        <v>187</v>
      </c>
      <c r="Q1517" t="s">
        <v>7846</v>
      </c>
      <c r="R1517" s="1">
        <v>24339</v>
      </c>
      <c r="S1517" t="s">
        <v>16</v>
      </c>
      <c r="T1517" t="s">
        <v>16</v>
      </c>
      <c r="U1517" t="s">
        <v>2333</v>
      </c>
      <c r="V1517">
        <v>90000</v>
      </c>
      <c r="W1517">
        <v>0</v>
      </c>
      <c r="X1517" t="s">
        <v>17</v>
      </c>
      <c r="Y1517" t="s">
        <v>18</v>
      </c>
      <c r="Z1517" t="s">
        <v>19</v>
      </c>
      <c r="AA1517" t="s">
        <v>3586</v>
      </c>
      <c r="AB1517" t="s">
        <v>3586</v>
      </c>
      <c r="AC1517" t="s">
        <v>3587</v>
      </c>
      <c r="AD1517" t="s">
        <v>3479</v>
      </c>
      <c r="AE1517" t="s">
        <v>3475</v>
      </c>
      <c r="AF1517" s="2">
        <v>3578.27</v>
      </c>
      <c r="AG1517" s="2">
        <v>2171.2941999999998</v>
      </c>
      <c r="AH1517" s="2">
        <v>1406.9757999999999</v>
      </c>
      <c r="AI1517" s="3">
        <v>0.39320001006072802</v>
      </c>
    </row>
    <row r="1518" spans="1:35">
      <c r="A1518" s="1">
        <v>42055</v>
      </c>
      <c r="B1518" s="1">
        <v>37263</v>
      </c>
      <c r="C1518" t="s">
        <v>3890</v>
      </c>
      <c r="D1518">
        <v>314</v>
      </c>
      <c r="E1518">
        <v>19586</v>
      </c>
      <c r="F1518">
        <v>9</v>
      </c>
      <c r="G1518">
        <v>1</v>
      </c>
      <c r="H1518">
        <v>1</v>
      </c>
      <c r="I1518">
        <v>2</v>
      </c>
      <c r="J1518" t="s">
        <v>3493</v>
      </c>
      <c r="K1518" t="s">
        <v>3494</v>
      </c>
      <c r="L1518" s="2">
        <v>2171.2941999999998</v>
      </c>
      <c r="M1518" s="2">
        <v>3578.27</v>
      </c>
      <c r="N1518" t="s">
        <v>13</v>
      </c>
      <c r="O1518" t="s">
        <v>222</v>
      </c>
      <c r="P1518" t="s">
        <v>664</v>
      </c>
      <c r="Q1518" t="s">
        <v>7847</v>
      </c>
      <c r="R1518" s="1">
        <v>24995</v>
      </c>
      <c r="S1518" t="s">
        <v>22</v>
      </c>
      <c r="T1518" t="s">
        <v>16</v>
      </c>
      <c r="U1518" t="s">
        <v>2334</v>
      </c>
      <c r="V1518">
        <v>70000</v>
      </c>
      <c r="W1518">
        <v>0</v>
      </c>
      <c r="X1518" t="s">
        <v>17</v>
      </c>
      <c r="Y1518" t="s">
        <v>18</v>
      </c>
      <c r="Z1518" t="s">
        <v>19</v>
      </c>
      <c r="AA1518" t="s">
        <v>3586</v>
      </c>
      <c r="AB1518" t="s">
        <v>3586</v>
      </c>
      <c r="AC1518" t="s">
        <v>3587</v>
      </c>
      <c r="AD1518" t="s">
        <v>3479</v>
      </c>
      <c r="AE1518" t="s">
        <v>3475</v>
      </c>
      <c r="AF1518" s="2">
        <v>3578.27</v>
      </c>
      <c r="AG1518" s="2">
        <v>2171.2941999999998</v>
      </c>
      <c r="AH1518" s="2">
        <v>1406.9757999999999</v>
      </c>
      <c r="AI1518" s="3">
        <v>0.39320001006072802</v>
      </c>
    </row>
    <row r="1519" spans="1:35">
      <c r="A1519" s="1">
        <v>42042</v>
      </c>
      <c r="B1519" s="1">
        <v>37174</v>
      </c>
      <c r="C1519" t="s">
        <v>3822</v>
      </c>
      <c r="D1519">
        <v>313</v>
      </c>
      <c r="E1519">
        <v>19588</v>
      </c>
      <c r="F1519">
        <v>9</v>
      </c>
      <c r="G1519">
        <v>1</v>
      </c>
      <c r="H1519">
        <v>1</v>
      </c>
      <c r="I1519">
        <v>2</v>
      </c>
      <c r="J1519" t="s">
        <v>3491</v>
      </c>
      <c r="K1519" t="s">
        <v>3492</v>
      </c>
      <c r="L1519" s="2">
        <v>2171.2941999999998</v>
      </c>
      <c r="M1519" s="2">
        <v>3578.27</v>
      </c>
      <c r="N1519" t="s">
        <v>13</v>
      </c>
      <c r="O1519" t="s">
        <v>458</v>
      </c>
      <c r="P1519" t="s">
        <v>431</v>
      </c>
      <c r="Q1519" t="s">
        <v>7848</v>
      </c>
      <c r="R1519" s="1">
        <v>25023</v>
      </c>
      <c r="S1519" t="s">
        <v>16</v>
      </c>
      <c r="T1519" t="s">
        <v>16</v>
      </c>
      <c r="U1519" t="s">
        <v>2335</v>
      </c>
      <c r="V1519">
        <v>80000</v>
      </c>
      <c r="W1519">
        <v>5</v>
      </c>
      <c r="X1519" t="s">
        <v>17</v>
      </c>
      <c r="Y1519" t="s">
        <v>18</v>
      </c>
      <c r="Z1519" t="s">
        <v>19</v>
      </c>
      <c r="AA1519" t="s">
        <v>3586</v>
      </c>
      <c r="AB1519" t="s">
        <v>3586</v>
      </c>
      <c r="AC1519" t="s">
        <v>3587</v>
      </c>
      <c r="AD1519" t="s">
        <v>3479</v>
      </c>
      <c r="AE1519" t="s">
        <v>3475</v>
      </c>
      <c r="AF1519" s="2">
        <v>3578.27</v>
      </c>
      <c r="AG1519" s="2">
        <v>2171.2941999999998</v>
      </c>
      <c r="AH1519" s="2">
        <v>1406.9757999999999</v>
      </c>
      <c r="AI1519" s="3">
        <v>0.39320001006072802</v>
      </c>
    </row>
    <row r="1520" spans="1:35">
      <c r="A1520" s="1">
        <v>42057</v>
      </c>
      <c r="B1520" s="1">
        <v>37240</v>
      </c>
      <c r="C1520" t="s">
        <v>3903</v>
      </c>
      <c r="D1520">
        <v>310</v>
      </c>
      <c r="E1520">
        <v>19592</v>
      </c>
      <c r="F1520">
        <v>9</v>
      </c>
      <c r="G1520">
        <v>1</v>
      </c>
      <c r="H1520">
        <v>1</v>
      </c>
      <c r="I1520">
        <v>2</v>
      </c>
      <c r="J1520" t="s">
        <v>3485</v>
      </c>
      <c r="K1520" t="s">
        <v>3486</v>
      </c>
      <c r="L1520" s="2">
        <v>2171.2941999999998</v>
      </c>
      <c r="M1520" s="2">
        <v>3578.27</v>
      </c>
      <c r="N1520" t="s">
        <v>30</v>
      </c>
      <c r="O1520" t="s">
        <v>1133</v>
      </c>
      <c r="P1520" t="s">
        <v>474</v>
      </c>
      <c r="Q1520" t="s">
        <v>7849</v>
      </c>
      <c r="R1520" s="1">
        <v>23067</v>
      </c>
      <c r="S1520" t="s">
        <v>22</v>
      </c>
      <c r="T1520" t="s">
        <v>29</v>
      </c>
      <c r="U1520" t="s">
        <v>2336</v>
      </c>
      <c r="V1520">
        <v>60000</v>
      </c>
      <c r="W1520">
        <v>3</v>
      </c>
      <c r="X1520" t="s">
        <v>17</v>
      </c>
      <c r="Y1520" t="s">
        <v>18</v>
      </c>
      <c r="Z1520" t="s">
        <v>23</v>
      </c>
      <c r="AA1520" t="s">
        <v>3586</v>
      </c>
      <c r="AB1520" t="s">
        <v>3586</v>
      </c>
      <c r="AC1520" t="s">
        <v>3587</v>
      </c>
      <c r="AD1520" t="s">
        <v>3479</v>
      </c>
      <c r="AE1520" t="s">
        <v>3475</v>
      </c>
      <c r="AF1520" s="2">
        <v>3578.27</v>
      </c>
      <c r="AG1520" s="2">
        <v>2171.2941999999998</v>
      </c>
      <c r="AH1520" s="2">
        <v>1406.9757999999999</v>
      </c>
      <c r="AI1520" s="3">
        <v>0.39320001006072802</v>
      </c>
    </row>
    <row r="1521" spans="1:35">
      <c r="A1521" s="1">
        <v>42061</v>
      </c>
      <c r="B1521" s="1">
        <v>37229</v>
      </c>
      <c r="C1521" t="s">
        <v>3925</v>
      </c>
      <c r="D1521">
        <v>313</v>
      </c>
      <c r="E1521">
        <v>19593</v>
      </c>
      <c r="F1521">
        <v>9</v>
      </c>
      <c r="G1521">
        <v>1</v>
      </c>
      <c r="H1521">
        <v>1</v>
      </c>
      <c r="I1521">
        <v>2</v>
      </c>
      <c r="J1521" t="s">
        <v>3491</v>
      </c>
      <c r="K1521" t="s">
        <v>3492</v>
      </c>
      <c r="L1521" s="2">
        <v>2171.2941999999998</v>
      </c>
      <c r="M1521" s="2">
        <v>3578.27</v>
      </c>
      <c r="N1521" t="s">
        <v>30</v>
      </c>
      <c r="O1521" t="s">
        <v>445</v>
      </c>
      <c r="P1521" t="s">
        <v>830</v>
      </c>
      <c r="Q1521" t="s">
        <v>7850</v>
      </c>
      <c r="R1521" s="1">
        <v>23298</v>
      </c>
      <c r="S1521" t="s">
        <v>22</v>
      </c>
      <c r="T1521" t="s">
        <v>29</v>
      </c>
      <c r="U1521" t="s">
        <v>2337</v>
      </c>
      <c r="V1521">
        <v>60000</v>
      </c>
      <c r="W1521">
        <v>3</v>
      </c>
      <c r="X1521" t="s">
        <v>17</v>
      </c>
      <c r="Y1521" t="s">
        <v>18</v>
      </c>
      <c r="Z1521" t="s">
        <v>23</v>
      </c>
      <c r="AA1521" t="s">
        <v>3586</v>
      </c>
      <c r="AB1521" t="s">
        <v>3586</v>
      </c>
      <c r="AC1521" t="s">
        <v>3587</v>
      </c>
      <c r="AD1521" t="s">
        <v>3479</v>
      </c>
      <c r="AE1521" t="s">
        <v>3475</v>
      </c>
      <c r="AF1521" s="2">
        <v>3578.27</v>
      </c>
      <c r="AG1521" s="2">
        <v>2171.2941999999998</v>
      </c>
      <c r="AH1521" s="2">
        <v>1406.9757999999999</v>
      </c>
      <c r="AI1521" s="3">
        <v>0.39320001006072802</v>
      </c>
    </row>
    <row r="1522" spans="1:35">
      <c r="A1522" s="1">
        <v>42043</v>
      </c>
      <c r="B1522" s="1">
        <v>37179</v>
      </c>
      <c r="C1522" t="s">
        <v>3828</v>
      </c>
      <c r="D1522">
        <v>312</v>
      </c>
      <c r="E1522">
        <v>19594</v>
      </c>
      <c r="F1522">
        <v>9</v>
      </c>
      <c r="G1522">
        <v>1</v>
      </c>
      <c r="H1522">
        <v>1</v>
      </c>
      <c r="I1522">
        <v>2</v>
      </c>
      <c r="J1522" t="s">
        <v>3489</v>
      </c>
      <c r="K1522" t="s">
        <v>3490</v>
      </c>
      <c r="L1522" s="2">
        <v>2171.2941999999998</v>
      </c>
      <c r="M1522" s="2">
        <v>3578.27</v>
      </c>
      <c r="N1522" t="s">
        <v>26</v>
      </c>
      <c r="O1522" t="s">
        <v>981</v>
      </c>
      <c r="P1522" t="s">
        <v>210</v>
      </c>
      <c r="Q1522" t="s">
        <v>7851</v>
      </c>
      <c r="R1522" s="1">
        <v>23241</v>
      </c>
      <c r="S1522" t="s">
        <v>22</v>
      </c>
      <c r="T1522" t="s">
        <v>29</v>
      </c>
      <c r="U1522" t="s">
        <v>2338</v>
      </c>
      <c r="V1522">
        <v>70000</v>
      </c>
      <c r="W1522">
        <v>0</v>
      </c>
      <c r="X1522" t="s">
        <v>17</v>
      </c>
      <c r="Y1522" t="s">
        <v>18</v>
      </c>
      <c r="Z1522" t="s">
        <v>23</v>
      </c>
      <c r="AA1522" t="s">
        <v>3586</v>
      </c>
      <c r="AB1522" t="s">
        <v>3586</v>
      </c>
      <c r="AC1522" t="s">
        <v>3587</v>
      </c>
      <c r="AD1522" t="s">
        <v>3479</v>
      </c>
      <c r="AE1522" t="s">
        <v>3475</v>
      </c>
      <c r="AF1522" s="2">
        <v>3578.27</v>
      </c>
      <c r="AG1522" s="2">
        <v>2171.2941999999998</v>
      </c>
      <c r="AH1522" s="2">
        <v>1406.9757999999999</v>
      </c>
      <c r="AI1522" s="3">
        <v>0.39320001006072802</v>
      </c>
    </row>
    <row r="1523" spans="1:35">
      <c r="A1523" s="1">
        <v>42057</v>
      </c>
      <c r="B1523" s="1">
        <v>37248</v>
      </c>
      <c r="C1523" t="s">
        <v>3897</v>
      </c>
      <c r="D1523">
        <v>310</v>
      </c>
      <c r="E1523">
        <v>19595</v>
      </c>
      <c r="F1523">
        <v>9</v>
      </c>
      <c r="G1523">
        <v>1</v>
      </c>
      <c r="H1523">
        <v>1</v>
      </c>
      <c r="I1523">
        <v>2</v>
      </c>
      <c r="J1523" t="s">
        <v>3485</v>
      </c>
      <c r="K1523" t="s">
        <v>3486</v>
      </c>
      <c r="L1523" s="2">
        <v>2171.2941999999998</v>
      </c>
      <c r="M1523" s="2">
        <v>3578.27</v>
      </c>
      <c r="N1523" t="s">
        <v>13</v>
      </c>
      <c r="O1523" t="s">
        <v>133</v>
      </c>
      <c r="P1523" t="s">
        <v>155</v>
      </c>
      <c r="Q1523" t="s">
        <v>7852</v>
      </c>
      <c r="R1523" s="1">
        <v>23086</v>
      </c>
      <c r="S1523" t="s">
        <v>22</v>
      </c>
      <c r="T1523" t="s">
        <v>16</v>
      </c>
      <c r="U1523" t="s">
        <v>2339</v>
      </c>
      <c r="V1523">
        <v>70000</v>
      </c>
      <c r="W1523">
        <v>0</v>
      </c>
      <c r="X1523" t="s">
        <v>17</v>
      </c>
      <c r="Y1523" t="s">
        <v>18</v>
      </c>
      <c r="Z1523" t="s">
        <v>23</v>
      </c>
      <c r="AA1523" t="s">
        <v>3586</v>
      </c>
      <c r="AB1523" t="s">
        <v>3586</v>
      </c>
      <c r="AC1523" t="s">
        <v>3587</v>
      </c>
      <c r="AD1523" t="s">
        <v>3479</v>
      </c>
      <c r="AE1523" t="s">
        <v>3475</v>
      </c>
      <c r="AF1523" s="2">
        <v>3578.27</v>
      </c>
      <c r="AG1523" s="2">
        <v>2171.2941999999998</v>
      </c>
      <c r="AH1523" s="2">
        <v>1406.9757999999999</v>
      </c>
      <c r="AI1523" s="3">
        <v>0.39320001006072802</v>
      </c>
    </row>
    <row r="1524" spans="1:35">
      <c r="A1524" s="1">
        <v>42040</v>
      </c>
      <c r="B1524" s="1">
        <v>37264</v>
      </c>
      <c r="C1524" t="s">
        <v>3803</v>
      </c>
      <c r="D1524">
        <v>313</v>
      </c>
      <c r="E1524">
        <v>19596</v>
      </c>
      <c r="F1524">
        <v>9</v>
      </c>
      <c r="G1524">
        <v>1</v>
      </c>
      <c r="H1524">
        <v>1</v>
      </c>
      <c r="I1524">
        <v>2</v>
      </c>
      <c r="J1524" t="s">
        <v>3491</v>
      </c>
      <c r="K1524" t="s">
        <v>3492</v>
      </c>
      <c r="L1524" s="2">
        <v>2171.2941999999998</v>
      </c>
      <c r="M1524" s="2">
        <v>3578.27</v>
      </c>
      <c r="N1524" t="s">
        <v>13</v>
      </c>
      <c r="O1524" t="s">
        <v>425</v>
      </c>
      <c r="P1524" t="s">
        <v>209</v>
      </c>
      <c r="Q1524" t="s">
        <v>7853</v>
      </c>
      <c r="R1524" s="1">
        <v>23142</v>
      </c>
      <c r="S1524" t="s">
        <v>22</v>
      </c>
      <c r="T1524" t="s">
        <v>16</v>
      </c>
      <c r="U1524" t="s">
        <v>2340</v>
      </c>
      <c r="V1524">
        <v>70000</v>
      </c>
      <c r="W1524">
        <v>0</v>
      </c>
      <c r="X1524" t="s">
        <v>17</v>
      </c>
      <c r="Y1524" t="s">
        <v>18</v>
      </c>
      <c r="Z1524" t="s">
        <v>23</v>
      </c>
      <c r="AA1524" t="s">
        <v>3586</v>
      </c>
      <c r="AB1524" t="s">
        <v>3586</v>
      </c>
      <c r="AC1524" t="s">
        <v>3587</v>
      </c>
      <c r="AD1524" t="s">
        <v>3479</v>
      </c>
      <c r="AE1524" t="s">
        <v>3475</v>
      </c>
      <c r="AF1524" s="2">
        <v>3578.27</v>
      </c>
      <c r="AG1524" s="2">
        <v>2171.2941999999998</v>
      </c>
      <c r="AH1524" s="2">
        <v>1406.9757999999999</v>
      </c>
      <c r="AI1524" s="3">
        <v>0.39320001006072802</v>
      </c>
    </row>
    <row r="1525" spans="1:35">
      <c r="A1525" s="1">
        <v>42054</v>
      </c>
      <c r="B1525" s="1">
        <v>37252</v>
      </c>
      <c r="C1525" t="s">
        <v>3884</v>
      </c>
      <c r="D1525">
        <v>311</v>
      </c>
      <c r="E1525">
        <v>19599</v>
      </c>
      <c r="F1525">
        <v>9</v>
      </c>
      <c r="G1525">
        <v>1</v>
      </c>
      <c r="H1525">
        <v>1</v>
      </c>
      <c r="I1525">
        <v>2</v>
      </c>
      <c r="J1525" t="s">
        <v>3487</v>
      </c>
      <c r="K1525" t="s">
        <v>3488</v>
      </c>
      <c r="L1525" s="2">
        <v>2171.2941999999998</v>
      </c>
      <c r="M1525" s="2">
        <v>3578.27</v>
      </c>
      <c r="N1525" t="s">
        <v>13</v>
      </c>
      <c r="O1525" t="s">
        <v>222</v>
      </c>
      <c r="P1525" t="s">
        <v>476</v>
      </c>
      <c r="Q1525" t="s">
        <v>7854</v>
      </c>
      <c r="R1525" s="1">
        <v>22316</v>
      </c>
      <c r="S1525" t="s">
        <v>16</v>
      </c>
      <c r="T1525" t="s">
        <v>16</v>
      </c>
      <c r="U1525" t="s">
        <v>2341</v>
      </c>
      <c r="V1525">
        <v>60000</v>
      </c>
      <c r="W1525">
        <v>1</v>
      </c>
      <c r="X1525" t="s">
        <v>52</v>
      </c>
      <c r="Y1525" t="s">
        <v>53</v>
      </c>
      <c r="Z1525" t="s">
        <v>23</v>
      </c>
      <c r="AA1525" t="s">
        <v>3586</v>
      </c>
      <c r="AB1525" t="s">
        <v>3586</v>
      </c>
      <c r="AC1525" t="s">
        <v>3587</v>
      </c>
      <c r="AD1525" t="s">
        <v>3479</v>
      </c>
      <c r="AE1525" t="s">
        <v>3475</v>
      </c>
      <c r="AF1525" s="2">
        <v>3578.27</v>
      </c>
      <c r="AG1525" s="2">
        <v>2171.2941999999998</v>
      </c>
      <c r="AH1525" s="2">
        <v>1406.9757999999999</v>
      </c>
      <c r="AI1525" s="3">
        <v>0.39320001006072802</v>
      </c>
    </row>
    <row r="1526" spans="1:35">
      <c r="A1526" s="1">
        <v>42057</v>
      </c>
      <c r="B1526" s="1">
        <v>37231</v>
      </c>
      <c r="C1526" t="s">
        <v>3895</v>
      </c>
      <c r="D1526">
        <v>313</v>
      </c>
      <c r="E1526">
        <v>19601</v>
      </c>
      <c r="F1526">
        <v>9</v>
      </c>
      <c r="G1526">
        <v>1</v>
      </c>
      <c r="H1526">
        <v>1</v>
      </c>
      <c r="I1526">
        <v>2</v>
      </c>
      <c r="J1526" t="s">
        <v>3491</v>
      </c>
      <c r="K1526" t="s">
        <v>3492</v>
      </c>
      <c r="L1526" s="2">
        <v>2171.2941999999998</v>
      </c>
      <c r="M1526" s="2">
        <v>3578.27</v>
      </c>
      <c r="N1526" t="s">
        <v>13</v>
      </c>
      <c r="O1526" t="s">
        <v>316</v>
      </c>
      <c r="P1526" t="s">
        <v>40</v>
      </c>
      <c r="Q1526" t="s">
        <v>7855</v>
      </c>
      <c r="R1526" s="1">
        <v>22298</v>
      </c>
      <c r="S1526" t="s">
        <v>16</v>
      </c>
      <c r="T1526" t="s">
        <v>16</v>
      </c>
      <c r="U1526" t="s">
        <v>2342</v>
      </c>
      <c r="V1526">
        <v>60000</v>
      </c>
      <c r="W1526">
        <v>1</v>
      </c>
      <c r="X1526" t="s">
        <v>52</v>
      </c>
      <c r="Y1526" t="s">
        <v>53</v>
      </c>
      <c r="Z1526" t="s">
        <v>19</v>
      </c>
      <c r="AA1526" t="s">
        <v>3586</v>
      </c>
      <c r="AB1526" t="s">
        <v>3586</v>
      </c>
      <c r="AC1526" t="s">
        <v>3587</v>
      </c>
      <c r="AD1526" t="s">
        <v>3479</v>
      </c>
      <c r="AE1526" t="s">
        <v>3475</v>
      </c>
      <c r="AF1526" s="2">
        <v>3578.27</v>
      </c>
      <c r="AG1526" s="2">
        <v>2171.2941999999998</v>
      </c>
      <c r="AH1526" s="2">
        <v>1406.9757999999999</v>
      </c>
      <c r="AI1526" s="3">
        <v>0.39320001006072802</v>
      </c>
    </row>
    <row r="1527" spans="1:35">
      <c r="A1527" s="1">
        <v>42059</v>
      </c>
      <c r="B1527" s="1">
        <v>37257</v>
      </c>
      <c r="C1527" t="s">
        <v>3918</v>
      </c>
      <c r="D1527">
        <v>310</v>
      </c>
      <c r="E1527">
        <v>19602</v>
      </c>
      <c r="F1527">
        <v>9</v>
      </c>
      <c r="G1527">
        <v>1</v>
      </c>
      <c r="H1527">
        <v>1</v>
      </c>
      <c r="I1527">
        <v>2</v>
      </c>
      <c r="J1527" t="s">
        <v>3485</v>
      </c>
      <c r="K1527" t="s">
        <v>3486</v>
      </c>
      <c r="L1527" s="2">
        <v>2171.2941999999998</v>
      </c>
      <c r="M1527" s="2">
        <v>3578.27</v>
      </c>
      <c r="N1527" t="s">
        <v>13</v>
      </c>
      <c r="O1527" t="s">
        <v>535</v>
      </c>
      <c r="P1527" t="s">
        <v>658</v>
      </c>
      <c r="Q1527" t="s">
        <v>7856</v>
      </c>
      <c r="R1527" s="1">
        <v>24208</v>
      </c>
      <c r="S1527" t="s">
        <v>22</v>
      </c>
      <c r="T1527" t="s">
        <v>16</v>
      </c>
      <c r="U1527" t="s">
        <v>2343</v>
      </c>
      <c r="V1527">
        <v>100000</v>
      </c>
      <c r="W1527">
        <v>0</v>
      </c>
      <c r="X1527" t="s">
        <v>17</v>
      </c>
      <c r="Y1527" t="s">
        <v>18</v>
      </c>
      <c r="Z1527" t="s">
        <v>19</v>
      </c>
      <c r="AA1527" t="s">
        <v>3586</v>
      </c>
      <c r="AB1527" t="s">
        <v>3586</v>
      </c>
      <c r="AC1527" t="s">
        <v>3587</v>
      </c>
      <c r="AD1527" t="s">
        <v>3479</v>
      </c>
      <c r="AE1527" t="s">
        <v>3475</v>
      </c>
      <c r="AF1527" s="2">
        <v>3578.27</v>
      </c>
      <c r="AG1527" s="2">
        <v>2171.2941999999998</v>
      </c>
      <c r="AH1527" s="2">
        <v>1406.9757999999999</v>
      </c>
      <c r="AI1527" s="3">
        <v>0.39320001006072802</v>
      </c>
    </row>
    <row r="1528" spans="1:35">
      <c r="A1528" s="1">
        <v>42054</v>
      </c>
      <c r="B1528" s="1">
        <v>37270</v>
      </c>
      <c r="C1528" t="s">
        <v>3885</v>
      </c>
      <c r="D1528">
        <v>310</v>
      </c>
      <c r="E1528">
        <v>19605</v>
      </c>
      <c r="F1528">
        <v>9</v>
      </c>
      <c r="G1528">
        <v>1</v>
      </c>
      <c r="H1528">
        <v>1</v>
      </c>
      <c r="I1528">
        <v>2</v>
      </c>
      <c r="J1528" t="s">
        <v>3485</v>
      </c>
      <c r="K1528" t="s">
        <v>3486</v>
      </c>
      <c r="L1528" s="2">
        <v>2171.2941999999998</v>
      </c>
      <c r="M1528" s="2">
        <v>3578.27</v>
      </c>
      <c r="N1528" t="s">
        <v>13</v>
      </c>
      <c r="O1528" t="s">
        <v>1087</v>
      </c>
      <c r="P1528" t="s">
        <v>468</v>
      </c>
      <c r="Q1528" t="s">
        <v>7857</v>
      </c>
      <c r="R1528" s="1">
        <v>22247</v>
      </c>
      <c r="S1528" t="s">
        <v>16</v>
      </c>
      <c r="T1528" t="s">
        <v>16</v>
      </c>
      <c r="U1528" t="s">
        <v>2344</v>
      </c>
      <c r="V1528">
        <v>60000</v>
      </c>
      <c r="W1528">
        <v>1</v>
      </c>
      <c r="X1528" t="s">
        <v>52</v>
      </c>
      <c r="Y1528" t="s">
        <v>53</v>
      </c>
      <c r="Z1528" t="s">
        <v>19</v>
      </c>
      <c r="AA1528" t="s">
        <v>3586</v>
      </c>
      <c r="AB1528" t="s">
        <v>3586</v>
      </c>
      <c r="AC1528" t="s">
        <v>3587</v>
      </c>
      <c r="AD1528" t="s">
        <v>3479</v>
      </c>
      <c r="AE1528" t="s">
        <v>3475</v>
      </c>
      <c r="AF1528" s="2">
        <v>3578.27</v>
      </c>
      <c r="AG1528" s="2">
        <v>2171.2941999999998</v>
      </c>
      <c r="AH1528" s="2">
        <v>1406.9757999999999</v>
      </c>
      <c r="AI1528" s="3">
        <v>0.39320001006072802</v>
      </c>
    </row>
    <row r="1529" spans="1:35">
      <c r="A1529" s="1">
        <v>42041</v>
      </c>
      <c r="B1529" s="1">
        <v>37237</v>
      </c>
      <c r="C1529" t="s">
        <v>3818</v>
      </c>
      <c r="D1529">
        <v>312</v>
      </c>
      <c r="E1529">
        <v>19607</v>
      </c>
      <c r="F1529">
        <v>9</v>
      </c>
      <c r="G1529">
        <v>1</v>
      </c>
      <c r="H1529">
        <v>1</v>
      </c>
      <c r="I1529">
        <v>2</v>
      </c>
      <c r="J1529" t="s">
        <v>3489</v>
      </c>
      <c r="K1529" t="s">
        <v>3490</v>
      </c>
      <c r="L1529" s="2">
        <v>2171.2941999999998</v>
      </c>
      <c r="M1529" s="2">
        <v>3578.27</v>
      </c>
      <c r="N1529" t="s">
        <v>13</v>
      </c>
      <c r="O1529" t="s">
        <v>639</v>
      </c>
      <c r="P1529" t="s">
        <v>561</v>
      </c>
      <c r="Q1529" t="s">
        <v>7858</v>
      </c>
      <c r="R1529" s="1">
        <v>23794</v>
      </c>
      <c r="S1529" t="s">
        <v>22</v>
      </c>
      <c r="T1529" t="s">
        <v>16</v>
      </c>
      <c r="U1529" t="s">
        <v>2345</v>
      </c>
      <c r="V1529">
        <v>70000</v>
      </c>
      <c r="W1529">
        <v>0</v>
      </c>
      <c r="X1529" t="s">
        <v>17</v>
      </c>
      <c r="Y1529" t="s">
        <v>18</v>
      </c>
      <c r="Z1529" t="s">
        <v>19</v>
      </c>
      <c r="AA1529" t="s">
        <v>3586</v>
      </c>
      <c r="AB1529" t="s">
        <v>3586</v>
      </c>
      <c r="AC1529" t="s">
        <v>3587</v>
      </c>
      <c r="AD1529" t="s">
        <v>3479</v>
      </c>
      <c r="AE1529" t="s">
        <v>3475</v>
      </c>
      <c r="AF1529" s="2">
        <v>3578.27</v>
      </c>
      <c r="AG1529" s="2">
        <v>2171.2941999999998</v>
      </c>
      <c r="AH1529" s="2">
        <v>1406.9757999999999</v>
      </c>
      <c r="AI1529" s="3">
        <v>0.39320001006072802</v>
      </c>
    </row>
    <row r="1530" spans="1:35">
      <c r="A1530" s="1">
        <v>42060</v>
      </c>
      <c r="B1530" s="1">
        <v>37228</v>
      </c>
      <c r="C1530" t="s">
        <v>3921</v>
      </c>
      <c r="D1530">
        <v>310</v>
      </c>
      <c r="E1530">
        <v>19609</v>
      </c>
      <c r="F1530">
        <v>9</v>
      </c>
      <c r="G1530">
        <v>1</v>
      </c>
      <c r="H1530">
        <v>1</v>
      </c>
      <c r="I1530">
        <v>2</v>
      </c>
      <c r="J1530" t="s">
        <v>3485</v>
      </c>
      <c r="K1530" t="s">
        <v>3486</v>
      </c>
      <c r="L1530" s="2">
        <v>2171.2941999999998</v>
      </c>
      <c r="M1530" s="2">
        <v>3578.27</v>
      </c>
      <c r="N1530" t="s">
        <v>26</v>
      </c>
      <c r="O1530" t="s">
        <v>213</v>
      </c>
      <c r="P1530" t="s">
        <v>290</v>
      </c>
      <c r="Q1530" t="s">
        <v>7859</v>
      </c>
      <c r="R1530" s="1">
        <v>23550</v>
      </c>
      <c r="S1530" t="s">
        <v>22</v>
      </c>
      <c r="T1530" t="s">
        <v>29</v>
      </c>
      <c r="U1530" t="s">
        <v>2346</v>
      </c>
      <c r="V1530">
        <v>70000</v>
      </c>
      <c r="W1530">
        <v>0</v>
      </c>
      <c r="X1530" t="s">
        <v>17</v>
      </c>
      <c r="Y1530" t="s">
        <v>18</v>
      </c>
      <c r="Z1530" t="s">
        <v>23</v>
      </c>
      <c r="AA1530" t="s">
        <v>3586</v>
      </c>
      <c r="AB1530" t="s">
        <v>3586</v>
      </c>
      <c r="AC1530" t="s">
        <v>3587</v>
      </c>
      <c r="AD1530" t="s">
        <v>3479</v>
      </c>
      <c r="AE1530" t="s">
        <v>3475</v>
      </c>
      <c r="AF1530" s="2">
        <v>3578.27</v>
      </c>
      <c r="AG1530" s="2">
        <v>2171.2941999999998</v>
      </c>
      <c r="AH1530" s="2">
        <v>1406.9757999999999</v>
      </c>
      <c r="AI1530" s="3">
        <v>0.39320001006072802</v>
      </c>
    </row>
    <row r="1531" spans="1:35">
      <c r="A1531" s="1">
        <v>42056</v>
      </c>
      <c r="B1531" s="1">
        <v>37235</v>
      </c>
      <c r="C1531" t="s">
        <v>3894</v>
      </c>
      <c r="D1531">
        <v>311</v>
      </c>
      <c r="E1531">
        <v>19611</v>
      </c>
      <c r="F1531">
        <v>9</v>
      </c>
      <c r="G1531">
        <v>1</v>
      </c>
      <c r="H1531">
        <v>1</v>
      </c>
      <c r="I1531">
        <v>2</v>
      </c>
      <c r="J1531" t="s">
        <v>3487</v>
      </c>
      <c r="K1531" t="s">
        <v>3488</v>
      </c>
      <c r="L1531" s="2">
        <v>2171.2941999999998</v>
      </c>
      <c r="M1531" s="2">
        <v>3578.27</v>
      </c>
      <c r="N1531" t="s">
        <v>26</v>
      </c>
      <c r="O1531" t="s">
        <v>642</v>
      </c>
      <c r="P1531" t="s">
        <v>353</v>
      </c>
      <c r="Q1531" t="s">
        <v>7860</v>
      </c>
      <c r="R1531" s="1">
        <v>23299</v>
      </c>
      <c r="S1531" t="s">
        <v>22</v>
      </c>
      <c r="T1531" t="s">
        <v>29</v>
      </c>
      <c r="U1531" t="s">
        <v>2347</v>
      </c>
      <c r="V1531">
        <v>70000</v>
      </c>
      <c r="W1531">
        <v>0</v>
      </c>
      <c r="X1531" t="s">
        <v>17</v>
      </c>
      <c r="Y1531" t="s">
        <v>18</v>
      </c>
      <c r="Z1531" t="s">
        <v>23</v>
      </c>
      <c r="AA1531" t="s">
        <v>3586</v>
      </c>
      <c r="AB1531" t="s">
        <v>3586</v>
      </c>
      <c r="AC1531" t="s">
        <v>3587</v>
      </c>
      <c r="AD1531" t="s">
        <v>3479</v>
      </c>
      <c r="AE1531" t="s">
        <v>3475</v>
      </c>
      <c r="AF1531" s="2">
        <v>3578.27</v>
      </c>
      <c r="AG1531" s="2">
        <v>2171.2941999999998</v>
      </c>
      <c r="AH1531" s="2">
        <v>1406.9757999999999</v>
      </c>
      <c r="AI1531" s="3">
        <v>0.39320001006072802</v>
      </c>
    </row>
    <row r="1532" spans="1:35">
      <c r="A1532" s="1">
        <v>42045</v>
      </c>
      <c r="B1532" s="1">
        <v>37217</v>
      </c>
      <c r="C1532" t="s">
        <v>3835</v>
      </c>
      <c r="D1532">
        <v>312</v>
      </c>
      <c r="E1532">
        <v>19612</v>
      </c>
      <c r="F1532">
        <v>9</v>
      </c>
      <c r="G1532">
        <v>1</v>
      </c>
      <c r="H1532">
        <v>1</v>
      </c>
      <c r="I1532">
        <v>2</v>
      </c>
      <c r="J1532" t="s">
        <v>3489</v>
      </c>
      <c r="K1532" t="s">
        <v>3490</v>
      </c>
      <c r="L1532" s="2">
        <v>2171.2941999999998</v>
      </c>
      <c r="M1532" s="2">
        <v>3578.27</v>
      </c>
      <c r="N1532" t="s">
        <v>13</v>
      </c>
      <c r="O1532" t="s">
        <v>1288</v>
      </c>
      <c r="P1532" t="s">
        <v>538</v>
      </c>
      <c r="Q1532" t="s">
        <v>7861</v>
      </c>
      <c r="R1532" s="1">
        <v>23068</v>
      </c>
      <c r="S1532" t="s">
        <v>22</v>
      </c>
      <c r="T1532" t="s">
        <v>16</v>
      </c>
      <c r="U1532" t="s">
        <v>2348</v>
      </c>
      <c r="V1532">
        <v>70000</v>
      </c>
      <c r="W1532">
        <v>0</v>
      </c>
      <c r="X1532" t="s">
        <v>17</v>
      </c>
      <c r="Y1532" t="s">
        <v>18</v>
      </c>
      <c r="Z1532" t="s">
        <v>23</v>
      </c>
      <c r="AA1532" t="s">
        <v>3586</v>
      </c>
      <c r="AB1532" t="s">
        <v>3586</v>
      </c>
      <c r="AC1532" t="s">
        <v>3587</v>
      </c>
      <c r="AD1532" t="s">
        <v>3479</v>
      </c>
      <c r="AE1532" t="s">
        <v>3475</v>
      </c>
      <c r="AF1532" s="2">
        <v>3578.27</v>
      </c>
      <c r="AG1532" s="2">
        <v>2171.2941999999998</v>
      </c>
      <c r="AH1532" s="2">
        <v>1406.9757999999999</v>
      </c>
      <c r="AI1532" s="3">
        <v>0.39320001006072802</v>
      </c>
    </row>
    <row r="1533" spans="1:35">
      <c r="A1533" s="1">
        <v>42036</v>
      </c>
      <c r="B1533" s="1">
        <v>37266</v>
      </c>
      <c r="C1533" t="s">
        <v>3782</v>
      </c>
      <c r="D1533">
        <v>311</v>
      </c>
      <c r="E1533">
        <v>19613</v>
      </c>
      <c r="F1533">
        <v>9</v>
      </c>
      <c r="G1533">
        <v>1</v>
      </c>
      <c r="H1533">
        <v>1</v>
      </c>
      <c r="I1533">
        <v>2</v>
      </c>
      <c r="J1533" t="s">
        <v>3487</v>
      </c>
      <c r="K1533" t="s">
        <v>3488</v>
      </c>
      <c r="L1533" s="2">
        <v>2171.2941999999998</v>
      </c>
      <c r="M1533" s="2">
        <v>3578.27</v>
      </c>
      <c r="N1533" t="s">
        <v>13</v>
      </c>
      <c r="O1533" t="s">
        <v>24</v>
      </c>
      <c r="P1533" t="s">
        <v>99</v>
      </c>
      <c r="Q1533" t="s">
        <v>7862</v>
      </c>
      <c r="R1533" s="1">
        <v>23274</v>
      </c>
      <c r="S1533" t="s">
        <v>22</v>
      </c>
      <c r="T1533" t="s">
        <v>16</v>
      </c>
      <c r="U1533" t="s">
        <v>2349</v>
      </c>
      <c r="V1533">
        <v>70000</v>
      </c>
      <c r="W1533">
        <v>0</v>
      </c>
      <c r="X1533" t="s">
        <v>17</v>
      </c>
      <c r="Y1533" t="s">
        <v>18</v>
      </c>
      <c r="Z1533" t="s">
        <v>23</v>
      </c>
      <c r="AA1533" t="s">
        <v>3586</v>
      </c>
      <c r="AB1533" t="s">
        <v>3586</v>
      </c>
      <c r="AC1533" t="s">
        <v>3587</v>
      </c>
      <c r="AD1533" t="s">
        <v>3479</v>
      </c>
      <c r="AE1533" t="s">
        <v>3475</v>
      </c>
      <c r="AF1533" s="2">
        <v>3578.27</v>
      </c>
      <c r="AG1533" s="2">
        <v>2171.2941999999998</v>
      </c>
      <c r="AH1533" s="2">
        <v>1406.9757999999999</v>
      </c>
      <c r="AI1533" s="3">
        <v>0.39320001006072802</v>
      </c>
    </row>
    <row r="1534" spans="1:35">
      <c r="A1534" s="1">
        <v>42057</v>
      </c>
      <c r="B1534" s="1">
        <v>37246</v>
      </c>
      <c r="C1534" t="s">
        <v>3904</v>
      </c>
      <c r="D1534">
        <v>314</v>
      </c>
      <c r="E1534">
        <v>19614</v>
      </c>
      <c r="F1534">
        <v>9</v>
      </c>
      <c r="G1534">
        <v>1</v>
      </c>
      <c r="H1534">
        <v>1</v>
      </c>
      <c r="I1534">
        <v>2</v>
      </c>
      <c r="J1534" t="s">
        <v>3493</v>
      </c>
      <c r="K1534" t="s">
        <v>3494</v>
      </c>
      <c r="L1534" s="2">
        <v>2171.2941999999998</v>
      </c>
      <c r="M1534" s="2">
        <v>3578.27</v>
      </c>
      <c r="N1534" t="s">
        <v>13</v>
      </c>
      <c r="O1534" t="s">
        <v>54</v>
      </c>
      <c r="P1534" t="s">
        <v>273</v>
      </c>
      <c r="Q1534" t="s">
        <v>7863</v>
      </c>
      <c r="R1534" s="1">
        <v>23227</v>
      </c>
      <c r="S1534" t="s">
        <v>22</v>
      </c>
      <c r="T1534" t="s">
        <v>16</v>
      </c>
      <c r="U1534" t="s">
        <v>2350</v>
      </c>
      <c r="V1534">
        <v>70000</v>
      </c>
      <c r="W1534">
        <v>0</v>
      </c>
      <c r="X1534" t="s">
        <v>17</v>
      </c>
      <c r="Y1534" t="s">
        <v>18</v>
      </c>
      <c r="Z1534" t="s">
        <v>23</v>
      </c>
      <c r="AA1534" t="s">
        <v>3586</v>
      </c>
      <c r="AB1534" t="s">
        <v>3586</v>
      </c>
      <c r="AC1534" t="s">
        <v>3587</v>
      </c>
      <c r="AD1534" t="s">
        <v>3479</v>
      </c>
      <c r="AE1534" t="s">
        <v>3475</v>
      </c>
      <c r="AF1534" s="2">
        <v>3578.27</v>
      </c>
      <c r="AG1534" s="2">
        <v>2171.2941999999998</v>
      </c>
      <c r="AH1534" s="2">
        <v>1406.9757999999999</v>
      </c>
      <c r="AI1534" s="3">
        <v>0.39320001006072802</v>
      </c>
    </row>
    <row r="1535" spans="1:35">
      <c r="A1535" s="1">
        <v>42061</v>
      </c>
      <c r="B1535" s="1">
        <v>37193</v>
      </c>
      <c r="C1535" t="s">
        <v>3926</v>
      </c>
      <c r="D1535">
        <v>311</v>
      </c>
      <c r="E1535">
        <v>19615</v>
      </c>
      <c r="F1535">
        <v>9</v>
      </c>
      <c r="G1535">
        <v>1</v>
      </c>
      <c r="H1535">
        <v>1</v>
      </c>
      <c r="I1535">
        <v>2</v>
      </c>
      <c r="J1535" t="s">
        <v>3487</v>
      </c>
      <c r="K1535" t="s">
        <v>3488</v>
      </c>
      <c r="L1535" s="2">
        <v>2171.2941999999998</v>
      </c>
      <c r="M1535" s="2">
        <v>3578.27</v>
      </c>
      <c r="N1535" t="s">
        <v>13</v>
      </c>
      <c r="O1535" t="s">
        <v>498</v>
      </c>
      <c r="P1535" t="s">
        <v>470</v>
      </c>
      <c r="Q1535" t="s">
        <v>7864</v>
      </c>
      <c r="R1535" s="1">
        <v>22983</v>
      </c>
      <c r="S1535" t="s">
        <v>22</v>
      </c>
      <c r="T1535" t="s">
        <v>16</v>
      </c>
      <c r="U1535" t="s">
        <v>2351</v>
      </c>
      <c r="V1535">
        <v>60000</v>
      </c>
      <c r="W1535">
        <v>1</v>
      </c>
      <c r="X1535" t="s">
        <v>52</v>
      </c>
      <c r="Y1535" t="s">
        <v>53</v>
      </c>
      <c r="Z1535" t="s">
        <v>19</v>
      </c>
      <c r="AA1535" t="s">
        <v>3586</v>
      </c>
      <c r="AB1535" t="s">
        <v>3586</v>
      </c>
      <c r="AC1535" t="s">
        <v>3587</v>
      </c>
      <c r="AD1535" t="s">
        <v>3479</v>
      </c>
      <c r="AE1535" t="s">
        <v>3475</v>
      </c>
      <c r="AF1535" s="2">
        <v>3578.27</v>
      </c>
      <c r="AG1535" s="2">
        <v>2171.2941999999998</v>
      </c>
      <c r="AH1535" s="2">
        <v>1406.9757999999999</v>
      </c>
      <c r="AI1535" s="3">
        <v>0.39320001006072802</v>
      </c>
    </row>
    <row r="1536" spans="1:35">
      <c r="A1536" s="1">
        <v>42061</v>
      </c>
      <c r="B1536" s="1">
        <v>37220</v>
      </c>
      <c r="C1536" t="s">
        <v>3933</v>
      </c>
      <c r="D1536">
        <v>314</v>
      </c>
      <c r="E1536">
        <v>19616</v>
      </c>
      <c r="F1536">
        <v>9</v>
      </c>
      <c r="G1536">
        <v>1</v>
      </c>
      <c r="H1536">
        <v>1</v>
      </c>
      <c r="I1536">
        <v>2</v>
      </c>
      <c r="J1536" t="s">
        <v>3493</v>
      </c>
      <c r="K1536" t="s">
        <v>3494</v>
      </c>
      <c r="L1536" s="2">
        <v>2171.2941999999998</v>
      </c>
      <c r="M1536" s="2">
        <v>3578.27</v>
      </c>
      <c r="N1536" t="s">
        <v>30</v>
      </c>
      <c r="O1536" t="s">
        <v>1126</v>
      </c>
      <c r="P1536" t="s">
        <v>830</v>
      </c>
      <c r="Q1536" t="s">
        <v>7865</v>
      </c>
      <c r="R1536" s="1">
        <v>22801</v>
      </c>
      <c r="S1536" t="s">
        <v>16</v>
      </c>
      <c r="T1536" t="s">
        <v>29</v>
      </c>
      <c r="U1536" t="s">
        <v>2352</v>
      </c>
      <c r="V1536">
        <v>60000</v>
      </c>
      <c r="W1536">
        <v>1</v>
      </c>
      <c r="X1536" t="s">
        <v>52</v>
      </c>
      <c r="Y1536" t="s">
        <v>53</v>
      </c>
      <c r="Z1536" t="s">
        <v>19</v>
      </c>
      <c r="AA1536" t="s">
        <v>3586</v>
      </c>
      <c r="AB1536" t="s">
        <v>3586</v>
      </c>
      <c r="AC1536" t="s">
        <v>3587</v>
      </c>
      <c r="AD1536" t="s">
        <v>3479</v>
      </c>
      <c r="AE1536" t="s">
        <v>3475</v>
      </c>
      <c r="AF1536" s="2">
        <v>3578.27</v>
      </c>
      <c r="AG1536" s="2">
        <v>2171.2941999999998</v>
      </c>
      <c r="AH1536" s="2">
        <v>1406.9757999999999</v>
      </c>
      <c r="AI1536" s="3">
        <v>0.39320001006072802</v>
      </c>
    </row>
    <row r="1537" spans="1:35">
      <c r="A1537" s="1">
        <v>42088</v>
      </c>
      <c r="B1537" s="1">
        <v>37283</v>
      </c>
      <c r="C1537" t="s">
        <v>4102</v>
      </c>
      <c r="D1537">
        <v>312</v>
      </c>
      <c r="E1537">
        <v>19620</v>
      </c>
      <c r="F1537">
        <v>9</v>
      </c>
      <c r="G1537">
        <v>1</v>
      </c>
      <c r="H1537">
        <v>1</v>
      </c>
      <c r="I1537">
        <v>2</v>
      </c>
      <c r="J1537" t="s">
        <v>3489</v>
      </c>
      <c r="K1537" t="s">
        <v>3490</v>
      </c>
      <c r="L1537" s="2">
        <v>2171.2941999999998</v>
      </c>
      <c r="M1537" s="2">
        <v>3578.27</v>
      </c>
      <c r="N1537" t="s">
        <v>13</v>
      </c>
      <c r="O1537" t="s">
        <v>441</v>
      </c>
      <c r="P1537" t="s">
        <v>232</v>
      </c>
      <c r="Q1537" t="s">
        <v>7866</v>
      </c>
      <c r="R1537" s="1">
        <v>22601</v>
      </c>
      <c r="S1537" t="s">
        <v>22</v>
      </c>
      <c r="T1537" t="s">
        <v>16</v>
      </c>
      <c r="U1537" t="s">
        <v>2353</v>
      </c>
      <c r="V1537">
        <v>60000</v>
      </c>
      <c r="W1537">
        <v>1</v>
      </c>
      <c r="X1537" t="s">
        <v>52</v>
      </c>
      <c r="Y1537" t="s">
        <v>53</v>
      </c>
      <c r="Z1537" t="s">
        <v>19</v>
      </c>
      <c r="AA1537" t="s">
        <v>3586</v>
      </c>
      <c r="AB1537" t="s">
        <v>3586</v>
      </c>
      <c r="AC1537" t="s">
        <v>3587</v>
      </c>
      <c r="AD1537" t="s">
        <v>3479</v>
      </c>
      <c r="AE1537" t="s">
        <v>3475</v>
      </c>
      <c r="AF1537" s="2">
        <v>3578.27</v>
      </c>
      <c r="AG1537" s="2">
        <v>2171.2941999999998</v>
      </c>
      <c r="AH1537" s="2">
        <v>1406.9757999999999</v>
      </c>
      <c r="AI1537" s="3">
        <v>0.39320001006072802</v>
      </c>
    </row>
    <row r="1538" spans="1:35">
      <c r="A1538" s="1">
        <v>42083</v>
      </c>
      <c r="B1538" s="1">
        <v>37318</v>
      </c>
      <c r="C1538" t="s">
        <v>4070</v>
      </c>
      <c r="D1538">
        <v>313</v>
      </c>
      <c r="E1538">
        <v>19621</v>
      </c>
      <c r="F1538">
        <v>9</v>
      </c>
      <c r="G1538">
        <v>1</v>
      </c>
      <c r="H1538">
        <v>1</v>
      </c>
      <c r="I1538">
        <v>2</v>
      </c>
      <c r="J1538" t="s">
        <v>3491</v>
      </c>
      <c r="K1538" t="s">
        <v>3492</v>
      </c>
      <c r="L1538" s="2">
        <v>2171.2941999999998</v>
      </c>
      <c r="M1538" s="2">
        <v>3578.27</v>
      </c>
      <c r="N1538" t="s">
        <v>30</v>
      </c>
      <c r="O1538" t="s">
        <v>677</v>
      </c>
      <c r="P1538" t="s">
        <v>291</v>
      </c>
      <c r="Q1538" t="s">
        <v>7867</v>
      </c>
      <c r="R1538" s="1">
        <v>21342</v>
      </c>
      <c r="S1538" t="s">
        <v>16</v>
      </c>
      <c r="T1538" t="s">
        <v>29</v>
      </c>
      <c r="U1538" t="s">
        <v>2354</v>
      </c>
      <c r="V1538">
        <v>80000</v>
      </c>
      <c r="W1538">
        <v>5</v>
      </c>
      <c r="X1538" t="s">
        <v>17</v>
      </c>
      <c r="Y1538" t="s">
        <v>18</v>
      </c>
      <c r="Z1538" t="s">
        <v>19</v>
      </c>
      <c r="AA1538" t="s">
        <v>3586</v>
      </c>
      <c r="AB1538" t="s">
        <v>3586</v>
      </c>
      <c r="AC1538" t="s">
        <v>3587</v>
      </c>
      <c r="AD1538" t="s">
        <v>3479</v>
      </c>
      <c r="AE1538" t="s">
        <v>3475</v>
      </c>
      <c r="AF1538" s="2">
        <v>3578.27</v>
      </c>
      <c r="AG1538" s="2">
        <v>2171.2941999999998</v>
      </c>
      <c r="AH1538" s="2">
        <v>1406.9757999999999</v>
      </c>
      <c r="AI1538" s="3">
        <v>0.39320001006072802</v>
      </c>
    </row>
    <row r="1539" spans="1:35">
      <c r="A1539" s="1">
        <v>42066</v>
      </c>
      <c r="B1539" s="1">
        <v>37273</v>
      </c>
      <c r="C1539" t="s">
        <v>3959</v>
      </c>
      <c r="D1539">
        <v>313</v>
      </c>
      <c r="E1539">
        <v>19628</v>
      </c>
      <c r="F1539">
        <v>9</v>
      </c>
      <c r="G1539">
        <v>1</v>
      </c>
      <c r="H1539">
        <v>1</v>
      </c>
      <c r="I1539">
        <v>2</v>
      </c>
      <c r="J1539" t="s">
        <v>3491</v>
      </c>
      <c r="K1539" t="s">
        <v>3492</v>
      </c>
      <c r="L1539" s="2">
        <v>2171.2941999999998</v>
      </c>
      <c r="M1539" s="2">
        <v>3578.27</v>
      </c>
      <c r="N1539" t="s">
        <v>30</v>
      </c>
      <c r="O1539" t="s">
        <v>1009</v>
      </c>
      <c r="P1539" t="s">
        <v>290</v>
      </c>
      <c r="Q1539" t="s">
        <v>7868</v>
      </c>
      <c r="R1539" s="1">
        <v>20766</v>
      </c>
      <c r="S1539" t="s">
        <v>22</v>
      </c>
      <c r="T1539" t="s">
        <v>29</v>
      </c>
      <c r="U1539" t="s">
        <v>2355</v>
      </c>
      <c r="V1539">
        <v>70000</v>
      </c>
      <c r="W1539">
        <v>1</v>
      </c>
      <c r="X1539" t="s">
        <v>52</v>
      </c>
      <c r="Y1539" t="s">
        <v>53</v>
      </c>
      <c r="Z1539" t="s">
        <v>23</v>
      </c>
      <c r="AA1539" t="s">
        <v>3586</v>
      </c>
      <c r="AB1539" t="s">
        <v>3586</v>
      </c>
      <c r="AC1539" t="s">
        <v>3587</v>
      </c>
      <c r="AD1539" t="s">
        <v>3479</v>
      </c>
      <c r="AE1539" t="s">
        <v>3475</v>
      </c>
      <c r="AF1539" s="2">
        <v>3578.27</v>
      </c>
      <c r="AG1539" s="2">
        <v>2171.2941999999998</v>
      </c>
      <c r="AH1539" s="2">
        <v>1406.9757999999999</v>
      </c>
      <c r="AI1539" s="3">
        <v>0.39320001006072802</v>
      </c>
    </row>
    <row r="1540" spans="1:35">
      <c r="A1540" s="1">
        <v>42088</v>
      </c>
      <c r="B1540" s="1">
        <v>37268</v>
      </c>
      <c r="C1540" t="s">
        <v>4106</v>
      </c>
      <c r="D1540">
        <v>313</v>
      </c>
      <c r="E1540">
        <v>19631</v>
      </c>
      <c r="F1540">
        <v>9</v>
      </c>
      <c r="G1540">
        <v>1</v>
      </c>
      <c r="H1540">
        <v>1</v>
      </c>
      <c r="I1540">
        <v>2</v>
      </c>
      <c r="J1540" t="s">
        <v>3491</v>
      </c>
      <c r="K1540" t="s">
        <v>3492</v>
      </c>
      <c r="L1540" s="2">
        <v>2171.2941999999998</v>
      </c>
      <c r="M1540" s="2">
        <v>3578.27</v>
      </c>
      <c r="N1540" t="s">
        <v>13</v>
      </c>
      <c r="O1540" t="s">
        <v>757</v>
      </c>
      <c r="P1540" t="s">
        <v>512</v>
      </c>
      <c r="Q1540" t="s">
        <v>7869</v>
      </c>
      <c r="R1540" s="1">
        <v>19444</v>
      </c>
      <c r="S1540" t="s">
        <v>16</v>
      </c>
      <c r="T1540" t="s">
        <v>16</v>
      </c>
      <c r="U1540" t="s">
        <v>2356</v>
      </c>
      <c r="V1540">
        <v>40000</v>
      </c>
      <c r="W1540">
        <v>2</v>
      </c>
      <c r="X1540" t="s">
        <v>17</v>
      </c>
      <c r="Y1540" t="s">
        <v>45</v>
      </c>
      <c r="Z1540" t="s">
        <v>19</v>
      </c>
      <c r="AA1540" t="s">
        <v>3586</v>
      </c>
      <c r="AB1540" t="s">
        <v>3586</v>
      </c>
      <c r="AC1540" t="s">
        <v>3587</v>
      </c>
      <c r="AD1540" t="s">
        <v>3479</v>
      </c>
      <c r="AE1540" t="s">
        <v>3475</v>
      </c>
      <c r="AF1540" s="2">
        <v>3578.27</v>
      </c>
      <c r="AG1540" s="2">
        <v>2171.2941999999998</v>
      </c>
      <c r="AH1540" s="2">
        <v>1406.9757999999999</v>
      </c>
      <c r="AI1540" s="3">
        <v>0.39320001006072802</v>
      </c>
    </row>
    <row r="1541" spans="1:35">
      <c r="A1541" s="1">
        <v>42091</v>
      </c>
      <c r="B1541" s="1">
        <v>37304</v>
      </c>
      <c r="C1541" t="s">
        <v>4121</v>
      </c>
      <c r="D1541">
        <v>310</v>
      </c>
      <c r="E1541">
        <v>19652</v>
      </c>
      <c r="F1541">
        <v>9</v>
      </c>
      <c r="G1541">
        <v>1</v>
      </c>
      <c r="H1541">
        <v>1</v>
      </c>
      <c r="I1541">
        <v>2</v>
      </c>
      <c r="J1541" t="s">
        <v>3485</v>
      </c>
      <c r="K1541" t="s">
        <v>3486</v>
      </c>
      <c r="L1541" s="2">
        <v>2171.2941999999998</v>
      </c>
      <c r="M1541" s="2">
        <v>3578.27</v>
      </c>
      <c r="N1541" t="s">
        <v>13</v>
      </c>
      <c r="O1541" t="s">
        <v>1295</v>
      </c>
      <c r="P1541" t="s">
        <v>293</v>
      </c>
      <c r="Q1541" t="s">
        <v>7870</v>
      </c>
      <c r="R1541" s="1">
        <v>15661</v>
      </c>
      <c r="S1541" t="s">
        <v>22</v>
      </c>
      <c r="T1541" t="s">
        <v>16</v>
      </c>
      <c r="U1541" t="s">
        <v>2357</v>
      </c>
      <c r="V1541">
        <v>40000</v>
      </c>
      <c r="W1541">
        <v>2</v>
      </c>
      <c r="X1541" t="s">
        <v>17</v>
      </c>
      <c r="Y1541" t="s">
        <v>45</v>
      </c>
      <c r="Z1541" t="s">
        <v>19</v>
      </c>
      <c r="AA1541" t="s">
        <v>3586</v>
      </c>
      <c r="AB1541" t="s">
        <v>3586</v>
      </c>
      <c r="AC1541" t="s">
        <v>3587</v>
      </c>
      <c r="AD1541" t="s">
        <v>3479</v>
      </c>
      <c r="AE1541" t="s">
        <v>3475</v>
      </c>
      <c r="AF1541" s="2">
        <v>3578.27</v>
      </c>
      <c r="AG1541" s="2">
        <v>2171.2941999999998</v>
      </c>
      <c r="AH1541" s="2">
        <v>1406.9757999999999</v>
      </c>
      <c r="AI1541" s="3">
        <v>0.39320001006072802</v>
      </c>
    </row>
    <row r="1542" spans="1:35">
      <c r="A1542" s="1">
        <v>42085</v>
      </c>
      <c r="B1542" s="1">
        <v>37275</v>
      </c>
      <c r="C1542" t="s">
        <v>4084</v>
      </c>
      <c r="D1542">
        <v>313</v>
      </c>
      <c r="E1542">
        <v>19653</v>
      </c>
      <c r="F1542">
        <v>9</v>
      </c>
      <c r="G1542">
        <v>1</v>
      </c>
      <c r="H1542">
        <v>1</v>
      </c>
      <c r="I1542">
        <v>2</v>
      </c>
      <c r="J1542" t="s">
        <v>3491</v>
      </c>
      <c r="K1542" t="s">
        <v>3492</v>
      </c>
      <c r="L1542" s="2">
        <v>2171.2941999999998</v>
      </c>
      <c r="M1542" s="2">
        <v>3578.27</v>
      </c>
      <c r="N1542" t="s">
        <v>30</v>
      </c>
      <c r="O1542" t="s">
        <v>530</v>
      </c>
      <c r="P1542" t="s">
        <v>95</v>
      </c>
      <c r="Q1542" t="s">
        <v>7871</v>
      </c>
      <c r="R1542" s="1">
        <v>15415</v>
      </c>
      <c r="S1542" t="s">
        <v>16</v>
      </c>
      <c r="T1542" t="s">
        <v>29</v>
      </c>
      <c r="U1542" t="s">
        <v>2358</v>
      </c>
      <c r="V1542">
        <v>50000</v>
      </c>
      <c r="W1542">
        <v>2</v>
      </c>
      <c r="X1542" t="s">
        <v>135</v>
      </c>
      <c r="Y1542" t="s">
        <v>45</v>
      </c>
      <c r="Z1542" t="s">
        <v>19</v>
      </c>
      <c r="AA1542" t="s">
        <v>3586</v>
      </c>
      <c r="AB1542" t="s">
        <v>3586</v>
      </c>
      <c r="AC1542" t="s">
        <v>3587</v>
      </c>
      <c r="AD1542" t="s">
        <v>3479</v>
      </c>
      <c r="AE1542" t="s">
        <v>3475</v>
      </c>
      <c r="AF1542" s="2">
        <v>3578.27</v>
      </c>
      <c r="AG1542" s="2">
        <v>2171.2941999999998</v>
      </c>
      <c r="AH1542" s="2">
        <v>1406.9757999999999</v>
      </c>
      <c r="AI1542" s="3">
        <v>0.39320001006072802</v>
      </c>
    </row>
    <row r="1543" spans="1:35">
      <c r="A1543" s="1">
        <v>42065</v>
      </c>
      <c r="B1543" s="1">
        <v>37269</v>
      </c>
      <c r="C1543" t="s">
        <v>3954</v>
      </c>
      <c r="D1543">
        <v>311</v>
      </c>
      <c r="E1543">
        <v>19763</v>
      </c>
      <c r="F1543">
        <v>9</v>
      </c>
      <c r="G1543">
        <v>1</v>
      </c>
      <c r="H1543">
        <v>1</v>
      </c>
      <c r="I1543">
        <v>2</v>
      </c>
      <c r="J1543" t="s">
        <v>3487</v>
      </c>
      <c r="K1543" t="s">
        <v>3488</v>
      </c>
      <c r="L1543" s="2">
        <v>2171.2941999999998</v>
      </c>
      <c r="M1543" s="2">
        <v>3578.27</v>
      </c>
      <c r="N1543" t="s">
        <v>13</v>
      </c>
      <c r="O1543" t="s">
        <v>589</v>
      </c>
      <c r="P1543" t="s">
        <v>42</v>
      </c>
      <c r="Q1543" t="s">
        <v>7872</v>
      </c>
      <c r="R1543" s="1">
        <v>18545</v>
      </c>
      <c r="S1543" t="s">
        <v>16</v>
      </c>
      <c r="T1543" t="s">
        <v>16</v>
      </c>
      <c r="U1543" t="s">
        <v>2359</v>
      </c>
      <c r="V1543">
        <v>30000</v>
      </c>
      <c r="W1543">
        <v>3</v>
      </c>
      <c r="X1543" t="s">
        <v>52</v>
      </c>
      <c r="Y1543" t="s">
        <v>60</v>
      </c>
      <c r="Z1543" t="s">
        <v>23</v>
      </c>
      <c r="AA1543" t="s">
        <v>3586</v>
      </c>
      <c r="AB1543" t="s">
        <v>3586</v>
      </c>
      <c r="AC1543" t="s">
        <v>3587</v>
      </c>
      <c r="AD1543" t="s">
        <v>3479</v>
      </c>
      <c r="AE1543" t="s">
        <v>3475</v>
      </c>
      <c r="AF1543" s="2">
        <v>3578.27</v>
      </c>
      <c r="AG1543" s="2">
        <v>2171.2941999999998</v>
      </c>
      <c r="AH1543" s="2">
        <v>1406.9757999999999</v>
      </c>
      <c r="AI1543" s="3">
        <v>0.39320001006072802</v>
      </c>
    </row>
    <row r="1544" spans="1:35">
      <c r="A1544" s="1">
        <v>42083</v>
      </c>
      <c r="B1544" s="1">
        <v>37260</v>
      </c>
      <c r="C1544" t="s">
        <v>4072</v>
      </c>
      <c r="D1544">
        <v>313</v>
      </c>
      <c r="E1544">
        <v>19765</v>
      </c>
      <c r="F1544">
        <v>9</v>
      </c>
      <c r="G1544">
        <v>1</v>
      </c>
      <c r="H1544">
        <v>1</v>
      </c>
      <c r="I1544">
        <v>2</v>
      </c>
      <c r="J1544" t="s">
        <v>3491</v>
      </c>
      <c r="K1544" t="s">
        <v>3492</v>
      </c>
      <c r="L1544" s="2">
        <v>2171.2941999999998</v>
      </c>
      <c r="M1544" s="2">
        <v>3578.27</v>
      </c>
      <c r="N1544" t="s">
        <v>13</v>
      </c>
      <c r="O1544" t="s">
        <v>24</v>
      </c>
      <c r="P1544" t="s">
        <v>363</v>
      </c>
      <c r="Q1544" t="s">
        <v>7873</v>
      </c>
      <c r="R1544" s="1">
        <v>18887</v>
      </c>
      <c r="S1544" t="s">
        <v>16</v>
      </c>
      <c r="T1544" t="s">
        <v>16</v>
      </c>
      <c r="U1544" t="s">
        <v>2360</v>
      </c>
      <c r="V1544">
        <v>30000</v>
      </c>
      <c r="W1544">
        <v>3</v>
      </c>
      <c r="X1544" t="s">
        <v>57</v>
      </c>
      <c r="Y1544" t="s">
        <v>53</v>
      </c>
      <c r="Z1544" t="s">
        <v>23</v>
      </c>
      <c r="AA1544" t="s">
        <v>3586</v>
      </c>
      <c r="AB1544" t="s">
        <v>3586</v>
      </c>
      <c r="AC1544" t="s">
        <v>3587</v>
      </c>
      <c r="AD1544" t="s">
        <v>3479</v>
      </c>
      <c r="AE1544" t="s">
        <v>3475</v>
      </c>
      <c r="AF1544" s="2">
        <v>3578.27</v>
      </c>
      <c r="AG1544" s="2">
        <v>2171.2941999999998</v>
      </c>
      <c r="AH1544" s="2">
        <v>1406.9757999999999</v>
      </c>
      <c r="AI1544" s="3">
        <v>0.39320001006072802</v>
      </c>
    </row>
    <row r="1545" spans="1:35">
      <c r="A1545" s="1">
        <v>42071</v>
      </c>
      <c r="B1545" s="1">
        <v>37214</v>
      </c>
      <c r="C1545" t="s">
        <v>3996</v>
      </c>
      <c r="D1545">
        <v>314</v>
      </c>
      <c r="E1545">
        <v>19766</v>
      </c>
      <c r="F1545">
        <v>9</v>
      </c>
      <c r="G1545">
        <v>1</v>
      </c>
      <c r="H1545">
        <v>1</v>
      </c>
      <c r="I1545">
        <v>2</v>
      </c>
      <c r="J1545" t="s">
        <v>3493</v>
      </c>
      <c r="K1545" t="s">
        <v>3494</v>
      </c>
      <c r="L1545" s="2">
        <v>2171.2941999999998</v>
      </c>
      <c r="M1545" s="2">
        <v>3578.27</v>
      </c>
      <c r="N1545" t="s">
        <v>13</v>
      </c>
      <c r="O1545" t="s">
        <v>196</v>
      </c>
      <c r="P1545" t="s">
        <v>212</v>
      </c>
      <c r="Q1545" t="s">
        <v>7874</v>
      </c>
      <c r="R1545" s="1">
        <v>18842</v>
      </c>
      <c r="S1545" t="s">
        <v>16</v>
      </c>
      <c r="T1545" t="s">
        <v>16</v>
      </c>
      <c r="U1545" t="s">
        <v>2361</v>
      </c>
      <c r="V1545">
        <v>30000</v>
      </c>
      <c r="W1545">
        <v>3</v>
      </c>
      <c r="X1545" t="s">
        <v>57</v>
      </c>
      <c r="Y1545" t="s">
        <v>53</v>
      </c>
      <c r="Z1545" t="s">
        <v>19</v>
      </c>
      <c r="AA1545" t="s">
        <v>3586</v>
      </c>
      <c r="AB1545" t="s">
        <v>3586</v>
      </c>
      <c r="AC1545" t="s">
        <v>3587</v>
      </c>
      <c r="AD1545" t="s">
        <v>3479</v>
      </c>
      <c r="AE1545" t="s">
        <v>3475</v>
      </c>
      <c r="AF1545" s="2">
        <v>3578.27</v>
      </c>
      <c r="AG1545" s="2">
        <v>2171.2941999999998</v>
      </c>
      <c r="AH1545" s="2">
        <v>1406.9757999999999</v>
      </c>
      <c r="AI1545" s="3">
        <v>0.39320001006072802</v>
      </c>
    </row>
    <row r="1546" spans="1:35">
      <c r="A1546" s="1">
        <v>42084</v>
      </c>
      <c r="B1546" s="1">
        <v>37247</v>
      </c>
      <c r="C1546" t="s">
        <v>4077</v>
      </c>
      <c r="D1546">
        <v>310</v>
      </c>
      <c r="E1546">
        <v>19770</v>
      </c>
      <c r="F1546">
        <v>9</v>
      </c>
      <c r="G1546">
        <v>1</v>
      </c>
      <c r="H1546">
        <v>1</v>
      </c>
      <c r="I1546">
        <v>2</v>
      </c>
      <c r="J1546" t="s">
        <v>3485</v>
      </c>
      <c r="K1546" t="s">
        <v>3486</v>
      </c>
      <c r="L1546" s="2">
        <v>2171.2941999999998</v>
      </c>
      <c r="M1546" s="2">
        <v>3578.27</v>
      </c>
      <c r="N1546" t="s">
        <v>30</v>
      </c>
      <c r="O1546" t="s">
        <v>890</v>
      </c>
      <c r="P1546" t="s">
        <v>151</v>
      </c>
      <c r="Q1546" t="s">
        <v>7875</v>
      </c>
      <c r="R1546" s="1">
        <v>19047</v>
      </c>
      <c r="S1546" t="s">
        <v>16</v>
      </c>
      <c r="T1546" t="s">
        <v>29</v>
      </c>
      <c r="U1546" t="s">
        <v>2362</v>
      </c>
      <c r="V1546">
        <v>30000</v>
      </c>
      <c r="W1546">
        <v>3</v>
      </c>
      <c r="X1546" t="s">
        <v>57</v>
      </c>
      <c r="Y1546" t="s">
        <v>53</v>
      </c>
      <c r="Z1546" t="s">
        <v>19</v>
      </c>
      <c r="AA1546" t="s">
        <v>3586</v>
      </c>
      <c r="AB1546" t="s">
        <v>3586</v>
      </c>
      <c r="AC1546" t="s">
        <v>3587</v>
      </c>
      <c r="AD1546" t="s">
        <v>3479</v>
      </c>
      <c r="AE1546" t="s">
        <v>3475</v>
      </c>
      <c r="AF1546" s="2">
        <v>3578.27</v>
      </c>
      <c r="AG1546" s="2">
        <v>2171.2941999999998</v>
      </c>
      <c r="AH1546" s="2">
        <v>1406.9757999999999</v>
      </c>
      <c r="AI1546" s="3">
        <v>0.39320001006072802</v>
      </c>
    </row>
    <row r="1547" spans="1:35">
      <c r="A1547" s="1">
        <v>42075</v>
      </c>
      <c r="B1547" s="1">
        <v>37293</v>
      </c>
      <c r="C1547" t="s">
        <v>4015</v>
      </c>
      <c r="D1547">
        <v>311</v>
      </c>
      <c r="E1547">
        <v>19771</v>
      </c>
      <c r="F1547">
        <v>9</v>
      </c>
      <c r="G1547">
        <v>1</v>
      </c>
      <c r="H1547">
        <v>1</v>
      </c>
      <c r="I1547">
        <v>2</v>
      </c>
      <c r="J1547" t="s">
        <v>3487</v>
      </c>
      <c r="K1547" t="s">
        <v>3488</v>
      </c>
      <c r="L1547" s="2">
        <v>2171.2941999999998</v>
      </c>
      <c r="M1547" s="2">
        <v>3578.27</v>
      </c>
      <c r="N1547" t="s">
        <v>30</v>
      </c>
      <c r="O1547" t="s">
        <v>542</v>
      </c>
      <c r="P1547" t="s">
        <v>476</v>
      </c>
      <c r="Q1547" t="s">
        <v>7876</v>
      </c>
      <c r="R1547" s="1">
        <v>19186</v>
      </c>
      <c r="S1547" t="s">
        <v>16</v>
      </c>
      <c r="T1547" t="s">
        <v>29</v>
      </c>
      <c r="U1547" t="s">
        <v>2363</v>
      </c>
      <c r="V1547">
        <v>30000</v>
      </c>
      <c r="W1547">
        <v>3</v>
      </c>
      <c r="X1547" t="s">
        <v>57</v>
      </c>
      <c r="Y1547" t="s">
        <v>53</v>
      </c>
      <c r="Z1547" t="s">
        <v>23</v>
      </c>
      <c r="AA1547" t="s">
        <v>3586</v>
      </c>
      <c r="AB1547" t="s">
        <v>3586</v>
      </c>
      <c r="AC1547" t="s">
        <v>3587</v>
      </c>
      <c r="AD1547" t="s">
        <v>3479</v>
      </c>
      <c r="AE1547" t="s">
        <v>3475</v>
      </c>
      <c r="AF1547" s="2">
        <v>3578.27</v>
      </c>
      <c r="AG1547" s="2">
        <v>2171.2941999999998</v>
      </c>
      <c r="AH1547" s="2">
        <v>1406.9757999999999</v>
      </c>
      <c r="AI1547" s="3">
        <v>0.39320001006072802</v>
      </c>
    </row>
    <row r="1548" spans="1:35">
      <c r="A1548" s="1">
        <v>42089</v>
      </c>
      <c r="B1548" s="1">
        <v>37262</v>
      </c>
      <c r="C1548" t="s">
        <v>4109</v>
      </c>
      <c r="D1548">
        <v>314</v>
      </c>
      <c r="E1548">
        <v>19772</v>
      </c>
      <c r="F1548">
        <v>9</v>
      </c>
      <c r="G1548">
        <v>1</v>
      </c>
      <c r="H1548">
        <v>1</v>
      </c>
      <c r="I1548">
        <v>2</v>
      </c>
      <c r="J1548" t="s">
        <v>3493</v>
      </c>
      <c r="K1548" t="s">
        <v>3494</v>
      </c>
      <c r="L1548" s="2">
        <v>2171.2941999999998</v>
      </c>
      <c r="M1548" s="2">
        <v>3578.27</v>
      </c>
      <c r="N1548" t="s">
        <v>13</v>
      </c>
      <c r="O1548" t="s">
        <v>984</v>
      </c>
      <c r="P1548" t="s">
        <v>232</v>
      </c>
      <c r="Q1548" t="s">
        <v>7877</v>
      </c>
      <c r="R1548" s="1">
        <v>19854</v>
      </c>
      <c r="S1548" t="s">
        <v>22</v>
      </c>
      <c r="T1548" t="s">
        <v>16</v>
      </c>
      <c r="U1548" t="s">
        <v>2364</v>
      </c>
      <c r="V1548">
        <v>80000</v>
      </c>
      <c r="W1548">
        <v>2</v>
      </c>
      <c r="X1548" t="s">
        <v>52</v>
      </c>
      <c r="Y1548" t="s">
        <v>53</v>
      </c>
      <c r="Z1548" t="s">
        <v>23</v>
      </c>
      <c r="AA1548" t="s">
        <v>3586</v>
      </c>
      <c r="AB1548" t="s">
        <v>3586</v>
      </c>
      <c r="AC1548" t="s">
        <v>3587</v>
      </c>
      <c r="AD1548" t="s">
        <v>3479</v>
      </c>
      <c r="AE1548" t="s">
        <v>3475</v>
      </c>
      <c r="AF1548" s="2">
        <v>3578.27</v>
      </c>
      <c r="AG1548" s="2">
        <v>2171.2941999999998</v>
      </c>
      <c r="AH1548" s="2">
        <v>1406.9757999999999</v>
      </c>
      <c r="AI1548" s="3">
        <v>0.39320001006072802</v>
      </c>
    </row>
    <row r="1549" spans="1:35">
      <c r="A1549" s="1">
        <v>42080</v>
      </c>
      <c r="B1549" s="1">
        <v>37309</v>
      </c>
      <c r="C1549" t="s">
        <v>4053</v>
      </c>
      <c r="D1549">
        <v>312</v>
      </c>
      <c r="E1549">
        <v>19773</v>
      </c>
      <c r="F1549">
        <v>9</v>
      </c>
      <c r="G1549">
        <v>1</v>
      </c>
      <c r="H1549">
        <v>1</v>
      </c>
      <c r="I1549">
        <v>2</v>
      </c>
      <c r="J1549" t="s">
        <v>3489</v>
      </c>
      <c r="K1549" t="s">
        <v>3490</v>
      </c>
      <c r="L1549" s="2">
        <v>2171.2941999999998</v>
      </c>
      <c r="M1549" s="2">
        <v>3578.27</v>
      </c>
      <c r="N1549" t="s">
        <v>13</v>
      </c>
      <c r="O1549" t="s">
        <v>358</v>
      </c>
      <c r="P1549" t="s">
        <v>217</v>
      </c>
      <c r="Q1549" t="s">
        <v>7878</v>
      </c>
      <c r="R1549" s="1">
        <v>19794</v>
      </c>
      <c r="S1549" t="s">
        <v>16</v>
      </c>
      <c r="T1549" t="s">
        <v>16</v>
      </c>
      <c r="U1549" t="s">
        <v>2365</v>
      </c>
      <c r="V1549">
        <v>80000</v>
      </c>
      <c r="W1549">
        <v>2</v>
      </c>
      <c r="X1549" t="s">
        <v>52</v>
      </c>
      <c r="Y1549" t="s">
        <v>53</v>
      </c>
      <c r="Z1549" t="s">
        <v>19</v>
      </c>
      <c r="AA1549" t="s">
        <v>3586</v>
      </c>
      <c r="AB1549" t="s">
        <v>3586</v>
      </c>
      <c r="AC1549" t="s">
        <v>3587</v>
      </c>
      <c r="AD1549" t="s">
        <v>3479</v>
      </c>
      <c r="AE1549" t="s">
        <v>3475</v>
      </c>
      <c r="AF1549" s="2">
        <v>3578.27</v>
      </c>
      <c r="AG1549" s="2">
        <v>2171.2941999999998</v>
      </c>
      <c r="AH1549" s="2">
        <v>1406.9757999999999</v>
      </c>
      <c r="AI1549" s="3">
        <v>0.39320001006072802</v>
      </c>
    </row>
    <row r="1550" spans="1:35">
      <c r="A1550" s="1">
        <v>42072</v>
      </c>
      <c r="B1550" s="1">
        <v>37222</v>
      </c>
      <c r="C1550" t="s">
        <v>3999</v>
      </c>
      <c r="D1550">
        <v>311</v>
      </c>
      <c r="E1550">
        <v>19782</v>
      </c>
      <c r="F1550">
        <v>9</v>
      </c>
      <c r="G1550">
        <v>1</v>
      </c>
      <c r="H1550">
        <v>1</v>
      </c>
      <c r="I1550">
        <v>2</v>
      </c>
      <c r="J1550" t="s">
        <v>3487</v>
      </c>
      <c r="K1550" t="s">
        <v>3488</v>
      </c>
      <c r="L1550" s="2">
        <v>2171.2941999999998</v>
      </c>
      <c r="M1550" s="2">
        <v>3578.27</v>
      </c>
      <c r="N1550" t="s">
        <v>13</v>
      </c>
      <c r="O1550" t="s">
        <v>1189</v>
      </c>
      <c r="P1550" t="s">
        <v>468</v>
      </c>
      <c r="Q1550" t="s">
        <v>7879</v>
      </c>
      <c r="R1550" s="1">
        <v>20197</v>
      </c>
      <c r="S1550" t="s">
        <v>22</v>
      </c>
      <c r="T1550" t="s">
        <v>16</v>
      </c>
      <c r="U1550" t="s">
        <v>2366</v>
      </c>
      <c r="V1550">
        <v>80000</v>
      </c>
      <c r="W1550">
        <v>2</v>
      </c>
      <c r="X1550" t="s">
        <v>57</v>
      </c>
      <c r="Y1550" t="s">
        <v>53</v>
      </c>
      <c r="Z1550" t="s">
        <v>23</v>
      </c>
      <c r="AA1550" t="s">
        <v>3586</v>
      </c>
      <c r="AB1550" t="s">
        <v>3586</v>
      </c>
      <c r="AC1550" t="s">
        <v>3587</v>
      </c>
      <c r="AD1550" t="s">
        <v>3479</v>
      </c>
      <c r="AE1550" t="s">
        <v>3475</v>
      </c>
      <c r="AF1550" s="2">
        <v>3578.27</v>
      </c>
      <c r="AG1550" s="2">
        <v>2171.2941999999998</v>
      </c>
      <c r="AH1550" s="2">
        <v>1406.9757999999999</v>
      </c>
      <c r="AI1550" s="3">
        <v>0.39320001006072802</v>
      </c>
    </row>
    <row r="1551" spans="1:35">
      <c r="A1551" s="1">
        <v>42084</v>
      </c>
      <c r="B1551" s="1">
        <v>37228</v>
      </c>
      <c r="C1551" t="s">
        <v>4078</v>
      </c>
      <c r="D1551">
        <v>310</v>
      </c>
      <c r="E1551">
        <v>19783</v>
      </c>
      <c r="F1551">
        <v>9</v>
      </c>
      <c r="G1551">
        <v>1</v>
      </c>
      <c r="H1551">
        <v>1</v>
      </c>
      <c r="I1551">
        <v>2</v>
      </c>
      <c r="J1551" t="s">
        <v>3485</v>
      </c>
      <c r="K1551" t="s">
        <v>3486</v>
      </c>
      <c r="L1551" s="2">
        <v>2171.2941999999998</v>
      </c>
      <c r="M1551" s="2">
        <v>3578.27</v>
      </c>
      <c r="N1551" t="s">
        <v>13</v>
      </c>
      <c r="O1551" t="s">
        <v>1591</v>
      </c>
      <c r="P1551" t="s">
        <v>194</v>
      </c>
      <c r="Q1551" t="s">
        <v>7880</v>
      </c>
      <c r="R1551" s="1">
        <v>20217</v>
      </c>
      <c r="S1551" t="s">
        <v>22</v>
      </c>
      <c r="T1551" t="s">
        <v>16</v>
      </c>
      <c r="U1551" t="s">
        <v>2367</v>
      </c>
      <c r="V1551">
        <v>80000</v>
      </c>
      <c r="W1551">
        <v>2</v>
      </c>
      <c r="X1551" t="s">
        <v>57</v>
      </c>
      <c r="Y1551" t="s">
        <v>53</v>
      </c>
      <c r="Z1551" t="s">
        <v>19</v>
      </c>
      <c r="AA1551" t="s">
        <v>3586</v>
      </c>
      <c r="AB1551" t="s">
        <v>3586</v>
      </c>
      <c r="AC1551" t="s">
        <v>3587</v>
      </c>
      <c r="AD1551" t="s">
        <v>3479</v>
      </c>
      <c r="AE1551" t="s">
        <v>3475</v>
      </c>
      <c r="AF1551" s="2">
        <v>3578.27</v>
      </c>
      <c r="AG1551" s="2">
        <v>2171.2941999999998</v>
      </c>
      <c r="AH1551" s="2">
        <v>1406.9757999999999</v>
      </c>
      <c r="AI1551" s="3">
        <v>0.39320001006072802</v>
      </c>
    </row>
    <row r="1552" spans="1:35">
      <c r="A1552" s="1">
        <v>42065</v>
      </c>
      <c r="B1552" s="1">
        <v>37215</v>
      </c>
      <c r="C1552" t="s">
        <v>3949</v>
      </c>
      <c r="D1552">
        <v>314</v>
      </c>
      <c r="E1552">
        <v>19784</v>
      </c>
      <c r="F1552">
        <v>9</v>
      </c>
      <c r="G1552">
        <v>1</v>
      </c>
      <c r="H1552">
        <v>1</v>
      </c>
      <c r="I1552">
        <v>2</v>
      </c>
      <c r="J1552" t="s">
        <v>3493</v>
      </c>
      <c r="K1552" t="s">
        <v>3494</v>
      </c>
      <c r="L1552" s="2">
        <v>2171.2941999999998</v>
      </c>
      <c r="M1552" s="2">
        <v>3578.27</v>
      </c>
      <c r="N1552" t="s">
        <v>30</v>
      </c>
      <c r="O1552" t="s">
        <v>27</v>
      </c>
      <c r="P1552" t="s">
        <v>210</v>
      </c>
      <c r="Q1552" t="s">
        <v>7881</v>
      </c>
      <c r="R1552" s="1">
        <v>20350</v>
      </c>
      <c r="S1552" t="s">
        <v>16</v>
      </c>
      <c r="T1552" t="s">
        <v>29</v>
      </c>
      <c r="U1552" t="s">
        <v>2368</v>
      </c>
      <c r="V1552">
        <v>80000</v>
      </c>
      <c r="W1552">
        <v>2</v>
      </c>
      <c r="X1552" t="s">
        <v>57</v>
      </c>
      <c r="Y1552" t="s">
        <v>53</v>
      </c>
      <c r="Z1552" t="s">
        <v>19</v>
      </c>
      <c r="AA1552" t="s">
        <v>3586</v>
      </c>
      <c r="AB1552" t="s">
        <v>3586</v>
      </c>
      <c r="AC1552" t="s">
        <v>3587</v>
      </c>
      <c r="AD1552" t="s">
        <v>3479</v>
      </c>
      <c r="AE1552" t="s">
        <v>3475</v>
      </c>
      <c r="AF1552" s="2">
        <v>3578.27</v>
      </c>
      <c r="AG1552" s="2">
        <v>2171.2941999999998</v>
      </c>
      <c r="AH1552" s="2">
        <v>1406.9757999999999</v>
      </c>
      <c r="AI1552" s="3">
        <v>0.39320001006072802</v>
      </c>
    </row>
    <row r="1553" spans="1:35">
      <c r="A1553" s="1">
        <v>42093</v>
      </c>
      <c r="B1553" s="1">
        <v>37281</v>
      </c>
      <c r="C1553" t="s">
        <v>4135</v>
      </c>
      <c r="D1553">
        <v>313</v>
      </c>
      <c r="E1553">
        <v>19785</v>
      </c>
      <c r="F1553">
        <v>9</v>
      </c>
      <c r="G1553">
        <v>1</v>
      </c>
      <c r="H1553">
        <v>1</v>
      </c>
      <c r="I1553">
        <v>2</v>
      </c>
      <c r="J1553" t="s">
        <v>3491</v>
      </c>
      <c r="K1553" t="s">
        <v>3492</v>
      </c>
      <c r="L1553" s="2">
        <v>2171.2941999999998</v>
      </c>
      <c r="M1553" s="2">
        <v>3578.27</v>
      </c>
      <c r="N1553" t="s">
        <v>30</v>
      </c>
      <c r="O1553" t="s">
        <v>333</v>
      </c>
      <c r="P1553" t="s">
        <v>259</v>
      </c>
      <c r="Q1553" t="s">
        <v>7882</v>
      </c>
      <c r="R1553" s="1">
        <v>20283</v>
      </c>
      <c r="S1553" t="s">
        <v>16</v>
      </c>
      <c r="T1553" t="s">
        <v>29</v>
      </c>
      <c r="U1553" t="s">
        <v>2369</v>
      </c>
      <c r="V1553">
        <v>80000</v>
      </c>
      <c r="W1553">
        <v>2</v>
      </c>
      <c r="X1553" t="s">
        <v>57</v>
      </c>
      <c r="Y1553" t="s">
        <v>53</v>
      </c>
      <c r="Z1553" t="s">
        <v>19</v>
      </c>
      <c r="AA1553" t="s">
        <v>3586</v>
      </c>
      <c r="AB1553" t="s">
        <v>3586</v>
      </c>
      <c r="AC1553" t="s">
        <v>3587</v>
      </c>
      <c r="AD1553" t="s">
        <v>3479</v>
      </c>
      <c r="AE1553" t="s">
        <v>3475</v>
      </c>
      <c r="AF1553" s="2">
        <v>3578.27</v>
      </c>
      <c r="AG1553" s="2">
        <v>2171.2941999999998</v>
      </c>
      <c r="AH1553" s="2">
        <v>1406.9757999999999</v>
      </c>
      <c r="AI1553" s="3">
        <v>0.39320001006072802</v>
      </c>
    </row>
    <row r="1554" spans="1:35">
      <c r="A1554" s="1">
        <v>42088</v>
      </c>
      <c r="B1554" s="1">
        <v>37266</v>
      </c>
      <c r="C1554" t="s">
        <v>4105</v>
      </c>
      <c r="D1554">
        <v>314</v>
      </c>
      <c r="E1554">
        <v>19786</v>
      </c>
      <c r="F1554">
        <v>9</v>
      </c>
      <c r="G1554">
        <v>1</v>
      </c>
      <c r="H1554">
        <v>1</v>
      </c>
      <c r="I1554">
        <v>2</v>
      </c>
      <c r="J1554" t="s">
        <v>3493</v>
      </c>
      <c r="K1554" t="s">
        <v>3494</v>
      </c>
      <c r="L1554" s="2">
        <v>2171.2941999999998</v>
      </c>
      <c r="M1554" s="2">
        <v>3578.27</v>
      </c>
      <c r="N1554" t="s">
        <v>30</v>
      </c>
      <c r="O1554" t="s">
        <v>36</v>
      </c>
      <c r="P1554" t="s">
        <v>38</v>
      </c>
      <c r="Q1554" t="s">
        <v>7883</v>
      </c>
      <c r="R1554" s="1">
        <v>20664</v>
      </c>
      <c r="S1554" t="s">
        <v>16</v>
      </c>
      <c r="T1554" t="s">
        <v>29</v>
      </c>
      <c r="U1554" t="s">
        <v>2370</v>
      </c>
      <c r="V1554">
        <v>80000</v>
      </c>
      <c r="W1554">
        <v>2</v>
      </c>
      <c r="X1554" t="s">
        <v>57</v>
      </c>
      <c r="Y1554" t="s">
        <v>53</v>
      </c>
      <c r="Z1554" t="s">
        <v>19</v>
      </c>
      <c r="AA1554" t="s">
        <v>3586</v>
      </c>
      <c r="AB1554" t="s">
        <v>3586</v>
      </c>
      <c r="AC1554" t="s">
        <v>3587</v>
      </c>
      <c r="AD1554" t="s">
        <v>3479</v>
      </c>
      <c r="AE1554" t="s">
        <v>3475</v>
      </c>
      <c r="AF1554" s="2">
        <v>3578.27</v>
      </c>
      <c r="AG1554" s="2">
        <v>2171.2941999999998</v>
      </c>
      <c r="AH1554" s="2">
        <v>1406.9757999999999</v>
      </c>
      <c r="AI1554" s="3">
        <v>0.39320001006072802</v>
      </c>
    </row>
    <row r="1555" spans="1:35">
      <c r="A1555" s="1">
        <v>42069</v>
      </c>
      <c r="B1555" s="1">
        <v>37276</v>
      </c>
      <c r="C1555" t="s">
        <v>3976</v>
      </c>
      <c r="D1555">
        <v>311</v>
      </c>
      <c r="E1555">
        <v>19787</v>
      </c>
      <c r="F1555">
        <v>9</v>
      </c>
      <c r="G1555">
        <v>1</v>
      </c>
      <c r="H1555">
        <v>1</v>
      </c>
      <c r="I1555">
        <v>2</v>
      </c>
      <c r="J1555" t="s">
        <v>3487</v>
      </c>
      <c r="K1555" t="s">
        <v>3488</v>
      </c>
      <c r="L1555" s="2">
        <v>2171.2941999999998</v>
      </c>
      <c r="M1555" s="2">
        <v>3578.27</v>
      </c>
      <c r="N1555" t="s">
        <v>13</v>
      </c>
      <c r="O1555" t="s">
        <v>876</v>
      </c>
      <c r="P1555" t="s">
        <v>55</v>
      </c>
      <c r="Q1555" t="s">
        <v>7884</v>
      </c>
      <c r="R1555" s="1">
        <v>20634</v>
      </c>
      <c r="S1555" t="s">
        <v>22</v>
      </c>
      <c r="T1555" t="s">
        <v>16</v>
      </c>
      <c r="U1555" t="s">
        <v>2371</v>
      </c>
      <c r="V1555">
        <v>80000</v>
      </c>
      <c r="W1555">
        <v>2</v>
      </c>
      <c r="X1555" t="s">
        <v>57</v>
      </c>
      <c r="Y1555" t="s">
        <v>53</v>
      </c>
      <c r="Z1555" t="s">
        <v>19</v>
      </c>
      <c r="AA1555" t="s">
        <v>3586</v>
      </c>
      <c r="AB1555" t="s">
        <v>3586</v>
      </c>
      <c r="AC1555" t="s">
        <v>3587</v>
      </c>
      <c r="AD1555" t="s">
        <v>3479</v>
      </c>
      <c r="AE1555" t="s">
        <v>3475</v>
      </c>
      <c r="AF1555" s="2">
        <v>3578.27</v>
      </c>
      <c r="AG1555" s="2">
        <v>2171.2941999999998</v>
      </c>
      <c r="AH1555" s="2">
        <v>1406.9757999999999</v>
      </c>
      <c r="AI1555" s="3">
        <v>0.39320001006072802</v>
      </c>
    </row>
    <row r="1556" spans="1:35">
      <c r="A1556" s="1">
        <v>42088</v>
      </c>
      <c r="B1556" s="1">
        <v>37300</v>
      </c>
      <c r="C1556" t="s">
        <v>4104</v>
      </c>
      <c r="D1556">
        <v>314</v>
      </c>
      <c r="E1556">
        <v>19788</v>
      </c>
      <c r="F1556">
        <v>9</v>
      </c>
      <c r="G1556">
        <v>1</v>
      </c>
      <c r="H1556">
        <v>1</v>
      </c>
      <c r="I1556">
        <v>2</v>
      </c>
      <c r="J1556" t="s">
        <v>3493</v>
      </c>
      <c r="K1556" t="s">
        <v>3494</v>
      </c>
      <c r="L1556" s="2">
        <v>2171.2941999999998</v>
      </c>
      <c r="M1556" s="2">
        <v>3578.27</v>
      </c>
      <c r="N1556" t="s">
        <v>30</v>
      </c>
      <c r="O1556" t="s">
        <v>928</v>
      </c>
      <c r="P1556" t="s">
        <v>511</v>
      </c>
      <c r="Q1556" t="s">
        <v>7885</v>
      </c>
      <c r="R1556" s="1">
        <v>20624</v>
      </c>
      <c r="S1556" t="s">
        <v>22</v>
      </c>
      <c r="T1556" t="s">
        <v>29</v>
      </c>
      <c r="U1556" t="s">
        <v>2372</v>
      </c>
      <c r="V1556">
        <v>80000</v>
      </c>
      <c r="W1556">
        <v>2</v>
      </c>
      <c r="X1556" t="s">
        <v>57</v>
      </c>
      <c r="Y1556" t="s">
        <v>53</v>
      </c>
      <c r="Z1556" t="s">
        <v>23</v>
      </c>
      <c r="AA1556" t="s">
        <v>3586</v>
      </c>
      <c r="AB1556" t="s">
        <v>3586</v>
      </c>
      <c r="AC1556" t="s">
        <v>3587</v>
      </c>
      <c r="AD1556" t="s">
        <v>3479</v>
      </c>
      <c r="AE1556" t="s">
        <v>3475</v>
      </c>
      <c r="AF1556" s="2">
        <v>3578.27</v>
      </c>
      <c r="AG1556" s="2">
        <v>2171.2941999999998</v>
      </c>
      <c r="AH1556" s="2">
        <v>1406.9757999999999</v>
      </c>
      <c r="AI1556" s="3">
        <v>0.39320001006072802</v>
      </c>
    </row>
    <row r="1557" spans="1:35">
      <c r="A1557" s="1">
        <v>42079</v>
      </c>
      <c r="B1557" s="1">
        <v>37222</v>
      </c>
      <c r="C1557" t="s">
        <v>4041</v>
      </c>
      <c r="D1557">
        <v>314</v>
      </c>
      <c r="E1557">
        <v>19789</v>
      </c>
      <c r="F1557">
        <v>9</v>
      </c>
      <c r="G1557">
        <v>1</v>
      </c>
      <c r="H1557">
        <v>1</v>
      </c>
      <c r="I1557">
        <v>2</v>
      </c>
      <c r="J1557" t="s">
        <v>3493</v>
      </c>
      <c r="K1557" t="s">
        <v>3494</v>
      </c>
      <c r="L1557" s="2">
        <v>2171.2941999999998</v>
      </c>
      <c r="M1557" s="2">
        <v>3578.27</v>
      </c>
      <c r="N1557" t="s">
        <v>30</v>
      </c>
      <c r="O1557" t="s">
        <v>1096</v>
      </c>
      <c r="P1557" t="s">
        <v>129</v>
      </c>
      <c r="Q1557" t="s">
        <v>7886</v>
      </c>
      <c r="R1557" s="1">
        <v>20555</v>
      </c>
      <c r="S1557" t="s">
        <v>16</v>
      </c>
      <c r="T1557" t="s">
        <v>29</v>
      </c>
      <c r="U1557" t="s">
        <v>2373</v>
      </c>
      <c r="V1557">
        <v>80000</v>
      </c>
      <c r="W1557">
        <v>2</v>
      </c>
      <c r="X1557" t="s">
        <v>57</v>
      </c>
      <c r="Y1557" t="s">
        <v>53</v>
      </c>
      <c r="Z1557" t="s">
        <v>19</v>
      </c>
      <c r="AA1557" t="s">
        <v>3586</v>
      </c>
      <c r="AB1557" t="s">
        <v>3586</v>
      </c>
      <c r="AC1557" t="s">
        <v>3587</v>
      </c>
      <c r="AD1557" t="s">
        <v>3479</v>
      </c>
      <c r="AE1557" t="s">
        <v>3475</v>
      </c>
      <c r="AF1557" s="2">
        <v>3578.27</v>
      </c>
      <c r="AG1557" s="2">
        <v>2171.2941999999998</v>
      </c>
      <c r="AH1557" s="2">
        <v>1406.9757999999999</v>
      </c>
      <c r="AI1557" s="3">
        <v>0.39320001006072802</v>
      </c>
    </row>
    <row r="1558" spans="1:35">
      <c r="A1558" s="1">
        <v>42078</v>
      </c>
      <c r="B1558" s="1">
        <v>37232</v>
      </c>
      <c r="C1558" t="s">
        <v>4031</v>
      </c>
      <c r="D1558">
        <v>312</v>
      </c>
      <c r="E1558">
        <v>19790</v>
      </c>
      <c r="F1558">
        <v>9</v>
      </c>
      <c r="G1558">
        <v>1</v>
      </c>
      <c r="H1558">
        <v>1</v>
      </c>
      <c r="I1558">
        <v>2</v>
      </c>
      <c r="J1558" t="s">
        <v>3489</v>
      </c>
      <c r="K1558" t="s">
        <v>3490</v>
      </c>
      <c r="L1558" s="2">
        <v>2171.2941999999998</v>
      </c>
      <c r="M1558" s="2">
        <v>3578.27</v>
      </c>
      <c r="N1558" t="s">
        <v>30</v>
      </c>
      <c r="O1558" t="s">
        <v>160</v>
      </c>
      <c r="P1558" t="s">
        <v>268</v>
      </c>
      <c r="Q1558" t="s">
        <v>7887</v>
      </c>
      <c r="R1558" s="1">
        <v>20754</v>
      </c>
      <c r="S1558" t="s">
        <v>22</v>
      </c>
      <c r="T1558" t="s">
        <v>29</v>
      </c>
      <c r="U1558" t="s">
        <v>2374</v>
      </c>
      <c r="V1558">
        <v>80000</v>
      </c>
      <c r="W1558">
        <v>2</v>
      </c>
      <c r="X1558" t="s">
        <v>57</v>
      </c>
      <c r="Y1558" t="s">
        <v>53</v>
      </c>
      <c r="Z1558" t="s">
        <v>23</v>
      </c>
      <c r="AA1558" t="s">
        <v>3586</v>
      </c>
      <c r="AB1558" t="s">
        <v>3586</v>
      </c>
      <c r="AC1558" t="s">
        <v>3587</v>
      </c>
      <c r="AD1558" t="s">
        <v>3479</v>
      </c>
      <c r="AE1558" t="s">
        <v>3475</v>
      </c>
      <c r="AF1558" s="2">
        <v>3578.27</v>
      </c>
      <c r="AG1558" s="2">
        <v>2171.2941999999998</v>
      </c>
      <c r="AH1558" s="2">
        <v>1406.9757999999999</v>
      </c>
      <c r="AI1558" s="3">
        <v>0.39320001006072802</v>
      </c>
    </row>
    <row r="1559" spans="1:35">
      <c r="A1559" s="1">
        <v>42074</v>
      </c>
      <c r="B1559" s="1">
        <v>37285</v>
      </c>
      <c r="C1559" t="s">
        <v>4010</v>
      </c>
      <c r="D1559">
        <v>312</v>
      </c>
      <c r="E1559">
        <v>19791</v>
      </c>
      <c r="F1559">
        <v>9</v>
      </c>
      <c r="G1559">
        <v>1</v>
      </c>
      <c r="H1559">
        <v>1</v>
      </c>
      <c r="I1559">
        <v>2</v>
      </c>
      <c r="J1559" t="s">
        <v>3489</v>
      </c>
      <c r="K1559" t="s">
        <v>3490</v>
      </c>
      <c r="L1559" s="2">
        <v>2171.2941999999998</v>
      </c>
      <c r="M1559" s="2">
        <v>3578.27</v>
      </c>
      <c r="N1559" t="s">
        <v>13</v>
      </c>
      <c r="O1559" t="s">
        <v>836</v>
      </c>
      <c r="P1559" t="s">
        <v>138</v>
      </c>
      <c r="Q1559" t="s">
        <v>7888</v>
      </c>
      <c r="R1559" s="1">
        <v>20553</v>
      </c>
      <c r="S1559" t="s">
        <v>22</v>
      </c>
      <c r="T1559" t="s">
        <v>16</v>
      </c>
      <c r="U1559" t="s">
        <v>2375</v>
      </c>
      <c r="V1559">
        <v>80000</v>
      </c>
      <c r="W1559">
        <v>2</v>
      </c>
      <c r="X1559" t="s">
        <v>57</v>
      </c>
      <c r="Y1559" t="s">
        <v>53</v>
      </c>
      <c r="Z1559" t="s">
        <v>19</v>
      </c>
      <c r="AA1559" t="s">
        <v>3586</v>
      </c>
      <c r="AB1559" t="s">
        <v>3586</v>
      </c>
      <c r="AC1559" t="s">
        <v>3587</v>
      </c>
      <c r="AD1559" t="s">
        <v>3479</v>
      </c>
      <c r="AE1559" t="s">
        <v>3475</v>
      </c>
      <c r="AF1559" s="2">
        <v>3578.27</v>
      </c>
      <c r="AG1559" s="2">
        <v>2171.2941999999998</v>
      </c>
      <c r="AH1559" s="2">
        <v>1406.9757999999999</v>
      </c>
      <c r="AI1559" s="3">
        <v>0.39320001006072802</v>
      </c>
    </row>
    <row r="1560" spans="1:35">
      <c r="A1560" s="1">
        <v>42087</v>
      </c>
      <c r="B1560" s="1">
        <v>37260</v>
      </c>
      <c r="C1560" t="s">
        <v>4091</v>
      </c>
      <c r="D1560">
        <v>314</v>
      </c>
      <c r="E1560">
        <v>19792</v>
      </c>
      <c r="F1560">
        <v>9</v>
      </c>
      <c r="G1560">
        <v>1</v>
      </c>
      <c r="H1560">
        <v>1</v>
      </c>
      <c r="I1560">
        <v>2</v>
      </c>
      <c r="J1560" t="s">
        <v>3493</v>
      </c>
      <c r="K1560" t="s">
        <v>3494</v>
      </c>
      <c r="L1560" s="2">
        <v>2171.2941999999998</v>
      </c>
      <c r="M1560" s="2">
        <v>3578.27</v>
      </c>
      <c r="N1560" t="s">
        <v>30</v>
      </c>
      <c r="O1560" t="s">
        <v>1076</v>
      </c>
      <c r="P1560" t="s">
        <v>115</v>
      </c>
      <c r="Q1560" t="s">
        <v>7889</v>
      </c>
      <c r="R1560" s="1">
        <v>21058</v>
      </c>
      <c r="S1560" t="s">
        <v>22</v>
      </c>
      <c r="T1560" t="s">
        <v>29</v>
      </c>
      <c r="U1560" t="s">
        <v>2376</v>
      </c>
      <c r="V1560">
        <v>70000</v>
      </c>
      <c r="W1560">
        <v>2</v>
      </c>
      <c r="X1560" t="s">
        <v>57</v>
      </c>
      <c r="Y1560" t="s">
        <v>18</v>
      </c>
      <c r="Z1560" t="s">
        <v>23</v>
      </c>
      <c r="AA1560" t="s">
        <v>3586</v>
      </c>
      <c r="AB1560" t="s">
        <v>3586</v>
      </c>
      <c r="AC1560" t="s">
        <v>3587</v>
      </c>
      <c r="AD1560" t="s">
        <v>3479</v>
      </c>
      <c r="AE1560" t="s">
        <v>3475</v>
      </c>
      <c r="AF1560" s="2">
        <v>3578.27</v>
      </c>
      <c r="AG1560" s="2">
        <v>2171.2941999999998</v>
      </c>
      <c r="AH1560" s="2">
        <v>1406.9757999999999</v>
      </c>
      <c r="AI1560" s="3">
        <v>0.39320001006072802</v>
      </c>
    </row>
    <row r="1561" spans="1:35">
      <c r="A1561" s="1">
        <v>42083</v>
      </c>
      <c r="B1561" s="1">
        <v>37303</v>
      </c>
      <c r="C1561" t="s">
        <v>4074</v>
      </c>
      <c r="D1561">
        <v>313</v>
      </c>
      <c r="E1561">
        <v>19793</v>
      </c>
      <c r="F1561">
        <v>9</v>
      </c>
      <c r="G1561">
        <v>1</v>
      </c>
      <c r="H1561">
        <v>1</v>
      </c>
      <c r="I1561">
        <v>2</v>
      </c>
      <c r="J1561" t="s">
        <v>3491</v>
      </c>
      <c r="K1561" t="s">
        <v>3492</v>
      </c>
      <c r="L1561" s="2">
        <v>2171.2941999999998</v>
      </c>
      <c r="M1561" s="2">
        <v>3578.27</v>
      </c>
      <c r="N1561" t="s">
        <v>30</v>
      </c>
      <c r="O1561" t="s">
        <v>530</v>
      </c>
      <c r="P1561" t="s">
        <v>672</v>
      </c>
      <c r="Q1561" t="s">
        <v>7890</v>
      </c>
      <c r="R1561" s="1">
        <v>20962</v>
      </c>
      <c r="S1561" t="s">
        <v>22</v>
      </c>
      <c r="T1561" t="s">
        <v>29</v>
      </c>
      <c r="U1561" t="s">
        <v>2377</v>
      </c>
      <c r="V1561">
        <v>70000</v>
      </c>
      <c r="W1561">
        <v>2</v>
      </c>
      <c r="X1561" t="s">
        <v>57</v>
      </c>
      <c r="Y1561" t="s">
        <v>18</v>
      </c>
      <c r="Z1561" t="s">
        <v>19</v>
      </c>
      <c r="AA1561" t="s">
        <v>3586</v>
      </c>
      <c r="AB1561" t="s">
        <v>3586</v>
      </c>
      <c r="AC1561" t="s">
        <v>3587</v>
      </c>
      <c r="AD1561" t="s">
        <v>3479</v>
      </c>
      <c r="AE1561" t="s">
        <v>3475</v>
      </c>
      <c r="AF1561" s="2">
        <v>3578.27</v>
      </c>
      <c r="AG1561" s="2">
        <v>2171.2941999999998</v>
      </c>
      <c r="AH1561" s="2">
        <v>1406.9757999999999</v>
      </c>
      <c r="AI1561" s="3">
        <v>0.39320001006072802</v>
      </c>
    </row>
    <row r="1562" spans="1:35">
      <c r="A1562" s="1">
        <v>42066</v>
      </c>
      <c r="B1562" s="1">
        <v>37205</v>
      </c>
      <c r="C1562" t="s">
        <v>3957</v>
      </c>
      <c r="D1562">
        <v>312</v>
      </c>
      <c r="E1562">
        <v>19794</v>
      </c>
      <c r="F1562">
        <v>9</v>
      </c>
      <c r="G1562">
        <v>1</v>
      </c>
      <c r="H1562">
        <v>1</v>
      </c>
      <c r="I1562">
        <v>2</v>
      </c>
      <c r="J1562" t="s">
        <v>3489</v>
      </c>
      <c r="K1562" t="s">
        <v>3490</v>
      </c>
      <c r="L1562" s="2">
        <v>2171.2941999999998</v>
      </c>
      <c r="M1562" s="2">
        <v>3578.27</v>
      </c>
      <c r="N1562" t="s">
        <v>13</v>
      </c>
      <c r="O1562" t="s">
        <v>577</v>
      </c>
      <c r="P1562" t="s">
        <v>460</v>
      </c>
      <c r="Q1562" t="s">
        <v>7891</v>
      </c>
      <c r="R1562" s="1">
        <v>21136</v>
      </c>
      <c r="S1562" t="s">
        <v>22</v>
      </c>
      <c r="T1562" t="s">
        <v>16</v>
      </c>
      <c r="U1562" t="s">
        <v>2378</v>
      </c>
      <c r="V1562">
        <v>70000</v>
      </c>
      <c r="W1562">
        <v>2</v>
      </c>
      <c r="X1562" t="s">
        <v>57</v>
      </c>
      <c r="Y1562" t="s">
        <v>18</v>
      </c>
      <c r="Z1562" t="s">
        <v>19</v>
      </c>
      <c r="AA1562" t="s">
        <v>3586</v>
      </c>
      <c r="AB1562" t="s">
        <v>3586</v>
      </c>
      <c r="AC1562" t="s">
        <v>3587</v>
      </c>
      <c r="AD1562" t="s">
        <v>3479</v>
      </c>
      <c r="AE1562" t="s">
        <v>3475</v>
      </c>
      <c r="AF1562" s="2">
        <v>3578.27</v>
      </c>
      <c r="AG1562" s="2">
        <v>2171.2941999999998</v>
      </c>
      <c r="AH1562" s="2">
        <v>1406.9757999999999</v>
      </c>
      <c r="AI1562" s="3">
        <v>0.39320001006072802</v>
      </c>
    </row>
    <row r="1563" spans="1:35">
      <c r="A1563" s="1">
        <v>42070</v>
      </c>
      <c r="B1563" s="1">
        <v>37218</v>
      </c>
      <c r="C1563" t="s">
        <v>3985</v>
      </c>
      <c r="D1563">
        <v>314</v>
      </c>
      <c r="E1563">
        <v>19795</v>
      </c>
      <c r="F1563">
        <v>9</v>
      </c>
      <c r="G1563">
        <v>1</v>
      </c>
      <c r="H1563">
        <v>1</v>
      </c>
      <c r="I1563">
        <v>2</v>
      </c>
      <c r="J1563" t="s">
        <v>3493</v>
      </c>
      <c r="K1563" t="s">
        <v>3494</v>
      </c>
      <c r="L1563" s="2">
        <v>2171.2941999999998</v>
      </c>
      <c r="M1563" s="2">
        <v>3578.27</v>
      </c>
      <c r="N1563" t="s">
        <v>13</v>
      </c>
      <c r="O1563" t="s">
        <v>158</v>
      </c>
      <c r="P1563" t="s">
        <v>153</v>
      </c>
      <c r="Q1563" t="s">
        <v>7892</v>
      </c>
      <c r="R1563" s="1">
        <v>21198</v>
      </c>
      <c r="S1563" t="s">
        <v>16</v>
      </c>
      <c r="T1563" t="s">
        <v>16</v>
      </c>
      <c r="U1563" t="s">
        <v>2379</v>
      </c>
      <c r="V1563">
        <v>100000</v>
      </c>
      <c r="W1563">
        <v>1</v>
      </c>
      <c r="X1563" t="s">
        <v>17</v>
      </c>
      <c r="Y1563" t="s">
        <v>45</v>
      </c>
      <c r="Z1563" t="s">
        <v>19</v>
      </c>
      <c r="AA1563" t="s">
        <v>3586</v>
      </c>
      <c r="AB1563" t="s">
        <v>3586</v>
      </c>
      <c r="AC1563" t="s">
        <v>3587</v>
      </c>
      <c r="AD1563" t="s">
        <v>3479</v>
      </c>
      <c r="AE1563" t="s">
        <v>3475</v>
      </c>
      <c r="AF1563" s="2">
        <v>3578.27</v>
      </c>
      <c r="AG1563" s="2">
        <v>2171.2941999999998</v>
      </c>
      <c r="AH1563" s="2">
        <v>1406.9757999999999</v>
      </c>
      <c r="AI1563" s="3">
        <v>0.39320001006072802</v>
      </c>
    </row>
    <row r="1564" spans="1:35">
      <c r="A1564" s="1">
        <v>42076</v>
      </c>
      <c r="B1564" s="1">
        <v>37270</v>
      </c>
      <c r="C1564" t="s">
        <v>4016</v>
      </c>
      <c r="D1564">
        <v>312</v>
      </c>
      <c r="E1564">
        <v>19797</v>
      </c>
      <c r="F1564">
        <v>9</v>
      </c>
      <c r="G1564">
        <v>1</v>
      </c>
      <c r="H1564">
        <v>1</v>
      </c>
      <c r="I1564">
        <v>2</v>
      </c>
      <c r="J1564" t="s">
        <v>3489</v>
      </c>
      <c r="K1564" t="s">
        <v>3490</v>
      </c>
      <c r="L1564" s="2">
        <v>2171.2941999999998</v>
      </c>
      <c r="M1564" s="2">
        <v>3578.27</v>
      </c>
      <c r="N1564" t="s">
        <v>13</v>
      </c>
      <c r="O1564" t="s">
        <v>58</v>
      </c>
      <c r="P1564" t="s">
        <v>210</v>
      </c>
      <c r="Q1564" t="s">
        <v>7893</v>
      </c>
      <c r="R1564" s="1">
        <v>21513</v>
      </c>
      <c r="S1564" t="s">
        <v>22</v>
      </c>
      <c r="T1564" t="s">
        <v>16</v>
      </c>
      <c r="U1564" t="s">
        <v>2380</v>
      </c>
      <c r="V1564">
        <v>130000</v>
      </c>
      <c r="W1564">
        <v>0</v>
      </c>
      <c r="X1564" t="s">
        <v>135</v>
      </c>
      <c r="Y1564" t="s">
        <v>45</v>
      </c>
      <c r="Z1564" t="s">
        <v>19</v>
      </c>
      <c r="AA1564" t="s">
        <v>3586</v>
      </c>
      <c r="AB1564" t="s">
        <v>3586</v>
      </c>
      <c r="AC1564" t="s">
        <v>3587</v>
      </c>
      <c r="AD1564" t="s">
        <v>3479</v>
      </c>
      <c r="AE1564" t="s">
        <v>3475</v>
      </c>
      <c r="AF1564" s="2">
        <v>3578.27</v>
      </c>
      <c r="AG1564" s="2">
        <v>2171.2941999999998</v>
      </c>
      <c r="AH1564" s="2">
        <v>1406.9757999999999</v>
      </c>
      <c r="AI1564" s="3">
        <v>0.39320001006072802</v>
      </c>
    </row>
    <row r="1565" spans="1:35">
      <c r="A1565" s="1">
        <v>42026</v>
      </c>
      <c r="B1565" s="1">
        <v>37171</v>
      </c>
      <c r="C1565" t="s">
        <v>3723</v>
      </c>
      <c r="D1565">
        <v>344</v>
      </c>
      <c r="E1565">
        <v>19884</v>
      </c>
      <c r="F1565">
        <v>6</v>
      </c>
      <c r="G1565">
        <v>1</v>
      </c>
      <c r="H1565">
        <v>1</v>
      </c>
      <c r="I1565">
        <v>1</v>
      </c>
      <c r="J1565" t="s">
        <v>3519</v>
      </c>
      <c r="K1565" t="s">
        <v>3520</v>
      </c>
      <c r="L1565" s="2">
        <v>1912.1543999999999</v>
      </c>
      <c r="M1565" s="2">
        <v>3399.99</v>
      </c>
      <c r="N1565" t="s">
        <v>13</v>
      </c>
      <c r="O1565" t="s">
        <v>229</v>
      </c>
      <c r="P1565" t="s">
        <v>111</v>
      </c>
      <c r="Q1565" t="s">
        <v>7894</v>
      </c>
      <c r="R1565" s="1">
        <v>18727</v>
      </c>
      <c r="S1565" t="s">
        <v>16</v>
      </c>
      <c r="T1565" t="s">
        <v>16</v>
      </c>
      <c r="U1565" t="s">
        <v>2381</v>
      </c>
      <c r="V1565">
        <v>60000</v>
      </c>
      <c r="W1565">
        <v>2</v>
      </c>
      <c r="X1565" t="s">
        <v>57</v>
      </c>
      <c r="Y1565" t="s">
        <v>18</v>
      </c>
      <c r="Z1565" t="s">
        <v>19</v>
      </c>
      <c r="AA1565" t="s">
        <v>3582</v>
      </c>
      <c r="AB1565" t="s">
        <v>3582</v>
      </c>
      <c r="AC1565" t="s">
        <v>3579</v>
      </c>
      <c r="AD1565" t="s">
        <v>3478</v>
      </c>
      <c r="AE1565" t="s">
        <v>3475</v>
      </c>
      <c r="AF1565" s="2">
        <v>3399.99</v>
      </c>
      <c r="AG1565" s="2">
        <v>1912.1543999999999</v>
      </c>
      <c r="AH1565" s="2">
        <v>1487.8356000000001</v>
      </c>
      <c r="AI1565" s="3">
        <v>0.43759999294115598</v>
      </c>
    </row>
    <row r="1566" spans="1:35">
      <c r="A1566" s="1">
        <v>42170</v>
      </c>
      <c r="B1566" s="1">
        <v>37375</v>
      </c>
      <c r="C1566" t="s">
        <v>4647</v>
      </c>
      <c r="D1566">
        <v>332</v>
      </c>
      <c r="E1566">
        <v>19901</v>
      </c>
      <c r="F1566">
        <v>8</v>
      </c>
      <c r="G1566">
        <v>1</v>
      </c>
      <c r="H1566">
        <v>1</v>
      </c>
      <c r="I1566">
        <v>2</v>
      </c>
      <c r="J1566" t="s">
        <v>3507</v>
      </c>
      <c r="K1566" t="s">
        <v>3508</v>
      </c>
      <c r="L1566" s="2">
        <v>413.1463</v>
      </c>
      <c r="M1566" s="2">
        <v>699.09820000000002</v>
      </c>
      <c r="N1566" t="s">
        <v>13</v>
      </c>
      <c r="O1566" t="s">
        <v>1589</v>
      </c>
      <c r="P1566" t="s">
        <v>207</v>
      </c>
      <c r="Q1566" t="s">
        <v>7895</v>
      </c>
      <c r="R1566" s="1">
        <v>21116</v>
      </c>
      <c r="S1566" t="s">
        <v>16</v>
      </c>
      <c r="T1566" t="s">
        <v>16</v>
      </c>
      <c r="U1566" t="s">
        <v>2382</v>
      </c>
      <c r="V1566">
        <v>130000</v>
      </c>
      <c r="W1566">
        <v>3</v>
      </c>
      <c r="X1566" t="s">
        <v>52</v>
      </c>
      <c r="Y1566" t="s">
        <v>18</v>
      </c>
      <c r="Z1566" t="s">
        <v>19</v>
      </c>
      <c r="AA1566" t="s">
        <v>3585</v>
      </c>
      <c r="AB1566" t="s">
        <v>3585</v>
      </c>
      <c r="AC1566" t="s">
        <v>3584</v>
      </c>
      <c r="AD1566" t="s">
        <v>3479</v>
      </c>
      <c r="AE1566" t="s">
        <v>3475</v>
      </c>
      <c r="AF1566" s="2">
        <v>699.09820000000002</v>
      </c>
      <c r="AG1566" s="2">
        <v>413.1463</v>
      </c>
      <c r="AH1566" s="2">
        <v>285.95190000000002</v>
      </c>
      <c r="AI1566" s="3">
        <v>0.409029661355157</v>
      </c>
    </row>
    <row r="1567" spans="1:35">
      <c r="A1567" s="1">
        <v>42174</v>
      </c>
      <c r="B1567" s="1">
        <v>37353</v>
      </c>
      <c r="C1567" t="s">
        <v>4674</v>
      </c>
      <c r="D1567">
        <v>340</v>
      </c>
      <c r="E1567">
        <v>19904</v>
      </c>
      <c r="F1567">
        <v>8</v>
      </c>
      <c r="G1567">
        <v>1</v>
      </c>
      <c r="H1567">
        <v>1</v>
      </c>
      <c r="I1567">
        <v>2</v>
      </c>
      <c r="J1567" t="s">
        <v>3515</v>
      </c>
      <c r="K1567" t="s">
        <v>3516</v>
      </c>
      <c r="L1567" s="2">
        <v>413.1463</v>
      </c>
      <c r="M1567" s="2">
        <v>699.09820000000002</v>
      </c>
      <c r="N1567" t="s">
        <v>30</v>
      </c>
      <c r="O1567" t="s">
        <v>253</v>
      </c>
      <c r="P1567" t="s">
        <v>314</v>
      </c>
      <c r="Q1567" t="s">
        <v>7896</v>
      </c>
      <c r="R1567" s="1">
        <v>20528</v>
      </c>
      <c r="S1567" t="s">
        <v>16</v>
      </c>
      <c r="T1567" t="s">
        <v>29</v>
      </c>
      <c r="U1567" t="s">
        <v>2383</v>
      </c>
      <c r="V1567">
        <v>120000</v>
      </c>
      <c r="W1567">
        <v>3</v>
      </c>
      <c r="X1567" t="s">
        <v>57</v>
      </c>
      <c r="Y1567" t="s">
        <v>18</v>
      </c>
      <c r="Z1567" t="s">
        <v>19</v>
      </c>
      <c r="AA1567" t="s">
        <v>3585</v>
      </c>
      <c r="AB1567" t="s">
        <v>3585</v>
      </c>
      <c r="AC1567" t="s">
        <v>3584</v>
      </c>
      <c r="AD1567" t="s">
        <v>3479</v>
      </c>
      <c r="AE1567" t="s">
        <v>3475</v>
      </c>
      <c r="AF1567" s="2">
        <v>699.09820000000002</v>
      </c>
      <c r="AG1567" s="2">
        <v>413.1463</v>
      </c>
      <c r="AH1567" s="2">
        <v>285.95190000000002</v>
      </c>
      <c r="AI1567" s="3">
        <v>0.409029661355157</v>
      </c>
    </row>
    <row r="1568" spans="1:35">
      <c r="A1568" s="1">
        <v>42204</v>
      </c>
      <c r="B1568" s="1">
        <v>37352</v>
      </c>
      <c r="C1568" t="s">
        <v>4916</v>
      </c>
      <c r="D1568">
        <v>336</v>
      </c>
      <c r="E1568">
        <v>19910</v>
      </c>
      <c r="F1568">
        <v>8</v>
      </c>
      <c r="G1568">
        <v>1</v>
      </c>
      <c r="H1568">
        <v>1</v>
      </c>
      <c r="I1568">
        <v>2</v>
      </c>
      <c r="J1568" t="s">
        <v>3511</v>
      </c>
      <c r="K1568" t="s">
        <v>3512</v>
      </c>
      <c r="L1568" s="2">
        <v>413.1463</v>
      </c>
      <c r="M1568" s="2">
        <v>699.09820000000002</v>
      </c>
      <c r="N1568" t="s">
        <v>73</v>
      </c>
      <c r="O1568" t="s">
        <v>230</v>
      </c>
      <c r="P1568" t="s">
        <v>198</v>
      </c>
      <c r="Q1568" t="s">
        <v>7897</v>
      </c>
      <c r="R1568" s="1">
        <v>20244</v>
      </c>
      <c r="S1568" t="s">
        <v>16</v>
      </c>
      <c r="T1568" t="s">
        <v>76</v>
      </c>
      <c r="U1568" t="s">
        <v>2384</v>
      </c>
      <c r="V1568">
        <v>130000</v>
      </c>
      <c r="W1568">
        <v>3</v>
      </c>
      <c r="X1568" t="s">
        <v>52</v>
      </c>
      <c r="Y1568" t="s">
        <v>18</v>
      </c>
      <c r="Z1568" t="s">
        <v>19</v>
      </c>
      <c r="AA1568" t="s">
        <v>3585</v>
      </c>
      <c r="AB1568" t="s">
        <v>3585</v>
      </c>
      <c r="AC1568" t="s">
        <v>3584</v>
      </c>
      <c r="AD1568" t="s">
        <v>3479</v>
      </c>
      <c r="AE1568" t="s">
        <v>3475</v>
      </c>
      <c r="AF1568" s="2">
        <v>699.09820000000002</v>
      </c>
      <c r="AG1568" s="2">
        <v>413.1463</v>
      </c>
      <c r="AH1568" s="2">
        <v>285.95190000000002</v>
      </c>
      <c r="AI1568" s="3">
        <v>0.409029661355157</v>
      </c>
    </row>
    <row r="1569" spans="1:35">
      <c r="A1569" s="1">
        <v>42196</v>
      </c>
      <c r="B1569" s="1">
        <v>37395</v>
      </c>
      <c r="C1569" t="s">
        <v>4846</v>
      </c>
      <c r="D1569">
        <v>324</v>
      </c>
      <c r="E1569">
        <v>19924</v>
      </c>
      <c r="F1569">
        <v>8</v>
      </c>
      <c r="G1569">
        <v>1</v>
      </c>
      <c r="H1569">
        <v>1</v>
      </c>
      <c r="I1569">
        <v>2</v>
      </c>
      <c r="J1569" t="s">
        <v>3499</v>
      </c>
      <c r="K1569" t="s">
        <v>3500</v>
      </c>
      <c r="L1569" s="2">
        <v>413.1463</v>
      </c>
      <c r="M1569" s="2">
        <v>699.09820000000002</v>
      </c>
      <c r="N1569" t="s">
        <v>13</v>
      </c>
      <c r="O1569" t="s">
        <v>1295</v>
      </c>
      <c r="P1569" t="s">
        <v>187</v>
      </c>
      <c r="Q1569" t="s">
        <v>7898</v>
      </c>
      <c r="R1569" s="1">
        <v>19834</v>
      </c>
      <c r="S1569" t="s">
        <v>16</v>
      </c>
      <c r="T1569" t="s">
        <v>16</v>
      </c>
      <c r="U1569" t="s">
        <v>2385</v>
      </c>
      <c r="V1569">
        <v>120000</v>
      </c>
      <c r="W1569">
        <v>2</v>
      </c>
      <c r="X1569" t="s">
        <v>77</v>
      </c>
      <c r="Y1569" t="s">
        <v>18</v>
      </c>
      <c r="Z1569" t="s">
        <v>19</v>
      </c>
      <c r="AA1569" t="s">
        <v>3585</v>
      </c>
      <c r="AB1569" t="s">
        <v>3585</v>
      </c>
      <c r="AC1569" t="s">
        <v>3584</v>
      </c>
      <c r="AD1569" t="s">
        <v>3479</v>
      </c>
      <c r="AE1569" t="s">
        <v>3475</v>
      </c>
      <c r="AF1569" s="2">
        <v>699.09820000000002</v>
      </c>
      <c r="AG1569" s="2">
        <v>413.1463</v>
      </c>
      <c r="AH1569" s="2">
        <v>285.95190000000002</v>
      </c>
      <c r="AI1569" s="3">
        <v>0.409029661355157</v>
      </c>
    </row>
    <row r="1570" spans="1:35">
      <c r="A1570" s="1">
        <v>42186</v>
      </c>
      <c r="B1570" s="1">
        <v>37327</v>
      </c>
      <c r="C1570" t="s">
        <v>4770</v>
      </c>
      <c r="D1570">
        <v>330</v>
      </c>
      <c r="E1570">
        <v>19930</v>
      </c>
      <c r="F1570">
        <v>8</v>
      </c>
      <c r="G1570">
        <v>1</v>
      </c>
      <c r="H1570">
        <v>1</v>
      </c>
      <c r="I1570">
        <v>2</v>
      </c>
      <c r="J1570" t="s">
        <v>3505</v>
      </c>
      <c r="K1570" t="s">
        <v>3506</v>
      </c>
      <c r="L1570" s="2">
        <v>413.1463</v>
      </c>
      <c r="M1570" s="2">
        <v>699.09820000000002</v>
      </c>
      <c r="N1570" t="s">
        <v>13</v>
      </c>
      <c r="O1570" t="s">
        <v>1591</v>
      </c>
      <c r="P1570" t="s">
        <v>282</v>
      </c>
      <c r="Q1570" t="s">
        <v>7899</v>
      </c>
      <c r="R1570" s="1">
        <v>19577</v>
      </c>
      <c r="S1570" t="s">
        <v>16</v>
      </c>
      <c r="T1570" t="s">
        <v>16</v>
      </c>
      <c r="U1570" t="s">
        <v>2386</v>
      </c>
      <c r="V1570">
        <v>110000</v>
      </c>
      <c r="W1570">
        <v>2</v>
      </c>
      <c r="X1570" t="s">
        <v>52</v>
      </c>
      <c r="Y1570" t="s">
        <v>18</v>
      </c>
      <c r="Z1570" t="s">
        <v>23</v>
      </c>
      <c r="AA1570" t="s">
        <v>3585</v>
      </c>
      <c r="AB1570" t="s">
        <v>3585</v>
      </c>
      <c r="AC1570" t="s">
        <v>3584</v>
      </c>
      <c r="AD1570" t="s">
        <v>3479</v>
      </c>
      <c r="AE1570" t="s">
        <v>3475</v>
      </c>
      <c r="AF1570" s="2">
        <v>699.09820000000002</v>
      </c>
      <c r="AG1570" s="2">
        <v>413.1463</v>
      </c>
      <c r="AH1570" s="2">
        <v>285.95190000000002</v>
      </c>
      <c r="AI1570" s="3">
        <v>0.409029661355157</v>
      </c>
    </row>
    <row r="1571" spans="1:35">
      <c r="A1571" s="1">
        <v>42195</v>
      </c>
      <c r="B1571" s="1">
        <v>37400</v>
      </c>
      <c r="C1571" t="s">
        <v>4838</v>
      </c>
      <c r="D1571">
        <v>342</v>
      </c>
      <c r="E1571">
        <v>19931</v>
      </c>
      <c r="F1571">
        <v>8</v>
      </c>
      <c r="G1571">
        <v>1</v>
      </c>
      <c r="H1571">
        <v>1</v>
      </c>
      <c r="I1571">
        <v>2</v>
      </c>
      <c r="J1571" t="s">
        <v>3517</v>
      </c>
      <c r="K1571" t="s">
        <v>3518</v>
      </c>
      <c r="L1571" s="2">
        <v>413.1463</v>
      </c>
      <c r="M1571" s="2">
        <v>699.09820000000002</v>
      </c>
      <c r="N1571" t="s">
        <v>13</v>
      </c>
      <c r="O1571" t="s">
        <v>563</v>
      </c>
      <c r="P1571" t="s">
        <v>474</v>
      </c>
      <c r="Q1571" t="s">
        <v>7900</v>
      </c>
      <c r="R1571" s="1">
        <v>19685</v>
      </c>
      <c r="S1571" t="s">
        <v>16</v>
      </c>
      <c r="T1571" t="s">
        <v>16</v>
      </c>
      <c r="U1571" t="s">
        <v>2387</v>
      </c>
      <c r="V1571">
        <v>120000</v>
      </c>
      <c r="W1571">
        <v>2</v>
      </c>
      <c r="X1571" t="s">
        <v>17</v>
      </c>
      <c r="Y1571" t="s">
        <v>45</v>
      </c>
      <c r="Z1571" t="s">
        <v>23</v>
      </c>
      <c r="AA1571" t="s">
        <v>3585</v>
      </c>
      <c r="AB1571" t="s">
        <v>3585</v>
      </c>
      <c r="AC1571" t="s">
        <v>3584</v>
      </c>
      <c r="AD1571" t="s">
        <v>3479</v>
      </c>
      <c r="AE1571" t="s">
        <v>3475</v>
      </c>
      <c r="AF1571" s="2">
        <v>699.09820000000002</v>
      </c>
      <c r="AG1571" s="2">
        <v>413.1463</v>
      </c>
      <c r="AH1571" s="2">
        <v>285.95190000000002</v>
      </c>
      <c r="AI1571" s="3">
        <v>0.409029661355157</v>
      </c>
    </row>
    <row r="1572" spans="1:35">
      <c r="A1572" s="1">
        <v>42241</v>
      </c>
      <c r="B1572" s="1">
        <v>37453</v>
      </c>
      <c r="C1572" t="s">
        <v>5227</v>
      </c>
      <c r="D1572">
        <v>328</v>
      </c>
      <c r="E1572">
        <v>19944</v>
      </c>
      <c r="F1572">
        <v>8</v>
      </c>
      <c r="G1572">
        <v>1</v>
      </c>
      <c r="H1572">
        <v>1</v>
      </c>
      <c r="I1572">
        <v>2</v>
      </c>
      <c r="J1572" t="s">
        <v>3503</v>
      </c>
      <c r="K1572" t="s">
        <v>3504</v>
      </c>
      <c r="L1572" s="2">
        <v>413.1463</v>
      </c>
      <c r="M1572" s="2">
        <v>699.09820000000002</v>
      </c>
      <c r="N1572" t="s">
        <v>13</v>
      </c>
      <c r="O1572" t="s">
        <v>711</v>
      </c>
      <c r="P1572" t="s">
        <v>40</v>
      </c>
      <c r="Q1572" t="s">
        <v>7901</v>
      </c>
      <c r="R1572" s="1">
        <v>17755</v>
      </c>
      <c r="S1572" t="s">
        <v>16</v>
      </c>
      <c r="T1572" t="s">
        <v>16</v>
      </c>
      <c r="U1572" t="s">
        <v>2388</v>
      </c>
      <c r="V1572">
        <v>90000</v>
      </c>
      <c r="W1572">
        <v>4</v>
      </c>
      <c r="X1572" t="s">
        <v>77</v>
      </c>
      <c r="Y1572" t="s">
        <v>53</v>
      </c>
      <c r="Z1572" t="s">
        <v>23</v>
      </c>
      <c r="AA1572" t="s">
        <v>3585</v>
      </c>
      <c r="AB1572" t="s">
        <v>3585</v>
      </c>
      <c r="AC1572" t="s">
        <v>3584</v>
      </c>
      <c r="AD1572" t="s">
        <v>3479</v>
      </c>
      <c r="AE1572" t="s">
        <v>3475</v>
      </c>
      <c r="AF1572" s="2">
        <v>699.09820000000002</v>
      </c>
      <c r="AG1572" s="2">
        <v>413.1463</v>
      </c>
      <c r="AH1572" s="2">
        <v>285.95190000000002</v>
      </c>
      <c r="AI1572" s="3">
        <v>0.409029661355157</v>
      </c>
    </row>
    <row r="1573" spans="1:35">
      <c r="A1573" s="1">
        <v>42082</v>
      </c>
      <c r="B1573" s="1">
        <v>37296</v>
      </c>
      <c r="C1573" t="s">
        <v>4063</v>
      </c>
      <c r="D1573">
        <v>310</v>
      </c>
      <c r="E1573">
        <v>19947</v>
      </c>
      <c r="F1573">
        <v>9</v>
      </c>
      <c r="G1573">
        <v>1</v>
      </c>
      <c r="H1573">
        <v>1</v>
      </c>
      <c r="I1573">
        <v>2</v>
      </c>
      <c r="J1573" t="s">
        <v>3485</v>
      </c>
      <c r="K1573" t="s">
        <v>3486</v>
      </c>
      <c r="L1573" s="2">
        <v>2171.2941999999998</v>
      </c>
      <c r="M1573" s="2">
        <v>3578.27</v>
      </c>
      <c r="N1573" t="s">
        <v>13</v>
      </c>
      <c r="O1573" t="s">
        <v>563</v>
      </c>
      <c r="P1573" t="s">
        <v>210</v>
      </c>
      <c r="Q1573" t="s">
        <v>7902</v>
      </c>
      <c r="R1573" s="1">
        <v>27540</v>
      </c>
      <c r="S1573" t="s">
        <v>22</v>
      </c>
      <c r="T1573" t="s">
        <v>16</v>
      </c>
      <c r="U1573" t="s">
        <v>2389</v>
      </c>
      <c r="V1573">
        <v>70000</v>
      </c>
      <c r="W1573">
        <v>0</v>
      </c>
      <c r="X1573" t="s">
        <v>17</v>
      </c>
      <c r="Y1573" t="s">
        <v>18</v>
      </c>
      <c r="Z1573" t="s">
        <v>23</v>
      </c>
      <c r="AA1573" t="s">
        <v>3586</v>
      </c>
      <c r="AB1573" t="s">
        <v>3586</v>
      </c>
      <c r="AC1573" t="s">
        <v>3587</v>
      </c>
      <c r="AD1573" t="s">
        <v>3479</v>
      </c>
      <c r="AE1573" t="s">
        <v>3475</v>
      </c>
      <c r="AF1573" s="2">
        <v>3578.27</v>
      </c>
      <c r="AG1573" s="2">
        <v>2171.2941999999998</v>
      </c>
      <c r="AH1573" s="2">
        <v>1406.9757999999999</v>
      </c>
      <c r="AI1573" s="3">
        <v>0.39320001006072802</v>
      </c>
    </row>
    <row r="1574" spans="1:35">
      <c r="A1574" s="1">
        <v>42078</v>
      </c>
      <c r="B1574" s="1">
        <v>37271</v>
      </c>
      <c r="C1574" t="s">
        <v>4035</v>
      </c>
      <c r="D1574">
        <v>314</v>
      </c>
      <c r="E1574">
        <v>19948</v>
      </c>
      <c r="F1574">
        <v>9</v>
      </c>
      <c r="G1574">
        <v>1</v>
      </c>
      <c r="H1574">
        <v>1</v>
      </c>
      <c r="I1574">
        <v>2</v>
      </c>
      <c r="J1574" t="s">
        <v>3493</v>
      </c>
      <c r="K1574" t="s">
        <v>3494</v>
      </c>
      <c r="L1574" s="2">
        <v>2171.2941999999998</v>
      </c>
      <c r="M1574" s="2">
        <v>3578.27</v>
      </c>
      <c r="N1574" t="s">
        <v>26</v>
      </c>
      <c r="O1574" t="s">
        <v>475</v>
      </c>
      <c r="P1574" t="s">
        <v>511</v>
      </c>
      <c r="Q1574" t="s">
        <v>7903</v>
      </c>
      <c r="R1574" s="1">
        <v>27689</v>
      </c>
      <c r="S1574" t="s">
        <v>22</v>
      </c>
      <c r="T1574" t="s">
        <v>29</v>
      </c>
      <c r="U1574" t="s">
        <v>2390</v>
      </c>
      <c r="V1574">
        <v>70000</v>
      </c>
      <c r="W1574">
        <v>0</v>
      </c>
      <c r="X1574" t="s">
        <v>17</v>
      </c>
      <c r="Y1574" t="s">
        <v>18</v>
      </c>
      <c r="Z1574" t="s">
        <v>19</v>
      </c>
      <c r="AA1574" t="s">
        <v>3586</v>
      </c>
      <c r="AB1574" t="s">
        <v>3586</v>
      </c>
      <c r="AC1574" t="s">
        <v>3587</v>
      </c>
      <c r="AD1574" t="s">
        <v>3479</v>
      </c>
      <c r="AE1574" t="s">
        <v>3475</v>
      </c>
      <c r="AF1574" s="2">
        <v>3578.27</v>
      </c>
      <c r="AG1574" s="2">
        <v>2171.2941999999998</v>
      </c>
      <c r="AH1574" s="2">
        <v>1406.9757999999999</v>
      </c>
      <c r="AI1574" s="3">
        <v>0.39320001006072802</v>
      </c>
    </row>
    <row r="1575" spans="1:35">
      <c r="A1575" s="1">
        <v>42093</v>
      </c>
      <c r="B1575" s="1">
        <v>37241</v>
      </c>
      <c r="C1575" t="s">
        <v>4134</v>
      </c>
      <c r="D1575">
        <v>311</v>
      </c>
      <c r="E1575">
        <v>19949</v>
      </c>
      <c r="F1575">
        <v>9</v>
      </c>
      <c r="G1575">
        <v>1</v>
      </c>
      <c r="H1575">
        <v>1</v>
      </c>
      <c r="I1575">
        <v>2</v>
      </c>
      <c r="J1575" t="s">
        <v>3487</v>
      </c>
      <c r="K1575" t="s">
        <v>3488</v>
      </c>
      <c r="L1575" s="2">
        <v>2171.2941999999998</v>
      </c>
      <c r="M1575" s="2">
        <v>3578.27</v>
      </c>
      <c r="N1575" t="s">
        <v>26</v>
      </c>
      <c r="O1575" t="s">
        <v>2391</v>
      </c>
      <c r="P1575" t="s">
        <v>195</v>
      </c>
      <c r="Q1575" t="s">
        <v>7904</v>
      </c>
      <c r="R1575" s="1">
        <v>28120</v>
      </c>
      <c r="S1575" t="s">
        <v>16</v>
      </c>
      <c r="T1575" t="s">
        <v>29</v>
      </c>
      <c r="U1575" t="s">
        <v>2392</v>
      </c>
      <c r="V1575">
        <v>70000</v>
      </c>
      <c r="W1575">
        <v>0</v>
      </c>
      <c r="X1575" t="s">
        <v>17</v>
      </c>
      <c r="Y1575" t="s">
        <v>18</v>
      </c>
      <c r="Z1575" t="s">
        <v>19</v>
      </c>
      <c r="AA1575" t="s">
        <v>3586</v>
      </c>
      <c r="AB1575" t="s">
        <v>3586</v>
      </c>
      <c r="AC1575" t="s">
        <v>3587</v>
      </c>
      <c r="AD1575" t="s">
        <v>3479</v>
      </c>
      <c r="AE1575" t="s">
        <v>3475</v>
      </c>
      <c r="AF1575" s="2">
        <v>3578.27</v>
      </c>
      <c r="AG1575" s="2">
        <v>2171.2941999999998</v>
      </c>
      <c r="AH1575" s="2">
        <v>1406.9757999999999</v>
      </c>
      <c r="AI1575" s="3">
        <v>0.39320001006072802</v>
      </c>
    </row>
    <row r="1576" spans="1:35">
      <c r="A1576" s="1">
        <v>42079</v>
      </c>
      <c r="B1576" s="1">
        <v>37313</v>
      </c>
      <c r="C1576" t="s">
        <v>4044</v>
      </c>
      <c r="D1576">
        <v>312</v>
      </c>
      <c r="E1576">
        <v>19950</v>
      </c>
      <c r="F1576">
        <v>9</v>
      </c>
      <c r="G1576">
        <v>1</v>
      </c>
      <c r="H1576">
        <v>1</v>
      </c>
      <c r="I1576">
        <v>2</v>
      </c>
      <c r="J1576" t="s">
        <v>3489</v>
      </c>
      <c r="K1576" t="s">
        <v>3490</v>
      </c>
      <c r="L1576" s="2">
        <v>2171.2941999999998</v>
      </c>
      <c r="M1576" s="2">
        <v>3578.27</v>
      </c>
      <c r="N1576" t="s">
        <v>13</v>
      </c>
      <c r="O1576" t="s">
        <v>1290</v>
      </c>
      <c r="P1576" t="s">
        <v>42</v>
      </c>
      <c r="Q1576" t="s">
        <v>7905</v>
      </c>
      <c r="R1576" s="1">
        <v>27770</v>
      </c>
      <c r="S1576" t="s">
        <v>16</v>
      </c>
      <c r="T1576" t="s">
        <v>16</v>
      </c>
      <c r="U1576" t="s">
        <v>2393</v>
      </c>
      <c r="V1576">
        <v>80000</v>
      </c>
      <c r="W1576">
        <v>0</v>
      </c>
      <c r="X1576" t="s">
        <v>17</v>
      </c>
      <c r="Y1576" t="s">
        <v>18</v>
      </c>
      <c r="Z1576" t="s">
        <v>19</v>
      </c>
      <c r="AA1576" t="s">
        <v>3586</v>
      </c>
      <c r="AB1576" t="s">
        <v>3586</v>
      </c>
      <c r="AC1576" t="s">
        <v>3587</v>
      </c>
      <c r="AD1576" t="s">
        <v>3479</v>
      </c>
      <c r="AE1576" t="s">
        <v>3475</v>
      </c>
      <c r="AF1576" s="2">
        <v>3578.27</v>
      </c>
      <c r="AG1576" s="2">
        <v>2171.2941999999998</v>
      </c>
      <c r="AH1576" s="2">
        <v>1406.9757999999999</v>
      </c>
      <c r="AI1576" s="3">
        <v>0.39320001006072802</v>
      </c>
    </row>
    <row r="1577" spans="1:35">
      <c r="A1577" s="1">
        <v>42069</v>
      </c>
      <c r="B1577" s="1">
        <v>37282</v>
      </c>
      <c r="C1577" t="s">
        <v>3983</v>
      </c>
      <c r="D1577">
        <v>314</v>
      </c>
      <c r="E1577">
        <v>19951</v>
      </c>
      <c r="F1577">
        <v>9</v>
      </c>
      <c r="G1577">
        <v>1</v>
      </c>
      <c r="H1577">
        <v>1</v>
      </c>
      <c r="I1577">
        <v>2</v>
      </c>
      <c r="J1577" t="s">
        <v>3493</v>
      </c>
      <c r="K1577" t="s">
        <v>3494</v>
      </c>
      <c r="L1577" s="2">
        <v>2171.2941999999998</v>
      </c>
      <c r="M1577" s="2">
        <v>3578.27</v>
      </c>
      <c r="N1577" t="s">
        <v>13</v>
      </c>
      <c r="O1577" t="s">
        <v>454</v>
      </c>
      <c r="P1577" t="s">
        <v>85</v>
      </c>
      <c r="Q1577" t="s">
        <v>7906</v>
      </c>
      <c r="R1577" s="1">
        <v>27967</v>
      </c>
      <c r="S1577" t="s">
        <v>22</v>
      </c>
      <c r="T1577" t="s">
        <v>16</v>
      </c>
      <c r="U1577" t="s">
        <v>2394</v>
      </c>
      <c r="V1577">
        <v>80000</v>
      </c>
      <c r="W1577">
        <v>0</v>
      </c>
      <c r="X1577" t="s">
        <v>17</v>
      </c>
      <c r="Y1577" t="s">
        <v>18</v>
      </c>
      <c r="Z1577" t="s">
        <v>23</v>
      </c>
      <c r="AA1577" t="s">
        <v>3586</v>
      </c>
      <c r="AB1577" t="s">
        <v>3586</v>
      </c>
      <c r="AC1577" t="s">
        <v>3587</v>
      </c>
      <c r="AD1577" t="s">
        <v>3479</v>
      </c>
      <c r="AE1577" t="s">
        <v>3475</v>
      </c>
      <c r="AF1577" s="2">
        <v>3578.27</v>
      </c>
      <c r="AG1577" s="2">
        <v>2171.2941999999998</v>
      </c>
      <c r="AH1577" s="2">
        <v>1406.9757999999999</v>
      </c>
      <c r="AI1577" s="3">
        <v>0.39320001006072802</v>
      </c>
    </row>
    <row r="1578" spans="1:35">
      <c r="A1578" s="1">
        <v>42092</v>
      </c>
      <c r="B1578" s="1">
        <v>37267</v>
      </c>
      <c r="C1578" t="s">
        <v>4131</v>
      </c>
      <c r="D1578">
        <v>311</v>
      </c>
      <c r="E1578">
        <v>19956</v>
      </c>
      <c r="F1578">
        <v>9</v>
      </c>
      <c r="G1578">
        <v>1</v>
      </c>
      <c r="H1578">
        <v>1</v>
      </c>
      <c r="I1578">
        <v>2</v>
      </c>
      <c r="J1578" t="s">
        <v>3487</v>
      </c>
      <c r="K1578" t="s">
        <v>3488</v>
      </c>
      <c r="L1578" s="2">
        <v>2171.2941999999998</v>
      </c>
      <c r="M1578" s="2">
        <v>3578.27</v>
      </c>
      <c r="N1578" t="s">
        <v>26</v>
      </c>
      <c r="O1578" t="s">
        <v>698</v>
      </c>
      <c r="P1578" t="s">
        <v>450</v>
      </c>
      <c r="Q1578" t="s">
        <v>7907</v>
      </c>
      <c r="R1578" s="1">
        <v>27022</v>
      </c>
      <c r="S1578" t="s">
        <v>16</v>
      </c>
      <c r="T1578" t="s">
        <v>29</v>
      </c>
      <c r="U1578" t="s">
        <v>2395</v>
      </c>
      <c r="V1578">
        <v>80000</v>
      </c>
      <c r="W1578">
        <v>0</v>
      </c>
      <c r="X1578" t="s">
        <v>17</v>
      </c>
      <c r="Y1578" t="s">
        <v>18</v>
      </c>
      <c r="Z1578" t="s">
        <v>19</v>
      </c>
      <c r="AA1578" t="s">
        <v>3586</v>
      </c>
      <c r="AB1578" t="s">
        <v>3586</v>
      </c>
      <c r="AC1578" t="s">
        <v>3587</v>
      </c>
      <c r="AD1578" t="s">
        <v>3479</v>
      </c>
      <c r="AE1578" t="s">
        <v>3475</v>
      </c>
      <c r="AF1578" s="2">
        <v>3578.27</v>
      </c>
      <c r="AG1578" s="2">
        <v>2171.2941999999998</v>
      </c>
      <c r="AH1578" s="2">
        <v>1406.9757999999999</v>
      </c>
      <c r="AI1578" s="3">
        <v>0.39320001006072802</v>
      </c>
    </row>
    <row r="1579" spans="1:35">
      <c r="A1579" s="1">
        <v>42077</v>
      </c>
      <c r="B1579" s="1">
        <v>37251</v>
      </c>
      <c r="C1579" t="s">
        <v>4027</v>
      </c>
      <c r="D1579">
        <v>314</v>
      </c>
      <c r="E1579">
        <v>19957</v>
      </c>
      <c r="F1579">
        <v>9</v>
      </c>
      <c r="G1579">
        <v>1</v>
      </c>
      <c r="H1579">
        <v>1</v>
      </c>
      <c r="I1579">
        <v>2</v>
      </c>
      <c r="J1579" t="s">
        <v>3493</v>
      </c>
      <c r="K1579" t="s">
        <v>3494</v>
      </c>
      <c r="L1579" s="2">
        <v>2171.2941999999998</v>
      </c>
      <c r="M1579" s="2">
        <v>3578.27</v>
      </c>
      <c r="N1579" t="s">
        <v>13</v>
      </c>
      <c r="O1579" t="s">
        <v>453</v>
      </c>
      <c r="P1579" t="s">
        <v>35</v>
      </c>
      <c r="Q1579" t="s">
        <v>7908</v>
      </c>
      <c r="R1579" s="1">
        <v>27107</v>
      </c>
      <c r="S1579" t="s">
        <v>22</v>
      </c>
      <c r="T1579" t="s">
        <v>16</v>
      </c>
      <c r="U1579" t="s">
        <v>2396</v>
      </c>
      <c r="V1579">
        <v>90000</v>
      </c>
      <c r="W1579">
        <v>0</v>
      </c>
      <c r="X1579" t="s">
        <v>17</v>
      </c>
      <c r="Y1579" t="s">
        <v>18</v>
      </c>
      <c r="Z1579" t="s">
        <v>19</v>
      </c>
      <c r="AA1579" t="s">
        <v>3586</v>
      </c>
      <c r="AB1579" t="s">
        <v>3586</v>
      </c>
      <c r="AC1579" t="s">
        <v>3587</v>
      </c>
      <c r="AD1579" t="s">
        <v>3479</v>
      </c>
      <c r="AE1579" t="s">
        <v>3475</v>
      </c>
      <c r="AF1579" s="2">
        <v>3578.27</v>
      </c>
      <c r="AG1579" s="2">
        <v>2171.2941999999998</v>
      </c>
      <c r="AH1579" s="2">
        <v>1406.9757999999999</v>
      </c>
      <c r="AI1579" s="3">
        <v>0.39320001006072802</v>
      </c>
    </row>
    <row r="1580" spans="1:35">
      <c r="A1580" s="1">
        <v>42080</v>
      </c>
      <c r="B1580" s="1">
        <v>37312</v>
      </c>
      <c r="C1580" t="s">
        <v>4050</v>
      </c>
      <c r="D1580">
        <v>310</v>
      </c>
      <c r="E1580">
        <v>19958</v>
      </c>
      <c r="F1580">
        <v>9</v>
      </c>
      <c r="G1580">
        <v>1</v>
      </c>
      <c r="H1580">
        <v>1</v>
      </c>
      <c r="I1580">
        <v>2</v>
      </c>
      <c r="J1580" t="s">
        <v>3485</v>
      </c>
      <c r="K1580" t="s">
        <v>3486</v>
      </c>
      <c r="L1580" s="2">
        <v>2171.2941999999998</v>
      </c>
      <c r="M1580" s="2">
        <v>3578.27</v>
      </c>
      <c r="N1580" t="s">
        <v>26</v>
      </c>
      <c r="O1580" t="s">
        <v>528</v>
      </c>
      <c r="P1580" t="s">
        <v>317</v>
      </c>
      <c r="Q1580" t="s">
        <v>7909</v>
      </c>
      <c r="R1580" s="1">
        <v>27004</v>
      </c>
      <c r="S1580" t="s">
        <v>16</v>
      </c>
      <c r="T1580" t="s">
        <v>29</v>
      </c>
      <c r="U1580" t="s">
        <v>2397</v>
      </c>
      <c r="V1580">
        <v>90000</v>
      </c>
      <c r="W1580">
        <v>0</v>
      </c>
      <c r="X1580" t="s">
        <v>17</v>
      </c>
      <c r="Y1580" t="s">
        <v>18</v>
      </c>
      <c r="Z1580" t="s">
        <v>19</v>
      </c>
      <c r="AA1580" t="s">
        <v>3586</v>
      </c>
      <c r="AB1580" t="s">
        <v>3586</v>
      </c>
      <c r="AC1580" t="s">
        <v>3587</v>
      </c>
      <c r="AD1580" t="s">
        <v>3479</v>
      </c>
      <c r="AE1580" t="s">
        <v>3475</v>
      </c>
      <c r="AF1580" s="2">
        <v>3578.27</v>
      </c>
      <c r="AG1580" s="2">
        <v>2171.2941999999998</v>
      </c>
      <c r="AH1580" s="2">
        <v>1406.9757999999999</v>
      </c>
      <c r="AI1580" s="3">
        <v>0.39320001006072802</v>
      </c>
    </row>
    <row r="1581" spans="1:35">
      <c r="A1581" s="1">
        <v>42091</v>
      </c>
      <c r="B1581" s="1">
        <v>37232</v>
      </c>
      <c r="C1581" t="s">
        <v>4124</v>
      </c>
      <c r="D1581">
        <v>314</v>
      </c>
      <c r="E1581">
        <v>19959</v>
      </c>
      <c r="F1581">
        <v>9</v>
      </c>
      <c r="G1581">
        <v>1</v>
      </c>
      <c r="H1581">
        <v>1</v>
      </c>
      <c r="I1581">
        <v>2</v>
      </c>
      <c r="J1581" t="s">
        <v>3493</v>
      </c>
      <c r="K1581" t="s">
        <v>3494</v>
      </c>
      <c r="L1581" s="2">
        <v>2171.2941999999998</v>
      </c>
      <c r="M1581" s="2">
        <v>3578.27</v>
      </c>
      <c r="N1581" t="s">
        <v>26</v>
      </c>
      <c r="O1581" t="s">
        <v>1703</v>
      </c>
      <c r="P1581" t="s">
        <v>85</v>
      </c>
      <c r="Q1581" t="s">
        <v>7910</v>
      </c>
      <c r="R1581" s="1">
        <v>26734</v>
      </c>
      <c r="S1581" t="s">
        <v>22</v>
      </c>
      <c r="T1581" t="s">
        <v>29</v>
      </c>
      <c r="U1581" t="s">
        <v>2398</v>
      </c>
      <c r="V1581">
        <v>100000</v>
      </c>
      <c r="W1581">
        <v>0</v>
      </c>
      <c r="X1581" t="s">
        <v>57</v>
      </c>
      <c r="Y1581" t="s">
        <v>45</v>
      </c>
      <c r="Z1581" t="s">
        <v>19</v>
      </c>
      <c r="AA1581" t="s">
        <v>3586</v>
      </c>
      <c r="AB1581" t="s">
        <v>3586</v>
      </c>
      <c r="AC1581" t="s">
        <v>3587</v>
      </c>
      <c r="AD1581" t="s">
        <v>3479</v>
      </c>
      <c r="AE1581" t="s">
        <v>3475</v>
      </c>
      <c r="AF1581" s="2">
        <v>3578.27</v>
      </c>
      <c r="AG1581" s="2">
        <v>2171.2941999999998</v>
      </c>
      <c r="AH1581" s="2">
        <v>1406.9757999999999</v>
      </c>
      <c r="AI1581" s="3">
        <v>0.39320001006072802</v>
      </c>
    </row>
    <row r="1582" spans="1:35">
      <c r="A1582" s="1">
        <v>42087</v>
      </c>
      <c r="B1582" s="1">
        <v>37316</v>
      </c>
      <c r="C1582" t="s">
        <v>4098</v>
      </c>
      <c r="D1582">
        <v>310</v>
      </c>
      <c r="E1582">
        <v>19960</v>
      </c>
      <c r="F1582">
        <v>9</v>
      </c>
      <c r="G1582">
        <v>1</v>
      </c>
      <c r="H1582">
        <v>1</v>
      </c>
      <c r="I1582">
        <v>2</v>
      </c>
      <c r="J1582" t="s">
        <v>3485</v>
      </c>
      <c r="K1582" t="s">
        <v>3486</v>
      </c>
      <c r="L1582" s="2">
        <v>2171.2941999999998</v>
      </c>
      <c r="M1582" s="2">
        <v>3578.27</v>
      </c>
      <c r="N1582" t="s">
        <v>13</v>
      </c>
      <c r="O1582" t="s">
        <v>2399</v>
      </c>
      <c r="P1582" t="s">
        <v>416</v>
      </c>
      <c r="Q1582" t="s">
        <v>7911</v>
      </c>
      <c r="R1582" s="1">
        <v>26697</v>
      </c>
      <c r="S1582" t="s">
        <v>16</v>
      </c>
      <c r="T1582" t="s">
        <v>16</v>
      </c>
      <c r="U1582" t="s">
        <v>2400</v>
      </c>
      <c r="V1582">
        <v>100000</v>
      </c>
      <c r="W1582">
        <v>0</v>
      </c>
      <c r="X1582" t="s">
        <v>57</v>
      </c>
      <c r="Y1582" t="s">
        <v>45</v>
      </c>
      <c r="Z1582" t="s">
        <v>19</v>
      </c>
      <c r="AA1582" t="s">
        <v>3586</v>
      </c>
      <c r="AB1582" t="s">
        <v>3586</v>
      </c>
      <c r="AC1582" t="s">
        <v>3587</v>
      </c>
      <c r="AD1582" t="s">
        <v>3479</v>
      </c>
      <c r="AE1582" t="s">
        <v>3475</v>
      </c>
      <c r="AF1582" s="2">
        <v>3578.27</v>
      </c>
      <c r="AG1582" s="2">
        <v>2171.2941999999998</v>
      </c>
      <c r="AH1582" s="2">
        <v>1406.9757999999999</v>
      </c>
      <c r="AI1582" s="3">
        <v>0.39320001006072802</v>
      </c>
    </row>
    <row r="1583" spans="1:35">
      <c r="A1583" s="1">
        <v>42083</v>
      </c>
      <c r="B1583" s="1">
        <v>37303</v>
      </c>
      <c r="C1583" t="s">
        <v>4067</v>
      </c>
      <c r="D1583">
        <v>310</v>
      </c>
      <c r="E1583">
        <v>19963</v>
      </c>
      <c r="F1583">
        <v>9</v>
      </c>
      <c r="G1583">
        <v>1</v>
      </c>
      <c r="H1583">
        <v>1</v>
      </c>
      <c r="I1583">
        <v>2</v>
      </c>
      <c r="J1583" t="s">
        <v>3485</v>
      </c>
      <c r="K1583" t="s">
        <v>3486</v>
      </c>
      <c r="L1583" s="2">
        <v>2171.2941999999998</v>
      </c>
      <c r="M1583" s="2">
        <v>3578.27</v>
      </c>
      <c r="N1583" t="s">
        <v>13</v>
      </c>
      <c r="O1583" t="s">
        <v>654</v>
      </c>
      <c r="P1583" t="s">
        <v>209</v>
      </c>
      <c r="Q1583" t="s">
        <v>7912</v>
      </c>
      <c r="R1583" s="1">
        <v>26988</v>
      </c>
      <c r="S1583" t="s">
        <v>16</v>
      </c>
      <c r="T1583" t="s">
        <v>16</v>
      </c>
      <c r="U1583" t="s">
        <v>2401</v>
      </c>
      <c r="V1583">
        <v>120000</v>
      </c>
      <c r="W1583">
        <v>0</v>
      </c>
      <c r="X1583" t="s">
        <v>77</v>
      </c>
      <c r="Y1583" t="s">
        <v>18</v>
      </c>
      <c r="Z1583" t="s">
        <v>19</v>
      </c>
      <c r="AA1583" t="s">
        <v>3586</v>
      </c>
      <c r="AB1583" t="s">
        <v>3586</v>
      </c>
      <c r="AC1583" t="s">
        <v>3587</v>
      </c>
      <c r="AD1583" t="s">
        <v>3479</v>
      </c>
      <c r="AE1583" t="s">
        <v>3475</v>
      </c>
      <c r="AF1583" s="2">
        <v>3578.27</v>
      </c>
      <c r="AG1583" s="2">
        <v>2171.2941999999998</v>
      </c>
      <c r="AH1583" s="2">
        <v>1406.9757999999999</v>
      </c>
      <c r="AI1583" s="3">
        <v>0.39320001006072802</v>
      </c>
    </row>
    <row r="1584" spans="1:35">
      <c r="A1584" s="1">
        <v>42072</v>
      </c>
      <c r="B1584" s="1">
        <v>37222</v>
      </c>
      <c r="C1584" t="s">
        <v>4000</v>
      </c>
      <c r="D1584">
        <v>311</v>
      </c>
      <c r="E1584">
        <v>19964</v>
      </c>
      <c r="F1584">
        <v>9</v>
      </c>
      <c r="G1584">
        <v>1</v>
      </c>
      <c r="H1584">
        <v>1</v>
      </c>
      <c r="I1584">
        <v>2</v>
      </c>
      <c r="J1584" t="s">
        <v>3487</v>
      </c>
      <c r="K1584" t="s">
        <v>3488</v>
      </c>
      <c r="L1584" s="2">
        <v>2171.2941999999998</v>
      </c>
      <c r="M1584" s="2">
        <v>3578.27</v>
      </c>
      <c r="N1584" t="s">
        <v>26</v>
      </c>
      <c r="O1584" t="s">
        <v>1096</v>
      </c>
      <c r="P1584" t="s">
        <v>779</v>
      </c>
      <c r="Q1584" t="s">
        <v>7913</v>
      </c>
      <c r="R1584" s="1">
        <v>26826</v>
      </c>
      <c r="S1584" t="s">
        <v>22</v>
      </c>
      <c r="T1584" t="s">
        <v>29</v>
      </c>
      <c r="U1584" t="s">
        <v>2402</v>
      </c>
      <c r="V1584">
        <v>120000</v>
      </c>
      <c r="W1584">
        <v>0</v>
      </c>
      <c r="X1584" t="s">
        <v>77</v>
      </c>
      <c r="Y1584" t="s">
        <v>18</v>
      </c>
      <c r="Z1584" t="s">
        <v>19</v>
      </c>
      <c r="AA1584" t="s">
        <v>3586</v>
      </c>
      <c r="AB1584" t="s">
        <v>3586</v>
      </c>
      <c r="AC1584" t="s">
        <v>3587</v>
      </c>
      <c r="AD1584" t="s">
        <v>3479</v>
      </c>
      <c r="AE1584" t="s">
        <v>3475</v>
      </c>
      <c r="AF1584" s="2">
        <v>3578.27</v>
      </c>
      <c r="AG1584" s="2">
        <v>2171.2941999999998</v>
      </c>
      <c r="AH1584" s="2">
        <v>1406.9757999999999</v>
      </c>
      <c r="AI1584" s="3">
        <v>0.39320001006072802</v>
      </c>
    </row>
    <row r="1585" spans="1:35">
      <c r="A1585" s="1">
        <v>42087</v>
      </c>
      <c r="B1585" s="1">
        <v>37277</v>
      </c>
      <c r="C1585" t="s">
        <v>4095</v>
      </c>
      <c r="D1585">
        <v>311</v>
      </c>
      <c r="E1585">
        <v>19965</v>
      </c>
      <c r="F1585">
        <v>9</v>
      </c>
      <c r="G1585">
        <v>1</v>
      </c>
      <c r="H1585">
        <v>1</v>
      </c>
      <c r="I1585">
        <v>2</v>
      </c>
      <c r="J1585" t="s">
        <v>3487</v>
      </c>
      <c r="K1585" t="s">
        <v>3488</v>
      </c>
      <c r="L1585" s="2">
        <v>2171.2941999999998</v>
      </c>
      <c r="M1585" s="2">
        <v>3578.27</v>
      </c>
      <c r="N1585" t="s">
        <v>13</v>
      </c>
      <c r="O1585" t="s">
        <v>556</v>
      </c>
      <c r="P1585" t="s">
        <v>125</v>
      </c>
      <c r="Q1585" t="s">
        <v>7914</v>
      </c>
      <c r="R1585" s="1">
        <v>26981</v>
      </c>
      <c r="S1585" t="s">
        <v>16</v>
      </c>
      <c r="T1585" t="s">
        <v>16</v>
      </c>
      <c r="U1585" t="s">
        <v>2403</v>
      </c>
      <c r="V1585">
        <v>130000</v>
      </c>
      <c r="W1585">
        <v>4</v>
      </c>
      <c r="X1585" t="s">
        <v>57</v>
      </c>
      <c r="Y1585" t="s">
        <v>45</v>
      </c>
      <c r="Z1585" t="s">
        <v>19</v>
      </c>
      <c r="AA1585" t="s">
        <v>3586</v>
      </c>
      <c r="AB1585" t="s">
        <v>3586</v>
      </c>
      <c r="AC1585" t="s">
        <v>3587</v>
      </c>
      <c r="AD1585" t="s">
        <v>3479</v>
      </c>
      <c r="AE1585" t="s">
        <v>3475</v>
      </c>
      <c r="AF1585" s="2">
        <v>3578.27</v>
      </c>
      <c r="AG1585" s="2">
        <v>2171.2941999999998</v>
      </c>
      <c r="AH1585" s="2">
        <v>1406.9757999999999</v>
      </c>
      <c r="AI1585" s="3">
        <v>0.39320001006072802</v>
      </c>
    </row>
    <row r="1586" spans="1:35">
      <c r="A1586" s="1">
        <v>42089</v>
      </c>
      <c r="B1586" s="1">
        <v>37306</v>
      </c>
      <c r="C1586" t="s">
        <v>4107</v>
      </c>
      <c r="D1586">
        <v>311</v>
      </c>
      <c r="E1586">
        <v>19966</v>
      </c>
      <c r="F1586">
        <v>9</v>
      </c>
      <c r="G1586">
        <v>1</v>
      </c>
      <c r="H1586">
        <v>1</v>
      </c>
      <c r="I1586">
        <v>2</v>
      </c>
      <c r="J1586" t="s">
        <v>3487</v>
      </c>
      <c r="K1586" t="s">
        <v>3488</v>
      </c>
      <c r="L1586" s="2">
        <v>2171.2941999999998</v>
      </c>
      <c r="M1586" s="2">
        <v>3578.27</v>
      </c>
      <c r="N1586" t="s">
        <v>26</v>
      </c>
      <c r="O1586" t="s">
        <v>201</v>
      </c>
      <c r="P1586" t="s">
        <v>109</v>
      </c>
      <c r="Q1586" t="s">
        <v>7915</v>
      </c>
      <c r="R1586" s="1">
        <v>26503</v>
      </c>
      <c r="S1586" t="s">
        <v>16</v>
      </c>
      <c r="T1586" t="s">
        <v>29</v>
      </c>
      <c r="U1586" t="s">
        <v>2404</v>
      </c>
      <c r="V1586">
        <v>90000</v>
      </c>
      <c r="W1586">
        <v>0</v>
      </c>
      <c r="X1586" t="s">
        <v>17</v>
      </c>
      <c r="Y1586" t="s">
        <v>18</v>
      </c>
      <c r="Z1586" t="s">
        <v>19</v>
      </c>
      <c r="AA1586" t="s">
        <v>3586</v>
      </c>
      <c r="AB1586" t="s">
        <v>3586</v>
      </c>
      <c r="AC1586" t="s">
        <v>3587</v>
      </c>
      <c r="AD1586" t="s">
        <v>3479</v>
      </c>
      <c r="AE1586" t="s">
        <v>3475</v>
      </c>
      <c r="AF1586" s="2">
        <v>3578.27</v>
      </c>
      <c r="AG1586" s="2">
        <v>2171.2941999999998</v>
      </c>
      <c r="AH1586" s="2">
        <v>1406.9757999999999</v>
      </c>
      <c r="AI1586" s="3">
        <v>0.39320001006072802</v>
      </c>
    </row>
    <row r="1587" spans="1:35">
      <c r="A1587" s="1">
        <v>42067</v>
      </c>
      <c r="B1587" s="1">
        <v>37278</v>
      </c>
      <c r="C1587" t="s">
        <v>3965</v>
      </c>
      <c r="D1587">
        <v>312</v>
      </c>
      <c r="E1587">
        <v>19967</v>
      </c>
      <c r="F1587">
        <v>9</v>
      </c>
      <c r="G1587">
        <v>1</v>
      </c>
      <c r="H1587">
        <v>1</v>
      </c>
      <c r="I1587">
        <v>2</v>
      </c>
      <c r="J1587" t="s">
        <v>3489</v>
      </c>
      <c r="K1587" t="s">
        <v>3490</v>
      </c>
      <c r="L1587" s="2">
        <v>2171.2941999999998</v>
      </c>
      <c r="M1587" s="2">
        <v>3578.27</v>
      </c>
      <c r="N1587" t="s">
        <v>13</v>
      </c>
      <c r="O1587" t="s">
        <v>1320</v>
      </c>
      <c r="P1587" t="s">
        <v>226</v>
      </c>
      <c r="Q1587" t="s">
        <v>7916</v>
      </c>
      <c r="R1587" s="1">
        <v>26604</v>
      </c>
      <c r="S1587" t="s">
        <v>22</v>
      </c>
      <c r="T1587" t="s">
        <v>16</v>
      </c>
      <c r="U1587" t="s">
        <v>2405</v>
      </c>
      <c r="V1587">
        <v>90000</v>
      </c>
      <c r="W1587">
        <v>0</v>
      </c>
      <c r="X1587" t="s">
        <v>17</v>
      </c>
      <c r="Y1587" t="s">
        <v>18</v>
      </c>
      <c r="Z1587" t="s">
        <v>23</v>
      </c>
      <c r="AA1587" t="s">
        <v>3586</v>
      </c>
      <c r="AB1587" t="s">
        <v>3586</v>
      </c>
      <c r="AC1587" t="s">
        <v>3587</v>
      </c>
      <c r="AD1587" t="s">
        <v>3479</v>
      </c>
      <c r="AE1587" t="s">
        <v>3475</v>
      </c>
      <c r="AF1587" s="2">
        <v>3578.27</v>
      </c>
      <c r="AG1587" s="2">
        <v>2171.2941999999998</v>
      </c>
      <c r="AH1587" s="2">
        <v>1406.9757999999999</v>
      </c>
      <c r="AI1587" s="3">
        <v>0.39320001006072802</v>
      </c>
    </row>
    <row r="1588" spans="1:35">
      <c r="A1588" s="1">
        <v>42103</v>
      </c>
      <c r="B1588" s="1">
        <v>37340</v>
      </c>
      <c r="C1588" t="s">
        <v>4187</v>
      </c>
      <c r="D1588">
        <v>311</v>
      </c>
      <c r="E1588">
        <v>19968</v>
      </c>
      <c r="F1588">
        <v>9</v>
      </c>
      <c r="G1588">
        <v>1</v>
      </c>
      <c r="H1588">
        <v>1</v>
      </c>
      <c r="I1588">
        <v>2</v>
      </c>
      <c r="J1588" t="s">
        <v>3487</v>
      </c>
      <c r="K1588" t="s">
        <v>3488</v>
      </c>
      <c r="L1588" s="2">
        <v>2171.2941999999998</v>
      </c>
      <c r="M1588" s="2">
        <v>3578.27</v>
      </c>
      <c r="N1588" t="s">
        <v>26</v>
      </c>
      <c r="O1588" t="s">
        <v>509</v>
      </c>
      <c r="P1588" t="s">
        <v>205</v>
      </c>
      <c r="Q1588" t="s">
        <v>7917</v>
      </c>
      <c r="R1588" s="1">
        <v>26508</v>
      </c>
      <c r="S1588" t="s">
        <v>16</v>
      </c>
      <c r="T1588" t="s">
        <v>29</v>
      </c>
      <c r="U1588" t="s">
        <v>2406</v>
      </c>
      <c r="V1588">
        <v>100000</v>
      </c>
      <c r="W1588">
        <v>0</v>
      </c>
      <c r="X1588" t="s">
        <v>57</v>
      </c>
      <c r="Y1588" t="s">
        <v>45</v>
      </c>
      <c r="Z1588" t="s">
        <v>23</v>
      </c>
      <c r="AA1588" t="s">
        <v>3586</v>
      </c>
      <c r="AB1588" t="s">
        <v>3586</v>
      </c>
      <c r="AC1588" t="s">
        <v>3587</v>
      </c>
      <c r="AD1588" t="s">
        <v>3479</v>
      </c>
      <c r="AE1588" t="s">
        <v>3475</v>
      </c>
      <c r="AF1588" s="2">
        <v>3578.27</v>
      </c>
      <c r="AG1588" s="2">
        <v>2171.2941999999998</v>
      </c>
      <c r="AH1588" s="2">
        <v>1406.9757999999999</v>
      </c>
      <c r="AI1588" s="3">
        <v>0.39320001006072802</v>
      </c>
    </row>
    <row r="1589" spans="1:35">
      <c r="A1589" s="1">
        <v>42115</v>
      </c>
      <c r="B1589" s="1">
        <v>37309</v>
      </c>
      <c r="C1589" t="s">
        <v>4275</v>
      </c>
      <c r="D1589">
        <v>310</v>
      </c>
      <c r="E1589">
        <v>19970</v>
      </c>
      <c r="F1589">
        <v>9</v>
      </c>
      <c r="G1589">
        <v>1</v>
      </c>
      <c r="H1589">
        <v>1</v>
      </c>
      <c r="I1589">
        <v>2</v>
      </c>
      <c r="J1589" t="s">
        <v>3485</v>
      </c>
      <c r="K1589" t="s">
        <v>3486</v>
      </c>
      <c r="L1589" s="2">
        <v>2171.2941999999998</v>
      </c>
      <c r="M1589" s="2">
        <v>3578.27</v>
      </c>
      <c r="N1589" t="s">
        <v>30</v>
      </c>
      <c r="O1589" t="s">
        <v>256</v>
      </c>
      <c r="P1589" t="s">
        <v>83</v>
      </c>
      <c r="Q1589" t="s">
        <v>7918</v>
      </c>
      <c r="R1589" s="1">
        <v>26611</v>
      </c>
      <c r="S1589" t="s">
        <v>22</v>
      </c>
      <c r="T1589" t="s">
        <v>29</v>
      </c>
      <c r="U1589" t="s">
        <v>2407</v>
      </c>
      <c r="V1589">
        <v>130000</v>
      </c>
      <c r="W1589">
        <v>4</v>
      </c>
      <c r="X1589" t="s">
        <v>57</v>
      </c>
      <c r="Y1589" t="s">
        <v>45</v>
      </c>
      <c r="Z1589" t="s">
        <v>19</v>
      </c>
      <c r="AA1589" t="s">
        <v>3586</v>
      </c>
      <c r="AB1589" t="s">
        <v>3586</v>
      </c>
      <c r="AC1589" t="s">
        <v>3587</v>
      </c>
      <c r="AD1589" t="s">
        <v>3479</v>
      </c>
      <c r="AE1589" t="s">
        <v>3475</v>
      </c>
      <c r="AF1589" s="2">
        <v>3578.27</v>
      </c>
      <c r="AG1589" s="2">
        <v>2171.2941999999998</v>
      </c>
      <c r="AH1589" s="2">
        <v>1406.9757999999999</v>
      </c>
      <c r="AI1589" s="3">
        <v>0.39320001006072802</v>
      </c>
    </row>
    <row r="1590" spans="1:35">
      <c r="A1590" s="1">
        <v>42124</v>
      </c>
      <c r="B1590" s="1">
        <v>37278</v>
      </c>
      <c r="C1590" t="s">
        <v>4334</v>
      </c>
      <c r="D1590">
        <v>314</v>
      </c>
      <c r="E1590">
        <v>19971</v>
      </c>
      <c r="F1590">
        <v>9</v>
      </c>
      <c r="G1590">
        <v>1</v>
      </c>
      <c r="H1590">
        <v>1</v>
      </c>
      <c r="I1590">
        <v>2</v>
      </c>
      <c r="J1590" t="s">
        <v>3493</v>
      </c>
      <c r="K1590" t="s">
        <v>3494</v>
      </c>
      <c r="L1590" s="2">
        <v>2171.2941999999998</v>
      </c>
      <c r="M1590" s="2">
        <v>3578.27</v>
      </c>
      <c r="N1590" t="s">
        <v>13</v>
      </c>
      <c r="O1590" t="s">
        <v>1157</v>
      </c>
      <c r="P1590" t="s">
        <v>42</v>
      </c>
      <c r="Q1590" t="s">
        <v>7919</v>
      </c>
      <c r="R1590" s="1">
        <v>26119</v>
      </c>
      <c r="S1590" t="s">
        <v>22</v>
      </c>
      <c r="T1590" t="s">
        <v>16</v>
      </c>
      <c r="U1590" t="s">
        <v>2408</v>
      </c>
      <c r="V1590">
        <v>100000</v>
      </c>
      <c r="W1590">
        <v>0</v>
      </c>
      <c r="X1590" t="s">
        <v>57</v>
      </c>
      <c r="Y1590" t="s">
        <v>45</v>
      </c>
      <c r="Z1590" t="s">
        <v>19</v>
      </c>
      <c r="AA1590" t="s">
        <v>3586</v>
      </c>
      <c r="AB1590" t="s">
        <v>3586</v>
      </c>
      <c r="AC1590" t="s">
        <v>3587</v>
      </c>
      <c r="AD1590" t="s">
        <v>3479</v>
      </c>
      <c r="AE1590" t="s">
        <v>3475</v>
      </c>
      <c r="AF1590" s="2">
        <v>3578.27</v>
      </c>
      <c r="AG1590" s="2">
        <v>2171.2941999999998</v>
      </c>
      <c r="AH1590" s="2">
        <v>1406.9757999999999</v>
      </c>
      <c r="AI1590" s="3">
        <v>0.39320001006072802</v>
      </c>
    </row>
    <row r="1591" spans="1:35">
      <c r="A1591" s="1">
        <v>42115</v>
      </c>
      <c r="B1591" s="1">
        <v>37352</v>
      </c>
      <c r="C1591" t="s">
        <v>4272</v>
      </c>
      <c r="D1591">
        <v>312</v>
      </c>
      <c r="E1591">
        <v>19974</v>
      </c>
      <c r="F1591">
        <v>9</v>
      </c>
      <c r="G1591">
        <v>1</v>
      </c>
      <c r="H1591">
        <v>1</v>
      </c>
      <c r="I1591">
        <v>2</v>
      </c>
      <c r="J1591" t="s">
        <v>3489</v>
      </c>
      <c r="K1591" t="s">
        <v>3490</v>
      </c>
      <c r="L1591" s="2">
        <v>2171.2941999999998</v>
      </c>
      <c r="M1591" s="2">
        <v>3578.27</v>
      </c>
      <c r="N1591" t="s">
        <v>13</v>
      </c>
      <c r="O1591" t="s">
        <v>491</v>
      </c>
      <c r="P1591" t="s">
        <v>209</v>
      </c>
      <c r="Q1591" t="s">
        <v>7920</v>
      </c>
      <c r="R1591" s="1">
        <v>25793</v>
      </c>
      <c r="S1591" t="s">
        <v>16</v>
      </c>
      <c r="T1591" t="s">
        <v>16</v>
      </c>
      <c r="U1591" t="s">
        <v>2409</v>
      </c>
      <c r="V1591">
        <v>100000</v>
      </c>
      <c r="W1591">
        <v>0</v>
      </c>
      <c r="X1591" t="s">
        <v>57</v>
      </c>
      <c r="Y1591" t="s">
        <v>45</v>
      </c>
      <c r="Z1591" t="s">
        <v>19</v>
      </c>
      <c r="AA1591" t="s">
        <v>3586</v>
      </c>
      <c r="AB1591" t="s">
        <v>3586</v>
      </c>
      <c r="AC1591" t="s">
        <v>3587</v>
      </c>
      <c r="AD1591" t="s">
        <v>3479</v>
      </c>
      <c r="AE1591" t="s">
        <v>3475</v>
      </c>
      <c r="AF1591" s="2">
        <v>3578.27</v>
      </c>
      <c r="AG1591" s="2">
        <v>2171.2941999999998</v>
      </c>
      <c r="AH1591" s="2">
        <v>1406.9757999999999</v>
      </c>
      <c r="AI1591" s="3">
        <v>0.39320001006072802</v>
      </c>
    </row>
    <row r="1592" spans="1:35">
      <c r="A1592" s="1">
        <v>42105</v>
      </c>
      <c r="B1592" s="1">
        <v>37289</v>
      </c>
      <c r="C1592" t="s">
        <v>4198</v>
      </c>
      <c r="D1592">
        <v>314</v>
      </c>
      <c r="E1592">
        <v>19975</v>
      </c>
      <c r="F1592">
        <v>9</v>
      </c>
      <c r="G1592">
        <v>1</v>
      </c>
      <c r="H1592">
        <v>1</v>
      </c>
      <c r="I1592">
        <v>2</v>
      </c>
      <c r="J1592" t="s">
        <v>3493</v>
      </c>
      <c r="K1592" t="s">
        <v>3494</v>
      </c>
      <c r="L1592" s="2">
        <v>2171.2941999999998</v>
      </c>
      <c r="M1592" s="2">
        <v>3578.27</v>
      </c>
      <c r="N1592" t="s">
        <v>26</v>
      </c>
      <c r="O1592" t="s">
        <v>469</v>
      </c>
      <c r="P1592" t="s">
        <v>68</v>
      </c>
      <c r="Q1592" t="s">
        <v>7921</v>
      </c>
      <c r="R1592" s="1">
        <v>25827</v>
      </c>
      <c r="S1592" t="s">
        <v>22</v>
      </c>
      <c r="T1592" t="s">
        <v>29</v>
      </c>
      <c r="U1592" t="s">
        <v>2410</v>
      </c>
      <c r="V1592">
        <v>100000</v>
      </c>
      <c r="W1592">
        <v>0</v>
      </c>
      <c r="X1592" t="s">
        <v>77</v>
      </c>
      <c r="Y1592" t="s">
        <v>18</v>
      </c>
      <c r="Z1592" t="s">
        <v>19</v>
      </c>
      <c r="AA1592" t="s">
        <v>3586</v>
      </c>
      <c r="AB1592" t="s">
        <v>3586</v>
      </c>
      <c r="AC1592" t="s">
        <v>3587</v>
      </c>
      <c r="AD1592" t="s">
        <v>3479</v>
      </c>
      <c r="AE1592" t="s">
        <v>3475</v>
      </c>
      <c r="AF1592" s="2">
        <v>3578.27</v>
      </c>
      <c r="AG1592" s="2">
        <v>2171.2941999999998</v>
      </c>
      <c r="AH1592" s="2">
        <v>1406.9757999999999</v>
      </c>
      <c r="AI1592" s="3">
        <v>0.39320001006072802</v>
      </c>
    </row>
    <row r="1593" spans="1:35">
      <c r="A1593" s="1">
        <v>42120</v>
      </c>
      <c r="B1593" s="1">
        <v>37254</v>
      </c>
      <c r="C1593" t="s">
        <v>4302</v>
      </c>
      <c r="D1593">
        <v>310</v>
      </c>
      <c r="E1593">
        <v>19977</v>
      </c>
      <c r="F1593">
        <v>9</v>
      </c>
      <c r="G1593">
        <v>1</v>
      </c>
      <c r="H1593">
        <v>1</v>
      </c>
      <c r="I1593">
        <v>2</v>
      </c>
      <c r="J1593" t="s">
        <v>3485</v>
      </c>
      <c r="K1593" t="s">
        <v>3486</v>
      </c>
      <c r="L1593" s="2">
        <v>2171.2941999999998</v>
      </c>
      <c r="M1593" s="2">
        <v>3578.27</v>
      </c>
      <c r="N1593" t="s">
        <v>26</v>
      </c>
      <c r="O1593" t="s">
        <v>1048</v>
      </c>
      <c r="P1593" t="s">
        <v>270</v>
      </c>
      <c r="Q1593" t="s">
        <v>7922</v>
      </c>
      <c r="R1593" s="1">
        <v>25851</v>
      </c>
      <c r="S1593" t="s">
        <v>22</v>
      </c>
      <c r="T1593" t="s">
        <v>29</v>
      </c>
      <c r="U1593" t="s">
        <v>2411</v>
      </c>
      <c r="V1593">
        <v>120000</v>
      </c>
      <c r="W1593">
        <v>0</v>
      </c>
      <c r="X1593" t="s">
        <v>77</v>
      </c>
      <c r="Y1593" t="s">
        <v>18</v>
      </c>
      <c r="Z1593" t="s">
        <v>19</v>
      </c>
      <c r="AA1593" t="s">
        <v>3586</v>
      </c>
      <c r="AB1593" t="s">
        <v>3586</v>
      </c>
      <c r="AC1593" t="s">
        <v>3587</v>
      </c>
      <c r="AD1593" t="s">
        <v>3479</v>
      </c>
      <c r="AE1593" t="s">
        <v>3475</v>
      </c>
      <c r="AF1593" s="2">
        <v>3578.27</v>
      </c>
      <c r="AG1593" s="2">
        <v>2171.2941999999998</v>
      </c>
      <c r="AH1593" s="2">
        <v>1406.9757999999999</v>
      </c>
      <c r="AI1593" s="3">
        <v>0.39320001006072802</v>
      </c>
    </row>
    <row r="1594" spans="1:35">
      <c r="A1594" s="1">
        <v>42114</v>
      </c>
      <c r="B1594" s="1">
        <v>37297</v>
      </c>
      <c r="C1594" t="s">
        <v>4266</v>
      </c>
      <c r="D1594">
        <v>310</v>
      </c>
      <c r="E1594">
        <v>19978</v>
      </c>
      <c r="F1594">
        <v>9</v>
      </c>
      <c r="G1594">
        <v>1</v>
      </c>
      <c r="H1594">
        <v>1</v>
      </c>
      <c r="I1594">
        <v>2</v>
      </c>
      <c r="J1594" t="s">
        <v>3485</v>
      </c>
      <c r="K1594" t="s">
        <v>3486</v>
      </c>
      <c r="L1594" s="2">
        <v>2171.2941999999998</v>
      </c>
      <c r="M1594" s="2">
        <v>3578.27</v>
      </c>
      <c r="N1594" t="s">
        <v>13</v>
      </c>
      <c r="O1594" t="s">
        <v>340</v>
      </c>
      <c r="P1594" t="s">
        <v>87</v>
      </c>
      <c r="Q1594" t="s">
        <v>7923</v>
      </c>
      <c r="R1594" s="1">
        <v>26051</v>
      </c>
      <c r="S1594" t="s">
        <v>16</v>
      </c>
      <c r="T1594" t="s">
        <v>16</v>
      </c>
      <c r="U1594" t="s">
        <v>2412</v>
      </c>
      <c r="V1594">
        <v>110000</v>
      </c>
      <c r="W1594">
        <v>0</v>
      </c>
      <c r="X1594" t="s">
        <v>77</v>
      </c>
      <c r="Y1594" t="s">
        <v>18</v>
      </c>
      <c r="Z1594" t="s">
        <v>19</v>
      </c>
      <c r="AA1594" t="s">
        <v>3586</v>
      </c>
      <c r="AB1594" t="s">
        <v>3586</v>
      </c>
      <c r="AC1594" t="s">
        <v>3587</v>
      </c>
      <c r="AD1594" t="s">
        <v>3479</v>
      </c>
      <c r="AE1594" t="s">
        <v>3475</v>
      </c>
      <c r="AF1594" s="2">
        <v>3578.27</v>
      </c>
      <c r="AG1594" s="2">
        <v>2171.2941999999998</v>
      </c>
      <c r="AH1594" s="2">
        <v>1406.9757999999999</v>
      </c>
      <c r="AI1594" s="3">
        <v>0.39320001006072802</v>
      </c>
    </row>
    <row r="1595" spans="1:35">
      <c r="A1595" s="1">
        <v>42116</v>
      </c>
      <c r="B1595" s="1">
        <v>37251</v>
      </c>
      <c r="C1595" t="s">
        <v>4278</v>
      </c>
      <c r="D1595">
        <v>312</v>
      </c>
      <c r="E1595">
        <v>19979</v>
      </c>
      <c r="F1595">
        <v>9</v>
      </c>
      <c r="G1595">
        <v>1</v>
      </c>
      <c r="H1595">
        <v>1</v>
      </c>
      <c r="I1595">
        <v>2</v>
      </c>
      <c r="J1595" t="s">
        <v>3489</v>
      </c>
      <c r="K1595" t="s">
        <v>3490</v>
      </c>
      <c r="L1595" s="2">
        <v>2171.2941999999998</v>
      </c>
      <c r="M1595" s="2">
        <v>3578.27</v>
      </c>
      <c r="N1595" t="s">
        <v>26</v>
      </c>
      <c r="O1595" t="s">
        <v>526</v>
      </c>
      <c r="P1595" t="s">
        <v>1161</v>
      </c>
      <c r="Q1595" t="s">
        <v>7924</v>
      </c>
      <c r="R1595" s="1">
        <v>26291</v>
      </c>
      <c r="S1595" t="s">
        <v>16</v>
      </c>
      <c r="T1595" t="s">
        <v>29</v>
      </c>
      <c r="U1595" t="s">
        <v>2413</v>
      </c>
      <c r="V1595">
        <v>120000</v>
      </c>
      <c r="W1595">
        <v>0</v>
      </c>
      <c r="X1595" t="s">
        <v>77</v>
      </c>
      <c r="Y1595" t="s">
        <v>45</v>
      </c>
      <c r="Z1595" t="s">
        <v>19</v>
      </c>
      <c r="AA1595" t="s">
        <v>3586</v>
      </c>
      <c r="AB1595" t="s">
        <v>3586</v>
      </c>
      <c r="AC1595" t="s">
        <v>3587</v>
      </c>
      <c r="AD1595" t="s">
        <v>3479</v>
      </c>
      <c r="AE1595" t="s">
        <v>3475</v>
      </c>
      <c r="AF1595" s="2">
        <v>3578.27</v>
      </c>
      <c r="AG1595" s="2">
        <v>2171.2941999999998</v>
      </c>
      <c r="AH1595" s="2">
        <v>1406.9757999999999</v>
      </c>
      <c r="AI1595" s="3">
        <v>0.39320001006072802</v>
      </c>
    </row>
    <row r="1596" spans="1:35">
      <c r="A1596" s="1">
        <v>42010</v>
      </c>
      <c r="B1596" s="1">
        <v>37207</v>
      </c>
      <c r="C1596" t="s">
        <v>3622</v>
      </c>
      <c r="D1596">
        <v>348</v>
      </c>
      <c r="E1596">
        <v>19987</v>
      </c>
      <c r="F1596">
        <v>6</v>
      </c>
      <c r="G1596">
        <v>1</v>
      </c>
      <c r="H1596">
        <v>1</v>
      </c>
      <c r="I1596">
        <v>1</v>
      </c>
      <c r="J1596" t="s">
        <v>3527</v>
      </c>
      <c r="K1596" t="s">
        <v>3528</v>
      </c>
      <c r="L1596" s="2">
        <v>1898.0944</v>
      </c>
      <c r="M1596" s="2">
        <v>3374.99</v>
      </c>
      <c r="N1596" t="s">
        <v>30</v>
      </c>
      <c r="O1596" t="s">
        <v>254</v>
      </c>
      <c r="P1596" t="s">
        <v>674</v>
      </c>
      <c r="Q1596" t="s">
        <v>7925</v>
      </c>
      <c r="R1596" s="1">
        <v>26133</v>
      </c>
      <c r="S1596" t="s">
        <v>22</v>
      </c>
      <c r="T1596" t="s">
        <v>29</v>
      </c>
      <c r="U1596" t="s">
        <v>2414</v>
      </c>
      <c r="V1596">
        <v>60000</v>
      </c>
      <c r="W1596">
        <v>1</v>
      </c>
      <c r="X1596" t="s">
        <v>135</v>
      </c>
      <c r="Y1596" t="s">
        <v>18</v>
      </c>
      <c r="Z1596" t="s">
        <v>19</v>
      </c>
      <c r="AA1596" t="s">
        <v>3582</v>
      </c>
      <c r="AB1596" t="s">
        <v>3582</v>
      </c>
      <c r="AC1596" t="s">
        <v>3579</v>
      </c>
      <c r="AD1596" t="s">
        <v>3478</v>
      </c>
      <c r="AE1596" t="s">
        <v>3475</v>
      </c>
      <c r="AF1596" s="2">
        <v>3374.99</v>
      </c>
      <c r="AG1596" s="2">
        <v>1898.0944</v>
      </c>
      <c r="AH1596" s="2">
        <v>1476.8956000000001</v>
      </c>
      <c r="AI1596" s="3">
        <v>0.43759999288886797</v>
      </c>
    </row>
    <row r="1597" spans="1:35">
      <c r="A1597" s="1">
        <v>42041</v>
      </c>
      <c r="B1597" s="1">
        <v>37188</v>
      </c>
      <c r="C1597" t="s">
        <v>3812</v>
      </c>
      <c r="D1597">
        <v>344</v>
      </c>
      <c r="E1597">
        <v>19988</v>
      </c>
      <c r="F1597">
        <v>6</v>
      </c>
      <c r="G1597">
        <v>1</v>
      </c>
      <c r="H1597">
        <v>1</v>
      </c>
      <c r="I1597">
        <v>1</v>
      </c>
      <c r="J1597" t="s">
        <v>3519</v>
      </c>
      <c r="K1597" t="s">
        <v>3520</v>
      </c>
      <c r="L1597" s="2">
        <v>1912.1543999999999</v>
      </c>
      <c r="M1597" s="2">
        <v>3399.99</v>
      </c>
      <c r="N1597" t="s">
        <v>13</v>
      </c>
      <c r="O1597" t="s">
        <v>63</v>
      </c>
      <c r="P1597" t="s">
        <v>239</v>
      </c>
      <c r="Q1597" t="s">
        <v>7926</v>
      </c>
      <c r="R1597" s="1">
        <v>26033</v>
      </c>
      <c r="S1597" t="s">
        <v>16</v>
      </c>
      <c r="T1597" t="s">
        <v>16</v>
      </c>
      <c r="U1597" t="s">
        <v>2415</v>
      </c>
      <c r="V1597">
        <v>60000</v>
      </c>
      <c r="W1597">
        <v>1</v>
      </c>
      <c r="X1597" t="s">
        <v>135</v>
      </c>
      <c r="Y1597" t="s">
        <v>18</v>
      </c>
      <c r="Z1597" t="s">
        <v>19</v>
      </c>
      <c r="AA1597" t="s">
        <v>3582</v>
      </c>
      <c r="AB1597" t="s">
        <v>3582</v>
      </c>
      <c r="AC1597" t="s">
        <v>3579</v>
      </c>
      <c r="AD1597" t="s">
        <v>3478</v>
      </c>
      <c r="AE1597" t="s">
        <v>3475</v>
      </c>
      <c r="AF1597" s="2">
        <v>3399.99</v>
      </c>
      <c r="AG1597" s="2">
        <v>1912.1543999999999</v>
      </c>
      <c r="AH1597" s="2">
        <v>1487.8356000000001</v>
      </c>
      <c r="AI1597" s="3">
        <v>0.43759999294115598</v>
      </c>
    </row>
    <row r="1598" spans="1:35">
      <c r="A1598" s="1">
        <v>42057</v>
      </c>
      <c r="B1598" s="1">
        <v>37288</v>
      </c>
      <c r="C1598" t="s">
        <v>3900</v>
      </c>
      <c r="D1598">
        <v>350</v>
      </c>
      <c r="E1598">
        <v>19989</v>
      </c>
      <c r="F1598">
        <v>6</v>
      </c>
      <c r="G1598">
        <v>1</v>
      </c>
      <c r="H1598">
        <v>1</v>
      </c>
      <c r="I1598">
        <v>1</v>
      </c>
      <c r="J1598" t="s">
        <v>3531</v>
      </c>
      <c r="K1598" t="s">
        <v>3532</v>
      </c>
      <c r="L1598" s="2">
        <v>1898.0944</v>
      </c>
      <c r="M1598" s="2">
        <v>3374.99</v>
      </c>
      <c r="N1598" t="s">
        <v>13</v>
      </c>
      <c r="O1598" t="s">
        <v>67</v>
      </c>
      <c r="P1598" t="s">
        <v>366</v>
      </c>
      <c r="Q1598" t="s">
        <v>7927</v>
      </c>
      <c r="R1598" s="1">
        <v>25946</v>
      </c>
      <c r="S1598" t="s">
        <v>16</v>
      </c>
      <c r="T1598" t="s">
        <v>16</v>
      </c>
      <c r="U1598" t="s">
        <v>2416</v>
      </c>
      <c r="V1598">
        <v>60000</v>
      </c>
      <c r="W1598">
        <v>1</v>
      </c>
      <c r="X1598" t="s">
        <v>135</v>
      </c>
      <c r="Y1598" t="s">
        <v>18</v>
      </c>
      <c r="Z1598" t="s">
        <v>19</v>
      </c>
      <c r="AA1598" t="s">
        <v>3582</v>
      </c>
      <c r="AB1598" t="s">
        <v>3582</v>
      </c>
      <c r="AC1598" t="s">
        <v>3579</v>
      </c>
      <c r="AD1598" t="s">
        <v>3478</v>
      </c>
      <c r="AE1598" t="s">
        <v>3475</v>
      </c>
      <c r="AF1598" s="2">
        <v>3374.99</v>
      </c>
      <c r="AG1598" s="2">
        <v>1898.0944</v>
      </c>
      <c r="AH1598" s="2">
        <v>1476.8956000000001</v>
      </c>
      <c r="AI1598" s="3">
        <v>0.43759999288886797</v>
      </c>
    </row>
    <row r="1599" spans="1:35">
      <c r="A1599" s="1">
        <v>42047</v>
      </c>
      <c r="B1599" s="1">
        <v>37233</v>
      </c>
      <c r="C1599" t="s">
        <v>3853</v>
      </c>
      <c r="D1599">
        <v>348</v>
      </c>
      <c r="E1599">
        <v>19997</v>
      </c>
      <c r="F1599">
        <v>6</v>
      </c>
      <c r="G1599">
        <v>1</v>
      </c>
      <c r="H1599">
        <v>1</v>
      </c>
      <c r="I1599">
        <v>1</v>
      </c>
      <c r="J1599" t="s">
        <v>3527</v>
      </c>
      <c r="K1599" t="s">
        <v>3528</v>
      </c>
      <c r="L1599" s="2">
        <v>1898.0944</v>
      </c>
      <c r="M1599" s="2">
        <v>3374.99</v>
      </c>
      <c r="N1599" t="s">
        <v>30</v>
      </c>
      <c r="O1599" t="s">
        <v>494</v>
      </c>
      <c r="P1599" t="s">
        <v>270</v>
      </c>
      <c r="Q1599" t="s">
        <v>7928</v>
      </c>
      <c r="R1599" s="1">
        <v>24995</v>
      </c>
      <c r="S1599" t="s">
        <v>16</v>
      </c>
      <c r="T1599" t="s">
        <v>29</v>
      </c>
      <c r="U1599" t="s">
        <v>2417</v>
      </c>
      <c r="V1599">
        <v>70000</v>
      </c>
      <c r="W1599">
        <v>2</v>
      </c>
      <c r="X1599" t="s">
        <v>17</v>
      </c>
      <c r="Y1599" t="s">
        <v>53</v>
      </c>
      <c r="Z1599" t="s">
        <v>19</v>
      </c>
      <c r="AA1599" t="s">
        <v>3582</v>
      </c>
      <c r="AB1599" t="s">
        <v>3582</v>
      </c>
      <c r="AC1599" t="s">
        <v>3579</v>
      </c>
      <c r="AD1599" t="s">
        <v>3478</v>
      </c>
      <c r="AE1599" t="s">
        <v>3475</v>
      </c>
      <c r="AF1599" s="2">
        <v>3374.99</v>
      </c>
      <c r="AG1599" s="2">
        <v>1898.0944</v>
      </c>
      <c r="AH1599" s="2">
        <v>1476.8956000000001</v>
      </c>
      <c r="AI1599" s="3">
        <v>0.43759999288886797</v>
      </c>
    </row>
    <row r="1600" spans="1:35">
      <c r="A1600" s="1">
        <v>42085</v>
      </c>
      <c r="B1600" s="1">
        <v>37292</v>
      </c>
      <c r="C1600" t="s">
        <v>4081</v>
      </c>
      <c r="D1600">
        <v>350</v>
      </c>
      <c r="E1600">
        <v>20000</v>
      </c>
      <c r="F1600">
        <v>6</v>
      </c>
      <c r="G1600">
        <v>1</v>
      </c>
      <c r="H1600">
        <v>1</v>
      </c>
      <c r="I1600">
        <v>1</v>
      </c>
      <c r="J1600" t="s">
        <v>3531</v>
      </c>
      <c r="K1600" t="s">
        <v>3532</v>
      </c>
      <c r="L1600" s="2">
        <v>1898.0944</v>
      </c>
      <c r="M1600" s="2">
        <v>3374.99</v>
      </c>
      <c r="N1600" t="s">
        <v>13</v>
      </c>
      <c r="O1600" t="s">
        <v>435</v>
      </c>
      <c r="P1600" t="s">
        <v>136</v>
      </c>
      <c r="Q1600" t="s">
        <v>7929</v>
      </c>
      <c r="R1600" s="1">
        <v>25864</v>
      </c>
      <c r="S1600" t="s">
        <v>16</v>
      </c>
      <c r="T1600" t="s">
        <v>16</v>
      </c>
      <c r="U1600" t="s">
        <v>2418</v>
      </c>
      <c r="V1600">
        <v>60000</v>
      </c>
      <c r="W1600">
        <v>1</v>
      </c>
      <c r="X1600" t="s">
        <v>135</v>
      </c>
      <c r="Y1600" t="s">
        <v>18</v>
      </c>
      <c r="Z1600" t="s">
        <v>19</v>
      </c>
      <c r="AA1600" t="s">
        <v>3582</v>
      </c>
      <c r="AB1600" t="s">
        <v>3582</v>
      </c>
      <c r="AC1600" t="s">
        <v>3579</v>
      </c>
      <c r="AD1600" t="s">
        <v>3478</v>
      </c>
      <c r="AE1600" t="s">
        <v>3475</v>
      </c>
      <c r="AF1600" s="2">
        <v>3374.99</v>
      </c>
      <c r="AG1600" s="2">
        <v>1898.0944</v>
      </c>
      <c r="AH1600" s="2">
        <v>1476.8956000000001</v>
      </c>
      <c r="AI1600" s="3">
        <v>0.43759999288886797</v>
      </c>
    </row>
    <row r="1601" spans="1:35">
      <c r="A1601" s="1">
        <v>42105</v>
      </c>
      <c r="B1601" s="1">
        <v>37316</v>
      </c>
      <c r="C1601" t="s">
        <v>4197</v>
      </c>
      <c r="D1601">
        <v>351</v>
      </c>
      <c r="E1601">
        <v>20007</v>
      </c>
      <c r="F1601">
        <v>6</v>
      </c>
      <c r="G1601">
        <v>1</v>
      </c>
      <c r="H1601">
        <v>1</v>
      </c>
      <c r="I1601">
        <v>1</v>
      </c>
      <c r="J1601" t="s">
        <v>3533</v>
      </c>
      <c r="K1601" t="s">
        <v>3534</v>
      </c>
      <c r="L1601" s="2">
        <v>1898.0944</v>
      </c>
      <c r="M1601" s="2">
        <v>3374.99</v>
      </c>
      <c r="N1601" t="s">
        <v>30</v>
      </c>
      <c r="O1601" t="s">
        <v>289</v>
      </c>
      <c r="P1601" t="s">
        <v>288</v>
      </c>
      <c r="Q1601" t="s">
        <v>7930</v>
      </c>
      <c r="R1601" s="1">
        <v>24718</v>
      </c>
      <c r="S1601" t="s">
        <v>22</v>
      </c>
      <c r="T1601" t="s">
        <v>29</v>
      </c>
      <c r="U1601" t="s">
        <v>2419</v>
      </c>
      <c r="V1601">
        <v>50000</v>
      </c>
      <c r="W1601">
        <v>2</v>
      </c>
      <c r="X1601" t="s">
        <v>17</v>
      </c>
      <c r="Y1601" t="s">
        <v>53</v>
      </c>
      <c r="Z1601" t="s">
        <v>23</v>
      </c>
      <c r="AA1601" t="s">
        <v>3582</v>
      </c>
      <c r="AB1601" t="s">
        <v>3582</v>
      </c>
      <c r="AC1601" t="s">
        <v>3579</v>
      </c>
      <c r="AD1601" t="s">
        <v>3478</v>
      </c>
      <c r="AE1601" t="s">
        <v>3475</v>
      </c>
      <c r="AF1601" s="2">
        <v>3374.99</v>
      </c>
      <c r="AG1601" s="2">
        <v>1898.0944</v>
      </c>
      <c r="AH1601" s="2">
        <v>1476.8956000000001</v>
      </c>
      <c r="AI1601" s="3">
        <v>0.43759999288886797</v>
      </c>
    </row>
    <row r="1602" spans="1:35">
      <c r="A1602" s="1">
        <v>42138</v>
      </c>
      <c r="B1602" s="1">
        <v>37355</v>
      </c>
      <c r="C1602" t="s">
        <v>4440</v>
      </c>
      <c r="D1602">
        <v>348</v>
      </c>
      <c r="E1602">
        <v>20023</v>
      </c>
      <c r="F1602">
        <v>6</v>
      </c>
      <c r="G1602">
        <v>1</v>
      </c>
      <c r="H1602">
        <v>1</v>
      </c>
      <c r="I1602">
        <v>1</v>
      </c>
      <c r="J1602" t="s">
        <v>3527</v>
      </c>
      <c r="K1602" t="s">
        <v>3528</v>
      </c>
      <c r="L1602" s="2">
        <v>1898.0944</v>
      </c>
      <c r="M1602" s="2">
        <v>3374.99</v>
      </c>
      <c r="N1602" t="s">
        <v>13</v>
      </c>
      <c r="O1602" t="s">
        <v>263</v>
      </c>
      <c r="P1602" t="s">
        <v>280</v>
      </c>
      <c r="Q1602" t="s">
        <v>7931</v>
      </c>
      <c r="R1602" s="1">
        <v>23917</v>
      </c>
      <c r="S1602" t="s">
        <v>22</v>
      </c>
      <c r="T1602" t="s">
        <v>16</v>
      </c>
      <c r="U1602" t="s">
        <v>2420</v>
      </c>
      <c r="V1602">
        <v>60000</v>
      </c>
      <c r="W1602">
        <v>0</v>
      </c>
      <c r="X1602" t="s">
        <v>135</v>
      </c>
      <c r="Y1602" t="s">
        <v>18</v>
      </c>
      <c r="Z1602" t="s">
        <v>19</v>
      </c>
      <c r="AA1602" t="s">
        <v>3582</v>
      </c>
      <c r="AB1602" t="s">
        <v>3582</v>
      </c>
      <c r="AC1602" t="s">
        <v>3579</v>
      </c>
      <c r="AD1602" t="s">
        <v>3478</v>
      </c>
      <c r="AE1602" t="s">
        <v>3475</v>
      </c>
      <c r="AF1602" s="2">
        <v>3374.99</v>
      </c>
      <c r="AG1602" s="2">
        <v>1898.0944</v>
      </c>
      <c r="AH1602" s="2">
        <v>1476.8956000000001</v>
      </c>
      <c r="AI1602" s="3">
        <v>0.43759999288886797</v>
      </c>
    </row>
    <row r="1603" spans="1:35">
      <c r="A1603" s="1">
        <v>42142</v>
      </c>
      <c r="B1603" s="1">
        <v>37360</v>
      </c>
      <c r="C1603" t="s">
        <v>4477</v>
      </c>
      <c r="D1603">
        <v>345</v>
      </c>
      <c r="E1603">
        <v>20034</v>
      </c>
      <c r="F1603">
        <v>6</v>
      </c>
      <c r="G1603">
        <v>1</v>
      </c>
      <c r="H1603">
        <v>1</v>
      </c>
      <c r="I1603">
        <v>1</v>
      </c>
      <c r="J1603" t="s">
        <v>3521</v>
      </c>
      <c r="K1603" t="s">
        <v>3522</v>
      </c>
      <c r="L1603" s="2">
        <v>1912.1543999999999</v>
      </c>
      <c r="M1603" s="2">
        <v>3399.99</v>
      </c>
      <c r="N1603" t="s">
        <v>13</v>
      </c>
      <c r="O1603" t="s">
        <v>54</v>
      </c>
      <c r="P1603" t="s">
        <v>347</v>
      </c>
      <c r="Q1603" t="s">
        <v>7932</v>
      </c>
      <c r="R1603" s="1">
        <v>23128</v>
      </c>
      <c r="S1603" t="s">
        <v>22</v>
      </c>
      <c r="T1603" t="s">
        <v>16</v>
      </c>
      <c r="U1603" t="s">
        <v>2421</v>
      </c>
      <c r="V1603">
        <v>70000</v>
      </c>
      <c r="W1603">
        <v>4</v>
      </c>
      <c r="X1603" t="s">
        <v>17</v>
      </c>
      <c r="Y1603" t="s">
        <v>18</v>
      </c>
      <c r="Z1603" t="s">
        <v>19</v>
      </c>
      <c r="AA1603" t="s">
        <v>3582</v>
      </c>
      <c r="AB1603" t="s">
        <v>3582</v>
      </c>
      <c r="AC1603" t="s">
        <v>3579</v>
      </c>
      <c r="AD1603" t="s">
        <v>3478</v>
      </c>
      <c r="AE1603" t="s">
        <v>3475</v>
      </c>
      <c r="AF1603" s="2">
        <v>3399.99</v>
      </c>
      <c r="AG1603" s="2">
        <v>1912.1543999999999</v>
      </c>
      <c r="AH1603" s="2">
        <v>1487.8356000000001</v>
      </c>
      <c r="AI1603" s="3">
        <v>0.43759999294115598</v>
      </c>
    </row>
    <row r="1604" spans="1:35">
      <c r="A1604" s="1">
        <v>42183</v>
      </c>
      <c r="B1604" s="1">
        <v>37411</v>
      </c>
      <c r="C1604" t="s">
        <v>4745</v>
      </c>
      <c r="D1604">
        <v>351</v>
      </c>
      <c r="E1604">
        <v>20035</v>
      </c>
      <c r="F1604">
        <v>6</v>
      </c>
      <c r="G1604">
        <v>1</v>
      </c>
      <c r="H1604">
        <v>1</v>
      </c>
      <c r="I1604">
        <v>1</v>
      </c>
      <c r="J1604" t="s">
        <v>3533</v>
      </c>
      <c r="K1604" t="s">
        <v>3534</v>
      </c>
      <c r="L1604" s="2">
        <v>1898.0944</v>
      </c>
      <c r="M1604" s="2">
        <v>3374.99</v>
      </c>
      <c r="N1604" t="s">
        <v>13</v>
      </c>
      <c r="O1604" t="s">
        <v>560</v>
      </c>
      <c r="P1604" t="s">
        <v>209</v>
      </c>
      <c r="Q1604" t="s">
        <v>7933</v>
      </c>
      <c r="R1604" s="1">
        <v>23071</v>
      </c>
      <c r="S1604" t="s">
        <v>16</v>
      </c>
      <c r="T1604" t="s">
        <v>16</v>
      </c>
      <c r="U1604" t="s">
        <v>2422</v>
      </c>
      <c r="V1604">
        <v>70000</v>
      </c>
      <c r="W1604">
        <v>4</v>
      </c>
      <c r="X1604" t="s">
        <v>17</v>
      </c>
      <c r="Y1604" t="s">
        <v>18</v>
      </c>
      <c r="Z1604" t="s">
        <v>19</v>
      </c>
      <c r="AA1604" t="s">
        <v>3582</v>
      </c>
      <c r="AB1604" t="s">
        <v>3582</v>
      </c>
      <c r="AC1604" t="s">
        <v>3579</v>
      </c>
      <c r="AD1604" t="s">
        <v>3478</v>
      </c>
      <c r="AE1604" t="s">
        <v>3475</v>
      </c>
      <c r="AF1604" s="2">
        <v>3374.99</v>
      </c>
      <c r="AG1604" s="2">
        <v>1898.0944</v>
      </c>
      <c r="AH1604" s="2">
        <v>1476.8956000000001</v>
      </c>
      <c r="AI1604" s="3">
        <v>0.43759999288886797</v>
      </c>
    </row>
    <row r="1605" spans="1:35">
      <c r="A1605" s="1">
        <v>42232</v>
      </c>
      <c r="B1605" s="1">
        <v>37440</v>
      </c>
      <c r="C1605" t="s">
        <v>5141</v>
      </c>
      <c r="D1605">
        <v>322</v>
      </c>
      <c r="E1605">
        <v>20051</v>
      </c>
      <c r="F1605">
        <v>8</v>
      </c>
      <c r="G1605">
        <v>1</v>
      </c>
      <c r="H1605">
        <v>1</v>
      </c>
      <c r="I1605">
        <v>2</v>
      </c>
      <c r="J1605" t="s">
        <v>3497</v>
      </c>
      <c r="K1605" t="s">
        <v>3498</v>
      </c>
      <c r="L1605" s="2">
        <v>413.1463</v>
      </c>
      <c r="M1605" s="2">
        <v>699.09820000000002</v>
      </c>
      <c r="N1605" t="s">
        <v>30</v>
      </c>
      <c r="O1605" t="s">
        <v>156</v>
      </c>
      <c r="P1605" t="s">
        <v>97</v>
      </c>
      <c r="Q1605" t="s">
        <v>7934</v>
      </c>
      <c r="R1605" s="1">
        <v>26591</v>
      </c>
      <c r="S1605" t="s">
        <v>22</v>
      </c>
      <c r="T1605" t="s">
        <v>29</v>
      </c>
      <c r="U1605" t="s">
        <v>2423</v>
      </c>
      <c r="V1605">
        <v>40000</v>
      </c>
      <c r="W1605">
        <v>1</v>
      </c>
      <c r="X1605" t="s">
        <v>52</v>
      </c>
      <c r="Y1605" t="s">
        <v>60</v>
      </c>
      <c r="Z1605" t="s">
        <v>23</v>
      </c>
      <c r="AA1605" t="s">
        <v>3585</v>
      </c>
      <c r="AB1605" t="s">
        <v>3585</v>
      </c>
      <c r="AC1605" t="s">
        <v>3584</v>
      </c>
      <c r="AD1605" t="s">
        <v>3479</v>
      </c>
      <c r="AE1605" t="s">
        <v>3475</v>
      </c>
      <c r="AF1605" s="2">
        <v>699.09820000000002</v>
      </c>
      <c r="AG1605" s="2">
        <v>413.1463</v>
      </c>
      <c r="AH1605" s="2">
        <v>285.95190000000002</v>
      </c>
      <c r="AI1605" s="3">
        <v>0.409029661355157</v>
      </c>
    </row>
    <row r="1606" spans="1:35">
      <c r="A1606" s="1">
        <v>42217</v>
      </c>
      <c r="B1606" s="1">
        <v>37367</v>
      </c>
      <c r="C1606" t="s">
        <v>5017</v>
      </c>
      <c r="D1606">
        <v>340</v>
      </c>
      <c r="E1606">
        <v>20062</v>
      </c>
      <c r="F1606">
        <v>8</v>
      </c>
      <c r="G1606">
        <v>1</v>
      </c>
      <c r="H1606">
        <v>1</v>
      </c>
      <c r="I1606">
        <v>2</v>
      </c>
      <c r="J1606" t="s">
        <v>3515</v>
      </c>
      <c r="K1606" t="s">
        <v>3516</v>
      </c>
      <c r="L1606" s="2">
        <v>413.1463</v>
      </c>
      <c r="M1606" s="2">
        <v>699.09820000000002</v>
      </c>
      <c r="N1606" t="s">
        <v>13</v>
      </c>
      <c r="O1606" t="s">
        <v>71</v>
      </c>
      <c r="P1606" t="s">
        <v>236</v>
      </c>
      <c r="Q1606" t="s">
        <v>7935</v>
      </c>
      <c r="R1606" s="1">
        <v>26192</v>
      </c>
      <c r="S1606" t="s">
        <v>22</v>
      </c>
      <c r="T1606" t="s">
        <v>16</v>
      </c>
      <c r="U1606" t="s">
        <v>2424</v>
      </c>
      <c r="V1606">
        <v>30000</v>
      </c>
      <c r="W1606">
        <v>0</v>
      </c>
      <c r="X1606" t="s">
        <v>57</v>
      </c>
      <c r="Y1606" t="s">
        <v>444</v>
      </c>
      <c r="Z1606" t="s">
        <v>23</v>
      </c>
      <c r="AA1606" t="s">
        <v>3585</v>
      </c>
      <c r="AB1606" t="s">
        <v>3585</v>
      </c>
      <c r="AC1606" t="s">
        <v>3584</v>
      </c>
      <c r="AD1606" t="s">
        <v>3479</v>
      </c>
      <c r="AE1606" t="s">
        <v>3475</v>
      </c>
      <c r="AF1606" s="2">
        <v>699.09820000000002</v>
      </c>
      <c r="AG1606" s="2">
        <v>413.1463</v>
      </c>
      <c r="AH1606" s="2">
        <v>285.95190000000002</v>
      </c>
      <c r="AI1606" s="3">
        <v>0.409029661355157</v>
      </c>
    </row>
    <row r="1607" spans="1:35">
      <c r="A1607" s="1">
        <v>42159</v>
      </c>
      <c r="B1607" s="1">
        <v>37395</v>
      </c>
      <c r="C1607" t="s">
        <v>4570</v>
      </c>
      <c r="D1607">
        <v>346</v>
      </c>
      <c r="E1607">
        <v>20075</v>
      </c>
      <c r="F1607">
        <v>6</v>
      </c>
      <c r="G1607">
        <v>1</v>
      </c>
      <c r="H1607">
        <v>1</v>
      </c>
      <c r="I1607">
        <v>1</v>
      </c>
      <c r="J1607" t="s">
        <v>3523</v>
      </c>
      <c r="K1607" t="s">
        <v>3524</v>
      </c>
      <c r="L1607" s="2">
        <v>1912.1543999999999</v>
      </c>
      <c r="M1607" s="2">
        <v>3399.99</v>
      </c>
      <c r="N1607" t="s">
        <v>13</v>
      </c>
      <c r="O1607" t="s">
        <v>723</v>
      </c>
      <c r="P1607" t="s">
        <v>425</v>
      </c>
      <c r="Q1607" t="s">
        <v>7936</v>
      </c>
      <c r="R1607" s="1">
        <v>19497</v>
      </c>
      <c r="S1607" t="s">
        <v>22</v>
      </c>
      <c r="T1607" t="s">
        <v>16</v>
      </c>
      <c r="U1607" t="s">
        <v>2425</v>
      </c>
      <c r="V1607">
        <v>10000</v>
      </c>
      <c r="W1607">
        <v>2</v>
      </c>
      <c r="X1607" t="s">
        <v>57</v>
      </c>
      <c r="Y1607" t="s">
        <v>444</v>
      </c>
      <c r="Z1607" t="s">
        <v>19</v>
      </c>
      <c r="AA1607" t="s">
        <v>3582</v>
      </c>
      <c r="AB1607" t="s">
        <v>3582</v>
      </c>
      <c r="AC1607" t="s">
        <v>3579</v>
      </c>
      <c r="AD1607" t="s">
        <v>3478</v>
      </c>
      <c r="AE1607" t="s">
        <v>3475</v>
      </c>
      <c r="AF1607" s="2">
        <v>3399.99</v>
      </c>
      <c r="AG1607" s="2">
        <v>1912.1543999999999</v>
      </c>
      <c r="AH1607" s="2">
        <v>1487.8356000000001</v>
      </c>
      <c r="AI1607" s="3">
        <v>0.43759999294115598</v>
      </c>
    </row>
    <row r="1608" spans="1:35">
      <c r="A1608" s="1">
        <v>42097</v>
      </c>
      <c r="B1608" s="1">
        <v>37241</v>
      </c>
      <c r="C1608" t="s">
        <v>4152</v>
      </c>
      <c r="D1608">
        <v>314</v>
      </c>
      <c r="E1608">
        <v>20151</v>
      </c>
      <c r="F1608">
        <v>9</v>
      </c>
      <c r="G1608">
        <v>1</v>
      </c>
      <c r="H1608">
        <v>1</v>
      </c>
      <c r="I1608">
        <v>2</v>
      </c>
      <c r="J1608" t="s">
        <v>3493</v>
      </c>
      <c r="K1608" t="s">
        <v>3494</v>
      </c>
      <c r="L1608" s="2">
        <v>2171.2941999999998</v>
      </c>
      <c r="M1608" s="2">
        <v>3578.27</v>
      </c>
      <c r="N1608" t="s">
        <v>26</v>
      </c>
      <c r="O1608" t="s">
        <v>802</v>
      </c>
      <c r="P1608" t="s">
        <v>929</v>
      </c>
      <c r="Q1608" t="s">
        <v>7937</v>
      </c>
      <c r="R1608" s="1">
        <v>29500</v>
      </c>
      <c r="S1608" t="s">
        <v>16</v>
      </c>
      <c r="T1608" t="s">
        <v>29</v>
      </c>
      <c r="U1608" t="s">
        <v>2426</v>
      </c>
      <c r="V1608">
        <v>10000</v>
      </c>
      <c r="W1608">
        <v>0</v>
      </c>
      <c r="X1608" t="s">
        <v>52</v>
      </c>
      <c r="Y1608" t="s">
        <v>444</v>
      </c>
      <c r="Z1608" t="s">
        <v>19</v>
      </c>
      <c r="AA1608" t="s">
        <v>3586</v>
      </c>
      <c r="AB1608" t="s">
        <v>3586</v>
      </c>
      <c r="AC1608" t="s">
        <v>3587</v>
      </c>
      <c r="AD1608" t="s">
        <v>3479</v>
      </c>
      <c r="AE1608" t="s">
        <v>3475</v>
      </c>
      <c r="AF1608" s="2">
        <v>3578.27</v>
      </c>
      <c r="AG1608" s="2">
        <v>2171.2941999999998</v>
      </c>
      <c r="AH1608" s="2">
        <v>1406.9757999999999</v>
      </c>
      <c r="AI1608" s="3">
        <v>0.39320001006072802</v>
      </c>
    </row>
    <row r="1609" spans="1:35">
      <c r="A1609" s="1">
        <v>42109</v>
      </c>
      <c r="B1609" s="1">
        <v>37268</v>
      </c>
      <c r="C1609" t="s">
        <v>4231</v>
      </c>
      <c r="D1609">
        <v>311</v>
      </c>
      <c r="E1609">
        <v>20152</v>
      </c>
      <c r="F1609">
        <v>9</v>
      </c>
      <c r="G1609">
        <v>1</v>
      </c>
      <c r="H1609">
        <v>1</v>
      </c>
      <c r="I1609">
        <v>2</v>
      </c>
      <c r="J1609" t="s">
        <v>3487</v>
      </c>
      <c r="K1609" t="s">
        <v>3488</v>
      </c>
      <c r="L1609" s="2">
        <v>2171.2941999999998</v>
      </c>
      <c r="M1609" s="2">
        <v>3578.27</v>
      </c>
      <c r="N1609" t="s">
        <v>13</v>
      </c>
      <c r="O1609" t="s">
        <v>437</v>
      </c>
      <c r="P1609" t="s">
        <v>450</v>
      </c>
      <c r="Q1609" t="s">
        <v>7938</v>
      </c>
      <c r="R1609" s="1">
        <v>29410</v>
      </c>
      <c r="S1609" t="s">
        <v>16</v>
      </c>
      <c r="T1609" t="s">
        <v>16</v>
      </c>
      <c r="U1609" t="s">
        <v>2427</v>
      </c>
      <c r="V1609">
        <v>10000</v>
      </c>
      <c r="W1609">
        <v>0</v>
      </c>
      <c r="X1609" t="s">
        <v>52</v>
      </c>
      <c r="Y1609" t="s">
        <v>444</v>
      </c>
      <c r="Z1609" t="s">
        <v>19</v>
      </c>
      <c r="AA1609" t="s">
        <v>3586</v>
      </c>
      <c r="AB1609" t="s">
        <v>3586</v>
      </c>
      <c r="AC1609" t="s">
        <v>3587</v>
      </c>
      <c r="AD1609" t="s">
        <v>3479</v>
      </c>
      <c r="AE1609" t="s">
        <v>3475</v>
      </c>
      <c r="AF1609" s="2">
        <v>3578.27</v>
      </c>
      <c r="AG1609" s="2">
        <v>2171.2941999999998</v>
      </c>
      <c r="AH1609" s="2">
        <v>1406.9757999999999</v>
      </c>
      <c r="AI1609" s="3">
        <v>0.39320001006072802</v>
      </c>
    </row>
    <row r="1610" spans="1:35">
      <c r="A1610" s="1">
        <v>42100</v>
      </c>
      <c r="B1610" s="1">
        <v>37324</v>
      </c>
      <c r="C1610" t="s">
        <v>4173</v>
      </c>
      <c r="D1610">
        <v>312</v>
      </c>
      <c r="E1610">
        <v>20154</v>
      </c>
      <c r="F1610">
        <v>9</v>
      </c>
      <c r="G1610">
        <v>1</v>
      </c>
      <c r="H1610">
        <v>1</v>
      </c>
      <c r="I1610">
        <v>2</v>
      </c>
      <c r="J1610" t="s">
        <v>3489</v>
      </c>
      <c r="K1610" t="s">
        <v>3490</v>
      </c>
      <c r="L1610" s="2">
        <v>2171.2941999999998</v>
      </c>
      <c r="M1610" s="2">
        <v>3578.27</v>
      </c>
      <c r="N1610" t="s">
        <v>13</v>
      </c>
      <c r="O1610" t="s">
        <v>1301</v>
      </c>
      <c r="P1610" t="s">
        <v>159</v>
      </c>
      <c r="Q1610" t="s">
        <v>7939</v>
      </c>
      <c r="R1610" s="1">
        <v>28766</v>
      </c>
      <c r="S1610" t="s">
        <v>22</v>
      </c>
      <c r="T1610" t="s">
        <v>16</v>
      </c>
      <c r="U1610" t="s">
        <v>2428</v>
      </c>
      <c r="V1610">
        <v>10000</v>
      </c>
      <c r="W1610">
        <v>0</v>
      </c>
      <c r="X1610" t="s">
        <v>52</v>
      </c>
      <c r="Y1610" t="s">
        <v>444</v>
      </c>
      <c r="Z1610" t="s">
        <v>23</v>
      </c>
      <c r="AA1610" t="s">
        <v>3586</v>
      </c>
      <c r="AB1610" t="s">
        <v>3586</v>
      </c>
      <c r="AC1610" t="s">
        <v>3587</v>
      </c>
      <c r="AD1610" t="s">
        <v>3479</v>
      </c>
      <c r="AE1610" t="s">
        <v>3475</v>
      </c>
      <c r="AF1610" s="2">
        <v>3578.27</v>
      </c>
      <c r="AG1610" s="2">
        <v>2171.2941999999998</v>
      </c>
      <c r="AH1610" s="2">
        <v>1406.9757999999999</v>
      </c>
      <c r="AI1610" s="3">
        <v>0.39320001006072802</v>
      </c>
    </row>
    <row r="1611" spans="1:35">
      <c r="A1611" s="1">
        <v>42118</v>
      </c>
      <c r="B1611" s="1">
        <v>37275</v>
      </c>
      <c r="C1611" t="s">
        <v>4291</v>
      </c>
      <c r="D1611">
        <v>310</v>
      </c>
      <c r="E1611">
        <v>20156</v>
      </c>
      <c r="F1611">
        <v>9</v>
      </c>
      <c r="G1611">
        <v>1</v>
      </c>
      <c r="H1611">
        <v>1</v>
      </c>
      <c r="I1611">
        <v>2</v>
      </c>
      <c r="J1611" t="s">
        <v>3485</v>
      </c>
      <c r="K1611" t="s">
        <v>3486</v>
      </c>
      <c r="L1611" s="2">
        <v>2171.2941999999998</v>
      </c>
      <c r="M1611" s="2">
        <v>3578.27</v>
      </c>
      <c r="N1611" t="s">
        <v>13</v>
      </c>
      <c r="O1611" t="s">
        <v>556</v>
      </c>
      <c r="P1611" t="s">
        <v>658</v>
      </c>
      <c r="Q1611" t="s">
        <v>7940</v>
      </c>
      <c r="R1611" s="1">
        <v>28234</v>
      </c>
      <c r="S1611" t="s">
        <v>22</v>
      </c>
      <c r="T1611" t="s">
        <v>16</v>
      </c>
      <c r="U1611" t="s">
        <v>2429</v>
      </c>
      <c r="V1611">
        <v>10000</v>
      </c>
      <c r="W1611">
        <v>0</v>
      </c>
      <c r="X1611" t="s">
        <v>57</v>
      </c>
      <c r="Y1611" t="s">
        <v>444</v>
      </c>
      <c r="Z1611" t="s">
        <v>23</v>
      </c>
      <c r="AA1611" t="s">
        <v>3586</v>
      </c>
      <c r="AB1611" t="s">
        <v>3586</v>
      </c>
      <c r="AC1611" t="s">
        <v>3587</v>
      </c>
      <c r="AD1611" t="s">
        <v>3479</v>
      </c>
      <c r="AE1611" t="s">
        <v>3475</v>
      </c>
      <c r="AF1611" s="2">
        <v>3578.27</v>
      </c>
      <c r="AG1611" s="2">
        <v>2171.2941999999998</v>
      </c>
      <c r="AH1611" s="2">
        <v>1406.9757999999999</v>
      </c>
      <c r="AI1611" s="3">
        <v>0.39320001006072802</v>
      </c>
    </row>
    <row r="1612" spans="1:35">
      <c r="A1612" s="1">
        <v>42103</v>
      </c>
      <c r="B1612" s="1">
        <v>37259</v>
      </c>
      <c r="C1612" t="s">
        <v>4189</v>
      </c>
      <c r="D1612">
        <v>312</v>
      </c>
      <c r="E1612">
        <v>20157</v>
      </c>
      <c r="F1612">
        <v>9</v>
      </c>
      <c r="G1612">
        <v>1</v>
      </c>
      <c r="H1612">
        <v>1</v>
      </c>
      <c r="I1612">
        <v>2</v>
      </c>
      <c r="J1612" t="s">
        <v>3489</v>
      </c>
      <c r="K1612" t="s">
        <v>3490</v>
      </c>
      <c r="L1612" s="2">
        <v>2171.2941999999998</v>
      </c>
      <c r="M1612" s="2">
        <v>3578.27</v>
      </c>
      <c r="N1612" t="s">
        <v>26</v>
      </c>
      <c r="O1612" t="s">
        <v>1639</v>
      </c>
      <c r="P1612" t="s">
        <v>144</v>
      </c>
      <c r="Q1612" t="s">
        <v>7941</v>
      </c>
      <c r="R1612" s="1">
        <v>28408</v>
      </c>
      <c r="S1612" t="s">
        <v>16</v>
      </c>
      <c r="T1612" t="s">
        <v>29</v>
      </c>
      <c r="U1612" t="s">
        <v>2430</v>
      </c>
      <c r="V1612">
        <v>10000</v>
      </c>
      <c r="W1612">
        <v>0</v>
      </c>
      <c r="X1612" t="s">
        <v>57</v>
      </c>
      <c r="Y1612" t="s">
        <v>444</v>
      </c>
      <c r="Z1612" t="s">
        <v>23</v>
      </c>
      <c r="AA1612" t="s">
        <v>3586</v>
      </c>
      <c r="AB1612" t="s">
        <v>3586</v>
      </c>
      <c r="AC1612" t="s">
        <v>3587</v>
      </c>
      <c r="AD1612" t="s">
        <v>3479</v>
      </c>
      <c r="AE1612" t="s">
        <v>3475</v>
      </c>
      <c r="AF1612" s="2">
        <v>3578.27</v>
      </c>
      <c r="AG1612" s="2">
        <v>2171.2941999999998</v>
      </c>
      <c r="AH1612" s="2">
        <v>1406.9757999999999</v>
      </c>
      <c r="AI1612" s="3">
        <v>0.39320001006072802</v>
      </c>
    </row>
    <row r="1613" spans="1:35">
      <c r="A1613" s="1">
        <v>42097</v>
      </c>
      <c r="B1613" s="1">
        <v>37265</v>
      </c>
      <c r="C1613" t="s">
        <v>4157</v>
      </c>
      <c r="D1613">
        <v>313</v>
      </c>
      <c r="E1613">
        <v>20158</v>
      </c>
      <c r="F1613">
        <v>9</v>
      </c>
      <c r="G1613">
        <v>1</v>
      </c>
      <c r="H1613">
        <v>1</v>
      </c>
      <c r="I1613">
        <v>2</v>
      </c>
      <c r="J1613" t="s">
        <v>3491</v>
      </c>
      <c r="K1613" t="s">
        <v>3492</v>
      </c>
      <c r="L1613" s="2">
        <v>2171.2941999999998</v>
      </c>
      <c r="M1613" s="2">
        <v>3578.27</v>
      </c>
      <c r="N1613" t="s">
        <v>13</v>
      </c>
      <c r="O1613" t="s">
        <v>1125</v>
      </c>
      <c r="P1613" t="s">
        <v>220</v>
      </c>
      <c r="Q1613" t="s">
        <v>7942</v>
      </c>
      <c r="R1613" s="1">
        <v>28915</v>
      </c>
      <c r="S1613" t="s">
        <v>22</v>
      </c>
      <c r="T1613" t="s">
        <v>16</v>
      </c>
      <c r="U1613" t="s">
        <v>2431</v>
      </c>
      <c r="V1613">
        <v>10000</v>
      </c>
      <c r="W1613">
        <v>1</v>
      </c>
      <c r="X1613" t="s">
        <v>57</v>
      </c>
      <c r="Y1613" t="s">
        <v>444</v>
      </c>
      <c r="Z1613" t="s">
        <v>23</v>
      </c>
      <c r="AA1613" t="s">
        <v>3586</v>
      </c>
      <c r="AB1613" t="s">
        <v>3586</v>
      </c>
      <c r="AC1613" t="s">
        <v>3587</v>
      </c>
      <c r="AD1613" t="s">
        <v>3479</v>
      </c>
      <c r="AE1613" t="s">
        <v>3475</v>
      </c>
      <c r="AF1613" s="2">
        <v>3578.27</v>
      </c>
      <c r="AG1613" s="2">
        <v>2171.2941999999998</v>
      </c>
      <c r="AH1613" s="2">
        <v>1406.9757999999999</v>
      </c>
      <c r="AI1613" s="3">
        <v>0.39320001006072802</v>
      </c>
    </row>
    <row r="1614" spans="1:35">
      <c r="A1614" s="1">
        <v>42109</v>
      </c>
      <c r="B1614" s="1">
        <v>37241</v>
      </c>
      <c r="C1614" t="s">
        <v>4222</v>
      </c>
      <c r="D1614">
        <v>312</v>
      </c>
      <c r="E1614">
        <v>20159</v>
      </c>
      <c r="F1614">
        <v>9</v>
      </c>
      <c r="G1614">
        <v>1</v>
      </c>
      <c r="H1614">
        <v>1</v>
      </c>
      <c r="I1614">
        <v>2</v>
      </c>
      <c r="J1614" t="s">
        <v>3489</v>
      </c>
      <c r="K1614" t="s">
        <v>3490</v>
      </c>
      <c r="L1614" s="2">
        <v>2171.2941999999998</v>
      </c>
      <c r="M1614" s="2">
        <v>3578.27</v>
      </c>
      <c r="N1614" t="s">
        <v>13</v>
      </c>
      <c r="O1614" t="s">
        <v>267</v>
      </c>
      <c r="P1614" t="s">
        <v>28</v>
      </c>
      <c r="Q1614" t="s">
        <v>7943</v>
      </c>
      <c r="R1614" s="1">
        <v>29010</v>
      </c>
      <c r="S1614" t="s">
        <v>16</v>
      </c>
      <c r="T1614" t="s">
        <v>16</v>
      </c>
      <c r="U1614" t="s">
        <v>2432</v>
      </c>
      <c r="V1614">
        <v>20000</v>
      </c>
      <c r="W1614">
        <v>0</v>
      </c>
      <c r="X1614" t="s">
        <v>17</v>
      </c>
      <c r="Y1614" t="s">
        <v>60</v>
      </c>
      <c r="Z1614" t="s">
        <v>19</v>
      </c>
      <c r="AA1614" t="s">
        <v>3586</v>
      </c>
      <c r="AB1614" t="s">
        <v>3586</v>
      </c>
      <c r="AC1614" t="s">
        <v>3587</v>
      </c>
      <c r="AD1614" t="s">
        <v>3479</v>
      </c>
      <c r="AE1614" t="s">
        <v>3475</v>
      </c>
      <c r="AF1614" s="2">
        <v>3578.27</v>
      </c>
      <c r="AG1614" s="2">
        <v>2171.2941999999998</v>
      </c>
      <c r="AH1614" s="2">
        <v>1406.9757999999999</v>
      </c>
      <c r="AI1614" s="3">
        <v>0.39320001006072802</v>
      </c>
    </row>
    <row r="1615" spans="1:35">
      <c r="A1615" s="1">
        <v>42095</v>
      </c>
      <c r="B1615" s="1">
        <v>37325</v>
      </c>
      <c r="C1615" t="s">
        <v>4142</v>
      </c>
      <c r="D1615">
        <v>312</v>
      </c>
      <c r="E1615">
        <v>20160</v>
      </c>
      <c r="F1615">
        <v>9</v>
      </c>
      <c r="G1615">
        <v>1</v>
      </c>
      <c r="H1615">
        <v>1</v>
      </c>
      <c r="I1615">
        <v>2</v>
      </c>
      <c r="J1615" t="s">
        <v>3489</v>
      </c>
      <c r="K1615" t="s">
        <v>3490</v>
      </c>
      <c r="L1615" s="2">
        <v>2171.2941999999998</v>
      </c>
      <c r="M1615" s="2">
        <v>3578.27</v>
      </c>
      <c r="N1615" t="s">
        <v>13</v>
      </c>
      <c r="O1615" t="s">
        <v>491</v>
      </c>
      <c r="P1615" t="s">
        <v>99</v>
      </c>
      <c r="Q1615" t="s">
        <v>7944</v>
      </c>
      <c r="R1615" s="1">
        <v>28803</v>
      </c>
      <c r="S1615" t="s">
        <v>22</v>
      </c>
      <c r="T1615" t="s">
        <v>16</v>
      </c>
      <c r="U1615" t="s">
        <v>2433</v>
      </c>
      <c r="V1615">
        <v>20000</v>
      </c>
      <c r="W1615">
        <v>0</v>
      </c>
      <c r="X1615" t="s">
        <v>17</v>
      </c>
      <c r="Y1615" t="s">
        <v>60</v>
      </c>
      <c r="Z1615" t="s">
        <v>19</v>
      </c>
      <c r="AA1615" t="s">
        <v>3586</v>
      </c>
      <c r="AB1615" t="s">
        <v>3586</v>
      </c>
      <c r="AC1615" t="s">
        <v>3587</v>
      </c>
      <c r="AD1615" t="s">
        <v>3479</v>
      </c>
      <c r="AE1615" t="s">
        <v>3475</v>
      </c>
      <c r="AF1615" s="2">
        <v>3578.27</v>
      </c>
      <c r="AG1615" s="2">
        <v>2171.2941999999998</v>
      </c>
      <c r="AH1615" s="2">
        <v>1406.9757999999999</v>
      </c>
      <c r="AI1615" s="3">
        <v>0.39320001006072802</v>
      </c>
    </row>
    <row r="1616" spans="1:35">
      <c r="A1616" s="1">
        <v>42231</v>
      </c>
      <c r="B1616" s="1">
        <v>37370</v>
      </c>
      <c r="C1616" t="s">
        <v>5131</v>
      </c>
      <c r="D1616">
        <v>328</v>
      </c>
      <c r="E1616">
        <v>20162</v>
      </c>
      <c r="F1616">
        <v>8</v>
      </c>
      <c r="G1616">
        <v>1</v>
      </c>
      <c r="H1616">
        <v>1</v>
      </c>
      <c r="I1616">
        <v>2</v>
      </c>
      <c r="J1616" t="s">
        <v>3503</v>
      </c>
      <c r="K1616" t="s">
        <v>3504</v>
      </c>
      <c r="L1616" s="2">
        <v>413.1463</v>
      </c>
      <c r="M1616" s="2">
        <v>699.09820000000002</v>
      </c>
      <c r="N1616" t="s">
        <v>30</v>
      </c>
      <c r="O1616" t="s">
        <v>868</v>
      </c>
      <c r="P1616" t="s">
        <v>93</v>
      </c>
      <c r="Q1616" t="s">
        <v>7945</v>
      </c>
      <c r="R1616" s="1">
        <v>15952</v>
      </c>
      <c r="S1616" t="s">
        <v>16</v>
      </c>
      <c r="T1616" t="s">
        <v>29</v>
      </c>
      <c r="U1616" t="s">
        <v>2434</v>
      </c>
      <c r="V1616">
        <v>20000</v>
      </c>
      <c r="W1616">
        <v>2</v>
      </c>
      <c r="X1616" t="s">
        <v>52</v>
      </c>
      <c r="Y1616" t="s">
        <v>444</v>
      </c>
      <c r="Z1616" t="s">
        <v>19</v>
      </c>
      <c r="AA1616" t="s">
        <v>3585</v>
      </c>
      <c r="AB1616" t="s">
        <v>3585</v>
      </c>
      <c r="AC1616" t="s">
        <v>3584</v>
      </c>
      <c r="AD1616" t="s">
        <v>3479</v>
      </c>
      <c r="AE1616" t="s">
        <v>3475</v>
      </c>
      <c r="AF1616" s="2">
        <v>699.09820000000002</v>
      </c>
      <c r="AG1616" s="2">
        <v>413.1463</v>
      </c>
      <c r="AH1616" s="2">
        <v>285.95190000000002</v>
      </c>
      <c r="AI1616" s="3">
        <v>0.409029661355157</v>
      </c>
    </row>
    <row r="1617" spans="1:35">
      <c r="A1617" s="1">
        <v>42277</v>
      </c>
      <c r="B1617" s="1">
        <v>37490</v>
      </c>
      <c r="C1617" t="s">
        <v>5480</v>
      </c>
      <c r="D1617">
        <v>324</v>
      </c>
      <c r="E1617">
        <v>20163</v>
      </c>
      <c r="F1617">
        <v>8</v>
      </c>
      <c r="G1617">
        <v>1</v>
      </c>
      <c r="H1617">
        <v>1</v>
      </c>
      <c r="I1617">
        <v>2</v>
      </c>
      <c r="J1617" t="s">
        <v>3499</v>
      </c>
      <c r="K1617" t="s">
        <v>3500</v>
      </c>
      <c r="L1617" s="2">
        <v>413.1463</v>
      </c>
      <c r="M1617" s="2">
        <v>699.09820000000002</v>
      </c>
      <c r="N1617" t="s">
        <v>30</v>
      </c>
      <c r="O1617" t="s">
        <v>1138</v>
      </c>
      <c r="P1617" t="s">
        <v>68</v>
      </c>
      <c r="Q1617" t="s">
        <v>7946</v>
      </c>
      <c r="R1617" s="1">
        <v>15828</v>
      </c>
      <c r="S1617" t="s">
        <v>16</v>
      </c>
      <c r="T1617" t="s">
        <v>29</v>
      </c>
      <c r="U1617" t="s">
        <v>2435</v>
      </c>
      <c r="V1617">
        <v>20000</v>
      </c>
      <c r="W1617">
        <v>2</v>
      </c>
      <c r="X1617" t="s">
        <v>52</v>
      </c>
      <c r="Y1617" t="s">
        <v>444</v>
      </c>
      <c r="Z1617" t="s">
        <v>19</v>
      </c>
      <c r="AA1617" t="s">
        <v>3585</v>
      </c>
      <c r="AB1617" t="s">
        <v>3585</v>
      </c>
      <c r="AC1617" t="s">
        <v>3584</v>
      </c>
      <c r="AD1617" t="s">
        <v>3479</v>
      </c>
      <c r="AE1617" t="s">
        <v>3475</v>
      </c>
      <c r="AF1617" s="2">
        <v>699.09820000000002</v>
      </c>
      <c r="AG1617" s="2">
        <v>413.1463</v>
      </c>
      <c r="AH1617" s="2">
        <v>285.95190000000002</v>
      </c>
      <c r="AI1617" s="3">
        <v>0.409029661355157</v>
      </c>
    </row>
    <row r="1618" spans="1:35">
      <c r="A1618" s="1">
        <v>42265</v>
      </c>
      <c r="B1618" s="1">
        <v>37435</v>
      </c>
      <c r="C1618" t="s">
        <v>5397</v>
      </c>
      <c r="D1618">
        <v>332</v>
      </c>
      <c r="E1618">
        <v>20171</v>
      </c>
      <c r="F1618">
        <v>8</v>
      </c>
      <c r="G1618">
        <v>1</v>
      </c>
      <c r="H1618">
        <v>1</v>
      </c>
      <c r="I1618">
        <v>2</v>
      </c>
      <c r="J1618" t="s">
        <v>3507</v>
      </c>
      <c r="K1618" t="s">
        <v>3508</v>
      </c>
      <c r="L1618" s="2">
        <v>413.1463</v>
      </c>
      <c r="M1618" s="2">
        <v>699.09820000000002</v>
      </c>
      <c r="N1618" t="s">
        <v>30</v>
      </c>
      <c r="O1618" t="s">
        <v>428</v>
      </c>
      <c r="P1618" t="s">
        <v>64</v>
      </c>
      <c r="Q1618" t="s">
        <v>7947</v>
      </c>
      <c r="R1618" s="1">
        <v>21819</v>
      </c>
      <c r="S1618" t="s">
        <v>16</v>
      </c>
      <c r="T1618" t="s">
        <v>29</v>
      </c>
      <c r="U1618" t="s">
        <v>2436</v>
      </c>
      <c r="V1618">
        <v>20000</v>
      </c>
      <c r="W1618">
        <v>2</v>
      </c>
      <c r="X1618" t="s">
        <v>52</v>
      </c>
      <c r="Y1618" t="s">
        <v>444</v>
      </c>
      <c r="Z1618" t="s">
        <v>19</v>
      </c>
      <c r="AA1618" t="s">
        <v>3585</v>
      </c>
      <c r="AB1618" t="s">
        <v>3585</v>
      </c>
      <c r="AC1618" t="s">
        <v>3584</v>
      </c>
      <c r="AD1618" t="s">
        <v>3479</v>
      </c>
      <c r="AE1618" t="s">
        <v>3475</v>
      </c>
      <c r="AF1618" s="2">
        <v>699.09820000000002</v>
      </c>
      <c r="AG1618" s="2">
        <v>413.1463</v>
      </c>
      <c r="AH1618" s="2">
        <v>285.95190000000002</v>
      </c>
      <c r="AI1618" s="3">
        <v>0.409029661355157</v>
      </c>
    </row>
    <row r="1619" spans="1:35">
      <c r="A1619" s="1">
        <v>42161</v>
      </c>
      <c r="B1619" s="1">
        <v>37308</v>
      </c>
      <c r="C1619" t="s">
        <v>4585</v>
      </c>
      <c r="D1619">
        <v>350</v>
      </c>
      <c r="E1619">
        <v>20182</v>
      </c>
      <c r="F1619">
        <v>6</v>
      </c>
      <c r="G1619">
        <v>1</v>
      </c>
      <c r="H1619">
        <v>1</v>
      </c>
      <c r="I1619">
        <v>1</v>
      </c>
      <c r="J1619" t="s">
        <v>3531</v>
      </c>
      <c r="K1619" t="s">
        <v>3532</v>
      </c>
      <c r="L1619" s="2">
        <v>1898.0944</v>
      </c>
      <c r="M1619" s="2">
        <v>3374.99</v>
      </c>
      <c r="N1619" t="s">
        <v>30</v>
      </c>
      <c r="O1619" t="s">
        <v>1040</v>
      </c>
      <c r="P1619" t="s">
        <v>127</v>
      </c>
      <c r="Q1619" t="s">
        <v>7948</v>
      </c>
      <c r="R1619" s="1">
        <v>22822</v>
      </c>
      <c r="S1619" t="s">
        <v>16</v>
      </c>
      <c r="T1619" t="s">
        <v>29</v>
      </c>
      <c r="U1619" t="s">
        <v>2437</v>
      </c>
      <c r="V1619">
        <v>70000</v>
      </c>
      <c r="W1619">
        <v>1</v>
      </c>
      <c r="X1619" t="s">
        <v>52</v>
      </c>
      <c r="Y1619" t="s">
        <v>53</v>
      </c>
      <c r="Z1619" t="s">
        <v>19</v>
      </c>
      <c r="AA1619" t="s">
        <v>3582</v>
      </c>
      <c r="AB1619" t="s">
        <v>3582</v>
      </c>
      <c r="AC1619" t="s">
        <v>3579</v>
      </c>
      <c r="AD1619" t="s">
        <v>3478</v>
      </c>
      <c r="AE1619" t="s">
        <v>3475</v>
      </c>
      <c r="AF1619" s="2">
        <v>3374.99</v>
      </c>
      <c r="AG1619" s="2">
        <v>1898.0944</v>
      </c>
      <c r="AH1619" s="2">
        <v>1476.8956000000001</v>
      </c>
      <c r="AI1619" s="3">
        <v>0.43759999288886797</v>
      </c>
    </row>
    <row r="1620" spans="1:35">
      <c r="A1620" s="1">
        <v>42189</v>
      </c>
      <c r="B1620" s="1">
        <v>37325</v>
      </c>
      <c r="C1620" t="s">
        <v>4788</v>
      </c>
      <c r="D1620">
        <v>352</v>
      </c>
      <c r="E1620">
        <v>20186</v>
      </c>
      <c r="F1620">
        <v>6</v>
      </c>
      <c r="G1620">
        <v>1</v>
      </c>
      <c r="H1620">
        <v>1</v>
      </c>
      <c r="I1620">
        <v>1</v>
      </c>
      <c r="J1620" t="s">
        <v>3535</v>
      </c>
      <c r="K1620" t="s">
        <v>3536</v>
      </c>
      <c r="L1620" s="2">
        <v>1117.8559</v>
      </c>
      <c r="M1620" s="2">
        <v>2071.4196000000002</v>
      </c>
      <c r="N1620" t="s">
        <v>13</v>
      </c>
      <c r="O1620" t="s">
        <v>1281</v>
      </c>
      <c r="P1620" t="s">
        <v>338</v>
      </c>
      <c r="Q1620" t="s">
        <v>7949</v>
      </c>
      <c r="R1620" s="1">
        <v>22560</v>
      </c>
      <c r="S1620" t="s">
        <v>16</v>
      </c>
      <c r="T1620" t="s">
        <v>16</v>
      </c>
      <c r="U1620" t="s">
        <v>2438</v>
      </c>
      <c r="V1620">
        <v>40000</v>
      </c>
      <c r="W1620">
        <v>4</v>
      </c>
      <c r="X1620" t="s">
        <v>57</v>
      </c>
      <c r="Y1620" t="s">
        <v>53</v>
      </c>
      <c r="Z1620" t="s">
        <v>19</v>
      </c>
      <c r="AA1620" t="s">
        <v>3582</v>
      </c>
      <c r="AB1620" t="s">
        <v>3582</v>
      </c>
      <c r="AC1620" t="s">
        <v>3579</v>
      </c>
      <c r="AD1620" t="s">
        <v>3478</v>
      </c>
      <c r="AE1620" t="s">
        <v>3475</v>
      </c>
      <c r="AF1620" s="2">
        <v>2071.4196000000002</v>
      </c>
      <c r="AG1620" s="2">
        <v>1117.8559</v>
      </c>
      <c r="AH1620" s="2">
        <v>953.56370000000004</v>
      </c>
      <c r="AI1620" s="3">
        <v>0.460343090313522</v>
      </c>
    </row>
    <row r="1621" spans="1:35">
      <c r="A1621" s="1">
        <v>42204</v>
      </c>
      <c r="B1621" s="1">
        <v>37361</v>
      </c>
      <c r="C1621" t="s">
        <v>4915</v>
      </c>
      <c r="D1621">
        <v>352</v>
      </c>
      <c r="E1621">
        <v>20188</v>
      </c>
      <c r="F1621">
        <v>6</v>
      </c>
      <c r="G1621">
        <v>1</v>
      </c>
      <c r="H1621">
        <v>1</v>
      </c>
      <c r="I1621">
        <v>1</v>
      </c>
      <c r="J1621" t="s">
        <v>3535</v>
      </c>
      <c r="K1621" t="s">
        <v>3536</v>
      </c>
      <c r="L1621" s="2">
        <v>1117.8559</v>
      </c>
      <c r="M1621" s="2">
        <v>2071.4196000000002</v>
      </c>
      <c r="N1621" t="s">
        <v>30</v>
      </c>
      <c r="O1621" t="s">
        <v>684</v>
      </c>
      <c r="P1621" t="s">
        <v>1169</v>
      </c>
      <c r="Q1621" t="s">
        <v>7950</v>
      </c>
      <c r="R1621" s="1">
        <v>22467</v>
      </c>
      <c r="S1621" t="s">
        <v>16</v>
      </c>
      <c r="T1621" t="s">
        <v>29</v>
      </c>
      <c r="U1621" t="s">
        <v>2439</v>
      </c>
      <c r="V1621">
        <v>60000</v>
      </c>
      <c r="W1621">
        <v>1</v>
      </c>
      <c r="X1621" t="s">
        <v>52</v>
      </c>
      <c r="Y1621" t="s">
        <v>53</v>
      </c>
      <c r="Z1621" t="s">
        <v>19</v>
      </c>
      <c r="AA1621" t="s">
        <v>3582</v>
      </c>
      <c r="AB1621" t="s">
        <v>3582</v>
      </c>
      <c r="AC1621" t="s">
        <v>3579</v>
      </c>
      <c r="AD1621" t="s">
        <v>3478</v>
      </c>
      <c r="AE1621" t="s">
        <v>3475</v>
      </c>
      <c r="AF1621" s="2">
        <v>2071.4196000000002</v>
      </c>
      <c r="AG1621" s="2">
        <v>1117.8559</v>
      </c>
      <c r="AH1621" s="2">
        <v>953.56370000000004</v>
      </c>
      <c r="AI1621" s="3">
        <v>0.460343090313522</v>
      </c>
    </row>
    <row r="1622" spans="1:35">
      <c r="A1622" s="1">
        <v>42193</v>
      </c>
      <c r="B1622" s="1">
        <v>37371</v>
      </c>
      <c r="C1622" t="s">
        <v>4829</v>
      </c>
      <c r="D1622">
        <v>358</v>
      </c>
      <c r="E1622">
        <v>20206</v>
      </c>
      <c r="F1622">
        <v>6</v>
      </c>
      <c r="G1622">
        <v>1</v>
      </c>
      <c r="H1622">
        <v>1</v>
      </c>
      <c r="I1622">
        <v>1</v>
      </c>
      <c r="J1622" t="s">
        <v>3541</v>
      </c>
      <c r="K1622" t="s">
        <v>3542</v>
      </c>
      <c r="L1622" s="2">
        <v>1105.81</v>
      </c>
      <c r="M1622" s="2">
        <v>2049.0981999999999</v>
      </c>
      <c r="N1622" t="s">
        <v>30</v>
      </c>
      <c r="O1622" t="s">
        <v>333</v>
      </c>
      <c r="P1622" t="s">
        <v>105</v>
      </c>
      <c r="Q1622" t="s">
        <v>7951</v>
      </c>
      <c r="R1622" s="1">
        <v>21346</v>
      </c>
      <c r="S1622" t="s">
        <v>16</v>
      </c>
      <c r="T1622" t="s">
        <v>29</v>
      </c>
      <c r="U1622" t="s">
        <v>2440</v>
      </c>
      <c r="V1622">
        <v>60000</v>
      </c>
      <c r="W1622">
        <v>1</v>
      </c>
      <c r="X1622" t="s">
        <v>17</v>
      </c>
      <c r="Y1622" t="s">
        <v>18</v>
      </c>
      <c r="Z1622" t="s">
        <v>19</v>
      </c>
      <c r="AA1622" t="s">
        <v>3582</v>
      </c>
      <c r="AB1622" t="s">
        <v>3582</v>
      </c>
      <c r="AC1622" t="s">
        <v>3579</v>
      </c>
      <c r="AD1622" t="s">
        <v>3478</v>
      </c>
      <c r="AE1622" t="s">
        <v>3475</v>
      </c>
      <c r="AF1622" s="2">
        <v>2049.0981999999999</v>
      </c>
      <c r="AG1622" s="2">
        <v>1105.81</v>
      </c>
      <c r="AH1622" s="2">
        <v>943.28819999999996</v>
      </c>
      <c r="AI1622" s="3">
        <v>0.46034309141455498</v>
      </c>
    </row>
    <row r="1623" spans="1:35">
      <c r="A1623" s="1">
        <v>42188</v>
      </c>
      <c r="B1623" s="1">
        <v>37332</v>
      </c>
      <c r="C1623" t="s">
        <v>4775</v>
      </c>
      <c r="D1623">
        <v>358</v>
      </c>
      <c r="E1623">
        <v>20208</v>
      </c>
      <c r="F1623">
        <v>6</v>
      </c>
      <c r="G1623">
        <v>1</v>
      </c>
      <c r="H1623">
        <v>1</v>
      </c>
      <c r="I1623">
        <v>1</v>
      </c>
      <c r="J1623" t="s">
        <v>3541</v>
      </c>
      <c r="K1623" t="s">
        <v>3542</v>
      </c>
      <c r="L1623" s="2">
        <v>1105.81</v>
      </c>
      <c r="M1623" s="2">
        <v>2049.0981999999999</v>
      </c>
      <c r="N1623" t="s">
        <v>13</v>
      </c>
      <c r="O1623" t="s">
        <v>601</v>
      </c>
      <c r="P1623" t="s">
        <v>505</v>
      </c>
      <c r="Q1623" t="s">
        <v>7952</v>
      </c>
      <c r="R1623" s="1">
        <v>21330</v>
      </c>
      <c r="S1623" t="s">
        <v>16</v>
      </c>
      <c r="T1623" t="s">
        <v>16</v>
      </c>
      <c r="U1623" t="s">
        <v>2441</v>
      </c>
      <c r="V1623">
        <v>60000</v>
      </c>
      <c r="W1623">
        <v>1</v>
      </c>
      <c r="X1623" t="s">
        <v>17</v>
      </c>
      <c r="Y1623" t="s">
        <v>18</v>
      </c>
      <c r="Z1623" t="s">
        <v>19</v>
      </c>
      <c r="AA1623" t="s">
        <v>3582</v>
      </c>
      <c r="AB1623" t="s">
        <v>3582</v>
      </c>
      <c r="AC1623" t="s">
        <v>3579</v>
      </c>
      <c r="AD1623" t="s">
        <v>3478</v>
      </c>
      <c r="AE1623" t="s">
        <v>3475</v>
      </c>
      <c r="AF1623" s="2">
        <v>2049.0981999999999</v>
      </c>
      <c r="AG1623" s="2">
        <v>1105.81</v>
      </c>
      <c r="AH1623" s="2">
        <v>943.28819999999996</v>
      </c>
      <c r="AI1623" s="3">
        <v>0.46034309141455498</v>
      </c>
    </row>
    <row r="1624" spans="1:35">
      <c r="A1624" s="1">
        <v>42206</v>
      </c>
      <c r="B1624" s="1">
        <v>37405</v>
      </c>
      <c r="C1624" t="s">
        <v>4928</v>
      </c>
      <c r="D1624">
        <v>360</v>
      </c>
      <c r="E1624">
        <v>20209</v>
      </c>
      <c r="F1624">
        <v>6</v>
      </c>
      <c r="G1624">
        <v>1</v>
      </c>
      <c r="H1624">
        <v>1</v>
      </c>
      <c r="I1624">
        <v>1</v>
      </c>
      <c r="J1624" t="s">
        <v>3543</v>
      </c>
      <c r="K1624" t="s">
        <v>3544</v>
      </c>
      <c r="L1624" s="2">
        <v>1105.81</v>
      </c>
      <c r="M1624" s="2">
        <v>2049.0981999999999</v>
      </c>
      <c r="N1624" t="s">
        <v>30</v>
      </c>
      <c r="O1624" t="s">
        <v>318</v>
      </c>
      <c r="P1624" t="s">
        <v>347</v>
      </c>
      <c r="Q1624" t="s">
        <v>7953</v>
      </c>
      <c r="R1624" s="1">
        <v>21345</v>
      </c>
      <c r="S1624" t="s">
        <v>16</v>
      </c>
      <c r="T1624" t="s">
        <v>29</v>
      </c>
      <c r="U1624" t="s">
        <v>2442</v>
      </c>
      <c r="V1624">
        <v>60000</v>
      </c>
      <c r="W1624">
        <v>1</v>
      </c>
      <c r="X1624" t="s">
        <v>17</v>
      </c>
      <c r="Y1624" t="s">
        <v>18</v>
      </c>
      <c r="Z1624" t="s">
        <v>19</v>
      </c>
      <c r="AA1624" t="s">
        <v>3582</v>
      </c>
      <c r="AB1624" t="s">
        <v>3582</v>
      </c>
      <c r="AC1624" t="s">
        <v>3579</v>
      </c>
      <c r="AD1624" t="s">
        <v>3478</v>
      </c>
      <c r="AE1624" t="s">
        <v>3475</v>
      </c>
      <c r="AF1624" s="2">
        <v>2049.0981999999999</v>
      </c>
      <c r="AG1624" s="2">
        <v>1105.81</v>
      </c>
      <c r="AH1624" s="2">
        <v>943.28819999999996</v>
      </c>
      <c r="AI1624" s="3">
        <v>0.46034309141455498</v>
      </c>
    </row>
    <row r="1625" spans="1:35">
      <c r="A1625" s="1">
        <v>42112</v>
      </c>
      <c r="B1625" s="1">
        <v>37322</v>
      </c>
      <c r="C1625" t="s">
        <v>4254</v>
      </c>
      <c r="D1625">
        <v>310</v>
      </c>
      <c r="E1625">
        <v>20211</v>
      </c>
      <c r="F1625">
        <v>9</v>
      </c>
      <c r="G1625">
        <v>1</v>
      </c>
      <c r="H1625">
        <v>1</v>
      </c>
      <c r="I1625">
        <v>2</v>
      </c>
      <c r="J1625" t="s">
        <v>3485</v>
      </c>
      <c r="K1625" t="s">
        <v>3486</v>
      </c>
      <c r="L1625" s="2">
        <v>2171.2941999999998</v>
      </c>
      <c r="M1625" s="2">
        <v>3578.27</v>
      </c>
      <c r="N1625" t="s">
        <v>13</v>
      </c>
      <c r="O1625" t="s">
        <v>512</v>
      </c>
      <c r="P1625" t="s">
        <v>2443</v>
      </c>
      <c r="Q1625" t="s">
        <v>7954</v>
      </c>
      <c r="R1625" s="1">
        <v>24973</v>
      </c>
      <c r="S1625" t="s">
        <v>16</v>
      </c>
      <c r="T1625" t="s">
        <v>16</v>
      </c>
      <c r="U1625" t="s">
        <v>2444</v>
      </c>
      <c r="V1625">
        <v>60000</v>
      </c>
      <c r="W1625">
        <v>2</v>
      </c>
      <c r="X1625" t="s">
        <v>17</v>
      </c>
      <c r="Y1625" t="s">
        <v>18</v>
      </c>
      <c r="Z1625" t="s">
        <v>19</v>
      </c>
      <c r="AA1625" t="s">
        <v>3586</v>
      </c>
      <c r="AB1625" t="s">
        <v>3586</v>
      </c>
      <c r="AC1625" t="s">
        <v>3587</v>
      </c>
      <c r="AD1625" t="s">
        <v>3479</v>
      </c>
      <c r="AE1625" t="s">
        <v>3475</v>
      </c>
      <c r="AF1625" s="2">
        <v>3578.27</v>
      </c>
      <c r="AG1625" s="2">
        <v>2171.2941999999998</v>
      </c>
      <c r="AH1625" s="2">
        <v>1406.9757999999999</v>
      </c>
      <c r="AI1625" s="3">
        <v>0.39320001006072802</v>
      </c>
    </row>
    <row r="1626" spans="1:35">
      <c r="A1626" s="1">
        <v>42098</v>
      </c>
      <c r="B1626" s="1">
        <v>37284</v>
      </c>
      <c r="C1626" t="s">
        <v>4159</v>
      </c>
      <c r="D1626">
        <v>311</v>
      </c>
      <c r="E1626">
        <v>20213</v>
      </c>
      <c r="F1626">
        <v>9</v>
      </c>
      <c r="G1626">
        <v>1</v>
      </c>
      <c r="H1626">
        <v>1</v>
      </c>
      <c r="I1626">
        <v>2</v>
      </c>
      <c r="J1626" t="s">
        <v>3487</v>
      </c>
      <c r="K1626" t="s">
        <v>3488</v>
      </c>
      <c r="L1626" s="2">
        <v>2171.2941999999998</v>
      </c>
      <c r="M1626" s="2">
        <v>3578.27</v>
      </c>
      <c r="N1626" t="s">
        <v>30</v>
      </c>
      <c r="O1626" t="s">
        <v>168</v>
      </c>
      <c r="P1626" t="s">
        <v>97</v>
      </c>
      <c r="Q1626" t="s">
        <v>7955</v>
      </c>
      <c r="R1626" s="1">
        <v>25608</v>
      </c>
      <c r="S1626" t="s">
        <v>22</v>
      </c>
      <c r="T1626" t="s">
        <v>29</v>
      </c>
      <c r="U1626" t="s">
        <v>2445</v>
      </c>
      <c r="V1626">
        <v>80000</v>
      </c>
      <c r="W1626">
        <v>4</v>
      </c>
      <c r="X1626" t="s">
        <v>135</v>
      </c>
      <c r="Y1626" t="s">
        <v>45</v>
      </c>
      <c r="Z1626" t="s">
        <v>19</v>
      </c>
      <c r="AA1626" t="s">
        <v>3586</v>
      </c>
      <c r="AB1626" t="s">
        <v>3586</v>
      </c>
      <c r="AC1626" t="s">
        <v>3587</v>
      </c>
      <c r="AD1626" t="s">
        <v>3479</v>
      </c>
      <c r="AE1626" t="s">
        <v>3475</v>
      </c>
      <c r="AF1626" s="2">
        <v>3578.27</v>
      </c>
      <c r="AG1626" s="2">
        <v>2171.2941999999998</v>
      </c>
      <c r="AH1626" s="2">
        <v>1406.9757999999999</v>
      </c>
      <c r="AI1626" s="3">
        <v>0.39320001006072802</v>
      </c>
    </row>
    <row r="1627" spans="1:35">
      <c r="A1627" s="1">
        <v>42109</v>
      </c>
      <c r="B1627" s="1">
        <v>37294</v>
      </c>
      <c r="C1627" t="s">
        <v>4232</v>
      </c>
      <c r="D1627">
        <v>310</v>
      </c>
      <c r="E1627">
        <v>20214</v>
      </c>
      <c r="F1627">
        <v>9</v>
      </c>
      <c r="G1627">
        <v>1</v>
      </c>
      <c r="H1627">
        <v>1</v>
      </c>
      <c r="I1627">
        <v>2</v>
      </c>
      <c r="J1627" t="s">
        <v>3485</v>
      </c>
      <c r="K1627" t="s">
        <v>3486</v>
      </c>
      <c r="L1627" s="2">
        <v>2171.2941999999998</v>
      </c>
      <c r="M1627" s="2">
        <v>3578.27</v>
      </c>
      <c r="N1627" t="s">
        <v>30</v>
      </c>
      <c r="O1627" t="s">
        <v>644</v>
      </c>
      <c r="P1627" t="s">
        <v>210</v>
      </c>
      <c r="Q1627" t="s">
        <v>7956</v>
      </c>
      <c r="R1627" s="1">
        <v>25089</v>
      </c>
      <c r="S1627" t="s">
        <v>22</v>
      </c>
      <c r="T1627" t="s">
        <v>29</v>
      </c>
      <c r="U1627" t="s">
        <v>2446</v>
      </c>
      <c r="V1627">
        <v>60000</v>
      </c>
      <c r="W1627">
        <v>2</v>
      </c>
      <c r="X1627" t="s">
        <v>17</v>
      </c>
      <c r="Y1627" t="s">
        <v>18</v>
      </c>
      <c r="Z1627" t="s">
        <v>23</v>
      </c>
      <c r="AA1627" t="s">
        <v>3586</v>
      </c>
      <c r="AB1627" t="s">
        <v>3586</v>
      </c>
      <c r="AC1627" t="s">
        <v>3587</v>
      </c>
      <c r="AD1627" t="s">
        <v>3479</v>
      </c>
      <c r="AE1627" t="s">
        <v>3475</v>
      </c>
      <c r="AF1627" s="2">
        <v>3578.27</v>
      </c>
      <c r="AG1627" s="2">
        <v>2171.2941999999998</v>
      </c>
      <c r="AH1627" s="2">
        <v>1406.9757999999999</v>
      </c>
      <c r="AI1627" s="3">
        <v>0.39320001006072802</v>
      </c>
    </row>
    <row r="1628" spans="1:35">
      <c r="A1628" s="1">
        <v>42117</v>
      </c>
      <c r="B1628" s="1">
        <v>37287</v>
      </c>
      <c r="C1628" t="s">
        <v>4286</v>
      </c>
      <c r="D1628">
        <v>310</v>
      </c>
      <c r="E1628">
        <v>20215</v>
      </c>
      <c r="F1628">
        <v>9</v>
      </c>
      <c r="G1628">
        <v>1</v>
      </c>
      <c r="H1628">
        <v>1</v>
      </c>
      <c r="I1628">
        <v>2</v>
      </c>
      <c r="J1628" t="s">
        <v>3485</v>
      </c>
      <c r="K1628" t="s">
        <v>3486</v>
      </c>
      <c r="L1628" s="2">
        <v>2171.2941999999998</v>
      </c>
      <c r="M1628" s="2">
        <v>3578.27</v>
      </c>
      <c r="N1628" t="s">
        <v>30</v>
      </c>
      <c r="O1628" t="s">
        <v>2447</v>
      </c>
      <c r="P1628" t="s">
        <v>2448</v>
      </c>
      <c r="Q1628" t="s">
        <v>7957</v>
      </c>
      <c r="R1628" s="1">
        <v>25173</v>
      </c>
      <c r="S1628" t="s">
        <v>22</v>
      </c>
      <c r="T1628" t="s">
        <v>29</v>
      </c>
      <c r="U1628" t="s">
        <v>2449</v>
      </c>
      <c r="V1628">
        <v>60000</v>
      </c>
      <c r="W1628">
        <v>2</v>
      </c>
      <c r="X1628" t="s">
        <v>17</v>
      </c>
      <c r="Y1628" t="s">
        <v>18</v>
      </c>
      <c r="Z1628" t="s">
        <v>23</v>
      </c>
      <c r="AA1628" t="s">
        <v>3586</v>
      </c>
      <c r="AB1628" t="s">
        <v>3586</v>
      </c>
      <c r="AC1628" t="s">
        <v>3587</v>
      </c>
      <c r="AD1628" t="s">
        <v>3479</v>
      </c>
      <c r="AE1628" t="s">
        <v>3475</v>
      </c>
      <c r="AF1628" s="2">
        <v>3578.27</v>
      </c>
      <c r="AG1628" s="2">
        <v>2171.2941999999998</v>
      </c>
      <c r="AH1628" s="2">
        <v>1406.9757999999999</v>
      </c>
      <c r="AI1628" s="3">
        <v>0.39320001006072802</v>
      </c>
    </row>
    <row r="1629" spans="1:35">
      <c r="A1629" s="1">
        <v>42119</v>
      </c>
      <c r="B1629" s="1">
        <v>37317</v>
      </c>
      <c r="C1629" t="s">
        <v>4299</v>
      </c>
      <c r="D1629">
        <v>313</v>
      </c>
      <c r="E1629">
        <v>20216</v>
      </c>
      <c r="F1629">
        <v>9</v>
      </c>
      <c r="G1629">
        <v>1</v>
      </c>
      <c r="H1629">
        <v>1</v>
      </c>
      <c r="I1629">
        <v>2</v>
      </c>
      <c r="J1629" t="s">
        <v>3491</v>
      </c>
      <c r="K1629" t="s">
        <v>3492</v>
      </c>
      <c r="L1629" s="2">
        <v>2171.2941999999998</v>
      </c>
      <c r="M1629" s="2">
        <v>3578.27</v>
      </c>
      <c r="N1629" t="s">
        <v>13</v>
      </c>
      <c r="O1629" t="s">
        <v>455</v>
      </c>
      <c r="P1629" t="s">
        <v>171</v>
      </c>
      <c r="Q1629" t="s">
        <v>7958</v>
      </c>
      <c r="R1629" s="1">
        <v>25009</v>
      </c>
      <c r="S1629" t="s">
        <v>16</v>
      </c>
      <c r="T1629" t="s">
        <v>16</v>
      </c>
      <c r="U1629" t="s">
        <v>2450</v>
      </c>
      <c r="V1629">
        <v>60000</v>
      </c>
      <c r="W1629">
        <v>2</v>
      </c>
      <c r="X1629" t="s">
        <v>17</v>
      </c>
      <c r="Y1629" t="s">
        <v>18</v>
      </c>
      <c r="Z1629" t="s">
        <v>19</v>
      </c>
      <c r="AA1629" t="s">
        <v>3586</v>
      </c>
      <c r="AB1629" t="s">
        <v>3586</v>
      </c>
      <c r="AC1629" t="s">
        <v>3587</v>
      </c>
      <c r="AD1629" t="s">
        <v>3479</v>
      </c>
      <c r="AE1629" t="s">
        <v>3475</v>
      </c>
      <c r="AF1629" s="2">
        <v>3578.27</v>
      </c>
      <c r="AG1629" s="2">
        <v>2171.2941999999998</v>
      </c>
      <c r="AH1629" s="2">
        <v>1406.9757999999999</v>
      </c>
      <c r="AI1629" s="3">
        <v>0.39320001006072802</v>
      </c>
    </row>
    <row r="1630" spans="1:35">
      <c r="A1630" s="1">
        <v>42114</v>
      </c>
      <c r="B1630" s="1">
        <v>37343</v>
      </c>
      <c r="C1630" t="s">
        <v>4261</v>
      </c>
      <c r="D1630">
        <v>312</v>
      </c>
      <c r="E1630">
        <v>20219</v>
      </c>
      <c r="F1630">
        <v>9</v>
      </c>
      <c r="G1630">
        <v>1</v>
      </c>
      <c r="H1630">
        <v>1</v>
      </c>
      <c r="I1630">
        <v>2</v>
      </c>
      <c r="J1630" t="s">
        <v>3489</v>
      </c>
      <c r="K1630" t="s">
        <v>3490</v>
      </c>
      <c r="L1630" s="2">
        <v>2171.2941999999998</v>
      </c>
      <c r="M1630" s="2">
        <v>3578.27</v>
      </c>
      <c r="N1630" t="s">
        <v>30</v>
      </c>
      <c r="O1630" t="s">
        <v>564</v>
      </c>
      <c r="P1630" t="s">
        <v>1122</v>
      </c>
      <c r="Q1630" t="s">
        <v>7959</v>
      </c>
      <c r="R1630" s="1">
        <v>25497</v>
      </c>
      <c r="S1630" t="s">
        <v>16</v>
      </c>
      <c r="T1630" t="s">
        <v>29</v>
      </c>
      <c r="U1630" t="s">
        <v>2451</v>
      </c>
      <c r="V1630">
        <v>110000</v>
      </c>
      <c r="W1630">
        <v>1</v>
      </c>
      <c r="X1630" t="s">
        <v>135</v>
      </c>
      <c r="Y1630" t="s">
        <v>45</v>
      </c>
      <c r="Z1630" t="s">
        <v>23</v>
      </c>
      <c r="AA1630" t="s">
        <v>3586</v>
      </c>
      <c r="AB1630" t="s">
        <v>3586</v>
      </c>
      <c r="AC1630" t="s">
        <v>3587</v>
      </c>
      <c r="AD1630" t="s">
        <v>3479</v>
      </c>
      <c r="AE1630" t="s">
        <v>3475</v>
      </c>
      <c r="AF1630" s="2">
        <v>3578.27</v>
      </c>
      <c r="AG1630" s="2">
        <v>2171.2941999999998</v>
      </c>
      <c r="AH1630" s="2">
        <v>1406.9757999999999</v>
      </c>
      <c r="AI1630" s="3">
        <v>0.39320001006072802</v>
      </c>
    </row>
    <row r="1631" spans="1:35">
      <c r="A1631" s="1">
        <v>42123</v>
      </c>
      <c r="B1631" s="1">
        <v>37255</v>
      </c>
      <c r="C1631" t="s">
        <v>4331</v>
      </c>
      <c r="D1631">
        <v>312</v>
      </c>
      <c r="E1631">
        <v>20220</v>
      </c>
      <c r="F1631">
        <v>9</v>
      </c>
      <c r="G1631">
        <v>1</v>
      </c>
      <c r="H1631">
        <v>1</v>
      </c>
      <c r="I1631">
        <v>2</v>
      </c>
      <c r="J1631" t="s">
        <v>3489</v>
      </c>
      <c r="K1631" t="s">
        <v>3490</v>
      </c>
      <c r="L1631" s="2">
        <v>2171.2941999999998</v>
      </c>
      <c r="M1631" s="2">
        <v>3578.27</v>
      </c>
      <c r="N1631" t="s">
        <v>30</v>
      </c>
      <c r="O1631" t="s">
        <v>96</v>
      </c>
      <c r="P1631" t="s">
        <v>38</v>
      </c>
      <c r="Q1631" t="s">
        <v>7960</v>
      </c>
      <c r="R1631" s="1">
        <v>25401</v>
      </c>
      <c r="S1631" t="s">
        <v>22</v>
      </c>
      <c r="T1631" t="s">
        <v>29</v>
      </c>
      <c r="U1631" t="s">
        <v>2452</v>
      </c>
      <c r="V1631">
        <v>110000</v>
      </c>
      <c r="W1631">
        <v>1</v>
      </c>
      <c r="X1631" t="s">
        <v>135</v>
      </c>
      <c r="Y1631" t="s">
        <v>45</v>
      </c>
      <c r="Z1631" t="s">
        <v>19</v>
      </c>
      <c r="AA1631" t="s">
        <v>3586</v>
      </c>
      <c r="AB1631" t="s">
        <v>3586</v>
      </c>
      <c r="AC1631" t="s">
        <v>3587</v>
      </c>
      <c r="AD1631" t="s">
        <v>3479</v>
      </c>
      <c r="AE1631" t="s">
        <v>3475</v>
      </c>
      <c r="AF1631" s="2">
        <v>3578.27</v>
      </c>
      <c r="AG1631" s="2">
        <v>2171.2941999999998</v>
      </c>
      <c r="AH1631" s="2">
        <v>1406.9757999999999</v>
      </c>
      <c r="AI1631" s="3">
        <v>0.39320001006072802</v>
      </c>
    </row>
    <row r="1632" spans="1:35">
      <c r="A1632" s="1">
        <v>42114</v>
      </c>
      <c r="B1632" s="1">
        <v>37250</v>
      </c>
      <c r="C1632" t="s">
        <v>4265</v>
      </c>
      <c r="D1632">
        <v>310</v>
      </c>
      <c r="E1632">
        <v>20221</v>
      </c>
      <c r="F1632">
        <v>9</v>
      </c>
      <c r="G1632">
        <v>1</v>
      </c>
      <c r="H1632">
        <v>1</v>
      </c>
      <c r="I1632">
        <v>2</v>
      </c>
      <c r="J1632" t="s">
        <v>3485</v>
      </c>
      <c r="K1632" t="s">
        <v>3486</v>
      </c>
      <c r="L1632" s="2">
        <v>2171.2941999999998</v>
      </c>
      <c r="M1632" s="2">
        <v>3578.27</v>
      </c>
      <c r="N1632" t="s">
        <v>30</v>
      </c>
      <c r="O1632" t="s">
        <v>702</v>
      </c>
      <c r="P1632" t="s">
        <v>320</v>
      </c>
      <c r="Q1632" t="s">
        <v>7961</v>
      </c>
      <c r="R1632" s="1">
        <v>25338</v>
      </c>
      <c r="S1632" t="s">
        <v>16</v>
      </c>
      <c r="T1632" t="s">
        <v>29</v>
      </c>
      <c r="U1632" t="s">
        <v>2453</v>
      </c>
      <c r="V1632">
        <v>120000</v>
      </c>
      <c r="W1632">
        <v>1</v>
      </c>
      <c r="X1632" t="s">
        <v>135</v>
      </c>
      <c r="Y1632" t="s">
        <v>45</v>
      </c>
      <c r="Z1632" t="s">
        <v>23</v>
      </c>
      <c r="AA1632" t="s">
        <v>3586</v>
      </c>
      <c r="AB1632" t="s">
        <v>3586</v>
      </c>
      <c r="AC1632" t="s">
        <v>3587</v>
      </c>
      <c r="AD1632" t="s">
        <v>3479</v>
      </c>
      <c r="AE1632" t="s">
        <v>3475</v>
      </c>
      <c r="AF1632" s="2">
        <v>3578.27</v>
      </c>
      <c r="AG1632" s="2">
        <v>2171.2941999999998</v>
      </c>
      <c r="AH1632" s="2">
        <v>1406.9757999999999</v>
      </c>
      <c r="AI1632" s="3">
        <v>0.39320001006072802</v>
      </c>
    </row>
    <row r="1633" spans="1:35">
      <c r="A1633" s="1">
        <v>42114</v>
      </c>
      <c r="B1633" s="1">
        <v>37339</v>
      </c>
      <c r="C1633" t="s">
        <v>4270</v>
      </c>
      <c r="D1633">
        <v>312</v>
      </c>
      <c r="E1633">
        <v>20225</v>
      </c>
      <c r="F1633">
        <v>9</v>
      </c>
      <c r="G1633">
        <v>1</v>
      </c>
      <c r="H1633">
        <v>1</v>
      </c>
      <c r="I1633">
        <v>2</v>
      </c>
      <c r="J1633" t="s">
        <v>3489</v>
      </c>
      <c r="K1633" t="s">
        <v>3490</v>
      </c>
      <c r="L1633" s="2">
        <v>2171.2941999999998</v>
      </c>
      <c r="M1633" s="2">
        <v>3578.27</v>
      </c>
      <c r="N1633" t="s">
        <v>26</v>
      </c>
      <c r="O1633" t="s">
        <v>627</v>
      </c>
      <c r="P1633" t="s">
        <v>59</v>
      </c>
      <c r="Q1633" t="s">
        <v>7962</v>
      </c>
      <c r="R1633" s="1">
        <v>24412</v>
      </c>
      <c r="S1633" t="s">
        <v>22</v>
      </c>
      <c r="T1633" t="s">
        <v>29</v>
      </c>
      <c r="U1633" t="s">
        <v>2454</v>
      </c>
      <c r="V1633">
        <v>90000</v>
      </c>
      <c r="W1633">
        <v>0</v>
      </c>
      <c r="X1633" t="s">
        <v>17</v>
      </c>
      <c r="Y1633" t="s">
        <v>18</v>
      </c>
      <c r="Z1633" t="s">
        <v>19</v>
      </c>
      <c r="AA1633" t="s">
        <v>3586</v>
      </c>
      <c r="AB1633" t="s">
        <v>3586</v>
      </c>
      <c r="AC1633" t="s">
        <v>3587</v>
      </c>
      <c r="AD1633" t="s">
        <v>3479</v>
      </c>
      <c r="AE1633" t="s">
        <v>3475</v>
      </c>
      <c r="AF1633" s="2">
        <v>3578.27</v>
      </c>
      <c r="AG1633" s="2">
        <v>2171.2941999999998</v>
      </c>
      <c r="AH1633" s="2">
        <v>1406.9757999999999</v>
      </c>
      <c r="AI1633" s="3">
        <v>0.39320001006072802</v>
      </c>
    </row>
    <row r="1634" spans="1:35">
      <c r="A1634" s="1">
        <v>42107</v>
      </c>
      <c r="B1634" s="1">
        <v>37271</v>
      </c>
      <c r="C1634" t="s">
        <v>4216</v>
      </c>
      <c r="D1634">
        <v>312</v>
      </c>
      <c r="E1634">
        <v>20226</v>
      </c>
      <c r="F1634">
        <v>9</v>
      </c>
      <c r="G1634">
        <v>1</v>
      </c>
      <c r="H1634">
        <v>1</v>
      </c>
      <c r="I1634">
        <v>2</v>
      </c>
      <c r="J1634" t="s">
        <v>3489</v>
      </c>
      <c r="K1634" t="s">
        <v>3490</v>
      </c>
      <c r="L1634" s="2">
        <v>2171.2941999999998</v>
      </c>
      <c r="M1634" s="2">
        <v>3578.27</v>
      </c>
      <c r="N1634" t="s">
        <v>26</v>
      </c>
      <c r="O1634" t="s">
        <v>1585</v>
      </c>
      <c r="P1634" t="s">
        <v>450</v>
      </c>
      <c r="Q1634" t="s">
        <v>7963</v>
      </c>
      <c r="R1634" s="1">
        <v>24205</v>
      </c>
      <c r="S1634" t="s">
        <v>16</v>
      </c>
      <c r="T1634" t="s">
        <v>29</v>
      </c>
      <c r="U1634" t="s">
        <v>2455</v>
      </c>
      <c r="V1634">
        <v>90000</v>
      </c>
      <c r="W1634">
        <v>0</v>
      </c>
      <c r="X1634" t="s">
        <v>17</v>
      </c>
      <c r="Y1634" t="s">
        <v>18</v>
      </c>
      <c r="Z1634" t="s">
        <v>19</v>
      </c>
      <c r="AA1634" t="s">
        <v>3586</v>
      </c>
      <c r="AB1634" t="s">
        <v>3586</v>
      </c>
      <c r="AC1634" t="s">
        <v>3587</v>
      </c>
      <c r="AD1634" t="s">
        <v>3479</v>
      </c>
      <c r="AE1634" t="s">
        <v>3475</v>
      </c>
      <c r="AF1634" s="2">
        <v>3578.27</v>
      </c>
      <c r="AG1634" s="2">
        <v>2171.2941999999998</v>
      </c>
      <c r="AH1634" s="2">
        <v>1406.9757999999999</v>
      </c>
      <c r="AI1634" s="3">
        <v>0.39320001006072802</v>
      </c>
    </row>
    <row r="1635" spans="1:35">
      <c r="A1635" s="1">
        <v>42117</v>
      </c>
      <c r="B1635" s="1">
        <v>37284</v>
      </c>
      <c r="C1635" t="s">
        <v>4289</v>
      </c>
      <c r="D1635">
        <v>310</v>
      </c>
      <c r="E1635">
        <v>20227</v>
      </c>
      <c r="F1635">
        <v>9</v>
      </c>
      <c r="G1635">
        <v>1</v>
      </c>
      <c r="H1635">
        <v>1</v>
      </c>
      <c r="I1635">
        <v>2</v>
      </c>
      <c r="J1635" t="s">
        <v>3485</v>
      </c>
      <c r="K1635" t="s">
        <v>3486</v>
      </c>
      <c r="L1635" s="2">
        <v>2171.2941999999998</v>
      </c>
      <c r="M1635" s="2">
        <v>3578.27</v>
      </c>
      <c r="N1635" t="s">
        <v>13</v>
      </c>
      <c r="O1635" t="s">
        <v>552</v>
      </c>
      <c r="P1635" t="s">
        <v>68</v>
      </c>
      <c r="Q1635" t="s">
        <v>7964</v>
      </c>
      <c r="R1635" s="1">
        <v>24419</v>
      </c>
      <c r="S1635" t="s">
        <v>16</v>
      </c>
      <c r="T1635" t="s">
        <v>16</v>
      </c>
      <c r="U1635" t="s">
        <v>2456</v>
      </c>
      <c r="V1635">
        <v>90000</v>
      </c>
      <c r="W1635">
        <v>2</v>
      </c>
      <c r="X1635" t="s">
        <v>17</v>
      </c>
      <c r="Y1635" t="s">
        <v>18</v>
      </c>
      <c r="Z1635" t="s">
        <v>19</v>
      </c>
      <c r="AA1635" t="s">
        <v>3586</v>
      </c>
      <c r="AB1635" t="s">
        <v>3586</v>
      </c>
      <c r="AC1635" t="s">
        <v>3587</v>
      </c>
      <c r="AD1635" t="s">
        <v>3479</v>
      </c>
      <c r="AE1635" t="s">
        <v>3475</v>
      </c>
      <c r="AF1635" s="2">
        <v>3578.27</v>
      </c>
      <c r="AG1635" s="2">
        <v>2171.2941999999998</v>
      </c>
      <c r="AH1635" s="2">
        <v>1406.9757999999999</v>
      </c>
      <c r="AI1635" s="3">
        <v>0.39320001006072802</v>
      </c>
    </row>
    <row r="1636" spans="1:35">
      <c r="A1636" s="1">
        <v>42124</v>
      </c>
      <c r="B1636" s="1">
        <v>37280</v>
      </c>
      <c r="C1636" t="s">
        <v>4341</v>
      </c>
      <c r="D1636">
        <v>313</v>
      </c>
      <c r="E1636">
        <v>20228</v>
      </c>
      <c r="F1636">
        <v>9</v>
      </c>
      <c r="G1636">
        <v>1</v>
      </c>
      <c r="H1636">
        <v>1</v>
      </c>
      <c r="I1636">
        <v>2</v>
      </c>
      <c r="J1636" t="s">
        <v>3491</v>
      </c>
      <c r="K1636" t="s">
        <v>3492</v>
      </c>
      <c r="L1636" s="2">
        <v>2171.2941999999998</v>
      </c>
      <c r="M1636" s="2">
        <v>3578.27</v>
      </c>
      <c r="N1636" t="s">
        <v>13</v>
      </c>
      <c r="O1636" t="s">
        <v>458</v>
      </c>
      <c r="P1636" t="s">
        <v>453</v>
      </c>
      <c r="Q1636" t="s">
        <v>7965</v>
      </c>
      <c r="R1636" s="1">
        <v>24281</v>
      </c>
      <c r="S1636" t="s">
        <v>16</v>
      </c>
      <c r="T1636" t="s">
        <v>16</v>
      </c>
      <c r="U1636" t="s">
        <v>2457</v>
      </c>
      <c r="V1636">
        <v>100000</v>
      </c>
      <c r="W1636">
        <v>0</v>
      </c>
      <c r="X1636" t="s">
        <v>135</v>
      </c>
      <c r="Y1636" t="s">
        <v>45</v>
      </c>
      <c r="Z1636" t="s">
        <v>19</v>
      </c>
      <c r="AA1636" t="s">
        <v>3586</v>
      </c>
      <c r="AB1636" t="s">
        <v>3586</v>
      </c>
      <c r="AC1636" t="s">
        <v>3587</v>
      </c>
      <c r="AD1636" t="s">
        <v>3479</v>
      </c>
      <c r="AE1636" t="s">
        <v>3475</v>
      </c>
      <c r="AF1636" s="2">
        <v>3578.27</v>
      </c>
      <c r="AG1636" s="2">
        <v>2171.2941999999998</v>
      </c>
      <c r="AH1636" s="2">
        <v>1406.9757999999999</v>
      </c>
      <c r="AI1636" s="3">
        <v>0.39320001006072802</v>
      </c>
    </row>
    <row r="1637" spans="1:35">
      <c r="A1637" s="1">
        <v>42123</v>
      </c>
      <c r="B1637" s="1">
        <v>37326</v>
      </c>
      <c r="C1637" t="s">
        <v>4323</v>
      </c>
      <c r="D1637">
        <v>313</v>
      </c>
      <c r="E1637">
        <v>20236</v>
      </c>
      <c r="F1637">
        <v>9</v>
      </c>
      <c r="G1637">
        <v>1</v>
      </c>
      <c r="H1637">
        <v>1</v>
      </c>
      <c r="I1637">
        <v>2</v>
      </c>
      <c r="J1637" t="s">
        <v>3491</v>
      </c>
      <c r="K1637" t="s">
        <v>3492</v>
      </c>
      <c r="L1637" s="2">
        <v>2171.2941999999998</v>
      </c>
      <c r="M1637" s="2">
        <v>3578.27</v>
      </c>
      <c r="N1637" t="s">
        <v>13</v>
      </c>
      <c r="O1637" t="s">
        <v>560</v>
      </c>
      <c r="P1637" t="s">
        <v>570</v>
      </c>
      <c r="Q1637" t="s">
        <v>7966</v>
      </c>
      <c r="R1637" s="1">
        <v>23084</v>
      </c>
      <c r="S1637" t="s">
        <v>22</v>
      </c>
      <c r="T1637" t="s">
        <v>16</v>
      </c>
      <c r="U1637" t="s">
        <v>2458</v>
      </c>
      <c r="V1637">
        <v>60000</v>
      </c>
      <c r="W1637">
        <v>3</v>
      </c>
      <c r="X1637" t="s">
        <v>17</v>
      </c>
      <c r="Y1637" t="s">
        <v>18</v>
      </c>
      <c r="Z1637" t="s">
        <v>23</v>
      </c>
      <c r="AA1637" t="s">
        <v>3586</v>
      </c>
      <c r="AB1637" t="s">
        <v>3586</v>
      </c>
      <c r="AC1637" t="s">
        <v>3587</v>
      </c>
      <c r="AD1637" t="s">
        <v>3479</v>
      </c>
      <c r="AE1637" t="s">
        <v>3475</v>
      </c>
      <c r="AF1637" s="2">
        <v>3578.27</v>
      </c>
      <c r="AG1637" s="2">
        <v>2171.2941999999998</v>
      </c>
      <c r="AH1637" s="2">
        <v>1406.9757999999999</v>
      </c>
      <c r="AI1637" s="3">
        <v>0.39320001006072802</v>
      </c>
    </row>
    <row r="1638" spans="1:35">
      <c r="A1638" s="1">
        <v>42117</v>
      </c>
      <c r="B1638" s="1">
        <v>37337</v>
      </c>
      <c r="C1638" t="s">
        <v>4280</v>
      </c>
      <c r="D1638">
        <v>310</v>
      </c>
      <c r="E1638">
        <v>20238</v>
      </c>
      <c r="F1638">
        <v>9</v>
      </c>
      <c r="G1638">
        <v>1</v>
      </c>
      <c r="H1638">
        <v>1</v>
      </c>
      <c r="I1638">
        <v>2</v>
      </c>
      <c r="J1638" t="s">
        <v>3485</v>
      </c>
      <c r="K1638" t="s">
        <v>3486</v>
      </c>
      <c r="L1638" s="2">
        <v>2171.2941999999998</v>
      </c>
      <c r="M1638" s="2">
        <v>3578.27</v>
      </c>
      <c r="N1638" t="s">
        <v>30</v>
      </c>
      <c r="O1638" t="s">
        <v>349</v>
      </c>
      <c r="P1638" t="s">
        <v>1169</v>
      </c>
      <c r="Q1638" t="s">
        <v>7967</v>
      </c>
      <c r="R1638" s="1">
        <v>24820</v>
      </c>
      <c r="S1638" t="s">
        <v>22</v>
      </c>
      <c r="T1638" t="s">
        <v>29</v>
      </c>
      <c r="U1638" t="s">
        <v>2459</v>
      </c>
      <c r="V1638">
        <v>90000</v>
      </c>
      <c r="W1638">
        <v>2</v>
      </c>
      <c r="X1638" t="s">
        <v>17</v>
      </c>
      <c r="Y1638" t="s">
        <v>18</v>
      </c>
      <c r="Z1638" t="s">
        <v>19</v>
      </c>
      <c r="AA1638" t="s">
        <v>3586</v>
      </c>
      <c r="AB1638" t="s">
        <v>3586</v>
      </c>
      <c r="AC1638" t="s">
        <v>3587</v>
      </c>
      <c r="AD1638" t="s">
        <v>3479</v>
      </c>
      <c r="AE1638" t="s">
        <v>3475</v>
      </c>
      <c r="AF1638" s="2">
        <v>3578.27</v>
      </c>
      <c r="AG1638" s="2">
        <v>2171.2941999999998</v>
      </c>
      <c r="AH1638" s="2">
        <v>1406.9757999999999</v>
      </c>
      <c r="AI1638" s="3">
        <v>0.39320001006072802</v>
      </c>
    </row>
    <row r="1639" spans="1:35">
      <c r="A1639" s="1">
        <v>42119</v>
      </c>
      <c r="B1639" s="1">
        <v>37302</v>
      </c>
      <c r="C1639" t="s">
        <v>4296</v>
      </c>
      <c r="D1639">
        <v>314</v>
      </c>
      <c r="E1639">
        <v>20239</v>
      </c>
      <c r="F1639">
        <v>9</v>
      </c>
      <c r="G1639">
        <v>1</v>
      </c>
      <c r="H1639">
        <v>1</v>
      </c>
      <c r="I1639">
        <v>2</v>
      </c>
      <c r="J1639" t="s">
        <v>3493</v>
      </c>
      <c r="K1639" t="s">
        <v>3494</v>
      </c>
      <c r="L1639" s="2">
        <v>2171.2941999999998</v>
      </c>
      <c r="M1639" s="2">
        <v>3578.27</v>
      </c>
      <c r="N1639" t="s">
        <v>30</v>
      </c>
      <c r="O1639" t="s">
        <v>82</v>
      </c>
      <c r="P1639" t="s">
        <v>460</v>
      </c>
      <c r="Q1639" t="s">
        <v>7968</v>
      </c>
      <c r="R1639" s="1">
        <v>24833</v>
      </c>
      <c r="S1639" t="s">
        <v>16</v>
      </c>
      <c r="T1639" t="s">
        <v>29</v>
      </c>
      <c r="U1639" t="s">
        <v>2460</v>
      </c>
      <c r="V1639">
        <v>90000</v>
      </c>
      <c r="W1639">
        <v>2</v>
      </c>
      <c r="X1639" t="s">
        <v>17</v>
      </c>
      <c r="Y1639" t="s">
        <v>18</v>
      </c>
      <c r="Z1639" t="s">
        <v>19</v>
      </c>
      <c r="AA1639" t="s">
        <v>3586</v>
      </c>
      <c r="AB1639" t="s">
        <v>3586</v>
      </c>
      <c r="AC1639" t="s">
        <v>3587</v>
      </c>
      <c r="AD1639" t="s">
        <v>3479</v>
      </c>
      <c r="AE1639" t="s">
        <v>3475</v>
      </c>
      <c r="AF1639" s="2">
        <v>3578.27</v>
      </c>
      <c r="AG1639" s="2">
        <v>2171.2941999999998</v>
      </c>
      <c r="AH1639" s="2">
        <v>1406.9757999999999</v>
      </c>
      <c r="AI1639" s="3">
        <v>0.39320001006072802</v>
      </c>
    </row>
    <row r="1640" spans="1:35">
      <c r="A1640" s="1">
        <v>42109</v>
      </c>
      <c r="B1640" s="1">
        <v>37248</v>
      </c>
      <c r="C1640" t="s">
        <v>4221</v>
      </c>
      <c r="D1640">
        <v>311</v>
      </c>
      <c r="E1640">
        <v>20241</v>
      </c>
      <c r="F1640">
        <v>9</v>
      </c>
      <c r="G1640">
        <v>1</v>
      </c>
      <c r="H1640">
        <v>1</v>
      </c>
      <c r="I1640">
        <v>2</v>
      </c>
      <c r="J1640" t="s">
        <v>3487</v>
      </c>
      <c r="K1640" t="s">
        <v>3488</v>
      </c>
      <c r="L1640" s="2">
        <v>2171.2941999999998</v>
      </c>
      <c r="M1640" s="2">
        <v>3578.27</v>
      </c>
      <c r="N1640" t="s">
        <v>13</v>
      </c>
      <c r="O1640" t="s">
        <v>560</v>
      </c>
      <c r="P1640" t="s">
        <v>35</v>
      </c>
      <c r="Q1640" t="s">
        <v>7969</v>
      </c>
      <c r="R1640" s="1">
        <v>22496</v>
      </c>
      <c r="S1640" t="s">
        <v>16</v>
      </c>
      <c r="T1640" t="s">
        <v>16</v>
      </c>
      <c r="U1640" t="s">
        <v>2461</v>
      </c>
      <c r="V1640">
        <v>60000</v>
      </c>
      <c r="W1640">
        <v>1</v>
      </c>
      <c r="X1640" t="s">
        <v>52</v>
      </c>
      <c r="Y1640" t="s">
        <v>53</v>
      </c>
      <c r="Z1640" t="s">
        <v>23</v>
      </c>
      <c r="AA1640" t="s">
        <v>3586</v>
      </c>
      <c r="AB1640" t="s">
        <v>3586</v>
      </c>
      <c r="AC1640" t="s">
        <v>3587</v>
      </c>
      <c r="AD1640" t="s">
        <v>3479</v>
      </c>
      <c r="AE1640" t="s">
        <v>3475</v>
      </c>
      <c r="AF1640" s="2">
        <v>3578.27</v>
      </c>
      <c r="AG1640" s="2">
        <v>2171.2941999999998</v>
      </c>
      <c r="AH1640" s="2">
        <v>1406.9757999999999</v>
      </c>
      <c r="AI1640" s="3">
        <v>0.39320001006072802</v>
      </c>
    </row>
    <row r="1641" spans="1:35">
      <c r="A1641" s="1">
        <v>42105</v>
      </c>
      <c r="B1641" s="1">
        <v>37283</v>
      </c>
      <c r="C1641" t="s">
        <v>4199</v>
      </c>
      <c r="D1641">
        <v>310</v>
      </c>
      <c r="E1641">
        <v>20242</v>
      </c>
      <c r="F1641">
        <v>9</v>
      </c>
      <c r="G1641">
        <v>1</v>
      </c>
      <c r="H1641">
        <v>1</v>
      </c>
      <c r="I1641">
        <v>2</v>
      </c>
      <c r="J1641" t="s">
        <v>3485</v>
      </c>
      <c r="K1641" t="s">
        <v>3486</v>
      </c>
      <c r="L1641" s="2">
        <v>2171.2941999999998</v>
      </c>
      <c r="M1641" s="2">
        <v>3578.27</v>
      </c>
      <c r="N1641" t="s">
        <v>13</v>
      </c>
      <c r="O1641" t="s">
        <v>874</v>
      </c>
      <c r="P1641" t="s">
        <v>299</v>
      </c>
      <c r="Q1641" t="s">
        <v>7970</v>
      </c>
      <c r="R1641" s="1">
        <v>11511</v>
      </c>
      <c r="S1641" t="s">
        <v>16</v>
      </c>
      <c r="T1641" t="s">
        <v>16</v>
      </c>
      <c r="U1641" t="s">
        <v>2462</v>
      </c>
      <c r="V1641">
        <v>120000</v>
      </c>
      <c r="W1641">
        <v>5</v>
      </c>
      <c r="X1641" t="s">
        <v>135</v>
      </c>
      <c r="Y1641" t="s">
        <v>45</v>
      </c>
      <c r="Z1641" t="s">
        <v>23</v>
      </c>
      <c r="AA1641" t="s">
        <v>3586</v>
      </c>
      <c r="AB1641" t="s">
        <v>3586</v>
      </c>
      <c r="AC1641" t="s">
        <v>3587</v>
      </c>
      <c r="AD1641" t="s">
        <v>3479</v>
      </c>
      <c r="AE1641" t="s">
        <v>3475</v>
      </c>
      <c r="AF1641" s="2">
        <v>3578.27</v>
      </c>
      <c r="AG1641" s="2">
        <v>2171.2941999999998</v>
      </c>
      <c r="AH1641" s="2">
        <v>1406.9757999999999</v>
      </c>
      <c r="AI1641" s="3">
        <v>0.39320001006072802</v>
      </c>
    </row>
    <row r="1642" spans="1:35">
      <c r="A1642" s="1">
        <v>42114</v>
      </c>
      <c r="B1642" s="1">
        <v>37342</v>
      </c>
      <c r="C1642" t="s">
        <v>4262</v>
      </c>
      <c r="D1642">
        <v>313</v>
      </c>
      <c r="E1642">
        <v>20244</v>
      </c>
      <c r="F1642">
        <v>9</v>
      </c>
      <c r="G1642">
        <v>1</v>
      </c>
      <c r="H1642">
        <v>1</v>
      </c>
      <c r="I1642">
        <v>2</v>
      </c>
      <c r="J1642" t="s">
        <v>3491</v>
      </c>
      <c r="K1642" t="s">
        <v>3492</v>
      </c>
      <c r="L1642" s="2">
        <v>2171.2941999999998</v>
      </c>
      <c r="M1642" s="2">
        <v>3578.27</v>
      </c>
      <c r="N1642" t="s">
        <v>26</v>
      </c>
      <c r="O1642" t="s">
        <v>580</v>
      </c>
      <c r="P1642" t="s">
        <v>155</v>
      </c>
      <c r="Q1642" t="s">
        <v>7971</v>
      </c>
      <c r="R1642" s="1">
        <v>24244</v>
      </c>
      <c r="S1642" t="s">
        <v>22</v>
      </c>
      <c r="T1642" t="s">
        <v>29</v>
      </c>
      <c r="U1642" t="s">
        <v>2463</v>
      </c>
      <c r="V1642">
        <v>100000</v>
      </c>
      <c r="W1642">
        <v>0</v>
      </c>
      <c r="X1642" t="s">
        <v>135</v>
      </c>
      <c r="Y1642" t="s">
        <v>45</v>
      </c>
      <c r="Z1642" t="s">
        <v>23</v>
      </c>
      <c r="AA1642" t="s">
        <v>3586</v>
      </c>
      <c r="AB1642" t="s">
        <v>3586</v>
      </c>
      <c r="AC1642" t="s">
        <v>3587</v>
      </c>
      <c r="AD1642" t="s">
        <v>3479</v>
      </c>
      <c r="AE1642" t="s">
        <v>3475</v>
      </c>
      <c r="AF1642" s="2">
        <v>3578.27</v>
      </c>
      <c r="AG1642" s="2">
        <v>2171.2941999999998</v>
      </c>
      <c r="AH1642" s="2">
        <v>1406.9757999999999</v>
      </c>
      <c r="AI1642" s="3">
        <v>0.39320001006072802</v>
      </c>
    </row>
    <row r="1643" spans="1:35">
      <c r="A1643" s="1">
        <v>42097</v>
      </c>
      <c r="B1643" s="1">
        <v>37275</v>
      </c>
      <c r="C1643" t="s">
        <v>4150</v>
      </c>
      <c r="D1643">
        <v>310</v>
      </c>
      <c r="E1643">
        <v>20245</v>
      </c>
      <c r="F1643">
        <v>9</v>
      </c>
      <c r="G1643">
        <v>1</v>
      </c>
      <c r="H1643">
        <v>1</v>
      </c>
      <c r="I1643">
        <v>2</v>
      </c>
      <c r="J1643" t="s">
        <v>3485</v>
      </c>
      <c r="K1643" t="s">
        <v>3486</v>
      </c>
      <c r="L1643" s="2">
        <v>2171.2941999999998</v>
      </c>
      <c r="M1643" s="2">
        <v>3578.27</v>
      </c>
      <c r="N1643" t="s">
        <v>13</v>
      </c>
      <c r="O1643" t="s">
        <v>504</v>
      </c>
      <c r="P1643" t="s">
        <v>465</v>
      </c>
      <c r="Q1643" t="s">
        <v>7972</v>
      </c>
      <c r="R1643" s="1">
        <v>24328</v>
      </c>
      <c r="S1643" t="s">
        <v>22</v>
      </c>
      <c r="T1643" t="s">
        <v>16</v>
      </c>
      <c r="U1643" t="s">
        <v>2464</v>
      </c>
      <c r="V1643">
        <v>100000</v>
      </c>
      <c r="W1643">
        <v>0</v>
      </c>
      <c r="X1643" t="s">
        <v>135</v>
      </c>
      <c r="Y1643" t="s">
        <v>45</v>
      </c>
      <c r="Z1643" t="s">
        <v>19</v>
      </c>
      <c r="AA1643" t="s">
        <v>3586</v>
      </c>
      <c r="AB1643" t="s">
        <v>3586</v>
      </c>
      <c r="AC1643" t="s">
        <v>3587</v>
      </c>
      <c r="AD1643" t="s">
        <v>3479</v>
      </c>
      <c r="AE1643" t="s">
        <v>3475</v>
      </c>
      <c r="AF1643" s="2">
        <v>3578.27</v>
      </c>
      <c r="AG1643" s="2">
        <v>2171.2941999999998</v>
      </c>
      <c r="AH1643" s="2">
        <v>1406.9757999999999</v>
      </c>
      <c r="AI1643" s="3">
        <v>0.39320001006072802</v>
      </c>
    </row>
    <row r="1644" spans="1:35">
      <c r="A1644" s="1">
        <v>42096</v>
      </c>
      <c r="B1644" s="1">
        <v>37322</v>
      </c>
      <c r="C1644" t="s">
        <v>4147</v>
      </c>
      <c r="D1644">
        <v>312</v>
      </c>
      <c r="E1644">
        <v>20246</v>
      </c>
      <c r="F1644">
        <v>9</v>
      </c>
      <c r="G1644">
        <v>1</v>
      </c>
      <c r="H1644">
        <v>1</v>
      </c>
      <c r="I1644">
        <v>2</v>
      </c>
      <c r="J1644" t="s">
        <v>3489</v>
      </c>
      <c r="K1644" t="s">
        <v>3490</v>
      </c>
      <c r="L1644" s="2">
        <v>2171.2941999999998</v>
      </c>
      <c r="M1644" s="2">
        <v>3578.27</v>
      </c>
      <c r="N1644" t="s">
        <v>26</v>
      </c>
      <c r="O1644" t="s">
        <v>456</v>
      </c>
      <c r="P1644" t="s">
        <v>474</v>
      </c>
      <c r="Q1644" t="s">
        <v>7973</v>
      </c>
      <c r="R1644" s="1">
        <v>24157</v>
      </c>
      <c r="S1644" t="s">
        <v>16</v>
      </c>
      <c r="T1644" t="s">
        <v>29</v>
      </c>
      <c r="U1644" t="s">
        <v>2465</v>
      </c>
      <c r="V1644">
        <v>100000</v>
      </c>
      <c r="W1644">
        <v>0</v>
      </c>
      <c r="X1644" t="s">
        <v>17</v>
      </c>
      <c r="Y1644" t="s">
        <v>18</v>
      </c>
      <c r="Z1644" t="s">
        <v>23</v>
      </c>
      <c r="AA1644" t="s">
        <v>3586</v>
      </c>
      <c r="AB1644" t="s">
        <v>3586</v>
      </c>
      <c r="AC1644" t="s">
        <v>3587</v>
      </c>
      <c r="AD1644" t="s">
        <v>3479</v>
      </c>
      <c r="AE1644" t="s">
        <v>3475</v>
      </c>
      <c r="AF1644" s="2">
        <v>3578.27</v>
      </c>
      <c r="AG1644" s="2">
        <v>2171.2941999999998</v>
      </c>
      <c r="AH1644" s="2">
        <v>1406.9757999999999</v>
      </c>
      <c r="AI1644" s="3">
        <v>0.39320001006072802</v>
      </c>
    </row>
    <row r="1645" spans="1:35">
      <c r="A1645" s="1">
        <v>42101</v>
      </c>
      <c r="B1645" s="1">
        <v>37295</v>
      </c>
      <c r="C1645" t="s">
        <v>4180</v>
      </c>
      <c r="D1645">
        <v>311</v>
      </c>
      <c r="E1645">
        <v>20247</v>
      </c>
      <c r="F1645">
        <v>9</v>
      </c>
      <c r="G1645">
        <v>1</v>
      </c>
      <c r="H1645">
        <v>1</v>
      </c>
      <c r="I1645">
        <v>2</v>
      </c>
      <c r="J1645" t="s">
        <v>3487</v>
      </c>
      <c r="K1645" t="s">
        <v>3488</v>
      </c>
      <c r="L1645" s="2">
        <v>2171.2941999999998</v>
      </c>
      <c r="M1645" s="2">
        <v>3578.27</v>
      </c>
      <c r="N1645" t="s">
        <v>26</v>
      </c>
      <c r="O1645" t="s">
        <v>897</v>
      </c>
      <c r="P1645" t="s">
        <v>125</v>
      </c>
      <c r="Q1645" t="s">
        <v>7974</v>
      </c>
      <c r="R1645" s="1">
        <v>24314</v>
      </c>
      <c r="S1645" t="s">
        <v>22</v>
      </c>
      <c r="T1645" t="s">
        <v>29</v>
      </c>
      <c r="U1645" t="s">
        <v>2466</v>
      </c>
      <c r="V1645">
        <v>100000</v>
      </c>
      <c r="W1645">
        <v>0</v>
      </c>
      <c r="X1645" t="s">
        <v>17</v>
      </c>
      <c r="Y1645" t="s">
        <v>18</v>
      </c>
      <c r="Z1645" t="s">
        <v>23</v>
      </c>
      <c r="AA1645" t="s">
        <v>3586</v>
      </c>
      <c r="AB1645" t="s">
        <v>3586</v>
      </c>
      <c r="AC1645" t="s">
        <v>3587</v>
      </c>
      <c r="AD1645" t="s">
        <v>3479</v>
      </c>
      <c r="AE1645" t="s">
        <v>3475</v>
      </c>
      <c r="AF1645" s="2">
        <v>3578.27</v>
      </c>
      <c r="AG1645" s="2">
        <v>2171.2941999999998</v>
      </c>
      <c r="AH1645" s="2">
        <v>1406.9757999999999</v>
      </c>
      <c r="AI1645" s="3">
        <v>0.39320001006072802</v>
      </c>
    </row>
    <row r="1646" spans="1:35">
      <c r="A1646" s="1">
        <v>42112</v>
      </c>
      <c r="B1646" s="1">
        <v>37323</v>
      </c>
      <c r="C1646" t="s">
        <v>4255</v>
      </c>
      <c r="D1646">
        <v>310</v>
      </c>
      <c r="E1646">
        <v>20249</v>
      </c>
      <c r="F1646">
        <v>9</v>
      </c>
      <c r="G1646">
        <v>1</v>
      </c>
      <c r="H1646">
        <v>1</v>
      </c>
      <c r="I1646">
        <v>2</v>
      </c>
      <c r="J1646" t="s">
        <v>3485</v>
      </c>
      <c r="K1646" t="s">
        <v>3486</v>
      </c>
      <c r="L1646" s="2">
        <v>2171.2941999999998</v>
      </c>
      <c r="M1646" s="2">
        <v>3578.27</v>
      </c>
      <c r="N1646" t="s">
        <v>30</v>
      </c>
      <c r="O1646" t="s">
        <v>542</v>
      </c>
      <c r="P1646" t="s">
        <v>194</v>
      </c>
      <c r="Q1646" t="s">
        <v>7975</v>
      </c>
      <c r="R1646" s="1">
        <v>22100</v>
      </c>
      <c r="S1646" t="s">
        <v>22</v>
      </c>
      <c r="T1646" t="s">
        <v>29</v>
      </c>
      <c r="U1646" t="s">
        <v>2467</v>
      </c>
      <c r="V1646">
        <v>60000</v>
      </c>
      <c r="W1646">
        <v>1</v>
      </c>
      <c r="X1646" t="s">
        <v>52</v>
      </c>
      <c r="Y1646" t="s">
        <v>53</v>
      </c>
      <c r="Z1646" t="s">
        <v>19</v>
      </c>
      <c r="AA1646" t="s">
        <v>3586</v>
      </c>
      <c r="AB1646" t="s">
        <v>3586</v>
      </c>
      <c r="AC1646" t="s">
        <v>3587</v>
      </c>
      <c r="AD1646" t="s">
        <v>3479</v>
      </c>
      <c r="AE1646" t="s">
        <v>3475</v>
      </c>
      <c r="AF1646" s="2">
        <v>3578.27</v>
      </c>
      <c r="AG1646" s="2">
        <v>2171.2941999999998</v>
      </c>
      <c r="AH1646" s="2">
        <v>1406.9757999999999</v>
      </c>
      <c r="AI1646" s="3">
        <v>0.39320001006072802</v>
      </c>
    </row>
    <row r="1647" spans="1:35">
      <c r="A1647" s="1">
        <v>42096</v>
      </c>
      <c r="B1647" s="1">
        <v>37299</v>
      </c>
      <c r="C1647" t="s">
        <v>4148</v>
      </c>
      <c r="D1647">
        <v>311</v>
      </c>
      <c r="E1647">
        <v>20253</v>
      </c>
      <c r="F1647">
        <v>9</v>
      </c>
      <c r="G1647">
        <v>1</v>
      </c>
      <c r="H1647">
        <v>1</v>
      </c>
      <c r="I1647">
        <v>2</v>
      </c>
      <c r="J1647" t="s">
        <v>3487</v>
      </c>
      <c r="K1647" t="s">
        <v>3488</v>
      </c>
      <c r="L1647" s="2">
        <v>2171.2941999999998</v>
      </c>
      <c r="M1647" s="2">
        <v>3578.27</v>
      </c>
      <c r="N1647" t="s">
        <v>26</v>
      </c>
      <c r="O1647" t="s">
        <v>895</v>
      </c>
      <c r="P1647" t="s">
        <v>215</v>
      </c>
      <c r="Q1647" t="s">
        <v>7976</v>
      </c>
      <c r="R1647" s="1">
        <v>23845</v>
      </c>
      <c r="S1647" t="s">
        <v>22</v>
      </c>
      <c r="T1647" t="s">
        <v>29</v>
      </c>
      <c r="U1647" t="s">
        <v>2468</v>
      </c>
      <c r="V1647">
        <v>70000</v>
      </c>
      <c r="W1647">
        <v>0</v>
      </c>
      <c r="X1647" t="s">
        <v>17</v>
      </c>
      <c r="Y1647" t="s">
        <v>18</v>
      </c>
      <c r="Z1647" t="s">
        <v>23</v>
      </c>
      <c r="AA1647" t="s">
        <v>3586</v>
      </c>
      <c r="AB1647" t="s">
        <v>3586</v>
      </c>
      <c r="AC1647" t="s">
        <v>3587</v>
      </c>
      <c r="AD1647" t="s">
        <v>3479</v>
      </c>
      <c r="AE1647" t="s">
        <v>3475</v>
      </c>
      <c r="AF1647" s="2">
        <v>3578.27</v>
      </c>
      <c r="AG1647" s="2">
        <v>2171.2941999999998</v>
      </c>
      <c r="AH1647" s="2">
        <v>1406.9757999999999</v>
      </c>
      <c r="AI1647" s="3">
        <v>0.39320001006072802</v>
      </c>
    </row>
    <row r="1648" spans="1:35">
      <c r="A1648" s="1">
        <v>42137</v>
      </c>
      <c r="B1648" s="1">
        <v>37337</v>
      </c>
      <c r="C1648" t="s">
        <v>4428</v>
      </c>
      <c r="D1648">
        <v>314</v>
      </c>
      <c r="E1648">
        <v>20256</v>
      </c>
      <c r="F1648">
        <v>9</v>
      </c>
      <c r="G1648">
        <v>1</v>
      </c>
      <c r="H1648">
        <v>1</v>
      </c>
      <c r="I1648">
        <v>2</v>
      </c>
      <c r="J1648" t="s">
        <v>3493</v>
      </c>
      <c r="K1648" t="s">
        <v>3494</v>
      </c>
      <c r="L1648" s="2">
        <v>2171.2941999999998</v>
      </c>
      <c r="M1648" s="2">
        <v>3578.27</v>
      </c>
      <c r="N1648" t="s">
        <v>13</v>
      </c>
      <c r="O1648" t="s">
        <v>257</v>
      </c>
      <c r="P1648" t="s">
        <v>157</v>
      </c>
      <c r="Q1648" t="s">
        <v>7977</v>
      </c>
      <c r="R1648" s="1">
        <v>23501</v>
      </c>
      <c r="S1648" t="s">
        <v>22</v>
      </c>
      <c r="T1648" t="s">
        <v>16</v>
      </c>
      <c r="U1648" t="s">
        <v>2469</v>
      </c>
      <c r="V1648">
        <v>70000</v>
      </c>
      <c r="W1648">
        <v>0</v>
      </c>
      <c r="X1648" t="s">
        <v>17</v>
      </c>
      <c r="Y1648" t="s">
        <v>18</v>
      </c>
      <c r="Z1648" t="s">
        <v>23</v>
      </c>
      <c r="AA1648" t="s">
        <v>3586</v>
      </c>
      <c r="AB1648" t="s">
        <v>3586</v>
      </c>
      <c r="AC1648" t="s">
        <v>3587</v>
      </c>
      <c r="AD1648" t="s">
        <v>3479</v>
      </c>
      <c r="AE1648" t="s">
        <v>3475</v>
      </c>
      <c r="AF1648" s="2">
        <v>3578.27</v>
      </c>
      <c r="AG1648" s="2">
        <v>2171.2941999999998</v>
      </c>
      <c r="AH1648" s="2">
        <v>1406.9757999999999</v>
      </c>
      <c r="AI1648" s="3">
        <v>0.39320001006072802</v>
      </c>
    </row>
    <row r="1649" spans="1:35">
      <c r="A1649" s="1">
        <v>42149</v>
      </c>
      <c r="B1649" s="1">
        <v>37290</v>
      </c>
      <c r="C1649" t="s">
        <v>4521</v>
      </c>
      <c r="D1649">
        <v>313</v>
      </c>
      <c r="E1649">
        <v>20258</v>
      </c>
      <c r="F1649">
        <v>9</v>
      </c>
      <c r="G1649">
        <v>1</v>
      </c>
      <c r="H1649">
        <v>1</v>
      </c>
      <c r="I1649">
        <v>2</v>
      </c>
      <c r="J1649" t="s">
        <v>3491</v>
      </c>
      <c r="K1649" t="s">
        <v>3492</v>
      </c>
      <c r="L1649" s="2">
        <v>2171.2941999999998</v>
      </c>
      <c r="M1649" s="2">
        <v>3578.27</v>
      </c>
      <c r="N1649" t="s">
        <v>26</v>
      </c>
      <c r="O1649" t="s">
        <v>372</v>
      </c>
      <c r="P1649" t="s">
        <v>424</v>
      </c>
      <c r="Q1649" t="s">
        <v>7978</v>
      </c>
      <c r="R1649" s="1">
        <v>23125</v>
      </c>
      <c r="S1649" t="s">
        <v>22</v>
      </c>
      <c r="T1649" t="s">
        <v>29</v>
      </c>
      <c r="U1649" t="s">
        <v>2470</v>
      </c>
      <c r="V1649">
        <v>70000</v>
      </c>
      <c r="W1649">
        <v>0</v>
      </c>
      <c r="X1649" t="s">
        <v>17</v>
      </c>
      <c r="Y1649" t="s">
        <v>18</v>
      </c>
      <c r="Z1649" t="s">
        <v>23</v>
      </c>
      <c r="AA1649" t="s">
        <v>3586</v>
      </c>
      <c r="AB1649" t="s">
        <v>3586</v>
      </c>
      <c r="AC1649" t="s">
        <v>3587</v>
      </c>
      <c r="AD1649" t="s">
        <v>3479</v>
      </c>
      <c r="AE1649" t="s">
        <v>3475</v>
      </c>
      <c r="AF1649" s="2">
        <v>3578.27</v>
      </c>
      <c r="AG1649" s="2">
        <v>2171.2941999999998</v>
      </c>
      <c r="AH1649" s="2">
        <v>1406.9757999999999</v>
      </c>
      <c r="AI1649" s="3">
        <v>0.39320001006072802</v>
      </c>
    </row>
    <row r="1650" spans="1:35">
      <c r="A1650" s="1">
        <v>42128</v>
      </c>
      <c r="B1650" s="1">
        <v>37308</v>
      </c>
      <c r="C1650" t="s">
        <v>4373</v>
      </c>
      <c r="D1650">
        <v>312</v>
      </c>
      <c r="E1650">
        <v>20259</v>
      </c>
      <c r="F1650">
        <v>9</v>
      </c>
      <c r="G1650">
        <v>1</v>
      </c>
      <c r="H1650">
        <v>1</v>
      </c>
      <c r="I1650">
        <v>2</v>
      </c>
      <c r="J1650" t="s">
        <v>3489</v>
      </c>
      <c r="K1650" t="s">
        <v>3490</v>
      </c>
      <c r="L1650" s="2">
        <v>2171.2941999999998</v>
      </c>
      <c r="M1650" s="2">
        <v>3578.27</v>
      </c>
      <c r="N1650" t="s">
        <v>73</v>
      </c>
      <c r="O1650" t="s">
        <v>389</v>
      </c>
      <c r="P1650" t="s">
        <v>134</v>
      </c>
      <c r="Q1650" t="s">
        <v>7979</v>
      </c>
      <c r="R1650" s="1">
        <v>23282</v>
      </c>
      <c r="S1650" t="s">
        <v>22</v>
      </c>
      <c r="T1650" t="s">
        <v>76</v>
      </c>
      <c r="U1650" t="s">
        <v>2471</v>
      </c>
      <c r="V1650">
        <v>70000</v>
      </c>
      <c r="W1650">
        <v>0</v>
      </c>
      <c r="X1650" t="s">
        <v>17</v>
      </c>
      <c r="Y1650" t="s">
        <v>18</v>
      </c>
      <c r="Z1650" t="s">
        <v>23</v>
      </c>
      <c r="AA1650" t="s">
        <v>3586</v>
      </c>
      <c r="AB1650" t="s">
        <v>3586</v>
      </c>
      <c r="AC1650" t="s">
        <v>3587</v>
      </c>
      <c r="AD1650" t="s">
        <v>3479</v>
      </c>
      <c r="AE1650" t="s">
        <v>3475</v>
      </c>
      <c r="AF1650" s="2">
        <v>3578.27</v>
      </c>
      <c r="AG1650" s="2">
        <v>2171.2941999999998</v>
      </c>
      <c r="AH1650" s="2">
        <v>1406.9757999999999</v>
      </c>
      <c r="AI1650" s="3">
        <v>0.39320001006072802</v>
      </c>
    </row>
    <row r="1651" spans="1:35">
      <c r="A1651" s="1">
        <v>42137</v>
      </c>
      <c r="B1651" s="1">
        <v>37351</v>
      </c>
      <c r="C1651" t="s">
        <v>4426</v>
      </c>
      <c r="D1651">
        <v>310</v>
      </c>
      <c r="E1651">
        <v>20260</v>
      </c>
      <c r="F1651">
        <v>9</v>
      </c>
      <c r="G1651">
        <v>1</v>
      </c>
      <c r="H1651">
        <v>1</v>
      </c>
      <c r="I1651">
        <v>2</v>
      </c>
      <c r="J1651" t="s">
        <v>3485</v>
      </c>
      <c r="K1651" t="s">
        <v>3486</v>
      </c>
      <c r="L1651" s="2">
        <v>2171.2941999999998</v>
      </c>
      <c r="M1651" s="2">
        <v>3578.27</v>
      </c>
      <c r="N1651" t="s">
        <v>13</v>
      </c>
      <c r="O1651" t="s">
        <v>67</v>
      </c>
      <c r="P1651" t="s">
        <v>290</v>
      </c>
      <c r="Q1651" t="s">
        <v>7980</v>
      </c>
      <c r="R1651" s="1">
        <v>22784</v>
      </c>
      <c r="S1651" t="s">
        <v>22</v>
      </c>
      <c r="T1651" t="s">
        <v>16</v>
      </c>
      <c r="U1651" t="s">
        <v>2472</v>
      </c>
      <c r="V1651">
        <v>60000</v>
      </c>
      <c r="W1651">
        <v>1</v>
      </c>
      <c r="X1651" t="s">
        <v>52</v>
      </c>
      <c r="Y1651" t="s">
        <v>53</v>
      </c>
      <c r="Z1651" t="s">
        <v>19</v>
      </c>
      <c r="AA1651" t="s">
        <v>3586</v>
      </c>
      <c r="AB1651" t="s">
        <v>3586</v>
      </c>
      <c r="AC1651" t="s">
        <v>3587</v>
      </c>
      <c r="AD1651" t="s">
        <v>3479</v>
      </c>
      <c r="AE1651" t="s">
        <v>3475</v>
      </c>
      <c r="AF1651" s="2">
        <v>3578.27</v>
      </c>
      <c r="AG1651" s="2">
        <v>2171.2941999999998</v>
      </c>
      <c r="AH1651" s="2">
        <v>1406.9757999999999</v>
      </c>
      <c r="AI1651" s="3">
        <v>0.39320001006072802</v>
      </c>
    </row>
    <row r="1652" spans="1:35">
      <c r="A1652" s="1">
        <v>42140</v>
      </c>
      <c r="B1652" s="1">
        <v>37318</v>
      </c>
      <c r="C1652" t="s">
        <v>4456</v>
      </c>
      <c r="D1652">
        <v>313</v>
      </c>
      <c r="E1652">
        <v>20261</v>
      </c>
      <c r="F1652">
        <v>9</v>
      </c>
      <c r="G1652">
        <v>1</v>
      </c>
      <c r="H1652">
        <v>1</v>
      </c>
      <c r="I1652">
        <v>2</v>
      </c>
      <c r="J1652" t="s">
        <v>3491</v>
      </c>
      <c r="K1652" t="s">
        <v>3492</v>
      </c>
      <c r="L1652" s="2">
        <v>2171.2941999999998</v>
      </c>
      <c r="M1652" s="2">
        <v>3578.27</v>
      </c>
      <c r="N1652" t="s">
        <v>30</v>
      </c>
      <c r="O1652" t="s">
        <v>677</v>
      </c>
      <c r="P1652" t="s">
        <v>243</v>
      </c>
      <c r="Q1652" t="s">
        <v>7981</v>
      </c>
      <c r="R1652" s="1">
        <v>22731</v>
      </c>
      <c r="S1652" t="s">
        <v>16</v>
      </c>
      <c r="T1652" t="s">
        <v>29</v>
      </c>
      <c r="U1652" t="s">
        <v>2473</v>
      </c>
      <c r="V1652">
        <v>60000</v>
      </c>
      <c r="W1652">
        <v>1</v>
      </c>
      <c r="X1652" t="s">
        <v>52</v>
      </c>
      <c r="Y1652" t="s">
        <v>53</v>
      </c>
      <c r="Z1652" t="s">
        <v>19</v>
      </c>
      <c r="AA1652" t="s">
        <v>3586</v>
      </c>
      <c r="AB1652" t="s">
        <v>3586</v>
      </c>
      <c r="AC1652" t="s">
        <v>3587</v>
      </c>
      <c r="AD1652" t="s">
        <v>3479</v>
      </c>
      <c r="AE1652" t="s">
        <v>3475</v>
      </c>
      <c r="AF1652" s="2">
        <v>3578.27</v>
      </c>
      <c r="AG1652" s="2">
        <v>2171.2941999999998</v>
      </c>
      <c r="AH1652" s="2">
        <v>1406.9757999999999</v>
      </c>
      <c r="AI1652" s="3">
        <v>0.39320001006072802</v>
      </c>
    </row>
    <row r="1653" spans="1:35">
      <c r="A1653" s="1">
        <v>42150</v>
      </c>
      <c r="B1653" s="1">
        <v>37371</v>
      </c>
      <c r="C1653" t="s">
        <v>4525</v>
      </c>
      <c r="D1653">
        <v>314</v>
      </c>
      <c r="E1653">
        <v>20264</v>
      </c>
      <c r="F1653">
        <v>9</v>
      </c>
      <c r="G1653">
        <v>1</v>
      </c>
      <c r="H1653">
        <v>1</v>
      </c>
      <c r="I1653">
        <v>2</v>
      </c>
      <c r="J1653" t="s">
        <v>3493</v>
      </c>
      <c r="K1653" t="s">
        <v>3494</v>
      </c>
      <c r="L1653" s="2">
        <v>2171.2941999999998</v>
      </c>
      <c r="M1653" s="2">
        <v>3578.27</v>
      </c>
      <c r="N1653" t="s">
        <v>13</v>
      </c>
      <c r="O1653" t="s">
        <v>556</v>
      </c>
      <c r="P1653" t="s">
        <v>38</v>
      </c>
      <c r="Q1653" t="s">
        <v>7982</v>
      </c>
      <c r="R1653" s="1">
        <v>22581</v>
      </c>
      <c r="S1653" t="s">
        <v>22</v>
      </c>
      <c r="T1653" t="s">
        <v>16</v>
      </c>
      <c r="U1653" t="s">
        <v>2474</v>
      </c>
      <c r="V1653">
        <v>60000</v>
      </c>
      <c r="W1653">
        <v>1</v>
      </c>
      <c r="X1653" t="s">
        <v>52</v>
      </c>
      <c r="Y1653" t="s">
        <v>53</v>
      </c>
      <c r="Z1653" t="s">
        <v>19</v>
      </c>
      <c r="AA1653" t="s">
        <v>3586</v>
      </c>
      <c r="AB1653" t="s">
        <v>3586</v>
      </c>
      <c r="AC1653" t="s">
        <v>3587</v>
      </c>
      <c r="AD1653" t="s">
        <v>3479</v>
      </c>
      <c r="AE1653" t="s">
        <v>3475</v>
      </c>
      <c r="AF1653" s="2">
        <v>3578.27</v>
      </c>
      <c r="AG1653" s="2">
        <v>2171.2941999999998</v>
      </c>
      <c r="AH1653" s="2">
        <v>1406.9757999999999</v>
      </c>
      <c r="AI1653" s="3">
        <v>0.39320001006072802</v>
      </c>
    </row>
    <row r="1654" spans="1:35">
      <c r="A1654" s="1">
        <v>42133</v>
      </c>
      <c r="B1654" s="1">
        <v>37280</v>
      </c>
      <c r="C1654" t="s">
        <v>4408</v>
      </c>
      <c r="D1654">
        <v>311</v>
      </c>
      <c r="E1654">
        <v>20283</v>
      </c>
      <c r="F1654">
        <v>9</v>
      </c>
      <c r="G1654">
        <v>1</v>
      </c>
      <c r="H1654">
        <v>1</v>
      </c>
      <c r="I1654">
        <v>2</v>
      </c>
      <c r="J1654" t="s">
        <v>3487</v>
      </c>
      <c r="K1654" t="s">
        <v>3488</v>
      </c>
      <c r="L1654" s="2">
        <v>2171.2941999999998</v>
      </c>
      <c r="M1654" s="2">
        <v>3578.27</v>
      </c>
      <c r="N1654" t="s">
        <v>30</v>
      </c>
      <c r="O1654" t="s">
        <v>865</v>
      </c>
      <c r="P1654" t="s">
        <v>271</v>
      </c>
      <c r="Q1654" t="s">
        <v>7983</v>
      </c>
      <c r="R1654" s="1">
        <v>14953</v>
      </c>
      <c r="S1654" t="s">
        <v>16</v>
      </c>
      <c r="T1654" t="s">
        <v>29</v>
      </c>
      <c r="U1654" t="s">
        <v>2475</v>
      </c>
      <c r="V1654">
        <v>40000</v>
      </c>
      <c r="W1654">
        <v>2</v>
      </c>
      <c r="X1654" t="s">
        <v>17</v>
      </c>
      <c r="Y1654" t="s">
        <v>45</v>
      </c>
      <c r="Z1654" t="s">
        <v>19</v>
      </c>
      <c r="AA1654" t="s">
        <v>3586</v>
      </c>
      <c r="AB1654" t="s">
        <v>3586</v>
      </c>
      <c r="AC1654" t="s">
        <v>3587</v>
      </c>
      <c r="AD1654" t="s">
        <v>3479</v>
      </c>
      <c r="AE1654" t="s">
        <v>3475</v>
      </c>
      <c r="AF1654" s="2">
        <v>3578.27</v>
      </c>
      <c r="AG1654" s="2">
        <v>2171.2941999999998</v>
      </c>
      <c r="AH1654" s="2">
        <v>1406.9757999999999</v>
      </c>
      <c r="AI1654" s="3">
        <v>0.39320001006072802</v>
      </c>
    </row>
    <row r="1655" spans="1:35">
      <c r="A1655" s="1">
        <v>42138</v>
      </c>
      <c r="B1655" s="1">
        <v>37286</v>
      </c>
      <c r="C1655" t="s">
        <v>4439</v>
      </c>
      <c r="D1655">
        <v>311</v>
      </c>
      <c r="E1655">
        <v>20284</v>
      </c>
      <c r="F1655">
        <v>9</v>
      </c>
      <c r="G1655">
        <v>1</v>
      </c>
      <c r="H1655">
        <v>1</v>
      </c>
      <c r="I1655">
        <v>2</v>
      </c>
      <c r="J1655" t="s">
        <v>3487</v>
      </c>
      <c r="K1655" t="s">
        <v>3488</v>
      </c>
      <c r="L1655" s="2">
        <v>2171.2941999999998</v>
      </c>
      <c r="M1655" s="2">
        <v>3578.27</v>
      </c>
      <c r="N1655" t="s">
        <v>30</v>
      </c>
      <c r="O1655" t="s">
        <v>128</v>
      </c>
      <c r="P1655" t="s">
        <v>809</v>
      </c>
      <c r="Q1655" t="s">
        <v>7984</v>
      </c>
      <c r="R1655" s="1">
        <v>15869</v>
      </c>
      <c r="S1655" t="s">
        <v>22</v>
      </c>
      <c r="T1655" t="s">
        <v>29</v>
      </c>
      <c r="U1655" t="s">
        <v>2476</v>
      </c>
      <c r="V1655">
        <v>60000</v>
      </c>
      <c r="W1655">
        <v>2</v>
      </c>
      <c r="X1655" t="s">
        <v>135</v>
      </c>
      <c r="Y1655" t="s">
        <v>45</v>
      </c>
      <c r="Z1655" t="s">
        <v>19</v>
      </c>
      <c r="AA1655" t="s">
        <v>3586</v>
      </c>
      <c r="AB1655" t="s">
        <v>3586</v>
      </c>
      <c r="AC1655" t="s">
        <v>3587</v>
      </c>
      <c r="AD1655" t="s">
        <v>3479</v>
      </c>
      <c r="AE1655" t="s">
        <v>3475</v>
      </c>
      <c r="AF1655" s="2">
        <v>3578.27</v>
      </c>
      <c r="AG1655" s="2">
        <v>2171.2941999999998</v>
      </c>
      <c r="AH1655" s="2">
        <v>1406.9757999999999</v>
      </c>
      <c r="AI1655" s="3">
        <v>0.39320001006072802</v>
      </c>
    </row>
    <row r="1656" spans="1:35">
      <c r="A1656" s="1">
        <v>42222</v>
      </c>
      <c r="B1656" s="1">
        <v>37424</v>
      </c>
      <c r="C1656" t="s">
        <v>5047</v>
      </c>
      <c r="D1656">
        <v>356</v>
      </c>
      <c r="E1656">
        <v>20318</v>
      </c>
      <c r="F1656">
        <v>6</v>
      </c>
      <c r="G1656">
        <v>1</v>
      </c>
      <c r="H1656">
        <v>1</v>
      </c>
      <c r="I1656">
        <v>1</v>
      </c>
      <c r="J1656" t="s">
        <v>3539</v>
      </c>
      <c r="K1656" t="s">
        <v>3540</v>
      </c>
      <c r="L1656" s="2">
        <v>1117.8559</v>
      </c>
      <c r="M1656" s="2">
        <v>2071.4196000000002</v>
      </c>
      <c r="N1656" t="s">
        <v>30</v>
      </c>
      <c r="O1656" t="s">
        <v>106</v>
      </c>
      <c r="P1656" t="s">
        <v>347</v>
      </c>
      <c r="Q1656" t="s">
        <v>7985</v>
      </c>
      <c r="R1656" s="1">
        <v>26240</v>
      </c>
      <c r="S1656" t="s">
        <v>16</v>
      </c>
      <c r="T1656" t="s">
        <v>29</v>
      </c>
      <c r="U1656" t="s">
        <v>2477</v>
      </c>
      <c r="V1656">
        <v>60000</v>
      </c>
      <c r="W1656">
        <v>1</v>
      </c>
      <c r="X1656" t="s">
        <v>135</v>
      </c>
      <c r="Y1656" t="s">
        <v>53</v>
      </c>
      <c r="Z1656" t="s">
        <v>19</v>
      </c>
      <c r="AA1656" t="s">
        <v>3582</v>
      </c>
      <c r="AB1656" t="s">
        <v>3582</v>
      </c>
      <c r="AC1656" t="s">
        <v>3579</v>
      </c>
      <c r="AD1656" t="s">
        <v>3478</v>
      </c>
      <c r="AE1656" t="s">
        <v>3475</v>
      </c>
      <c r="AF1656" s="2">
        <v>2071.4196000000002</v>
      </c>
      <c r="AG1656" s="2">
        <v>1117.8559</v>
      </c>
      <c r="AH1656" s="2">
        <v>953.56370000000004</v>
      </c>
      <c r="AI1656" s="3">
        <v>0.460343090313522</v>
      </c>
    </row>
    <row r="1657" spans="1:35">
      <c r="A1657" s="1">
        <v>42246</v>
      </c>
      <c r="B1657" s="1">
        <v>37430</v>
      </c>
      <c r="C1657" t="s">
        <v>5268</v>
      </c>
      <c r="D1657">
        <v>356</v>
      </c>
      <c r="E1657">
        <v>20350</v>
      </c>
      <c r="F1657">
        <v>6</v>
      </c>
      <c r="G1657">
        <v>1</v>
      </c>
      <c r="H1657">
        <v>1</v>
      </c>
      <c r="I1657">
        <v>1</v>
      </c>
      <c r="J1657" t="s">
        <v>3539</v>
      </c>
      <c r="K1657" t="s">
        <v>3540</v>
      </c>
      <c r="L1657" s="2">
        <v>1117.8559</v>
      </c>
      <c r="M1657" s="2">
        <v>2071.4196000000002</v>
      </c>
      <c r="N1657" t="s">
        <v>30</v>
      </c>
      <c r="O1657" t="s">
        <v>588</v>
      </c>
      <c r="P1657" t="s">
        <v>326</v>
      </c>
      <c r="Q1657" t="s">
        <v>7986</v>
      </c>
      <c r="R1657" s="1">
        <v>20122</v>
      </c>
      <c r="S1657" t="s">
        <v>16</v>
      </c>
      <c r="T1657" t="s">
        <v>29</v>
      </c>
      <c r="U1657" t="s">
        <v>2478</v>
      </c>
      <c r="V1657">
        <v>60000</v>
      </c>
      <c r="W1657">
        <v>2</v>
      </c>
      <c r="X1657" t="s">
        <v>57</v>
      </c>
      <c r="Y1657" t="s">
        <v>18</v>
      </c>
      <c r="Z1657" t="s">
        <v>23</v>
      </c>
      <c r="AA1657" t="s">
        <v>3582</v>
      </c>
      <c r="AB1657" t="s">
        <v>3582</v>
      </c>
      <c r="AC1657" t="s">
        <v>3579</v>
      </c>
      <c r="AD1657" t="s">
        <v>3478</v>
      </c>
      <c r="AE1657" t="s">
        <v>3475</v>
      </c>
      <c r="AF1657" s="2">
        <v>2071.4196000000002</v>
      </c>
      <c r="AG1657" s="2">
        <v>1117.8559</v>
      </c>
      <c r="AH1657" s="2">
        <v>953.56370000000004</v>
      </c>
      <c r="AI1657" s="3">
        <v>0.460343090313522</v>
      </c>
    </row>
    <row r="1658" spans="1:35">
      <c r="A1658" s="1">
        <v>42276</v>
      </c>
      <c r="B1658" s="1">
        <v>37512</v>
      </c>
      <c r="C1658" t="s">
        <v>5472</v>
      </c>
      <c r="D1658">
        <v>352</v>
      </c>
      <c r="E1658">
        <v>20373</v>
      </c>
      <c r="F1658">
        <v>6</v>
      </c>
      <c r="G1658">
        <v>1</v>
      </c>
      <c r="H1658">
        <v>1</v>
      </c>
      <c r="I1658">
        <v>1</v>
      </c>
      <c r="J1658" t="s">
        <v>3535</v>
      </c>
      <c r="K1658" t="s">
        <v>3536</v>
      </c>
      <c r="L1658" s="2">
        <v>1117.8559</v>
      </c>
      <c r="M1658" s="2">
        <v>2071.4196000000002</v>
      </c>
      <c r="N1658" t="s">
        <v>30</v>
      </c>
      <c r="O1658" t="s">
        <v>252</v>
      </c>
      <c r="P1658" t="s">
        <v>273</v>
      </c>
      <c r="Q1658" t="s">
        <v>7987</v>
      </c>
      <c r="R1658" s="1">
        <v>19741</v>
      </c>
      <c r="S1658" t="s">
        <v>16</v>
      </c>
      <c r="T1658" t="s">
        <v>29</v>
      </c>
      <c r="U1658" t="s">
        <v>2479</v>
      </c>
      <c r="V1658">
        <v>60000</v>
      </c>
      <c r="W1658">
        <v>2</v>
      </c>
      <c r="X1658" t="s">
        <v>77</v>
      </c>
      <c r="Y1658" t="s">
        <v>53</v>
      </c>
      <c r="Z1658" t="s">
        <v>23</v>
      </c>
      <c r="AA1658" t="s">
        <v>3582</v>
      </c>
      <c r="AB1658" t="s">
        <v>3582</v>
      </c>
      <c r="AC1658" t="s">
        <v>3579</v>
      </c>
      <c r="AD1658" t="s">
        <v>3478</v>
      </c>
      <c r="AE1658" t="s">
        <v>3475</v>
      </c>
      <c r="AF1658" s="2">
        <v>2071.4196000000002</v>
      </c>
      <c r="AG1658" s="2">
        <v>1117.8559</v>
      </c>
      <c r="AH1658" s="2">
        <v>953.56370000000004</v>
      </c>
      <c r="AI1658" s="3">
        <v>0.460343090313522</v>
      </c>
    </row>
    <row r="1659" spans="1:35">
      <c r="A1659" s="1">
        <v>42288</v>
      </c>
      <c r="B1659" s="1">
        <v>37475</v>
      </c>
      <c r="C1659" t="s">
        <v>5546</v>
      </c>
      <c r="D1659">
        <v>354</v>
      </c>
      <c r="E1659">
        <v>20375</v>
      </c>
      <c r="F1659">
        <v>6</v>
      </c>
      <c r="G1659">
        <v>1</v>
      </c>
      <c r="H1659">
        <v>1</v>
      </c>
      <c r="I1659">
        <v>1</v>
      </c>
      <c r="J1659" t="s">
        <v>3537</v>
      </c>
      <c r="K1659" t="s">
        <v>3538</v>
      </c>
      <c r="L1659" s="2">
        <v>1117.8559</v>
      </c>
      <c r="M1659" s="2">
        <v>2071.4196000000002</v>
      </c>
      <c r="N1659" t="s">
        <v>30</v>
      </c>
      <c r="O1659" t="s">
        <v>333</v>
      </c>
      <c r="P1659" t="s">
        <v>329</v>
      </c>
      <c r="Q1659" t="s">
        <v>7988</v>
      </c>
      <c r="R1659" s="1">
        <v>19435</v>
      </c>
      <c r="S1659" t="s">
        <v>22</v>
      </c>
      <c r="T1659" t="s">
        <v>29</v>
      </c>
      <c r="U1659" t="s">
        <v>2480</v>
      </c>
      <c r="V1659">
        <v>70000</v>
      </c>
      <c r="W1659">
        <v>3</v>
      </c>
      <c r="X1659" t="s">
        <v>135</v>
      </c>
      <c r="Y1659" t="s">
        <v>45</v>
      </c>
      <c r="Z1659" t="s">
        <v>19</v>
      </c>
      <c r="AA1659" t="s">
        <v>3582</v>
      </c>
      <c r="AB1659" t="s">
        <v>3582</v>
      </c>
      <c r="AC1659" t="s">
        <v>3579</v>
      </c>
      <c r="AD1659" t="s">
        <v>3478</v>
      </c>
      <c r="AE1659" t="s">
        <v>3475</v>
      </c>
      <c r="AF1659" s="2">
        <v>2071.4196000000002</v>
      </c>
      <c r="AG1659" s="2">
        <v>1117.8559</v>
      </c>
      <c r="AH1659" s="2">
        <v>953.56370000000004</v>
      </c>
      <c r="AI1659" s="3">
        <v>0.460343090313522</v>
      </c>
    </row>
    <row r="1660" spans="1:35">
      <c r="A1660" s="1">
        <v>42128</v>
      </c>
      <c r="B1660" s="1">
        <v>37328</v>
      </c>
      <c r="C1660" t="s">
        <v>4369</v>
      </c>
      <c r="D1660">
        <v>313</v>
      </c>
      <c r="E1660">
        <v>20416</v>
      </c>
      <c r="F1660">
        <v>9</v>
      </c>
      <c r="G1660">
        <v>1</v>
      </c>
      <c r="H1660">
        <v>1</v>
      </c>
      <c r="I1660">
        <v>2</v>
      </c>
      <c r="J1660" t="s">
        <v>3491</v>
      </c>
      <c r="K1660" t="s">
        <v>3492</v>
      </c>
      <c r="L1660" s="2">
        <v>2171.2941999999998</v>
      </c>
      <c r="M1660" s="2">
        <v>3578.27</v>
      </c>
      <c r="N1660" t="s">
        <v>13</v>
      </c>
      <c r="O1660" t="s">
        <v>1095</v>
      </c>
      <c r="P1660" t="s">
        <v>266</v>
      </c>
      <c r="Q1660" t="s">
        <v>7989</v>
      </c>
      <c r="R1660" s="1">
        <v>18254</v>
      </c>
      <c r="S1660" t="s">
        <v>22</v>
      </c>
      <c r="T1660" t="s">
        <v>16</v>
      </c>
      <c r="U1660" t="s">
        <v>2481</v>
      </c>
      <c r="V1660">
        <v>30000</v>
      </c>
      <c r="W1660">
        <v>3</v>
      </c>
      <c r="X1660" t="s">
        <v>52</v>
      </c>
      <c r="Y1660" t="s">
        <v>60</v>
      </c>
      <c r="Z1660" t="s">
        <v>19</v>
      </c>
      <c r="AA1660" t="s">
        <v>3586</v>
      </c>
      <c r="AB1660" t="s">
        <v>3586</v>
      </c>
      <c r="AC1660" t="s">
        <v>3587</v>
      </c>
      <c r="AD1660" t="s">
        <v>3479</v>
      </c>
      <c r="AE1660" t="s">
        <v>3475</v>
      </c>
      <c r="AF1660" s="2">
        <v>3578.27</v>
      </c>
      <c r="AG1660" s="2">
        <v>2171.2941999999998</v>
      </c>
      <c r="AH1660" s="2">
        <v>1406.9757999999999</v>
      </c>
      <c r="AI1660" s="3">
        <v>0.39320001006072802</v>
      </c>
    </row>
    <row r="1661" spans="1:35">
      <c r="A1661" s="1">
        <v>42149</v>
      </c>
      <c r="B1661" s="1">
        <v>37331</v>
      </c>
      <c r="C1661" t="s">
        <v>4520</v>
      </c>
      <c r="D1661">
        <v>313</v>
      </c>
      <c r="E1661">
        <v>20418</v>
      </c>
      <c r="F1661">
        <v>9</v>
      </c>
      <c r="G1661">
        <v>1</v>
      </c>
      <c r="H1661">
        <v>1</v>
      </c>
      <c r="I1661">
        <v>2</v>
      </c>
      <c r="J1661" t="s">
        <v>3491</v>
      </c>
      <c r="K1661" t="s">
        <v>3492</v>
      </c>
      <c r="L1661" s="2">
        <v>2171.2941999999998</v>
      </c>
      <c r="M1661" s="2">
        <v>3578.27</v>
      </c>
      <c r="N1661" t="s">
        <v>13</v>
      </c>
      <c r="O1661" t="s">
        <v>774</v>
      </c>
      <c r="P1661" t="s">
        <v>232</v>
      </c>
      <c r="Q1661" t="s">
        <v>7990</v>
      </c>
      <c r="R1661" s="1">
        <v>18366</v>
      </c>
      <c r="S1661" t="s">
        <v>16</v>
      </c>
      <c r="T1661" t="s">
        <v>16</v>
      </c>
      <c r="U1661" t="s">
        <v>2482</v>
      </c>
      <c r="V1661">
        <v>30000</v>
      </c>
      <c r="W1661">
        <v>3</v>
      </c>
      <c r="X1661" t="s">
        <v>52</v>
      </c>
      <c r="Y1661" t="s">
        <v>60</v>
      </c>
      <c r="Z1661" t="s">
        <v>23</v>
      </c>
      <c r="AA1661" t="s">
        <v>3586</v>
      </c>
      <c r="AB1661" t="s">
        <v>3586</v>
      </c>
      <c r="AC1661" t="s">
        <v>3587</v>
      </c>
      <c r="AD1661" t="s">
        <v>3479</v>
      </c>
      <c r="AE1661" t="s">
        <v>3475</v>
      </c>
      <c r="AF1661" s="2">
        <v>3578.27</v>
      </c>
      <c r="AG1661" s="2">
        <v>2171.2941999999998</v>
      </c>
      <c r="AH1661" s="2">
        <v>1406.9757999999999</v>
      </c>
      <c r="AI1661" s="3">
        <v>0.39320001006072802</v>
      </c>
    </row>
    <row r="1662" spans="1:35">
      <c r="A1662" s="1">
        <v>42127</v>
      </c>
      <c r="B1662" s="1">
        <v>37360</v>
      </c>
      <c r="C1662" t="s">
        <v>4364</v>
      </c>
      <c r="D1662">
        <v>313</v>
      </c>
      <c r="E1662">
        <v>20420</v>
      </c>
      <c r="F1662">
        <v>9</v>
      </c>
      <c r="G1662">
        <v>1</v>
      </c>
      <c r="H1662">
        <v>1</v>
      </c>
      <c r="I1662">
        <v>2</v>
      </c>
      <c r="J1662" t="s">
        <v>3491</v>
      </c>
      <c r="K1662" t="s">
        <v>3492</v>
      </c>
      <c r="L1662" s="2">
        <v>2171.2941999999998</v>
      </c>
      <c r="M1662" s="2">
        <v>3578.27</v>
      </c>
      <c r="N1662" t="s">
        <v>30</v>
      </c>
      <c r="O1662" t="s">
        <v>1300</v>
      </c>
      <c r="P1662" t="s">
        <v>35</v>
      </c>
      <c r="Q1662" t="s">
        <v>7991</v>
      </c>
      <c r="R1662" s="1">
        <v>18663</v>
      </c>
      <c r="S1662" t="s">
        <v>16</v>
      </c>
      <c r="T1662" t="s">
        <v>29</v>
      </c>
      <c r="U1662" t="s">
        <v>2483</v>
      </c>
      <c r="V1662">
        <v>30000</v>
      </c>
      <c r="W1662">
        <v>3</v>
      </c>
      <c r="X1662" t="s">
        <v>57</v>
      </c>
      <c r="Y1662" t="s">
        <v>53</v>
      </c>
      <c r="Z1662" t="s">
        <v>19</v>
      </c>
      <c r="AA1662" t="s">
        <v>3586</v>
      </c>
      <c r="AB1662" t="s">
        <v>3586</v>
      </c>
      <c r="AC1662" t="s">
        <v>3587</v>
      </c>
      <c r="AD1662" t="s">
        <v>3479</v>
      </c>
      <c r="AE1662" t="s">
        <v>3475</v>
      </c>
      <c r="AF1662" s="2">
        <v>3578.27</v>
      </c>
      <c r="AG1662" s="2">
        <v>2171.2941999999998</v>
      </c>
      <c r="AH1662" s="2">
        <v>1406.9757999999999</v>
      </c>
      <c r="AI1662" s="3">
        <v>0.39320001006072802</v>
      </c>
    </row>
    <row r="1663" spans="1:35">
      <c r="A1663" s="1">
        <v>42142</v>
      </c>
      <c r="B1663" s="1">
        <v>37322</v>
      </c>
      <c r="C1663" t="s">
        <v>4471</v>
      </c>
      <c r="D1663">
        <v>314</v>
      </c>
      <c r="E1663">
        <v>20423</v>
      </c>
      <c r="F1663">
        <v>9</v>
      </c>
      <c r="G1663">
        <v>1</v>
      </c>
      <c r="H1663">
        <v>1</v>
      </c>
      <c r="I1663">
        <v>2</v>
      </c>
      <c r="J1663" t="s">
        <v>3493</v>
      </c>
      <c r="K1663" t="s">
        <v>3494</v>
      </c>
      <c r="L1663" s="2">
        <v>2171.2941999999998</v>
      </c>
      <c r="M1663" s="2">
        <v>3578.27</v>
      </c>
      <c r="N1663" t="s">
        <v>30</v>
      </c>
      <c r="O1663" t="s">
        <v>473</v>
      </c>
      <c r="P1663" t="s">
        <v>266</v>
      </c>
      <c r="Q1663" t="s">
        <v>7992</v>
      </c>
      <c r="R1663" s="1">
        <v>19277</v>
      </c>
      <c r="S1663" t="s">
        <v>22</v>
      </c>
      <c r="T1663" t="s">
        <v>29</v>
      </c>
      <c r="U1663" t="s">
        <v>2484</v>
      </c>
      <c r="V1663">
        <v>30000</v>
      </c>
      <c r="W1663">
        <v>3</v>
      </c>
      <c r="X1663" t="s">
        <v>57</v>
      </c>
      <c r="Y1663" t="s">
        <v>53</v>
      </c>
      <c r="Z1663" t="s">
        <v>19</v>
      </c>
      <c r="AA1663" t="s">
        <v>3586</v>
      </c>
      <c r="AB1663" t="s">
        <v>3586</v>
      </c>
      <c r="AC1663" t="s">
        <v>3587</v>
      </c>
      <c r="AD1663" t="s">
        <v>3479</v>
      </c>
      <c r="AE1663" t="s">
        <v>3475</v>
      </c>
      <c r="AF1663" s="2">
        <v>3578.27</v>
      </c>
      <c r="AG1663" s="2">
        <v>2171.2941999999998</v>
      </c>
      <c r="AH1663" s="2">
        <v>1406.9757999999999</v>
      </c>
      <c r="AI1663" s="3">
        <v>0.39320001006072802</v>
      </c>
    </row>
    <row r="1664" spans="1:35">
      <c r="A1664" s="1">
        <v>42146</v>
      </c>
      <c r="B1664" s="1">
        <v>37306</v>
      </c>
      <c r="C1664" t="s">
        <v>4500</v>
      </c>
      <c r="D1664">
        <v>314</v>
      </c>
      <c r="E1664">
        <v>20425</v>
      </c>
      <c r="F1664">
        <v>9</v>
      </c>
      <c r="G1664">
        <v>1</v>
      </c>
      <c r="H1664">
        <v>1</v>
      </c>
      <c r="I1664">
        <v>2</v>
      </c>
      <c r="J1664" t="s">
        <v>3493</v>
      </c>
      <c r="K1664" t="s">
        <v>3494</v>
      </c>
      <c r="L1664" s="2">
        <v>2171.2941999999998</v>
      </c>
      <c r="M1664" s="2">
        <v>3578.27</v>
      </c>
      <c r="N1664" t="s">
        <v>30</v>
      </c>
      <c r="O1664" t="s">
        <v>1578</v>
      </c>
      <c r="P1664" t="s">
        <v>25</v>
      </c>
      <c r="Q1664" t="s">
        <v>7993</v>
      </c>
      <c r="R1664" s="1">
        <v>19315</v>
      </c>
      <c r="S1664" t="s">
        <v>16</v>
      </c>
      <c r="T1664" t="s">
        <v>29</v>
      </c>
      <c r="U1664" t="s">
        <v>2485</v>
      </c>
      <c r="V1664">
        <v>30000</v>
      </c>
      <c r="W1664">
        <v>3</v>
      </c>
      <c r="X1664" t="s">
        <v>57</v>
      </c>
      <c r="Y1664" t="s">
        <v>53</v>
      </c>
      <c r="Z1664" t="s">
        <v>19</v>
      </c>
      <c r="AA1664" t="s">
        <v>3586</v>
      </c>
      <c r="AB1664" t="s">
        <v>3586</v>
      </c>
      <c r="AC1664" t="s">
        <v>3587</v>
      </c>
      <c r="AD1664" t="s">
        <v>3479</v>
      </c>
      <c r="AE1664" t="s">
        <v>3475</v>
      </c>
      <c r="AF1664" s="2">
        <v>3578.27</v>
      </c>
      <c r="AG1664" s="2">
        <v>2171.2941999999998</v>
      </c>
      <c r="AH1664" s="2">
        <v>1406.9757999999999</v>
      </c>
      <c r="AI1664" s="3">
        <v>0.39320001006072802</v>
      </c>
    </row>
    <row r="1665" spans="1:35">
      <c r="A1665" s="1">
        <v>42128</v>
      </c>
      <c r="B1665" s="1">
        <v>37315</v>
      </c>
      <c r="C1665" t="s">
        <v>4374</v>
      </c>
      <c r="D1665">
        <v>312</v>
      </c>
      <c r="E1665">
        <v>20426</v>
      </c>
      <c r="F1665">
        <v>9</v>
      </c>
      <c r="G1665">
        <v>1</v>
      </c>
      <c r="H1665">
        <v>1</v>
      </c>
      <c r="I1665">
        <v>2</v>
      </c>
      <c r="J1665" t="s">
        <v>3489</v>
      </c>
      <c r="K1665" t="s">
        <v>3490</v>
      </c>
      <c r="L1665" s="2">
        <v>2171.2941999999998</v>
      </c>
      <c r="M1665" s="2">
        <v>3578.27</v>
      </c>
      <c r="N1665" t="s">
        <v>13</v>
      </c>
      <c r="O1665" t="s">
        <v>369</v>
      </c>
      <c r="P1665" t="s">
        <v>187</v>
      </c>
      <c r="Q1665" t="s">
        <v>7994</v>
      </c>
      <c r="R1665" s="1">
        <v>19271</v>
      </c>
      <c r="S1665" t="s">
        <v>16</v>
      </c>
      <c r="T1665" t="s">
        <v>16</v>
      </c>
      <c r="U1665" t="s">
        <v>2486</v>
      </c>
      <c r="V1665">
        <v>30000</v>
      </c>
      <c r="W1665">
        <v>3</v>
      </c>
      <c r="X1665" t="s">
        <v>57</v>
      </c>
      <c r="Y1665" t="s">
        <v>53</v>
      </c>
      <c r="Z1665" t="s">
        <v>19</v>
      </c>
      <c r="AA1665" t="s">
        <v>3586</v>
      </c>
      <c r="AB1665" t="s">
        <v>3586</v>
      </c>
      <c r="AC1665" t="s">
        <v>3587</v>
      </c>
      <c r="AD1665" t="s">
        <v>3479</v>
      </c>
      <c r="AE1665" t="s">
        <v>3475</v>
      </c>
      <c r="AF1665" s="2">
        <v>3578.27</v>
      </c>
      <c r="AG1665" s="2">
        <v>2171.2941999999998</v>
      </c>
      <c r="AH1665" s="2">
        <v>1406.9757999999999</v>
      </c>
      <c r="AI1665" s="3">
        <v>0.39320001006072802</v>
      </c>
    </row>
    <row r="1666" spans="1:35">
      <c r="A1666" s="1">
        <v>42152</v>
      </c>
      <c r="B1666" s="1">
        <v>37384</v>
      </c>
      <c r="C1666" t="s">
        <v>4537</v>
      </c>
      <c r="D1666">
        <v>314</v>
      </c>
      <c r="E1666">
        <v>20427</v>
      </c>
      <c r="F1666">
        <v>9</v>
      </c>
      <c r="G1666">
        <v>1</v>
      </c>
      <c r="H1666">
        <v>1</v>
      </c>
      <c r="I1666">
        <v>2</v>
      </c>
      <c r="J1666" t="s">
        <v>3493</v>
      </c>
      <c r="K1666" t="s">
        <v>3494</v>
      </c>
      <c r="L1666" s="2">
        <v>2171.2941999999998</v>
      </c>
      <c r="M1666" s="2">
        <v>3578.27</v>
      </c>
      <c r="N1666" t="s">
        <v>13</v>
      </c>
      <c r="O1666" t="s">
        <v>503</v>
      </c>
      <c r="P1666" t="s">
        <v>131</v>
      </c>
      <c r="Q1666" t="s">
        <v>7995</v>
      </c>
      <c r="R1666" s="1">
        <v>19456</v>
      </c>
      <c r="S1666" t="s">
        <v>22</v>
      </c>
      <c r="T1666" t="s">
        <v>16</v>
      </c>
      <c r="U1666" t="s">
        <v>2487</v>
      </c>
      <c r="V1666">
        <v>40000</v>
      </c>
      <c r="W1666">
        <v>3</v>
      </c>
      <c r="X1666" t="s">
        <v>52</v>
      </c>
      <c r="Y1666" t="s">
        <v>53</v>
      </c>
      <c r="Z1666" t="s">
        <v>19</v>
      </c>
      <c r="AA1666" t="s">
        <v>3586</v>
      </c>
      <c r="AB1666" t="s">
        <v>3586</v>
      </c>
      <c r="AC1666" t="s">
        <v>3587</v>
      </c>
      <c r="AD1666" t="s">
        <v>3479</v>
      </c>
      <c r="AE1666" t="s">
        <v>3475</v>
      </c>
      <c r="AF1666" s="2">
        <v>3578.27</v>
      </c>
      <c r="AG1666" s="2">
        <v>2171.2941999999998</v>
      </c>
      <c r="AH1666" s="2">
        <v>1406.9757999999999</v>
      </c>
      <c r="AI1666" s="3">
        <v>0.39320001006072802</v>
      </c>
    </row>
    <row r="1667" spans="1:35">
      <c r="A1667" s="1">
        <v>42139</v>
      </c>
      <c r="B1667" s="1">
        <v>37309</v>
      </c>
      <c r="C1667" t="s">
        <v>4445</v>
      </c>
      <c r="D1667">
        <v>310</v>
      </c>
      <c r="E1667">
        <v>20429</v>
      </c>
      <c r="F1667">
        <v>9</v>
      </c>
      <c r="G1667">
        <v>1</v>
      </c>
      <c r="H1667">
        <v>1</v>
      </c>
      <c r="I1667">
        <v>2</v>
      </c>
      <c r="J1667" t="s">
        <v>3485</v>
      </c>
      <c r="K1667" t="s">
        <v>3486</v>
      </c>
      <c r="L1667" s="2">
        <v>2171.2941999999998</v>
      </c>
      <c r="M1667" s="2">
        <v>3578.27</v>
      </c>
      <c r="N1667" t="s">
        <v>13</v>
      </c>
      <c r="O1667" t="s">
        <v>41</v>
      </c>
      <c r="P1667" t="s">
        <v>140</v>
      </c>
      <c r="Q1667" t="s">
        <v>7996</v>
      </c>
      <c r="R1667" s="1">
        <v>19474</v>
      </c>
      <c r="S1667" t="s">
        <v>16</v>
      </c>
      <c r="T1667" t="s">
        <v>16</v>
      </c>
      <c r="U1667" t="s">
        <v>2488</v>
      </c>
      <c r="V1667">
        <v>40000</v>
      </c>
      <c r="W1667">
        <v>3</v>
      </c>
      <c r="X1667" t="s">
        <v>52</v>
      </c>
      <c r="Y1667" t="s">
        <v>53</v>
      </c>
      <c r="Z1667" t="s">
        <v>19</v>
      </c>
      <c r="AA1667" t="s">
        <v>3586</v>
      </c>
      <c r="AB1667" t="s">
        <v>3586</v>
      </c>
      <c r="AC1667" t="s">
        <v>3587</v>
      </c>
      <c r="AD1667" t="s">
        <v>3479</v>
      </c>
      <c r="AE1667" t="s">
        <v>3475</v>
      </c>
      <c r="AF1667" s="2">
        <v>3578.27</v>
      </c>
      <c r="AG1667" s="2">
        <v>2171.2941999999998</v>
      </c>
      <c r="AH1667" s="2">
        <v>1406.9757999999999</v>
      </c>
      <c r="AI1667" s="3">
        <v>0.39320001006072802</v>
      </c>
    </row>
    <row r="1668" spans="1:35">
      <c r="A1668" s="1">
        <v>42136</v>
      </c>
      <c r="B1668" s="1">
        <v>37373</v>
      </c>
      <c r="C1668" t="s">
        <v>4422</v>
      </c>
      <c r="D1668">
        <v>310</v>
      </c>
      <c r="E1668">
        <v>20430</v>
      </c>
      <c r="F1668">
        <v>9</v>
      </c>
      <c r="G1668">
        <v>1</v>
      </c>
      <c r="H1668">
        <v>1</v>
      </c>
      <c r="I1668">
        <v>2</v>
      </c>
      <c r="J1668" t="s">
        <v>3485</v>
      </c>
      <c r="K1668" t="s">
        <v>3486</v>
      </c>
      <c r="L1668" s="2">
        <v>2171.2941999999998</v>
      </c>
      <c r="M1668" s="2">
        <v>3578.27</v>
      </c>
      <c r="N1668" t="s">
        <v>13</v>
      </c>
      <c r="O1668" t="s">
        <v>281</v>
      </c>
      <c r="P1668" t="s">
        <v>809</v>
      </c>
      <c r="Q1668" t="s">
        <v>7997</v>
      </c>
      <c r="R1668" s="1">
        <v>19759</v>
      </c>
      <c r="S1668" t="s">
        <v>16</v>
      </c>
      <c r="T1668" t="s">
        <v>16</v>
      </c>
      <c r="U1668" t="s">
        <v>2489</v>
      </c>
      <c r="V1668">
        <v>70000</v>
      </c>
      <c r="W1668">
        <v>2</v>
      </c>
      <c r="X1668" t="s">
        <v>52</v>
      </c>
      <c r="Y1668" t="s">
        <v>53</v>
      </c>
      <c r="Z1668" t="s">
        <v>19</v>
      </c>
      <c r="AA1668" t="s">
        <v>3586</v>
      </c>
      <c r="AB1668" t="s">
        <v>3586</v>
      </c>
      <c r="AC1668" t="s">
        <v>3587</v>
      </c>
      <c r="AD1668" t="s">
        <v>3479</v>
      </c>
      <c r="AE1668" t="s">
        <v>3475</v>
      </c>
      <c r="AF1668" s="2">
        <v>3578.27</v>
      </c>
      <c r="AG1668" s="2">
        <v>2171.2941999999998</v>
      </c>
      <c r="AH1668" s="2">
        <v>1406.9757999999999</v>
      </c>
      <c r="AI1668" s="3">
        <v>0.39320001006072802</v>
      </c>
    </row>
    <row r="1669" spans="1:35">
      <c r="A1669" s="1">
        <v>42154</v>
      </c>
      <c r="B1669" s="1">
        <v>37389</v>
      </c>
      <c r="C1669" t="s">
        <v>4543</v>
      </c>
      <c r="D1669">
        <v>312</v>
      </c>
      <c r="E1669">
        <v>20444</v>
      </c>
      <c r="F1669">
        <v>9</v>
      </c>
      <c r="G1669">
        <v>1</v>
      </c>
      <c r="H1669">
        <v>1</v>
      </c>
      <c r="I1669">
        <v>2</v>
      </c>
      <c r="J1669" t="s">
        <v>3489</v>
      </c>
      <c r="K1669" t="s">
        <v>3490</v>
      </c>
      <c r="L1669" s="2">
        <v>2171.2941999999998</v>
      </c>
      <c r="M1669" s="2">
        <v>3578.27</v>
      </c>
      <c r="N1669" t="s">
        <v>30</v>
      </c>
      <c r="O1669" t="s">
        <v>457</v>
      </c>
      <c r="P1669" t="s">
        <v>227</v>
      </c>
      <c r="Q1669" t="s">
        <v>7998</v>
      </c>
      <c r="R1669" s="1">
        <v>20345</v>
      </c>
      <c r="S1669" t="s">
        <v>22</v>
      </c>
      <c r="T1669" t="s">
        <v>29</v>
      </c>
      <c r="U1669" t="s">
        <v>2490</v>
      </c>
      <c r="V1669">
        <v>80000</v>
      </c>
      <c r="W1669">
        <v>2</v>
      </c>
      <c r="X1669" t="s">
        <v>57</v>
      </c>
      <c r="Y1669" t="s">
        <v>53</v>
      </c>
      <c r="Z1669" t="s">
        <v>19</v>
      </c>
      <c r="AA1669" t="s">
        <v>3586</v>
      </c>
      <c r="AB1669" t="s">
        <v>3586</v>
      </c>
      <c r="AC1669" t="s">
        <v>3587</v>
      </c>
      <c r="AD1669" t="s">
        <v>3479</v>
      </c>
      <c r="AE1669" t="s">
        <v>3475</v>
      </c>
      <c r="AF1669" s="2">
        <v>3578.27</v>
      </c>
      <c r="AG1669" s="2">
        <v>2171.2941999999998</v>
      </c>
      <c r="AH1669" s="2">
        <v>1406.9757999999999</v>
      </c>
      <c r="AI1669" s="3">
        <v>0.39320001006072802</v>
      </c>
    </row>
    <row r="1670" spans="1:35">
      <c r="A1670" s="1">
        <v>42145</v>
      </c>
      <c r="B1670" s="1">
        <v>37299</v>
      </c>
      <c r="C1670" t="s">
        <v>4490</v>
      </c>
      <c r="D1670">
        <v>313</v>
      </c>
      <c r="E1670">
        <v>20445</v>
      </c>
      <c r="F1670">
        <v>9</v>
      </c>
      <c r="G1670">
        <v>1</v>
      </c>
      <c r="H1670">
        <v>1</v>
      </c>
      <c r="I1670">
        <v>2</v>
      </c>
      <c r="J1670" t="s">
        <v>3491</v>
      </c>
      <c r="K1670" t="s">
        <v>3492</v>
      </c>
      <c r="L1670" s="2">
        <v>2171.2941999999998</v>
      </c>
      <c r="M1670" s="2">
        <v>3578.27</v>
      </c>
      <c r="N1670" t="s">
        <v>30</v>
      </c>
      <c r="O1670" t="s">
        <v>755</v>
      </c>
      <c r="P1670" t="s">
        <v>226</v>
      </c>
      <c r="Q1670" t="s">
        <v>7999</v>
      </c>
      <c r="R1670" s="1">
        <v>20381</v>
      </c>
      <c r="S1670" t="s">
        <v>16</v>
      </c>
      <c r="T1670" t="s">
        <v>29</v>
      </c>
      <c r="U1670" t="s">
        <v>2491</v>
      </c>
      <c r="V1670">
        <v>80000</v>
      </c>
      <c r="W1670">
        <v>2</v>
      </c>
      <c r="X1670" t="s">
        <v>57</v>
      </c>
      <c r="Y1670" t="s">
        <v>53</v>
      </c>
      <c r="Z1670" t="s">
        <v>19</v>
      </c>
      <c r="AA1670" t="s">
        <v>3586</v>
      </c>
      <c r="AB1670" t="s">
        <v>3586</v>
      </c>
      <c r="AC1670" t="s">
        <v>3587</v>
      </c>
      <c r="AD1670" t="s">
        <v>3479</v>
      </c>
      <c r="AE1670" t="s">
        <v>3475</v>
      </c>
      <c r="AF1670" s="2">
        <v>3578.27</v>
      </c>
      <c r="AG1670" s="2">
        <v>2171.2941999999998</v>
      </c>
      <c r="AH1670" s="2">
        <v>1406.9757999999999</v>
      </c>
      <c r="AI1670" s="3">
        <v>0.39320001006072802</v>
      </c>
    </row>
    <row r="1671" spans="1:35">
      <c r="A1671" s="1">
        <v>42125</v>
      </c>
      <c r="B1671" s="1">
        <v>37288</v>
      </c>
      <c r="C1671" t="s">
        <v>4348</v>
      </c>
      <c r="D1671">
        <v>310</v>
      </c>
      <c r="E1671">
        <v>20446</v>
      </c>
      <c r="F1671">
        <v>9</v>
      </c>
      <c r="G1671">
        <v>1</v>
      </c>
      <c r="H1671">
        <v>1</v>
      </c>
      <c r="I1671">
        <v>2</v>
      </c>
      <c r="J1671" t="s">
        <v>3485</v>
      </c>
      <c r="K1671" t="s">
        <v>3486</v>
      </c>
      <c r="L1671" s="2">
        <v>2171.2941999999998</v>
      </c>
      <c r="M1671" s="2">
        <v>3578.27</v>
      </c>
      <c r="N1671" t="s">
        <v>13</v>
      </c>
      <c r="O1671" t="s">
        <v>645</v>
      </c>
      <c r="P1671" t="s">
        <v>59</v>
      </c>
      <c r="Q1671" t="s">
        <v>8000</v>
      </c>
      <c r="R1671" s="1">
        <v>20127</v>
      </c>
      <c r="S1671" t="s">
        <v>16</v>
      </c>
      <c r="T1671" t="s">
        <v>16</v>
      </c>
      <c r="U1671" t="s">
        <v>2492</v>
      </c>
      <c r="V1671">
        <v>80000</v>
      </c>
      <c r="W1671">
        <v>2</v>
      </c>
      <c r="X1671" t="s">
        <v>57</v>
      </c>
      <c r="Y1671" t="s">
        <v>53</v>
      </c>
      <c r="Z1671" t="s">
        <v>19</v>
      </c>
      <c r="AA1671" t="s">
        <v>3586</v>
      </c>
      <c r="AB1671" t="s">
        <v>3586</v>
      </c>
      <c r="AC1671" t="s">
        <v>3587</v>
      </c>
      <c r="AD1671" t="s">
        <v>3479</v>
      </c>
      <c r="AE1671" t="s">
        <v>3475</v>
      </c>
      <c r="AF1671" s="2">
        <v>3578.27</v>
      </c>
      <c r="AG1671" s="2">
        <v>2171.2941999999998</v>
      </c>
      <c r="AH1671" s="2">
        <v>1406.9757999999999</v>
      </c>
      <c r="AI1671" s="3">
        <v>0.39320001006072802</v>
      </c>
    </row>
    <row r="1672" spans="1:35">
      <c r="A1672" s="1">
        <v>42126</v>
      </c>
      <c r="B1672" s="1">
        <v>37351</v>
      </c>
      <c r="C1672" t="s">
        <v>4360</v>
      </c>
      <c r="D1672">
        <v>311</v>
      </c>
      <c r="E1672">
        <v>20447</v>
      </c>
      <c r="F1672">
        <v>9</v>
      </c>
      <c r="G1672">
        <v>1</v>
      </c>
      <c r="H1672">
        <v>1</v>
      </c>
      <c r="I1672">
        <v>2</v>
      </c>
      <c r="J1672" t="s">
        <v>3487</v>
      </c>
      <c r="K1672" t="s">
        <v>3488</v>
      </c>
      <c r="L1672" s="2">
        <v>2171.2941999999998</v>
      </c>
      <c r="M1672" s="2">
        <v>3578.27</v>
      </c>
      <c r="N1672" t="s">
        <v>30</v>
      </c>
      <c r="O1672" t="s">
        <v>1723</v>
      </c>
      <c r="P1672" t="s">
        <v>266</v>
      </c>
      <c r="Q1672" t="s">
        <v>8001</v>
      </c>
      <c r="R1672" s="1">
        <v>20516</v>
      </c>
      <c r="S1672" t="s">
        <v>22</v>
      </c>
      <c r="T1672" t="s">
        <v>29</v>
      </c>
      <c r="U1672" t="s">
        <v>2493</v>
      </c>
      <c r="V1672">
        <v>80000</v>
      </c>
      <c r="W1672">
        <v>2</v>
      </c>
      <c r="X1672" t="s">
        <v>57</v>
      </c>
      <c r="Y1672" t="s">
        <v>53</v>
      </c>
      <c r="Z1672" t="s">
        <v>23</v>
      </c>
      <c r="AA1672" t="s">
        <v>3586</v>
      </c>
      <c r="AB1672" t="s">
        <v>3586</v>
      </c>
      <c r="AC1672" t="s">
        <v>3587</v>
      </c>
      <c r="AD1672" t="s">
        <v>3479</v>
      </c>
      <c r="AE1672" t="s">
        <v>3475</v>
      </c>
      <c r="AF1672" s="2">
        <v>3578.27</v>
      </c>
      <c r="AG1672" s="2">
        <v>2171.2941999999998</v>
      </c>
      <c r="AH1672" s="2">
        <v>1406.9757999999999</v>
      </c>
      <c r="AI1672" s="3">
        <v>0.39320001006072802</v>
      </c>
    </row>
    <row r="1673" spans="1:35">
      <c r="A1673" s="1">
        <v>42146</v>
      </c>
      <c r="B1673" s="1">
        <v>37295</v>
      </c>
      <c r="C1673" t="s">
        <v>4497</v>
      </c>
      <c r="D1673">
        <v>314</v>
      </c>
      <c r="E1673">
        <v>20448</v>
      </c>
      <c r="F1673">
        <v>9</v>
      </c>
      <c r="G1673">
        <v>1</v>
      </c>
      <c r="H1673">
        <v>1</v>
      </c>
      <c r="I1673">
        <v>2</v>
      </c>
      <c r="J1673" t="s">
        <v>3493</v>
      </c>
      <c r="K1673" t="s">
        <v>3494</v>
      </c>
      <c r="L1673" s="2">
        <v>2171.2941999999998</v>
      </c>
      <c r="M1673" s="2">
        <v>3578.27</v>
      </c>
      <c r="N1673" t="s">
        <v>73</v>
      </c>
      <c r="O1673" t="s">
        <v>1340</v>
      </c>
      <c r="P1673" t="s">
        <v>220</v>
      </c>
      <c r="Q1673" t="s">
        <v>8002</v>
      </c>
      <c r="R1673" s="1">
        <v>20507</v>
      </c>
      <c r="S1673" t="s">
        <v>16</v>
      </c>
      <c r="T1673" t="s">
        <v>76</v>
      </c>
      <c r="U1673" t="s">
        <v>2494</v>
      </c>
      <c r="V1673">
        <v>80000</v>
      </c>
      <c r="W1673">
        <v>2</v>
      </c>
      <c r="X1673" t="s">
        <v>57</v>
      </c>
      <c r="Y1673" t="s">
        <v>53</v>
      </c>
      <c r="Z1673" t="s">
        <v>19</v>
      </c>
      <c r="AA1673" t="s">
        <v>3586</v>
      </c>
      <c r="AB1673" t="s">
        <v>3586</v>
      </c>
      <c r="AC1673" t="s">
        <v>3587</v>
      </c>
      <c r="AD1673" t="s">
        <v>3479</v>
      </c>
      <c r="AE1673" t="s">
        <v>3475</v>
      </c>
      <c r="AF1673" s="2">
        <v>3578.27</v>
      </c>
      <c r="AG1673" s="2">
        <v>2171.2941999999998</v>
      </c>
      <c r="AH1673" s="2">
        <v>1406.9757999999999</v>
      </c>
      <c r="AI1673" s="3">
        <v>0.39320001006072802</v>
      </c>
    </row>
    <row r="1674" spans="1:35">
      <c r="A1674" s="1">
        <v>42147</v>
      </c>
      <c r="B1674" s="1">
        <v>37358</v>
      </c>
      <c r="C1674" t="s">
        <v>4504</v>
      </c>
      <c r="D1674">
        <v>313</v>
      </c>
      <c r="E1674">
        <v>20450</v>
      </c>
      <c r="F1674">
        <v>9</v>
      </c>
      <c r="G1674">
        <v>1</v>
      </c>
      <c r="H1674">
        <v>1</v>
      </c>
      <c r="I1674">
        <v>2</v>
      </c>
      <c r="J1674" t="s">
        <v>3491</v>
      </c>
      <c r="K1674" t="s">
        <v>3492</v>
      </c>
      <c r="L1674" s="2">
        <v>2171.2941999999998</v>
      </c>
      <c r="M1674" s="2">
        <v>3578.27</v>
      </c>
      <c r="N1674" t="s">
        <v>13</v>
      </c>
      <c r="O1674" t="s">
        <v>196</v>
      </c>
      <c r="P1674" t="s">
        <v>282</v>
      </c>
      <c r="Q1674" t="s">
        <v>8003</v>
      </c>
      <c r="R1674" s="1">
        <v>20861</v>
      </c>
      <c r="S1674" t="s">
        <v>22</v>
      </c>
      <c r="T1674" t="s">
        <v>16</v>
      </c>
      <c r="U1674" t="s">
        <v>2495</v>
      </c>
      <c r="V1674">
        <v>70000</v>
      </c>
      <c r="W1674">
        <v>2</v>
      </c>
      <c r="X1674" t="s">
        <v>57</v>
      </c>
      <c r="Y1674" t="s">
        <v>18</v>
      </c>
      <c r="Z1674" t="s">
        <v>19</v>
      </c>
      <c r="AA1674" t="s">
        <v>3586</v>
      </c>
      <c r="AB1674" t="s">
        <v>3586</v>
      </c>
      <c r="AC1674" t="s">
        <v>3587</v>
      </c>
      <c r="AD1674" t="s">
        <v>3479</v>
      </c>
      <c r="AE1674" t="s">
        <v>3475</v>
      </c>
      <c r="AF1674" s="2">
        <v>3578.27</v>
      </c>
      <c r="AG1674" s="2">
        <v>2171.2941999999998</v>
      </c>
      <c r="AH1674" s="2">
        <v>1406.9757999999999</v>
      </c>
      <c r="AI1674" s="3">
        <v>0.39320001006072802</v>
      </c>
    </row>
    <row r="1675" spans="1:35">
      <c r="A1675" s="1">
        <v>42144</v>
      </c>
      <c r="B1675" s="1">
        <v>37292</v>
      </c>
      <c r="C1675" t="s">
        <v>4487</v>
      </c>
      <c r="D1675">
        <v>312</v>
      </c>
      <c r="E1675">
        <v>20451</v>
      </c>
      <c r="F1675">
        <v>9</v>
      </c>
      <c r="G1675">
        <v>1</v>
      </c>
      <c r="H1675">
        <v>1</v>
      </c>
      <c r="I1675">
        <v>2</v>
      </c>
      <c r="J1675" t="s">
        <v>3489</v>
      </c>
      <c r="K1675" t="s">
        <v>3490</v>
      </c>
      <c r="L1675" s="2">
        <v>2171.2941999999998</v>
      </c>
      <c r="M1675" s="2">
        <v>3578.27</v>
      </c>
      <c r="N1675" t="s">
        <v>30</v>
      </c>
      <c r="O1675" t="s">
        <v>500</v>
      </c>
      <c r="P1675" t="s">
        <v>195</v>
      </c>
      <c r="Q1675" t="s">
        <v>8004</v>
      </c>
      <c r="R1675" s="1">
        <v>20955</v>
      </c>
      <c r="S1675" t="s">
        <v>22</v>
      </c>
      <c r="T1675" t="s">
        <v>29</v>
      </c>
      <c r="U1675" t="s">
        <v>2496</v>
      </c>
      <c r="V1675">
        <v>70000</v>
      </c>
      <c r="W1675">
        <v>2</v>
      </c>
      <c r="X1675" t="s">
        <v>57</v>
      </c>
      <c r="Y1675" t="s">
        <v>18</v>
      </c>
      <c r="Z1675" t="s">
        <v>19</v>
      </c>
      <c r="AA1675" t="s">
        <v>3586</v>
      </c>
      <c r="AB1675" t="s">
        <v>3586</v>
      </c>
      <c r="AC1675" t="s">
        <v>3587</v>
      </c>
      <c r="AD1675" t="s">
        <v>3479</v>
      </c>
      <c r="AE1675" t="s">
        <v>3475</v>
      </c>
      <c r="AF1675" s="2">
        <v>3578.27</v>
      </c>
      <c r="AG1675" s="2">
        <v>2171.2941999999998</v>
      </c>
      <c r="AH1675" s="2">
        <v>1406.9757999999999</v>
      </c>
      <c r="AI1675" s="3">
        <v>0.39320001006072802</v>
      </c>
    </row>
    <row r="1676" spans="1:35">
      <c r="A1676" s="1">
        <v>42150</v>
      </c>
      <c r="B1676" s="1">
        <v>37350</v>
      </c>
      <c r="C1676" t="s">
        <v>4526</v>
      </c>
      <c r="D1676">
        <v>314</v>
      </c>
      <c r="E1676">
        <v>20452</v>
      </c>
      <c r="F1676">
        <v>9</v>
      </c>
      <c r="G1676">
        <v>1</v>
      </c>
      <c r="H1676">
        <v>1</v>
      </c>
      <c r="I1676">
        <v>2</v>
      </c>
      <c r="J1676" t="s">
        <v>3493</v>
      </c>
      <c r="K1676" t="s">
        <v>3494</v>
      </c>
      <c r="L1676" s="2">
        <v>2171.2941999999998</v>
      </c>
      <c r="M1676" s="2">
        <v>3578.27</v>
      </c>
      <c r="N1676" t="s">
        <v>30</v>
      </c>
      <c r="O1676" t="s">
        <v>500</v>
      </c>
      <c r="P1676" t="s">
        <v>72</v>
      </c>
      <c r="Q1676" t="s">
        <v>8005</v>
      </c>
      <c r="R1676" s="1">
        <v>21104</v>
      </c>
      <c r="S1676" t="s">
        <v>22</v>
      </c>
      <c r="T1676" t="s">
        <v>29</v>
      </c>
      <c r="U1676" t="s">
        <v>2497</v>
      </c>
      <c r="V1676">
        <v>70000</v>
      </c>
      <c r="W1676">
        <v>2</v>
      </c>
      <c r="X1676" t="s">
        <v>57</v>
      </c>
      <c r="Y1676" t="s">
        <v>18</v>
      </c>
      <c r="Z1676" t="s">
        <v>23</v>
      </c>
      <c r="AA1676" t="s">
        <v>3586</v>
      </c>
      <c r="AB1676" t="s">
        <v>3586</v>
      </c>
      <c r="AC1676" t="s">
        <v>3587</v>
      </c>
      <c r="AD1676" t="s">
        <v>3479</v>
      </c>
      <c r="AE1676" t="s">
        <v>3475</v>
      </c>
      <c r="AF1676" s="2">
        <v>3578.27</v>
      </c>
      <c r="AG1676" s="2">
        <v>2171.2941999999998</v>
      </c>
      <c r="AH1676" s="2">
        <v>1406.9757999999999</v>
      </c>
      <c r="AI1676" s="3">
        <v>0.39320001006072802</v>
      </c>
    </row>
    <row r="1677" spans="1:35">
      <c r="A1677" s="1">
        <v>42139</v>
      </c>
      <c r="B1677" s="1">
        <v>37329</v>
      </c>
      <c r="C1677" t="s">
        <v>4444</v>
      </c>
      <c r="D1677">
        <v>314</v>
      </c>
      <c r="E1677">
        <v>20456</v>
      </c>
      <c r="F1677">
        <v>9</v>
      </c>
      <c r="G1677">
        <v>1</v>
      </c>
      <c r="H1677">
        <v>1</v>
      </c>
      <c r="I1677">
        <v>2</v>
      </c>
      <c r="J1677" t="s">
        <v>3493</v>
      </c>
      <c r="K1677" t="s">
        <v>3494</v>
      </c>
      <c r="L1677" s="2">
        <v>2171.2941999999998</v>
      </c>
      <c r="M1677" s="2">
        <v>3578.27</v>
      </c>
      <c r="N1677" t="s">
        <v>13</v>
      </c>
      <c r="O1677" t="s">
        <v>316</v>
      </c>
      <c r="P1677" t="s">
        <v>89</v>
      </c>
      <c r="Q1677" t="s">
        <v>8006</v>
      </c>
      <c r="R1677" s="1">
        <v>21226</v>
      </c>
      <c r="S1677" t="s">
        <v>22</v>
      </c>
      <c r="T1677" t="s">
        <v>16</v>
      </c>
      <c r="U1677" t="s">
        <v>2498</v>
      </c>
      <c r="V1677">
        <v>130000</v>
      </c>
      <c r="W1677">
        <v>0</v>
      </c>
      <c r="X1677" t="s">
        <v>135</v>
      </c>
      <c r="Y1677" t="s">
        <v>45</v>
      </c>
      <c r="Z1677" t="s">
        <v>19</v>
      </c>
      <c r="AA1677" t="s">
        <v>3586</v>
      </c>
      <c r="AB1677" t="s">
        <v>3586</v>
      </c>
      <c r="AC1677" t="s">
        <v>3587</v>
      </c>
      <c r="AD1677" t="s">
        <v>3479</v>
      </c>
      <c r="AE1677" t="s">
        <v>3475</v>
      </c>
      <c r="AF1677" s="2">
        <v>3578.27</v>
      </c>
      <c r="AG1677" s="2">
        <v>2171.2941999999998</v>
      </c>
      <c r="AH1677" s="2">
        <v>1406.9757999999999</v>
      </c>
      <c r="AI1677" s="3">
        <v>0.39320001006072802</v>
      </c>
    </row>
    <row r="1678" spans="1:35">
      <c r="A1678" s="1">
        <v>42301</v>
      </c>
      <c r="B1678" s="1">
        <v>37446</v>
      </c>
      <c r="C1678" t="s">
        <v>5657</v>
      </c>
      <c r="D1678">
        <v>362</v>
      </c>
      <c r="E1678">
        <v>20468</v>
      </c>
      <c r="F1678">
        <v>6</v>
      </c>
      <c r="G1678">
        <v>1</v>
      </c>
      <c r="H1678">
        <v>1</v>
      </c>
      <c r="I1678">
        <v>1</v>
      </c>
      <c r="J1678" t="s">
        <v>3545</v>
      </c>
      <c r="K1678" t="s">
        <v>3546</v>
      </c>
      <c r="L1678" s="2">
        <v>1105.81</v>
      </c>
      <c r="M1678" s="2">
        <v>2049.0981999999999</v>
      </c>
      <c r="N1678" t="s">
        <v>30</v>
      </c>
      <c r="O1678" t="s">
        <v>333</v>
      </c>
      <c r="P1678" t="s">
        <v>245</v>
      </c>
      <c r="Q1678" t="s">
        <v>8007</v>
      </c>
      <c r="R1678" s="1">
        <v>20611</v>
      </c>
      <c r="S1678" t="s">
        <v>16</v>
      </c>
      <c r="T1678" t="s">
        <v>29</v>
      </c>
      <c r="U1678" t="s">
        <v>2499</v>
      </c>
      <c r="V1678">
        <v>60000</v>
      </c>
      <c r="W1678">
        <v>2</v>
      </c>
      <c r="X1678" t="s">
        <v>57</v>
      </c>
      <c r="Y1678" t="s">
        <v>18</v>
      </c>
      <c r="Z1678" t="s">
        <v>23</v>
      </c>
      <c r="AA1678" t="s">
        <v>3582</v>
      </c>
      <c r="AB1678" t="s">
        <v>3582</v>
      </c>
      <c r="AC1678" t="s">
        <v>3579</v>
      </c>
      <c r="AD1678" t="s">
        <v>3478</v>
      </c>
      <c r="AE1678" t="s">
        <v>3475</v>
      </c>
      <c r="AF1678" s="2">
        <v>2049.0981999999999</v>
      </c>
      <c r="AG1678" s="2">
        <v>1105.81</v>
      </c>
      <c r="AH1678" s="2">
        <v>943.28819999999996</v>
      </c>
      <c r="AI1678" s="3">
        <v>0.46034309141455498</v>
      </c>
    </row>
    <row r="1679" spans="1:35">
      <c r="A1679" s="1">
        <v>42296</v>
      </c>
      <c r="B1679" s="1">
        <v>37498</v>
      </c>
      <c r="C1679" t="s">
        <v>5616</v>
      </c>
      <c r="D1679">
        <v>356</v>
      </c>
      <c r="E1679">
        <v>20470</v>
      </c>
      <c r="F1679">
        <v>6</v>
      </c>
      <c r="G1679">
        <v>1</v>
      </c>
      <c r="H1679">
        <v>1</v>
      </c>
      <c r="I1679">
        <v>1</v>
      </c>
      <c r="J1679" t="s">
        <v>3539</v>
      </c>
      <c r="K1679" t="s">
        <v>3540</v>
      </c>
      <c r="L1679" s="2">
        <v>1117.8559</v>
      </c>
      <c r="M1679" s="2">
        <v>2071.4196000000002</v>
      </c>
      <c r="N1679" t="s">
        <v>30</v>
      </c>
      <c r="O1679" t="s">
        <v>244</v>
      </c>
      <c r="P1679" t="s">
        <v>422</v>
      </c>
      <c r="Q1679" t="s">
        <v>8008</v>
      </c>
      <c r="R1679" s="1">
        <v>20693</v>
      </c>
      <c r="S1679" t="s">
        <v>22</v>
      </c>
      <c r="T1679" t="s">
        <v>29</v>
      </c>
      <c r="U1679" t="s">
        <v>2500</v>
      </c>
      <c r="V1679">
        <v>70000</v>
      </c>
      <c r="W1679">
        <v>3</v>
      </c>
      <c r="X1679" t="s">
        <v>52</v>
      </c>
      <c r="Y1679" t="s">
        <v>18</v>
      </c>
      <c r="Z1679" t="s">
        <v>19</v>
      </c>
      <c r="AA1679" t="s">
        <v>3582</v>
      </c>
      <c r="AB1679" t="s">
        <v>3582</v>
      </c>
      <c r="AC1679" t="s">
        <v>3579</v>
      </c>
      <c r="AD1679" t="s">
        <v>3478</v>
      </c>
      <c r="AE1679" t="s">
        <v>3475</v>
      </c>
      <c r="AF1679" s="2">
        <v>2071.4196000000002</v>
      </c>
      <c r="AG1679" s="2">
        <v>1117.8559</v>
      </c>
      <c r="AH1679" s="2">
        <v>953.56370000000004</v>
      </c>
      <c r="AI1679" s="3">
        <v>0.460343090313522</v>
      </c>
    </row>
    <row r="1680" spans="1:35">
      <c r="A1680" s="1">
        <v>42316</v>
      </c>
      <c r="B1680" s="1">
        <v>37467</v>
      </c>
      <c r="C1680" t="s">
        <v>5744</v>
      </c>
      <c r="D1680">
        <v>360</v>
      </c>
      <c r="E1680">
        <v>20483</v>
      </c>
      <c r="F1680">
        <v>6</v>
      </c>
      <c r="G1680">
        <v>1</v>
      </c>
      <c r="H1680">
        <v>1</v>
      </c>
      <c r="I1680">
        <v>1</v>
      </c>
      <c r="J1680" t="s">
        <v>3543</v>
      </c>
      <c r="K1680" t="s">
        <v>3544</v>
      </c>
      <c r="L1680" s="2">
        <v>1105.81</v>
      </c>
      <c r="M1680" s="2">
        <v>2049.0981999999999</v>
      </c>
      <c r="N1680" t="s">
        <v>13</v>
      </c>
      <c r="O1680" t="s">
        <v>601</v>
      </c>
      <c r="P1680" t="s">
        <v>194</v>
      </c>
      <c r="Q1680" t="s">
        <v>8009</v>
      </c>
      <c r="R1680" s="1">
        <v>22715</v>
      </c>
      <c r="S1680" t="s">
        <v>16</v>
      </c>
      <c r="T1680" t="s">
        <v>16</v>
      </c>
      <c r="U1680" t="s">
        <v>2501</v>
      </c>
      <c r="V1680">
        <v>70000</v>
      </c>
      <c r="W1680">
        <v>1</v>
      </c>
      <c r="X1680" t="s">
        <v>52</v>
      </c>
      <c r="Y1680" t="s">
        <v>53</v>
      </c>
      <c r="Z1680" t="s">
        <v>19</v>
      </c>
      <c r="AA1680" t="s">
        <v>3582</v>
      </c>
      <c r="AB1680" t="s">
        <v>3582</v>
      </c>
      <c r="AC1680" t="s">
        <v>3579</v>
      </c>
      <c r="AD1680" t="s">
        <v>3478</v>
      </c>
      <c r="AE1680" t="s">
        <v>3475</v>
      </c>
      <c r="AF1680" s="2">
        <v>2049.0981999999999</v>
      </c>
      <c r="AG1680" s="2">
        <v>1105.81</v>
      </c>
      <c r="AH1680" s="2">
        <v>943.28819999999996</v>
      </c>
      <c r="AI1680" s="3">
        <v>0.46034309141455498</v>
      </c>
    </row>
    <row r="1681" spans="1:35">
      <c r="A1681" s="1">
        <v>42311</v>
      </c>
      <c r="B1681" s="1">
        <v>37491</v>
      </c>
      <c r="C1681" t="s">
        <v>5721</v>
      </c>
      <c r="D1681">
        <v>360</v>
      </c>
      <c r="E1681">
        <v>20546</v>
      </c>
      <c r="F1681">
        <v>6</v>
      </c>
      <c r="G1681">
        <v>1</v>
      </c>
      <c r="H1681">
        <v>1</v>
      </c>
      <c r="I1681">
        <v>1</v>
      </c>
      <c r="J1681" t="s">
        <v>3543</v>
      </c>
      <c r="K1681" t="s">
        <v>3544</v>
      </c>
      <c r="L1681" s="2">
        <v>1105.81</v>
      </c>
      <c r="M1681" s="2">
        <v>2049.0981999999999</v>
      </c>
      <c r="N1681" t="s">
        <v>30</v>
      </c>
      <c r="O1681" t="s">
        <v>1044</v>
      </c>
      <c r="P1681" t="s">
        <v>209</v>
      </c>
      <c r="Q1681" t="s">
        <v>8010</v>
      </c>
      <c r="R1681" s="1">
        <v>19293</v>
      </c>
      <c r="S1681" t="s">
        <v>16</v>
      </c>
      <c r="T1681" t="s">
        <v>29</v>
      </c>
      <c r="U1681" t="s">
        <v>2502</v>
      </c>
      <c r="V1681">
        <v>60000</v>
      </c>
      <c r="W1681">
        <v>2</v>
      </c>
      <c r="X1681" t="s">
        <v>57</v>
      </c>
      <c r="Y1681" t="s">
        <v>18</v>
      </c>
      <c r="Z1681" t="s">
        <v>23</v>
      </c>
      <c r="AA1681" t="s">
        <v>3582</v>
      </c>
      <c r="AB1681" t="s">
        <v>3582</v>
      </c>
      <c r="AC1681" t="s">
        <v>3579</v>
      </c>
      <c r="AD1681" t="s">
        <v>3478</v>
      </c>
      <c r="AE1681" t="s">
        <v>3475</v>
      </c>
      <c r="AF1681" s="2">
        <v>2049.0981999999999</v>
      </c>
      <c r="AG1681" s="2">
        <v>1105.81</v>
      </c>
      <c r="AH1681" s="2">
        <v>943.28819999999996</v>
      </c>
      <c r="AI1681" s="3">
        <v>0.46034309141455498</v>
      </c>
    </row>
    <row r="1682" spans="1:35">
      <c r="A1682" s="1">
        <v>42282</v>
      </c>
      <c r="B1682" s="1">
        <v>37443</v>
      </c>
      <c r="C1682" t="s">
        <v>5515</v>
      </c>
      <c r="D1682">
        <v>324</v>
      </c>
      <c r="E1682">
        <v>20548</v>
      </c>
      <c r="F1682">
        <v>8</v>
      </c>
      <c r="G1682">
        <v>1</v>
      </c>
      <c r="H1682">
        <v>1</v>
      </c>
      <c r="I1682">
        <v>2</v>
      </c>
      <c r="J1682" t="s">
        <v>3499</v>
      </c>
      <c r="K1682" t="s">
        <v>3500</v>
      </c>
      <c r="L1682" s="2">
        <v>413.1463</v>
      </c>
      <c r="M1682" s="2">
        <v>699.09820000000002</v>
      </c>
      <c r="N1682" t="s">
        <v>13</v>
      </c>
      <c r="O1682" t="s">
        <v>1182</v>
      </c>
      <c r="P1682" t="s">
        <v>293</v>
      </c>
      <c r="Q1682" t="s">
        <v>8011</v>
      </c>
      <c r="R1682" s="1">
        <v>21126</v>
      </c>
      <c r="S1682" t="s">
        <v>16</v>
      </c>
      <c r="T1682" t="s">
        <v>16</v>
      </c>
      <c r="U1682" t="s">
        <v>2503</v>
      </c>
      <c r="V1682">
        <v>120000</v>
      </c>
      <c r="W1682">
        <v>2</v>
      </c>
      <c r="X1682" t="s">
        <v>57</v>
      </c>
      <c r="Y1682" t="s">
        <v>18</v>
      </c>
      <c r="Z1682" t="s">
        <v>19</v>
      </c>
      <c r="AA1682" t="s">
        <v>3585</v>
      </c>
      <c r="AB1682" t="s">
        <v>3585</v>
      </c>
      <c r="AC1682" t="s">
        <v>3584</v>
      </c>
      <c r="AD1682" t="s">
        <v>3479</v>
      </c>
      <c r="AE1682" t="s">
        <v>3475</v>
      </c>
      <c r="AF1682" s="2">
        <v>699.09820000000002</v>
      </c>
      <c r="AG1682" s="2">
        <v>413.1463</v>
      </c>
      <c r="AH1682" s="2">
        <v>285.95190000000002</v>
      </c>
      <c r="AI1682" s="3">
        <v>0.409029661355157</v>
      </c>
    </row>
    <row r="1683" spans="1:35">
      <c r="A1683" s="1">
        <v>42306</v>
      </c>
      <c r="B1683" s="1">
        <v>37440</v>
      </c>
      <c r="C1683" t="s">
        <v>5687</v>
      </c>
      <c r="D1683">
        <v>320</v>
      </c>
      <c r="E1683">
        <v>20549</v>
      </c>
      <c r="F1683">
        <v>8</v>
      </c>
      <c r="G1683">
        <v>1</v>
      </c>
      <c r="H1683">
        <v>1</v>
      </c>
      <c r="I1683">
        <v>2</v>
      </c>
      <c r="J1683" t="s">
        <v>3495</v>
      </c>
      <c r="K1683" t="s">
        <v>3496</v>
      </c>
      <c r="L1683" s="2">
        <v>413.1463</v>
      </c>
      <c r="M1683" s="2">
        <v>699.09820000000002</v>
      </c>
      <c r="N1683" t="s">
        <v>30</v>
      </c>
      <c r="O1683" t="s">
        <v>98</v>
      </c>
      <c r="P1683" t="s">
        <v>311</v>
      </c>
      <c r="Q1683" t="s">
        <v>8012</v>
      </c>
      <c r="R1683" s="1">
        <v>20949</v>
      </c>
      <c r="S1683" t="s">
        <v>16</v>
      </c>
      <c r="T1683" t="s">
        <v>29</v>
      </c>
      <c r="U1683" t="s">
        <v>2504</v>
      </c>
      <c r="V1683">
        <v>130000</v>
      </c>
      <c r="W1683">
        <v>2</v>
      </c>
      <c r="X1683" t="s">
        <v>52</v>
      </c>
      <c r="Y1683" t="s">
        <v>18</v>
      </c>
      <c r="Z1683" t="s">
        <v>19</v>
      </c>
      <c r="AA1683" t="s">
        <v>3585</v>
      </c>
      <c r="AB1683" t="s">
        <v>3585</v>
      </c>
      <c r="AC1683" t="s">
        <v>3584</v>
      </c>
      <c r="AD1683" t="s">
        <v>3479</v>
      </c>
      <c r="AE1683" t="s">
        <v>3475</v>
      </c>
      <c r="AF1683" s="2">
        <v>699.09820000000002</v>
      </c>
      <c r="AG1683" s="2">
        <v>413.1463</v>
      </c>
      <c r="AH1683" s="2">
        <v>285.95190000000002</v>
      </c>
      <c r="AI1683" s="3">
        <v>0.409029661355157</v>
      </c>
    </row>
    <row r="1684" spans="1:35">
      <c r="A1684" s="1">
        <v>42289</v>
      </c>
      <c r="B1684" s="1">
        <v>37473</v>
      </c>
      <c r="C1684" t="s">
        <v>5558</v>
      </c>
      <c r="D1684">
        <v>328</v>
      </c>
      <c r="E1684">
        <v>20555</v>
      </c>
      <c r="F1684">
        <v>8</v>
      </c>
      <c r="G1684">
        <v>1</v>
      </c>
      <c r="H1684">
        <v>1</v>
      </c>
      <c r="I1684">
        <v>2</v>
      </c>
      <c r="J1684" t="s">
        <v>3503</v>
      </c>
      <c r="K1684" t="s">
        <v>3504</v>
      </c>
      <c r="L1684" s="2">
        <v>413.1463</v>
      </c>
      <c r="M1684" s="2">
        <v>699.09820000000002</v>
      </c>
      <c r="N1684" t="s">
        <v>13</v>
      </c>
      <c r="O1684" t="s">
        <v>893</v>
      </c>
      <c r="P1684" t="s">
        <v>131</v>
      </c>
      <c r="Q1684" t="s">
        <v>8013</v>
      </c>
      <c r="R1684" s="1">
        <v>20710</v>
      </c>
      <c r="S1684" t="s">
        <v>16</v>
      </c>
      <c r="T1684" t="s">
        <v>16</v>
      </c>
      <c r="U1684" t="s">
        <v>2505</v>
      </c>
      <c r="V1684">
        <v>120000</v>
      </c>
      <c r="W1684">
        <v>3</v>
      </c>
      <c r="X1684" t="s">
        <v>57</v>
      </c>
      <c r="Y1684" t="s">
        <v>18</v>
      </c>
      <c r="Z1684" t="s">
        <v>23</v>
      </c>
      <c r="AA1684" t="s">
        <v>3585</v>
      </c>
      <c r="AB1684" t="s">
        <v>3585</v>
      </c>
      <c r="AC1684" t="s">
        <v>3584</v>
      </c>
      <c r="AD1684" t="s">
        <v>3479</v>
      </c>
      <c r="AE1684" t="s">
        <v>3475</v>
      </c>
      <c r="AF1684" s="2">
        <v>699.09820000000002</v>
      </c>
      <c r="AG1684" s="2">
        <v>413.1463</v>
      </c>
      <c r="AH1684" s="2">
        <v>285.95190000000002</v>
      </c>
      <c r="AI1684" s="3">
        <v>0.409029661355157</v>
      </c>
    </row>
    <row r="1685" spans="1:35">
      <c r="A1685" s="1">
        <v>42302</v>
      </c>
      <c r="B1685" s="1">
        <v>37439</v>
      </c>
      <c r="C1685" t="s">
        <v>5662</v>
      </c>
      <c r="D1685">
        <v>334</v>
      </c>
      <c r="E1685">
        <v>20556</v>
      </c>
      <c r="F1685">
        <v>8</v>
      </c>
      <c r="G1685">
        <v>1</v>
      </c>
      <c r="H1685">
        <v>1</v>
      </c>
      <c r="I1685">
        <v>2</v>
      </c>
      <c r="J1685" t="s">
        <v>3509</v>
      </c>
      <c r="K1685" t="s">
        <v>3510</v>
      </c>
      <c r="L1685" s="2">
        <v>413.1463</v>
      </c>
      <c r="M1685" s="2">
        <v>699.09820000000002</v>
      </c>
      <c r="N1685" t="s">
        <v>13</v>
      </c>
      <c r="O1685" t="s">
        <v>1097</v>
      </c>
      <c r="P1685" t="s">
        <v>470</v>
      </c>
      <c r="Q1685" t="s">
        <v>8014</v>
      </c>
      <c r="R1685" s="1">
        <v>20791</v>
      </c>
      <c r="S1685" t="s">
        <v>16</v>
      </c>
      <c r="T1685" t="s">
        <v>16</v>
      </c>
      <c r="U1685" t="s">
        <v>2506</v>
      </c>
      <c r="V1685">
        <v>120000</v>
      </c>
      <c r="W1685">
        <v>3</v>
      </c>
      <c r="X1685" t="s">
        <v>57</v>
      </c>
      <c r="Y1685" t="s">
        <v>18</v>
      </c>
      <c r="Z1685" t="s">
        <v>19</v>
      </c>
      <c r="AA1685" t="s">
        <v>3585</v>
      </c>
      <c r="AB1685" t="s">
        <v>3585</v>
      </c>
      <c r="AC1685" t="s">
        <v>3584</v>
      </c>
      <c r="AD1685" t="s">
        <v>3479</v>
      </c>
      <c r="AE1685" t="s">
        <v>3475</v>
      </c>
      <c r="AF1685" s="2">
        <v>699.09820000000002</v>
      </c>
      <c r="AG1685" s="2">
        <v>413.1463</v>
      </c>
      <c r="AH1685" s="2">
        <v>285.95190000000002</v>
      </c>
      <c r="AI1685" s="3">
        <v>0.409029661355157</v>
      </c>
    </row>
    <row r="1686" spans="1:35">
      <c r="A1686" s="1">
        <v>42011</v>
      </c>
      <c r="B1686" s="1">
        <v>37151</v>
      </c>
      <c r="C1686" t="s">
        <v>3625</v>
      </c>
      <c r="D1686">
        <v>324</v>
      </c>
      <c r="E1686">
        <v>20558</v>
      </c>
      <c r="F1686">
        <v>10</v>
      </c>
      <c r="G1686">
        <v>1</v>
      </c>
      <c r="H1686">
        <v>1</v>
      </c>
      <c r="I1686">
        <v>2</v>
      </c>
      <c r="J1686" t="s">
        <v>3499</v>
      </c>
      <c r="K1686" t="s">
        <v>3500</v>
      </c>
      <c r="L1686" s="2">
        <v>413.1463</v>
      </c>
      <c r="M1686" s="2">
        <v>699.09820000000002</v>
      </c>
      <c r="N1686" t="s">
        <v>30</v>
      </c>
      <c r="O1686" t="s">
        <v>251</v>
      </c>
      <c r="P1686" t="s">
        <v>345</v>
      </c>
      <c r="Q1686" t="s">
        <v>8015</v>
      </c>
      <c r="R1686" s="1">
        <v>20609</v>
      </c>
      <c r="S1686" t="s">
        <v>16</v>
      </c>
      <c r="T1686" t="s">
        <v>29</v>
      </c>
      <c r="U1686" t="s">
        <v>2507</v>
      </c>
      <c r="V1686">
        <v>170000</v>
      </c>
      <c r="W1686">
        <v>3</v>
      </c>
      <c r="X1686" t="s">
        <v>52</v>
      </c>
      <c r="Y1686" t="s">
        <v>18</v>
      </c>
      <c r="Z1686" t="s">
        <v>19</v>
      </c>
      <c r="AA1686" t="s">
        <v>3588</v>
      </c>
      <c r="AB1686" t="s">
        <v>3588</v>
      </c>
      <c r="AC1686" t="s">
        <v>3584</v>
      </c>
      <c r="AD1686" t="s">
        <v>3479</v>
      </c>
      <c r="AE1686" t="s">
        <v>3475</v>
      </c>
      <c r="AF1686" s="2">
        <v>699.09820000000002</v>
      </c>
      <c r="AG1686" s="2">
        <v>413.1463</v>
      </c>
      <c r="AH1686" s="2">
        <v>285.95190000000002</v>
      </c>
      <c r="AI1686" s="3">
        <v>0.409029661355157</v>
      </c>
    </row>
    <row r="1687" spans="1:35">
      <c r="A1687" s="1">
        <v>42291</v>
      </c>
      <c r="B1687" s="1">
        <v>37464</v>
      </c>
      <c r="C1687" t="s">
        <v>5579</v>
      </c>
      <c r="D1687">
        <v>320</v>
      </c>
      <c r="E1687">
        <v>20560</v>
      </c>
      <c r="F1687">
        <v>8</v>
      </c>
      <c r="G1687">
        <v>1</v>
      </c>
      <c r="H1687">
        <v>1</v>
      </c>
      <c r="I1687">
        <v>2</v>
      </c>
      <c r="J1687" t="s">
        <v>3495</v>
      </c>
      <c r="K1687" t="s">
        <v>3496</v>
      </c>
      <c r="L1687" s="2">
        <v>413.1463</v>
      </c>
      <c r="M1687" s="2">
        <v>699.09820000000002</v>
      </c>
      <c r="N1687" t="s">
        <v>30</v>
      </c>
      <c r="O1687" t="s">
        <v>456</v>
      </c>
      <c r="P1687" t="s">
        <v>155</v>
      </c>
      <c r="Q1687" t="s">
        <v>8016</v>
      </c>
      <c r="R1687" s="1">
        <v>20432</v>
      </c>
      <c r="S1687" t="s">
        <v>16</v>
      </c>
      <c r="T1687" t="s">
        <v>29</v>
      </c>
      <c r="U1687" t="s">
        <v>2508</v>
      </c>
      <c r="V1687">
        <v>110000</v>
      </c>
      <c r="W1687">
        <v>3</v>
      </c>
      <c r="X1687" t="s">
        <v>52</v>
      </c>
      <c r="Y1687" t="s">
        <v>18</v>
      </c>
      <c r="Z1687" t="s">
        <v>19</v>
      </c>
      <c r="AA1687" t="s">
        <v>3585</v>
      </c>
      <c r="AB1687" t="s">
        <v>3585</v>
      </c>
      <c r="AC1687" t="s">
        <v>3584</v>
      </c>
      <c r="AD1687" t="s">
        <v>3479</v>
      </c>
      <c r="AE1687" t="s">
        <v>3475</v>
      </c>
      <c r="AF1687" s="2">
        <v>699.09820000000002</v>
      </c>
      <c r="AG1687" s="2">
        <v>413.1463</v>
      </c>
      <c r="AH1687" s="2">
        <v>285.95190000000002</v>
      </c>
      <c r="AI1687" s="3">
        <v>0.409029661355157</v>
      </c>
    </row>
    <row r="1688" spans="1:35">
      <c r="A1688" s="1">
        <v>42039</v>
      </c>
      <c r="B1688" s="1">
        <v>37174</v>
      </c>
      <c r="C1688" t="s">
        <v>3802</v>
      </c>
      <c r="D1688">
        <v>328</v>
      </c>
      <c r="E1688">
        <v>20561</v>
      </c>
      <c r="F1688">
        <v>10</v>
      </c>
      <c r="G1688">
        <v>1</v>
      </c>
      <c r="H1688">
        <v>1</v>
      </c>
      <c r="I1688">
        <v>2</v>
      </c>
      <c r="J1688" t="s">
        <v>3503</v>
      </c>
      <c r="K1688" t="s">
        <v>3504</v>
      </c>
      <c r="L1688" s="2">
        <v>413.1463</v>
      </c>
      <c r="M1688" s="2">
        <v>699.09820000000002</v>
      </c>
      <c r="N1688" t="s">
        <v>13</v>
      </c>
      <c r="O1688" t="s">
        <v>154</v>
      </c>
      <c r="P1688" t="s">
        <v>210</v>
      </c>
      <c r="Q1688" t="s">
        <v>8017</v>
      </c>
      <c r="R1688" s="1">
        <v>20232</v>
      </c>
      <c r="S1688" t="s">
        <v>22</v>
      </c>
      <c r="T1688" t="s">
        <v>16</v>
      </c>
      <c r="U1688" t="s">
        <v>2509</v>
      </c>
      <c r="V1688">
        <v>130000</v>
      </c>
      <c r="W1688">
        <v>3</v>
      </c>
      <c r="X1688" t="s">
        <v>52</v>
      </c>
      <c r="Y1688" t="s">
        <v>18</v>
      </c>
      <c r="Z1688" t="s">
        <v>23</v>
      </c>
      <c r="AA1688" t="s">
        <v>3588</v>
      </c>
      <c r="AB1688" t="s">
        <v>3588</v>
      </c>
      <c r="AC1688" t="s">
        <v>3584</v>
      </c>
      <c r="AD1688" t="s">
        <v>3479</v>
      </c>
      <c r="AE1688" t="s">
        <v>3475</v>
      </c>
      <c r="AF1688" s="2">
        <v>699.09820000000002</v>
      </c>
      <c r="AG1688" s="2">
        <v>413.1463</v>
      </c>
      <c r="AH1688" s="2">
        <v>285.95190000000002</v>
      </c>
      <c r="AI1688" s="3">
        <v>0.409029661355157</v>
      </c>
    </row>
    <row r="1689" spans="1:35">
      <c r="A1689" s="1">
        <v>42049</v>
      </c>
      <c r="B1689" s="1">
        <v>37253</v>
      </c>
      <c r="C1689" t="s">
        <v>3863</v>
      </c>
      <c r="D1689">
        <v>336</v>
      </c>
      <c r="E1689">
        <v>20562</v>
      </c>
      <c r="F1689">
        <v>10</v>
      </c>
      <c r="G1689">
        <v>1</v>
      </c>
      <c r="H1689">
        <v>1</v>
      </c>
      <c r="I1689">
        <v>2</v>
      </c>
      <c r="J1689" t="s">
        <v>3511</v>
      </c>
      <c r="K1689" t="s">
        <v>3512</v>
      </c>
      <c r="L1689" s="2">
        <v>413.1463</v>
      </c>
      <c r="M1689" s="2">
        <v>699.09820000000002</v>
      </c>
      <c r="N1689" t="s">
        <v>30</v>
      </c>
      <c r="O1689" t="s">
        <v>2510</v>
      </c>
      <c r="P1689" t="s">
        <v>2511</v>
      </c>
      <c r="Q1689" t="s">
        <v>8018</v>
      </c>
      <c r="R1689" s="1">
        <v>20345</v>
      </c>
      <c r="S1689" t="s">
        <v>16</v>
      </c>
      <c r="T1689" t="s">
        <v>29</v>
      </c>
      <c r="U1689" t="s">
        <v>2512</v>
      </c>
      <c r="V1689">
        <v>130000</v>
      </c>
      <c r="W1689">
        <v>3</v>
      </c>
      <c r="X1689" t="s">
        <v>52</v>
      </c>
      <c r="Y1689" t="s">
        <v>18</v>
      </c>
      <c r="Z1689" t="s">
        <v>19</v>
      </c>
      <c r="AA1689" t="s">
        <v>3588</v>
      </c>
      <c r="AB1689" t="s">
        <v>3588</v>
      </c>
      <c r="AC1689" t="s">
        <v>3584</v>
      </c>
      <c r="AD1689" t="s">
        <v>3479</v>
      </c>
      <c r="AE1689" t="s">
        <v>3475</v>
      </c>
      <c r="AF1689" s="2">
        <v>699.09820000000002</v>
      </c>
      <c r="AG1689" s="2">
        <v>413.1463</v>
      </c>
      <c r="AH1689" s="2">
        <v>285.95190000000002</v>
      </c>
      <c r="AI1689" s="3">
        <v>0.409029661355157</v>
      </c>
    </row>
    <row r="1690" spans="1:35">
      <c r="A1690" s="1">
        <v>42066</v>
      </c>
      <c r="B1690" s="1">
        <v>37283</v>
      </c>
      <c r="C1690" t="s">
        <v>3960</v>
      </c>
      <c r="D1690">
        <v>332</v>
      </c>
      <c r="E1690">
        <v>20564</v>
      </c>
      <c r="F1690">
        <v>10</v>
      </c>
      <c r="G1690">
        <v>1</v>
      </c>
      <c r="H1690">
        <v>1</v>
      </c>
      <c r="I1690">
        <v>2</v>
      </c>
      <c r="J1690" t="s">
        <v>3507</v>
      </c>
      <c r="K1690" t="s">
        <v>3508</v>
      </c>
      <c r="L1690" s="2">
        <v>413.1463</v>
      </c>
      <c r="M1690" s="2">
        <v>699.09820000000002</v>
      </c>
      <c r="N1690" t="s">
        <v>13</v>
      </c>
      <c r="O1690" t="s">
        <v>80</v>
      </c>
      <c r="P1690" t="s">
        <v>140</v>
      </c>
      <c r="Q1690" t="s">
        <v>8019</v>
      </c>
      <c r="R1690" s="1">
        <v>16373</v>
      </c>
      <c r="S1690" t="s">
        <v>22</v>
      </c>
      <c r="T1690" t="s">
        <v>16</v>
      </c>
      <c r="U1690" t="s">
        <v>2513</v>
      </c>
      <c r="V1690">
        <v>130000</v>
      </c>
      <c r="W1690">
        <v>3</v>
      </c>
      <c r="X1690" t="s">
        <v>17</v>
      </c>
      <c r="Y1690" t="s">
        <v>45</v>
      </c>
      <c r="Z1690" t="s">
        <v>23</v>
      </c>
      <c r="AA1690" t="s">
        <v>3588</v>
      </c>
      <c r="AB1690" t="s">
        <v>3588</v>
      </c>
      <c r="AC1690" t="s">
        <v>3584</v>
      </c>
      <c r="AD1690" t="s">
        <v>3479</v>
      </c>
      <c r="AE1690" t="s">
        <v>3475</v>
      </c>
      <c r="AF1690" s="2">
        <v>699.09820000000002</v>
      </c>
      <c r="AG1690" s="2">
        <v>413.1463</v>
      </c>
      <c r="AH1690" s="2">
        <v>285.95190000000002</v>
      </c>
      <c r="AI1690" s="3">
        <v>0.409029661355157</v>
      </c>
    </row>
    <row r="1691" spans="1:35">
      <c r="A1691" s="1">
        <v>42130</v>
      </c>
      <c r="B1691" s="1">
        <v>37342</v>
      </c>
      <c r="C1691" t="s">
        <v>4385</v>
      </c>
      <c r="D1691">
        <v>336</v>
      </c>
      <c r="E1691">
        <v>20569</v>
      </c>
      <c r="F1691">
        <v>10</v>
      </c>
      <c r="G1691">
        <v>1</v>
      </c>
      <c r="H1691">
        <v>1</v>
      </c>
      <c r="I1691">
        <v>2</v>
      </c>
      <c r="J1691" t="s">
        <v>3511</v>
      </c>
      <c r="K1691" t="s">
        <v>3512</v>
      </c>
      <c r="L1691" s="2">
        <v>413.1463</v>
      </c>
      <c r="M1691" s="2">
        <v>699.09820000000002</v>
      </c>
      <c r="N1691" t="s">
        <v>30</v>
      </c>
      <c r="O1691" t="s">
        <v>689</v>
      </c>
      <c r="P1691" t="s">
        <v>363</v>
      </c>
      <c r="Q1691" t="s">
        <v>8020</v>
      </c>
      <c r="R1691" s="1">
        <v>17125</v>
      </c>
      <c r="S1691" t="s">
        <v>16</v>
      </c>
      <c r="T1691" t="s">
        <v>29</v>
      </c>
      <c r="U1691" t="s">
        <v>2514</v>
      </c>
      <c r="V1691">
        <v>130000</v>
      </c>
      <c r="W1691">
        <v>4</v>
      </c>
      <c r="X1691" t="s">
        <v>52</v>
      </c>
      <c r="Y1691" t="s">
        <v>18</v>
      </c>
      <c r="Z1691" t="s">
        <v>19</v>
      </c>
      <c r="AA1691" t="s">
        <v>3588</v>
      </c>
      <c r="AB1691" t="s">
        <v>3588</v>
      </c>
      <c r="AC1691" t="s">
        <v>3584</v>
      </c>
      <c r="AD1691" t="s">
        <v>3479</v>
      </c>
      <c r="AE1691" t="s">
        <v>3475</v>
      </c>
      <c r="AF1691" s="2">
        <v>699.09820000000002</v>
      </c>
      <c r="AG1691" s="2">
        <v>413.1463</v>
      </c>
      <c r="AH1691" s="2">
        <v>285.95190000000002</v>
      </c>
      <c r="AI1691" s="3">
        <v>0.409029661355157</v>
      </c>
    </row>
    <row r="1692" spans="1:35">
      <c r="A1692" s="1">
        <v>42168</v>
      </c>
      <c r="B1692" s="1">
        <v>37326</v>
      </c>
      <c r="C1692" t="s">
        <v>4637</v>
      </c>
      <c r="D1692">
        <v>322</v>
      </c>
      <c r="E1692">
        <v>20575</v>
      </c>
      <c r="F1692">
        <v>10</v>
      </c>
      <c r="G1692">
        <v>1</v>
      </c>
      <c r="H1692">
        <v>1</v>
      </c>
      <c r="I1692">
        <v>2</v>
      </c>
      <c r="J1692" t="s">
        <v>3497</v>
      </c>
      <c r="K1692" t="s">
        <v>3498</v>
      </c>
      <c r="L1692" s="2">
        <v>413.1463</v>
      </c>
      <c r="M1692" s="2">
        <v>699.09820000000002</v>
      </c>
      <c r="N1692" t="s">
        <v>30</v>
      </c>
      <c r="O1692" t="s">
        <v>647</v>
      </c>
      <c r="P1692" t="s">
        <v>223</v>
      </c>
      <c r="Q1692" t="s">
        <v>8021</v>
      </c>
      <c r="R1692" s="1">
        <v>19798</v>
      </c>
      <c r="S1692" t="s">
        <v>16</v>
      </c>
      <c r="T1692" t="s">
        <v>29</v>
      </c>
      <c r="U1692" t="s">
        <v>2515</v>
      </c>
      <c r="V1692">
        <v>130000</v>
      </c>
      <c r="W1692">
        <v>4</v>
      </c>
      <c r="X1692" t="s">
        <v>57</v>
      </c>
      <c r="Y1692" t="s">
        <v>18</v>
      </c>
      <c r="Z1692" t="s">
        <v>19</v>
      </c>
      <c r="AA1692" t="s">
        <v>3588</v>
      </c>
      <c r="AB1692" t="s">
        <v>3588</v>
      </c>
      <c r="AC1692" t="s">
        <v>3584</v>
      </c>
      <c r="AD1692" t="s">
        <v>3479</v>
      </c>
      <c r="AE1692" t="s">
        <v>3475</v>
      </c>
      <c r="AF1692" s="2">
        <v>699.09820000000002</v>
      </c>
      <c r="AG1692" s="2">
        <v>413.1463</v>
      </c>
      <c r="AH1692" s="2">
        <v>285.95190000000002</v>
      </c>
      <c r="AI1692" s="3">
        <v>0.409029661355157</v>
      </c>
    </row>
    <row r="1693" spans="1:35">
      <c r="A1693" s="1">
        <v>42189</v>
      </c>
      <c r="B1693" s="1">
        <v>37341</v>
      </c>
      <c r="C1693" t="s">
        <v>4792</v>
      </c>
      <c r="D1693">
        <v>336</v>
      </c>
      <c r="E1693">
        <v>20576</v>
      </c>
      <c r="F1693">
        <v>10</v>
      </c>
      <c r="G1693">
        <v>1</v>
      </c>
      <c r="H1693">
        <v>1</v>
      </c>
      <c r="I1693">
        <v>2</v>
      </c>
      <c r="J1693" t="s">
        <v>3511</v>
      </c>
      <c r="K1693" t="s">
        <v>3512</v>
      </c>
      <c r="L1693" s="2">
        <v>413.1463</v>
      </c>
      <c r="M1693" s="2">
        <v>699.09820000000002</v>
      </c>
      <c r="N1693" t="s">
        <v>13</v>
      </c>
      <c r="O1693" t="s">
        <v>369</v>
      </c>
      <c r="P1693" t="s">
        <v>215</v>
      </c>
      <c r="Q1693" t="s">
        <v>8022</v>
      </c>
      <c r="R1693" s="1">
        <v>19901</v>
      </c>
      <c r="S1693" t="s">
        <v>22</v>
      </c>
      <c r="T1693" t="s">
        <v>16</v>
      </c>
      <c r="U1693" t="s">
        <v>2516</v>
      </c>
      <c r="V1693">
        <v>130000</v>
      </c>
      <c r="W1693">
        <v>4</v>
      </c>
      <c r="X1693" t="s">
        <v>57</v>
      </c>
      <c r="Y1693" t="s">
        <v>18</v>
      </c>
      <c r="Z1693" t="s">
        <v>23</v>
      </c>
      <c r="AA1693" t="s">
        <v>3588</v>
      </c>
      <c r="AB1693" t="s">
        <v>3588</v>
      </c>
      <c r="AC1693" t="s">
        <v>3584</v>
      </c>
      <c r="AD1693" t="s">
        <v>3479</v>
      </c>
      <c r="AE1693" t="s">
        <v>3475</v>
      </c>
      <c r="AF1693" s="2">
        <v>699.09820000000002</v>
      </c>
      <c r="AG1693" s="2">
        <v>413.1463</v>
      </c>
      <c r="AH1693" s="2">
        <v>285.95190000000002</v>
      </c>
      <c r="AI1693" s="3">
        <v>0.409029661355157</v>
      </c>
    </row>
    <row r="1694" spans="1:35">
      <c r="A1694" s="1">
        <v>42187</v>
      </c>
      <c r="B1694" s="1">
        <v>37365</v>
      </c>
      <c r="C1694" t="s">
        <v>4773</v>
      </c>
      <c r="D1694">
        <v>324</v>
      </c>
      <c r="E1694">
        <v>20577</v>
      </c>
      <c r="F1694">
        <v>10</v>
      </c>
      <c r="G1694">
        <v>1</v>
      </c>
      <c r="H1694">
        <v>1</v>
      </c>
      <c r="I1694">
        <v>2</v>
      </c>
      <c r="J1694" t="s">
        <v>3499</v>
      </c>
      <c r="K1694" t="s">
        <v>3500</v>
      </c>
      <c r="L1694" s="2">
        <v>413.1463</v>
      </c>
      <c r="M1694" s="2">
        <v>699.09820000000002</v>
      </c>
      <c r="N1694" t="s">
        <v>30</v>
      </c>
      <c r="O1694" t="s">
        <v>1597</v>
      </c>
      <c r="P1694" t="s">
        <v>317</v>
      </c>
      <c r="Q1694" t="s">
        <v>8023</v>
      </c>
      <c r="R1694" s="1">
        <v>20055</v>
      </c>
      <c r="S1694" t="s">
        <v>16</v>
      </c>
      <c r="T1694" t="s">
        <v>29</v>
      </c>
      <c r="U1694" t="s">
        <v>2517</v>
      </c>
      <c r="V1694">
        <v>130000</v>
      </c>
      <c r="W1694">
        <v>4</v>
      </c>
      <c r="X1694" t="s">
        <v>57</v>
      </c>
      <c r="Y1694" t="s">
        <v>18</v>
      </c>
      <c r="Z1694" t="s">
        <v>19</v>
      </c>
      <c r="AA1694" t="s">
        <v>3588</v>
      </c>
      <c r="AB1694" t="s">
        <v>3588</v>
      </c>
      <c r="AC1694" t="s">
        <v>3584</v>
      </c>
      <c r="AD1694" t="s">
        <v>3479</v>
      </c>
      <c r="AE1694" t="s">
        <v>3475</v>
      </c>
      <c r="AF1694" s="2">
        <v>699.09820000000002</v>
      </c>
      <c r="AG1694" s="2">
        <v>413.1463</v>
      </c>
      <c r="AH1694" s="2">
        <v>285.95190000000002</v>
      </c>
      <c r="AI1694" s="3">
        <v>0.409029661355157</v>
      </c>
    </row>
    <row r="1695" spans="1:35">
      <c r="A1695" s="1">
        <v>42293</v>
      </c>
      <c r="B1695" s="1">
        <v>37431</v>
      </c>
      <c r="C1695" t="s">
        <v>5591</v>
      </c>
      <c r="D1695">
        <v>334</v>
      </c>
      <c r="E1695">
        <v>20584</v>
      </c>
      <c r="F1695">
        <v>8</v>
      </c>
      <c r="G1695">
        <v>1</v>
      </c>
      <c r="H1695">
        <v>1</v>
      </c>
      <c r="I1695">
        <v>2</v>
      </c>
      <c r="J1695" t="s">
        <v>3509</v>
      </c>
      <c r="K1695" t="s">
        <v>3510</v>
      </c>
      <c r="L1695" s="2">
        <v>413.1463</v>
      </c>
      <c r="M1695" s="2">
        <v>699.09820000000002</v>
      </c>
      <c r="N1695" t="s">
        <v>30</v>
      </c>
      <c r="O1695" t="s">
        <v>305</v>
      </c>
      <c r="P1695" t="s">
        <v>501</v>
      </c>
      <c r="Q1695" t="s">
        <v>8024</v>
      </c>
      <c r="R1695" s="1">
        <v>18744</v>
      </c>
      <c r="S1695" t="s">
        <v>22</v>
      </c>
      <c r="T1695" t="s">
        <v>29</v>
      </c>
      <c r="U1695" t="s">
        <v>2518</v>
      </c>
      <c r="V1695">
        <v>110000</v>
      </c>
      <c r="W1695">
        <v>4</v>
      </c>
      <c r="X1695" t="s">
        <v>52</v>
      </c>
      <c r="Y1695" t="s">
        <v>18</v>
      </c>
      <c r="Z1695" t="s">
        <v>19</v>
      </c>
      <c r="AA1695" t="s">
        <v>3585</v>
      </c>
      <c r="AB1695" t="s">
        <v>3585</v>
      </c>
      <c r="AC1695" t="s">
        <v>3584</v>
      </c>
      <c r="AD1695" t="s">
        <v>3479</v>
      </c>
      <c r="AE1695" t="s">
        <v>3475</v>
      </c>
      <c r="AF1695" s="2">
        <v>699.09820000000002</v>
      </c>
      <c r="AG1695" s="2">
        <v>413.1463</v>
      </c>
      <c r="AH1695" s="2">
        <v>285.95190000000002</v>
      </c>
      <c r="AI1695" s="3">
        <v>0.409029661355157</v>
      </c>
    </row>
    <row r="1696" spans="1:35">
      <c r="A1696" s="1">
        <v>42309</v>
      </c>
      <c r="B1696" s="1">
        <v>37442</v>
      </c>
      <c r="C1696" t="s">
        <v>5712</v>
      </c>
      <c r="D1696">
        <v>332</v>
      </c>
      <c r="E1696">
        <v>20590</v>
      </c>
      <c r="F1696">
        <v>8</v>
      </c>
      <c r="G1696">
        <v>1</v>
      </c>
      <c r="H1696">
        <v>1</v>
      </c>
      <c r="I1696">
        <v>2</v>
      </c>
      <c r="J1696" t="s">
        <v>3507</v>
      </c>
      <c r="K1696" t="s">
        <v>3508</v>
      </c>
      <c r="L1696" s="2">
        <v>413.1463</v>
      </c>
      <c r="M1696" s="2">
        <v>699.09820000000002</v>
      </c>
      <c r="N1696" t="s">
        <v>13</v>
      </c>
      <c r="O1696" t="s">
        <v>139</v>
      </c>
      <c r="P1696" t="s">
        <v>68</v>
      </c>
      <c r="Q1696" t="s">
        <v>8025</v>
      </c>
      <c r="R1696" s="1">
        <v>17976</v>
      </c>
      <c r="S1696" t="s">
        <v>16</v>
      </c>
      <c r="T1696" t="s">
        <v>16</v>
      </c>
      <c r="U1696" t="s">
        <v>2519</v>
      </c>
      <c r="V1696">
        <v>100000</v>
      </c>
      <c r="W1696">
        <v>3</v>
      </c>
      <c r="X1696" t="s">
        <v>52</v>
      </c>
      <c r="Y1696" t="s">
        <v>45</v>
      </c>
      <c r="Z1696" t="s">
        <v>19</v>
      </c>
      <c r="AA1696" t="s">
        <v>3585</v>
      </c>
      <c r="AB1696" t="s">
        <v>3585</v>
      </c>
      <c r="AC1696" t="s">
        <v>3584</v>
      </c>
      <c r="AD1696" t="s">
        <v>3479</v>
      </c>
      <c r="AE1696" t="s">
        <v>3475</v>
      </c>
      <c r="AF1696" s="2">
        <v>699.09820000000002</v>
      </c>
      <c r="AG1696" s="2">
        <v>413.1463</v>
      </c>
      <c r="AH1696" s="2">
        <v>285.95190000000002</v>
      </c>
      <c r="AI1696" s="3">
        <v>0.409029661355157</v>
      </c>
    </row>
    <row r="1697" spans="1:35">
      <c r="A1697" s="1">
        <v>42212</v>
      </c>
      <c r="B1697" s="1">
        <v>37445</v>
      </c>
      <c r="C1697" t="s">
        <v>4974</v>
      </c>
      <c r="D1697">
        <v>324</v>
      </c>
      <c r="E1697">
        <v>20592</v>
      </c>
      <c r="F1697">
        <v>10</v>
      </c>
      <c r="G1697">
        <v>1</v>
      </c>
      <c r="H1697">
        <v>1</v>
      </c>
      <c r="I1697">
        <v>2</v>
      </c>
      <c r="J1697" t="s">
        <v>3499</v>
      </c>
      <c r="K1697" t="s">
        <v>3500</v>
      </c>
      <c r="L1697" s="2">
        <v>413.1463</v>
      </c>
      <c r="M1697" s="2">
        <v>699.09820000000002</v>
      </c>
      <c r="N1697" t="s">
        <v>13</v>
      </c>
      <c r="O1697" t="s">
        <v>635</v>
      </c>
      <c r="P1697" t="s">
        <v>210</v>
      </c>
      <c r="Q1697" t="s">
        <v>8026</v>
      </c>
      <c r="R1697" s="1">
        <v>18162</v>
      </c>
      <c r="S1697" t="s">
        <v>16</v>
      </c>
      <c r="T1697" t="s">
        <v>16</v>
      </c>
      <c r="U1697" t="s">
        <v>2520</v>
      </c>
      <c r="V1697">
        <v>160000</v>
      </c>
      <c r="W1697">
        <v>4</v>
      </c>
      <c r="X1697" t="s">
        <v>57</v>
      </c>
      <c r="Y1697" t="s">
        <v>45</v>
      </c>
      <c r="Z1697" t="s">
        <v>19</v>
      </c>
      <c r="AA1697" t="s">
        <v>3588</v>
      </c>
      <c r="AB1697" t="s">
        <v>3588</v>
      </c>
      <c r="AC1697" t="s">
        <v>3584</v>
      </c>
      <c r="AD1697" t="s">
        <v>3479</v>
      </c>
      <c r="AE1697" t="s">
        <v>3475</v>
      </c>
      <c r="AF1697" s="2">
        <v>699.09820000000002</v>
      </c>
      <c r="AG1697" s="2">
        <v>413.1463</v>
      </c>
      <c r="AH1697" s="2">
        <v>285.95190000000002</v>
      </c>
      <c r="AI1697" s="3">
        <v>0.409029661355157</v>
      </c>
    </row>
    <row r="1698" spans="1:35">
      <c r="A1698" s="1">
        <v>42315</v>
      </c>
      <c r="B1698" s="1">
        <v>37512</v>
      </c>
      <c r="C1698" t="s">
        <v>5740</v>
      </c>
      <c r="D1698">
        <v>342</v>
      </c>
      <c r="E1698">
        <v>20598</v>
      </c>
      <c r="F1698">
        <v>8</v>
      </c>
      <c r="G1698">
        <v>1</v>
      </c>
      <c r="H1698">
        <v>1</v>
      </c>
      <c r="I1698">
        <v>2</v>
      </c>
      <c r="J1698" t="s">
        <v>3517</v>
      </c>
      <c r="K1698" t="s">
        <v>3518</v>
      </c>
      <c r="L1698" s="2">
        <v>413.1463</v>
      </c>
      <c r="M1698" s="2">
        <v>699.09820000000002</v>
      </c>
      <c r="N1698" t="s">
        <v>13</v>
      </c>
      <c r="O1698" t="s">
        <v>393</v>
      </c>
      <c r="P1698" t="s">
        <v>119</v>
      </c>
      <c r="Q1698" t="s">
        <v>8027</v>
      </c>
      <c r="R1698" s="1">
        <v>17308</v>
      </c>
      <c r="S1698" t="s">
        <v>16</v>
      </c>
      <c r="T1698" t="s">
        <v>16</v>
      </c>
      <c r="U1698" t="s">
        <v>2521</v>
      </c>
      <c r="V1698">
        <v>100000</v>
      </c>
      <c r="W1698">
        <v>3</v>
      </c>
      <c r="X1698" t="s">
        <v>77</v>
      </c>
      <c r="Y1698" t="s">
        <v>18</v>
      </c>
      <c r="Z1698" t="s">
        <v>19</v>
      </c>
      <c r="AA1698" t="s">
        <v>3585</v>
      </c>
      <c r="AB1698" t="s">
        <v>3585</v>
      </c>
      <c r="AC1698" t="s">
        <v>3584</v>
      </c>
      <c r="AD1698" t="s">
        <v>3479</v>
      </c>
      <c r="AE1698" t="s">
        <v>3475</v>
      </c>
      <c r="AF1698" s="2">
        <v>699.09820000000002</v>
      </c>
      <c r="AG1698" s="2">
        <v>413.1463</v>
      </c>
      <c r="AH1698" s="2">
        <v>285.95190000000002</v>
      </c>
      <c r="AI1698" s="3">
        <v>0.409029661355157</v>
      </c>
    </row>
    <row r="1699" spans="1:35">
      <c r="A1699" s="1">
        <v>42128</v>
      </c>
      <c r="B1699" s="1">
        <v>37365</v>
      </c>
      <c r="C1699" t="s">
        <v>4370</v>
      </c>
      <c r="D1699">
        <v>313</v>
      </c>
      <c r="E1699">
        <v>20600</v>
      </c>
      <c r="F1699">
        <v>9</v>
      </c>
      <c r="G1699">
        <v>1</v>
      </c>
      <c r="H1699">
        <v>1</v>
      </c>
      <c r="I1699">
        <v>2</v>
      </c>
      <c r="J1699" t="s">
        <v>3491</v>
      </c>
      <c r="K1699" t="s">
        <v>3492</v>
      </c>
      <c r="L1699" s="2">
        <v>2171.2941999999998</v>
      </c>
      <c r="M1699" s="2">
        <v>3578.27</v>
      </c>
      <c r="N1699" t="s">
        <v>13</v>
      </c>
      <c r="O1699" t="s">
        <v>348</v>
      </c>
      <c r="P1699" t="s">
        <v>511</v>
      </c>
      <c r="Q1699" t="s">
        <v>8028</v>
      </c>
      <c r="R1699" s="1">
        <v>27422</v>
      </c>
      <c r="S1699" t="s">
        <v>22</v>
      </c>
      <c r="T1699" t="s">
        <v>16</v>
      </c>
      <c r="U1699" t="s">
        <v>2522</v>
      </c>
      <c r="V1699">
        <v>70000</v>
      </c>
      <c r="W1699">
        <v>0</v>
      </c>
      <c r="X1699" t="s">
        <v>17</v>
      </c>
      <c r="Y1699" t="s">
        <v>18</v>
      </c>
      <c r="Z1699" t="s">
        <v>23</v>
      </c>
      <c r="AA1699" t="s">
        <v>3586</v>
      </c>
      <c r="AB1699" t="s">
        <v>3586</v>
      </c>
      <c r="AC1699" t="s">
        <v>3587</v>
      </c>
      <c r="AD1699" t="s">
        <v>3479</v>
      </c>
      <c r="AE1699" t="s">
        <v>3475</v>
      </c>
      <c r="AF1699" s="2">
        <v>3578.27</v>
      </c>
      <c r="AG1699" s="2">
        <v>2171.2941999999998</v>
      </c>
      <c r="AH1699" s="2">
        <v>1406.9757999999999</v>
      </c>
      <c r="AI1699" s="3">
        <v>0.39320001006072802</v>
      </c>
    </row>
    <row r="1700" spans="1:35">
      <c r="A1700" s="1">
        <v>42136</v>
      </c>
      <c r="B1700" s="1">
        <v>37362</v>
      </c>
      <c r="C1700" t="s">
        <v>4420</v>
      </c>
      <c r="D1700">
        <v>312</v>
      </c>
      <c r="E1700">
        <v>20606</v>
      </c>
      <c r="F1700">
        <v>9</v>
      </c>
      <c r="G1700">
        <v>1</v>
      </c>
      <c r="H1700">
        <v>1</v>
      </c>
      <c r="I1700">
        <v>2</v>
      </c>
      <c r="J1700" t="s">
        <v>3489</v>
      </c>
      <c r="K1700" t="s">
        <v>3490</v>
      </c>
      <c r="L1700" s="2">
        <v>2171.2941999999998</v>
      </c>
      <c r="M1700" s="2">
        <v>3578.27</v>
      </c>
      <c r="N1700" t="s">
        <v>26</v>
      </c>
      <c r="O1700" t="s">
        <v>287</v>
      </c>
      <c r="P1700" t="s">
        <v>264</v>
      </c>
      <c r="Q1700" t="s">
        <v>8029</v>
      </c>
      <c r="R1700" s="1">
        <v>27236</v>
      </c>
      <c r="S1700" t="s">
        <v>16</v>
      </c>
      <c r="T1700" t="s">
        <v>29</v>
      </c>
      <c r="U1700" t="s">
        <v>2523</v>
      </c>
      <c r="V1700">
        <v>70000</v>
      </c>
      <c r="W1700">
        <v>0</v>
      </c>
      <c r="X1700" t="s">
        <v>17</v>
      </c>
      <c r="Y1700" t="s">
        <v>18</v>
      </c>
      <c r="Z1700" t="s">
        <v>19</v>
      </c>
      <c r="AA1700" t="s">
        <v>3586</v>
      </c>
      <c r="AB1700" t="s">
        <v>3586</v>
      </c>
      <c r="AC1700" t="s">
        <v>3587</v>
      </c>
      <c r="AD1700" t="s">
        <v>3479</v>
      </c>
      <c r="AE1700" t="s">
        <v>3475</v>
      </c>
      <c r="AF1700" s="2">
        <v>3578.27</v>
      </c>
      <c r="AG1700" s="2">
        <v>2171.2941999999998</v>
      </c>
      <c r="AH1700" s="2">
        <v>1406.9757999999999</v>
      </c>
      <c r="AI1700" s="3">
        <v>0.39320001006072802</v>
      </c>
    </row>
    <row r="1701" spans="1:35">
      <c r="A1701" s="1">
        <v>42133</v>
      </c>
      <c r="B1701" s="1">
        <v>37366</v>
      </c>
      <c r="C1701" t="s">
        <v>4406</v>
      </c>
      <c r="D1701">
        <v>311</v>
      </c>
      <c r="E1701">
        <v>20608</v>
      </c>
      <c r="F1701">
        <v>9</v>
      </c>
      <c r="G1701">
        <v>1</v>
      </c>
      <c r="H1701">
        <v>1</v>
      </c>
      <c r="I1701">
        <v>2</v>
      </c>
      <c r="J1701" t="s">
        <v>3487</v>
      </c>
      <c r="K1701" t="s">
        <v>3488</v>
      </c>
      <c r="L1701" s="2">
        <v>2171.2941999999998</v>
      </c>
      <c r="M1701" s="2">
        <v>3578.27</v>
      </c>
      <c r="N1701" t="s">
        <v>26</v>
      </c>
      <c r="O1701" t="s">
        <v>457</v>
      </c>
      <c r="P1701" t="s">
        <v>511</v>
      </c>
      <c r="Q1701" t="s">
        <v>8030</v>
      </c>
      <c r="R1701" s="1">
        <v>26986</v>
      </c>
      <c r="S1701" t="s">
        <v>22</v>
      </c>
      <c r="T1701" t="s">
        <v>29</v>
      </c>
      <c r="U1701" t="s">
        <v>2524</v>
      </c>
      <c r="V1701">
        <v>100000</v>
      </c>
      <c r="W1701">
        <v>0</v>
      </c>
      <c r="X1701" t="s">
        <v>57</v>
      </c>
      <c r="Y1701" t="s">
        <v>45</v>
      </c>
      <c r="Z1701" t="s">
        <v>19</v>
      </c>
      <c r="AA1701" t="s">
        <v>3586</v>
      </c>
      <c r="AB1701" t="s">
        <v>3586</v>
      </c>
      <c r="AC1701" t="s">
        <v>3587</v>
      </c>
      <c r="AD1701" t="s">
        <v>3479</v>
      </c>
      <c r="AE1701" t="s">
        <v>3475</v>
      </c>
      <c r="AF1701" s="2">
        <v>3578.27</v>
      </c>
      <c r="AG1701" s="2">
        <v>2171.2941999999998</v>
      </c>
      <c r="AH1701" s="2">
        <v>1406.9757999999999</v>
      </c>
      <c r="AI1701" s="3">
        <v>0.39320001006072802</v>
      </c>
    </row>
    <row r="1702" spans="1:35">
      <c r="A1702" s="1">
        <v>42152</v>
      </c>
      <c r="B1702" s="1">
        <v>37291</v>
      </c>
      <c r="C1702" t="s">
        <v>4535</v>
      </c>
      <c r="D1702">
        <v>310</v>
      </c>
      <c r="E1702">
        <v>20609</v>
      </c>
      <c r="F1702">
        <v>9</v>
      </c>
      <c r="G1702">
        <v>1</v>
      </c>
      <c r="H1702">
        <v>1</v>
      </c>
      <c r="I1702">
        <v>2</v>
      </c>
      <c r="J1702" t="s">
        <v>3485</v>
      </c>
      <c r="K1702" t="s">
        <v>3486</v>
      </c>
      <c r="L1702" s="2">
        <v>2171.2941999999998</v>
      </c>
      <c r="M1702" s="2">
        <v>3578.27</v>
      </c>
      <c r="N1702" t="s">
        <v>13</v>
      </c>
      <c r="O1702" t="s">
        <v>414</v>
      </c>
      <c r="P1702" t="s">
        <v>184</v>
      </c>
      <c r="Q1702" t="s">
        <v>8031</v>
      </c>
      <c r="R1702" s="1">
        <v>26759</v>
      </c>
      <c r="S1702" t="s">
        <v>16</v>
      </c>
      <c r="T1702" t="s">
        <v>16</v>
      </c>
      <c r="U1702" t="s">
        <v>2525</v>
      </c>
      <c r="V1702">
        <v>100000</v>
      </c>
      <c r="W1702">
        <v>0</v>
      </c>
      <c r="X1702" t="s">
        <v>57</v>
      </c>
      <c r="Y1702" t="s">
        <v>45</v>
      </c>
      <c r="Z1702" t="s">
        <v>19</v>
      </c>
      <c r="AA1702" t="s">
        <v>3586</v>
      </c>
      <c r="AB1702" t="s">
        <v>3586</v>
      </c>
      <c r="AC1702" t="s">
        <v>3587</v>
      </c>
      <c r="AD1702" t="s">
        <v>3479</v>
      </c>
      <c r="AE1702" t="s">
        <v>3475</v>
      </c>
      <c r="AF1702" s="2">
        <v>3578.27</v>
      </c>
      <c r="AG1702" s="2">
        <v>2171.2941999999998</v>
      </c>
      <c r="AH1702" s="2">
        <v>1406.9757999999999</v>
      </c>
      <c r="AI1702" s="3">
        <v>0.39320001006072802</v>
      </c>
    </row>
    <row r="1703" spans="1:35">
      <c r="A1703" s="1">
        <v>42137</v>
      </c>
      <c r="B1703" s="1">
        <v>37319</v>
      </c>
      <c r="C1703" t="s">
        <v>4429</v>
      </c>
      <c r="D1703">
        <v>314</v>
      </c>
      <c r="E1703">
        <v>20610</v>
      </c>
      <c r="F1703">
        <v>9</v>
      </c>
      <c r="G1703">
        <v>1</v>
      </c>
      <c r="H1703">
        <v>1</v>
      </c>
      <c r="I1703">
        <v>2</v>
      </c>
      <c r="J1703" t="s">
        <v>3493</v>
      </c>
      <c r="K1703" t="s">
        <v>3494</v>
      </c>
      <c r="L1703" s="2">
        <v>2171.2941999999998</v>
      </c>
      <c r="M1703" s="2">
        <v>3578.27</v>
      </c>
      <c r="N1703" t="s">
        <v>13</v>
      </c>
      <c r="O1703" t="s">
        <v>80</v>
      </c>
      <c r="P1703" t="s">
        <v>138</v>
      </c>
      <c r="Q1703" t="s">
        <v>8032</v>
      </c>
      <c r="R1703" s="1">
        <v>26733</v>
      </c>
      <c r="S1703" t="s">
        <v>16</v>
      </c>
      <c r="T1703" t="s">
        <v>16</v>
      </c>
      <c r="U1703" t="s">
        <v>2526</v>
      </c>
      <c r="V1703">
        <v>110000</v>
      </c>
      <c r="W1703">
        <v>0</v>
      </c>
      <c r="X1703" t="s">
        <v>52</v>
      </c>
      <c r="Y1703" t="s">
        <v>45</v>
      </c>
      <c r="Z1703" t="s">
        <v>19</v>
      </c>
      <c r="AA1703" t="s">
        <v>3586</v>
      </c>
      <c r="AB1703" t="s">
        <v>3586</v>
      </c>
      <c r="AC1703" t="s">
        <v>3587</v>
      </c>
      <c r="AD1703" t="s">
        <v>3479</v>
      </c>
      <c r="AE1703" t="s">
        <v>3475</v>
      </c>
      <c r="AF1703" s="2">
        <v>3578.27</v>
      </c>
      <c r="AG1703" s="2">
        <v>2171.2941999999998</v>
      </c>
      <c r="AH1703" s="2">
        <v>1406.9757999999999</v>
      </c>
      <c r="AI1703" s="3">
        <v>0.39320001006072802</v>
      </c>
    </row>
    <row r="1704" spans="1:35">
      <c r="A1704" s="1">
        <v>42125</v>
      </c>
      <c r="B1704" s="1">
        <v>37342</v>
      </c>
      <c r="C1704" t="s">
        <v>4346</v>
      </c>
      <c r="D1704">
        <v>314</v>
      </c>
      <c r="E1704">
        <v>20611</v>
      </c>
      <c r="F1704">
        <v>9</v>
      </c>
      <c r="G1704">
        <v>1</v>
      </c>
      <c r="H1704">
        <v>1</v>
      </c>
      <c r="I1704">
        <v>2</v>
      </c>
      <c r="J1704" t="s">
        <v>3493</v>
      </c>
      <c r="K1704" t="s">
        <v>3494</v>
      </c>
      <c r="L1704" s="2">
        <v>2171.2941999999998</v>
      </c>
      <c r="M1704" s="2">
        <v>3578.27</v>
      </c>
      <c r="N1704" t="s">
        <v>26</v>
      </c>
      <c r="O1704" t="s">
        <v>445</v>
      </c>
      <c r="P1704" t="s">
        <v>2132</v>
      </c>
      <c r="Q1704" t="s">
        <v>8033</v>
      </c>
      <c r="R1704" s="1">
        <v>26956</v>
      </c>
      <c r="S1704" t="s">
        <v>16</v>
      </c>
      <c r="T1704" t="s">
        <v>29</v>
      </c>
      <c r="U1704" t="s">
        <v>2527</v>
      </c>
      <c r="V1704">
        <v>110000</v>
      </c>
      <c r="W1704">
        <v>0</v>
      </c>
      <c r="X1704" t="s">
        <v>52</v>
      </c>
      <c r="Y1704" t="s">
        <v>45</v>
      </c>
      <c r="Z1704" t="s">
        <v>23</v>
      </c>
      <c r="AA1704" t="s">
        <v>3586</v>
      </c>
      <c r="AB1704" t="s">
        <v>3586</v>
      </c>
      <c r="AC1704" t="s">
        <v>3587</v>
      </c>
      <c r="AD1704" t="s">
        <v>3479</v>
      </c>
      <c r="AE1704" t="s">
        <v>3475</v>
      </c>
      <c r="AF1704" s="2">
        <v>3578.27</v>
      </c>
      <c r="AG1704" s="2">
        <v>2171.2941999999998</v>
      </c>
      <c r="AH1704" s="2">
        <v>1406.9757999999999</v>
      </c>
      <c r="AI1704" s="3">
        <v>0.39320001006072802</v>
      </c>
    </row>
    <row r="1705" spans="1:35">
      <c r="A1705" s="1">
        <v>42147</v>
      </c>
      <c r="B1705" s="1">
        <v>37359</v>
      </c>
      <c r="C1705" t="s">
        <v>4502</v>
      </c>
      <c r="D1705">
        <v>311</v>
      </c>
      <c r="E1705">
        <v>20612</v>
      </c>
      <c r="F1705">
        <v>9</v>
      </c>
      <c r="G1705">
        <v>1</v>
      </c>
      <c r="H1705">
        <v>1</v>
      </c>
      <c r="I1705">
        <v>2</v>
      </c>
      <c r="J1705" t="s">
        <v>3487</v>
      </c>
      <c r="K1705" t="s">
        <v>3488</v>
      </c>
      <c r="L1705" s="2">
        <v>2171.2941999999998</v>
      </c>
      <c r="M1705" s="2">
        <v>3578.27</v>
      </c>
      <c r="N1705" t="s">
        <v>13</v>
      </c>
      <c r="O1705" t="s">
        <v>371</v>
      </c>
      <c r="P1705" t="s">
        <v>15</v>
      </c>
      <c r="Q1705" t="s">
        <v>8034</v>
      </c>
      <c r="R1705" s="1">
        <v>26785</v>
      </c>
      <c r="S1705" t="s">
        <v>16</v>
      </c>
      <c r="T1705" t="s">
        <v>16</v>
      </c>
      <c r="U1705" t="s">
        <v>2528</v>
      </c>
      <c r="V1705">
        <v>110000</v>
      </c>
      <c r="W1705">
        <v>0</v>
      </c>
      <c r="X1705" t="s">
        <v>52</v>
      </c>
      <c r="Y1705" t="s">
        <v>45</v>
      </c>
      <c r="Z1705" t="s">
        <v>19</v>
      </c>
      <c r="AA1705" t="s">
        <v>3586</v>
      </c>
      <c r="AB1705" t="s">
        <v>3586</v>
      </c>
      <c r="AC1705" t="s">
        <v>3587</v>
      </c>
      <c r="AD1705" t="s">
        <v>3479</v>
      </c>
      <c r="AE1705" t="s">
        <v>3475</v>
      </c>
      <c r="AF1705" s="2">
        <v>3578.27</v>
      </c>
      <c r="AG1705" s="2">
        <v>2171.2941999999998</v>
      </c>
      <c r="AH1705" s="2">
        <v>1406.9757999999999</v>
      </c>
      <c r="AI1705" s="3">
        <v>0.39320001006072802</v>
      </c>
    </row>
    <row r="1706" spans="1:35">
      <c r="A1706" s="1">
        <v>42142</v>
      </c>
      <c r="B1706" s="1">
        <v>37317</v>
      </c>
      <c r="C1706" t="s">
        <v>4476</v>
      </c>
      <c r="D1706">
        <v>311</v>
      </c>
      <c r="E1706">
        <v>20613</v>
      </c>
      <c r="F1706">
        <v>9</v>
      </c>
      <c r="G1706">
        <v>1</v>
      </c>
      <c r="H1706">
        <v>1</v>
      </c>
      <c r="I1706">
        <v>2</v>
      </c>
      <c r="J1706" t="s">
        <v>3487</v>
      </c>
      <c r="K1706" t="s">
        <v>3488</v>
      </c>
      <c r="L1706" s="2">
        <v>2171.2941999999998</v>
      </c>
      <c r="M1706" s="2">
        <v>3578.27</v>
      </c>
      <c r="N1706" t="s">
        <v>26</v>
      </c>
      <c r="O1706" t="s">
        <v>488</v>
      </c>
      <c r="P1706" t="s">
        <v>131</v>
      </c>
      <c r="Q1706" t="s">
        <v>8035</v>
      </c>
      <c r="R1706" s="1">
        <v>26951</v>
      </c>
      <c r="S1706" t="s">
        <v>16</v>
      </c>
      <c r="T1706" t="s">
        <v>29</v>
      </c>
      <c r="U1706" t="s">
        <v>2529</v>
      </c>
      <c r="V1706">
        <v>110000</v>
      </c>
      <c r="W1706">
        <v>0</v>
      </c>
      <c r="X1706" t="s">
        <v>52</v>
      </c>
      <c r="Y1706" t="s">
        <v>45</v>
      </c>
      <c r="Z1706" t="s">
        <v>19</v>
      </c>
      <c r="AA1706" t="s">
        <v>3586</v>
      </c>
      <c r="AB1706" t="s">
        <v>3586</v>
      </c>
      <c r="AC1706" t="s">
        <v>3587</v>
      </c>
      <c r="AD1706" t="s">
        <v>3479</v>
      </c>
      <c r="AE1706" t="s">
        <v>3475</v>
      </c>
      <c r="AF1706" s="2">
        <v>3578.27</v>
      </c>
      <c r="AG1706" s="2">
        <v>2171.2941999999998</v>
      </c>
      <c r="AH1706" s="2">
        <v>1406.9757999999999</v>
      </c>
      <c r="AI1706" s="3">
        <v>0.39320001006072802</v>
      </c>
    </row>
    <row r="1707" spans="1:35">
      <c r="A1707" s="1">
        <v>42139</v>
      </c>
      <c r="B1707" s="1">
        <v>37324</v>
      </c>
      <c r="C1707" t="s">
        <v>4448</v>
      </c>
      <c r="D1707">
        <v>314</v>
      </c>
      <c r="E1707">
        <v>20614</v>
      </c>
      <c r="F1707">
        <v>9</v>
      </c>
      <c r="G1707">
        <v>1</v>
      </c>
      <c r="H1707">
        <v>1</v>
      </c>
      <c r="I1707">
        <v>2</v>
      </c>
      <c r="J1707" t="s">
        <v>3493</v>
      </c>
      <c r="K1707" t="s">
        <v>3494</v>
      </c>
      <c r="L1707" s="2">
        <v>2171.2941999999998</v>
      </c>
      <c r="M1707" s="2">
        <v>3578.27</v>
      </c>
      <c r="N1707" t="s">
        <v>13</v>
      </c>
      <c r="O1707" t="s">
        <v>1408</v>
      </c>
      <c r="P1707" t="s">
        <v>468</v>
      </c>
      <c r="Q1707" t="s">
        <v>8036</v>
      </c>
      <c r="R1707" s="1">
        <v>26850</v>
      </c>
      <c r="S1707" t="s">
        <v>22</v>
      </c>
      <c r="T1707" t="s">
        <v>16</v>
      </c>
      <c r="U1707" t="s">
        <v>2530</v>
      </c>
      <c r="V1707">
        <v>110000</v>
      </c>
      <c r="W1707">
        <v>0</v>
      </c>
      <c r="X1707" t="s">
        <v>52</v>
      </c>
      <c r="Y1707" t="s">
        <v>45</v>
      </c>
      <c r="Z1707" t="s">
        <v>19</v>
      </c>
      <c r="AA1707" t="s">
        <v>3586</v>
      </c>
      <c r="AB1707" t="s">
        <v>3586</v>
      </c>
      <c r="AC1707" t="s">
        <v>3587</v>
      </c>
      <c r="AD1707" t="s">
        <v>3479</v>
      </c>
      <c r="AE1707" t="s">
        <v>3475</v>
      </c>
      <c r="AF1707" s="2">
        <v>3578.27</v>
      </c>
      <c r="AG1707" s="2">
        <v>2171.2941999999998</v>
      </c>
      <c r="AH1707" s="2">
        <v>1406.9757999999999</v>
      </c>
      <c r="AI1707" s="3">
        <v>0.39320001006072802</v>
      </c>
    </row>
    <row r="1708" spans="1:35">
      <c r="A1708" s="1">
        <v>42146</v>
      </c>
      <c r="B1708" s="1">
        <v>37344</v>
      </c>
      <c r="C1708" t="s">
        <v>4499</v>
      </c>
      <c r="D1708">
        <v>311</v>
      </c>
      <c r="E1708">
        <v>20615</v>
      </c>
      <c r="F1708">
        <v>9</v>
      </c>
      <c r="G1708">
        <v>1</v>
      </c>
      <c r="H1708">
        <v>1</v>
      </c>
      <c r="I1708">
        <v>2</v>
      </c>
      <c r="J1708" t="s">
        <v>3487</v>
      </c>
      <c r="K1708" t="s">
        <v>3488</v>
      </c>
      <c r="L1708" s="2">
        <v>2171.2941999999998</v>
      </c>
      <c r="M1708" s="2">
        <v>3578.27</v>
      </c>
      <c r="N1708" t="s">
        <v>26</v>
      </c>
      <c r="O1708" t="s">
        <v>548</v>
      </c>
      <c r="P1708" t="s">
        <v>268</v>
      </c>
      <c r="Q1708" t="s">
        <v>8037</v>
      </c>
      <c r="R1708" s="1">
        <v>26958</v>
      </c>
      <c r="S1708" t="s">
        <v>22</v>
      </c>
      <c r="T1708" t="s">
        <v>29</v>
      </c>
      <c r="U1708" t="s">
        <v>2531</v>
      </c>
      <c r="V1708">
        <v>110000</v>
      </c>
      <c r="W1708">
        <v>0</v>
      </c>
      <c r="X1708" t="s">
        <v>52</v>
      </c>
      <c r="Y1708" t="s">
        <v>45</v>
      </c>
      <c r="Z1708" t="s">
        <v>19</v>
      </c>
      <c r="AA1708" t="s">
        <v>3586</v>
      </c>
      <c r="AB1708" t="s">
        <v>3586</v>
      </c>
      <c r="AC1708" t="s">
        <v>3587</v>
      </c>
      <c r="AD1708" t="s">
        <v>3479</v>
      </c>
      <c r="AE1708" t="s">
        <v>3475</v>
      </c>
      <c r="AF1708" s="2">
        <v>3578.27</v>
      </c>
      <c r="AG1708" s="2">
        <v>2171.2941999999998</v>
      </c>
      <c r="AH1708" s="2">
        <v>1406.9757999999999</v>
      </c>
      <c r="AI1708" s="3">
        <v>0.39320001006072802</v>
      </c>
    </row>
    <row r="1709" spans="1:35">
      <c r="A1709" s="1">
        <v>42157</v>
      </c>
      <c r="B1709" s="1">
        <v>37315</v>
      </c>
      <c r="C1709" t="s">
        <v>4560</v>
      </c>
      <c r="D1709">
        <v>313</v>
      </c>
      <c r="E1709">
        <v>20616</v>
      </c>
      <c r="F1709">
        <v>9</v>
      </c>
      <c r="G1709">
        <v>1</v>
      </c>
      <c r="H1709">
        <v>1</v>
      </c>
      <c r="I1709">
        <v>2</v>
      </c>
      <c r="J1709" t="s">
        <v>3491</v>
      </c>
      <c r="K1709" t="s">
        <v>3492</v>
      </c>
      <c r="L1709" s="2">
        <v>2171.2941999999998</v>
      </c>
      <c r="M1709" s="2">
        <v>3578.27</v>
      </c>
      <c r="N1709" t="s">
        <v>26</v>
      </c>
      <c r="O1709" t="s">
        <v>312</v>
      </c>
      <c r="P1709" t="s">
        <v>157</v>
      </c>
      <c r="Q1709" t="s">
        <v>8038</v>
      </c>
      <c r="R1709" s="1">
        <v>26707</v>
      </c>
      <c r="S1709" t="s">
        <v>22</v>
      </c>
      <c r="T1709" t="s">
        <v>29</v>
      </c>
      <c r="U1709" t="s">
        <v>2532</v>
      </c>
      <c r="V1709">
        <v>120000</v>
      </c>
      <c r="W1709">
        <v>0</v>
      </c>
      <c r="X1709" t="s">
        <v>77</v>
      </c>
      <c r="Y1709" t="s">
        <v>18</v>
      </c>
      <c r="Z1709" t="s">
        <v>19</v>
      </c>
      <c r="AA1709" t="s">
        <v>3586</v>
      </c>
      <c r="AB1709" t="s">
        <v>3586</v>
      </c>
      <c r="AC1709" t="s">
        <v>3587</v>
      </c>
      <c r="AD1709" t="s">
        <v>3479</v>
      </c>
      <c r="AE1709" t="s">
        <v>3475</v>
      </c>
      <c r="AF1709" s="2">
        <v>3578.27</v>
      </c>
      <c r="AG1709" s="2">
        <v>2171.2941999999998</v>
      </c>
      <c r="AH1709" s="2">
        <v>1406.9757999999999</v>
      </c>
      <c r="AI1709" s="3">
        <v>0.39320001006072802</v>
      </c>
    </row>
    <row r="1710" spans="1:35">
      <c r="A1710" s="1">
        <v>42177</v>
      </c>
      <c r="B1710" s="1">
        <v>37401</v>
      </c>
      <c r="C1710" t="s">
        <v>4697</v>
      </c>
      <c r="D1710">
        <v>310</v>
      </c>
      <c r="E1710">
        <v>20617</v>
      </c>
      <c r="F1710">
        <v>9</v>
      </c>
      <c r="G1710">
        <v>1</v>
      </c>
      <c r="H1710">
        <v>1</v>
      </c>
      <c r="I1710">
        <v>2</v>
      </c>
      <c r="J1710" t="s">
        <v>3485</v>
      </c>
      <c r="K1710" t="s">
        <v>3486</v>
      </c>
      <c r="L1710" s="2">
        <v>2171.2941999999998</v>
      </c>
      <c r="M1710" s="2">
        <v>3578.27</v>
      </c>
      <c r="N1710" t="s">
        <v>26</v>
      </c>
      <c r="O1710" t="s">
        <v>50</v>
      </c>
      <c r="P1710" t="s">
        <v>32</v>
      </c>
      <c r="Q1710" t="s">
        <v>8039</v>
      </c>
      <c r="R1710" s="1">
        <v>26447</v>
      </c>
      <c r="S1710" t="s">
        <v>22</v>
      </c>
      <c r="T1710" t="s">
        <v>29</v>
      </c>
      <c r="U1710" t="s">
        <v>2533</v>
      </c>
      <c r="V1710">
        <v>100000</v>
      </c>
      <c r="W1710">
        <v>0</v>
      </c>
      <c r="X1710" t="s">
        <v>57</v>
      </c>
      <c r="Y1710" t="s">
        <v>45</v>
      </c>
      <c r="Z1710" t="s">
        <v>19</v>
      </c>
      <c r="AA1710" t="s">
        <v>3586</v>
      </c>
      <c r="AB1710" t="s">
        <v>3586</v>
      </c>
      <c r="AC1710" t="s">
        <v>3587</v>
      </c>
      <c r="AD1710" t="s">
        <v>3479</v>
      </c>
      <c r="AE1710" t="s">
        <v>3475</v>
      </c>
      <c r="AF1710" s="2">
        <v>3578.27</v>
      </c>
      <c r="AG1710" s="2">
        <v>2171.2941999999998</v>
      </c>
      <c r="AH1710" s="2">
        <v>1406.9757999999999</v>
      </c>
      <c r="AI1710" s="3">
        <v>0.39320001006072802</v>
      </c>
    </row>
    <row r="1711" spans="1:35">
      <c r="A1711" s="1">
        <v>42176</v>
      </c>
      <c r="B1711" s="1">
        <v>37413</v>
      </c>
      <c r="C1711" t="s">
        <v>4696</v>
      </c>
      <c r="D1711">
        <v>312</v>
      </c>
      <c r="E1711">
        <v>20620</v>
      </c>
      <c r="F1711">
        <v>9</v>
      </c>
      <c r="G1711">
        <v>1</v>
      </c>
      <c r="H1711">
        <v>1</v>
      </c>
      <c r="I1711">
        <v>2</v>
      </c>
      <c r="J1711" t="s">
        <v>3489</v>
      </c>
      <c r="K1711" t="s">
        <v>3490</v>
      </c>
      <c r="L1711" s="2">
        <v>2171.2941999999998</v>
      </c>
      <c r="M1711" s="2">
        <v>3578.27</v>
      </c>
      <c r="N1711" t="s">
        <v>26</v>
      </c>
      <c r="O1711" t="s">
        <v>374</v>
      </c>
      <c r="P1711" t="s">
        <v>334</v>
      </c>
      <c r="Q1711" t="s">
        <v>8040</v>
      </c>
      <c r="R1711" s="1">
        <v>25968</v>
      </c>
      <c r="S1711" t="s">
        <v>22</v>
      </c>
      <c r="T1711" t="s">
        <v>29</v>
      </c>
      <c r="U1711" t="s">
        <v>2534</v>
      </c>
      <c r="V1711">
        <v>90000</v>
      </c>
      <c r="W1711">
        <v>0</v>
      </c>
      <c r="X1711" t="s">
        <v>17</v>
      </c>
      <c r="Y1711" t="s">
        <v>18</v>
      </c>
      <c r="Z1711" t="s">
        <v>23</v>
      </c>
      <c r="AA1711" t="s">
        <v>3586</v>
      </c>
      <c r="AB1711" t="s">
        <v>3586</v>
      </c>
      <c r="AC1711" t="s">
        <v>3587</v>
      </c>
      <c r="AD1711" t="s">
        <v>3479</v>
      </c>
      <c r="AE1711" t="s">
        <v>3475</v>
      </c>
      <c r="AF1711" s="2">
        <v>3578.27</v>
      </c>
      <c r="AG1711" s="2">
        <v>2171.2941999999998</v>
      </c>
      <c r="AH1711" s="2">
        <v>1406.9757999999999</v>
      </c>
      <c r="AI1711" s="3">
        <v>0.39320001006072802</v>
      </c>
    </row>
    <row r="1712" spans="1:35">
      <c r="A1712" s="1">
        <v>42163</v>
      </c>
      <c r="B1712" s="1">
        <v>37358</v>
      </c>
      <c r="C1712" t="s">
        <v>4602</v>
      </c>
      <c r="D1712">
        <v>312</v>
      </c>
      <c r="E1712">
        <v>20621</v>
      </c>
      <c r="F1712">
        <v>9</v>
      </c>
      <c r="G1712">
        <v>1</v>
      </c>
      <c r="H1712">
        <v>1</v>
      </c>
      <c r="I1712">
        <v>2</v>
      </c>
      <c r="J1712" t="s">
        <v>3489</v>
      </c>
      <c r="K1712" t="s">
        <v>3490</v>
      </c>
      <c r="L1712" s="2">
        <v>2171.2941999999998</v>
      </c>
      <c r="M1712" s="2">
        <v>3578.27</v>
      </c>
      <c r="N1712" t="s">
        <v>26</v>
      </c>
      <c r="O1712" t="s">
        <v>216</v>
      </c>
      <c r="P1712" t="s">
        <v>779</v>
      </c>
      <c r="Q1712" t="s">
        <v>8041</v>
      </c>
      <c r="R1712" s="1">
        <v>26335</v>
      </c>
      <c r="S1712" t="s">
        <v>16</v>
      </c>
      <c r="T1712" t="s">
        <v>29</v>
      </c>
      <c r="U1712" t="s">
        <v>2535</v>
      </c>
      <c r="V1712">
        <v>120000</v>
      </c>
      <c r="W1712">
        <v>0</v>
      </c>
      <c r="X1712" t="s">
        <v>77</v>
      </c>
      <c r="Y1712" t="s">
        <v>18</v>
      </c>
      <c r="Z1712" t="s">
        <v>23</v>
      </c>
      <c r="AA1712" t="s">
        <v>3586</v>
      </c>
      <c r="AB1712" t="s">
        <v>3586</v>
      </c>
      <c r="AC1712" t="s">
        <v>3587</v>
      </c>
      <c r="AD1712" t="s">
        <v>3479</v>
      </c>
      <c r="AE1712" t="s">
        <v>3475</v>
      </c>
      <c r="AF1712" s="2">
        <v>3578.27</v>
      </c>
      <c r="AG1712" s="2">
        <v>2171.2941999999998</v>
      </c>
      <c r="AH1712" s="2">
        <v>1406.9757999999999</v>
      </c>
      <c r="AI1712" s="3">
        <v>0.39320001006072802</v>
      </c>
    </row>
    <row r="1713" spans="1:35">
      <c r="A1713" s="1">
        <v>42182</v>
      </c>
      <c r="B1713" s="1">
        <v>37390</v>
      </c>
      <c r="C1713" t="s">
        <v>4740</v>
      </c>
      <c r="D1713">
        <v>310</v>
      </c>
      <c r="E1713">
        <v>20622</v>
      </c>
      <c r="F1713">
        <v>9</v>
      </c>
      <c r="G1713">
        <v>1</v>
      </c>
      <c r="H1713">
        <v>1</v>
      </c>
      <c r="I1713">
        <v>2</v>
      </c>
      <c r="J1713" t="s">
        <v>3485</v>
      </c>
      <c r="K1713" t="s">
        <v>3486</v>
      </c>
      <c r="L1713" s="2">
        <v>2171.2941999999998</v>
      </c>
      <c r="M1713" s="2">
        <v>3578.27</v>
      </c>
      <c r="N1713" t="s">
        <v>13</v>
      </c>
      <c r="O1713" t="s">
        <v>447</v>
      </c>
      <c r="P1713" t="s">
        <v>40</v>
      </c>
      <c r="Q1713" t="s">
        <v>8042</v>
      </c>
      <c r="R1713" s="1">
        <v>26483</v>
      </c>
      <c r="S1713" t="s">
        <v>16</v>
      </c>
      <c r="T1713" t="s">
        <v>16</v>
      </c>
      <c r="U1713" t="s">
        <v>2536</v>
      </c>
      <c r="V1713">
        <v>120000</v>
      </c>
      <c r="W1713">
        <v>0</v>
      </c>
      <c r="X1713" t="s">
        <v>77</v>
      </c>
      <c r="Y1713" t="s">
        <v>18</v>
      </c>
      <c r="Z1713" t="s">
        <v>19</v>
      </c>
      <c r="AA1713" t="s">
        <v>3586</v>
      </c>
      <c r="AB1713" t="s">
        <v>3586</v>
      </c>
      <c r="AC1713" t="s">
        <v>3587</v>
      </c>
      <c r="AD1713" t="s">
        <v>3479</v>
      </c>
      <c r="AE1713" t="s">
        <v>3475</v>
      </c>
      <c r="AF1713" s="2">
        <v>3578.27</v>
      </c>
      <c r="AG1713" s="2">
        <v>2171.2941999999998</v>
      </c>
      <c r="AH1713" s="2">
        <v>1406.9757999999999</v>
      </c>
      <c r="AI1713" s="3">
        <v>0.39320001006072802</v>
      </c>
    </row>
    <row r="1714" spans="1:35">
      <c r="A1714" s="1">
        <v>42169</v>
      </c>
      <c r="B1714" s="1">
        <v>37360</v>
      </c>
      <c r="C1714" t="s">
        <v>4642</v>
      </c>
      <c r="D1714">
        <v>313</v>
      </c>
      <c r="E1714">
        <v>20623</v>
      </c>
      <c r="F1714">
        <v>9</v>
      </c>
      <c r="G1714">
        <v>1</v>
      </c>
      <c r="H1714">
        <v>1</v>
      </c>
      <c r="I1714">
        <v>2</v>
      </c>
      <c r="J1714" t="s">
        <v>3491</v>
      </c>
      <c r="K1714" t="s">
        <v>3492</v>
      </c>
      <c r="L1714" s="2">
        <v>2171.2941999999998</v>
      </c>
      <c r="M1714" s="2">
        <v>3578.27</v>
      </c>
      <c r="N1714" t="s">
        <v>30</v>
      </c>
      <c r="O1714" t="s">
        <v>1044</v>
      </c>
      <c r="P1714" t="s">
        <v>99</v>
      </c>
      <c r="Q1714" t="s">
        <v>8043</v>
      </c>
      <c r="R1714" s="1">
        <v>26451</v>
      </c>
      <c r="S1714" t="s">
        <v>16</v>
      </c>
      <c r="T1714" t="s">
        <v>29</v>
      </c>
      <c r="U1714" t="s">
        <v>2537</v>
      </c>
      <c r="V1714">
        <v>130000</v>
      </c>
      <c r="W1714">
        <v>4</v>
      </c>
      <c r="X1714" t="s">
        <v>57</v>
      </c>
      <c r="Y1714" t="s">
        <v>45</v>
      </c>
      <c r="Z1714" t="s">
        <v>19</v>
      </c>
      <c r="AA1714" t="s">
        <v>3586</v>
      </c>
      <c r="AB1714" t="s">
        <v>3586</v>
      </c>
      <c r="AC1714" t="s">
        <v>3587</v>
      </c>
      <c r="AD1714" t="s">
        <v>3479</v>
      </c>
      <c r="AE1714" t="s">
        <v>3475</v>
      </c>
      <c r="AF1714" s="2">
        <v>3578.27</v>
      </c>
      <c r="AG1714" s="2">
        <v>2171.2941999999998</v>
      </c>
      <c r="AH1714" s="2">
        <v>1406.9757999999999</v>
      </c>
      <c r="AI1714" s="3">
        <v>0.39320001006072802</v>
      </c>
    </row>
    <row r="1715" spans="1:35">
      <c r="A1715" s="1">
        <v>42174</v>
      </c>
      <c r="B1715" s="1">
        <v>37390</v>
      </c>
      <c r="C1715" t="s">
        <v>4672</v>
      </c>
      <c r="D1715">
        <v>313</v>
      </c>
      <c r="E1715">
        <v>20624</v>
      </c>
      <c r="F1715">
        <v>9</v>
      </c>
      <c r="G1715">
        <v>1</v>
      </c>
      <c r="H1715">
        <v>1</v>
      </c>
      <c r="I1715">
        <v>2</v>
      </c>
      <c r="J1715" t="s">
        <v>3491</v>
      </c>
      <c r="K1715" t="s">
        <v>3492</v>
      </c>
      <c r="L1715" s="2">
        <v>2171.2941999999998</v>
      </c>
      <c r="M1715" s="2">
        <v>3578.27</v>
      </c>
      <c r="N1715" t="s">
        <v>26</v>
      </c>
      <c r="O1715" t="s">
        <v>575</v>
      </c>
      <c r="P1715" t="s">
        <v>468</v>
      </c>
      <c r="Q1715" t="s">
        <v>8044</v>
      </c>
      <c r="R1715" s="1">
        <v>26038</v>
      </c>
      <c r="S1715" t="s">
        <v>22</v>
      </c>
      <c r="T1715" t="s">
        <v>29</v>
      </c>
      <c r="U1715" t="s">
        <v>2538</v>
      </c>
      <c r="V1715">
        <v>100000</v>
      </c>
      <c r="W1715">
        <v>0</v>
      </c>
      <c r="X1715" t="s">
        <v>57</v>
      </c>
      <c r="Y1715" t="s">
        <v>45</v>
      </c>
      <c r="Z1715" t="s">
        <v>19</v>
      </c>
      <c r="AA1715" t="s">
        <v>3586</v>
      </c>
      <c r="AB1715" t="s">
        <v>3586</v>
      </c>
      <c r="AC1715" t="s">
        <v>3587</v>
      </c>
      <c r="AD1715" t="s">
        <v>3479</v>
      </c>
      <c r="AE1715" t="s">
        <v>3475</v>
      </c>
      <c r="AF1715" s="2">
        <v>3578.27</v>
      </c>
      <c r="AG1715" s="2">
        <v>2171.2941999999998</v>
      </c>
      <c r="AH1715" s="2">
        <v>1406.9757999999999</v>
      </c>
      <c r="AI1715" s="3">
        <v>0.39320001006072802</v>
      </c>
    </row>
    <row r="1716" spans="1:35">
      <c r="A1716" s="1">
        <v>42179</v>
      </c>
      <c r="B1716" s="1">
        <v>37319</v>
      </c>
      <c r="C1716" t="s">
        <v>4722</v>
      </c>
      <c r="D1716">
        <v>312</v>
      </c>
      <c r="E1716">
        <v>20625</v>
      </c>
      <c r="F1716">
        <v>9</v>
      </c>
      <c r="G1716">
        <v>1</v>
      </c>
      <c r="H1716">
        <v>1</v>
      </c>
      <c r="I1716">
        <v>2</v>
      </c>
      <c r="J1716" t="s">
        <v>3489</v>
      </c>
      <c r="K1716" t="s">
        <v>3490</v>
      </c>
      <c r="L1716" s="2">
        <v>2171.2941999999998</v>
      </c>
      <c r="M1716" s="2">
        <v>3578.27</v>
      </c>
      <c r="N1716" t="s">
        <v>13</v>
      </c>
      <c r="O1716" t="s">
        <v>437</v>
      </c>
      <c r="P1716" t="s">
        <v>87</v>
      </c>
      <c r="Q1716" t="s">
        <v>8045</v>
      </c>
      <c r="R1716" s="1">
        <v>26066</v>
      </c>
      <c r="S1716" t="s">
        <v>16</v>
      </c>
      <c r="T1716" t="s">
        <v>16</v>
      </c>
      <c r="U1716" t="s">
        <v>2539</v>
      </c>
      <c r="V1716">
        <v>100000</v>
      </c>
      <c r="W1716">
        <v>0</v>
      </c>
      <c r="X1716" t="s">
        <v>57</v>
      </c>
      <c r="Y1716" t="s">
        <v>45</v>
      </c>
      <c r="Z1716" t="s">
        <v>19</v>
      </c>
      <c r="AA1716" t="s">
        <v>3586</v>
      </c>
      <c r="AB1716" t="s">
        <v>3586</v>
      </c>
      <c r="AC1716" t="s">
        <v>3587</v>
      </c>
      <c r="AD1716" t="s">
        <v>3479</v>
      </c>
      <c r="AE1716" t="s">
        <v>3475</v>
      </c>
      <c r="AF1716" s="2">
        <v>3578.27</v>
      </c>
      <c r="AG1716" s="2">
        <v>2171.2941999999998</v>
      </c>
      <c r="AH1716" s="2">
        <v>1406.9757999999999</v>
      </c>
      <c r="AI1716" s="3">
        <v>0.39320001006072802</v>
      </c>
    </row>
    <row r="1717" spans="1:35">
      <c r="A1717" s="1">
        <v>42165</v>
      </c>
      <c r="B1717" s="1">
        <v>37394</v>
      </c>
      <c r="C1717" t="s">
        <v>4612</v>
      </c>
      <c r="D1717">
        <v>313</v>
      </c>
      <c r="E1717">
        <v>20626</v>
      </c>
      <c r="F1717">
        <v>9</v>
      </c>
      <c r="G1717">
        <v>1</v>
      </c>
      <c r="H1717">
        <v>1</v>
      </c>
      <c r="I1717">
        <v>2</v>
      </c>
      <c r="J1717" t="s">
        <v>3491</v>
      </c>
      <c r="K1717" t="s">
        <v>3492</v>
      </c>
      <c r="L1717" s="2">
        <v>2171.2941999999998</v>
      </c>
      <c r="M1717" s="2">
        <v>3578.27</v>
      </c>
      <c r="N1717" t="s">
        <v>13</v>
      </c>
      <c r="O1717" t="s">
        <v>466</v>
      </c>
      <c r="P1717" t="s">
        <v>207</v>
      </c>
      <c r="Q1717" t="s">
        <v>8046</v>
      </c>
      <c r="R1717" s="1">
        <v>25978</v>
      </c>
      <c r="S1717" t="s">
        <v>16</v>
      </c>
      <c r="T1717" t="s">
        <v>16</v>
      </c>
      <c r="U1717" t="s">
        <v>2540</v>
      </c>
      <c r="V1717">
        <v>100000</v>
      </c>
      <c r="W1717">
        <v>0</v>
      </c>
      <c r="X1717" t="s">
        <v>57</v>
      </c>
      <c r="Y1717" t="s">
        <v>45</v>
      </c>
      <c r="Z1717" t="s">
        <v>19</v>
      </c>
      <c r="AA1717" t="s">
        <v>3586</v>
      </c>
      <c r="AB1717" t="s">
        <v>3586</v>
      </c>
      <c r="AC1717" t="s">
        <v>3587</v>
      </c>
      <c r="AD1717" t="s">
        <v>3479</v>
      </c>
      <c r="AE1717" t="s">
        <v>3475</v>
      </c>
      <c r="AF1717" s="2">
        <v>3578.27</v>
      </c>
      <c r="AG1717" s="2">
        <v>2171.2941999999998</v>
      </c>
      <c r="AH1717" s="2">
        <v>1406.9757999999999</v>
      </c>
      <c r="AI1717" s="3">
        <v>0.39320001006072802</v>
      </c>
    </row>
    <row r="1718" spans="1:35">
      <c r="A1718" s="1">
        <v>42172</v>
      </c>
      <c r="B1718" s="1">
        <v>37331</v>
      </c>
      <c r="C1718" t="s">
        <v>4656</v>
      </c>
      <c r="D1718">
        <v>312</v>
      </c>
      <c r="E1718">
        <v>20627</v>
      </c>
      <c r="F1718">
        <v>9</v>
      </c>
      <c r="G1718">
        <v>1</v>
      </c>
      <c r="H1718">
        <v>1</v>
      </c>
      <c r="I1718">
        <v>2</v>
      </c>
      <c r="J1718" t="s">
        <v>3489</v>
      </c>
      <c r="K1718" t="s">
        <v>3490</v>
      </c>
      <c r="L1718" s="2">
        <v>2171.2941999999998</v>
      </c>
      <c r="M1718" s="2">
        <v>3578.27</v>
      </c>
      <c r="N1718" t="s">
        <v>26</v>
      </c>
      <c r="O1718" t="s">
        <v>88</v>
      </c>
      <c r="P1718" t="s">
        <v>153</v>
      </c>
      <c r="Q1718" t="s">
        <v>8047</v>
      </c>
      <c r="R1718" s="1">
        <v>25660</v>
      </c>
      <c r="S1718" t="s">
        <v>16</v>
      </c>
      <c r="T1718" t="s">
        <v>29</v>
      </c>
      <c r="U1718" t="s">
        <v>2541</v>
      </c>
      <c r="V1718">
        <v>110000</v>
      </c>
      <c r="W1718">
        <v>0</v>
      </c>
      <c r="X1718" t="s">
        <v>57</v>
      </c>
      <c r="Y1718" t="s">
        <v>45</v>
      </c>
      <c r="Z1718" t="s">
        <v>19</v>
      </c>
      <c r="AA1718" t="s">
        <v>3586</v>
      </c>
      <c r="AB1718" t="s">
        <v>3586</v>
      </c>
      <c r="AC1718" t="s">
        <v>3587</v>
      </c>
      <c r="AD1718" t="s">
        <v>3479</v>
      </c>
      <c r="AE1718" t="s">
        <v>3475</v>
      </c>
      <c r="AF1718" s="2">
        <v>3578.27</v>
      </c>
      <c r="AG1718" s="2">
        <v>2171.2941999999998</v>
      </c>
      <c r="AH1718" s="2">
        <v>1406.9757999999999</v>
      </c>
      <c r="AI1718" s="3">
        <v>0.39320001006072802</v>
      </c>
    </row>
    <row r="1719" spans="1:35">
      <c r="A1719" s="1">
        <v>42170</v>
      </c>
      <c r="B1719" s="1">
        <v>37311</v>
      </c>
      <c r="C1719" t="s">
        <v>4646</v>
      </c>
      <c r="D1719">
        <v>312</v>
      </c>
      <c r="E1719">
        <v>20628</v>
      </c>
      <c r="F1719">
        <v>9</v>
      </c>
      <c r="G1719">
        <v>1</v>
      </c>
      <c r="H1719">
        <v>1</v>
      </c>
      <c r="I1719">
        <v>2</v>
      </c>
      <c r="J1719" t="s">
        <v>3489</v>
      </c>
      <c r="K1719" t="s">
        <v>3490</v>
      </c>
      <c r="L1719" s="2">
        <v>2171.2941999999998</v>
      </c>
      <c r="M1719" s="2">
        <v>3578.27</v>
      </c>
      <c r="N1719" t="s">
        <v>13</v>
      </c>
      <c r="O1719" t="s">
        <v>1125</v>
      </c>
      <c r="P1719" t="s">
        <v>217</v>
      </c>
      <c r="Q1719" t="s">
        <v>8048</v>
      </c>
      <c r="R1719" s="1">
        <v>25897</v>
      </c>
      <c r="S1719" t="s">
        <v>22</v>
      </c>
      <c r="T1719" t="s">
        <v>16</v>
      </c>
      <c r="U1719" t="s">
        <v>2542</v>
      </c>
      <c r="V1719">
        <v>120000</v>
      </c>
      <c r="W1719">
        <v>0</v>
      </c>
      <c r="X1719" t="s">
        <v>77</v>
      </c>
      <c r="Y1719" t="s">
        <v>18</v>
      </c>
      <c r="Z1719" t="s">
        <v>19</v>
      </c>
      <c r="AA1719" t="s">
        <v>3586</v>
      </c>
      <c r="AB1719" t="s">
        <v>3586</v>
      </c>
      <c r="AC1719" t="s">
        <v>3587</v>
      </c>
      <c r="AD1719" t="s">
        <v>3479</v>
      </c>
      <c r="AE1719" t="s">
        <v>3475</v>
      </c>
      <c r="AF1719" s="2">
        <v>3578.27</v>
      </c>
      <c r="AG1719" s="2">
        <v>2171.2941999999998</v>
      </c>
      <c r="AH1719" s="2">
        <v>1406.9757999999999</v>
      </c>
      <c r="AI1719" s="3">
        <v>0.39320001006072802</v>
      </c>
    </row>
    <row r="1720" spans="1:35">
      <c r="A1720" s="1">
        <v>42161</v>
      </c>
      <c r="B1720" s="1">
        <v>37375</v>
      </c>
      <c r="C1720" t="s">
        <v>4583</v>
      </c>
      <c r="D1720">
        <v>311</v>
      </c>
      <c r="E1720">
        <v>20629</v>
      </c>
      <c r="F1720">
        <v>9</v>
      </c>
      <c r="G1720">
        <v>1</v>
      </c>
      <c r="H1720">
        <v>1</v>
      </c>
      <c r="I1720">
        <v>2</v>
      </c>
      <c r="J1720" t="s">
        <v>3487</v>
      </c>
      <c r="K1720" t="s">
        <v>3488</v>
      </c>
      <c r="L1720" s="2">
        <v>2171.2941999999998</v>
      </c>
      <c r="M1720" s="2">
        <v>3578.27</v>
      </c>
      <c r="N1720" t="s">
        <v>26</v>
      </c>
      <c r="O1720" t="s">
        <v>502</v>
      </c>
      <c r="P1720" t="s">
        <v>131</v>
      </c>
      <c r="Q1720" t="s">
        <v>8049</v>
      </c>
      <c r="R1720" s="1">
        <v>25629</v>
      </c>
      <c r="S1720" t="s">
        <v>16</v>
      </c>
      <c r="T1720" t="s">
        <v>29</v>
      </c>
      <c r="U1720" t="s">
        <v>2543</v>
      </c>
      <c r="V1720">
        <v>120000</v>
      </c>
      <c r="W1720">
        <v>0</v>
      </c>
      <c r="X1720" t="s">
        <v>77</v>
      </c>
      <c r="Y1720" t="s">
        <v>18</v>
      </c>
      <c r="Z1720" t="s">
        <v>19</v>
      </c>
      <c r="AA1720" t="s">
        <v>3586</v>
      </c>
      <c r="AB1720" t="s">
        <v>3586</v>
      </c>
      <c r="AC1720" t="s">
        <v>3587</v>
      </c>
      <c r="AD1720" t="s">
        <v>3479</v>
      </c>
      <c r="AE1720" t="s">
        <v>3475</v>
      </c>
      <c r="AF1720" s="2">
        <v>3578.27</v>
      </c>
      <c r="AG1720" s="2">
        <v>2171.2941999999998</v>
      </c>
      <c r="AH1720" s="2">
        <v>1406.9757999999999</v>
      </c>
      <c r="AI1720" s="3">
        <v>0.39320001006072802</v>
      </c>
    </row>
    <row r="1721" spans="1:35">
      <c r="A1721" s="1">
        <v>42344</v>
      </c>
      <c r="B1721" s="1">
        <v>37571</v>
      </c>
      <c r="C1721" t="s">
        <v>5954</v>
      </c>
      <c r="D1721">
        <v>360</v>
      </c>
      <c r="E1721">
        <v>20651</v>
      </c>
      <c r="F1721">
        <v>6</v>
      </c>
      <c r="G1721">
        <v>1</v>
      </c>
      <c r="H1721">
        <v>1</v>
      </c>
      <c r="I1721">
        <v>1</v>
      </c>
      <c r="J1721" t="s">
        <v>3543</v>
      </c>
      <c r="K1721" t="s">
        <v>3544</v>
      </c>
      <c r="L1721" s="2">
        <v>1105.81</v>
      </c>
      <c r="M1721" s="2">
        <v>2049.0981999999999</v>
      </c>
      <c r="N1721" t="s">
        <v>13</v>
      </c>
      <c r="O1721" t="s">
        <v>757</v>
      </c>
      <c r="P1721" t="s">
        <v>309</v>
      </c>
      <c r="Q1721" t="s">
        <v>8050</v>
      </c>
      <c r="R1721" s="1">
        <v>25803</v>
      </c>
      <c r="S1721" t="s">
        <v>16</v>
      </c>
      <c r="T1721" t="s">
        <v>16</v>
      </c>
      <c r="U1721" t="s">
        <v>2544</v>
      </c>
      <c r="V1721">
        <v>50000</v>
      </c>
      <c r="W1721">
        <v>1</v>
      </c>
      <c r="X1721" t="s">
        <v>17</v>
      </c>
      <c r="Y1721" t="s">
        <v>53</v>
      </c>
      <c r="Z1721" t="s">
        <v>19</v>
      </c>
      <c r="AA1721" t="s">
        <v>3582</v>
      </c>
      <c r="AB1721" t="s">
        <v>3582</v>
      </c>
      <c r="AC1721" t="s">
        <v>3579</v>
      </c>
      <c r="AD1721" t="s">
        <v>3478</v>
      </c>
      <c r="AE1721" t="s">
        <v>3475</v>
      </c>
      <c r="AF1721" s="2">
        <v>2049.0981999999999</v>
      </c>
      <c r="AG1721" s="2">
        <v>1105.81</v>
      </c>
      <c r="AH1721" s="2">
        <v>943.28819999999996</v>
      </c>
      <c r="AI1721" s="3">
        <v>0.46034309141455498</v>
      </c>
    </row>
    <row r="1722" spans="1:35">
      <c r="A1722" s="1">
        <v>42349</v>
      </c>
      <c r="B1722" s="1">
        <v>37482</v>
      </c>
      <c r="C1722" t="s">
        <v>6009</v>
      </c>
      <c r="D1722">
        <v>352</v>
      </c>
      <c r="E1722">
        <v>20656</v>
      </c>
      <c r="F1722">
        <v>6</v>
      </c>
      <c r="G1722">
        <v>1</v>
      </c>
      <c r="H1722">
        <v>1</v>
      </c>
      <c r="I1722">
        <v>1</v>
      </c>
      <c r="J1722" t="s">
        <v>3535</v>
      </c>
      <c r="K1722" t="s">
        <v>3536</v>
      </c>
      <c r="L1722" s="2">
        <v>1117.8559</v>
      </c>
      <c r="M1722" s="2">
        <v>2071.4196000000002</v>
      </c>
      <c r="N1722" t="s">
        <v>13</v>
      </c>
      <c r="O1722" t="s">
        <v>249</v>
      </c>
      <c r="P1722" t="s">
        <v>329</v>
      </c>
      <c r="Q1722" t="s">
        <v>8051</v>
      </c>
      <c r="R1722" s="1">
        <v>25679</v>
      </c>
      <c r="S1722" t="s">
        <v>16</v>
      </c>
      <c r="T1722" t="s">
        <v>16</v>
      </c>
      <c r="U1722" t="s">
        <v>2545</v>
      </c>
      <c r="V1722">
        <v>60000</v>
      </c>
      <c r="W1722">
        <v>1</v>
      </c>
      <c r="X1722" t="s">
        <v>135</v>
      </c>
      <c r="Y1722" t="s">
        <v>18</v>
      </c>
      <c r="Z1722" t="s">
        <v>19</v>
      </c>
      <c r="AA1722" t="s">
        <v>3582</v>
      </c>
      <c r="AB1722" t="s">
        <v>3582</v>
      </c>
      <c r="AC1722" t="s">
        <v>3579</v>
      </c>
      <c r="AD1722" t="s">
        <v>3478</v>
      </c>
      <c r="AE1722" t="s">
        <v>3475</v>
      </c>
      <c r="AF1722" s="2">
        <v>2071.4196000000002</v>
      </c>
      <c r="AG1722" s="2">
        <v>1117.8559</v>
      </c>
      <c r="AH1722" s="2">
        <v>953.56370000000004</v>
      </c>
      <c r="AI1722" s="3">
        <v>0.460343090313522</v>
      </c>
    </row>
    <row r="1723" spans="1:35">
      <c r="A1723" s="1">
        <v>42358</v>
      </c>
      <c r="B1723" s="1">
        <v>37586</v>
      </c>
      <c r="C1723" t="s">
        <v>6115</v>
      </c>
      <c r="D1723">
        <v>360</v>
      </c>
      <c r="E1723">
        <v>20665</v>
      </c>
      <c r="F1723">
        <v>6</v>
      </c>
      <c r="G1723">
        <v>1</v>
      </c>
      <c r="H1723">
        <v>1</v>
      </c>
      <c r="I1723">
        <v>1</v>
      </c>
      <c r="J1723" t="s">
        <v>3543</v>
      </c>
      <c r="K1723" t="s">
        <v>3544</v>
      </c>
      <c r="L1723" s="2">
        <v>1105.81</v>
      </c>
      <c r="M1723" s="2">
        <v>2049.0981999999999</v>
      </c>
      <c r="N1723" t="s">
        <v>13</v>
      </c>
      <c r="O1723" t="s">
        <v>229</v>
      </c>
      <c r="P1723" t="s">
        <v>325</v>
      </c>
      <c r="Q1723" t="s">
        <v>8052</v>
      </c>
      <c r="R1723" s="1">
        <v>25071</v>
      </c>
      <c r="S1723" t="s">
        <v>22</v>
      </c>
      <c r="T1723" t="s">
        <v>16</v>
      </c>
      <c r="U1723" t="s">
        <v>2546</v>
      </c>
      <c r="V1723">
        <v>70000</v>
      </c>
      <c r="W1723">
        <v>2</v>
      </c>
      <c r="X1723" t="s">
        <v>17</v>
      </c>
      <c r="Y1723" t="s">
        <v>53</v>
      </c>
      <c r="Z1723" t="s">
        <v>19</v>
      </c>
      <c r="AA1723" t="s">
        <v>3582</v>
      </c>
      <c r="AB1723" t="s">
        <v>3582</v>
      </c>
      <c r="AC1723" t="s">
        <v>3579</v>
      </c>
      <c r="AD1723" t="s">
        <v>3478</v>
      </c>
      <c r="AE1723" t="s">
        <v>3475</v>
      </c>
      <c r="AF1723" s="2">
        <v>2049.0981999999999</v>
      </c>
      <c r="AG1723" s="2">
        <v>1105.81</v>
      </c>
      <c r="AH1723" s="2">
        <v>943.28819999999996</v>
      </c>
      <c r="AI1723" s="3">
        <v>0.46034309141455498</v>
      </c>
    </row>
    <row r="1724" spans="1:35">
      <c r="A1724" s="1">
        <v>42346</v>
      </c>
      <c r="B1724" s="1">
        <v>37562</v>
      </c>
      <c r="C1724" t="s">
        <v>5981</v>
      </c>
      <c r="D1724">
        <v>358</v>
      </c>
      <c r="E1724">
        <v>20669</v>
      </c>
      <c r="F1724">
        <v>6</v>
      </c>
      <c r="G1724">
        <v>1</v>
      </c>
      <c r="H1724">
        <v>1</v>
      </c>
      <c r="I1724">
        <v>1</v>
      </c>
      <c r="J1724" t="s">
        <v>3541</v>
      </c>
      <c r="K1724" t="s">
        <v>3542</v>
      </c>
      <c r="L1724" s="2">
        <v>1105.81</v>
      </c>
      <c r="M1724" s="2">
        <v>2049.0981999999999</v>
      </c>
      <c r="N1724" t="s">
        <v>26</v>
      </c>
      <c r="O1724" t="s">
        <v>1218</v>
      </c>
      <c r="P1724" t="s">
        <v>199</v>
      </c>
      <c r="Q1724" t="s">
        <v>8053</v>
      </c>
      <c r="R1724" s="1">
        <v>24569</v>
      </c>
      <c r="S1724" t="s">
        <v>22</v>
      </c>
      <c r="T1724" t="s">
        <v>29</v>
      </c>
      <c r="U1724" t="s">
        <v>2547</v>
      </c>
      <c r="V1724">
        <v>40000</v>
      </c>
      <c r="W1724">
        <v>0</v>
      </c>
      <c r="X1724" t="s">
        <v>17</v>
      </c>
      <c r="Y1724" t="s">
        <v>18</v>
      </c>
      <c r="Z1724" t="s">
        <v>19</v>
      </c>
      <c r="AA1724" t="s">
        <v>3582</v>
      </c>
      <c r="AB1724" t="s">
        <v>3582</v>
      </c>
      <c r="AC1724" t="s">
        <v>3579</v>
      </c>
      <c r="AD1724" t="s">
        <v>3478</v>
      </c>
      <c r="AE1724" t="s">
        <v>3475</v>
      </c>
      <c r="AF1724" s="2">
        <v>2049.0981999999999</v>
      </c>
      <c r="AG1724" s="2">
        <v>1105.81</v>
      </c>
      <c r="AH1724" s="2">
        <v>943.28819999999996</v>
      </c>
      <c r="AI1724" s="3">
        <v>0.46034309141455498</v>
      </c>
    </row>
    <row r="1725" spans="1:35">
      <c r="A1725" s="1">
        <v>42360</v>
      </c>
      <c r="B1725" s="1">
        <v>37496</v>
      </c>
      <c r="C1725" t="s">
        <v>6131</v>
      </c>
      <c r="D1725">
        <v>358</v>
      </c>
      <c r="E1725">
        <v>20670</v>
      </c>
      <c r="F1725">
        <v>6</v>
      </c>
      <c r="G1725">
        <v>1</v>
      </c>
      <c r="H1725">
        <v>1</v>
      </c>
      <c r="I1725">
        <v>1</v>
      </c>
      <c r="J1725" t="s">
        <v>3541</v>
      </c>
      <c r="K1725" t="s">
        <v>3542</v>
      </c>
      <c r="L1725" s="2">
        <v>1105.81</v>
      </c>
      <c r="M1725" s="2">
        <v>2049.0981999999999</v>
      </c>
      <c r="N1725" t="s">
        <v>30</v>
      </c>
      <c r="O1725" t="s">
        <v>202</v>
      </c>
      <c r="P1725" t="s">
        <v>175</v>
      </c>
      <c r="Q1725" t="s">
        <v>8054</v>
      </c>
      <c r="R1725" s="1">
        <v>25639</v>
      </c>
      <c r="S1725" t="s">
        <v>16</v>
      </c>
      <c r="T1725" t="s">
        <v>29</v>
      </c>
      <c r="U1725" t="s">
        <v>2548</v>
      </c>
      <c r="V1725">
        <v>60000</v>
      </c>
      <c r="W1725">
        <v>1</v>
      </c>
      <c r="X1725" t="s">
        <v>135</v>
      </c>
      <c r="Y1725" t="s">
        <v>18</v>
      </c>
      <c r="Z1725" t="s">
        <v>19</v>
      </c>
      <c r="AA1725" t="s">
        <v>3582</v>
      </c>
      <c r="AB1725" t="s">
        <v>3582</v>
      </c>
      <c r="AC1725" t="s">
        <v>3579</v>
      </c>
      <c r="AD1725" t="s">
        <v>3478</v>
      </c>
      <c r="AE1725" t="s">
        <v>3475</v>
      </c>
      <c r="AF1725" s="2">
        <v>2049.0981999999999</v>
      </c>
      <c r="AG1725" s="2">
        <v>1105.81</v>
      </c>
      <c r="AH1725" s="2">
        <v>943.28819999999996</v>
      </c>
      <c r="AI1725" s="3">
        <v>0.46034309141455498</v>
      </c>
    </row>
    <row r="1726" spans="1:35">
      <c r="A1726" s="1">
        <v>42361</v>
      </c>
      <c r="B1726" s="1">
        <v>37562</v>
      </c>
      <c r="C1726" t="s">
        <v>6138</v>
      </c>
      <c r="D1726">
        <v>360</v>
      </c>
      <c r="E1726">
        <v>20680</v>
      </c>
      <c r="F1726">
        <v>6</v>
      </c>
      <c r="G1726">
        <v>1</v>
      </c>
      <c r="H1726">
        <v>1</v>
      </c>
      <c r="I1726">
        <v>1</v>
      </c>
      <c r="J1726" t="s">
        <v>3543</v>
      </c>
      <c r="K1726" t="s">
        <v>3544</v>
      </c>
      <c r="L1726" s="2">
        <v>1105.81</v>
      </c>
      <c r="M1726" s="2">
        <v>2049.0981999999999</v>
      </c>
      <c r="N1726" t="s">
        <v>26</v>
      </c>
      <c r="O1726" t="s">
        <v>289</v>
      </c>
      <c r="P1726" t="s">
        <v>166</v>
      </c>
      <c r="Q1726" t="s">
        <v>8055</v>
      </c>
      <c r="R1726" s="1">
        <v>24307</v>
      </c>
      <c r="S1726" t="s">
        <v>22</v>
      </c>
      <c r="T1726" t="s">
        <v>29</v>
      </c>
      <c r="U1726" t="s">
        <v>2549</v>
      </c>
      <c r="V1726">
        <v>60000</v>
      </c>
      <c r="W1726">
        <v>0</v>
      </c>
      <c r="X1726" t="s">
        <v>135</v>
      </c>
      <c r="Y1726" t="s">
        <v>18</v>
      </c>
      <c r="Z1726" t="s">
        <v>19</v>
      </c>
      <c r="AA1726" t="s">
        <v>3582</v>
      </c>
      <c r="AB1726" t="s">
        <v>3582</v>
      </c>
      <c r="AC1726" t="s">
        <v>3579</v>
      </c>
      <c r="AD1726" t="s">
        <v>3478</v>
      </c>
      <c r="AE1726" t="s">
        <v>3475</v>
      </c>
      <c r="AF1726" s="2">
        <v>2049.0981999999999</v>
      </c>
      <c r="AG1726" s="2">
        <v>1105.81</v>
      </c>
      <c r="AH1726" s="2">
        <v>943.28819999999996</v>
      </c>
      <c r="AI1726" s="3">
        <v>0.46034309141455498</v>
      </c>
    </row>
    <row r="1727" spans="1:35">
      <c r="A1727" s="1">
        <v>42215</v>
      </c>
      <c r="B1727" s="1">
        <v>37408</v>
      </c>
      <c r="C1727" t="s">
        <v>4991</v>
      </c>
      <c r="D1727">
        <v>330</v>
      </c>
      <c r="E1727">
        <v>20710</v>
      </c>
      <c r="F1727">
        <v>10</v>
      </c>
      <c r="G1727">
        <v>1</v>
      </c>
      <c r="H1727">
        <v>1</v>
      </c>
      <c r="I1727">
        <v>2</v>
      </c>
      <c r="J1727" t="s">
        <v>3505</v>
      </c>
      <c r="K1727" t="s">
        <v>3506</v>
      </c>
      <c r="L1727" s="2">
        <v>413.1463</v>
      </c>
      <c r="M1727" s="2">
        <v>699.09820000000002</v>
      </c>
      <c r="N1727" t="s">
        <v>13</v>
      </c>
      <c r="O1727" t="s">
        <v>1100</v>
      </c>
      <c r="P1727" t="s">
        <v>131</v>
      </c>
      <c r="Q1727" t="s">
        <v>8056</v>
      </c>
      <c r="R1727" s="1">
        <v>27341</v>
      </c>
      <c r="S1727" t="s">
        <v>16</v>
      </c>
      <c r="T1727" t="s">
        <v>16</v>
      </c>
      <c r="U1727" t="s">
        <v>2550</v>
      </c>
      <c r="V1727">
        <v>40000</v>
      </c>
      <c r="W1727">
        <v>1</v>
      </c>
      <c r="X1727" t="s">
        <v>17</v>
      </c>
      <c r="Y1727" t="s">
        <v>53</v>
      </c>
      <c r="Z1727" t="s">
        <v>19</v>
      </c>
      <c r="AA1727" t="s">
        <v>3588</v>
      </c>
      <c r="AB1727" t="s">
        <v>3588</v>
      </c>
      <c r="AC1727" t="s">
        <v>3584</v>
      </c>
      <c r="AD1727" t="s">
        <v>3479</v>
      </c>
      <c r="AE1727" t="s">
        <v>3475</v>
      </c>
      <c r="AF1727" s="2">
        <v>699.09820000000002</v>
      </c>
      <c r="AG1727" s="2">
        <v>413.1463</v>
      </c>
      <c r="AH1727" s="2">
        <v>285.95190000000002</v>
      </c>
      <c r="AI1727" s="3">
        <v>0.409029661355157</v>
      </c>
    </row>
    <row r="1728" spans="1:35">
      <c r="A1728" s="1">
        <v>42243</v>
      </c>
      <c r="B1728" s="1">
        <v>37467</v>
      </c>
      <c r="C1728" t="s">
        <v>5247</v>
      </c>
      <c r="D1728">
        <v>334</v>
      </c>
      <c r="E1728">
        <v>20711</v>
      </c>
      <c r="F1728">
        <v>10</v>
      </c>
      <c r="G1728">
        <v>1</v>
      </c>
      <c r="H1728">
        <v>1</v>
      </c>
      <c r="I1728">
        <v>2</v>
      </c>
      <c r="J1728" t="s">
        <v>3509</v>
      </c>
      <c r="K1728" t="s">
        <v>3510</v>
      </c>
      <c r="L1728" s="2">
        <v>413.1463</v>
      </c>
      <c r="M1728" s="2">
        <v>699.09820000000002</v>
      </c>
      <c r="N1728" t="s">
        <v>30</v>
      </c>
      <c r="O1728" t="s">
        <v>94</v>
      </c>
      <c r="P1728" t="s">
        <v>538</v>
      </c>
      <c r="Q1728" t="s">
        <v>8057</v>
      </c>
      <c r="R1728" s="1">
        <v>27034</v>
      </c>
      <c r="S1728" t="s">
        <v>16</v>
      </c>
      <c r="T1728" t="s">
        <v>29</v>
      </c>
      <c r="U1728" t="s">
        <v>2551</v>
      </c>
      <c r="V1728">
        <v>40000</v>
      </c>
      <c r="W1728">
        <v>1</v>
      </c>
      <c r="X1728" t="s">
        <v>17</v>
      </c>
      <c r="Y1728" t="s">
        <v>53</v>
      </c>
      <c r="Z1728" t="s">
        <v>19</v>
      </c>
      <c r="AA1728" t="s">
        <v>3588</v>
      </c>
      <c r="AB1728" t="s">
        <v>3588</v>
      </c>
      <c r="AC1728" t="s">
        <v>3584</v>
      </c>
      <c r="AD1728" t="s">
        <v>3479</v>
      </c>
      <c r="AE1728" t="s">
        <v>3475</v>
      </c>
      <c r="AF1728" s="2">
        <v>699.09820000000002</v>
      </c>
      <c r="AG1728" s="2">
        <v>413.1463</v>
      </c>
      <c r="AH1728" s="2">
        <v>285.95190000000002</v>
      </c>
      <c r="AI1728" s="3">
        <v>0.409029661355157</v>
      </c>
    </row>
    <row r="1729" spans="1:35">
      <c r="A1729" s="1">
        <v>42236</v>
      </c>
      <c r="B1729" s="1">
        <v>37391</v>
      </c>
      <c r="C1729" t="s">
        <v>5175</v>
      </c>
      <c r="D1729">
        <v>338</v>
      </c>
      <c r="E1729">
        <v>20712</v>
      </c>
      <c r="F1729">
        <v>10</v>
      </c>
      <c r="G1729">
        <v>1</v>
      </c>
      <c r="H1729">
        <v>1</v>
      </c>
      <c r="I1729">
        <v>2</v>
      </c>
      <c r="J1729" t="s">
        <v>3513</v>
      </c>
      <c r="K1729" t="s">
        <v>3514</v>
      </c>
      <c r="L1729" s="2">
        <v>413.1463</v>
      </c>
      <c r="M1729" s="2">
        <v>699.09820000000002</v>
      </c>
      <c r="N1729" t="s">
        <v>13</v>
      </c>
      <c r="O1729" t="s">
        <v>371</v>
      </c>
      <c r="P1729" t="s">
        <v>21</v>
      </c>
      <c r="Q1729" t="s">
        <v>8058</v>
      </c>
      <c r="R1729" s="1">
        <v>27231</v>
      </c>
      <c r="S1729" t="s">
        <v>16</v>
      </c>
      <c r="T1729" t="s">
        <v>16</v>
      </c>
      <c r="U1729" t="s">
        <v>2552</v>
      </c>
      <c r="V1729">
        <v>40000</v>
      </c>
      <c r="W1729">
        <v>1</v>
      </c>
      <c r="X1729" t="s">
        <v>17</v>
      </c>
      <c r="Y1729" t="s">
        <v>53</v>
      </c>
      <c r="Z1729" t="s">
        <v>19</v>
      </c>
      <c r="AA1729" t="s">
        <v>3588</v>
      </c>
      <c r="AB1729" t="s">
        <v>3588</v>
      </c>
      <c r="AC1729" t="s">
        <v>3584</v>
      </c>
      <c r="AD1729" t="s">
        <v>3479</v>
      </c>
      <c r="AE1729" t="s">
        <v>3475</v>
      </c>
      <c r="AF1729" s="2">
        <v>699.09820000000002</v>
      </c>
      <c r="AG1729" s="2">
        <v>413.1463</v>
      </c>
      <c r="AH1729" s="2">
        <v>285.95190000000002</v>
      </c>
      <c r="AI1729" s="3">
        <v>0.409029661355157</v>
      </c>
    </row>
    <row r="1730" spans="1:35">
      <c r="A1730" s="1">
        <v>42237</v>
      </c>
      <c r="B1730" s="1">
        <v>37370</v>
      </c>
      <c r="C1730" t="s">
        <v>5188</v>
      </c>
      <c r="D1730">
        <v>342</v>
      </c>
      <c r="E1730">
        <v>20713</v>
      </c>
      <c r="F1730">
        <v>10</v>
      </c>
      <c r="G1730">
        <v>1</v>
      </c>
      <c r="H1730">
        <v>1</v>
      </c>
      <c r="I1730">
        <v>2</v>
      </c>
      <c r="J1730" t="s">
        <v>3517</v>
      </c>
      <c r="K1730" t="s">
        <v>3518</v>
      </c>
      <c r="L1730" s="2">
        <v>413.1463</v>
      </c>
      <c r="M1730" s="2">
        <v>699.09820000000002</v>
      </c>
      <c r="N1730" t="s">
        <v>26</v>
      </c>
      <c r="O1730" t="s">
        <v>1035</v>
      </c>
      <c r="P1730" t="s">
        <v>270</v>
      </c>
      <c r="Q1730" t="s">
        <v>8059</v>
      </c>
      <c r="R1730" s="1">
        <v>26558</v>
      </c>
      <c r="S1730" t="s">
        <v>22</v>
      </c>
      <c r="T1730" t="s">
        <v>29</v>
      </c>
      <c r="U1730" t="s">
        <v>2553</v>
      </c>
      <c r="V1730">
        <v>10000</v>
      </c>
      <c r="W1730">
        <v>0</v>
      </c>
      <c r="X1730" t="s">
        <v>77</v>
      </c>
      <c r="Y1730" t="s">
        <v>444</v>
      </c>
      <c r="Z1730" t="s">
        <v>23</v>
      </c>
      <c r="AA1730" t="s">
        <v>3588</v>
      </c>
      <c r="AB1730" t="s">
        <v>3588</v>
      </c>
      <c r="AC1730" t="s">
        <v>3584</v>
      </c>
      <c r="AD1730" t="s">
        <v>3479</v>
      </c>
      <c r="AE1730" t="s">
        <v>3475</v>
      </c>
      <c r="AF1730" s="2">
        <v>699.09820000000002</v>
      </c>
      <c r="AG1730" s="2">
        <v>413.1463</v>
      </c>
      <c r="AH1730" s="2">
        <v>285.95190000000002</v>
      </c>
      <c r="AI1730" s="3">
        <v>0.409029661355157</v>
      </c>
    </row>
    <row r="1731" spans="1:35">
      <c r="A1731" s="1">
        <v>42313</v>
      </c>
      <c r="B1731" s="1">
        <v>37531</v>
      </c>
      <c r="C1731" t="s">
        <v>5728</v>
      </c>
      <c r="D1731">
        <v>334</v>
      </c>
      <c r="E1731">
        <v>20716</v>
      </c>
      <c r="F1731">
        <v>8</v>
      </c>
      <c r="G1731">
        <v>1</v>
      </c>
      <c r="H1731">
        <v>1</v>
      </c>
      <c r="I1731">
        <v>2</v>
      </c>
      <c r="J1731" t="s">
        <v>3509</v>
      </c>
      <c r="K1731" t="s">
        <v>3510</v>
      </c>
      <c r="L1731" s="2">
        <v>413.1463</v>
      </c>
      <c r="M1731" s="2">
        <v>699.09820000000002</v>
      </c>
      <c r="N1731" t="s">
        <v>30</v>
      </c>
      <c r="O1731" t="s">
        <v>897</v>
      </c>
      <c r="P1731" t="s">
        <v>163</v>
      </c>
      <c r="Q1731" t="s">
        <v>8060</v>
      </c>
      <c r="R1731" s="1">
        <v>26920</v>
      </c>
      <c r="S1731" t="s">
        <v>16</v>
      </c>
      <c r="T1731" t="s">
        <v>29</v>
      </c>
      <c r="U1731" t="s">
        <v>2554</v>
      </c>
      <c r="V1731">
        <v>40000</v>
      </c>
      <c r="W1731">
        <v>1</v>
      </c>
      <c r="X1731" t="s">
        <v>17</v>
      </c>
      <c r="Y1731" t="s">
        <v>53</v>
      </c>
      <c r="Z1731" t="s">
        <v>19</v>
      </c>
      <c r="AA1731" t="s">
        <v>3585</v>
      </c>
      <c r="AB1731" t="s">
        <v>3585</v>
      </c>
      <c r="AC1731" t="s">
        <v>3584</v>
      </c>
      <c r="AD1731" t="s">
        <v>3479</v>
      </c>
      <c r="AE1731" t="s">
        <v>3475</v>
      </c>
      <c r="AF1731" s="2">
        <v>699.09820000000002</v>
      </c>
      <c r="AG1731" s="2">
        <v>413.1463</v>
      </c>
      <c r="AH1731" s="2">
        <v>285.95190000000002</v>
      </c>
      <c r="AI1731" s="3">
        <v>0.409029661355157</v>
      </c>
    </row>
    <row r="1732" spans="1:35">
      <c r="A1732" s="1">
        <v>42242</v>
      </c>
      <c r="B1732" s="1">
        <v>37424</v>
      </c>
      <c r="C1732" t="s">
        <v>5230</v>
      </c>
      <c r="D1732">
        <v>336</v>
      </c>
      <c r="E1732">
        <v>20717</v>
      </c>
      <c r="F1732">
        <v>10</v>
      </c>
      <c r="G1732">
        <v>1</v>
      </c>
      <c r="H1732">
        <v>1</v>
      </c>
      <c r="I1732">
        <v>2</v>
      </c>
      <c r="J1732" t="s">
        <v>3511</v>
      </c>
      <c r="K1732" t="s">
        <v>3512</v>
      </c>
      <c r="L1732" s="2">
        <v>413.1463</v>
      </c>
      <c r="M1732" s="2">
        <v>699.09820000000002</v>
      </c>
      <c r="N1732" t="s">
        <v>26</v>
      </c>
      <c r="O1732" t="s">
        <v>1175</v>
      </c>
      <c r="P1732" t="s">
        <v>1564</v>
      </c>
      <c r="Q1732" t="s">
        <v>8061</v>
      </c>
      <c r="R1732" s="1">
        <v>26729</v>
      </c>
      <c r="S1732" t="s">
        <v>22</v>
      </c>
      <c r="T1732" t="s">
        <v>29</v>
      </c>
      <c r="U1732" t="s">
        <v>2555</v>
      </c>
      <c r="V1732">
        <v>40000</v>
      </c>
      <c r="W1732">
        <v>0</v>
      </c>
      <c r="X1732" t="s">
        <v>135</v>
      </c>
      <c r="Y1732" t="s">
        <v>53</v>
      </c>
      <c r="Z1732" t="s">
        <v>23</v>
      </c>
      <c r="AA1732" t="s">
        <v>3588</v>
      </c>
      <c r="AB1732" t="s">
        <v>3588</v>
      </c>
      <c r="AC1732" t="s">
        <v>3584</v>
      </c>
      <c r="AD1732" t="s">
        <v>3479</v>
      </c>
      <c r="AE1732" t="s">
        <v>3475</v>
      </c>
      <c r="AF1732" s="2">
        <v>699.09820000000002</v>
      </c>
      <c r="AG1732" s="2">
        <v>413.1463</v>
      </c>
      <c r="AH1732" s="2">
        <v>285.95190000000002</v>
      </c>
      <c r="AI1732" s="3">
        <v>0.409029661355157</v>
      </c>
    </row>
    <row r="1733" spans="1:35">
      <c r="A1733" s="1">
        <v>42243</v>
      </c>
      <c r="B1733" s="1">
        <v>37441</v>
      </c>
      <c r="C1733" t="s">
        <v>5252</v>
      </c>
      <c r="D1733">
        <v>326</v>
      </c>
      <c r="E1733">
        <v>20718</v>
      </c>
      <c r="F1733">
        <v>10</v>
      </c>
      <c r="G1733">
        <v>1</v>
      </c>
      <c r="H1733">
        <v>1</v>
      </c>
      <c r="I1733">
        <v>2</v>
      </c>
      <c r="J1733" t="s">
        <v>3501</v>
      </c>
      <c r="K1733" t="s">
        <v>3502</v>
      </c>
      <c r="L1733" s="2">
        <v>413.1463</v>
      </c>
      <c r="M1733" s="2">
        <v>699.09820000000002</v>
      </c>
      <c r="N1733" t="s">
        <v>13</v>
      </c>
      <c r="O1733" t="s">
        <v>358</v>
      </c>
      <c r="P1733" t="s">
        <v>34</v>
      </c>
      <c r="Q1733" t="s">
        <v>8062</v>
      </c>
      <c r="R1733" s="1">
        <v>26657</v>
      </c>
      <c r="S1733" t="s">
        <v>22</v>
      </c>
      <c r="T1733" t="s">
        <v>16</v>
      </c>
      <c r="U1733" t="s">
        <v>2556</v>
      </c>
      <c r="V1733">
        <v>30000</v>
      </c>
      <c r="W1733">
        <v>0</v>
      </c>
      <c r="X1733" t="s">
        <v>57</v>
      </c>
      <c r="Y1733" t="s">
        <v>444</v>
      </c>
      <c r="Z1733" t="s">
        <v>19</v>
      </c>
      <c r="AA1733" t="s">
        <v>3588</v>
      </c>
      <c r="AB1733" t="s">
        <v>3588</v>
      </c>
      <c r="AC1733" t="s">
        <v>3584</v>
      </c>
      <c r="AD1733" t="s">
        <v>3479</v>
      </c>
      <c r="AE1733" t="s">
        <v>3475</v>
      </c>
      <c r="AF1733" s="2">
        <v>699.09820000000002</v>
      </c>
      <c r="AG1733" s="2">
        <v>413.1463</v>
      </c>
      <c r="AH1733" s="2">
        <v>285.95190000000002</v>
      </c>
      <c r="AI1733" s="3">
        <v>0.409029661355157</v>
      </c>
    </row>
    <row r="1734" spans="1:35">
      <c r="A1734" s="1">
        <v>42329</v>
      </c>
      <c r="B1734" s="1">
        <v>37498</v>
      </c>
      <c r="C1734" t="s">
        <v>5826</v>
      </c>
      <c r="D1734">
        <v>324</v>
      </c>
      <c r="E1734">
        <v>20719</v>
      </c>
      <c r="F1734">
        <v>8</v>
      </c>
      <c r="G1734">
        <v>1</v>
      </c>
      <c r="H1734">
        <v>1</v>
      </c>
      <c r="I1734">
        <v>2</v>
      </c>
      <c r="J1734" t="s">
        <v>3499</v>
      </c>
      <c r="K1734" t="s">
        <v>3500</v>
      </c>
      <c r="L1734" s="2">
        <v>413.1463</v>
      </c>
      <c r="M1734" s="2">
        <v>699.09820000000002</v>
      </c>
      <c r="N1734" t="s">
        <v>13</v>
      </c>
      <c r="O1734" t="s">
        <v>1094</v>
      </c>
      <c r="P1734" t="s">
        <v>214</v>
      </c>
      <c r="Q1734" t="s">
        <v>8063</v>
      </c>
      <c r="R1734" s="1">
        <v>26531</v>
      </c>
      <c r="S1734" t="s">
        <v>22</v>
      </c>
      <c r="T1734" t="s">
        <v>16</v>
      </c>
      <c r="U1734" t="s">
        <v>2557</v>
      </c>
      <c r="V1734">
        <v>30000</v>
      </c>
      <c r="W1734">
        <v>0</v>
      </c>
      <c r="X1734" t="s">
        <v>57</v>
      </c>
      <c r="Y1734" t="s">
        <v>444</v>
      </c>
      <c r="Z1734" t="s">
        <v>23</v>
      </c>
      <c r="AA1734" t="s">
        <v>3585</v>
      </c>
      <c r="AB1734" t="s">
        <v>3585</v>
      </c>
      <c r="AC1734" t="s">
        <v>3584</v>
      </c>
      <c r="AD1734" t="s">
        <v>3479</v>
      </c>
      <c r="AE1734" t="s">
        <v>3475</v>
      </c>
      <c r="AF1734" s="2">
        <v>699.09820000000002</v>
      </c>
      <c r="AG1734" s="2">
        <v>413.1463</v>
      </c>
      <c r="AH1734" s="2">
        <v>285.95190000000002</v>
      </c>
      <c r="AI1734" s="3">
        <v>0.409029661355157</v>
      </c>
    </row>
    <row r="1735" spans="1:35">
      <c r="A1735" s="1">
        <v>42318</v>
      </c>
      <c r="B1735" s="1">
        <v>37532</v>
      </c>
      <c r="C1735" t="s">
        <v>5757</v>
      </c>
      <c r="D1735">
        <v>326</v>
      </c>
      <c r="E1735">
        <v>20720</v>
      </c>
      <c r="F1735">
        <v>8</v>
      </c>
      <c r="G1735">
        <v>1</v>
      </c>
      <c r="H1735">
        <v>1</v>
      </c>
      <c r="I1735">
        <v>2</v>
      </c>
      <c r="J1735" t="s">
        <v>3501</v>
      </c>
      <c r="K1735" t="s">
        <v>3502</v>
      </c>
      <c r="L1735" s="2">
        <v>413.1463</v>
      </c>
      <c r="M1735" s="2">
        <v>699.09820000000002</v>
      </c>
      <c r="N1735" t="s">
        <v>26</v>
      </c>
      <c r="O1735" t="s">
        <v>1845</v>
      </c>
      <c r="P1735" t="s">
        <v>561</v>
      </c>
      <c r="Q1735" t="s">
        <v>8064</v>
      </c>
      <c r="R1735" s="1">
        <v>26484</v>
      </c>
      <c r="S1735" t="s">
        <v>22</v>
      </c>
      <c r="T1735" t="s">
        <v>29</v>
      </c>
      <c r="U1735" t="s">
        <v>2558</v>
      </c>
      <c r="V1735">
        <v>30000</v>
      </c>
      <c r="W1735">
        <v>0</v>
      </c>
      <c r="X1735" t="s">
        <v>57</v>
      </c>
      <c r="Y1735" t="s">
        <v>444</v>
      </c>
      <c r="Z1735" t="s">
        <v>23</v>
      </c>
      <c r="AA1735" t="s">
        <v>3585</v>
      </c>
      <c r="AB1735" t="s">
        <v>3585</v>
      </c>
      <c r="AC1735" t="s">
        <v>3584</v>
      </c>
      <c r="AD1735" t="s">
        <v>3479</v>
      </c>
      <c r="AE1735" t="s">
        <v>3475</v>
      </c>
      <c r="AF1735" s="2">
        <v>699.09820000000002</v>
      </c>
      <c r="AG1735" s="2">
        <v>413.1463</v>
      </c>
      <c r="AH1735" s="2">
        <v>285.95190000000002</v>
      </c>
      <c r="AI1735" s="3">
        <v>0.409029661355157</v>
      </c>
    </row>
    <row r="1736" spans="1:35">
      <c r="A1736" s="1">
        <v>42369</v>
      </c>
      <c r="B1736" s="1">
        <v>37592</v>
      </c>
      <c r="C1736" t="s">
        <v>6221</v>
      </c>
      <c r="D1736">
        <v>340</v>
      </c>
      <c r="E1736">
        <v>20722</v>
      </c>
      <c r="F1736">
        <v>8</v>
      </c>
      <c r="G1736">
        <v>1</v>
      </c>
      <c r="H1736">
        <v>1</v>
      </c>
      <c r="I1736">
        <v>2</v>
      </c>
      <c r="J1736" t="s">
        <v>3515</v>
      </c>
      <c r="K1736" t="s">
        <v>3516</v>
      </c>
      <c r="L1736" s="2">
        <v>413.1463</v>
      </c>
      <c r="M1736" s="2">
        <v>699.09820000000002</v>
      </c>
      <c r="N1736" t="s">
        <v>30</v>
      </c>
      <c r="O1736" t="s">
        <v>1202</v>
      </c>
      <c r="P1736" t="s">
        <v>157</v>
      </c>
      <c r="Q1736" t="s">
        <v>8065</v>
      </c>
      <c r="R1736" s="1">
        <v>26413</v>
      </c>
      <c r="S1736" t="s">
        <v>22</v>
      </c>
      <c r="T1736" t="s">
        <v>29</v>
      </c>
      <c r="U1736" t="s">
        <v>2559</v>
      </c>
      <c r="V1736">
        <v>40000</v>
      </c>
      <c r="W1736">
        <v>2</v>
      </c>
      <c r="X1736" t="s">
        <v>52</v>
      </c>
      <c r="Y1736" t="s">
        <v>60</v>
      </c>
      <c r="Z1736" t="s">
        <v>19</v>
      </c>
      <c r="AA1736" t="s">
        <v>3585</v>
      </c>
      <c r="AB1736" t="s">
        <v>3585</v>
      </c>
      <c r="AC1736" t="s">
        <v>3584</v>
      </c>
      <c r="AD1736" t="s">
        <v>3479</v>
      </c>
      <c r="AE1736" t="s">
        <v>3475</v>
      </c>
      <c r="AF1736" s="2">
        <v>699.09820000000002</v>
      </c>
      <c r="AG1736" s="2">
        <v>413.1463</v>
      </c>
      <c r="AH1736" s="2">
        <v>285.95190000000002</v>
      </c>
      <c r="AI1736" s="3">
        <v>0.409029661355157</v>
      </c>
    </row>
    <row r="1737" spans="1:35">
      <c r="A1737" s="1">
        <v>42354</v>
      </c>
      <c r="B1737" s="1">
        <v>37559</v>
      </c>
      <c r="C1737" t="s">
        <v>6063</v>
      </c>
      <c r="D1737">
        <v>324</v>
      </c>
      <c r="E1737">
        <v>20726</v>
      </c>
      <c r="F1737">
        <v>8</v>
      </c>
      <c r="G1737">
        <v>1</v>
      </c>
      <c r="H1737">
        <v>1</v>
      </c>
      <c r="I1737">
        <v>2</v>
      </c>
      <c r="J1737" t="s">
        <v>3499</v>
      </c>
      <c r="K1737" t="s">
        <v>3500</v>
      </c>
      <c r="L1737" s="2">
        <v>413.1463</v>
      </c>
      <c r="M1737" s="2">
        <v>699.09820000000002</v>
      </c>
      <c r="N1737" t="s">
        <v>26</v>
      </c>
      <c r="O1737" t="s">
        <v>494</v>
      </c>
      <c r="P1737" t="s">
        <v>317</v>
      </c>
      <c r="Q1737" t="s">
        <v>8066</v>
      </c>
      <c r="R1737" s="1">
        <v>26163</v>
      </c>
      <c r="S1737" t="s">
        <v>22</v>
      </c>
      <c r="T1737" t="s">
        <v>29</v>
      </c>
      <c r="U1737" t="s">
        <v>2560</v>
      </c>
      <c r="V1737">
        <v>30000</v>
      </c>
      <c r="W1737">
        <v>0</v>
      </c>
      <c r="X1737" t="s">
        <v>57</v>
      </c>
      <c r="Y1737" t="s">
        <v>444</v>
      </c>
      <c r="Z1737" t="s">
        <v>23</v>
      </c>
      <c r="AA1737" t="s">
        <v>3585</v>
      </c>
      <c r="AB1737" t="s">
        <v>3585</v>
      </c>
      <c r="AC1737" t="s">
        <v>3584</v>
      </c>
      <c r="AD1737" t="s">
        <v>3479</v>
      </c>
      <c r="AE1737" t="s">
        <v>3475</v>
      </c>
      <c r="AF1737" s="2">
        <v>699.09820000000002</v>
      </c>
      <c r="AG1737" s="2">
        <v>413.1463</v>
      </c>
      <c r="AH1737" s="2">
        <v>285.95190000000002</v>
      </c>
      <c r="AI1737" s="3">
        <v>0.409029661355157</v>
      </c>
    </row>
    <row r="1738" spans="1:35">
      <c r="A1738" s="1">
        <v>42246</v>
      </c>
      <c r="B1738" s="1">
        <v>37482</v>
      </c>
      <c r="C1738" t="s">
        <v>5269</v>
      </c>
      <c r="D1738">
        <v>332</v>
      </c>
      <c r="E1738">
        <v>20807</v>
      </c>
      <c r="F1738">
        <v>10</v>
      </c>
      <c r="G1738">
        <v>1</v>
      </c>
      <c r="H1738">
        <v>1</v>
      </c>
      <c r="I1738">
        <v>2</v>
      </c>
      <c r="J1738" t="s">
        <v>3507</v>
      </c>
      <c r="K1738" t="s">
        <v>3508</v>
      </c>
      <c r="L1738" s="2">
        <v>413.1463</v>
      </c>
      <c r="M1738" s="2">
        <v>699.09820000000002</v>
      </c>
      <c r="N1738" t="s">
        <v>13</v>
      </c>
      <c r="O1738" t="s">
        <v>63</v>
      </c>
      <c r="P1738" t="s">
        <v>321</v>
      </c>
      <c r="Q1738" t="s">
        <v>8067</v>
      </c>
      <c r="R1738" s="1">
        <v>20273</v>
      </c>
      <c r="S1738" t="s">
        <v>16</v>
      </c>
      <c r="T1738" t="s">
        <v>16</v>
      </c>
      <c r="U1738" t="s">
        <v>2561</v>
      </c>
      <c r="V1738">
        <v>10000</v>
      </c>
      <c r="W1738">
        <v>2</v>
      </c>
      <c r="X1738" t="s">
        <v>52</v>
      </c>
      <c r="Y1738" t="s">
        <v>444</v>
      </c>
      <c r="Z1738" t="s">
        <v>19</v>
      </c>
      <c r="AA1738" t="s">
        <v>3588</v>
      </c>
      <c r="AB1738" t="s">
        <v>3588</v>
      </c>
      <c r="AC1738" t="s">
        <v>3584</v>
      </c>
      <c r="AD1738" t="s">
        <v>3479</v>
      </c>
      <c r="AE1738" t="s">
        <v>3475</v>
      </c>
      <c r="AF1738" s="2">
        <v>699.09820000000002</v>
      </c>
      <c r="AG1738" s="2">
        <v>413.1463</v>
      </c>
      <c r="AH1738" s="2">
        <v>285.95190000000002</v>
      </c>
      <c r="AI1738" s="3">
        <v>0.409029661355157</v>
      </c>
    </row>
    <row r="1739" spans="1:35">
      <c r="A1739" s="1">
        <v>42347</v>
      </c>
      <c r="B1739" s="1">
        <v>37562</v>
      </c>
      <c r="C1739" t="s">
        <v>5984</v>
      </c>
      <c r="D1739">
        <v>334</v>
      </c>
      <c r="E1739">
        <v>20808</v>
      </c>
      <c r="F1739">
        <v>8</v>
      </c>
      <c r="G1739">
        <v>1</v>
      </c>
      <c r="H1739">
        <v>1</v>
      </c>
      <c r="I1739">
        <v>2</v>
      </c>
      <c r="J1739" t="s">
        <v>3509</v>
      </c>
      <c r="K1739" t="s">
        <v>3510</v>
      </c>
      <c r="L1739" s="2">
        <v>413.1463</v>
      </c>
      <c r="M1739" s="2">
        <v>699.09820000000002</v>
      </c>
      <c r="N1739" t="s">
        <v>30</v>
      </c>
      <c r="O1739" t="s">
        <v>1029</v>
      </c>
      <c r="P1739" t="s">
        <v>476</v>
      </c>
      <c r="Q1739" t="s">
        <v>8068</v>
      </c>
      <c r="R1739" s="1">
        <v>20227</v>
      </c>
      <c r="S1739" t="s">
        <v>16</v>
      </c>
      <c r="T1739" t="s">
        <v>29</v>
      </c>
      <c r="U1739" t="s">
        <v>2562</v>
      </c>
      <c r="V1739">
        <v>10000</v>
      </c>
      <c r="W1739">
        <v>2</v>
      </c>
      <c r="X1739" t="s">
        <v>52</v>
      </c>
      <c r="Y1739" t="s">
        <v>444</v>
      </c>
      <c r="Z1739" t="s">
        <v>19</v>
      </c>
      <c r="AA1739" t="s">
        <v>3585</v>
      </c>
      <c r="AB1739" t="s">
        <v>3585</v>
      </c>
      <c r="AC1739" t="s">
        <v>3584</v>
      </c>
      <c r="AD1739" t="s">
        <v>3479</v>
      </c>
      <c r="AE1739" t="s">
        <v>3475</v>
      </c>
      <c r="AF1739" s="2">
        <v>699.09820000000002</v>
      </c>
      <c r="AG1739" s="2">
        <v>413.1463</v>
      </c>
      <c r="AH1739" s="2">
        <v>285.95190000000002</v>
      </c>
      <c r="AI1739" s="3">
        <v>0.409029661355157</v>
      </c>
    </row>
    <row r="1740" spans="1:35">
      <c r="A1740" s="1">
        <v>42251</v>
      </c>
      <c r="B1740" s="1">
        <v>37412</v>
      </c>
      <c r="C1740" t="s">
        <v>5306</v>
      </c>
      <c r="D1740">
        <v>324</v>
      </c>
      <c r="E1740">
        <v>20811</v>
      </c>
      <c r="F1740">
        <v>10</v>
      </c>
      <c r="G1740">
        <v>1</v>
      </c>
      <c r="H1740">
        <v>1</v>
      </c>
      <c r="I1740">
        <v>2</v>
      </c>
      <c r="J1740" t="s">
        <v>3499</v>
      </c>
      <c r="K1740" t="s">
        <v>3500</v>
      </c>
      <c r="L1740" s="2">
        <v>413.1463</v>
      </c>
      <c r="M1740" s="2">
        <v>699.09820000000002</v>
      </c>
      <c r="N1740" t="s">
        <v>13</v>
      </c>
      <c r="O1740" t="s">
        <v>472</v>
      </c>
      <c r="P1740" t="s">
        <v>468</v>
      </c>
      <c r="Q1740" t="s">
        <v>8069</v>
      </c>
      <c r="R1740" s="1">
        <v>15540</v>
      </c>
      <c r="S1740" t="s">
        <v>22</v>
      </c>
      <c r="T1740" t="s">
        <v>16</v>
      </c>
      <c r="U1740" t="s">
        <v>2563</v>
      </c>
      <c r="V1740">
        <v>40000</v>
      </c>
      <c r="W1740">
        <v>1</v>
      </c>
      <c r="X1740" t="s">
        <v>135</v>
      </c>
      <c r="Y1740" t="s">
        <v>60</v>
      </c>
      <c r="Z1740" t="s">
        <v>19</v>
      </c>
      <c r="AA1740" t="s">
        <v>3588</v>
      </c>
      <c r="AB1740" t="s">
        <v>3588</v>
      </c>
      <c r="AC1740" t="s">
        <v>3584</v>
      </c>
      <c r="AD1740" t="s">
        <v>3479</v>
      </c>
      <c r="AE1740" t="s">
        <v>3475</v>
      </c>
      <c r="AF1740" s="2">
        <v>699.09820000000002</v>
      </c>
      <c r="AG1740" s="2">
        <v>413.1463</v>
      </c>
      <c r="AH1740" s="2">
        <v>285.95190000000002</v>
      </c>
      <c r="AI1740" s="3">
        <v>0.409029661355157</v>
      </c>
    </row>
    <row r="1741" spans="1:35">
      <c r="A1741" s="1">
        <v>42165</v>
      </c>
      <c r="B1741" s="1">
        <v>37349</v>
      </c>
      <c r="C1741" t="s">
        <v>4616</v>
      </c>
      <c r="D1741">
        <v>310</v>
      </c>
      <c r="E1741">
        <v>20812</v>
      </c>
      <c r="F1741">
        <v>9</v>
      </c>
      <c r="G1741">
        <v>1</v>
      </c>
      <c r="H1741">
        <v>1</v>
      </c>
      <c r="I1741">
        <v>2</v>
      </c>
      <c r="J1741" t="s">
        <v>3485</v>
      </c>
      <c r="K1741" t="s">
        <v>3486</v>
      </c>
      <c r="L1741" s="2">
        <v>2171.2941999999998</v>
      </c>
      <c r="M1741" s="2">
        <v>3578.27</v>
      </c>
      <c r="N1741" t="s">
        <v>13</v>
      </c>
      <c r="O1741" t="s">
        <v>1099</v>
      </c>
      <c r="P1741" t="s">
        <v>353</v>
      </c>
      <c r="Q1741" t="s">
        <v>8070</v>
      </c>
      <c r="R1741" s="1">
        <v>29268</v>
      </c>
      <c r="S1741" t="s">
        <v>22</v>
      </c>
      <c r="T1741" t="s">
        <v>16</v>
      </c>
      <c r="U1741" t="s">
        <v>2564</v>
      </c>
      <c r="V1741">
        <v>10000</v>
      </c>
      <c r="W1741">
        <v>0</v>
      </c>
      <c r="X1741" t="s">
        <v>52</v>
      </c>
      <c r="Y1741" t="s">
        <v>444</v>
      </c>
      <c r="Z1741" t="s">
        <v>23</v>
      </c>
      <c r="AA1741" t="s">
        <v>3586</v>
      </c>
      <c r="AB1741" t="s">
        <v>3586</v>
      </c>
      <c r="AC1741" t="s">
        <v>3587</v>
      </c>
      <c r="AD1741" t="s">
        <v>3479</v>
      </c>
      <c r="AE1741" t="s">
        <v>3475</v>
      </c>
      <c r="AF1741" s="2">
        <v>3578.27</v>
      </c>
      <c r="AG1741" s="2">
        <v>2171.2941999999998</v>
      </c>
      <c r="AH1741" s="2">
        <v>1406.9757999999999</v>
      </c>
      <c r="AI1741" s="3">
        <v>0.39320001006072802</v>
      </c>
    </row>
    <row r="1742" spans="1:35">
      <c r="A1742" s="1">
        <v>42174</v>
      </c>
      <c r="B1742" s="1">
        <v>37355</v>
      </c>
      <c r="C1742" t="s">
        <v>4677</v>
      </c>
      <c r="D1742">
        <v>314</v>
      </c>
      <c r="E1742">
        <v>20814</v>
      </c>
      <c r="F1742">
        <v>9</v>
      </c>
      <c r="G1742">
        <v>1</v>
      </c>
      <c r="H1742">
        <v>1</v>
      </c>
      <c r="I1742">
        <v>2</v>
      </c>
      <c r="J1742" t="s">
        <v>3493</v>
      </c>
      <c r="K1742" t="s">
        <v>3494</v>
      </c>
      <c r="L1742" s="2">
        <v>2171.2941999999998</v>
      </c>
      <c r="M1742" s="2">
        <v>3578.27</v>
      </c>
      <c r="N1742" t="s">
        <v>26</v>
      </c>
      <c r="O1742" t="s">
        <v>1088</v>
      </c>
      <c r="P1742" t="s">
        <v>42</v>
      </c>
      <c r="Q1742" t="s">
        <v>8071</v>
      </c>
      <c r="R1742" s="1">
        <v>28946</v>
      </c>
      <c r="S1742" t="s">
        <v>22</v>
      </c>
      <c r="T1742" t="s">
        <v>29</v>
      </c>
      <c r="U1742" t="s">
        <v>2565</v>
      </c>
      <c r="V1742">
        <v>10000</v>
      </c>
      <c r="W1742">
        <v>0</v>
      </c>
      <c r="X1742" t="s">
        <v>52</v>
      </c>
      <c r="Y1742" t="s">
        <v>444</v>
      </c>
      <c r="Z1742" t="s">
        <v>19</v>
      </c>
      <c r="AA1742" t="s">
        <v>3586</v>
      </c>
      <c r="AB1742" t="s">
        <v>3586</v>
      </c>
      <c r="AC1742" t="s">
        <v>3587</v>
      </c>
      <c r="AD1742" t="s">
        <v>3479</v>
      </c>
      <c r="AE1742" t="s">
        <v>3475</v>
      </c>
      <c r="AF1742" s="2">
        <v>3578.27</v>
      </c>
      <c r="AG1742" s="2">
        <v>2171.2941999999998</v>
      </c>
      <c r="AH1742" s="2">
        <v>1406.9757999999999</v>
      </c>
      <c r="AI1742" s="3">
        <v>0.39320001006072802</v>
      </c>
    </row>
    <row r="1743" spans="1:35">
      <c r="A1743" s="1">
        <v>42176</v>
      </c>
      <c r="B1743" s="1">
        <v>37327</v>
      </c>
      <c r="C1743" t="s">
        <v>4695</v>
      </c>
      <c r="D1743">
        <v>310</v>
      </c>
      <c r="E1743">
        <v>20815</v>
      </c>
      <c r="F1743">
        <v>9</v>
      </c>
      <c r="G1743">
        <v>1</v>
      </c>
      <c r="H1743">
        <v>1</v>
      </c>
      <c r="I1743">
        <v>2</v>
      </c>
      <c r="J1743" t="s">
        <v>3485</v>
      </c>
      <c r="K1743" t="s">
        <v>3486</v>
      </c>
      <c r="L1743" s="2">
        <v>2171.2941999999998</v>
      </c>
      <c r="M1743" s="2">
        <v>3578.27</v>
      </c>
      <c r="N1743" t="s">
        <v>26</v>
      </c>
      <c r="O1743" t="s">
        <v>1204</v>
      </c>
      <c r="P1743" t="s">
        <v>134</v>
      </c>
      <c r="Q1743" t="s">
        <v>8072</v>
      </c>
      <c r="R1743" s="1">
        <v>28891</v>
      </c>
      <c r="S1743" t="s">
        <v>22</v>
      </c>
      <c r="T1743" t="s">
        <v>29</v>
      </c>
      <c r="U1743" t="s">
        <v>2566</v>
      </c>
      <c r="V1743">
        <v>10000</v>
      </c>
      <c r="W1743">
        <v>0</v>
      </c>
      <c r="X1743" t="s">
        <v>52</v>
      </c>
      <c r="Y1743" t="s">
        <v>444</v>
      </c>
      <c r="Z1743" t="s">
        <v>19</v>
      </c>
      <c r="AA1743" t="s">
        <v>3586</v>
      </c>
      <c r="AB1743" t="s">
        <v>3586</v>
      </c>
      <c r="AC1743" t="s">
        <v>3587</v>
      </c>
      <c r="AD1743" t="s">
        <v>3479</v>
      </c>
      <c r="AE1743" t="s">
        <v>3475</v>
      </c>
      <c r="AF1743" s="2">
        <v>3578.27</v>
      </c>
      <c r="AG1743" s="2">
        <v>2171.2941999999998</v>
      </c>
      <c r="AH1743" s="2">
        <v>1406.9757999999999</v>
      </c>
      <c r="AI1743" s="3">
        <v>0.39320001006072802</v>
      </c>
    </row>
    <row r="1744" spans="1:35">
      <c r="A1744" s="1">
        <v>42175</v>
      </c>
      <c r="B1744" s="1">
        <v>37404</v>
      </c>
      <c r="C1744" t="s">
        <v>4683</v>
      </c>
      <c r="D1744">
        <v>314</v>
      </c>
      <c r="E1744">
        <v>20816</v>
      </c>
      <c r="F1744">
        <v>9</v>
      </c>
      <c r="G1744">
        <v>1</v>
      </c>
      <c r="H1744">
        <v>1</v>
      </c>
      <c r="I1744">
        <v>2</v>
      </c>
      <c r="J1744" t="s">
        <v>3493</v>
      </c>
      <c r="K1744" t="s">
        <v>3494</v>
      </c>
      <c r="L1744" s="2">
        <v>2171.2941999999998</v>
      </c>
      <c r="M1744" s="2">
        <v>3578.27</v>
      </c>
      <c r="N1744" t="s">
        <v>13</v>
      </c>
      <c r="O1744" t="s">
        <v>1281</v>
      </c>
      <c r="P1744" t="s">
        <v>199</v>
      </c>
      <c r="Q1744" t="s">
        <v>8073</v>
      </c>
      <c r="R1744" s="1">
        <v>29414</v>
      </c>
      <c r="S1744" t="s">
        <v>16</v>
      </c>
      <c r="T1744" t="s">
        <v>16</v>
      </c>
      <c r="U1744" t="s">
        <v>2567</v>
      </c>
      <c r="V1744">
        <v>20000</v>
      </c>
      <c r="W1744">
        <v>0</v>
      </c>
      <c r="X1744" t="s">
        <v>17</v>
      </c>
      <c r="Y1744" t="s">
        <v>60</v>
      </c>
      <c r="Z1744" t="s">
        <v>19</v>
      </c>
      <c r="AA1744" t="s">
        <v>3586</v>
      </c>
      <c r="AB1744" t="s">
        <v>3586</v>
      </c>
      <c r="AC1744" t="s">
        <v>3587</v>
      </c>
      <c r="AD1744" t="s">
        <v>3479</v>
      </c>
      <c r="AE1744" t="s">
        <v>3475</v>
      </c>
      <c r="AF1744" s="2">
        <v>3578.27</v>
      </c>
      <c r="AG1744" s="2">
        <v>2171.2941999999998</v>
      </c>
      <c r="AH1744" s="2">
        <v>1406.9757999999999</v>
      </c>
      <c r="AI1744" s="3">
        <v>0.39320001006072802</v>
      </c>
    </row>
    <row r="1745" spans="1:35">
      <c r="A1745" s="1">
        <v>42163</v>
      </c>
      <c r="B1745" s="1">
        <v>37318</v>
      </c>
      <c r="C1745" t="s">
        <v>4600</v>
      </c>
      <c r="D1745">
        <v>313</v>
      </c>
      <c r="E1745">
        <v>20817</v>
      </c>
      <c r="F1745">
        <v>9</v>
      </c>
      <c r="G1745">
        <v>1</v>
      </c>
      <c r="H1745">
        <v>1</v>
      </c>
      <c r="I1745">
        <v>2</v>
      </c>
      <c r="J1745" t="s">
        <v>3491</v>
      </c>
      <c r="K1745" t="s">
        <v>3492</v>
      </c>
      <c r="L1745" s="2">
        <v>2171.2941999999998</v>
      </c>
      <c r="M1745" s="2">
        <v>3578.27</v>
      </c>
      <c r="N1745" t="s">
        <v>13</v>
      </c>
      <c r="O1745" t="s">
        <v>654</v>
      </c>
      <c r="P1745" t="s">
        <v>293</v>
      </c>
      <c r="Q1745" t="s">
        <v>8074</v>
      </c>
      <c r="R1745" s="1">
        <v>28587</v>
      </c>
      <c r="S1745" t="s">
        <v>22</v>
      </c>
      <c r="T1745" t="s">
        <v>16</v>
      </c>
      <c r="U1745" t="s">
        <v>2568</v>
      </c>
      <c r="V1745">
        <v>10000</v>
      </c>
      <c r="W1745">
        <v>0</v>
      </c>
      <c r="X1745" t="s">
        <v>52</v>
      </c>
      <c r="Y1745" t="s">
        <v>444</v>
      </c>
      <c r="Z1745" t="s">
        <v>23</v>
      </c>
      <c r="AA1745" t="s">
        <v>3586</v>
      </c>
      <c r="AB1745" t="s">
        <v>3586</v>
      </c>
      <c r="AC1745" t="s">
        <v>3587</v>
      </c>
      <c r="AD1745" t="s">
        <v>3479</v>
      </c>
      <c r="AE1745" t="s">
        <v>3475</v>
      </c>
      <c r="AF1745" s="2">
        <v>3578.27</v>
      </c>
      <c r="AG1745" s="2">
        <v>2171.2941999999998</v>
      </c>
      <c r="AH1745" s="2">
        <v>1406.9757999999999</v>
      </c>
      <c r="AI1745" s="3">
        <v>0.39320001006072802</v>
      </c>
    </row>
    <row r="1746" spans="1:35">
      <c r="A1746" s="1">
        <v>42184</v>
      </c>
      <c r="B1746" s="1">
        <v>37354</v>
      </c>
      <c r="C1746" t="s">
        <v>4753</v>
      </c>
      <c r="D1746">
        <v>314</v>
      </c>
      <c r="E1746">
        <v>20818</v>
      </c>
      <c r="F1746">
        <v>9</v>
      </c>
      <c r="G1746">
        <v>1</v>
      </c>
      <c r="H1746">
        <v>1</v>
      </c>
      <c r="I1746">
        <v>2</v>
      </c>
      <c r="J1746" t="s">
        <v>3493</v>
      </c>
      <c r="K1746" t="s">
        <v>3494</v>
      </c>
      <c r="L1746" s="2">
        <v>2171.2941999999998</v>
      </c>
      <c r="M1746" s="2">
        <v>3578.27</v>
      </c>
      <c r="N1746" t="s">
        <v>26</v>
      </c>
      <c r="O1746" t="s">
        <v>1218</v>
      </c>
      <c r="P1746" t="s">
        <v>119</v>
      </c>
      <c r="Q1746" t="s">
        <v>8075</v>
      </c>
      <c r="R1746" s="1">
        <v>28319</v>
      </c>
      <c r="S1746" t="s">
        <v>22</v>
      </c>
      <c r="T1746" t="s">
        <v>29</v>
      </c>
      <c r="U1746" t="s">
        <v>2569</v>
      </c>
      <c r="V1746">
        <v>10000</v>
      </c>
      <c r="W1746">
        <v>0</v>
      </c>
      <c r="X1746" t="s">
        <v>57</v>
      </c>
      <c r="Y1746" t="s">
        <v>444</v>
      </c>
      <c r="Z1746" t="s">
        <v>23</v>
      </c>
      <c r="AA1746" t="s">
        <v>3586</v>
      </c>
      <c r="AB1746" t="s">
        <v>3586</v>
      </c>
      <c r="AC1746" t="s">
        <v>3587</v>
      </c>
      <c r="AD1746" t="s">
        <v>3479</v>
      </c>
      <c r="AE1746" t="s">
        <v>3475</v>
      </c>
      <c r="AF1746" s="2">
        <v>3578.27</v>
      </c>
      <c r="AG1746" s="2">
        <v>2171.2941999999998</v>
      </c>
      <c r="AH1746" s="2">
        <v>1406.9757999999999</v>
      </c>
      <c r="AI1746" s="3">
        <v>0.39320001006072802</v>
      </c>
    </row>
    <row r="1747" spans="1:35">
      <c r="A1747" s="1">
        <v>42159</v>
      </c>
      <c r="B1747" s="1">
        <v>37346</v>
      </c>
      <c r="C1747" t="s">
        <v>4573</v>
      </c>
      <c r="D1747">
        <v>310</v>
      </c>
      <c r="E1747">
        <v>20819</v>
      </c>
      <c r="F1747">
        <v>9</v>
      </c>
      <c r="G1747">
        <v>1</v>
      </c>
      <c r="H1747">
        <v>1</v>
      </c>
      <c r="I1747">
        <v>2</v>
      </c>
      <c r="J1747" t="s">
        <v>3485</v>
      </c>
      <c r="K1747" t="s">
        <v>3486</v>
      </c>
      <c r="L1747" s="2">
        <v>2171.2941999999998</v>
      </c>
      <c r="M1747" s="2">
        <v>3578.27</v>
      </c>
      <c r="N1747" t="s">
        <v>13</v>
      </c>
      <c r="O1747" t="s">
        <v>458</v>
      </c>
      <c r="P1747" t="s">
        <v>658</v>
      </c>
      <c r="Q1747" t="s">
        <v>8076</v>
      </c>
      <c r="R1747" s="1">
        <v>28907</v>
      </c>
      <c r="S1747" t="s">
        <v>22</v>
      </c>
      <c r="T1747" t="s">
        <v>16</v>
      </c>
      <c r="U1747" t="s">
        <v>2570</v>
      </c>
      <c r="V1747">
        <v>20000</v>
      </c>
      <c r="W1747">
        <v>0</v>
      </c>
      <c r="X1747" t="s">
        <v>17</v>
      </c>
      <c r="Y1747" t="s">
        <v>60</v>
      </c>
      <c r="Z1747" t="s">
        <v>19</v>
      </c>
      <c r="AA1747" t="s">
        <v>3586</v>
      </c>
      <c r="AB1747" t="s">
        <v>3586</v>
      </c>
      <c r="AC1747" t="s">
        <v>3587</v>
      </c>
      <c r="AD1747" t="s">
        <v>3479</v>
      </c>
      <c r="AE1747" t="s">
        <v>3475</v>
      </c>
      <c r="AF1747" s="2">
        <v>3578.27</v>
      </c>
      <c r="AG1747" s="2">
        <v>2171.2941999999998</v>
      </c>
      <c r="AH1747" s="2">
        <v>1406.9757999999999</v>
      </c>
      <c r="AI1747" s="3">
        <v>0.39320001006072802</v>
      </c>
    </row>
    <row r="1748" spans="1:35">
      <c r="A1748" s="1">
        <v>42157</v>
      </c>
      <c r="B1748" s="1">
        <v>37383</v>
      </c>
      <c r="C1748" t="s">
        <v>4559</v>
      </c>
      <c r="D1748">
        <v>314</v>
      </c>
      <c r="E1748">
        <v>20820</v>
      </c>
      <c r="F1748">
        <v>9</v>
      </c>
      <c r="G1748">
        <v>1</v>
      </c>
      <c r="H1748">
        <v>1</v>
      </c>
      <c r="I1748">
        <v>2</v>
      </c>
      <c r="J1748" t="s">
        <v>3493</v>
      </c>
      <c r="K1748" t="s">
        <v>3494</v>
      </c>
      <c r="L1748" s="2">
        <v>2171.2941999999998</v>
      </c>
      <c r="M1748" s="2">
        <v>3578.27</v>
      </c>
      <c r="N1748" t="s">
        <v>26</v>
      </c>
      <c r="O1748" t="s">
        <v>1035</v>
      </c>
      <c r="P1748" t="s">
        <v>198</v>
      </c>
      <c r="Q1748" t="s">
        <v>8077</v>
      </c>
      <c r="R1748" s="1">
        <v>29020</v>
      </c>
      <c r="S1748" t="s">
        <v>16</v>
      </c>
      <c r="T1748" t="s">
        <v>29</v>
      </c>
      <c r="U1748" t="s">
        <v>2571</v>
      </c>
      <c r="V1748">
        <v>20000</v>
      </c>
      <c r="W1748">
        <v>0</v>
      </c>
      <c r="X1748" t="s">
        <v>17</v>
      </c>
      <c r="Y1748" t="s">
        <v>60</v>
      </c>
      <c r="Z1748" t="s">
        <v>19</v>
      </c>
      <c r="AA1748" t="s">
        <v>3586</v>
      </c>
      <c r="AB1748" t="s">
        <v>3586</v>
      </c>
      <c r="AC1748" t="s">
        <v>3587</v>
      </c>
      <c r="AD1748" t="s">
        <v>3479</v>
      </c>
      <c r="AE1748" t="s">
        <v>3475</v>
      </c>
      <c r="AF1748" s="2">
        <v>3578.27</v>
      </c>
      <c r="AG1748" s="2">
        <v>2171.2941999999998</v>
      </c>
      <c r="AH1748" s="2">
        <v>1406.9757999999999</v>
      </c>
      <c r="AI1748" s="3">
        <v>0.39320001006072802</v>
      </c>
    </row>
    <row r="1749" spans="1:35">
      <c r="A1749" s="1">
        <v>42166</v>
      </c>
      <c r="B1749" s="1">
        <v>37329</v>
      </c>
      <c r="C1749" t="s">
        <v>4619</v>
      </c>
      <c r="D1749">
        <v>311</v>
      </c>
      <c r="E1749">
        <v>20821</v>
      </c>
      <c r="F1749">
        <v>9</v>
      </c>
      <c r="G1749">
        <v>1</v>
      </c>
      <c r="H1749">
        <v>1</v>
      </c>
      <c r="I1749">
        <v>2</v>
      </c>
      <c r="J1749" t="s">
        <v>3487</v>
      </c>
      <c r="K1749" t="s">
        <v>3488</v>
      </c>
      <c r="L1749" s="2">
        <v>2171.2941999999998</v>
      </c>
      <c r="M1749" s="2">
        <v>3578.27</v>
      </c>
      <c r="N1749" t="s">
        <v>13</v>
      </c>
      <c r="O1749" t="s">
        <v>2572</v>
      </c>
      <c r="P1749" t="s">
        <v>2573</v>
      </c>
      <c r="Q1749" t="s">
        <v>8078</v>
      </c>
      <c r="R1749" s="1">
        <v>28727</v>
      </c>
      <c r="S1749" t="s">
        <v>16</v>
      </c>
      <c r="T1749" t="s">
        <v>16</v>
      </c>
      <c r="U1749" t="s">
        <v>2574</v>
      </c>
      <c r="V1749">
        <v>20000</v>
      </c>
      <c r="W1749">
        <v>0</v>
      </c>
      <c r="X1749" t="s">
        <v>17</v>
      </c>
      <c r="Y1749" t="s">
        <v>60</v>
      </c>
      <c r="Z1749" t="s">
        <v>19</v>
      </c>
      <c r="AA1749" t="s">
        <v>3586</v>
      </c>
      <c r="AB1749" t="s">
        <v>3586</v>
      </c>
      <c r="AC1749" t="s">
        <v>3587</v>
      </c>
      <c r="AD1749" t="s">
        <v>3479</v>
      </c>
      <c r="AE1749" t="s">
        <v>3475</v>
      </c>
      <c r="AF1749" s="2">
        <v>3578.27</v>
      </c>
      <c r="AG1749" s="2">
        <v>2171.2941999999998</v>
      </c>
      <c r="AH1749" s="2">
        <v>1406.9757999999999</v>
      </c>
      <c r="AI1749" s="3">
        <v>0.39320001006072802</v>
      </c>
    </row>
    <row r="1750" spans="1:35">
      <c r="A1750" s="1">
        <v>42177</v>
      </c>
      <c r="B1750" s="1">
        <v>37402</v>
      </c>
      <c r="C1750" t="s">
        <v>4701</v>
      </c>
      <c r="D1750">
        <v>314</v>
      </c>
      <c r="E1750">
        <v>20822</v>
      </c>
      <c r="F1750">
        <v>9</v>
      </c>
      <c r="G1750">
        <v>1</v>
      </c>
      <c r="H1750">
        <v>1</v>
      </c>
      <c r="I1750">
        <v>2</v>
      </c>
      <c r="J1750" t="s">
        <v>3493</v>
      </c>
      <c r="K1750" t="s">
        <v>3494</v>
      </c>
      <c r="L1750" s="2">
        <v>2171.2941999999998</v>
      </c>
      <c r="M1750" s="2">
        <v>3578.27</v>
      </c>
      <c r="N1750" t="s">
        <v>13</v>
      </c>
      <c r="O1750" t="s">
        <v>37</v>
      </c>
      <c r="P1750" t="s">
        <v>34</v>
      </c>
      <c r="Q1750" t="s">
        <v>8079</v>
      </c>
      <c r="R1750" s="1">
        <v>28340</v>
      </c>
      <c r="S1750" t="s">
        <v>22</v>
      </c>
      <c r="T1750" t="s">
        <v>16</v>
      </c>
      <c r="U1750" t="s">
        <v>2575</v>
      </c>
      <c r="V1750">
        <v>20000</v>
      </c>
      <c r="W1750">
        <v>0</v>
      </c>
      <c r="X1750" t="s">
        <v>52</v>
      </c>
      <c r="Y1750" t="s">
        <v>444</v>
      </c>
      <c r="Z1750" t="s">
        <v>23</v>
      </c>
      <c r="AA1750" t="s">
        <v>3586</v>
      </c>
      <c r="AB1750" t="s">
        <v>3586</v>
      </c>
      <c r="AC1750" t="s">
        <v>3587</v>
      </c>
      <c r="AD1750" t="s">
        <v>3479</v>
      </c>
      <c r="AE1750" t="s">
        <v>3475</v>
      </c>
      <c r="AF1750" s="2">
        <v>3578.27</v>
      </c>
      <c r="AG1750" s="2">
        <v>2171.2941999999998</v>
      </c>
      <c r="AH1750" s="2">
        <v>1406.9757999999999</v>
      </c>
      <c r="AI1750" s="3">
        <v>0.39320001006072802</v>
      </c>
    </row>
    <row r="1751" spans="1:35">
      <c r="A1751" s="1">
        <v>42185</v>
      </c>
      <c r="B1751" s="1">
        <v>37338</v>
      </c>
      <c r="C1751" t="s">
        <v>4762</v>
      </c>
      <c r="D1751">
        <v>312</v>
      </c>
      <c r="E1751">
        <v>20823</v>
      </c>
      <c r="F1751">
        <v>9</v>
      </c>
      <c r="G1751">
        <v>1</v>
      </c>
      <c r="H1751">
        <v>1</v>
      </c>
      <c r="I1751">
        <v>2</v>
      </c>
      <c r="J1751" t="s">
        <v>3489</v>
      </c>
      <c r="K1751" t="s">
        <v>3490</v>
      </c>
      <c r="L1751" s="2">
        <v>2171.2941999999998</v>
      </c>
      <c r="M1751" s="2">
        <v>3578.27</v>
      </c>
      <c r="N1751" t="s">
        <v>13</v>
      </c>
      <c r="O1751" t="s">
        <v>639</v>
      </c>
      <c r="P1751" t="s">
        <v>290</v>
      </c>
      <c r="Q1751" t="s">
        <v>8080</v>
      </c>
      <c r="R1751" s="1">
        <v>28243</v>
      </c>
      <c r="S1751" t="s">
        <v>16</v>
      </c>
      <c r="T1751" t="s">
        <v>16</v>
      </c>
      <c r="U1751" t="s">
        <v>2576</v>
      </c>
      <c r="V1751">
        <v>20000</v>
      </c>
      <c r="W1751">
        <v>0</v>
      </c>
      <c r="X1751" t="s">
        <v>52</v>
      </c>
      <c r="Y1751" t="s">
        <v>444</v>
      </c>
      <c r="Z1751" t="s">
        <v>19</v>
      </c>
      <c r="AA1751" t="s">
        <v>3586</v>
      </c>
      <c r="AB1751" t="s">
        <v>3586</v>
      </c>
      <c r="AC1751" t="s">
        <v>3587</v>
      </c>
      <c r="AD1751" t="s">
        <v>3479</v>
      </c>
      <c r="AE1751" t="s">
        <v>3475</v>
      </c>
      <c r="AF1751" s="2">
        <v>3578.27</v>
      </c>
      <c r="AG1751" s="2">
        <v>2171.2941999999998</v>
      </c>
      <c r="AH1751" s="2">
        <v>1406.9757999999999</v>
      </c>
      <c r="AI1751" s="3">
        <v>0.39320001006072802</v>
      </c>
    </row>
    <row r="1752" spans="1:35">
      <c r="A1752" s="1">
        <v>42260</v>
      </c>
      <c r="B1752" s="1">
        <v>37441</v>
      </c>
      <c r="C1752" t="s">
        <v>5364</v>
      </c>
      <c r="D1752">
        <v>328</v>
      </c>
      <c r="E1752">
        <v>20824</v>
      </c>
      <c r="F1752">
        <v>10</v>
      </c>
      <c r="G1752">
        <v>1</v>
      </c>
      <c r="H1752">
        <v>1</v>
      </c>
      <c r="I1752">
        <v>2</v>
      </c>
      <c r="J1752" t="s">
        <v>3503</v>
      </c>
      <c r="K1752" t="s">
        <v>3504</v>
      </c>
      <c r="L1752" s="2">
        <v>413.1463</v>
      </c>
      <c r="M1752" s="2">
        <v>699.09820000000002</v>
      </c>
      <c r="N1752" t="s">
        <v>13</v>
      </c>
      <c r="O1752" t="s">
        <v>1189</v>
      </c>
      <c r="P1752" t="s">
        <v>474</v>
      </c>
      <c r="Q1752" t="s">
        <v>8081</v>
      </c>
      <c r="R1752" s="1">
        <v>15836</v>
      </c>
      <c r="S1752" t="s">
        <v>22</v>
      </c>
      <c r="T1752" t="s">
        <v>16</v>
      </c>
      <c r="U1752" t="s">
        <v>2577</v>
      </c>
      <c r="V1752">
        <v>30000</v>
      </c>
      <c r="W1752">
        <v>1</v>
      </c>
      <c r="X1752" t="s">
        <v>17</v>
      </c>
      <c r="Y1752" t="s">
        <v>60</v>
      </c>
      <c r="Z1752" t="s">
        <v>19</v>
      </c>
      <c r="AA1752" t="s">
        <v>3588</v>
      </c>
      <c r="AB1752" t="s">
        <v>3588</v>
      </c>
      <c r="AC1752" t="s">
        <v>3584</v>
      </c>
      <c r="AD1752" t="s">
        <v>3479</v>
      </c>
      <c r="AE1752" t="s">
        <v>3475</v>
      </c>
      <c r="AF1752" s="2">
        <v>699.09820000000002</v>
      </c>
      <c r="AG1752" s="2">
        <v>413.1463</v>
      </c>
      <c r="AH1752" s="2">
        <v>285.95190000000002</v>
      </c>
      <c r="AI1752" s="3">
        <v>0.409029661355157</v>
      </c>
    </row>
    <row r="1753" spans="1:35">
      <c r="A1753" s="1">
        <v>42277</v>
      </c>
      <c r="B1753" s="1">
        <v>37509</v>
      </c>
      <c r="C1753" t="s">
        <v>5482</v>
      </c>
      <c r="D1753">
        <v>332</v>
      </c>
      <c r="E1753">
        <v>20825</v>
      </c>
      <c r="F1753">
        <v>10</v>
      </c>
      <c r="G1753">
        <v>1</v>
      </c>
      <c r="H1753">
        <v>1</v>
      </c>
      <c r="I1753">
        <v>2</v>
      </c>
      <c r="J1753" t="s">
        <v>3507</v>
      </c>
      <c r="K1753" t="s">
        <v>3508</v>
      </c>
      <c r="L1753" s="2">
        <v>413.1463</v>
      </c>
      <c r="M1753" s="2">
        <v>699.09820000000002</v>
      </c>
      <c r="N1753" t="s">
        <v>30</v>
      </c>
      <c r="O1753" t="s">
        <v>517</v>
      </c>
      <c r="P1753" t="s">
        <v>215</v>
      </c>
      <c r="Q1753" t="s">
        <v>8082</v>
      </c>
      <c r="R1753" s="1">
        <v>16044</v>
      </c>
      <c r="S1753" t="s">
        <v>16</v>
      </c>
      <c r="T1753" t="s">
        <v>29</v>
      </c>
      <c r="U1753" t="s">
        <v>2578</v>
      </c>
      <c r="V1753">
        <v>40000</v>
      </c>
      <c r="W1753">
        <v>1</v>
      </c>
      <c r="X1753" t="s">
        <v>135</v>
      </c>
      <c r="Y1753" t="s">
        <v>60</v>
      </c>
      <c r="Z1753" t="s">
        <v>19</v>
      </c>
      <c r="AA1753" t="s">
        <v>3588</v>
      </c>
      <c r="AB1753" t="s">
        <v>3588</v>
      </c>
      <c r="AC1753" t="s">
        <v>3584</v>
      </c>
      <c r="AD1753" t="s">
        <v>3479</v>
      </c>
      <c r="AE1753" t="s">
        <v>3475</v>
      </c>
      <c r="AF1753" s="2">
        <v>699.09820000000002</v>
      </c>
      <c r="AG1753" s="2">
        <v>413.1463</v>
      </c>
      <c r="AH1753" s="2">
        <v>285.95190000000002</v>
      </c>
      <c r="AI1753" s="3">
        <v>0.409029661355157</v>
      </c>
    </row>
    <row r="1754" spans="1:35">
      <c r="A1754" s="1">
        <v>42345</v>
      </c>
      <c r="B1754" s="1">
        <v>37519</v>
      </c>
      <c r="C1754" t="s">
        <v>5962</v>
      </c>
      <c r="D1754">
        <v>328</v>
      </c>
      <c r="E1754">
        <v>20828</v>
      </c>
      <c r="F1754">
        <v>8</v>
      </c>
      <c r="G1754">
        <v>1</v>
      </c>
      <c r="H1754">
        <v>1</v>
      </c>
      <c r="I1754">
        <v>2</v>
      </c>
      <c r="J1754" t="s">
        <v>3503</v>
      </c>
      <c r="K1754" t="s">
        <v>3504</v>
      </c>
      <c r="L1754" s="2">
        <v>413.1463</v>
      </c>
      <c r="M1754" s="2">
        <v>699.09820000000002</v>
      </c>
      <c r="N1754" t="s">
        <v>30</v>
      </c>
      <c r="O1754" t="s">
        <v>117</v>
      </c>
      <c r="P1754" t="s">
        <v>468</v>
      </c>
      <c r="Q1754" t="s">
        <v>8083</v>
      </c>
      <c r="R1754" s="1">
        <v>22329</v>
      </c>
      <c r="S1754" t="s">
        <v>16</v>
      </c>
      <c r="T1754" t="s">
        <v>29</v>
      </c>
      <c r="U1754" t="s">
        <v>2579</v>
      </c>
      <c r="V1754">
        <v>30000</v>
      </c>
      <c r="W1754">
        <v>4</v>
      </c>
      <c r="X1754" t="s">
        <v>135</v>
      </c>
      <c r="Y1754" t="s">
        <v>60</v>
      </c>
      <c r="Z1754" t="s">
        <v>19</v>
      </c>
      <c r="AA1754" t="s">
        <v>3585</v>
      </c>
      <c r="AB1754" t="s">
        <v>3585</v>
      </c>
      <c r="AC1754" t="s">
        <v>3584</v>
      </c>
      <c r="AD1754" t="s">
        <v>3479</v>
      </c>
      <c r="AE1754" t="s">
        <v>3475</v>
      </c>
      <c r="AF1754" s="2">
        <v>699.09820000000002</v>
      </c>
      <c r="AG1754" s="2">
        <v>413.1463</v>
      </c>
      <c r="AH1754" s="2">
        <v>285.95190000000002</v>
      </c>
      <c r="AI1754" s="3">
        <v>0.409029661355157</v>
      </c>
    </row>
    <row r="1755" spans="1:35">
      <c r="A1755" s="1">
        <v>42362</v>
      </c>
      <c r="B1755" s="1">
        <v>37581</v>
      </c>
      <c r="C1755" t="s">
        <v>6149</v>
      </c>
      <c r="D1755">
        <v>336</v>
      </c>
      <c r="E1755">
        <v>20829</v>
      </c>
      <c r="F1755">
        <v>8</v>
      </c>
      <c r="G1755">
        <v>1</v>
      </c>
      <c r="H1755">
        <v>1</v>
      </c>
      <c r="I1755">
        <v>2</v>
      </c>
      <c r="J1755" t="s">
        <v>3511</v>
      </c>
      <c r="K1755" t="s">
        <v>3512</v>
      </c>
      <c r="L1755" s="2">
        <v>413.1463</v>
      </c>
      <c r="M1755" s="2">
        <v>699.09820000000002</v>
      </c>
      <c r="N1755" t="s">
        <v>13</v>
      </c>
      <c r="O1755" t="s">
        <v>441</v>
      </c>
      <c r="P1755" t="s">
        <v>136</v>
      </c>
      <c r="Q1755" t="s">
        <v>8084</v>
      </c>
      <c r="R1755" s="1">
        <v>22600</v>
      </c>
      <c r="S1755" t="s">
        <v>16</v>
      </c>
      <c r="T1755" t="s">
        <v>16</v>
      </c>
      <c r="U1755" t="s">
        <v>2580</v>
      </c>
      <c r="V1755">
        <v>30000</v>
      </c>
      <c r="W1755">
        <v>4</v>
      </c>
      <c r="X1755" t="s">
        <v>135</v>
      </c>
      <c r="Y1755" t="s">
        <v>60</v>
      </c>
      <c r="Z1755" t="s">
        <v>19</v>
      </c>
      <c r="AA1755" t="s">
        <v>3585</v>
      </c>
      <c r="AB1755" t="s">
        <v>3585</v>
      </c>
      <c r="AC1755" t="s">
        <v>3584</v>
      </c>
      <c r="AD1755" t="s">
        <v>3479</v>
      </c>
      <c r="AE1755" t="s">
        <v>3475</v>
      </c>
      <c r="AF1755" s="2">
        <v>699.09820000000002</v>
      </c>
      <c r="AG1755" s="2">
        <v>413.1463</v>
      </c>
      <c r="AH1755" s="2">
        <v>285.95190000000002</v>
      </c>
      <c r="AI1755" s="3">
        <v>0.409029661355157</v>
      </c>
    </row>
    <row r="1756" spans="1:35">
      <c r="A1756" s="1">
        <v>42339</v>
      </c>
      <c r="B1756" s="1">
        <v>37508</v>
      </c>
      <c r="C1756" t="s">
        <v>5908</v>
      </c>
      <c r="D1756">
        <v>326</v>
      </c>
      <c r="E1756">
        <v>20830</v>
      </c>
      <c r="F1756">
        <v>8</v>
      </c>
      <c r="G1756">
        <v>1</v>
      </c>
      <c r="H1756">
        <v>1</v>
      </c>
      <c r="I1756">
        <v>2</v>
      </c>
      <c r="J1756" t="s">
        <v>3501</v>
      </c>
      <c r="K1756" t="s">
        <v>3502</v>
      </c>
      <c r="L1756" s="2">
        <v>413.1463</v>
      </c>
      <c r="M1756" s="2">
        <v>699.09820000000002</v>
      </c>
      <c r="N1756" t="s">
        <v>30</v>
      </c>
      <c r="O1756" t="s">
        <v>631</v>
      </c>
      <c r="P1756" t="s">
        <v>290</v>
      </c>
      <c r="Q1756" t="s">
        <v>8085</v>
      </c>
      <c r="R1756" s="1">
        <v>22300</v>
      </c>
      <c r="S1756" t="s">
        <v>16</v>
      </c>
      <c r="T1756" t="s">
        <v>29</v>
      </c>
      <c r="U1756" t="s">
        <v>2581</v>
      </c>
      <c r="V1756">
        <v>30000</v>
      </c>
      <c r="W1756">
        <v>4</v>
      </c>
      <c r="X1756" t="s">
        <v>135</v>
      </c>
      <c r="Y1756" t="s">
        <v>60</v>
      </c>
      <c r="Z1756" t="s">
        <v>19</v>
      </c>
      <c r="AA1756" t="s">
        <v>3585</v>
      </c>
      <c r="AB1756" t="s">
        <v>3585</v>
      </c>
      <c r="AC1756" t="s">
        <v>3584</v>
      </c>
      <c r="AD1756" t="s">
        <v>3479</v>
      </c>
      <c r="AE1756" t="s">
        <v>3475</v>
      </c>
      <c r="AF1756" s="2">
        <v>699.09820000000002</v>
      </c>
      <c r="AG1756" s="2">
        <v>413.1463</v>
      </c>
      <c r="AH1756" s="2">
        <v>285.95190000000002</v>
      </c>
      <c r="AI1756" s="3">
        <v>0.409029661355157</v>
      </c>
    </row>
    <row r="1757" spans="1:35">
      <c r="A1757" s="1">
        <v>42353</v>
      </c>
      <c r="B1757" s="1">
        <v>37504</v>
      </c>
      <c r="C1757" t="s">
        <v>6058</v>
      </c>
      <c r="D1757">
        <v>340</v>
      </c>
      <c r="E1757">
        <v>20831</v>
      </c>
      <c r="F1757">
        <v>8</v>
      </c>
      <c r="G1757">
        <v>1</v>
      </c>
      <c r="H1757">
        <v>1</v>
      </c>
      <c r="I1757">
        <v>2</v>
      </c>
      <c r="J1757" t="s">
        <v>3515</v>
      </c>
      <c r="K1757" t="s">
        <v>3516</v>
      </c>
      <c r="L1757" s="2">
        <v>413.1463</v>
      </c>
      <c r="M1757" s="2">
        <v>699.09820000000002</v>
      </c>
      <c r="N1757" t="s">
        <v>13</v>
      </c>
      <c r="O1757" t="s">
        <v>816</v>
      </c>
      <c r="P1757" t="s">
        <v>474</v>
      </c>
      <c r="Q1757" t="s">
        <v>8086</v>
      </c>
      <c r="R1757" s="1">
        <v>22438</v>
      </c>
      <c r="S1757" t="s">
        <v>16</v>
      </c>
      <c r="T1757" t="s">
        <v>16</v>
      </c>
      <c r="U1757" t="s">
        <v>2582</v>
      </c>
      <c r="V1757">
        <v>30000</v>
      </c>
      <c r="W1757">
        <v>4</v>
      </c>
      <c r="X1757" t="s">
        <v>135</v>
      </c>
      <c r="Y1757" t="s">
        <v>60</v>
      </c>
      <c r="Z1757" t="s">
        <v>19</v>
      </c>
      <c r="AA1757" t="s">
        <v>3585</v>
      </c>
      <c r="AB1757" t="s">
        <v>3585</v>
      </c>
      <c r="AC1757" t="s">
        <v>3584</v>
      </c>
      <c r="AD1757" t="s">
        <v>3479</v>
      </c>
      <c r="AE1757" t="s">
        <v>3475</v>
      </c>
      <c r="AF1757" s="2">
        <v>699.09820000000002</v>
      </c>
      <c r="AG1757" s="2">
        <v>413.1463</v>
      </c>
      <c r="AH1757" s="2">
        <v>285.95190000000002</v>
      </c>
      <c r="AI1757" s="3">
        <v>0.409029661355157</v>
      </c>
    </row>
    <row r="1758" spans="1:35">
      <c r="A1758" s="1">
        <v>42251</v>
      </c>
      <c r="B1758" s="1">
        <v>37401</v>
      </c>
      <c r="C1758" t="s">
        <v>5308</v>
      </c>
      <c r="D1758">
        <v>330</v>
      </c>
      <c r="E1758">
        <v>20832</v>
      </c>
      <c r="F1758">
        <v>10</v>
      </c>
      <c r="G1758">
        <v>1</v>
      </c>
      <c r="H1758">
        <v>1</v>
      </c>
      <c r="I1758">
        <v>2</v>
      </c>
      <c r="J1758" t="s">
        <v>3505</v>
      </c>
      <c r="K1758" t="s">
        <v>3506</v>
      </c>
      <c r="L1758" s="2">
        <v>413.1463</v>
      </c>
      <c r="M1758" s="2">
        <v>699.09820000000002</v>
      </c>
      <c r="N1758" t="s">
        <v>13</v>
      </c>
      <c r="O1758" t="s">
        <v>893</v>
      </c>
      <c r="P1758" t="s">
        <v>282</v>
      </c>
      <c r="Q1758" t="s">
        <v>8087</v>
      </c>
      <c r="R1758" s="1">
        <v>22410</v>
      </c>
      <c r="S1758" t="s">
        <v>22</v>
      </c>
      <c r="T1758" t="s">
        <v>16</v>
      </c>
      <c r="U1758" t="s">
        <v>2583</v>
      </c>
      <c r="V1758">
        <v>30000</v>
      </c>
      <c r="W1758">
        <v>3</v>
      </c>
      <c r="X1758" t="s">
        <v>135</v>
      </c>
      <c r="Y1758" t="s">
        <v>60</v>
      </c>
      <c r="Z1758" t="s">
        <v>19</v>
      </c>
      <c r="AA1758" t="s">
        <v>3588</v>
      </c>
      <c r="AB1758" t="s">
        <v>3588</v>
      </c>
      <c r="AC1758" t="s">
        <v>3584</v>
      </c>
      <c r="AD1758" t="s">
        <v>3479</v>
      </c>
      <c r="AE1758" t="s">
        <v>3475</v>
      </c>
      <c r="AF1758" s="2">
        <v>699.09820000000002</v>
      </c>
      <c r="AG1758" s="2">
        <v>413.1463</v>
      </c>
      <c r="AH1758" s="2">
        <v>285.95190000000002</v>
      </c>
      <c r="AI1758" s="3">
        <v>0.409029661355157</v>
      </c>
    </row>
    <row r="1759" spans="1:35">
      <c r="A1759" s="1">
        <v>42352</v>
      </c>
      <c r="B1759" s="1">
        <v>37496</v>
      </c>
      <c r="C1759" t="s">
        <v>6046</v>
      </c>
      <c r="D1759">
        <v>330</v>
      </c>
      <c r="E1759">
        <v>20833</v>
      </c>
      <c r="F1759">
        <v>8</v>
      </c>
      <c r="G1759">
        <v>1</v>
      </c>
      <c r="H1759">
        <v>1</v>
      </c>
      <c r="I1759">
        <v>2</v>
      </c>
      <c r="J1759" t="s">
        <v>3505</v>
      </c>
      <c r="K1759" t="s">
        <v>3506</v>
      </c>
      <c r="L1759" s="2">
        <v>413.1463</v>
      </c>
      <c r="M1759" s="2">
        <v>699.09820000000002</v>
      </c>
      <c r="N1759" t="s">
        <v>13</v>
      </c>
      <c r="O1759" t="s">
        <v>1295</v>
      </c>
      <c r="P1759" t="s">
        <v>79</v>
      </c>
      <c r="Q1759" t="s">
        <v>8088</v>
      </c>
      <c r="R1759" s="1">
        <v>22047</v>
      </c>
      <c r="S1759" t="s">
        <v>22</v>
      </c>
      <c r="T1759" t="s">
        <v>16</v>
      </c>
      <c r="U1759" t="s">
        <v>2584</v>
      </c>
      <c r="V1759">
        <v>20000</v>
      </c>
      <c r="W1759">
        <v>1</v>
      </c>
      <c r="X1759" t="s">
        <v>52</v>
      </c>
      <c r="Y1759" t="s">
        <v>444</v>
      </c>
      <c r="Z1759" t="s">
        <v>23</v>
      </c>
      <c r="AA1759" t="s">
        <v>3585</v>
      </c>
      <c r="AB1759" t="s">
        <v>3585</v>
      </c>
      <c r="AC1759" t="s">
        <v>3584</v>
      </c>
      <c r="AD1759" t="s">
        <v>3479</v>
      </c>
      <c r="AE1759" t="s">
        <v>3475</v>
      </c>
      <c r="AF1759" s="2">
        <v>699.09820000000002</v>
      </c>
      <c r="AG1759" s="2">
        <v>413.1463</v>
      </c>
      <c r="AH1759" s="2">
        <v>285.95190000000002</v>
      </c>
      <c r="AI1759" s="3">
        <v>0.409029661355157</v>
      </c>
    </row>
    <row r="1760" spans="1:35">
      <c r="A1760" s="1">
        <v>42261</v>
      </c>
      <c r="B1760" s="1">
        <v>37446</v>
      </c>
      <c r="C1760" t="s">
        <v>5375</v>
      </c>
      <c r="D1760">
        <v>330</v>
      </c>
      <c r="E1760">
        <v>20834</v>
      </c>
      <c r="F1760">
        <v>10</v>
      </c>
      <c r="G1760">
        <v>1</v>
      </c>
      <c r="H1760">
        <v>1</v>
      </c>
      <c r="I1760">
        <v>2</v>
      </c>
      <c r="J1760" t="s">
        <v>3505</v>
      </c>
      <c r="K1760" t="s">
        <v>3506</v>
      </c>
      <c r="L1760" s="2">
        <v>413.1463</v>
      </c>
      <c r="M1760" s="2">
        <v>699.09820000000002</v>
      </c>
      <c r="N1760" t="s">
        <v>30</v>
      </c>
      <c r="O1760" t="s">
        <v>497</v>
      </c>
      <c r="P1760" t="s">
        <v>215</v>
      </c>
      <c r="Q1760" t="s">
        <v>8089</v>
      </c>
      <c r="R1760" s="1">
        <v>22124</v>
      </c>
      <c r="S1760" t="s">
        <v>22</v>
      </c>
      <c r="T1760" t="s">
        <v>29</v>
      </c>
      <c r="U1760" t="s">
        <v>2585</v>
      </c>
      <c r="V1760">
        <v>30000</v>
      </c>
      <c r="W1760">
        <v>3</v>
      </c>
      <c r="X1760" t="s">
        <v>135</v>
      </c>
      <c r="Y1760" t="s">
        <v>60</v>
      </c>
      <c r="Z1760" t="s">
        <v>19</v>
      </c>
      <c r="AA1760" t="s">
        <v>3588</v>
      </c>
      <c r="AB1760" t="s">
        <v>3588</v>
      </c>
      <c r="AC1760" t="s">
        <v>3584</v>
      </c>
      <c r="AD1760" t="s">
        <v>3479</v>
      </c>
      <c r="AE1760" t="s">
        <v>3475</v>
      </c>
      <c r="AF1760" s="2">
        <v>699.09820000000002</v>
      </c>
      <c r="AG1760" s="2">
        <v>413.1463</v>
      </c>
      <c r="AH1760" s="2">
        <v>285.95190000000002</v>
      </c>
      <c r="AI1760" s="3">
        <v>0.409029661355157</v>
      </c>
    </row>
    <row r="1761" spans="1:35">
      <c r="A1761" s="1">
        <v>42272</v>
      </c>
      <c r="B1761" s="1">
        <v>37505</v>
      </c>
      <c r="C1761" t="s">
        <v>5449</v>
      </c>
      <c r="D1761">
        <v>338</v>
      </c>
      <c r="E1761">
        <v>20837</v>
      </c>
      <c r="F1761">
        <v>10</v>
      </c>
      <c r="G1761">
        <v>1</v>
      </c>
      <c r="H1761">
        <v>1</v>
      </c>
      <c r="I1761">
        <v>2</v>
      </c>
      <c r="J1761" t="s">
        <v>3513</v>
      </c>
      <c r="K1761" t="s">
        <v>3514</v>
      </c>
      <c r="L1761" s="2">
        <v>413.1463</v>
      </c>
      <c r="M1761" s="2">
        <v>699.09820000000002</v>
      </c>
      <c r="N1761" t="s">
        <v>13</v>
      </c>
      <c r="O1761" t="s">
        <v>84</v>
      </c>
      <c r="P1761" t="s">
        <v>198</v>
      </c>
      <c r="Q1761" t="s">
        <v>8090</v>
      </c>
      <c r="R1761" s="1">
        <v>21794</v>
      </c>
      <c r="S1761" t="s">
        <v>16</v>
      </c>
      <c r="T1761" t="s">
        <v>16</v>
      </c>
      <c r="U1761" t="s">
        <v>2586</v>
      </c>
      <c r="V1761">
        <v>20000</v>
      </c>
      <c r="W1761">
        <v>2</v>
      </c>
      <c r="X1761" t="s">
        <v>52</v>
      </c>
      <c r="Y1761" t="s">
        <v>444</v>
      </c>
      <c r="Z1761" t="s">
        <v>19</v>
      </c>
      <c r="AA1761" t="s">
        <v>3588</v>
      </c>
      <c r="AB1761" t="s">
        <v>3588</v>
      </c>
      <c r="AC1761" t="s">
        <v>3584</v>
      </c>
      <c r="AD1761" t="s">
        <v>3479</v>
      </c>
      <c r="AE1761" t="s">
        <v>3475</v>
      </c>
      <c r="AF1761" s="2">
        <v>699.09820000000002</v>
      </c>
      <c r="AG1761" s="2">
        <v>413.1463</v>
      </c>
      <c r="AH1761" s="2">
        <v>285.95190000000002</v>
      </c>
      <c r="AI1761" s="3">
        <v>0.409029661355157</v>
      </c>
    </row>
    <row r="1762" spans="1:35">
      <c r="A1762" s="1">
        <v>42293</v>
      </c>
      <c r="B1762" s="1">
        <v>37520</v>
      </c>
      <c r="C1762" t="s">
        <v>5589</v>
      </c>
      <c r="D1762">
        <v>320</v>
      </c>
      <c r="E1762">
        <v>20838</v>
      </c>
      <c r="F1762">
        <v>10</v>
      </c>
      <c r="G1762">
        <v>1</v>
      </c>
      <c r="H1762">
        <v>1</v>
      </c>
      <c r="I1762">
        <v>2</v>
      </c>
      <c r="J1762" t="s">
        <v>3495</v>
      </c>
      <c r="K1762" t="s">
        <v>3496</v>
      </c>
      <c r="L1762" s="2">
        <v>413.1463</v>
      </c>
      <c r="M1762" s="2">
        <v>699.09820000000002</v>
      </c>
      <c r="N1762" t="s">
        <v>30</v>
      </c>
      <c r="O1762" t="s">
        <v>50</v>
      </c>
      <c r="P1762" t="s">
        <v>343</v>
      </c>
      <c r="Q1762" t="s">
        <v>8091</v>
      </c>
      <c r="R1762" s="1">
        <v>21657</v>
      </c>
      <c r="S1762" t="s">
        <v>22</v>
      </c>
      <c r="T1762" t="s">
        <v>29</v>
      </c>
      <c r="U1762" t="s">
        <v>2587</v>
      </c>
      <c r="V1762">
        <v>30000</v>
      </c>
      <c r="W1762">
        <v>3</v>
      </c>
      <c r="X1762" t="s">
        <v>135</v>
      </c>
      <c r="Y1762" t="s">
        <v>60</v>
      </c>
      <c r="Z1762" t="s">
        <v>19</v>
      </c>
      <c r="AA1762" t="s">
        <v>3588</v>
      </c>
      <c r="AB1762" t="s">
        <v>3588</v>
      </c>
      <c r="AC1762" t="s">
        <v>3584</v>
      </c>
      <c r="AD1762" t="s">
        <v>3479</v>
      </c>
      <c r="AE1762" t="s">
        <v>3475</v>
      </c>
      <c r="AF1762" s="2">
        <v>699.09820000000002</v>
      </c>
      <c r="AG1762" s="2">
        <v>413.1463</v>
      </c>
      <c r="AH1762" s="2">
        <v>285.95190000000002</v>
      </c>
      <c r="AI1762" s="3">
        <v>0.409029661355157</v>
      </c>
    </row>
    <row r="1763" spans="1:35">
      <c r="A1763" s="1">
        <v>42279</v>
      </c>
      <c r="B1763" s="1">
        <v>37449</v>
      </c>
      <c r="C1763" t="s">
        <v>5495</v>
      </c>
      <c r="D1763">
        <v>328</v>
      </c>
      <c r="E1763">
        <v>20839</v>
      </c>
      <c r="F1763">
        <v>10</v>
      </c>
      <c r="G1763">
        <v>1</v>
      </c>
      <c r="H1763">
        <v>1</v>
      </c>
      <c r="I1763">
        <v>2</v>
      </c>
      <c r="J1763" t="s">
        <v>3503</v>
      </c>
      <c r="K1763" t="s">
        <v>3504</v>
      </c>
      <c r="L1763" s="2">
        <v>413.1463</v>
      </c>
      <c r="M1763" s="2">
        <v>699.09820000000002</v>
      </c>
      <c r="N1763" t="s">
        <v>30</v>
      </c>
      <c r="O1763" t="s">
        <v>857</v>
      </c>
      <c r="P1763" t="s">
        <v>125</v>
      </c>
      <c r="Q1763" t="s">
        <v>8092</v>
      </c>
      <c r="R1763" s="1">
        <v>21654</v>
      </c>
      <c r="S1763" t="s">
        <v>22</v>
      </c>
      <c r="T1763" t="s">
        <v>29</v>
      </c>
      <c r="U1763" t="s">
        <v>2588</v>
      </c>
      <c r="V1763">
        <v>30000</v>
      </c>
      <c r="W1763">
        <v>3</v>
      </c>
      <c r="X1763" t="s">
        <v>135</v>
      </c>
      <c r="Y1763" t="s">
        <v>60</v>
      </c>
      <c r="Z1763" t="s">
        <v>19</v>
      </c>
      <c r="AA1763" t="s">
        <v>3588</v>
      </c>
      <c r="AB1763" t="s">
        <v>3588</v>
      </c>
      <c r="AC1763" t="s">
        <v>3584</v>
      </c>
      <c r="AD1763" t="s">
        <v>3479</v>
      </c>
      <c r="AE1763" t="s">
        <v>3475</v>
      </c>
      <c r="AF1763" s="2">
        <v>699.09820000000002</v>
      </c>
      <c r="AG1763" s="2">
        <v>413.1463</v>
      </c>
      <c r="AH1763" s="2">
        <v>285.95190000000002</v>
      </c>
      <c r="AI1763" s="3">
        <v>0.409029661355157</v>
      </c>
    </row>
    <row r="1764" spans="1:35">
      <c r="A1764" s="1">
        <v>42297</v>
      </c>
      <c r="B1764" s="1">
        <v>37477</v>
      </c>
      <c r="C1764" t="s">
        <v>5625</v>
      </c>
      <c r="D1764">
        <v>338</v>
      </c>
      <c r="E1764">
        <v>20848</v>
      </c>
      <c r="F1764">
        <v>10</v>
      </c>
      <c r="G1764">
        <v>1</v>
      </c>
      <c r="H1764">
        <v>1</v>
      </c>
      <c r="I1764">
        <v>2</v>
      </c>
      <c r="J1764" t="s">
        <v>3513</v>
      </c>
      <c r="K1764" t="s">
        <v>3514</v>
      </c>
      <c r="L1764" s="2">
        <v>413.1463</v>
      </c>
      <c r="M1764" s="2">
        <v>699.09820000000002</v>
      </c>
      <c r="N1764" t="s">
        <v>13</v>
      </c>
      <c r="O1764" t="s">
        <v>732</v>
      </c>
      <c r="P1764" t="s">
        <v>210</v>
      </c>
      <c r="Q1764" t="s">
        <v>8093</v>
      </c>
      <c r="R1764" s="1">
        <v>21353</v>
      </c>
      <c r="S1764" t="s">
        <v>16</v>
      </c>
      <c r="T1764" t="s">
        <v>16</v>
      </c>
      <c r="U1764" t="s">
        <v>2589</v>
      </c>
      <c r="V1764">
        <v>30000</v>
      </c>
      <c r="W1764">
        <v>1</v>
      </c>
      <c r="X1764" t="s">
        <v>17</v>
      </c>
      <c r="Y1764" t="s">
        <v>60</v>
      </c>
      <c r="Z1764" t="s">
        <v>19</v>
      </c>
      <c r="AA1764" t="s">
        <v>3588</v>
      </c>
      <c r="AB1764" t="s">
        <v>3588</v>
      </c>
      <c r="AC1764" t="s">
        <v>3584</v>
      </c>
      <c r="AD1764" t="s">
        <v>3479</v>
      </c>
      <c r="AE1764" t="s">
        <v>3475</v>
      </c>
      <c r="AF1764" s="2">
        <v>699.09820000000002</v>
      </c>
      <c r="AG1764" s="2">
        <v>413.1463</v>
      </c>
      <c r="AH1764" s="2">
        <v>285.95190000000002</v>
      </c>
      <c r="AI1764" s="3">
        <v>0.409029661355157</v>
      </c>
    </row>
    <row r="1765" spans="1:35">
      <c r="A1765" s="1">
        <v>42297</v>
      </c>
      <c r="B1765" s="1">
        <v>37534</v>
      </c>
      <c r="C1765" t="s">
        <v>5619</v>
      </c>
      <c r="D1765">
        <v>322</v>
      </c>
      <c r="E1765">
        <v>20851</v>
      </c>
      <c r="F1765">
        <v>10</v>
      </c>
      <c r="G1765">
        <v>1</v>
      </c>
      <c r="H1765">
        <v>1</v>
      </c>
      <c r="I1765">
        <v>2</v>
      </c>
      <c r="J1765" t="s">
        <v>3497</v>
      </c>
      <c r="K1765" t="s">
        <v>3498</v>
      </c>
      <c r="L1765" s="2">
        <v>413.1463</v>
      </c>
      <c r="M1765" s="2">
        <v>699.09820000000002</v>
      </c>
      <c r="N1765" t="s">
        <v>13</v>
      </c>
      <c r="O1765" t="s">
        <v>448</v>
      </c>
      <c r="P1765" t="s">
        <v>538</v>
      </c>
      <c r="Q1765" t="s">
        <v>8094</v>
      </c>
      <c r="R1765" s="1">
        <v>25695</v>
      </c>
      <c r="S1765" t="s">
        <v>22</v>
      </c>
      <c r="T1765" t="s">
        <v>16</v>
      </c>
      <c r="U1765" t="s">
        <v>2590</v>
      </c>
      <c r="V1765">
        <v>20000</v>
      </c>
      <c r="W1765">
        <v>0</v>
      </c>
      <c r="X1765" t="s">
        <v>52</v>
      </c>
      <c r="Y1765" t="s">
        <v>444</v>
      </c>
      <c r="Z1765" t="s">
        <v>23</v>
      </c>
      <c r="AA1765" t="s">
        <v>3588</v>
      </c>
      <c r="AB1765" t="s">
        <v>3588</v>
      </c>
      <c r="AC1765" t="s">
        <v>3584</v>
      </c>
      <c r="AD1765" t="s">
        <v>3479</v>
      </c>
      <c r="AE1765" t="s">
        <v>3475</v>
      </c>
      <c r="AF1765" s="2">
        <v>699.09820000000002</v>
      </c>
      <c r="AG1765" s="2">
        <v>413.1463</v>
      </c>
      <c r="AH1765" s="2">
        <v>285.95190000000002</v>
      </c>
      <c r="AI1765" s="3">
        <v>0.409029661355157</v>
      </c>
    </row>
    <row r="1766" spans="1:35">
      <c r="A1766" s="1">
        <v>42334</v>
      </c>
      <c r="B1766" s="1">
        <v>37571</v>
      </c>
      <c r="C1766" t="s">
        <v>5862</v>
      </c>
      <c r="D1766">
        <v>328</v>
      </c>
      <c r="E1766">
        <v>20852</v>
      </c>
      <c r="F1766">
        <v>10</v>
      </c>
      <c r="G1766">
        <v>1</v>
      </c>
      <c r="H1766">
        <v>1</v>
      </c>
      <c r="I1766">
        <v>2</v>
      </c>
      <c r="J1766" t="s">
        <v>3503</v>
      </c>
      <c r="K1766" t="s">
        <v>3504</v>
      </c>
      <c r="L1766" s="2">
        <v>413.1463</v>
      </c>
      <c r="M1766" s="2">
        <v>699.09820000000002</v>
      </c>
      <c r="N1766" t="s">
        <v>26</v>
      </c>
      <c r="O1766" t="s">
        <v>1250</v>
      </c>
      <c r="P1766" t="s">
        <v>131</v>
      </c>
      <c r="Q1766" t="s">
        <v>8095</v>
      </c>
      <c r="R1766" s="1">
        <v>25755</v>
      </c>
      <c r="S1766" t="s">
        <v>16</v>
      </c>
      <c r="T1766" t="s">
        <v>29</v>
      </c>
      <c r="U1766" t="s">
        <v>2591</v>
      </c>
      <c r="V1766">
        <v>30000</v>
      </c>
      <c r="W1766">
        <v>0</v>
      </c>
      <c r="X1766" t="s">
        <v>17</v>
      </c>
      <c r="Y1766" t="s">
        <v>60</v>
      </c>
      <c r="Z1766" t="s">
        <v>19</v>
      </c>
      <c r="AA1766" t="s">
        <v>3588</v>
      </c>
      <c r="AB1766" t="s">
        <v>3588</v>
      </c>
      <c r="AC1766" t="s">
        <v>3584</v>
      </c>
      <c r="AD1766" t="s">
        <v>3479</v>
      </c>
      <c r="AE1766" t="s">
        <v>3475</v>
      </c>
      <c r="AF1766" s="2">
        <v>699.09820000000002</v>
      </c>
      <c r="AG1766" s="2">
        <v>413.1463</v>
      </c>
      <c r="AH1766" s="2">
        <v>285.95190000000002</v>
      </c>
      <c r="AI1766" s="3">
        <v>0.409029661355157</v>
      </c>
    </row>
    <row r="1767" spans="1:35">
      <c r="A1767" s="1">
        <v>42333</v>
      </c>
      <c r="B1767" s="1">
        <v>37542</v>
      </c>
      <c r="C1767" t="s">
        <v>5856</v>
      </c>
      <c r="D1767">
        <v>322</v>
      </c>
      <c r="E1767">
        <v>20856</v>
      </c>
      <c r="F1767">
        <v>10</v>
      </c>
      <c r="G1767">
        <v>1</v>
      </c>
      <c r="H1767">
        <v>1</v>
      </c>
      <c r="I1767">
        <v>2</v>
      </c>
      <c r="J1767" t="s">
        <v>3497</v>
      </c>
      <c r="K1767" t="s">
        <v>3498</v>
      </c>
      <c r="L1767" s="2">
        <v>413.1463</v>
      </c>
      <c r="M1767" s="2">
        <v>699.09820000000002</v>
      </c>
      <c r="N1767" t="s">
        <v>26</v>
      </c>
      <c r="O1767" t="s">
        <v>150</v>
      </c>
      <c r="P1767" t="s">
        <v>511</v>
      </c>
      <c r="Q1767" t="s">
        <v>8096</v>
      </c>
      <c r="R1767" s="1">
        <v>25394</v>
      </c>
      <c r="S1767" t="s">
        <v>22</v>
      </c>
      <c r="T1767" t="s">
        <v>29</v>
      </c>
      <c r="U1767" t="s">
        <v>2592</v>
      </c>
      <c r="V1767">
        <v>20000</v>
      </c>
      <c r="W1767">
        <v>0</v>
      </c>
      <c r="X1767" t="s">
        <v>52</v>
      </c>
      <c r="Y1767" t="s">
        <v>444</v>
      </c>
      <c r="Z1767" t="s">
        <v>23</v>
      </c>
      <c r="AA1767" t="s">
        <v>3588</v>
      </c>
      <c r="AB1767" t="s">
        <v>3588</v>
      </c>
      <c r="AC1767" t="s">
        <v>3584</v>
      </c>
      <c r="AD1767" t="s">
        <v>3479</v>
      </c>
      <c r="AE1767" t="s">
        <v>3475</v>
      </c>
      <c r="AF1767" s="2">
        <v>699.09820000000002</v>
      </c>
      <c r="AG1767" s="2">
        <v>413.1463</v>
      </c>
      <c r="AH1767" s="2">
        <v>285.95190000000002</v>
      </c>
      <c r="AI1767" s="3">
        <v>0.409029661355157</v>
      </c>
    </row>
    <row r="1768" spans="1:35">
      <c r="A1768" s="1">
        <v>42311</v>
      </c>
      <c r="B1768" s="1">
        <v>37474</v>
      </c>
      <c r="C1768" t="s">
        <v>5720</v>
      </c>
      <c r="D1768">
        <v>322</v>
      </c>
      <c r="E1768">
        <v>20859</v>
      </c>
      <c r="F1768">
        <v>10</v>
      </c>
      <c r="G1768">
        <v>1</v>
      </c>
      <c r="H1768">
        <v>1</v>
      </c>
      <c r="I1768">
        <v>2</v>
      </c>
      <c r="J1768" t="s">
        <v>3497</v>
      </c>
      <c r="K1768" t="s">
        <v>3498</v>
      </c>
      <c r="L1768" s="2">
        <v>413.1463</v>
      </c>
      <c r="M1768" s="2">
        <v>699.09820000000002</v>
      </c>
      <c r="N1768" t="s">
        <v>13</v>
      </c>
      <c r="O1768" t="s">
        <v>454</v>
      </c>
      <c r="P1768" t="s">
        <v>317</v>
      </c>
      <c r="Q1768" t="s">
        <v>8097</v>
      </c>
      <c r="R1768" s="1">
        <v>25453</v>
      </c>
      <c r="S1768" t="s">
        <v>22</v>
      </c>
      <c r="T1768" t="s">
        <v>16</v>
      </c>
      <c r="U1768" t="s">
        <v>2593</v>
      </c>
      <c r="V1768">
        <v>30000</v>
      </c>
      <c r="W1768">
        <v>0</v>
      </c>
      <c r="X1768" t="s">
        <v>17</v>
      </c>
      <c r="Y1768" t="s">
        <v>60</v>
      </c>
      <c r="Z1768" t="s">
        <v>23</v>
      </c>
      <c r="AA1768" t="s">
        <v>3588</v>
      </c>
      <c r="AB1768" t="s">
        <v>3588</v>
      </c>
      <c r="AC1768" t="s">
        <v>3584</v>
      </c>
      <c r="AD1768" t="s">
        <v>3479</v>
      </c>
      <c r="AE1768" t="s">
        <v>3475</v>
      </c>
      <c r="AF1768" s="2">
        <v>699.09820000000002</v>
      </c>
      <c r="AG1768" s="2">
        <v>413.1463</v>
      </c>
      <c r="AH1768" s="2">
        <v>285.95190000000002</v>
      </c>
      <c r="AI1768" s="3">
        <v>0.409029661355157</v>
      </c>
    </row>
    <row r="1769" spans="1:35">
      <c r="A1769" s="1">
        <v>42325</v>
      </c>
      <c r="B1769" s="1">
        <v>37505</v>
      </c>
      <c r="C1769" t="s">
        <v>5801</v>
      </c>
      <c r="D1769">
        <v>334</v>
      </c>
      <c r="E1769">
        <v>20862</v>
      </c>
      <c r="F1769">
        <v>10</v>
      </c>
      <c r="G1769">
        <v>1</v>
      </c>
      <c r="H1769">
        <v>1</v>
      </c>
      <c r="I1769">
        <v>2</v>
      </c>
      <c r="J1769" t="s">
        <v>3509</v>
      </c>
      <c r="K1769" t="s">
        <v>3510</v>
      </c>
      <c r="L1769" s="2">
        <v>413.1463</v>
      </c>
      <c r="M1769" s="2">
        <v>699.09820000000002</v>
      </c>
      <c r="N1769" t="s">
        <v>13</v>
      </c>
      <c r="O1769" t="s">
        <v>340</v>
      </c>
      <c r="P1769" t="s">
        <v>2126</v>
      </c>
      <c r="Q1769" t="s">
        <v>8098</v>
      </c>
      <c r="R1769" s="1">
        <v>25488</v>
      </c>
      <c r="S1769" t="s">
        <v>16</v>
      </c>
      <c r="T1769" t="s">
        <v>16</v>
      </c>
      <c r="U1769" t="s">
        <v>2594</v>
      </c>
      <c r="V1769">
        <v>40000</v>
      </c>
      <c r="W1769">
        <v>0</v>
      </c>
      <c r="X1769" t="s">
        <v>135</v>
      </c>
      <c r="Y1769" t="s">
        <v>60</v>
      </c>
      <c r="Z1769" t="s">
        <v>19</v>
      </c>
      <c r="AA1769" t="s">
        <v>3588</v>
      </c>
      <c r="AB1769" t="s">
        <v>3588</v>
      </c>
      <c r="AC1769" t="s">
        <v>3584</v>
      </c>
      <c r="AD1769" t="s">
        <v>3479</v>
      </c>
      <c r="AE1769" t="s">
        <v>3475</v>
      </c>
      <c r="AF1769" s="2">
        <v>699.09820000000002</v>
      </c>
      <c r="AG1769" s="2">
        <v>413.1463</v>
      </c>
      <c r="AH1769" s="2">
        <v>285.95190000000002</v>
      </c>
      <c r="AI1769" s="3">
        <v>0.409029661355157</v>
      </c>
    </row>
    <row r="1770" spans="1:35">
      <c r="A1770" s="1">
        <v>42336</v>
      </c>
      <c r="B1770" s="1">
        <v>37498</v>
      </c>
      <c r="C1770" t="s">
        <v>5879</v>
      </c>
      <c r="D1770">
        <v>324</v>
      </c>
      <c r="E1770">
        <v>20863</v>
      </c>
      <c r="F1770">
        <v>10</v>
      </c>
      <c r="G1770">
        <v>1</v>
      </c>
      <c r="H1770">
        <v>1</v>
      </c>
      <c r="I1770">
        <v>2</v>
      </c>
      <c r="J1770" t="s">
        <v>3499</v>
      </c>
      <c r="K1770" t="s">
        <v>3500</v>
      </c>
      <c r="L1770" s="2">
        <v>413.1463</v>
      </c>
      <c r="M1770" s="2">
        <v>699.09820000000002</v>
      </c>
      <c r="N1770" t="s">
        <v>26</v>
      </c>
      <c r="O1770" t="s">
        <v>335</v>
      </c>
      <c r="P1770" t="s">
        <v>474</v>
      </c>
      <c r="Q1770" t="s">
        <v>8099</v>
      </c>
      <c r="R1770" s="1">
        <v>25429</v>
      </c>
      <c r="S1770" t="s">
        <v>16</v>
      </c>
      <c r="T1770" t="s">
        <v>29</v>
      </c>
      <c r="U1770" t="s">
        <v>2595</v>
      </c>
      <c r="V1770">
        <v>40000</v>
      </c>
      <c r="W1770">
        <v>0</v>
      </c>
      <c r="X1770" t="s">
        <v>135</v>
      </c>
      <c r="Y1770" t="s">
        <v>60</v>
      </c>
      <c r="Z1770" t="s">
        <v>19</v>
      </c>
      <c r="AA1770" t="s">
        <v>3588</v>
      </c>
      <c r="AB1770" t="s">
        <v>3588</v>
      </c>
      <c r="AC1770" t="s">
        <v>3584</v>
      </c>
      <c r="AD1770" t="s">
        <v>3479</v>
      </c>
      <c r="AE1770" t="s">
        <v>3475</v>
      </c>
      <c r="AF1770" s="2">
        <v>699.09820000000002</v>
      </c>
      <c r="AG1770" s="2">
        <v>413.1463</v>
      </c>
      <c r="AH1770" s="2">
        <v>285.95190000000002</v>
      </c>
      <c r="AI1770" s="3">
        <v>0.409029661355157</v>
      </c>
    </row>
    <row r="1771" spans="1:35">
      <c r="A1771" s="1">
        <v>42335</v>
      </c>
      <c r="B1771" s="1">
        <v>37537</v>
      </c>
      <c r="C1771" t="s">
        <v>5868</v>
      </c>
      <c r="D1771">
        <v>320</v>
      </c>
      <c r="E1771">
        <v>20864</v>
      </c>
      <c r="F1771">
        <v>10</v>
      </c>
      <c r="G1771">
        <v>1</v>
      </c>
      <c r="H1771">
        <v>1</v>
      </c>
      <c r="I1771">
        <v>2</v>
      </c>
      <c r="J1771" t="s">
        <v>3495</v>
      </c>
      <c r="K1771" t="s">
        <v>3496</v>
      </c>
      <c r="L1771" s="2">
        <v>413.1463</v>
      </c>
      <c r="M1771" s="2">
        <v>699.09820000000002</v>
      </c>
      <c r="N1771" t="s">
        <v>26</v>
      </c>
      <c r="O1771" t="s">
        <v>147</v>
      </c>
      <c r="P1771" t="s">
        <v>294</v>
      </c>
      <c r="Q1771" t="s">
        <v>8100</v>
      </c>
      <c r="R1771" s="1">
        <v>25289</v>
      </c>
      <c r="S1771" t="s">
        <v>16</v>
      </c>
      <c r="T1771" t="s">
        <v>29</v>
      </c>
      <c r="U1771" t="s">
        <v>2596</v>
      </c>
      <c r="V1771">
        <v>50000</v>
      </c>
      <c r="W1771">
        <v>0</v>
      </c>
      <c r="X1771" t="s">
        <v>135</v>
      </c>
      <c r="Y1771" t="s">
        <v>53</v>
      </c>
      <c r="Z1771" t="s">
        <v>19</v>
      </c>
      <c r="AA1771" t="s">
        <v>3588</v>
      </c>
      <c r="AB1771" t="s">
        <v>3588</v>
      </c>
      <c r="AC1771" t="s">
        <v>3584</v>
      </c>
      <c r="AD1771" t="s">
        <v>3479</v>
      </c>
      <c r="AE1771" t="s">
        <v>3475</v>
      </c>
      <c r="AF1771" s="2">
        <v>699.09820000000002</v>
      </c>
      <c r="AG1771" s="2">
        <v>413.1463</v>
      </c>
      <c r="AH1771" s="2">
        <v>285.95190000000002</v>
      </c>
      <c r="AI1771" s="3">
        <v>0.409029661355157</v>
      </c>
    </row>
    <row r="1772" spans="1:35">
      <c r="A1772" s="1">
        <v>42347</v>
      </c>
      <c r="B1772" s="1">
        <v>37524</v>
      </c>
      <c r="C1772" t="s">
        <v>5983</v>
      </c>
      <c r="D1772">
        <v>342</v>
      </c>
      <c r="E1772">
        <v>20866</v>
      </c>
      <c r="F1772">
        <v>10</v>
      </c>
      <c r="G1772">
        <v>1</v>
      </c>
      <c r="H1772">
        <v>1</v>
      </c>
      <c r="I1772">
        <v>2</v>
      </c>
      <c r="J1772" t="s">
        <v>3517</v>
      </c>
      <c r="K1772" t="s">
        <v>3518</v>
      </c>
      <c r="L1772" s="2">
        <v>413.1463</v>
      </c>
      <c r="M1772" s="2">
        <v>699.09820000000002</v>
      </c>
      <c r="N1772" t="s">
        <v>13</v>
      </c>
      <c r="O1772" t="s">
        <v>292</v>
      </c>
      <c r="P1772" t="s">
        <v>343</v>
      </c>
      <c r="Q1772" t="s">
        <v>8101</v>
      </c>
      <c r="R1772" s="1">
        <v>8190</v>
      </c>
      <c r="S1772" t="s">
        <v>16</v>
      </c>
      <c r="T1772" t="s">
        <v>16</v>
      </c>
      <c r="U1772" t="s">
        <v>2597</v>
      </c>
      <c r="V1772">
        <v>130000</v>
      </c>
      <c r="W1772">
        <v>0</v>
      </c>
      <c r="X1772" t="s">
        <v>17</v>
      </c>
      <c r="Y1772" t="s">
        <v>18</v>
      </c>
      <c r="Z1772" t="s">
        <v>19</v>
      </c>
      <c r="AA1772" t="s">
        <v>3588</v>
      </c>
      <c r="AB1772" t="s">
        <v>3588</v>
      </c>
      <c r="AC1772" t="s">
        <v>3584</v>
      </c>
      <c r="AD1772" t="s">
        <v>3479</v>
      </c>
      <c r="AE1772" t="s">
        <v>3475</v>
      </c>
      <c r="AF1772" s="2">
        <v>699.09820000000002</v>
      </c>
      <c r="AG1772" s="2">
        <v>413.1463</v>
      </c>
      <c r="AH1772" s="2">
        <v>285.95190000000002</v>
      </c>
      <c r="AI1772" s="3">
        <v>0.409029661355157</v>
      </c>
    </row>
    <row r="1773" spans="1:35">
      <c r="A1773" s="1">
        <v>42361</v>
      </c>
      <c r="B1773" s="1">
        <v>37551</v>
      </c>
      <c r="C1773" t="s">
        <v>6141</v>
      </c>
      <c r="D1773">
        <v>342</v>
      </c>
      <c r="E1773">
        <v>20869</v>
      </c>
      <c r="F1773">
        <v>10</v>
      </c>
      <c r="G1773">
        <v>1</v>
      </c>
      <c r="H1773">
        <v>1</v>
      </c>
      <c r="I1773">
        <v>2</v>
      </c>
      <c r="J1773" t="s">
        <v>3517</v>
      </c>
      <c r="K1773" t="s">
        <v>3518</v>
      </c>
      <c r="L1773" s="2">
        <v>413.1463</v>
      </c>
      <c r="M1773" s="2">
        <v>699.09820000000002</v>
      </c>
      <c r="N1773" t="s">
        <v>13</v>
      </c>
      <c r="O1773" t="s">
        <v>292</v>
      </c>
      <c r="P1773" t="s">
        <v>290</v>
      </c>
      <c r="Q1773" t="s">
        <v>8102</v>
      </c>
      <c r="R1773" s="1">
        <v>25198</v>
      </c>
      <c r="S1773" t="s">
        <v>22</v>
      </c>
      <c r="T1773" t="s">
        <v>16</v>
      </c>
      <c r="U1773" t="s">
        <v>2598</v>
      </c>
      <c r="V1773">
        <v>10000</v>
      </c>
      <c r="W1773">
        <v>2</v>
      </c>
      <c r="X1773" t="s">
        <v>57</v>
      </c>
      <c r="Y1773" t="s">
        <v>444</v>
      </c>
      <c r="Z1773" t="s">
        <v>19</v>
      </c>
      <c r="AA1773" t="s">
        <v>3588</v>
      </c>
      <c r="AB1773" t="s">
        <v>3588</v>
      </c>
      <c r="AC1773" t="s">
        <v>3584</v>
      </c>
      <c r="AD1773" t="s">
        <v>3479</v>
      </c>
      <c r="AE1773" t="s">
        <v>3475</v>
      </c>
      <c r="AF1773" s="2">
        <v>699.09820000000002</v>
      </c>
      <c r="AG1773" s="2">
        <v>413.1463</v>
      </c>
      <c r="AH1773" s="2">
        <v>285.95190000000002</v>
      </c>
      <c r="AI1773" s="3">
        <v>0.409029661355157</v>
      </c>
    </row>
    <row r="1774" spans="1:35">
      <c r="A1774" s="1">
        <v>42362</v>
      </c>
      <c r="B1774" s="1">
        <v>37580</v>
      </c>
      <c r="C1774" t="s">
        <v>6159</v>
      </c>
      <c r="D1774">
        <v>334</v>
      </c>
      <c r="E1774">
        <v>20872</v>
      </c>
      <c r="F1774">
        <v>10</v>
      </c>
      <c r="G1774">
        <v>1</v>
      </c>
      <c r="H1774">
        <v>1</v>
      </c>
      <c r="I1774">
        <v>2</v>
      </c>
      <c r="J1774" t="s">
        <v>3509</v>
      </c>
      <c r="K1774" t="s">
        <v>3510</v>
      </c>
      <c r="L1774" s="2">
        <v>413.1463</v>
      </c>
      <c r="M1774" s="2">
        <v>699.09820000000002</v>
      </c>
      <c r="N1774" t="s">
        <v>13</v>
      </c>
      <c r="O1774" t="s">
        <v>269</v>
      </c>
      <c r="P1774" t="s">
        <v>85</v>
      </c>
      <c r="Q1774" t="s">
        <v>8103</v>
      </c>
      <c r="R1774" s="1">
        <v>24889</v>
      </c>
      <c r="S1774" t="s">
        <v>22</v>
      </c>
      <c r="T1774" t="s">
        <v>16</v>
      </c>
      <c r="U1774" t="s">
        <v>2599</v>
      </c>
      <c r="V1774">
        <v>10000</v>
      </c>
      <c r="W1774">
        <v>3</v>
      </c>
      <c r="X1774" t="s">
        <v>57</v>
      </c>
      <c r="Y1774" t="s">
        <v>444</v>
      </c>
      <c r="Z1774" t="s">
        <v>19</v>
      </c>
      <c r="AA1774" t="s">
        <v>3588</v>
      </c>
      <c r="AB1774" t="s">
        <v>3588</v>
      </c>
      <c r="AC1774" t="s">
        <v>3584</v>
      </c>
      <c r="AD1774" t="s">
        <v>3479</v>
      </c>
      <c r="AE1774" t="s">
        <v>3475</v>
      </c>
      <c r="AF1774" s="2">
        <v>699.09820000000002</v>
      </c>
      <c r="AG1774" s="2">
        <v>413.1463</v>
      </c>
      <c r="AH1774" s="2">
        <v>285.95190000000002</v>
      </c>
      <c r="AI1774" s="3">
        <v>0.409029661355157</v>
      </c>
    </row>
    <row r="1775" spans="1:35">
      <c r="A1775" s="1">
        <v>42360</v>
      </c>
      <c r="B1775" s="1">
        <v>37551</v>
      </c>
      <c r="C1775" t="s">
        <v>6130</v>
      </c>
      <c r="D1775">
        <v>338</v>
      </c>
      <c r="E1775">
        <v>20875</v>
      </c>
      <c r="F1775">
        <v>10</v>
      </c>
      <c r="G1775">
        <v>1</v>
      </c>
      <c r="H1775">
        <v>1</v>
      </c>
      <c r="I1775">
        <v>2</v>
      </c>
      <c r="J1775" t="s">
        <v>3513</v>
      </c>
      <c r="K1775" t="s">
        <v>3514</v>
      </c>
      <c r="L1775" s="2">
        <v>413.1463</v>
      </c>
      <c r="M1775" s="2">
        <v>699.09820000000002</v>
      </c>
      <c r="N1775" t="s">
        <v>30</v>
      </c>
      <c r="O1775" t="s">
        <v>202</v>
      </c>
      <c r="P1775" t="s">
        <v>594</v>
      </c>
      <c r="Q1775" t="s">
        <v>8104</v>
      </c>
      <c r="R1775" s="1">
        <v>25178</v>
      </c>
      <c r="S1775" t="s">
        <v>16</v>
      </c>
      <c r="T1775" t="s">
        <v>29</v>
      </c>
      <c r="U1775" t="s">
        <v>2600</v>
      </c>
      <c r="V1775">
        <v>20000</v>
      </c>
      <c r="W1775">
        <v>1</v>
      </c>
      <c r="X1775" t="s">
        <v>52</v>
      </c>
      <c r="Y1775" t="s">
        <v>444</v>
      </c>
      <c r="Z1775" t="s">
        <v>19</v>
      </c>
      <c r="AA1775" t="s">
        <v>3588</v>
      </c>
      <c r="AB1775" t="s">
        <v>3588</v>
      </c>
      <c r="AC1775" t="s">
        <v>3584</v>
      </c>
      <c r="AD1775" t="s">
        <v>3479</v>
      </c>
      <c r="AE1775" t="s">
        <v>3475</v>
      </c>
      <c r="AF1775" s="2">
        <v>699.09820000000002</v>
      </c>
      <c r="AG1775" s="2">
        <v>413.1463</v>
      </c>
      <c r="AH1775" s="2">
        <v>285.95190000000002</v>
      </c>
      <c r="AI1775" s="3">
        <v>0.409029661355157</v>
      </c>
    </row>
    <row r="1776" spans="1:35">
      <c r="A1776" s="1">
        <v>42349</v>
      </c>
      <c r="B1776" s="1">
        <v>37583</v>
      </c>
      <c r="C1776" t="s">
        <v>6010</v>
      </c>
      <c r="D1776">
        <v>340</v>
      </c>
      <c r="E1776">
        <v>20879</v>
      </c>
      <c r="F1776">
        <v>10</v>
      </c>
      <c r="G1776">
        <v>1</v>
      </c>
      <c r="H1776">
        <v>1</v>
      </c>
      <c r="I1776">
        <v>2</v>
      </c>
      <c r="J1776" t="s">
        <v>3515</v>
      </c>
      <c r="K1776" t="s">
        <v>3516</v>
      </c>
      <c r="L1776" s="2">
        <v>413.1463</v>
      </c>
      <c r="M1776" s="2">
        <v>699.09820000000002</v>
      </c>
      <c r="N1776" t="s">
        <v>26</v>
      </c>
      <c r="O1776" t="s">
        <v>517</v>
      </c>
      <c r="P1776" t="s">
        <v>109</v>
      </c>
      <c r="Q1776" t="s">
        <v>8105</v>
      </c>
      <c r="R1776" s="1">
        <v>25087</v>
      </c>
      <c r="S1776" t="s">
        <v>16</v>
      </c>
      <c r="T1776" t="s">
        <v>29</v>
      </c>
      <c r="U1776" t="s">
        <v>2601</v>
      </c>
      <c r="V1776">
        <v>40000</v>
      </c>
      <c r="W1776">
        <v>0</v>
      </c>
      <c r="X1776" t="s">
        <v>135</v>
      </c>
      <c r="Y1776" t="s">
        <v>60</v>
      </c>
      <c r="Z1776" t="s">
        <v>19</v>
      </c>
      <c r="AA1776" t="s">
        <v>3588</v>
      </c>
      <c r="AB1776" t="s">
        <v>3588</v>
      </c>
      <c r="AC1776" t="s">
        <v>3584</v>
      </c>
      <c r="AD1776" t="s">
        <v>3479</v>
      </c>
      <c r="AE1776" t="s">
        <v>3475</v>
      </c>
      <c r="AF1776" s="2">
        <v>699.09820000000002</v>
      </c>
      <c r="AG1776" s="2">
        <v>413.1463</v>
      </c>
      <c r="AH1776" s="2">
        <v>285.95190000000002</v>
      </c>
      <c r="AI1776" s="3">
        <v>0.409029661355157</v>
      </c>
    </row>
    <row r="1777" spans="1:35">
      <c r="A1777" s="1">
        <v>42172</v>
      </c>
      <c r="B1777" s="1">
        <v>37335</v>
      </c>
      <c r="C1777" t="s">
        <v>4654</v>
      </c>
      <c r="D1777">
        <v>313</v>
      </c>
      <c r="E1777">
        <v>20983</v>
      </c>
      <c r="F1777">
        <v>9</v>
      </c>
      <c r="G1777">
        <v>1</v>
      </c>
      <c r="H1777">
        <v>1</v>
      </c>
      <c r="I1777">
        <v>2</v>
      </c>
      <c r="J1777" t="s">
        <v>3491</v>
      </c>
      <c r="K1777" t="s">
        <v>3492</v>
      </c>
      <c r="L1777" s="2">
        <v>2171.2941999999998</v>
      </c>
      <c r="M1777" s="2">
        <v>3578.27</v>
      </c>
      <c r="N1777" t="s">
        <v>26</v>
      </c>
      <c r="O1777" t="s">
        <v>216</v>
      </c>
      <c r="P1777" t="s">
        <v>370</v>
      </c>
      <c r="Q1777" t="s">
        <v>8106</v>
      </c>
      <c r="R1777" s="1">
        <v>29578</v>
      </c>
      <c r="S1777" t="s">
        <v>22</v>
      </c>
      <c r="T1777" t="s">
        <v>29</v>
      </c>
      <c r="U1777" t="s">
        <v>2602</v>
      </c>
      <c r="V1777">
        <v>10000</v>
      </c>
      <c r="W1777">
        <v>0</v>
      </c>
      <c r="X1777" t="s">
        <v>52</v>
      </c>
      <c r="Y1777" t="s">
        <v>444</v>
      </c>
      <c r="Z1777" t="s">
        <v>23</v>
      </c>
      <c r="AA1777" t="s">
        <v>3586</v>
      </c>
      <c r="AB1777" t="s">
        <v>3586</v>
      </c>
      <c r="AC1777" t="s">
        <v>3587</v>
      </c>
      <c r="AD1777" t="s">
        <v>3479</v>
      </c>
      <c r="AE1777" t="s">
        <v>3475</v>
      </c>
      <c r="AF1777" s="2">
        <v>3578.27</v>
      </c>
      <c r="AG1777" s="2">
        <v>2171.2941999999998</v>
      </c>
      <c r="AH1777" s="2">
        <v>1406.9757999999999</v>
      </c>
      <c r="AI1777" s="3">
        <v>0.39320001006072802</v>
      </c>
    </row>
    <row r="1778" spans="1:35">
      <c r="A1778" s="1">
        <v>42164</v>
      </c>
      <c r="B1778" s="1">
        <v>37354</v>
      </c>
      <c r="C1778" t="s">
        <v>4608</v>
      </c>
      <c r="D1778">
        <v>312</v>
      </c>
      <c r="E1778">
        <v>20984</v>
      </c>
      <c r="F1778">
        <v>9</v>
      </c>
      <c r="G1778">
        <v>1</v>
      </c>
      <c r="H1778">
        <v>1</v>
      </c>
      <c r="I1778">
        <v>2</v>
      </c>
      <c r="J1778" t="s">
        <v>3489</v>
      </c>
      <c r="K1778" t="s">
        <v>3490</v>
      </c>
      <c r="L1778" s="2">
        <v>2171.2941999999998</v>
      </c>
      <c r="M1778" s="2">
        <v>3578.27</v>
      </c>
      <c r="N1778" t="s">
        <v>26</v>
      </c>
      <c r="O1778" t="s">
        <v>1578</v>
      </c>
      <c r="P1778" t="s">
        <v>198</v>
      </c>
      <c r="Q1778" t="s">
        <v>8107</v>
      </c>
      <c r="R1778" s="1">
        <v>29353</v>
      </c>
      <c r="S1778" t="s">
        <v>16</v>
      </c>
      <c r="T1778" t="s">
        <v>29</v>
      </c>
      <c r="U1778" t="s">
        <v>2603</v>
      </c>
      <c r="V1778">
        <v>10000</v>
      </c>
      <c r="W1778">
        <v>0</v>
      </c>
      <c r="X1778" t="s">
        <v>52</v>
      </c>
      <c r="Y1778" t="s">
        <v>444</v>
      </c>
      <c r="Z1778" t="s">
        <v>23</v>
      </c>
      <c r="AA1778" t="s">
        <v>3586</v>
      </c>
      <c r="AB1778" t="s">
        <v>3586</v>
      </c>
      <c r="AC1778" t="s">
        <v>3587</v>
      </c>
      <c r="AD1778" t="s">
        <v>3479</v>
      </c>
      <c r="AE1778" t="s">
        <v>3475</v>
      </c>
      <c r="AF1778" s="2">
        <v>3578.27</v>
      </c>
      <c r="AG1778" s="2">
        <v>2171.2941999999998</v>
      </c>
      <c r="AH1778" s="2">
        <v>1406.9757999999999</v>
      </c>
      <c r="AI1778" s="3">
        <v>0.39320001006072802</v>
      </c>
    </row>
    <row r="1779" spans="1:35">
      <c r="A1779" s="1">
        <v>42178</v>
      </c>
      <c r="B1779" s="1">
        <v>37369</v>
      </c>
      <c r="C1779" t="s">
        <v>4704</v>
      </c>
      <c r="D1779">
        <v>312</v>
      </c>
      <c r="E1779">
        <v>20985</v>
      </c>
      <c r="F1779">
        <v>9</v>
      </c>
      <c r="G1779">
        <v>1</v>
      </c>
      <c r="H1779">
        <v>1</v>
      </c>
      <c r="I1779">
        <v>2</v>
      </c>
      <c r="J1779" t="s">
        <v>3489</v>
      </c>
      <c r="K1779" t="s">
        <v>3490</v>
      </c>
      <c r="L1779" s="2">
        <v>2171.2941999999998</v>
      </c>
      <c r="M1779" s="2">
        <v>3578.27</v>
      </c>
      <c r="N1779" t="s">
        <v>26</v>
      </c>
      <c r="O1779" t="s">
        <v>1370</v>
      </c>
      <c r="P1779" t="s">
        <v>210</v>
      </c>
      <c r="Q1779" t="s">
        <v>8108</v>
      </c>
      <c r="R1779" s="1">
        <v>29237</v>
      </c>
      <c r="S1779" t="s">
        <v>16</v>
      </c>
      <c r="T1779" t="s">
        <v>29</v>
      </c>
      <c r="U1779" t="s">
        <v>2604</v>
      </c>
      <c r="V1779">
        <v>20000</v>
      </c>
      <c r="W1779">
        <v>0</v>
      </c>
      <c r="X1779" t="s">
        <v>17</v>
      </c>
      <c r="Y1779" t="s">
        <v>60</v>
      </c>
      <c r="Z1779" t="s">
        <v>19</v>
      </c>
      <c r="AA1779" t="s">
        <v>3586</v>
      </c>
      <c r="AB1779" t="s">
        <v>3586</v>
      </c>
      <c r="AC1779" t="s">
        <v>3587</v>
      </c>
      <c r="AD1779" t="s">
        <v>3479</v>
      </c>
      <c r="AE1779" t="s">
        <v>3475</v>
      </c>
      <c r="AF1779" s="2">
        <v>3578.27</v>
      </c>
      <c r="AG1779" s="2">
        <v>2171.2941999999998</v>
      </c>
      <c r="AH1779" s="2">
        <v>1406.9757999999999</v>
      </c>
      <c r="AI1779" s="3">
        <v>0.39320001006072802</v>
      </c>
    </row>
    <row r="1780" spans="1:35">
      <c r="A1780" s="1">
        <v>42157</v>
      </c>
      <c r="B1780" s="1">
        <v>37393</v>
      </c>
      <c r="C1780" t="s">
        <v>4562</v>
      </c>
      <c r="D1780">
        <v>314</v>
      </c>
      <c r="E1780">
        <v>20987</v>
      </c>
      <c r="F1780">
        <v>9</v>
      </c>
      <c r="G1780">
        <v>1</v>
      </c>
      <c r="H1780">
        <v>1</v>
      </c>
      <c r="I1780">
        <v>2</v>
      </c>
      <c r="J1780" t="s">
        <v>3493</v>
      </c>
      <c r="K1780" t="s">
        <v>3494</v>
      </c>
      <c r="L1780" s="2">
        <v>2171.2941999999998</v>
      </c>
      <c r="M1780" s="2">
        <v>3578.27</v>
      </c>
      <c r="N1780" t="s">
        <v>13</v>
      </c>
      <c r="O1780" t="s">
        <v>340</v>
      </c>
      <c r="P1780" t="s">
        <v>227</v>
      </c>
      <c r="Q1780" t="s">
        <v>8109</v>
      </c>
      <c r="R1780" s="1">
        <v>28472</v>
      </c>
      <c r="S1780" t="s">
        <v>22</v>
      </c>
      <c r="T1780" t="s">
        <v>16</v>
      </c>
      <c r="U1780" t="s">
        <v>2605</v>
      </c>
      <c r="V1780">
        <v>10000</v>
      </c>
      <c r="W1780">
        <v>0</v>
      </c>
      <c r="X1780" t="s">
        <v>57</v>
      </c>
      <c r="Y1780" t="s">
        <v>444</v>
      </c>
      <c r="Z1780" t="s">
        <v>23</v>
      </c>
      <c r="AA1780" t="s">
        <v>3586</v>
      </c>
      <c r="AB1780" t="s">
        <v>3586</v>
      </c>
      <c r="AC1780" t="s">
        <v>3587</v>
      </c>
      <c r="AD1780" t="s">
        <v>3479</v>
      </c>
      <c r="AE1780" t="s">
        <v>3475</v>
      </c>
      <c r="AF1780" s="2">
        <v>3578.27</v>
      </c>
      <c r="AG1780" s="2">
        <v>2171.2941999999998</v>
      </c>
      <c r="AH1780" s="2">
        <v>1406.9757999999999</v>
      </c>
      <c r="AI1780" s="3">
        <v>0.39320001006072802</v>
      </c>
    </row>
    <row r="1781" spans="1:35">
      <c r="A1781" s="1">
        <v>42160</v>
      </c>
      <c r="B1781" s="1">
        <v>37319</v>
      </c>
      <c r="C1781" t="s">
        <v>4576</v>
      </c>
      <c r="D1781">
        <v>312</v>
      </c>
      <c r="E1781">
        <v>20988</v>
      </c>
      <c r="F1781">
        <v>9</v>
      </c>
      <c r="G1781">
        <v>1</v>
      </c>
      <c r="H1781">
        <v>1</v>
      </c>
      <c r="I1781">
        <v>2</v>
      </c>
      <c r="J1781" t="s">
        <v>3489</v>
      </c>
      <c r="K1781" t="s">
        <v>3490</v>
      </c>
      <c r="L1781" s="2">
        <v>2171.2941999999998</v>
      </c>
      <c r="M1781" s="2">
        <v>3578.27</v>
      </c>
      <c r="N1781" t="s">
        <v>26</v>
      </c>
      <c r="O1781" t="s">
        <v>349</v>
      </c>
      <c r="P1781" t="s">
        <v>103</v>
      </c>
      <c r="Q1781" t="s">
        <v>8110</v>
      </c>
      <c r="R1781" s="1">
        <v>28208</v>
      </c>
      <c r="S1781" t="s">
        <v>16</v>
      </c>
      <c r="T1781" t="s">
        <v>29</v>
      </c>
      <c r="U1781" t="s">
        <v>2606</v>
      </c>
      <c r="V1781">
        <v>10000</v>
      </c>
      <c r="W1781">
        <v>0</v>
      </c>
      <c r="X1781" t="s">
        <v>57</v>
      </c>
      <c r="Y1781" t="s">
        <v>444</v>
      </c>
      <c r="Z1781" t="s">
        <v>23</v>
      </c>
      <c r="AA1781" t="s">
        <v>3586</v>
      </c>
      <c r="AB1781" t="s">
        <v>3586</v>
      </c>
      <c r="AC1781" t="s">
        <v>3587</v>
      </c>
      <c r="AD1781" t="s">
        <v>3479</v>
      </c>
      <c r="AE1781" t="s">
        <v>3475</v>
      </c>
      <c r="AF1781" s="2">
        <v>3578.27</v>
      </c>
      <c r="AG1781" s="2">
        <v>2171.2941999999998</v>
      </c>
      <c r="AH1781" s="2">
        <v>1406.9757999999999</v>
      </c>
      <c r="AI1781" s="3">
        <v>0.39320001006072802</v>
      </c>
    </row>
    <row r="1782" spans="1:35">
      <c r="A1782" s="1">
        <v>42172</v>
      </c>
      <c r="B1782" s="1">
        <v>37349</v>
      </c>
      <c r="C1782" t="s">
        <v>4652</v>
      </c>
      <c r="D1782">
        <v>311</v>
      </c>
      <c r="E1782">
        <v>20989</v>
      </c>
      <c r="F1782">
        <v>9</v>
      </c>
      <c r="G1782">
        <v>1</v>
      </c>
      <c r="H1782">
        <v>1</v>
      </c>
      <c r="I1782">
        <v>2</v>
      </c>
      <c r="J1782" t="s">
        <v>3487</v>
      </c>
      <c r="K1782" t="s">
        <v>3488</v>
      </c>
      <c r="L1782" s="2">
        <v>2171.2941999999998</v>
      </c>
      <c r="M1782" s="2">
        <v>3578.27</v>
      </c>
      <c r="N1782" t="s">
        <v>30</v>
      </c>
      <c r="O1782" t="s">
        <v>1154</v>
      </c>
      <c r="P1782" t="s">
        <v>207</v>
      </c>
      <c r="Q1782" t="s">
        <v>8111</v>
      </c>
      <c r="R1782" s="1">
        <v>27816</v>
      </c>
      <c r="S1782" t="s">
        <v>16</v>
      </c>
      <c r="T1782" t="s">
        <v>29</v>
      </c>
      <c r="U1782" t="s">
        <v>2607</v>
      </c>
      <c r="V1782">
        <v>10000</v>
      </c>
      <c r="W1782">
        <v>1</v>
      </c>
      <c r="X1782" t="s">
        <v>57</v>
      </c>
      <c r="Y1782" t="s">
        <v>444</v>
      </c>
      <c r="Z1782" t="s">
        <v>19</v>
      </c>
      <c r="AA1782" t="s">
        <v>3586</v>
      </c>
      <c r="AB1782" t="s">
        <v>3586</v>
      </c>
      <c r="AC1782" t="s">
        <v>3587</v>
      </c>
      <c r="AD1782" t="s">
        <v>3479</v>
      </c>
      <c r="AE1782" t="s">
        <v>3475</v>
      </c>
      <c r="AF1782" s="2">
        <v>3578.27</v>
      </c>
      <c r="AG1782" s="2">
        <v>2171.2941999999998</v>
      </c>
      <c r="AH1782" s="2">
        <v>1406.9757999999999</v>
      </c>
      <c r="AI1782" s="3">
        <v>0.39320001006072802</v>
      </c>
    </row>
    <row r="1783" spans="1:35">
      <c r="A1783" s="1">
        <v>42178</v>
      </c>
      <c r="B1783" s="1">
        <v>37317</v>
      </c>
      <c r="C1783" t="s">
        <v>4712</v>
      </c>
      <c r="D1783">
        <v>313</v>
      </c>
      <c r="E1783">
        <v>20990</v>
      </c>
      <c r="F1783">
        <v>9</v>
      </c>
      <c r="G1783">
        <v>1</v>
      </c>
      <c r="H1783">
        <v>1</v>
      </c>
      <c r="I1783">
        <v>2</v>
      </c>
      <c r="J1783" t="s">
        <v>3491</v>
      </c>
      <c r="K1783" t="s">
        <v>3492</v>
      </c>
      <c r="L1783" s="2">
        <v>2171.2941999999998</v>
      </c>
      <c r="M1783" s="2">
        <v>3578.27</v>
      </c>
      <c r="N1783" t="s">
        <v>30</v>
      </c>
      <c r="O1783" t="s">
        <v>352</v>
      </c>
      <c r="P1783" t="s">
        <v>431</v>
      </c>
      <c r="Q1783" t="s">
        <v>8112</v>
      </c>
      <c r="R1783" s="1">
        <v>28043</v>
      </c>
      <c r="S1783" t="s">
        <v>16</v>
      </c>
      <c r="T1783" t="s">
        <v>29</v>
      </c>
      <c r="U1783" t="s">
        <v>2608</v>
      </c>
      <c r="V1783">
        <v>10000</v>
      </c>
      <c r="W1783">
        <v>1</v>
      </c>
      <c r="X1783" t="s">
        <v>57</v>
      </c>
      <c r="Y1783" t="s">
        <v>444</v>
      </c>
      <c r="Z1783" t="s">
        <v>19</v>
      </c>
      <c r="AA1783" t="s">
        <v>3586</v>
      </c>
      <c r="AB1783" t="s">
        <v>3586</v>
      </c>
      <c r="AC1783" t="s">
        <v>3587</v>
      </c>
      <c r="AD1783" t="s">
        <v>3479</v>
      </c>
      <c r="AE1783" t="s">
        <v>3475</v>
      </c>
      <c r="AF1783" s="2">
        <v>3578.27</v>
      </c>
      <c r="AG1783" s="2">
        <v>2171.2941999999998</v>
      </c>
      <c r="AH1783" s="2">
        <v>1406.9757999999999</v>
      </c>
      <c r="AI1783" s="3">
        <v>0.39320001006072802</v>
      </c>
    </row>
    <row r="1784" spans="1:35">
      <c r="A1784" s="1">
        <v>42162</v>
      </c>
      <c r="B1784" s="1">
        <v>37312</v>
      </c>
      <c r="C1784" t="s">
        <v>4592</v>
      </c>
      <c r="D1784">
        <v>312</v>
      </c>
      <c r="E1784">
        <v>20991</v>
      </c>
      <c r="F1784">
        <v>9</v>
      </c>
      <c r="G1784">
        <v>1</v>
      </c>
      <c r="H1784">
        <v>1</v>
      </c>
      <c r="I1784">
        <v>2</v>
      </c>
      <c r="J1784" t="s">
        <v>3489</v>
      </c>
      <c r="K1784" t="s">
        <v>3490</v>
      </c>
      <c r="L1784" s="2">
        <v>2171.2941999999998</v>
      </c>
      <c r="M1784" s="2">
        <v>3578.27</v>
      </c>
      <c r="N1784" t="s">
        <v>13</v>
      </c>
      <c r="O1784" t="s">
        <v>630</v>
      </c>
      <c r="P1784" t="s">
        <v>79</v>
      </c>
      <c r="Q1784" t="s">
        <v>8113</v>
      </c>
      <c r="R1784" s="1">
        <v>28100</v>
      </c>
      <c r="S1784" t="s">
        <v>16</v>
      </c>
      <c r="T1784" t="s">
        <v>16</v>
      </c>
      <c r="U1784" t="s">
        <v>2609</v>
      </c>
      <c r="V1784">
        <v>10000</v>
      </c>
      <c r="W1784">
        <v>1</v>
      </c>
      <c r="X1784" t="s">
        <v>57</v>
      </c>
      <c r="Y1784" t="s">
        <v>444</v>
      </c>
      <c r="Z1784" t="s">
        <v>19</v>
      </c>
      <c r="AA1784" t="s">
        <v>3586</v>
      </c>
      <c r="AB1784" t="s">
        <v>3586</v>
      </c>
      <c r="AC1784" t="s">
        <v>3587</v>
      </c>
      <c r="AD1784" t="s">
        <v>3479</v>
      </c>
      <c r="AE1784" t="s">
        <v>3475</v>
      </c>
      <c r="AF1784" s="2">
        <v>3578.27</v>
      </c>
      <c r="AG1784" s="2">
        <v>2171.2941999999998</v>
      </c>
      <c r="AH1784" s="2">
        <v>1406.9757999999999</v>
      </c>
      <c r="AI1784" s="3">
        <v>0.39320001006072802</v>
      </c>
    </row>
    <row r="1785" spans="1:35">
      <c r="A1785" s="1">
        <v>42157</v>
      </c>
      <c r="B1785" s="1">
        <v>37338</v>
      </c>
      <c r="C1785" t="s">
        <v>4558</v>
      </c>
      <c r="D1785">
        <v>311</v>
      </c>
      <c r="E1785">
        <v>20992</v>
      </c>
      <c r="F1785">
        <v>9</v>
      </c>
      <c r="G1785">
        <v>1</v>
      </c>
      <c r="H1785">
        <v>1</v>
      </c>
      <c r="I1785">
        <v>2</v>
      </c>
      <c r="J1785" t="s">
        <v>3487</v>
      </c>
      <c r="K1785" t="s">
        <v>3488</v>
      </c>
      <c r="L1785" s="2">
        <v>2171.2941999999998</v>
      </c>
      <c r="M1785" s="2">
        <v>3578.27</v>
      </c>
      <c r="N1785" t="s">
        <v>13</v>
      </c>
      <c r="O1785" t="s">
        <v>33</v>
      </c>
      <c r="P1785" t="s">
        <v>157</v>
      </c>
      <c r="Q1785" t="s">
        <v>8114</v>
      </c>
      <c r="R1785" s="1">
        <v>29052</v>
      </c>
      <c r="S1785" t="s">
        <v>16</v>
      </c>
      <c r="T1785" t="s">
        <v>16</v>
      </c>
      <c r="U1785" t="s">
        <v>2610</v>
      </c>
      <c r="V1785">
        <v>20000</v>
      </c>
      <c r="W1785">
        <v>0</v>
      </c>
      <c r="X1785" t="s">
        <v>17</v>
      </c>
      <c r="Y1785" t="s">
        <v>60</v>
      </c>
      <c r="Z1785" t="s">
        <v>19</v>
      </c>
      <c r="AA1785" t="s">
        <v>3586</v>
      </c>
      <c r="AB1785" t="s">
        <v>3586</v>
      </c>
      <c r="AC1785" t="s">
        <v>3587</v>
      </c>
      <c r="AD1785" t="s">
        <v>3479</v>
      </c>
      <c r="AE1785" t="s">
        <v>3475</v>
      </c>
      <c r="AF1785" s="2">
        <v>3578.27</v>
      </c>
      <c r="AG1785" s="2">
        <v>2171.2941999999998</v>
      </c>
      <c r="AH1785" s="2">
        <v>1406.9757999999999</v>
      </c>
      <c r="AI1785" s="3">
        <v>0.39320001006072802</v>
      </c>
    </row>
    <row r="1786" spans="1:35">
      <c r="A1786" s="1">
        <v>42157</v>
      </c>
      <c r="B1786" s="1">
        <v>37348</v>
      </c>
      <c r="C1786" t="s">
        <v>4563</v>
      </c>
      <c r="D1786">
        <v>310</v>
      </c>
      <c r="E1786">
        <v>20993</v>
      </c>
      <c r="F1786">
        <v>9</v>
      </c>
      <c r="G1786">
        <v>1</v>
      </c>
      <c r="H1786">
        <v>1</v>
      </c>
      <c r="I1786">
        <v>2</v>
      </c>
      <c r="J1786" t="s">
        <v>3485</v>
      </c>
      <c r="K1786" t="s">
        <v>3486</v>
      </c>
      <c r="L1786" s="2">
        <v>2171.2941999999998</v>
      </c>
      <c r="M1786" s="2">
        <v>3578.27</v>
      </c>
      <c r="N1786" t="s">
        <v>13</v>
      </c>
      <c r="O1786" t="s">
        <v>481</v>
      </c>
      <c r="P1786" t="s">
        <v>72</v>
      </c>
      <c r="Q1786" t="s">
        <v>8115</v>
      </c>
      <c r="R1786" s="1">
        <v>28959</v>
      </c>
      <c r="S1786" t="s">
        <v>22</v>
      </c>
      <c r="T1786" t="s">
        <v>16</v>
      </c>
      <c r="U1786" t="s">
        <v>2611</v>
      </c>
      <c r="V1786">
        <v>20000</v>
      </c>
      <c r="W1786">
        <v>0</v>
      </c>
      <c r="X1786" t="s">
        <v>17</v>
      </c>
      <c r="Y1786" t="s">
        <v>60</v>
      </c>
      <c r="Z1786" t="s">
        <v>23</v>
      </c>
      <c r="AA1786" t="s">
        <v>3586</v>
      </c>
      <c r="AB1786" t="s">
        <v>3586</v>
      </c>
      <c r="AC1786" t="s">
        <v>3587</v>
      </c>
      <c r="AD1786" t="s">
        <v>3479</v>
      </c>
      <c r="AE1786" t="s">
        <v>3475</v>
      </c>
      <c r="AF1786" s="2">
        <v>3578.27</v>
      </c>
      <c r="AG1786" s="2">
        <v>2171.2941999999998</v>
      </c>
      <c r="AH1786" s="2">
        <v>1406.9757999999999</v>
      </c>
      <c r="AI1786" s="3">
        <v>0.39320001006072802</v>
      </c>
    </row>
    <row r="1787" spans="1:35">
      <c r="A1787" s="1">
        <v>42157</v>
      </c>
      <c r="B1787" s="1">
        <v>37362</v>
      </c>
      <c r="C1787" t="s">
        <v>4556</v>
      </c>
      <c r="D1787">
        <v>310</v>
      </c>
      <c r="E1787">
        <v>20994</v>
      </c>
      <c r="F1787">
        <v>9</v>
      </c>
      <c r="G1787">
        <v>1</v>
      </c>
      <c r="H1787">
        <v>1</v>
      </c>
      <c r="I1787">
        <v>2</v>
      </c>
      <c r="J1787" t="s">
        <v>3485</v>
      </c>
      <c r="K1787" t="s">
        <v>3486</v>
      </c>
      <c r="L1787" s="2">
        <v>2171.2941999999998</v>
      </c>
      <c r="M1787" s="2">
        <v>3578.27</v>
      </c>
      <c r="N1787" t="s">
        <v>26</v>
      </c>
      <c r="O1787" t="s">
        <v>1370</v>
      </c>
      <c r="P1787" t="s">
        <v>192</v>
      </c>
      <c r="Q1787" t="s">
        <v>8116</v>
      </c>
      <c r="R1787" s="1">
        <v>29151</v>
      </c>
      <c r="S1787" t="s">
        <v>16</v>
      </c>
      <c r="T1787" t="s">
        <v>29</v>
      </c>
      <c r="U1787" t="s">
        <v>2612</v>
      </c>
      <c r="V1787">
        <v>20000</v>
      </c>
      <c r="W1787">
        <v>0</v>
      </c>
      <c r="X1787" t="s">
        <v>17</v>
      </c>
      <c r="Y1787" t="s">
        <v>60</v>
      </c>
      <c r="Z1787" t="s">
        <v>23</v>
      </c>
      <c r="AA1787" t="s">
        <v>3586</v>
      </c>
      <c r="AB1787" t="s">
        <v>3586</v>
      </c>
      <c r="AC1787" t="s">
        <v>3587</v>
      </c>
      <c r="AD1787" t="s">
        <v>3479</v>
      </c>
      <c r="AE1787" t="s">
        <v>3475</v>
      </c>
      <c r="AF1787" s="2">
        <v>3578.27</v>
      </c>
      <c r="AG1787" s="2">
        <v>2171.2941999999998</v>
      </c>
      <c r="AH1787" s="2">
        <v>1406.9757999999999</v>
      </c>
      <c r="AI1787" s="3">
        <v>0.39320001006072802</v>
      </c>
    </row>
    <row r="1788" spans="1:35">
      <c r="A1788" s="1">
        <v>42156</v>
      </c>
      <c r="B1788" s="1">
        <v>37305</v>
      </c>
      <c r="C1788" t="s">
        <v>4552</v>
      </c>
      <c r="D1788">
        <v>312</v>
      </c>
      <c r="E1788">
        <v>20995</v>
      </c>
      <c r="F1788">
        <v>9</v>
      </c>
      <c r="G1788">
        <v>1</v>
      </c>
      <c r="H1788">
        <v>1</v>
      </c>
      <c r="I1788">
        <v>2</v>
      </c>
      <c r="J1788" t="s">
        <v>3489</v>
      </c>
      <c r="K1788" t="s">
        <v>3490</v>
      </c>
      <c r="L1788" s="2">
        <v>2171.2941999999998</v>
      </c>
      <c r="M1788" s="2">
        <v>3578.27</v>
      </c>
      <c r="N1788" t="s">
        <v>13</v>
      </c>
      <c r="O1788" t="s">
        <v>577</v>
      </c>
      <c r="P1788" t="s">
        <v>40</v>
      </c>
      <c r="Q1788" t="s">
        <v>8117</v>
      </c>
      <c r="R1788" s="1">
        <v>28903</v>
      </c>
      <c r="S1788" t="s">
        <v>22</v>
      </c>
      <c r="T1788" t="s">
        <v>16</v>
      </c>
      <c r="U1788" t="s">
        <v>2613</v>
      </c>
      <c r="V1788">
        <v>20000</v>
      </c>
      <c r="W1788">
        <v>0</v>
      </c>
      <c r="X1788" t="s">
        <v>17</v>
      </c>
      <c r="Y1788" t="s">
        <v>60</v>
      </c>
      <c r="Z1788" t="s">
        <v>19</v>
      </c>
      <c r="AA1788" t="s">
        <v>3586</v>
      </c>
      <c r="AB1788" t="s">
        <v>3586</v>
      </c>
      <c r="AC1788" t="s">
        <v>3587</v>
      </c>
      <c r="AD1788" t="s">
        <v>3479</v>
      </c>
      <c r="AE1788" t="s">
        <v>3475</v>
      </c>
      <c r="AF1788" s="2">
        <v>3578.27</v>
      </c>
      <c r="AG1788" s="2">
        <v>2171.2941999999998</v>
      </c>
      <c r="AH1788" s="2">
        <v>1406.9757999999999</v>
      </c>
      <c r="AI1788" s="3">
        <v>0.39320001006072802</v>
      </c>
    </row>
    <row r="1789" spans="1:35">
      <c r="A1789" s="1">
        <v>42162</v>
      </c>
      <c r="B1789" s="1">
        <v>37348</v>
      </c>
      <c r="C1789" t="s">
        <v>4593</v>
      </c>
      <c r="D1789">
        <v>313</v>
      </c>
      <c r="E1789">
        <v>20996</v>
      </c>
      <c r="F1789">
        <v>9</v>
      </c>
      <c r="G1789">
        <v>1</v>
      </c>
      <c r="H1789">
        <v>1</v>
      </c>
      <c r="I1789">
        <v>2</v>
      </c>
      <c r="J1789" t="s">
        <v>3491</v>
      </c>
      <c r="K1789" t="s">
        <v>3492</v>
      </c>
      <c r="L1789" s="2">
        <v>2171.2941999999998</v>
      </c>
      <c r="M1789" s="2">
        <v>3578.27</v>
      </c>
      <c r="N1789" t="s">
        <v>13</v>
      </c>
      <c r="O1789" t="s">
        <v>661</v>
      </c>
      <c r="P1789" t="s">
        <v>468</v>
      </c>
      <c r="Q1789" t="s">
        <v>8118</v>
      </c>
      <c r="R1789" s="1">
        <v>28937</v>
      </c>
      <c r="S1789" t="s">
        <v>22</v>
      </c>
      <c r="T1789" t="s">
        <v>16</v>
      </c>
      <c r="U1789" t="s">
        <v>2614</v>
      </c>
      <c r="V1789">
        <v>20000</v>
      </c>
      <c r="W1789">
        <v>0</v>
      </c>
      <c r="X1789" t="s">
        <v>17</v>
      </c>
      <c r="Y1789" t="s">
        <v>60</v>
      </c>
      <c r="Z1789" t="s">
        <v>19</v>
      </c>
      <c r="AA1789" t="s">
        <v>3586</v>
      </c>
      <c r="AB1789" t="s">
        <v>3586</v>
      </c>
      <c r="AC1789" t="s">
        <v>3587</v>
      </c>
      <c r="AD1789" t="s">
        <v>3479</v>
      </c>
      <c r="AE1789" t="s">
        <v>3475</v>
      </c>
      <c r="AF1789" s="2">
        <v>3578.27</v>
      </c>
      <c r="AG1789" s="2">
        <v>2171.2941999999998</v>
      </c>
      <c r="AH1789" s="2">
        <v>1406.9757999999999</v>
      </c>
      <c r="AI1789" s="3">
        <v>0.39320001006072802</v>
      </c>
    </row>
    <row r="1790" spans="1:35">
      <c r="A1790" s="1">
        <v>42206</v>
      </c>
      <c r="B1790" s="1">
        <v>37421</v>
      </c>
      <c r="C1790" t="s">
        <v>4933</v>
      </c>
      <c r="D1790">
        <v>375</v>
      </c>
      <c r="E1790">
        <v>20997</v>
      </c>
      <c r="F1790">
        <v>9</v>
      </c>
      <c r="G1790">
        <v>1</v>
      </c>
      <c r="H1790">
        <v>1</v>
      </c>
      <c r="I1790">
        <v>2</v>
      </c>
      <c r="J1790" t="s">
        <v>3557</v>
      </c>
      <c r="K1790" t="s">
        <v>3558</v>
      </c>
      <c r="L1790" s="2">
        <v>1320.6838</v>
      </c>
      <c r="M1790" s="2">
        <v>2181.5625</v>
      </c>
      <c r="N1790" t="s">
        <v>26</v>
      </c>
      <c r="O1790" t="s">
        <v>885</v>
      </c>
      <c r="P1790" t="s">
        <v>809</v>
      </c>
      <c r="Q1790" t="s">
        <v>8119</v>
      </c>
      <c r="R1790" s="1">
        <v>29046</v>
      </c>
      <c r="S1790" t="s">
        <v>16</v>
      </c>
      <c r="T1790" t="s">
        <v>29</v>
      </c>
      <c r="U1790" t="s">
        <v>2615</v>
      </c>
      <c r="V1790">
        <v>20000</v>
      </c>
      <c r="W1790">
        <v>0</v>
      </c>
      <c r="X1790" t="s">
        <v>17</v>
      </c>
      <c r="Y1790" t="s">
        <v>60</v>
      </c>
      <c r="Z1790" t="s">
        <v>19</v>
      </c>
      <c r="AA1790" t="s">
        <v>3586</v>
      </c>
      <c r="AB1790" t="s">
        <v>3586</v>
      </c>
      <c r="AC1790" t="s">
        <v>3587</v>
      </c>
      <c r="AD1790" t="s">
        <v>3479</v>
      </c>
      <c r="AE1790" t="s">
        <v>3475</v>
      </c>
      <c r="AF1790" s="2">
        <v>2181.5625</v>
      </c>
      <c r="AG1790" s="2">
        <v>1320.6838</v>
      </c>
      <c r="AH1790" s="2">
        <v>860.87869999999998</v>
      </c>
      <c r="AI1790" s="3">
        <v>0.39461564818793898</v>
      </c>
    </row>
    <row r="1791" spans="1:35">
      <c r="A1791" s="1">
        <v>42214</v>
      </c>
      <c r="B1791" s="1">
        <v>37353</v>
      </c>
      <c r="C1791" t="s">
        <v>4986</v>
      </c>
      <c r="D1791">
        <v>379</v>
      </c>
      <c r="E1791">
        <v>20998</v>
      </c>
      <c r="F1791">
        <v>9</v>
      </c>
      <c r="G1791">
        <v>1</v>
      </c>
      <c r="H1791">
        <v>1</v>
      </c>
      <c r="I1791">
        <v>2</v>
      </c>
      <c r="J1791" t="s">
        <v>3561</v>
      </c>
      <c r="K1791" t="s">
        <v>3562</v>
      </c>
      <c r="L1791" s="2">
        <v>1320.6838</v>
      </c>
      <c r="M1791" s="2">
        <v>2181.5625</v>
      </c>
      <c r="N1791" t="s">
        <v>13</v>
      </c>
      <c r="O1791" t="s">
        <v>20</v>
      </c>
      <c r="P1791" t="s">
        <v>450</v>
      </c>
      <c r="Q1791" t="s">
        <v>8120</v>
      </c>
      <c r="R1791" s="1">
        <v>28493</v>
      </c>
      <c r="S1791" t="s">
        <v>16</v>
      </c>
      <c r="T1791" t="s">
        <v>16</v>
      </c>
      <c r="U1791" t="s">
        <v>2616</v>
      </c>
      <c r="V1791">
        <v>20000</v>
      </c>
      <c r="W1791">
        <v>0</v>
      </c>
      <c r="X1791" t="s">
        <v>17</v>
      </c>
      <c r="Y1791" t="s">
        <v>60</v>
      </c>
      <c r="Z1791" t="s">
        <v>23</v>
      </c>
      <c r="AA1791" t="s">
        <v>3586</v>
      </c>
      <c r="AB1791" t="s">
        <v>3586</v>
      </c>
      <c r="AC1791" t="s">
        <v>3587</v>
      </c>
      <c r="AD1791" t="s">
        <v>3479</v>
      </c>
      <c r="AE1791" t="s">
        <v>3475</v>
      </c>
      <c r="AF1791" s="2">
        <v>2181.5625</v>
      </c>
      <c r="AG1791" s="2">
        <v>1320.6838</v>
      </c>
      <c r="AH1791" s="2">
        <v>860.87869999999998</v>
      </c>
      <c r="AI1791" s="3">
        <v>0.39461564818793898</v>
      </c>
    </row>
    <row r="1792" spans="1:35">
      <c r="A1792" s="1">
        <v>42191</v>
      </c>
      <c r="B1792" s="1">
        <v>37358</v>
      </c>
      <c r="C1792" t="s">
        <v>4808</v>
      </c>
      <c r="D1792">
        <v>373</v>
      </c>
      <c r="E1792">
        <v>20999</v>
      </c>
      <c r="F1792">
        <v>9</v>
      </c>
      <c r="G1792">
        <v>1</v>
      </c>
      <c r="H1792">
        <v>1</v>
      </c>
      <c r="I1792">
        <v>2</v>
      </c>
      <c r="J1792" t="s">
        <v>3555</v>
      </c>
      <c r="K1792" t="s">
        <v>3556</v>
      </c>
      <c r="L1792" s="2">
        <v>1320.6838</v>
      </c>
      <c r="M1792" s="2">
        <v>2181.5625</v>
      </c>
      <c r="N1792" t="s">
        <v>26</v>
      </c>
      <c r="O1792" t="s">
        <v>152</v>
      </c>
      <c r="P1792" t="s">
        <v>99</v>
      </c>
      <c r="Q1792" t="s">
        <v>8121</v>
      </c>
      <c r="R1792" s="1">
        <v>28607</v>
      </c>
      <c r="S1792" t="s">
        <v>16</v>
      </c>
      <c r="T1792" t="s">
        <v>29</v>
      </c>
      <c r="U1792" t="s">
        <v>2617</v>
      </c>
      <c r="V1792">
        <v>20000</v>
      </c>
      <c r="W1792">
        <v>0</v>
      </c>
      <c r="X1792" t="s">
        <v>17</v>
      </c>
      <c r="Y1792" t="s">
        <v>60</v>
      </c>
      <c r="Z1792" t="s">
        <v>19</v>
      </c>
      <c r="AA1792" t="s">
        <v>3586</v>
      </c>
      <c r="AB1792" t="s">
        <v>3586</v>
      </c>
      <c r="AC1792" t="s">
        <v>3587</v>
      </c>
      <c r="AD1792" t="s">
        <v>3479</v>
      </c>
      <c r="AE1792" t="s">
        <v>3475</v>
      </c>
      <c r="AF1792" s="2">
        <v>2181.5625</v>
      </c>
      <c r="AG1792" s="2">
        <v>1320.6838</v>
      </c>
      <c r="AH1792" s="2">
        <v>860.87869999999998</v>
      </c>
      <c r="AI1792" s="3">
        <v>0.39461564818793898</v>
      </c>
    </row>
    <row r="1793" spans="1:35">
      <c r="A1793" s="1">
        <v>42213</v>
      </c>
      <c r="B1793" s="1">
        <v>37355</v>
      </c>
      <c r="C1793" t="s">
        <v>4981</v>
      </c>
      <c r="D1793">
        <v>375</v>
      </c>
      <c r="E1793">
        <v>21000</v>
      </c>
      <c r="F1793">
        <v>9</v>
      </c>
      <c r="G1793">
        <v>1</v>
      </c>
      <c r="H1793">
        <v>1</v>
      </c>
      <c r="I1793">
        <v>2</v>
      </c>
      <c r="J1793" t="s">
        <v>3557</v>
      </c>
      <c r="K1793" t="s">
        <v>3558</v>
      </c>
      <c r="L1793" s="2">
        <v>1320.6838</v>
      </c>
      <c r="M1793" s="2">
        <v>2181.5625</v>
      </c>
      <c r="N1793" t="s">
        <v>13</v>
      </c>
      <c r="O1793" t="s">
        <v>654</v>
      </c>
      <c r="P1793" t="s">
        <v>187</v>
      </c>
      <c r="Q1793" t="s">
        <v>8122</v>
      </c>
      <c r="R1793" s="1">
        <v>28575</v>
      </c>
      <c r="S1793" t="s">
        <v>16</v>
      </c>
      <c r="T1793" t="s">
        <v>16</v>
      </c>
      <c r="U1793" t="s">
        <v>2618</v>
      </c>
      <c r="V1793">
        <v>20000</v>
      </c>
      <c r="W1793">
        <v>0</v>
      </c>
      <c r="X1793" t="s">
        <v>17</v>
      </c>
      <c r="Y1793" t="s">
        <v>60</v>
      </c>
      <c r="Z1793" t="s">
        <v>19</v>
      </c>
      <c r="AA1793" t="s">
        <v>3586</v>
      </c>
      <c r="AB1793" t="s">
        <v>3586</v>
      </c>
      <c r="AC1793" t="s">
        <v>3587</v>
      </c>
      <c r="AD1793" t="s">
        <v>3479</v>
      </c>
      <c r="AE1793" t="s">
        <v>3475</v>
      </c>
      <c r="AF1793" s="2">
        <v>2181.5625</v>
      </c>
      <c r="AG1793" s="2">
        <v>1320.6838</v>
      </c>
      <c r="AH1793" s="2">
        <v>860.87869999999998</v>
      </c>
      <c r="AI1793" s="3">
        <v>0.39461564818793898</v>
      </c>
    </row>
    <row r="1794" spans="1:35">
      <c r="A1794" s="1">
        <v>42202</v>
      </c>
      <c r="B1794" s="1">
        <v>37400</v>
      </c>
      <c r="C1794" t="s">
        <v>4895</v>
      </c>
      <c r="D1794">
        <v>368</v>
      </c>
      <c r="E1794">
        <v>21001</v>
      </c>
      <c r="F1794">
        <v>9</v>
      </c>
      <c r="G1794">
        <v>1</v>
      </c>
      <c r="H1794">
        <v>1</v>
      </c>
      <c r="I1794">
        <v>2</v>
      </c>
      <c r="J1794" t="s">
        <v>3547</v>
      </c>
      <c r="K1794" t="s">
        <v>3548</v>
      </c>
      <c r="L1794" s="2">
        <v>1518.7864</v>
      </c>
      <c r="M1794" s="2">
        <v>2443.35</v>
      </c>
      <c r="N1794" t="s">
        <v>13</v>
      </c>
      <c r="O1794" t="s">
        <v>224</v>
      </c>
      <c r="P1794" t="s">
        <v>217</v>
      </c>
      <c r="Q1794" t="s">
        <v>8123</v>
      </c>
      <c r="R1794" s="1">
        <v>28586</v>
      </c>
      <c r="S1794" t="s">
        <v>22</v>
      </c>
      <c r="T1794" t="s">
        <v>16</v>
      </c>
      <c r="U1794" t="s">
        <v>2619</v>
      </c>
      <c r="V1794">
        <v>20000</v>
      </c>
      <c r="W1794">
        <v>0</v>
      </c>
      <c r="X1794" t="s">
        <v>17</v>
      </c>
      <c r="Y1794" t="s">
        <v>60</v>
      </c>
      <c r="Z1794" t="s">
        <v>23</v>
      </c>
      <c r="AA1794" t="s">
        <v>3586</v>
      </c>
      <c r="AB1794" t="s">
        <v>3586</v>
      </c>
      <c r="AC1794" t="s">
        <v>3587</v>
      </c>
      <c r="AD1794" t="s">
        <v>3479</v>
      </c>
      <c r="AE1794" t="s">
        <v>3475</v>
      </c>
      <c r="AF1794" s="2">
        <v>2443.35</v>
      </c>
      <c r="AG1794" s="2">
        <v>1518.7864</v>
      </c>
      <c r="AH1794" s="2">
        <v>924.56359999999995</v>
      </c>
      <c r="AI1794" s="3">
        <v>0.37839998362903399</v>
      </c>
    </row>
    <row r="1795" spans="1:35">
      <c r="A1795" s="1">
        <v>42191</v>
      </c>
      <c r="B1795" s="1">
        <v>37339</v>
      </c>
      <c r="C1795" t="s">
        <v>4809</v>
      </c>
      <c r="D1795">
        <v>370</v>
      </c>
      <c r="E1795">
        <v>21002</v>
      </c>
      <c r="F1795">
        <v>9</v>
      </c>
      <c r="G1795">
        <v>1</v>
      </c>
      <c r="H1795">
        <v>1</v>
      </c>
      <c r="I1795">
        <v>2</v>
      </c>
      <c r="J1795" t="s">
        <v>3551</v>
      </c>
      <c r="K1795" t="s">
        <v>3552</v>
      </c>
      <c r="L1795" s="2">
        <v>1518.7864</v>
      </c>
      <c r="M1795" s="2">
        <v>2443.35</v>
      </c>
      <c r="N1795" t="s">
        <v>26</v>
      </c>
      <c r="O1795" t="s">
        <v>152</v>
      </c>
      <c r="P1795" t="s">
        <v>293</v>
      </c>
      <c r="Q1795" t="s">
        <v>8124</v>
      </c>
      <c r="R1795" s="1">
        <v>28425</v>
      </c>
      <c r="S1795" t="s">
        <v>22</v>
      </c>
      <c r="T1795" t="s">
        <v>29</v>
      </c>
      <c r="U1795" t="s">
        <v>2620</v>
      </c>
      <c r="V1795">
        <v>20000</v>
      </c>
      <c r="W1795">
        <v>0</v>
      </c>
      <c r="X1795" t="s">
        <v>52</v>
      </c>
      <c r="Y1795" t="s">
        <v>444</v>
      </c>
      <c r="Z1795" t="s">
        <v>23</v>
      </c>
      <c r="AA1795" t="s">
        <v>3586</v>
      </c>
      <c r="AB1795" t="s">
        <v>3586</v>
      </c>
      <c r="AC1795" t="s">
        <v>3587</v>
      </c>
      <c r="AD1795" t="s">
        <v>3479</v>
      </c>
      <c r="AE1795" t="s">
        <v>3475</v>
      </c>
      <c r="AF1795" s="2">
        <v>2443.35</v>
      </c>
      <c r="AG1795" s="2">
        <v>1518.7864</v>
      </c>
      <c r="AH1795" s="2">
        <v>924.56359999999995</v>
      </c>
      <c r="AI1795" s="3">
        <v>0.37839998362903399</v>
      </c>
    </row>
    <row r="1796" spans="1:35">
      <c r="A1796" s="1">
        <v>42216</v>
      </c>
      <c r="B1796" s="1">
        <v>37362</v>
      </c>
      <c r="C1796" t="s">
        <v>5009</v>
      </c>
      <c r="D1796">
        <v>373</v>
      </c>
      <c r="E1796">
        <v>21165</v>
      </c>
      <c r="F1796">
        <v>9</v>
      </c>
      <c r="G1796">
        <v>1</v>
      </c>
      <c r="H1796">
        <v>1</v>
      </c>
      <c r="I1796">
        <v>2</v>
      </c>
      <c r="J1796" t="s">
        <v>3555</v>
      </c>
      <c r="K1796" t="s">
        <v>3556</v>
      </c>
      <c r="L1796" s="2">
        <v>1320.6838</v>
      </c>
      <c r="M1796" s="2">
        <v>2181.5625</v>
      </c>
      <c r="N1796" t="s">
        <v>30</v>
      </c>
      <c r="O1796" t="s">
        <v>1597</v>
      </c>
      <c r="P1796" t="s">
        <v>529</v>
      </c>
      <c r="Q1796" t="s">
        <v>8125</v>
      </c>
      <c r="R1796" s="1">
        <v>25418</v>
      </c>
      <c r="S1796" t="s">
        <v>22</v>
      </c>
      <c r="T1796" t="s">
        <v>29</v>
      </c>
      <c r="U1796" t="s">
        <v>2621</v>
      </c>
      <c r="V1796">
        <v>80000</v>
      </c>
      <c r="W1796">
        <v>4</v>
      </c>
      <c r="X1796" t="s">
        <v>135</v>
      </c>
      <c r="Y1796" t="s">
        <v>45</v>
      </c>
      <c r="Z1796" t="s">
        <v>19</v>
      </c>
      <c r="AA1796" t="s">
        <v>3586</v>
      </c>
      <c r="AB1796" t="s">
        <v>3586</v>
      </c>
      <c r="AC1796" t="s">
        <v>3587</v>
      </c>
      <c r="AD1796" t="s">
        <v>3479</v>
      </c>
      <c r="AE1796" t="s">
        <v>3475</v>
      </c>
      <c r="AF1796" s="2">
        <v>2181.5625</v>
      </c>
      <c r="AG1796" s="2">
        <v>1320.6838</v>
      </c>
      <c r="AH1796" s="2">
        <v>860.87869999999998</v>
      </c>
      <c r="AI1796" s="3">
        <v>0.39461564818793898</v>
      </c>
    </row>
    <row r="1797" spans="1:35">
      <c r="A1797" s="1">
        <v>42188</v>
      </c>
      <c r="B1797" s="1">
        <v>37399</v>
      </c>
      <c r="C1797" t="s">
        <v>4783</v>
      </c>
      <c r="D1797">
        <v>370</v>
      </c>
      <c r="E1797">
        <v>21166</v>
      </c>
      <c r="F1797">
        <v>9</v>
      </c>
      <c r="G1797">
        <v>1</v>
      </c>
      <c r="H1797">
        <v>1</v>
      </c>
      <c r="I1797">
        <v>2</v>
      </c>
      <c r="J1797" t="s">
        <v>3551</v>
      </c>
      <c r="K1797" t="s">
        <v>3552</v>
      </c>
      <c r="L1797" s="2">
        <v>1518.7864</v>
      </c>
      <c r="M1797" s="2">
        <v>2443.35</v>
      </c>
      <c r="N1797" t="s">
        <v>30</v>
      </c>
      <c r="O1797" t="s">
        <v>181</v>
      </c>
      <c r="P1797" t="s">
        <v>87</v>
      </c>
      <c r="Q1797" t="s">
        <v>8126</v>
      </c>
      <c r="R1797" s="1">
        <v>25277</v>
      </c>
      <c r="S1797" t="s">
        <v>22</v>
      </c>
      <c r="T1797" t="s">
        <v>29</v>
      </c>
      <c r="U1797" t="s">
        <v>2622</v>
      </c>
      <c r="V1797">
        <v>90000</v>
      </c>
      <c r="W1797">
        <v>1</v>
      </c>
      <c r="X1797" t="s">
        <v>135</v>
      </c>
      <c r="Y1797" t="s">
        <v>45</v>
      </c>
      <c r="Z1797" t="s">
        <v>19</v>
      </c>
      <c r="AA1797" t="s">
        <v>3586</v>
      </c>
      <c r="AB1797" t="s">
        <v>3586</v>
      </c>
      <c r="AC1797" t="s">
        <v>3587</v>
      </c>
      <c r="AD1797" t="s">
        <v>3479</v>
      </c>
      <c r="AE1797" t="s">
        <v>3475</v>
      </c>
      <c r="AF1797" s="2">
        <v>2443.35</v>
      </c>
      <c r="AG1797" s="2">
        <v>1518.7864</v>
      </c>
      <c r="AH1797" s="2">
        <v>924.56359999999995</v>
      </c>
      <c r="AI1797" s="3">
        <v>0.37839998362903399</v>
      </c>
    </row>
    <row r="1798" spans="1:35">
      <c r="A1798" s="1">
        <v>42209</v>
      </c>
      <c r="B1798" s="1">
        <v>37425</v>
      </c>
      <c r="C1798" t="s">
        <v>4953</v>
      </c>
      <c r="D1798">
        <v>377</v>
      </c>
      <c r="E1798">
        <v>21167</v>
      </c>
      <c r="F1798">
        <v>9</v>
      </c>
      <c r="G1798">
        <v>1</v>
      </c>
      <c r="H1798">
        <v>1</v>
      </c>
      <c r="I1798">
        <v>2</v>
      </c>
      <c r="J1798" t="s">
        <v>3559</v>
      </c>
      <c r="K1798" t="s">
        <v>3560</v>
      </c>
      <c r="L1798" s="2">
        <v>1320.6838</v>
      </c>
      <c r="M1798" s="2">
        <v>2181.5625</v>
      </c>
      <c r="N1798" t="s">
        <v>30</v>
      </c>
      <c r="O1798" t="s">
        <v>883</v>
      </c>
      <c r="P1798" t="s">
        <v>510</v>
      </c>
      <c r="Q1798" t="s">
        <v>8127</v>
      </c>
      <c r="R1798" s="1">
        <v>25487</v>
      </c>
      <c r="S1798" t="s">
        <v>22</v>
      </c>
      <c r="T1798" t="s">
        <v>29</v>
      </c>
      <c r="U1798" t="s">
        <v>2623</v>
      </c>
      <c r="V1798">
        <v>90000</v>
      </c>
      <c r="W1798">
        <v>2</v>
      </c>
      <c r="X1798" t="s">
        <v>135</v>
      </c>
      <c r="Y1798" t="s">
        <v>45</v>
      </c>
      <c r="Z1798" t="s">
        <v>23</v>
      </c>
      <c r="AA1798" t="s">
        <v>3586</v>
      </c>
      <c r="AB1798" t="s">
        <v>3586</v>
      </c>
      <c r="AC1798" t="s">
        <v>3587</v>
      </c>
      <c r="AD1798" t="s">
        <v>3479</v>
      </c>
      <c r="AE1798" t="s">
        <v>3475</v>
      </c>
      <c r="AF1798" s="2">
        <v>2181.5625</v>
      </c>
      <c r="AG1798" s="2">
        <v>1320.6838</v>
      </c>
      <c r="AH1798" s="2">
        <v>860.87869999999998</v>
      </c>
      <c r="AI1798" s="3">
        <v>0.39461564818793898</v>
      </c>
    </row>
    <row r="1799" spans="1:35">
      <c r="A1799" s="1">
        <v>42205</v>
      </c>
      <c r="B1799" s="1">
        <v>37348</v>
      </c>
      <c r="C1799" t="s">
        <v>4920</v>
      </c>
      <c r="D1799">
        <v>375</v>
      </c>
      <c r="E1799">
        <v>21168</v>
      </c>
      <c r="F1799">
        <v>9</v>
      </c>
      <c r="G1799">
        <v>1</v>
      </c>
      <c r="H1799">
        <v>1</v>
      </c>
      <c r="I1799">
        <v>2</v>
      </c>
      <c r="J1799" t="s">
        <v>3557</v>
      </c>
      <c r="K1799" t="s">
        <v>3558</v>
      </c>
      <c r="L1799" s="2">
        <v>1320.6838</v>
      </c>
      <c r="M1799" s="2">
        <v>2181.5625</v>
      </c>
      <c r="N1799" t="s">
        <v>13</v>
      </c>
      <c r="O1799" t="s">
        <v>1066</v>
      </c>
      <c r="P1799" t="s">
        <v>392</v>
      </c>
      <c r="Q1799" t="s">
        <v>8128</v>
      </c>
      <c r="R1799" s="1">
        <v>25680</v>
      </c>
      <c r="S1799" t="s">
        <v>16</v>
      </c>
      <c r="T1799" t="s">
        <v>16</v>
      </c>
      <c r="U1799" t="s">
        <v>2624</v>
      </c>
      <c r="V1799">
        <v>80000</v>
      </c>
      <c r="W1799">
        <v>4</v>
      </c>
      <c r="X1799" t="s">
        <v>135</v>
      </c>
      <c r="Y1799" t="s">
        <v>45</v>
      </c>
      <c r="Z1799" t="s">
        <v>19</v>
      </c>
      <c r="AA1799" t="s">
        <v>3586</v>
      </c>
      <c r="AB1799" t="s">
        <v>3586</v>
      </c>
      <c r="AC1799" t="s">
        <v>3587</v>
      </c>
      <c r="AD1799" t="s">
        <v>3479</v>
      </c>
      <c r="AE1799" t="s">
        <v>3475</v>
      </c>
      <c r="AF1799" s="2">
        <v>2181.5625</v>
      </c>
      <c r="AG1799" s="2">
        <v>1320.6838</v>
      </c>
      <c r="AH1799" s="2">
        <v>860.87869999999998</v>
      </c>
      <c r="AI1799" s="3">
        <v>0.39461564818793898</v>
      </c>
    </row>
    <row r="1800" spans="1:35">
      <c r="A1800" s="1">
        <v>42216</v>
      </c>
      <c r="B1800" s="1">
        <v>37371</v>
      </c>
      <c r="C1800" t="s">
        <v>5008</v>
      </c>
      <c r="D1800">
        <v>377</v>
      </c>
      <c r="E1800">
        <v>21169</v>
      </c>
      <c r="F1800">
        <v>9</v>
      </c>
      <c r="G1800">
        <v>1</v>
      </c>
      <c r="H1800">
        <v>1</v>
      </c>
      <c r="I1800">
        <v>2</v>
      </c>
      <c r="J1800" t="s">
        <v>3559</v>
      </c>
      <c r="K1800" t="s">
        <v>3560</v>
      </c>
      <c r="L1800" s="2">
        <v>1320.6838</v>
      </c>
      <c r="M1800" s="2">
        <v>2181.5625</v>
      </c>
      <c r="N1800" t="s">
        <v>30</v>
      </c>
      <c r="O1800" t="s">
        <v>391</v>
      </c>
      <c r="P1800" t="s">
        <v>163</v>
      </c>
      <c r="Q1800" t="s">
        <v>8129</v>
      </c>
      <c r="R1800" s="1">
        <v>25803</v>
      </c>
      <c r="S1800" t="s">
        <v>16</v>
      </c>
      <c r="T1800" t="s">
        <v>29</v>
      </c>
      <c r="U1800" t="s">
        <v>2625</v>
      </c>
      <c r="V1800">
        <v>90000</v>
      </c>
      <c r="W1800">
        <v>2</v>
      </c>
      <c r="X1800" t="s">
        <v>17</v>
      </c>
      <c r="Y1800" t="s">
        <v>18</v>
      </c>
      <c r="Z1800" t="s">
        <v>19</v>
      </c>
      <c r="AA1800" t="s">
        <v>3586</v>
      </c>
      <c r="AB1800" t="s">
        <v>3586</v>
      </c>
      <c r="AC1800" t="s">
        <v>3587</v>
      </c>
      <c r="AD1800" t="s">
        <v>3479</v>
      </c>
      <c r="AE1800" t="s">
        <v>3475</v>
      </c>
      <c r="AF1800" s="2">
        <v>2181.5625</v>
      </c>
      <c r="AG1800" s="2">
        <v>1320.6838</v>
      </c>
      <c r="AH1800" s="2">
        <v>860.87869999999998</v>
      </c>
      <c r="AI1800" s="3">
        <v>0.39461564818793898</v>
      </c>
    </row>
    <row r="1801" spans="1:35">
      <c r="A1801" s="1">
        <v>42188</v>
      </c>
      <c r="B1801" s="1">
        <v>37331</v>
      </c>
      <c r="C1801" t="s">
        <v>4777</v>
      </c>
      <c r="D1801">
        <v>371</v>
      </c>
      <c r="E1801">
        <v>21173</v>
      </c>
      <c r="F1801">
        <v>9</v>
      </c>
      <c r="G1801">
        <v>1</v>
      </c>
      <c r="H1801">
        <v>1</v>
      </c>
      <c r="I1801">
        <v>2</v>
      </c>
      <c r="J1801" t="s">
        <v>3553</v>
      </c>
      <c r="K1801" t="s">
        <v>3554</v>
      </c>
      <c r="L1801" s="2">
        <v>1320.6838</v>
      </c>
      <c r="M1801" s="2">
        <v>2181.5625</v>
      </c>
      <c r="N1801" t="s">
        <v>13</v>
      </c>
      <c r="O1801" t="s">
        <v>193</v>
      </c>
      <c r="P1801" t="s">
        <v>87</v>
      </c>
      <c r="Q1801" t="s">
        <v>8130</v>
      </c>
      <c r="R1801" s="1">
        <v>24789</v>
      </c>
      <c r="S1801" t="s">
        <v>16</v>
      </c>
      <c r="T1801" t="s">
        <v>16</v>
      </c>
      <c r="U1801" t="s">
        <v>2626</v>
      </c>
      <c r="V1801">
        <v>70000</v>
      </c>
      <c r="W1801">
        <v>5</v>
      </c>
      <c r="X1801" t="s">
        <v>17</v>
      </c>
      <c r="Y1801" t="s">
        <v>18</v>
      </c>
      <c r="Z1801" t="s">
        <v>19</v>
      </c>
      <c r="AA1801" t="s">
        <v>3586</v>
      </c>
      <c r="AB1801" t="s">
        <v>3586</v>
      </c>
      <c r="AC1801" t="s">
        <v>3587</v>
      </c>
      <c r="AD1801" t="s">
        <v>3479</v>
      </c>
      <c r="AE1801" t="s">
        <v>3475</v>
      </c>
      <c r="AF1801" s="2">
        <v>2181.5625</v>
      </c>
      <c r="AG1801" s="2">
        <v>1320.6838</v>
      </c>
      <c r="AH1801" s="2">
        <v>860.87869999999998</v>
      </c>
      <c r="AI1801" s="3">
        <v>0.39461564818793898</v>
      </c>
    </row>
    <row r="1802" spans="1:35">
      <c r="A1802" s="1">
        <v>42212</v>
      </c>
      <c r="B1802" s="1">
        <v>37374</v>
      </c>
      <c r="C1802" t="s">
        <v>4973</v>
      </c>
      <c r="D1802">
        <v>368</v>
      </c>
      <c r="E1802">
        <v>21179</v>
      </c>
      <c r="F1802">
        <v>9</v>
      </c>
      <c r="G1802">
        <v>1</v>
      </c>
      <c r="H1802">
        <v>1</v>
      </c>
      <c r="I1802">
        <v>2</v>
      </c>
      <c r="J1802" t="s">
        <v>3547</v>
      </c>
      <c r="K1802" t="s">
        <v>3548</v>
      </c>
      <c r="L1802" s="2">
        <v>1518.7864</v>
      </c>
      <c r="M1802" s="2">
        <v>2443.35</v>
      </c>
      <c r="N1802" t="s">
        <v>30</v>
      </c>
      <c r="O1802" t="s">
        <v>117</v>
      </c>
      <c r="P1802" t="s">
        <v>138</v>
      </c>
      <c r="Q1802" t="s">
        <v>8131</v>
      </c>
      <c r="R1802" s="1">
        <v>24300</v>
      </c>
      <c r="S1802" t="s">
        <v>16</v>
      </c>
      <c r="T1802" t="s">
        <v>29</v>
      </c>
      <c r="U1802" t="s">
        <v>2627</v>
      </c>
      <c r="V1802">
        <v>80000</v>
      </c>
      <c r="W1802">
        <v>5</v>
      </c>
      <c r="X1802" t="s">
        <v>17</v>
      </c>
      <c r="Y1802" t="s">
        <v>18</v>
      </c>
      <c r="Z1802" t="s">
        <v>19</v>
      </c>
      <c r="AA1802" t="s">
        <v>3586</v>
      </c>
      <c r="AB1802" t="s">
        <v>3586</v>
      </c>
      <c r="AC1802" t="s">
        <v>3587</v>
      </c>
      <c r="AD1802" t="s">
        <v>3479</v>
      </c>
      <c r="AE1802" t="s">
        <v>3475</v>
      </c>
      <c r="AF1802" s="2">
        <v>2443.35</v>
      </c>
      <c r="AG1802" s="2">
        <v>1518.7864</v>
      </c>
      <c r="AH1802" s="2">
        <v>924.56359999999995</v>
      </c>
      <c r="AI1802" s="3">
        <v>0.37839998362903399</v>
      </c>
    </row>
    <row r="1803" spans="1:35">
      <c r="A1803" s="1">
        <v>42207</v>
      </c>
      <c r="B1803" s="1">
        <v>37384</v>
      </c>
      <c r="C1803" t="s">
        <v>4941</v>
      </c>
      <c r="D1803">
        <v>371</v>
      </c>
      <c r="E1803">
        <v>21180</v>
      </c>
      <c r="F1803">
        <v>9</v>
      </c>
      <c r="G1803">
        <v>1</v>
      </c>
      <c r="H1803">
        <v>1</v>
      </c>
      <c r="I1803">
        <v>2</v>
      </c>
      <c r="J1803" t="s">
        <v>3553</v>
      </c>
      <c r="K1803" t="s">
        <v>3554</v>
      </c>
      <c r="L1803" s="2">
        <v>1320.6838</v>
      </c>
      <c r="M1803" s="2">
        <v>2181.5625</v>
      </c>
      <c r="N1803" t="s">
        <v>30</v>
      </c>
      <c r="O1803" t="s">
        <v>593</v>
      </c>
      <c r="P1803" t="s">
        <v>113</v>
      </c>
      <c r="Q1803" t="s">
        <v>8132</v>
      </c>
      <c r="R1803" s="1">
        <v>23825</v>
      </c>
      <c r="S1803" t="s">
        <v>22</v>
      </c>
      <c r="T1803" t="s">
        <v>29</v>
      </c>
      <c r="U1803" t="s">
        <v>2628</v>
      </c>
      <c r="V1803">
        <v>60000</v>
      </c>
      <c r="W1803">
        <v>2</v>
      </c>
      <c r="X1803" t="s">
        <v>17</v>
      </c>
      <c r="Y1803" t="s">
        <v>18</v>
      </c>
      <c r="Z1803" t="s">
        <v>23</v>
      </c>
      <c r="AA1803" t="s">
        <v>3586</v>
      </c>
      <c r="AB1803" t="s">
        <v>3586</v>
      </c>
      <c r="AC1803" t="s">
        <v>3587</v>
      </c>
      <c r="AD1803" t="s">
        <v>3479</v>
      </c>
      <c r="AE1803" t="s">
        <v>3475</v>
      </c>
      <c r="AF1803" s="2">
        <v>2181.5625</v>
      </c>
      <c r="AG1803" s="2">
        <v>1320.6838</v>
      </c>
      <c r="AH1803" s="2">
        <v>860.87869999999998</v>
      </c>
      <c r="AI1803" s="3">
        <v>0.39461564818793898</v>
      </c>
    </row>
    <row r="1804" spans="1:35">
      <c r="A1804" s="1">
        <v>42193</v>
      </c>
      <c r="B1804" s="1">
        <v>37421</v>
      </c>
      <c r="C1804" t="s">
        <v>4825</v>
      </c>
      <c r="D1804">
        <v>373</v>
      </c>
      <c r="E1804">
        <v>21183</v>
      </c>
      <c r="F1804">
        <v>9</v>
      </c>
      <c r="G1804">
        <v>1</v>
      </c>
      <c r="H1804">
        <v>1</v>
      </c>
      <c r="I1804">
        <v>2</v>
      </c>
      <c r="J1804" t="s">
        <v>3555</v>
      </c>
      <c r="K1804" t="s">
        <v>3556</v>
      </c>
      <c r="L1804" s="2">
        <v>1320.6838</v>
      </c>
      <c r="M1804" s="2">
        <v>2181.5625</v>
      </c>
      <c r="N1804" t="s">
        <v>13</v>
      </c>
      <c r="O1804" t="s">
        <v>984</v>
      </c>
      <c r="P1804" t="s">
        <v>85</v>
      </c>
      <c r="Q1804" t="s">
        <v>8133</v>
      </c>
      <c r="R1804" s="1">
        <v>25096</v>
      </c>
      <c r="S1804" t="s">
        <v>16</v>
      </c>
      <c r="T1804" t="s">
        <v>16</v>
      </c>
      <c r="U1804" t="s">
        <v>2629</v>
      </c>
      <c r="V1804">
        <v>70000</v>
      </c>
      <c r="W1804">
        <v>5</v>
      </c>
      <c r="X1804" t="s">
        <v>17</v>
      </c>
      <c r="Y1804" t="s">
        <v>18</v>
      </c>
      <c r="Z1804" t="s">
        <v>19</v>
      </c>
      <c r="AA1804" t="s">
        <v>3586</v>
      </c>
      <c r="AB1804" t="s">
        <v>3586</v>
      </c>
      <c r="AC1804" t="s">
        <v>3587</v>
      </c>
      <c r="AD1804" t="s">
        <v>3479</v>
      </c>
      <c r="AE1804" t="s">
        <v>3475</v>
      </c>
      <c r="AF1804" s="2">
        <v>2181.5625</v>
      </c>
      <c r="AG1804" s="2">
        <v>1320.6838</v>
      </c>
      <c r="AH1804" s="2">
        <v>860.87869999999998</v>
      </c>
      <c r="AI1804" s="3">
        <v>0.39461564818793898</v>
      </c>
    </row>
    <row r="1805" spans="1:35">
      <c r="A1805" s="1">
        <v>42214</v>
      </c>
      <c r="B1805" s="1">
        <v>37424</v>
      </c>
      <c r="C1805" t="s">
        <v>4985</v>
      </c>
      <c r="D1805">
        <v>370</v>
      </c>
      <c r="E1805">
        <v>21189</v>
      </c>
      <c r="F1805">
        <v>9</v>
      </c>
      <c r="G1805">
        <v>1</v>
      </c>
      <c r="H1805">
        <v>1</v>
      </c>
      <c r="I1805">
        <v>2</v>
      </c>
      <c r="J1805" t="s">
        <v>3551</v>
      </c>
      <c r="K1805" t="s">
        <v>3552</v>
      </c>
      <c r="L1805" s="2">
        <v>1518.7864</v>
      </c>
      <c r="M1805" s="2">
        <v>2443.35</v>
      </c>
      <c r="N1805" t="s">
        <v>30</v>
      </c>
      <c r="O1805" t="s">
        <v>520</v>
      </c>
      <c r="P1805" t="s">
        <v>198</v>
      </c>
      <c r="Q1805" t="s">
        <v>8134</v>
      </c>
      <c r="R1805" s="1">
        <v>23338</v>
      </c>
      <c r="S1805" t="s">
        <v>16</v>
      </c>
      <c r="T1805" t="s">
        <v>29</v>
      </c>
      <c r="U1805" t="s">
        <v>2630</v>
      </c>
      <c r="V1805">
        <v>60000</v>
      </c>
      <c r="W1805">
        <v>3</v>
      </c>
      <c r="X1805" t="s">
        <v>17</v>
      </c>
      <c r="Y1805" t="s">
        <v>18</v>
      </c>
      <c r="Z1805" t="s">
        <v>19</v>
      </c>
      <c r="AA1805" t="s">
        <v>3586</v>
      </c>
      <c r="AB1805" t="s">
        <v>3586</v>
      </c>
      <c r="AC1805" t="s">
        <v>3587</v>
      </c>
      <c r="AD1805" t="s">
        <v>3479</v>
      </c>
      <c r="AE1805" t="s">
        <v>3475</v>
      </c>
      <c r="AF1805" s="2">
        <v>2443.35</v>
      </c>
      <c r="AG1805" s="2">
        <v>1518.7864</v>
      </c>
      <c r="AH1805" s="2">
        <v>924.56359999999995</v>
      </c>
      <c r="AI1805" s="3">
        <v>0.37839998362903399</v>
      </c>
    </row>
    <row r="1806" spans="1:35">
      <c r="A1806" s="1">
        <v>42191</v>
      </c>
      <c r="B1806" s="1">
        <v>37428</v>
      </c>
      <c r="C1806" t="s">
        <v>4815</v>
      </c>
      <c r="D1806">
        <v>369</v>
      </c>
      <c r="E1806">
        <v>21191</v>
      </c>
      <c r="F1806">
        <v>9</v>
      </c>
      <c r="G1806">
        <v>1</v>
      </c>
      <c r="H1806">
        <v>1</v>
      </c>
      <c r="I1806">
        <v>2</v>
      </c>
      <c r="J1806" t="s">
        <v>3549</v>
      </c>
      <c r="K1806" t="s">
        <v>3550</v>
      </c>
      <c r="L1806" s="2">
        <v>1518.7864</v>
      </c>
      <c r="M1806" s="2">
        <v>2443.35</v>
      </c>
      <c r="N1806" t="s">
        <v>13</v>
      </c>
      <c r="O1806" t="s">
        <v>154</v>
      </c>
      <c r="P1806" t="s">
        <v>42</v>
      </c>
      <c r="Q1806" t="s">
        <v>8135</v>
      </c>
      <c r="R1806" s="1">
        <v>22669</v>
      </c>
      <c r="S1806" t="s">
        <v>16</v>
      </c>
      <c r="T1806" t="s">
        <v>16</v>
      </c>
      <c r="U1806" t="s">
        <v>2631</v>
      </c>
      <c r="V1806">
        <v>60000</v>
      </c>
      <c r="W1806">
        <v>1</v>
      </c>
      <c r="X1806" t="s">
        <v>17</v>
      </c>
      <c r="Y1806" t="s">
        <v>18</v>
      </c>
      <c r="Z1806" t="s">
        <v>19</v>
      </c>
      <c r="AA1806" t="s">
        <v>3586</v>
      </c>
      <c r="AB1806" t="s">
        <v>3586</v>
      </c>
      <c r="AC1806" t="s">
        <v>3587</v>
      </c>
      <c r="AD1806" t="s">
        <v>3479</v>
      </c>
      <c r="AE1806" t="s">
        <v>3475</v>
      </c>
      <c r="AF1806" s="2">
        <v>2443.35</v>
      </c>
      <c r="AG1806" s="2">
        <v>1518.7864</v>
      </c>
      <c r="AH1806" s="2">
        <v>924.56359999999995</v>
      </c>
      <c r="AI1806" s="3">
        <v>0.37839998362903399</v>
      </c>
    </row>
    <row r="1807" spans="1:35">
      <c r="A1807" s="1">
        <v>42206</v>
      </c>
      <c r="B1807" s="1">
        <v>37440</v>
      </c>
      <c r="C1807" t="s">
        <v>4935</v>
      </c>
      <c r="D1807">
        <v>368</v>
      </c>
      <c r="E1807">
        <v>21192</v>
      </c>
      <c r="F1807">
        <v>9</v>
      </c>
      <c r="G1807">
        <v>1</v>
      </c>
      <c r="H1807">
        <v>1</v>
      </c>
      <c r="I1807">
        <v>2</v>
      </c>
      <c r="J1807" t="s">
        <v>3547</v>
      </c>
      <c r="K1807" t="s">
        <v>3548</v>
      </c>
      <c r="L1807" s="2">
        <v>1518.7864</v>
      </c>
      <c r="M1807" s="2">
        <v>2443.35</v>
      </c>
      <c r="N1807" t="s">
        <v>30</v>
      </c>
      <c r="O1807" t="s">
        <v>1845</v>
      </c>
      <c r="P1807" t="s">
        <v>79</v>
      </c>
      <c r="Q1807" t="s">
        <v>8136</v>
      </c>
      <c r="R1807" s="1">
        <v>22885</v>
      </c>
      <c r="S1807" t="s">
        <v>16</v>
      </c>
      <c r="T1807" t="s">
        <v>29</v>
      </c>
      <c r="U1807" t="s">
        <v>2632</v>
      </c>
      <c r="V1807">
        <v>60000</v>
      </c>
      <c r="W1807">
        <v>1</v>
      </c>
      <c r="X1807" t="s">
        <v>17</v>
      </c>
      <c r="Y1807" t="s">
        <v>18</v>
      </c>
      <c r="Z1807" t="s">
        <v>19</v>
      </c>
      <c r="AA1807" t="s">
        <v>3586</v>
      </c>
      <c r="AB1807" t="s">
        <v>3586</v>
      </c>
      <c r="AC1807" t="s">
        <v>3587</v>
      </c>
      <c r="AD1807" t="s">
        <v>3479</v>
      </c>
      <c r="AE1807" t="s">
        <v>3475</v>
      </c>
      <c r="AF1807" s="2">
        <v>2443.35</v>
      </c>
      <c r="AG1807" s="2">
        <v>1518.7864</v>
      </c>
      <c r="AH1807" s="2">
        <v>924.56359999999995</v>
      </c>
      <c r="AI1807" s="3">
        <v>0.37839998362903399</v>
      </c>
    </row>
    <row r="1808" spans="1:35">
      <c r="A1808" s="1">
        <v>42186</v>
      </c>
      <c r="B1808" s="1">
        <v>37320</v>
      </c>
      <c r="C1808" t="s">
        <v>4769</v>
      </c>
      <c r="D1808">
        <v>371</v>
      </c>
      <c r="E1808">
        <v>21193</v>
      </c>
      <c r="F1808">
        <v>9</v>
      </c>
      <c r="G1808">
        <v>1</v>
      </c>
      <c r="H1808">
        <v>1</v>
      </c>
      <c r="I1808">
        <v>2</v>
      </c>
      <c r="J1808" t="s">
        <v>3553</v>
      </c>
      <c r="K1808" t="s">
        <v>3554</v>
      </c>
      <c r="L1808" s="2">
        <v>1320.6838</v>
      </c>
      <c r="M1808" s="2">
        <v>2181.5625</v>
      </c>
      <c r="N1808" t="s">
        <v>13</v>
      </c>
      <c r="O1808" t="s">
        <v>233</v>
      </c>
      <c r="P1808" t="s">
        <v>101</v>
      </c>
      <c r="Q1808" t="s">
        <v>8137</v>
      </c>
      <c r="R1808" s="1">
        <v>22661</v>
      </c>
      <c r="S1808" t="s">
        <v>16</v>
      </c>
      <c r="T1808" t="s">
        <v>16</v>
      </c>
      <c r="U1808" t="s">
        <v>2633</v>
      </c>
      <c r="V1808">
        <v>60000</v>
      </c>
      <c r="W1808">
        <v>1</v>
      </c>
      <c r="X1808" t="s">
        <v>17</v>
      </c>
      <c r="Y1808" t="s">
        <v>18</v>
      </c>
      <c r="Z1808" t="s">
        <v>19</v>
      </c>
      <c r="AA1808" t="s">
        <v>3586</v>
      </c>
      <c r="AB1808" t="s">
        <v>3586</v>
      </c>
      <c r="AC1808" t="s">
        <v>3587</v>
      </c>
      <c r="AD1808" t="s">
        <v>3479</v>
      </c>
      <c r="AE1808" t="s">
        <v>3475</v>
      </c>
      <c r="AF1808" s="2">
        <v>2181.5625</v>
      </c>
      <c r="AG1808" s="2">
        <v>1320.6838</v>
      </c>
      <c r="AH1808" s="2">
        <v>860.87869999999998</v>
      </c>
      <c r="AI1808" s="3">
        <v>0.39461564818793898</v>
      </c>
    </row>
    <row r="1809" spans="1:35">
      <c r="A1809" s="1">
        <v>42213</v>
      </c>
      <c r="B1809" s="1">
        <v>37358</v>
      </c>
      <c r="C1809" t="s">
        <v>4984</v>
      </c>
      <c r="D1809">
        <v>375</v>
      </c>
      <c r="E1809">
        <v>21194</v>
      </c>
      <c r="F1809">
        <v>9</v>
      </c>
      <c r="G1809">
        <v>1</v>
      </c>
      <c r="H1809">
        <v>1</v>
      </c>
      <c r="I1809">
        <v>2</v>
      </c>
      <c r="J1809" t="s">
        <v>3557</v>
      </c>
      <c r="K1809" t="s">
        <v>3558</v>
      </c>
      <c r="L1809" s="2">
        <v>1320.6838</v>
      </c>
      <c r="M1809" s="2">
        <v>2181.5625</v>
      </c>
      <c r="N1809" t="s">
        <v>30</v>
      </c>
      <c r="O1809" t="s">
        <v>1133</v>
      </c>
      <c r="P1809" t="s">
        <v>115</v>
      </c>
      <c r="Q1809" t="s">
        <v>8138</v>
      </c>
      <c r="R1809" s="1">
        <v>22821</v>
      </c>
      <c r="S1809" t="s">
        <v>16</v>
      </c>
      <c r="T1809" t="s">
        <v>29</v>
      </c>
      <c r="U1809" t="s">
        <v>2634</v>
      </c>
      <c r="V1809">
        <v>60000</v>
      </c>
      <c r="W1809">
        <v>1</v>
      </c>
      <c r="X1809" t="s">
        <v>17</v>
      </c>
      <c r="Y1809" t="s">
        <v>18</v>
      </c>
      <c r="Z1809" t="s">
        <v>19</v>
      </c>
      <c r="AA1809" t="s">
        <v>3586</v>
      </c>
      <c r="AB1809" t="s">
        <v>3586</v>
      </c>
      <c r="AC1809" t="s">
        <v>3587</v>
      </c>
      <c r="AD1809" t="s">
        <v>3479</v>
      </c>
      <c r="AE1809" t="s">
        <v>3475</v>
      </c>
      <c r="AF1809" s="2">
        <v>2181.5625</v>
      </c>
      <c r="AG1809" s="2">
        <v>1320.6838</v>
      </c>
      <c r="AH1809" s="2">
        <v>860.87869999999998</v>
      </c>
      <c r="AI1809" s="3">
        <v>0.39461564818793898</v>
      </c>
    </row>
    <row r="1810" spans="1:35">
      <c r="A1810" s="1">
        <v>42201</v>
      </c>
      <c r="B1810" s="1">
        <v>37388</v>
      </c>
      <c r="C1810" t="s">
        <v>4891</v>
      </c>
      <c r="D1810">
        <v>370</v>
      </c>
      <c r="E1810">
        <v>21195</v>
      </c>
      <c r="F1810">
        <v>9</v>
      </c>
      <c r="G1810">
        <v>1</v>
      </c>
      <c r="H1810">
        <v>1</v>
      </c>
      <c r="I1810">
        <v>2</v>
      </c>
      <c r="J1810" t="s">
        <v>3551</v>
      </c>
      <c r="K1810" t="s">
        <v>3552</v>
      </c>
      <c r="L1810" s="2">
        <v>1518.7864</v>
      </c>
      <c r="M1810" s="2">
        <v>2443.35</v>
      </c>
      <c r="N1810" t="s">
        <v>13</v>
      </c>
      <c r="O1810" t="s">
        <v>437</v>
      </c>
      <c r="P1810" t="s">
        <v>474</v>
      </c>
      <c r="Q1810" t="s">
        <v>8139</v>
      </c>
      <c r="R1810" s="1">
        <v>22661</v>
      </c>
      <c r="S1810" t="s">
        <v>16</v>
      </c>
      <c r="T1810" t="s">
        <v>16</v>
      </c>
      <c r="U1810" t="s">
        <v>2635</v>
      </c>
      <c r="V1810">
        <v>60000</v>
      </c>
      <c r="W1810">
        <v>1</v>
      </c>
      <c r="X1810" t="s">
        <v>17</v>
      </c>
      <c r="Y1810" t="s">
        <v>18</v>
      </c>
      <c r="Z1810" t="s">
        <v>19</v>
      </c>
      <c r="AA1810" t="s">
        <v>3586</v>
      </c>
      <c r="AB1810" t="s">
        <v>3586</v>
      </c>
      <c r="AC1810" t="s">
        <v>3587</v>
      </c>
      <c r="AD1810" t="s">
        <v>3479</v>
      </c>
      <c r="AE1810" t="s">
        <v>3475</v>
      </c>
      <c r="AF1810" s="2">
        <v>2443.35</v>
      </c>
      <c r="AG1810" s="2">
        <v>1518.7864</v>
      </c>
      <c r="AH1810" s="2">
        <v>924.56359999999995</v>
      </c>
      <c r="AI1810" s="3">
        <v>0.37839998362903399</v>
      </c>
    </row>
    <row r="1811" spans="1:35">
      <c r="A1811" s="1">
        <v>42199</v>
      </c>
      <c r="B1811" s="1">
        <v>37386</v>
      </c>
      <c r="C1811" t="s">
        <v>4880</v>
      </c>
      <c r="D1811">
        <v>371</v>
      </c>
      <c r="E1811">
        <v>21197</v>
      </c>
      <c r="F1811">
        <v>9</v>
      </c>
      <c r="G1811">
        <v>1</v>
      </c>
      <c r="H1811">
        <v>1</v>
      </c>
      <c r="I1811">
        <v>2</v>
      </c>
      <c r="J1811" t="s">
        <v>3553</v>
      </c>
      <c r="K1811" t="s">
        <v>3554</v>
      </c>
      <c r="L1811" s="2">
        <v>1320.6838</v>
      </c>
      <c r="M1811" s="2">
        <v>2181.5625</v>
      </c>
      <c r="N1811" t="s">
        <v>30</v>
      </c>
      <c r="O1811" t="s">
        <v>620</v>
      </c>
      <c r="P1811" t="s">
        <v>490</v>
      </c>
      <c r="Q1811" t="s">
        <v>8140</v>
      </c>
      <c r="R1811" s="1">
        <v>22303</v>
      </c>
      <c r="S1811" t="s">
        <v>22</v>
      </c>
      <c r="T1811" t="s">
        <v>29</v>
      </c>
      <c r="U1811" t="s">
        <v>2636</v>
      </c>
      <c r="V1811">
        <v>60000</v>
      </c>
      <c r="W1811">
        <v>1</v>
      </c>
      <c r="X1811" t="s">
        <v>17</v>
      </c>
      <c r="Y1811" t="s">
        <v>18</v>
      </c>
      <c r="Z1811" t="s">
        <v>19</v>
      </c>
      <c r="AA1811" t="s">
        <v>3586</v>
      </c>
      <c r="AB1811" t="s">
        <v>3586</v>
      </c>
      <c r="AC1811" t="s">
        <v>3587</v>
      </c>
      <c r="AD1811" t="s">
        <v>3479</v>
      </c>
      <c r="AE1811" t="s">
        <v>3475</v>
      </c>
      <c r="AF1811" s="2">
        <v>2181.5625</v>
      </c>
      <c r="AG1811" s="2">
        <v>1320.6838</v>
      </c>
      <c r="AH1811" s="2">
        <v>860.87869999999998</v>
      </c>
      <c r="AI1811" s="3">
        <v>0.39461564818793898</v>
      </c>
    </row>
    <row r="1812" spans="1:35">
      <c r="A1812" s="1">
        <v>42193</v>
      </c>
      <c r="B1812" s="1">
        <v>37412</v>
      </c>
      <c r="C1812" t="s">
        <v>4830</v>
      </c>
      <c r="D1812">
        <v>370</v>
      </c>
      <c r="E1812">
        <v>21199</v>
      </c>
      <c r="F1812">
        <v>9</v>
      </c>
      <c r="G1812">
        <v>1</v>
      </c>
      <c r="H1812">
        <v>1</v>
      </c>
      <c r="I1812">
        <v>2</v>
      </c>
      <c r="J1812" t="s">
        <v>3551</v>
      </c>
      <c r="K1812" t="s">
        <v>3552</v>
      </c>
      <c r="L1812" s="2">
        <v>1518.7864</v>
      </c>
      <c r="M1812" s="2">
        <v>2443.35</v>
      </c>
      <c r="N1812" t="s">
        <v>30</v>
      </c>
      <c r="O1812" t="s">
        <v>1044</v>
      </c>
      <c r="P1812" t="s">
        <v>431</v>
      </c>
      <c r="Q1812" t="s">
        <v>8141</v>
      </c>
      <c r="R1812" s="1">
        <v>22440</v>
      </c>
      <c r="S1812" t="s">
        <v>22</v>
      </c>
      <c r="T1812" t="s">
        <v>29</v>
      </c>
      <c r="U1812" t="s">
        <v>2637</v>
      </c>
      <c r="V1812">
        <v>60000</v>
      </c>
      <c r="W1812">
        <v>1</v>
      </c>
      <c r="X1812" t="s">
        <v>52</v>
      </c>
      <c r="Y1812" t="s">
        <v>53</v>
      </c>
      <c r="Z1812" t="s">
        <v>19</v>
      </c>
      <c r="AA1812" t="s">
        <v>3586</v>
      </c>
      <c r="AB1812" t="s">
        <v>3586</v>
      </c>
      <c r="AC1812" t="s">
        <v>3587</v>
      </c>
      <c r="AD1812" t="s">
        <v>3479</v>
      </c>
      <c r="AE1812" t="s">
        <v>3475</v>
      </c>
      <c r="AF1812" s="2">
        <v>2443.35</v>
      </c>
      <c r="AG1812" s="2">
        <v>1518.7864</v>
      </c>
      <c r="AH1812" s="2">
        <v>924.56359999999995</v>
      </c>
      <c r="AI1812" s="3">
        <v>0.37839998362903399</v>
      </c>
    </row>
    <row r="1813" spans="1:35">
      <c r="A1813" s="1">
        <v>42189</v>
      </c>
      <c r="B1813" s="1">
        <v>37413</v>
      </c>
      <c r="C1813" t="s">
        <v>4787</v>
      </c>
      <c r="D1813">
        <v>377</v>
      </c>
      <c r="E1813">
        <v>21200</v>
      </c>
      <c r="F1813">
        <v>9</v>
      </c>
      <c r="G1813">
        <v>1</v>
      </c>
      <c r="H1813">
        <v>1</v>
      </c>
      <c r="I1813">
        <v>2</v>
      </c>
      <c r="J1813" t="s">
        <v>3559</v>
      </c>
      <c r="K1813" t="s">
        <v>3560</v>
      </c>
      <c r="L1813" s="2">
        <v>1320.6838</v>
      </c>
      <c r="M1813" s="2">
        <v>2181.5625</v>
      </c>
      <c r="N1813" t="s">
        <v>30</v>
      </c>
      <c r="O1813" t="s">
        <v>1110</v>
      </c>
      <c r="P1813" t="s">
        <v>194</v>
      </c>
      <c r="Q1813" t="s">
        <v>8142</v>
      </c>
      <c r="R1813" s="1">
        <v>22404</v>
      </c>
      <c r="S1813" t="s">
        <v>22</v>
      </c>
      <c r="T1813" t="s">
        <v>29</v>
      </c>
      <c r="U1813" t="s">
        <v>2638</v>
      </c>
      <c r="V1813">
        <v>60000</v>
      </c>
      <c r="W1813">
        <v>1</v>
      </c>
      <c r="X1813" t="s">
        <v>52</v>
      </c>
      <c r="Y1813" t="s">
        <v>53</v>
      </c>
      <c r="Z1813" t="s">
        <v>19</v>
      </c>
      <c r="AA1813" t="s">
        <v>3586</v>
      </c>
      <c r="AB1813" t="s">
        <v>3586</v>
      </c>
      <c r="AC1813" t="s">
        <v>3587</v>
      </c>
      <c r="AD1813" t="s">
        <v>3479</v>
      </c>
      <c r="AE1813" t="s">
        <v>3475</v>
      </c>
      <c r="AF1813" s="2">
        <v>2181.5625</v>
      </c>
      <c r="AG1813" s="2">
        <v>1320.6838</v>
      </c>
      <c r="AH1813" s="2">
        <v>860.87869999999998</v>
      </c>
      <c r="AI1813" s="3">
        <v>0.39461564818793898</v>
      </c>
    </row>
    <row r="1814" spans="1:35">
      <c r="A1814" s="1">
        <v>42199</v>
      </c>
      <c r="B1814" s="1">
        <v>37416</v>
      </c>
      <c r="C1814" t="s">
        <v>4874</v>
      </c>
      <c r="D1814">
        <v>368</v>
      </c>
      <c r="E1814">
        <v>21201</v>
      </c>
      <c r="F1814">
        <v>9</v>
      </c>
      <c r="G1814">
        <v>1</v>
      </c>
      <c r="H1814">
        <v>1</v>
      </c>
      <c r="I1814">
        <v>2</v>
      </c>
      <c r="J1814" t="s">
        <v>3547</v>
      </c>
      <c r="K1814" t="s">
        <v>3548</v>
      </c>
      <c r="L1814" s="2">
        <v>1518.7864</v>
      </c>
      <c r="M1814" s="2">
        <v>2443.35</v>
      </c>
      <c r="N1814" t="s">
        <v>30</v>
      </c>
      <c r="O1814" t="s">
        <v>349</v>
      </c>
      <c r="P1814" t="s">
        <v>572</v>
      </c>
      <c r="Q1814" t="s">
        <v>8143</v>
      </c>
      <c r="R1814" s="1">
        <v>10637</v>
      </c>
      <c r="S1814" t="s">
        <v>22</v>
      </c>
      <c r="T1814" t="s">
        <v>29</v>
      </c>
      <c r="U1814" t="s">
        <v>2639</v>
      </c>
      <c r="V1814">
        <v>80000</v>
      </c>
      <c r="W1814">
        <v>3</v>
      </c>
      <c r="X1814" t="s">
        <v>135</v>
      </c>
      <c r="Y1814" t="s">
        <v>45</v>
      </c>
      <c r="Z1814" t="s">
        <v>19</v>
      </c>
      <c r="AA1814" t="s">
        <v>3586</v>
      </c>
      <c r="AB1814" t="s">
        <v>3586</v>
      </c>
      <c r="AC1814" t="s">
        <v>3587</v>
      </c>
      <c r="AD1814" t="s">
        <v>3479</v>
      </c>
      <c r="AE1814" t="s">
        <v>3475</v>
      </c>
      <c r="AF1814" s="2">
        <v>2443.35</v>
      </c>
      <c r="AG1814" s="2">
        <v>1518.7864</v>
      </c>
      <c r="AH1814" s="2">
        <v>924.56359999999995</v>
      </c>
      <c r="AI1814" s="3">
        <v>0.37839998362903399</v>
      </c>
    </row>
    <row r="1815" spans="1:35">
      <c r="A1815" s="1">
        <v>42215</v>
      </c>
      <c r="B1815" s="1">
        <v>37386</v>
      </c>
      <c r="C1815" t="s">
        <v>5000</v>
      </c>
      <c r="D1815">
        <v>371</v>
      </c>
      <c r="E1815">
        <v>21202</v>
      </c>
      <c r="F1815">
        <v>9</v>
      </c>
      <c r="G1815">
        <v>1</v>
      </c>
      <c r="H1815">
        <v>1</v>
      </c>
      <c r="I1815">
        <v>2</v>
      </c>
      <c r="J1815" t="s">
        <v>3553</v>
      </c>
      <c r="K1815" t="s">
        <v>3554</v>
      </c>
      <c r="L1815" s="2">
        <v>1320.6838</v>
      </c>
      <c r="M1815" s="2">
        <v>2181.5625</v>
      </c>
      <c r="N1815" t="s">
        <v>26</v>
      </c>
      <c r="O1815" t="s">
        <v>88</v>
      </c>
      <c r="P1815" t="s">
        <v>25</v>
      </c>
      <c r="Q1815" t="s">
        <v>8144</v>
      </c>
      <c r="R1815" s="1">
        <v>24191</v>
      </c>
      <c r="S1815" t="s">
        <v>22</v>
      </c>
      <c r="T1815" t="s">
        <v>29</v>
      </c>
      <c r="U1815" t="s">
        <v>2640</v>
      </c>
      <c r="V1815">
        <v>100000</v>
      </c>
      <c r="W1815">
        <v>0</v>
      </c>
      <c r="X1815" t="s">
        <v>135</v>
      </c>
      <c r="Y1815" t="s">
        <v>45</v>
      </c>
      <c r="Z1815" t="s">
        <v>23</v>
      </c>
      <c r="AA1815" t="s">
        <v>3586</v>
      </c>
      <c r="AB1815" t="s">
        <v>3586</v>
      </c>
      <c r="AC1815" t="s">
        <v>3587</v>
      </c>
      <c r="AD1815" t="s">
        <v>3479</v>
      </c>
      <c r="AE1815" t="s">
        <v>3475</v>
      </c>
      <c r="AF1815" s="2">
        <v>2181.5625</v>
      </c>
      <c r="AG1815" s="2">
        <v>1320.6838</v>
      </c>
      <c r="AH1815" s="2">
        <v>860.87869999999998</v>
      </c>
      <c r="AI1815" s="3">
        <v>0.39461564818793898</v>
      </c>
    </row>
    <row r="1816" spans="1:35">
      <c r="A1816" s="1">
        <v>42213</v>
      </c>
      <c r="B1816" s="1">
        <v>37428</v>
      </c>
      <c r="C1816" t="s">
        <v>4983</v>
      </c>
      <c r="D1816">
        <v>375</v>
      </c>
      <c r="E1816">
        <v>21203</v>
      </c>
      <c r="F1816">
        <v>9</v>
      </c>
      <c r="G1816">
        <v>1</v>
      </c>
      <c r="H1816">
        <v>1</v>
      </c>
      <c r="I1816">
        <v>2</v>
      </c>
      <c r="J1816" t="s">
        <v>3557</v>
      </c>
      <c r="K1816" t="s">
        <v>3558</v>
      </c>
      <c r="L1816" s="2">
        <v>1320.6838</v>
      </c>
      <c r="M1816" s="2">
        <v>2181.5625</v>
      </c>
      <c r="N1816" t="s">
        <v>26</v>
      </c>
      <c r="O1816" t="s">
        <v>771</v>
      </c>
      <c r="P1816" t="s">
        <v>425</v>
      </c>
      <c r="Q1816" t="s">
        <v>8145</v>
      </c>
      <c r="R1816" s="1">
        <v>24466</v>
      </c>
      <c r="S1816" t="s">
        <v>16</v>
      </c>
      <c r="T1816" t="s">
        <v>29</v>
      </c>
      <c r="U1816" t="s">
        <v>2641</v>
      </c>
      <c r="V1816">
        <v>100000</v>
      </c>
      <c r="W1816">
        <v>0</v>
      </c>
      <c r="X1816" t="s">
        <v>135</v>
      </c>
      <c r="Y1816" t="s">
        <v>45</v>
      </c>
      <c r="Z1816" t="s">
        <v>23</v>
      </c>
      <c r="AA1816" t="s">
        <v>3586</v>
      </c>
      <c r="AB1816" t="s">
        <v>3586</v>
      </c>
      <c r="AC1816" t="s">
        <v>3587</v>
      </c>
      <c r="AD1816" t="s">
        <v>3479</v>
      </c>
      <c r="AE1816" t="s">
        <v>3475</v>
      </c>
      <c r="AF1816" s="2">
        <v>2181.5625</v>
      </c>
      <c r="AG1816" s="2">
        <v>1320.6838</v>
      </c>
      <c r="AH1816" s="2">
        <v>860.87869999999998</v>
      </c>
      <c r="AI1816" s="3">
        <v>0.39461564818793898</v>
      </c>
    </row>
    <row r="1817" spans="1:35">
      <c r="A1817" s="1">
        <v>42212</v>
      </c>
      <c r="B1817" s="1">
        <v>37380</v>
      </c>
      <c r="C1817" t="s">
        <v>4972</v>
      </c>
      <c r="D1817">
        <v>369</v>
      </c>
      <c r="E1817">
        <v>21205</v>
      </c>
      <c r="F1817">
        <v>9</v>
      </c>
      <c r="G1817">
        <v>1</v>
      </c>
      <c r="H1817">
        <v>1</v>
      </c>
      <c r="I1817">
        <v>2</v>
      </c>
      <c r="J1817" t="s">
        <v>3549</v>
      </c>
      <c r="K1817" t="s">
        <v>3550</v>
      </c>
      <c r="L1817" s="2">
        <v>1518.7864</v>
      </c>
      <c r="M1817" s="2">
        <v>2443.35</v>
      </c>
      <c r="N1817" t="s">
        <v>26</v>
      </c>
      <c r="O1817" t="s">
        <v>90</v>
      </c>
      <c r="P1817" t="s">
        <v>370</v>
      </c>
      <c r="Q1817" t="s">
        <v>8146</v>
      </c>
      <c r="R1817" s="1">
        <v>24173</v>
      </c>
      <c r="S1817" t="s">
        <v>22</v>
      </c>
      <c r="T1817" t="s">
        <v>29</v>
      </c>
      <c r="U1817" t="s">
        <v>2642</v>
      </c>
      <c r="V1817">
        <v>110000</v>
      </c>
      <c r="W1817">
        <v>0</v>
      </c>
      <c r="X1817" t="s">
        <v>135</v>
      </c>
      <c r="Y1817" t="s">
        <v>45</v>
      </c>
      <c r="Z1817" t="s">
        <v>23</v>
      </c>
      <c r="AA1817" t="s">
        <v>3586</v>
      </c>
      <c r="AB1817" t="s">
        <v>3586</v>
      </c>
      <c r="AC1817" t="s">
        <v>3587</v>
      </c>
      <c r="AD1817" t="s">
        <v>3479</v>
      </c>
      <c r="AE1817" t="s">
        <v>3475</v>
      </c>
      <c r="AF1817" s="2">
        <v>2443.35</v>
      </c>
      <c r="AG1817" s="2">
        <v>1518.7864</v>
      </c>
      <c r="AH1817" s="2">
        <v>924.56359999999995</v>
      </c>
      <c r="AI1817" s="3">
        <v>0.37839998362903399</v>
      </c>
    </row>
    <row r="1818" spans="1:35">
      <c r="A1818" s="1">
        <v>42188</v>
      </c>
      <c r="B1818" s="1">
        <v>37378</v>
      </c>
      <c r="C1818" t="s">
        <v>4782</v>
      </c>
      <c r="D1818">
        <v>377</v>
      </c>
      <c r="E1818">
        <v>21206</v>
      </c>
      <c r="F1818">
        <v>9</v>
      </c>
      <c r="G1818">
        <v>1</v>
      </c>
      <c r="H1818">
        <v>1</v>
      </c>
      <c r="I1818">
        <v>2</v>
      </c>
      <c r="J1818" t="s">
        <v>3559</v>
      </c>
      <c r="K1818" t="s">
        <v>3560</v>
      </c>
      <c r="L1818" s="2">
        <v>1320.6838</v>
      </c>
      <c r="M1818" s="2">
        <v>2181.5625</v>
      </c>
      <c r="N1818" t="s">
        <v>13</v>
      </c>
      <c r="O1818" t="s">
        <v>461</v>
      </c>
      <c r="P1818" t="s">
        <v>85</v>
      </c>
      <c r="Q1818" t="s">
        <v>8147</v>
      </c>
      <c r="R1818" s="1">
        <v>22165</v>
      </c>
      <c r="S1818" t="s">
        <v>22</v>
      </c>
      <c r="T1818" t="s">
        <v>16</v>
      </c>
      <c r="U1818" t="s">
        <v>2643</v>
      </c>
      <c r="V1818">
        <v>60000</v>
      </c>
      <c r="W1818">
        <v>1</v>
      </c>
      <c r="X1818" t="s">
        <v>52</v>
      </c>
      <c r="Y1818" t="s">
        <v>53</v>
      </c>
      <c r="Z1818" t="s">
        <v>19</v>
      </c>
      <c r="AA1818" t="s">
        <v>3586</v>
      </c>
      <c r="AB1818" t="s">
        <v>3586</v>
      </c>
      <c r="AC1818" t="s">
        <v>3587</v>
      </c>
      <c r="AD1818" t="s">
        <v>3479</v>
      </c>
      <c r="AE1818" t="s">
        <v>3475</v>
      </c>
      <c r="AF1818" s="2">
        <v>2181.5625</v>
      </c>
      <c r="AG1818" s="2">
        <v>1320.6838</v>
      </c>
      <c r="AH1818" s="2">
        <v>860.87869999999998</v>
      </c>
      <c r="AI1818" s="3">
        <v>0.39461564818793898</v>
      </c>
    </row>
    <row r="1819" spans="1:35">
      <c r="A1819" s="1">
        <v>42202</v>
      </c>
      <c r="B1819" s="1">
        <v>37419</v>
      </c>
      <c r="C1819" t="s">
        <v>4898</v>
      </c>
      <c r="D1819">
        <v>369</v>
      </c>
      <c r="E1819">
        <v>21211</v>
      </c>
      <c r="F1819">
        <v>9</v>
      </c>
      <c r="G1819">
        <v>1</v>
      </c>
      <c r="H1819">
        <v>1</v>
      </c>
      <c r="I1819">
        <v>2</v>
      </c>
      <c r="J1819" t="s">
        <v>3549</v>
      </c>
      <c r="K1819" t="s">
        <v>3550</v>
      </c>
      <c r="L1819" s="2">
        <v>1518.7864</v>
      </c>
      <c r="M1819" s="2">
        <v>2443.35</v>
      </c>
      <c r="N1819" t="s">
        <v>13</v>
      </c>
      <c r="O1819" t="s">
        <v>552</v>
      </c>
      <c r="P1819" t="s">
        <v>190</v>
      </c>
      <c r="Q1819" t="s">
        <v>8148</v>
      </c>
      <c r="R1819" s="1">
        <v>23509</v>
      </c>
      <c r="S1819" t="s">
        <v>22</v>
      </c>
      <c r="T1819" t="s">
        <v>16</v>
      </c>
      <c r="U1819" t="s">
        <v>2644</v>
      </c>
      <c r="V1819">
        <v>70000</v>
      </c>
      <c r="W1819">
        <v>0</v>
      </c>
      <c r="X1819" t="s">
        <v>17</v>
      </c>
      <c r="Y1819" t="s">
        <v>18</v>
      </c>
      <c r="Z1819" t="s">
        <v>19</v>
      </c>
      <c r="AA1819" t="s">
        <v>3586</v>
      </c>
      <c r="AB1819" t="s">
        <v>3586</v>
      </c>
      <c r="AC1819" t="s">
        <v>3587</v>
      </c>
      <c r="AD1819" t="s">
        <v>3479</v>
      </c>
      <c r="AE1819" t="s">
        <v>3475</v>
      </c>
      <c r="AF1819" s="2">
        <v>2443.35</v>
      </c>
      <c r="AG1819" s="2">
        <v>1518.7864</v>
      </c>
      <c r="AH1819" s="2">
        <v>924.56359999999995</v>
      </c>
      <c r="AI1819" s="3">
        <v>0.37839998362903399</v>
      </c>
    </row>
    <row r="1820" spans="1:35">
      <c r="A1820" s="1">
        <v>42207</v>
      </c>
      <c r="B1820" s="1">
        <v>37342</v>
      </c>
      <c r="C1820" t="s">
        <v>4937</v>
      </c>
      <c r="D1820">
        <v>377</v>
      </c>
      <c r="E1820">
        <v>21214</v>
      </c>
      <c r="F1820">
        <v>9</v>
      </c>
      <c r="G1820">
        <v>1</v>
      </c>
      <c r="H1820">
        <v>1</v>
      </c>
      <c r="I1820">
        <v>2</v>
      </c>
      <c r="J1820" t="s">
        <v>3559</v>
      </c>
      <c r="K1820" t="s">
        <v>3560</v>
      </c>
      <c r="L1820" s="2">
        <v>1320.6838</v>
      </c>
      <c r="M1820" s="2">
        <v>2181.5625</v>
      </c>
      <c r="N1820" t="s">
        <v>13</v>
      </c>
      <c r="O1820" t="s">
        <v>650</v>
      </c>
      <c r="P1820" t="s">
        <v>450</v>
      </c>
      <c r="Q1820" t="s">
        <v>8149</v>
      </c>
      <c r="R1820" s="1">
        <v>23468</v>
      </c>
      <c r="S1820" t="s">
        <v>22</v>
      </c>
      <c r="T1820" t="s">
        <v>16</v>
      </c>
      <c r="U1820" t="s">
        <v>2645</v>
      </c>
      <c r="V1820">
        <v>70000</v>
      </c>
      <c r="W1820">
        <v>0</v>
      </c>
      <c r="X1820" t="s">
        <v>17</v>
      </c>
      <c r="Y1820" t="s">
        <v>18</v>
      </c>
      <c r="Z1820" t="s">
        <v>19</v>
      </c>
      <c r="AA1820" t="s">
        <v>3586</v>
      </c>
      <c r="AB1820" t="s">
        <v>3586</v>
      </c>
      <c r="AC1820" t="s">
        <v>3587</v>
      </c>
      <c r="AD1820" t="s">
        <v>3479</v>
      </c>
      <c r="AE1820" t="s">
        <v>3475</v>
      </c>
      <c r="AF1820" s="2">
        <v>2181.5625</v>
      </c>
      <c r="AG1820" s="2">
        <v>1320.6838</v>
      </c>
      <c r="AH1820" s="2">
        <v>860.87869999999998</v>
      </c>
      <c r="AI1820" s="3">
        <v>0.39461564818793898</v>
      </c>
    </row>
    <row r="1821" spans="1:35">
      <c r="A1821" s="1">
        <v>42195</v>
      </c>
      <c r="B1821" s="1">
        <v>37408</v>
      </c>
      <c r="C1821" t="s">
        <v>4841</v>
      </c>
      <c r="D1821">
        <v>379</v>
      </c>
      <c r="E1821">
        <v>21215</v>
      </c>
      <c r="F1821">
        <v>9</v>
      </c>
      <c r="G1821">
        <v>1</v>
      </c>
      <c r="H1821">
        <v>1</v>
      </c>
      <c r="I1821">
        <v>2</v>
      </c>
      <c r="J1821" t="s">
        <v>3561</v>
      </c>
      <c r="K1821" t="s">
        <v>3562</v>
      </c>
      <c r="L1821" s="2">
        <v>1320.6838</v>
      </c>
      <c r="M1821" s="2">
        <v>2181.5625</v>
      </c>
      <c r="N1821" t="s">
        <v>26</v>
      </c>
      <c r="O1821" t="s">
        <v>150</v>
      </c>
      <c r="P1821" t="s">
        <v>15</v>
      </c>
      <c r="Q1821" t="s">
        <v>8150</v>
      </c>
      <c r="R1821" s="1">
        <v>23616</v>
      </c>
      <c r="S1821" t="s">
        <v>22</v>
      </c>
      <c r="T1821" t="s">
        <v>29</v>
      </c>
      <c r="U1821" t="s">
        <v>2646</v>
      </c>
      <c r="V1821">
        <v>70000</v>
      </c>
      <c r="W1821">
        <v>0</v>
      </c>
      <c r="X1821" t="s">
        <v>17</v>
      </c>
      <c r="Y1821" t="s">
        <v>18</v>
      </c>
      <c r="Z1821" t="s">
        <v>19</v>
      </c>
      <c r="AA1821" t="s">
        <v>3586</v>
      </c>
      <c r="AB1821" t="s">
        <v>3586</v>
      </c>
      <c r="AC1821" t="s">
        <v>3587</v>
      </c>
      <c r="AD1821" t="s">
        <v>3479</v>
      </c>
      <c r="AE1821" t="s">
        <v>3475</v>
      </c>
      <c r="AF1821" s="2">
        <v>2181.5625</v>
      </c>
      <c r="AG1821" s="2">
        <v>1320.6838</v>
      </c>
      <c r="AH1821" s="2">
        <v>860.87869999999998</v>
      </c>
      <c r="AI1821" s="3">
        <v>0.39461564818793898</v>
      </c>
    </row>
    <row r="1822" spans="1:35">
      <c r="A1822" s="1">
        <v>42196</v>
      </c>
      <c r="B1822" s="1">
        <v>37396</v>
      </c>
      <c r="C1822" t="s">
        <v>4853</v>
      </c>
      <c r="D1822">
        <v>369</v>
      </c>
      <c r="E1822">
        <v>21216</v>
      </c>
      <c r="F1822">
        <v>9</v>
      </c>
      <c r="G1822">
        <v>1</v>
      </c>
      <c r="H1822">
        <v>1</v>
      </c>
      <c r="I1822">
        <v>2</v>
      </c>
      <c r="J1822" t="s">
        <v>3549</v>
      </c>
      <c r="K1822" t="s">
        <v>3550</v>
      </c>
      <c r="L1822" s="2">
        <v>1518.7864</v>
      </c>
      <c r="M1822" s="2">
        <v>2443.35</v>
      </c>
      <c r="N1822" t="s">
        <v>13</v>
      </c>
      <c r="O1822" t="s">
        <v>247</v>
      </c>
      <c r="P1822" t="s">
        <v>220</v>
      </c>
      <c r="Q1822" t="s">
        <v>8151</v>
      </c>
      <c r="R1822" s="1">
        <v>23521</v>
      </c>
      <c r="S1822" t="s">
        <v>22</v>
      </c>
      <c r="T1822" t="s">
        <v>16</v>
      </c>
      <c r="U1822" t="s">
        <v>2647</v>
      </c>
      <c r="V1822">
        <v>80000</v>
      </c>
      <c r="W1822">
        <v>4</v>
      </c>
      <c r="X1822" t="s">
        <v>17</v>
      </c>
      <c r="Y1822" t="s">
        <v>18</v>
      </c>
      <c r="Z1822" t="s">
        <v>23</v>
      </c>
      <c r="AA1822" t="s">
        <v>3586</v>
      </c>
      <c r="AB1822" t="s">
        <v>3586</v>
      </c>
      <c r="AC1822" t="s">
        <v>3587</v>
      </c>
      <c r="AD1822" t="s">
        <v>3479</v>
      </c>
      <c r="AE1822" t="s">
        <v>3475</v>
      </c>
      <c r="AF1822" s="2">
        <v>2443.35</v>
      </c>
      <c r="AG1822" s="2">
        <v>1518.7864</v>
      </c>
      <c r="AH1822" s="2">
        <v>924.56359999999995</v>
      </c>
      <c r="AI1822" s="3">
        <v>0.37839998362903399</v>
      </c>
    </row>
    <row r="1823" spans="1:35">
      <c r="A1823" s="1">
        <v>42237</v>
      </c>
      <c r="B1823" s="1">
        <v>37470</v>
      </c>
      <c r="C1823" t="s">
        <v>5184</v>
      </c>
      <c r="D1823">
        <v>379</v>
      </c>
      <c r="E1823">
        <v>21217</v>
      </c>
      <c r="F1823">
        <v>9</v>
      </c>
      <c r="G1823">
        <v>1</v>
      </c>
      <c r="H1823">
        <v>1</v>
      </c>
      <c r="I1823">
        <v>2</v>
      </c>
      <c r="J1823" t="s">
        <v>3561</v>
      </c>
      <c r="K1823" t="s">
        <v>3562</v>
      </c>
      <c r="L1823" s="2">
        <v>1320.6838</v>
      </c>
      <c r="M1823" s="2">
        <v>2181.5625</v>
      </c>
      <c r="N1823" t="s">
        <v>30</v>
      </c>
      <c r="O1823" t="s">
        <v>158</v>
      </c>
      <c r="P1823" t="s">
        <v>72</v>
      </c>
      <c r="Q1823" t="s">
        <v>8152</v>
      </c>
      <c r="R1823" s="1">
        <v>21846</v>
      </c>
      <c r="S1823" t="s">
        <v>22</v>
      </c>
      <c r="T1823" t="s">
        <v>29</v>
      </c>
      <c r="U1823" t="s">
        <v>2648</v>
      </c>
      <c r="V1823">
        <v>90000</v>
      </c>
      <c r="W1823">
        <v>1</v>
      </c>
      <c r="X1823" t="s">
        <v>17</v>
      </c>
      <c r="Y1823" t="s">
        <v>18</v>
      </c>
      <c r="Z1823" t="s">
        <v>19</v>
      </c>
      <c r="AA1823" t="s">
        <v>3586</v>
      </c>
      <c r="AB1823" t="s">
        <v>3586</v>
      </c>
      <c r="AC1823" t="s">
        <v>3587</v>
      </c>
      <c r="AD1823" t="s">
        <v>3479</v>
      </c>
      <c r="AE1823" t="s">
        <v>3475</v>
      </c>
      <c r="AF1823" s="2">
        <v>2181.5625</v>
      </c>
      <c r="AG1823" s="2">
        <v>1320.6838</v>
      </c>
      <c r="AH1823" s="2">
        <v>860.87869999999998</v>
      </c>
      <c r="AI1823" s="3">
        <v>0.39461564818793898</v>
      </c>
    </row>
    <row r="1824" spans="1:35">
      <c r="A1824" s="1">
        <v>42231</v>
      </c>
      <c r="B1824" s="1">
        <v>37371</v>
      </c>
      <c r="C1824" t="s">
        <v>5137</v>
      </c>
      <c r="D1824">
        <v>377</v>
      </c>
      <c r="E1824">
        <v>21218</v>
      </c>
      <c r="F1824">
        <v>9</v>
      </c>
      <c r="G1824">
        <v>1</v>
      </c>
      <c r="H1824">
        <v>1</v>
      </c>
      <c r="I1824">
        <v>2</v>
      </c>
      <c r="J1824" t="s">
        <v>3559</v>
      </c>
      <c r="K1824" t="s">
        <v>3560</v>
      </c>
      <c r="L1824" s="2">
        <v>1320.6838</v>
      </c>
      <c r="M1824" s="2">
        <v>2181.5625</v>
      </c>
      <c r="N1824" t="s">
        <v>13</v>
      </c>
      <c r="O1824" t="s">
        <v>54</v>
      </c>
      <c r="P1824" t="s">
        <v>293</v>
      </c>
      <c r="Q1824" t="s">
        <v>8153</v>
      </c>
      <c r="R1824" s="1">
        <v>23175</v>
      </c>
      <c r="S1824" t="s">
        <v>22</v>
      </c>
      <c r="T1824" t="s">
        <v>16</v>
      </c>
      <c r="U1824" t="s">
        <v>2649</v>
      </c>
      <c r="V1824">
        <v>70000</v>
      </c>
      <c r="W1824">
        <v>0</v>
      </c>
      <c r="X1824" t="s">
        <v>17</v>
      </c>
      <c r="Y1824" t="s">
        <v>18</v>
      </c>
      <c r="Z1824" t="s">
        <v>23</v>
      </c>
      <c r="AA1824" t="s">
        <v>3586</v>
      </c>
      <c r="AB1824" t="s">
        <v>3586</v>
      </c>
      <c r="AC1824" t="s">
        <v>3587</v>
      </c>
      <c r="AD1824" t="s">
        <v>3479</v>
      </c>
      <c r="AE1824" t="s">
        <v>3475</v>
      </c>
      <c r="AF1824" s="2">
        <v>2181.5625</v>
      </c>
      <c r="AG1824" s="2">
        <v>1320.6838</v>
      </c>
      <c r="AH1824" s="2">
        <v>860.87869999999998</v>
      </c>
      <c r="AI1824" s="3">
        <v>0.39461564818793898</v>
      </c>
    </row>
    <row r="1825" spans="1:35">
      <c r="A1825" s="1">
        <v>42240</v>
      </c>
      <c r="B1825" s="1">
        <v>37399</v>
      </c>
      <c r="C1825" t="s">
        <v>5210</v>
      </c>
      <c r="D1825">
        <v>371</v>
      </c>
      <c r="E1825">
        <v>21219</v>
      </c>
      <c r="F1825">
        <v>9</v>
      </c>
      <c r="G1825">
        <v>1</v>
      </c>
      <c r="H1825">
        <v>1</v>
      </c>
      <c r="I1825">
        <v>2</v>
      </c>
      <c r="J1825" t="s">
        <v>3553</v>
      </c>
      <c r="K1825" t="s">
        <v>3554</v>
      </c>
      <c r="L1825" s="2">
        <v>1320.6838</v>
      </c>
      <c r="M1825" s="2">
        <v>2181.5625</v>
      </c>
      <c r="N1825" t="s">
        <v>26</v>
      </c>
      <c r="O1825" t="s">
        <v>1635</v>
      </c>
      <c r="P1825" t="s">
        <v>28</v>
      </c>
      <c r="Q1825" t="s">
        <v>8154</v>
      </c>
      <c r="R1825" s="1">
        <v>23049</v>
      </c>
      <c r="S1825" t="s">
        <v>22</v>
      </c>
      <c r="T1825" t="s">
        <v>29</v>
      </c>
      <c r="U1825" t="s">
        <v>2650</v>
      </c>
      <c r="V1825">
        <v>70000</v>
      </c>
      <c r="W1825">
        <v>0</v>
      </c>
      <c r="X1825" t="s">
        <v>17</v>
      </c>
      <c r="Y1825" t="s">
        <v>18</v>
      </c>
      <c r="Z1825" t="s">
        <v>23</v>
      </c>
      <c r="AA1825" t="s">
        <v>3586</v>
      </c>
      <c r="AB1825" t="s">
        <v>3586</v>
      </c>
      <c r="AC1825" t="s">
        <v>3587</v>
      </c>
      <c r="AD1825" t="s">
        <v>3479</v>
      </c>
      <c r="AE1825" t="s">
        <v>3475</v>
      </c>
      <c r="AF1825" s="2">
        <v>2181.5625</v>
      </c>
      <c r="AG1825" s="2">
        <v>1320.6838</v>
      </c>
      <c r="AH1825" s="2">
        <v>860.87869999999998</v>
      </c>
      <c r="AI1825" s="3">
        <v>0.39461564818793898</v>
      </c>
    </row>
    <row r="1826" spans="1:35">
      <c r="A1826" s="1">
        <v>42234</v>
      </c>
      <c r="B1826" s="1">
        <v>37446</v>
      </c>
      <c r="C1826" t="s">
        <v>5155</v>
      </c>
      <c r="D1826">
        <v>375</v>
      </c>
      <c r="E1826">
        <v>21222</v>
      </c>
      <c r="F1826">
        <v>9</v>
      </c>
      <c r="G1826">
        <v>1</v>
      </c>
      <c r="H1826">
        <v>1</v>
      </c>
      <c r="I1826">
        <v>2</v>
      </c>
      <c r="J1826" t="s">
        <v>3557</v>
      </c>
      <c r="K1826" t="s">
        <v>3558</v>
      </c>
      <c r="L1826" s="2">
        <v>1320.6838</v>
      </c>
      <c r="M1826" s="2">
        <v>2181.5625</v>
      </c>
      <c r="N1826" t="s">
        <v>13</v>
      </c>
      <c r="O1826" t="s">
        <v>893</v>
      </c>
      <c r="P1826" t="s">
        <v>474</v>
      </c>
      <c r="Q1826" t="s">
        <v>8155</v>
      </c>
      <c r="R1826" s="1">
        <v>22570</v>
      </c>
      <c r="S1826" t="s">
        <v>16</v>
      </c>
      <c r="T1826" t="s">
        <v>16</v>
      </c>
      <c r="U1826" t="s">
        <v>2651</v>
      </c>
      <c r="V1826">
        <v>60000</v>
      </c>
      <c r="W1826">
        <v>1</v>
      </c>
      <c r="X1826" t="s">
        <v>52</v>
      </c>
      <c r="Y1826" t="s">
        <v>53</v>
      </c>
      <c r="Z1826" t="s">
        <v>19</v>
      </c>
      <c r="AA1826" t="s">
        <v>3586</v>
      </c>
      <c r="AB1826" t="s">
        <v>3586</v>
      </c>
      <c r="AC1826" t="s">
        <v>3587</v>
      </c>
      <c r="AD1826" t="s">
        <v>3479</v>
      </c>
      <c r="AE1826" t="s">
        <v>3475</v>
      </c>
      <c r="AF1826" s="2">
        <v>2181.5625</v>
      </c>
      <c r="AG1826" s="2">
        <v>1320.6838</v>
      </c>
      <c r="AH1826" s="2">
        <v>860.87869999999998</v>
      </c>
      <c r="AI1826" s="3">
        <v>0.39461564818793898</v>
      </c>
    </row>
    <row r="1827" spans="1:35">
      <c r="A1827" s="1">
        <v>42225</v>
      </c>
      <c r="B1827" s="1">
        <v>37427</v>
      </c>
      <c r="C1827" t="s">
        <v>5082</v>
      </c>
      <c r="D1827">
        <v>371</v>
      </c>
      <c r="E1827">
        <v>21225</v>
      </c>
      <c r="F1827">
        <v>9</v>
      </c>
      <c r="G1827">
        <v>1</v>
      </c>
      <c r="H1827">
        <v>1</v>
      </c>
      <c r="I1827">
        <v>2</v>
      </c>
      <c r="J1827" t="s">
        <v>3553</v>
      </c>
      <c r="K1827" t="s">
        <v>3554</v>
      </c>
      <c r="L1827" s="2">
        <v>1320.6838</v>
      </c>
      <c r="M1827" s="2">
        <v>2181.5625</v>
      </c>
      <c r="N1827" t="s">
        <v>30</v>
      </c>
      <c r="O1827" t="s">
        <v>132</v>
      </c>
      <c r="P1827" t="s">
        <v>476</v>
      </c>
      <c r="Q1827" t="s">
        <v>8156</v>
      </c>
      <c r="R1827" s="1">
        <v>21474</v>
      </c>
      <c r="S1827" t="s">
        <v>22</v>
      </c>
      <c r="T1827" t="s">
        <v>29</v>
      </c>
      <c r="U1827" t="s">
        <v>2652</v>
      </c>
      <c r="V1827">
        <v>90000</v>
      </c>
      <c r="W1827">
        <v>2</v>
      </c>
      <c r="X1827" t="s">
        <v>17</v>
      </c>
      <c r="Y1827" t="s">
        <v>18</v>
      </c>
      <c r="Z1827" t="s">
        <v>19</v>
      </c>
      <c r="AA1827" t="s">
        <v>3586</v>
      </c>
      <c r="AB1827" t="s">
        <v>3586</v>
      </c>
      <c r="AC1827" t="s">
        <v>3587</v>
      </c>
      <c r="AD1827" t="s">
        <v>3479</v>
      </c>
      <c r="AE1827" t="s">
        <v>3475</v>
      </c>
      <c r="AF1827" s="2">
        <v>2181.5625</v>
      </c>
      <c r="AG1827" s="2">
        <v>1320.6838</v>
      </c>
      <c r="AH1827" s="2">
        <v>860.87869999999998</v>
      </c>
      <c r="AI1827" s="3">
        <v>0.39461564818793898</v>
      </c>
    </row>
    <row r="1828" spans="1:35">
      <c r="A1828" s="1">
        <v>42237</v>
      </c>
      <c r="B1828" s="1">
        <v>37372</v>
      </c>
      <c r="C1828" t="s">
        <v>5185</v>
      </c>
      <c r="D1828">
        <v>377</v>
      </c>
      <c r="E1828">
        <v>21226</v>
      </c>
      <c r="F1828">
        <v>9</v>
      </c>
      <c r="G1828">
        <v>1</v>
      </c>
      <c r="H1828">
        <v>1</v>
      </c>
      <c r="I1828">
        <v>2</v>
      </c>
      <c r="J1828" t="s">
        <v>3559</v>
      </c>
      <c r="K1828" t="s">
        <v>3560</v>
      </c>
      <c r="L1828" s="2">
        <v>1320.6838</v>
      </c>
      <c r="M1828" s="2">
        <v>2181.5625</v>
      </c>
      <c r="N1828" t="s">
        <v>13</v>
      </c>
      <c r="O1828" t="s">
        <v>1095</v>
      </c>
      <c r="P1828" t="s">
        <v>115</v>
      </c>
      <c r="Q1828" t="s">
        <v>8157</v>
      </c>
      <c r="R1828" s="1">
        <v>20571</v>
      </c>
      <c r="S1828" t="s">
        <v>22</v>
      </c>
      <c r="T1828" t="s">
        <v>16</v>
      </c>
      <c r="U1828" t="s">
        <v>2653</v>
      </c>
      <c r="V1828">
        <v>80000</v>
      </c>
      <c r="W1828">
        <v>1</v>
      </c>
      <c r="X1828" t="s">
        <v>52</v>
      </c>
      <c r="Y1828" t="s">
        <v>53</v>
      </c>
      <c r="Z1828" t="s">
        <v>23</v>
      </c>
      <c r="AA1828" t="s">
        <v>3586</v>
      </c>
      <c r="AB1828" t="s">
        <v>3586</v>
      </c>
      <c r="AC1828" t="s">
        <v>3587</v>
      </c>
      <c r="AD1828" t="s">
        <v>3479</v>
      </c>
      <c r="AE1828" t="s">
        <v>3475</v>
      </c>
      <c r="AF1828" s="2">
        <v>2181.5625</v>
      </c>
      <c r="AG1828" s="2">
        <v>1320.6838</v>
      </c>
      <c r="AH1828" s="2">
        <v>860.87869999999998</v>
      </c>
      <c r="AI1828" s="3">
        <v>0.39461564818793898</v>
      </c>
    </row>
    <row r="1829" spans="1:35">
      <c r="A1829" s="1">
        <v>42229</v>
      </c>
      <c r="B1829" s="1">
        <v>37457</v>
      </c>
      <c r="C1829" t="s">
        <v>5105</v>
      </c>
      <c r="D1829">
        <v>377</v>
      </c>
      <c r="E1829">
        <v>21228</v>
      </c>
      <c r="F1829">
        <v>9</v>
      </c>
      <c r="G1829">
        <v>1</v>
      </c>
      <c r="H1829">
        <v>1</v>
      </c>
      <c r="I1829">
        <v>2</v>
      </c>
      <c r="J1829" t="s">
        <v>3559</v>
      </c>
      <c r="K1829" t="s">
        <v>3560</v>
      </c>
      <c r="L1829" s="2">
        <v>1320.6838</v>
      </c>
      <c r="M1829" s="2">
        <v>2181.5625</v>
      </c>
      <c r="N1829" t="s">
        <v>30</v>
      </c>
      <c r="O1829" t="s">
        <v>791</v>
      </c>
      <c r="P1829" t="s">
        <v>146</v>
      </c>
      <c r="Q1829" t="s">
        <v>8158</v>
      </c>
      <c r="R1829" s="1">
        <v>19538</v>
      </c>
      <c r="S1829" t="s">
        <v>16</v>
      </c>
      <c r="T1829" t="s">
        <v>29</v>
      </c>
      <c r="U1829" t="s">
        <v>2654</v>
      </c>
      <c r="V1829">
        <v>40000</v>
      </c>
      <c r="W1829">
        <v>2</v>
      </c>
      <c r="X1829" t="s">
        <v>17</v>
      </c>
      <c r="Y1829" t="s">
        <v>45</v>
      </c>
      <c r="Z1829" t="s">
        <v>19</v>
      </c>
      <c r="AA1829" t="s">
        <v>3586</v>
      </c>
      <c r="AB1829" t="s">
        <v>3586</v>
      </c>
      <c r="AC1829" t="s">
        <v>3587</v>
      </c>
      <c r="AD1829" t="s">
        <v>3479</v>
      </c>
      <c r="AE1829" t="s">
        <v>3475</v>
      </c>
      <c r="AF1829" s="2">
        <v>2181.5625</v>
      </c>
      <c r="AG1829" s="2">
        <v>1320.6838</v>
      </c>
      <c r="AH1829" s="2">
        <v>860.87869999999998</v>
      </c>
      <c r="AI1829" s="3">
        <v>0.39461564818793898</v>
      </c>
    </row>
    <row r="1830" spans="1:35">
      <c r="A1830" s="1">
        <v>42246</v>
      </c>
      <c r="B1830" s="1">
        <v>37402</v>
      </c>
      <c r="C1830" t="s">
        <v>5273</v>
      </c>
      <c r="D1830">
        <v>368</v>
      </c>
      <c r="E1830">
        <v>21229</v>
      </c>
      <c r="F1830">
        <v>9</v>
      </c>
      <c r="G1830">
        <v>1</v>
      </c>
      <c r="H1830">
        <v>1</v>
      </c>
      <c r="I1830">
        <v>2</v>
      </c>
      <c r="J1830" t="s">
        <v>3547</v>
      </c>
      <c r="K1830" t="s">
        <v>3548</v>
      </c>
      <c r="L1830" s="2">
        <v>1518.7864</v>
      </c>
      <c r="M1830" s="2">
        <v>2443.35</v>
      </c>
      <c r="N1830" t="s">
        <v>30</v>
      </c>
      <c r="O1830" t="s">
        <v>354</v>
      </c>
      <c r="P1830" t="s">
        <v>476</v>
      </c>
      <c r="Q1830" t="s">
        <v>8159</v>
      </c>
      <c r="R1830" s="1">
        <v>19657</v>
      </c>
      <c r="S1830" t="s">
        <v>22</v>
      </c>
      <c r="T1830" t="s">
        <v>29</v>
      </c>
      <c r="U1830" t="s">
        <v>2655</v>
      </c>
      <c r="V1830">
        <v>40000</v>
      </c>
      <c r="W1830">
        <v>2</v>
      </c>
      <c r="X1830" t="s">
        <v>17</v>
      </c>
      <c r="Y1830" t="s">
        <v>45</v>
      </c>
      <c r="Z1830" t="s">
        <v>19</v>
      </c>
      <c r="AA1830" t="s">
        <v>3586</v>
      </c>
      <c r="AB1830" t="s">
        <v>3586</v>
      </c>
      <c r="AC1830" t="s">
        <v>3587</v>
      </c>
      <c r="AD1830" t="s">
        <v>3479</v>
      </c>
      <c r="AE1830" t="s">
        <v>3475</v>
      </c>
      <c r="AF1830" s="2">
        <v>2443.35</v>
      </c>
      <c r="AG1830" s="2">
        <v>1518.7864</v>
      </c>
      <c r="AH1830" s="2">
        <v>924.56359999999995</v>
      </c>
      <c r="AI1830" s="3">
        <v>0.37839998362903399</v>
      </c>
    </row>
    <row r="1831" spans="1:35">
      <c r="A1831" s="1">
        <v>42225</v>
      </c>
      <c r="B1831" s="1">
        <v>37399</v>
      </c>
      <c r="C1831" t="s">
        <v>5078</v>
      </c>
      <c r="D1831">
        <v>369</v>
      </c>
      <c r="E1831">
        <v>21230</v>
      </c>
      <c r="F1831">
        <v>9</v>
      </c>
      <c r="G1831">
        <v>1</v>
      </c>
      <c r="H1831">
        <v>1</v>
      </c>
      <c r="I1831">
        <v>2</v>
      </c>
      <c r="J1831" t="s">
        <v>3549</v>
      </c>
      <c r="K1831" t="s">
        <v>3550</v>
      </c>
      <c r="L1831" s="2">
        <v>1518.7864</v>
      </c>
      <c r="M1831" s="2">
        <v>2443.35</v>
      </c>
      <c r="N1831" t="s">
        <v>30</v>
      </c>
      <c r="O1831" t="s">
        <v>445</v>
      </c>
      <c r="P1831" t="s">
        <v>293</v>
      </c>
      <c r="Q1831" t="s">
        <v>8160</v>
      </c>
      <c r="R1831" s="1">
        <v>19551</v>
      </c>
      <c r="S1831" t="s">
        <v>16</v>
      </c>
      <c r="T1831" t="s">
        <v>29</v>
      </c>
      <c r="U1831" t="s">
        <v>2656</v>
      </c>
      <c r="V1831">
        <v>40000</v>
      </c>
      <c r="W1831">
        <v>2</v>
      </c>
      <c r="X1831" t="s">
        <v>17</v>
      </c>
      <c r="Y1831" t="s">
        <v>45</v>
      </c>
      <c r="Z1831" t="s">
        <v>19</v>
      </c>
      <c r="AA1831" t="s">
        <v>3586</v>
      </c>
      <c r="AB1831" t="s">
        <v>3586</v>
      </c>
      <c r="AC1831" t="s">
        <v>3587</v>
      </c>
      <c r="AD1831" t="s">
        <v>3479</v>
      </c>
      <c r="AE1831" t="s">
        <v>3475</v>
      </c>
      <c r="AF1831" s="2">
        <v>2443.35</v>
      </c>
      <c r="AG1831" s="2">
        <v>1518.7864</v>
      </c>
      <c r="AH1831" s="2">
        <v>924.56359999999995</v>
      </c>
      <c r="AI1831" s="3">
        <v>0.37839998362903399</v>
      </c>
    </row>
    <row r="1832" spans="1:35">
      <c r="A1832" s="1">
        <v>42243</v>
      </c>
      <c r="B1832" s="1">
        <v>37376</v>
      </c>
      <c r="C1832" t="s">
        <v>5244</v>
      </c>
      <c r="D1832">
        <v>373</v>
      </c>
      <c r="E1832">
        <v>21231</v>
      </c>
      <c r="F1832">
        <v>9</v>
      </c>
      <c r="G1832">
        <v>1</v>
      </c>
      <c r="H1832">
        <v>1</v>
      </c>
      <c r="I1832">
        <v>2</v>
      </c>
      <c r="J1832" t="s">
        <v>3555</v>
      </c>
      <c r="K1832" t="s">
        <v>3556</v>
      </c>
      <c r="L1832" s="2">
        <v>1320.6838</v>
      </c>
      <c r="M1832" s="2">
        <v>2181.5625</v>
      </c>
      <c r="N1832" t="s">
        <v>30</v>
      </c>
      <c r="O1832" t="s">
        <v>116</v>
      </c>
      <c r="P1832" t="s">
        <v>266</v>
      </c>
      <c r="Q1832" t="s">
        <v>8161</v>
      </c>
      <c r="R1832" s="1">
        <v>19369</v>
      </c>
      <c r="S1832" t="s">
        <v>16</v>
      </c>
      <c r="T1832" t="s">
        <v>29</v>
      </c>
      <c r="U1832" t="s">
        <v>2657</v>
      </c>
      <c r="V1832">
        <v>40000</v>
      </c>
      <c r="W1832">
        <v>2</v>
      </c>
      <c r="X1832" t="s">
        <v>17</v>
      </c>
      <c r="Y1832" t="s">
        <v>45</v>
      </c>
      <c r="Z1832" t="s">
        <v>19</v>
      </c>
      <c r="AA1832" t="s">
        <v>3586</v>
      </c>
      <c r="AB1832" t="s">
        <v>3586</v>
      </c>
      <c r="AC1832" t="s">
        <v>3587</v>
      </c>
      <c r="AD1832" t="s">
        <v>3479</v>
      </c>
      <c r="AE1832" t="s">
        <v>3475</v>
      </c>
      <c r="AF1832" s="2">
        <v>2181.5625</v>
      </c>
      <c r="AG1832" s="2">
        <v>1320.6838</v>
      </c>
      <c r="AH1832" s="2">
        <v>860.87869999999998</v>
      </c>
      <c r="AI1832" s="3">
        <v>0.39461564818793898</v>
      </c>
    </row>
    <row r="1833" spans="1:35">
      <c r="A1833" s="1">
        <v>42235</v>
      </c>
      <c r="B1833" s="1">
        <v>37374</v>
      </c>
      <c r="C1833" t="s">
        <v>5168</v>
      </c>
      <c r="D1833">
        <v>371</v>
      </c>
      <c r="E1833">
        <v>21256</v>
      </c>
      <c r="F1833">
        <v>9</v>
      </c>
      <c r="G1833">
        <v>1</v>
      </c>
      <c r="H1833">
        <v>1</v>
      </c>
      <c r="I1833">
        <v>2</v>
      </c>
      <c r="J1833" t="s">
        <v>3553</v>
      </c>
      <c r="K1833" t="s">
        <v>3554</v>
      </c>
      <c r="L1833" s="2">
        <v>1320.6838</v>
      </c>
      <c r="M1833" s="2">
        <v>2181.5625</v>
      </c>
      <c r="N1833" t="s">
        <v>30</v>
      </c>
      <c r="O1833" t="s">
        <v>308</v>
      </c>
      <c r="P1833" t="s">
        <v>25</v>
      </c>
      <c r="Q1833" t="s">
        <v>8162</v>
      </c>
      <c r="R1833" s="1">
        <v>15261</v>
      </c>
      <c r="S1833" t="s">
        <v>16</v>
      </c>
      <c r="T1833" t="s">
        <v>29</v>
      </c>
      <c r="U1833" t="s">
        <v>2658</v>
      </c>
      <c r="V1833">
        <v>40000</v>
      </c>
      <c r="W1833">
        <v>2</v>
      </c>
      <c r="X1833" t="s">
        <v>17</v>
      </c>
      <c r="Y1833" t="s">
        <v>45</v>
      </c>
      <c r="Z1833" t="s">
        <v>19</v>
      </c>
      <c r="AA1833" t="s">
        <v>3586</v>
      </c>
      <c r="AB1833" t="s">
        <v>3586</v>
      </c>
      <c r="AC1833" t="s">
        <v>3587</v>
      </c>
      <c r="AD1833" t="s">
        <v>3479</v>
      </c>
      <c r="AE1833" t="s">
        <v>3475</v>
      </c>
      <c r="AF1833" s="2">
        <v>2181.5625</v>
      </c>
      <c r="AG1833" s="2">
        <v>1320.6838</v>
      </c>
      <c r="AH1833" s="2">
        <v>860.87869999999998</v>
      </c>
      <c r="AI1833" s="3">
        <v>0.39461564818793898</v>
      </c>
    </row>
    <row r="1834" spans="1:35">
      <c r="A1834" s="1">
        <v>42220</v>
      </c>
      <c r="B1834" s="1">
        <v>37377</v>
      </c>
      <c r="C1834" t="s">
        <v>5035</v>
      </c>
      <c r="D1834">
        <v>370</v>
      </c>
      <c r="E1834">
        <v>21257</v>
      </c>
      <c r="F1834">
        <v>9</v>
      </c>
      <c r="G1834">
        <v>1</v>
      </c>
      <c r="H1834">
        <v>1</v>
      </c>
      <c r="I1834">
        <v>2</v>
      </c>
      <c r="J1834" t="s">
        <v>3551</v>
      </c>
      <c r="K1834" t="s">
        <v>3552</v>
      </c>
      <c r="L1834" s="2">
        <v>1518.7864</v>
      </c>
      <c r="M1834" s="2">
        <v>2443.35</v>
      </c>
      <c r="N1834" t="s">
        <v>30</v>
      </c>
      <c r="O1834" t="s">
        <v>1300</v>
      </c>
      <c r="P1834" t="s">
        <v>561</v>
      </c>
      <c r="Q1834" t="s">
        <v>8163</v>
      </c>
      <c r="R1834" s="1">
        <v>15081</v>
      </c>
      <c r="S1834" t="s">
        <v>16</v>
      </c>
      <c r="T1834" t="s">
        <v>29</v>
      </c>
      <c r="U1834" t="s">
        <v>2659</v>
      </c>
      <c r="V1834">
        <v>40000</v>
      </c>
      <c r="W1834">
        <v>2</v>
      </c>
      <c r="X1834" t="s">
        <v>17</v>
      </c>
      <c r="Y1834" t="s">
        <v>45</v>
      </c>
      <c r="Z1834" t="s">
        <v>19</v>
      </c>
      <c r="AA1834" t="s">
        <v>3586</v>
      </c>
      <c r="AB1834" t="s">
        <v>3586</v>
      </c>
      <c r="AC1834" t="s">
        <v>3587</v>
      </c>
      <c r="AD1834" t="s">
        <v>3479</v>
      </c>
      <c r="AE1834" t="s">
        <v>3475</v>
      </c>
      <c r="AF1834" s="2">
        <v>2443.35</v>
      </c>
      <c r="AG1834" s="2">
        <v>1518.7864</v>
      </c>
      <c r="AH1834" s="2">
        <v>924.56359999999995</v>
      </c>
      <c r="AI1834" s="3">
        <v>0.37839998362903399</v>
      </c>
    </row>
    <row r="1835" spans="1:35">
      <c r="A1835" s="1">
        <v>42223</v>
      </c>
      <c r="B1835" s="1">
        <v>37366</v>
      </c>
      <c r="C1835" t="s">
        <v>5059</v>
      </c>
      <c r="D1835">
        <v>371</v>
      </c>
      <c r="E1835">
        <v>21258</v>
      </c>
      <c r="F1835">
        <v>9</v>
      </c>
      <c r="G1835">
        <v>1</v>
      </c>
      <c r="H1835">
        <v>1</v>
      </c>
      <c r="I1835">
        <v>2</v>
      </c>
      <c r="J1835" t="s">
        <v>3553</v>
      </c>
      <c r="K1835" t="s">
        <v>3554</v>
      </c>
      <c r="L1835" s="2">
        <v>1320.6838</v>
      </c>
      <c r="M1835" s="2">
        <v>2181.5625</v>
      </c>
      <c r="N1835" t="s">
        <v>13</v>
      </c>
      <c r="O1835" t="s">
        <v>316</v>
      </c>
      <c r="P1835" t="s">
        <v>157</v>
      </c>
      <c r="Q1835" t="s">
        <v>8164</v>
      </c>
      <c r="R1835" s="1">
        <v>16032</v>
      </c>
      <c r="S1835" t="s">
        <v>22</v>
      </c>
      <c r="T1835" t="s">
        <v>16</v>
      </c>
      <c r="U1835" t="s">
        <v>2660</v>
      </c>
      <c r="V1835">
        <v>40000</v>
      </c>
      <c r="W1835">
        <v>2</v>
      </c>
      <c r="X1835" t="s">
        <v>17</v>
      </c>
      <c r="Y1835" t="s">
        <v>45</v>
      </c>
      <c r="Z1835" t="s">
        <v>19</v>
      </c>
      <c r="AA1835" t="s">
        <v>3586</v>
      </c>
      <c r="AB1835" t="s">
        <v>3586</v>
      </c>
      <c r="AC1835" t="s">
        <v>3587</v>
      </c>
      <c r="AD1835" t="s">
        <v>3479</v>
      </c>
      <c r="AE1835" t="s">
        <v>3475</v>
      </c>
      <c r="AF1835" s="2">
        <v>2181.5625</v>
      </c>
      <c r="AG1835" s="2">
        <v>1320.6838</v>
      </c>
      <c r="AH1835" s="2">
        <v>860.87869999999998</v>
      </c>
      <c r="AI1835" s="3">
        <v>0.39461564818793898</v>
      </c>
    </row>
    <row r="1836" spans="1:35">
      <c r="A1836" s="1">
        <v>42226</v>
      </c>
      <c r="B1836" s="1">
        <v>37433</v>
      </c>
      <c r="C1836" t="s">
        <v>5086</v>
      </c>
      <c r="D1836">
        <v>377</v>
      </c>
      <c r="E1836">
        <v>21259</v>
      </c>
      <c r="F1836">
        <v>9</v>
      </c>
      <c r="G1836">
        <v>1</v>
      </c>
      <c r="H1836">
        <v>1</v>
      </c>
      <c r="I1836">
        <v>2</v>
      </c>
      <c r="J1836" t="s">
        <v>3559</v>
      </c>
      <c r="K1836" t="s">
        <v>3560</v>
      </c>
      <c r="L1836" s="2">
        <v>1320.6838</v>
      </c>
      <c r="M1836" s="2">
        <v>2181.5625</v>
      </c>
      <c r="N1836" t="s">
        <v>13</v>
      </c>
      <c r="O1836" t="s">
        <v>41</v>
      </c>
      <c r="P1836" t="s">
        <v>223</v>
      </c>
      <c r="Q1836" t="s">
        <v>8165</v>
      </c>
      <c r="R1836" s="1">
        <v>15912</v>
      </c>
      <c r="S1836" t="s">
        <v>22</v>
      </c>
      <c r="T1836" t="s">
        <v>16</v>
      </c>
      <c r="U1836" t="s">
        <v>2661</v>
      </c>
      <c r="V1836">
        <v>60000</v>
      </c>
      <c r="W1836">
        <v>2</v>
      </c>
      <c r="X1836" t="s">
        <v>135</v>
      </c>
      <c r="Y1836" t="s">
        <v>45</v>
      </c>
      <c r="Z1836" t="s">
        <v>19</v>
      </c>
      <c r="AA1836" t="s">
        <v>3586</v>
      </c>
      <c r="AB1836" t="s">
        <v>3586</v>
      </c>
      <c r="AC1836" t="s">
        <v>3587</v>
      </c>
      <c r="AD1836" t="s">
        <v>3479</v>
      </c>
      <c r="AE1836" t="s">
        <v>3475</v>
      </c>
      <c r="AF1836" s="2">
        <v>2181.5625</v>
      </c>
      <c r="AG1836" s="2">
        <v>1320.6838</v>
      </c>
      <c r="AH1836" s="2">
        <v>860.87869999999998</v>
      </c>
      <c r="AI1836" s="3">
        <v>0.39461564818793898</v>
      </c>
    </row>
    <row r="1837" spans="1:35">
      <c r="A1837" s="1">
        <v>42233</v>
      </c>
      <c r="B1837" s="1">
        <v>37465</v>
      </c>
      <c r="C1837" t="s">
        <v>5150</v>
      </c>
      <c r="D1837">
        <v>369</v>
      </c>
      <c r="E1837">
        <v>21359</v>
      </c>
      <c r="F1837">
        <v>9</v>
      </c>
      <c r="G1837">
        <v>1</v>
      </c>
      <c r="H1837">
        <v>1</v>
      </c>
      <c r="I1837">
        <v>2</v>
      </c>
      <c r="J1837" t="s">
        <v>3549</v>
      </c>
      <c r="K1837" t="s">
        <v>3550</v>
      </c>
      <c r="L1837" s="2">
        <v>1518.7864</v>
      </c>
      <c r="M1837" s="2">
        <v>2443.35</v>
      </c>
      <c r="N1837" t="s">
        <v>13</v>
      </c>
      <c r="O1837" t="s">
        <v>700</v>
      </c>
      <c r="P1837" t="s">
        <v>159</v>
      </c>
      <c r="Q1837" t="s">
        <v>8166</v>
      </c>
      <c r="R1837" s="1">
        <v>16949</v>
      </c>
      <c r="S1837" t="s">
        <v>16</v>
      </c>
      <c r="T1837" t="s">
        <v>16</v>
      </c>
      <c r="U1837" t="s">
        <v>2662</v>
      </c>
      <c r="V1837">
        <v>30000</v>
      </c>
      <c r="W1837">
        <v>2</v>
      </c>
      <c r="X1837" t="s">
        <v>52</v>
      </c>
      <c r="Y1837" t="s">
        <v>60</v>
      </c>
      <c r="Z1837" t="s">
        <v>23</v>
      </c>
      <c r="AA1837" t="s">
        <v>3586</v>
      </c>
      <c r="AB1837" t="s">
        <v>3586</v>
      </c>
      <c r="AC1837" t="s">
        <v>3587</v>
      </c>
      <c r="AD1837" t="s">
        <v>3479</v>
      </c>
      <c r="AE1837" t="s">
        <v>3475</v>
      </c>
      <c r="AF1837" s="2">
        <v>2443.35</v>
      </c>
      <c r="AG1837" s="2">
        <v>1518.7864</v>
      </c>
      <c r="AH1837" s="2">
        <v>924.56359999999995</v>
      </c>
      <c r="AI1837" s="3">
        <v>0.37839998362903399</v>
      </c>
    </row>
    <row r="1838" spans="1:35">
      <c r="A1838" s="1">
        <v>42234</v>
      </c>
      <c r="B1838" s="1">
        <v>37387</v>
      </c>
      <c r="C1838" t="s">
        <v>5159</v>
      </c>
      <c r="D1838">
        <v>369</v>
      </c>
      <c r="E1838">
        <v>21361</v>
      </c>
      <c r="F1838">
        <v>9</v>
      </c>
      <c r="G1838">
        <v>1</v>
      </c>
      <c r="H1838">
        <v>1</v>
      </c>
      <c r="I1838">
        <v>2</v>
      </c>
      <c r="J1838" t="s">
        <v>3549</v>
      </c>
      <c r="K1838" t="s">
        <v>3550</v>
      </c>
      <c r="L1838" s="2">
        <v>1518.7864</v>
      </c>
      <c r="M1838" s="2">
        <v>2443.35</v>
      </c>
      <c r="N1838" t="s">
        <v>13</v>
      </c>
      <c r="O1838" t="s">
        <v>358</v>
      </c>
      <c r="P1838" t="s">
        <v>317</v>
      </c>
      <c r="Q1838" t="s">
        <v>8167</v>
      </c>
      <c r="R1838" s="1">
        <v>17242</v>
      </c>
      <c r="S1838" t="s">
        <v>16</v>
      </c>
      <c r="T1838" t="s">
        <v>16</v>
      </c>
      <c r="U1838" t="s">
        <v>2663</v>
      </c>
      <c r="V1838">
        <v>30000</v>
      </c>
      <c r="W1838">
        <v>2</v>
      </c>
      <c r="X1838" t="s">
        <v>52</v>
      </c>
      <c r="Y1838" t="s">
        <v>60</v>
      </c>
      <c r="Z1838" t="s">
        <v>23</v>
      </c>
      <c r="AA1838" t="s">
        <v>3586</v>
      </c>
      <c r="AB1838" t="s">
        <v>3586</v>
      </c>
      <c r="AC1838" t="s">
        <v>3587</v>
      </c>
      <c r="AD1838" t="s">
        <v>3479</v>
      </c>
      <c r="AE1838" t="s">
        <v>3475</v>
      </c>
      <c r="AF1838" s="2">
        <v>2443.35</v>
      </c>
      <c r="AG1838" s="2">
        <v>1518.7864</v>
      </c>
      <c r="AH1838" s="2">
        <v>924.56359999999995</v>
      </c>
      <c r="AI1838" s="3">
        <v>0.37839998362903399</v>
      </c>
    </row>
    <row r="1839" spans="1:35">
      <c r="A1839" s="1">
        <v>42233</v>
      </c>
      <c r="B1839" s="1">
        <v>37427</v>
      </c>
      <c r="C1839" t="s">
        <v>5144</v>
      </c>
      <c r="D1839">
        <v>370</v>
      </c>
      <c r="E1839">
        <v>21379</v>
      </c>
      <c r="F1839">
        <v>9</v>
      </c>
      <c r="G1839">
        <v>1</v>
      </c>
      <c r="H1839">
        <v>1</v>
      </c>
      <c r="I1839">
        <v>2</v>
      </c>
      <c r="J1839" t="s">
        <v>3551</v>
      </c>
      <c r="K1839" t="s">
        <v>3552</v>
      </c>
      <c r="L1839" s="2">
        <v>1518.7864</v>
      </c>
      <c r="M1839" s="2">
        <v>2443.35</v>
      </c>
      <c r="N1839" t="s">
        <v>30</v>
      </c>
      <c r="O1839" t="s">
        <v>564</v>
      </c>
      <c r="P1839" t="s">
        <v>21</v>
      </c>
      <c r="Q1839" t="s">
        <v>8168</v>
      </c>
      <c r="R1839" s="1">
        <v>18361</v>
      </c>
      <c r="S1839" t="s">
        <v>16</v>
      </c>
      <c r="T1839" t="s">
        <v>29</v>
      </c>
      <c r="U1839" t="s">
        <v>2664</v>
      </c>
      <c r="V1839">
        <v>30000</v>
      </c>
      <c r="W1839">
        <v>3</v>
      </c>
      <c r="X1839" t="s">
        <v>52</v>
      </c>
      <c r="Y1839" t="s">
        <v>60</v>
      </c>
      <c r="Z1839" t="s">
        <v>23</v>
      </c>
      <c r="AA1839" t="s">
        <v>3586</v>
      </c>
      <c r="AB1839" t="s">
        <v>3586</v>
      </c>
      <c r="AC1839" t="s">
        <v>3587</v>
      </c>
      <c r="AD1839" t="s">
        <v>3479</v>
      </c>
      <c r="AE1839" t="s">
        <v>3475</v>
      </c>
      <c r="AF1839" s="2">
        <v>2443.35</v>
      </c>
      <c r="AG1839" s="2">
        <v>1518.7864</v>
      </c>
      <c r="AH1839" s="2">
        <v>924.56359999999995</v>
      </c>
      <c r="AI1839" s="3">
        <v>0.37839998362903399</v>
      </c>
    </row>
    <row r="1840" spans="1:35">
      <c r="A1840" s="1">
        <v>42230</v>
      </c>
      <c r="B1840" s="1">
        <v>37417</v>
      </c>
      <c r="C1840" t="s">
        <v>5117</v>
      </c>
      <c r="D1840">
        <v>379</v>
      </c>
      <c r="E1840">
        <v>21380</v>
      </c>
      <c r="F1840">
        <v>9</v>
      </c>
      <c r="G1840">
        <v>1</v>
      </c>
      <c r="H1840">
        <v>1</v>
      </c>
      <c r="I1840">
        <v>2</v>
      </c>
      <c r="J1840" t="s">
        <v>3561</v>
      </c>
      <c r="K1840" t="s">
        <v>3562</v>
      </c>
      <c r="L1840" s="2">
        <v>1320.6838</v>
      </c>
      <c r="M1840" s="2">
        <v>2181.5625</v>
      </c>
      <c r="N1840" t="s">
        <v>30</v>
      </c>
      <c r="O1840" t="s">
        <v>208</v>
      </c>
      <c r="P1840" t="s">
        <v>207</v>
      </c>
      <c r="Q1840" t="s">
        <v>8169</v>
      </c>
      <c r="R1840" s="1">
        <v>18418</v>
      </c>
      <c r="S1840" t="s">
        <v>16</v>
      </c>
      <c r="T1840" t="s">
        <v>29</v>
      </c>
      <c r="U1840" t="s">
        <v>2665</v>
      </c>
      <c r="V1840">
        <v>30000</v>
      </c>
      <c r="W1840">
        <v>3</v>
      </c>
      <c r="X1840" t="s">
        <v>52</v>
      </c>
      <c r="Y1840" t="s">
        <v>60</v>
      </c>
      <c r="Z1840" t="s">
        <v>23</v>
      </c>
      <c r="AA1840" t="s">
        <v>3586</v>
      </c>
      <c r="AB1840" t="s">
        <v>3586</v>
      </c>
      <c r="AC1840" t="s">
        <v>3587</v>
      </c>
      <c r="AD1840" t="s">
        <v>3479</v>
      </c>
      <c r="AE1840" t="s">
        <v>3475</v>
      </c>
      <c r="AF1840" s="2">
        <v>2181.5625</v>
      </c>
      <c r="AG1840" s="2">
        <v>1320.6838</v>
      </c>
      <c r="AH1840" s="2">
        <v>860.87869999999998</v>
      </c>
      <c r="AI1840" s="3">
        <v>0.39461564818793898</v>
      </c>
    </row>
    <row r="1841" spans="1:35">
      <c r="A1841" s="1">
        <v>42236</v>
      </c>
      <c r="B1841" s="1">
        <v>37464</v>
      </c>
      <c r="C1841" t="s">
        <v>5182</v>
      </c>
      <c r="D1841">
        <v>371</v>
      </c>
      <c r="E1841">
        <v>21384</v>
      </c>
      <c r="F1841">
        <v>9</v>
      </c>
      <c r="G1841">
        <v>1</v>
      </c>
      <c r="H1841">
        <v>1</v>
      </c>
      <c r="I1841">
        <v>2</v>
      </c>
      <c r="J1841" t="s">
        <v>3553</v>
      </c>
      <c r="K1841" t="s">
        <v>3554</v>
      </c>
      <c r="L1841" s="2">
        <v>1320.6838</v>
      </c>
      <c r="M1841" s="2">
        <v>2181.5625</v>
      </c>
      <c r="N1841" t="s">
        <v>13</v>
      </c>
      <c r="O1841" t="s">
        <v>1290</v>
      </c>
      <c r="P1841" t="s">
        <v>212</v>
      </c>
      <c r="Q1841" t="s">
        <v>8170</v>
      </c>
      <c r="R1841" s="1">
        <v>18956</v>
      </c>
      <c r="S1841" t="s">
        <v>16</v>
      </c>
      <c r="T1841" t="s">
        <v>16</v>
      </c>
      <c r="U1841" t="s">
        <v>2666</v>
      </c>
      <c r="V1841">
        <v>30000</v>
      </c>
      <c r="W1841">
        <v>3</v>
      </c>
      <c r="X1841" t="s">
        <v>57</v>
      </c>
      <c r="Y1841" t="s">
        <v>53</v>
      </c>
      <c r="Z1841" t="s">
        <v>23</v>
      </c>
      <c r="AA1841" t="s">
        <v>3586</v>
      </c>
      <c r="AB1841" t="s">
        <v>3586</v>
      </c>
      <c r="AC1841" t="s">
        <v>3587</v>
      </c>
      <c r="AD1841" t="s">
        <v>3479</v>
      </c>
      <c r="AE1841" t="s">
        <v>3475</v>
      </c>
      <c r="AF1841" s="2">
        <v>2181.5625</v>
      </c>
      <c r="AG1841" s="2">
        <v>1320.6838</v>
      </c>
      <c r="AH1841" s="2">
        <v>860.87869999999998</v>
      </c>
      <c r="AI1841" s="3">
        <v>0.39461564818793898</v>
      </c>
    </row>
    <row r="1842" spans="1:35">
      <c r="A1842" s="1">
        <v>42222</v>
      </c>
      <c r="B1842" s="1">
        <v>37401</v>
      </c>
      <c r="C1842" t="s">
        <v>5057</v>
      </c>
      <c r="D1842">
        <v>373</v>
      </c>
      <c r="E1842">
        <v>21387</v>
      </c>
      <c r="F1842">
        <v>9</v>
      </c>
      <c r="G1842">
        <v>1</v>
      </c>
      <c r="H1842">
        <v>1</v>
      </c>
      <c r="I1842">
        <v>2</v>
      </c>
      <c r="J1842" t="s">
        <v>3555</v>
      </c>
      <c r="K1842" t="s">
        <v>3556</v>
      </c>
      <c r="L1842" s="2">
        <v>1320.6838</v>
      </c>
      <c r="M1842" s="2">
        <v>2181.5625</v>
      </c>
      <c r="N1842" t="s">
        <v>13</v>
      </c>
      <c r="O1842" t="s">
        <v>203</v>
      </c>
      <c r="P1842" t="s">
        <v>136</v>
      </c>
      <c r="Q1842" t="s">
        <v>8171</v>
      </c>
      <c r="R1842" s="1">
        <v>18965</v>
      </c>
      <c r="S1842" t="s">
        <v>22</v>
      </c>
      <c r="T1842" t="s">
        <v>16</v>
      </c>
      <c r="U1842" t="s">
        <v>2667</v>
      </c>
      <c r="V1842">
        <v>30000</v>
      </c>
      <c r="W1842">
        <v>3</v>
      </c>
      <c r="X1842" t="s">
        <v>57</v>
      </c>
      <c r="Y1842" t="s">
        <v>53</v>
      </c>
      <c r="Z1842" t="s">
        <v>19</v>
      </c>
      <c r="AA1842" t="s">
        <v>3586</v>
      </c>
      <c r="AB1842" t="s">
        <v>3586</v>
      </c>
      <c r="AC1842" t="s">
        <v>3587</v>
      </c>
      <c r="AD1842" t="s">
        <v>3479</v>
      </c>
      <c r="AE1842" t="s">
        <v>3475</v>
      </c>
      <c r="AF1842" s="2">
        <v>2181.5625</v>
      </c>
      <c r="AG1842" s="2">
        <v>1320.6838</v>
      </c>
      <c r="AH1842" s="2">
        <v>860.87869999999998</v>
      </c>
      <c r="AI1842" s="3">
        <v>0.39461564818793898</v>
      </c>
    </row>
    <row r="1843" spans="1:35">
      <c r="A1843" s="1">
        <v>42224</v>
      </c>
      <c r="B1843" s="1">
        <v>37380</v>
      </c>
      <c r="C1843" t="s">
        <v>5075</v>
      </c>
      <c r="D1843">
        <v>379</v>
      </c>
      <c r="E1843">
        <v>21389</v>
      </c>
      <c r="F1843">
        <v>9</v>
      </c>
      <c r="G1843">
        <v>1</v>
      </c>
      <c r="H1843">
        <v>1</v>
      </c>
      <c r="I1843">
        <v>2</v>
      </c>
      <c r="J1843" t="s">
        <v>3561</v>
      </c>
      <c r="K1843" t="s">
        <v>3562</v>
      </c>
      <c r="L1843" s="2">
        <v>1320.6838</v>
      </c>
      <c r="M1843" s="2">
        <v>2181.5625</v>
      </c>
      <c r="N1843" t="s">
        <v>30</v>
      </c>
      <c r="O1843" t="s">
        <v>802</v>
      </c>
      <c r="P1843" t="s">
        <v>470</v>
      </c>
      <c r="Q1843" t="s">
        <v>8172</v>
      </c>
      <c r="R1843" s="1">
        <v>19342</v>
      </c>
      <c r="S1843" t="s">
        <v>16</v>
      </c>
      <c r="T1843" t="s">
        <v>29</v>
      </c>
      <c r="U1843" t="s">
        <v>2668</v>
      </c>
      <c r="V1843">
        <v>30000</v>
      </c>
      <c r="W1843">
        <v>3</v>
      </c>
      <c r="X1843" t="s">
        <v>57</v>
      </c>
      <c r="Y1843" t="s">
        <v>53</v>
      </c>
      <c r="Z1843" t="s">
        <v>23</v>
      </c>
      <c r="AA1843" t="s">
        <v>3586</v>
      </c>
      <c r="AB1843" t="s">
        <v>3586</v>
      </c>
      <c r="AC1843" t="s">
        <v>3587</v>
      </c>
      <c r="AD1843" t="s">
        <v>3479</v>
      </c>
      <c r="AE1843" t="s">
        <v>3475</v>
      </c>
      <c r="AF1843" s="2">
        <v>2181.5625</v>
      </c>
      <c r="AG1843" s="2">
        <v>1320.6838</v>
      </c>
      <c r="AH1843" s="2">
        <v>860.87869999999998</v>
      </c>
      <c r="AI1843" s="3">
        <v>0.39461564818793898</v>
      </c>
    </row>
    <row r="1844" spans="1:35">
      <c r="A1844" s="1">
        <v>42222</v>
      </c>
      <c r="B1844" s="1">
        <v>37422</v>
      </c>
      <c r="C1844" t="s">
        <v>5048</v>
      </c>
      <c r="D1844">
        <v>370</v>
      </c>
      <c r="E1844">
        <v>21393</v>
      </c>
      <c r="F1844">
        <v>9</v>
      </c>
      <c r="G1844">
        <v>1</v>
      </c>
      <c r="H1844">
        <v>1</v>
      </c>
      <c r="I1844">
        <v>2</v>
      </c>
      <c r="J1844" t="s">
        <v>3551</v>
      </c>
      <c r="K1844" t="s">
        <v>3552</v>
      </c>
      <c r="L1844" s="2">
        <v>1518.7864</v>
      </c>
      <c r="M1844" s="2">
        <v>2443.35</v>
      </c>
      <c r="N1844" t="s">
        <v>30</v>
      </c>
      <c r="O1844" t="s">
        <v>208</v>
      </c>
      <c r="P1844" t="s">
        <v>163</v>
      </c>
      <c r="Q1844" t="s">
        <v>8173</v>
      </c>
      <c r="R1844" s="1">
        <v>19842</v>
      </c>
      <c r="S1844" t="s">
        <v>22</v>
      </c>
      <c r="T1844" t="s">
        <v>29</v>
      </c>
      <c r="U1844" t="s">
        <v>2669</v>
      </c>
      <c r="V1844">
        <v>70000</v>
      </c>
      <c r="W1844">
        <v>2</v>
      </c>
      <c r="X1844" t="s">
        <v>52</v>
      </c>
      <c r="Y1844" t="s">
        <v>53</v>
      </c>
      <c r="Z1844" t="s">
        <v>23</v>
      </c>
      <c r="AA1844" t="s">
        <v>3586</v>
      </c>
      <c r="AB1844" t="s">
        <v>3586</v>
      </c>
      <c r="AC1844" t="s">
        <v>3587</v>
      </c>
      <c r="AD1844" t="s">
        <v>3479</v>
      </c>
      <c r="AE1844" t="s">
        <v>3475</v>
      </c>
      <c r="AF1844" s="2">
        <v>2443.35</v>
      </c>
      <c r="AG1844" s="2">
        <v>1518.7864</v>
      </c>
      <c r="AH1844" s="2">
        <v>924.56359999999995</v>
      </c>
      <c r="AI1844" s="3">
        <v>0.37839998362903399</v>
      </c>
    </row>
    <row r="1845" spans="1:35">
      <c r="A1845" s="1">
        <v>42219</v>
      </c>
      <c r="B1845" s="1">
        <v>37436</v>
      </c>
      <c r="C1845" t="s">
        <v>5028</v>
      </c>
      <c r="D1845">
        <v>377</v>
      </c>
      <c r="E1845">
        <v>21394</v>
      </c>
      <c r="F1845">
        <v>9</v>
      </c>
      <c r="G1845">
        <v>1</v>
      </c>
      <c r="H1845">
        <v>1</v>
      </c>
      <c r="I1845">
        <v>2</v>
      </c>
      <c r="J1845" t="s">
        <v>3559</v>
      </c>
      <c r="K1845" t="s">
        <v>3560</v>
      </c>
      <c r="L1845" s="2">
        <v>1320.6838</v>
      </c>
      <c r="M1845" s="2">
        <v>2181.5625</v>
      </c>
      <c r="N1845" t="s">
        <v>30</v>
      </c>
      <c r="O1845" t="s">
        <v>687</v>
      </c>
      <c r="P1845" t="s">
        <v>707</v>
      </c>
      <c r="Q1845" t="s">
        <v>8174</v>
      </c>
      <c r="R1845" s="1">
        <v>20052</v>
      </c>
      <c r="S1845" t="s">
        <v>22</v>
      </c>
      <c r="T1845" t="s">
        <v>29</v>
      </c>
      <c r="U1845" t="s">
        <v>2670</v>
      </c>
      <c r="V1845">
        <v>70000</v>
      </c>
      <c r="W1845">
        <v>2</v>
      </c>
      <c r="X1845" t="s">
        <v>52</v>
      </c>
      <c r="Y1845" t="s">
        <v>53</v>
      </c>
      <c r="Z1845" t="s">
        <v>19</v>
      </c>
      <c r="AA1845" t="s">
        <v>3586</v>
      </c>
      <c r="AB1845" t="s">
        <v>3586</v>
      </c>
      <c r="AC1845" t="s">
        <v>3587</v>
      </c>
      <c r="AD1845" t="s">
        <v>3479</v>
      </c>
      <c r="AE1845" t="s">
        <v>3475</v>
      </c>
      <c r="AF1845" s="2">
        <v>2181.5625</v>
      </c>
      <c r="AG1845" s="2">
        <v>1320.6838</v>
      </c>
      <c r="AH1845" s="2">
        <v>860.87869999999998</v>
      </c>
      <c r="AI1845" s="3">
        <v>0.39461564818793898</v>
      </c>
    </row>
    <row r="1846" spans="1:35">
      <c r="A1846" s="1">
        <v>42239</v>
      </c>
      <c r="B1846" s="1">
        <v>37454</v>
      </c>
      <c r="C1846" t="s">
        <v>5208</v>
      </c>
      <c r="D1846">
        <v>375</v>
      </c>
      <c r="E1846">
        <v>21402</v>
      </c>
      <c r="F1846">
        <v>9</v>
      </c>
      <c r="G1846">
        <v>1</v>
      </c>
      <c r="H1846">
        <v>1</v>
      </c>
      <c r="I1846">
        <v>2</v>
      </c>
      <c r="J1846" t="s">
        <v>3557</v>
      </c>
      <c r="K1846" t="s">
        <v>3558</v>
      </c>
      <c r="L1846" s="2">
        <v>1320.6838</v>
      </c>
      <c r="M1846" s="2">
        <v>2181.5625</v>
      </c>
      <c r="N1846" t="s">
        <v>13</v>
      </c>
      <c r="O1846" t="s">
        <v>646</v>
      </c>
      <c r="P1846" t="s">
        <v>64</v>
      </c>
      <c r="Q1846" t="s">
        <v>8175</v>
      </c>
      <c r="R1846" s="1">
        <v>20633</v>
      </c>
      <c r="S1846" t="s">
        <v>16</v>
      </c>
      <c r="T1846" t="s">
        <v>16</v>
      </c>
      <c r="U1846" t="s">
        <v>2671</v>
      </c>
      <c r="V1846">
        <v>80000</v>
      </c>
      <c r="W1846">
        <v>2</v>
      </c>
      <c r="X1846" t="s">
        <v>57</v>
      </c>
      <c r="Y1846" t="s">
        <v>53</v>
      </c>
      <c r="Z1846" t="s">
        <v>23</v>
      </c>
      <c r="AA1846" t="s">
        <v>3586</v>
      </c>
      <c r="AB1846" t="s">
        <v>3586</v>
      </c>
      <c r="AC1846" t="s">
        <v>3587</v>
      </c>
      <c r="AD1846" t="s">
        <v>3479</v>
      </c>
      <c r="AE1846" t="s">
        <v>3475</v>
      </c>
      <c r="AF1846" s="2">
        <v>2181.5625</v>
      </c>
      <c r="AG1846" s="2">
        <v>1320.6838</v>
      </c>
      <c r="AH1846" s="2">
        <v>860.87869999999998</v>
      </c>
      <c r="AI1846" s="3">
        <v>0.39461564818793898</v>
      </c>
    </row>
    <row r="1847" spans="1:35">
      <c r="A1847" s="1">
        <v>42228</v>
      </c>
      <c r="B1847" s="1">
        <v>37382</v>
      </c>
      <c r="C1847" t="s">
        <v>5101</v>
      </c>
      <c r="D1847">
        <v>369</v>
      </c>
      <c r="E1847">
        <v>21403</v>
      </c>
      <c r="F1847">
        <v>9</v>
      </c>
      <c r="G1847">
        <v>1</v>
      </c>
      <c r="H1847">
        <v>1</v>
      </c>
      <c r="I1847">
        <v>2</v>
      </c>
      <c r="J1847" t="s">
        <v>3549</v>
      </c>
      <c r="K1847" t="s">
        <v>3550</v>
      </c>
      <c r="L1847" s="2">
        <v>1518.7864</v>
      </c>
      <c r="M1847" s="2">
        <v>2443.35</v>
      </c>
      <c r="N1847" t="s">
        <v>13</v>
      </c>
      <c r="O1847" t="s">
        <v>356</v>
      </c>
      <c r="P1847" t="s">
        <v>454</v>
      </c>
      <c r="Q1847" t="s">
        <v>8176</v>
      </c>
      <c r="R1847" s="1">
        <v>21112</v>
      </c>
      <c r="S1847" t="s">
        <v>22</v>
      </c>
      <c r="T1847" t="s">
        <v>16</v>
      </c>
      <c r="U1847" t="s">
        <v>2672</v>
      </c>
      <c r="V1847">
        <v>70000</v>
      </c>
      <c r="W1847">
        <v>2</v>
      </c>
      <c r="X1847" t="s">
        <v>57</v>
      </c>
      <c r="Y1847" t="s">
        <v>18</v>
      </c>
      <c r="Z1847" t="s">
        <v>23</v>
      </c>
      <c r="AA1847" t="s">
        <v>3586</v>
      </c>
      <c r="AB1847" t="s">
        <v>3586</v>
      </c>
      <c r="AC1847" t="s">
        <v>3587</v>
      </c>
      <c r="AD1847" t="s">
        <v>3479</v>
      </c>
      <c r="AE1847" t="s">
        <v>3475</v>
      </c>
      <c r="AF1847" s="2">
        <v>2443.35</v>
      </c>
      <c r="AG1847" s="2">
        <v>1518.7864</v>
      </c>
      <c r="AH1847" s="2">
        <v>924.56359999999995</v>
      </c>
      <c r="AI1847" s="3">
        <v>0.37839998362903399</v>
      </c>
    </row>
    <row r="1848" spans="1:35">
      <c r="A1848" s="1">
        <v>42240</v>
      </c>
      <c r="B1848" s="1">
        <v>37439</v>
      </c>
      <c r="C1848" t="s">
        <v>5217</v>
      </c>
      <c r="D1848">
        <v>379</v>
      </c>
      <c r="E1848">
        <v>21404</v>
      </c>
      <c r="F1848">
        <v>9</v>
      </c>
      <c r="G1848">
        <v>1</v>
      </c>
      <c r="H1848">
        <v>1</v>
      </c>
      <c r="I1848">
        <v>2</v>
      </c>
      <c r="J1848" t="s">
        <v>3561</v>
      </c>
      <c r="K1848" t="s">
        <v>3562</v>
      </c>
      <c r="L1848" s="2">
        <v>1320.6838</v>
      </c>
      <c r="M1848" s="2">
        <v>2181.5625</v>
      </c>
      <c r="N1848" t="s">
        <v>13</v>
      </c>
      <c r="O1848" t="s">
        <v>33</v>
      </c>
      <c r="P1848" t="s">
        <v>538</v>
      </c>
      <c r="Q1848" t="s">
        <v>8177</v>
      </c>
      <c r="R1848" s="1">
        <v>20990</v>
      </c>
      <c r="S1848" t="s">
        <v>22</v>
      </c>
      <c r="T1848" t="s">
        <v>16</v>
      </c>
      <c r="U1848" t="s">
        <v>2673</v>
      </c>
      <c r="V1848">
        <v>70000</v>
      </c>
      <c r="W1848">
        <v>2</v>
      </c>
      <c r="X1848" t="s">
        <v>57</v>
      </c>
      <c r="Y1848" t="s">
        <v>18</v>
      </c>
      <c r="Z1848" t="s">
        <v>23</v>
      </c>
      <c r="AA1848" t="s">
        <v>3586</v>
      </c>
      <c r="AB1848" t="s">
        <v>3586</v>
      </c>
      <c r="AC1848" t="s">
        <v>3587</v>
      </c>
      <c r="AD1848" t="s">
        <v>3479</v>
      </c>
      <c r="AE1848" t="s">
        <v>3475</v>
      </c>
      <c r="AF1848" s="2">
        <v>2181.5625</v>
      </c>
      <c r="AG1848" s="2">
        <v>1320.6838</v>
      </c>
      <c r="AH1848" s="2">
        <v>860.87869999999998</v>
      </c>
      <c r="AI1848" s="3">
        <v>0.39461564818793898</v>
      </c>
    </row>
    <row r="1849" spans="1:35">
      <c r="A1849" s="1">
        <v>42228</v>
      </c>
      <c r="B1849" s="1">
        <v>37388</v>
      </c>
      <c r="C1849" t="s">
        <v>5098</v>
      </c>
      <c r="D1849">
        <v>375</v>
      </c>
      <c r="E1849">
        <v>21408</v>
      </c>
      <c r="F1849">
        <v>9</v>
      </c>
      <c r="G1849">
        <v>1</v>
      </c>
      <c r="H1849">
        <v>1</v>
      </c>
      <c r="I1849">
        <v>2</v>
      </c>
      <c r="J1849" t="s">
        <v>3557</v>
      </c>
      <c r="K1849" t="s">
        <v>3558</v>
      </c>
      <c r="L1849" s="2">
        <v>1320.6838</v>
      </c>
      <c r="M1849" s="2">
        <v>2181.5625</v>
      </c>
      <c r="N1849" t="s">
        <v>30</v>
      </c>
      <c r="O1849" t="s">
        <v>1370</v>
      </c>
      <c r="P1849" t="s">
        <v>686</v>
      </c>
      <c r="Q1849" t="s">
        <v>8178</v>
      </c>
      <c r="R1849" s="1">
        <v>21707</v>
      </c>
      <c r="S1849" t="s">
        <v>16</v>
      </c>
      <c r="T1849" t="s">
        <v>29</v>
      </c>
      <c r="U1849" t="s">
        <v>2674</v>
      </c>
      <c r="V1849">
        <v>110000</v>
      </c>
      <c r="W1849">
        <v>4</v>
      </c>
      <c r="X1849" t="s">
        <v>17</v>
      </c>
      <c r="Y1849" t="s">
        <v>45</v>
      </c>
      <c r="Z1849" t="s">
        <v>19</v>
      </c>
      <c r="AA1849" t="s">
        <v>3586</v>
      </c>
      <c r="AB1849" t="s">
        <v>3586</v>
      </c>
      <c r="AC1849" t="s">
        <v>3587</v>
      </c>
      <c r="AD1849" t="s">
        <v>3479</v>
      </c>
      <c r="AE1849" t="s">
        <v>3475</v>
      </c>
      <c r="AF1849" s="2">
        <v>2181.5625</v>
      </c>
      <c r="AG1849" s="2">
        <v>1320.6838</v>
      </c>
      <c r="AH1849" s="2">
        <v>860.87869999999998</v>
      </c>
      <c r="AI1849" s="3">
        <v>0.39461564818793898</v>
      </c>
    </row>
    <row r="1850" spans="1:35">
      <c r="A1850" s="1">
        <v>42228</v>
      </c>
      <c r="B1850" s="1">
        <v>37452</v>
      </c>
      <c r="C1850" t="s">
        <v>5096</v>
      </c>
      <c r="D1850">
        <v>371</v>
      </c>
      <c r="E1850">
        <v>21418</v>
      </c>
      <c r="F1850">
        <v>9</v>
      </c>
      <c r="G1850">
        <v>1</v>
      </c>
      <c r="H1850">
        <v>1</v>
      </c>
      <c r="I1850">
        <v>2</v>
      </c>
      <c r="J1850" t="s">
        <v>3553</v>
      </c>
      <c r="K1850" t="s">
        <v>3554</v>
      </c>
      <c r="L1850" s="2">
        <v>1320.6838</v>
      </c>
      <c r="M1850" s="2">
        <v>2181.5625</v>
      </c>
      <c r="N1850" t="s">
        <v>30</v>
      </c>
      <c r="O1850" t="s">
        <v>473</v>
      </c>
      <c r="P1850" t="s">
        <v>392</v>
      </c>
      <c r="Q1850" t="s">
        <v>8179</v>
      </c>
      <c r="R1850" s="1">
        <v>21573</v>
      </c>
      <c r="S1850" t="s">
        <v>16</v>
      </c>
      <c r="T1850" t="s">
        <v>29</v>
      </c>
      <c r="U1850" t="s">
        <v>2675</v>
      </c>
      <c r="V1850">
        <v>120000</v>
      </c>
      <c r="W1850">
        <v>1</v>
      </c>
      <c r="X1850" t="s">
        <v>17</v>
      </c>
      <c r="Y1850" t="s">
        <v>45</v>
      </c>
      <c r="Z1850" t="s">
        <v>19</v>
      </c>
      <c r="AA1850" t="s">
        <v>3586</v>
      </c>
      <c r="AB1850" t="s">
        <v>3586</v>
      </c>
      <c r="AC1850" t="s">
        <v>3587</v>
      </c>
      <c r="AD1850" t="s">
        <v>3479</v>
      </c>
      <c r="AE1850" t="s">
        <v>3475</v>
      </c>
      <c r="AF1850" s="2">
        <v>2181.5625</v>
      </c>
      <c r="AG1850" s="2">
        <v>1320.6838</v>
      </c>
      <c r="AH1850" s="2">
        <v>860.87869999999998</v>
      </c>
      <c r="AI1850" s="3">
        <v>0.39461564818793898</v>
      </c>
    </row>
    <row r="1851" spans="1:35">
      <c r="A1851" s="1">
        <v>42229</v>
      </c>
      <c r="B1851" s="1">
        <v>37372</v>
      </c>
      <c r="C1851" t="s">
        <v>5107</v>
      </c>
      <c r="D1851">
        <v>373</v>
      </c>
      <c r="E1851">
        <v>21552</v>
      </c>
      <c r="F1851">
        <v>9</v>
      </c>
      <c r="G1851">
        <v>1</v>
      </c>
      <c r="H1851">
        <v>1</v>
      </c>
      <c r="I1851">
        <v>2</v>
      </c>
      <c r="J1851" t="s">
        <v>3555</v>
      </c>
      <c r="K1851" t="s">
        <v>3556</v>
      </c>
      <c r="L1851" s="2">
        <v>1320.6838</v>
      </c>
      <c r="M1851" s="2">
        <v>2181.5625</v>
      </c>
      <c r="N1851" t="s">
        <v>13</v>
      </c>
      <c r="O1851" t="s">
        <v>582</v>
      </c>
      <c r="P1851" t="s">
        <v>214</v>
      </c>
      <c r="Q1851" t="s">
        <v>8180</v>
      </c>
      <c r="R1851" s="1">
        <v>27717</v>
      </c>
      <c r="S1851" t="s">
        <v>16</v>
      </c>
      <c r="T1851" t="s">
        <v>16</v>
      </c>
      <c r="U1851" t="s">
        <v>2676</v>
      </c>
      <c r="V1851">
        <v>80000</v>
      </c>
      <c r="W1851">
        <v>0</v>
      </c>
      <c r="X1851" t="s">
        <v>17</v>
      </c>
      <c r="Y1851" t="s">
        <v>18</v>
      </c>
      <c r="Z1851" t="s">
        <v>23</v>
      </c>
      <c r="AA1851" t="s">
        <v>3586</v>
      </c>
      <c r="AB1851" t="s">
        <v>3586</v>
      </c>
      <c r="AC1851" t="s">
        <v>3587</v>
      </c>
      <c r="AD1851" t="s">
        <v>3479</v>
      </c>
      <c r="AE1851" t="s">
        <v>3475</v>
      </c>
      <c r="AF1851" s="2">
        <v>2181.5625</v>
      </c>
      <c r="AG1851" s="2">
        <v>1320.6838</v>
      </c>
      <c r="AH1851" s="2">
        <v>860.87869999999998</v>
      </c>
      <c r="AI1851" s="3">
        <v>0.39461564818793898</v>
      </c>
    </row>
    <row r="1852" spans="1:35">
      <c r="A1852" s="1">
        <v>42247</v>
      </c>
      <c r="B1852" s="1">
        <v>37415</v>
      </c>
      <c r="C1852" t="s">
        <v>5277</v>
      </c>
      <c r="D1852">
        <v>379</v>
      </c>
      <c r="E1852">
        <v>21553</v>
      </c>
      <c r="F1852">
        <v>9</v>
      </c>
      <c r="G1852">
        <v>1</v>
      </c>
      <c r="H1852">
        <v>1</v>
      </c>
      <c r="I1852">
        <v>2</v>
      </c>
      <c r="J1852" t="s">
        <v>3561</v>
      </c>
      <c r="K1852" t="s">
        <v>3562</v>
      </c>
      <c r="L1852" s="2">
        <v>1320.6838</v>
      </c>
      <c r="M1852" s="2">
        <v>2181.5625</v>
      </c>
      <c r="N1852" t="s">
        <v>13</v>
      </c>
      <c r="O1852" t="s">
        <v>425</v>
      </c>
      <c r="P1852" t="s">
        <v>907</v>
      </c>
      <c r="Q1852" t="s">
        <v>8181</v>
      </c>
      <c r="R1852" s="1">
        <v>27684</v>
      </c>
      <c r="S1852" t="s">
        <v>16</v>
      </c>
      <c r="T1852" t="s">
        <v>16</v>
      </c>
      <c r="U1852" t="s">
        <v>2677</v>
      </c>
      <c r="V1852">
        <v>90000</v>
      </c>
      <c r="W1852">
        <v>0</v>
      </c>
      <c r="X1852" t="s">
        <v>17</v>
      </c>
      <c r="Y1852" t="s">
        <v>18</v>
      </c>
      <c r="Z1852" t="s">
        <v>19</v>
      </c>
      <c r="AA1852" t="s">
        <v>3586</v>
      </c>
      <c r="AB1852" t="s">
        <v>3586</v>
      </c>
      <c r="AC1852" t="s">
        <v>3587</v>
      </c>
      <c r="AD1852" t="s">
        <v>3479</v>
      </c>
      <c r="AE1852" t="s">
        <v>3475</v>
      </c>
      <c r="AF1852" s="2">
        <v>2181.5625</v>
      </c>
      <c r="AG1852" s="2">
        <v>1320.6838</v>
      </c>
      <c r="AH1852" s="2">
        <v>860.87869999999998</v>
      </c>
      <c r="AI1852" s="3">
        <v>0.39461564818793898</v>
      </c>
    </row>
    <row r="1853" spans="1:35">
      <c r="A1853" s="1">
        <v>42239</v>
      </c>
      <c r="B1853" s="1">
        <v>37414</v>
      </c>
      <c r="C1853" t="s">
        <v>5204</v>
      </c>
      <c r="D1853">
        <v>377</v>
      </c>
      <c r="E1853">
        <v>21555</v>
      </c>
      <c r="F1853">
        <v>9</v>
      </c>
      <c r="G1853">
        <v>1</v>
      </c>
      <c r="H1853">
        <v>1</v>
      </c>
      <c r="I1853">
        <v>2</v>
      </c>
      <c r="J1853" t="s">
        <v>3559</v>
      </c>
      <c r="K1853" t="s">
        <v>3560</v>
      </c>
      <c r="L1853" s="2">
        <v>1320.6838</v>
      </c>
      <c r="M1853" s="2">
        <v>2181.5625</v>
      </c>
      <c r="N1853" t="s">
        <v>13</v>
      </c>
      <c r="O1853" t="s">
        <v>466</v>
      </c>
      <c r="P1853" t="s">
        <v>658</v>
      </c>
      <c r="Q1853" t="s">
        <v>8182</v>
      </c>
      <c r="R1853" s="1">
        <v>27097</v>
      </c>
      <c r="S1853" t="s">
        <v>22</v>
      </c>
      <c r="T1853" t="s">
        <v>16</v>
      </c>
      <c r="U1853" t="s">
        <v>2678</v>
      </c>
      <c r="V1853">
        <v>90000</v>
      </c>
      <c r="W1853">
        <v>0</v>
      </c>
      <c r="X1853" t="s">
        <v>17</v>
      </c>
      <c r="Y1853" t="s">
        <v>18</v>
      </c>
      <c r="Z1853" t="s">
        <v>19</v>
      </c>
      <c r="AA1853" t="s">
        <v>3586</v>
      </c>
      <c r="AB1853" t="s">
        <v>3586</v>
      </c>
      <c r="AC1853" t="s">
        <v>3587</v>
      </c>
      <c r="AD1853" t="s">
        <v>3479</v>
      </c>
      <c r="AE1853" t="s">
        <v>3475</v>
      </c>
      <c r="AF1853" s="2">
        <v>2181.5625</v>
      </c>
      <c r="AG1853" s="2">
        <v>1320.6838</v>
      </c>
      <c r="AH1853" s="2">
        <v>860.87869999999998</v>
      </c>
      <c r="AI1853" s="3">
        <v>0.39461564818793898</v>
      </c>
    </row>
    <row r="1854" spans="1:35">
      <c r="A1854" s="1">
        <v>42223</v>
      </c>
      <c r="B1854" s="1">
        <v>37401</v>
      </c>
      <c r="C1854" t="s">
        <v>5065</v>
      </c>
      <c r="D1854">
        <v>368</v>
      </c>
      <c r="E1854">
        <v>21556</v>
      </c>
      <c r="F1854">
        <v>9</v>
      </c>
      <c r="G1854">
        <v>1</v>
      </c>
      <c r="H1854">
        <v>1</v>
      </c>
      <c r="I1854">
        <v>2</v>
      </c>
      <c r="J1854" t="s">
        <v>3547</v>
      </c>
      <c r="K1854" t="s">
        <v>3548</v>
      </c>
      <c r="L1854" s="2">
        <v>1518.7864</v>
      </c>
      <c r="M1854" s="2">
        <v>2443.35</v>
      </c>
      <c r="N1854" t="s">
        <v>26</v>
      </c>
      <c r="O1854" t="s">
        <v>1096</v>
      </c>
      <c r="P1854" t="s">
        <v>157</v>
      </c>
      <c r="Q1854" t="s">
        <v>8183</v>
      </c>
      <c r="R1854" s="1">
        <v>27176</v>
      </c>
      <c r="S1854" t="s">
        <v>22</v>
      </c>
      <c r="T1854" t="s">
        <v>29</v>
      </c>
      <c r="U1854" t="s">
        <v>2679</v>
      </c>
      <c r="V1854">
        <v>90000</v>
      </c>
      <c r="W1854">
        <v>0</v>
      </c>
      <c r="X1854" t="s">
        <v>17</v>
      </c>
      <c r="Y1854" t="s">
        <v>18</v>
      </c>
      <c r="Z1854" t="s">
        <v>23</v>
      </c>
      <c r="AA1854" t="s">
        <v>3586</v>
      </c>
      <c r="AB1854" t="s">
        <v>3586</v>
      </c>
      <c r="AC1854" t="s">
        <v>3587</v>
      </c>
      <c r="AD1854" t="s">
        <v>3479</v>
      </c>
      <c r="AE1854" t="s">
        <v>3475</v>
      </c>
      <c r="AF1854" s="2">
        <v>2443.35</v>
      </c>
      <c r="AG1854" s="2">
        <v>1518.7864</v>
      </c>
      <c r="AH1854" s="2">
        <v>924.56359999999995</v>
      </c>
      <c r="AI1854" s="3">
        <v>0.37839998362903399</v>
      </c>
    </row>
    <row r="1855" spans="1:35">
      <c r="A1855" s="1">
        <v>42246</v>
      </c>
      <c r="B1855" s="1">
        <v>37454</v>
      </c>
      <c r="C1855" t="s">
        <v>5271</v>
      </c>
      <c r="D1855">
        <v>369</v>
      </c>
      <c r="E1855">
        <v>21557</v>
      </c>
      <c r="F1855">
        <v>9</v>
      </c>
      <c r="G1855">
        <v>1</v>
      </c>
      <c r="H1855">
        <v>1</v>
      </c>
      <c r="I1855">
        <v>2</v>
      </c>
      <c r="J1855" t="s">
        <v>3549</v>
      </c>
      <c r="K1855" t="s">
        <v>3550</v>
      </c>
      <c r="L1855" s="2">
        <v>1518.7864</v>
      </c>
      <c r="M1855" s="2">
        <v>2443.35</v>
      </c>
      <c r="N1855" t="s">
        <v>26</v>
      </c>
      <c r="O1855" t="s">
        <v>817</v>
      </c>
      <c r="P1855" t="s">
        <v>62</v>
      </c>
      <c r="Q1855" t="s">
        <v>8184</v>
      </c>
      <c r="R1855" s="1">
        <v>27135</v>
      </c>
      <c r="S1855" t="s">
        <v>22</v>
      </c>
      <c r="T1855" t="s">
        <v>29</v>
      </c>
      <c r="U1855" t="s">
        <v>2680</v>
      </c>
      <c r="V1855">
        <v>110000</v>
      </c>
      <c r="W1855">
        <v>0</v>
      </c>
      <c r="X1855" t="s">
        <v>52</v>
      </c>
      <c r="Y1855" t="s">
        <v>45</v>
      </c>
      <c r="Z1855" t="s">
        <v>19</v>
      </c>
      <c r="AA1855" t="s">
        <v>3586</v>
      </c>
      <c r="AB1855" t="s">
        <v>3586</v>
      </c>
      <c r="AC1855" t="s">
        <v>3587</v>
      </c>
      <c r="AD1855" t="s">
        <v>3479</v>
      </c>
      <c r="AE1855" t="s">
        <v>3475</v>
      </c>
      <c r="AF1855" s="2">
        <v>2443.35</v>
      </c>
      <c r="AG1855" s="2">
        <v>1518.7864</v>
      </c>
      <c r="AH1855" s="2">
        <v>924.56359999999995</v>
      </c>
      <c r="AI1855" s="3">
        <v>0.37839998362903399</v>
      </c>
    </row>
    <row r="1856" spans="1:35">
      <c r="A1856" s="1">
        <v>42241</v>
      </c>
      <c r="B1856" s="1">
        <v>37465</v>
      </c>
      <c r="C1856" t="s">
        <v>5229</v>
      </c>
      <c r="D1856">
        <v>368</v>
      </c>
      <c r="E1856">
        <v>21558</v>
      </c>
      <c r="F1856">
        <v>9</v>
      </c>
      <c r="G1856">
        <v>1</v>
      </c>
      <c r="H1856">
        <v>1</v>
      </c>
      <c r="I1856">
        <v>2</v>
      </c>
      <c r="J1856" t="s">
        <v>3547</v>
      </c>
      <c r="K1856" t="s">
        <v>3548</v>
      </c>
      <c r="L1856" s="2">
        <v>1518.7864</v>
      </c>
      <c r="M1856" s="2">
        <v>2443.35</v>
      </c>
      <c r="N1856" t="s">
        <v>26</v>
      </c>
      <c r="O1856" t="s">
        <v>258</v>
      </c>
      <c r="P1856" t="s">
        <v>264</v>
      </c>
      <c r="Q1856" t="s">
        <v>8185</v>
      </c>
      <c r="R1856" s="1">
        <v>27022</v>
      </c>
      <c r="S1856" t="s">
        <v>22</v>
      </c>
      <c r="T1856" t="s">
        <v>29</v>
      </c>
      <c r="U1856" t="s">
        <v>2681</v>
      </c>
      <c r="V1856">
        <v>100000</v>
      </c>
      <c r="W1856">
        <v>0</v>
      </c>
      <c r="X1856" t="s">
        <v>57</v>
      </c>
      <c r="Y1856" t="s">
        <v>45</v>
      </c>
      <c r="Z1856" t="s">
        <v>19</v>
      </c>
      <c r="AA1856" t="s">
        <v>3586</v>
      </c>
      <c r="AB1856" t="s">
        <v>3586</v>
      </c>
      <c r="AC1856" t="s">
        <v>3587</v>
      </c>
      <c r="AD1856" t="s">
        <v>3479</v>
      </c>
      <c r="AE1856" t="s">
        <v>3475</v>
      </c>
      <c r="AF1856" s="2">
        <v>2443.35</v>
      </c>
      <c r="AG1856" s="2">
        <v>1518.7864</v>
      </c>
      <c r="AH1856" s="2">
        <v>924.56359999999995</v>
      </c>
      <c r="AI1856" s="3">
        <v>0.37839998362903399</v>
      </c>
    </row>
    <row r="1857" spans="1:35">
      <c r="A1857" s="1">
        <v>42236</v>
      </c>
      <c r="B1857" s="1">
        <v>37373</v>
      </c>
      <c r="C1857" t="s">
        <v>5181</v>
      </c>
      <c r="D1857">
        <v>368</v>
      </c>
      <c r="E1857">
        <v>21559</v>
      </c>
      <c r="F1857">
        <v>9</v>
      </c>
      <c r="G1857">
        <v>1</v>
      </c>
      <c r="H1857">
        <v>1</v>
      </c>
      <c r="I1857">
        <v>2</v>
      </c>
      <c r="J1857" t="s">
        <v>3547</v>
      </c>
      <c r="K1857" t="s">
        <v>3548</v>
      </c>
      <c r="L1857" s="2">
        <v>1518.7864</v>
      </c>
      <c r="M1857" s="2">
        <v>2443.35</v>
      </c>
      <c r="N1857" t="s">
        <v>13</v>
      </c>
      <c r="O1857" t="s">
        <v>584</v>
      </c>
      <c r="P1857" t="s">
        <v>465</v>
      </c>
      <c r="Q1857" t="s">
        <v>8186</v>
      </c>
      <c r="R1857" s="1">
        <v>26761</v>
      </c>
      <c r="S1857" t="s">
        <v>16</v>
      </c>
      <c r="T1857" t="s">
        <v>16</v>
      </c>
      <c r="U1857" t="s">
        <v>2682</v>
      </c>
      <c r="V1857">
        <v>100000</v>
      </c>
      <c r="W1857">
        <v>0</v>
      </c>
      <c r="X1857" t="s">
        <v>57</v>
      </c>
      <c r="Y1857" t="s">
        <v>45</v>
      </c>
      <c r="Z1857" t="s">
        <v>23</v>
      </c>
      <c r="AA1857" t="s">
        <v>3586</v>
      </c>
      <c r="AB1857" t="s">
        <v>3586</v>
      </c>
      <c r="AC1857" t="s">
        <v>3587</v>
      </c>
      <c r="AD1857" t="s">
        <v>3479</v>
      </c>
      <c r="AE1857" t="s">
        <v>3475</v>
      </c>
      <c r="AF1857" s="2">
        <v>2443.35</v>
      </c>
      <c r="AG1857" s="2">
        <v>1518.7864</v>
      </c>
      <c r="AH1857" s="2">
        <v>924.56359999999995</v>
      </c>
      <c r="AI1857" s="3">
        <v>0.37839998362903399</v>
      </c>
    </row>
    <row r="1858" spans="1:35">
      <c r="A1858" s="1">
        <v>42238</v>
      </c>
      <c r="B1858" s="1">
        <v>37396</v>
      </c>
      <c r="C1858" t="s">
        <v>5198</v>
      </c>
      <c r="D1858">
        <v>379</v>
      </c>
      <c r="E1858">
        <v>21560</v>
      </c>
      <c r="F1858">
        <v>9</v>
      </c>
      <c r="G1858">
        <v>1</v>
      </c>
      <c r="H1858">
        <v>1</v>
      </c>
      <c r="I1858">
        <v>2</v>
      </c>
      <c r="J1858" t="s">
        <v>3561</v>
      </c>
      <c r="K1858" t="s">
        <v>3562</v>
      </c>
      <c r="L1858" s="2">
        <v>1320.6838</v>
      </c>
      <c r="M1858" s="2">
        <v>2181.5625</v>
      </c>
      <c r="N1858" t="s">
        <v>13</v>
      </c>
      <c r="O1858" t="s">
        <v>519</v>
      </c>
      <c r="P1858" t="s">
        <v>125</v>
      </c>
      <c r="Q1858" t="s">
        <v>8187</v>
      </c>
      <c r="R1858" s="1">
        <v>26919</v>
      </c>
      <c r="S1858" t="s">
        <v>16</v>
      </c>
      <c r="T1858" t="s">
        <v>16</v>
      </c>
      <c r="U1858" t="s">
        <v>2683</v>
      </c>
      <c r="V1858">
        <v>120000</v>
      </c>
      <c r="W1858">
        <v>0</v>
      </c>
      <c r="X1858" t="s">
        <v>77</v>
      </c>
      <c r="Y1858" t="s">
        <v>18</v>
      </c>
      <c r="Z1858" t="s">
        <v>19</v>
      </c>
      <c r="AA1858" t="s">
        <v>3586</v>
      </c>
      <c r="AB1858" t="s">
        <v>3586</v>
      </c>
      <c r="AC1858" t="s">
        <v>3587</v>
      </c>
      <c r="AD1858" t="s">
        <v>3479</v>
      </c>
      <c r="AE1858" t="s">
        <v>3475</v>
      </c>
      <c r="AF1858" s="2">
        <v>2181.5625</v>
      </c>
      <c r="AG1858" s="2">
        <v>1320.6838</v>
      </c>
      <c r="AH1858" s="2">
        <v>860.87869999999998</v>
      </c>
      <c r="AI1858" s="3">
        <v>0.39461564818793898</v>
      </c>
    </row>
    <row r="1859" spans="1:35">
      <c r="A1859" s="1">
        <v>42218</v>
      </c>
      <c r="B1859" s="1">
        <v>37365</v>
      </c>
      <c r="C1859" t="s">
        <v>5019</v>
      </c>
      <c r="D1859">
        <v>370</v>
      </c>
      <c r="E1859">
        <v>21561</v>
      </c>
      <c r="F1859">
        <v>9</v>
      </c>
      <c r="G1859">
        <v>1</v>
      </c>
      <c r="H1859">
        <v>1</v>
      </c>
      <c r="I1859">
        <v>2</v>
      </c>
      <c r="J1859" t="s">
        <v>3551</v>
      </c>
      <c r="K1859" t="s">
        <v>3552</v>
      </c>
      <c r="L1859" s="2">
        <v>1518.7864</v>
      </c>
      <c r="M1859" s="2">
        <v>2443.35</v>
      </c>
      <c r="N1859" t="s">
        <v>13</v>
      </c>
      <c r="O1859" t="s">
        <v>1132</v>
      </c>
      <c r="P1859" t="s">
        <v>153</v>
      </c>
      <c r="Q1859" t="s">
        <v>8188</v>
      </c>
      <c r="R1859" s="1">
        <v>26439</v>
      </c>
      <c r="S1859" t="s">
        <v>22</v>
      </c>
      <c r="T1859" t="s">
        <v>16</v>
      </c>
      <c r="U1859" t="s">
        <v>2684</v>
      </c>
      <c r="V1859">
        <v>90000</v>
      </c>
      <c r="W1859">
        <v>0</v>
      </c>
      <c r="X1859" t="s">
        <v>17</v>
      </c>
      <c r="Y1859" t="s">
        <v>18</v>
      </c>
      <c r="Z1859" t="s">
        <v>23</v>
      </c>
      <c r="AA1859" t="s">
        <v>3586</v>
      </c>
      <c r="AB1859" t="s">
        <v>3586</v>
      </c>
      <c r="AC1859" t="s">
        <v>3587</v>
      </c>
      <c r="AD1859" t="s">
        <v>3479</v>
      </c>
      <c r="AE1859" t="s">
        <v>3475</v>
      </c>
      <c r="AF1859" s="2">
        <v>2443.35</v>
      </c>
      <c r="AG1859" s="2">
        <v>1518.7864</v>
      </c>
      <c r="AH1859" s="2">
        <v>924.56359999999995</v>
      </c>
      <c r="AI1859" s="3">
        <v>0.37839998362903399</v>
      </c>
    </row>
    <row r="1860" spans="1:35">
      <c r="A1860" s="1">
        <v>42269</v>
      </c>
      <c r="B1860" s="1">
        <v>37434</v>
      </c>
      <c r="C1860" t="s">
        <v>5427</v>
      </c>
      <c r="D1860">
        <v>379</v>
      </c>
      <c r="E1860">
        <v>21562</v>
      </c>
      <c r="F1860">
        <v>9</v>
      </c>
      <c r="G1860">
        <v>1</v>
      </c>
      <c r="H1860">
        <v>1</v>
      </c>
      <c r="I1860">
        <v>2</v>
      </c>
      <c r="J1860" t="s">
        <v>3561</v>
      </c>
      <c r="K1860" t="s">
        <v>3562</v>
      </c>
      <c r="L1860" s="2">
        <v>1320.6838</v>
      </c>
      <c r="M1860" s="2">
        <v>2181.5625</v>
      </c>
      <c r="N1860" t="s">
        <v>13</v>
      </c>
      <c r="O1860" t="s">
        <v>816</v>
      </c>
      <c r="P1860" t="s">
        <v>476</v>
      </c>
      <c r="Q1860" t="s">
        <v>8189</v>
      </c>
      <c r="R1860" s="1">
        <v>26591</v>
      </c>
      <c r="S1860" t="s">
        <v>22</v>
      </c>
      <c r="T1860" t="s">
        <v>16</v>
      </c>
      <c r="U1860" t="s">
        <v>2685</v>
      </c>
      <c r="V1860">
        <v>100000</v>
      </c>
      <c r="W1860">
        <v>0</v>
      </c>
      <c r="X1860" t="s">
        <v>57</v>
      </c>
      <c r="Y1860" t="s">
        <v>45</v>
      </c>
      <c r="Z1860" t="s">
        <v>19</v>
      </c>
      <c r="AA1860" t="s">
        <v>3586</v>
      </c>
      <c r="AB1860" t="s">
        <v>3586</v>
      </c>
      <c r="AC1860" t="s">
        <v>3587</v>
      </c>
      <c r="AD1860" t="s">
        <v>3479</v>
      </c>
      <c r="AE1860" t="s">
        <v>3475</v>
      </c>
      <c r="AF1860" s="2">
        <v>2181.5625</v>
      </c>
      <c r="AG1860" s="2">
        <v>1320.6838</v>
      </c>
      <c r="AH1860" s="2">
        <v>860.87869999999998</v>
      </c>
      <c r="AI1860" s="3">
        <v>0.39461564818793898</v>
      </c>
    </row>
    <row r="1861" spans="1:35">
      <c r="A1861" s="1">
        <v>42258</v>
      </c>
      <c r="B1861" s="1">
        <v>37455</v>
      </c>
      <c r="C1861" t="s">
        <v>5349</v>
      </c>
      <c r="D1861">
        <v>370</v>
      </c>
      <c r="E1861">
        <v>21567</v>
      </c>
      <c r="F1861">
        <v>9</v>
      </c>
      <c r="G1861">
        <v>1</v>
      </c>
      <c r="H1861">
        <v>1</v>
      </c>
      <c r="I1861">
        <v>2</v>
      </c>
      <c r="J1861" t="s">
        <v>3551</v>
      </c>
      <c r="K1861" t="s">
        <v>3552</v>
      </c>
      <c r="L1861" s="2">
        <v>1518.7864</v>
      </c>
      <c r="M1861" s="2">
        <v>2443.35</v>
      </c>
      <c r="N1861" t="s">
        <v>26</v>
      </c>
      <c r="O1861" t="s">
        <v>208</v>
      </c>
      <c r="P1861" t="s">
        <v>109</v>
      </c>
      <c r="Q1861" t="s">
        <v>8190</v>
      </c>
      <c r="R1861" s="1">
        <v>26127</v>
      </c>
      <c r="S1861" t="s">
        <v>16</v>
      </c>
      <c r="T1861" t="s">
        <v>29</v>
      </c>
      <c r="U1861" t="s">
        <v>2686</v>
      </c>
      <c r="V1861">
        <v>100000</v>
      </c>
      <c r="W1861">
        <v>0</v>
      </c>
      <c r="X1861" t="s">
        <v>57</v>
      </c>
      <c r="Y1861" t="s">
        <v>45</v>
      </c>
      <c r="Z1861" t="s">
        <v>23</v>
      </c>
      <c r="AA1861" t="s">
        <v>3586</v>
      </c>
      <c r="AB1861" t="s">
        <v>3586</v>
      </c>
      <c r="AC1861" t="s">
        <v>3587</v>
      </c>
      <c r="AD1861" t="s">
        <v>3479</v>
      </c>
      <c r="AE1861" t="s">
        <v>3475</v>
      </c>
      <c r="AF1861" s="2">
        <v>2443.35</v>
      </c>
      <c r="AG1861" s="2">
        <v>1518.7864</v>
      </c>
      <c r="AH1861" s="2">
        <v>924.56359999999995</v>
      </c>
      <c r="AI1861" s="3">
        <v>0.37839998362903399</v>
      </c>
    </row>
    <row r="1862" spans="1:35">
      <c r="A1862" s="1">
        <v>42251</v>
      </c>
      <c r="B1862" s="1">
        <v>37460</v>
      </c>
      <c r="C1862" t="s">
        <v>5307</v>
      </c>
      <c r="D1862">
        <v>371</v>
      </c>
      <c r="E1862">
        <v>21568</v>
      </c>
      <c r="F1862">
        <v>9</v>
      </c>
      <c r="G1862">
        <v>1</v>
      </c>
      <c r="H1862">
        <v>1</v>
      </c>
      <c r="I1862">
        <v>2</v>
      </c>
      <c r="J1862" t="s">
        <v>3553</v>
      </c>
      <c r="K1862" t="s">
        <v>3554</v>
      </c>
      <c r="L1862" s="2">
        <v>1320.6838</v>
      </c>
      <c r="M1862" s="2">
        <v>2181.5625</v>
      </c>
      <c r="N1862" t="s">
        <v>26</v>
      </c>
      <c r="O1862" t="s">
        <v>39</v>
      </c>
      <c r="P1862" t="s">
        <v>101</v>
      </c>
      <c r="Q1862" t="s">
        <v>8191</v>
      </c>
      <c r="R1862" s="1">
        <v>26258</v>
      </c>
      <c r="S1862" t="s">
        <v>16</v>
      </c>
      <c r="T1862" t="s">
        <v>29</v>
      </c>
      <c r="U1862" t="s">
        <v>2687</v>
      </c>
      <c r="V1862">
        <v>100000</v>
      </c>
      <c r="W1862">
        <v>0</v>
      </c>
      <c r="X1862" t="s">
        <v>57</v>
      </c>
      <c r="Y1862" t="s">
        <v>45</v>
      </c>
      <c r="Z1862" t="s">
        <v>19</v>
      </c>
      <c r="AA1862" t="s">
        <v>3586</v>
      </c>
      <c r="AB1862" t="s">
        <v>3586</v>
      </c>
      <c r="AC1862" t="s">
        <v>3587</v>
      </c>
      <c r="AD1862" t="s">
        <v>3479</v>
      </c>
      <c r="AE1862" t="s">
        <v>3475</v>
      </c>
      <c r="AF1862" s="2">
        <v>2181.5625</v>
      </c>
      <c r="AG1862" s="2">
        <v>1320.6838</v>
      </c>
      <c r="AH1862" s="2">
        <v>860.87869999999998</v>
      </c>
      <c r="AI1862" s="3">
        <v>0.39461564818793898</v>
      </c>
    </row>
    <row r="1863" spans="1:35">
      <c r="A1863" s="1">
        <v>42272</v>
      </c>
      <c r="B1863" s="1">
        <v>37486</v>
      </c>
      <c r="C1863" t="s">
        <v>5447</v>
      </c>
      <c r="D1863">
        <v>369</v>
      </c>
      <c r="E1863">
        <v>21569</v>
      </c>
      <c r="F1863">
        <v>9</v>
      </c>
      <c r="G1863">
        <v>1</v>
      </c>
      <c r="H1863">
        <v>1</v>
      </c>
      <c r="I1863">
        <v>2</v>
      </c>
      <c r="J1863" t="s">
        <v>3549</v>
      </c>
      <c r="K1863" t="s">
        <v>3550</v>
      </c>
      <c r="L1863" s="2">
        <v>1518.7864</v>
      </c>
      <c r="M1863" s="2">
        <v>2443.35</v>
      </c>
      <c r="N1863" t="s">
        <v>13</v>
      </c>
      <c r="O1863" t="s">
        <v>761</v>
      </c>
      <c r="P1863" t="s">
        <v>59</v>
      </c>
      <c r="Q1863" t="s">
        <v>8192</v>
      </c>
      <c r="R1863" s="1">
        <v>25825</v>
      </c>
      <c r="S1863" t="s">
        <v>22</v>
      </c>
      <c r="T1863" t="s">
        <v>16</v>
      </c>
      <c r="U1863" t="s">
        <v>2688</v>
      </c>
      <c r="V1863">
        <v>90000</v>
      </c>
      <c r="W1863">
        <v>0</v>
      </c>
      <c r="X1863" t="s">
        <v>17</v>
      </c>
      <c r="Y1863" t="s">
        <v>18</v>
      </c>
      <c r="Z1863" t="s">
        <v>19</v>
      </c>
      <c r="AA1863" t="s">
        <v>3586</v>
      </c>
      <c r="AB1863" t="s">
        <v>3586</v>
      </c>
      <c r="AC1863" t="s">
        <v>3587</v>
      </c>
      <c r="AD1863" t="s">
        <v>3479</v>
      </c>
      <c r="AE1863" t="s">
        <v>3475</v>
      </c>
      <c r="AF1863" s="2">
        <v>2443.35</v>
      </c>
      <c r="AG1863" s="2">
        <v>1518.7864</v>
      </c>
      <c r="AH1863" s="2">
        <v>924.56359999999995</v>
      </c>
      <c r="AI1863" s="3">
        <v>0.37839998362903399</v>
      </c>
    </row>
    <row r="1864" spans="1:35">
      <c r="A1864" s="1">
        <v>42264</v>
      </c>
      <c r="B1864" s="1">
        <v>37473</v>
      </c>
      <c r="C1864" t="s">
        <v>5391</v>
      </c>
      <c r="D1864">
        <v>379</v>
      </c>
      <c r="E1864">
        <v>21570</v>
      </c>
      <c r="F1864">
        <v>9</v>
      </c>
      <c r="G1864">
        <v>1</v>
      </c>
      <c r="H1864">
        <v>1</v>
      </c>
      <c r="I1864">
        <v>2</v>
      </c>
      <c r="J1864" t="s">
        <v>3561</v>
      </c>
      <c r="K1864" t="s">
        <v>3562</v>
      </c>
      <c r="L1864" s="2">
        <v>1320.6838</v>
      </c>
      <c r="M1864" s="2">
        <v>2181.5625</v>
      </c>
      <c r="N1864" t="s">
        <v>13</v>
      </c>
      <c r="O1864" t="s">
        <v>1180</v>
      </c>
      <c r="P1864" t="s">
        <v>1410</v>
      </c>
      <c r="Q1864" t="s">
        <v>8193</v>
      </c>
      <c r="R1864" s="1">
        <v>25751</v>
      </c>
      <c r="S1864" t="s">
        <v>16</v>
      </c>
      <c r="T1864" t="s">
        <v>16</v>
      </c>
      <c r="U1864" t="s">
        <v>2689</v>
      </c>
      <c r="V1864">
        <v>100000</v>
      </c>
      <c r="W1864">
        <v>0</v>
      </c>
      <c r="X1864" t="s">
        <v>57</v>
      </c>
      <c r="Y1864" t="s">
        <v>45</v>
      </c>
      <c r="Z1864" t="s">
        <v>19</v>
      </c>
      <c r="AA1864" t="s">
        <v>3586</v>
      </c>
      <c r="AB1864" t="s">
        <v>3586</v>
      </c>
      <c r="AC1864" t="s">
        <v>3587</v>
      </c>
      <c r="AD1864" t="s">
        <v>3479</v>
      </c>
      <c r="AE1864" t="s">
        <v>3475</v>
      </c>
      <c r="AF1864" s="2">
        <v>2181.5625</v>
      </c>
      <c r="AG1864" s="2">
        <v>1320.6838</v>
      </c>
      <c r="AH1864" s="2">
        <v>860.87869999999998</v>
      </c>
      <c r="AI1864" s="3">
        <v>0.39461564818793898</v>
      </c>
    </row>
    <row r="1865" spans="1:35">
      <c r="A1865" s="1">
        <v>42260</v>
      </c>
      <c r="B1865" s="1">
        <v>37420</v>
      </c>
      <c r="C1865" t="s">
        <v>5363</v>
      </c>
      <c r="D1865">
        <v>373</v>
      </c>
      <c r="E1865">
        <v>21571</v>
      </c>
      <c r="F1865">
        <v>9</v>
      </c>
      <c r="G1865">
        <v>1</v>
      </c>
      <c r="H1865">
        <v>1</v>
      </c>
      <c r="I1865">
        <v>2</v>
      </c>
      <c r="J1865" t="s">
        <v>3555</v>
      </c>
      <c r="K1865" t="s">
        <v>3556</v>
      </c>
      <c r="L1865" s="2">
        <v>1320.6838</v>
      </c>
      <c r="M1865" s="2">
        <v>2181.5625</v>
      </c>
      <c r="N1865" t="s">
        <v>13</v>
      </c>
      <c r="O1865" t="s">
        <v>563</v>
      </c>
      <c r="P1865" t="s">
        <v>15</v>
      </c>
      <c r="Q1865" t="s">
        <v>8194</v>
      </c>
      <c r="R1865" s="1">
        <v>25683</v>
      </c>
      <c r="S1865" t="s">
        <v>16</v>
      </c>
      <c r="T1865" t="s">
        <v>16</v>
      </c>
      <c r="U1865" t="s">
        <v>2690</v>
      </c>
      <c r="V1865">
        <v>110000</v>
      </c>
      <c r="W1865">
        <v>0</v>
      </c>
      <c r="X1865" t="s">
        <v>57</v>
      </c>
      <c r="Y1865" t="s">
        <v>45</v>
      </c>
      <c r="Z1865" t="s">
        <v>19</v>
      </c>
      <c r="AA1865" t="s">
        <v>3586</v>
      </c>
      <c r="AB1865" t="s">
        <v>3586</v>
      </c>
      <c r="AC1865" t="s">
        <v>3587</v>
      </c>
      <c r="AD1865" t="s">
        <v>3479</v>
      </c>
      <c r="AE1865" t="s">
        <v>3475</v>
      </c>
      <c r="AF1865" s="2">
        <v>2181.5625</v>
      </c>
      <c r="AG1865" s="2">
        <v>1320.6838</v>
      </c>
      <c r="AH1865" s="2">
        <v>860.87869999999998</v>
      </c>
      <c r="AI1865" s="3">
        <v>0.39461564818793898</v>
      </c>
    </row>
    <row r="1866" spans="1:35">
      <c r="A1866" s="1">
        <v>42255</v>
      </c>
      <c r="B1866" s="1">
        <v>37457</v>
      </c>
      <c r="C1866" t="s">
        <v>5326</v>
      </c>
      <c r="D1866">
        <v>377</v>
      </c>
      <c r="E1866">
        <v>21572</v>
      </c>
      <c r="F1866">
        <v>9</v>
      </c>
      <c r="G1866">
        <v>1</v>
      </c>
      <c r="H1866">
        <v>1</v>
      </c>
      <c r="I1866">
        <v>2</v>
      </c>
      <c r="J1866" t="s">
        <v>3559</v>
      </c>
      <c r="K1866" t="s">
        <v>3560</v>
      </c>
      <c r="L1866" s="2">
        <v>1320.6838</v>
      </c>
      <c r="M1866" s="2">
        <v>2181.5625</v>
      </c>
      <c r="N1866" t="s">
        <v>13</v>
      </c>
      <c r="O1866" t="s">
        <v>735</v>
      </c>
      <c r="P1866" t="s">
        <v>89</v>
      </c>
      <c r="Q1866" t="s">
        <v>8195</v>
      </c>
      <c r="R1866" s="1">
        <v>26050</v>
      </c>
      <c r="S1866" t="s">
        <v>16</v>
      </c>
      <c r="T1866" t="s">
        <v>16</v>
      </c>
      <c r="U1866" t="s">
        <v>2691</v>
      </c>
      <c r="V1866">
        <v>130000</v>
      </c>
      <c r="W1866">
        <v>0</v>
      </c>
      <c r="X1866" t="s">
        <v>17</v>
      </c>
      <c r="Y1866" t="s">
        <v>45</v>
      </c>
      <c r="Z1866" t="s">
        <v>19</v>
      </c>
      <c r="AA1866" t="s">
        <v>3586</v>
      </c>
      <c r="AB1866" t="s">
        <v>3586</v>
      </c>
      <c r="AC1866" t="s">
        <v>3587</v>
      </c>
      <c r="AD1866" t="s">
        <v>3479</v>
      </c>
      <c r="AE1866" t="s">
        <v>3475</v>
      </c>
      <c r="AF1866" s="2">
        <v>2181.5625</v>
      </c>
      <c r="AG1866" s="2">
        <v>1320.6838</v>
      </c>
      <c r="AH1866" s="2">
        <v>860.87869999999998</v>
      </c>
      <c r="AI1866" s="3">
        <v>0.39461564818793898</v>
      </c>
    </row>
    <row r="1867" spans="1:35">
      <c r="A1867" s="1">
        <v>42271</v>
      </c>
      <c r="B1867" s="1">
        <v>37487</v>
      </c>
      <c r="C1867" t="s">
        <v>5444</v>
      </c>
      <c r="D1867">
        <v>371</v>
      </c>
      <c r="E1867">
        <v>21873</v>
      </c>
      <c r="F1867">
        <v>9</v>
      </c>
      <c r="G1867">
        <v>1</v>
      </c>
      <c r="H1867">
        <v>1</v>
      </c>
      <c r="I1867">
        <v>2</v>
      </c>
      <c r="J1867" t="s">
        <v>3553</v>
      </c>
      <c r="K1867" t="s">
        <v>3554</v>
      </c>
      <c r="L1867" s="2">
        <v>1320.6838</v>
      </c>
      <c r="M1867" s="2">
        <v>2181.5625</v>
      </c>
      <c r="N1867" t="s">
        <v>26</v>
      </c>
      <c r="O1867" t="s">
        <v>1202</v>
      </c>
      <c r="P1867" t="s">
        <v>153</v>
      </c>
      <c r="Q1867" t="s">
        <v>8196</v>
      </c>
      <c r="R1867" s="1">
        <v>27609</v>
      </c>
      <c r="S1867" t="s">
        <v>16</v>
      </c>
      <c r="T1867" t="s">
        <v>29</v>
      </c>
      <c r="U1867" t="s">
        <v>2692</v>
      </c>
      <c r="V1867">
        <v>70000</v>
      </c>
      <c r="W1867">
        <v>0</v>
      </c>
      <c r="X1867" t="s">
        <v>17</v>
      </c>
      <c r="Y1867" t="s">
        <v>18</v>
      </c>
      <c r="Z1867" t="s">
        <v>19</v>
      </c>
      <c r="AA1867" t="s">
        <v>3586</v>
      </c>
      <c r="AB1867" t="s">
        <v>3586</v>
      </c>
      <c r="AC1867" t="s">
        <v>3587</v>
      </c>
      <c r="AD1867" t="s">
        <v>3479</v>
      </c>
      <c r="AE1867" t="s">
        <v>3475</v>
      </c>
      <c r="AF1867" s="2">
        <v>2181.5625</v>
      </c>
      <c r="AG1867" s="2">
        <v>1320.6838</v>
      </c>
      <c r="AH1867" s="2">
        <v>860.87869999999998</v>
      </c>
      <c r="AI1867" s="3">
        <v>0.39461564818793898</v>
      </c>
    </row>
    <row r="1868" spans="1:35">
      <c r="A1868" s="1">
        <v>42266</v>
      </c>
      <c r="B1868" s="1">
        <v>37466</v>
      </c>
      <c r="C1868" t="s">
        <v>5405</v>
      </c>
      <c r="D1868">
        <v>371</v>
      </c>
      <c r="E1868">
        <v>21874</v>
      </c>
      <c r="F1868">
        <v>9</v>
      </c>
      <c r="G1868">
        <v>1</v>
      </c>
      <c r="H1868">
        <v>1</v>
      </c>
      <c r="I1868">
        <v>2</v>
      </c>
      <c r="J1868" t="s">
        <v>3553</v>
      </c>
      <c r="K1868" t="s">
        <v>3554</v>
      </c>
      <c r="L1868" s="2">
        <v>1320.6838</v>
      </c>
      <c r="M1868" s="2">
        <v>2181.5625</v>
      </c>
      <c r="N1868" t="s">
        <v>26</v>
      </c>
      <c r="O1868" t="s">
        <v>975</v>
      </c>
      <c r="P1868" t="s">
        <v>40</v>
      </c>
      <c r="Q1868" t="s">
        <v>8197</v>
      </c>
      <c r="R1868" s="1">
        <v>27902</v>
      </c>
      <c r="S1868" t="s">
        <v>16</v>
      </c>
      <c r="T1868" t="s">
        <v>29</v>
      </c>
      <c r="U1868" t="s">
        <v>2693</v>
      </c>
      <c r="V1868">
        <v>70000</v>
      </c>
      <c r="W1868">
        <v>0</v>
      </c>
      <c r="X1868" t="s">
        <v>17</v>
      </c>
      <c r="Y1868" t="s">
        <v>18</v>
      </c>
      <c r="Z1868" t="s">
        <v>23</v>
      </c>
      <c r="AA1868" t="s">
        <v>3586</v>
      </c>
      <c r="AB1868" t="s">
        <v>3586</v>
      </c>
      <c r="AC1868" t="s">
        <v>3587</v>
      </c>
      <c r="AD1868" t="s">
        <v>3479</v>
      </c>
      <c r="AE1868" t="s">
        <v>3475</v>
      </c>
      <c r="AF1868" s="2">
        <v>2181.5625</v>
      </c>
      <c r="AG1868" s="2">
        <v>1320.6838</v>
      </c>
      <c r="AH1868" s="2">
        <v>860.87869999999998</v>
      </c>
      <c r="AI1868" s="3">
        <v>0.39461564818793898</v>
      </c>
    </row>
    <row r="1869" spans="1:35">
      <c r="A1869" s="1">
        <v>42250</v>
      </c>
      <c r="B1869" s="1">
        <v>37411</v>
      </c>
      <c r="C1869" t="s">
        <v>5299</v>
      </c>
      <c r="D1869">
        <v>369</v>
      </c>
      <c r="E1869">
        <v>21875</v>
      </c>
      <c r="F1869">
        <v>9</v>
      </c>
      <c r="G1869">
        <v>1</v>
      </c>
      <c r="H1869">
        <v>1</v>
      </c>
      <c r="I1869">
        <v>2</v>
      </c>
      <c r="J1869" t="s">
        <v>3549</v>
      </c>
      <c r="K1869" t="s">
        <v>3550</v>
      </c>
      <c r="L1869" s="2">
        <v>1518.7864</v>
      </c>
      <c r="M1869" s="2">
        <v>2443.35</v>
      </c>
      <c r="N1869" t="s">
        <v>13</v>
      </c>
      <c r="O1869" t="s">
        <v>191</v>
      </c>
      <c r="P1869" t="s">
        <v>115</v>
      </c>
      <c r="Q1869" t="s">
        <v>8198</v>
      </c>
      <c r="R1869" s="1">
        <v>27989</v>
      </c>
      <c r="S1869" t="s">
        <v>22</v>
      </c>
      <c r="T1869" t="s">
        <v>16</v>
      </c>
      <c r="U1869" t="s">
        <v>2694</v>
      </c>
      <c r="V1869">
        <v>70000</v>
      </c>
      <c r="W1869">
        <v>0</v>
      </c>
      <c r="X1869" t="s">
        <v>17</v>
      </c>
      <c r="Y1869" t="s">
        <v>18</v>
      </c>
      <c r="Z1869" t="s">
        <v>23</v>
      </c>
      <c r="AA1869" t="s">
        <v>3586</v>
      </c>
      <c r="AB1869" t="s">
        <v>3586</v>
      </c>
      <c r="AC1869" t="s">
        <v>3587</v>
      </c>
      <c r="AD1869" t="s">
        <v>3479</v>
      </c>
      <c r="AE1869" t="s">
        <v>3475</v>
      </c>
      <c r="AF1869" s="2">
        <v>2443.35</v>
      </c>
      <c r="AG1869" s="2">
        <v>1518.7864</v>
      </c>
      <c r="AH1869" s="2">
        <v>924.56359999999995</v>
      </c>
      <c r="AI1869" s="3">
        <v>0.37839998362903399</v>
      </c>
    </row>
    <row r="1870" spans="1:35">
      <c r="A1870" s="1">
        <v>42269</v>
      </c>
      <c r="B1870" s="1">
        <v>37482</v>
      </c>
      <c r="C1870" t="s">
        <v>5429</v>
      </c>
      <c r="D1870">
        <v>375</v>
      </c>
      <c r="E1870">
        <v>21876</v>
      </c>
      <c r="F1870">
        <v>9</v>
      </c>
      <c r="G1870">
        <v>1</v>
      </c>
      <c r="H1870">
        <v>1</v>
      </c>
      <c r="I1870">
        <v>2</v>
      </c>
      <c r="J1870" t="s">
        <v>3557</v>
      </c>
      <c r="K1870" t="s">
        <v>3558</v>
      </c>
      <c r="L1870" s="2">
        <v>1320.6838</v>
      </c>
      <c r="M1870" s="2">
        <v>2181.5625</v>
      </c>
      <c r="N1870" t="s">
        <v>13</v>
      </c>
      <c r="O1870" t="s">
        <v>233</v>
      </c>
      <c r="P1870" t="s">
        <v>198</v>
      </c>
      <c r="Q1870" t="s">
        <v>8199</v>
      </c>
      <c r="R1870" s="1">
        <v>27876</v>
      </c>
      <c r="S1870" t="s">
        <v>22</v>
      </c>
      <c r="T1870" t="s">
        <v>16</v>
      </c>
      <c r="U1870" t="s">
        <v>2695</v>
      </c>
      <c r="V1870">
        <v>70000</v>
      </c>
      <c r="W1870">
        <v>0</v>
      </c>
      <c r="X1870" t="s">
        <v>17</v>
      </c>
      <c r="Y1870" t="s">
        <v>18</v>
      </c>
      <c r="Z1870" t="s">
        <v>23</v>
      </c>
      <c r="AA1870" t="s">
        <v>3586</v>
      </c>
      <c r="AB1870" t="s">
        <v>3586</v>
      </c>
      <c r="AC1870" t="s">
        <v>3587</v>
      </c>
      <c r="AD1870" t="s">
        <v>3479</v>
      </c>
      <c r="AE1870" t="s">
        <v>3475</v>
      </c>
      <c r="AF1870" s="2">
        <v>2181.5625</v>
      </c>
      <c r="AG1870" s="2">
        <v>1320.6838</v>
      </c>
      <c r="AH1870" s="2">
        <v>860.87869999999998</v>
      </c>
      <c r="AI1870" s="3">
        <v>0.39461564818793898</v>
      </c>
    </row>
    <row r="1871" spans="1:35">
      <c r="A1871" s="1">
        <v>42265</v>
      </c>
      <c r="B1871" s="1">
        <v>37400</v>
      </c>
      <c r="C1871" t="s">
        <v>5398</v>
      </c>
      <c r="D1871">
        <v>377</v>
      </c>
      <c r="E1871">
        <v>21877</v>
      </c>
      <c r="F1871">
        <v>9</v>
      </c>
      <c r="G1871">
        <v>1</v>
      </c>
      <c r="H1871">
        <v>1</v>
      </c>
      <c r="I1871">
        <v>2</v>
      </c>
      <c r="J1871" t="s">
        <v>3559</v>
      </c>
      <c r="K1871" t="s">
        <v>3560</v>
      </c>
      <c r="L1871" s="2">
        <v>1320.6838</v>
      </c>
      <c r="M1871" s="2">
        <v>2181.5625</v>
      </c>
      <c r="N1871" t="s">
        <v>13</v>
      </c>
      <c r="O1871" t="s">
        <v>58</v>
      </c>
      <c r="P1871" t="s">
        <v>474</v>
      </c>
      <c r="Q1871" t="s">
        <v>8200</v>
      </c>
      <c r="R1871" s="1">
        <v>27985</v>
      </c>
      <c r="S1871" t="s">
        <v>22</v>
      </c>
      <c r="T1871" t="s">
        <v>16</v>
      </c>
      <c r="U1871" t="s">
        <v>2696</v>
      </c>
      <c r="V1871">
        <v>80000</v>
      </c>
      <c r="W1871">
        <v>0</v>
      </c>
      <c r="X1871" t="s">
        <v>17</v>
      </c>
      <c r="Y1871" t="s">
        <v>18</v>
      </c>
      <c r="Z1871" t="s">
        <v>19</v>
      </c>
      <c r="AA1871" t="s">
        <v>3586</v>
      </c>
      <c r="AB1871" t="s">
        <v>3586</v>
      </c>
      <c r="AC1871" t="s">
        <v>3587</v>
      </c>
      <c r="AD1871" t="s">
        <v>3479</v>
      </c>
      <c r="AE1871" t="s">
        <v>3475</v>
      </c>
      <c r="AF1871" s="2">
        <v>2181.5625</v>
      </c>
      <c r="AG1871" s="2">
        <v>1320.6838</v>
      </c>
      <c r="AH1871" s="2">
        <v>860.87869999999998</v>
      </c>
      <c r="AI1871" s="3">
        <v>0.39461564818793898</v>
      </c>
    </row>
    <row r="1872" spans="1:35">
      <c r="A1872" s="1">
        <v>42261</v>
      </c>
      <c r="B1872" s="1">
        <v>37416</v>
      </c>
      <c r="C1872" t="s">
        <v>5376</v>
      </c>
      <c r="D1872">
        <v>371</v>
      </c>
      <c r="E1872">
        <v>21878</v>
      </c>
      <c r="F1872">
        <v>9</v>
      </c>
      <c r="G1872">
        <v>1</v>
      </c>
      <c r="H1872">
        <v>1</v>
      </c>
      <c r="I1872">
        <v>2</v>
      </c>
      <c r="J1872" t="s">
        <v>3553</v>
      </c>
      <c r="K1872" t="s">
        <v>3554</v>
      </c>
      <c r="L1872" s="2">
        <v>1320.6838</v>
      </c>
      <c r="M1872" s="2">
        <v>2181.5625</v>
      </c>
      <c r="N1872" t="s">
        <v>13</v>
      </c>
      <c r="O1872" t="s">
        <v>184</v>
      </c>
      <c r="P1872" t="s">
        <v>830</v>
      </c>
      <c r="Q1872" t="s">
        <v>8201</v>
      </c>
      <c r="R1872" s="1">
        <v>27875</v>
      </c>
      <c r="S1872" t="s">
        <v>16</v>
      </c>
      <c r="T1872" t="s">
        <v>16</v>
      </c>
      <c r="U1872" t="s">
        <v>2697</v>
      </c>
      <c r="V1872">
        <v>80000</v>
      </c>
      <c r="W1872">
        <v>0</v>
      </c>
      <c r="X1872" t="s">
        <v>17</v>
      </c>
      <c r="Y1872" t="s">
        <v>18</v>
      </c>
      <c r="Z1872" t="s">
        <v>19</v>
      </c>
      <c r="AA1872" t="s">
        <v>3586</v>
      </c>
      <c r="AB1872" t="s">
        <v>3586</v>
      </c>
      <c r="AC1872" t="s">
        <v>3587</v>
      </c>
      <c r="AD1872" t="s">
        <v>3479</v>
      </c>
      <c r="AE1872" t="s">
        <v>3475</v>
      </c>
      <c r="AF1872" s="2">
        <v>2181.5625</v>
      </c>
      <c r="AG1872" s="2">
        <v>1320.6838</v>
      </c>
      <c r="AH1872" s="2">
        <v>860.87869999999998</v>
      </c>
      <c r="AI1872" s="3">
        <v>0.39461564818793898</v>
      </c>
    </row>
    <row r="1873" spans="1:35">
      <c r="A1873" s="1">
        <v>42277</v>
      </c>
      <c r="B1873" s="1">
        <v>37437</v>
      </c>
      <c r="C1873" t="s">
        <v>5477</v>
      </c>
      <c r="D1873">
        <v>368</v>
      </c>
      <c r="E1873">
        <v>21882</v>
      </c>
      <c r="F1873">
        <v>9</v>
      </c>
      <c r="G1873">
        <v>1</v>
      </c>
      <c r="H1873">
        <v>1</v>
      </c>
      <c r="I1873">
        <v>2</v>
      </c>
      <c r="J1873" t="s">
        <v>3547</v>
      </c>
      <c r="K1873" t="s">
        <v>3548</v>
      </c>
      <c r="L1873" s="2">
        <v>1518.7864</v>
      </c>
      <c r="M1873" s="2">
        <v>2443.35</v>
      </c>
      <c r="N1873" t="s">
        <v>13</v>
      </c>
      <c r="O1873" t="s">
        <v>556</v>
      </c>
      <c r="P1873" t="s">
        <v>89</v>
      </c>
      <c r="Q1873" t="s">
        <v>8202</v>
      </c>
      <c r="R1873" s="1">
        <v>27660</v>
      </c>
      <c r="S1873" t="s">
        <v>22</v>
      </c>
      <c r="T1873" t="s">
        <v>16</v>
      </c>
      <c r="U1873" t="s">
        <v>2698</v>
      </c>
      <c r="V1873">
        <v>90000</v>
      </c>
      <c r="W1873">
        <v>0</v>
      </c>
      <c r="X1873" t="s">
        <v>17</v>
      </c>
      <c r="Y1873" t="s">
        <v>18</v>
      </c>
      <c r="Z1873" t="s">
        <v>19</v>
      </c>
      <c r="AA1873" t="s">
        <v>3586</v>
      </c>
      <c r="AB1873" t="s">
        <v>3586</v>
      </c>
      <c r="AC1873" t="s">
        <v>3587</v>
      </c>
      <c r="AD1873" t="s">
        <v>3479</v>
      </c>
      <c r="AE1873" t="s">
        <v>3475</v>
      </c>
      <c r="AF1873" s="2">
        <v>2443.35</v>
      </c>
      <c r="AG1873" s="2">
        <v>1518.7864</v>
      </c>
      <c r="AH1873" s="2">
        <v>924.56359999999995</v>
      </c>
      <c r="AI1873" s="3">
        <v>0.37839998362903399</v>
      </c>
    </row>
    <row r="1874" spans="1:35">
      <c r="A1874" s="1">
        <v>42264</v>
      </c>
      <c r="B1874" s="1">
        <v>37499</v>
      </c>
      <c r="C1874" t="s">
        <v>5394</v>
      </c>
      <c r="D1874">
        <v>375</v>
      </c>
      <c r="E1874">
        <v>21885</v>
      </c>
      <c r="F1874">
        <v>9</v>
      </c>
      <c r="G1874">
        <v>1</v>
      </c>
      <c r="H1874">
        <v>1</v>
      </c>
      <c r="I1874">
        <v>2</v>
      </c>
      <c r="J1874" t="s">
        <v>3557</v>
      </c>
      <c r="K1874" t="s">
        <v>3558</v>
      </c>
      <c r="L1874" s="2">
        <v>1320.6838</v>
      </c>
      <c r="M1874" s="2">
        <v>2181.5625</v>
      </c>
      <c r="N1874" t="s">
        <v>13</v>
      </c>
      <c r="O1874" t="s">
        <v>437</v>
      </c>
      <c r="P1874" t="s">
        <v>474</v>
      </c>
      <c r="Q1874" t="s">
        <v>8139</v>
      </c>
      <c r="R1874" s="1">
        <v>27368</v>
      </c>
      <c r="S1874" t="s">
        <v>22</v>
      </c>
      <c r="T1874" t="s">
        <v>16</v>
      </c>
      <c r="U1874" t="s">
        <v>2699</v>
      </c>
      <c r="V1874">
        <v>90000</v>
      </c>
      <c r="W1874">
        <v>0</v>
      </c>
      <c r="X1874" t="s">
        <v>17</v>
      </c>
      <c r="Y1874" t="s">
        <v>18</v>
      </c>
      <c r="Z1874" t="s">
        <v>19</v>
      </c>
      <c r="AA1874" t="s">
        <v>3586</v>
      </c>
      <c r="AB1874" t="s">
        <v>3586</v>
      </c>
      <c r="AC1874" t="s">
        <v>3587</v>
      </c>
      <c r="AD1874" t="s">
        <v>3479</v>
      </c>
      <c r="AE1874" t="s">
        <v>3475</v>
      </c>
      <c r="AF1874" s="2">
        <v>2181.5625</v>
      </c>
      <c r="AG1874" s="2">
        <v>1320.6838</v>
      </c>
      <c r="AH1874" s="2">
        <v>860.87869999999998</v>
      </c>
      <c r="AI1874" s="3">
        <v>0.39461564818793898</v>
      </c>
    </row>
    <row r="1875" spans="1:35">
      <c r="A1875" s="1">
        <v>42259</v>
      </c>
      <c r="B1875" s="1">
        <v>37467</v>
      </c>
      <c r="C1875" t="s">
        <v>5358</v>
      </c>
      <c r="D1875">
        <v>371</v>
      </c>
      <c r="E1875">
        <v>21886</v>
      </c>
      <c r="F1875">
        <v>9</v>
      </c>
      <c r="G1875">
        <v>1</v>
      </c>
      <c r="H1875">
        <v>1</v>
      </c>
      <c r="I1875">
        <v>2</v>
      </c>
      <c r="J1875" t="s">
        <v>3553</v>
      </c>
      <c r="K1875" t="s">
        <v>3554</v>
      </c>
      <c r="L1875" s="2">
        <v>1320.6838</v>
      </c>
      <c r="M1875" s="2">
        <v>2181.5625</v>
      </c>
      <c r="N1875" t="s">
        <v>26</v>
      </c>
      <c r="O1875" t="s">
        <v>82</v>
      </c>
      <c r="P1875" t="s">
        <v>38</v>
      </c>
      <c r="Q1875" t="s">
        <v>8203</v>
      </c>
      <c r="R1875" s="1">
        <v>27159</v>
      </c>
      <c r="S1875" t="s">
        <v>22</v>
      </c>
      <c r="T1875" t="s">
        <v>29</v>
      </c>
      <c r="U1875" t="s">
        <v>2700</v>
      </c>
      <c r="V1875">
        <v>100000</v>
      </c>
      <c r="W1875">
        <v>0</v>
      </c>
      <c r="X1875" t="s">
        <v>57</v>
      </c>
      <c r="Y1875" t="s">
        <v>45</v>
      </c>
      <c r="Z1875" t="s">
        <v>19</v>
      </c>
      <c r="AA1875" t="s">
        <v>3586</v>
      </c>
      <c r="AB1875" t="s">
        <v>3586</v>
      </c>
      <c r="AC1875" t="s">
        <v>3587</v>
      </c>
      <c r="AD1875" t="s">
        <v>3479</v>
      </c>
      <c r="AE1875" t="s">
        <v>3475</v>
      </c>
      <c r="AF1875" s="2">
        <v>2181.5625</v>
      </c>
      <c r="AG1875" s="2">
        <v>1320.6838</v>
      </c>
      <c r="AH1875" s="2">
        <v>860.87869999999998</v>
      </c>
      <c r="AI1875" s="3">
        <v>0.39461564818793898</v>
      </c>
    </row>
    <row r="1876" spans="1:35">
      <c r="A1876" s="1">
        <v>42253</v>
      </c>
      <c r="B1876" s="1">
        <v>37458</v>
      </c>
      <c r="C1876" t="s">
        <v>5314</v>
      </c>
      <c r="D1876">
        <v>368</v>
      </c>
      <c r="E1876">
        <v>21888</v>
      </c>
      <c r="F1876">
        <v>9</v>
      </c>
      <c r="G1876">
        <v>1</v>
      </c>
      <c r="H1876">
        <v>1</v>
      </c>
      <c r="I1876">
        <v>2</v>
      </c>
      <c r="J1876" t="s">
        <v>3547</v>
      </c>
      <c r="K1876" t="s">
        <v>3548</v>
      </c>
      <c r="L1876" s="2">
        <v>1518.7864</v>
      </c>
      <c r="M1876" s="2">
        <v>2443.35</v>
      </c>
      <c r="N1876" t="s">
        <v>13</v>
      </c>
      <c r="O1876" t="s">
        <v>228</v>
      </c>
      <c r="P1876" t="s">
        <v>70</v>
      </c>
      <c r="Q1876" t="s">
        <v>8204</v>
      </c>
      <c r="R1876" s="1">
        <v>26911</v>
      </c>
      <c r="S1876" t="s">
        <v>22</v>
      </c>
      <c r="T1876" t="s">
        <v>16</v>
      </c>
      <c r="U1876" t="s">
        <v>2701</v>
      </c>
      <c r="V1876">
        <v>100000</v>
      </c>
      <c r="W1876">
        <v>0</v>
      </c>
      <c r="X1876" t="s">
        <v>57</v>
      </c>
      <c r="Y1876" t="s">
        <v>45</v>
      </c>
      <c r="Z1876" t="s">
        <v>19</v>
      </c>
      <c r="AA1876" t="s">
        <v>3586</v>
      </c>
      <c r="AB1876" t="s">
        <v>3586</v>
      </c>
      <c r="AC1876" t="s">
        <v>3587</v>
      </c>
      <c r="AD1876" t="s">
        <v>3479</v>
      </c>
      <c r="AE1876" t="s">
        <v>3475</v>
      </c>
      <c r="AF1876" s="2">
        <v>2443.35</v>
      </c>
      <c r="AG1876" s="2">
        <v>1518.7864</v>
      </c>
      <c r="AH1876" s="2">
        <v>924.56359999999995</v>
      </c>
      <c r="AI1876" s="3">
        <v>0.37839998362903399</v>
      </c>
    </row>
    <row r="1877" spans="1:35">
      <c r="A1877" s="1">
        <v>42258</v>
      </c>
      <c r="B1877" s="1">
        <v>37465</v>
      </c>
      <c r="C1877" t="s">
        <v>5354</v>
      </c>
      <c r="D1877">
        <v>379</v>
      </c>
      <c r="E1877">
        <v>21889</v>
      </c>
      <c r="F1877">
        <v>9</v>
      </c>
      <c r="G1877">
        <v>1</v>
      </c>
      <c r="H1877">
        <v>1</v>
      </c>
      <c r="I1877">
        <v>2</v>
      </c>
      <c r="J1877" t="s">
        <v>3561</v>
      </c>
      <c r="K1877" t="s">
        <v>3562</v>
      </c>
      <c r="L1877" s="2">
        <v>1320.6838</v>
      </c>
      <c r="M1877" s="2">
        <v>2181.5625</v>
      </c>
      <c r="N1877" t="s">
        <v>26</v>
      </c>
      <c r="O1877" t="s">
        <v>1597</v>
      </c>
      <c r="P1877" t="s">
        <v>153</v>
      </c>
      <c r="Q1877" t="s">
        <v>8205</v>
      </c>
      <c r="R1877" s="1">
        <v>26893</v>
      </c>
      <c r="S1877" t="s">
        <v>16</v>
      </c>
      <c r="T1877" t="s">
        <v>29</v>
      </c>
      <c r="U1877" t="s">
        <v>2702</v>
      </c>
      <c r="V1877">
        <v>110000</v>
      </c>
      <c r="W1877">
        <v>0</v>
      </c>
      <c r="X1877" t="s">
        <v>52</v>
      </c>
      <c r="Y1877" t="s">
        <v>45</v>
      </c>
      <c r="Z1877" t="s">
        <v>19</v>
      </c>
      <c r="AA1877" t="s">
        <v>3586</v>
      </c>
      <c r="AB1877" t="s">
        <v>3586</v>
      </c>
      <c r="AC1877" t="s">
        <v>3587</v>
      </c>
      <c r="AD1877" t="s">
        <v>3479</v>
      </c>
      <c r="AE1877" t="s">
        <v>3475</v>
      </c>
      <c r="AF1877" s="2">
        <v>2181.5625</v>
      </c>
      <c r="AG1877" s="2">
        <v>1320.6838</v>
      </c>
      <c r="AH1877" s="2">
        <v>860.87869999999998</v>
      </c>
      <c r="AI1877" s="3">
        <v>0.39461564818793898</v>
      </c>
    </row>
    <row r="1878" spans="1:35">
      <c r="A1878" s="1">
        <v>42265</v>
      </c>
      <c r="B1878" s="1">
        <v>37484</v>
      </c>
      <c r="C1878" t="s">
        <v>5399</v>
      </c>
      <c r="D1878">
        <v>370</v>
      </c>
      <c r="E1878">
        <v>21891</v>
      </c>
      <c r="F1878">
        <v>9</v>
      </c>
      <c r="G1878">
        <v>1</v>
      </c>
      <c r="H1878">
        <v>1</v>
      </c>
      <c r="I1878">
        <v>2</v>
      </c>
      <c r="J1878" t="s">
        <v>3551</v>
      </c>
      <c r="K1878" t="s">
        <v>3552</v>
      </c>
      <c r="L1878" s="2">
        <v>1518.7864</v>
      </c>
      <c r="M1878" s="2">
        <v>2443.35</v>
      </c>
      <c r="N1878" t="s">
        <v>26</v>
      </c>
      <c r="O1878" t="s">
        <v>580</v>
      </c>
      <c r="P1878" t="s">
        <v>115</v>
      </c>
      <c r="Q1878" t="s">
        <v>8206</v>
      </c>
      <c r="R1878" s="1">
        <v>26473</v>
      </c>
      <c r="S1878" t="s">
        <v>16</v>
      </c>
      <c r="T1878" t="s">
        <v>29</v>
      </c>
      <c r="U1878" t="s">
        <v>2703</v>
      </c>
      <c r="V1878">
        <v>110000</v>
      </c>
      <c r="W1878">
        <v>0</v>
      </c>
      <c r="X1878" t="s">
        <v>57</v>
      </c>
      <c r="Y1878" t="s">
        <v>45</v>
      </c>
      <c r="Z1878" t="s">
        <v>19</v>
      </c>
      <c r="AA1878" t="s">
        <v>3586</v>
      </c>
      <c r="AB1878" t="s">
        <v>3586</v>
      </c>
      <c r="AC1878" t="s">
        <v>3587</v>
      </c>
      <c r="AD1878" t="s">
        <v>3479</v>
      </c>
      <c r="AE1878" t="s">
        <v>3475</v>
      </c>
      <c r="AF1878" s="2">
        <v>2443.35</v>
      </c>
      <c r="AG1878" s="2">
        <v>1518.7864</v>
      </c>
      <c r="AH1878" s="2">
        <v>924.56359999999995</v>
      </c>
      <c r="AI1878" s="3">
        <v>0.37839998362903399</v>
      </c>
    </row>
    <row r="1879" spans="1:35">
      <c r="A1879" s="1">
        <v>42256</v>
      </c>
      <c r="B1879" s="1">
        <v>37448</v>
      </c>
      <c r="C1879" t="s">
        <v>5334</v>
      </c>
      <c r="D1879">
        <v>370</v>
      </c>
      <c r="E1879">
        <v>21892</v>
      </c>
      <c r="F1879">
        <v>9</v>
      </c>
      <c r="G1879">
        <v>1</v>
      </c>
      <c r="H1879">
        <v>1</v>
      </c>
      <c r="I1879">
        <v>2</v>
      </c>
      <c r="J1879" t="s">
        <v>3551</v>
      </c>
      <c r="K1879" t="s">
        <v>3552</v>
      </c>
      <c r="L1879" s="2">
        <v>1518.7864</v>
      </c>
      <c r="M1879" s="2">
        <v>2443.35</v>
      </c>
      <c r="N1879" t="s">
        <v>26</v>
      </c>
      <c r="O1879" t="s">
        <v>599</v>
      </c>
      <c r="P1879" t="s">
        <v>101</v>
      </c>
      <c r="Q1879" t="s">
        <v>8207</v>
      </c>
      <c r="R1879" s="1">
        <v>26171</v>
      </c>
      <c r="S1879" t="s">
        <v>16</v>
      </c>
      <c r="T1879" t="s">
        <v>29</v>
      </c>
      <c r="U1879" t="s">
        <v>2704</v>
      </c>
      <c r="V1879">
        <v>100000</v>
      </c>
      <c r="W1879">
        <v>0</v>
      </c>
      <c r="X1879" t="s">
        <v>57</v>
      </c>
      <c r="Y1879" t="s">
        <v>45</v>
      </c>
      <c r="Z1879" t="s">
        <v>19</v>
      </c>
      <c r="AA1879" t="s">
        <v>3586</v>
      </c>
      <c r="AB1879" t="s">
        <v>3586</v>
      </c>
      <c r="AC1879" t="s">
        <v>3587</v>
      </c>
      <c r="AD1879" t="s">
        <v>3479</v>
      </c>
      <c r="AE1879" t="s">
        <v>3475</v>
      </c>
      <c r="AF1879" s="2">
        <v>2443.35</v>
      </c>
      <c r="AG1879" s="2">
        <v>1518.7864</v>
      </c>
      <c r="AH1879" s="2">
        <v>924.56359999999995</v>
      </c>
      <c r="AI1879" s="3">
        <v>0.37839998362903399</v>
      </c>
    </row>
    <row r="1880" spans="1:35">
      <c r="A1880" s="1">
        <v>42250</v>
      </c>
      <c r="B1880" s="1">
        <v>37393</v>
      </c>
      <c r="C1880" t="s">
        <v>5297</v>
      </c>
      <c r="D1880">
        <v>379</v>
      </c>
      <c r="E1880">
        <v>21893</v>
      </c>
      <c r="F1880">
        <v>9</v>
      </c>
      <c r="G1880">
        <v>1</v>
      </c>
      <c r="H1880">
        <v>1</v>
      </c>
      <c r="I1880">
        <v>2</v>
      </c>
      <c r="J1880" t="s">
        <v>3561</v>
      </c>
      <c r="K1880" t="s">
        <v>3562</v>
      </c>
      <c r="L1880" s="2">
        <v>1320.6838</v>
      </c>
      <c r="M1880" s="2">
        <v>2181.5625</v>
      </c>
      <c r="N1880" t="s">
        <v>26</v>
      </c>
      <c r="O1880" t="s">
        <v>975</v>
      </c>
      <c r="P1880" t="s">
        <v>101</v>
      </c>
      <c r="Q1880" t="s">
        <v>8208</v>
      </c>
      <c r="R1880" s="1">
        <v>26099</v>
      </c>
      <c r="S1880" t="s">
        <v>22</v>
      </c>
      <c r="T1880" t="s">
        <v>29</v>
      </c>
      <c r="U1880" t="s">
        <v>2705</v>
      </c>
      <c r="V1880">
        <v>100000</v>
      </c>
      <c r="W1880">
        <v>0</v>
      </c>
      <c r="X1880" t="s">
        <v>57</v>
      </c>
      <c r="Y1880" t="s">
        <v>45</v>
      </c>
      <c r="Z1880" t="s">
        <v>19</v>
      </c>
      <c r="AA1880" t="s">
        <v>3586</v>
      </c>
      <c r="AB1880" t="s">
        <v>3586</v>
      </c>
      <c r="AC1880" t="s">
        <v>3587</v>
      </c>
      <c r="AD1880" t="s">
        <v>3479</v>
      </c>
      <c r="AE1880" t="s">
        <v>3475</v>
      </c>
      <c r="AF1880" s="2">
        <v>2181.5625</v>
      </c>
      <c r="AG1880" s="2">
        <v>1320.6838</v>
      </c>
      <c r="AH1880" s="2">
        <v>860.87869999999998</v>
      </c>
      <c r="AI1880" s="3">
        <v>0.39461564818793898</v>
      </c>
    </row>
    <row r="1881" spans="1:35">
      <c r="A1881" s="1">
        <v>42273</v>
      </c>
      <c r="B1881" s="1">
        <v>37482</v>
      </c>
      <c r="C1881" t="s">
        <v>5454</v>
      </c>
      <c r="D1881">
        <v>371</v>
      </c>
      <c r="E1881">
        <v>21894</v>
      </c>
      <c r="F1881">
        <v>9</v>
      </c>
      <c r="G1881">
        <v>1</v>
      </c>
      <c r="H1881">
        <v>1</v>
      </c>
      <c r="I1881">
        <v>2</v>
      </c>
      <c r="J1881" t="s">
        <v>3553</v>
      </c>
      <c r="K1881" t="s">
        <v>3554</v>
      </c>
      <c r="L1881" s="2">
        <v>1320.6838</v>
      </c>
      <c r="M1881" s="2">
        <v>2181.5625</v>
      </c>
      <c r="N1881" t="s">
        <v>13</v>
      </c>
      <c r="O1881" t="s">
        <v>292</v>
      </c>
      <c r="P1881" t="s">
        <v>338</v>
      </c>
      <c r="Q1881" t="s">
        <v>8209</v>
      </c>
      <c r="R1881" s="1">
        <v>25885</v>
      </c>
      <c r="S1881" t="s">
        <v>22</v>
      </c>
      <c r="T1881" t="s">
        <v>16</v>
      </c>
      <c r="U1881" t="s">
        <v>2706</v>
      </c>
      <c r="V1881">
        <v>90000</v>
      </c>
      <c r="W1881">
        <v>0</v>
      </c>
      <c r="X1881" t="s">
        <v>17</v>
      </c>
      <c r="Y1881" t="s">
        <v>18</v>
      </c>
      <c r="Z1881" t="s">
        <v>23</v>
      </c>
      <c r="AA1881" t="s">
        <v>3586</v>
      </c>
      <c r="AB1881" t="s">
        <v>3586</v>
      </c>
      <c r="AC1881" t="s">
        <v>3587</v>
      </c>
      <c r="AD1881" t="s">
        <v>3479</v>
      </c>
      <c r="AE1881" t="s">
        <v>3475</v>
      </c>
      <c r="AF1881" s="2">
        <v>2181.5625</v>
      </c>
      <c r="AG1881" s="2">
        <v>1320.6838</v>
      </c>
      <c r="AH1881" s="2">
        <v>860.87869999999998</v>
      </c>
      <c r="AI1881" s="3">
        <v>0.39461564818793898</v>
      </c>
    </row>
    <row r="1882" spans="1:35">
      <c r="A1882" s="1">
        <v>42253</v>
      </c>
      <c r="B1882" s="1">
        <v>37401</v>
      </c>
      <c r="C1882" t="s">
        <v>5315</v>
      </c>
      <c r="D1882">
        <v>371</v>
      </c>
      <c r="E1882">
        <v>21895</v>
      </c>
      <c r="F1882">
        <v>9</v>
      </c>
      <c r="G1882">
        <v>1</v>
      </c>
      <c r="H1882">
        <v>1</v>
      </c>
      <c r="I1882">
        <v>2</v>
      </c>
      <c r="J1882" t="s">
        <v>3553</v>
      </c>
      <c r="K1882" t="s">
        <v>3554</v>
      </c>
      <c r="L1882" s="2">
        <v>1320.6838</v>
      </c>
      <c r="M1882" s="2">
        <v>2181.5625</v>
      </c>
      <c r="N1882" t="s">
        <v>26</v>
      </c>
      <c r="O1882" t="s">
        <v>702</v>
      </c>
      <c r="P1882" t="s">
        <v>95</v>
      </c>
      <c r="Q1882" t="s">
        <v>8210</v>
      </c>
      <c r="R1882" s="1">
        <v>25850</v>
      </c>
      <c r="S1882" t="s">
        <v>22</v>
      </c>
      <c r="T1882" t="s">
        <v>29</v>
      </c>
      <c r="U1882" t="s">
        <v>2707</v>
      </c>
      <c r="V1882">
        <v>90000</v>
      </c>
      <c r="W1882">
        <v>0</v>
      </c>
      <c r="X1882" t="s">
        <v>17</v>
      </c>
      <c r="Y1882" t="s">
        <v>18</v>
      </c>
      <c r="Z1882" t="s">
        <v>23</v>
      </c>
      <c r="AA1882" t="s">
        <v>3586</v>
      </c>
      <c r="AB1882" t="s">
        <v>3586</v>
      </c>
      <c r="AC1882" t="s">
        <v>3587</v>
      </c>
      <c r="AD1882" t="s">
        <v>3479</v>
      </c>
      <c r="AE1882" t="s">
        <v>3475</v>
      </c>
      <c r="AF1882" s="2">
        <v>2181.5625</v>
      </c>
      <c r="AG1882" s="2">
        <v>1320.6838</v>
      </c>
      <c r="AH1882" s="2">
        <v>860.87869999999998</v>
      </c>
      <c r="AI1882" s="3">
        <v>0.39461564818793898</v>
      </c>
    </row>
    <row r="1883" spans="1:35">
      <c r="A1883" s="1">
        <v>42276</v>
      </c>
      <c r="B1883" s="1">
        <v>37443</v>
      </c>
      <c r="C1883" t="s">
        <v>5469</v>
      </c>
      <c r="D1883">
        <v>368</v>
      </c>
      <c r="E1883">
        <v>21897</v>
      </c>
      <c r="F1883">
        <v>9</v>
      </c>
      <c r="G1883">
        <v>1</v>
      </c>
      <c r="H1883">
        <v>1</v>
      </c>
      <c r="I1883">
        <v>2</v>
      </c>
      <c r="J1883" t="s">
        <v>3547</v>
      </c>
      <c r="K1883" t="s">
        <v>3548</v>
      </c>
      <c r="L1883" s="2">
        <v>1518.7864</v>
      </c>
      <c r="M1883" s="2">
        <v>2443.35</v>
      </c>
      <c r="N1883" t="s">
        <v>13</v>
      </c>
      <c r="O1883" t="s">
        <v>478</v>
      </c>
      <c r="P1883" t="s">
        <v>561</v>
      </c>
      <c r="Q1883" t="s">
        <v>8211</v>
      </c>
      <c r="R1883" s="1">
        <v>26226</v>
      </c>
      <c r="S1883" t="s">
        <v>16</v>
      </c>
      <c r="T1883" t="s">
        <v>16</v>
      </c>
      <c r="U1883" t="s">
        <v>2708</v>
      </c>
      <c r="V1883">
        <v>110000</v>
      </c>
      <c r="W1883">
        <v>0</v>
      </c>
      <c r="X1883" t="s">
        <v>77</v>
      </c>
      <c r="Y1883" t="s">
        <v>18</v>
      </c>
      <c r="Z1883" t="s">
        <v>23</v>
      </c>
      <c r="AA1883" t="s">
        <v>3586</v>
      </c>
      <c r="AB1883" t="s">
        <v>3586</v>
      </c>
      <c r="AC1883" t="s">
        <v>3587</v>
      </c>
      <c r="AD1883" t="s">
        <v>3479</v>
      </c>
      <c r="AE1883" t="s">
        <v>3475</v>
      </c>
      <c r="AF1883" s="2">
        <v>2443.35</v>
      </c>
      <c r="AG1883" s="2">
        <v>1518.7864</v>
      </c>
      <c r="AH1883" s="2">
        <v>924.56359999999995</v>
      </c>
      <c r="AI1883" s="3">
        <v>0.37839998362903399</v>
      </c>
    </row>
    <row r="1884" spans="1:35">
      <c r="A1884" s="1">
        <v>42251</v>
      </c>
      <c r="B1884" s="1">
        <v>37408</v>
      </c>
      <c r="C1884" t="s">
        <v>5309</v>
      </c>
      <c r="D1884">
        <v>373</v>
      </c>
      <c r="E1884">
        <v>21899</v>
      </c>
      <c r="F1884">
        <v>9</v>
      </c>
      <c r="G1884">
        <v>1</v>
      </c>
      <c r="H1884">
        <v>1</v>
      </c>
      <c r="I1884">
        <v>2</v>
      </c>
      <c r="J1884" t="s">
        <v>3555</v>
      </c>
      <c r="K1884" t="s">
        <v>3556</v>
      </c>
      <c r="L1884" s="2">
        <v>1320.6838</v>
      </c>
      <c r="M1884" s="2">
        <v>2181.5625</v>
      </c>
      <c r="N1884" t="s">
        <v>26</v>
      </c>
      <c r="O1884" t="s">
        <v>1127</v>
      </c>
      <c r="P1884" t="s">
        <v>232</v>
      </c>
      <c r="Q1884" t="s">
        <v>8212</v>
      </c>
      <c r="R1884" s="1">
        <v>26033</v>
      </c>
      <c r="S1884" t="s">
        <v>16</v>
      </c>
      <c r="T1884" t="s">
        <v>29</v>
      </c>
      <c r="U1884" t="s">
        <v>2709</v>
      </c>
      <c r="V1884">
        <v>110000</v>
      </c>
      <c r="W1884">
        <v>0</v>
      </c>
      <c r="X1884" t="s">
        <v>77</v>
      </c>
      <c r="Y1884" t="s">
        <v>18</v>
      </c>
      <c r="Z1884" t="s">
        <v>19</v>
      </c>
      <c r="AA1884" t="s">
        <v>3586</v>
      </c>
      <c r="AB1884" t="s">
        <v>3586</v>
      </c>
      <c r="AC1884" t="s">
        <v>3587</v>
      </c>
      <c r="AD1884" t="s">
        <v>3479</v>
      </c>
      <c r="AE1884" t="s">
        <v>3475</v>
      </c>
      <c r="AF1884" s="2">
        <v>2181.5625</v>
      </c>
      <c r="AG1884" s="2">
        <v>1320.6838</v>
      </c>
      <c r="AH1884" s="2">
        <v>860.87869999999998</v>
      </c>
      <c r="AI1884" s="3">
        <v>0.39461564818793898</v>
      </c>
    </row>
    <row r="1885" spans="1:35">
      <c r="A1885" s="1">
        <v>42271</v>
      </c>
      <c r="B1885" s="1">
        <v>37467</v>
      </c>
      <c r="C1885" t="s">
        <v>5441</v>
      </c>
      <c r="D1885">
        <v>377</v>
      </c>
      <c r="E1885">
        <v>21943</v>
      </c>
      <c r="F1885">
        <v>9</v>
      </c>
      <c r="G1885">
        <v>1</v>
      </c>
      <c r="H1885">
        <v>1</v>
      </c>
      <c r="I1885">
        <v>2</v>
      </c>
      <c r="J1885" t="s">
        <v>3559</v>
      </c>
      <c r="K1885" t="s">
        <v>3560</v>
      </c>
      <c r="L1885" s="2">
        <v>1320.6838</v>
      </c>
      <c r="M1885" s="2">
        <v>2181.5625</v>
      </c>
      <c r="N1885" t="s">
        <v>30</v>
      </c>
      <c r="O1885" t="s">
        <v>362</v>
      </c>
      <c r="P1885" t="s">
        <v>35</v>
      </c>
      <c r="Q1885" t="s">
        <v>8213</v>
      </c>
      <c r="R1885" s="1">
        <v>25423</v>
      </c>
      <c r="S1885" t="s">
        <v>22</v>
      </c>
      <c r="T1885" t="s">
        <v>29</v>
      </c>
      <c r="U1885" t="s">
        <v>2710</v>
      </c>
      <c r="V1885">
        <v>80000</v>
      </c>
      <c r="W1885">
        <v>4</v>
      </c>
      <c r="X1885" t="s">
        <v>135</v>
      </c>
      <c r="Y1885" t="s">
        <v>45</v>
      </c>
      <c r="Z1885" t="s">
        <v>19</v>
      </c>
      <c r="AA1885" t="s">
        <v>3586</v>
      </c>
      <c r="AB1885" t="s">
        <v>3586</v>
      </c>
      <c r="AC1885" t="s">
        <v>3587</v>
      </c>
      <c r="AD1885" t="s">
        <v>3479</v>
      </c>
      <c r="AE1885" t="s">
        <v>3475</v>
      </c>
      <c r="AF1885" s="2">
        <v>2181.5625</v>
      </c>
      <c r="AG1885" s="2">
        <v>1320.6838</v>
      </c>
      <c r="AH1885" s="2">
        <v>860.87869999999998</v>
      </c>
      <c r="AI1885" s="3">
        <v>0.39461564818793898</v>
      </c>
    </row>
    <row r="1886" spans="1:35">
      <c r="A1886" s="1">
        <v>42263</v>
      </c>
      <c r="B1886" s="1">
        <v>37454</v>
      </c>
      <c r="C1886" t="s">
        <v>5387</v>
      </c>
      <c r="D1886">
        <v>377</v>
      </c>
      <c r="E1886">
        <v>21944</v>
      </c>
      <c r="F1886">
        <v>9</v>
      </c>
      <c r="G1886">
        <v>1</v>
      </c>
      <c r="H1886">
        <v>1</v>
      </c>
      <c r="I1886">
        <v>2</v>
      </c>
      <c r="J1886" t="s">
        <v>3559</v>
      </c>
      <c r="K1886" t="s">
        <v>3560</v>
      </c>
      <c r="L1886" s="2">
        <v>1320.6838</v>
      </c>
      <c r="M1886" s="2">
        <v>2181.5625</v>
      </c>
      <c r="N1886" t="s">
        <v>30</v>
      </c>
      <c r="O1886" t="s">
        <v>1693</v>
      </c>
      <c r="P1886" t="s">
        <v>1135</v>
      </c>
      <c r="Q1886" t="s">
        <v>8214</v>
      </c>
      <c r="R1886" s="1">
        <v>25466</v>
      </c>
      <c r="S1886" t="s">
        <v>16</v>
      </c>
      <c r="T1886" t="s">
        <v>29</v>
      </c>
      <c r="U1886" t="s">
        <v>2711</v>
      </c>
      <c r="V1886">
        <v>90000</v>
      </c>
      <c r="W1886">
        <v>1</v>
      </c>
      <c r="X1886" t="s">
        <v>135</v>
      </c>
      <c r="Y1886" t="s">
        <v>45</v>
      </c>
      <c r="Z1886" t="s">
        <v>19</v>
      </c>
      <c r="AA1886" t="s">
        <v>3586</v>
      </c>
      <c r="AB1886" t="s">
        <v>3586</v>
      </c>
      <c r="AC1886" t="s">
        <v>3587</v>
      </c>
      <c r="AD1886" t="s">
        <v>3479</v>
      </c>
      <c r="AE1886" t="s">
        <v>3475</v>
      </c>
      <c r="AF1886" s="2">
        <v>2181.5625</v>
      </c>
      <c r="AG1886" s="2">
        <v>1320.6838</v>
      </c>
      <c r="AH1886" s="2">
        <v>860.87869999999998</v>
      </c>
      <c r="AI1886" s="3">
        <v>0.39461564818793898</v>
      </c>
    </row>
    <row r="1887" spans="1:35">
      <c r="A1887" s="1">
        <v>42250</v>
      </c>
      <c r="B1887" s="1">
        <v>37453</v>
      </c>
      <c r="C1887" t="s">
        <v>5303</v>
      </c>
      <c r="D1887">
        <v>369</v>
      </c>
      <c r="E1887">
        <v>21945</v>
      </c>
      <c r="F1887">
        <v>9</v>
      </c>
      <c r="G1887">
        <v>1</v>
      </c>
      <c r="H1887">
        <v>1</v>
      </c>
      <c r="I1887">
        <v>2</v>
      </c>
      <c r="J1887" t="s">
        <v>3549</v>
      </c>
      <c r="K1887" t="s">
        <v>3550</v>
      </c>
      <c r="L1887" s="2">
        <v>1518.7864</v>
      </c>
      <c r="M1887" s="2">
        <v>2443.35</v>
      </c>
      <c r="N1887" t="s">
        <v>30</v>
      </c>
      <c r="O1887" t="s">
        <v>2712</v>
      </c>
      <c r="P1887" t="s">
        <v>2713</v>
      </c>
      <c r="Q1887" t="s">
        <v>8215</v>
      </c>
      <c r="R1887" s="1">
        <v>25251</v>
      </c>
      <c r="S1887" t="s">
        <v>22</v>
      </c>
      <c r="T1887" t="s">
        <v>29</v>
      </c>
      <c r="U1887" t="s">
        <v>2714</v>
      </c>
      <c r="V1887">
        <v>90000</v>
      </c>
      <c r="W1887">
        <v>1</v>
      </c>
      <c r="X1887" t="s">
        <v>135</v>
      </c>
      <c r="Y1887" t="s">
        <v>45</v>
      </c>
      <c r="Z1887" t="s">
        <v>19</v>
      </c>
      <c r="AA1887" t="s">
        <v>3586</v>
      </c>
      <c r="AB1887" t="s">
        <v>3586</v>
      </c>
      <c r="AC1887" t="s">
        <v>3587</v>
      </c>
      <c r="AD1887" t="s">
        <v>3479</v>
      </c>
      <c r="AE1887" t="s">
        <v>3475</v>
      </c>
      <c r="AF1887" s="2">
        <v>2443.35</v>
      </c>
      <c r="AG1887" s="2">
        <v>1518.7864</v>
      </c>
      <c r="AH1887" s="2">
        <v>924.56359999999995</v>
      </c>
      <c r="AI1887" s="3">
        <v>0.37839998362903399</v>
      </c>
    </row>
    <row r="1888" spans="1:35">
      <c r="A1888" s="1">
        <v>42257</v>
      </c>
      <c r="B1888" s="1">
        <v>37418</v>
      </c>
      <c r="C1888" t="s">
        <v>5343</v>
      </c>
      <c r="D1888">
        <v>373</v>
      </c>
      <c r="E1888">
        <v>21946</v>
      </c>
      <c r="F1888">
        <v>9</v>
      </c>
      <c r="G1888">
        <v>1</v>
      </c>
      <c r="H1888">
        <v>1</v>
      </c>
      <c r="I1888">
        <v>2</v>
      </c>
      <c r="J1888" t="s">
        <v>3555</v>
      </c>
      <c r="K1888" t="s">
        <v>3556</v>
      </c>
      <c r="L1888" s="2">
        <v>1320.6838</v>
      </c>
      <c r="M1888" s="2">
        <v>2181.5625</v>
      </c>
      <c r="N1888" t="s">
        <v>30</v>
      </c>
      <c r="O1888" t="s">
        <v>132</v>
      </c>
      <c r="P1888" t="s">
        <v>226</v>
      </c>
      <c r="Q1888" t="s">
        <v>8216</v>
      </c>
      <c r="R1888" s="1">
        <v>25206</v>
      </c>
      <c r="S1888" t="s">
        <v>16</v>
      </c>
      <c r="T1888" t="s">
        <v>29</v>
      </c>
      <c r="U1888" t="s">
        <v>2715</v>
      </c>
      <c r="V1888">
        <v>90000</v>
      </c>
      <c r="W1888">
        <v>2</v>
      </c>
      <c r="X1888" t="s">
        <v>17</v>
      </c>
      <c r="Y1888" t="s">
        <v>18</v>
      </c>
      <c r="Z1888" t="s">
        <v>19</v>
      </c>
      <c r="AA1888" t="s">
        <v>3586</v>
      </c>
      <c r="AB1888" t="s">
        <v>3586</v>
      </c>
      <c r="AC1888" t="s">
        <v>3587</v>
      </c>
      <c r="AD1888" t="s">
        <v>3479</v>
      </c>
      <c r="AE1888" t="s">
        <v>3475</v>
      </c>
      <c r="AF1888" s="2">
        <v>2181.5625</v>
      </c>
      <c r="AG1888" s="2">
        <v>1320.6838</v>
      </c>
      <c r="AH1888" s="2">
        <v>860.87869999999998</v>
      </c>
      <c r="AI1888" s="3">
        <v>0.39461564818793898</v>
      </c>
    </row>
    <row r="1889" spans="1:35">
      <c r="A1889" s="1">
        <v>42271</v>
      </c>
      <c r="B1889" s="1">
        <v>37492</v>
      </c>
      <c r="C1889" t="s">
        <v>5442</v>
      </c>
      <c r="D1889">
        <v>379</v>
      </c>
      <c r="E1889">
        <v>21947</v>
      </c>
      <c r="F1889">
        <v>9</v>
      </c>
      <c r="G1889">
        <v>1</v>
      </c>
      <c r="H1889">
        <v>1</v>
      </c>
      <c r="I1889">
        <v>2</v>
      </c>
      <c r="J1889" t="s">
        <v>3561</v>
      </c>
      <c r="K1889" t="s">
        <v>3562</v>
      </c>
      <c r="L1889" s="2">
        <v>1320.6838</v>
      </c>
      <c r="M1889" s="2">
        <v>2181.5625</v>
      </c>
      <c r="N1889" t="s">
        <v>30</v>
      </c>
      <c r="O1889" t="s">
        <v>880</v>
      </c>
      <c r="P1889" t="s">
        <v>317</v>
      </c>
      <c r="Q1889" t="s">
        <v>8217</v>
      </c>
      <c r="R1889" s="1">
        <v>25485</v>
      </c>
      <c r="S1889" t="s">
        <v>16</v>
      </c>
      <c r="T1889" t="s">
        <v>29</v>
      </c>
      <c r="U1889" t="s">
        <v>2716</v>
      </c>
      <c r="V1889">
        <v>90000</v>
      </c>
      <c r="W1889">
        <v>2</v>
      </c>
      <c r="X1889" t="s">
        <v>17</v>
      </c>
      <c r="Y1889" t="s">
        <v>18</v>
      </c>
      <c r="Z1889" t="s">
        <v>19</v>
      </c>
      <c r="AA1889" t="s">
        <v>3586</v>
      </c>
      <c r="AB1889" t="s">
        <v>3586</v>
      </c>
      <c r="AC1889" t="s">
        <v>3587</v>
      </c>
      <c r="AD1889" t="s">
        <v>3479</v>
      </c>
      <c r="AE1889" t="s">
        <v>3475</v>
      </c>
      <c r="AF1889" s="2">
        <v>2181.5625</v>
      </c>
      <c r="AG1889" s="2">
        <v>1320.6838</v>
      </c>
      <c r="AH1889" s="2">
        <v>860.87869999999998</v>
      </c>
      <c r="AI1889" s="3">
        <v>0.39461564818793898</v>
      </c>
    </row>
    <row r="1890" spans="1:35">
      <c r="A1890" s="1">
        <v>42251</v>
      </c>
      <c r="B1890" s="1">
        <v>37428</v>
      </c>
      <c r="C1890" t="s">
        <v>5305</v>
      </c>
      <c r="D1890">
        <v>370</v>
      </c>
      <c r="E1890">
        <v>21948</v>
      </c>
      <c r="F1890">
        <v>9</v>
      </c>
      <c r="G1890">
        <v>1</v>
      </c>
      <c r="H1890">
        <v>1</v>
      </c>
      <c r="I1890">
        <v>2</v>
      </c>
      <c r="J1890" t="s">
        <v>3551</v>
      </c>
      <c r="K1890" t="s">
        <v>3552</v>
      </c>
      <c r="L1890" s="2">
        <v>1518.7864</v>
      </c>
      <c r="M1890" s="2">
        <v>2443.35</v>
      </c>
      <c r="N1890" t="s">
        <v>30</v>
      </c>
      <c r="O1890" t="s">
        <v>805</v>
      </c>
      <c r="P1890" t="s">
        <v>658</v>
      </c>
      <c r="Q1890" t="s">
        <v>8218</v>
      </c>
      <c r="R1890" s="1">
        <v>25305</v>
      </c>
      <c r="S1890" t="s">
        <v>16</v>
      </c>
      <c r="T1890" t="s">
        <v>29</v>
      </c>
      <c r="U1890" t="s">
        <v>2717</v>
      </c>
      <c r="V1890">
        <v>100000</v>
      </c>
      <c r="W1890">
        <v>1</v>
      </c>
      <c r="X1890" t="s">
        <v>135</v>
      </c>
      <c r="Y1890" t="s">
        <v>45</v>
      </c>
      <c r="Z1890" t="s">
        <v>19</v>
      </c>
      <c r="AA1890" t="s">
        <v>3586</v>
      </c>
      <c r="AB1890" t="s">
        <v>3586</v>
      </c>
      <c r="AC1890" t="s">
        <v>3587</v>
      </c>
      <c r="AD1890" t="s">
        <v>3479</v>
      </c>
      <c r="AE1890" t="s">
        <v>3475</v>
      </c>
      <c r="AF1890" s="2">
        <v>2443.35</v>
      </c>
      <c r="AG1890" s="2">
        <v>1518.7864</v>
      </c>
      <c r="AH1890" s="2">
        <v>924.56359999999995</v>
      </c>
      <c r="AI1890" s="3">
        <v>0.37839998362903399</v>
      </c>
    </row>
    <row r="1891" spans="1:35">
      <c r="A1891" s="1">
        <v>42272</v>
      </c>
      <c r="B1891" s="1">
        <v>37411</v>
      </c>
      <c r="C1891" t="s">
        <v>5448</v>
      </c>
      <c r="D1891">
        <v>371</v>
      </c>
      <c r="E1891">
        <v>21949</v>
      </c>
      <c r="F1891">
        <v>9</v>
      </c>
      <c r="G1891">
        <v>1</v>
      </c>
      <c r="H1891">
        <v>1</v>
      </c>
      <c r="I1891">
        <v>2</v>
      </c>
      <c r="J1891" t="s">
        <v>3553</v>
      </c>
      <c r="K1891" t="s">
        <v>3554</v>
      </c>
      <c r="L1891" s="2">
        <v>1320.6838</v>
      </c>
      <c r="M1891" s="2">
        <v>2181.5625</v>
      </c>
      <c r="N1891" t="s">
        <v>13</v>
      </c>
      <c r="O1891" t="s">
        <v>645</v>
      </c>
      <c r="P1891" t="s">
        <v>341</v>
      </c>
      <c r="Q1891" t="s">
        <v>8219</v>
      </c>
      <c r="R1891" s="1">
        <v>25473</v>
      </c>
      <c r="S1891" t="s">
        <v>22</v>
      </c>
      <c r="T1891" t="s">
        <v>16</v>
      </c>
      <c r="U1891" t="s">
        <v>2718</v>
      </c>
      <c r="V1891">
        <v>100000</v>
      </c>
      <c r="W1891">
        <v>1</v>
      </c>
      <c r="X1891" t="s">
        <v>135</v>
      </c>
      <c r="Y1891" t="s">
        <v>45</v>
      </c>
      <c r="Z1891" t="s">
        <v>23</v>
      </c>
      <c r="AA1891" t="s">
        <v>3586</v>
      </c>
      <c r="AB1891" t="s">
        <v>3586</v>
      </c>
      <c r="AC1891" t="s">
        <v>3587</v>
      </c>
      <c r="AD1891" t="s">
        <v>3479</v>
      </c>
      <c r="AE1891" t="s">
        <v>3475</v>
      </c>
      <c r="AF1891" s="2">
        <v>2181.5625</v>
      </c>
      <c r="AG1891" s="2">
        <v>1320.6838</v>
      </c>
      <c r="AH1891" s="2">
        <v>860.87869999999998</v>
      </c>
      <c r="AI1891" s="3">
        <v>0.39461564818793898</v>
      </c>
    </row>
    <row r="1892" spans="1:35">
      <c r="A1892" s="1">
        <v>42261</v>
      </c>
      <c r="B1892" s="1">
        <v>37397</v>
      </c>
      <c r="C1892" t="s">
        <v>5374</v>
      </c>
      <c r="D1892">
        <v>368</v>
      </c>
      <c r="E1892">
        <v>21950</v>
      </c>
      <c r="F1892">
        <v>9</v>
      </c>
      <c r="G1892">
        <v>1</v>
      </c>
      <c r="H1892">
        <v>1</v>
      </c>
      <c r="I1892">
        <v>2</v>
      </c>
      <c r="J1892" t="s">
        <v>3547</v>
      </c>
      <c r="K1892" t="s">
        <v>3548</v>
      </c>
      <c r="L1892" s="2">
        <v>1518.7864</v>
      </c>
      <c r="M1892" s="2">
        <v>2443.35</v>
      </c>
      <c r="N1892" t="s">
        <v>13</v>
      </c>
      <c r="O1892" t="s">
        <v>649</v>
      </c>
      <c r="P1892" t="s">
        <v>101</v>
      </c>
      <c r="Q1892" t="s">
        <v>8220</v>
      </c>
      <c r="R1892" s="1">
        <v>25298</v>
      </c>
      <c r="S1892" t="s">
        <v>22</v>
      </c>
      <c r="T1892" t="s">
        <v>16</v>
      </c>
      <c r="U1892" t="s">
        <v>2719</v>
      </c>
      <c r="V1892">
        <v>100000</v>
      </c>
      <c r="W1892">
        <v>1</v>
      </c>
      <c r="X1892" t="s">
        <v>135</v>
      </c>
      <c r="Y1892" t="s">
        <v>45</v>
      </c>
      <c r="Z1892" t="s">
        <v>19</v>
      </c>
      <c r="AA1892" t="s">
        <v>3586</v>
      </c>
      <c r="AB1892" t="s">
        <v>3586</v>
      </c>
      <c r="AC1892" t="s">
        <v>3587</v>
      </c>
      <c r="AD1892" t="s">
        <v>3479</v>
      </c>
      <c r="AE1892" t="s">
        <v>3475</v>
      </c>
      <c r="AF1892" s="2">
        <v>2443.35</v>
      </c>
      <c r="AG1892" s="2">
        <v>1518.7864</v>
      </c>
      <c r="AH1892" s="2">
        <v>924.56359999999995</v>
      </c>
      <c r="AI1892" s="3">
        <v>0.37839998362903399</v>
      </c>
    </row>
    <row r="1893" spans="1:35">
      <c r="A1893" s="1">
        <v>42255</v>
      </c>
      <c r="B1893" s="1">
        <v>37432</v>
      </c>
      <c r="C1893" t="s">
        <v>5325</v>
      </c>
      <c r="D1893">
        <v>369</v>
      </c>
      <c r="E1893">
        <v>21951</v>
      </c>
      <c r="F1893">
        <v>9</v>
      </c>
      <c r="G1893">
        <v>1</v>
      </c>
      <c r="H1893">
        <v>1</v>
      </c>
      <c r="I1893">
        <v>2</v>
      </c>
      <c r="J1893" t="s">
        <v>3549</v>
      </c>
      <c r="K1893" t="s">
        <v>3550</v>
      </c>
      <c r="L1893" s="2">
        <v>1518.7864</v>
      </c>
      <c r="M1893" s="2">
        <v>2443.35</v>
      </c>
      <c r="N1893" t="s">
        <v>13</v>
      </c>
      <c r="O1893" t="s">
        <v>230</v>
      </c>
      <c r="P1893" t="s">
        <v>101</v>
      </c>
      <c r="Q1893" t="s">
        <v>8221</v>
      </c>
      <c r="R1893" s="1">
        <v>25899</v>
      </c>
      <c r="S1893" t="s">
        <v>22</v>
      </c>
      <c r="T1893" t="s">
        <v>16</v>
      </c>
      <c r="U1893" t="s">
        <v>2720</v>
      </c>
      <c r="V1893">
        <v>80000</v>
      </c>
      <c r="W1893">
        <v>4</v>
      </c>
      <c r="X1893" t="s">
        <v>135</v>
      </c>
      <c r="Y1893" t="s">
        <v>45</v>
      </c>
      <c r="Z1893" t="s">
        <v>19</v>
      </c>
      <c r="AA1893" t="s">
        <v>3586</v>
      </c>
      <c r="AB1893" t="s">
        <v>3586</v>
      </c>
      <c r="AC1893" t="s">
        <v>3587</v>
      </c>
      <c r="AD1893" t="s">
        <v>3479</v>
      </c>
      <c r="AE1893" t="s">
        <v>3475</v>
      </c>
      <c r="AF1893" s="2">
        <v>2443.35</v>
      </c>
      <c r="AG1893" s="2">
        <v>1518.7864</v>
      </c>
      <c r="AH1893" s="2">
        <v>924.56359999999995</v>
      </c>
      <c r="AI1893" s="3">
        <v>0.37839998362903399</v>
      </c>
    </row>
    <row r="1894" spans="1:35">
      <c r="A1894" s="1">
        <v>42263</v>
      </c>
      <c r="B1894" s="1">
        <v>37473</v>
      </c>
      <c r="C1894" t="s">
        <v>5389</v>
      </c>
      <c r="D1894">
        <v>368</v>
      </c>
      <c r="E1894">
        <v>21955</v>
      </c>
      <c r="F1894">
        <v>9</v>
      </c>
      <c r="G1894">
        <v>1</v>
      </c>
      <c r="H1894">
        <v>1</v>
      </c>
      <c r="I1894">
        <v>2</v>
      </c>
      <c r="J1894" t="s">
        <v>3547</v>
      </c>
      <c r="K1894" t="s">
        <v>3548</v>
      </c>
      <c r="L1894" s="2">
        <v>1518.7864</v>
      </c>
      <c r="M1894" s="2">
        <v>2443.35</v>
      </c>
      <c r="N1894" t="s">
        <v>30</v>
      </c>
      <c r="O1894" t="s">
        <v>389</v>
      </c>
      <c r="P1894" t="s">
        <v>1167</v>
      </c>
      <c r="Q1894" t="s">
        <v>8222</v>
      </c>
      <c r="R1894" s="1">
        <v>25437</v>
      </c>
      <c r="S1894" t="s">
        <v>22</v>
      </c>
      <c r="T1894" t="s">
        <v>29</v>
      </c>
      <c r="U1894" t="s">
        <v>2721</v>
      </c>
      <c r="V1894">
        <v>110000</v>
      </c>
      <c r="W1894">
        <v>1</v>
      </c>
      <c r="X1894" t="s">
        <v>135</v>
      </c>
      <c r="Y1894" t="s">
        <v>45</v>
      </c>
      <c r="Z1894" t="s">
        <v>19</v>
      </c>
      <c r="AA1894" t="s">
        <v>3586</v>
      </c>
      <c r="AB1894" t="s">
        <v>3586</v>
      </c>
      <c r="AC1894" t="s">
        <v>3587</v>
      </c>
      <c r="AD1894" t="s">
        <v>3479</v>
      </c>
      <c r="AE1894" t="s">
        <v>3475</v>
      </c>
      <c r="AF1894" s="2">
        <v>2443.35</v>
      </c>
      <c r="AG1894" s="2">
        <v>1518.7864</v>
      </c>
      <c r="AH1894" s="2">
        <v>924.56359999999995</v>
      </c>
      <c r="AI1894" s="3">
        <v>0.37839998362903399</v>
      </c>
    </row>
    <row r="1895" spans="1:35">
      <c r="A1895" s="1">
        <v>42260</v>
      </c>
      <c r="B1895" s="1">
        <v>37474</v>
      </c>
      <c r="C1895" t="s">
        <v>5367</v>
      </c>
      <c r="D1895">
        <v>377</v>
      </c>
      <c r="E1895">
        <v>21956</v>
      </c>
      <c r="F1895">
        <v>9</v>
      </c>
      <c r="G1895">
        <v>1</v>
      </c>
      <c r="H1895">
        <v>1</v>
      </c>
      <c r="I1895">
        <v>2</v>
      </c>
      <c r="J1895" t="s">
        <v>3559</v>
      </c>
      <c r="K1895" t="s">
        <v>3560</v>
      </c>
      <c r="L1895" s="2">
        <v>1320.6838</v>
      </c>
      <c r="M1895" s="2">
        <v>2181.5625</v>
      </c>
      <c r="N1895" t="s">
        <v>13</v>
      </c>
      <c r="O1895" t="s">
        <v>556</v>
      </c>
      <c r="P1895" t="s">
        <v>215</v>
      </c>
      <c r="Q1895" t="s">
        <v>8223</v>
      </c>
      <c r="R1895" s="1">
        <v>25492</v>
      </c>
      <c r="S1895" t="s">
        <v>22</v>
      </c>
      <c r="T1895" t="s">
        <v>16</v>
      </c>
      <c r="U1895" t="s">
        <v>2722</v>
      </c>
      <c r="V1895">
        <v>120000</v>
      </c>
      <c r="W1895">
        <v>1</v>
      </c>
      <c r="X1895" t="s">
        <v>135</v>
      </c>
      <c r="Y1895" t="s">
        <v>45</v>
      </c>
      <c r="Z1895" t="s">
        <v>23</v>
      </c>
      <c r="AA1895" t="s">
        <v>3586</v>
      </c>
      <c r="AB1895" t="s">
        <v>3586</v>
      </c>
      <c r="AC1895" t="s">
        <v>3587</v>
      </c>
      <c r="AD1895" t="s">
        <v>3479</v>
      </c>
      <c r="AE1895" t="s">
        <v>3475</v>
      </c>
      <c r="AF1895" s="2">
        <v>2181.5625</v>
      </c>
      <c r="AG1895" s="2">
        <v>1320.6838</v>
      </c>
      <c r="AH1895" s="2">
        <v>860.87869999999998</v>
      </c>
      <c r="AI1895" s="3">
        <v>0.39461564818793898</v>
      </c>
    </row>
    <row r="1896" spans="1:35">
      <c r="A1896" s="1">
        <v>42256</v>
      </c>
      <c r="B1896" s="1">
        <v>37466</v>
      </c>
      <c r="C1896" t="s">
        <v>5335</v>
      </c>
      <c r="D1896">
        <v>368</v>
      </c>
      <c r="E1896">
        <v>21957</v>
      </c>
      <c r="F1896">
        <v>9</v>
      </c>
      <c r="G1896">
        <v>1</v>
      </c>
      <c r="H1896">
        <v>1</v>
      </c>
      <c r="I1896">
        <v>2</v>
      </c>
      <c r="J1896" t="s">
        <v>3547</v>
      </c>
      <c r="K1896" t="s">
        <v>3548</v>
      </c>
      <c r="L1896" s="2">
        <v>1518.7864</v>
      </c>
      <c r="M1896" s="2">
        <v>2443.35</v>
      </c>
      <c r="N1896" t="s">
        <v>30</v>
      </c>
      <c r="O1896" t="s">
        <v>881</v>
      </c>
      <c r="P1896" t="s">
        <v>271</v>
      </c>
      <c r="Q1896" t="s">
        <v>8224</v>
      </c>
      <c r="R1896" s="1">
        <v>25341</v>
      </c>
      <c r="S1896" t="s">
        <v>16</v>
      </c>
      <c r="T1896" t="s">
        <v>29</v>
      </c>
      <c r="U1896" t="s">
        <v>2723</v>
      </c>
      <c r="V1896">
        <v>120000</v>
      </c>
      <c r="W1896">
        <v>1</v>
      </c>
      <c r="X1896" t="s">
        <v>135</v>
      </c>
      <c r="Y1896" t="s">
        <v>45</v>
      </c>
      <c r="Z1896" t="s">
        <v>19</v>
      </c>
      <c r="AA1896" t="s">
        <v>3586</v>
      </c>
      <c r="AB1896" t="s">
        <v>3586</v>
      </c>
      <c r="AC1896" t="s">
        <v>3587</v>
      </c>
      <c r="AD1896" t="s">
        <v>3479</v>
      </c>
      <c r="AE1896" t="s">
        <v>3475</v>
      </c>
      <c r="AF1896" s="2">
        <v>2443.35</v>
      </c>
      <c r="AG1896" s="2">
        <v>1518.7864</v>
      </c>
      <c r="AH1896" s="2">
        <v>924.56359999999995</v>
      </c>
      <c r="AI1896" s="3">
        <v>0.37839998362903399</v>
      </c>
    </row>
    <row r="1897" spans="1:35">
      <c r="A1897" s="1">
        <v>42272</v>
      </c>
      <c r="B1897" s="1">
        <v>37435</v>
      </c>
      <c r="C1897" t="s">
        <v>5450</v>
      </c>
      <c r="D1897">
        <v>377</v>
      </c>
      <c r="E1897">
        <v>21958</v>
      </c>
      <c r="F1897">
        <v>9</v>
      </c>
      <c r="G1897">
        <v>1</v>
      </c>
      <c r="H1897">
        <v>1</v>
      </c>
      <c r="I1897">
        <v>2</v>
      </c>
      <c r="J1897" t="s">
        <v>3559</v>
      </c>
      <c r="K1897" t="s">
        <v>3560</v>
      </c>
      <c r="L1897" s="2">
        <v>1320.6838</v>
      </c>
      <c r="M1897" s="2">
        <v>2181.5625</v>
      </c>
      <c r="N1897" t="s">
        <v>30</v>
      </c>
      <c r="O1897" t="s">
        <v>197</v>
      </c>
      <c r="P1897" t="s">
        <v>220</v>
      </c>
      <c r="Q1897" t="s">
        <v>8225</v>
      </c>
      <c r="R1897" s="1">
        <v>25495</v>
      </c>
      <c r="S1897" t="s">
        <v>22</v>
      </c>
      <c r="T1897" t="s">
        <v>29</v>
      </c>
      <c r="U1897" t="s">
        <v>2724</v>
      </c>
      <c r="V1897">
        <v>130000</v>
      </c>
      <c r="W1897">
        <v>1</v>
      </c>
      <c r="X1897" t="s">
        <v>135</v>
      </c>
      <c r="Y1897" t="s">
        <v>45</v>
      </c>
      <c r="Z1897" t="s">
        <v>23</v>
      </c>
      <c r="AA1897" t="s">
        <v>3586</v>
      </c>
      <c r="AB1897" t="s">
        <v>3586</v>
      </c>
      <c r="AC1897" t="s">
        <v>3587</v>
      </c>
      <c r="AD1897" t="s">
        <v>3479</v>
      </c>
      <c r="AE1897" t="s">
        <v>3475</v>
      </c>
      <c r="AF1897" s="2">
        <v>2181.5625</v>
      </c>
      <c r="AG1897" s="2">
        <v>1320.6838</v>
      </c>
      <c r="AH1897" s="2">
        <v>860.87869999999998</v>
      </c>
      <c r="AI1897" s="3">
        <v>0.39461564818793898</v>
      </c>
    </row>
    <row r="1898" spans="1:35">
      <c r="A1898" s="1">
        <v>42264</v>
      </c>
      <c r="B1898" s="1">
        <v>37496</v>
      </c>
      <c r="C1898" t="s">
        <v>5392</v>
      </c>
      <c r="D1898">
        <v>379</v>
      </c>
      <c r="E1898">
        <v>21959</v>
      </c>
      <c r="F1898">
        <v>9</v>
      </c>
      <c r="G1898">
        <v>1</v>
      </c>
      <c r="H1898">
        <v>1</v>
      </c>
      <c r="I1898">
        <v>2</v>
      </c>
      <c r="J1898" t="s">
        <v>3561</v>
      </c>
      <c r="K1898" t="s">
        <v>3562</v>
      </c>
      <c r="L1898" s="2">
        <v>1320.6838</v>
      </c>
      <c r="M1898" s="2">
        <v>2181.5625</v>
      </c>
      <c r="N1898" t="s">
        <v>13</v>
      </c>
      <c r="O1898" t="s">
        <v>84</v>
      </c>
      <c r="P1898" t="s">
        <v>97</v>
      </c>
      <c r="Q1898" t="s">
        <v>8226</v>
      </c>
      <c r="R1898" s="1">
        <v>25400</v>
      </c>
      <c r="S1898" t="s">
        <v>16</v>
      </c>
      <c r="T1898" t="s">
        <v>16</v>
      </c>
      <c r="U1898" t="s">
        <v>2725</v>
      </c>
      <c r="V1898">
        <v>130000</v>
      </c>
      <c r="W1898">
        <v>1</v>
      </c>
      <c r="X1898" t="s">
        <v>135</v>
      </c>
      <c r="Y1898" t="s">
        <v>45</v>
      </c>
      <c r="Z1898" t="s">
        <v>19</v>
      </c>
      <c r="AA1898" t="s">
        <v>3586</v>
      </c>
      <c r="AB1898" t="s">
        <v>3586</v>
      </c>
      <c r="AC1898" t="s">
        <v>3587</v>
      </c>
      <c r="AD1898" t="s">
        <v>3479</v>
      </c>
      <c r="AE1898" t="s">
        <v>3475</v>
      </c>
      <c r="AF1898" s="2">
        <v>2181.5625</v>
      </c>
      <c r="AG1898" s="2">
        <v>1320.6838</v>
      </c>
      <c r="AH1898" s="2">
        <v>860.87869999999998</v>
      </c>
      <c r="AI1898" s="3">
        <v>0.39461564818793898</v>
      </c>
    </row>
    <row r="1899" spans="1:35">
      <c r="A1899" s="1">
        <v>42296</v>
      </c>
      <c r="B1899" s="1">
        <v>37446</v>
      </c>
      <c r="C1899" t="s">
        <v>5617</v>
      </c>
      <c r="D1899">
        <v>373</v>
      </c>
      <c r="E1899">
        <v>21966</v>
      </c>
      <c r="F1899">
        <v>9</v>
      </c>
      <c r="G1899">
        <v>1</v>
      </c>
      <c r="H1899">
        <v>1</v>
      </c>
      <c r="I1899">
        <v>2</v>
      </c>
      <c r="J1899" t="s">
        <v>3555</v>
      </c>
      <c r="K1899" t="s">
        <v>3556</v>
      </c>
      <c r="L1899" s="2">
        <v>1320.6838</v>
      </c>
      <c r="M1899" s="2">
        <v>2181.5625</v>
      </c>
      <c r="N1899" t="s">
        <v>13</v>
      </c>
      <c r="O1899" t="s">
        <v>199</v>
      </c>
      <c r="P1899" t="s">
        <v>79</v>
      </c>
      <c r="Q1899" t="s">
        <v>8227</v>
      </c>
      <c r="R1899" s="1">
        <v>24407</v>
      </c>
      <c r="S1899" t="s">
        <v>16</v>
      </c>
      <c r="T1899" t="s">
        <v>16</v>
      </c>
      <c r="U1899" t="s">
        <v>2726</v>
      </c>
      <c r="V1899">
        <v>90000</v>
      </c>
      <c r="W1899">
        <v>2</v>
      </c>
      <c r="X1899" t="s">
        <v>17</v>
      </c>
      <c r="Y1899" t="s">
        <v>18</v>
      </c>
      <c r="Z1899" t="s">
        <v>19</v>
      </c>
      <c r="AA1899" t="s">
        <v>3586</v>
      </c>
      <c r="AB1899" t="s">
        <v>3586</v>
      </c>
      <c r="AC1899" t="s">
        <v>3587</v>
      </c>
      <c r="AD1899" t="s">
        <v>3479</v>
      </c>
      <c r="AE1899" t="s">
        <v>3475</v>
      </c>
      <c r="AF1899" s="2">
        <v>2181.5625</v>
      </c>
      <c r="AG1899" s="2">
        <v>1320.6838</v>
      </c>
      <c r="AH1899" s="2">
        <v>860.87869999999998</v>
      </c>
      <c r="AI1899" s="3">
        <v>0.39461564818793898</v>
      </c>
    </row>
    <row r="1900" spans="1:35">
      <c r="A1900" s="1">
        <v>42290</v>
      </c>
      <c r="B1900" s="1">
        <v>37458</v>
      </c>
      <c r="C1900" t="s">
        <v>5566</v>
      </c>
      <c r="D1900">
        <v>375</v>
      </c>
      <c r="E1900">
        <v>21968</v>
      </c>
      <c r="F1900">
        <v>9</v>
      </c>
      <c r="G1900">
        <v>1</v>
      </c>
      <c r="H1900">
        <v>1</v>
      </c>
      <c r="I1900">
        <v>2</v>
      </c>
      <c r="J1900" t="s">
        <v>3557</v>
      </c>
      <c r="K1900" t="s">
        <v>3558</v>
      </c>
      <c r="L1900" s="2">
        <v>1320.6838</v>
      </c>
      <c r="M1900" s="2">
        <v>2181.5625</v>
      </c>
      <c r="N1900" t="s">
        <v>13</v>
      </c>
      <c r="O1900" t="s">
        <v>92</v>
      </c>
      <c r="P1900" t="s">
        <v>226</v>
      </c>
      <c r="Q1900" t="s">
        <v>8228</v>
      </c>
      <c r="R1900" s="1">
        <v>25054</v>
      </c>
      <c r="S1900" t="s">
        <v>22</v>
      </c>
      <c r="T1900" t="s">
        <v>16</v>
      </c>
      <c r="U1900" t="s">
        <v>2727</v>
      </c>
      <c r="V1900">
        <v>70000</v>
      </c>
      <c r="W1900">
        <v>0</v>
      </c>
      <c r="X1900" t="s">
        <v>17</v>
      </c>
      <c r="Y1900" t="s">
        <v>18</v>
      </c>
      <c r="Z1900" t="s">
        <v>23</v>
      </c>
      <c r="AA1900" t="s">
        <v>3586</v>
      </c>
      <c r="AB1900" t="s">
        <v>3586</v>
      </c>
      <c r="AC1900" t="s">
        <v>3587</v>
      </c>
      <c r="AD1900" t="s">
        <v>3479</v>
      </c>
      <c r="AE1900" t="s">
        <v>3475</v>
      </c>
      <c r="AF1900" s="2">
        <v>2181.5625</v>
      </c>
      <c r="AG1900" s="2">
        <v>1320.6838</v>
      </c>
      <c r="AH1900" s="2">
        <v>860.87869999999998</v>
      </c>
      <c r="AI1900" s="3">
        <v>0.39461564818793898</v>
      </c>
    </row>
    <row r="1901" spans="1:35">
      <c r="A1901" s="1">
        <v>42306</v>
      </c>
      <c r="B1901" s="1">
        <v>37455</v>
      </c>
      <c r="C1901" t="s">
        <v>5688</v>
      </c>
      <c r="D1901">
        <v>371</v>
      </c>
      <c r="E1901">
        <v>21969</v>
      </c>
      <c r="F1901">
        <v>9</v>
      </c>
      <c r="G1901">
        <v>1</v>
      </c>
      <c r="H1901">
        <v>1</v>
      </c>
      <c r="I1901">
        <v>2</v>
      </c>
      <c r="J1901" t="s">
        <v>3553</v>
      </c>
      <c r="K1901" t="s">
        <v>3554</v>
      </c>
      <c r="L1901" s="2">
        <v>1320.6838</v>
      </c>
      <c r="M1901" s="2">
        <v>2181.5625</v>
      </c>
      <c r="N1901" t="s">
        <v>26</v>
      </c>
      <c r="O1901" t="s">
        <v>354</v>
      </c>
      <c r="P1901" t="s">
        <v>226</v>
      </c>
      <c r="Q1901" t="s">
        <v>8229</v>
      </c>
      <c r="R1901" s="1">
        <v>24922</v>
      </c>
      <c r="S1901" t="s">
        <v>22</v>
      </c>
      <c r="T1901" t="s">
        <v>29</v>
      </c>
      <c r="U1901" t="s">
        <v>2728</v>
      </c>
      <c r="V1901">
        <v>70000</v>
      </c>
      <c r="W1901">
        <v>0</v>
      </c>
      <c r="X1901" t="s">
        <v>17</v>
      </c>
      <c r="Y1901" t="s">
        <v>18</v>
      </c>
      <c r="Z1901" t="s">
        <v>23</v>
      </c>
      <c r="AA1901" t="s">
        <v>3586</v>
      </c>
      <c r="AB1901" t="s">
        <v>3586</v>
      </c>
      <c r="AC1901" t="s">
        <v>3587</v>
      </c>
      <c r="AD1901" t="s">
        <v>3479</v>
      </c>
      <c r="AE1901" t="s">
        <v>3475</v>
      </c>
      <c r="AF1901" s="2">
        <v>2181.5625</v>
      </c>
      <c r="AG1901" s="2">
        <v>1320.6838</v>
      </c>
      <c r="AH1901" s="2">
        <v>860.87869999999998</v>
      </c>
      <c r="AI1901" s="3">
        <v>0.39461564818793898</v>
      </c>
    </row>
    <row r="1902" spans="1:35">
      <c r="A1902" s="1">
        <v>42307</v>
      </c>
      <c r="B1902" s="1">
        <v>37457</v>
      </c>
      <c r="C1902" t="s">
        <v>5701</v>
      </c>
      <c r="D1902">
        <v>369</v>
      </c>
      <c r="E1902">
        <v>21974</v>
      </c>
      <c r="F1902">
        <v>9</v>
      </c>
      <c r="G1902">
        <v>1</v>
      </c>
      <c r="H1902">
        <v>1</v>
      </c>
      <c r="I1902">
        <v>2</v>
      </c>
      <c r="J1902" t="s">
        <v>3549</v>
      </c>
      <c r="K1902" t="s">
        <v>3550</v>
      </c>
      <c r="L1902" s="2">
        <v>1518.7864</v>
      </c>
      <c r="M1902" s="2">
        <v>2443.35</v>
      </c>
      <c r="N1902" t="s">
        <v>26</v>
      </c>
      <c r="O1902" t="s">
        <v>631</v>
      </c>
      <c r="P1902" t="s">
        <v>907</v>
      </c>
      <c r="Q1902" t="s">
        <v>8230</v>
      </c>
      <c r="R1902" s="1">
        <v>23414</v>
      </c>
      <c r="S1902" t="s">
        <v>22</v>
      </c>
      <c r="T1902" t="s">
        <v>29</v>
      </c>
      <c r="U1902" t="s">
        <v>2729</v>
      </c>
      <c r="V1902">
        <v>70000</v>
      </c>
      <c r="W1902">
        <v>0</v>
      </c>
      <c r="X1902" t="s">
        <v>17</v>
      </c>
      <c r="Y1902" t="s">
        <v>18</v>
      </c>
      <c r="Z1902" t="s">
        <v>19</v>
      </c>
      <c r="AA1902" t="s">
        <v>3586</v>
      </c>
      <c r="AB1902" t="s">
        <v>3586</v>
      </c>
      <c r="AC1902" t="s">
        <v>3587</v>
      </c>
      <c r="AD1902" t="s">
        <v>3479</v>
      </c>
      <c r="AE1902" t="s">
        <v>3475</v>
      </c>
      <c r="AF1902" s="2">
        <v>2443.35</v>
      </c>
      <c r="AG1902" s="2">
        <v>1518.7864</v>
      </c>
      <c r="AH1902" s="2">
        <v>924.56359999999995</v>
      </c>
      <c r="AI1902" s="3">
        <v>0.37839998362903399</v>
      </c>
    </row>
    <row r="1903" spans="1:35">
      <c r="A1903" s="1">
        <v>42280</v>
      </c>
      <c r="B1903" s="1">
        <v>37419</v>
      </c>
      <c r="C1903" t="s">
        <v>5503</v>
      </c>
      <c r="D1903">
        <v>369</v>
      </c>
      <c r="E1903">
        <v>21976</v>
      </c>
      <c r="F1903">
        <v>9</v>
      </c>
      <c r="G1903">
        <v>1</v>
      </c>
      <c r="H1903">
        <v>1</v>
      </c>
      <c r="I1903">
        <v>2</v>
      </c>
      <c r="J1903" t="s">
        <v>3549</v>
      </c>
      <c r="K1903" t="s">
        <v>3550</v>
      </c>
      <c r="L1903" s="2">
        <v>1518.7864</v>
      </c>
      <c r="M1903" s="2">
        <v>2443.35</v>
      </c>
      <c r="N1903" t="s">
        <v>30</v>
      </c>
      <c r="O1903" t="s">
        <v>315</v>
      </c>
      <c r="P1903" t="s">
        <v>25</v>
      </c>
      <c r="Q1903" t="s">
        <v>8231</v>
      </c>
      <c r="R1903" s="1">
        <v>23193</v>
      </c>
      <c r="S1903" t="s">
        <v>22</v>
      </c>
      <c r="T1903" t="s">
        <v>29</v>
      </c>
      <c r="U1903" t="s">
        <v>2730</v>
      </c>
      <c r="V1903">
        <v>60000</v>
      </c>
      <c r="W1903">
        <v>3</v>
      </c>
      <c r="X1903" t="s">
        <v>17</v>
      </c>
      <c r="Y1903" t="s">
        <v>18</v>
      </c>
      <c r="Z1903" t="s">
        <v>23</v>
      </c>
      <c r="AA1903" t="s">
        <v>3586</v>
      </c>
      <c r="AB1903" t="s">
        <v>3586</v>
      </c>
      <c r="AC1903" t="s">
        <v>3587</v>
      </c>
      <c r="AD1903" t="s">
        <v>3479</v>
      </c>
      <c r="AE1903" t="s">
        <v>3475</v>
      </c>
      <c r="AF1903" s="2">
        <v>2443.35</v>
      </c>
      <c r="AG1903" s="2">
        <v>1518.7864</v>
      </c>
      <c r="AH1903" s="2">
        <v>924.56359999999995</v>
      </c>
      <c r="AI1903" s="3">
        <v>0.37839998362903399</v>
      </c>
    </row>
    <row r="1904" spans="1:35">
      <c r="A1904" s="1">
        <v>42288</v>
      </c>
      <c r="B1904" s="1">
        <v>37514</v>
      </c>
      <c r="C1904" t="s">
        <v>5547</v>
      </c>
      <c r="D1904">
        <v>371</v>
      </c>
      <c r="E1904">
        <v>21979</v>
      </c>
      <c r="F1904">
        <v>9</v>
      </c>
      <c r="G1904">
        <v>1</v>
      </c>
      <c r="H1904">
        <v>1</v>
      </c>
      <c r="I1904">
        <v>2</v>
      </c>
      <c r="J1904" t="s">
        <v>3553</v>
      </c>
      <c r="K1904" t="s">
        <v>3554</v>
      </c>
      <c r="L1904" s="2">
        <v>1320.6838</v>
      </c>
      <c r="M1904" s="2">
        <v>2181.5625</v>
      </c>
      <c r="N1904" t="s">
        <v>13</v>
      </c>
      <c r="O1904" t="s">
        <v>233</v>
      </c>
      <c r="P1904" t="s">
        <v>217</v>
      </c>
      <c r="Q1904" t="s">
        <v>8232</v>
      </c>
      <c r="R1904" s="1">
        <v>22905</v>
      </c>
      <c r="S1904" t="s">
        <v>16</v>
      </c>
      <c r="T1904" t="s">
        <v>16</v>
      </c>
      <c r="U1904" t="s">
        <v>2731</v>
      </c>
      <c r="V1904">
        <v>60000</v>
      </c>
      <c r="W1904">
        <v>1</v>
      </c>
      <c r="X1904" t="s">
        <v>17</v>
      </c>
      <c r="Y1904" t="s">
        <v>18</v>
      </c>
      <c r="Z1904" t="s">
        <v>19</v>
      </c>
      <c r="AA1904" t="s">
        <v>3586</v>
      </c>
      <c r="AB1904" t="s">
        <v>3586</v>
      </c>
      <c r="AC1904" t="s">
        <v>3587</v>
      </c>
      <c r="AD1904" t="s">
        <v>3479</v>
      </c>
      <c r="AE1904" t="s">
        <v>3475</v>
      </c>
      <c r="AF1904" s="2">
        <v>2181.5625</v>
      </c>
      <c r="AG1904" s="2">
        <v>1320.6838</v>
      </c>
      <c r="AH1904" s="2">
        <v>860.87869999999998</v>
      </c>
      <c r="AI1904" s="3">
        <v>0.39461564818793898</v>
      </c>
    </row>
    <row r="1905" spans="1:35">
      <c r="A1905" s="1">
        <v>42284</v>
      </c>
      <c r="B1905" s="1">
        <v>37442</v>
      </c>
      <c r="C1905" t="s">
        <v>5524</v>
      </c>
      <c r="D1905">
        <v>369</v>
      </c>
      <c r="E1905">
        <v>21980</v>
      </c>
      <c r="F1905">
        <v>9</v>
      </c>
      <c r="G1905">
        <v>1</v>
      </c>
      <c r="H1905">
        <v>1</v>
      </c>
      <c r="I1905">
        <v>2</v>
      </c>
      <c r="J1905" t="s">
        <v>3549</v>
      </c>
      <c r="K1905" t="s">
        <v>3550</v>
      </c>
      <c r="L1905" s="2">
        <v>1518.7864</v>
      </c>
      <c r="M1905" s="2">
        <v>2443.35</v>
      </c>
      <c r="N1905" t="s">
        <v>30</v>
      </c>
      <c r="O1905" t="s">
        <v>494</v>
      </c>
      <c r="P1905" t="s">
        <v>85</v>
      </c>
      <c r="Q1905" t="s">
        <v>8233</v>
      </c>
      <c r="R1905" s="1">
        <v>22534</v>
      </c>
      <c r="S1905" t="s">
        <v>22</v>
      </c>
      <c r="T1905" t="s">
        <v>29</v>
      </c>
      <c r="U1905" t="s">
        <v>2732</v>
      </c>
      <c r="V1905">
        <v>60000</v>
      </c>
      <c r="W1905">
        <v>1</v>
      </c>
      <c r="X1905" t="s">
        <v>17</v>
      </c>
      <c r="Y1905" t="s">
        <v>18</v>
      </c>
      <c r="Z1905" t="s">
        <v>19</v>
      </c>
      <c r="AA1905" t="s">
        <v>3586</v>
      </c>
      <c r="AB1905" t="s">
        <v>3586</v>
      </c>
      <c r="AC1905" t="s">
        <v>3587</v>
      </c>
      <c r="AD1905" t="s">
        <v>3479</v>
      </c>
      <c r="AE1905" t="s">
        <v>3475</v>
      </c>
      <c r="AF1905" s="2">
        <v>2443.35</v>
      </c>
      <c r="AG1905" s="2">
        <v>1518.7864</v>
      </c>
      <c r="AH1905" s="2">
        <v>924.56359999999995</v>
      </c>
      <c r="AI1905" s="3">
        <v>0.37839998362903399</v>
      </c>
    </row>
    <row r="1906" spans="1:35">
      <c r="A1906" s="1">
        <v>42304</v>
      </c>
      <c r="B1906" s="1">
        <v>37496</v>
      </c>
      <c r="C1906" t="s">
        <v>5676</v>
      </c>
      <c r="D1906">
        <v>377</v>
      </c>
      <c r="E1906">
        <v>21982</v>
      </c>
      <c r="F1906">
        <v>9</v>
      </c>
      <c r="G1906">
        <v>1</v>
      </c>
      <c r="H1906">
        <v>1</v>
      </c>
      <c r="I1906">
        <v>2</v>
      </c>
      <c r="J1906" t="s">
        <v>3559</v>
      </c>
      <c r="K1906" t="s">
        <v>3560</v>
      </c>
      <c r="L1906" s="2">
        <v>1320.6838</v>
      </c>
      <c r="M1906" s="2">
        <v>2181.5625</v>
      </c>
      <c r="N1906" t="s">
        <v>30</v>
      </c>
      <c r="O1906" t="s">
        <v>575</v>
      </c>
      <c r="P1906" t="s">
        <v>62</v>
      </c>
      <c r="Q1906" t="s">
        <v>8234</v>
      </c>
      <c r="R1906" s="1">
        <v>22337</v>
      </c>
      <c r="S1906" t="s">
        <v>16</v>
      </c>
      <c r="T1906" t="s">
        <v>29</v>
      </c>
      <c r="U1906" t="s">
        <v>2733</v>
      </c>
      <c r="V1906">
        <v>60000</v>
      </c>
      <c r="W1906">
        <v>1</v>
      </c>
      <c r="X1906" t="s">
        <v>52</v>
      </c>
      <c r="Y1906" t="s">
        <v>53</v>
      </c>
      <c r="Z1906" t="s">
        <v>19</v>
      </c>
      <c r="AA1906" t="s">
        <v>3586</v>
      </c>
      <c r="AB1906" t="s">
        <v>3586</v>
      </c>
      <c r="AC1906" t="s">
        <v>3587</v>
      </c>
      <c r="AD1906" t="s">
        <v>3479</v>
      </c>
      <c r="AE1906" t="s">
        <v>3475</v>
      </c>
      <c r="AF1906" s="2">
        <v>2181.5625</v>
      </c>
      <c r="AG1906" s="2">
        <v>1320.6838</v>
      </c>
      <c r="AH1906" s="2">
        <v>860.87869999999998</v>
      </c>
      <c r="AI1906" s="3">
        <v>0.39461564818793898</v>
      </c>
    </row>
    <row r="1907" spans="1:35">
      <c r="A1907" s="1">
        <v>42280</v>
      </c>
      <c r="B1907" s="1">
        <v>37421</v>
      </c>
      <c r="C1907" t="s">
        <v>5502</v>
      </c>
      <c r="D1907">
        <v>369</v>
      </c>
      <c r="E1907">
        <v>21983</v>
      </c>
      <c r="F1907">
        <v>9</v>
      </c>
      <c r="G1907">
        <v>1</v>
      </c>
      <c r="H1907">
        <v>1</v>
      </c>
      <c r="I1907">
        <v>2</v>
      </c>
      <c r="J1907" t="s">
        <v>3549</v>
      </c>
      <c r="K1907" t="s">
        <v>3550</v>
      </c>
      <c r="L1907" s="2">
        <v>1518.7864</v>
      </c>
      <c r="M1907" s="2">
        <v>2443.35</v>
      </c>
      <c r="N1907" t="s">
        <v>13</v>
      </c>
      <c r="O1907" t="s">
        <v>1097</v>
      </c>
      <c r="P1907" t="s">
        <v>151</v>
      </c>
      <c r="Q1907" t="s">
        <v>8235</v>
      </c>
      <c r="R1907" s="1">
        <v>22362</v>
      </c>
      <c r="S1907" t="s">
        <v>16</v>
      </c>
      <c r="T1907" t="s">
        <v>16</v>
      </c>
      <c r="U1907" t="s">
        <v>2734</v>
      </c>
      <c r="V1907">
        <v>60000</v>
      </c>
      <c r="W1907">
        <v>1</v>
      </c>
      <c r="X1907" t="s">
        <v>52</v>
      </c>
      <c r="Y1907" t="s">
        <v>53</v>
      </c>
      <c r="Z1907" t="s">
        <v>19</v>
      </c>
      <c r="AA1907" t="s">
        <v>3586</v>
      </c>
      <c r="AB1907" t="s">
        <v>3586</v>
      </c>
      <c r="AC1907" t="s">
        <v>3587</v>
      </c>
      <c r="AD1907" t="s">
        <v>3479</v>
      </c>
      <c r="AE1907" t="s">
        <v>3475</v>
      </c>
      <c r="AF1907" s="2">
        <v>2443.35</v>
      </c>
      <c r="AG1907" s="2">
        <v>1518.7864</v>
      </c>
      <c r="AH1907" s="2">
        <v>924.56359999999995</v>
      </c>
      <c r="AI1907" s="3">
        <v>0.37839998362903399</v>
      </c>
    </row>
    <row r="1908" spans="1:35">
      <c r="A1908" s="1">
        <v>42291</v>
      </c>
      <c r="B1908" s="1">
        <v>37525</v>
      </c>
      <c r="C1908" t="s">
        <v>5577</v>
      </c>
      <c r="D1908">
        <v>368</v>
      </c>
      <c r="E1908">
        <v>21984</v>
      </c>
      <c r="F1908">
        <v>9</v>
      </c>
      <c r="G1908">
        <v>1</v>
      </c>
      <c r="H1908">
        <v>1</v>
      </c>
      <c r="I1908">
        <v>2</v>
      </c>
      <c r="J1908" t="s">
        <v>3547</v>
      </c>
      <c r="K1908" t="s">
        <v>3548</v>
      </c>
      <c r="L1908" s="2">
        <v>1518.7864</v>
      </c>
      <c r="M1908" s="2">
        <v>2443.35</v>
      </c>
      <c r="N1908" t="s">
        <v>30</v>
      </c>
      <c r="O1908" t="s">
        <v>978</v>
      </c>
      <c r="P1908" t="s">
        <v>40</v>
      </c>
      <c r="Q1908" t="s">
        <v>8236</v>
      </c>
      <c r="R1908" s="1">
        <v>21965</v>
      </c>
      <c r="S1908" t="s">
        <v>22</v>
      </c>
      <c r="T1908" t="s">
        <v>29</v>
      </c>
      <c r="U1908" t="s">
        <v>2735</v>
      </c>
      <c r="V1908">
        <v>60000</v>
      </c>
      <c r="W1908">
        <v>1</v>
      </c>
      <c r="X1908" t="s">
        <v>52</v>
      </c>
      <c r="Y1908" t="s">
        <v>53</v>
      </c>
      <c r="Z1908" t="s">
        <v>19</v>
      </c>
      <c r="AA1908" t="s">
        <v>3586</v>
      </c>
      <c r="AB1908" t="s">
        <v>3586</v>
      </c>
      <c r="AC1908" t="s">
        <v>3587</v>
      </c>
      <c r="AD1908" t="s">
        <v>3479</v>
      </c>
      <c r="AE1908" t="s">
        <v>3475</v>
      </c>
      <c r="AF1908" s="2">
        <v>2443.35</v>
      </c>
      <c r="AG1908" s="2">
        <v>1518.7864</v>
      </c>
      <c r="AH1908" s="2">
        <v>924.56359999999995</v>
      </c>
      <c r="AI1908" s="3">
        <v>0.37839998362903399</v>
      </c>
    </row>
    <row r="1909" spans="1:35">
      <c r="A1909" s="1">
        <v>42283</v>
      </c>
      <c r="B1909" s="1">
        <v>37436</v>
      </c>
      <c r="C1909" t="s">
        <v>5517</v>
      </c>
      <c r="D1909">
        <v>371</v>
      </c>
      <c r="E1909">
        <v>21985</v>
      </c>
      <c r="F1909">
        <v>9</v>
      </c>
      <c r="G1909">
        <v>1</v>
      </c>
      <c r="H1909">
        <v>1</v>
      </c>
      <c r="I1909">
        <v>2</v>
      </c>
      <c r="J1909" t="s">
        <v>3553</v>
      </c>
      <c r="K1909" t="s">
        <v>3554</v>
      </c>
      <c r="L1909" s="2">
        <v>1320.6838</v>
      </c>
      <c r="M1909" s="2">
        <v>2181.5625</v>
      </c>
      <c r="N1909" t="s">
        <v>13</v>
      </c>
      <c r="O1909" t="s">
        <v>626</v>
      </c>
      <c r="P1909" t="s">
        <v>25</v>
      </c>
      <c r="Q1909" t="s">
        <v>8237</v>
      </c>
      <c r="R1909" s="1">
        <v>22203</v>
      </c>
      <c r="S1909" t="s">
        <v>16</v>
      </c>
      <c r="T1909" t="s">
        <v>16</v>
      </c>
      <c r="U1909" t="s">
        <v>2736</v>
      </c>
      <c r="V1909">
        <v>60000</v>
      </c>
      <c r="W1909">
        <v>1</v>
      </c>
      <c r="X1909" t="s">
        <v>52</v>
      </c>
      <c r="Y1909" t="s">
        <v>53</v>
      </c>
      <c r="Z1909" t="s">
        <v>19</v>
      </c>
      <c r="AA1909" t="s">
        <v>3586</v>
      </c>
      <c r="AB1909" t="s">
        <v>3586</v>
      </c>
      <c r="AC1909" t="s">
        <v>3587</v>
      </c>
      <c r="AD1909" t="s">
        <v>3479</v>
      </c>
      <c r="AE1909" t="s">
        <v>3475</v>
      </c>
      <c r="AF1909" s="2">
        <v>2181.5625</v>
      </c>
      <c r="AG1909" s="2">
        <v>1320.6838</v>
      </c>
      <c r="AH1909" s="2">
        <v>860.87869999999998</v>
      </c>
      <c r="AI1909" s="3">
        <v>0.39461564818793898</v>
      </c>
    </row>
    <row r="1910" spans="1:35">
      <c r="A1910" s="1">
        <v>42288</v>
      </c>
      <c r="B1910" s="1">
        <v>37462</v>
      </c>
      <c r="C1910" t="s">
        <v>5544</v>
      </c>
      <c r="D1910">
        <v>371</v>
      </c>
      <c r="E1910">
        <v>21986</v>
      </c>
      <c r="F1910">
        <v>9</v>
      </c>
      <c r="G1910">
        <v>1</v>
      </c>
      <c r="H1910">
        <v>1</v>
      </c>
      <c r="I1910">
        <v>2</v>
      </c>
      <c r="J1910" t="s">
        <v>3553</v>
      </c>
      <c r="K1910" t="s">
        <v>3554</v>
      </c>
      <c r="L1910" s="2">
        <v>1320.6838</v>
      </c>
      <c r="M1910" s="2">
        <v>2181.5625</v>
      </c>
      <c r="N1910" t="s">
        <v>30</v>
      </c>
      <c r="O1910" t="s">
        <v>312</v>
      </c>
      <c r="P1910" t="s">
        <v>392</v>
      </c>
      <c r="Q1910" t="s">
        <v>8238</v>
      </c>
      <c r="R1910" s="1">
        <v>22078</v>
      </c>
      <c r="S1910" t="s">
        <v>22</v>
      </c>
      <c r="T1910" t="s">
        <v>29</v>
      </c>
      <c r="U1910" t="s">
        <v>2737</v>
      </c>
      <c r="V1910">
        <v>60000</v>
      </c>
      <c r="W1910">
        <v>1</v>
      </c>
      <c r="X1910" t="s">
        <v>52</v>
      </c>
      <c r="Y1910" t="s">
        <v>53</v>
      </c>
      <c r="Z1910" t="s">
        <v>19</v>
      </c>
      <c r="AA1910" t="s">
        <v>3586</v>
      </c>
      <c r="AB1910" t="s">
        <v>3586</v>
      </c>
      <c r="AC1910" t="s">
        <v>3587</v>
      </c>
      <c r="AD1910" t="s">
        <v>3479</v>
      </c>
      <c r="AE1910" t="s">
        <v>3475</v>
      </c>
      <c r="AF1910" s="2">
        <v>2181.5625</v>
      </c>
      <c r="AG1910" s="2">
        <v>1320.6838</v>
      </c>
      <c r="AH1910" s="2">
        <v>860.87869999999998</v>
      </c>
      <c r="AI1910" s="3">
        <v>0.39461564818793898</v>
      </c>
    </row>
    <row r="1911" spans="1:35">
      <c r="A1911" s="1">
        <v>42306</v>
      </c>
      <c r="B1911" s="1">
        <v>37494</v>
      </c>
      <c r="C1911" t="s">
        <v>5689</v>
      </c>
      <c r="D1911">
        <v>371</v>
      </c>
      <c r="E1911">
        <v>21987</v>
      </c>
      <c r="F1911">
        <v>9</v>
      </c>
      <c r="G1911">
        <v>1</v>
      </c>
      <c r="H1911">
        <v>1</v>
      </c>
      <c r="I1911">
        <v>2</v>
      </c>
      <c r="J1911" t="s">
        <v>3553</v>
      </c>
      <c r="K1911" t="s">
        <v>3554</v>
      </c>
      <c r="L1911" s="2">
        <v>1320.6838</v>
      </c>
      <c r="M1911" s="2">
        <v>2181.5625</v>
      </c>
      <c r="N1911" t="s">
        <v>13</v>
      </c>
      <c r="O1911" t="s">
        <v>269</v>
      </c>
      <c r="P1911" t="s">
        <v>97</v>
      </c>
      <c r="Q1911" t="s">
        <v>8239</v>
      </c>
      <c r="R1911" s="1">
        <v>24080</v>
      </c>
      <c r="S1911" t="s">
        <v>22</v>
      </c>
      <c r="T1911" t="s">
        <v>16</v>
      </c>
      <c r="U1911" t="s">
        <v>2738</v>
      </c>
      <c r="V1911">
        <v>70000</v>
      </c>
      <c r="W1911">
        <v>0</v>
      </c>
      <c r="X1911" t="s">
        <v>17</v>
      </c>
      <c r="Y1911" t="s">
        <v>18</v>
      </c>
      <c r="Z1911" t="s">
        <v>19</v>
      </c>
      <c r="AA1911" t="s">
        <v>3586</v>
      </c>
      <c r="AB1911" t="s">
        <v>3586</v>
      </c>
      <c r="AC1911" t="s">
        <v>3587</v>
      </c>
      <c r="AD1911" t="s">
        <v>3479</v>
      </c>
      <c r="AE1911" t="s">
        <v>3475</v>
      </c>
      <c r="AF1911" s="2">
        <v>2181.5625</v>
      </c>
      <c r="AG1911" s="2">
        <v>1320.6838</v>
      </c>
      <c r="AH1911" s="2">
        <v>860.87869999999998</v>
      </c>
      <c r="AI1911" s="3">
        <v>0.39461564818793898</v>
      </c>
    </row>
    <row r="1912" spans="1:35">
      <c r="A1912" s="1">
        <v>42280</v>
      </c>
      <c r="B1912" s="1">
        <v>37511</v>
      </c>
      <c r="C1912" t="s">
        <v>5506</v>
      </c>
      <c r="D1912">
        <v>377</v>
      </c>
      <c r="E1912">
        <v>21994</v>
      </c>
      <c r="F1912">
        <v>9</v>
      </c>
      <c r="G1912">
        <v>1</v>
      </c>
      <c r="H1912">
        <v>1</v>
      </c>
      <c r="I1912">
        <v>2</v>
      </c>
      <c r="J1912" t="s">
        <v>3559</v>
      </c>
      <c r="K1912" t="s">
        <v>3560</v>
      </c>
      <c r="L1912" s="2">
        <v>1320.6838</v>
      </c>
      <c r="M1912" s="2">
        <v>2181.5625</v>
      </c>
      <c r="N1912" t="s">
        <v>30</v>
      </c>
      <c r="O1912" t="s">
        <v>1452</v>
      </c>
      <c r="P1912" t="s">
        <v>34</v>
      </c>
      <c r="Q1912" t="s">
        <v>8240</v>
      </c>
      <c r="R1912" s="1">
        <v>21622</v>
      </c>
      <c r="S1912" t="s">
        <v>22</v>
      </c>
      <c r="T1912" t="s">
        <v>29</v>
      </c>
      <c r="U1912" t="s">
        <v>2739</v>
      </c>
      <c r="V1912">
        <v>90000</v>
      </c>
      <c r="W1912">
        <v>1</v>
      </c>
      <c r="X1912" t="s">
        <v>17</v>
      </c>
      <c r="Y1912" t="s">
        <v>18</v>
      </c>
      <c r="Z1912" t="s">
        <v>19</v>
      </c>
      <c r="AA1912" t="s">
        <v>3586</v>
      </c>
      <c r="AB1912" t="s">
        <v>3586</v>
      </c>
      <c r="AC1912" t="s">
        <v>3587</v>
      </c>
      <c r="AD1912" t="s">
        <v>3479</v>
      </c>
      <c r="AE1912" t="s">
        <v>3475</v>
      </c>
      <c r="AF1912" s="2">
        <v>2181.5625</v>
      </c>
      <c r="AG1912" s="2">
        <v>1320.6838</v>
      </c>
      <c r="AH1912" s="2">
        <v>860.87869999999998</v>
      </c>
      <c r="AI1912" s="3">
        <v>0.39461564818793898</v>
      </c>
    </row>
    <row r="1913" spans="1:35">
      <c r="A1913" s="1">
        <v>42293</v>
      </c>
      <c r="B1913" s="1">
        <v>37487</v>
      </c>
      <c r="C1913" t="s">
        <v>5586</v>
      </c>
      <c r="D1913">
        <v>371</v>
      </c>
      <c r="E1913">
        <v>21996</v>
      </c>
      <c r="F1913">
        <v>9</v>
      </c>
      <c r="G1913">
        <v>1</v>
      </c>
      <c r="H1913">
        <v>1</v>
      </c>
      <c r="I1913">
        <v>2</v>
      </c>
      <c r="J1913" t="s">
        <v>3553</v>
      </c>
      <c r="K1913" t="s">
        <v>3554</v>
      </c>
      <c r="L1913" s="2">
        <v>1320.6838</v>
      </c>
      <c r="M1913" s="2">
        <v>2181.5625</v>
      </c>
      <c r="N1913" t="s">
        <v>30</v>
      </c>
      <c r="O1913" t="s">
        <v>160</v>
      </c>
      <c r="P1913" t="s">
        <v>140</v>
      </c>
      <c r="Q1913" t="s">
        <v>8241</v>
      </c>
      <c r="R1913" s="1">
        <v>22604</v>
      </c>
      <c r="S1913" t="s">
        <v>16</v>
      </c>
      <c r="T1913" t="s">
        <v>29</v>
      </c>
      <c r="U1913" t="s">
        <v>2740</v>
      </c>
      <c r="V1913">
        <v>60000</v>
      </c>
      <c r="W1913">
        <v>1</v>
      </c>
      <c r="X1913" t="s">
        <v>52</v>
      </c>
      <c r="Y1913" t="s">
        <v>53</v>
      </c>
      <c r="Z1913" t="s">
        <v>19</v>
      </c>
      <c r="AA1913" t="s">
        <v>3586</v>
      </c>
      <c r="AB1913" t="s">
        <v>3586</v>
      </c>
      <c r="AC1913" t="s">
        <v>3587</v>
      </c>
      <c r="AD1913" t="s">
        <v>3479</v>
      </c>
      <c r="AE1913" t="s">
        <v>3475</v>
      </c>
      <c r="AF1913" s="2">
        <v>2181.5625</v>
      </c>
      <c r="AG1913" s="2">
        <v>1320.6838</v>
      </c>
      <c r="AH1913" s="2">
        <v>860.87869999999998</v>
      </c>
      <c r="AI1913" s="3">
        <v>0.39461564818793898</v>
      </c>
    </row>
    <row r="1914" spans="1:35">
      <c r="A1914" s="1">
        <v>42301</v>
      </c>
      <c r="B1914" s="1">
        <v>37454</v>
      </c>
      <c r="C1914" t="s">
        <v>5653</v>
      </c>
      <c r="D1914">
        <v>369</v>
      </c>
      <c r="E1914">
        <v>21999</v>
      </c>
      <c r="F1914">
        <v>9</v>
      </c>
      <c r="G1914">
        <v>1</v>
      </c>
      <c r="H1914">
        <v>1</v>
      </c>
      <c r="I1914">
        <v>2</v>
      </c>
      <c r="J1914" t="s">
        <v>3549</v>
      </c>
      <c r="K1914" t="s">
        <v>3550</v>
      </c>
      <c r="L1914" s="2">
        <v>1518.7864</v>
      </c>
      <c r="M1914" s="2">
        <v>2443.35</v>
      </c>
      <c r="N1914" t="s">
        <v>30</v>
      </c>
      <c r="O1914" t="s">
        <v>202</v>
      </c>
      <c r="P1914" t="s">
        <v>291</v>
      </c>
      <c r="Q1914" t="s">
        <v>8242</v>
      </c>
      <c r="R1914" s="1">
        <v>21318</v>
      </c>
      <c r="S1914" t="s">
        <v>16</v>
      </c>
      <c r="T1914" t="s">
        <v>29</v>
      </c>
      <c r="U1914" t="s">
        <v>2741</v>
      </c>
      <c r="V1914">
        <v>90000</v>
      </c>
      <c r="W1914">
        <v>2</v>
      </c>
      <c r="X1914" t="s">
        <v>17</v>
      </c>
      <c r="Y1914" t="s">
        <v>45</v>
      </c>
      <c r="Z1914" t="s">
        <v>23</v>
      </c>
      <c r="AA1914" t="s">
        <v>3586</v>
      </c>
      <c r="AB1914" t="s">
        <v>3586</v>
      </c>
      <c r="AC1914" t="s">
        <v>3587</v>
      </c>
      <c r="AD1914" t="s">
        <v>3479</v>
      </c>
      <c r="AE1914" t="s">
        <v>3475</v>
      </c>
      <c r="AF1914" s="2">
        <v>2443.35</v>
      </c>
      <c r="AG1914" s="2">
        <v>1518.7864</v>
      </c>
      <c r="AH1914" s="2">
        <v>924.56359999999995</v>
      </c>
      <c r="AI1914" s="3">
        <v>0.37839998362903399</v>
      </c>
    </row>
    <row r="1915" spans="1:35">
      <c r="A1915" s="1">
        <v>42289</v>
      </c>
      <c r="B1915" s="1">
        <v>37485</v>
      </c>
      <c r="C1915" t="s">
        <v>5553</v>
      </c>
      <c r="D1915">
        <v>379</v>
      </c>
      <c r="E1915">
        <v>22000</v>
      </c>
      <c r="F1915">
        <v>9</v>
      </c>
      <c r="G1915">
        <v>1</v>
      </c>
      <c r="H1915">
        <v>1</v>
      </c>
      <c r="I1915">
        <v>2</v>
      </c>
      <c r="J1915" t="s">
        <v>3561</v>
      </c>
      <c r="K1915" t="s">
        <v>3562</v>
      </c>
      <c r="L1915" s="2">
        <v>1320.6838</v>
      </c>
      <c r="M1915" s="2">
        <v>2181.5625</v>
      </c>
      <c r="N1915" t="s">
        <v>30</v>
      </c>
      <c r="O1915" t="s">
        <v>464</v>
      </c>
      <c r="P1915" t="s">
        <v>570</v>
      </c>
      <c r="Q1915" t="s">
        <v>8243</v>
      </c>
      <c r="R1915" s="1">
        <v>21439</v>
      </c>
      <c r="S1915" t="s">
        <v>16</v>
      </c>
      <c r="T1915" t="s">
        <v>29</v>
      </c>
      <c r="U1915" t="s">
        <v>2742</v>
      </c>
      <c r="V1915">
        <v>100000</v>
      </c>
      <c r="W1915">
        <v>4</v>
      </c>
      <c r="X1915" t="s">
        <v>17</v>
      </c>
      <c r="Y1915" t="s">
        <v>45</v>
      </c>
      <c r="Z1915" t="s">
        <v>19</v>
      </c>
      <c r="AA1915" t="s">
        <v>3586</v>
      </c>
      <c r="AB1915" t="s">
        <v>3586</v>
      </c>
      <c r="AC1915" t="s">
        <v>3587</v>
      </c>
      <c r="AD1915" t="s">
        <v>3479</v>
      </c>
      <c r="AE1915" t="s">
        <v>3475</v>
      </c>
      <c r="AF1915" s="2">
        <v>2181.5625</v>
      </c>
      <c r="AG1915" s="2">
        <v>1320.6838</v>
      </c>
      <c r="AH1915" s="2">
        <v>860.87869999999998</v>
      </c>
      <c r="AI1915" s="3">
        <v>0.39461564818793898</v>
      </c>
    </row>
    <row r="1916" spans="1:35">
      <c r="A1916" s="1">
        <v>42288</v>
      </c>
      <c r="B1916" s="1">
        <v>37470</v>
      </c>
      <c r="C1916" t="s">
        <v>5545</v>
      </c>
      <c r="D1916">
        <v>379</v>
      </c>
      <c r="E1916">
        <v>22004</v>
      </c>
      <c r="F1916">
        <v>9</v>
      </c>
      <c r="G1916">
        <v>1</v>
      </c>
      <c r="H1916">
        <v>1</v>
      </c>
      <c r="I1916">
        <v>2</v>
      </c>
      <c r="J1916" t="s">
        <v>3561</v>
      </c>
      <c r="K1916" t="s">
        <v>3562</v>
      </c>
      <c r="L1916" s="2">
        <v>1320.6838</v>
      </c>
      <c r="M1916" s="2">
        <v>2181.5625</v>
      </c>
      <c r="N1916" t="s">
        <v>30</v>
      </c>
      <c r="O1916" t="s">
        <v>308</v>
      </c>
      <c r="P1916" t="s">
        <v>460</v>
      </c>
      <c r="Q1916" t="s">
        <v>8244</v>
      </c>
      <c r="R1916" s="1">
        <v>22144</v>
      </c>
      <c r="S1916" t="s">
        <v>16</v>
      </c>
      <c r="T1916" t="s">
        <v>29</v>
      </c>
      <c r="U1916" t="s">
        <v>2743</v>
      </c>
      <c r="V1916">
        <v>60000</v>
      </c>
      <c r="W1916">
        <v>1</v>
      </c>
      <c r="X1916" t="s">
        <v>52</v>
      </c>
      <c r="Y1916" t="s">
        <v>53</v>
      </c>
      <c r="Z1916" t="s">
        <v>19</v>
      </c>
      <c r="AA1916" t="s">
        <v>3586</v>
      </c>
      <c r="AB1916" t="s">
        <v>3586</v>
      </c>
      <c r="AC1916" t="s">
        <v>3587</v>
      </c>
      <c r="AD1916" t="s">
        <v>3479</v>
      </c>
      <c r="AE1916" t="s">
        <v>3475</v>
      </c>
      <c r="AF1916" s="2">
        <v>2181.5625</v>
      </c>
      <c r="AG1916" s="2">
        <v>1320.6838</v>
      </c>
      <c r="AH1916" s="2">
        <v>860.87869999999998</v>
      </c>
      <c r="AI1916" s="3">
        <v>0.39461564818793898</v>
      </c>
    </row>
    <row r="1917" spans="1:35">
      <c r="A1917" s="1">
        <v>42292</v>
      </c>
      <c r="B1917" s="1">
        <v>37496</v>
      </c>
      <c r="C1917" t="s">
        <v>5585</v>
      </c>
      <c r="D1917">
        <v>373</v>
      </c>
      <c r="E1917">
        <v>22031</v>
      </c>
      <c r="F1917">
        <v>9</v>
      </c>
      <c r="G1917">
        <v>1</v>
      </c>
      <c r="H1917">
        <v>1</v>
      </c>
      <c r="I1917">
        <v>2</v>
      </c>
      <c r="J1917" t="s">
        <v>3555</v>
      </c>
      <c r="K1917" t="s">
        <v>3556</v>
      </c>
      <c r="L1917" s="2">
        <v>1320.6838</v>
      </c>
      <c r="M1917" s="2">
        <v>2181.5625</v>
      </c>
      <c r="N1917" t="s">
        <v>13</v>
      </c>
      <c r="O1917" t="s">
        <v>635</v>
      </c>
      <c r="P1917" t="s">
        <v>223</v>
      </c>
      <c r="Q1917" t="s">
        <v>8245</v>
      </c>
      <c r="R1917" s="1">
        <v>14835</v>
      </c>
      <c r="S1917" t="s">
        <v>16</v>
      </c>
      <c r="T1917" t="s">
        <v>16</v>
      </c>
      <c r="U1917" t="s">
        <v>2744</v>
      </c>
      <c r="V1917">
        <v>40000</v>
      </c>
      <c r="W1917">
        <v>2</v>
      </c>
      <c r="X1917" t="s">
        <v>17</v>
      </c>
      <c r="Y1917" t="s">
        <v>45</v>
      </c>
      <c r="Z1917" t="s">
        <v>19</v>
      </c>
      <c r="AA1917" t="s">
        <v>3586</v>
      </c>
      <c r="AB1917" t="s">
        <v>3586</v>
      </c>
      <c r="AC1917" t="s">
        <v>3587</v>
      </c>
      <c r="AD1917" t="s">
        <v>3479</v>
      </c>
      <c r="AE1917" t="s">
        <v>3475</v>
      </c>
      <c r="AF1917" s="2">
        <v>2181.5625</v>
      </c>
      <c r="AG1917" s="2">
        <v>1320.6838</v>
      </c>
      <c r="AH1917" s="2">
        <v>860.87869999999998</v>
      </c>
      <c r="AI1917" s="3">
        <v>0.39461564818793898</v>
      </c>
    </row>
    <row r="1918" spans="1:35">
      <c r="A1918" s="1">
        <v>42285</v>
      </c>
      <c r="B1918" s="1">
        <v>37482</v>
      </c>
      <c r="C1918" t="s">
        <v>5531</v>
      </c>
      <c r="D1918">
        <v>377</v>
      </c>
      <c r="E1918">
        <v>22032</v>
      </c>
      <c r="F1918">
        <v>9</v>
      </c>
      <c r="G1918">
        <v>1</v>
      </c>
      <c r="H1918">
        <v>1</v>
      </c>
      <c r="I1918">
        <v>2</v>
      </c>
      <c r="J1918" t="s">
        <v>3559</v>
      </c>
      <c r="K1918" t="s">
        <v>3560</v>
      </c>
      <c r="L1918" s="2">
        <v>1320.6838</v>
      </c>
      <c r="M1918" s="2">
        <v>2181.5625</v>
      </c>
      <c r="N1918" t="s">
        <v>13</v>
      </c>
      <c r="O1918" t="s">
        <v>629</v>
      </c>
      <c r="P1918" t="s">
        <v>209</v>
      </c>
      <c r="Q1918" t="s">
        <v>8246</v>
      </c>
      <c r="R1918" s="1">
        <v>15596</v>
      </c>
      <c r="S1918" t="s">
        <v>16</v>
      </c>
      <c r="T1918" t="s">
        <v>16</v>
      </c>
      <c r="U1918" t="s">
        <v>2745</v>
      </c>
      <c r="V1918">
        <v>40000</v>
      </c>
      <c r="W1918">
        <v>2</v>
      </c>
      <c r="X1918" t="s">
        <v>17</v>
      </c>
      <c r="Y1918" t="s">
        <v>45</v>
      </c>
      <c r="Z1918" t="s">
        <v>19</v>
      </c>
      <c r="AA1918" t="s">
        <v>3586</v>
      </c>
      <c r="AB1918" t="s">
        <v>3586</v>
      </c>
      <c r="AC1918" t="s">
        <v>3587</v>
      </c>
      <c r="AD1918" t="s">
        <v>3479</v>
      </c>
      <c r="AE1918" t="s">
        <v>3475</v>
      </c>
      <c r="AF1918" s="2">
        <v>2181.5625</v>
      </c>
      <c r="AG1918" s="2">
        <v>1320.6838</v>
      </c>
      <c r="AH1918" s="2">
        <v>860.87869999999998</v>
      </c>
      <c r="AI1918" s="3">
        <v>0.39461564818793898</v>
      </c>
    </row>
    <row r="1919" spans="1:35">
      <c r="A1919" s="1">
        <v>42290</v>
      </c>
      <c r="B1919" s="1">
        <v>37465</v>
      </c>
      <c r="C1919" t="s">
        <v>5568</v>
      </c>
      <c r="D1919">
        <v>371</v>
      </c>
      <c r="E1919">
        <v>22033</v>
      </c>
      <c r="F1919">
        <v>9</v>
      </c>
      <c r="G1919">
        <v>1</v>
      </c>
      <c r="H1919">
        <v>1</v>
      </c>
      <c r="I1919">
        <v>2</v>
      </c>
      <c r="J1919" t="s">
        <v>3553</v>
      </c>
      <c r="K1919" t="s">
        <v>3554</v>
      </c>
      <c r="L1919" s="2">
        <v>1320.6838</v>
      </c>
      <c r="M1919" s="2">
        <v>2181.5625</v>
      </c>
      <c r="N1919" t="s">
        <v>13</v>
      </c>
      <c r="O1919" t="s">
        <v>340</v>
      </c>
      <c r="P1919" t="s">
        <v>81</v>
      </c>
      <c r="Q1919" t="s">
        <v>8247</v>
      </c>
      <c r="R1919" s="1">
        <v>15509</v>
      </c>
      <c r="S1919" t="s">
        <v>22</v>
      </c>
      <c r="T1919" t="s">
        <v>16</v>
      </c>
      <c r="U1919" t="s">
        <v>2746</v>
      </c>
      <c r="V1919">
        <v>50000</v>
      </c>
      <c r="W1919">
        <v>2</v>
      </c>
      <c r="X1919" t="s">
        <v>135</v>
      </c>
      <c r="Y1919" t="s">
        <v>45</v>
      </c>
      <c r="Z1919" t="s">
        <v>19</v>
      </c>
      <c r="AA1919" t="s">
        <v>3586</v>
      </c>
      <c r="AB1919" t="s">
        <v>3586</v>
      </c>
      <c r="AC1919" t="s">
        <v>3587</v>
      </c>
      <c r="AD1919" t="s">
        <v>3479</v>
      </c>
      <c r="AE1919" t="s">
        <v>3475</v>
      </c>
      <c r="AF1919" s="2">
        <v>2181.5625</v>
      </c>
      <c r="AG1919" s="2">
        <v>1320.6838</v>
      </c>
      <c r="AH1919" s="2">
        <v>860.87869999999998</v>
      </c>
      <c r="AI1919" s="3">
        <v>0.39461564818793898</v>
      </c>
    </row>
    <row r="1920" spans="1:35">
      <c r="A1920" s="1">
        <v>42291</v>
      </c>
      <c r="B1920" s="1">
        <v>37506</v>
      </c>
      <c r="C1920" t="s">
        <v>5575</v>
      </c>
      <c r="D1920">
        <v>370</v>
      </c>
      <c r="E1920">
        <v>22168</v>
      </c>
      <c r="F1920">
        <v>9</v>
      </c>
      <c r="G1920">
        <v>1</v>
      </c>
      <c r="H1920">
        <v>1</v>
      </c>
      <c r="I1920">
        <v>2</v>
      </c>
      <c r="J1920" t="s">
        <v>3551</v>
      </c>
      <c r="K1920" t="s">
        <v>3552</v>
      </c>
      <c r="L1920" s="2">
        <v>1518.7864</v>
      </c>
      <c r="M1920" s="2">
        <v>2443.35</v>
      </c>
      <c r="N1920" t="s">
        <v>30</v>
      </c>
      <c r="O1920" t="s">
        <v>335</v>
      </c>
      <c r="P1920" t="s">
        <v>56</v>
      </c>
      <c r="Q1920" t="s">
        <v>8248</v>
      </c>
      <c r="R1920" s="1">
        <v>18020</v>
      </c>
      <c r="S1920" t="s">
        <v>16</v>
      </c>
      <c r="T1920" t="s">
        <v>29</v>
      </c>
      <c r="U1920" t="s">
        <v>2747</v>
      </c>
      <c r="V1920">
        <v>30000</v>
      </c>
      <c r="W1920">
        <v>3</v>
      </c>
      <c r="X1920" t="s">
        <v>52</v>
      </c>
      <c r="Y1920" t="s">
        <v>60</v>
      </c>
      <c r="Z1920" t="s">
        <v>23</v>
      </c>
      <c r="AA1920" t="s">
        <v>3586</v>
      </c>
      <c r="AB1920" t="s">
        <v>3586</v>
      </c>
      <c r="AC1920" t="s">
        <v>3587</v>
      </c>
      <c r="AD1920" t="s">
        <v>3479</v>
      </c>
      <c r="AE1920" t="s">
        <v>3475</v>
      </c>
      <c r="AF1920" s="2">
        <v>2443.35</v>
      </c>
      <c r="AG1920" s="2">
        <v>1518.7864</v>
      </c>
      <c r="AH1920" s="2">
        <v>924.56359999999995</v>
      </c>
      <c r="AI1920" s="3">
        <v>0.37839998362903399</v>
      </c>
    </row>
    <row r="1921" spans="1:35">
      <c r="A1921" s="1">
        <v>42282</v>
      </c>
      <c r="B1921" s="1">
        <v>37430</v>
      </c>
      <c r="C1921" t="s">
        <v>5513</v>
      </c>
      <c r="D1921">
        <v>379</v>
      </c>
      <c r="E1921">
        <v>22170</v>
      </c>
      <c r="F1921">
        <v>9</v>
      </c>
      <c r="G1921">
        <v>1</v>
      </c>
      <c r="H1921">
        <v>1</v>
      </c>
      <c r="I1921">
        <v>2</v>
      </c>
      <c r="J1921" t="s">
        <v>3561</v>
      </c>
      <c r="K1921" t="s">
        <v>3562</v>
      </c>
      <c r="L1921" s="2">
        <v>1320.6838</v>
      </c>
      <c r="M1921" s="2">
        <v>2181.5625</v>
      </c>
      <c r="N1921" t="s">
        <v>30</v>
      </c>
      <c r="O1921" t="s">
        <v>464</v>
      </c>
      <c r="P1921" t="s">
        <v>290</v>
      </c>
      <c r="Q1921" t="s">
        <v>8249</v>
      </c>
      <c r="R1921" s="1">
        <v>18524</v>
      </c>
      <c r="S1921" t="s">
        <v>16</v>
      </c>
      <c r="T1921" t="s">
        <v>29</v>
      </c>
      <c r="U1921" t="s">
        <v>2748</v>
      </c>
      <c r="V1921">
        <v>30000</v>
      </c>
      <c r="W1921">
        <v>3</v>
      </c>
      <c r="X1921" t="s">
        <v>52</v>
      </c>
      <c r="Y1921" t="s">
        <v>60</v>
      </c>
      <c r="Z1921" t="s">
        <v>23</v>
      </c>
      <c r="AA1921" t="s">
        <v>3586</v>
      </c>
      <c r="AB1921" t="s">
        <v>3586</v>
      </c>
      <c r="AC1921" t="s">
        <v>3587</v>
      </c>
      <c r="AD1921" t="s">
        <v>3479</v>
      </c>
      <c r="AE1921" t="s">
        <v>3475</v>
      </c>
      <c r="AF1921" s="2">
        <v>2181.5625</v>
      </c>
      <c r="AG1921" s="2">
        <v>1320.6838</v>
      </c>
      <c r="AH1921" s="2">
        <v>860.87869999999998</v>
      </c>
      <c r="AI1921" s="3">
        <v>0.39461564818793898</v>
      </c>
    </row>
    <row r="1922" spans="1:35">
      <c r="A1922" s="1">
        <v>42303</v>
      </c>
      <c r="B1922" s="1">
        <v>37496</v>
      </c>
      <c r="C1922" t="s">
        <v>5672</v>
      </c>
      <c r="D1922">
        <v>377</v>
      </c>
      <c r="E1922">
        <v>22171</v>
      </c>
      <c r="F1922">
        <v>9</v>
      </c>
      <c r="G1922">
        <v>1</v>
      </c>
      <c r="H1922">
        <v>1</v>
      </c>
      <c r="I1922">
        <v>2</v>
      </c>
      <c r="J1922" t="s">
        <v>3559</v>
      </c>
      <c r="K1922" t="s">
        <v>3560</v>
      </c>
      <c r="L1922" s="2">
        <v>1320.6838</v>
      </c>
      <c r="M1922" s="2">
        <v>2181.5625</v>
      </c>
      <c r="N1922" t="s">
        <v>30</v>
      </c>
      <c r="O1922" t="s">
        <v>216</v>
      </c>
      <c r="P1922" t="s">
        <v>95</v>
      </c>
      <c r="Q1922" t="s">
        <v>8250</v>
      </c>
      <c r="R1922" s="1">
        <v>18758</v>
      </c>
      <c r="S1922" t="s">
        <v>16</v>
      </c>
      <c r="T1922" t="s">
        <v>29</v>
      </c>
      <c r="U1922" t="s">
        <v>2749</v>
      </c>
      <c r="V1922">
        <v>30000</v>
      </c>
      <c r="W1922">
        <v>3</v>
      </c>
      <c r="X1922" t="s">
        <v>57</v>
      </c>
      <c r="Y1922" t="s">
        <v>53</v>
      </c>
      <c r="Z1922" t="s">
        <v>23</v>
      </c>
      <c r="AA1922" t="s">
        <v>3586</v>
      </c>
      <c r="AB1922" t="s">
        <v>3586</v>
      </c>
      <c r="AC1922" t="s">
        <v>3587</v>
      </c>
      <c r="AD1922" t="s">
        <v>3479</v>
      </c>
      <c r="AE1922" t="s">
        <v>3475</v>
      </c>
      <c r="AF1922" s="2">
        <v>2181.5625</v>
      </c>
      <c r="AG1922" s="2">
        <v>1320.6838</v>
      </c>
      <c r="AH1922" s="2">
        <v>860.87869999999998</v>
      </c>
      <c r="AI1922" s="3">
        <v>0.39461564818793898</v>
      </c>
    </row>
    <row r="1923" spans="1:35">
      <c r="A1923" s="1">
        <v>42280</v>
      </c>
      <c r="B1923" s="1">
        <v>37510</v>
      </c>
      <c r="C1923" t="s">
        <v>5501</v>
      </c>
      <c r="D1923">
        <v>371</v>
      </c>
      <c r="E1923">
        <v>22172</v>
      </c>
      <c r="F1923">
        <v>9</v>
      </c>
      <c r="G1923">
        <v>1</v>
      </c>
      <c r="H1923">
        <v>1</v>
      </c>
      <c r="I1923">
        <v>2</v>
      </c>
      <c r="J1923" t="s">
        <v>3553</v>
      </c>
      <c r="K1923" t="s">
        <v>3554</v>
      </c>
      <c r="L1923" s="2">
        <v>1320.6838</v>
      </c>
      <c r="M1923" s="2">
        <v>2181.5625</v>
      </c>
      <c r="N1923" t="s">
        <v>13</v>
      </c>
      <c r="O1923" t="s">
        <v>560</v>
      </c>
      <c r="P1923" t="s">
        <v>207</v>
      </c>
      <c r="Q1923" t="s">
        <v>8251</v>
      </c>
      <c r="R1923" s="1">
        <v>18880</v>
      </c>
      <c r="S1923" t="s">
        <v>16</v>
      </c>
      <c r="T1923" t="s">
        <v>16</v>
      </c>
      <c r="U1923" t="s">
        <v>2750</v>
      </c>
      <c r="V1923">
        <v>30000</v>
      </c>
      <c r="W1923">
        <v>3</v>
      </c>
      <c r="X1923" t="s">
        <v>57</v>
      </c>
      <c r="Y1923" t="s">
        <v>53</v>
      </c>
      <c r="Z1923" t="s">
        <v>19</v>
      </c>
      <c r="AA1923" t="s">
        <v>3586</v>
      </c>
      <c r="AB1923" t="s">
        <v>3586</v>
      </c>
      <c r="AC1923" t="s">
        <v>3587</v>
      </c>
      <c r="AD1923" t="s">
        <v>3479</v>
      </c>
      <c r="AE1923" t="s">
        <v>3475</v>
      </c>
      <c r="AF1923" s="2">
        <v>2181.5625</v>
      </c>
      <c r="AG1923" s="2">
        <v>1320.6838</v>
      </c>
      <c r="AH1923" s="2">
        <v>860.87869999999998</v>
      </c>
      <c r="AI1923" s="3">
        <v>0.39461564818793898</v>
      </c>
    </row>
    <row r="1924" spans="1:35">
      <c r="A1924" s="1">
        <v>42287</v>
      </c>
      <c r="B1924" s="1">
        <v>37492</v>
      </c>
      <c r="C1924" t="s">
        <v>5540</v>
      </c>
      <c r="D1924">
        <v>371</v>
      </c>
      <c r="E1924">
        <v>22173</v>
      </c>
      <c r="F1924">
        <v>9</v>
      </c>
      <c r="G1924">
        <v>1</v>
      </c>
      <c r="H1924">
        <v>1</v>
      </c>
      <c r="I1924">
        <v>2</v>
      </c>
      <c r="J1924" t="s">
        <v>3553</v>
      </c>
      <c r="K1924" t="s">
        <v>3554</v>
      </c>
      <c r="L1924" s="2">
        <v>1320.6838</v>
      </c>
      <c r="M1924" s="2">
        <v>2181.5625</v>
      </c>
      <c r="N1924" t="s">
        <v>30</v>
      </c>
      <c r="O1924" t="s">
        <v>211</v>
      </c>
      <c r="P1924" t="s">
        <v>223</v>
      </c>
      <c r="Q1924" t="s">
        <v>8252</v>
      </c>
      <c r="R1924" s="1">
        <v>19104</v>
      </c>
      <c r="S1924" t="s">
        <v>16</v>
      </c>
      <c r="T1924" t="s">
        <v>29</v>
      </c>
      <c r="U1924" t="s">
        <v>2751</v>
      </c>
      <c r="V1924">
        <v>30000</v>
      </c>
      <c r="W1924">
        <v>3</v>
      </c>
      <c r="X1924" t="s">
        <v>57</v>
      </c>
      <c r="Y1924" t="s">
        <v>53</v>
      </c>
      <c r="Z1924" t="s">
        <v>23</v>
      </c>
      <c r="AA1924" t="s">
        <v>3586</v>
      </c>
      <c r="AB1924" t="s">
        <v>3586</v>
      </c>
      <c r="AC1924" t="s">
        <v>3587</v>
      </c>
      <c r="AD1924" t="s">
        <v>3479</v>
      </c>
      <c r="AE1924" t="s">
        <v>3475</v>
      </c>
      <c r="AF1924" s="2">
        <v>2181.5625</v>
      </c>
      <c r="AG1924" s="2">
        <v>1320.6838</v>
      </c>
      <c r="AH1924" s="2">
        <v>860.87869999999998</v>
      </c>
      <c r="AI1924" s="3">
        <v>0.39461564818793898</v>
      </c>
    </row>
    <row r="1925" spans="1:35">
      <c r="A1925" s="1">
        <v>42290</v>
      </c>
      <c r="B1925" s="1">
        <v>37485</v>
      </c>
      <c r="C1925" t="s">
        <v>5570</v>
      </c>
      <c r="D1925">
        <v>369</v>
      </c>
      <c r="E1925">
        <v>22174</v>
      </c>
      <c r="F1925">
        <v>9</v>
      </c>
      <c r="G1925">
        <v>1</v>
      </c>
      <c r="H1925">
        <v>1</v>
      </c>
      <c r="I1925">
        <v>2</v>
      </c>
      <c r="J1925" t="s">
        <v>3549</v>
      </c>
      <c r="K1925" t="s">
        <v>3550</v>
      </c>
      <c r="L1925" s="2">
        <v>1518.7864</v>
      </c>
      <c r="M1925" s="2">
        <v>2443.35</v>
      </c>
      <c r="N1925" t="s">
        <v>13</v>
      </c>
      <c r="O1925" t="s">
        <v>420</v>
      </c>
      <c r="P1925" t="s">
        <v>42</v>
      </c>
      <c r="Q1925" t="s">
        <v>8253</v>
      </c>
      <c r="R1925" s="1">
        <v>19116</v>
      </c>
      <c r="S1925" t="s">
        <v>16</v>
      </c>
      <c r="T1925" t="s">
        <v>16</v>
      </c>
      <c r="U1925" t="s">
        <v>2752</v>
      </c>
      <c r="V1925">
        <v>30000</v>
      </c>
      <c r="W1925">
        <v>3</v>
      </c>
      <c r="X1925" t="s">
        <v>57</v>
      </c>
      <c r="Y1925" t="s">
        <v>53</v>
      </c>
      <c r="Z1925" t="s">
        <v>19</v>
      </c>
      <c r="AA1925" t="s">
        <v>3586</v>
      </c>
      <c r="AB1925" t="s">
        <v>3586</v>
      </c>
      <c r="AC1925" t="s">
        <v>3587</v>
      </c>
      <c r="AD1925" t="s">
        <v>3479</v>
      </c>
      <c r="AE1925" t="s">
        <v>3475</v>
      </c>
      <c r="AF1925" s="2">
        <v>2443.35</v>
      </c>
      <c r="AG1925" s="2">
        <v>1518.7864</v>
      </c>
      <c r="AH1925" s="2">
        <v>924.56359999999995</v>
      </c>
      <c r="AI1925" s="3">
        <v>0.37839998362903399</v>
      </c>
    </row>
    <row r="1926" spans="1:35">
      <c r="A1926" s="1">
        <v>42291</v>
      </c>
      <c r="B1926" s="1">
        <v>37499</v>
      </c>
      <c r="C1926" t="s">
        <v>5576</v>
      </c>
      <c r="D1926">
        <v>370</v>
      </c>
      <c r="E1926">
        <v>22175</v>
      </c>
      <c r="F1926">
        <v>9</v>
      </c>
      <c r="G1926">
        <v>1</v>
      </c>
      <c r="H1926">
        <v>1</v>
      </c>
      <c r="I1926">
        <v>2</v>
      </c>
      <c r="J1926" t="s">
        <v>3551</v>
      </c>
      <c r="K1926" t="s">
        <v>3552</v>
      </c>
      <c r="L1926" s="2">
        <v>1518.7864</v>
      </c>
      <c r="M1926" s="2">
        <v>2443.35</v>
      </c>
      <c r="N1926" t="s">
        <v>30</v>
      </c>
      <c r="O1926" t="s">
        <v>1221</v>
      </c>
      <c r="P1926" t="s">
        <v>97</v>
      </c>
      <c r="Q1926" t="s">
        <v>8254</v>
      </c>
      <c r="R1926" s="1">
        <v>19303</v>
      </c>
      <c r="S1926" t="s">
        <v>16</v>
      </c>
      <c r="T1926" t="s">
        <v>29</v>
      </c>
      <c r="U1926" t="s">
        <v>2753</v>
      </c>
      <c r="V1926">
        <v>30000</v>
      </c>
      <c r="W1926">
        <v>3</v>
      </c>
      <c r="X1926" t="s">
        <v>57</v>
      </c>
      <c r="Y1926" t="s">
        <v>53</v>
      </c>
      <c r="Z1926" t="s">
        <v>19</v>
      </c>
      <c r="AA1926" t="s">
        <v>3586</v>
      </c>
      <c r="AB1926" t="s">
        <v>3586</v>
      </c>
      <c r="AC1926" t="s">
        <v>3587</v>
      </c>
      <c r="AD1926" t="s">
        <v>3479</v>
      </c>
      <c r="AE1926" t="s">
        <v>3475</v>
      </c>
      <c r="AF1926" s="2">
        <v>2443.35</v>
      </c>
      <c r="AG1926" s="2">
        <v>1518.7864</v>
      </c>
      <c r="AH1926" s="2">
        <v>924.56359999999995</v>
      </c>
      <c r="AI1926" s="3">
        <v>0.37839998362903399</v>
      </c>
    </row>
    <row r="1927" spans="1:35">
      <c r="A1927" s="1">
        <v>42289</v>
      </c>
      <c r="B1927" s="1">
        <v>37454</v>
      </c>
      <c r="C1927" t="s">
        <v>5557</v>
      </c>
      <c r="D1927">
        <v>370</v>
      </c>
      <c r="E1927">
        <v>22178</v>
      </c>
      <c r="F1927">
        <v>9</v>
      </c>
      <c r="G1927">
        <v>1</v>
      </c>
      <c r="H1927">
        <v>1</v>
      </c>
      <c r="I1927">
        <v>2</v>
      </c>
      <c r="J1927" t="s">
        <v>3551</v>
      </c>
      <c r="K1927" t="s">
        <v>3552</v>
      </c>
      <c r="L1927" s="2">
        <v>1518.7864</v>
      </c>
      <c r="M1927" s="2">
        <v>2443.35</v>
      </c>
      <c r="N1927" t="s">
        <v>30</v>
      </c>
      <c r="O1927" t="s">
        <v>145</v>
      </c>
      <c r="P1927" t="s">
        <v>798</v>
      </c>
      <c r="Q1927" t="s">
        <v>8255</v>
      </c>
      <c r="R1927" s="1">
        <v>19536</v>
      </c>
      <c r="S1927" t="s">
        <v>16</v>
      </c>
      <c r="T1927" t="s">
        <v>29</v>
      </c>
      <c r="U1927" t="s">
        <v>2754</v>
      </c>
      <c r="V1927">
        <v>40000</v>
      </c>
      <c r="W1927">
        <v>3</v>
      </c>
      <c r="X1927" t="s">
        <v>52</v>
      </c>
      <c r="Y1927" t="s">
        <v>53</v>
      </c>
      <c r="Z1927" t="s">
        <v>19</v>
      </c>
      <c r="AA1927" t="s">
        <v>3586</v>
      </c>
      <c r="AB1927" t="s">
        <v>3586</v>
      </c>
      <c r="AC1927" t="s">
        <v>3587</v>
      </c>
      <c r="AD1927" t="s">
        <v>3479</v>
      </c>
      <c r="AE1927" t="s">
        <v>3475</v>
      </c>
      <c r="AF1927" s="2">
        <v>2443.35</v>
      </c>
      <c r="AG1927" s="2">
        <v>1518.7864</v>
      </c>
      <c r="AH1927" s="2">
        <v>924.56359999999995</v>
      </c>
      <c r="AI1927" s="3">
        <v>0.37839998362903399</v>
      </c>
    </row>
    <row r="1928" spans="1:35">
      <c r="A1928" s="1">
        <v>42279</v>
      </c>
      <c r="B1928" s="1">
        <v>37444</v>
      </c>
      <c r="C1928" t="s">
        <v>5496</v>
      </c>
      <c r="D1928">
        <v>375</v>
      </c>
      <c r="E1928">
        <v>22180</v>
      </c>
      <c r="F1928">
        <v>9</v>
      </c>
      <c r="G1928">
        <v>1</v>
      </c>
      <c r="H1928">
        <v>1</v>
      </c>
      <c r="I1928">
        <v>2</v>
      </c>
      <c r="J1928" t="s">
        <v>3557</v>
      </c>
      <c r="K1928" t="s">
        <v>3558</v>
      </c>
      <c r="L1928" s="2">
        <v>1320.6838</v>
      </c>
      <c r="M1928" s="2">
        <v>2181.5625</v>
      </c>
      <c r="N1928" t="s">
        <v>13</v>
      </c>
      <c r="O1928" t="s">
        <v>774</v>
      </c>
      <c r="P1928" t="s">
        <v>632</v>
      </c>
      <c r="Q1928" t="s">
        <v>8256</v>
      </c>
      <c r="R1928" s="1">
        <v>20011</v>
      </c>
      <c r="S1928" t="s">
        <v>22</v>
      </c>
      <c r="T1928" t="s">
        <v>16</v>
      </c>
      <c r="U1928" t="s">
        <v>2755</v>
      </c>
      <c r="V1928">
        <v>70000</v>
      </c>
      <c r="W1928">
        <v>2</v>
      </c>
      <c r="X1928" t="s">
        <v>52</v>
      </c>
      <c r="Y1928" t="s">
        <v>53</v>
      </c>
      <c r="Z1928" t="s">
        <v>23</v>
      </c>
      <c r="AA1928" t="s">
        <v>3586</v>
      </c>
      <c r="AB1928" t="s">
        <v>3586</v>
      </c>
      <c r="AC1928" t="s">
        <v>3587</v>
      </c>
      <c r="AD1928" t="s">
        <v>3479</v>
      </c>
      <c r="AE1928" t="s">
        <v>3475</v>
      </c>
      <c r="AF1928" s="2">
        <v>2181.5625</v>
      </c>
      <c r="AG1928" s="2">
        <v>1320.6838</v>
      </c>
      <c r="AH1928" s="2">
        <v>860.87869999999998</v>
      </c>
      <c r="AI1928" s="3">
        <v>0.39461564818793898</v>
      </c>
    </row>
    <row r="1929" spans="1:35">
      <c r="A1929" s="1">
        <v>42284</v>
      </c>
      <c r="B1929" s="1">
        <v>37484</v>
      </c>
      <c r="C1929" t="s">
        <v>5527</v>
      </c>
      <c r="D1929">
        <v>377</v>
      </c>
      <c r="E1929">
        <v>22181</v>
      </c>
      <c r="F1929">
        <v>9</v>
      </c>
      <c r="G1929">
        <v>1</v>
      </c>
      <c r="H1929">
        <v>1</v>
      </c>
      <c r="I1929">
        <v>2</v>
      </c>
      <c r="J1929" t="s">
        <v>3559</v>
      </c>
      <c r="K1929" t="s">
        <v>3560</v>
      </c>
      <c r="L1929" s="2">
        <v>1320.6838</v>
      </c>
      <c r="M1929" s="2">
        <v>2181.5625</v>
      </c>
      <c r="N1929" t="s">
        <v>13</v>
      </c>
      <c r="O1929" t="s">
        <v>480</v>
      </c>
      <c r="P1929" t="s">
        <v>317</v>
      </c>
      <c r="Q1929" t="s">
        <v>8257</v>
      </c>
      <c r="R1929" s="1">
        <v>20018</v>
      </c>
      <c r="S1929" t="s">
        <v>22</v>
      </c>
      <c r="T1929" t="s">
        <v>16</v>
      </c>
      <c r="U1929" t="s">
        <v>2756</v>
      </c>
      <c r="V1929">
        <v>70000</v>
      </c>
      <c r="W1929">
        <v>2</v>
      </c>
      <c r="X1929" t="s">
        <v>52</v>
      </c>
      <c r="Y1929" t="s">
        <v>53</v>
      </c>
      <c r="Z1929" t="s">
        <v>19</v>
      </c>
      <c r="AA1929" t="s">
        <v>3586</v>
      </c>
      <c r="AB1929" t="s">
        <v>3586</v>
      </c>
      <c r="AC1929" t="s">
        <v>3587</v>
      </c>
      <c r="AD1929" t="s">
        <v>3479</v>
      </c>
      <c r="AE1929" t="s">
        <v>3475</v>
      </c>
      <c r="AF1929" s="2">
        <v>2181.5625</v>
      </c>
      <c r="AG1929" s="2">
        <v>1320.6838</v>
      </c>
      <c r="AH1929" s="2">
        <v>860.87869999999998</v>
      </c>
      <c r="AI1929" s="3">
        <v>0.39461564818793898</v>
      </c>
    </row>
    <row r="1930" spans="1:35">
      <c r="A1930" s="1">
        <v>42307</v>
      </c>
      <c r="B1930" s="1">
        <v>37449</v>
      </c>
      <c r="C1930" t="s">
        <v>5699</v>
      </c>
      <c r="D1930">
        <v>369</v>
      </c>
      <c r="E1930">
        <v>22193</v>
      </c>
      <c r="F1930">
        <v>9</v>
      </c>
      <c r="G1930">
        <v>1</v>
      </c>
      <c r="H1930">
        <v>1</v>
      </c>
      <c r="I1930">
        <v>2</v>
      </c>
      <c r="J1930" t="s">
        <v>3549</v>
      </c>
      <c r="K1930" t="s">
        <v>3550</v>
      </c>
      <c r="L1930" s="2">
        <v>1518.7864</v>
      </c>
      <c r="M1930" s="2">
        <v>2443.35</v>
      </c>
      <c r="N1930" t="s">
        <v>30</v>
      </c>
      <c r="O1930" t="s">
        <v>1179</v>
      </c>
      <c r="P1930" t="s">
        <v>99</v>
      </c>
      <c r="Q1930" t="s">
        <v>8258</v>
      </c>
      <c r="R1930" s="1">
        <v>20414</v>
      </c>
      <c r="S1930" t="s">
        <v>22</v>
      </c>
      <c r="T1930" t="s">
        <v>29</v>
      </c>
      <c r="U1930" t="s">
        <v>2757</v>
      </c>
      <c r="V1930">
        <v>80000</v>
      </c>
      <c r="W1930">
        <v>2</v>
      </c>
      <c r="X1930" t="s">
        <v>57</v>
      </c>
      <c r="Y1930" t="s">
        <v>53</v>
      </c>
      <c r="Z1930" t="s">
        <v>19</v>
      </c>
      <c r="AA1930" t="s">
        <v>3586</v>
      </c>
      <c r="AB1930" t="s">
        <v>3586</v>
      </c>
      <c r="AC1930" t="s">
        <v>3587</v>
      </c>
      <c r="AD1930" t="s">
        <v>3479</v>
      </c>
      <c r="AE1930" t="s">
        <v>3475</v>
      </c>
      <c r="AF1930" s="2">
        <v>2443.35</v>
      </c>
      <c r="AG1930" s="2">
        <v>1518.7864</v>
      </c>
      <c r="AH1930" s="2">
        <v>924.56359999999995</v>
      </c>
      <c r="AI1930" s="3">
        <v>0.37839998362903399</v>
      </c>
    </row>
    <row r="1931" spans="1:35">
      <c r="A1931" s="1">
        <v>42305</v>
      </c>
      <c r="B1931" s="1">
        <v>37481</v>
      </c>
      <c r="C1931" t="s">
        <v>5678</v>
      </c>
      <c r="D1931">
        <v>375</v>
      </c>
      <c r="E1931">
        <v>22194</v>
      </c>
      <c r="F1931">
        <v>9</v>
      </c>
      <c r="G1931">
        <v>1</v>
      </c>
      <c r="H1931">
        <v>1</v>
      </c>
      <c r="I1931">
        <v>2</v>
      </c>
      <c r="J1931" t="s">
        <v>3557</v>
      </c>
      <c r="K1931" t="s">
        <v>3558</v>
      </c>
      <c r="L1931" s="2">
        <v>1320.6838</v>
      </c>
      <c r="M1931" s="2">
        <v>2181.5625</v>
      </c>
      <c r="N1931" t="s">
        <v>13</v>
      </c>
      <c r="O1931" t="s">
        <v>1063</v>
      </c>
      <c r="P1931" t="s">
        <v>79</v>
      </c>
      <c r="Q1931" t="s">
        <v>8259</v>
      </c>
      <c r="R1931" s="1">
        <v>20201</v>
      </c>
      <c r="S1931" t="s">
        <v>22</v>
      </c>
      <c r="T1931" t="s">
        <v>16</v>
      </c>
      <c r="U1931" t="s">
        <v>2758</v>
      </c>
      <c r="V1931">
        <v>80000</v>
      </c>
      <c r="W1931">
        <v>2</v>
      </c>
      <c r="X1931" t="s">
        <v>57</v>
      </c>
      <c r="Y1931" t="s">
        <v>53</v>
      </c>
      <c r="Z1931" t="s">
        <v>19</v>
      </c>
      <c r="AA1931" t="s">
        <v>3586</v>
      </c>
      <c r="AB1931" t="s">
        <v>3586</v>
      </c>
      <c r="AC1931" t="s">
        <v>3587</v>
      </c>
      <c r="AD1931" t="s">
        <v>3479</v>
      </c>
      <c r="AE1931" t="s">
        <v>3475</v>
      </c>
      <c r="AF1931" s="2">
        <v>2181.5625</v>
      </c>
      <c r="AG1931" s="2">
        <v>1320.6838</v>
      </c>
      <c r="AH1931" s="2">
        <v>860.87869999999998</v>
      </c>
      <c r="AI1931" s="3">
        <v>0.39461564818793898</v>
      </c>
    </row>
    <row r="1932" spans="1:35">
      <c r="A1932" s="1">
        <v>42284</v>
      </c>
      <c r="B1932" s="1">
        <v>37489</v>
      </c>
      <c r="C1932" t="s">
        <v>5528</v>
      </c>
      <c r="D1932">
        <v>369</v>
      </c>
      <c r="E1932">
        <v>22195</v>
      </c>
      <c r="F1932">
        <v>9</v>
      </c>
      <c r="G1932">
        <v>1</v>
      </c>
      <c r="H1932">
        <v>1</v>
      </c>
      <c r="I1932">
        <v>2</v>
      </c>
      <c r="J1932" t="s">
        <v>3549</v>
      </c>
      <c r="K1932" t="s">
        <v>3550</v>
      </c>
      <c r="L1932" s="2">
        <v>1518.7864</v>
      </c>
      <c r="M1932" s="2">
        <v>2443.35</v>
      </c>
      <c r="N1932" t="s">
        <v>13</v>
      </c>
      <c r="O1932" t="s">
        <v>233</v>
      </c>
      <c r="P1932" t="s">
        <v>317</v>
      </c>
      <c r="Q1932" t="s">
        <v>8260</v>
      </c>
      <c r="R1932" s="1">
        <v>20569</v>
      </c>
      <c r="S1932" t="s">
        <v>16</v>
      </c>
      <c r="T1932" t="s">
        <v>16</v>
      </c>
      <c r="U1932" t="s">
        <v>2759</v>
      </c>
      <c r="V1932">
        <v>80000</v>
      </c>
      <c r="W1932">
        <v>2</v>
      </c>
      <c r="X1932" t="s">
        <v>57</v>
      </c>
      <c r="Y1932" t="s">
        <v>53</v>
      </c>
      <c r="Z1932" t="s">
        <v>23</v>
      </c>
      <c r="AA1932" t="s">
        <v>3586</v>
      </c>
      <c r="AB1932" t="s">
        <v>3586</v>
      </c>
      <c r="AC1932" t="s">
        <v>3587</v>
      </c>
      <c r="AD1932" t="s">
        <v>3479</v>
      </c>
      <c r="AE1932" t="s">
        <v>3475</v>
      </c>
      <c r="AF1932" s="2">
        <v>2443.35</v>
      </c>
      <c r="AG1932" s="2">
        <v>1518.7864</v>
      </c>
      <c r="AH1932" s="2">
        <v>924.56359999999995</v>
      </c>
      <c r="AI1932" s="3">
        <v>0.37839998362903399</v>
      </c>
    </row>
    <row r="1933" spans="1:35">
      <c r="A1933" s="1">
        <v>42292</v>
      </c>
      <c r="B1933" s="1">
        <v>37466</v>
      </c>
      <c r="C1933" t="s">
        <v>5582</v>
      </c>
      <c r="D1933">
        <v>375</v>
      </c>
      <c r="E1933">
        <v>22196</v>
      </c>
      <c r="F1933">
        <v>9</v>
      </c>
      <c r="G1933">
        <v>1</v>
      </c>
      <c r="H1933">
        <v>1</v>
      </c>
      <c r="I1933">
        <v>2</v>
      </c>
      <c r="J1933" t="s">
        <v>3557</v>
      </c>
      <c r="K1933" t="s">
        <v>3558</v>
      </c>
      <c r="L1933" s="2">
        <v>1320.6838</v>
      </c>
      <c r="M1933" s="2">
        <v>2181.5625</v>
      </c>
      <c r="N1933" t="s">
        <v>13</v>
      </c>
      <c r="O1933" t="s">
        <v>582</v>
      </c>
      <c r="P1933" t="s">
        <v>317</v>
      </c>
      <c r="Q1933" t="s">
        <v>8261</v>
      </c>
      <c r="R1933" s="1">
        <v>20479</v>
      </c>
      <c r="S1933" t="s">
        <v>22</v>
      </c>
      <c r="T1933" t="s">
        <v>16</v>
      </c>
      <c r="U1933" t="s">
        <v>2760</v>
      </c>
      <c r="V1933">
        <v>80000</v>
      </c>
      <c r="W1933">
        <v>2</v>
      </c>
      <c r="X1933" t="s">
        <v>57</v>
      </c>
      <c r="Y1933" t="s">
        <v>53</v>
      </c>
      <c r="Z1933" t="s">
        <v>23</v>
      </c>
      <c r="AA1933" t="s">
        <v>3586</v>
      </c>
      <c r="AB1933" t="s">
        <v>3586</v>
      </c>
      <c r="AC1933" t="s">
        <v>3587</v>
      </c>
      <c r="AD1933" t="s">
        <v>3479</v>
      </c>
      <c r="AE1933" t="s">
        <v>3475</v>
      </c>
      <c r="AF1933" s="2">
        <v>2181.5625</v>
      </c>
      <c r="AG1933" s="2">
        <v>1320.6838</v>
      </c>
      <c r="AH1933" s="2">
        <v>860.87869999999998</v>
      </c>
      <c r="AI1933" s="3">
        <v>0.39461564818793898</v>
      </c>
    </row>
    <row r="1934" spans="1:35">
      <c r="A1934" s="1">
        <v>42285</v>
      </c>
      <c r="B1934" s="1">
        <v>37489</v>
      </c>
      <c r="C1934" t="s">
        <v>5533</v>
      </c>
      <c r="D1934">
        <v>371</v>
      </c>
      <c r="E1934">
        <v>22197</v>
      </c>
      <c r="F1934">
        <v>9</v>
      </c>
      <c r="G1934">
        <v>1</v>
      </c>
      <c r="H1934">
        <v>1</v>
      </c>
      <c r="I1934">
        <v>2</v>
      </c>
      <c r="J1934" t="s">
        <v>3553</v>
      </c>
      <c r="K1934" t="s">
        <v>3554</v>
      </c>
      <c r="L1934" s="2">
        <v>1320.6838</v>
      </c>
      <c r="M1934" s="2">
        <v>2181.5625</v>
      </c>
      <c r="N1934" t="s">
        <v>13</v>
      </c>
      <c r="O1934" t="s">
        <v>247</v>
      </c>
      <c r="P1934" t="s">
        <v>97</v>
      </c>
      <c r="Q1934" t="s">
        <v>8262</v>
      </c>
      <c r="R1934" s="1">
        <v>20803</v>
      </c>
      <c r="S1934" t="s">
        <v>22</v>
      </c>
      <c r="T1934" t="s">
        <v>16</v>
      </c>
      <c r="U1934" t="s">
        <v>2761</v>
      </c>
      <c r="V1934">
        <v>80000</v>
      </c>
      <c r="W1934">
        <v>2</v>
      </c>
      <c r="X1934" t="s">
        <v>57</v>
      </c>
      <c r="Y1934" t="s">
        <v>53</v>
      </c>
      <c r="Z1934" t="s">
        <v>23</v>
      </c>
      <c r="AA1934" t="s">
        <v>3586</v>
      </c>
      <c r="AB1934" t="s">
        <v>3586</v>
      </c>
      <c r="AC1934" t="s">
        <v>3587</v>
      </c>
      <c r="AD1934" t="s">
        <v>3479</v>
      </c>
      <c r="AE1934" t="s">
        <v>3475</v>
      </c>
      <c r="AF1934" s="2">
        <v>2181.5625</v>
      </c>
      <c r="AG1934" s="2">
        <v>1320.6838</v>
      </c>
      <c r="AH1934" s="2">
        <v>860.87869999999998</v>
      </c>
      <c r="AI1934" s="3">
        <v>0.39461564818793898</v>
      </c>
    </row>
    <row r="1935" spans="1:35">
      <c r="A1935" s="1">
        <v>42289</v>
      </c>
      <c r="B1935" s="1">
        <v>37447</v>
      </c>
      <c r="C1935" t="s">
        <v>5554</v>
      </c>
      <c r="D1935">
        <v>379</v>
      </c>
      <c r="E1935">
        <v>22198</v>
      </c>
      <c r="F1935">
        <v>9</v>
      </c>
      <c r="G1935">
        <v>1</v>
      </c>
      <c r="H1935">
        <v>1</v>
      </c>
      <c r="I1935">
        <v>2</v>
      </c>
      <c r="J1935" t="s">
        <v>3561</v>
      </c>
      <c r="K1935" t="s">
        <v>3562</v>
      </c>
      <c r="L1935" s="2">
        <v>1320.6838</v>
      </c>
      <c r="M1935" s="2">
        <v>2181.5625</v>
      </c>
      <c r="N1935" t="s">
        <v>13</v>
      </c>
      <c r="O1935" t="s">
        <v>448</v>
      </c>
      <c r="P1935" t="s">
        <v>101</v>
      </c>
      <c r="Q1935" t="s">
        <v>8263</v>
      </c>
      <c r="R1935" s="1">
        <v>20773</v>
      </c>
      <c r="S1935" t="s">
        <v>16</v>
      </c>
      <c r="T1935" t="s">
        <v>16</v>
      </c>
      <c r="U1935" t="s">
        <v>2762</v>
      </c>
      <c r="V1935">
        <v>80000</v>
      </c>
      <c r="W1935">
        <v>2</v>
      </c>
      <c r="X1935" t="s">
        <v>57</v>
      </c>
      <c r="Y1935" t="s">
        <v>53</v>
      </c>
      <c r="Z1935" t="s">
        <v>23</v>
      </c>
      <c r="AA1935" t="s">
        <v>3586</v>
      </c>
      <c r="AB1935" t="s">
        <v>3586</v>
      </c>
      <c r="AC1935" t="s">
        <v>3587</v>
      </c>
      <c r="AD1935" t="s">
        <v>3479</v>
      </c>
      <c r="AE1935" t="s">
        <v>3475</v>
      </c>
      <c r="AF1935" s="2">
        <v>2181.5625</v>
      </c>
      <c r="AG1935" s="2">
        <v>1320.6838</v>
      </c>
      <c r="AH1935" s="2">
        <v>860.87869999999998</v>
      </c>
      <c r="AI1935" s="3">
        <v>0.39461564818793898</v>
      </c>
    </row>
    <row r="1936" spans="1:35">
      <c r="A1936" s="1">
        <v>42296</v>
      </c>
      <c r="B1936" s="1">
        <v>37498</v>
      </c>
      <c r="C1936" t="s">
        <v>5611</v>
      </c>
      <c r="D1936">
        <v>379</v>
      </c>
      <c r="E1936">
        <v>22199</v>
      </c>
      <c r="F1936">
        <v>9</v>
      </c>
      <c r="G1936">
        <v>1</v>
      </c>
      <c r="H1936">
        <v>1</v>
      </c>
      <c r="I1936">
        <v>2</v>
      </c>
      <c r="J1936" t="s">
        <v>3561</v>
      </c>
      <c r="K1936" t="s">
        <v>3562</v>
      </c>
      <c r="L1936" s="2">
        <v>1320.6838</v>
      </c>
      <c r="M1936" s="2">
        <v>2181.5625</v>
      </c>
      <c r="N1936" t="s">
        <v>13</v>
      </c>
      <c r="O1936" t="s">
        <v>292</v>
      </c>
      <c r="P1936" t="s">
        <v>307</v>
      </c>
      <c r="Q1936" t="s">
        <v>8264</v>
      </c>
      <c r="R1936" s="1">
        <v>20614</v>
      </c>
      <c r="S1936" t="s">
        <v>22</v>
      </c>
      <c r="T1936" t="s">
        <v>16</v>
      </c>
      <c r="U1936" t="s">
        <v>2763</v>
      </c>
      <c r="V1936">
        <v>80000</v>
      </c>
      <c r="W1936">
        <v>2</v>
      </c>
      <c r="X1936" t="s">
        <v>57</v>
      </c>
      <c r="Y1936" t="s">
        <v>53</v>
      </c>
      <c r="Z1936" t="s">
        <v>23</v>
      </c>
      <c r="AA1936" t="s">
        <v>3586</v>
      </c>
      <c r="AB1936" t="s">
        <v>3586</v>
      </c>
      <c r="AC1936" t="s">
        <v>3587</v>
      </c>
      <c r="AD1936" t="s">
        <v>3479</v>
      </c>
      <c r="AE1936" t="s">
        <v>3475</v>
      </c>
      <c r="AF1936" s="2">
        <v>2181.5625</v>
      </c>
      <c r="AG1936" s="2">
        <v>1320.6838</v>
      </c>
      <c r="AH1936" s="2">
        <v>860.87869999999998</v>
      </c>
      <c r="AI1936" s="3">
        <v>0.39461564818793898</v>
      </c>
    </row>
    <row r="1937" spans="1:35">
      <c r="A1937" s="1">
        <v>42290</v>
      </c>
      <c r="B1937" s="1">
        <v>37437</v>
      </c>
      <c r="C1937" t="s">
        <v>5569</v>
      </c>
      <c r="D1937">
        <v>371</v>
      </c>
      <c r="E1937">
        <v>22200</v>
      </c>
      <c r="F1937">
        <v>9</v>
      </c>
      <c r="G1937">
        <v>1</v>
      </c>
      <c r="H1937">
        <v>1</v>
      </c>
      <c r="I1937">
        <v>2</v>
      </c>
      <c r="J1937" t="s">
        <v>3553</v>
      </c>
      <c r="K1937" t="s">
        <v>3554</v>
      </c>
      <c r="L1937" s="2">
        <v>1320.6838</v>
      </c>
      <c r="M1937" s="2">
        <v>2181.5625</v>
      </c>
      <c r="N1937" t="s">
        <v>30</v>
      </c>
      <c r="O1937" t="s">
        <v>1551</v>
      </c>
      <c r="P1937" t="s">
        <v>161</v>
      </c>
      <c r="Q1937" t="s">
        <v>8265</v>
      </c>
      <c r="R1937" s="1">
        <v>20907</v>
      </c>
      <c r="S1937" t="s">
        <v>22</v>
      </c>
      <c r="T1937" t="s">
        <v>29</v>
      </c>
      <c r="U1937" t="s">
        <v>2764</v>
      </c>
      <c r="V1937">
        <v>70000</v>
      </c>
      <c r="W1937">
        <v>2</v>
      </c>
      <c r="X1937" t="s">
        <v>57</v>
      </c>
      <c r="Y1937" t="s">
        <v>18</v>
      </c>
      <c r="Z1937" t="s">
        <v>19</v>
      </c>
      <c r="AA1937" t="s">
        <v>3586</v>
      </c>
      <c r="AB1937" t="s">
        <v>3586</v>
      </c>
      <c r="AC1937" t="s">
        <v>3587</v>
      </c>
      <c r="AD1937" t="s">
        <v>3479</v>
      </c>
      <c r="AE1937" t="s">
        <v>3475</v>
      </c>
      <c r="AF1937" s="2">
        <v>2181.5625</v>
      </c>
      <c r="AG1937" s="2">
        <v>1320.6838</v>
      </c>
      <c r="AH1937" s="2">
        <v>860.87869999999998</v>
      </c>
      <c r="AI1937" s="3">
        <v>0.39461564818793898</v>
      </c>
    </row>
    <row r="1938" spans="1:35">
      <c r="A1938" s="1">
        <v>42328</v>
      </c>
      <c r="B1938" s="1">
        <v>37545</v>
      </c>
      <c r="C1938" t="s">
        <v>5820</v>
      </c>
      <c r="D1938">
        <v>370</v>
      </c>
      <c r="E1938">
        <v>22201</v>
      </c>
      <c r="F1938">
        <v>9</v>
      </c>
      <c r="G1938">
        <v>1</v>
      </c>
      <c r="H1938">
        <v>1</v>
      </c>
      <c r="I1938">
        <v>2</v>
      </c>
      <c r="J1938" t="s">
        <v>3551</v>
      </c>
      <c r="K1938" t="s">
        <v>3552</v>
      </c>
      <c r="L1938" s="2">
        <v>1518.7864</v>
      </c>
      <c r="M1938" s="2">
        <v>2443.35</v>
      </c>
      <c r="N1938" t="s">
        <v>30</v>
      </c>
      <c r="O1938" t="s">
        <v>1265</v>
      </c>
      <c r="P1938" t="s">
        <v>159</v>
      </c>
      <c r="Q1938" t="s">
        <v>8266</v>
      </c>
      <c r="R1938" s="1">
        <v>20825</v>
      </c>
      <c r="S1938" t="s">
        <v>16</v>
      </c>
      <c r="T1938" t="s">
        <v>29</v>
      </c>
      <c r="U1938" t="s">
        <v>2765</v>
      </c>
      <c r="V1938">
        <v>70000</v>
      </c>
      <c r="W1938">
        <v>2</v>
      </c>
      <c r="X1938" t="s">
        <v>57</v>
      </c>
      <c r="Y1938" t="s">
        <v>18</v>
      </c>
      <c r="Z1938" t="s">
        <v>19</v>
      </c>
      <c r="AA1938" t="s">
        <v>3586</v>
      </c>
      <c r="AB1938" t="s">
        <v>3586</v>
      </c>
      <c r="AC1938" t="s">
        <v>3587</v>
      </c>
      <c r="AD1938" t="s">
        <v>3479</v>
      </c>
      <c r="AE1938" t="s">
        <v>3475</v>
      </c>
      <c r="AF1938" s="2">
        <v>2443.35</v>
      </c>
      <c r="AG1938" s="2">
        <v>1518.7864</v>
      </c>
      <c r="AH1938" s="2">
        <v>924.56359999999995</v>
      </c>
      <c r="AI1938" s="3">
        <v>0.37839998362903399</v>
      </c>
    </row>
    <row r="1939" spans="1:35">
      <c r="A1939" s="1">
        <v>42316</v>
      </c>
      <c r="B1939" s="1">
        <v>37472</v>
      </c>
      <c r="C1939" t="s">
        <v>5747</v>
      </c>
      <c r="D1939">
        <v>371</v>
      </c>
      <c r="E1939">
        <v>22202</v>
      </c>
      <c r="F1939">
        <v>9</v>
      </c>
      <c r="G1939">
        <v>1</v>
      </c>
      <c r="H1939">
        <v>1</v>
      </c>
      <c r="I1939">
        <v>2</v>
      </c>
      <c r="J1939" t="s">
        <v>3553</v>
      </c>
      <c r="K1939" t="s">
        <v>3554</v>
      </c>
      <c r="L1939" s="2">
        <v>1320.6838</v>
      </c>
      <c r="M1939" s="2">
        <v>2181.5625</v>
      </c>
      <c r="N1939" t="s">
        <v>13</v>
      </c>
      <c r="O1939" t="s">
        <v>461</v>
      </c>
      <c r="P1939" t="s">
        <v>136</v>
      </c>
      <c r="Q1939" t="s">
        <v>8267</v>
      </c>
      <c r="R1939" s="1">
        <v>21007</v>
      </c>
      <c r="S1939" t="s">
        <v>16</v>
      </c>
      <c r="T1939" t="s">
        <v>16</v>
      </c>
      <c r="U1939" t="s">
        <v>2766</v>
      </c>
      <c r="V1939">
        <v>70000</v>
      </c>
      <c r="W1939">
        <v>2</v>
      </c>
      <c r="X1939" t="s">
        <v>57</v>
      </c>
      <c r="Y1939" t="s">
        <v>18</v>
      </c>
      <c r="Z1939" t="s">
        <v>19</v>
      </c>
      <c r="AA1939" t="s">
        <v>3586</v>
      </c>
      <c r="AB1939" t="s">
        <v>3586</v>
      </c>
      <c r="AC1939" t="s">
        <v>3587</v>
      </c>
      <c r="AD1939" t="s">
        <v>3479</v>
      </c>
      <c r="AE1939" t="s">
        <v>3475</v>
      </c>
      <c r="AF1939" s="2">
        <v>2181.5625</v>
      </c>
      <c r="AG1939" s="2">
        <v>1320.6838</v>
      </c>
      <c r="AH1939" s="2">
        <v>860.87869999999998</v>
      </c>
      <c r="AI1939" s="3">
        <v>0.39461564818793898</v>
      </c>
    </row>
    <row r="1940" spans="1:35">
      <c r="A1940" s="1">
        <v>42332</v>
      </c>
      <c r="B1940" s="1">
        <v>37477</v>
      </c>
      <c r="C1940" t="s">
        <v>5839</v>
      </c>
      <c r="D1940">
        <v>373</v>
      </c>
      <c r="E1940">
        <v>22203</v>
      </c>
      <c r="F1940">
        <v>9</v>
      </c>
      <c r="G1940">
        <v>1</v>
      </c>
      <c r="H1940">
        <v>1</v>
      </c>
      <c r="I1940">
        <v>2</v>
      </c>
      <c r="J1940" t="s">
        <v>3555</v>
      </c>
      <c r="K1940" t="s">
        <v>3556</v>
      </c>
      <c r="L1940" s="2">
        <v>1320.6838</v>
      </c>
      <c r="M1940" s="2">
        <v>2181.5625</v>
      </c>
      <c r="N1940" t="s">
        <v>30</v>
      </c>
      <c r="O1940" t="s">
        <v>550</v>
      </c>
      <c r="P1940" t="s">
        <v>122</v>
      </c>
      <c r="Q1940" t="s">
        <v>8268</v>
      </c>
      <c r="R1940" s="1">
        <v>21352</v>
      </c>
      <c r="S1940" t="s">
        <v>16</v>
      </c>
      <c r="T1940" t="s">
        <v>29</v>
      </c>
      <c r="U1940" t="s">
        <v>2767</v>
      </c>
      <c r="V1940">
        <v>100000</v>
      </c>
      <c r="W1940">
        <v>1</v>
      </c>
      <c r="X1940" t="s">
        <v>17</v>
      </c>
      <c r="Y1940" t="s">
        <v>45</v>
      </c>
      <c r="Z1940" t="s">
        <v>19</v>
      </c>
      <c r="AA1940" t="s">
        <v>3586</v>
      </c>
      <c r="AB1940" t="s">
        <v>3586</v>
      </c>
      <c r="AC1940" t="s">
        <v>3587</v>
      </c>
      <c r="AD1940" t="s">
        <v>3479</v>
      </c>
      <c r="AE1940" t="s">
        <v>3475</v>
      </c>
      <c r="AF1940" s="2">
        <v>2181.5625</v>
      </c>
      <c r="AG1940" s="2">
        <v>1320.6838</v>
      </c>
      <c r="AH1940" s="2">
        <v>860.87869999999998</v>
      </c>
      <c r="AI1940" s="3">
        <v>0.39461564818793898</v>
      </c>
    </row>
    <row r="1941" spans="1:35">
      <c r="A1941" s="1">
        <v>42314</v>
      </c>
      <c r="B1941" s="1">
        <v>37457</v>
      </c>
      <c r="C1941" t="s">
        <v>5735</v>
      </c>
      <c r="D1941">
        <v>369</v>
      </c>
      <c r="E1941">
        <v>22207</v>
      </c>
      <c r="F1941">
        <v>9</v>
      </c>
      <c r="G1941">
        <v>1</v>
      </c>
      <c r="H1941">
        <v>1</v>
      </c>
      <c r="I1941">
        <v>2</v>
      </c>
      <c r="J1941" t="s">
        <v>3549</v>
      </c>
      <c r="K1941" t="s">
        <v>3550</v>
      </c>
      <c r="L1941" s="2">
        <v>1518.7864</v>
      </c>
      <c r="M1941" s="2">
        <v>2443.35</v>
      </c>
      <c r="N1941" t="s">
        <v>26</v>
      </c>
      <c r="O1941" t="s">
        <v>391</v>
      </c>
      <c r="P1941" t="s">
        <v>109</v>
      </c>
      <c r="Q1941" t="s">
        <v>8269</v>
      </c>
      <c r="R1941" s="1">
        <v>21186</v>
      </c>
      <c r="S1941" t="s">
        <v>22</v>
      </c>
      <c r="T1941" t="s">
        <v>29</v>
      </c>
      <c r="U1941" t="s">
        <v>2768</v>
      </c>
      <c r="V1941">
        <v>130000</v>
      </c>
      <c r="W1941">
        <v>0</v>
      </c>
      <c r="X1941" t="s">
        <v>135</v>
      </c>
      <c r="Y1941" t="s">
        <v>45</v>
      </c>
      <c r="Z1941" t="s">
        <v>23</v>
      </c>
      <c r="AA1941" t="s">
        <v>3586</v>
      </c>
      <c r="AB1941" t="s">
        <v>3586</v>
      </c>
      <c r="AC1941" t="s">
        <v>3587</v>
      </c>
      <c r="AD1941" t="s">
        <v>3479</v>
      </c>
      <c r="AE1941" t="s">
        <v>3475</v>
      </c>
      <c r="AF1941" s="2">
        <v>2443.35</v>
      </c>
      <c r="AG1941" s="2">
        <v>1518.7864</v>
      </c>
      <c r="AH1941" s="2">
        <v>924.56359999999995</v>
      </c>
      <c r="AI1941" s="3">
        <v>0.37839998362903399</v>
      </c>
    </row>
    <row r="1942" spans="1:35">
      <c r="A1942" s="1">
        <v>42326</v>
      </c>
      <c r="B1942" s="1">
        <v>37496</v>
      </c>
      <c r="C1942" t="s">
        <v>5803</v>
      </c>
      <c r="D1942">
        <v>371</v>
      </c>
      <c r="E1942">
        <v>22399</v>
      </c>
      <c r="F1942">
        <v>9</v>
      </c>
      <c r="G1942">
        <v>1</v>
      </c>
      <c r="H1942">
        <v>1</v>
      </c>
      <c r="I1942">
        <v>2</v>
      </c>
      <c r="J1942" t="s">
        <v>3553</v>
      </c>
      <c r="K1942" t="s">
        <v>3554</v>
      </c>
      <c r="L1942" s="2">
        <v>1320.6838</v>
      </c>
      <c r="M1942" s="2">
        <v>2181.5625</v>
      </c>
      <c r="N1942" t="s">
        <v>13</v>
      </c>
      <c r="O1942" t="s">
        <v>453</v>
      </c>
      <c r="P1942" t="s">
        <v>209</v>
      </c>
      <c r="Q1942" t="s">
        <v>8270</v>
      </c>
      <c r="R1942" s="1">
        <v>29226</v>
      </c>
      <c r="S1942" t="s">
        <v>22</v>
      </c>
      <c r="T1942" t="s">
        <v>16</v>
      </c>
      <c r="U1942" t="s">
        <v>2769</v>
      </c>
      <c r="V1942">
        <v>10000</v>
      </c>
      <c r="W1942">
        <v>0</v>
      </c>
      <c r="X1942" t="s">
        <v>52</v>
      </c>
      <c r="Y1942" t="s">
        <v>444</v>
      </c>
      <c r="Z1942" t="s">
        <v>19</v>
      </c>
      <c r="AA1942" t="s">
        <v>3586</v>
      </c>
      <c r="AB1942" t="s">
        <v>3586</v>
      </c>
      <c r="AC1942" t="s">
        <v>3587</v>
      </c>
      <c r="AD1942" t="s">
        <v>3479</v>
      </c>
      <c r="AE1942" t="s">
        <v>3475</v>
      </c>
      <c r="AF1942" s="2">
        <v>2181.5625</v>
      </c>
      <c r="AG1942" s="2">
        <v>1320.6838</v>
      </c>
      <c r="AH1942" s="2">
        <v>860.87869999999998</v>
      </c>
      <c r="AI1942" s="3">
        <v>0.39461564818793898</v>
      </c>
    </row>
    <row r="1943" spans="1:35">
      <c r="A1943" s="1">
        <v>42309</v>
      </c>
      <c r="B1943" s="1">
        <v>37490</v>
      </c>
      <c r="C1943" t="s">
        <v>5711</v>
      </c>
      <c r="D1943">
        <v>377</v>
      </c>
      <c r="E1943">
        <v>22400</v>
      </c>
      <c r="F1943">
        <v>9</v>
      </c>
      <c r="G1943">
        <v>1</v>
      </c>
      <c r="H1943">
        <v>1</v>
      </c>
      <c r="I1943">
        <v>2</v>
      </c>
      <c r="J1943" t="s">
        <v>3559</v>
      </c>
      <c r="K1943" t="s">
        <v>3560</v>
      </c>
      <c r="L1943" s="2">
        <v>1320.6838</v>
      </c>
      <c r="M1943" s="2">
        <v>2181.5625</v>
      </c>
      <c r="N1943" t="s">
        <v>13</v>
      </c>
      <c r="O1943" t="s">
        <v>24</v>
      </c>
      <c r="P1943" t="s">
        <v>103</v>
      </c>
      <c r="Q1943" t="s">
        <v>8271</v>
      </c>
      <c r="R1943" s="1">
        <v>29360</v>
      </c>
      <c r="S1943" t="s">
        <v>16</v>
      </c>
      <c r="T1943" t="s">
        <v>16</v>
      </c>
      <c r="U1943" t="s">
        <v>2770</v>
      </c>
      <c r="V1943">
        <v>10000</v>
      </c>
      <c r="W1943">
        <v>0</v>
      </c>
      <c r="X1943" t="s">
        <v>52</v>
      </c>
      <c r="Y1943" t="s">
        <v>444</v>
      </c>
      <c r="Z1943" t="s">
        <v>23</v>
      </c>
      <c r="AA1943" t="s">
        <v>3586</v>
      </c>
      <c r="AB1943" t="s">
        <v>3586</v>
      </c>
      <c r="AC1943" t="s">
        <v>3587</v>
      </c>
      <c r="AD1943" t="s">
        <v>3479</v>
      </c>
      <c r="AE1943" t="s">
        <v>3475</v>
      </c>
      <c r="AF1943" s="2">
        <v>2181.5625</v>
      </c>
      <c r="AG1943" s="2">
        <v>1320.6838</v>
      </c>
      <c r="AH1943" s="2">
        <v>860.87869999999998</v>
      </c>
      <c r="AI1943" s="3">
        <v>0.39461564818793898</v>
      </c>
    </row>
    <row r="1944" spans="1:35">
      <c r="A1944" s="1">
        <v>42326</v>
      </c>
      <c r="B1944" s="1">
        <v>37474</v>
      </c>
      <c r="C1944" t="s">
        <v>5805</v>
      </c>
      <c r="D1944">
        <v>369</v>
      </c>
      <c r="E1944">
        <v>22401</v>
      </c>
      <c r="F1944">
        <v>9</v>
      </c>
      <c r="G1944">
        <v>1</v>
      </c>
      <c r="H1944">
        <v>1</v>
      </c>
      <c r="I1944">
        <v>2</v>
      </c>
      <c r="J1944" t="s">
        <v>3549</v>
      </c>
      <c r="K1944" t="s">
        <v>3550</v>
      </c>
      <c r="L1944" s="2">
        <v>1518.7864</v>
      </c>
      <c r="M1944" s="2">
        <v>2443.35</v>
      </c>
      <c r="N1944" t="s">
        <v>13</v>
      </c>
      <c r="O1944" t="s">
        <v>46</v>
      </c>
      <c r="P1944" t="s">
        <v>127</v>
      </c>
      <c r="Q1944" t="s">
        <v>8272</v>
      </c>
      <c r="R1944" s="1">
        <v>29228</v>
      </c>
      <c r="S1944" t="s">
        <v>16</v>
      </c>
      <c r="T1944" t="s">
        <v>16</v>
      </c>
      <c r="U1944" t="s">
        <v>2771</v>
      </c>
      <c r="V1944">
        <v>10000</v>
      </c>
      <c r="W1944">
        <v>0</v>
      </c>
      <c r="X1944" t="s">
        <v>52</v>
      </c>
      <c r="Y1944" t="s">
        <v>444</v>
      </c>
      <c r="Z1944" t="s">
        <v>19</v>
      </c>
      <c r="AA1944" t="s">
        <v>3586</v>
      </c>
      <c r="AB1944" t="s">
        <v>3586</v>
      </c>
      <c r="AC1944" t="s">
        <v>3587</v>
      </c>
      <c r="AD1944" t="s">
        <v>3479</v>
      </c>
      <c r="AE1944" t="s">
        <v>3475</v>
      </c>
      <c r="AF1944" s="2">
        <v>2443.35</v>
      </c>
      <c r="AG1944" s="2">
        <v>1518.7864</v>
      </c>
      <c r="AH1944" s="2">
        <v>924.56359999999995</v>
      </c>
      <c r="AI1944" s="3">
        <v>0.37839998362903399</v>
      </c>
    </row>
    <row r="1945" spans="1:35">
      <c r="A1945" s="1">
        <v>42319</v>
      </c>
      <c r="B1945" s="1">
        <v>37465</v>
      </c>
      <c r="C1945" t="s">
        <v>5762</v>
      </c>
      <c r="D1945">
        <v>377</v>
      </c>
      <c r="E1945">
        <v>22402</v>
      </c>
      <c r="F1945">
        <v>9</v>
      </c>
      <c r="G1945">
        <v>1</v>
      </c>
      <c r="H1945">
        <v>1</v>
      </c>
      <c r="I1945">
        <v>2</v>
      </c>
      <c r="J1945" t="s">
        <v>3559</v>
      </c>
      <c r="K1945" t="s">
        <v>3560</v>
      </c>
      <c r="L1945" s="2">
        <v>1320.6838</v>
      </c>
      <c r="M1945" s="2">
        <v>2181.5625</v>
      </c>
      <c r="N1945" t="s">
        <v>13</v>
      </c>
      <c r="O1945" t="s">
        <v>58</v>
      </c>
      <c r="P1945" t="s">
        <v>72</v>
      </c>
      <c r="Q1945" t="s">
        <v>8273</v>
      </c>
      <c r="R1945" s="1">
        <v>29474</v>
      </c>
      <c r="S1945" t="s">
        <v>16</v>
      </c>
      <c r="T1945" t="s">
        <v>16</v>
      </c>
      <c r="U1945" t="s">
        <v>2772</v>
      </c>
      <c r="V1945">
        <v>10000</v>
      </c>
      <c r="W1945">
        <v>0</v>
      </c>
      <c r="X1945" t="s">
        <v>52</v>
      </c>
      <c r="Y1945" t="s">
        <v>444</v>
      </c>
      <c r="Z1945" t="s">
        <v>19</v>
      </c>
      <c r="AA1945" t="s">
        <v>3586</v>
      </c>
      <c r="AB1945" t="s">
        <v>3586</v>
      </c>
      <c r="AC1945" t="s">
        <v>3587</v>
      </c>
      <c r="AD1945" t="s">
        <v>3479</v>
      </c>
      <c r="AE1945" t="s">
        <v>3475</v>
      </c>
      <c r="AF1945" s="2">
        <v>2181.5625</v>
      </c>
      <c r="AG1945" s="2">
        <v>1320.6838</v>
      </c>
      <c r="AH1945" s="2">
        <v>860.87869999999998</v>
      </c>
      <c r="AI1945" s="3">
        <v>0.39461564818793898</v>
      </c>
    </row>
    <row r="1946" spans="1:35">
      <c r="A1946" s="1">
        <v>42337</v>
      </c>
      <c r="B1946" s="1">
        <v>37518</v>
      </c>
      <c r="C1946" t="s">
        <v>5885</v>
      </c>
      <c r="D1946">
        <v>370</v>
      </c>
      <c r="E1946">
        <v>22404</v>
      </c>
      <c r="F1946">
        <v>9</v>
      </c>
      <c r="G1946">
        <v>1</v>
      </c>
      <c r="H1946">
        <v>1</v>
      </c>
      <c r="I1946">
        <v>2</v>
      </c>
      <c r="J1946" t="s">
        <v>3551</v>
      </c>
      <c r="K1946" t="s">
        <v>3552</v>
      </c>
      <c r="L1946" s="2">
        <v>1518.7864</v>
      </c>
      <c r="M1946" s="2">
        <v>2443.35</v>
      </c>
      <c r="N1946" t="s">
        <v>26</v>
      </c>
      <c r="O1946" t="s">
        <v>1088</v>
      </c>
      <c r="P1946" t="s">
        <v>474</v>
      </c>
      <c r="Q1946" t="s">
        <v>8274</v>
      </c>
      <c r="R1946" s="1">
        <v>29531</v>
      </c>
      <c r="S1946" t="s">
        <v>22</v>
      </c>
      <c r="T1946" t="s">
        <v>29</v>
      </c>
      <c r="U1946" t="s">
        <v>2773</v>
      </c>
      <c r="V1946">
        <v>10000</v>
      </c>
      <c r="W1946">
        <v>0</v>
      </c>
      <c r="X1946" t="s">
        <v>52</v>
      </c>
      <c r="Y1946" t="s">
        <v>444</v>
      </c>
      <c r="Z1946" t="s">
        <v>23</v>
      </c>
      <c r="AA1946" t="s">
        <v>3586</v>
      </c>
      <c r="AB1946" t="s">
        <v>3586</v>
      </c>
      <c r="AC1946" t="s">
        <v>3587</v>
      </c>
      <c r="AD1946" t="s">
        <v>3479</v>
      </c>
      <c r="AE1946" t="s">
        <v>3475</v>
      </c>
      <c r="AF1946" s="2">
        <v>2443.35</v>
      </c>
      <c r="AG1946" s="2">
        <v>1518.7864</v>
      </c>
      <c r="AH1946" s="2">
        <v>924.56359999999995</v>
      </c>
      <c r="AI1946" s="3">
        <v>0.37839998362903399</v>
      </c>
    </row>
    <row r="1947" spans="1:35">
      <c r="A1947" s="1">
        <v>42336</v>
      </c>
      <c r="B1947" s="1">
        <v>37568</v>
      </c>
      <c r="C1947" t="s">
        <v>5881</v>
      </c>
      <c r="D1947">
        <v>370</v>
      </c>
      <c r="E1947">
        <v>22406</v>
      </c>
      <c r="F1947">
        <v>9</v>
      </c>
      <c r="G1947">
        <v>1</v>
      </c>
      <c r="H1947">
        <v>1</v>
      </c>
      <c r="I1947">
        <v>2</v>
      </c>
      <c r="J1947" t="s">
        <v>3551</v>
      </c>
      <c r="K1947" t="s">
        <v>3552</v>
      </c>
      <c r="L1947" s="2">
        <v>1518.7864</v>
      </c>
      <c r="M1947" s="2">
        <v>2443.35</v>
      </c>
      <c r="N1947" t="s">
        <v>13</v>
      </c>
      <c r="O1947" t="s">
        <v>893</v>
      </c>
      <c r="P1947" t="s">
        <v>271</v>
      </c>
      <c r="Q1947" t="s">
        <v>8275</v>
      </c>
      <c r="R1947" s="1">
        <v>28441</v>
      </c>
      <c r="S1947" t="s">
        <v>16</v>
      </c>
      <c r="T1947" t="s">
        <v>16</v>
      </c>
      <c r="U1947" t="s">
        <v>2774</v>
      </c>
      <c r="V1947">
        <v>10000</v>
      </c>
      <c r="W1947">
        <v>0</v>
      </c>
      <c r="X1947" t="s">
        <v>57</v>
      </c>
      <c r="Y1947" t="s">
        <v>444</v>
      </c>
      <c r="Z1947" t="s">
        <v>19</v>
      </c>
      <c r="AA1947" t="s">
        <v>3586</v>
      </c>
      <c r="AB1947" t="s">
        <v>3586</v>
      </c>
      <c r="AC1947" t="s">
        <v>3587</v>
      </c>
      <c r="AD1947" t="s">
        <v>3479</v>
      </c>
      <c r="AE1947" t="s">
        <v>3475</v>
      </c>
      <c r="AF1947" s="2">
        <v>2443.35</v>
      </c>
      <c r="AG1947" s="2">
        <v>1518.7864</v>
      </c>
      <c r="AH1947" s="2">
        <v>924.56359999999995</v>
      </c>
      <c r="AI1947" s="3">
        <v>0.37839998362903399</v>
      </c>
    </row>
    <row r="1948" spans="1:35">
      <c r="A1948" s="1">
        <v>42328</v>
      </c>
      <c r="B1948" s="1">
        <v>37514</v>
      </c>
      <c r="C1948" t="s">
        <v>5815</v>
      </c>
      <c r="D1948">
        <v>373</v>
      </c>
      <c r="E1948">
        <v>22407</v>
      </c>
      <c r="F1948">
        <v>9</v>
      </c>
      <c r="G1948">
        <v>1</v>
      </c>
      <c r="H1948">
        <v>1</v>
      </c>
      <c r="I1948">
        <v>2</v>
      </c>
      <c r="J1948" t="s">
        <v>3555</v>
      </c>
      <c r="K1948" t="s">
        <v>3556</v>
      </c>
      <c r="L1948" s="2">
        <v>1320.6838</v>
      </c>
      <c r="M1948" s="2">
        <v>2181.5625</v>
      </c>
      <c r="N1948" t="s">
        <v>30</v>
      </c>
      <c r="O1948" t="s">
        <v>152</v>
      </c>
      <c r="P1948" t="s">
        <v>95</v>
      </c>
      <c r="Q1948" t="s">
        <v>8276</v>
      </c>
      <c r="R1948" s="1">
        <v>29147</v>
      </c>
      <c r="S1948" t="s">
        <v>16</v>
      </c>
      <c r="T1948" t="s">
        <v>29</v>
      </c>
      <c r="U1948" t="s">
        <v>2775</v>
      </c>
      <c r="V1948">
        <v>10000</v>
      </c>
      <c r="W1948">
        <v>1</v>
      </c>
      <c r="X1948" t="s">
        <v>57</v>
      </c>
      <c r="Y1948" t="s">
        <v>444</v>
      </c>
      <c r="Z1948" t="s">
        <v>19</v>
      </c>
      <c r="AA1948" t="s">
        <v>3586</v>
      </c>
      <c r="AB1948" t="s">
        <v>3586</v>
      </c>
      <c r="AC1948" t="s">
        <v>3587</v>
      </c>
      <c r="AD1948" t="s">
        <v>3479</v>
      </c>
      <c r="AE1948" t="s">
        <v>3475</v>
      </c>
      <c r="AF1948" s="2">
        <v>2181.5625</v>
      </c>
      <c r="AG1948" s="2">
        <v>1320.6838</v>
      </c>
      <c r="AH1948" s="2">
        <v>860.87869999999998</v>
      </c>
      <c r="AI1948" s="3">
        <v>0.39461564818793898</v>
      </c>
    </row>
    <row r="1949" spans="1:35">
      <c r="A1949" s="1">
        <v>42319</v>
      </c>
      <c r="B1949" s="1">
        <v>37483</v>
      </c>
      <c r="C1949" t="s">
        <v>5763</v>
      </c>
      <c r="D1949">
        <v>371</v>
      </c>
      <c r="E1949">
        <v>22408</v>
      </c>
      <c r="F1949">
        <v>9</v>
      </c>
      <c r="G1949">
        <v>1</v>
      </c>
      <c r="H1949">
        <v>1</v>
      </c>
      <c r="I1949">
        <v>2</v>
      </c>
      <c r="J1949" t="s">
        <v>3553</v>
      </c>
      <c r="K1949" t="s">
        <v>3554</v>
      </c>
      <c r="L1949" s="2">
        <v>1320.6838</v>
      </c>
      <c r="M1949" s="2">
        <v>2181.5625</v>
      </c>
      <c r="N1949" t="s">
        <v>13</v>
      </c>
      <c r="O1949" t="s">
        <v>58</v>
      </c>
      <c r="P1949" t="s">
        <v>468</v>
      </c>
      <c r="Q1949" t="s">
        <v>8277</v>
      </c>
      <c r="R1949" s="1">
        <v>29104</v>
      </c>
      <c r="S1949" t="s">
        <v>22</v>
      </c>
      <c r="T1949" t="s">
        <v>16</v>
      </c>
      <c r="U1949" t="s">
        <v>2776</v>
      </c>
      <c r="V1949">
        <v>10000</v>
      </c>
      <c r="W1949">
        <v>1</v>
      </c>
      <c r="X1949" t="s">
        <v>57</v>
      </c>
      <c r="Y1949" t="s">
        <v>444</v>
      </c>
      <c r="Z1949" t="s">
        <v>23</v>
      </c>
      <c r="AA1949" t="s">
        <v>3586</v>
      </c>
      <c r="AB1949" t="s">
        <v>3586</v>
      </c>
      <c r="AC1949" t="s">
        <v>3587</v>
      </c>
      <c r="AD1949" t="s">
        <v>3479</v>
      </c>
      <c r="AE1949" t="s">
        <v>3475</v>
      </c>
      <c r="AF1949" s="2">
        <v>2181.5625</v>
      </c>
      <c r="AG1949" s="2">
        <v>1320.6838</v>
      </c>
      <c r="AH1949" s="2">
        <v>860.87869999999998</v>
      </c>
      <c r="AI1949" s="3">
        <v>0.39461564818793898</v>
      </c>
    </row>
    <row r="1950" spans="1:35">
      <c r="A1950" s="1">
        <v>42330</v>
      </c>
      <c r="B1950" s="1">
        <v>37565</v>
      </c>
      <c r="C1950" t="s">
        <v>5831</v>
      </c>
      <c r="D1950">
        <v>375</v>
      </c>
      <c r="E1950">
        <v>22409</v>
      </c>
      <c r="F1950">
        <v>9</v>
      </c>
      <c r="G1950">
        <v>1</v>
      </c>
      <c r="H1950">
        <v>1</v>
      </c>
      <c r="I1950">
        <v>2</v>
      </c>
      <c r="J1950" t="s">
        <v>3557</v>
      </c>
      <c r="K1950" t="s">
        <v>3558</v>
      </c>
      <c r="L1950" s="2">
        <v>1320.6838</v>
      </c>
      <c r="M1950" s="2">
        <v>2181.5625</v>
      </c>
      <c r="N1950" t="s">
        <v>26</v>
      </c>
      <c r="O1950" t="s">
        <v>208</v>
      </c>
      <c r="P1950" t="s">
        <v>658</v>
      </c>
      <c r="Q1950" t="s">
        <v>8278</v>
      </c>
      <c r="R1950" s="1">
        <v>29082</v>
      </c>
      <c r="S1950" t="s">
        <v>22</v>
      </c>
      <c r="T1950" t="s">
        <v>29</v>
      </c>
      <c r="U1950" t="s">
        <v>2777</v>
      </c>
      <c r="V1950">
        <v>20000</v>
      </c>
      <c r="W1950">
        <v>0</v>
      </c>
      <c r="X1950" t="s">
        <v>17</v>
      </c>
      <c r="Y1950" t="s">
        <v>60</v>
      </c>
      <c r="Z1950" t="s">
        <v>19</v>
      </c>
      <c r="AA1950" t="s">
        <v>3586</v>
      </c>
      <c r="AB1950" t="s">
        <v>3586</v>
      </c>
      <c r="AC1950" t="s">
        <v>3587</v>
      </c>
      <c r="AD1950" t="s">
        <v>3479</v>
      </c>
      <c r="AE1950" t="s">
        <v>3475</v>
      </c>
      <c r="AF1950" s="2">
        <v>2181.5625</v>
      </c>
      <c r="AG1950" s="2">
        <v>1320.6838</v>
      </c>
      <c r="AH1950" s="2">
        <v>860.87869999999998</v>
      </c>
      <c r="AI1950" s="3">
        <v>0.39461564818793898</v>
      </c>
    </row>
    <row r="1951" spans="1:35">
      <c r="A1951" s="1">
        <v>42314</v>
      </c>
      <c r="B1951" s="1">
        <v>37528</v>
      </c>
      <c r="C1951" t="s">
        <v>5731</v>
      </c>
      <c r="D1951">
        <v>369</v>
      </c>
      <c r="E1951">
        <v>22410</v>
      </c>
      <c r="F1951">
        <v>9</v>
      </c>
      <c r="G1951">
        <v>1</v>
      </c>
      <c r="H1951">
        <v>1</v>
      </c>
      <c r="I1951">
        <v>2</v>
      </c>
      <c r="J1951" t="s">
        <v>3549</v>
      </c>
      <c r="K1951" t="s">
        <v>3550</v>
      </c>
      <c r="L1951" s="2">
        <v>1518.7864</v>
      </c>
      <c r="M1951" s="2">
        <v>2443.35</v>
      </c>
      <c r="N1951" t="s">
        <v>26</v>
      </c>
      <c r="O1951" t="s">
        <v>1154</v>
      </c>
      <c r="P1951" t="s">
        <v>453</v>
      </c>
      <c r="Q1951" t="s">
        <v>8279</v>
      </c>
      <c r="R1951" s="1">
        <v>28718</v>
      </c>
      <c r="S1951" t="s">
        <v>22</v>
      </c>
      <c r="T1951" t="s">
        <v>29</v>
      </c>
      <c r="U1951" t="s">
        <v>2778</v>
      </c>
      <c r="V1951">
        <v>20000</v>
      </c>
      <c r="W1951">
        <v>0</v>
      </c>
      <c r="X1951" t="s">
        <v>17</v>
      </c>
      <c r="Y1951" t="s">
        <v>60</v>
      </c>
      <c r="Z1951" t="s">
        <v>23</v>
      </c>
      <c r="AA1951" t="s">
        <v>3586</v>
      </c>
      <c r="AB1951" t="s">
        <v>3586</v>
      </c>
      <c r="AC1951" t="s">
        <v>3587</v>
      </c>
      <c r="AD1951" t="s">
        <v>3479</v>
      </c>
      <c r="AE1951" t="s">
        <v>3475</v>
      </c>
      <c r="AF1951" s="2">
        <v>2443.35</v>
      </c>
      <c r="AG1951" s="2">
        <v>1518.7864</v>
      </c>
      <c r="AH1951" s="2">
        <v>924.56359999999995</v>
      </c>
      <c r="AI1951" s="3">
        <v>0.37839998362903399</v>
      </c>
    </row>
    <row r="1952" spans="1:35">
      <c r="A1952" s="1">
        <v>42333</v>
      </c>
      <c r="B1952" s="1">
        <v>37564</v>
      </c>
      <c r="C1952" t="s">
        <v>5849</v>
      </c>
      <c r="D1952">
        <v>371</v>
      </c>
      <c r="E1952">
        <v>22411</v>
      </c>
      <c r="F1952">
        <v>9</v>
      </c>
      <c r="G1952">
        <v>1</v>
      </c>
      <c r="H1952">
        <v>1</v>
      </c>
      <c r="I1952">
        <v>2</v>
      </c>
      <c r="J1952" t="s">
        <v>3553</v>
      </c>
      <c r="K1952" t="s">
        <v>3554</v>
      </c>
      <c r="L1952" s="2">
        <v>1320.6838</v>
      </c>
      <c r="M1952" s="2">
        <v>2181.5625</v>
      </c>
      <c r="N1952" t="s">
        <v>26</v>
      </c>
      <c r="O1952" t="s">
        <v>160</v>
      </c>
      <c r="P1952" t="s">
        <v>190</v>
      </c>
      <c r="Q1952" t="s">
        <v>8280</v>
      </c>
      <c r="R1952" s="1">
        <v>28799</v>
      </c>
      <c r="S1952" t="s">
        <v>22</v>
      </c>
      <c r="T1952" t="s">
        <v>29</v>
      </c>
      <c r="U1952" t="s">
        <v>2779</v>
      </c>
      <c r="V1952">
        <v>20000</v>
      </c>
      <c r="W1952">
        <v>0</v>
      </c>
      <c r="X1952" t="s">
        <v>17</v>
      </c>
      <c r="Y1952" t="s">
        <v>60</v>
      </c>
      <c r="Z1952" t="s">
        <v>23</v>
      </c>
      <c r="AA1952" t="s">
        <v>3586</v>
      </c>
      <c r="AB1952" t="s">
        <v>3586</v>
      </c>
      <c r="AC1952" t="s">
        <v>3587</v>
      </c>
      <c r="AD1952" t="s">
        <v>3479</v>
      </c>
      <c r="AE1952" t="s">
        <v>3475</v>
      </c>
      <c r="AF1952" s="2">
        <v>2181.5625</v>
      </c>
      <c r="AG1952" s="2">
        <v>1320.6838</v>
      </c>
      <c r="AH1952" s="2">
        <v>860.87869999999998</v>
      </c>
      <c r="AI1952" s="3">
        <v>0.39461564818793898</v>
      </c>
    </row>
    <row r="1953" spans="1:35">
      <c r="A1953" s="1">
        <v>42309</v>
      </c>
      <c r="B1953" s="1">
        <v>37532</v>
      </c>
      <c r="C1953" t="s">
        <v>5708</v>
      </c>
      <c r="D1953">
        <v>369</v>
      </c>
      <c r="E1953">
        <v>22412</v>
      </c>
      <c r="F1953">
        <v>9</v>
      </c>
      <c r="G1953">
        <v>1</v>
      </c>
      <c r="H1953">
        <v>1</v>
      </c>
      <c r="I1953">
        <v>2</v>
      </c>
      <c r="J1953" t="s">
        <v>3549</v>
      </c>
      <c r="K1953" t="s">
        <v>3550</v>
      </c>
      <c r="L1953" s="2">
        <v>1518.7864</v>
      </c>
      <c r="M1953" s="2">
        <v>2443.35</v>
      </c>
      <c r="N1953" t="s">
        <v>13</v>
      </c>
      <c r="O1953" t="s">
        <v>816</v>
      </c>
      <c r="P1953" t="s">
        <v>134</v>
      </c>
      <c r="Q1953" t="s">
        <v>8281</v>
      </c>
      <c r="R1953" s="1">
        <v>28402</v>
      </c>
      <c r="S1953" t="s">
        <v>16</v>
      </c>
      <c r="T1953" t="s">
        <v>16</v>
      </c>
      <c r="U1953" t="s">
        <v>2780</v>
      </c>
      <c r="V1953">
        <v>20000</v>
      </c>
      <c r="W1953">
        <v>0</v>
      </c>
      <c r="X1953" t="s">
        <v>17</v>
      </c>
      <c r="Y1953" t="s">
        <v>60</v>
      </c>
      <c r="Z1953" t="s">
        <v>23</v>
      </c>
      <c r="AA1953" t="s">
        <v>3586</v>
      </c>
      <c r="AB1953" t="s">
        <v>3586</v>
      </c>
      <c r="AC1953" t="s">
        <v>3587</v>
      </c>
      <c r="AD1953" t="s">
        <v>3479</v>
      </c>
      <c r="AE1953" t="s">
        <v>3475</v>
      </c>
      <c r="AF1953" s="2">
        <v>2443.35</v>
      </c>
      <c r="AG1953" s="2">
        <v>1518.7864</v>
      </c>
      <c r="AH1953" s="2">
        <v>924.56359999999995</v>
      </c>
      <c r="AI1953" s="3">
        <v>0.37839998362903399</v>
      </c>
    </row>
    <row r="1954" spans="1:35">
      <c r="A1954" s="1">
        <v>42316</v>
      </c>
      <c r="B1954" s="1">
        <v>37522</v>
      </c>
      <c r="C1954" t="s">
        <v>5743</v>
      </c>
      <c r="D1954">
        <v>377</v>
      </c>
      <c r="E1954">
        <v>22571</v>
      </c>
      <c r="F1954">
        <v>9</v>
      </c>
      <c r="G1954">
        <v>1</v>
      </c>
      <c r="H1954">
        <v>1</v>
      </c>
      <c r="I1954">
        <v>2</v>
      </c>
      <c r="J1954" t="s">
        <v>3559</v>
      </c>
      <c r="K1954" t="s">
        <v>3560</v>
      </c>
      <c r="L1954" s="2">
        <v>1320.6838</v>
      </c>
      <c r="M1954" s="2">
        <v>2181.5625</v>
      </c>
      <c r="N1954" t="s">
        <v>13</v>
      </c>
      <c r="O1954" t="s">
        <v>649</v>
      </c>
      <c r="P1954" t="s">
        <v>232</v>
      </c>
      <c r="Q1954" t="s">
        <v>8282</v>
      </c>
      <c r="R1954" s="1">
        <v>29261</v>
      </c>
      <c r="S1954" t="s">
        <v>16</v>
      </c>
      <c r="T1954" t="s">
        <v>16</v>
      </c>
      <c r="U1954" t="s">
        <v>2781</v>
      </c>
      <c r="V1954">
        <v>10000</v>
      </c>
      <c r="W1954">
        <v>0</v>
      </c>
      <c r="X1954" t="s">
        <v>52</v>
      </c>
      <c r="Y1954" t="s">
        <v>444</v>
      </c>
      <c r="Z1954" t="s">
        <v>19</v>
      </c>
      <c r="AA1954" t="s">
        <v>3586</v>
      </c>
      <c r="AB1954" t="s">
        <v>3586</v>
      </c>
      <c r="AC1954" t="s">
        <v>3587</v>
      </c>
      <c r="AD1954" t="s">
        <v>3479</v>
      </c>
      <c r="AE1954" t="s">
        <v>3475</v>
      </c>
      <c r="AF1954" s="2">
        <v>2181.5625</v>
      </c>
      <c r="AG1954" s="2">
        <v>1320.6838</v>
      </c>
      <c r="AH1954" s="2">
        <v>860.87869999999998</v>
      </c>
      <c r="AI1954" s="3">
        <v>0.39461564818793898</v>
      </c>
    </row>
    <row r="1955" spans="1:35">
      <c r="A1955" s="1">
        <v>42334</v>
      </c>
      <c r="B1955" s="1">
        <v>37515</v>
      </c>
      <c r="C1955" t="s">
        <v>5857</v>
      </c>
      <c r="D1955">
        <v>370</v>
      </c>
      <c r="E1955">
        <v>22572</v>
      </c>
      <c r="F1955">
        <v>9</v>
      </c>
      <c r="G1955">
        <v>1</v>
      </c>
      <c r="H1955">
        <v>1</v>
      </c>
      <c r="I1955">
        <v>2</v>
      </c>
      <c r="J1955" t="s">
        <v>3551</v>
      </c>
      <c r="K1955" t="s">
        <v>3552</v>
      </c>
      <c r="L1955" s="2">
        <v>1518.7864</v>
      </c>
      <c r="M1955" s="2">
        <v>2443.35</v>
      </c>
      <c r="N1955" t="s">
        <v>26</v>
      </c>
      <c r="O1955" t="s">
        <v>1576</v>
      </c>
      <c r="P1955" t="s">
        <v>223</v>
      </c>
      <c r="Q1955" t="s">
        <v>8283</v>
      </c>
      <c r="R1955" s="1">
        <v>29528</v>
      </c>
      <c r="S1955" t="s">
        <v>16</v>
      </c>
      <c r="T1955" t="s">
        <v>29</v>
      </c>
      <c r="U1955" t="s">
        <v>2782</v>
      </c>
      <c r="V1955">
        <v>10000</v>
      </c>
      <c r="W1955">
        <v>0</v>
      </c>
      <c r="X1955" t="s">
        <v>52</v>
      </c>
      <c r="Y1955" t="s">
        <v>444</v>
      </c>
      <c r="Z1955" t="s">
        <v>19</v>
      </c>
      <c r="AA1955" t="s">
        <v>3586</v>
      </c>
      <c r="AB1955" t="s">
        <v>3586</v>
      </c>
      <c r="AC1955" t="s">
        <v>3587</v>
      </c>
      <c r="AD1955" t="s">
        <v>3479</v>
      </c>
      <c r="AE1955" t="s">
        <v>3475</v>
      </c>
      <c r="AF1955" s="2">
        <v>2443.35</v>
      </c>
      <c r="AG1955" s="2">
        <v>1518.7864</v>
      </c>
      <c r="AH1955" s="2">
        <v>924.56359999999995</v>
      </c>
      <c r="AI1955" s="3">
        <v>0.37839998362903399</v>
      </c>
    </row>
    <row r="1956" spans="1:35">
      <c r="A1956" s="1">
        <v>42331</v>
      </c>
      <c r="B1956" s="1">
        <v>37479</v>
      </c>
      <c r="C1956" t="s">
        <v>5836</v>
      </c>
      <c r="D1956">
        <v>371</v>
      </c>
      <c r="E1956">
        <v>22573</v>
      </c>
      <c r="F1956">
        <v>9</v>
      </c>
      <c r="G1956">
        <v>1</v>
      </c>
      <c r="H1956">
        <v>1</v>
      </c>
      <c r="I1956">
        <v>2</v>
      </c>
      <c r="J1956" t="s">
        <v>3553</v>
      </c>
      <c r="K1956" t="s">
        <v>3554</v>
      </c>
      <c r="L1956" s="2">
        <v>1320.6838</v>
      </c>
      <c r="M1956" s="2">
        <v>2181.5625</v>
      </c>
      <c r="N1956" t="s">
        <v>13</v>
      </c>
      <c r="O1956" t="s">
        <v>479</v>
      </c>
      <c r="P1956" t="s">
        <v>538</v>
      </c>
      <c r="Q1956" t="s">
        <v>8284</v>
      </c>
      <c r="R1956" s="1">
        <v>29306</v>
      </c>
      <c r="S1956" t="s">
        <v>22</v>
      </c>
      <c r="T1956" t="s">
        <v>16</v>
      </c>
      <c r="U1956" t="s">
        <v>2783</v>
      </c>
      <c r="V1956">
        <v>10000</v>
      </c>
      <c r="W1956">
        <v>0</v>
      </c>
      <c r="X1956" t="s">
        <v>52</v>
      </c>
      <c r="Y1956" t="s">
        <v>444</v>
      </c>
      <c r="Z1956" t="s">
        <v>23</v>
      </c>
      <c r="AA1956" t="s">
        <v>3586</v>
      </c>
      <c r="AB1956" t="s">
        <v>3586</v>
      </c>
      <c r="AC1956" t="s">
        <v>3587</v>
      </c>
      <c r="AD1956" t="s">
        <v>3479</v>
      </c>
      <c r="AE1956" t="s">
        <v>3475</v>
      </c>
      <c r="AF1956" s="2">
        <v>2181.5625</v>
      </c>
      <c r="AG1956" s="2">
        <v>1320.6838</v>
      </c>
      <c r="AH1956" s="2">
        <v>860.87869999999998</v>
      </c>
      <c r="AI1956" s="3">
        <v>0.39461564818793898</v>
      </c>
    </row>
    <row r="1957" spans="1:35">
      <c r="A1957" s="1">
        <v>42310</v>
      </c>
      <c r="B1957" s="1">
        <v>37501</v>
      </c>
      <c r="C1957" t="s">
        <v>5715</v>
      </c>
      <c r="D1957">
        <v>369</v>
      </c>
      <c r="E1957">
        <v>22575</v>
      </c>
      <c r="F1957">
        <v>9</v>
      </c>
      <c r="G1957">
        <v>1</v>
      </c>
      <c r="H1957">
        <v>1</v>
      </c>
      <c r="I1957">
        <v>2</v>
      </c>
      <c r="J1957" t="s">
        <v>3549</v>
      </c>
      <c r="K1957" t="s">
        <v>3550</v>
      </c>
      <c r="L1957" s="2">
        <v>1518.7864</v>
      </c>
      <c r="M1957" s="2">
        <v>2443.35</v>
      </c>
      <c r="N1957" t="s">
        <v>13</v>
      </c>
      <c r="O1957" t="s">
        <v>230</v>
      </c>
      <c r="P1957" t="s">
        <v>220</v>
      </c>
      <c r="Q1957" t="s">
        <v>8285</v>
      </c>
      <c r="R1957" s="1">
        <v>29452</v>
      </c>
      <c r="S1957" t="s">
        <v>22</v>
      </c>
      <c r="T1957" t="s">
        <v>16</v>
      </c>
      <c r="U1957" t="s">
        <v>2784</v>
      </c>
      <c r="V1957">
        <v>20000</v>
      </c>
      <c r="W1957">
        <v>0</v>
      </c>
      <c r="X1957" t="s">
        <v>17</v>
      </c>
      <c r="Y1957" t="s">
        <v>60</v>
      </c>
      <c r="Z1957" t="s">
        <v>23</v>
      </c>
      <c r="AA1957" t="s">
        <v>3586</v>
      </c>
      <c r="AB1957" t="s">
        <v>3586</v>
      </c>
      <c r="AC1957" t="s">
        <v>3587</v>
      </c>
      <c r="AD1957" t="s">
        <v>3479</v>
      </c>
      <c r="AE1957" t="s">
        <v>3475</v>
      </c>
      <c r="AF1957" s="2">
        <v>2443.35</v>
      </c>
      <c r="AG1957" s="2">
        <v>1518.7864</v>
      </c>
      <c r="AH1957" s="2">
        <v>924.56359999999995</v>
      </c>
      <c r="AI1957" s="3">
        <v>0.37839998362903399</v>
      </c>
    </row>
    <row r="1958" spans="1:35">
      <c r="A1958" s="1">
        <v>42310</v>
      </c>
      <c r="B1958" s="1">
        <v>37477</v>
      </c>
      <c r="C1958" t="s">
        <v>5716</v>
      </c>
      <c r="D1958">
        <v>379</v>
      </c>
      <c r="E1958">
        <v>22576</v>
      </c>
      <c r="F1958">
        <v>9</v>
      </c>
      <c r="G1958">
        <v>1</v>
      </c>
      <c r="H1958">
        <v>1</v>
      </c>
      <c r="I1958">
        <v>2</v>
      </c>
      <c r="J1958" t="s">
        <v>3561</v>
      </c>
      <c r="K1958" t="s">
        <v>3562</v>
      </c>
      <c r="L1958" s="2">
        <v>1320.6838</v>
      </c>
      <c r="M1958" s="2">
        <v>2181.5625</v>
      </c>
      <c r="N1958" t="s">
        <v>13</v>
      </c>
      <c r="O1958" t="s">
        <v>1591</v>
      </c>
      <c r="P1958" t="s">
        <v>474</v>
      </c>
      <c r="Q1958" t="s">
        <v>8286</v>
      </c>
      <c r="R1958" s="1">
        <v>29579</v>
      </c>
      <c r="S1958" t="s">
        <v>22</v>
      </c>
      <c r="T1958" t="s">
        <v>16</v>
      </c>
      <c r="U1958" t="s">
        <v>2785</v>
      </c>
      <c r="V1958">
        <v>20000</v>
      </c>
      <c r="W1958">
        <v>0</v>
      </c>
      <c r="X1958" t="s">
        <v>17</v>
      </c>
      <c r="Y1958" t="s">
        <v>60</v>
      </c>
      <c r="Z1958" t="s">
        <v>23</v>
      </c>
      <c r="AA1958" t="s">
        <v>3586</v>
      </c>
      <c r="AB1958" t="s">
        <v>3586</v>
      </c>
      <c r="AC1958" t="s">
        <v>3587</v>
      </c>
      <c r="AD1958" t="s">
        <v>3479</v>
      </c>
      <c r="AE1958" t="s">
        <v>3475</v>
      </c>
      <c r="AF1958" s="2">
        <v>2181.5625</v>
      </c>
      <c r="AG1958" s="2">
        <v>1320.6838</v>
      </c>
      <c r="AH1958" s="2">
        <v>860.87869999999998</v>
      </c>
      <c r="AI1958" s="3">
        <v>0.39461564818793898</v>
      </c>
    </row>
    <row r="1959" spans="1:35">
      <c r="A1959" s="1">
        <v>42338</v>
      </c>
      <c r="B1959" s="1">
        <v>37480</v>
      </c>
      <c r="C1959" t="s">
        <v>5890</v>
      </c>
      <c r="D1959">
        <v>377</v>
      </c>
      <c r="E1959">
        <v>22577</v>
      </c>
      <c r="F1959">
        <v>9</v>
      </c>
      <c r="G1959">
        <v>1</v>
      </c>
      <c r="H1959">
        <v>1</v>
      </c>
      <c r="I1959">
        <v>2</v>
      </c>
      <c r="J1959" t="s">
        <v>3559</v>
      </c>
      <c r="K1959" t="s">
        <v>3560</v>
      </c>
      <c r="L1959" s="2">
        <v>1320.6838</v>
      </c>
      <c r="M1959" s="2">
        <v>2181.5625</v>
      </c>
      <c r="N1959" t="s">
        <v>13</v>
      </c>
      <c r="O1959" t="s">
        <v>184</v>
      </c>
      <c r="P1959" t="s">
        <v>79</v>
      </c>
      <c r="Q1959" t="s">
        <v>8287</v>
      </c>
      <c r="R1959" s="1">
        <v>29374</v>
      </c>
      <c r="S1959" t="s">
        <v>16</v>
      </c>
      <c r="T1959" t="s">
        <v>16</v>
      </c>
      <c r="U1959" t="s">
        <v>2786</v>
      </c>
      <c r="V1959">
        <v>20000</v>
      </c>
      <c r="W1959">
        <v>0</v>
      </c>
      <c r="X1959" t="s">
        <v>17</v>
      </c>
      <c r="Y1959" t="s">
        <v>60</v>
      </c>
      <c r="Z1959" t="s">
        <v>19</v>
      </c>
      <c r="AA1959" t="s">
        <v>3586</v>
      </c>
      <c r="AB1959" t="s">
        <v>3586</v>
      </c>
      <c r="AC1959" t="s">
        <v>3587</v>
      </c>
      <c r="AD1959" t="s">
        <v>3479</v>
      </c>
      <c r="AE1959" t="s">
        <v>3475</v>
      </c>
      <c r="AF1959" s="2">
        <v>2181.5625</v>
      </c>
      <c r="AG1959" s="2">
        <v>1320.6838</v>
      </c>
      <c r="AH1959" s="2">
        <v>860.87869999999998</v>
      </c>
      <c r="AI1959" s="3">
        <v>0.39461564818793898</v>
      </c>
    </row>
    <row r="1960" spans="1:35">
      <c r="A1960" s="1">
        <v>42318</v>
      </c>
      <c r="B1960" s="1">
        <v>37550</v>
      </c>
      <c r="C1960" t="s">
        <v>5756</v>
      </c>
      <c r="D1960">
        <v>371</v>
      </c>
      <c r="E1960">
        <v>22578</v>
      </c>
      <c r="F1960">
        <v>9</v>
      </c>
      <c r="G1960">
        <v>1</v>
      </c>
      <c r="H1960">
        <v>1</v>
      </c>
      <c r="I1960">
        <v>2</v>
      </c>
      <c r="J1960" t="s">
        <v>3553</v>
      </c>
      <c r="K1960" t="s">
        <v>3554</v>
      </c>
      <c r="L1960" s="2">
        <v>1320.6838</v>
      </c>
      <c r="M1960" s="2">
        <v>2181.5625</v>
      </c>
      <c r="N1960" t="s">
        <v>13</v>
      </c>
      <c r="O1960" t="s">
        <v>766</v>
      </c>
      <c r="P1960" t="s">
        <v>232</v>
      </c>
      <c r="Q1960" t="s">
        <v>8288</v>
      </c>
      <c r="R1960" s="1">
        <v>28410</v>
      </c>
      <c r="S1960" t="s">
        <v>22</v>
      </c>
      <c r="T1960" t="s">
        <v>16</v>
      </c>
      <c r="U1960" t="s">
        <v>2787</v>
      </c>
      <c r="V1960">
        <v>10000</v>
      </c>
      <c r="W1960">
        <v>0</v>
      </c>
      <c r="X1960" t="s">
        <v>57</v>
      </c>
      <c r="Y1960" t="s">
        <v>444</v>
      </c>
      <c r="Z1960" t="s">
        <v>23</v>
      </c>
      <c r="AA1960" t="s">
        <v>3586</v>
      </c>
      <c r="AB1960" t="s">
        <v>3586</v>
      </c>
      <c r="AC1960" t="s">
        <v>3587</v>
      </c>
      <c r="AD1960" t="s">
        <v>3479</v>
      </c>
      <c r="AE1960" t="s">
        <v>3475</v>
      </c>
      <c r="AF1960" s="2">
        <v>2181.5625</v>
      </c>
      <c r="AG1960" s="2">
        <v>1320.6838</v>
      </c>
      <c r="AH1960" s="2">
        <v>860.87869999999998</v>
      </c>
      <c r="AI1960" s="3">
        <v>0.39461564818793898</v>
      </c>
    </row>
    <row r="1961" spans="1:35">
      <c r="A1961" s="1">
        <v>42325</v>
      </c>
      <c r="B1961" s="1">
        <v>37555</v>
      </c>
      <c r="C1961" t="s">
        <v>5799</v>
      </c>
      <c r="D1961">
        <v>377</v>
      </c>
      <c r="E1961">
        <v>22579</v>
      </c>
      <c r="F1961">
        <v>9</v>
      </c>
      <c r="G1961">
        <v>1</v>
      </c>
      <c r="H1961">
        <v>1</v>
      </c>
      <c r="I1961">
        <v>2</v>
      </c>
      <c r="J1961" t="s">
        <v>3559</v>
      </c>
      <c r="K1961" t="s">
        <v>3560</v>
      </c>
      <c r="L1961" s="2">
        <v>1320.6838</v>
      </c>
      <c r="M1961" s="2">
        <v>2181.5625</v>
      </c>
      <c r="N1961" t="s">
        <v>30</v>
      </c>
      <c r="O1961" t="s">
        <v>883</v>
      </c>
      <c r="P1961" t="s">
        <v>62</v>
      </c>
      <c r="Q1961" t="s">
        <v>8289</v>
      </c>
      <c r="R1961" s="1">
        <v>27867</v>
      </c>
      <c r="S1961" t="s">
        <v>22</v>
      </c>
      <c r="T1961" t="s">
        <v>29</v>
      </c>
      <c r="U1961" t="s">
        <v>2788</v>
      </c>
      <c r="V1961">
        <v>10000</v>
      </c>
      <c r="W1961">
        <v>1</v>
      </c>
      <c r="X1961" t="s">
        <v>57</v>
      </c>
      <c r="Y1961" t="s">
        <v>444</v>
      </c>
      <c r="Z1961" t="s">
        <v>23</v>
      </c>
      <c r="AA1961" t="s">
        <v>3586</v>
      </c>
      <c r="AB1961" t="s">
        <v>3586</v>
      </c>
      <c r="AC1961" t="s">
        <v>3587</v>
      </c>
      <c r="AD1961" t="s">
        <v>3479</v>
      </c>
      <c r="AE1961" t="s">
        <v>3475</v>
      </c>
      <c r="AF1961" s="2">
        <v>2181.5625</v>
      </c>
      <c r="AG1961" s="2">
        <v>1320.6838</v>
      </c>
      <c r="AH1961" s="2">
        <v>860.87869999999998</v>
      </c>
      <c r="AI1961" s="3">
        <v>0.39461564818793898</v>
      </c>
    </row>
    <row r="1962" spans="1:35">
      <c r="A1962" s="1">
        <v>42311</v>
      </c>
      <c r="B1962" s="1">
        <v>37453</v>
      </c>
      <c r="C1962" t="s">
        <v>5717</v>
      </c>
      <c r="D1962">
        <v>370</v>
      </c>
      <c r="E1962">
        <v>22580</v>
      </c>
      <c r="F1962">
        <v>9</v>
      </c>
      <c r="G1962">
        <v>1</v>
      </c>
      <c r="H1962">
        <v>1</v>
      </c>
      <c r="I1962">
        <v>2</v>
      </c>
      <c r="J1962" t="s">
        <v>3551</v>
      </c>
      <c r="K1962" t="s">
        <v>3552</v>
      </c>
      <c r="L1962" s="2">
        <v>1518.7864</v>
      </c>
      <c r="M1962" s="2">
        <v>2443.35</v>
      </c>
      <c r="N1962" t="s">
        <v>30</v>
      </c>
      <c r="O1962" t="s">
        <v>357</v>
      </c>
      <c r="P1962" t="s">
        <v>239</v>
      </c>
      <c r="Q1962" t="s">
        <v>8290</v>
      </c>
      <c r="R1962" s="1">
        <v>28952</v>
      </c>
      <c r="S1962" t="s">
        <v>22</v>
      </c>
      <c r="T1962" t="s">
        <v>29</v>
      </c>
      <c r="U1962" t="s">
        <v>2789</v>
      </c>
      <c r="V1962">
        <v>10000</v>
      </c>
      <c r="W1962">
        <v>1</v>
      </c>
      <c r="X1962" t="s">
        <v>57</v>
      </c>
      <c r="Y1962" t="s">
        <v>444</v>
      </c>
      <c r="Z1962" t="s">
        <v>23</v>
      </c>
      <c r="AA1962" t="s">
        <v>3586</v>
      </c>
      <c r="AB1962" t="s">
        <v>3586</v>
      </c>
      <c r="AC1962" t="s">
        <v>3587</v>
      </c>
      <c r="AD1962" t="s">
        <v>3479</v>
      </c>
      <c r="AE1962" t="s">
        <v>3475</v>
      </c>
      <c r="AF1962" s="2">
        <v>2443.35</v>
      </c>
      <c r="AG1962" s="2">
        <v>1518.7864</v>
      </c>
      <c r="AH1962" s="2">
        <v>924.56359999999995</v>
      </c>
      <c r="AI1962" s="3">
        <v>0.37839998362903399</v>
      </c>
    </row>
    <row r="1963" spans="1:35">
      <c r="A1963" s="1">
        <v>42319</v>
      </c>
      <c r="B1963" s="1">
        <v>37499</v>
      </c>
      <c r="C1963" t="s">
        <v>5770</v>
      </c>
      <c r="D1963">
        <v>377</v>
      </c>
      <c r="E1963">
        <v>22581</v>
      </c>
      <c r="F1963">
        <v>9</v>
      </c>
      <c r="G1963">
        <v>1</v>
      </c>
      <c r="H1963">
        <v>1</v>
      </c>
      <c r="I1963">
        <v>2</v>
      </c>
      <c r="J1963" t="s">
        <v>3559</v>
      </c>
      <c r="K1963" t="s">
        <v>3560</v>
      </c>
      <c r="L1963" s="2">
        <v>1320.6838</v>
      </c>
      <c r="M1963" s="2">
        <v>2181.5625</v>
      </c>
      <c r="N1963" t="s">
        <v>26</v>
      </c>
      <c r="O1963" t="s">
        <v>88</v>
      </c>
      <c r="P1963" t="s">
        <v>232</v>
      </c>
      <c r="Q1963" t="s">
        <v>8291</v>
      </c>
      <c r="R1963" s="1">
        <v>29087</v>
      </c>
      <c r="S1963" t="s">
        <v>16</v>
      </c>
      <c r="T1963" t="s">
        <v>29</v>
      </c>
      <c r="U1963" t="s">
        <v>2790</v>
      </c>
      <c r="V1963">
        <v>20000</v>
      </c>
      <c r="W1963">
        <v>0</v>
      </c>
      <c r="X1963" t="s">
        <v>17</v>
      </c>
      <c r="Y1963" t="s">
        <v>60</v>
      </c>
      <c r="Z1963" t="s">
        <v>23</v>
      </c>
      <c r="AA1963" t="s">
        <v>3586</v>
      </c>
      <c r="AB1963" t="s">
        <v>3586</v>
      </c>
      <c r="AC1963" t="s">
        <v>3587</v>
      </c>
      <c r="AD1963" t="s">
        <v>3479</v>
      </c>
      <c r="AE1963" t="s">
        <v>3475</v>
      </c>
      <c r="AF1963" s="2">
        <v>2181.5625</v>
      </c>
      <c r="AG1963" s="2">
        <v>1320.6838</v>
      </c>
      <c r="AH1963" s="2">
        <v>860.87869999999998</v>
      </c>
      <c r="AI1963" s="3">
        <v>0.39461564818793898</v>
      </c>
    </row>
    <row r="1964" spans="1:35">
      <c r="A1964" s="1">
        <v>42315</v>
      </c>
      <c r="B1964" s="1">
        <v>37469</v>
      </c>
      <c r="C1964" t="s">
        <v>5738</v>
      </c>
      <c r="D1964">
        <v>377</v>
      </c>
      <c r="E1964">
        <v>22582</v>
      </c>
      <c r="F1964">
        <v>9</v>
      </c>
      <c r="G1964">
        <v>1</v>
      </c>
      <c r="H1964">
        <v>1</v>
      </c>
      <c r="I1964">
        <v>2</v>
      </c>
      <c r="J1964" t="s">
        <v>3559</v>
      </c>
      <c r="K1964" t="s">
        <v>3560</v>
      </c>
      <c r="L1964" s="2">
        <v>1320.6838</v>
      </c>
      <c r="M1964" s="2">
        <v>2181.5625</v>
      </c>
      <c r="N1964" t="s">
        <v>26</v>
      </c>
      <c r="O1964" t="s">
        <v>1300</v>
      </c>
      <c r="P1964" t="s">
        <v>658</v>
      </c>
      <c r="Q1964" t="s">
        <v>8292</v>
      </c>
      <c r="R1964" s="1">
        <v>29176</v>
      </c>
      <c r="S1964" t="s">
        <v>22</v>
      </c>
      <c r="T1964" t="s">
        <v>29</v>
      </c>
      <c r="U1964" t="s">
        <v>2791</v>
      </c>
      <c r="V1964">
        <v>20000</v>
      </c>
      <c r="W1964">
        <v>0</v>
      </c>
      <c r="X1964" t="s">
        <v>17</v>
      </c>
      <c r="Y1964" t="s">
        <v>60</v>
      </c>
      <c r="Z1964" t="s">
        <v>23</v>
      </c>
      <c r="AA1964" t="s">
        <v>3586</v>
      </c>
      <c r="AB1964" t="s">
        <v>3586</v>
      </c>
      <c r="AC1964" t="s">
        <v>3587</v>
      </c>
      <c r="AD1964" t="s">
        <v>3479</v>
      </c>
      <c r="AE1964" t="s">
        <v>3475</v>
      </c>
      <c r="AF1964" s="2">
        <v>2181.5625</v>
      </c>
      <c r="AG1964" s="2">
        <v>1320.6838</v>
      </c>
      <c r="AH1964" s="2">
        <v>860.87869999999998</v>
      </c>
      <c r="AI1964" s="3">
        <v>0.39461564818793898</v>
      </c>
    </row>
    <row r="1965" spans="1:35">
      <c r="A1965" s="1">
        <v>42324</v>
      </c>
      <c r="B1965" s="1">
        <v>37533</v>
      </c>
      <c r="C1965" t="s">
        <v>5796</v>
      </c>
      <c r="D1965">
        <v>373</v>
      </c>
      <c r="E1965">
        <v>22583</v>
      </c>
      <c r="F1965">
        <v>9</v>
      </c>
      <c r="G1965">
        <v>1</v>
      </c>
      <c r="H1965">
        <v>1</v>
      </c>
      <c r="I1965">
        <v>2</v>
      </c>
      <c r="J1965" t="s">
        <v>3555</v>
      </c>
      <c r="K1965" t="s">
        <v>3556</v>
      </c>
      <c r="L1965" s="2">
        <v>1320.6838</v>
      </c>
      <c r="M1965" s="2">
        <v>2181.5625</v>
      </c>
      <c r="N1965" t="s">
        <v>13</v>
      </c>
      <c r="O1965" t="s">
        <v>639</v>
      </c>
      <c r="P1965" t="s">
        <v>207</v>
      </c>
      <c r="Q1965" t="s">
        <v>8293</v>
      </c>
      <c r="R1965" s="1">
        <v>28349</v>
      </c>
      <c r="S1965" t="s">
        <v>22</v>
      </c>
      <c r="T1965" t="s">
        <v>16</v>
      </c>
      <c r="U1965" t="s">
        <v>2792</v>
      </c>
      <c r="V1965">
        <v>20000</v>
      </c>
      <c r="W1965">
        <v>0</v>
      </c>
      <c r="X1965" t="s">
        <v>52</v>
      </c>
      <c r="Y1965" t="s">
        <v>444</v>
      </c>
      <c r="Z1965" t="s">
        <v>19</v>
      </c>
      <c r="AA1965" t="s">
        <v>3586</v>
      </c>
      <c r="AB1965" t="s">
        <v>3586</v>
      </c>
      <c r="AC1965" t="s">
        <v>3587</v>
      </c>
      <c r="AD1965" t="s">
        <v>3479</v>
      </c>
      <c r="AE1965" t="s">
        <v>3475</v>
      </c>
      <c r="AF1965" s="2">
        <v>2181.5625</v>
      </c>
      <c r="AG1965" s="2">
        <v>1320.6838</v>
      </c>
      <c r="AH1965" s="2">
        <v>860.87869999999998</v>
      </c>
      <c r="AI1965" s="3">
        <v>0.39461564818793898</v>
      </c>
    </row>
    <row r="1966" spans="1:35">
      <c r="A1966" s="1">
        <v>42009</v>
      </c>
      <c r="B1966" s="1">
        <v>37153</v>
      </c>
      <c r="C1966" t="s">
        <v>3615</v>
      </c>
      <c r="D1966">
        <v>313</v>
      </c>
      <c r="E1966">
        <v>22748</v>
      </c>
      <c r="F1966">
        <v>6</v>
      </c>
      <c r="G1966">
        <v>1</v>
      </c>
      <c r="H1966">
        <v>1</v>
      </c>
      <c r="I1966">
        <v>2</v>
      </c>
      <c r="J1966" t="s">
        <v>3491</v>
      </c>
      <c r="K1966" t="s">
        <v>3492</v>
      </c>
      <c r="L1966" s="2">
        <v>2171.2941999999998</v>
      </c>
      <c r="M1966" s="2">
        <v>3578.27</v>
      </c>
      <c r="N1966" t="s">
        <v>13</v>
      </c>
      <c r="O1966" t="s">
        <v>112</v>
      </c>
      <c r="P1966" t="s">
        <v>177</v>
      </c>
      <c r="Q1966" t="s">
        <v>8294</v>
      </c>
      <c r="R1966" s="1">
        <v>17058</v>
      </c>
      <c r="S1966" t="s">
        <v>22</v>
      </c>
      <c r="T1966" t="s">
        <v>16</v>
      </c>
      <c r="U1966" t="s">
        <v>2793</v>
      </c>
      <c r="V1966">
        <v>70000</v>
      </c>
      <c r="W1966">
        <v>5</v>
      </c>
      <c r="X1966" t="s">
        <v>17</v>
      </c>
      <c r="Y1966" t="s">
        <v>45</v>
      </c>
      <c r="Z1966" t="s">
        <v>19</v>
      </c>
      <c r="AA1966" t="s">
        <v>3582</v>
      </c>
      <c r="AB1966" t="s">
        <v>3582</v>
      </c>
      <c r="AC1966" t="s">
        <v>3579</v>
      </c>
      <c r="AD1966" t="s">
        <v>3479</v>
      </c>
      <c r="AE1966" t="s">
        <v>3475</v>
      </c>
      <c r="AF1966" s="2">
        <v>3578.27</v>
      </c>
      <c r="AG1966" s="2">
        <v>2171.2941999999998</v>
      </c>
      <c r="AH1966" s="2">
        <v>1406.9757999999999</v>
      </c>
      <c r="AI1966" s="3">
        <v>0.39320001006072802</v>
      </c>
    </row>
    <row r="1967" spans="1:35">
      <c r="A1967" s="1">
        <v>42010</v>
      </c>
      <c r="B1967" s="1">
        <v>37216</v>
      </c>
      <c r="C1967" t="s">
        <v>3620</v>
      </c>
      <c r="D1967">
        <v>312</v>
      </c>
      <c r="E1967">
        <v>22765</v>
      </c>
      <c r="F1967">
        <v>6</v>
      </c>
      <c r="G1967">
        <v>1</v>
      </c>
      <c r="H1967">
        <v>1</v>
      </c>
      <c r="I1967">
        <v>2</v>
      </c>
      <c r="J1967" t="s">
        <v>3489</v>
      </c>
      <c r="K1967" t="s">
        <v>3490</v>
      </c>
      <c r="L1967" s="2">
        <v>2171.2941999999998</v>
      </c>
      <c r="M1967" s="2">
        <v>3578.27</v>
      </c>
      <c r="N1967" t="s">
        <v>13</v>
      </c>
      <c r="O1967" t="s">
        <v>301</v>
      </c>
      <c r="P1967" t="s">
        <v>377</v>
      </c>
      <c r="Q1967" t="s">
        <v>8295</v>
      </c>
      <c r="R1967" s="1">
        <v>18162</v>
      </c>
      <c r="S1967" t="s">
        <v>16</v>
      </c>
      <c r="T1967" t="s">
        <v>16</v>
      </c>
      <c r="U1967" t="s">
        <v>2794</v>
      </c>
      <c r="V1967">
        <v>60000</v>
      </c>
      <c r="W1967">
        <v>2</v>
      </c>
      <c r="X1967" t="s">
        <v>52</v>
      </c>
      <c r="Y1967" t="s">
        <v>18</v>
      </c>
      <c r="Z1967" t="s">
        <v>19</v>
      </c>
      <c r="AA1967" t="s">
        <v>3582</v>
      </c>
      <c r="AB1967" t="s">
        <v>3582</v>
      </c>
      <c r="AC1967" t="s">
        <v>3579</v>
      </c>
      <c r="AD1967" t="s">
        <v>3479</v>
      </c>
      <c r="AE1967" t="s">
        <v>3475</v>
      </c>
      <c r="AF1967" s="2">
        <v>3578.27</v>
      </c>
      <c r="AG1967" s="2">
        <v>2171.2941999999998</v>
      </c>
      <c r="AH1967" s="2">
        <v>1406.9757999999999</v>
      </c>
      <c r="AI1967" s="3">
        <v>0.39320001006072802</v>
      </c>
    </row>
    <row r="1968" spans="1:35">
      <c r="A1968" s="1">
        <v>42007</v>
      </c>
      <c r="B1968" s="1">
        <v>37145</v>
      </c>
      <c r="C1968" t="s">
        <v>3609</v>
      </c>
      <c r="D1968">
        <v>310</v>
      </c>
      <c r="E1968">
        <v>22785</v>
      </c>
      <c r="F1968">
        <v>6</v>
      </c>
      <c r="G1968">
        <v>1</v>
      </c>
      <c r="H1968">
        <v>1</v>
      </c>
      <c r="I1968">
        <v>2</v>
      </c>
      <c r="J1968" t="s">
        <v>3485</v>
      </c>
      <c r="K1968" t="s">
        <v>3486</v>
      </c>
      <c r="L1968" s="2">
        <v>2171.2941999999998</v>
      </c>
      <c r="M1968" s="2">
        <v>3578.27</v>
      </c>
      <c r="N1968" t="s">
        <v>13</v>
      </c>
      <c r="O1968" t="s">
        <v>784</v>
      </c>
      <c r="P1968" t="s">
        <v>329</v>
      </c>
      <c r="Q1968" t="s">
        <v>8296</v>
      </c>
      <c r="R1968" s="1">
        <v>19006</v>
      </c>
      <c r="S1968" t="s">
        <v>16</v>
      </c>
      <c r="T1968" t="s">
        <v>16</v>
      </c>
      <c r="U1968" t="s">
        <v>2795</v>
      </c>
      <c r="V1968">
        <v>70000</v>
      </c>
      <c r="W1968">
        <v>2</v>
      </c>
      <c r="X1968" t="s">
        <v>77</v>
      </c>
      <c r="Y1968" t="s">
        <v>53</v>
      </c>
      <c r="Z1968" t="s">
        <v>19</v>
      </c>
      <c r="AA1968" t="s">
        <v>3582</v>
      </c>
      <c r="AB1968" t="s">
        <v>3582</v>
      </c>
      <c r="AC1968" t="s">
        <v>3579</v>
      </c>
      <c r="AD1968" t="s">
        <v>3479</v>
      </c>
      <c r="AE1968" t="s">
        <v>3475</v>
      </c>
      <c r="AF1968" s="2">
        <v>3578.27</v>
      </c>
      <c r="AG1968" s="2">
        <v>2171.2941999999998</v>
      </c>
      <c r="AH1968" s="2">
        <v>1406.9757999999999</v>
      </c>
      <c r="AI1968" s="3">
        <v>0.39320001006072802</v>
      </c>
    </row>
    <row r="1969" spans="1:35">
      <c r="A1969" s="1">
        <v>42318</v>
      </c>
      <c r="B1969" s="1">
        <v>37463</v>
      </c>
      <c r="C1969" t="s">
        <v>5755</v>
      </c>
      <c r="D1969">
        <v>377</v>
      </c>
      <c r="E1969">
        <v>22845</v>
      </c>
      <c r="F1969">
        <v>9</v>
      </c>
      <c r="G1969">
        <v>1</v>
      </c>
      <c r="H1969">
        <v>1</v>
      </c>
      <c r="I1969">
        <v>2</v>
      </c>
      <c r="J1969" t="s">
        <v>3559</v>
      </c>
      <c r="K1969" t="s">
        <v>3560</v>
      </c>
      <c r="L1969" s="2">
        <v>1320.6838</v>
      </c>
      <c r="M1969" s="2">
        <v>2181.5625</v>
      </c>
      <c r="N1969" t="s">
        <v>13</v>
      </c>
      <c r="O1969" t="s">
        <v>1089</v>
      </c>
      <c r="P1969" t="s">
        <v>686</v>
      </c>
      <c r="Q1969" t="s">
        <v>8297</v>
      </c>
      <c r="R1969" s="1">
        <v>27832</v>
      </c>
      <c r="S1969" t="s">
        <v>16</v>
      </c>
      <c r="T1969" t="s">
        <v>16</v>
      </c>
      <c r="U1969" t="s">
        <v>2796</v>
      </c>
      <c r="V1969">
        <v>80000</v>
      </c>
      <c r="W1969">
        <v>0</v>
      </c>
      <c r="X1969" t="s">
        <v>17</v>
      </c>
      <c r="Y1969" t="s">
        <v>18</v>
      </c>
      <c r="Z1969" t="s">
        <v>23</v>
      </c>
      <c r="AA1969" t="s">
        <v>3586</v>
      </c>
      <c r="AB1969" t="s">
        <v>3586</v>
      </c>
      <c r="AC1969" t="s">
        <v>3587</v>
      </c>
      <c r="AD1969" t="s">
        <v>3479</v>
      </c>
      <c r="AE1969" t="s">
        <v>3475</v>
      </c>
      <c r="AF1969" s="2">
        <v>2181.5625</v>
      </c>
      <c r="AG1969" s="2">
        <v>1320.6838</v>
      </c>
      <c r="AH1969" s="2">
        <v>860.87869999999998</v>
      </c>
      <c r="AI1969" s="3">
        <v>0.39461564818793898</v>
      </c>
    </row>
    <row r="1970" spans="1:35">
      <c r="A1970" s="1">
        <v>42332</v>
      </c>
      <c r="B1970" s="1">
        <v>37491</v>
      </c>
      <c r="C1970" t="s">
        <v>5841</v>
      </c>
      <c r="D1970">
        <v>371</v>
      </c>
      <c r="E1970">
        <v>22850</v>
      </c>
      <c r="F1970">
        <v>9</v>
      </c>
      <c r="G1970">
        <v>1</v>
      </c>
      <c r="H1970">
        <v>1</v>
      </c>
      <c r="I1970">
        <v>2</v>
      </c>
      <c r="J1970" t="s">
        <v>3553</v>
      </c>
      <c r="K1970" t="s">
        <v>3554</v>
      </c>
      <c r="L1970" s="2">
        <v>1320.6838</v>
      </c>
      <c r="M1970" s="2">
        <v>2181.5625</v>
      </c>
      <c r="N1970" t="s">
        <v>13</v>
      </c>
      <c r="O1970" t="s">
        <v>1320</v>
      </c>
      <c r="P1970" t="s">
        <v>159</v>
      </c>
      <c r="Q1970" t="s">
        <v>8298</v>
      </c>
      <c r="R1970" s="1">
        <v>27065</v>
      </c>
      <c r="S1970" t="s">
        <v>16</v>
      </c>
      <c r="T1970" t="s">
        <v>16</v>
      </c>
      <c r="U1970" t="s">
        <v>2797</v>
      </c>
      <c r="V1970">
        <v>130000</v>
      </c>
      <c r="W1970">
        <v>4</v>
      </c>
      <c r="X1970" t="s">
        <v>57</v>
      </c>
      <c r="Y1970" t="s">
        <v>45</v>
      </c>
      <c r="Z1970" t="s">
        <v>23</v>
      </c>
      <c r="AA1970" t="s">
        <v>3586</v>
      </c>
      <c r="AB1970" t="s">
        <v>3586</v>
      </c>
      <c r="AC1970" t="s">
        <v>3587</v>
      </c>
      <c r="AD1970" t="s">
        <v>3479</v>
      </c>
      <c r="AE1970" t="s">
        <v>3475</v>
      </c>
      <c r="AF1970" s="2">
        <v>2181.5625</v>
      </c>
      <c r="AG1970" s="2">
        <v>1320.6838</v>
      </c>
      <c r="AH1970" s="2">
        <v>860.87869999999998</v>
      </c>
      <c r="AI1970" s="3">
        <v>0.39461564818793898</v>
      </c>
    </row>
    <row r="1971" spans="1:35">
      <c r="A1971" s="1">
        <v>42319</v>
      </c>
      <c r="B1971" s="1">
        <v>37538</v>
      </c>
      <c r="C1971" t="s">
        <v>5767</v>
      </c>
      <c r="D1971">
        <v>371</v>
      </c>
      <c r="E1971">
        <v>22851</v>
      </c>
      <c r="F1971">
        <v>9</v>
      </c>
      <c r="G1971">
        <v>1</v>
      </c>
      <c r="H1971">
        <v>1</v>
      </c>
      <c r="I1971">
        <v>2</v>
      </c>
      <c r="J1971" t="s">
        <v>3553</v>
      </c>
      <c r="K1971" t="s">
        <v>3554</v>
      </c>
      <c r="L1971" s="2">
        <v>1320.6838</v>
      </c>
      <c r="M1971" s="2">
        <v>2181.5625</v>
      </c>
      <c r="N1971" t="s">
        <v>26</v>
      </c>
      <c r="O1971" t="s">
        <v>702</v>
      </c>
      <c r="P1971" t="s">
        <v>70</v>
      </c>
      <c r="Q1971" t="s">
        <v>8299</v>
      </c>
      <c r="R1971" s="1">
        <v>26861</v>
      </c>
      <c r="S1971" t="s">
        <v>22</v>
      </c>
      <c r="T1971" t="s">
        <v>29</v>
      </c>
      <c r="U1971" t="s">
        <v>2798</v>
      </c>
      <c r="V1971">
        <v>90000</v>
      </c>
      <c r="W1971">
        <v>0</v>
      </c>
      <c r="X1971" t="s">
        <v>17</v>
      </c>
      <c r="Y1971" t="s">
        <v>18</v>
      </c>
      <c r="Z1971" t="s">
        <v>23</v>
      </c>
      <c r="AA1971" t="s">
        <v>3586</v>
      </c>
      <c r="AB1971" t="s">
        <v>3586</v>
      </c>
      <c r="AC1971" t="s">
        <v>3587</v>
      </c>
      <c r="AD1971" t="s">
        <v>3479</v>
      </c>
      <c r="AE1971" t="s">
        <v>3475</v>
      </c>
      <c r="AF1971" s="2">
        <v>2181.5625</v>
      </c>
      <c r="AG1971" s="2">
        <v>1320.6838</v>
      </c>
      <c r="AH1971" s="2">
        <v>860.87869999999998</v>
      </c>
      <c r="AI1971" s="3">
        <v>0.39461564818793898</v>
      </c>
    </row>
    <row r="1972" spans="1:35">
      <c r="A1972" s="1">
        <v>42320</v>
      </c>
      <c r="B1972" s="1">
        <v>37501</v>
      </c>
      <c r="C1972" t="s">
        <v>5775</v>
      </c>
      <c r="D1972">
        <v>375</v>
      </c>
      <c r="E1972">
        <v>22854</v>
      </c>
      <c r="F1972">
        <v>9</v>
      </c>
      <c r="G1972">
        <v>1</v>
      </c>
      <c r="H1972">
        <v>1</v>
      </c>
      <c r="I1972">
        <v>2</v>
      </c>
      <c r="J1972" t="s">
        <v>3557</v>
      </c>
      <c r="K1972" t="s">
        <v>3558</v>
      </c>
      <c r="L1972" s="2">
        <v>1320.6838</v>
      </c>
      <c r="M1972" s="2">
        <v>2181.5625</v>
      </c>
      <c r="N1972" t="s">
        <v>26</v>
      </c>
      <c r="O1972" t="s">
        <v>94</v>
      </c>
      <c r="P1972" t="s">
        <v>35</v>
      </c>
      <c r="Q1972" t="s">
        <v>8300</v>
      </c>
      <c r="R1972" s="1">
        <v>26896</v>
      </c>
      <c r="S1972" t="s">
        <v>22</v>
      </c>
      <c r="T1972" t="s">
        <v>29</v>
      </c>
      <c r="U1972" t="s">
        <v>2799</v>
      </c>
      <c r="V1972">
        <v>100000</v>
      </c>
      <c r="W1972">
        <v>0</v>
      </c>
      <c r="X1972" t="s">
        <v>57</v>
      </c>
      <c r="Y1972" t="s">
        <v>45</v>
      </c>
      <c r="Z1972" t="s">
        <v>19</v>
      </c>
      <c r="AA1972" t="s">
        <v>3586</v>
      </c>
      <c r="AB1972" t="s">
        <v>3586</v>
      </c>
      <c r="AC1972" t="s">
        <v>3587</v>
      </c>
      <c r="AD1972" t="s">
        <v>3479</v>
      </c>
      <c r="AE1972" t="s">
        <v>3475</v>
      </c>
      <c r="AF1972" s="2">
        <v>2181.5625</v>
      </c>
      <c r="AG1972" s="2">
        <v>1320.6838</v>
      </c>
      <c r="AH1972" s="2">
        <v>860.87869999999998</v>
      </c>
      <c r="AI1972" s="3">
        <v>0.39461564818793898</v>
      </c>
    </row>
    <row r="1973" spans="1:35">
      <c r="A1973" s="1">
        <v>42317</v>
      </c>
      <c r="B1973" s="1">
        <v>37454</v>
      </c>
      <c r="C1973" t="s">
        <v>5752</v>
      </c>
      <c r="D1973">
        <v>370</v>
      </c>
      <c r="E1973">
        <v>22857</v>
      </c>
      <c r="F1973">
        <v>9</v>
      </c>
      <c r="G1973">
        <v>1</v>
      </c>
      <c r="H1973">
        <v>1</v>
      </c>
      <c r="I1973">
        <v>2</v>
      </c>
      <c r="J1973" t="s">
        <v>3551</v>
      </c>
      <c r="K1973" t="s">
        <v>3552</v>
      </c>
      <c r="L1973" s="2">
        <v>1518.7864</v>
      </c>
      <c r="M1973" s="2">
        <v>2443.35</v>
      </c>
      <c r="N1973" t="s">
        <v>13</v>
      </c>
      <c r="O1973" t="s">
        <v>33</v>
      </c>
      <c r="P1973" t="s">
        <v>317</v>
      </c>
      <c r="Q1973" t="s">
        <v>8301</v>
      </c>
      <c r="R1973" s="1">
        <v>26313</v>
      </c>
      <c r="S1973" t="s">
        <v>16</v>
      </c>
      <c r="T1973" t="s">
        <v>16</v>
      </c>
      <c r="U1973" t="s">
        <v>2800</v>
      </c>
      <c r="V1973">
        <v>110000</v>
      </c>
      <c r="W1973">
        <v>0</v>
      </c>
      <c r="X1973" t="s">
        <v>57</v>
      </c>
      <c r="Y1973" t="s">
        <v>45</v>
      </c>
      <c r="Z1973" t="s">
        <v>19</v>
      </c>
      <c r="AA1973" t="s">
        <v>3586</v>
      </c>
      <c r="AB1973" t="s">
        <v>3586</v>
      </c>
      <c r="AC1973" t="s">
        <v>3587</v>
      </c>
      <c r="AD1973" t="s">
        <v>3479</v>
      </c>
      <c r="AE1973" t="s">
        <v>3475</v>
      </c>
      <c r="AF1973" s="2">
        <v>2443.35</v>
      </c>
      <c r="AG1973" s="2">
        <v>1518.7864</v>
      </c>
      <c r="AH1973" s="2">
        <v>924.56359999999995</v>
      </c>
      <c r="AI1973" s="3">
        <v>0.37839998362903399</v>
      </c>
    </row>
    <row r="1974" spans="1:35">
      <c r="A1974" s="1">
        <v>42333</v>
      </c>
      <c r="B1974" s="1">
        <v>37561</v>
      </c>
      <c r="C1974" t="s">
        <v>5852</v>
      </c>
      <c r="D1974">
        <v>371</v>
      </c>
      <c r="E1974">
        <v>22860</v>
      </c>
      <c r="F1974">
        <v>9</v>
      </c>
      <c r="G1974">
        <v>1</v>
      </c>
      <c r="H1974">
        <v>1</v>
      </c>
      <c r="I1974">
        <v>2</v>
      </c>
      <c r="J1974" t="s">
        <v>3553</v>
      </c>
      <c r="K1974" t="s">
        <v>3554</v>
      </c>
      <c r="L1974" s="2">
        <v>1320.6838</v>
      </c>
      <c r="M1974" s="2">
        <v>2181.5625</v>
      </c>
      <c r="N1974" t="s">
        <v>13</v>
      </c>
      <c r="O1974" t="s">
        <v>191</v>
      </c>
      <c r="P1974" t="s">
        <v>194</v>
      </c>
      <c r="Q1974" t="s">
        <v>8302</v>
      </c>
      <c r="R1974" s="1">
        <v>25715</v>
      </c>
      <c r="S1974" t="s">
        <v>16</v>
      </c>
      <c r="T1974" t="s">
        <v>16</v>
      </c>
      <c r="U1974" t="s">
        <v>2801</v>
      </c>
      <c r="V1974">
        <v>100000</v>
      </c>
      <c r="W1974">
        <v>0</v>
      </c>
      <c r="X1974" t="s">
        <v>57</v>
      </c>
      <c r="Y1974" t="s">
        <v>45</v>
      </c>
      <c r="Z1974" t="s">
        <v>19</v>
      </c>
      <c r="AA1974" t="s">
        <v>3586</v>
      </c>
      <c r="AB1974" t="s">
        <v>3586</v>
      </c>
      <c r="AC1974" t="s">
        <v>3587</v>
      </c>
      <c r="AD1974" t="s">
        <v>3479</v>
      </c>
      <c r="AE1974" t="s">
        <v>3475</v>
      </c>
      <c r="AF1974" s="2">
        <v>2181.5625</v>
      </c>
      <c r="AG1974" s="2">
        <v>1320.6838</v>
      </c>
      <c r="AH1974" s="2">
        <v>860.87869999999998</v>
      </c>
      <c r="AI1974" s="3">
        <v>0.39461564818793898</v>
      </c>
    </row>
    <row r="1975" spans="1:35">
      <c r="A1975" s="1">
        <v>42034</v>
      </c>
      <c r="B1975" s="1">
        <v>37210</v>
      </c>
      <c r="C1975" t="s">
        <v>3770</v>
      </c>
      <c r="D1975">
        <v>312</v>
      </c>
      <c r="E1975">
        <v>22877</v>
      </c>
      <c r="F1975">
        <v>6</v>
      </c>
      <c r="G1975">
        <v>1</v>
      </c>
      <c r="H1975">
        <v>1</v>
      </c>
      <c r="I1975">
        <v>2</v>
      </c>
      <c r="J1975" t="s">
        <v>3489</v>
      </c>
      <c r="K1975" t="s">
        <v>3490</v>
      </c>
      <c r="L1975" s="2">
        <v>2171.2941999999998</v>
      </c>
      <c r="M1975" s="2">
        <v>3578.27</v>
      </c>
      <c r="N1975" t="s">
        <v>13</v>
      </c>
      <c r="O1975" t="s">
        <v>365</v>
      </c>
      <c r="P1975" t="s">
        <v>246</v>
      </c>
      <c r="Q1975" t="s">
        <v>8303</v>
      </c>
      <c r="R1975" s="1">
        <v>22595</v>
      </c>
      <c r="S1975" t="s">
        <v>16</v>
      </c>
      <c r="T1975" t="s">
        <v>16</v>
      </c>
      <c r="U1975" t="s">
        <v>2802</v>
      </c>
      <c r="V1975">
        <v>60000</v>
      </c>
      <c r="W1975">
        <v>1</v>
      </c>
      <c r="X1975" t="s">
        <v>52</v>
      </c>
      <c r="Y1975" t="s">
        <v>53</v>
      </c>
      <c r="Z1975" t="s">
        <v>19</v>
      </c>
      <c r="AA1975" t="s">
        <v>3582</v>
      </c>
      <c r="AB1975" t="s">
        <v>3582</v>
      </c>
      <c r="AC1975" t="s">
        <v>3579</v>
      </c>
      <c r="AD1975" t="s">
        <v>3479</v>
      </c>
      <c r="AE1975" t="s">
        <v>3475</v>
      </c>
      <c r="AF1975" s="2">
        <v>3578.27</v>
      </c>
      <c r="AG1975" s="2">
        <v>2171.2941999999998</v>
      </c>
      <c r="AH1975" s="2">
        <v>1406.9757999999999</v>
      </c>
      <c r="AI1975" s="3">
        <v>0.39320001006072802</v>
      </c>
    </row>
    <row r="1976" spans="1:35">
      <c r="A1976" s="1">
        <v>42020</v>
      </c>
      <c r="B1976" s="1">
        <v>37256</v>
      </c>
      <c r="C1976" t="s">
        <v>3685</v>
      </c>
      <c r="D1976">
        <v>313</v>
      </c>
      <c r="E1976">
        <v>22881</v>
      </c>
      <c r="F1976">
        <v>6</v>
      </c>
      <c r="G1976">
        <v>1</v>
      </c>
      <c r="H1976">
        <v>1</v>
      </c>
      <c r="I1976">
        <v>2</v>
      </c>
      <c r="J1976" t="s">
        <v>3491</v>
      </c>
      <c r="K1976" t="s">
        <v>3492</v>
      </c>
      <c r="L1976" s="2">
        <v>2171.2941999999998</v>
      </c>
      <c r="M1976" s="2">
        <v>3578.27</v>
      </c>
      <c r="N1976" t="s">
        <v>13</v>
      </c>
      <c r="O1976" t="s">
        <v>54</v>
      </c>
      <c r="P1976" t="s">
        <v>290</v>
      </c>
      <c r="Q1976" t="s">
        <v>8304</v>
      </c>
      <c r="R1976" s="1">
        <v>22208</v>
      </c>
      <c r="S1976" t="s">
        <v>16</v>
      </c>
      <c r="T1976" t="s">
        <v>16</v>
      </c>
      <c r="U1976" t="s">
        <v>2803</v>
      </c>
      <c r="V1976">
        <v>40000</v>
      </c>
      <c r="W1976">
        <v>4</v>
      </c>
      <c r="X1976" t="s">
        <v>57</v>
      </c>
      <c r="Y1976" t="s">
        <v>53</v>
      </c>
      <c r="Z1976" t="s">
        <v>19</v>
      </c>
      <c r="AA1976" t="s">
        <v>3582</v>
      </c>
      <c r="AB1976" t="s">
        <v>3582</v>
      </c>
      <c r="AC1976" t="s">
        <v>3579</v>
      </c>
      <c r="AD1976" t="s">
        <v>3479</v>
      </c>
      <c r="AE1976" t="s">
        <v>3475</v>
      </c>
      <c r="AF1976" s="2">
        <v>3578.27</v>
      </c>
      <c r="AG1976" s="2">
        <v>2171.2941999999998</v>
      </c>
      <c r="AH1976" s="2">
        <v>1406.9757999999999</v>
      </c>
      <c r="AI1976" s="3">
        <v>0.39320001006072802</v>
      </c>
    </row>
    <row r="1977" spans="1:35">
      <c r="A1977" s="1">
        <v>42024</v>
      </c>
      <c r="B1977" s="1">
        <v>37168</v>
      </c>
      <c r="C1977" t="s">
        <v>3708</v>
      </c>
      <c r="D1977">
        <v>310</v>
      </c>
      <c r="E1977">
        <v>22889</v>
      </c>
      <c r="F1977">
        <v>6</v>
      </c>
      <c r="G1977">
        <v>1</v>
      </c>
      <c r="H1977">
        <v>1</v>
      </c>
      <c r="I1977">
        <v>2</v>
      </c>
      <c r="J1977" t="s">
        <v>3485</v>
      </c>
      <c r="K1977" t="s">
        <v>3486</v>
      </c>
      <c r="L1977" s="2">
        <v>2171.2941999999998</v>
      </c>
      <c r="M1977" s="2">
        <v>3578.27</v>
      </c>
      <c r="N1977" t="s">
        <v>30</v>
      </c>
      <c r="O1977" t="s">
        <v>202</v>
      </c>
      <c r="P1977" t="s">
        <v>239</v>
      </c>
      <c r="Q1977" t="s">
        <v>8305</v>
      </c>
      <c r="R1977" s="1">
        <v>21696</v>
      </c>
      <c r="S1977" t="s">
        <v>16</v>
      </c>
      <c r="T1977" t="s">
        <v>29</v>
      </c>
      <c r="U1977" t="s">
        <v>2804</v>
      </c>
      <c r="V1977">
        <v>60000</v>
      </c>
      <c r="W1977">
        <v>1</v>
      </c>
      <c r="X1977" t="s">
        <v>52</v>
      </c>
      <c r="Y1977" t="s">
        <v>53</v>
      </c>
      <c r="Z1977" t="s">
        <v>19</v>
      </c>
      <c r="AA1977" t="s">
        <v>3582</v>
      </c>
      <c r="AB1977" t="s">
        <v>3582</v>
      </c>
      <c r="AC1977" t="s">
        <v>3579</v>
      </c>
      <c r="AD1977" t="s">
        <v>3479</v>
      </c>
      <c r="AE1977" t="s">
        <v>3475</v>
      </c>
      <c r="AF1977" s="2">
        <v>3578.27</v>
      </c>
      <c r="AG1977" s="2">
        <v>2171.2941999999998</v>
      </c>
      <c r="AH1977" s="2">
        <v>1406.9757999999999</v>
      </c>
      <c r="AI1977" s="3">
        <v>0.39320001006072802</v>
      </c>
    </row>
    <row r="1978" spans="1:35">
      <c r="A1978" s="1">
        <v>42028</v>
      </c>
      <c r="B1978" s="1">
        <v>37178</v>
      </c>
      <c r="C1978" t="s">
        <v>3732</v>
      </c>
      <c r="D1978">
        <v>313</v>
      </c>
      <c r="E1978">
        <v>22893</v>
      </c>
      <c r="F1978">
        <v>6</v>
      </c>
      <c r="G1978">
        <v>1</v>
      </c>
      <c r="H1978">
        <v>1</v>
      </c>
      <c r="I1978">
        <v>2</v>
      </c>
      <c r="J1978" t="s">
        <v>3491</v>
      </c>
      <c r="K1978" t="s">
        <v>3492</v>
      </c>
      <c r="L1978" s="2">
        <v>2171.2941999999998</v>
      </c>
      <c r="M1978" s="2">
        <v>3578.27</v>
      </c>
      <c r="N1978" t="s">
        <v>30</v>
      </c>
      <c r="O1978" t="s">
        <v>50</v>
      </c>
      <c r="P1978" t="s">
        <v>328</v>
      </c>
      <c r="Q1978" t="s">
        <v>8306</v>
      </c>
      <c r="R1978" s="1">
        <v>21748</v>
      </c>
      <c r="S1978" t="s">
        <v>22</v>
      </c>
      <c r="T1978" t="s">
        <v>29</v>
      </c>
      <c r="U1978" t="s">
        <v>2805</v>
      </c>
      <c r="V1978">
        <v>70000</v>
      </c>
      <c r="W1978">
        <v>2</v>
      </c>
      <c r="X1978" t="s">
        <v>135</v>
      </c>
      <c r="Y1978" t="s">
        <v>18</v>
      </c>
      <c r="Z1978" t="s">
        <v>23</v>
      </c>
      <c r="AA1978" t="s">
        <v>3582</v>
      </c>
      <c r="AB1978" t="s">
        <v>3582</v>
      </c>
      <c r="AC1978" t="s">
        <v>3579</v>
      </c>
      <c r="AD1978" t="s">
        <v>3479</v>
      </c>
      <c r="AE1978" t="s">
        <v>3475</v>
      </c>
      <c r="AF1978" s="2">
        <v>3578.27</v>
      </c>
      <c r="AG1978" s="2">
        <v>2171.2941999999998</v>
      </c>
      <c r="AH1978" s="2">
        <v>1406.9757999999999</v>
      </c>
      <c r="AI1978" s="3">
        <v>0.39320001006072802</v>
      </c>
    </row>
    <row r="1979" spans="1:35">
      <c r="A1979" s="1">
        <v>42015</v>
      </c>
      <c r="B1979" s="1">
        <v>37238</v>
      </c>
      <c r="C1979" t="s">
        <v>3646</v>
      </c>
      <c r="D1979">
        <v>314</v>
      </c>
      <c r="E1979">
        <v>22895</v>
      </c>
      <c r="F1979">
        <v>6</v>
      </c>
      <c r="G1979">
        <v>1</v>
      </c>
      <c r="H1979">
        <v>1</v>
      </c>
      <c r="I1979">
        <v>2</v>
      </c>
      <c r="J1979" t="s">
        <v>3493</v>
      </c>
      <c r="K1979" t="s">
        <v>3494</v>
      </c>
      <c r="L1979" s="2">
        <v>2171.2941999999998</v>
      </c>
      <c r="M1979" s="2">
        <v>3578.27</v>
      </c>
      <c r="N1979" t="s">
        <v>13</v>
      </c>
      <c r="O1979" t="s">
        <v>260</v>
      </c>
      <c r="P1979" t="s">
        <v>187</v>
      </c>
      <c r="Q1979" t="s">
        <v>8307</v>
      </c>
      <c r="R1979" s="1">
        <v>21874</v>
      </c>
      <c r="S1979" t="s">
        <v>22</v>
      </c>
      <c r="T1979" t="s">
        <v>16</v>
      </c>
      <c r="U1979" t="s">
        <v>2806</v>
      </c>
      <c r="V1979">
        <v>70000</v>
      </c>
      <c r="W1979">
        <v>5</v>
      </c>
      <c r="X1979" t="s">
        <v>135</v>
      </c>
      <c r="Y1979" t="s">
        <v>18</v>
      </c>
      <c r="Z1979" t="s">
        <v>19</v>
      </c>
      <c r="AA1979" t="s">
        <v>3582</v>
      </c>
      <c r="AB1979" t="s">
        <v>3582</v>
      </c>
      <c r="AC1979" t="s">
        <v>3579</v>
      </c>
      <c r="AD1979" t="s">
        <v>3479</v>
      </c>
      <c r="AE1979" t="s">
        <v>3475</v>
      </c>
      <c r="AF1979" s="2">
        <v>3578.27</v>
      </c>
      <c r="AG1979" s="2">
        <v>2171.2941999999998</v>
      </c>
      <c r="AH1979" s="2">
        <v>1406.9757999999999</v>
      </c>
      <c r="AI1979" s="3">
        <v>0.39320001006072802</v>
      </c>
    </row>
    <row r="1980" spans="1:35">
      <c r="A1980" s="1">
        <v>42016</v>
      </c>
      <c r="B1980" s="1">
        <v>37251</v>
      </c>
      <c r="C1980" t="s">
        <v>3655</v>
      </c>
      <c r="D1980">
        <v>311</v>
      </c>
      <c r="E1980">
        <v>22901</v>
      </c>
      <c r="F1980">
        <v>6</v>
      </c>
      <c r="G1980">
        <v>1</v>
      </c>
      <c r="H1980">
        <v>1</v>
      </c>
      <c r="I1980">
        <v>2</v>
      </c>
      <c r="J1980" t="s">
        <v>3487</v>
      </c>
      <c r="K1980" t="s">
        <v>3488</v>
      </c>
      <c r="L1980" s="2">
        <v>2171.2941999999998</v>
      </c>
      <c r="M1980" s="2">
        <v>3578.27</v>
      </c>
      <c r="N1980" t="s">
        <v>30</v>
      </c>
      <c r="O1980" t="s">
        <v>593</v>
      </c>
      <c r="P1980" t="s">
        <v>345</v>
      </c>
      <c r="Q1980" t="s">
        <v>8308</v>
      </c>
      <c r="R1980" s="1">
        <v>21484</v>
      </c>
      <c r="S1980" t="s">
        <v>22</v>
      </c>
      <c r="T1980" t="s">
        <v>29</v>
      </c>
      <c r="U1980" t="s">
        <v>2807</v>
      </c>
      <c r="V1980">
        <v>60000</v>
      </c>
      <c r="W1980">
        <v>1</v>
      </c>
      <c r="X1980" t="s">
        <v>17</v>
      </c>
      <c r="Y1980" t="s">
        <v>18</v>
      </c>
      <c r="Z1980" t="s">
        <v>23</v>
      </c>
      <c r="AA1980" t="s">
        <v>3582</v>
      </c>
      <c r="AB1980" t="s">
        <v>3582</v>
      </c>
      <c r="AC1980" t="s">
        <v>3579</v>
      </c>
      <c r="AD1980" t="s">
        <v>3479</v>
      </c>
      <c r="AE1980" t="s">
        <v>3475</v>
      </c>
      <c r="AF1980" s="2">
        <v>3578.27</v>
      </c>
      <c r="AG1980" s="2">
        <v>2171.2941999999998</v>
      </c>
      <c r="AH1980" s="2">
        <v>1406.9757999999999</v>
      </c>
      <c r="AI1980" s="3">
        <v>0.39320001006072802</v>
      </c>
    </row>
    <row r="1981" spans="1:35">
      <c r="A1981" s="1">
        <v>42028</v>
      </c>
      <c r="B1981" s="1">
        <v>37188</v>
      </c>
      <c r="C1981" t="s">
        <v>3734</v>
      </c>
      <c r="D1981">
        <v>314</v>
      </c>
      <c r="E1981">
        <v>22903</v>
      </c>
      <c r="F1981">
        <v>6</v>
      </c>
      <c r="G1981">
        <v>1</v>
      </c>
      <c r="H1981">
        <v>1</v>
      </c>
      <c r="I1981">
        <v>2</v>
      </c>
      <c r="J1981" t="s">
        <v>3493</v>
      </c>
      <c r="K1981" t="s">
        <v>3494</v>
      </c>
      <c r="L1981" s="2">
        <v>2171.2941999999998</v>
      </c>
      <c r="M1981" s="2">
        <v>3578.27</v>
      </c>
      <c r="N1981" t="s">
        <v>30</v>
      </c>
      <c r="O1981" t="s">
        <v>337</v>
      </c>
      <c r="P1981" t="s">
        <v>345</v>
      </c>
      <c r="Q1981" t="s">
        <v>8309</v>
      </c>
      <c r="R1981" s="1">
        <v>21347</v>
      </c>
      <c r="S1981" t="s">
        <v>22</v>
      </c>
      <c r="T1981" t="s">
        <v>29</v>
      </c>
      <c r="U1981" t="s">
        <v>2808</v>
      </c>
      <c r="V1981">
        <v>80000</v>
      </c>
      <c r="W1981">
        <v>5</v>
      </c>
      <c r="X1981" t="s">
        <v>135</v>
      </c>
      <c r="Y1981" t="s">
        <v>18</v>
      </c>
      <c r="Z1981" t="s">
        <v>19</v>
      </c>
      <c r="AA1981" t="s">
        <v>3582</v>
      </c>
      <c r="AB1981" t="s">
        <v>3582</v>
      </c>
      <c r="AC1981" t="s">
        <v>3579</v>
      </c>
      <c r="AD1981" t="s">
        <v>3479</v>
      </c>
      <c r="AE1981" t="s">
        <v>3475</v>
      </c>
      <c r="AF1981" s="2">
        <v>3578.27</v>
      </c>
      <c r="AG1981" s="2">
        <v>2171.2941999999998</v>
      </c>
      <c r="AH1981" s="2">
        <v>1406.9757999999999</v>
      </c>
      <c r="AI1981" s="3">
        <v>0.39320001006072802</v>
      </c>
    </row>
    <row r="1982" spans="1:35">
      <c r="A1982" s="1">
        <v>42321</v>
      </c>
      <c r="B1982" s="1">
        <v>37477</v>
      </c>
      <c r="C1982" t="s">
        <v>5781</v>
      </c>
      <c r="D1982">
        <v>373</v>
      </c>
      <c r="E1982">
        <v>22904</v>
      </c>
      <c r="F1982">
        <v>9</v>
      </c>
      <c r="G1982">
        <v>1</v>
      </c>
      <c r="H1982">
        <v>1</v>
      </c>
      <c r="I1982">
        <v>2</v>
      </c>
      <c r="J1982" t="s">
        <v>3555</v>
      </c>
      <c r="K1982" t="s">
        <v>3556</v>
      </c>
      <c r="L1982" s="2">
        <v>1320.6838</v>
      </c>
      <c r="M1982" s="2">
        <v>2181.5625</v>
      </c>
      <c r="N1982" t="s">
        <v>13</v>
      </c>
      <c r="O1982" t="s">
        <v>481</v>
      </c>
      <c r="P1982" t="s">
        <v>271</v>
      </c>
      <c r="Q1982" t="s">
        <v>8310</v>
      </c>
      <c r="R1982" s="1">
        <v>25399</v>
      </c>
      <c r="S1982" t="s">
        <v>22</v>
      </c>
      <c r="T1982" t="s">
        <v>16</v>
      </c>
      <c r="U1982" t="s">
        <v>2809</v>
      </c>
      <c r="V1982">
        <v>90000</v>
      </c>
      <c r="W1982">
        <v>1</v>
      </c>
      <c r="X1982" t="s">
        <v>135</v>
      </c>
      <c r="Y1982" t="s">
        <v>45</v>
      </c>
      <c r="Z1982" t="s">
        <v>23</v>
      </c>
      <c r="AA1982" t="s">
        <v>3586</v>
      </c>
      <c r="AB1982" t="s">
        <v>3586</v>
      </c>
      <c r="AC1982" t="s">
        <v>3587</v>
      </c>
      <c r="AD1982" t="s">
        <v>3479</v>
      </c>
      <c r="AE1982" t="s">
        <v>3475</v>
      </c>
      <c r="AF1982" s="2">
        <v>2181.5625</v>
      </c>
      <c r="AG1982" s="2">
        <v>1320.6838</v>
      </c>
      <c r="AH1982" s="2">
        <v>860.87869999999998</v>
      </c>
      <c r="AI1982" s="3">
        <v>0.39461564818793898</v>
      </c>
    </row>
    <row r="1983" spans="1:35">
      <c r="A1983" s="1">
        <v>42351</v>
      </c>
      <c r="B1983" s="1">
        <v>37527</v>
      </c>
      <c r="C1983" t="s">
        <v>6034</v>
      </c>
      <c r="D1983">
        <v>379</v>
      </c>
      <c r="E1983">
        <v>22905</v>
      </c>
      <c r="F1983">
        <v>9</v>
      </c>
      <c r="G1983">
        <v>1</v>
      </c>
      <c r="H1983">
        <v>1</v>
      </c>
      <c r="I1983">
        <v>2</v>
      </c>
      <c r="J1983" t="s">
        <v>3561</v>
      </c>
      <c r="K1983" t="s">
        <v>3562</v>
      </c>
      <c r="L1983" s="2">
        <v>1320.6838</v>
      </c>
      <c r="M1983" s="2">
        <v>2181.5625</v>
      </c>
      <c r="N1983" t="s">
        <v>13</v>
      </c>
      <c r="O1983" t="s">
        <v>774</v>
      </c>
      <c r="P1983" t="s">
        <v>501</v>
      </c>
      <c r="Q1983" t="s">
        <v>8311</v>
      </c>
      <c r="R1983" s="1">
        <v>25402</v>
      </c>
      <c r="S1983" t="s">
        <v>16</v>
      </c>
      <c r="T1983" t="s">
        <v>16</v>
      </c>
      <c r="U1983" t="s">
        <v>2810</v>
      </c>
      <c r="V1983">
        <v>90000</v>
      </c>
      <c r="W1983">
        <v>1</v>
      </c>
      <c r="X1983" t="s">
        <v>135</v>
      </c>
      <c r="Y1983" t="s">
        <v>45</v>
      </c>
      <c r="Z1983" t="s">
        <v>19</v>
      </c>
      <c r="AA1983" t="s">
        <v>3586</v>
      </c>
      <c r="AB1983" t="s">
        <v>3586</v>
      </c>
      <c r="AC1983" t="s">
        <v>3587</v>
      </c>
      <c r="AD1983" t="s">
        <v>3479</v>
      </c>
      <c r="AE1983" t="s">
        <v>3475</v>
      </c>
      <c r="AF1983" s="2">
        <v>2181.5625</v>
      </c>
      <c r="AG1983" s="2">
        <v>1320.6838</v>
      </c>
      <c r="AH1983" s="2">
        <v>860.87869999999998</v>
      </c>
      <c r="AI1983" s="3">
        <v>0.39461564818793898</v>
      </c>
    </row>
    <row r="1984" spans="1:35">
      <c r="A1984" s="1">
        <v>42353</v>
      </c>
      <c r="B1984" s="1">
        <v>37512</v>
      </c>
      <c r="C1984" t="s">
        <v>6061</v>
      </c>
      <c r="D1984">
        <v>375</v>
      </c>
      <c r="E1984">
        <v>22906</v>
      </c>
      <c r="F1984">
        <v>9</v>
      </c>
      <c r="G1984">
        <v>1</v>
      </c>
      <c r="H1984">
        <v>1</v>
      </c>
      <c r="I1984">
        <v>2</v>
      </c>
      <c r="J1984" t="s">
        <v>3557</v>
      </c>
      <c r="K1984" t="s">
        <v>3558</v>
      </c>
      <c r="L1984" s="2">
        <v>1320.6838</v>
      </c>
      <c r="M1984" s="2">
        <v>2181.5625</v>
      </c>
      <c r="N1984" t="s">
        <v>30</v>
      </c>
      <c r="O1984" t="s">
        <v>80</v>
      </c>
      <c r="P1984" t="s">
        <v>85</v>
      </c>
      <c r="Q1984" t="s">
        <v>8312</v>
      </c>
      <c r="R1984" s="1">
        <v>25501</v>
      </c>
      <c r="S1984" t="s">
        <v>16</v>
      </c>
      <c r="T1984" t="s">
        <v>29</v>
      </c>
      <c r="U1984" t="s">
        <v>2811</v>
      </c>
      <c r="V1984">
        <v>90000</v>
      </c>
      <c r="W1984">
        <v>1</v>
      </c>
      <c r="X1984" t="s">
        <v>135</v>
      </c>
      <c r="Y1984" t="s">
        <v>45</v>
      </c>
      <c r="Z1984" t="s">
        <v>23</v>
      </c>
      <c r="AA1984" t="s">
        <v>3586</v>
      </c>
      <c r="AB1984" t="s">
        <v>3586</v>
      </c>
      <c r="AC1984" t="s">
        <v>3587</v>
      </c>
      <c r="AD1984" t="s">
        <v>3479</v>
      </c>
      <c r="AE1984" t="s">
        <v>3475</v>
      </c>
      <c r="AF1984" s="2">
        <v>2181.5625</v>
      </c>
      <c r="AG1984" s="2">
        <v>1320.6838</v>
      </c>
      <c r="AH1984" s="2">
        <v>860.87869999999998</v>
      </c>
      <c r="AI1984" s="3">
        <v>0.39461564818793898</v>
      </c>
    </row>
    <row r="1985" spans="1:35">
      <c r="A1985" s="1">
        <v>42343</v>
      </c>
      <c r="B1985" s="1">
        <v>37568</v>
      </c>
      <c r="C1985" t="s">
        <v>5938</v>
      </c>
      <c r="D1985">
        <v>370</v>
      </c>
      <c r="E1985">
        <v>22907</v>
      </c>
      <c r="F1985">
        <v>9</v>
      </c>
      <c r="G1985">
        <v>1</v>
      </c>
      <c r="H1985">
        <v>1</v>
      </c>
      <c r="I1985">
        <v>2</v>
      </c>
      <c r="J1985" t="s">
        <v>3551</v>
      </c>
      <c r="K1985" t="s">
        <v>3552</v>
      </c>
      <c r="L1985" s="2">
        <v>1518.7864</v>
      </c>
      <c r="M1985" s="2">
        <v>2443.35</v>
      </c>
      <c r="N1985" t="s">
        <v>13</v>
      </c>
      <c r="O1985" t="s">
        <v>1180</v>
      </c>
      <c r="P1985" t="s">
        <v>79</v>
      </c>
      <c r="Q1985" t="s">
        <v>8313</v>
      </c>
      <c r="R1985" s="1">
        <v>24890</v>
      </c>
      <c r="S1985" t="s">
        <v>16</v>
      </c>
      <c r="T1985" t="s">
        <v>16</v>
      </c>
      <c r="U1985" t="s">
        <v>2812</v>
      </c>
      <c r="V1985">
        <v>60000</v>
      </c>
      <c r="W1985">
        <v>2</v>
      </c>
      <c r="X1985" t="s">
        <v>17</v>
      </c>
      <c r="Y1985" t="s">
        <v>18</v>
      </c>
      <c r="Z1985" t="s">
        <v>19</v>
      </c>
      <c r="AA1985" t="s">
        <v>3586</v>
      </c>
      <c r="AB1985" t="s">
        <v>3586</v>
      </c>
      <c r="AC1985" t="s">
        <v>3587</v>
      </c>
      <c r="AD1985" t="s">
        <v>3479</v>
      </c>
      <c r="AE1985" t="s">
        <v>3475</v>
      </c>
      <c r="AF1985" s="2">
        <v>2443.35</v>
      </c>
      <c r="AG1985" s="2">
        <v>1518.7864</v>
      </c>
      <c r="AH1985" s="2">
        <v>924.56359999999995</v>
      </c>
      <c r="AI1985" s="3">
        <v>0.37839998362903399</v>
      </c>
    </row>
    <row r="1986" spans="1:35">
      <c r="A1986" s="1">
        <v>42350</v>
      </c>
      <c r="B1986" s="1">
        <v>37500</v>
      </c>
      <c r="C1986" t="s">
        <v>6017</v>
      </c>
      <c r="D1986">
        <v>379</v>
      </c>
      <c r="E1986">
        <v>22908</v>
      </c>
      <c r="F1986">
        <v>9</v>
      </c>
      <c r="G1986">
        <v>1</v>
      </c>
      <c r="H1986">
        <v>1</v>
      </c>
      <c r="I1986">
        <v>2</v>
      </c>
      <c r="J1986" t="s">
        <v>3561</v>
      </c>
      <c r="K1986" t="s">
        <v>3562</v>
      </c>
      <c r="L1986" s="2">
        <v>1320.6838</v>
      </c>
      <c r="M1986" s="2">
        <v>2181.5625</v>
      </c>
      <c r="N1986" t="s">
        <v>13</v>
      </c>
      <c r="O1986" t="s">
        <v>626</v>
      </c>
      <c r="P1986" t="s">
        <v>460</v>
      </c>
      <c r="Q1986" t="s">
        <v>8314</v>
      </c>
      <c r="R1986" s="1">
        <v>25649</v>
      </c>
      <c r="S1986" t="s">
        <v>16</v>
      </c>
      <c r="T1986" t="s">
        <v>16</v>
      </c>
      <c r="U1986" t="s">
        <v>2813</v>
      </c>
      <c r="V1986">
        <v>90000</v>
      </c>
      <c r="W1986">
        <v>2</v>
      </c>
      <c r="X1986" t="s">
        <v>17</v>
      </c>
      <c r="Y1986" t="s">
        <v>18</v>
      </c>
      <c r="Z1986" t="s">
        <v>19</v>
      </c>
      <c r="AA1986" t="s">
        <v>3586</v>
      </c>
      <c r="AB1986" t="s">
        <v>3586</v>
      </c>
      <c r="AC1986" t="s">
        <v>3587</v>
      </c>
      <c r="AD1986" t="s">
        <v>3479</v>
      </c>
      <c r="AE1986" t="s">
        <v>3475</v>
      </c>
      <c r="AF1986" s="2">
        <v>2181.5625</v>
      </c>
      <c r="AG1986" s="2">
        <v>1320.6838</v>
      </c>
      <c r="AH1986" s="2">
        <v>860.87869999999998</v>
      </c>
      <c r="AI1986" s="3">
        <v>0.39461564818793898</v>
      </c>
    </row>
    <row r="1987" spans="1:35">
      <c r="A1987" s="1">
        <v>42345</v>
      </c>
      <c r="B1987" s="1">
        <v>37479</v>
      </c>
      <c r="C1987" t="s">
        <v>5970</v>
      </c>
      <c r="D1987">
        <v>375</v>
      </c>
      <c r="E1987">
        <v>22909</v>
      </c>
      <c r="F1987">
        <v>9</v>
      </c>
      <c r="G1987">
        <v>1</v>
      </c>
      <c r="H1987">
        <v>1</v>
      </c>
      <c r="I1987">
        <v>2</v>
      </c>
      <c r="J1987" t="s">
        <v>3557</v>
      </c>
      <c r="K1987" t="s">
        <v>3558</v>
      </c>
      <c r="L1987" s="2">
        <v>1320.6838</v>
      </c>
      <c r="M1987" s="2">
        <v>2181.5625</v>
      </c>
      <c r="N1987" t="s">
        <v>13</v>
      </c>
      <c r="O1987" t="s">
        <v>1637</v>
      </c>
      <c r="P1987" t="s">
        <v>266</v>
      </c>
      <c r="Q1987" t="s">
        <v>8315</v>
      </c>
      <c r="R1987" s="1">
        <v>25167</v>
      </c>
      <c r="S1987" t="s">
        <v>22</v>
      </c>
      <c r="T1987" t="s">
        <v>16</v>
      </c>
      <c r="U1987" t="s">
        <v>2814</v>
      </c>
      <c r="V1987">
        <v>60000</v>
      </c>
      <c r="W1987">
        <v>2</v>
      </c>
      <c r="X1987" t="s">
        <v>17</v>
      </c>
      <c r="Y1987" t="s">
        <v>18</v>
      </c>
      <c r="Z1987" t="s">
        <v>23</v>
      </c>
      <c r="AA1987" t="s">
        <v>3586</v>
      </c>
      <c r="AB1987" t="s">
        <v>3586</v>
      </c>
      <c r="AC1987" t="s">
        <v>3587</v>
      </c>
      <c r="AD1987" t="s">
        <v>3479</v>
      </c>
      <c r="AE1987" t="s">
        <v>3475</v>
      </c>
      <c r="AF1987" s="2">
        <v>2181.5625</v>
      </c>
      <c r="AG1987" s="2">
        <v>1320.6838</v>
      </c>
      <c r="AH1987" s="2">
        <v>860.87869999999998</v>
      </c>
      <c r="AI1987" s="3">
        <v>0.39461564818793898</v>
      </c>
    </row>
    <row r="1988" spans="1:35">
      <c r="A1988" s="1">
        <v>42368</v>
      </c>
      <c r="B1988" s="1">
        <v>37596</v>
      </c>
      <c r="C1988" t="s">
        <v>6214</v>
      </c>
      <c r="D1988">
        <v>371</v>
      </c>
      <c r="E1988">
        <v>22910</v>
      </c>
      <c r="F1988">
        <v>9</v>
      </c>
      <c r="G1988">
        <v>1</v>
      </c>
      <c r="H1988">
        <v>1</v>
      </c>
      <c r="I1988">
        <v>2</v>
      </c>
      <c r="J1988" t="s">
        <v>3553</v>
      </c>
      <c r="K1988" t="s">
        <v>3554</v>
      </c>
      <c r="L1988" s="2">
        <v>1320.6838</v>
      </c>
      <c r="M1988" s="2">
        <v>2181.5625</v>
      </c>
      <c r="N1988" t="s">
        <v>30</v>
      </c>
      <c r="O1988" t="s">
        <v>354</v>
      </c>
      <c r="P1988" t="s">
        <v>282</v>
      </c>
      <c r="Q1988" t="s">
        <v>8316</v>
      </c>
      <c r="R1988" s="1">
        <v>24945</v>
      </c>
      <c r="S1988" t="s">
        <v>16</v>
      </c>
      <c r="T1988" t="s">
        <v>29</v>
      </c>
      <c r="U1988" t="s">
        <v>2815</v>
      </c>
      <c r="V1988">
        <v>60000</v>
      </c>
      <c r="W1988">
        <v>2</v>
      </c>
      <c r="X1988" t="s">
        <v>17</v>
      </c>
      <c r="Y1988" t="s">
        <v>18</v>
      </c>
      <c r="Z1988" t="s">
        <v>19</v>
      </c>
      <c r="AA1988" t="s">
        <v>3586</v>
      </c>
      <c r="AB1988" t="s">
        <v>3586</v>
      </c>
      <c r="AC1988" t="s">
        <v>3587</v>
      </c>
      <c r="AD1988" t="s">
        <v>3479</v>
      </c>
      <c r="AE1988" t="s">
        <v>3475</v>
      </c>
      <c r="AF1988" s="2">
        <v>2181.5625</v>
      </c>
      <c r="AG1988" s="2">
        <v>1320.6838</v>
      </c>
      <c r="AH1988" s="2">
        <v>860.87869999999998</v>
      </c>
      <c r="AI1988" s="3">
        <v>0.39461564818793898</v>
      </c>
    </row>
    <row r="1989" spans="1:35">
      <c r="A1989" s="1">
        <v>42341</v>
      </c>
      <c r="B1989" s="1">
        <v>37540</v>
      </c>
      <c r="C1989" t="s">
        <v>5927</v>
      </c>
      <c r="D1989">
        <v>377</v>
      </c>
      <c r="E1989">
        <v>22912</v>
      </c>
      <c r="F1989">
        <v>9</v>
      </c>
      <c r="G1989">
        <v>1</v>
      </c>
      <c r="H1989">
        <v>1</v>
      </c>
      <c r="I1989">
        <v>2</v>
      </c>
      <c r="J1989" t="s">
        <v>3559</v>
      </c>
      <c r="K1989" t="s">
        <v>3560</v>
      </c>
      <c r="L1989" s="2">
        <v>1320.6838</v>
      </c>
      <c r="M1989" s="2">
        <v>2181.5625</v>
      </c>
      <c r="N1989" t="s">
        <v>30</v>
      </c>
      <c r="O1989" t="s">
        <v>197</v>
      </c>
      <c r="P1989" t="s">
        <v>85</v>
      </c>
      <c r="Q1989" t="s">
        <v>8317</v>
      </c>
      <c r="R1989" s="1">
        <v>25544</v>
      </c>
      <c r="S1989" t="s">
        <v>22</v>
      </c>
      <c r="T1989" t="s">
        <v>29</v>
      </c>
      <c r="U1989" t="s">
        <v>2816</v>
      </c>
      <c r="V1989">
        <v>110000</v>
      </c>
      <c r="W1989">
        <v>1</v>
      </c>
      <c r="X1989" t="s">
        <v>135</v>
      </c>
      <c r="Y1989" t="s">
        <v>45</v>
      </c>
      <c r="Z1989" t="s">
        <v>19</v>
      </c>
      <c r="AA1989" t="s">
        <v>3586</v>
      </c>
      <c r="AB1989" t="s">
        <v>3586</v>
      </c>
      <c r="AC1989" t="s">
        <v>3587</v>
      </c>
      <c r="AD1989" t="s">
        <v>3479</v>
      </c>
      <c r="AE1989" t="s">
        <v>3475</v>
      </c>
      <c r="AF1989" s="2">
        <v>2181.5625</v>
      </c>
      <c r="AG1989" s="2">
        <v>1320.6838</v>
      </c>
      <c r="AH1989" s="2">
        <v>860.87869999999998</v>
      </c>
      <c r="AI1989" s="3">
        <v>0.39461564818793898</v>
      </c>
    </row>
    <row r="1990" spans="1:35">
      <c r="A1990" s="1">
        <v>42339</v>
      </c>
      <c r="B1990" s="1">
        <v>37513</v>
      </c>
      <c r="C1990" t="s">
        <v>5906</v>
      </c>
      <c r="D1990">
        <v>375</v>
      </c>
      <c r="E1990">
        <v>22913</v>
      </c>
      <c r="F1990">
        <v>9</v>
      </c>
      <c r="G1990">
        <v>1</v>
      </c>
      <c r="H1990">
        <v>1</v>
      </c>
      <c r="I1990">
        <v>2</v>
      </c>
      <c r="J1990" t="s">
        <v>3557</v>
      </c>
      <c r="K1990" t="s">
        <v>3558</v>
      </c>
      <c r="L1990" s="2">
        <v>1320.6838</v>
      </c>
      <c r="M1990" s="2">
        <v>2181.5625</v>
      </c>
      <c r="N1990" t="s">
        <v>30</v>
      </c>
      <c r="O1990" t="s">
        <v>1585</v>
      </c>
      <c r="P1990" t="s">
        <v>42</v>
      </c>
      <c r="Q1990" t="s">
        <v>8318</v>
      </c>
      <c r="R1990" s="1">
        <v>25562</v>
      </c>
      <c r="S1990" t="s">
        <v>22</v>
      </c>
      <c r="T1990" t="s">
        <v>29</v>
      </c>
      <c r="U1990" t="s">
        <v>2817</v>
      </c>
      <c r="V1990">
        <v>120000</v>
      </c>
      <c r="W1990">
        <v>1</v>
      </c>
      <c r="X1990" t="s">
        <v>135</v>
      </c>
      <c r="Y1990" t="s">
        <v>45</v>
      </c>
      <c r="Z1990" t="s">
        <v>19</v>
      </c>
      <c r="AA1990" t="s">
        <v>3586</v>
      </c>
      <c r="AB1990" t="s">
        <v>3586</v>
      </c>
      <c r="AC1990" t="s">
        <v>3587</v>
      </c>
      <c r="AD1990" t="s">
        <v>3479</v>
      </c>
      <c r="AE1990" t="s">
        <v>3475</v>
      </c>
      <c r="AF1990" s="2">
        <v>2181.5625</v>
      </c>
      <c r="AG1990" s="2">
        <v>1320.6838</v>
      </c>
      <c r="AH1990" s="2">
        <v>860.87869999999998</v>
      </c>
      <c r="AI1990" s="3">
        <v>0.39461564818793898</v>
      </c>
    </row>
    <row r="1991" spans="1:35">
      <c r="A1991" s="1">
        <v>42351</v>
      </c>
      <c r="B1991" s="1">
        <v>37587</v>
      </c>
      <c r="C1991" t="s">
        <v>6036</v>
      </c>
      <c r="D1991">
        <v>377</v>
      </c>
      <c r="E1991">
        <v>22921</v>
      </c>
      <c r="F1991">
        <v>9</v>
      </c>
      <c r="G1991">
        <v>1</v>
      </c>
      <c r="H1991">
        <v>1</v>
      </c>
      <c r="I1991">
        <v>2</v>
      </c>
      <c r="J1991" t="s">
        <v>3559</v>
      </c>
      <c r="K1991" t="s">
        <v>3560</v>
      </c>
      <c r="L1991" s="2">
        <v>1320.6838</v>
      </c>
      <c r="M1991" s="2">
        <v>2181.5625</v>
      </c>
      <c r="N1991" t="s">
        <v>26</v>
      </c>
      <c r="O1991" t="s">
        <v>868</v>
      </c>
      <c r="P1991" t="s">
        <v>271</v>
      </c>
      <c r="Q1991" t="s">
        <v>8319</v>
      </c>
      <c r="R1991" s="1">
        <v>24886</v>
      </c>
      <c r="S1991" t="s">
        <v>22</v>
      </c>
      <c r="T1991" t="s">
        <v>29</v>
      </c>
      <c r="U1991" t="s">
        <v>2818</v>
      </c>
      <c r="V1991">
        <v>70000</v>
      </c>
      <c r="W1991">
        <v>0</v>
      </c>
      <c r="X1991" t="s">
        <v>17</v>
      </c>
      <c r="Y1991" t="s">
        <v>18</v>
      </c>
      <c r="Z1991" t="s">
        <v>19</v>
      </c>
      <c r="AA1991" t="s">
        <v>3586</v>
      </c>
      <c r="AB1991" t="s">
        <v>3586</v>
      </c>
      <c r="AC1991" t="s">
        <v>3587</v>
      </c>
      <c r="AD1991" t="s">
        <v>3479</v>
      </c>
      <c r="AE1991" t="s">
        <v>3475</v>
      </c>
      <c r="AF1991" s="2">
        <v>2181.5625</v>
      </c>
      <c r="AG1991" s="2">
        <v>1320.6838</v>
      </c>
      <c r="AH1991" s="2">
        <v>860.87869999999998</v>
      </c>
      <c r="AI1991" s="3">
        <v>0.39461564818793898</v>
      </c>
    </row>
    <row r="1992" spans="1:35">
      <c r="A1992" s="1">
        <v>42361</v>
      </c>
      <c r="B1992" s="1">
        <v>37554</v>
      </c>
      <c r="C1992" t="s">
        <v>6143</v>
      </c>
      <c r="D1992">
        <v>377</v>
      </c>
      <c r="E1992">
        <v>22926</v>
      </c>
      <c r="F1992">
        <v>9</v>
      </c>
      <c r="G1992">
        <v>1</v>
      </c>
      <c r="H1992">
        <v>1</v>
      </c>
      <c r="I1992">
        <v>2</v>
      </c>
      <c r="J1992" t="s">
        <v>3559</v>
      </c>
      <c r="K1992" t="s">
        <v>3560</v>
      </c>
      <c r="L1992" s="2">
        <v>1320.6838</v>
      </c>
      <c r="M1992" s="2">
        <v>2181.5625</v>
      </c>
      <c r="N1992" t="s">
        <v>13</v>
      </c>
      <c r="O1992" t="s">
        <v>661</v>
      </c>
      <c r="P1992" t="s">
        <v>87</v>
      </c>
      <c r="Q1992" t="s">
        <v>8320</v>
      </c>
      <c r="R1992" s="1">
        <v>23050</v>
      </c>
      <c r="S1992" t="s">
        <v>22</v>
      </c>
      <c r="T1992" t="s">
        <v>16</v>
      </c>
      <c r="U1992" t="s">
        <v>2819</v>
      </c>
      <c r="V1992">
        <v>60000</v>
      </c>
      <c r="W1992">
        <v>3</v>
      </c>
      <c r="X1992" t="s">
        <v>17</v>
      </c>
      <c r="Y1992" t="s">
        <v>18</v>
      </c>
      <c r="Z1992" t="s">
        <v>19</v>
      </c>
      <c r="AA1992" t="s">
        <v>3586</v>
      </c>
      <c r="AB1992" t="s">
        <v>3586</v>
      </c>
      <c r="AC1992" t="s">
        <v>3587</v>
      </c>
      <c r="AD1992" t="s">
        <v>3479</v>
      </c>
      <c r="AE1992" t="s">
        <v>3475</v>
      </c>
      <c r="AF1992" s="2">
        <v>2181.5625</v>
      </c>
      <c r="AG1992" s="2">
        <v>1320.6838</v>
      </c>
      <c r="AH1992" s="2">
        <v>860.87869999999998</v>
      </c>
      <c r="AI1992" s="3">
        <v>0.39461564818793898</v>
      </c>
    </row>
    <row r="1993" spans="1:35">
      <c r="A1993" s="1">
        <v>42339</v>
      </c>
      <c r="B1993" s="1">
        <v>37568</v>
      </c>
      <c r="C1993" t="s">
        <v>5903</v>
      </c>
      <c r="D1993">
        <v>379</v>
      </c>
      <c r="E1993">
        <v>22927</v>
      </c>
      <c r="F1993">
        <v>9</v>
      </c>
      <c r="G1993">
        <v>1</v>
      </c>
      <c r="H1993">
        <v>1</v>
      </c>
      <c r="I1993">
        <v>2</v>
      </c>
      <c r="J1993" t="s">
        <v>3561</v>
      </c>
      <c r="K1993" t="s">
        <v>3562</v>
      </c>
      <c r="L1993" s="2">
        <v>1320.6838</v>
      </c>
      <c r="M1993" s="2">
        <v>2181.5625</v>
      </c>
      <c r="N1993" t="s">
        <v>13</v>
      </c>
      <c r="O1993" t="s">
        <v>14</v>
      </c>
      <c r="P1993" t="s">
        <v>929</v>
      </c>
      <c r="Q1993" t="s">
        <v>8321</v>
      </c>
      <c r="R1993" s="1">
        <v>23045</v>
      </c>
      <c r="S1993" t="s">
        <v>22</v>
      </c>
      <c r="T1993" t="s">
        <v>16</v>
      </c>
      <c r="U1993" t="s">
        <v>2820</v>
      </c>
      <c r="V1993">
        <v>60000</v>
      </c>
      <c r="W1993">
        <v>3</v>
      </c>
      <c r="X1993" t="s">
        <v>17</v>
      </c>
      <c r="Y1993" t="s">
        <v>18</v>
      </c>
      <c r="Z1993" t="s">
        <v>23</v>
      </c>
      <c r="AA1993" t="s">
        <v>3586</v>
      </c>
      <c r="AB1993" t="s">
        <v>3586</v>
      </c>
      <c r="AC1993" t="s">
        <v>3587</v>
      </c>
      <c r="AD1993" t="s">
        <v>3479</v>
      </c>
      <c r="AE1993" t="s">
        <v>3475</v>
      </c>
      <c r="AF1993" s="2">
        <v>2181.5625</v>
      </c>
      <c r="AG1993" s="2">
        <v>1320.6838</v>
      </c>
      <c r="AH1993" s="2">
        <v>860.87869999999998</v>
      </c>
      <c r="AI1993" s="3">
        <v>0.39461564818793898</v>
      </c>
    </row>
    <row r="1994" spans="1:35">
      <c r="A1994" s="1">
        <v>42346</v>
      </c>
      <c r="B1994" s="1">
        <v>37495</v>
      </c>
      <c r="C1994" t="s">
        <v>5977</v>
      </c>
      <c r="D1994">
        <v>371</v>
      </c>
      <c r="E1994">
        <v>22929</v>
      </c>
      <c r="F1994">
        <v>9</v>
      </c>
      <c r="G1994">
        <v>1</v>
      </c>
      <c r="H1994">
        <v>1</v>
      </c>
      <c r="I1994">
        <v>2</v>
      </c>
      <c r="J1994" t="s">
        <v>3553</v>
      </c>
      <c r="K1994" t="s">
        <v>3554</v>
      </c>
      <c r="L1994" s="2">
        <v>1320.6838</v>
      </c>
      <c r="M1994" s="2">
        <v>2181.5625</v>
      </c>
      <c r="N1994" t="s">
        <v>30</v>
      </c>
      <c r="O1994" t="s">
        <v>588</v>
      </c>
      <c r="P1994" t="s">
        <v>255</v>
      </c>
      <c r="Q1994" t="s">
        <v>8322</v>
      </c>
      <c r="R1994" s="1">
        <v>24773</v>
      </c>
      <c r="S1994" t="s">
        <v>22</v>
      </c>
      <c r="T1994" t="s">
        <v>29</v>
      </c>
      <c r="U1994" t="s">
        <v>2821</v>
      </c>
      <c r="V1994">
        <v>90000</v>
      </c>
      <c r="W1994">
        <v>2</v>
      </c>
      <c r="X1994" t="s">
        <v>17</v>
      </c>
      <c r="Y1994" t="s">
        <v>18</v>
      </c>
      <c r="Z1994" t="s">
        <v>23</v>
      </c>
      <c r="AA1994" t="s">
        <v>3586</v>
      </c>
      <c r="AB1994" t="s">
        <v>3586</v>
      </c>
      <c r="AC1994" t="s">
        <v>3587</v>
      </c>
      <c r="AD1994" t="s">
        <v>3479</v>
      </c>
      <c r="AE1994" t="s">
        <v>3475</v>
      </c>
      <c r="AF1994" s="2">
        <v>2181.5625</v>
      </c>
      <c r="AG1994" s="2">
        <v>1320.6838</v>
      </c>
      <c r="AH1994" s="2">
        <v>860.87869999999998</v>
      </c>
      <c r="AI1994" s="3">
        <v>0.39461564818793898</v>
      </c>
    </row>
    <row r="1995" spans="1:35">
      <c r="A1995" s="1">
        <v>42368</v>
      </c>
      <c r="B1995" s="1">
        <v>37508</v>
      </c>
      <c r="C1995" t="s">
        <v>6211</v>
      </c>
      <c r="D1995">
        <v>368</v>
      </c>
      <c r="E1995">
        <v>22930</v>
      </c>
      <c r="F1995">
        <v>9</v>
      </c>
      <c r="G1995">
        <v>1</v>
      </c>
      <c r="H1995">
        <v>1</v>
      </c>
      <c r="I1995">
        <v>2</v>
      </c>
      <c r="J1995" t="s">
        <v>3547</v>
      </c>
      <c r="K1995" t="s">
        <v>3548</v>
      </c>
      <c r="L1995" s="2">
        <v>1518.7864</v>
      </c>
      <c r="M1995" s="2">
        <v>2443.35</v>
      </c>
      <c r="N1995" t="s">
        <v>13</v>
      </c>
      <c r="O1995" t="s">
        <v>531</v>
      </c>
      <c r="P1995" t="s">
        <v>431</v>
      </c>
      <c r="Q1995" t="s">
        <v>8323</v>
      </c>
      <c r="R1995" s="1">
        <v>24798</v>
      </c>
      <c r="S1995" t="s">
        <v>16</v>
      </c>
      <c r="T1995" t="s">
        <v>16</v>
      </c>
      <c r="U1995" t="s">
        <v>2822</v>
      </c>
      <c r="V1995">
        <v>90000</v>
      </c>
      <c r="W1995">
        <v>4</v>
      </c>
      <c r="X1995" t="s">
        <v>17</v>
      </c>
      <c r="Y1995" t="s">
        <v>18</v>
      </c>
      <c r="Z1995" t="s">
        <v>19</v>
      </c>
      <c r="AA1995" t="s">
        <v>3586</v>
      </c>
      <c r="AB1995" t="s">
        <v>3586</v>
      </c>
      <c r="AC1995" t="s">
        <v>3587</v>
      </c>
      <c r="AD1995" t="s">
        <v>3479</v>
      </c>
      <c r="AE1995" t="s">
        <v>3475</v>
      </c>
      <c r="AF1995" s="2">
        <v>2443.35</v>
      </c>
      <c r="AG1995" s="2">
        <v>1518.7864</v>
      </c>
      <c r="AH1995" s="2">
        <v>924.56359999999995</v>
      </c>
      <c r="AI1995" s="3">
        <v>0.37839998362903399</v>
      </c>
    </row>
    <row r="1996" spans="1:35">
      <c r="A1996" s="1">
        <v>42351</v>
      </c>
      <c r="B1996" s="1">
        <v>37501</v>
      </c>
      <c r="C1996" t="s">
        <v>6038</v>
      </c>
      <c r="D1996">
        <v>377</v>
      </c>
      <c r="E1996">
        <v>22931</v>
      </c>
      <c r="F1996">
        <v>9</v>
      </c>
      <c r="G1996">
        <v>1</v>
      </c>
      <c r="H1996">
        <v>1</v>
      </c>
      <c r="I1996">
        <v>2</v>
      </c>
      <c r="J1996" t="s">
        <v>3559</v>
      </c>
      <c r="K1996" t="s">
        <v>3560</v>
      </c>
      <c r="L1996" s="2">
        <v>1320.6838</v>
      </c>
      <c r="M1996" s="2">
        <v>2181.5625</v>
      </c>
      <c r="N1996" t="s">
        <v>13</v>
      </c>
      <c r="O1996" t="s">
        <v>608</v>
      </c>
      <c r="P1996" t="s">
        <v>32</v>
      </c>
      <c r="Q1996" t="s">
        <v>8324</v>
      </c>
      <c r="R1996" s="1">
        <v>10289</v>
      </c>
      <c r="S1996" t="s">
        <v>16</v>
      </c>
      <c r="T1996" t="s">
        <v>16</v>
      </c>
      <c r="U1996" t="s">
        <v>2823</v>
      </c>
      <c r="V1996">
        <v>100000</v>
      </c>
      <c r="W1996">
        <v>5</v>
      </c>
      <c r="X1996" t="s">
        <v>135</v>
      </c>
      <c r="Y1996" t="s">
        <v>45</v>
      </c>
      <c r="Z1996" t="s">
        <v>23</v>
      </c>
      <c r="AA1996" t="s">
        <v>3586</v>
      </c>
      <c r="AB1996" t="s">
        <v>3586</v>
      </c>
      <c r="AC1996" t="s">
        <v>3587</v>
      </c>
      <c r="AD1996" t="s">
        <v>3479</v>
      </c>
      <c r="AE1996" t="s">
        <v>3475</v>
      </c>
      <c r="AF1996" s="2">
        <v>2181.5625</v>
      </c>
      <c r="AG1996" s="2">
        <v>1320.6838</v>
      </c>
      <c r="AH1996" s="2">
        <v>860.87869999999998</v>
      </c>
      <c r="AI1996" s="3">
        <v>0.39461564818793898</v>
      </c>
    </row>
    <row r="1997" spans="1:35">
      <c r="A1997" s="1">
        <v>42340</v>
      </c>
      <c r="B1997" s="1">
        <v>37491</v>
      </c>
      <c r="C1997" t="s">
        <v>5917</v>
      </c>
      <c r="D1997">
        <v>368</v>
      </c>
      <c r="E1997">
        <v>22932</v>
      </c>
      <c r="F1997">
        <v>9</v>
      </c>
      <c r="G1997">
        <v>1</v>
      </c>
      <c r="H1997">
        <v>1</v>
      </c>
      <c r="I1997">
        <v>2</v>
      </c>
      <c r="J1997" t="s">
        <v>3547</v>
      </c>
      <c r="K1997" t="s">
        <v>3548</v>
      </c>
      <c r="L1997" s="2">
        <v>1518.7864</v>
      </c>
      <c r="M1997" s="2">
        <v>2443.35</v>
      </c>
      <c r="N1997" t="s">
        <v>13</v>
      </c>
      <c r="O1997" t="s">
        <v>281</v>
      </c>
      <c r="P1997" t="s">
        <v>476</v>
      </c>
      <c r="Q1997" t="s">
        <v>8325</v>
      </c>
      <c r="R1997" s="1">
        <v>22777</v>
      </c>
      <c r="S1997" t="s">
        <v>22</v>
      </c>
      <c r="T1997" t="s">
        <v>16</v>
      </c>
      <c r="U1997" t="s">
        <v>2824</v>
      </c>
      <c r="V1997">
        <v>70000</v>
      </c>
      <c r="W1997">
        <v>1</v>
      </c>
      <c r="X1997" t="s">
        <v>52</v>
      </c>
      <c r="Y1997" t="s">
        <v>53</v>
      </c>
      <c r="Z1997" t="s">
        <v>23</v>
      </c>
      <c r="AA1997" t="s">
        <v>3586</v>
      </c>
      <c r="AB1997" t="s">
        <v>3586</v>
      </c>
      <c r="AC1997" t="s">
        <v>3587</v>
      </c>
      <c r="AD1997" t="s">
        <v>3479</v>
      </c>
      <c r="AE1997" t="s">
        <v>3475</v>
      </c>
      <c r="AF1997" s="2">
        <v>2443.35</v>
      </c>
      <c r="AG1997" s="2">
        <v>1518.7864</v>
      </c>
      <c r="AH1997" s="2">
        <v>924.56359999999995</v>
      </c>
      <c r="AI1997" s="3">
        <v>0.37839998362903399</v>
      </c>
    </row>
    <row r="1998" spans="1:35">
      <c r="A1998" s="1">
        <v>42366</v>
      </c>
      <c r="B1998" s="1">
        <v>37522</v>
      </c>
      <c r="C1998" t="s">
        <v>6194</v>
      </c>
      <c r="D1998">
        <v>371</v>
      </c>
      <c r="E1998">
        <v>22933</v>
      </c>
      <c r="F1998">
        <v>9</v>
      </c>
      <c r="G1998">
        <v>1</v>
      </c>
      <c r="H1998">
        <v>1</v>
      </c>
      <c r="I1998">
        <v>2</v>
      </c>
      <c r="J1998" t="s">
        <v>3553</v>
      </c>
      <c r="K1998" t="s">
        <v>3554</v>
      </c>
      <c r="L1998" s="2">
        <v>1320.6838</v>
      </c>
      <c r="M1998" s="2">
        <v>2181.5625</v>
      </c>
      <c r="N1998" t="s">
        <v>30</v>
      </c>
      <c r="O1998" t="s">
        <v>500</v>
      </c>
      <c r="P1998" t="s">
        <v>205</v>
      </c>
      <c r="Q1998" t="s">
        <v>8326</v>
      </c>
      <c r="R1998" s="1">
        <v>22903</v>
      </c>
      <c r="S1998" t="s">
        <v>22</v>
      </c>
      <c r="T1998" t="s">
        <v>29</v>
      </c>
      <c r="U1998" t="s">
        <v>2825</v>
      </c>
      <c r="V1998">
        <v>60000</v>
      </c>
      <c r="W1998">
        <v>1</v>
      </c>
      <c r="X1998" t="s">
        <v>17</v>
      </c>
      <c r="Y1998" t="s">
        <v>18</v>
      </c>
      <c r="Z1998" t="s">
        <v>23</v>
      </c>
      <c r="AA1998" t="s">
        <v>3586</v>
      </c>
      <c r="AB1998" t="s">
        <v>3586</v>
      </c>
      <c r="AC1998" t="s">
        <v>3587</v>
      </c>
      <c r="AD1998" t="s">
        <v>3479</v>
      </c>
      <c r="AE1998" t="s">
        <v>3475</v>
      </c>
      <c r="AF1998" s="2">
        <v>2181.5625</v>
      </c>
      <c r="AG1998" s="2">
        <v>1320.6838</v>
      </c>
      <c r="AH1998" s="2">
        <v>860.87869999999998</v>
      </c>
      <c r="AI1998" s="3">
        <v>0.39461564818793898</v>
      </c>
    </row>
    <row r="1999" spans="1:35">
      <c r="A1999" s="1">
        <v>42358</v>
      </c>
      <c r="B1999" s="1">
        <v>37502</v>
      </c>
      <c r="C1999" t="s">
        <v>6121</v>
      </c>
      <c r="D1999">
        <v>369</v>
      </c>
      <c r="E1999">
        <v>22934</v>
      </c>
      <c r="F1999">
        <v>9</v>
      </c>
      <c r="G1999">
        <v>1</v>
      </c>
      <c r="H1999">
        <v>1</v>
      </c>
      <c r="I1999">
        <v>2</v>
      </c>
      <c r="J1999" t="s">
        <v>3549</v>
      </c>
      <c r="K1999" t="s">
        <v>3550</v>
      </c>
      <c r="L1999" s="2">
        <v>1518.7864</v>
      </c>
      <c r="M1999" s="2">
        <v>2443.35</v>
      </c>
      <c r="N1999" t="s">
        <v>30</v>
      </c>
      <c r="O1999" t="s">
        <v>888</v>
      </c>
      <c r="P1999" t="s">
        <v>194</v>
      </c>
      <c r="Q1999" t="s">
        <v>8327</v>
      </c>
      <c r="R1999" s="1">
        <v>22966</v>
      </c>
      <c r="S1999" t="s">
        <v>16</v>
      </c>
      <c r="T1999" t="s">
        <v>29</v>
      </c>
      <c r="U1999" t="s">
        <v>2826</v>
      </c>
      <c r="V1999">
        <v>60000</v>
      </c>
      <c r="W1999">
        <v>1</v>
      </c>
      <c r="X1999" t="s">
        <v>17</v>
      </c>
      <c r="Y1999" t="s">
        <v>18</v>
      </c>
      <c r="Z1999" t="s">
        <v>19</v>
      </c>
      <c r="AA1999" t="s">
        <v>3586</v>
      </c>
      <c r="AB1999" t="s">
        <v>3586</v>
      </c>
      <c r="AC1999" t="s">
        <v>3587</v>
      </c>
      <c r="AD1999" t="s">
        <v>3479</v>
      </c>
      <c r="AE1999" t="s">
        <v>3475</v>
      </c>
      <c r="AF1999" s="2">
        <v>2443.35</v>
      </c>
      <c r="AG1999" s="2">
        <v>1518.7864</v>
      </c>
      <c r="AH1999" s="2">
        <v>924.56359999999995</v>
      </c>
      <c r="AI1999" s="3">
        <v>0.37839998362903399</v>
      </c>
    </row>
    <row r="2000" spans="1:35">
      <c r="A2000" s="1">
        <v>42355</v>
      </c>
      <c r="B2000" s="1">
        <v>37561</v>
      </c>
      <c r="C2000" t="s">
        <v>6083</v>
      </c>
      <c r="D2000">
        <v>379</v>
      </c>
      <c r="E2000">
        <v>22935</v>
      </c>
      <c r="F2000">
        <v>9</v>
      </c>
      <c r="G2000">
        <v>1</v>
      </c>
      <c r="H2000">
        <v>1</v>
      </c>
      <c r="I2000">
        <v>2</v>
      </c>
      <c r="J2000" t="s">
        <v>3561</v>
      </c>
      <c r="K2000" t="s">
        <v>3562</v>
      </c>
      <c r="L2000" s="2">
        <v>1320.6838</v>
      </c>
      <c r="M2000" s="2">
        <v>2181.5625</v>
      </c>
      <c r="N2000" t="s">
        <v>30</v>
      </c>
      <c r="O2000" t="s">
        <v>181</v>
      </c>
      <c r="P2000" t="s">
        <v>271</v>
      </c>
      <c r="Q2000" t="s">
        <v>8328</v>
      </c>
      <c r="R2000" s="1">
        <v>22424</v>
      </c>
      <c r="S2000" t="s">
        <v>22</v>
      </c>
      <c r="T2000" t="s">
        <v>29</v>
      </c>
      <c r="U2000" t="s">
        <v>2827</v>
      </c>
      <c r="V2000">
        <v>60000</v>
      </c>
      <c r="W2000">
        <v>1</v>
      </c>
      <c r="X2000" t="s">
        <v>52</v>
      </c>
      <c r="Y2000" t="s">
        <v>53</v>
      </c>
      <c r="Z2000" t="s">
        <v>23</v>
      </c>
      <c r="AA2000" t="s">
        <v>3586</v>
      </c>
      <c r="AB2000" t="s">
        <v>3586</v>
      </c>
      <c r="AC2000" t="s">
        <v>3587</v>
      </c>
      <c r="AD2000" t="s">
        <v>3479</v>
      </c>
      <c r="AE2000" t="s">
        <v>3475</v>
      </c>
      <c r="AF2000" s="2">
        <v>2181.5625</v>
      </c>
      <c r="AG2000" s="2">
        <v>1320.6838</v>
      </c>
      <c r="AH2000" s="2">
        <v>860.87869999999998</v>
      </c>
      <c r="AI2000" s="3">
        <v>0.39461564818793898</v>
      </c>
    </row>
    <row r="2001" spans="1:35">
      <c r="A2001" s="1">
        <v>42352</v>
      </c>
      <c r="B2001" s="1">
        <v>37488</v>
      </c>
      <c r="C2001" t="s">
        <v>6052</v>
      </c>
      <c r="D2001">
        <v>377</v>
      </c>
      <c r="E2001">
        <v>22936</v>
      </c>
      <c r="F2001">
        <v>9</v>
      </c>
      <c r="G2001">
        <v>1</v>
      </c>
      <c r="H2001">
        <v>1</v>
      </c>
      <c r="I2001">
        <v>2</v>
      </c>
      <c r="J2001" t="s">
        <v>3559</v>
      </c>
      <c r="K2001" t="s">
        <v>3560</v>
      </c>
      <c r="L2001" s="2">
        <v>1320.6838</v>
      </c>
      <c r="M2001" s="2">
        <v>2181.5625</v>
      </c>
      <c r="N2001" t="s">
        <v>30</v>
      </c>
      <c r="O2001" t="s">
        <v>82</v>
      </c>
      <c r="P2001" t="s">
        <v>136</v>
      </c>
      <c r="Q2001" t="s">
        <v>8329</v>
      </c>
      <c r="R2001" s="1">
        <v>22494</v>
      </c>
      <c r="S2001" t="s">
        <v>22</v>
      </c>
      <c r="T2001" t="s">
        <v>29</v>
      </c>
      <c r="U2001" t="s">
        <v>2828</v>
      </c>
      <c r="V2001">
        <v>60000</v>
      </c>
      <c r="W2001">
        <v>1</v>
      </c>
      <c r="X2001" t="s">
        <v>52</v>
      </c>
      <c r="Y2001" t="s">
        <v>53</v>
      </c>
      <c r="Z2001" t="s">
        <v>23</v>
      </c>
      <c r="AA2001" t="s">
        <v>3586</v>
      </c>
      <c r="AB2001" t="s">
        <v>3586</v>
      </c>
      <c r="AC2001" t="s">
        <v>3587</v>
      </c>
      <c r="AD2001" t="s">
        <v>3479</v>
      </c>
      <c r="AE2001" t="s">
        <v>3475</v>
      </c>
      <c r="AF2001" s="2">
        <v>2181.5625</v>
      </c>
      <c r="AG2001" s="2">
        <v>1320.6838</v>
      </c>
      <c r="AH2001" s="2">
        <v>860.87869999999998</v>
      </c>
      <c r="AI2001" s="3">
        <v>0.39461564818793898</v>
      </c>
    </row>
    <row r="2002" spans="1:35">
      <c r="A2002" s="1">
        <v>42368</v>
      </c>
      <c r="B2002" s="1">
        <v>37588</v>
      </c>
      <c r="C2002" t="s">
        <v>6212</v>
      </c>
      <c r="D2002">
        <v>369</v>
      </c>
      <c r="E2002">
        <v>22937</v>
      </c>
      <c r="F2002">
        <v>9</v>
      </c>
      <c r="G2002">
        <v>1</v>
      </c>
      <c r="H2002">
        <v>1</v>
      </c>
      <c r="I2002">
        <v>2</v>
      </c>
      <c r="J2002" t="s">
        <v>3549</v>
      </c>
      <c r="K2002" t="s">
        <v>3550</v>
      </c>
      <c r="L2002" s="2">
        <v>1518.7864</v>
      </c>
      <c r="M2002" s="2">
        <v>2443.35</v>
      </c>
      <c r="N2002" t="s">
        <v>13</v>
      </c>
      <c r="O2002" t="s">
        <v>304</v>
      </c>
      <c r="P2002" t="s">
        <v>173</v>
      </c>
      <c r="Q2002" t="s">
        <v>8330</v>
      </c>
      <c r="R2002" s="1">
        <v>22446</v>
      </c>
      <c r="S2002" t="s">
        <v>22</v>
      </c>
      <c r="T2002" t="s">
        <v>16</v>
      </c>
      <c r="U2002" t="s">
        <v>2829</v>
      </c>
      <c r="V2002">
        <v>60000</v>
      </c>
      <c r="W2002">
        <v>1</v>
      </c>
      <c r="X2002" t="s">
        <v>17</v>
      </c>
      <c r="Y2002" t="s">
        <v>18</v>
      </c>
      <c r="Z2002" t="s">
        <v>23</v>
      </c>
      <c r="AA2002" t="s">
        <v>3586</v>
      </c>
      <c r="AB2002" t="s">
        <v>3586</v>
      </c>
      <c r="AC2002" t="s">
        <v>3587</v>
      </c>
      <c r="AD2002" t="s">
        <v>3479</v>
      </c>
      <c r="AE2002" t="s">
        <v>3475</v>
      </c>
      <c r="AF2002" s="2">
        <v>2443.35</v>
      </c>
      <c r="AG2002" s="2">
        <v>1518.7864</v>
      </c>
      <c r="AH2002" s="2">
        <v>924.56359999999995</v>
      </c>
      <c r="AI2002" s="3">
        <v>0.37839998362903399</v>
      </c>
    </row>
    <row r="2003" spans="1:35">
      <c r="A2003" s="1">
        <v>42362</v>
      </c>
      <c r="B2003" s="1">
        <v>37529</v>
      </c>
      <c r="C2003" t="s">
        <v>6153</v>
      </c>
      <c r="D2003">
        <v>369</v>
      </c>
      <c r="E2003">
        <v>22938</v>
      </c>
      <c r="F2003">
        <v>9</v>
      </c>
      <c r="G2003">
        <v>1</v>
      </c>
      <c r="H2003">
        <v>1</v>
      </c>
      <c r="I2003">
        <v>2</v>
      </c>
      <c r="J2003" t="s">
        <v>3549</v>
      </c>
      <c r="K2003" t="s">
        <v>3550</v>
      </c>
      <c r="L2003" s="2">
        <v>1518.7864</v>
      </c>
      <c r="M2003" s="2">
        <v>2443.35</v>
      </c>
      <c r="N2003" t="s">
        <v>13</v>
      </c>
      <c r="O2003" t="s">
        <v>984</v>
      </c>
      <c r="P2003" t="s">
        <v>220</v>
      </c>
      <c r="Q2003" t="s">
        <v>8331</v>
      </c>
      <c r="R2003" s="1">
        <v>22494</v>
      </c>
      <c r="S2003" t="s">
        <v>16</v>
      </c>
      <c r="T2003" t="s">
        <v>16</v>
      </c>
      <c r="U2003" t="s">
        <v>2830</v>
      </c>
      <c r="V2003">
        <v>60000</v>
      </c>
      <c r="W2003">
        <v>1</v>
      </c>
      <c r="X2003" t="s">
        <v>52</v>
      </c>
      <c r="Y2003" t="s">
        <v>53</v>
      </c>
      <c r="Z2003" t="s">
        <v>19</v>
      </c>
      <c r="AA2003" t="s">
        <v>3586</v>
      </c>
      <c r="AB2003" t="s">
        <v>3586</v>
      </c>
      <c r="AC2003" t="s">
        <v>3587</v>
      </c>
      <c r="AD2003" t="s">
        <v>3479</v>
      </c>
      <c r="AE2003" t="s">
        <v>3475</v>
      </c>
      <c r="AF2003" s="2">
        <v>2443.35</v>
      </c>
      <c r="AG2003" s="2">
        <v>1518.7864</v>
      </c>
      <c r="AH2003" s="2">
        <v>924.56359999999995</v>
      </c>
      <c r="AI2003" s="3">
        <v>0.37839998362903399</v>
      </c>
    </row>
    <row r="2004" spans="1:35">
      <c r="A2004" s="1">
        <v>42346</v>
      </c>
      <c r="B2004" s="1">
        <v>37505</v>
      </c>
      <c r="C2004" t="s">
        <v>5982</v>
      </c>
      <c r="D2004">
        <v>373</v>
      </c>
      <c r="E2004">
        <v>22939</v>
      </c>
      <c r="F2004">
        <v>9</v>
      </c>
      <c r="G2004">
        <v>1</v>
      </c>
      <c r="H2004">
        <v>1</v>
      </c>
      <c r="I2004">
        <v>2</v>
      </c>
      <c r="J2004" t="s">
        <v>3555</v>
      </c>
      <c r="K2004" t="s">
        <v>3556</v>
      </c>
      <c r="L2004" s="2">
        <v>1320.6838</v>
      </c>
      <c r="M2004" s="2">
        <v>2181.5625</v>
      </c>
      <c r="N2004" t="s">
        <v>30</v>
      </c>
      <c r="O2004" t="s">
        <v>1260</v>
      </c>
      <c r="P2004" t="s">
        <v>453</v>
      </c>
      <c r="Q2004" t="s">
        <v>8332</v>
      </c>
      <c r="R2004" s="1">
        <v>22444</v>
      </c>
      <c r="S2004" t="s">
        <v>22</v>
      </c>
      <c r="T2004" t="s">
        <v>29</v>
      </c>
      <c r="U2004" t="s">
        <v>2831</v>
      </c>
      <c r="V2004">
        <v>60000</v>
      </c>
      <c r="W2004">
        <v>1</v>
      </c>
      <c r="X2004" t="s">
        <v>52</v>
      </c>
      <c r="Y2004" t="s">
        <v>53</v>
      </c>
      <c r="Z2004" t="s">
        <v>19</v>
      </c>
      <c r="AA2004" t="s">
        <v>3586</v>
      </c>
      <c r="AB2004" t="s">
        <v>3586</v>
      </c>
      <c r="AC2004" t="s">
        <v>3587</v>
      </c>
      <c r="AD2004" t="s">
        <v>3479</v>
      </c>
      <c r="AE2004" t="s">
        <v>3475</v>
      </c>
      <c r="AF2004" s="2">
        <v>2181.5625</v>
      </c>
      <c r="AG2004" s="2">
        <v>1320.6838</v>
      </c>
      <c r="AH2004" s="2">
        <v>860.87869999999998</v>
      </c>
      <c r="AI2004" s="3">
        <v>0.39461564818793898</v>
      </c>
    </row>
    <row r="2005" spans="1:35">
      <c r="A2005" s="1">
        <v>42339</v>
      </c>
      <c r="B2005" s="1">
        <v>37492</v>
      </c>
      <c r="C2005" t="s">
        <v>5900</v>
      </c>
      <c r="D2005">
        <v>370</v>
      </c>
      <c r="E2005">
        <v>22940</v>
      </c>
      <c r="F2005">
        <v>9</v>
      </c>
      <c r="G2005">
        <v>1</v>
      </c>
      <c r="H2005">
        <v>1</v>
      </c>
      <c r="I2005">
        <v>2</v>
      </c>
      <c r="J2005" t="s">
        <v>3551</v>
      </c>
      <c r="K2005" t="s">
        <v>3552</v>
      </c>
      <c r="L2005" s="2">
        <v>1518.7864</v>
      </c>
      <c r="M2005" s="2">
        <v>2443.35</v>
      </c>
      <c r="N2005" t="s">
        <v>26</v>
      </c>
      <c r="O2005" t="s">
        <v>633</v>
      </c>
      <c r="P2005" t="s">
        <v>809</v>
      </c>
      <c r="Q2005" t="s">
        <v>8333</v>
      </c>
      <c r="R2005" s="1">
        <v>24428</v>
      </c>
      <c r="S2005" t="s">
        <v>22</v>
      </c>
      <c r="T2005" t="s">
        <v>29</v>
      </c>
      <c r="U2005" t="s">
        <v>2832</v>
      </c>
      <c r="V2005">
        <v>100000</v>
      </c>
      <c r="W2005">
        <v>0</v>
      </c>
      <c r="X2005" t="s">
        <v>135</v>
      </c>
      <c r="Y2005" t="s">
        <v>45</v>
      </c>
      <c r="Z2005" t="s">
        <v>23</v>
      </c>
      <c r="AA2005" t="s">
        <v>3586</v>
      </c>
      <c r="AB2005" t="s">
        <v>3586</v>
      </c>
      <c r="AC2005" t="s">
        <v>3587</v>
      </c>
      <c r="AD2005" t="s">
        <v>3479</v>
      </c>
      <c r="AE2005" t="s">
        <v>3475</v>
      </c>
      <c r="AF2005" s="2">
        <v>2443.35</v>
      </c>
      <c r="AG2005" s="2">
        <v>1518.7864</v>
      </c>
      <c r="AH2005" s="2">
        <v>924.56359999999995</v>
      </c>
      <c r="AI2005" s="3">
        <v>0.37839998362903399</v>
      </c>
    </row>
    <row r="2006" spans="1:35">
      <c r="A2006" s="1">
        <v>42345</v>
      </c>
      <c r="B2006" s="1">
        <v>37560</v>
      </c>
      <c r="C2006" t="s">
        <v>5957</v>
      </c>
      <c r="D2006">
        <v>373</v>
      </c>
      <c r="E2006">
        <v>22942</v>
      </c>
      <c r="F2006">
        <v>9</v>
      </c>
      <c r="G2006">
        <v>1</v>
      </c>
      <c r="H2006">
        <v>1</v>
      </c>
      <c r="I2006">
        <v>2</v>
      </c>
      <c r="J2006" t="s">
        <v>3555</v>
      </c>
      <c r="K2006" t="s">
        <v>3556</v>
      </c>
      <c r="L2006" s="2">
        <v>1320.6838</v>
      </c>
      <c r="M2006" s="2">
        <v>2181.5625</v>
      </c>
      <c r="N2006" t="s">
        <v>30</v>
      </c>
      <c r="O2006" t="s">
        <v>469</v>
      </c>
      <c r="P2006" t="s">
        <v>450</v>
      </c>
      <c r="Q2006" t="s">
        <v>8334</v>
      </c>
      <c r="R2006" s="1">
        <v>22093</v>
      </c>
      <c r="S2006" t="s">
        <v>16</v>
      </c>
      <c r="T2006" t="s">
        <v>29</v>
      </c>
      <c r="U2006" t="s">
        <v>2833</v>
      </c>
      <c r="V2006">
        <v>60000</v>
      </c>
      <c r="W2006">
        <v>1</v>
      </c>
      <c r="X2006" t="s">
        <v>52</v>
      </c>
      <c r="Y2006" t="s">
        <v>53</v>
      </c>
      <c r="Z2006" t="s">
        <v>19</v>
      </c>
      <c r="AA2006" t="s">
        <v>3586</v>
      </c>
      <c r="AB2006" t="s">
        <v>3586</v>
      </c>
      <c r="AC2006" t="s">
        <v>3587</v>
      </c>
      <c r="AD2006" t="s">
        <v>3479</v>
      </c>
      <c r="AE2006" t="s">
        <v>3475</v>
      </c>
      <c r="AF2006" s="2">
        <v>2181.5625</v>
      </c>
      <c r="AG2006" s="2">
        <v>1320.6838</v>
      </c>
      <c r="AH2006" s="2">
        <v>860.87869999999998</v>
      </c>
      <c r="AI2006" s="3">
        <v>0.39461564818793898</v>
      </c>
    </row>
    <row r="2007" spans="1:35">
      <c r="A2007" s="1">
        <v>42351</v>
      </c>
      <c r="B2007" s="1">
        <v>37520</v>
      </c>
      <c r="C2007" t="s">
        <v>6039</v>
      </c>
      <c r="D2007">
        <v>368</v>
      </c>
      <c r="E2007">
        <v>22943</v>
      </c>
      <c r="F2007">
        <v>9</v>
      </c>
      <c r="G2007">
        <v>1</v>
      </c>
      <c r="H2007">
        <v>1</v>
      </c>
      <c r="I2007">
        <v>2</v>
      </c>
      <c r="J2007" t="s">
        <v>3547</v>
      </c>
      <c r="K2007" t="s">
        <v>3548</v>
      </c>
      <c r="L2007" s="2">
        <v>1518.7864</v>
      </c>
      <c r="M2007" s="2">
        <v>2443.35</v>
      </c>
      <c r="N2007" t="s">
        <v>13</v>
      </c>
      <c r="O2007" t="s">
        <v>757</v>
      </c>
      <c r="P2007" t="s">
        <v>707</v>
      </c>
      <c r="Q2007" t="s">
        <v>8335</v>
      </c>
      <c r="R2007" s="1">
        <v>22196</v>
      </c>
      <c r="S2007" t="s">
        <v>22</v>
      </c>
      <c r="T2007" t="s">
        <v>16</v>
      </c>
      <c r="U2007" t="s">
        <v>2834</v>
      </c>
      <c r="V2007">
        <v>60000</v>
      </c>
      <c r="W2007">
        <v>1</v>
      </c>
      <c r="X2007" t="s">
        <v>52</v>
      </c>
      <c r="Y2007" t="s">
        <v>53</v>
      </c>
      <c r="Z2007" t="s">
        <v>23</v>
      </c>
      <c r="AA2007" t="s">
        <v>3586</v>
      </c>
      <c r="AB2007" t="s">
        <v>3586</v>
      </c>
      <c r="AC2007" t="s">
        <v>3587</v>
      </c>
      <c r="AD2007" t="s">
        <v>3479</v>
      </c>
      <c r="AE2007" t="s">
        <v>3475</v>
      </c>
      <c r="AF2007" s="2">
        <v>2443.35</v>
      </c>
      <c r="AG2007" s="2">
        <v>1518.7864</v>
      </c>
      <c r="AH2007" s="2">
        <v>924.56359999999995</v>
      </c>
      <c r="AI2007" s="3">
        <v>0.37839998362903399</v>
      </c>
    </row>
    <row r="2008" spans="1:35">
      <c r="A2008" s="1">
        <v>42357</v>
      </c>
      <c r="B2008" s="1">
        <v>37513</v>
      </c>
      <c r="C2008" t="s">
        <v>6096</v>
      </c>
      <c r="D2008">
        <v>377</v>
      </c>
      <c r="E2008">
        <v>22946</v>
      </c>
      <c r="F2008">
        <v>9</v>
      </c>
      <c r="G2008">
        <v>1</v>
      </c>
      <c r="H2008">
        <v>1</v>
      </c>
      <c r="I2008">
        <v>2</v>
      </c>
      <c r="J2008" t="s">
        <v>3559</v>
      </c>
      <c r="K2008" t="s">
        <v>3560</v>
      </c>
      <c r="L2008" s="2">
        <v>1320.6838</v>
      </c>
      <c r="M2008" s="2">
        <v>2181.5625</v>
      </c>
      <c r="N2008" t="s">
        <v>13</v>
      </c>
      <c r="O2008" t="s">
        <v>184</v>
      </c>
      <c r="P2008" t="s">
        <v>215</v>
      </c>
      <c r="Q2008" t="s">
        <v>8336</v>
      </c>
      <c r="R2008" s="1">
        <v>21688</v>
      </c>
      <c r="S2008" t="s">
        <v>22</v>
      </c>
      <c r="T2008" t="s">
        <v>16</v>
      </c>
      <c r="U2008" t="s">
        <v>2835</v>
      </c>
      <c r="V2008">
        <v>90000</v>
      </c>
      <c r="W2008">
        <v>1</v>
      </c>
      <c r="X2008" t="s">
        <v>17</v>
      </c>
      <c r="Y2008" t="s">
        <v>18</v>
      </c>
      <c r="Z2008" t="s">
        <v>19</v>
      </c>
      <c r="AA2008" t="s">
        <v>3586</v>
      </c>
      <c r="AB2008" t="s">
        <v>3586</v>
      </c>
      <c r="AC2008" t="s">
        <v>3587</v>
      </c>
      <c r="AD2008" t="s">
        <v>3479</v>
      </c>
      <c r="AE2008" t="s">
        <v>3475</v>
      </c>
      <c r="AF2008" s="2">
        <v>2181.5625</v>
      </c>
      <c r="AG2008" s="2">
        <v>1320.6838</v>
      </c>
      <c r="AH2008" s="2">
        <v>860.87869999999998</v>
      </c>
      <c r="AI2008" s="3">
        <v>0.39461564818793898</v>
      </c>
    </row>
    <row r="2009" spans="1:35">
      <c r="A2009" s="1">
        <v>42363</v>
      </c>
      <c r="B2009" s="1">
        <v>37599</v>
      </c>
      <c r="C2009" t="s">
        <v>6167</v>
      </c>
      <c r="D2009">
        <v>379</v>
      </c>
      <c r="E2009">
        <v>22950</v>
      </c>
      <c r="F2009">
        <v>9</v>
      </c>
      <c r="G2009">
        <v>1</v>
      </c>
      <c r="H2009">
        <v>1</v>
      </c>
      <c r="I2009">
        <v>2</v>
      </c>
      <c r="J2009" t="s">
        <v>3561</v>
      </c>
      <c r="K2009" t="s">
        <v>3562</v>
      </c>
      <c r="L2009" s="2">
        <v>1320.6838</v>
      </c>
      <c r="M2009" s="2">
        <v>2181.5625</v>
      </c>
      <c r="N2009" t="s">
        <v>26</v>
      </c>
      <c r="O2009" t="s">
        <v>258</v>
      </c>
      <c r="P2009" t="s">
        <v>175</v>
      </c>
      <c r="Q2009" t="s">
        <v>8337</v>
      </c>
      <c r="R2009" s="1">
        <v>23327</v>
      </c>
      <c r="S2009" t="s">
        <v>22</v>
      </c>
      <c r="T2009" t="s">
        <v>29</v>
      </c>
      <c r="U2009" t="s">
        <v>2836</v>
      </c>
      <c r="V2009">
        <v>70000</v>
      </c>
      <c r="W2009">
        <v>0</v>
      </c>
      <c r="X2009" t="s">
        <v>17</v>
      </c>
      <c r="Y2009" t="s">
        <v>18</v>
      </c>
      <c r="Z2009" t="s">
        <v>23</v>
      </c>
      <c r="AA2009" t="s">
        <v>3586</v>
      </c>
      <c r="AB2009" t="s">
        <v>3586</v>
      </c>
      <c r="AC2009" t="s">
        <v>3587</v>
      </c>
      <c r="AD2009" t="s">
        <v>3479</v>
      </c>
      <c r="AE2009" t="s">
        <v>3475</v>
      </c>
      <c r="AF2009" s="2">
        <v>2181.5625</v>
      </c>
      <c r="AG2009" s="2">
        <v>1320.6838</v>
      </c>
      <c r="AH2009" s="2">
        <v>860.87869999999998</v>
      </c>
      <c r="AI2009" s="3">
        <v>0.39461564818793898</v>
      </c>
    </row>
    <row r="2010" spans="1:35">
      <c r="A2010" s="1">
        <v>42361</v>
      </c>
      <c r="B2010" s="1">
        <v>37517</v>
      </c>
      <c r="C2010" t="s">
        <v>6140</v>
      </c>
      <c r="D2010">
        <v>368</v>
      </c>
      <c r="E2010">
        <v>22951</v>
      </c>
      <c r="F2010">
        <v>9</v>
      </c>
      <c r="G2010">
        <v>1</v>
      </c>
      <c r="H2010">
        <v>1</v>
      </c>
      <c r="I2010">
        <v>2</v>
      </c>
      <c r="J2010" t="s">
        <v>3547</v>
      </c>
      <c r="K2010" t="s">
        <v>3548</v>
      </c>
      <c r="L2010" s="2">
        <v>1518.7864</v>
      </c>
      <c r="M2010" s="2">
        <v>2443.35</v>
      </c>
      <c r="N2010" t="s">
        <v>26</v>
      </c>
      <c r="O2010" t="s">
        <v>1175</v>
      </c>
      <c r="P2010" t="s">
        <v>35</v>
      </c>
      <c r="Q2010" t="s">
        <v>8338</v>
      </c>
      <c r="R2010" s="1">
        <v>23197</v>
      </c>
      <c r="S2010" t="s">
        <v>22</v>
      </c>
      <c r="T2010" t="s">
        <v>29</v>
      </c>
      <c r="U2010" t="s">
        <v>2837</v>
      </c>
      <c r="V2010">
        <v>70000</v>
      </c>
      <c r="W2010">
        <v>0</v>
      </c>
      <c r="X2010" t="s">
        <v>17</v>
      </c>
      <c r="Y2010" t="s">
        <v>18</v>
      </c>
      <c r="Z2010" t="s">
        <v>19</v>
      </c>
      <c r="AA2010" t="s">
        <v>3586</v>
      </c>
      <c r="AB2010" t="s">
        <v>3586</v>
      </c>
      <c r="AC2010" t="s">
        <v>3587</v>
      </c>
      <c r="AD2010" t="s">
        <v>3479</v>
      </c>
      <c r="AE2010" t="s">
        <v>3475</v>
      </c>
      <c r="AF2010" s="2">
        <v>2443.35</v>
      </c>
      <c r="AG2010" s="2">
        <v>1518.7864</v>
      </c>
      <c r="AH2010" s="2">
        <v>924.56359999999995</v>
      </c>
      <c r="AI2010" s="3">
        <v>0.37839998362903399</v>
      </c>
    </row>
    <row r="2011" spans="1:35">
      <c r="A2011" s="1">
        <v>42341</v>
      </c>
      <c r="B2011" s="1">
        <v>37504</v>
      </c>
      <c r="C2011" t="s">
        <v>5920</v>
      </c>
      <c r="D2011">
        <v>377</v>
      </c>
      <c r="E2011">
        <v>22953</v>
      </c>
      <c r="F2011">
        <v>9</v>
      </c>
      <c r="G2011">
        <v>1</v>
      </c>
      <c r="H2011">
        <v>1</v>
      </c>
      <c r="I2011">
        <v>2</v>
      </c>
      <c r="J2011" t="s">
        <v>3559</v>
      </c>
      <c r="K2011" t="s">
        <v>3560</v>
      </c>
      <c r="L2011" s="2">
        <v>1320.6838</v>
      </c>
      <c r="M2011" s="2">
        <v>2181.5625</v>
      </c>
      <c r="N2011" t="s">
        <v>26</v>
      </c>
      <c r="O2011" t="s">
        <v>755</v>
      </c>
      <c r="P2011" t="s">
        <v>151</v>
      </c>
      <c r="Q2011" t="s">
        <v>8339</v>
      </c>
      <c r="R2011" s="1">
        <v>23330</v>
      </c>
      <c r="S2011" t="s">
        <v>22</v>
      </c>
      <c r="T2011" t="s">
        <v>29</v>
      </c>
      <c r="U2011" t="s">
        <v>2838</v>
      </c>
      <c r="V2011">
        <v>70000</v>
      </c>
      <c r="W2011">
        <v>0</v>
      </c>
      <c r="X2011" t="s">
        <v>17</v>
      </c>
      <c r="Y2011" t="s">
        <v>18</v>
      </c>
      <c r="Z2011" t="s">
        <v>19</v>
      </c>
      <c r="AA2011" t="s">
        <v>3586</v>
      </c>
      <c r="AB2011" t="s">
        <v>3586</v>
      </c>
      <c r="AC2011" t="s">
        <v>3587</v>
      </c>
      <c r="AD2011" t="s">
        <v>3479</v>
      </c>
      <c r="AE2011" t="s">
        <v>3475</v>
      </c>
      <c r="AF2011" s="2">
        <v>2181.5625</v>
      </c>
      <c r="AG2011" s="2">
        <v>1320.6838</v>
      </c>
      <c r="AH2011" s="2">
        <v>860.87869999999998</v>
      </c>
      <c r="AI2011" s="3">
        <v>0.39461564818793898</v>
      </c>
    </row>
    <row r="2012" spans="1:35">
      <c r="A2012" s="1">
        <v>42347</v>
      </c>
      <c r="B2012" s="1">
        <v>37564</v>
      </c>
      <c r="C2012" t="s">
        <v>5985</v>
      </c>
      <c r="D2012">
        <v>369</v>
      </c>
      <c r="E2012">
        <v>22954</v>
      </c>
      <c r="F2012">
        <v>9</v>
      </c>
      <c r="G2012">
        <v>1</v>
      </c>
      <c r="H2012">
        <v>1</v>
      </c>
      <c r="I2012">
        <v>2</v>
      </c>
      <c r="J2012" t="s">
        <v>3549</v>
      </c>
      <c r="K2012" t="s">
        <v>3550</v>
      </c>
      <c r="L2012" s="2">
        <v>1518.7864</v>
      </c>
      <c r="M2012" s="2">
        <v>2443.35</v>
      </c>
      <c r="N2012" t="s">
        <v>13</v>
      </c>
      <c r="O2012" t="s">
        <v>614</v>
      </c>
      <c r="P2012" t="s">
        <v>366</v>
      </c>
      <c r="Q2012" t="s">
        <v>8340</v>
      </c>
      <c r="R2012" s="1">
        <v>23074</v>
      </c>
      <c r="S2012" t="s">
        <v>22</v>
      </c>
      <c r="T2012" t="s">
        <v>16</v>
      </c>
      <c r="U2012" t="s">
        <v>2839</v>
      </c>
      <c r="V2012">
        <v>70000</v>
      </c>
      <c r="W2012">
        <v>0</v>
      </c>
      <c r="X2012" t="s">
        <v>17</v>
      </c>
      <c r="Y2012" t="s">
        <v>18</v>
      </c>
      <c r="Z2012" t="s">
        <v>23</v>
      </c>
      <c r="AA2012" t="s">
        <v>3586</v>
      </c>
      <c r="AB2012" t="s">
        <v>3586</v>
      </c>
      <c r="AC2012" t="s">
        <v>3587</v>
      </c>
      <c r="AD2012" t="s">
        <v>3479</v>
      </c>
      <c r="AE2012" t="s">
        <v>3475</v>
      </c>
      <c r="AF2012" s="2">
        <v>2443.35</v>
      </c>
      <c r="AG2012" s="2">
        <v>1518.7864</v>
      </c>
      <c r="AH2012" s="2">
        <v>924.56359999999995</v>
      </c>
      <c r="AI2012" s="3">
        <v>0.37839998362903399</v>
      </c>
    </row>
    <row r="2013" spans="1:35">
      <c r="A2013" s="1">
        <v>42352</v>
      </c>
      <c r="B2013" s="1">
        <v>37548</v>
      </c>
      <c r="C2013" t="s">
        <v>6043</v>
      </c>
      <c r="D2013">
        <v>370</v>
      </c>
      <c r="E2013">
        <v>22958</v>
      </c>
      <c r="F2013">
        <v>9</v>
      </c>
      <c r="G2013">
        <v>1</v>
      </c>
      <c r="H2013">
        <v>1</v>
      </c>
      <c r="I2013">
        <v>2</v>
      </c>
      <c r="J2013" t="s">
        <v>3551</v>
      </c>
      <c r="K2013" t="s">
        <v>3552</v>
      </c>
      <c r="L2013" s="2">
        <v>1518.7864</v>
      </c>
      <c r="M2013" s="2">
        <v>2443.35</v>
      </c>
      <c r="N2013" t="s">
        <v>30</v>
      </c>
      <c r="O2013" t="s">
        <v>585</v>
      </c>
      <c r="P2013" t="s">
        <v>209</v>
      </c>
      <c r="Q2013" t="s">
        <v>8341</v>
      </c>
      <c r="R2013" s="1">
        <v>22313</v>
      </c>
      <c r="S2013" t="s">
        <v>22</v>
      </c>
      <c r="T2013" t="s">
        <v>29</v>
      </c>
      <c r="U2013" t="s">
        <v>2840</v>
      </c>
      <c r="V2013">
        <v>60000</v>
      </c>
      <c r="W2013">
        <v>1</v>
      </c>
      <c r="X2013" t="s">
        <v>52</v>
      </c>
      <c r="Y2013" t="s">
        <v>53</v>
      </c>
      <c r="Z2013" t="s">
        <v>23</v>
      </c>
      <c r="AA2013" t="s">
        <v>3586</v>
      </c>
      <c r="AB2013" t="s">
        <v>3586</v>
      </c>
      <c r="AC2013" t="s">
        <v>3587</v>
      </c>
      <c r="AD2013" t="s">
        <v>3479</v>
      </c>
      <c r="AE2013" t="s">
        <v>3475</v>
      </c>
      <c r="AF2013" s="2">
        <v>2443.35</v>
      </c>
      <c r="AG2013" s="2">
        <v>1518.7864</v>
      </c>
      <c r="AH2013" s="2">
        <v>924.56359999999995</v>
      </c>
      <c r="AI2013" s="3">
        <v>0.37839998362903399</v>
      </c>
    </row>
    <row r="2014" spans="1:35">
      <c r="A2014" s="1">
        <v>42345</v>
      </c>
      <c r="B2014" s="1">
        <v>37509</v>
      </c>
      <c r="C2014" t="s">
        <v>5966</v>
      </c>
      <c r="D2014">
        <v>377</v>
      </c>
      <c r="E2014">
        <v>22961</v>
      </c>
      <c r="F2014">
        <v>9</v>
      </c>
      <c r="G2014">
        <v>1</v>
      </c>
      <c r="H2014">
        <v>1</v>
      </c>
      <c r="I2014">
        <v>2</v>
      </c>
      <c r="J2014" t="s">
        <v>3559</v>
      </c>
      <c r="K2014" t="s">
        <v>3560</v>
      </c>
      <c r="L2014" s="2">
        <v>1320.6838</v>
      </c>
      <c r="M2014" s="2">
        <v>2181.5625</v>
      </c>
      <c r="N2014" t="s">
        <v>30</v>
      </c>
      <c r="O2014" t="s">
        <v>604</v>
      </c>
      <c r="P2014" t="s">
        <v>450</v>
      </c>
      <c r="Q2014" t="s">
        <v>8342</v>
      </c>
      <c r="R2014" s="1">
        <v>22469</v>
      </c>
      <c r="S2014" t="s">
        <v>16</v>
      </c>
      <c r="T2014" t="s">
        <v>29</v>
      </c>
      <c r="U2014" t="s">
        <v>2841</v>
      </c>
      <c r="V2014">
        <v>70000</v>
      </c>
      <c r="W2014">
        <v>5</v>
      </c>
      <c r="X2014" t="s">
        <v>52</v>
      </c>
      <c r="Y2014" t="s">
        <v>53</v>
      </c>
      <c r="Z2014" t="s">
        <v>19</v>
      </c>
      <c r="AA2014" t="s">
        <v>3586</v>
      </c>
      <c r="AB2014" t="s">
        <v>3586</v>
      </c>
      <c r="AC2014" t="s">
        <v>3587</v>
      </c>
      <c r="AD2014" t="s">
        <v>3479</v>
      </c>
      <c r="AE2014" t="s">
        <v>3475</v>
      </c>
      <c r="AF2014" s="2">
        <v>2181.5625</v>
      </c>
      <c r="AG2014" s="2">
        <v>1320.6838</v>
      </c>
      <c r="AH2014" s="2">
        <v>860.87869999999998</v>
      </c>
      <c r="AI2014" s="3">
        <v>0.39461564818793898</v>
      </c>
    </row>
    <row r="2015" spans="1:35">
      <c r="A2015" s="1">
        <v>42365</v>
      </c>
      <c r="B2015" s="1">
        <v>37557</v>
      </c>
      <c r="C2015" t="s">
        <v>6183</v>
      </c>
      <c r="D2015">
        <v>373</v>
      </c>
      <c r="E2015">
        <v>22966</v>
      </c>
      <c r="F2015">
        <v>9</v>
      </c>
      <c r="G2015">
        <v>1</v>
      </c>
      <c r="H2015">
        <v>1</v>
      </c>
      <c r="I2015">
        <v>2</v>
      </c>
      <c r="J2015" t="s">
        <v>3555</v>
      </c>
      <c r="K2015" t="s">
        <v>3556</v>
      </c>
      <c r="L2015" s="2">
        <v>1320.6838</v>
      </c>
      <c r="M2015" s="2">
        <v>2181.5625</v>
      </c>
      <c r="N2015" t="s">
        <v>30</v>
      </c>
      <c r="O2015" t="s">
        <v>1723</v>
      </c>
      <c r="P2015" t="s">
        <v>392</v>
      </c>
      <c r="Q2015" t="s">
        <v>8343</v>
      </c>
      <c r="R2015" s="1">
        <v>20791</v>
      </c>
      <c r="S2015" t="s">
        <v>22</v>
      </c>
      <c r="T2015" t="s">
        <v>29</v>
      </c>
      <c r="U2015" t="s">
        <v>2842</v>
      </c>
      <c r="V2015">
        <v>80000</v>
      </c>
      <c r="W2015">
        <v>2</v>
      </c>
      <c r="X2015" t="s">
        <v>52</v>
      </c>
      <c r="Y2015" t="s">
        <v>53</v>
      </c>
      <c r="Z2015" t="s">
        <v>23</v>
      </c>
      <c r="AA2015" t="s">
        <v>3586</v>
      </c>
      <c r="AB2015" t="s">
        <v>3586</v>
      </c>
      <c r="AC2015" t="s">
        <v>3587</v>
      </c>
      <c r="AD2015" t="s">
        <v>3479</v>
      </c>
      <c r="AE2015" t="s">
        <v>3475</v>
      </c>
      <c r="AF2015" s="2">
        <v>2181.5625</v>
      </c>
      <c r="AG2015" s="2">
        <v>1320.6838</v>
      </c>
      <c r="AH2015" s="2">
        <v>860.87869999999998</v>
      </c>
      <c r="AI2015" s="3">
        <v>0.39461564818793898</v>
      </c>
    </row>
    <row r="2016" spans="1:35">
      <c r="A2016" s="1">
        <v>42013</v>
      </c>
      <c r="B2016" s="1">
        <v>37237</v>
      </c>
      <c r="C2016" t="s">
        <v>3638</v>
      </c>
      <c r="D2016">
        <v>311</v>
      </c>
      <c r="E2016">
        <v>22971</v>
      </c>
      <c r="F2016">
        <v>6</v>
      </c>
      <c r="G2016">
        <v>1</v>
      </c>
      <c r="H2016">
        <v>1</v>
      </c>
      <c r="I2016">
        <v>2</v>
      </c>
      <c r="J2016" t="s">
        <v>3487</v>
      </c>
      <c r="K2016" t="s">
        <v>3488</v>
      </c>
      <c r="L2016" s="2">
        <v>2171.2941999999998</v>
      </c>
      <c r="M2016" s="2">
        <v>3578.27</v>
      </c>
      <c r="N2016" t="s">
        <v>26</v>
      </c>
      <c r="O2016" t="s">
        <v>252</v>
      </c>
      <c r="P2016" t="s">
        <v>294</v>
      </c>
      <c r="Q2016" t="s">
        <v>8344</v>
      </c>
      <c r="R2016" s="1">
        <v>29531</v>
      </c>
      <c r="S2016" t="s">
        <v>22</v>
      </c>
      <c r="T2016" t="s">
        <v>29</v>
      </c>
      <c r="U2016" t="s">
        <v>2843</v>
      </c>
      <c r="V2016">
        <v>30000</v>
      </c>
      <c r="W2016">
        <v>0</v>
      </c>
      <c r="X2016" t="s">
        <v>57</v>
      </c>
      <c r="Y2016" t="s">
        <v>53</v>
      </c>
      <c r="Z2016" t="s">
        <v>23</v>
      </c>
      <c r="AA2016" t="s">
        <v>3582</v>
      </c>
      <c r="AB2016" t="s">
        <v>3582</v>
      </c>
      <c r="AC2016" t="s">
        <v>3579</v>
      </c>
      <c r="AD2016" t="s">
        <v>3479</v>
      </c>
      <c r="AE2016" t="s">
        <v>3475</v>
      </c>
      <c r="AF2016" s="2">
        <v>3578.27</v>
      </c>
      <c r="AG2016" s="2">
        <v>2171.2941999999998</v>
      </c>
      <c r="AH2016" s="2">
        <v>1406.9757999999999</v>
      </c>
      <c r="AI2016" s="3">
        <v>0.39320001006072802</v>
      </c>
    </row>
    <row r="2017" spans="1:35">
      <c r="A2017" s="1">
        <v>42010</v>
      </c>
      <c r="B2017" s="1">
        <v>37165</v>
      </c>
      <c r="C2017" t="s">
        <v>3619</v>
      </c>
      <c r="D2017">
        <v>310</v>
      </c>
      <c r="E2017">
        <v>22975</v>
      </c>
      <c r="F2017">
        <v>6</v>
      </c>
      <c r="G2017">
        <v>1</v>
      </c>
      <c r="H2017">
        <v>1</v>
      </c>
      <c r="I2017">
        <v>2</v>
      </c>
      <c r="J2017" t="s">
        <v>3485</v>
      </c>
      <c r="K2017" t="s">
        <v>3486</v>
      </c>
      <c r="L2017" s="2">
        <v>2171.2941999999998</v>
      </c>
      <c r="M2017" s="2">
        <v>3578.27</v>
      </c>
      <c r="N2017" t="s">
        <v>26</v>
      </c>
      <c r="O2017" t="s">
        <v>857</v>
      </c>
      <c r="P2017" t="s">
        <v>347</v>
      </c>
      <c r="Q2017" t="s">
        <v>8345</v>
      </c>
      <c r="R2017" s="1">
        <v>28745</v>
      </c>
      <c r="S2017" t="s">
        <v>22</v>
      </c>
      <c r="T2017" t="s">
        <v>29</v>
      </c>
      <c r="U2017" t="s">
        <v>2844</v>
      </c>
      <c r="V2017">
        <v>30000</v>
      </c>
      <c r="W2017">
        <v>0</v>
      </c>
      <c r="X2017" t="s">
        <v>77</v>
      </c>
      <c r="Y2017" t="s">
        <v>60</v>
      </c>
      <c r="Z2017" t="s">
        <v>23</v>
      </c>
      <c r="AA2017" t="s">
        <v>3582</v>
      </c>
      <c r="AB2017" t="s">
        <v>3582</v>
      </c>
      <c r="AC2017" t="s">
        <v>3579</v>
      </c>
      <c r="AD2017" t="s">
        <v>3479</v>
      </c>
      <c r="AE2017" t="s">
        <v>3475</v>
      </c>
      <c r="AF2017" s="2">
        <v>3578.27</v>
      </c>
      <c r="AG2017" s="2">
        <v>2171.2941999999998</v>
      </c>
      <c r="AH2017" s="2">
        <v>1406.9757999999999</v>
      </c>
      <c r="AI2017" s="3">
        <v>0.39320001006072802</v>
      </c>
    </row>
    <row r="2018" spans="1:35">
      <c r="A2018" s="1">
        <v>42059</v>
      </c>
      <c r="B2018" s="1">
        <v>37281</v>
      </c>
      <c r="C2018" t="s">
        <v>3913</v>
      </c>
      <c r="D2018">
        <v>313</v>
      </c>
      <c r="E2018">
        <v>22976</v>
      </c>
      <c r="F2018">
        <v>6</v>
      </c>
      <c r="G2018">
        <v>1</v>
      </c>
      <c r="H2018">
        <v>1</v>
      </c>
      <c r="I2018">
        <v>2</v>
      </c>
      <c r="J2018" t="s">
        <v>3491</v>
      </c>
      <c r="K2018" t="s">
        <v>3492</v>
      </c>
      <c r="L2018" s="2">
        <v>2171.2941999999998</v>
      </c>
      <c r="M2018" s="2">
        <v>3578.27</v>
      </c>
      <c r="N2018" t="s">
        <v>13</v>
      </c>
      <c r="O2018" t="s">
        <v>1508</v>
      </c>
      <c r="P2018" t="s">
        <v>321</v>
      </c>
      <c r="Q2018" t="s">
        <v>8346</v>
      </c>
      <c r="R2018" s="1">
        <v>28589</v>
      </c>
      <c r="S2018" t="s">
        <v>22</v>
      </c>
      <c r="T2018" t="s">
        <v>16</v>
      </c>
      <c r="U2018" t="s">
        <v>2845</v>
      </c>
      <c r="V2018">
        <v>40000</v>
      </c>
      <c r="W2018">
        <v>0</v>
      </c>
      <c r="X2018" t="s">
        <v>57</v>
      </c>
      <c r="Y2018" t="s">
        <v>53</v>
      </c>
      <c r="Z2018" t="s">
        <v>23</v>
      </c>
      <c r="AA2018" t="s">
        <v>3582</v>
      </c>
      <c r="AB2018" t="s">
        <v>3582</v>
      </c>
      <c r="AC2018" t="s">
        <v>3579</v>
      </c>
      <c r="AD2018" t="s">
        <v>3479</v>
      </c>
      <c r="AE2018" t="s">
        <v>3475</v>
      </c>
      <c r="AF2018" s="2">
        <v>3578.27</v>
      </c>
      <c r="AG2018" s="2">
        <v>2171.2941999999998</v>
      </c>
      <c r="AH2018" s="2">
        <v>1406.9757999999999</v>
      </c>
      <c r="AI2018" s="3">
        <v>0.39320001006072802</v>
      </c>
    </row>
    <row r="2019" spans="1:35">
      <c r="A2019" s="1">
        <v>42361</v>
      </c>
      <c r="B2019" s="1">
        <v>37578</v>
      </c>
      <c r="C2019" t="s">
        <v>6139</v>
      </c>
      <c r="D2019">
        <v>373</v>
      </c>
      <c r="E2019">
        <v>22986</v>
      </c>
      <c r="F2019">
        <v>9</v>
      </c>
      <c r="G2019">
        <v>1</v>
      </c>
      <c r="H2019">
        <v>1</v>
      </c>
      <c r="I2019">
        <v>2</v>
      </c>
      <c r="J2019" t="s">
        <v>3555</v>
      </c>
      <c r="K2019" t="s">
        <v>3556</v>
      </c>
      <c r="L2019" s="2">
        <v>1320.6838</v>
      </c>
      <c r="M2019" s="2">
        <v>2181.5625</v>
      </c>
      <c r="N2019" t="s">
        <v>30</v>
      </c>
      <c r="O2019" t="s">
        <v>477</v>
      </c>
      <c r="P2019" t="s">
        <v>476</v>
      </c>
      <c r="Q2019" t="s">
        <v>8347</v>
      </c>
      <c r="R2019" s="1">
        <v>14819</v>
      </c>
      <c r="S2019" t="s">
        <v>22</v>
      </c>
      <c r="T2019" t="s">
        <v>29</v>
      </c>
      <c r="U2019" t="s">
        <v>2846</v>
      </c>
      <c r="V2019">
        <v>30000</v>
      </c>
      <c r="W2019">
        <v>2</v>
      </c>
      <c r="X2019" t="s">
        <v>52</v>
      </c>
      <c r="Y2019" t="s">
        <v>60</v>
      </c>
      <c r="Z2019" t="s">
        <v>23</v>
      </c>
      <c r="AA2019" t="s">
        <v>3586</v>
      </c>
      <c r="AB2019" t="s">
        <v>3586</v>
      </c>
      <c r="AC2019" t="s">
        <v>3587</v>
      </c>
      <c r="AD2019" t="s">
        <v>3479</v>
      </c>
      <c r="AE2019" t="s">
        <v>3475</v>
      </c>
      <c r="AF2019" s="2">
        <v>2181.5625</v>
      </c>
      <c r="AG2019" s="2">
        <v>1320.6838</v>
      </c>
      <c r="AH2019" s="2">
        <v>860.87869999999998</v>
      </c>
      <c r="AI2019" s="3">
        <v>0.39461564818793898</v>
      </c>
    </row>
    <row r="2020" spans="1:35">
      <c r="A2020" s="1">
        <v>42343</v>
      </c>
      <c r="B2020" s="1">
        <v>37520</v>
      </c>
      <c r="C2020" t="s">
        <v>5946</v>
      </c>
      <c r="D2020">
        <v>375</v>
      </c>
      <c r="E2020">
        <v>22987</v>
      </c>
      <c r="F2020">
        <v>9</v>
      </c>
      <c r="G2020">
        <v>1</v>
      </c>
      <c r="H2020">
        <v>1</v>
      </c>
      <c r="I2020">
        <v>2</v>
      </c>
      <c r="J2020" t="s">
        <v>3557</v>
      </c>
      <c r="K2020" t="s">
        <v>3558</v>
      </c>
      <c r="L2020" s="2">
        <v>1320.6838</v>
      </c>
      <c r="M2020" s="2">
        <v>2181.5625</v>
      </c>
      <c r="N2020" t="s">
        <v>13</v>
      </c>
      <c r="O2020" t="s">
        <v>447</v>
      </c>
      <c r="P2020" t="s">
        <v>97</v>
      </c>
      <c r="Q2020" t="s">
        <v>8348</v>
      </c>
      <c r="R2020" s="1">
        <v>14903</v>
      </c>
      <c r="S2020" t="s">
        <v>16</v>
      </c>
      <c r="T2020" t="s">
        <v>16</v>
      </c>
      <c r="U2020" t="s">
        <v>2847</v>
      </c>
      <c r="V2020">
        <v>40000</v>
      </c>
      <c r="W2020">
        <v>2</v>
      </c>
      <c r="X2020" t="s">
        <v>17</v>
      </c>
      <c r="Y2020" t="s">
        <v>45</v>
      </c>
      <c r="Z2020" t="s">
        <v>19</v>
      </c>
      <c r="AA2020" t="s">
        <v>3586</v>
      </c>
      <c r="AB2020" t="s">
        <v>3586</v>
      </c>
      <c r="AC2020" t="s">
        <v>3587</v>
      </c>
      <c r="AD2020" t="s">
        <v>3479</v>
      </c>
      <c r="AE2020" t="s">
        <v>3475</v>
      </c>
      <c r="AF2020" s="2">
        <v>2181.5625</v>
      </c>
      <c r="AG2020" s="2">
        <v>1320.6838</v>
      </c>
      <c r="AH2020" s="2">
        <v>860.87869999999998</v>
      </c>
      <c r="AI2020" s="3">
        <v>0.39461564818793898</v>
      </c>
    </row>
    <row r="2021" spans="1:35">
      <c r="A2021" s="1">
        <v>42357</v>
      </c>
      <c r="B2021" s="1">
        <v>37545</v>
      </c>
      <c r="C2021" t="s">
        <v>6105</v>
      </c>
      <c r="D2021">
        <v>368</v>
      </c>
      <c r="E2021">
        <v>22988</v>
      </c>
      <c r="F2021">
        <v>9</v>
      </c>
      <c r="G2021">
        <v>1</v>
      </c>
      <c r="H2021">
        <v>1</v>
      </c>
      <c r="I2021">
        <v>2</v>
      </c>
      <c r="J2021" t="s">
        <v>3547</v>
      </c>
      <c r="K2021" t="s">
        <v>3548</v>
      </c>
      <c r="L2021" s="2">
        <v>1518.7864</v>
      </c>
      <c r="M2021" s="2">
        <v>2443.35</v>
      </c>
      <c r="N2021" t="s">
        <v>30</v>
      </c>
      <c r="O2021" t="s">
        <v>689</v>
      </c>
      <c r="P2021" t="s">
        <v>658</v>
      </c>
      <c r="Q2021" t="s">
        <v>8349</v>
      </c>
      <c r="R2021" s="1">
        <v>14690</v>
      </c>
      <c r="S2021" t="s">
        <v>16</v>
      </c>
      <c r="T2021" t="s">
        <v>29</v>
      </c>
      <c r="U2021" t="s">
        <v>2848</v>
      </c>
      <c r="V2021">
        <v>40000</v>
      </c>
      <c r="W2021">
        <v>2</v>
      </c>
      <c r="X2021" t="s">
        <v>17</v>
      </c>
      <c r="Y2021" t="s">
        <v>45</v>
      </c>
      <c r="Z2021" t="s">
        <v>19</v>
      </c>
      <c r="AA2021" t="s">
        <v>3586</v>
      </c>
      <c r="AB2021" t="s">
        <v>3586</v>
      </c>
      <c r="AC2021" t="s">
        <v>3587</v>
      </c>
      <c r="AD2021" t="s">
        <v>3479</v>
      </c>
      <c r="AE2021" t="s">
        <v>3475</v>
      </c>
      <c r="AF2021" s="2">
        <v>2443.35</v>
      </c>
      <c r="AG2021" s="2">
        <v>1518.7864</v>
      </c>
      <c r="AH2021" s="2">
        <v>924.56359999999995</v>
      </c>
      <c r="AI2021" s="3">
        <v>0.37839998362903399</v>
      </c>
    </row>
    <row r="2022" spans="1:35">
      <c r="A2022" s="1">
        <v>42061</v>
      </c>
      <c r="B2022" s="1">
        <v>37225</v>
      </c>
      <c r="C2022" t="s">
        <v>3929</v>
      </c>
      <c r="D2022">
        <v>314</v>
      </c>
      <c r="E2022">
        <v>22995</v>
      </c>
      <c r="F2022">
        <v>6</v>
      </c>
      <c r="G2022">
        <v>1</v>
      </c>
      <c r="H2022">
        <v>1</v>
      </c>
      <c r="I2022">
        <v>2</v>
      </c>
      <c r="J2022" t="s">
        <v>3493</v>
      </c>
      <c r="K2022" t="s">
        <v>3494</v>
      </c>
      <c r="L2022" s="2">
        <v>2171.2941999999998</v>
      </c>
      <c r="M2022" s="2">
        <v>3578.27</v>
      </c>
      <c r="N2022" t="s">
        <v>26</v>
      </c>
      <c r="O2022" t="s">
        <v>588</v>
      </c>
      <c r="P2022" t="s">
        <v>184</v>
      </c>
      <c r="Q2022" t="s">
        <v>8350</v>
      </c>
      <c r="R2022" s="1">
        <v>26451</v>
      </c>
      <c r="S2022" t="s">
        <v>22</v>
      </c>
      <c r="T2022" t="s">
        <v>29</v>
      </c>
      <c r="U2022" t="s">
        <v>2849</v>
      </c>
      <c r="V2022">
        <v>80000</v>
      </c>
      <c r="W2022">
        <v>0</v>
      </c>
      <c r="X2022" t="s">
        <v>17</v>
      </c>
      <c r="Y2022" t="s">
        <v>45</v>
      </c>
      <c r="Z2022" t="s">
        <v>19</v>
      </c>
      <c r="AA2022" t="s">
        <v>3582</v>
      </c>
      <c r="AB2022" t="s">
        <v>3582</v>
      </c>
      <c r="AC2022" t="s">
        <v>3579</v>
      </c>
      <c r="AD2022" t="s">
        <v>3479</v>
      </c>
      <c r="AE2022" t="s">
        <v>3475</v>
      </c>
      <c r="AF2022" s="2">
        <v>3578.27</v>
      </c>
      <c r="AG2022" s="2">
        <v>2171.2941999999998</v>
      </c>
      <c r="AH2022" s="2">
        <v>1406.9757999999999</v>
      </c>
      <c r="AI2022" s="3">
        <v>0.39320001006072802</v>
      </c>
    </row>
    <row r="2023" spans="1:35">
      <c r="A2023" s="1">
        <v>42040</v>
      </c>
      <c r="B2023" s="1">
        <v>37194</v>
      </c>
      <c r="C2023" t="s">
        <v>3807</v>
      </c>
      <c r="D2023">
        <v>312</v>
      </c>
      <c r="E2023">
        <v>22996</v>
      </c>
      <c r="F2023">
        <v>6</v>
      </c>
      <c r="G2023">
        <v>1</v>
      </c>
      <c r="H2023">
        <v>1</v>
      </c>
      <c r="I2023">
        <v>2</v>
      </c>
      <c r="J2023" t="s">
        <v>3489</v>
      </c>
      <c r="K2023" t="s">
        <v>3490</v>
      </c>
      <c r="L2023" s="2">
        <v>2171.2941999999998</v>
      </c>
      <c r="M2023" s="2">
        <v>3578.27</v>
      </c>
      <c r="N2023" t="s">
        <v>13</v>
      </c>
      <c r="O2023" t="s">
        <v>63</v>
      </c>
      <c r="P2023" t="s">
        <v>146</v>
      </c>
      <c r="Q2023" t="s">
        <v>8351</v>
      </c>
      <c r="R2023" s="1">
        <v>26636</v>
      </c>
      <c r="S2023" t="s">
        <v>16</v>
      </c>
      <c r="T2023" t="s">
        <v>16</v>
      </c>
      <c r="U2023" t="s">
        <v>2850</v>
      </c>
      <c r="V2023">
        <v>80000</v>
      </c>
      <c r="W2023">
        <v>0</v>
      </c>
      <c r="X2023" t="s">
        <v>17</v>
      </c>
      <c r="Y2023" t="s">
        <v>45</v>
      </c>
      <c r="Z2023" t="s">
        <v>19</v>
      </c>
      <c r="AA2023" t="s">
        <v>3582</v>
      </c>
      <c r="AB2023" t="s">
        <v>3582</v>
      </c>
      <c r="AC2023" t="s">
        <v>3579</v>
      </c>
      <c r="AD2023" t="s">
        <v>3479</v>
      </c>
      <c r="AE2023" t="s">
        <v>3475</v>
      </c>
      <c r="AF2023" s="2">
        <v>3578.27</v>
      </c>
      <c r="AG2023" s="2">
        <v>2171.2941999999998</v>
      </c>
      <c r="AH2023" s="2">
        <v>1406.9757999999999</v>
      </c>
      <c r="AI2023" s="3">
        <v>0.39320001006072802</v>
      </c>
    </row>
    <row r="2024" spans="1:35">
      <c r="A2024" s="1">
        <v>42062</v>
      </c>
      <c r="B2024" s="1">
        <v>37281</v>
      </c>
      <c r="C2024" t="s">
        <v>3935</v>
      </c>
      <c r="D2024">
        <v>310</v>
      </c>
      <c r="E2024">
        <v>22998</v>
      </c>
      <c r="F2024">
        <v>6</v>
      </c>
      <c r="G2024">
        <v>1</v>
      </c>
      <c r="H2024">
        <v>1</v>
      </c>
      <c r="I2024">
        <v>2</v>
      </c>
      <c r="J2024" t="s">
        <v>3485</v>
      </c>
      <c r="K2024" t="s">
        <v>3486</v>
      </c>
      <c r="L2024" s="2">
        <v>2171.2941999999998</v>
      </c>
      <c r="M2024" s="2">
        <v>3578.27</v>
      </c>
      <c r="N2024" t="s">
        <v>26</v>
      </c>
      <c r="O2024" t="s">
        <v>43</v>
      </c>
      <c r="P2024" t="s">
        <v>594</v>
      </c>
      <c r="Q2024" t="s">
        <v>8352</v>
      </c>
      <c r="R2024" s="1">
        <v>25168</v>
      </c>
      <c r="S2024" t="s">
        <v>16</v>
      </c>
      <c r="T2024" t="s">
        <v>29</v>
      </c>
      <c r="U2024" t="s">
        <v>2851</v>
      </c>
      <c r="V2024">
        <v>80000</v>
      </c>
      <c r="W2024">
        <v>0</v>
      </c>
      <c r="X2024" t="s">
        <v>17</v>
      </c>
      <c r="Y2024" t="s">
        <v>45</v>
      </c>
      <c r="Z2024" t="s">
        <v>19</v>
      </c>
      <c r="AA2024" t="s">
        <v>3582</v>
      </c>
      <c r="AB2024" t="s">
        <v>3582</v>
      </c>
      <c r="AC2024" t="s">
        <v>3579</v>
      </c>
      <c r="AD2024" t="s">
        <v>3479</v>
      </c>
      <c r="AE2024" t="s">
        <v>3475</v>
      </c>
      <c r="AF2024" s="2">
        <v>3578.27</v>
      </c>
      <c r="AG2024" s="2">
        <v>2171.2941999999998</v>
      </c>
      <c r="AH2024" s="2">
        <v>1406.9757999999999</v>
      </c>
      <c r="AI2024" s="3">
        <v>0.39320001006072802</v>
      </c>
    </row>
    <row r="2025" spans="1:35">
      <c r="A2025" s="1">
        <v>42038</v>
      </c>
      <c r="B2025" s="1">
        <v>37218</v>
      </c>
      <c r="C2025" t="s">
        <v>3791</v>
      </c>
      <c r="D2025">
        <v>312</v>
      </c>
      <c r="E2025">
        <v>23057</v>
      </c>
      <c r="F2025">
        <v>6</v>
      </c>
      <c r="G2025">
        <v>1</v>
      </c>
      <c r="H2025">
        <v>1</v>
      </c>
      <c r="I2025">
        <v>2</v>
      </c>
      <c r="J2025" t="s">
        <v>3489</v>
      </c>
      <c r="K2025" t="s">
        <v>3490</v>
      </c>
      <c r="L2025" s="2">
        <v>2171.2941999999998</v>
      </c>
      <c r="M2025" s="2">
        <v>3578.27</v>
      </c>
      <c r="N2025" t="s">
        <v>30</v>
      </c>
      <c r="O2025" t="s">
        <v>959</v>
      </c>
      <c r="P2025" t="s">
        <v>245</v>
      </c>
      <c r="Q2025" t="s">
        <v>8353</v>
      </c>
      <c r="R2025" s="1">
        <v>19780</v>
      </c>
      <c r="S2025" t="s">
        <v>16</v>
      </c>
      <c r="T2025" t="s">
        <v>29</v>
      </c>
      <c r="U2025" t="s">
        <v>2852</v>
      </c>
      <c r="V2025">
        <v>60000</v>
      </c>
      <c r="W2025">
        <v>2</v>
      </c>
      <c r="X2025" t="s">
        <v>77</v>
      </c>
      <c r="Y2025" t="s">
        <v>53</v>
      </c>
      <c r="Z2025" t="s">
        <v>23</v>
      </c>
      <c r="AA2025" t="s">
        <v>3582</v>
      </c>
      <c r="AB2025" t="s">
        <v>3582</v>
      </c>
      <c r="AC2025" t="s">
        <v>3579</v>
      </c>
      <c r="AD2025" t="s">
        <v>3479</v>
      </c>
      <c r="AE2025" t="s">
        <v>3475</v>
      </c>
      <c r="AF2025" s="2">
        <v>3578.27</v>
      </c>
      <c r="AG2025" s="2">
        <v>2171.2941999999998</v>
      </c>
      <c r="AH2025" s="2">
        <v>1406.9757999999999</v>
      </c>
      <c r="AI2025" s="3">
        <v>0.39320001006072802</v>
      </c>
    </row>
    <row r="2026" spans="1:35">
      <c r="A2026" s="1">
        <v>42053</v>
      </c>
      <c r="B2026" s="1">
        <v>37186</v>
      </c>
      <c r="C2026" t="s">
        <v>3883</v>
      </c>
      <c r="D2026">
        <v>312</v>
      </c>
      <c r="E2026">
        <v>23074</v>
      </c>
      <c r="F2026">
        <v>6</v>
      </c>
      <c r="G2026">
        <v>1</v>
      </c>
      <c r="H2026">
        <v>1</v>
      </c>
      <c r="I2026">
        <v>2</v>
      </c>
      <c r="J2026" t="s">
        <v>3489</v>
      </c>
      <c r="K2026" t="s">
        <v>3490</v>
      </c>
      <c r="L2026" s="2">
        <v>2171.2941999999998</v>
      </c>
      <c r="M2026" s="2">
        <v>3578.27</v>
      </c>
      <c r="N2026" t="s">
        <v>30</v>
      </c>
      <c r="O2026" t="s">
        <v>108</v>
      </c>
      <c r="P2026" t="s">
        <v>113</v>
      </c>
      <c r="Q2026" t="s">
        <v>8354</v>
      </c>
      <c r="R2026" s="1">
        <v>15142</v>
      </c>
      <c r="S2026" t="s">
        <v>22</v>
      </c>
      <c r="T2026" t="s">
        <v>29</v>
      </c>
      <c r="U2026" t="s">
        <v>2853</v>
      </c>
      <c r="V2026">
        <v>50000</v>
      </c>
      <c r="W2026">
        <v>4</v>
      </c>
      <c r="X2026" t="s">
        <v>17</v>
      </c>
      <c r="Y2026" t="s">
        <v>45</v>
      </c>
      <c r="Z2026" t="s">
        <v>23</v>
      </c>
      <c r="AA2026" t="s">
        <v>3582</v>
      </c>
      <c r="AB2026" t="s">
        <v>3582</v>
      </c>
      <c r="AC2026" t="s">
        <v>3579</v>
      </c>
      <c r="AD2026" t="s">
        <v>3479</v>
      </c>
      <c r="AE2026" t="s">
        <v>3475</v>
      </c>
      <c r="AF2026" s="2">
        <v>3578.27</v>
      </c>
      <c r="AG2026" s="2">
        <v>2171.2941999999998</v>
      </c>
      <c r="AH2026" s="2">
        <v>1406.9757999999999</v>
      </c>
      <c r="AI2026" s="3">
        <v>0.39320001006072802</v>
      </c>
    </row>
    <row r="2027" spans="1:35">
      <c r="A2027" s="1">
        <v>42356</v>
      </c>
      <c r="B2027" s="1">
        <v>37561</v>
      </c>
      <c r="C2027" t="s">
        <v>6093</v>
      </c>
      <c r="D2027">
        <v>375</v>
      </c>
      <c r="E2027">
        <v>23097</v>
      </c>
      <c r="F2027">
        <v>9</v>
      </c>
      <c r="G2027">
        <v>1</v>
      </c>
      <c r="H2027">
        <v>1</v>
      </c>
      <c r="I2027">
        <v>2</v>
      </c>
      <c r="J2027" t="s">
        <v>3557</v>
      </c>
      <c r="K2027" t="s">
        <v>3558</v>
      </c>
      <c r="L2027" s="2">
        <v>1320.6838</v>
      </c>
      <c r="M2027" s="2">
        <v>2181.5625</v>
      </c>
      <c r="N2027" t="s">
        <v>13</v>
      </c>
      <c r="O2027" t="s">
        <v>1591</v>
      </c>
      <c r="P2027" t="s">
        <v>2854</v>
      </c>
      <c r="Q2027" t="s">
        <v>8355</v>
      </c>
      <c r="R2027" s="1">
        <v>18513</v>
      </c>
      <c r="S2027" t="s">
        <v>22</v>
      </c>
      <c r="T2027" t="s">
        <v>16</v>
      </c>
      <c r="U2027" t="s">
        <v>2855</v>
      </c>
      <c r="V2027">
        <v>30000</v>
      </c>
      <c r="W2027">
        <v>3</v>
      </c>
      <c r="X2027" t="s">
        <v>52</v>
      </c>
      <c r="Y2027" t="s">
        <v>60</v>
      </c>
      <c r="Z2027" t="s">
        <v>23</v>
      </c>
      <c r="AA2027" t="s">
        <v>3586</v>
      </c>
      <c r="AB2027" t="s">
        <v>3586</v>
      </c>
      <c r="AC2027" t="s">
        <v>3587</v>
      </c>
      <c r="AD2027" t="s">
        <v>3479</v>
      </c>
      <c r="AE2027" t="s">
        <v>3475</v>
      </c>
      <c r="AF2027" s="2">
        <v>2181.5625</v>
      </c>
      <c r="AG2027" s="2">
        <v>1320.6838</v>
      </c>
      <c r="AH2027" s="2">
        <v>860.87869999999998</v>
      </c>
      <c r="AI2027" s="3">
        <v>0.39461564818793898</v>
      </c>
    </row>
    <row r="2028" spans="1:35">
      <c r="A2028" s="1">
        <v>42341</v>
      </c>
      <c r="B2028" s="1">
        <v>37511</v>
      </c>
      <c r="C2028" t="s">
        <v>5928</v>
      </c>
      <c r="D2028">
        <v>377</v>
      </c>
      <c r="E2028">
        <v>23098</v>
      </c>
      <c r="F2028">
        <v>9</v>
      </c>
      <c r="G2028">
        <v>1</v>
      </c>
      <c r="H2028">
        <v>1</v>
      </c>
      <c r="I2028">
        <v>2</v>
      </c>
      <c r="J2028" t="s">
        <v>3559</v>
      </c>
      <c r="K2028" t="s">
        <v>3560</v>
      </c>
      <c r="L2028" s="2">
        <v>1320.6838</v>
      </c>
      <c r="M2028" s="2">
        <v>2181.5625</v>
      </c>
      <c r="N2028" t="s">
        <v>13</v>
      </c>
      <c r="O2028" t="s">
        <v>584</v>
      </c>
      <c r="P2028" t="s">
        <v>198</v>
      </c>
      <c r="Q2028" t="s">
        <v>8356</v>
      </c>
      <c r="R2028" s="1">
        <v>18279</v>
      </c>
      <c r="S2028" t="s">
        <v>22</v>
      </c>
      <c r="T2028" t="s">
        <v>16</v>
      </c>
      <c r="U2028" t="s">
        <v>2856</v>
      </c>
      <c r="V2028">
        <v>30000</v>
      </c>
      <c r="W2028">
        <v>3</v>
      </c>
      <c r="X2028" t="s">
        <v>52</v>
      </c>
      <c r="Y2028" t="s">
        <v>60</v>
      </c>
      <c r="Z2028" t="s">
        <v>23</v>
      </c>
      <c r="AA2028" t="s">
        <v>3586</v>
      </c>
      <c r="AB2028" t="s">
        <v>3586</v>
      </c>
      <c r="AC2028" t="s">
        <v>3587</v>
      </c>
      <c r="AD2028" t="s">
        <v>3479</v>
      </c>
      <c r="AE2028" t="s">
        <v>3475</v>
      </c>
      <c r="AF2028" s="2">
        <v>2181.5625</v>
      </c>
      <c r="AG2028" s="2">
        <v>1320.6838</v>
      </c>
      <c r="AH2028" s="2">
        <v>860.87869999999998</v>
      </c>
      <c r="AI2028" s="3">
        <v>0.39461564818793898</v>
      </c>
    </row>
    <row r="2029" spans="1:35">
      <c r="A2029" s="1">
        <v>42368</v>
      </c>
      <c r="B2029" s="1">
        <v>37502</v>
      </c>
      <c r="C2029" t="s">
        <v>6213</v>
      </c>
      <c r="D2029">
        <v>368</v>
      </c>
      <c r="E2029">
        <v>23099</v>
      </c>
      <c r="F2029">
        <v>9</v>
      </c>
      <c r="G2029">
        <v>1</v>
      </c>
      <c r="H2029">
        <v>1</v>
      </c>
      <c r="I2029">
        <v>2</v>
      </c>
      <c r="J2029" t="s">
        <v>3547</v>
      </c>
      <c r="K2029" t="s">
        <v>3548</v>
      </c>
      <c r="L2029" s="2">
        <v>1518.7864</v>
      </c>
      <c r="M2029" s="2">
        <v>2443.35</v>
      </c>
      <c r="N2029" t="s">
        <v>30</v>
      </c>
      <c r="O2029" t="s">
        <v>312</v>
      </c>
      <c r="P2029" t="s">
        <v>40</v>
      </c>
      <c r="Q2029" t="s">
        <v>8357</v>
      </c>
      <c r="R2029" s="1">
        <v>18937</v>
      </c>
      <c r="S2029" t="s">
        <v>22</v>
      </c>
      <c r="T2029" t="s">
        <v>29</v>
      </c>
      <c r="U2029" t="s">
        <v>2857</v>
      </c>
      <c r="V2029">
        <v>30000</v>
      </c>
      <c r="W2029">
        <v>3</v>
      </c>
      <c r="X2029" t="s">
        <v>57</v>
      </c>
      <c r="Y2029" t="s">
        <v>53</v>
      </c>
      <c r="Z2029" t="s">
        <v>23</v>
      </c>
      <c r="AA2029" t="s">
        <v>3586</v>
      </c>
      <c r="AB2029" t="s">
        <v>3586</v>
      </c>
      <c r="AC2029" t="s">
        <v>3587</v>
      </c>
      <c r="AD2029" t="s">
        <v>3479</v>
      </c>
      <c r="AE2029" t="s">
        <v>3475</v>
      </c>
      <c r="AF2029" s="2">
        <v>2443.35</v>
      </c>
      <c r="AG2029" s="2">
        <v>1518.7864</v>
      </c>
      <c r="AH2029" s="2">
        <v>924.56359999999995</v>
      </c>
      <c r="AI2029" s="3">
        <v>0.37839998362903399</v>
      </c>
    </row>
    <row r="2030" spans="1:35">
      <c r="A2030" s="1">
        <v>42366</v>
      </c>
      <c r="B2030" s="1">
        <v>37569</v>
      </c>
      <c r="C2030" t="s">
        <v>6189</v>
      </c>
      <c r="D2030">
        <v>368</v>
      </c>
      <c r="E2030">
        <v>23100</v>
      </c>
      <c r="F2030">
        <v>9</v>
      </c>
      <c r="G2030">
        <v>1</v>
      </c>
      <c r="H2030">
        <v>1</v>
      </c>
      <c r="I2030">
        <v>2</v>
      </c>
      <c r="J2030" t="s">
        <v>3547</v>
      </c>
      <c r="K2030" t="s">
        <v>3548</v>
      </c>
      <c r="L2030" s="2">
        <v>1518.7864</v>
      </c>
      <c r="M2030" s="2">
        <v>2443.35</v>
      </c>
      <c r="N2030" t="s">
        <v>30</v>
      </c>
      <c r="O2030" t="s">
        <v>27</v>
      </c>
      <c r="P2030" t="s">
        <v>131</v>
      </c>
      <c r="Q2030" t="s">
        <v>8358</v>
      </c>
      <c r="R2030" s="1">
        <v>19132</v>
      </c>
      <c r="S2030" t="s">
        <v>16</v>
      </c>
      <c r="T2030" t="s">
        <v>29</v>
      </c>
      <c r="U2030" t="s">
        <v>2858</v>
      </c>
      <c r="V2030">
        <v>30000</v>
      </c>
      <c r="W2030">
        <v>3</v>
      </c>
      <c r="X2030" t="s">
        <v>57</v>
      </c>
      <c r="Y2030" t="s">
        <v>53</v>
      </c>
      <c r="Z2030" t="s">
        <v>19</v>
      </c>
      <c r="AA2030" t="s">
        <v>3586</v>
      </c>
      <c r="AB2030" t="s">
        <v>3586</v>
      </c>
      <c r="AC2030" t="s">
        <v>3587</v>
      </c>
      <c r="AD2030" t="s">
        <v>3479</v>
      </c>
      <c r="AE2030" t="s">
        <v>3475</v>
      </c>
      <c r="AF2030" s="2">
        <v>2443.35</v>
      </c>
      <c r="AG2030" s="2">
        <v>1518.7864</v>
      </c>
      <c r="AH2030" s="2">
        <v>924.56359999999995</v>
      </c>
      <c r="AI2030" s="3">
        <v>0.37839998362903399</v>
      </c>
    </row>
    <row r="2031" spans="1:35">
      <c r="A2031" s="1">
        <v>42356</v>
      </c>
      <c r="B2031" s="1">
        <v>37498</v>
      </c>
      <c r="C2031" t="s">
        <v>6084</v>
      </c>
      <c r="D2031">
        <v>373</v>
      </c>
      <c r="E2031">
        <v>23101</v>
      </c>
      <c r="F2031">
        <v>9</v>
      </c>
      <c r="G2031">
        <v>1</v>
      </c>
      <c r="H2031">
        <v>1</v>
      </c>
      <c r="I2031">
        <v>2</v>
      </c>
      <c r="J2031" t="s">
        <v>3555</v>
      </c>
      <c r="K2031" t="s">
        <v>3556</v>
      </c>
      <c r="L2031" s="2">
        <v>1320.6838</v>
      </c>
      <c r="M2031" s="2">
        <v>2181.5625</v>
      </c>
      <c r="N2031" t="s">
        <v>30</v>
      </c>
      <c r="O2031" t="s">
        <v>755</v>
      </c>
      <c r="P2031" t="s">
        <v>62</v>
      </c>
      <c r="Q2031" t="s">
        <v>8359</v>
      </c>
      <c r="R2031" s="1">
        <v>19346</v>
      </c>
      <c r="S2031" t="s">
        <v>16</v>
      </c>
      <c r="T2031" t="s">
        <v>29</v>
      </c>
      <c r="U2031" t="s">
        <v>2859</v>
      </c>
      <c r="V2031">
        <v>30000</v>
      </c>
      <c r="W2031">
        <v>3</v>
      </c>
      <c r="X2031" t="s">
        <v>57</v>
      </c>
      <c r="Y2031" t="s">
        <v>53</v>
      </c>
      <c r="Z2031" t="s">
        <v>19</v>
      </c>
      <c r="AA2031" t="s">
        <v>3586</v>
      </c>
      <c r="AB2031" t="s">
        <v>3586</v>
      </c>
      <c r="AC2031" t="s">
        <v>3587</v>
      </c>
      <c r="AD2031" t="s">
        <v>3479</v>
      </c>
      <c r="AE2031" t="s">
        <v>3475</v>
      </c>
      <c r="AF2031" s="2">
        <v>2181.5625</v>
      </c>
      <c r="AG2031" s="2">
        <v>1320.6838</v>
      </c>
      <c r="AH2031" s="2">
        <v>860.87869999999998</v>
      </c>
      <c r="AI2031" s="3">
        <v>0.39461564818793898</v>
      </c>
    </row>
    <row r="2032" spans="1:35">
      <c r="A2032" s="1">
        <v>42341</v>
      </c>
      <c r="B2032" s="1">
        <v>37573</v>
      </c>
      <c r="C2032" t="s">
        <v>5919</v>
      </c>
      <c r="D2032">
        <v>379</v>
      </c>
      <c r="E2032">
        <v>23102</v>
      </c>
      <c r="F2032">
        <v>9</v>
      </c>
      <c r="G2032">
        <v>1</v>
      </c>
      <c r="H2032">
        <v>1</v>
      </c>
      <c r="I2032">
        <v>2</v>
      </c>
      <c r="J2032" t="s">
        <v>3561</v>
      </c>
      <c r="K2032" t="s">
        <v>3562</v>
      </c>
      <c r="L2032" s="2">
        <v>1320.6838</v>
      </c>
      <c r="M2032" s="2">
        <v>2181.5625</v>
      </c>
      <c r="N2032" t="s">
        <v>30</v>
      </c>
      <c r="O2032" t="s">
        <v>755</v>
      </c>
      <c r="P2032" t="s">
        <v>227</v>
      </c>
      <c r="Q2032" t="s">
        <v>8360</v>
      </c>
      <c r="R2032" s="1">
        <v>19181</v>
      </c>
      <c r="S2032" t="s">
        <v>16</v>
      </c>
      <c r="T2032" t="s">
        <v>29</v>
      </c>
      <c r="U2032" t="s">
        <v>2860</v>
      </c>
      <c r="V2032">
        <v>30000</v>
      </c>
      <c r="W2032">
        <v>3</v>
      </c>
      <c r="X2032" t="s">
        <v>57</v>
      </c>
      <c r="Y2032" t="s">
        <v>53</v>
      </c>
      <c r="Z2032" t="s">
        <v>19</v>
      </c>
      <c r="AA2032" t="s">
        <v>3586</v>
      </c>
      <c r="AB2032" t="s">
        <v>3586</v>
      </c>
      <c r="AC2032" t="s">
        <v>3587</v>
      </c>
      <c r="AD2032" t="s">
        <v>3479</v>
      </c>
      <c r="AE2032" t="s">
        <v>3475</v>
      </c>
      <c r="AF2032" s="2">
        <v>2181.5625</v>
      </c>
      <c r="AG2032" s="2">
        <v>1320.6838</v>
      </c>
      <c r="AH2032" s="2">
        <v>860.87869999999998</v>
      </c>
      <c r="AI2032" s="3">
        <v>0.39461564818793898</v>
      </c>
    </row>
    <row r="2033" spans="1:35">
      <c r="A2033" s="1">
        <v>42367</v>
      </c>
      <c r="B2033" s="1">
        <v>37593</v>
      </c>
      <c r="C2033" t="s">
        <v>6201</v>
      </c>
      <c r="D2033">
        <v>377</v>
      </c>
      <c r="E2033">
        <v>23104</v>
      </c>
      <c r="F2033">
        <v>9</v>
      </c>
      <c r="G2033">
        <v>1</v>
      </c>
      <c r="H2033">
        <v>1</v>
      </c>
      <c r="I2033">
        <v>2</v>
      </c>
      <c r="J2033" t="s">
        <v>3559</v>
      </c>
      <c r="K2033" t="s">
        <v>3560</v>
      </c>
      <c r="L2033" s="2">
        <v>1320.6838</v>
      </c>
      <c r="M2033" s="2">
        <v>2181.5625</v>
      </c>
      <c r="N2033" t="s">
        <v>30</v>
      </c>
      <c r="O2033" t="s">
        <v>1040</v>
      </c>
      <c r="P2033" t="s">
        <v>239</v>
      </c>
      <c r="Q2033" t="s">
        <v>8361</v>
      </c>
      <c r="R2033" s="1">
        <v>19700</v>
      </c>
      <c r="S2033" t="s">
        <v>16</v>
      </c>
      <c r="T2033" t="s">
        <v>29</v>
      </c>
      <c r="U2033" t="s">
        <v>2861</v>
      </c>
      <c r="V2033">
        <v>40000</v>
      </c>
      <c r="W2033">
        <v>3</v>
      </c>
      <c r="X2033" t="s">
        <v>52</v>
      </c>
      <c r="Y2033" t="s">
        <v>53</v>
      </c>
      <c r="Z2033" t="s">
        <v>19</v>
      </c>
      <c r="AA2033" t="s">
        <v>3586</v>
      </c>
      <c r="AB2033" t="s">
        <v>3586</v>
      </c>
      <c r="AC2033" t="s">
        <v>3587</v>
      </c>
      <c r="AD2033" t="s">
        <v>3479</v>
      </c>
      <c r="AE2033" t="s">
        <v>3475</v>
      </c>
      <c r="AF2033" s="2">
        <v>2181.5625</v>
      </c>
      <c r="AG2033" s="2">
        <v>1320.6838</v>
      </c>
      <c r="AH2033" s="2">
        <v>860.87869999999998</v>
      </c>
      <c r="AI2033" s="3">
        <v>0.39461564818793898</v>
      </c>
    </row>
    <row r="2034" spans="1:35">
      <c r="A2034" s="1">
        <v>42345</v>
      </c>
      <c r="B2034" s="1">
        <v>37565</v>
      </c>
      <c r="C2034" t="s">
        <v>5963</v>
      </c>
      <c r="D2034">
        <v>379</v>
      </c>
      <c r="E2034">
        <v>23105</v>
      </c>
      <c r="F2034">
        <v>9</v>
      </c>
      <c r="G2034">
        <v>1</v>
      </c>
      <c r="H2034">
        <v>1</v>
      </c>
      <c r="I2034">
        <v>2</v>
      </c>
      <c r="J2034" t="s">
        <v>3561</v>
      </c>
      <c r="K2034" t="s">
        <v>3562</v>
      </c>
      <c r="L2034" s="2">
        <v>1320.6838</v>
      </c>
      <c r="M2034" s="2">
        <v>2181.5625</v>
      </c>
      <c r="N2034" t="s">
        <v>13</v>
      </c>
      <c r="O2034" t="s">
        <v>487</v>
      </c>
      <c r="P2034" t="s">
        <v>134</v>
      </c>
      <c r="Q2034" t="s">
        <v>8362</v>
      </c>
      <c r="R2034" s="1">
        <v>19769</v>
      </c>
      <c r="S2034" t="s">
        <v>22</v>
      </c>
      <c r="T2034" t="s">
        <v>16</v>
      </c>
      <c r="U2034" t="s">
        <v>2862</v>
      </c>
      <c r="V2034">
        <v>40000</v>
      </c>
      <c r="W2034">
        <v>3</v>
      </c>
      <c r="X2034" t="s">
        <v>77</v>
      </c>
      <c r="Y2034" t="s">
        <v>60</v>
      </c>
      <c r="Z2034" t="s">
        <v>23</v>
      </c>
      <c r="AA2034" t="s">
        <v>3586</v>
      </c>
      <c r="AB2034" t="s">
        <v>3586</v>
      </c>
      <c r="AC2034" t="s">
        <v>3587</v>
      </c>
      <c r="AD2034" t="s">
        <v>3479</v>
      </c>
      <c r="AE2034" t="s">
        <v>3475</v>
      </c>
      <c r="AF2034" s="2">
        <v>2181.5625</v>
      </c>
      <c r="AG2034" s="2">
        <v>1320.6838</v>
      </c>
      <c r="AH2034" s="2">
        <v>860.87869999999998</v>
      </c>
      <c r="AI2034" s="3">
        <v>0.39461564818793898</v>
      </c>
    </row>
    <row r="2035" spans="1:35">
      <c r="A2035" s="1">
        <v>42355</v>
      </c>
      <c r="B2035" s="1">
        <v>37571</v>
      </c>
      <c r="C2035" t="s">
        <v>6079</v>
      </c>
      <c r="D2035">
        <v>377</v>
      </c>
      <c r="E2035">
        <v>23106</v>
      </c>
      <c r="F2035">
        <v>9</v>
      </c>
      <c r="G2035">
        <v>1</v>
      </c>
      <c r="H2035">
        <v>1</v>
      </c>
      <c r="I2035">
        <v>2</v>
      </c>
      <c r="J2035" t="s">
        <v>3559</v>
      </c>
      <c r="K2035" t="s">
        <v>3560</v>
      </c>
      <c r="L2035" s="2">
        <v>1320.6838</v>
      </c>
      <c r="M2035" s="2">
        <v>2181.5625</v>
      </c>
      <c r="N2035" t="s">
        <v>30</v>
      </c>
      <c r="O2035" t="s">
        <v>881</v>
      </c>
      <c r="P2035" t="s">
        <v>87</v>
      </c>
      <c r="Q2035" t="s">
        <v>8363</v>
      </c>
      <c r="R2035" s="1">
        <v>19984</v>
      </c>
      <c r="S2035" t="s">
        <v>16</v>
      </c>
      <c r="T2035" t="s">
        <v>29</v>
      </c>
      <c r="U2035" t="s">
        <v>2863</v>
      </c>
      <c r="V2035">
        <v>70000</v>
      </c>
      <c r="W2035">
        <v>2</v>
      </c>
      <c r="X2035" t="s">
        <v>52</v>
      </c>
      <c r="Y2035" t="s">
        <v>53</v>
      </c>
      <c r="Z2035" t="s">
        <v>19</v>
      </c>
      <c r="AA2035" t="s">
        <v>3586</v>
      </c>
      <c r="AB2035" t="s">
        <v>3586</v>
      </c>
      <c r="AC2035" t="s">
        <v>3587</v>
      </c>
      <c r="AD2035" t="s">
        <v>3479</v>
      </c>
      <c r="AE2035" t="s">
        <v>3475</v>
      </c>
      <c r="AF2035" s="2">
        <v>2181.5625</v>
      </c>
      <c r="AG2035" s="2">
        <v>1320.6838</v>
      </c>
      <c r="AH2035" s="2">
        <v>860.87869999999998</v>
      </c>
      <c r="AI2035" s="3">
        <v>0.39461564818793898</v>
      </c>
    </row>
    <row r="2036" spans="1:35">
      <c r="A2036" s="1">
        <v>42367</v>
      </c>
      <c r="B2036" s="1">
        <v>37577</v>
      </c>
      <c r="C2036" t="s">
        <v>6205</v>
      </c>
      <c r="D2036">
        <v>375</v>
      </c>
      <c r="E2036">
        <v>23107</v>
      </c>
      <c r="F2036">
        <v>9</v>
      </c>
      <c r="G2036">
        <v>1</v>
      </c>
      <c r="H2036">
        <v>1</v>
      </c>
      <c r="I2036">
        <v>2</v>
      </c>
      <c r="J2036" t="s">
        <v>3557</v>
      </c>
      <c r="K2036" t="s">
        <v>3558</v>
      </c>
      <c r="L2036" s="2">
        <v>1320.6838</v>
      </c>
      <c r="M2036" s="2">
        <v>2181.5625</v>
      </c>
      <c r="N2036" t="s">
        <v>30</v>
      </c>
      <c r="O2036" t="s">
        <v>132</v>
      </c>
      <c r="P2036" t="s">
        <v>194</v>
      </c>
      <c r="Q2036" t="s">
        <v>8364</v>
      </c>
      <c r="R2036" s="1">
        <v>20037</v>
      </c>
      <c r="S2036" t="s">
        <v>16</v>
      </c>
      <c r="T2036" t="s">
        <v>29</v>
      </c>
      <c r="U2036" t="s">
        <v>2864</v>
      </c>
      <c r="V2036">
        <v>70000</v>
      </c>
      <c r="W2036">
        <v>2</v>
      </c>
      <c r="X2036" t="s">
        <v>52</v>
      </c>
      <c r="Y2036" t="s">
        <v>53</v>
      </c>
      <c r="Z2036" t="s">
        <v>19</v>
      </c>
      <c r="AA2036" t="s">
        <v>3586</v>
      </c>
      <c r="AB2036" t="s">
        <v>3586</v>
      </c>
      <c r="AC2036" t="s">
        <v>3587</v>
      </c>
      <c r="AD2036" t="s">
        <v>3479</v>
      </c>
      <c r="AE2036" t="s">
        <v>3475</v>
      </c>
      <c r="AF2036" s="2">
        <v>2181.5625</v>
      </c>
      <c r="AG2036" s="2">
        <v>1320.6838</v>
      </c>
      <c r="AH2036" s="2">
        <v>860.87869999999998</v>
      </c>
      <c r="AI2036" s="3">
        <v>0.39461564818793898</v>
      </c>
    </row>
    <row r="2037" spans="1:35">
      <c r="A2037" s="1">
        <v>42054</v>
      </c>
      <c r="B2037" s="1">
        <v>37208</v>
      </c>
      <c r="C2037" t="s">
        <v>3888</v>
      </c>
      <c r="D2037">
        <v>312</v>
      </c>
      <c r="E2037">
        <v>23113</v>
      </c>
      <c r="F2037">
        <v>6</v>
      </c>
      <c r="G2037">
        <v>1</v>
      </c>
      <c r="H2037">
        <v>1</v>
      </c>
      <c r="I2037">
        <v>2</v>
      </c>
      <c r="J2037" t="s">
        <v>3489</v>
      </c>
      <c r="K2037" t="s">
        <v>3490</v>
      </c>
      <c r="L2037" s="2">
        <v>2171.2941999999998</v>
      </c>
      <c r="M2037" s="2">
        <v>3578.27</v>
      </c>
      <c r="N2037" t="s">
        <v>13</v>
      </c>
      <c r="O2037" t="s">
        <v>435</v>
      </c>
      <c r="P2037" t="s">
        <v>119</v>
      </c>
      <c r="Q2037" t="s">
        <v>8365</v>
      </c>
      <c r="R2037" s="1">
        <v>26946</v>
      </c>
      <c r="S2037" t="s">
        <v>22</v>
      </c>
      <c r="T2037" t="s">
        <v>16</v>
      </c>
      <c r="U2037" t="s">
        <v>2865</v>
      </c>
      <c r="V2037">
        <v>60000</v>
      </c>
      <c r="W2037">
        <v>0</v>
      </c>
      <c r="X2037" t="s">
        <v>52</v>
      </c>
      <c r="Y2037" t="s">
        <v>53</v>
      </c>
      <c r="Z2037" t="s">
        <v>19</v>
      </c>
      <c r="AA2037" t="s">
        <v>3582</v>
      </c>
      <c r="AB2037" t="s">
        <v>3582</v>
      </c>
      <c r="AC2037" t="s">
        <v>3579</v>
      </c>
      <c r="AD2037" t="s">
        <v>3479</v>
      </c>
      <c r="AE2037" t="s">
        <v>3475</v>
      </c>
      <c r="AF2037" s="2">
        <v>3578.27</v>
      </c>
      <c r="AG2037" s="2">
        <v>2171.2941999999998</v>
      </c>
      <c r="AH2037" s="2">
        <v>1406.9757999999999</v>
      </c>
      <c r="AI2037" s="3">
        <v>0.39320001006072802</v>
      </c>
    </row>
    <row r="2038" spans="1:35">
      <c r="A2038" s="1">
        <v>42046</v>
      </c>
      <c r="B2038" s="1">
        <v>37268</v>
      </c>
      <c r="C2038" t="s">
        <v>3841</v>
      </c>
      <c r="D2038">
        <v>310</v>
      </c>
      <c r="E2038">
        <v>23137</v>
      </c>
      <c r="F2038">
        <v>6</v>
      </c>
      <c r="G2038">
        <v>1</v>
      </c>
      <c r="H2038">
        <v>1</v>
      </c>
      <c r="I2038">
        <v>2</v>
      </c>
      <c r="J2038" t="s">
        <v>3485</v>
      </c>
      <c r="K2038" t="s">
        <v>3486</v>
      </c>
      <c r="L2038" s="2">
        <v>2171.2941999999998</v>
      </c>
      <c r="M2038" s="2">
        <v>3578.27</v>
      </c>
      <c r="N2038" t="s">
        <v>30</v>
      </c>
      <c r="O2038" t="s">
        <v>50</v>
      </c>
      <c r="P2038" t="s">
        <v>320</v>
      </c>
      <c r="Q2038" t="s">
        <v>8366</v>
      </c>
      <c r="R2038" s="1">
        <v>21116</v>
      </c>
      <c r="S2038" t="s">
        <v>16</v>
      </c>
      <c r="T2038" t="s">
        <v>29</v>
      </c>
      <c r="U2038" t="s">
        <v>2866</v>
      </c>
      <c r="V2038">
        <v>80000</v>
      </c>
      <c r="W2038">
        <v>2</v>
      </c>
      <c r="X2038" t="s">
        <v>17</v>
      </c>
      <c r="Y2038" t="s">
        <v>45</v>
      </c>
      <c r="Z2038" t="s">
        <v>23</v>
      </c>
      <c r="AA2038" t="s">
        <v>3582</v>
      </c>
      <c r="AB2038" t="s">
        <v>3582</v>
      </c>
      <c r="AC2038" t="s">
        <v>3579</v>
      </c>
      <c r="AD2038" t="s">
        <v>3479</v>
      </c>
      <c r="AE2038" t="s">
        <v>3475</v>
      </c>
      <c r="AF2038" s="2">
        <v>3578.27</v>
      </c>
      <c r="AG2038" s="2">
        <v>2171.2941999999998</v>
      </c>
      <c r="AH2038" s="2">
        <v>1406.9757999999999</v>
      </c>
      <c r="AI2038" s="3">
        <v>0.39320001006072802</v>
      </c>
    </row>
    <row r="2039" spans="1:35">
      <c r="A2039" s="1">
        <v>42057</v>
      </c>
      <c r="B2039" s="1">
        <v>37280</v>
      </c>
      <c r="C2039" t="s">
        <v>3901</v>
      </c>
      <c r="D2039">
        <v>311</v>
      </c>
      <c r="E2039">
        <v>23164</v>
      </c>
      <c r="F2039">
        <v>6</v>
      </c>
      <c r="G2039">
        <v>1</v>
      </c>
      <c r="H2039">
        <v>1</v>
      </c>
      <c r="I2039">
        <v>2</v>
      </c>
      <c r="J2039" t="s">
        <v>3487</v>
      </c>
      <c r="K2039" t="s">
        <v>3488</v>
      </c>
      <c r="L2039" s="2">
        <v>2171.2941999999998</v>
      </c>
      <c r="M2039" s="2">
        <v>3578.27</v>
      </c>
      <c r="N2039" t="s">
        <v>13</v>
      </c>
      <c r="O2039" t="s">
        <v>387</v>
      </c>
      <c r="P2039" t="s">
        <v>184</v>
      </c>
      <c r="Q2039" t="s">
        <v>8367</v>
      </c>
      <c r="R2039" s="1">
        <v>25541</v>
      </c>
      <c r="S2039" t="s">
        <v>22</v>
      </c>
      <c r="T2039" t="s">
        <v>16</v>
      </c>
      <c r="U2039" t="s">
        <v>2867</v>
      </c>
      <c r="V2039">
        <v>60000</v>
      </c>
      <c r="W2039">
        <v>1</v>
      </c>
      <c r="X2039" t="s">
        <v>135</v>
      </c>
      <c r="Y2039" t="s">
        <v>18</v>
      </c>
      <c r="Z2039" t="s">
        <v>23</v>
      </c>
      <c r="AA2039" t="s">
        <v>3582</v>
      </c>
      <c r="AB2039" t="s">
        <v>3582</v>
      </c>
      <c r="AC2039" t="s">
        <v>3579</v>
      </c>
      <c r="AD2039" t="s">
        <v>3479</v>
      </c>
      <c r="AE2039" t="s">
        <v>3475</v>
      </c>
      <c r="AF2039" s="2">
        <v>3578.27</v>
      </c>
      <c r="AG2039" s="2">
        <v>2171.2941999999998</v>
      </c>
      <c r="AH2039" s="2">
        <v>1406.9757999999999</v>
      </c>
      <c r="AI2039" s="3">
        <v>0.39320001006072802</v>
      </c>
    </row>
    <row r="2040" spans="1:35">
      <c r="A2040" s="1">
        <v>42038</v>
      </c>
      <c r="B2040" s="1">
        <v>37265</v>
      </c>
      <c r="C2040" t="s">
        <v>3789</v>
      </c>
      <c r="D2040">
        <v>312</v>
      </c>
      <c r="E2040">
        <v>23172</v>
      </c>
      <c r="F2040">
        <v>6</v>
      </c>
      <c r="G2040">
        <v>1</v>
      </c>
      <c r="H2040">
        <v>1</v>
      </c>
      <c r="I2040">
        <v>2</v>
      </c>
      <c r="J2040" t="s">
        <v>3489</v>
      </c>
      <c r="K2040" t="s">
        <v>3490</v>
      </c>
      <c r="L2040" s="2">
        <v>2171.2941999999998</v>
      </c>
      <c r="M2040" s="2">
        <v>3578.27</v>
      </c>
      <c r="N2040" t="s">
        <v>30</v>
      </c>
      <c r="O2040" t="s">
        <v>336</v>
      </c>
      <c r="P2040" t="s">
        <v>299</v>
      </c>
      <c r="Q2040" t="s">
        <v>8368</v>
      </c>
      <c r="R2040" s="1">
        <v>25814</v>
      </c>
      <c r="S2040" t="s">
        <v>16</v>
      </c>
      <c r="T2040" t="s">
        <v>29</v>
      </c>
      <c r="U2040" t="s">
        <v>2868</v>
      </c>
      <c r="V2040">
        <v>60000</v>
      </c>
      <c r="W2040">
        <v>1</v>
      </c>
      <c r="X2040" t="s">
        <v>135</v>
      </c>
      <c r="Y2040" t="s">
        <v>18</v>
      </c>
      <c r="Z2040" t="s">
        <v>19</v>
      </c>
      <c r="AA2040" t="s">
        <v>3582</v>
      </c>
      <c r="AB2040" t="s">
        <v>3582</v>
      </c>
      <c r="AC2040" t="s">
        <v>3579</v>
      </c>
      <c r="AD2040" t="s">
        <v>3479</v>
      </c>
      <c r="AE2040" t="s">
        <v>3475</v>
      </c>
      <c r="AF2040" s="2">
        <v>3578.27</v>
      </c>
      <c r="AG2040" s="2">
        <v>2171.2941999999998</v>
      </c>
      <c r="AH2040" s="2">
        <v>1406.9757999999999</v>
      </c>
      <c r="AI2040" s="3">
        <v>0.39320001006072802</v>
      </c>
    </row>
    <row r="2041" spans="1:35">
      <c r="A2041" s="1">
        <v>42045</v>
      </c>
      <c r="B2041" s="1">
        <v>37269</v>
      </c>
      <c r="C2041" t="s">
        <v>3834</v>
      </c>
      <c r="D2041">
        <v>312</v>
      </c>
      <c r="E2041">
        <v>23209</v>
      </c>
      <c r="F2041">
        <v>6</v>
      </c>
      <c r="G2041">
        <v>1</v>
      </c>
      <c r="H2041">
        <v>1</v>
      </c>
      <c r="I2041">
        <v>2</v>
      </c>
      <c r="J2041" t="s">
        <v>3489</v>
      </c>
      <c r="K2041" t="s">
        <v>3490</v>
      </c>
      <c r="L2041" s="2">
        <v>2171.2941999999998</v>
      </c>
      <c r="M2041" s="2">
        <v>3578.27</v>
      </c>
      <c r="N2041" t="s">
        <v>13</v>
      </c>
      <c r="O2041" t="s">
        <v>176</v>
      </c>
      <c r="P2041" t="s">
        <v>407</v>
      </c>
      <c r="Q2041" t="s">
        <v>8369</v>
      </c>
      <c r="R2041" s="1">
        <v>23532</v>
      </c>
      <c r="S2041" t="s">
        <v>22</v>
      </c>
      <c r="T2041" t="s">
        <v>16</v>
      </c>
      <c r="U2041" t="s">
        <v>2869</v>
      </c>
      <c r="V2041">
        <v>60000</v>
      </c>
      <c r="W2041">
        <v>4</v>
      </c>
      <c r="X2041" t="s">
        <v>17</v>
      </c>
      <c r="Y2041" t="s">
        <v>53</v>
      </c>
      <c r="Z2041" t="s">
        <v>19</v>
      </c>
      <c r="AA2041" t="s">
        <v>3582</v>
      </c>
      <c r="AB2041" t="s">
        <v>3582</v>
      </c>
      <c r="AC2041" t="s">
        <v>3579</v>
      </c>
      <c r="AD2041" t="s">
        <v>3479</v>
      </c>
      <c r="AE2041" t="s">
        <v>3475</v>
      </c>
      <c r="AF2041" s="2">
        <v>3578.27</v>
      </c>
      <c r="AG2041" s="2">
        <v>2171.2941999999998</v>
      </c>
      <c r="AH2041" s="2">
        <v>1406.9757999999999</v>
      </c>
      <c r="AI2041" s="3">
        <v>0.39320001006072802</v>
      </c>
    </row>
    <row r="2042" spans="1:35">
      <c r="A2042" s="1">
        <v>42059</v>
      </c>
      <c r="B2042" s="1">
        <v>37253</v>
      </c>
      <c r="C2042" t="s">
        <v>3915</v>
      </c>
      <c r="D2042">
        <v>313</v>
      </c>
      <c r="E2042">
        <v>23267</v>
      </c>
      <c r="F2042">
        <v>6</v>
      </c>
      <c r="G2042">
        <v>1</v>
      </c>
      <c r="H2042">
        <v>1</v>
      </c>
      <c r="I2042">
        <v>2</v>
      </c>
      <c r="J2042" t="s">
        <v>3491</v>
      </c>
      <c r="K2042" t="s">
        <v>3492</v>
      </c>
      <c r="L2042" s="2">
        <v>2171.2941999999998</v>
      </c>
      <c r="M2042" s="2">
        <v>3578.27</v>
      </c>
      <c r="N2042" t="s">
        <v>13</v>
      </c>
      <c r="O2042" t="s">
        <v>766</v>
      </c>
      <c r="P2042" t="s">
        <v>229</v>
      </c>
      <c r="Q2042" t="s">
        <v>8370</v>
      </c>
      <c r="R2042" s="1">
        <v>20192</v>
      </c>
      <c r="S2042" t="s">
        <v>16</v>
      </c>
      <c r="T2042" t="s">
        <v>16</v>
      </c>
      <c r="U2042" t="s">
        <v>2870</v>
      </c>
      <c r="V2042">
        <v>40000</v>
      </c>
      <c r="W2042">
        <v>1</v>
      </c>
      <c r="X2042" t="s">
        <v>52</v>
      </c>
      <c r="Y2042" t="s">
        <v>60</v>
      </c>
      <c r="Z2042" t="s">
        <v>19</v>
      </c>
      <c r="AA2042" t="s">
        <v>3582</v>
      </c>
      <c r="AB2042" t="s">
        <v>3582</v>
      </c>
      <c r="AC2042" t="s">
        <v>3579</v>
      </c>
      <c r="AD2042" t="s">
        <v>3479</v>
      </c>
      <c r="AE2042" t="s">
        <v>3475</v>
      </c>
      <c r="AF2042" s="2">
        <v>3578.27</v>
      </c>
      <c r="AG2042" s="2">
        <v>2171.2941999999998</v>
      </c>
      <c r="AH2042" s="2">
        <v>1406.9757999999999</v>
      </c>
      <c r="AI2042" s="3">
        <v>0.39320001006072802</v>
      </c>
    </row>
    <row r="2043" spans="1:35">
      <c r="A2043" s="1">
        <v>42094</v>
      </c>
      <c r="B2043" s="1">
        <v>37295</v>
      </c>
      <c r="C2043" t="s">
        <v>4138</v>
      </c>
      <c r="D2043">
        <v>313</v>
      </c>
      <c r="E2043">
        <v>23281</v>
      </c>
      <c r="F2043">
        <v>6</v>
      </c>
      <c r="G2043">
        <v>1</v>
      </c>
      <c r="H2043">
        <v>1</v>
      </c>
      <c r="I2043">
        <v>2</v>
      </c>
      <c r="J2043" t="s">
        <v>3491</v>
      </c>
      <c r="K2043" t="s">
        <v>3492</v>
      </c>
      <c r="L2043" s="2">
        <v>2171.2941999999998</v>
      </c>
      <c r="M2043" s="2">
        <v>3578.27</v>
      </c>
      <c r="N2043" t="s">
        <v>30</v>
      </c>
      <c r="O2043" t="s">
        <v>108</v>
      </c>
      <c r="P2043" t="s">
        <v>250</v>
      </c>
      <c r="Q2043" t="s">
        <v>8371</v>
      </c>
      <c r="R2043" s="1">
        <v>21057</v>
      </c>
      <c r="S2043" t="s">
        <v>16</v>
      </c>
      <c r="T2043" t="s">
        <v>29</v>
      </c>
      <c r="U2043" t="s">
        <v>2871</v>
      </c>
      <c r="V2043">
        <v>40000</v>
      </c>
      <c r="W2043">
        <v>1</v>
      </c>
      <c r="X2043" t="s">
        <v>52</v>
      </c>
      <c r="Y2043" t="s">
        <v>60</v>
      </c>
      <c r="Z2043" t="s">
        <v>19</v>
      </c>
      <c r="AA2043" t="s">
        <v>3582</v>
      </c>
      <c r="AB2043" t="s">
        <v>3582</v>
      </c>
      <c r="AC2043" t="s">
        <v>3579</v>
      </c>
      <c r="AD2043" t="s">
        <v>3479</v>
      </c>
      <c r="AE2043" t="s">
        <v>3475</v>
      </c>
      <c r="AF2043" s="2">
        <v>3578.27</v>
      </c>
      <c r="AG2043" s="2">
        <v>2171.2941999999998</v>
      </c>
      <c r="AH2043" s="2">
        <v>1406.9757999999999</v>
      </c>
      <c r="AI2043" s="3">
        <v>0.39320001006072802</v>
      </c>
    </row>
    <row r="2044" spans="1:35">
      <c r="A2044" s="1">
        <v>42079</v>
      </c>
      <c r="B2044" s="1">
        <v>37246</v>
      </c>
      <c r="C2044" t="s">
        <v>4042</v>
      </c>
      <c r="D2044">
        <v>310</v>
      </c>
      <c r="E2044">
        <v>23283</v>
      </c>
      <c r="F2044">
        <v>6</v>
      </c>
      <c r="G2044">
        <v>1</v>
      </c>
      <c r="H2044">
        <v>1</v>
      </c>
      <c r="I2044">
        <v>2</v>
      </c>
      <c r="J2044" t="s">
        <v>3485</v>
      </c>
      <c r="K2044" t="s">
        <v>3486</v>
      </c>
      <c r="L2044" s="2">
        <v>2171.2941999999998</v>
      </c>
      <c r="M2044" s="2">
        <v>3578.27</v>
      </c>
      <c r="N2044" t="s">
        <v>30</v>
      </c>
      <c r="O2044" t="s">
        <v>409</v>
      </c>
      <c r="P2044" t="s">
        <v>25</v>
      </c>
      <c r="Q2044" t="s">
        <v>8372</v>
      </c>
      <c r="R2044" s="1">
        <v>21543</v>
      </c>
      <c r="S2044" t="s">
        <v>22</v>
      </c>
      <c r="T2044" t="s">
        <v>29</v>
      </c>
      <c r="U2044" t="s">
        <v>2872</v>
      </c>
      <c r="V2044">
        <v>40000</v>
      </c>
      <c r="W2044">
        <v>2</v>
      </c>
      <c r="X2044" t="s">
        <v>52</v>
      </c>
      <c r="Y2044" t="s">
        <v>60</v>
      </c>
      <c r="Z2044" t="s">
        <v>19</v>
      </c>
      <c r="AA2044" t="s">
        <v>3582</v>
      </c>
      <c r="AB2044" t="s">
        <v>3582</v>
      </c>
      <c r="AC2044" t="s">
        <v>3579</v>
      </c>
      <c r="AD2044" t="s">
        <v>3479</v>
      </c>
      <c r="AE2044" t="s">
        <v>3475</v>
      </c>
      <c r="AF2044" s="2">
        <v>3578.27</v>
      </c>
      <c r="AG2044" s="2">
        <v>2171.2941999999998</v>
      </c>
      <c r="AH2044" s="2">
        <v>1406.9757999999999</v>
      </c>
      <c r="AI2044" s="3">
        <v>0.39320001006072802</v>
      </c>
    </row>
    <row r="2045" spans="1:35">
      <c r="A2045" s="1">
        <v>42073</v>
      </c>
      <c r="B2045" s="1">
        <v>37310</v>
      </c>
      <c r="C2045" t="s">
        <v>4004</v>
      </c>
      <c r="D2045">
        <v>311</v>
      </c>
      <c r="E2045">
        <v>23306</v>
      </c>
      <c r="F2045">
        <v>6</v>
      </c>
      <c r="G2045">
        <v>1</v>
      </c>
      <c r="H2045">
        <v>1</v>
      </c>
      <c r="I2045">
        <v>2</v>
      </c>
      <c r="J2045" t="s">
        <v>3487</v>
      </c>
      <c r="K2045" t="s">
        <v>3488</v>
      </c>
      <c r="L2045" s="2">
        <v>2171.2941999999998</v>
      </c>
      <c r="M2045" s="2">
        <v>3578.27</v>
      </c>
      <c r="N2045" t="s">
        <v>13</v>
      </c>
      <c r="O2045" t="s">
        <v>231</v>
      </c>
      <c r="P2045" t="s">
        <v>460</v>
      </c>
      <c r="Q2045" t="s">
        <v>8373</v>
      </c>
      <c r="R2045" s="1">
        <v>28789</v>
      </c>
      <c r="S2045" t="s">
        <v>22</v>
      </c>
      <c r="T2045" t="s">
        <v>16</v>
      </c>
      <c r="U2045" t="s">
        <v>2873</v>
      </c>
      <c r="V2045">
        <v>40000</v>
      </c>
      <c r="W2045">
        <v>0</v>
      </c>
      <c r="X2045" t="s">
        <v>57</v>
      </c>
      <c r="Y2045" t="s">
        <v>53</v>
      </c>
      <c r="Z2045" t="s">
        <v>23</v>
      </c>
      <c r="AA2045" t="s">
        <v>3582</v>
      </c>
      <c r="AB2045" t="s">
        <v>3582</v>
      </c>
      <c r="AC2045" t="s">
        <v>3579</v>
      </c>
      <c r="AD2045" t="s">
        <v>3479</v>
      </c>
      <c r="AE2045" t="s">
        <v>3475</v>
      </c>
      <c r="AF2045" s="2">
        <v>3578.27</v>
      </c>
      <c r="AG2045" s="2">
        <v>2171.2941999999998</v>
      </c>
      <c r="AH2045" s="2">
        <v>1406.9757999999999</v>
      </c>
      <c r="AI2045" s="3">
        <v>0.39320001006072802</v>
      </c>
    </row>
    <row r="2046" spans="1:35">
      <c r="A2046" s="1">
        <v>42072</v>
      </c>
      <c r="B2046" s="1">
        <v>37291</v>
      </c>
      <c r="C2046" t="s">
        <v>4001</v>
      </c>
      <c r="D2046">
        <v>313</v>
      </c>
      <c r="E2046">
        <v>23351</v>
      </c>
      <c r="F2046">
        <v>6</v>
      </c>
      <c r="G2046">
        <v>1</v>
      </c>
      <c r="H2046">
        <v>1</v>
      </c>
      <c r="I2046">
        <v>2</v>
      </c>
      <c r="J2046" t="s">
        <v>3491</v>
      </c>
      <c r="K2046" t="s">
        <v>3492</v>
      </c>
      <c r="L2046" s="2">
        <v>2171.2941999999998</v>
      </c>
      <c r="M2046" s="2">
        <v>3578.27</v>
      </c>
      <c r="N2046" t="s">
        <v>13</v>
      </c>
      <c r="O2046" t="s">
        <v>176</v>
      </c>
      <c r="P2046" t="s">
        <v>109</v>
      </c>
      <c r="Q2046" t="s">
        <v>8374</v>
      </c>
      <c r="R2046" s="1">
        <v>27151</v>
      </c>
      <c r="S2046" t="s">
        <v>22</v>
      </c>
      <c r="T2046" t="s">
        <v>16</v>
      </c>
      <c r="U2046" t="s">
        <v>2874</v>
      </c>
      <c r="V2046">
        <v>50000</v>
      </c>
      <c r="W2046">
        <v>0</v>
      </c>
      <c r="X2046" t="s">
        <v>57</v>
      </c>
      <c r="Y2046" t="s">
        <v>18</v>
      </c>
      <c r="Z2046" t="s">
        <v>23</v>
      </c>
      <c r="AA2046" t="s">
        <v>3582</v>
      </c>
      <c r="AB2046" t="s">
        <v>3582</v>
      </c>
      <c r="AC2046" t="s">
        <v>3579</v>
      </c>
      <c r="AD2046" t="s">
        <v>3479</v>
      </c>
      <c r="AE2046" t="s">
        <v>3475</v>
      </c>
      <c r="AF2046" s="2">
        <v>3578.27</v>
      </c>
      <c r="AG2046" s="2">
        <v>2171.2941999999998</v>
      </c>
      <c r="AH2046" s="2">
        <v>1406.9757999999999</v>
      </c>
      <c r="AI2046" s="3">
        <v>0.39320001006072802</v>
      </c>
    </row>
    <row r="2047" spans="1:35">
      <c r="A2047" s="1">
        <v>42089</v>
      </c>
      <c r="B2047" s="1">
        <v>37299</v>
      </c>
      <c r="C2047" t="s">
        <v>4115</v>
      </c>
      <c r="D2047">
        <v>312</v>
      </c>
      <c r="E2047">
        <v>23376</v>
      </c>
      <c r="F2047">
        <v>6</v>
      </c>
      <c r="G2047">
        <v>1</v>
      </c>
      <c r="H2047">
        <v>1</v>
      </c>
      <c r="I2047">
        <v>2</v>
      </c>
      <c r="J2047" t="s">
        <v>3489</v>
      </c>
      <c r="K2047" t="s">
        <v>3490</v>
      </c>
      <c r="L2047" s="2">
        <v>2171.2941999999998</v>
      </c>
      <c r="M2047" s="2">
        <v>3578.27</v>
      </c>
      <c r="N2047" t="s">
        <v>13</v>
      </c>
      <c r="O2047" t="s">
        <v>433</v>
      </c>
      <c r="P2047" t="s">
        <v>113</v>
      </c>
      <c r="Q2047" t="s">
        <v>8375</v>
      </c>
      <c r="R2047" s="1">
        <v>22815</v>
      </c>
      <c r="S2047" t="s">
        <v>16</v>
      </c>
      <c r="T2047" t="s">
        <v>16</v>
      </c>
      <c r="U2047" t="s">
        <v>2875</v>
      </c>
      <c r="V2047">
        <v>70000</v>
      </c>
      <c r="W2047">
        <v>1</v>
      </c>
      <c r="X2047" t="s">
        <v>17</v>
      </c>
      <c r="Y2047" t="s">
        <v>18</v>
      </c>
      <c r="Z2047" t="s">
        <v>19</v>
      </c>
      <c r="AA2047" t="s">
        <v>3582</v>
      </c>
      <c r="AB2047" t="s">
        <v>3582</v>
      </c>
      <c r="AC2047" t="s">
        <v>3579</v>
      </c>
      <c r="AD2047" t="s">
        <v>3479</v>
      </c>
      <c r="AE2047" t="s">
        <v>3475</v>
      </c>
      <c r="AF2047" s="2">
        <v>3578.27</v>
      </c>
      <c r="AG2047" s="2">
        <v>2171.2941999999998</v>
      </c>
      <c r="AH2047" s="2">
        <v>1406.9757999999999</v>
      </c>
      <c r="AI2047" s="3">
        <v>0.39320001006072802</v>
      </c>
    </row>
    <row r="2048" spans="1:35">
      <c r="A2048" s="1">
        <v>42083</v>
      </c>
      <c r="B2048" s="1">
        <v>37280</v>
      </c>
      <c r="C2048" t="s">
        <v>4068</v>
      </c>
      <c r="D2048">
        <v>311</v>
      </c>
      <c r="E2048">
        <v>23378</v>
      </c>
      <c r="F2048">
        <v>6</v>
      </c>
      <c r="G2048">
        <v>1</v>
      </c>
      <c r="H2048">
        <v>1</v>
      </c>
      <c r="I2048">
        <v>2</v>
      </c>
      <c r="J2048" t="s">
        <v>3487</v>
      </c>
      <c r="K2048" t="s">
        <v>3488</v>
      </c>
      <c r="L2048" s="2">
        <v>2171.2941999999998</v>
      </c>
      <c r="M2048" s="2">
        <v>3578.27</v>
      </c>
      <c r="N2048" t="s">
        <v>13</v>
      </c>
      <c r="O2048" t="s">
        <v>393</v>
      </c>
      <c r="P2048" t="s">
        <v>177</v>
      </c>
      <c r="Q2048" t="s">
        <v>8376</v>
      </c>
      <c r="R2048" s="1">
        <v>22709</v>
      </c>
      <c r="S2048" t="s">
        <v>16</v>
      </c>
      <c r="T2048" t="s">
        <v>16</v>
      </c>
      <c r="U2048" t="s">
        <v>2876</v>
      </c>
      <c r="V2048">
        <v>70000</v>
      </c>
      <c r="W2048">
        <v>1</v>
      </c>
      <c r="X2048" t="s">
        <v>52</v>
      </c>
      <c r="Y2048" t="s">
        <v>53</v>
      </c>
      <c r="Z2048" t="s">
        <v>19</v>
      </c>
      <c r="AA2048" t="s">
        <v>3582</v>
      </c>
      <c r="AB2048" t="s">
        <v>3582</v>
      </c>
      <c r="AC2048" t="s">
        <v>3579</v>
      </c>
      <c r="AD2048" t="s">
        <v>3479</v>
      </c>
      <c r="AE2048" t="s">
        <v>3475</v>
      </c>
      <c r="AF2048" s="2">
        <v>3578.27</v>
      </c>
      <c r="AG2048" s="2">
        <v>2171.2941999999998</v>
      </c>
      <c r="AH2048" s="2">
        <v>1406.9757999999999</v>
      </c>
      <c r="AI2048" s="3">
        <v>0.39320001006072802</v>
      </c>
    </row>
    <row r="2049" spans="1:35">
      <c r="A2049" s="1">
        <v>42069</v>
      </c>
      <c r="B2049" s="1">
        <v>37287</v>
      </c>
      <c r="C2049" t="s">
        <v>3982</v>
      </c>
      <c r="D2049">
        <v>312</v>
      </c>
      <c r="E2049">
        <v>23385</v>
      </c>
      <c r="F2049">
        <v>6</v>
      </c>
      <c r="G2049">
        <v>1</v>
      </c>
      <c r="H2049">
        <v>1</v>
      </c>
      <c r="I2049">
        <v>2</v>
      </c>
      <c r="J2049" t="s">
        <v>3489</v>
      </c>
      <c r="K2049" t="s">
        <v>3490</v>
      </c>
      <c r="L2049" s="2">
        <v>2171.2941999999998</v>
      </c>
      <c r="M2049" s="2">
        <v>3578.27</v>
      </c>
      <c r="N2049" t="s">
        <v>13</v>
      </c>
      <c r="O2049" t="s">
        <v>743</v>
      </c>
      <c r="P2049" t="s">
        <v>286</v>
      </c>
      <c r="Q2049" t="s">
        <v>8377</v>
      </c>
      <c r="R2049" s="1">
        <v>22288</v>
      </c>
      <c r="S2049" t="s">
        <v>16</v>
      </c>
      <c r="T2049" t="s">
        <v>16</v>
      </c>
      <c r="U2049" t="s">
        <v>2877</v>
      </c>
      <c r="V2049">
        <v>60000</v>
      </c>
      <c r="W2049">
        <v>1</v>
      </c>
      <c r="X2049" t="s">
        <v>52</v>
      </c>
      <c r="Y2049" t="s">
        <v>53</v>
      </c>
      <c r="Z2049" t="s">
        <v>19</v>
      </c>
      <c r="AA2049" t="s">
        <v>3582</v>
      </c>
      <c r="AB2049" t="s">
        <v>3582</v>
      </c>
      <c r="AC2049" t="s">
        <v>3579</v>
      </c>
      <c r="AD2049" t="s">
        <v>3479</v>
      </c>
      <c r="AE2049" t="s">
        <v>3475</v>
      </c>
      <c r="AF2049" s="2">
        <v>3578.27</v>
      </c>
      <c r="AG2049" s="2">
        <v>2171.2941999999998</v>
      </c>
      <c r="AH2049" s="2">
        <v>1406.9757999999999</v>
      </c>
      <c r="AI2049" s="3">
        <v>0.39320001006072802</v>
      </c>
    </row>
    <row r="2050" spans="1:35">
      <c r="A2050" s="1">
        <v>42124</v>
      </c>
      <c r="B2050" s="1">
        <v>37272</v>
      </c>
      <c r="C2050" t="s">
        <v>4337</v>
      </c>
      <c r="D2050">
        <v>313</v>
      </c>
      <c r="E2050">
        <v>23396</v>
      </c>
      <c r="F2050">
        <v>6</v>
      </c>
      <c r="G2050">
        <v>1</v>
      </c>
      <c r="H2050">
        <v>1</v>
      </c>
      <c r="I2050">
        <v>2</v>
      </c>
      <c r="J2050" t="s">
        <v>3491</v>
      </c>
      <c r="K2050" t="s">
        <v>3492</v>
      </c>
      <c r="L2050" s="2">
        <v>2171.2941999999998</v>
      </c>
      <c r="M2050" s="2">
        <v>3578.27</v>
      </c>
      <c r="N2050" t="s">
        <v>30</v>
      </c>
      <c r="O2050" t="s">
        <v>703</v>
      </c>
      <c r="P2050" t="s">
        <v>239</v>
      </c>
      <c r="Q2050" t="s">
        <v>8378</v>
      </c>
      <c r="R2050" s="1">
        <v>22194</v>
      </c>
      <c r="S2050" t="s">
        <v>16</v>
      </c>
      <c r="T2050" t="s">
        <v>29</v>
      </c>
      <c r="U2050" t="s">
        <v>2878</v>
      </c>
      <c r="V2050">
        <v>60000</v>
      </c>
      <c r="W2050">
        <v>1</v>
      </c>
      <c r="X2050" t="s">
        <v>52</v>
      </c>
      <c r="Y2050" t="s">
        <v>53</v>
      </c>
      <c r="Z2050" t="s">
        <v>19</v>
      </c>
      <c r="AA2050" t="s">
        <v>3582</v>
      </c>
      <c r="AB2050" t="s">
        <v>3582</v>
      </c>
      <c r="AC2050" t="s">
        <v>3579</v>
      </c>
      <c r="AD2050" t="s">
        <v>3479</v>
      </c>
      <c r="AE2050" t="s">
        <v>3475</v>
      </c>
      <c r="AF2050" s="2">
        <v>3578.27</v>
      </c>
      <c r="AG2050" s="2">
        <v>2171.2941999999998</v>
      </c>
      <c r="AH2050" s="2">
        <v>1406.9757999999999</v>
      </c>
      <c r="AI2050" s="3">
        <v>0.39320001006072802</v>
      </c>
    </row>
    <row r="2051" spans="1:35">
      <c r="A2051" s="1">
        <v>42106</v>
      </c>
      <c r="B2051" s="1">
        <v>37318</v>
      </c>
      <c r="C2051" t="s">
        <v>4206</v>
      </c>
      <c r="D2051">
        <v>310</v>
      </c>
      <c r="E2051">
        <v>23397</v>
      </c>
      <c r="F2051">
        <v>6</v>
      </c>
      <c r="G2051">
        <v>1</v>
      </c>
      <c r="H2051">
        <v>1</v>
      </c>
      <c r="I2051">
        <v>2</v>
      </c>
      <c r="J2051" t="s">
        <v>3485</v>
      </c>
      <c r="K2051" t="s">
        <v>3486</v>
      </c>
      <c r="L2051" s="2">
        <v>2171.2941999999998</v>
      </c>
      <c r="M2051" s="2">
        <v>3578.27</v>
      </c>
      <c r="N2051" t="s">
        <v>30</v>
      </c>
      <c r="O2051" t="s">
        <v>1040</v>
      </c>
      <c r="P2051" t="s">
        <v>184</v>
      </c>
      <c r="Q2051" t="s">
        <v>8379</v>
      </c>
      <c r="R2051" s="1">
        <v>22024</v>
      </c>
      <c r="S2051" t="s">
        <v>16</v>
      </c>
      <c r="T2051" t="s">
        <v>29</v>
      </c>
      <c r="U2051" t="s">
        <v>2879</v>
      </c>
      <c r="V2051">
        <v>60000</v>
      </c>
      <c r="W2051">
        <v>1</v>
      </c>
      <c r="X2051" t="s">
        <v>52</v>
      </c>
      <c r="Y2051" t="s">
        <v>53</v>
      </c>
      <c r="Z2051" t="s">
        <v>19</v>
      </c>
      <c r="AA2051" t="s">
        <v>3582</v>
      </c>
      <c r="AB2051" t="s">
        <v>3582</v>
      </c>
      <c r="AC2051" t="s">
        <v>3579</v>
      </c>
      <c r="AD2051" t="s">
        <v>3479</v>
      </c>
      <c r="AE2051" t="s">
        <v>3475</v>
      </c>
      <c r="AF2051" s="2">
        <v>3578.27</v>
      </c>
      <c r="AG2051" s="2">
        <v>2171.2941999999998</v>
      </c>
      <c r="AH2051" s="2">
        <v>1406.9757999999999</v>
      </c>
      <c r="AI2051" s="3">
        <v>0.39320001006072802</v>
      </c>
    </row>
    <row r="2052" spans="1:35">
      <c r="A2052" s="1">
        <v>42112</v>
      </c>
      <c r="B2052" s="1">
        <v>37327</v>
      </c>
      <c r="C2052" t="s">
        <v>4250</v>
      </c>
      <c r="D2052">
        <v>311</v>
      </c>
      <c r="E2052">
        <v>23486</v>
      </c>
      <c r="F2052">
        <v>6</v>
      </c>
      <c r="G2052">
        <v>1</v>
      </c>
      <c r="H2052">
        <v>1</v>
      </c>
      <c r="I2052">
        <v>2</v>
      </c>
      <c r="J2052" t="s">
        <v>3487</v>
      </c>
      <c r="K2052" t="s">
        <v>3488</v>
      </c>
      <c r="L2052" s="2">
        <v>2171.2941999999998</v>
      </c>
      <c r="M2052" s="2">
        <v>3578.27</v>
      </c>
      <c r="N2052" t="s">
        <v>13</v>
      </c>
      <c r="O2052" t="s">
        <v>719</v>
      </c>
      <c r="P2052" t="s">
        <v>264</v>
      </c>
      <c r="Q2052" t="s">
        <v>8380</v>
      </c>
      <c r="R2052" s="1">
        <v>22976</v>
      </c>
      <c r="S2052" t="s">
        <v>22</v>
      </c>
      <c r="T2052" t="s">
        <v>16</v>
      </c>
      <c r="U2052" t="s">
        <v>2880</v>
      </c>
      <c r="V2052">
        <v>80000</v>
      </c>
      <c r="W2052">
        <v>5</v>
      </c>
      <c r="X2052" t="s">
        <v>52</v>
      </c>
      <c r="Y2052" t="s">
        <v>18</v>
      </c>
      <c r="Z2052" t="s">
        <v>19</v>
      </c>
      <c r="AA2052" t="s">
        <v>3582</v>
      </c>
      <c r="AB2052" t="s">
        <v>3582</v>
      </c>
      <c r="AC2052" t="s">
        <v>3579</v>
      </c>
      <c r="AD2052" t="s">
        <v>3479</v>
      </c>
      <c r="AE2052" t="s">
        <v>3475</v>
      </c>
      <c r="AF2052" s="2">
        <v>3578.27</v>
      </c>
      <c r="AG2052" s="2">
        <v>2171.2941999999998</v>
      </c>
      <c r="AH2052" s="2">
        <v>1406.9757999999999</v>
      </c>
      <c r="AI2052" s="3">
        <v>0.39320001006072802</v>
      </c>
    </row>
    <row r="2053" spans="1:35">
      <c r="A2053" s="1">
        <v>42124</v>
      </c>
      <c r="B2053" s="1">
        <v>37291</v>
      </c>
      <c r="C2053" t="s">
        <v>4336</v>
      </c>
      <c r="D2053">
        <v>313</v>
      </c>
      <c r="E2053">
        <v>23511</v>
      </c>
      <c r="F2053">
        <v>6</v>
      </c>
      <c r="G2053">
        <v>1</v>
      </c>
      <c r="H2053">
        <v>1</v>
      </c>
      <c r="I2053">
        <v>2</v>
      </c>
      <c r="J2053" t="s">
        <v>3491</v>
      </c>
      <c r="K2053" t="s">
        <v>3492</v>
      </c>
      <c r="L2053" s="2">
        <v>2171.2941999999998</v>
      </c>
      <c r="M2053" s="2">
        <v>3578.27</v>
      </c>
      <c r="N2053" t="s">
        <v>13</v>
      </c>
      <c r="O2053" t="s">
        <v>792</v>
      </c>
      <c r="P2053" t="s">
        <v>293</v>
      </c>
      <c r="Q2053" t="s">
        <v>8381</v>
      </c>
      <c r="R2053" s="1">
        <v>19619</v>
      </c>
      <c r="S2053" t="s">
        <v>16</v>
      </c>
      <c r="T2053" t="s">
        <v>16</v>
      </c>
      <c r="U2053" t="s">
        <v>2881</v>
      </c>
      <c r="V2053">
        <v>60000</v>
      </c>
      <c r="W2053">
        <v>3</v>
      </c>
      <c r="X2053" t="s">
        <v>135</v>
      </c>
      <c r="Y2053" t="s">
        <v>45</v>
      </c>
      <c r="Z2053" t="s">
        <v>19</v>
      </c>
      <c r="AA2053" t="s">
        <v>3582</v>
      </c>
      <c r="AB2053" t="s">
        <v>3582</v>
      </c>
      <c r="AC2053" t="s">
        <v>3579</v>
      </c>
      <c r="AD2053" t="s">
        <v>3479</v>
      </c>
      <c r="AE2053" t="s">
        <v>3475</v>
      </c>
      <c r="AF2053" s="2">
        <v>3578.27</v>
      </c>
      <c r="AG2053" s="2">
        <v>2171.2941999999998</v>
      </c>
      <c r="AH2053" s="2">
        <v>1406.9757999999999</v>
      </c>
      <c r="AI2053" s="3">
        <v>0.39320001006072802</v>
      </c>
    </row>
    <row r="2054" spans="1:35">
      <c r="A2054" s="1">
        <v>42100</v>
      </c>
      <c r="B2054" s="1">
        <v>37317</v>
      </c>
      <c r="C2054" t="s">
        <v>4170</v>
      </c>
      <c r="D2054">
        <v>311</v>
      </c>
      <c r="E2054">
        <v>23566</v>
      </c>
      <c r="F2054">
        <v>6</v>
      </c>
      <c r="G2054">
        <v>1</v>
      </c>
      <c r="H2054">
        <v>1</v>
      </c>
      <c r="I2054">
        <v>2</v>
      </c>
      <c r="J2054" t="s">
        <v>3487</v>
      </c>
      <c r="K2054" t="s">
        <v>3488</v>
      </c>
      <c r="L2054" s="2">
        <v>2171.2941999999998</v>
      </c>
      <c r="M2054" s="2">
        <v>3578.27</v>
      </c>
      <c r="N2054" t="s">
        <v>13</v>
      </c>
      <c r="O2054" t="s">
        <v>719</v>
      </c>
      <c r="P2054" t="s">
        <v>468</v>
      </c>
      <c r="Q2054" t="s">
        <v>8382</v>
      </c>
      <c r="R2054" s="1">
        <v>28941</v>
      </c>
      <c r="S2054" t="s">
        <v>22</v>
      </c>
      <c r="T2054" t="s">
        <v>16</v>
      </c>
      <c r="U2054" t="s">
        <v>2882</v>
      </c>
      <c r="V2054">
        <v>30000</v>
      </c>
      <c r="W2054">
        <v>0</v>
      </c>
      <c r="X2054" t="s">
        <v>77</v>
      </c>
      <c r="Y2054" t="s">
        <v>60</v>
      </c>
      <c r="Z2054" t="s">
        <v>23</v>
      </c>
      <c r="AA2054" t="s">
        <v>3582</v>
      </c>
      <c r="AB2054" t="s">
        <v>3582</v>
      </c>
      <c r="AC2054" t="s">
        <v>3579</v>
      </c>
      <c r="AD2054" t="s">
        <v>3479</v>
      </c>
      <c r="AE2054" t="s">
        <v>3475</v>
      </c>
      <c r="AF2054" s="2">
        <v>3578.27</v>
      </c>
      <c r="AG2054" s="2">
        <v>2171.2941999999998</v>
      </c>
      <c r="AH2054" s="2">
        <v>1406.9757999999999</v>
      </c>
      <c r="AI2054" s="3">
        <v>0.39320001006072802</v>
      </c>
    </row>
    <row r="2055" spans="1:35">
      <c r="A2055" s="1">
        <v>42123</v>
      </c>
      <c r="B2055" s="1">
        <v>37260</v>
      </c>
      <c r="C2055" t="s">
        <v>4322</v>
      </c>
      <c r="D2055">
        <v>311</v>
      </c>
      <c r="E2055">
        <v>23583</v>
      </c>
      <c r="F2055">
        <v>6</v>
      </c>
      <c r="G2055">
        <v>1</v>
      </c>
      <c r="H2055">
        <v>1</v>
      </c>
      <c r="I2055">
        <v>2</v>
      </c>
      <c r="J2055" t="s">
        <v>3487</v>
      </c>
      <c r="K2055" t="s">
        <v>3488</v>
      </c>
      <c r="L2055" s="2">
        <v>2171.2941999999998</v>
      </c>
      <c r="M2055" s="2">
        <v>3578.27</v>
      </c>
      <c r="N2055" t="s">
        <v>26</v>
      </c>
      <c r="O2055" t="s">
        <v>251</v>
      </c>
      <c r="P2055" t="s">
        <v>103</v>
      </c>
      <c r="Q2055" t="s">
        <v>8383</v>
      </c>
      <c r="R2055" s="1">
        <v>27006</v>
      </c>
      <c r="S2055" t="s">
        <v>16</v>
      </c>
      <c r="T2055" t="s">
        <v>29</v>
      </c>
      <c r="U2055" t="s">
        <v>2883</v>
      </c>
      <c r="V2055">
        <v>60000</v>
      </c>
      <c r="W2055">
        <v>0</v>
      </c>
      <c r="X2055" t="s">
        <v>52</v>
      </c>
      <c r="Y2055" t="s">
        <v>53</v>
      </c>
      <c r="Z2055" t="s">
        <v>19</v>
      </c>
      <c r="AA2055" t="s">
        <v>3582</v>
      </c>
      <c r="AB2055" t="s">
        <v>3582</v>
      </c>
      <c r="AC2055" t="s">
        <v>3579</v>
      </c>
      <c r="AD2055" t="s">
        <v>3479</v>
      </c>
      <c r="AE2055" t="s">
        <v>3475</v>
      </c>
      <c r="AF2055" s="2">
        <v>3578.27</v>
      </c>
      <c r="AG2055" s="2">
        <v>2171.2941999999998</v>
      </c>
      <c r="AH2055" s="2">
        <v>1406.9757999999999</v>
      </c>
      <c r="AI2055" s="3">
        <v>0.39320001006072802</v>
      </c>
    </row>
    <row r="2056" spans="1:35">
      <c r="A2056" s="1">
        <v>42100</v>
      </c>
      <c r="B2056" s="1">
        <v>37301</v>
      </c>
      <c r="C2056" t="s">
        <v>4172</v>
      </c>
      <c r="D2056">
        <v>314</v>
      </c>
      <c r="E2056">
        <v>23592</v>
      </c>
      <c r="F2056">
        <v>6</v>
      </c>
      <c r="G2056">
        <v>1</v>
      </c>
      <c r="H2056">
        <v>1</v>
      </c>
      <c r="I2056">
        <v>2</v>
      </c>
      <c r="J2056" t="s">
        <v>3493</v>
      </c>
      <c r="K2056" t="s">
        <v>3494</v>
      </c>
      <c r="L2056" s="2">
        <v>2171.2941999999998</v>
      </c>
      <c r="M2056" s="2">
        <v>3578.27</v>
      </c>
      <c r="N2056" t="s">
        <v>13</v>
      </c>
      <c r="O2056" t="s">
        <v>485</v>
      </c>
      <c r="P2056" t="s">
        <v>393</v>
      </c>
      <c r="Q2056" t="s">
        <v>8384</v>
      </c>
      <c r="R2056" s="1">
        <v>23276</v>
      </c>
      <c r="S2056" t="s">
        <v>22</v>
      </c>
      <c r="T2056" t="s">
        <v>16</v>
      </c>
      <c r="U2056" t="s">
        <v>2884</v>
      </c>
      <c r="V2056">
        <v>80000</v>
      </c>
      <c r="W2056">
        <v>4</v>
      </c>
      <c r="X2056" t="s">
        <v>17</v>
      </c>
      <c r="Y2056" t="s">
        <v>45</v>
      </c>
      <c r="Z2056" t="s">
        <v>19</v>
      </c>
      <c r="AA2056" t="s">
        <v>3582</v>
      </c>
      <c r="AB2056" t="s">
        <v>3582</v>
      </c>
      <c r="AC2056" t="s">
        <v>3579</v>
      </c>
      <c r="AD2056" t="s">
        <v>3479</v>
      </c>
      <c r="AE2056" t="s">
        <v>3475</v>
      </c>
      <c r="AF2056" s="2">
        <v>3578.27</v>
      </c>
      <c r="AG2056" s="2">
        <v>2171.2941999999998</v>
      </c>
      <c r="AH2056" s="2">
        <v>1406.9757999999999</v>
      </c>
      <c r="AI2056" s="3">
        <v>0.39320001006072802</v>
      </c>
    </row>
    <row r="2057" spans="1:35">
      <c r="A2057" s="1">
        <v>42097</v>
      </c>
      <c r="B2057" s="1">
        <v>37270</v>
      </c>
      <c r="C2057" t="s">
        <v>4151</v>
      </c>
      <c r="D2057">
        <v>314</v>
      </c>
      <c r="E2057">
        <v>23725</v>
      </c>
      <c r="F2057">
        <v>6</v>
      </c>
      <c r="G2057">
        <v>1</v>
      </c>
      <c r="H2057">
        <v>1</v>
      </c>
      <c r="I2057">
        <v>2</v>
      </c>
      <c r="J2057" t="s">
        <v>3493</v>
      </c>
      <c r="K2057" t="s">
        <v>3494</v>
      </c>
      <c r="L2057" s="2">
        <v>2171.2941999999998</v>
      </c>
      <c r="M2057" s="2">
        <v>3578.27</v>
      </c>
      <c r="N2057" t="s">
        <v>73</v>
      </c>
      <c r="O2057" t="s">
        <v>348</v>
      </c>
      <c r="P2057" t="s">
        <v>1640</v>
      </c>
      <c r="Q2057" t="s">
        <v>8385</v>
      </c>
      <c r="R2057" s="1">
        <v>18540</v>
      </c>
      <c r="S2057" t="s">
        <v>16</v>
      </c>
      <c r="T2057" t="s">
        <v>76</v>
      </c>
      <c r="U2057" t="s">
        <v>2885</v>
      </c>
      <c r="V2057">
        <v>40000</v>
      </c>
      <c r="W2057">
        <v>2</v>
      </c>
      <c r="X2057" t="s">
        <v>77</v>
      </c>
      <c r="Y2057" t="s">
        <v>53</v>
      </c>
      <c r="Z2057" t="s">
        <v>19</v>
      </c>
      <c r="AA2057" t="s">
        <v>3582</v>
      </c>
      <c r="AB2057" t="s">
        <v>3582</v>
      </c>
      <c r="AC2057" t="s">
        <v>3579</v>
      </c>
      <c r="AD2057" t="s">
        <v>3479</v>
      </c>
      <c r="AE2057" t="s">
        <v>3475</v>
      </c>
      <c r="AF2057" s="2">
        <v>3578.27</v>
      </c>
      <c r="AG2057" s="2">
        <v>2171.2941999999998</v>
      </c>
      <c r="AH2057" s="2">
        <v>1406.9757999999999</v>
      </c>
      <c r="AI2057" s="3">
        <v>0.39320001006072802</v>
      </c>
    </row>
    <row r="2058" spans="1:35">
      <c r="A2058" s="1">
        <v>42111</v>
      </c>
      <c r="B2058" s="1">
        <v>37291</v>
      </c>
      <c r="C2058" t="s">
        <v>4246</v>
      </c>
      <c r="D2058">
        <v>311</v>
      </c>
      <c r="E2058">
        <v>23730</v>
      </c>
      <c r="F2058">
        <v>6</v>
      </c>
      <c r="G2058">
        <v>1</v>
      </c>
      <c r="H2058">
        <v>1</v>
      </c>
      <c r="I2058">
        <v>2</v>
      </c>
      <c r="J2058" t="s">
        <v>3487</v>
      </c>
      <c r="K2058" t="s">
        <v>3488</v>
      </c>
      <c r="L2058" s="2">
        <v>2171.2941999999998</v>
      </c>
      <c r="M2058" s="2">
        <v>3578.27</v>
      </c>
      <c r="N2058" t="s">
        <v>30</v>
      </c>
      <c r="O2058" t="s">
        <v>252</v>
      </c>
      <c r="P2058" t="s">
        <v>293</v>
      </c>
      <c r="Q2058" t="s">
        <v>8386</v>
      </c>
      <c r="R2058" s="1">
        <v>18701</v>
      </c>
      <c r="S2058" t="s">
        <v>16</v>
      </c>
      <c r="T2058" t="s">
        <v>29</v>
      </c>
      <c r="U2058" t="s">
        <v>2886</v>
      </c>
      <c r="V2058">
        <v>60000</v>
      </c>
      <c r="W2058">
        <v>2</v>
      </c>
      <c r="X2058" t="s">
        <v>57</v>
      </c>
      <c r="Y2058" t="s">
        <v>18</v>
      </c>
      <c r="Z2058" t="s">
        <v>19</v>
      </c>
      <c r="AA2058" t="s">
        <v>3582</v>
      </c>
      <c r="AB2058" t="s">
        <v>3582</v>
      </c>
      <c r="AC2058" t="s">
        <v>3579</v>
      </c>
      <c r="AD2058" t="s">
        <v>3479</v>
      </c>
      <c r="AE2058" t="s">
        <v>3475</v>
      </c>
      <c r="AF2058" s="2">
        <v>3578.27</v>
      </c>
      <c r="AG2058" s="2">
        <v>2171.2941999999998</v>
      </c>
      <c r="AH2058" s="2">
        <v>1406.9757999999999</v>
      </c>
      <c r="AI2058" s="3">
        <v>0.39320001006072802</v>
      </c>
    </row>
    <row r="2059" spans="1:35">
      <c r="A2059" s="1">
        <v>42111</v>
      </c>
      <c r="B2059" s="1">
        <v>37243</v>
      </c>
      <c r="C2059" t="s">
        <v>4245</v>
      </c>
      <c r="D2059">
        <v>314</v>
      </c>
      <c r="E2059">
        <v>23731</v>
      </c>
      <c r="F2059">
        <v>6</v>
      </c>
      <c r="G2059">
        <v>1</v>
      </c>
      <c r="H2059">
        <v>1</v>
      </c>
      <c r="I2059">
        <v>2</v>
      </c>
      <c r="J2059" t="s">
        <v>3493</v>
      </c>
      <c r="K2059" t="s">
        <v>3494</v>
      </c>
      <c r="L2059" s="2">
        <v>2171.2941999999998</v>
      </c>
      <c r="M2059" s="2">
        <v>3578.27</v>
      </c>
      <c r="N2059" t="s">
        <v>13</v>
      </c>
      <c r="O2059" t="s">
        <v>304</v>
      </c>
      <c r="P2059" t="s">
        <v>366</v>
      </c>
      <c r="Q2059" t="s">
        <v>8387</v>
      </c>
      <c r="R2059" s="1">
        <v>18950</v>
      </c>
      <c r="S2059" t="s">
        <v>16</v>
      </c>
      <c r="T2059" t="s">
        <v>16</v>
      </c>
      <c r="U2059" t="s">
        <v>2887</v>
      </c>
      <c r="V2059">
        <v>60000</v>
      </c>
      <c r="W2059">
        <v>2</v>
      </c>
      <c r="X2059" t="s">
        <v>57</v>
      </c>
      <c r="Y2059" t="s">
        <v>18</v>
      </c>
      <c r="Z2059" t="s">
        <v>19</v>
      </c>
      <c r="AA2059" t="s">
        <v>3582</v>
      </c>
      <c r="AB2059" t="s">
        <v>3582</v>
      </c>
      <c r="AC2059" t="s">
        <v>3579</v>
      </c>
      <c r="AD2059" t="s">
        <v>3479</v>
      </c>
      <c r="AE2059" t="s">
        <v>3475</v>
      </c>
      <c r="AF2059" s="2">
        <v>3578.27</v>
      </c>
      <c r="AG2059" s="2">
        <v>2171.2941999999998</v>
      </c>
      <c r="AH2059" s="2">
        <v>1406.9757999999999</v>
      </c>
      <c r="AI2059" s="3">
        <v>0.39320001006072802</v>
      </c>
    </row>
    <row r="2060" spans="1:35">
      <c r="A2060" s="1">
        <v>42123</v>
      </c>
      <c r="B2060" s="1">
        <v>37292</v>
      </c>
      <c r="C2060" t="s">
        <v>4328</v>
      </c>
      <c r="D2060">
        <v>310</v>
      </c>
      <c r="E2060">
        <v>23806</v>
      </c>
      <c r="F2060">
        <v>6</v>
      </c>
      <c r="G2060">
        <v>1</v>
      </c>
      <c r="H2060">
        <v>1</v>
      </c>
      <c r="I2060">
        <v>2</v>
      </c>
      <c r="J2060" t="s">
        <v>3485</v>
      </c>
      <c r="K2060" t="s">
        <v>3486</v>
      </c>
      <c r="L2060" s="2">
        <v>2171.2941999999998</v>
      </c>
      <c r="M2060" s="2">
        <v>3578.27</v>
      </c>
      <c r="N2060" t="s">
        <v>30</v>
      </c>
      <c r="O2060" t="s">
        <v>333</v>
      </c>
      <c r="P2060" t="s">
        <v>321</v>
      </c>
      <c r="Q2060" t="s">
        <v>8388</v>
      </c>
      <c r="R2060" s="1">
        <v>21416</v>
      </c>
      <c r="S2060" t="s">
        <v>16</v>
      </c>
      <c r="T2060" t="s">
        <v>29</v>
      </c>
      <c r="U2060" t="s">
        <v>2888</v>
      </c>
      <c r="V2060">
        <v>30000</v>
      </c>
      <c r="W2060">
        <v>2</v>
      </c>
      <c r="X2060" t="s">
        <v>57</v>
      </c>
      <c r="Y2060" t="s">
        <v>53</v>
      </c>
      <c r="Z2060" t="s">
        <v>19</v>
      </c>
      <c r="AA2060" t="s">
        <v>3582</v>
      </c>
      <c r="AB2060" t="s">
        <v>3582</v>
      </c>
      <c r="AC2060" t="s">
        <v>3579</v>
      </c>
      <c r="AD2060" t="s">
        <v>3479</v>
      </c>
      <c r="AE2060" t="s">
        <v>3475</v>
      </c>
      <c r="AF2060" s="2">
        <v>3578.27</v>
      </c>
      <c r="AG2060" s="2">
        <v>2171.2941999999998</v>
      </c>
      <c r="AH2060" s="2">
        <v>1406.9757999999999</v>
      </c>
      <c r="AI2060" s="3">
        <v>0.39320001006072802</v>
      </c>
    </row>
    <row r="2061" spans="1:35">
      <c r="A2061" s="1">
        <v>42110</v>
      </c>
      <c r="B2061" s="1">
        <v>37328</v>
      </c>
      <c r="C2061" t="s">
        <v>4238</v>
      </c>
      <c r="D2061">
        <v>312</v>
      </c>
      <c r="E2061">
        <v>23819</v>
      </c>
      <c r="F2061">
        <v>6</v>
      </c>
      <c r="G2061">
        <v>1</v>
      </c>
      <c r="H2061">
        <v>1</v>
      </c>
      <c r="I2061">
        <v>2</v>
      </c>
      <c r="J2061" t="s">
        <v>3489</v>
      </c>
      <c r="K2061" t="s">
        <v>3490</v>
      </c>
      <c r="L2061" s="2">
        <v>2171.2941999999998</v>
      </c>
      <c r="M2061" s="2">
        <v>3578.27</v>
      </c>
      <c r="N2061" t="s">
        <v>73</v>
      </c>
      <c r="O2061" t="s">
        <v>1315</v>
      </c>
      <c r="P2061" t="s">
        <v>594</v>
      </c>
      <c r="Q2061" t="s">
        <v>8389</v>
      </c>
      <c r="R2061" s="1">
        <v>26768</v>
      </c>
      <c r="S2061" t="s">
        <v>16</v>
      </c>
      <c r="T2061" t="s">
        <v>76</v>
      </c>
      <c r="U2061" t="s">
        <v>2889</v>
      </c>
      <c r="V2061">
        <v>40000</v>
      </c>
      <c r="W2061">
        <v>0</v>
      </c>
      <c r="X2061" t="s">
        <v>135</v>
      </c>
      <c r="Y2061" t="s">
        <v>53</v>
      </c>
      <c r="Z2061" t="s">
        <v>19</v>
      </c>
      <c r="AA2061" t="s">
        <v>3582</v>
      </c>
      <c r="AB2061" t="s">
        <v>3582</v>
      </c>
      <c r="AC2061" t="s">
        <v>3579</v>
      </c>
      <c r="AD2061" t="s">
        <v>3479</v>
      </c>
      <c r="AE2061" t="s">
        <v>3475</v>
      </c>
      <c r="AF2061" s="2">
        <v>3578.27</v>
      </c>
      <c r="AG2061" s="2">
        <v>2171.2941999999998</v>
      </c>
      <c r="AH2061" s="2">
        <v>1406.9757999999999</v>
      </c>
      <c r="AI2061" s="3">
        <v>0.39320001006072802</v>
      </c>
    </row>
    <row r="2062" spans="1:35">
      <c r="A2062" s="1">
        <v>42102</v>
      </c>
      <c r="B2062" s="1">
        <v>37339</v>
      </c>
      <c r="C2062" t="s">
        <v>4184</v>
      </c>
      <c r="D2062">
        <v>312</v>
      </c>
      <c r="E2062">
        <v>23829</v>
      </c>
      <c r="F2062">
        <v>6</v>
      </c>
      <c r="G2062">
        <v>1</v>
      </c>
      <c r="H2062">
        <v>1</v>
      </c>
      <c r="I2062">
        <v>2</v>
      </c>
      <c r="J2062" t="s">
        <v>3489</v>
      </c>
      <c r="K2062" t="s">
        <v>3490</v>
      </c>
      <c r="L2062" s="2">
        <v>2171.2941999999998</v>
      </c>
      <c r="M2062" s="2">
        <v>3578.27</v>
      </c>
      <c r="N2062" t="s">
        <v>13</v>
      </c>
      <c r="O2062" t="s">
        <v>1449</v>
      </c>
      <c r="P2062" t="s">
        <v>293</v>
      </c>
      <c r="Q2062" t="s">
        <v>8390</v>
      </c>
      <c r="R2062" s="1">
        <v>26626</v>
      </c>
      <c r="S2062" t="s">
        <v>16</v>
      </c>
      <c r="T2062" t="s">
        <v>16</v>
      </c>
      <c r="U2062" t="s">
        <v>2890</v>
      </c>
      <c r="V2062">
        <v>50000</v>
      </c>
      <c r="W2062">
        <v>1</v>
      </c>
      <c r="X2062" t="s">
        <v>135</v>
      </c>
      <c r="Y2062" t="s">
        <v>53</v>
      </c>
      <c r="Z2062" t="s">
        <v>19</v>
      </c>
      <c r="AA2062" t="s">
        <v>3582</v>
      </c>
      <c r="AB2062" t="s">
        <v>3582</v>
      </c>
      <c r="AC2062" t="s">
        <v>3579</v>
      </c>
      <c r="AD2062" t="s">
        <v>3479</v>
      </c>
      <c r="AE2062" t="s">
        <v>3475</v>
      </c>
      <c r="AF2062" s="2">
        <v>3578.27</v>
      </c>
      <c r="AG2062" s="2">
        <v>2171.2941999999998</v>
      </c>
      <c r="AH2062" s="2">
        <v>1406.9757999999999</v>
      </c>
      <c r="AI2062" s="3">
        <v>0.39320001006072802</v>
      </c>
    </row>
    <row r="2063" spans="1:35">
      <c r="A2063" s="1">
        <v>42109</v>
      </c>
      <c r="B2063" s="1">
        <v>37329</v>
      </c>
      <c r="C2063" t="s">
        <v>4220</v>
      </c>
      <c r="D2063">
        <v>310</v>
      </c>
      <c r="E2063">
        <v>23830</v>
      </c>
      <c r="F2063">
        <v>6</v>
      </c>
      <c r="G2063">
        <v>1</v>
      </c>
      <c r="H2063">
        <v>1</v>
      </c>
      <c r="I2063">
        <v>2</v>
      </c>
      <c r="J2063" t="s">
        <v>3485</v>
      </c>
      <c r="K2063" t="s">
        <v>3486</v>
      </c>
      <c r="L2063" s="2">
        <v>2171.2941999999998</v>
      </c>
      <c r="M2063" s="2">
        <v>3578.27</v>
      </c>
      <c r="N2063" t="s">
        <v>13</v>
      </c>
      <c r="O2063" t="s">
        <v>415</v>
      </c>
      <c r="P2063" t="s">
        <v>688</v>
      </c>
      <c r="Q2063" t="s">
        <v>8391</v>
      </c>
      <c r="R2063" s="1">
        <v>26547</v>
      </c>
      <c r="S2063" t="s">
        <v>16</v>
      </c>
      <c r="T2063" t="s">
        <v>16</v>
      </c>
      <c r="U2063" t="s">
        <v>2891</v>
      </c>
      <c r="V2063">
        <v>50000</v>
      </c>
      <c r="W2063">
        <v>1</v>
      </c>
      <c r="X2063" t="s">
        <v>135</v>
      </c>
      <c r="Y2063" t="s">
        <v>53</v>
      </c>
      <c r="Z2063" t="s">
        <v>19</v>
      </c>
      <c r="AA2063" t="s">
        <v>3582</v>
      </c>
      <c r="AB2063" t="s">
        <v>3582</v>
      </c>
      <c r="AC2063" t="s">
        <v>3579</v>
      </c>
      <c r="AD2063" t="s">
        <v>3479</v>
      </c>
      <c r="AE2063" t="s">
        <v>3475</v>
      </c>
      <c r="AF2063" s="2">
        <v>3578.27</v>
      </c>
      <c r="AG2063" s="2">
        <v>2171.2941999999998</v>
      </c>
      <c r="AH2063" s="2">
        <v>1406.9757999999999</v>
      </c>
      <c r="AI2063" s="3">
        <v>0.39320001006072802</v>
      </c>
    </row>
    <row r="2064" spans="1:35">
      <c r="A2064" s="1">
        <v>42107</v>
      </c>
      <c r="B2064" s="1">
        <v>37243</v>
      </c>
      <c r="C2064" t="s">
        <v>4213</v>
      </c>
      <c r="D2064">
        <v>313</v>
      </c>
      <c r="E2064">
        <v>23842</v>
      </c>
      <c r="F2064">
        <v>6</v>
      </c>
      <c r="G2064">
        <v>1</v>
      </c>
      <c r="H2064">
        <v>1</v>
      </c>
      <c r="I2064">
        <v>2</v>
      </c>
      <c r="J2064" t="s">
        <v>3491</v>
      </c>
      <c r="K2064" t="s">
        <v>3492</v>
      </c>
      <c r="L2064" s="2">
        <v>2171.2941999999998</v>
      </c>
      <c r="M2064" s="2">
        <v>3578.27</v>
      </c>
      <c r="N2064" t="s">
        <v>13</v>
      </c>
      <c r="O2064" t="s">
        <v>1281</v>
      </c>
      <c r="P2064" t="s">
        <v>184</v>
      </c>
      <c r="Q2064" t="s">
        <v>8392</v>
      </c>
      <c r="R2064" s="1">
        <v>25837</v>
      </c>
      <c r="S2064" t="s">
        <v>16</v>
      </c>
      <c r="T2064" t="s">
        <v>16</v>
      </c>
      <c r="U2064" t="s">
        <v>2892</v>
      </c>
      <c r="V2064">
        <v>40000</v>
      </c>
      <c r="W2064">
        <v>1</v>
      </c>
      <c r="X2064" t="s">
        <v>17</v>
      </c>
      <c r="Y2064" t="s">
        <v>53</v>
      </c>
      <c r="Z2064" t="s">
        <v>19</v>
      </c>
      <c r="AA2064" t="s">
        <v>3582</v>
      </c>
      <c r="AB2064" t="s">
        <v>3582</v>
      </c>
      <c r="AC2064" t="s">
        <v>3579</v>
      </c>
      <c r="AD2064" t="s">
        <v>3479</v>
      </c>
      <c r="AE2064" t="s">
        <v>3475</v>
      </c>
      <c r="AF2064" s="2">
        <v>3578.27</v>
      </c>
      <c r="AG2064" s="2">
        <v>2171.2941999999998</v>
      </c>
      <c r="AH2064" s="2">
        <v>1406.9757999999999</v>
      </c>
      <c r="AI2064" s="3">
        <v>0.39320001006072802</v>
      </c>
    </row>
    <row r="2065" spans="1:35">
      <c r="A2065" s="1">
        <v>42122</v>
      </c>
      <c r="B2065" s="1">
        <v>37345</v>
      </c>
      <c r="C2065" t="s">
        <v>4314</v>
      </c>
      <c r="D2065">
        <v>310</v>
      </c>
      <c r="E2065">
        <v>23846</v>
      </c>
      <c r="F2065">
        <v>6</v>
      </c>
      <c r="G2065">
        <v>1</v>
      </c>
      <c r="H2065">
        <v>1</v>
      </c>
      <c r="I2065">
        <v>2</v>
      </c>
      <c r="J2065" t="s">
        <v>3485</v>
      </c>
      <c r="K2065" t="s">
        <v>3486</v>
      </c>
      <c r="L2065" s="2">
        <v>2171.2941999999998</v>
      </c>
      <c r="M2065" s="2">
        <v>3578.27</v>
      </c>
      <c r="N2065" t="s">
        <v>13</v>
      </c>
      <c r="O2065" t="s">
        <v>618</v>
      </c>
      <c r="P2065" t="s">
        <v>136</v>
      </c>
      <c r="Q2065" t="s">
        <v>8393</v>
      </c>
      <c r="R2065" s="1">
        <v>25374</v>
      </c>
      <c r="S2065" t="s">
        <v>16</v>
      </c>
      <c r="T2065" t="s">
        <v>16</v>
      </c>
      <c r="U2065" t="s">
        <v>2893</v>
      </c>
      <c r="V2065">
        <v>60000</v>
      </c>
      <c r="W2065">
        <v>2</v>
      </c>
      <c r="X2065" t="s">
        <v>17</v>
      </c>
      <c r="Y2065" t="s">
        <v>53</v>
      </c>
      <c r="Z2065" t="s">
        <v>19</v>
      </c>
      <c r="AA2065" t="s">
        <v>3582</v>
      </c>
      <c r="AB2065" t="s">
        <v>3582</v>
      </c>
      <c r="AC2065" t="s">
        <v>3579</v>
      </c>
      <c r="AD2065" t="s">
        <v>3479</v>
      </c>
      <c r="AE2065" t="s">
        <v>3475</v>
      </c>
      <c r="AF2065" s="2">
        <v>3578.27</v>
      </c>
      <c r="AG2065" s="2">
        <v>2171.2941999999998</v>
      </c>
      <c r="AH2065" s="2">
        <v>1406.9757999999999</v>
      </c>
      <c r="AI2065" s="3">
        <v>0.39320001006072802</v>
      </c>
    </row>
    <row r="2066" spans="1:35">
      <c r="A2066" s="1">
        <v>42097</v>
      </c>
      <c r="B2066" s="1">
        <v>37257</v>
      </c>
      <c r="C2066" t="s">
        <v>4155</v>
      </c>
      <c r="D2066">
        <v>310</v>
      </c>
      <c r="E2066">
        <v>23858</v>
      </c>
      <c r="F2066">
        <v>6</v>
      </c>
      <c r="G2066">
        <v>1</v>
      </c>
      <c r="H2066">
        <v>1</v>
      </c>
      <c r="I2066">
        <v>2</v>
      </c>
      <c r="J2066" t="s">
        <v>3485</v>
      </c>
      <c r="K2066" t="s">
        <v>3486</v>
      </c>
      <c r="L2066" s="2">
        <v>2171.2941999999998</v>
      </c>
      <c r="M2066" s="2">
        <v>3578.27</v>
      </c>
      <c r="N2066" t="s">
        <v>13</v>
      </c>
      <c r="O2066" t="s">
        <v>262</v>
      </c>
      <c r="P2066" t="s">
        <v>119</v>
      </c>
      <c r="Q2066" t="s">
        <v>8394</v>
      </c>
      <c r="R2066" s="1">
        <v>25085</v>
      </c>
      <c r="S2066" t="s">
        <v>16</v>
      </c>
      <c r="T2066" t="s">
        <v>16</v>
      </c>
      <c r="U2066" t="s">
        <v>2894</v>
      </c>
      <c r="V2066">
        <v>70000</v>
      </c>
      <c r="W2066">
        <v>2</v>
      </c>
      <c r="X2066" t="s">
        <v>17</v>
      </c>
      <c r="Y2066" t="s">
        <v>53</v>
      </c>
      <c r="Z2066" t="s">
        <v>19</v>
      </c>
      <c r="AA2066" t="s">
        <v>3582</v>
      </c>
      <c r="AB2066" t="s">
        <v>3582</v>
      </c>
      <c r="AC2066" t="s">
        <v>3579</v>
      </c>
      <c r="AD2066" t="s">
        <v>3479</v>
      </c>
      <c r="AE2066" t="s">
        <v>3475</v>
      </c>
      <c r="AF2066" s="2">
        <v>3578.27</v>
      </c>
      <c r="AG2066" s="2">
        <v>2171.2941999999998</v>
      </c>
      <c r="AH2066" s="2">
        <v>1406.9757999999999</v>
      </c>
      <c r="AI2066" s="3">
        <v>0.39320001006072802</v>
      </c>
    </row>
    <row r="2067" spans="1:35">
      <c r="A2067" s="1">
        <v>42116</v>
      </c>
      <c r="B2067" s="1">
        <v>37264</v>
      </c>
      <c r="C2067" t="s">
        <v>4279</v>
      </c>
      <c r="D2067">
        <v>314</v>
      </c>
      <c r="E2067">
        <v>23859</v>
      </c>
      <c r="F2067">
        <v>6</v>
      </c>
      <c r="G2067">
        <v>1</v>
      </c>
      <c r="H2067">
        <v>1</v>
      </c>
      <c r="I2067">
        <v>2</v>
      </c>
      <c r="J2067" t="s">
        <v>3493</v>
      </c>
      <c r="K2067" t="s">
        <v>3494</v>
      </c>
      <c r="L2067" s="2">
        <v>2171.2941999999998</v>
      </c>
      <c r="M2067" s="2">
        <v>3578.27</v>
      </c>
      <c r="N2067" t="s">
        <v>30</v>
      </c>
      <c r="O2067" t="s">
        <v>108</v>
      </c>
      <c r="P2067" t="s">
        <v>166</v>
      </c>
      <c r="Q2067" t="s">
        <v>8395</v>
      </c>
      <c r="R2067" s="1">
        <v>25161</v>
      </c>
      <c r="S2067" t="s">
        <v>16</v>
      </c>
      <c r="T2067" t="s">
        <v>29</v>
      </c>
      <c r="U2067" t="s">
        <v>2895</v>
      </c>
      <c r="V2067">
        <v>70000</v>
      </c>
      <c r="W2067">
        <v>2</v>
      </c>
      <c r="X2067" t="s">
        <v>17</v>
      </c>
      <c r="Y2067" t="s">
        <v>53</v>
      </c>
      <c r="Z2067" t="s">
        <v>19</v>
      </c>
      <c r="AA2067" t="s">
        <v>3582</v>
      </c>
      <c r="AB2067" t="s">
        <v>3582</v>
      </c>
      <c r="AC2067" t="s">
        <v>3579</v>
      </c>
      <c r="AD2067" t="s">
        <v>3479</v>
      </c>
      <c r="AE2067" t="s">
        <v>3475</v>
      </c>
      <c r="AF2067" s="2">
        <v>3578.27</v>
      </c>
      <c r="AG2067" s="2">
        <v>2171.2941999999998</v>
      </c>
      <c r="AH2067" s="2">
        <v>1406.9757999999999</v>
      </c>
      <c r="AI2067" s="3">
        <v>0.39320001006072802</v>
      </c>
    </row>
    <row r="2068" spans="1:35">
      <c r="A2068" s="1">
        <v>42128</v>
      </c>
      <c r="B2068" s="1">
        <v>37288</v>
      </c>
      <c r="C2068" t="s">
        <v>4376</v>
      </c>
      <c r="D2068">
        <v>314</v>
      </c>
      <c r="E2068">
        <v>23865</v>
      </c>
      <c r="F2068">
        <v>6</v>
      </c>
      <c r="G2068">
        <v>1</v>
      </c>
      <c r="H2068">
        <v>1</v>
      </c>
      <c r="I2068">
        <v>2</v>
      </c>
      <c r="J2068" t="s">
        <v>3493</v>
      </c>
      <c r="K2068" t="s">
        <v>3494</v>
      </c>
      <c r="L2068" s="2">
        <v>2171.2941999999998</v>
      </c>
      <c r="M2068" s="2">
        <v>3578.27</v>
      </c>
      <c r="N2068" t="s">
        <v>30</v>
      </c>
      <c r="O2068" t="s">
        <v>1163</v>
      </c>
      <c r="P2068" t="s">
        <v>538</v>
      </c>
      <c r="Q2068" t="s">
        <v>8396</v>
      </c>
      <c r="R2068" s="1">
        <v>25678</v>
      </c>
      <c r="S2068" t="s">
        <v>22</v>
      </c>
      <c r="T2068" t="s">
        <v>29</v>
      </c>
      <c r="U2068" t="s">
        <v>2896</v>
      </c>
      <c r="V2068">
        <v>60000</v>
      </c>
      <c r="W2068">
        <v>1</v>
      </c>
      <c r="X2068" t="s">
        <v>135</v>
      </c>
      <c r="Y2068" t="s">
        <v>18</v>
      </c>
      <c r="Z2068" t="s">
        <v>19</v>
      </c>
      <c r="AA2068" t="s">
        <v>3582</v>
      </c>
      <c r="AB2068" t="s">
        <v>3582</v>
      </c>
      <c r="AC2068" t="s">
        <v>3579</v>
      </c>
      <c r="AD2068" t="s">
        <v>3479</v>
      </c>
      <c r="AE2068" t="s">
        <v>3475</v>
      </c>
      <c r="AF2068" s="2">
        <v>3578.27</v>
      </c>
      <c r="AG2068" s="2">
        <v>2171.2941999999998</v>
      </c>
      <c r="AH2068" s="2">
        <v>1406.9757999999999</v>
      </c>
      <c r="AI2068" s="3">
        <v>0.39320001006072802</v>
      </c>
    </row>
    <row r="2069" spans="1:35">
      <c r="A2069" s="1">
        <v>42140</v>
      </c>
      <c r="B2069" s="1">
        <v>37292</v>
      </c>
      <c r="C2069" t="s">
        <v>4460</v>
      </c>
      <c r="D2069">
        <v>314</v>
      </c>
      <c r="E2069">
        <v>23866</v>
      </c>
      <c r="F2069">
        <v>6</v>
      </c>
      <c r="G2069">
        <v>1</v>
      </c>
      <c r="H2069">
        <v>1</v>
      </c>
      <c r="I2069">
        <v>2</v>
      </c>
      <c r="J2069" t="s">
        <v>3493</v>
      </c>
      <c r="K2069" t="s">
        <v>3494</v>
      </c>
      <c r="L2069" s="2">
        <v>2171.2941999999998</v>
      </c>
      <c r="M2069" s="2">
        <v>3578.27</v>
      </c>
      <c r="N2069" t="s">
        <v>13</v>
      </c>
      <c r="O2069" t="s">
        <v>365</v>
      </c>
      <c r="P2069" t="s">
        <v>113</v>
      </c>
      <c r="Q2069" t="s">
        <v>8397</v>
      </c>
      <c r="R2069" s="1">
        <v>25694</v>
      </c>
      <c r="S2069" t="s">
        <v>16</v>
      </c>
      <c r="T2069" t="s">
        <v>16</v>
      </c>
      <c r="U2069" t="s">
        <v>2897</v>
      </c>
      <c r="V2069">
        <v>60000</v>
      </c>
      <c r="W2069">
        <v>1</v>
      </c>
      <c r="X2069" t="s">
        <v>135</v>
      </c>
      <c r="Y2069" t="s">
        <v>18</v>
      </c>
      <c r="Z2069" t="s">
        <v>19</v>
      </c>
      <c r="AA2069" t="s">
        <v>3582</v>
      </c>
      <c r="AB2069" t="s">
        <v>3582</v>
      </c>
      <c r="AC2069" t="s">
        <v>3579</v>
      </c>
      <c r="AD2069" t="s">
        <v>3479</v>
      </c>
      <c r="AE2069" t="s">
        <v>3475</v>
      </c>
      <c r="AF2069" s="2">
        <v>3578.27</v>
      </c>
      <c r="AG2069" s="2">
        <v>2171.2941999999998</v>
      </c>
      <c r="AH2069" s="2">
        <v>1406.9757999999999</v>
      </c>
      <c r="AI2069" s="3">
        <v>0.39320001006072802</v>
      </c>
    </row>
    <row r="2070" spans="1:35">
      <c r="A2070" s="1">
        <v>42141</v>
      </c>
      <c r="B2070" s="1">
        <v>37293</v>
      </c>
      <c r="C2070" t="s">
        <v>4466</v>
      </c>
      <c r="D2070">
        <v>314</v>
      </c>
      <c r="E2070">
        <v>23867</v>
      </c>
      <c r="F2070">
        <v>6</v>
      </c>
      <c r="G2070">
        <v>1</v>
      </c>
      <c r="H2070">
        <v>1</v>
      </c>
      <c r="I2070">
        <v>2</v>
      </c>
      <c r="J2070" t="s">
        <v>3493</v>
      </c>
      <c r="K2070" t="s">
        <v>3494</v>
      </c>
      <c r="L2070" s="2">
        <v>2171.2941999999998</v>
      </c>
      <c r="M2070" s="2">
        <v>3578.27</v>
      </c>
      <c r="N2070" t="s">
        <v>30</v>
      </c>
      <c r="O2070" t="s">
        <v>298</v>
      </c>
      <c r="P2070" t="s">
        <v>146</v>
      </c>
      <c r="Q2070" t="s">
        <v>8398</v>
      </c>
      <c r="R2070" s="1">
        <v>25834</v>
      </c>
      <c r="S2070" t="s">
        <v>22</v>
      </c>
      <c r="T2070" t="s">
        <v>29</v>
      </c>
      <c r="U2070" t="s">
        <v>2898</v>
      </c>
      <c r="V2070">
        <v>60000</v>
      </c>
      <c r="W2070">
        <v>1</v>
      </c>
      <c r="X2070" t="s">
        <v>135</v>
      </c>
      <c r="Y2070" t="s">
        <v>18</v>
      </c>
      <c r="Z2070" t="s">
        <v>19</v>
      </c>
      <c r="AA2070" t="s">
        <v>3582</v>
      </c>
      <c r="AB2070" t="s">
        <v>3582</v>
      </c>
      <c r="AC2070" t="s">
        <v>3579</v>
      </c>
      <c r="AD2070" t="s">
        <v>3479</v>
      </c>
      <c r="AE2070" t="s">
        <v>3475</v>
      </c>
      <c r="AF2070" s="2">
        <v>3578.27</v>
      </c>
      <c r="AG2070" s="2">
        <v>2171.2941999999998</v>
      </c>
      <c r="AH2070" s="2">
        <v>1406.9757999999999</v>
      </c>
      <c r="AI2070" s="3">
        <v>0.39320001006072802</v>
      </c>
    </row>
    <row r="2071" spans="1:35">
      <c r="A2071" s="1">
        <v>42142</v>
      </c>
      <c r="B2071" s="1">
        <v>37349</v>
      </c>
      <c r="C2071" t="s">
        <v>4470</v>
      </c>
      <c r="D2071">
        <v>314</v>
      </c>
      <c r="E2071">
        <v>23868</v>
      </c>
      <c r="F2071">
        <v>6</v>
      </c>
      <c r="G2071">
        <v>1</v>
      </c>
      <c r="H2071">
        <v>1</v>
      </c>
      <c r="I2071">
        <v>2</v>
      </c>
      <c r="J2071" t="s">
        <v>3493</v>
      </c>
      <c r="K2071" t="s">
        <v>3494</v>
      </c>
      <c r="L2071" s="2">
        <v>2171.2941999999998</v>
      </c>
      <c r="M2071" s="2">
        <v>3578.27</v>
      </c>
      <c r="N2071" t="s">
        <v>30</v>
      </c>
      <c r="O2071" t="s">
        <v>182</v>
      </c>
      <c r="P2071" t="s">
        <v>264</v>
      </c>
      <c r="Q2071" t="s">
        <v>8399</v>
      </c>
      <c r="R2071" s="1">
        <v>25757</v>
      </c>
      <c r="S2071" t="s">
        <v>22</v>
      </c>
      <c r="T2071" t="s">
        <v>29</v>
      </c>
      <c r="U2071" t="s">
        <v>2899</v>
      </c>
      <c r="V2071">
        <v>60000</v>
      </c>
      <c r="W2071">
        <v>1</v>
      </c>
      <c r="X2071" t="s">
        <v>135</v>
      </c>
      <c r="Y2071" t="s">
        <v>18</v>
      </c>
      <c r="Z2071" t="s">
        <v>23</v>
      </c>
      <c r="AA2071" t="s">
        <v>3582</v>
      </c>
      <c r="AB2071" t="s">
        <v>3582</v>
      </c>
      <c r="AC2071" t="s">
        <v>3579</v>
      </c>
      <c r="AD2071" t="s">
        <v>3479</v>
      </c>
      <c r="AE2071" t="s">
        <v>3475</v>
      </c>
      <c r="AF2071" s="2">
        <v>3578.27</v>
      </c>
      <c r="AG2071" s="2">
        <v>2171.2941999999998</v>
      </c>
      <c r="AH2071" s="2">
        <v>1406.9757999999999</v>
      </c>
      <c r="AI2071" s="3">
        <v>0.39320001006072802</v>
      </c>
    </row>
    <row r="2072" spans="1:35">
      <c r="A2072" s="1">
        <v>42136</v>
      </c>
      <c r="B2072" s="1">
        <v>37355</v>
      </c>
      <c r="C2072" t="s">
        <v>4419</v>
      </c>
      <c r="D2072">
        <v>313</v>
      </c>
      <c r="E2072">
        <v>24235</v>
      </c>
      <c r="F2072">
        <v>6</v>
      </c>
      <c r="G2072">
        <v>1</v>
      </c>
      <c r="H2072">
        <v>1</v>
      </c>
      <c r="I2072">
        <v>2</v>
      </c>
      <c r="J2072" t="s">
        <v>3491</v>
      </c>
      <c r="K2072" t="s">
        <v>3492</v>
      </c>
      <c r="L2072" s="2">
        <v>2171.2941999999998</v>
      </c>
      <c r="M2072" s="2">
        <v>3578.27</v>
      </c>
      <c r="N2072" t="s">
        <v>26</v>
      </c>
      <c r="O2072" t="s">
        <v>82</v>
      </c>
      <c r="P2072" t="s">
        <v>290</v>
      </c>
      <c r="Q2072" t="s">
        <v>8400</v>
      </c>
      <c r="R2072" s="1">
        <v>28725</v>
      </c>
      <c r="S2072" t="s">
        <v>22</v>
      </c>
      <c r="T2072" t="s">
        <v>29</v>
      </c>
      <c r="U2072" t="s">
        <v>2900</v>
      </c>
      <c r="V2072">
        <v>40000</v>
      </c>
      <c r="W2072">
        <v>0</v>
      </c>
      <c r="X2072" t="s">
        <v>57</v>
      </c>
      <c r="Y2072" t="s">
        <v>53</v>
      </c>
      <c r="Z2072" t="s">
        <v>23</v>
      </c>
      <c r="AA2072" t="s">
        <v>3582</v>
      </c>
      <c r="AB2072" t="s">
        <v>3582</v>
      </c>
      <c r="AC2072" t="s">
        <v>3579</v>
      </c>
      <c r="AD2072" t="s">
        <v>3479</v>
      </c>
      <c r="AE2072" t="s">
        <v>3475</v>
      </c>
      <c r="AF2072" s="2">
        <v>3578.27</v>
      </c>
      <c r="AG2072" s="2">
        <v>2171.2941999999998</v>
      </c>
      <c r="AH2072" s="2">
        <v>1406.9757999999999</v>
      </c>
      <c r="AI2072" s="3">
        <v>0.39320001006072802</v>
      </c>
    </row>
    <row r="2073" spans="1:35">
      <c r="A2073" s="1">
        <v>42126</v>
      </c>
      <c r="B2073" s="1">
        <v>37275</v>
      </c>
      <c r="C2073" t="s">
        <v>4361</v>
      </c>
      <c r="D2073">
        <v>313</v>
      </c>
      <c r="E2073">
        <v>24284</v>
      </c>
      <c r="F2073">
        <v>6</v>
      </c>
      <c r="G2073">
        <v>1</v>
      </c>
      <c r="H2073">
        <v>1</v>
      </c>
      <c r="I2073">
        <v>2</v>
      </c>
      <c r="J2073" t="s">
        <v>3491</v>
      </c>
      <c r="K2073" t="s">
        <v>3492</v>
      </c>
      <c r="L2073" s="2">
        <v>2171.2941999999998</v>
      </c>
      <c r="M2073" s="2">
        <v>3578.27</v>
      </c>
      <c r="N2073" t="s">
        <v>26</v>
      </c>
      <c r="O2073" t="s">
        <v>244</v>
      </c>
      <c r="P2073" t="s">
        <v>320</v>
      </c>
      <c r="Q2073" t="s">
        <v>8401</v>
      </c>
      <c r="R2073" s="1">
        <v>27556</v>
      </c>
      <c r="S2073" t="s">
        <v>22</v>
      </c>
      <c r="T2073" t="s">
        <v>29</v>
      </c>
      <c r="U2073" t="s">
        <v>2901</v>
      </c>
      <c r="V2073">
        <v>40000</v>
      </c>
      <c r="W2073">
        <v>0</v>
      </c>
      <c r="X2073" t="s">
        <v>52</v>
      </c>
      <c r="Y2073" t="s">
        <v>53</v>
      </c>
      <c r="Z2073" t="s">
        <v>23</v>
      </c>
      <c r="AA2073" t="s">
        <v>3582</v>
      </c>
      <c r="AB2073" t="s">
        <v>3582</v>
      </c>
      <c r="AC2073" t="s">
        <v>3579</v>
      </c>
      <c r="AD2073" t="s">
        <v>3479</v>
      </c>
      <c r="AE2073" t="s">
        <v>3475</v>
      </c>
      <c r="AF2073" s="2">
        <v>3578.27</v>
      </c>
      <c r="AG2073" s="2">
        <v>2171.2941999999998</v>
      </c>
      <c r="AH2073" s="2">
        <v>1406.9757999999999</v>
      </c>
      <c r="AI2073" s="3">
        <v>0.39320001006072802</v>
      </c>
    </row>
    <row r="2074" spans="1:35">
      <c r="A2074" s="1">
        <v>42147</v>
      </c>
      <c r="B2074" s="1">
        <v>37308</v>
      </c>
      <c r="C2074" t="s">
        <v>4506</v>
      </c>
      <c r="D2074">
        <v>312</v>
      </c>
      <c r="E2074">
        <v>24309</v>
      </c>
      <c r="F2074">
        <v>6</v>
      </c>
      <c r="G2074">
        <v>1</v>
      </c>
      <c r="H2074">
        <v>1</v>
      </c>
      <c r="I2074">
        <v>2</v>
      </c>
      <c r="J2074" t="s">
        <v>3489</v>
      </c>
      <c r="K2074" t="s">
        <v>3490</v>
      </c>
      <c r="L2074" s="2">
        <v>2171.2941999999998</v>
      </c>
      <c r="M2074" s="2">
        <v>3578.27</v>
      </c>
      <c r="N2074" t="s">
        <v>13</v>
      </c>
      <c r="O2074" t="s">
        <v>67</v>
      </c>
      <c r="P2074" t="s">
        <v>273</v>
      </c>
      <c r="Q2074" t="s">
        <v>8402</v>
      </c>
      <c r="R2074" s="1">
        <v>27259</v>
      </c>
      <c r="S2074" t="s">
        <v>16</v>
      </c>
      <c r="T2074" t="s">
        <v>16</v>
      </c>
      <c r="U2074" t="s">
        <v>2902</v>
      </c>
      <c r="V2074">
        <v>50000</v>
      </c>
      <c r="W2074">
        <v>0</v>
      </c>
      <c r="X2074" t="s">
        <v>57</v>
      </c>
      <c r="Y2074" t="s">
        <v>18</v>
      </c>
      <c r="Z2074" t="s">
        <v>23</v>
      </c>
      <c r="AA2074" t="s">
        <v>3582</v>
      </c>
      <c r="AB2074" t="s">
        <v>3582</v>
      </c>
      <c r="AC2074" t="s">
        <v>3579</v>
      </c>
      <c r="AD2074" t="s">
        <v>3479</v>
      </c>
      <c r="AE2074" t="s">
        <v>3475</v>
      </c>
      <c r="AF2074" s="2">
        <v>3578.27</v>
      </c>
      <c r="AG2074" s="2">
        <v>2171.2941999999998</v>
      </c>
      <c r="AH2074" s="2">
        <v>1406.9757999999999</v>
      </c>
      <c r="AI2074" s="3">
        <v>0.39320001006072802</v>
      </c>
    </row>
    <row r="2075" spans="1:35">
      <c r="A2075" s="1">
        <v>42129</v>
      </c>
      <c r="B2075" s="1">
        <v>37296</v>
      </c>
      <c r="C2075" t="s">
        <v>4377</v>
      </c>
      <c r="D2075">
        <v>311</v>
      </c>
      <c r="E2075">
        <v>24310</v>
      </c>
      <c r="F2075">
        <v>6</v>
      </c>
      <c r="G2075">
        <v>1</v>
      </c>
      <c r="H2075">
        <v>1</v>
      </c>
      <c r="I2075">
        <v>2</v>
      </c>
      <c r="J2075" t="s">
        <v>3487</v>
      </c>
      <c r="K2075" t="s">
        <v>3488</v>
      </c>
      <c r="L2075" s="2">
        <v>2171.2941999999998</v>
      </c>
      <c r="M2075" s="2">
        <v>3578.27</v>
      </c>
      <c r="N2075" t="s">
        <v>26</v>
      </c>
      <c r="O2075" t="s">
        <v>296</v>
      </c>
      <c r="P2075" t="s">
        <v>587</v>
      </c>
      <c r="Q2075" t="s">
        <v>8403</v>
      </c>
      <c r="R2075" s="1">
        <v>27065</v>
      </c>
      <c r="S2075" t="s">
        <v>22</v>
      </c>
      <c r="T2075" t="s">
        <v>29</v>
      </c>
      <c r="U2075" t="s">
        <v>2903</v>
      </c>
      <c r="V2075">
        <v>50000</v>
      </c>
      <c r="W2075">
        <v>0</v>
      </c>
      <c r="X2075" t="s">
        <v>57</v>
      </c>
      <c r="Y2075" t="s">
        <v>18</v>
      </c>
      <c r="Z2075" t="s">
        <v>23</v>
      </c>
      <c r="AA2075" t="s">
        <v>3582</v>
      </c>
      <c r="AB2075" t="s">
        <v>3582</v>
      </c>
      <c r="AC2075" t="s">
        <v>3579</v>
      </c>
      <c r="AD2075" t="s">
        <v>3479</v>
      </c>
      <c r="AE2075" t="s">
        <v>3475</v>
      </c>
      <c r="AF2075" s="2">
        <v>3578.27</v>
      </c>
      <c r="AG2075" s="2">
        <v>2171.2941999999998</v>
      </c>
      <c r="AH2075" s="2">
        <v>1406.9757999999999</v>
      </c>
      <c r="AI2075" s="3">
        <v>0.39320001006072802</v>
      </c>
    </row>
    <row r="2076" spans="1:35">
      <c r="A2076" s="1">
        <v>42140</v>
      </c>
      <c r="B2076" s="1">
        <v>37364</v>
      </c>
      <c r="C2076" t="s">
        <v>4450</v>
      </c>
      <c r="D2076">
        <v>313</v>
      </c>
      <c r="E2076">
        <v>24332</v>
      </c>
      <c r="F2076">
        <v>6</v>
      </c>
      <c r="G2076">
        <v>1</v>
      </c>
      <c r="H2076">
        <v>1</v>
      </c>
      <c r="I2076">
        <v>2</v>
      </c>
      <c r="J2076" t="s">
        <v>3491</v>
      </c>
      <c r="K2076" t="s">
        <v>3492</v>
      </c>
      <c r="L2076" s="2">
        <v>2171.2941999999998</v>
      </c>
      <c r="M2076" s="2">
        <v>3578.27</v>
      </c>
      <c r="N2076" t="s">
        <v>30</v>
      </c>
      <c r="O2076" t="s">
        <v>182</v>
      </c>
      <c r="P2076" t="s">
        <v>366</v>
      </c>
      <c r="Q2076" t="s">
        <v>8404</v>
      </c>
      <c r="R2076" s="1">
        <v>23165</v>
      </c>
      <c r="S2076" t="s">
        <v>16</v>
      </c>
      <c r="T2076" t="s">
        <v>29</v>
      </c>
      <c r="U2076" t="s">
        <v>2904</v>
      </c>
      <c r="V2076">
        <v>60000</v>
      </c>
      <c r="W2076">
        <v>3</v>
      </c>
      <c r="X2076" t="s">
        <v>135</v>
      </c>
      <c r="Y2076" t="s">
        <v>18</v>
      </c>
      <c r="Z2076" t="s">
        <v>19</v>
      </c>
      <c r="AA2076" t="s">
        <v>3582</v>
      </c>
      <c r="AB2076" t="s">
        <v>3582</v>
      </c>
      <c r="AC2076" t="s">
        <v>3579</v>
      </c>
      <c r="AD2076" t="s">
        <v>3479</v>
      </c>
      <c r="AE2076" t="s">
        <v>3475</v>
      </c>
      <c r="AF2076" s="2">
        <v>3578.27</v>
      </c>
      <c r="AG2076" s="2">
        <v>2171.2941999999998</v>
      </c>
      <c r="AH2076" s="2">
        <v>1406.9757999999999</v>
      </c>
      <c r="AI2076" s="3">
        <v>0.39320001006072802</v>
      </c>
    </row>
    <row r="2077" spans="1:35">
      <c r="A2077" s="1">
        <v>42133</v>
      </c>
      <c r="B2077" s="1">
        <v>37282</v>
      </c>
      <c r="C2077" t="s">
        <v>4407</v>
      </c>
      <c r="D2077">
        <v>310</v>
      </c>
      <c r="E2077">
        <v>24342</v>
      </c>
      <c r="F2077">
        <v>6</v>
      </c>
      <c r="G2077">
        <v>1</v>
      </c>
      <c r="H2077">
        <v>1</v>
      </c>
      <c r="I2077">
        <v>2</v>
      </c>
      <c r="J2077" t="s">
        <v>3485</v>
      </c>
      <c r="K2077" t="s">
        <v>3486</v>
      </c>
      <c r="L2077" s="2">
        <v>2171.2941999999998</v>
      </c>
      <c r="M2077" s="2">
        <v>3578.27</v>
      </c>
      <c r="N2077" t="s">
        <v>13</v>
      </c>
      <c r="O2077" t="s">
        <v>228</v>
      </c>
      <c r="P2077" t="s">
        <v>326</v>
      </c>
      <c r="Q2077" t="s">
        <v>8405</v>
      </c>
      <c r="R2077" s="1">
        <v>22395</v>
      </c>
      <c r="S2077" t="s">
        <v>16</v>
      </c>
      <c r="T2077" t="s">
        <v>16</v>
      </c>
      <c r="U2077" t="s">
        <v>2905</v>
      </c>
      <c r="V2077">
        <v>60000</v>
      </c>
      <c r="W2077">
        <v>1</v>
      </c>
      <c r="X2077" t="s">
        <v>52</v>
      </c>
      <c r="Y2077" t="s">
        <v>53</v>
      </c>
      <c r="Z2077" t="s">
        <v>19</v>
      </c>
      <c r="AA2077" t="s">
        <v>3582</v>
      </c>
      <c r="AB2077" t="s">
        <v>3582</v>
      </c>
      <c r="AC2077" t="s">
        <v>3579</v>
      </c>
      <c r="AD2077" t="s">
        <v>3479</v>
      </c>
      <c r="AE2077" t="s">
        <v>3475</v>
      </c>
      <c r="AF2077" s="2">
        <v>3578.27</v>
      </c>
      <c r="AG2077" s="2">
        <v>2171.2941999999998</v>
      </c>
      <c r="AH2077" s="2">
        <v>1406.9757999999999</v>
      </c>
      <c r="AI2077" s="3">
        <v>0.39320001006072802</v>
      </c>
    </row>
    <row r="2078" spans="1:35">
      <c r="A2078" s="1">
        <v>42140</v>
      </c>
      <c r="B2078" s="1">
        <v>37326</v>
      </c>
      <c r="C2078" t="s">
        <v>4459</v>
      </c>
      <c r="D2078">
        <v>313</v>
      </c>
      <c r="E2078">
        <v>24344</v>
      </c>
      <c r="F2078">
        <v>6</v>
      </c>
      <c r="G2078">
        <v>1</v>
      </c>
      <c r="H2078">
        <v>1</v>
      </c>
      <c r="I2078">
        <v>2</v>
      </c>
      <c r="J2078" t="s">
        <v>3491</v>
      </c>
      <c r="K2078" t="s">
        <v>3492</v>
      </c>
      <c r="L2078" s="2">
        <v>2171.2941999999998</v>
      </c>
      <c r="M2078" s="2">
        <v>3578.27</v>
      </c>
      <c r="N2078" t="s">
        <v>13</v>
      </c>
      <c r="O2078" t="s">
        <v>1155</v>
      </c>
      <c r="P2078" t="s">
        <v>171</v>
      </c>
      <c r="Q2078" t="s">
        <v>8406</v>
      </c>
      <c r="R2078" s="1">
        <v>24639</v>
      </c>
      <c r="S2078" t="s">
        <v>22</v>
      </c>
      <c r="T2078" t="s">
        <v>16</v>
      </c>
      <c r="U2078" t="s">
        <v>2906</v>
      </c>
      <c r="V2078">
        <v>50000</v>
      </c>
      <c r="W2078">
        <v>0</v>
      </c>
      <c r="X2078" t="s">
        <v>52</v>
      </c>
      <c r="Y2078" t="s">
        <v>53</v>
      </c>
      <c r="Z2078" t="s">
        <v>23</v>
      </c>
      <c r="AA2078" t="s">
        <v>3582</v>
      </c>
      <c r="AB2078" t="s">
        <v>3582</v>
      </c>
      <c r="AC2078" t="s">
        <v>3579</v>
      </c>
      <c r="AD2078" t="s">
        <v>3479</v>
      </c>
      <c r="AE2078" t="s">
        <v>3475</v>
      </c>
      <c r="AF2078" s="2">
        <v>3578.27</v>
      </c>
      <c r="AG2078" s="2">
        <v>2171.2941999999998</v>
      </c>
      <c r="AH2078" s="2">
        <v>1406.9757999999999</v>
      </c>
      <c r="AI2078" s="3">
        <v>0.39320001006072802</v>
      </c>
    </row>
    <row r="2079" spans="1:35">
      <c r="A2079" s="1">
        <v>42174</v>
      </c>
      <c r="B2079" s="1">
        <v>37345</v>
      </c>
      <c r="C2079" t="s">
        <v>4673</v>
      </c>
      <c r="D2079">
        <v>311</v>
      </c>
      <c r="E2079">
        <v>24386</v>
      </c>
      <c r="F2079">
        <v>6</v>
      </c>
      <c r="G2079">
        <v>1</v>
      </c>
      <c r="H2079">
        <v>1</v>
      </c>
      <c r="I2079">
        <v>2</v>
      </c>
      <c r="J2079" t="s">
        <v>3487</v>
      </c>
      <c r="K2079" t="s">
        <v>3488</v>
      </c>
      <c r="L2079" s="2">
        <v>2171.2941999999998</v>
      </c>
      <c r="M2079" s="2">
        <v>3578.27</v>
      </c>
      <c r="N2079" t="s">
        <v>30</v>
      </c>
      <c r="O2079" t="s">
        <v>588</v>
      </c>
      <c r="P2079" t="s">
        <v>44</v>
      </c>
      <c r="Q2079" t="s">
        <v>8407</v>
      </c>
      <c r="R2079" s="1">
        <v>20952</v>
      </c>
      <c r="S2079" t="s">
        <v>22</v>
      </c>
      <c r="T2079" t="s">
        <v>29</v>
      </c>
      <c r="U2079" t="s">
        <v>2907</v>
      </c>
      <c r="V2079">
        <v>80000</v>
      </c>
      <c r="W2079">
        <v>2</v>
      </c>
      <c r="X2079" t="s">
        <v>17</v>
      </c>
      <c r="Y2079" t="s">
        <v>45</v>
      </c>
      <c r="Z2079" t="s">
        <v>23</v>
      </c>
      <c r="AA2079" t="s">
        <v>3582</v>
      </c>
      <c r="AB2079" t="s">
        <v>3582</v>
      </c>
      <c r="AC2079" t="s">
        <v>3579</v>
      </c>
      <c r="AD2079" t="s">
        <v>3479</v>
      </c>
      <c r="AE2079" t="s">
        <v>3475</v>
      </c>
      <c r="AF2079" s="2">
        <v>3578.27</v>
      </c>
      <c r="AG2079" s="2">
        <v>2171.2941999999998</v>
      </c>
      <c r="AH2079" s="2">
        <v>1406.9757999999999</v>
      </c>
      <c r="AI2079" s="3">
        <v>0.39320001006072802</v>
      </c>
    </row>
    <row r="2080" spans="1:35">
      <c r="A2080" s="1">
        <v>42174</v>
      </c>
      <c r="B2080" s="1">
        <v>37313</v>
      </c>
      <c r="C2080" t="s">
        <v>4679</v>
      </c>
      <c r="D2080">
        <v>313</v>
      </c>
      <c r="E2080">
        <v>24392</v>
      </c>
      <c r="F2080">
        <v>6</v>
      </c>
      <c r="G2080">
        <v>1</v>
      </c>
      <c r="H2080">
        <v>1</v>
      </c>
      <c r="I2080">
        <v>2</v>
      </c>
      <c r="J2080" t="s">
        <v>3491</v>
      </c>
      <c r="K2080" t="s">
        <v>3492</v>
      </c>
      <c r="L2080" s="2">
        <v>2171.2941999999998</v>
      </c>
      <c r="M2080" s="2">
        <v>3578.27</v>
      </c>
      <c r="N2080" t="s">
        <v>30</v>
      </c>
      <c r="O2080" t="s">
        <v>305</v>
      </c>
      <c r="P2080" t="s">
        <v>353</v>
      </c>
      <c r="Q2080" t="s">
        <v>8408</v>
      </c>
      <c r="R2080" s="1">
        <v>20752</v>
      </c>
      <c r="S2080" t="s">
        <v>22</v>
      </c>
      <c r="T2080" t="s">
        <v>29</v>
      </c>
      <c r="U2080" t="s">
        <v>2908</v>
      </c>
      <c r="V2080">
        <v>60000</v>
      </c>
      <c r="W2080">
        <v>2</v>
      </c>
      <c r="X2080" t="s">
        <v>57</v>
      </c>
      <c r="Y2080" t="s">
        <v>18</v>
      </c>
      <c r="Z2080" t="s">
        <v>23</v>
      </c>
      <c r="AA2080" t="s">
        <v>3582</v>
      </c>
      <c r="AB2080" t="s">
        <v>3582</v>
      </c>
      <c r="AC2080" t="s">
        <v>3579</v>
      </c>
      <c r="AD2080" t="s">
        <v>3479</v>
      </c>
      <c r="AE2080" t="s">
        <v>3475</v>
      </c>
      <c r="AF2080" s="2">
        <v>3578.27</v>
      </c>
      <c r="AG2080" s="2">
        <v>2171.2941999999998</v>
      </c>
      <c r="AH2080" s="2">
        <v>1406.9757999999999</v>
      </c>
      <c r="AI2080" s="3">
        <v>0.39320001006072802</v>
      </c>
    </row>
    <row r="2081" spans="1:35">
      <c r="A2081" s="1">
        <v>42174</v>
      </c>
      <c r="B2081" s="1">
        <v>37331</v>
      </c>
      <c r="C2081" t="s">
        <v>4670</v>
      </c>
      <c r="D2081">
        <v>313</v>
      </c>
      <c r="E2081">
        <v>24418</v>
      </c>
      <c r="F2081">
        <v>6</v>
      </c>
      <c r="G2081">
        <v>1</v>
      </c>
      <c r="H2081">
        <v>1</v>
      </c>
      <c r="I2081">
        <v>2</v>
      </c>
      <c r="J2081" t="s">
        <v>3491</v>
      </c>
      <c r="K2081" t="s">
        <v>3492</v>
      </c>
      <c r="L2081" s="2">
        <v>2171.2941999999998</v>
      </c>
      <c r="M2081" s="2">
        <v>3578.27</v>
      </c>
      <c r="N2081" t="s">
        <v>13</v>
      </c>
      <c r="O2081" t="s">
        <v>989</v>
      </c>
      <c r="P2081" t="s">
        <v>99</v>
      </c>
      <c r="Q2081" t="s">
        <v>8409</v>
      </c>
      <c r="R2081" s="1">
        <v>20260</v>
      </c>
      <c r="S2081" t="s">
        <v>22</v>
      </c>
      <c r="T2081" t="s">
        <v>16</v>
      </c>
      <c r="U2081" t="s">
        <v>2909</v>
      </c>
      <c r="V2081">
        <v>60000</v>
      </c>
      <c r="W2081">
        <v>2</v>
      </c>
      <c r="X2081" t="s">
        <v>57</v>
      </c>
      <c r="Y2081" t="s">
        <v>18</v>
      </c>
      <c r="Z2081" t="s">
        <v>23</v>
      </c>
      <c r="AA2081" t="s">
        <v>3582</v>
      </c>
      <c r="AB2081" t="s">
        <v>3582</v>
      </c>
      <c r="AC2081" t="s">
        <v>3579</v>
      </c>
      <c r="AD2081" t="s">
        <v>3479</v>
      </c>
      <c r="AE2081" t="s">
        <v>3475</v>
      </c>
      <c r="AF2081" s="2">
        <v>3578.27</v>
      </c>
      <c r="AG2081" s="2">
        <v>2171.2941999999998</v>
      </c>
      <c r="AH2081" s="2">
        <v>1406.9757999999999</v>
      </c>
      <c r="AI2081" s="3">
        <v>0.39320001006072802</v>
      </c>
    </row>
    <row r="2082" spans="1:35">
      <c r="A2082" s="1">
        <v>42167</v>
      </c>
      <c r="B2082" s="1">
        <v>37334</v>
      </c>
      <c r="C2082" t="s">
        <v>4623</v>
      </c>
      <c r="D2082">
        <v>311</v>
      </c>
      <c r="E2082">
        <v>24431</v>
      </c>
      <c r="F2082">
        <v>6</v>
      </c>
      <c r="G2082">
        <v>1</v>
      </c>
      <c r="H2082">
        <v>1</v>
      </c>
      <c r="I2082">
        <v>2</v>
      </c>
      <c r="J2082" t="s">
        <v>3487</v>
      </c>
      <c r="K2082" t="s">
        <v>3488</v>
      </c>
      <c r="L2082" s="2">
        <v>2171.2941999999998</v>
      </c>
      <c r="M2082" s="2">
        <v>3578.27</v>
      </c>
      <c r="N2082" t="s">
        <v>30</v>
      </c>
      <c r="O2082" t="s">
        <v>182</v>
      </c>
      <c r="P2082" t="s">
        <v>252</v>
      </c>
      <c r="Q2082" t="s">
        <v>8410</v>
      </c>
      <c r="R2082" s="1">
        <v>19888</v>
      </c>
      <c r="S2082" t="s">
        <v>16</v>
      </c>
      <c r="T2082" t="s">
        <v>29</v>
      </c>
      <c r="U2082" t="s">
        <v>2910</v>
      </c>
      <c r="V2082">
        <v>60000</v>
      </c>
      <c r="W2082">
        <v>2</v>
      </c>
      <c r="X2082" t="s">
        <v>77</v>
      </c>
      <c r="Y2082" t="s">
        <v>53</v>
      </c>
      <c r="Z2082" t="s">
        <v>19</v>
      </c>
      <c r="AA2082" t="s">
        <v>3582</v>
      </c>
      <c r="AB2082" t="s">
        <v>3582</v>
      </c>
      <c r="AC2082" t="s">
        <v>3579</v>
      </c>
      <c r="AD2082" t="s">
        <v>3479</v>
      </c>
      <c r="AE2082" t="s">
        <v>3475</v>
      </c>
      <c r="AF2082" s="2">
        <v>3578.27</v>
      </c>
      <c r="AG2082" s="2">
        <v>2171.2941999999998</v>
      </c>
      <c r="AH2082" s="2">
        <v>1406.9757999999999</v>
      </c>
      <c r="AI2082" s="3">
        <v>0.39320001006072802</v>
      </c>
    </row>
    <row r="2083" spans="1:35">
      <c r="A2083" s="1">
        <v>42174</v>
      </c>
      <c r="B2083" s="1">
        <v>37341</v>
      </c>
      <c r="C2083" t="s">
        <v>4676</v>
      </c>
      <c r="D2083">
        <v>312</v>
      </c>
      <c r="E2083">
        <v>24491</v>
      </c>
      <c r="F2083">
        <v>6</v>
      </c>
      <c r="G2083">
        <v>1</v>
      </c>
      <c r="H2083">
        <v>1</v>
      </c>
      <c r="I2083">
        <v>2</v>
      </c>
      <c r="J2083" t="s">
        <v>3489</v>
      </c>
      <c r="K2083" t="s">
        <v>3490</v>
      </c>
      <c r="L2083" s="2">
        <v>2171.2941999999998</v>
      </c>
      <c r="M2083" s="2">
        <v>3578.27</v>
      </c>
      <c r="N2083" t="s">
        <v>26</v>
      </c>
      <c r="O2083" t="s">
        <v>703</v>
      </c>
      <c r="P2083" t="s">
        <v>71</v>
      </c>
      <c r="Q2083" t="s">
        <v>8411</v>
      </c>
      <c r="R2083" s="1">
        <v>29346</v>
      </c>
      <c r="S2083" t="s">
        <v>22</v>
      </c>
      <c r="T2083" t="s">
        <v>29</v>
      </c>
      <c r="U2083" t="s">
        <v>2911</v>
      </c>
      <c r="V2083">
        <v>30000</v>
      </c>
      <c r="W2083">
        <v>0</v>
      </c>
      <c r="X2083" t="s">
        <v>57</v>
      </c>
      <c r="Y2083" t="s">
        <v>53</v>
      </c>
      <c r="Z2083" t="s">
        <v>23</v>
      </c>
      <c r="AA2083" t="s">
        <v>3582</v>
      </c>
      <c r="AB2083" t="s">
        <v>3582</v>
      </c>
      <c r="AC2083" t="s">
        <v>3579</v>
      </c>
      <c r="AD2083" t="s">
        <v>3479</v>
      </c>
      <c r="AE2083" t="s">
        <v>3475</v>
      </c>
      <c r="AF2083" s="2">
        <v>3578.27</v>
      </c>
      <c r="AG2083" s="2">
        <v>2171.2941999999998</v>
      </c>
      <c r="AH2083" s="2">
        <v>1406.9757999999999</v>
      </c>
      <c r="AI2083" s="3">
        <v>0.39320001006072802</v>
      </c>
    </row>
    <row r="2084" spans="1:35">
      <c r="A2084" s="1">
        <v>42159</v>
      </c>
      <c r="B2084" s="1">
        <v>37360</v>
      </c>
      <c r="C2084" t="s">
        <v>4574</v>
      </c>
      <c r="D2084">
        <v>311</v>
      </c>
      <c r="E2084">
        <v>24493</v>
      </c>
      <c r="F2084">
        <v>6</v>
      </c>
      <c r="G2084">
        <v>1</v>
      </c>
      <c r="H2084">
        <v>1</v>
      </c>
      <c r="I2084">
        <v>2</v>
      </c>
      <c r="J2084" t="s">
        <v>3487</v>
      </c>
      <c r="K2084" t="s">
        <v>3488</v>
      </c>
      <c r="L2084" s="2">
        <v>2171.2941999999998</v>
      </c>
      <c r="M2084" s="2">
        <v>3578.27</v>
      </c>
      <c r="N2084" t="s">
        <v>13</v>
      </c>
      <c r="O2084" t="s">
        <v>69</v>
      </c>
      <c r="P2084" t="s">
        <v>49</v>
      </c>
      <c r="Q2084" t="s">
        <v>8412</v>
      </c>
      <c r="R2084" s="1">
        <v>28942</v>
      </c>
      <c r="S2084" t="s">
        <v>22</v>
      </c>
      <c r="T2084" t="s">
        <v>16</v>
      </c>
      <c r="U2084" t="s">
        <v>2912</v>
      </c>
      <c r="V2084">
        <v>30000</v>
      </c>
      <c r="W2084">
        <v>0</v>
      </c>
      <c r="X2084" t="s">
        <v>57</v>
      </c>
      <c r="Y2084" t="s">
        <v>53</v>
      </c>
      <c r="Z2084" t="s">
        <v>23</v>
      </c>
      <c r="AA2084" t="s">
        <v>3582</v>
      </c>
      <c r="AB2084" t="s">
        <v>3582</v>
      </c>
      <c r="AC2084" t="s">
        <v>3579</v>
      </c>
      <c r="AD2084" t="s">
        <v>3479</v>
      </c>
      <c r="AE2084" t="s">
        <v>3475</v>
      </c>
      <c r="AF2084" s="2">
        <v>3578.27</v>
      </c>
      <c r="AG2084" s="2">
        <v>2171.2941999999998</v>
      </c>
      <c r="AH2084" s="2">
        <v>1406.9757999999999</v>
      </c>
      <c r="AI2084" s="3">
        <v>0.39320001006072802</v>
      </c>
    </row>
    <row r="2085" spans="1:35">
      <c r="A2085" s="1">
        <v>42161</v>
      </c>
      <c r="B2085" s="1">
        <v>37351</v>
      </c>
      <c r="C2085" t="s">
        <v>4586</v>
      </c>
      <c r="D2085">
        <v>313</v>
      </c>
      <c r="E2085">
        <v>24496</v>
      </c>
      <c r="F2085">
        <v>6</v>
      </c>
      <c r="G2085">
        <v>1</v>
      </c>
      <c r="H2085">
        <v>1</v>
      </c>
      <c r="I2085">
        <v>2</v>
      </c>
      <c r="J2085" t="s">
        <v>3491</v>
      </c>
      <c r="K2085" t="s">
        <v>3492</v>
      </c>
      <c r="L2085" s="2">
        <v>2171.2941999999998</v>
      </c>
      <c r="M2085" s="2">
        <v>3578.27</v>
      </c>
      <c r="N2085" t="s">
        <v>26</v>
      </c>
      <c r="O2085" t="s">
        <v>372</v>
      </c>
      <c r="P2085" t="s">
        <v>481</v>
      </c>
      <c r="Q2085" t="s">
        <v>8413</v>
      </c>
      <c r="R2085" s="1">
        <v>28589</v>
      </c>
      <c r="S2085" t="s">
        <v>22</v>
      </c>
      <c r="T2085" t="s">
        <v>29</v>
      </c>
      <c r="U2085" t="s">
        <v>2913</v>
      </c>
      <c r="V2085">
        <v>40000</v>
      </c>
      <c r="W2085">
        <v>0</v>
      </c>
      <c r="X2085" t="s">
        <v>57</v>
      </c>
      <c r="Y2085" t="s">
        <v>53</v>
      </c>
      <c r="Z2085" t="s">
        <v>23</v>
      </c>
      <c r="AA2085" t="s">
        <v>3582</v>
      </c>
      <c r="AB2085" t="s">
        <v>3582</v>
      </c>
      <c r="AC2085" t="s">
        <v>3579</v>
      </c>
      <c r="AD2085" t="s">
        <v>3479</v>
      </c>
      <c r="AE2085" t="s">
        <v>3475</v>
      </c>
      <c r="AF2085" s="2">
        <v>3578.27</v>
      </c>
      <c r="AG2085" s="2">
        <v>2171.2941999999998</v>
      </c>
      <c r="AH2085" s="2">
        <v>1406.9757999999999</v>
      </c>
      <c r="AI2085" s="3">
        <v>0.39320001006072802</v>
      </c>
    </row>
    <row r="2086" spans="1:35">
      <c r="A2086" s="1">
        <v>42184</v>
      </c>
      <c r="B2086" s="1">
        <v>37336</v>
      </c>
      <c r="C2086" t="s">
        <v>4756</v>
      </c>
      <c r="D2086">
        <v>312</v>
      </c>
      <c r="E2086">
        <v>24501</v>
      </c>
      <c r="F2086">
        <v>6</v>
      </c>
      <c r="G2086">
        <v>1</v>
      </c>
      <c r="H2086">
        <v>1</v>
      </c>
      <c r="I2086">
        <v>2</v>
      </c>
      <c r="J2086" t="s">
        <v>3489</v>
      </c>
      <c r="K2086" t="s">
        <v>3490</v>
      </c>
      <c r="L2086" s="2">
        <v>2171.2941999999998</v>
      </c>
      <c r="M2086" s="2">
        <v>3578.27</v>
      </c>
      <c r="N2086" t="s">
        <v>26</v>
      </c>
      <c r="O2086" t="s">
        <v>374</v>
      </c>
      <c r="P2086" t="s">
        <v>99</v>
      </c>
      <c r="Q2086" t="s">
        <v>8414</v>
      </c>
      <c r="R2086" s="1">
        <v>28973</v>
      </c>
      <c r="S2086" t="s">
        <v>22</v>
      </c>
      <c r="T2086" t="s">
        <v>29</v>
      </c>
      <c r="U2086" t="s">
        <v>2914</v>
      </c>
      <c r="V2086">
        <v>30000</v>
      </c>
      <c r="W2086">
        <v>0</v>
      </c>
      <c r="X2086" t="s">
        <v>77</v>
      </c>
      <c r="Y2086" t="s">
        <v>60</v>
      </c>
      <c r="Z2086" t="s">
        <v>23</v>
      </c>
      <c r="AA2086" t="s">
        <v>3582</v>
      </c>
      <c r="AB2086" t="s">
        <v>3582</v>
      </c>
      <c r="AC2086" t="s">
        <v>3579</v>
      </c>
      <c r="AD2086" t="s">
        <v>3479</v>
      </c>
      <c r="AE2086" t="s">
        <v>3475</v>
      </c>
      <c r="AF2086" s="2">
        <v>3578.27</v>
      </c>
      <c r="AG2086" s="2">
        <v>2171.2941999999998</v>
      </c>
      <c r="AH2086" s="2">
        <v>1406.9757999999999</v>
      </c>
      <c r="AI2086" s="3">
        <v>0.39320001006072802</v>
      </c>
    </row>
    <row r="2087" spans="1:35">
      <c r="A2087" s="1">
        <v>42209</v>
      </c>
      <c r="B2087" s="1">
        <v>37440</v>
      </c>
      <c r="C2087" t="s">
        <v>4951</v>
      </c>
      <c r="D2087">
        <v>381</v>
      </c>
      <c r="E2087">
        <v>24606</v>
      </c>
      <c r="F2087">
        <v>9</v>
      </c>
      <c r="G2087">
        <v>1</v>
      </c>
      <c r="H2087">
        <v>1</v>
      </c>
      <c r="I2087">
        <v>2</v>
      </c>
      <c r="J2087" t="s">
        <v>3563</v>
      </c>
      <c r="K2087" t="s">
        <v>3564</v>
      </c>
      <c r="L2087" s="2">
        <v>605.64919999999995</v>
      </c>
      <c r="M2087" s="2">
        <v>1000.4375</v>
      </c>
      <c r="N2087" t="s">
        <v>26</v>
      </c>
      <c r="O2087" t="s">
        <v>204</v>
      </c>
      <c r="P2087" t="s">
        <v>93</v>
      </c>
      <c r="Q2087" t="s">
        <v>8415</v>
      </c>
      <c r="R2087" s="1">
        <v>26574</v>
      </c>
      <c r="S2087" t="s">
        <v>16</v>
      </c>
      <c r="T2087" t="s">
        <v>29</v>
      </c>
      <c r="U2087" t="s">
        <v>2915</v>
      </c>
      <c r="V2087">
        <v>100000</v>
      </c>
      <c r="W2087">
        <v>0</v>
      </c>
      <c r="X2087" t="s">
        <v>57</v>
      </c>
      <c r="Y2087" t="s">
        <v>45</v>
      </c>
      <c r="Z2087" t="s">
        <v>19</v>
      </c>
      <c r="AA2087" t="s">
        <v>3586</v>
      </c>
      <c r="AB2087" t="s">
        <v>3586</v>
      </c>
      <c r="AC2087" t="s">
        <v>3587</v>
      </c>
      <c r="AD2087" t="s">
        <v>3479</v>
      </c>
      <c r="AE2087" t="s">
        <v>3475</v>
      </c>
      <c r="AF2087" s="2">
        <v>1000.4375</v>
      </c>
      <c r="AG2087" s="2">
        <v>605.64919999999995</v>
      </c>
      <c r="AH2087" s="2">
        <v>394.78829999999999</v>
      </c>
      <c r="AI2087" s="3">
        <v>0.39461565565065299</v>
      </c>
    </row>
    <row r="2088" spans="1:35">
      <c r="A2088" s="1">
        <v>42203</v>
      </c>
      <c r="B2088" s="1">
        <v>37409</v>
      </c>
      <c r="C2088" t="s">
        <v>4909</v>
      </c>
      <c r="D2088">
        <v>385</v>
      </c>
      <c r="E2088">
        <v>24608</v>
      </c>
      <c r="F2088">
        <v>9</v>
      </c>
      <c r="G2088">
        <v>1</v>
      </c>
      <c r="H2088">
        <v>1</v>
      </c>
      <c r="I2088">
        <v>2</v>
      </c>
      <c r="J2088" t="s">
        <v>3567</v>
      </c>
      <c r="K2088" t="s">
        <v>3568</v>
      </c>
      <c r="L2088" s="2">
        <v>605.64919999999995</v>
      </c>
      <c r="M2088" s="2">
        <v>1000.4375</v>
      </c>
      <c r="N2088" t="s">
        <v>26</v>
      </c>
      <c r="O2088" t="s">
        <v>509</v>
      </c>
      <c r="P2088" t="s">
        <v>115</v>
      </c>
      <c r="Q2088" t="s">
        <v>8416</v>
      </c>
      <c r="R2088" s="1">
        <v>26574</v>
      </c>
      <c r="S2088" t="s">
        <v>16</v>
      </c>
      <c r="T2088" t="s">
        <v>29</v>
      </c>
      <c r="U2088" t="s">
        <v>2916</v>
      </c>
      <c r="V2088">
        <v>110000</v>
      </c>
      <c r="W2088">
        <v>0</v>
      </c>
      <c r="X2088" t="s">
        <v>57</v>
      </c>
      <c r="Y2088" t="s">
        <v>45</v>
      </c>
      <c r="Z2088" t="s">
        <v>19</v>
      </c>
      <c r="AA2088" t="s">
        <v>3586</v>
      </c>
      <c r="AB2088" t="s">
        <v>3586</v>
      </c>
      <c r="AC2088" t="s">
        <v>3587</v>
      </c>
      <c r="AD2088" t="s">
        <v>3479</v>
      </c>
      <c r="AE2088" t="s">
        <v>3475</v>
      </c>
      <c r="AF2088" s="2">
        <v>1000.4375</v>
      </c>
      <c r="AG2088" s="2">
        <v>605.64919999999995</v>
      </c>
      <c r="AH2088" s="2">
        <v>394.78829999999999</v>
      </c>
      <c r="AI2088" s="3">
        <v>0.39461565565065299</v>
      </c>
    </row>
    <row r="2089" spans="1:35">
      <c r="A2089" s="1">
        <v>42233</v>
      </c>
      <c r="B2089" s="1">
        <v>37384</v>
      </c>
      <c r="C2089" t="s">
        <v>5149</v>
      </c>
      <c r="D2089">
        <v>389</v>
      </c>
      <c r="E2089">
        <v>24609</v>
      </c>
      <c r="F2089">
        <v>9</v>
      </c>
      <c r="G2089">
        <v>1</v>
      </c>
      <c r="H2089">
        <v>1</v>
      </c>
      <c r="I2089">
        <v>2</v>
      </c>
      <c r="J2089" t="s">
        <v>3571</v>
      </c>
      <c r="K2089" t="s">
        <v>3572</v>
      </c>
      <c r="L2089" s="2">
        <v>605.64919999999995</v>
      </c>
      <c r="M2089" s="2">
        <v>1000.4375</v>
      </c>
      <c r="N2089" t="s">
        <v>26</v>
      </c>
      <c r="O2089" t="s">
        <v>389</v>
      </c>
      <c r="P2089" t="s">
        <v>68</v>
      </c>
      <c r="Q2089" t="s">
        <v>8417</v>
      </c>
      <c r="R2089" s="1">
        <v>26399</v>
      </c>
      <c r="S2089" t="s">
        <v>16</v>
      </c>
      <c r="T2089" t="s">
        <v>29</v>
      </c>
      <c r="U2089" t="s">
        <v>2917</v>
      </c>
      <c r="V2089">
        <v>120000</v>
      </c>
      <c r="W2089">
        <v>0</v>
      </c>
      <c r="X2089" t="s">
        <v>77</v>
      </c>
      <c r="Y2089" t="s">
        <v>18</v>
      </c>
      <c r="Z2089" t="s">
        <v>23</v>
      </c>
      <c r="AA2089" t="s">
        <v>3586</v>
      </c>
      <c r="AB2089" t="s">
        <v>3586</v>
      </c>
      <c r="AC2089" t="s">
        <v>3587</v>
      </c>
      <c r="AD2089" t="s">
        <v>3479</v>
      </c>
      <c r="AE2089" t="s">
        <v>3475</v>
      </c>
      <c r="AF2089" s="2">
        <v>1000.4375</v>
      </c>
      <c r="AG2089" s="2">
        <v>605.64919999999995</v>
      </c>
      <c r="AH2089" s="2">
        <v>394.78829999999999</v>
      </c>
      <c r="AI2089" s="3">
        <v>0.39461565565065299</v>
      </c>
    </row>
    <row r="2090" spans="1:35">
      <c r="A2090" s="1">
        <v>42222</v>
      </c>
      <c r="B2090" s="1">
        <v>37373</v>
      </c>
      <c r="C2090" t="s">
        <v>5058</v>
      </c>
      <c r="D2090">
        <v>387</v>
      </c>
      <c r="E2090">
        <v>24611</v>
      </c>
      <c r="F2090">
        <v>9</v>
      </c>
      <c r="G2090">
        <v>1</v>
      </c>
      <c r="H2090">
        <v>1</v>
      </c>
      <c r="I2090">
        <v>2</v>
      </c>
      <c r="J2090" t="s">
        <v>3569</v>
      </c>
      <c r="K2090" t="s">
        <v>3570</v>
      </c>
      <c r="L2090" s="2">
        <v>605.64919999999995</v>
      </c>
      <c r="M2090" s="2">
        <v>1000.4375</v>
      </c>
      <c r="N2090" t="s">
        <v>13</v>
      </c>
      <c r="O2090" t="s">
        <v>584</v>
      </c>
      <c r="P2090" t="s">
        <v>40</v>
      </c>
      <c r="Q2090" t="s">
        <v>8418</v>
      </c>
      <c r="R2090" s="1">
        <v>26172</v>
      </c>
      <c r="S2090" t="s">
        <v>22</v>
      </c>
      <c r="T2090" t="s">
        <v>16</v>
      </c>
      <c r="U2090" t="s">
        <v>2918</v>
      </c>
      <c r="V2090">
        <v>90000</v>
      </c>
      <c r="W2090">
        <v>0</v>
      </c>
      <c r="X2090" t="s">
        <v>17</v>
      </c>
      <c r="Y2090" t="s">
        <v>18</v>
      </c>
      <c r="Z2090" t="s">
        <v>23</v>
      </c>
      <c r="AA2090" t="s">
        <v>3586</v>
      </c>
      <c r="AB2090" t="s">
        <v>3586</v>
      </c>
      <c r="AC2090" t="s">
        <v>3587</v>
      </c>
      <c r="AD2090" t="s">
        <v>3479</v>
      </c>
      <c r="AE2090" t="s">
        <v>3475</v>
      </c>
      <c r="AF2090" s="2">
        <v>1000.4375</v>
      </c>
      <c r="AG2090" s="2">
        <v>605.64919999999995</v>
      </c>
      <c r="AH2090" s="2">
        <v>394.78829999999999</v>
      </c>
      <c r="AI2090" s="3">
        <v>0.39461565565065299</v>
      </c>
    </row>
    <row r="2091" spans="1:35">
      <c r="A2091" s="1">
        <v>42236</v>
      </c>
      <c r="B2091" s="1">
        <v>37432</v>
      </c>
      <c r="C2091" t="s">
        <v>5176</v>
      </c>
      <c r="D2091">
        <v>381</v>
      </c>
      <c r="E2091">
        <v>24612</v>
      </c>
      <c r="F2091">
        <v>9</v>
      </c>
      <c r="G2091">
        <v>1</v>
      </c>
      <c r="H2091">
        <v>1</v>
      </c>
      <c r="I2091">
        <v>2</v>
      </c>
      <c r="J2091" t="s">
        <v>3563</v>
      </c>
      <c r="K2091" t="s">
        <v>3564</v>
      </c>
      <c r="L2091" s="2">
        <v>605.64919999999995</v>
      </c>
      <c r="M2091" s="2">
        <v>1000.4375</v>
      </c>
      <c r="N2091" t="s">
        <v>13</v>
      </c>
      <c r="O2091" t="s">
        <v>1320</v>
      </c>
      <c r="P2091" t="s">
        <v>171</v>
      </c>
      <c r="Q2091" t="s">
        <v>8419</v>
      </c>
      <c r="R2091" s="1">
        <v>25724</v>
      </c>
      <c r="S2091" t="s">
        <v>22</v>
      </c>
      <c r="T2091" t="s">
        <v>16</v>
      </c>
      <c r="U2091" t="s">
        <v>2919</v>
      </c>
      <c r="V2091">
        <v>90000</v>
      </c>
      <c r="W2091">
        <v>0</v>
      </c>
      <c r="X2091" t="s">
        <v>17</v>
      </c>
      <c r="Y2091" t="s">
        <v>18</v>
      </c>
      <c r="Z2091" t="s">
        <v>19</v>
      </c>
      <c r="AA2091" t="s">
        <v>3586</v>
      </c>
      <c r="AB2091" t="s">
        <v>3586</v>
      </c>
      <c r="AC2091" t="s">
        <v>3587</v>
      </c>
      <c r="AD2091" t="s">
        <v>3479</v>
      </c>
      <c r="AE2091" t="s">
        <v>3475</v>
      </c>
      <c r="AF2091" s="2">
        <v>1000.4375</v>
      </c>
      <c r="AG2091" s="2">
        <v>605.64919999999995</v>
      </c>
      <c r="AH2091" s="2">
        <v>394.78829999999999</v>
      </c>
      <c r="AI2091" s="3">
        <v>0.39461565565065299</v>
      </c>
    </row>
    <row r="2092" spans="1:35">
      <c r="A2092" s="1">
        <v>42264</v>
      </c>
      <c r="B2092" s="1">
        <v>37459</v>
      </c>
      <c r="C2092" t="s">
        <v>5395</v>
      </c>
      <c r="D2092">
        <v>389</v>
      </c>
      <c r="E2092">
        <v>24613</v>
      </c>
      <c r="F2092">
        <v>9</v>
      </c>
      <c r="G2092">
        <v>1</v>
      </c>
      <c r="H2092">
        <v>1</v>
      </c>
      <c r="I2092">
        <v>2</v>
      </c>
      <c r="J2092" t="s">
        <v>3571</v>
      </c>
      <c r="K2092" t="s">
        <v>3572</v>
      </c>
      <c r="L2092" s="2">
        <v>605.64919999999995</v>
      </c>
      <c r="M2092" s="2">
        <v>1000.4375</v>
      </c>
      <c r="N2092" t="s">
        <v>26</v>
      </c>
      <c r="O2092" t="s">
        <v>814</v>
      </c>
      <c r="P2092" t="s">
        <v>157</v>
      </c>
      <c r="Q2092" t="s">
        <v>8420</v>
      </c>
      <c r="R2092" s="1">
        <v>25834</v>
      </c>
      <c r="S2092" t="s">
        <v>16</v>
      </c>
      <c r="T2092" t="s">
        <v>29</v>
      </c>
      <c r="U2092" t="s">
        <v>2920</v>
      </c>
      <c r="V2092">
        <v>100000</v>
      </c>
      <c r="W2092">
        <v>0</v>
      </c>
      <c r="X2092" t="s">
        <v>77</v>
      </c>
      <c r="Y2092" t="s">
        <v>18</v>
      </c>
      <c r="Z2092" t="s">
        <v>19</v>
      </c>
      <c r="AA2092" t="s">
        <v>3586</v>
      </c>
      <c r="AB2092" t="s">
        <v>3586</v>
      </c>
      <c r="AC2092" t="s">
        <v>3587</v>
      </c>
      <c r="AD2092" t="s">
        <v>3479</v>
      </c>
      <c r="AE2092" t="s">
        <v>3475</v>
      </c>
      <c r="AF2092" s="2">
        <v>1000.4375</v>
      </c>
      <c r="AG2092" s="2">
        <v>605.64919999999995</v>
      </c>
      <c r="AH2092" s="2">
        <v>394.78829999999999</v>
      </c>
      <c r="AI2092" s="3">
        <v>0.39461565565065299</v>
      </c>
    </row>
    <row r="2093" spans="1:35">
      <c r="A2093" s="1">
        <v>42267</v>
      </c>
      <c r="B2093" s="1">
        <v>37503</v>
      </c>
      <c r="C2093" t="s">
        <v>5419</v>
      </c>
      <c r="D2093">
        <v>385</v>
      </c>
      <c r="E2093">
        <v>24614</v>
      </c>
      <c r="F2093">
        <v>9</v>
      </c>
      <c r="G2093">
        <v>1</v>
      </c>
      <c r="H2093">
        <v>1</v>
      </c>
      <c r="I2093">
        <v>2</v>
      </c>
      <c r="J2093" t="s">
        <v>3567</v>
      </c>
      <c r="K2093" t="s">
        <v>3568</v>
      </c>
      <c r="L2093" s="2">
        <v>605.64919999999995</v>
      </c>
      <c r="M2093" s="2">
        <v>1000.4375</v>
      </c>
      <c r="N2093" t="s">
        <v>26</v>
      </c>
      <c r="O2093" t="s">
        <v>1265</v>
      </c>
      <c r="P2093" t="s">
        <v>131</v>
      </c>
      <c r="Q2093" t="s">
        <v>8421</v>
      </c>
      <c r="R2093" s="1">
        <v>25795</v>
      </c>
      <c r="S2093" t="s">
        <v>16</v>
      </c>
      <c r="T2093" t="s">
        <v>29</v>
      </c>
      <c r="U2093" t="s">
        <v>2921</v>
      </c>
      <c r="V2093">
        <v>120000</v>
      </c>
      <c r="W2093">
        <v>0</v>
      </c>
      <c r="X2093" t="s">
        <v>77</v>
      </c>
      <c r="Y2093" t="s">
        <v>18</v>
      </c>
      <c r="Z2093" t="s">
        <v>23</v>
      </c>
      <c r="AA2093" t="s">
        <v>3586</v>
      </c>
      <c r="AB2093" t="s">
        <v>3586</v>
      </c>
      <c r="AC2093" t="s">
        <v>3587</v>
      </c>
      <c r="AD2093" t="s">
        <v>3479</v>
      </c>
      <c r="AE2093" t="s">
        <v>3475</v>
      </c>
      <c r="AF2093" s="2">
        <v>1000.4375</v>
      </c>
      <c r="AG2093" s="2">
        <v>605.64919999999995</v>
      </c>
      <c r="AH2093" s="2">
        <v>394.78829999999999</v>
      </c>
      <c r="AI2093" s="3">
        <v>0.39461565565065299</v>
      </c>
    </row>
    <row r="2094" spans="1:35">
      <c r="A2094" s="1">
        <v>42277</v>
      </c>
      <c r="B2094" s="1">
        <v>37497</v>
      </c>
      <c r="C2094" t="s">
        <v>5476</v>
      </c>
      <c r="D2094">
        <v>387</v>
      </c>
      <c r="E2094">
        <v>24615</v>
      </c>
      <c r="F2094">
        <v>9</v>
      </c>
      <c r="G2094">
        <v>1</v>
      </c>
      <c r="H2094">
        <v>1</v>
      </c>
      <c r="I2094">
        <v>2</v>
      </c>
      <c r="J2094" t="s">
        <v>3569</v>
      </c>
      <c r="K2094" t="s">
        <v>3570</v>
      </c>
      <c r="L2094" s="2">
        <v>605.64919999999995</v>
      </c>
      <c r="M2094" s="2">
        <v>1000.4375</v>
      </c>
      <c r="N2094" t="s">
        <v>13</v>
      </c>
      <c r="O2094" t="s">
        <v>666</v>
      </c>
      <c r="P2094" t="s">
        <v>460</v>
      </c>
      <c r="Q2094" t="s">
        <v>8422</v>
      </c>
      <c r="R2094" s="1">
        <v>26072</v>
      </c>
      <c r="S2094" t="s">
        <v>16</v>
      </c>
      <c r="T2094" t="s">
        <v>16</v>
      </c>
      <c r="U2094" t="s">
        <v>2922</v>
      </c>
      <c r="V2094">
        <v>110000</v>
      </c>
      <c r="W2094">
        <v>0</v>
      </c>
      <c r="X2094" t="s">
        <v>77</v>
      </c>
      <c r="Y2094" t="s">
        <v>18</v>
      </c>
      <c r="Z2094" t="s">
        <v>19</v>
      </c>
      <c r="AA2094" t="s">
        <v>3586</v>
      </c>
      <c r="AB2094" t="s">
        <v>3586</v>
      </c>
      <c r="AC2094" t="s">
        <v>3587</v>
      </c>
      <c r="AD2094" t="s">
        <v>3479</v>
      </c>
      <c r="AE2094" t="s">
        <v>3475</v>
      </c>
      <c r="AF2094" s="2">
        <v>1000.4375</v>
      </c>
      <c r="AG2094" s="2">
        <v>605.64919999999995</v>
      </c>
      <c r="AH2094" s="2">
        <v>394.78829999999999</v>
      </c>
      <c r="AI2094" s="3">
        <v>0.39461565565065299</v>
      </c>
    </row>
    <row r="2095" spans="1:35">
      <c r="A2095" s="1">
        <v>42178</v>
      </c>
      <c r="B2095" s="1">
        <v>37312</v>
      </c>
      <c r="C2095" t="s">
        <v>4710</v>
      </c>
      <c r="D2095">
        <v>310</v>
      </c>
      <c r="E2095">
        <v>24646</v>
      </c>
      <c r="F2095">
        <v>6</v>
      </c>
      <c r="G2095">
        <v>1</v>
      </c>
      <c r="H2095">
        <v>1</v>
      </c>
      <c r="I2095">
        <v>2</v>
      </c>
      <c r="J2095" t="s">
        <v>3485</v>
      </c>
      <c r="K2095" t="s">
        <v>3486</v>
      </c>
      <c r="L2095" s="2">
        <v>2171.2941999999998</v>
      </c>
      <c r="M2095" s="2">
        <v>3578.27</v>
      </c>
      <c r="N2095" t="s">
        <v>13</v>
      </c>
      <c r="O2095" t="s">
        <v>766</v>
      </c>
      <c r="P2095" t="s">
        <v>105</v>
      </c>
      <c r="Q2095" t="s">
        <v>8423</v>
      </c>
      <c r="R2095" s="1">
        <v>16265</v>
      </c>
      <c r="S2095" t="s">
        <v>16</v>
      </c>
      <c r="T2095" t="s">
        <v>16</v>
      </c>
      <c r="U2095" t="s">
        <v>2923</v>
      </c>
      <c r="V2095">
        <v>30000</v>
      </c>
      <c r="W2095">
        <v>4</v>
      </c>
      <c r="X2095" t="s">
        <v>57</v>
      </c>
      <c r="Y2095" t="s">
        <v>18</v>
      </c>
      <c r="Z2095" t="s">
        <v>19</v>
      </c>
      <c r="AA2095" t="s">
        <v>3582</v>
      </c>
      <c r="AB2095" t="s">
        <v>3582</v>
      </c>
      <c r="AC2095" t="s">
        <v>3579</v>
      </c>
      <c r="AD2095" t="s">
        <v>3479</v>
      </c>
      <c r="AE2095" t="s">
        <v>3475</v>
      </c>
      <c r="AF2095" s="2">
        <v>3578.27</v>
      </c>
      <c r="AG2095" s="2">
        <v>2171.2941999999998</v>
      </c>
      <c r="AH2095" s="2">
        <v>1406.9757999999999</v>
      </c>
      <c r="AI2095" s="3">
        <v>0.39320001006072802</v>
      </c>
    </row>
    <row r="2096" spans="1:35">
      <c r="A2096" s="1">
        <v>42159</v>
      </c>
      <c r="B2096" s="1">
        <v>37291</v>
      </c>
      <c r="C2096" t="s">
        <v>4572</v>
      </c>
      <c r="D2096">
        <v>314</v>
      </c>
      <c r="E2096">
        <v>24661</v>
      </c>
      <c r="F2096">
        <v>6</v>
      </c>
      <c r="G2096">
        <v>1</v>
      </c>
      <c r="H2096">
        <v>1</v>
      </c>
      <c r="I2096">
        <v>2</v>
      </c>
      <c r="J2096" t="s">
        <v>3493</v>
      </c>
      <c r="K2096" t="s">
        <v>3494</v>
      </c>
      <c r="L2096" s="2">
        <v>2171.2941999999998</v>
      </c>
      <c r="M2096" s="2">
        <v>3578.27</v>
      </c>
      <c r="N2096" t="s">
        <v>30</v>
      </c>
      <c r="O2096" t="s">
        <v>764</v>
      </c>
      <c r="P2096" t="s">
        <v>343</v>
      </c>
      <c r="Q2096" t="s">
        <v>8424</v>
      </c>
      <c r="R2096" s="1">
        <v>17340</v>
      </c>
      <c r="S2096" t="s">
        <v>22</v>
      </c>
      <c r="T2096" t="s">
        <v>29</v>
      </c>
      <c r="U2096" t="s">
        <v>2924</v>
      </c>
      <c r="V2096">
        <v>70000</v>
      </c>
      <c r="W2096">
        <v>2</v>
      </c>
      <c r="X2096" t="s">
        <v>17</v>
      </c>
      <c r="Y2096" t="s">
        <v>45</v>
      </c>
      <c r="Z2096" t="s">
        <v>23</v>
      </c>
      <c r="AA2096" t="s">
        <v>3582</v>
      </c>
      <c r="AB2096" t="s">
        <v>3582</v>
      </c>
      <c r="AC2096" t="s">
        <v>3579</v>
      </c>
      <c r="AD2096" t="s">
        <v>3479</v>
      </c>
      <c r="AE2096" t="s">
        <v>3475</v>
      </c>
      <c r="AF2096" s="2">
        <v>3578.27</v>
      </c>
      <c r="AG2096" s="2">
        <v>2171.2941999999998</v>
      </c>
      <c r="AH2096" s="2">
        <v>1406.9757999999999</v>
      </c>
      <c r="AI2096" s="3">
        <v>0.39320001006072802</v>
      </c>
    </row>
    <row r="2097" spans="1:35">
      <c r="A2097" s="1">
        <v>42184</v>
      </c>
      <c r="B2097" s="1">
        <v>37330</v>
      </c>
      <c r="C2097" t="s">
        <v>4750</v>
      </c>
      <c r="D2097">
        <v>313</v>
      </c>
      <c r="E2097">
        <v>24664</v>
      </c>
      <c r="F2097">
        <v>6</v>
      </c>
      <c r="G2097">
        <v>1</v>
      </c>
      <c r="H2097">
        <v>1</v>
      </c>
      <c r="I2097">
        <v>2</v>
      </c>
      <c r="J2097" t="s">
        <v>3491</v>
      </c>
      <c r="K2097" t="s">
        <v>3492</v>
      </c>
      <c r="L2097" s="2">
        <v>2171.2941999999998</v>
      </c>
      <c r="M2097" s="2">
        <v>3578.27</v>
      </c>
      <c r="N2097" t="s">
        <v>13</v>
      </c>
      <c r="O2097" t="s">
        <v>46</v>
      </c>
      <c r="P2097" t="s">
        <v>594</v>
      </c>
      <c r="Q2097" t="s">
        <v>8425</v>
      </c>
      <c r="R2097" s="1">
        <v>17666</v>
      </c>
      <c r="S2097" t="s">
        <v>16</v>
      </c>
      <c r="T2097" t="s">
        <v>16</v>
      </c>
      <c r="U2097" t="s">
        <v>2925</v>
      </c>
      <c r="V2097">
        <v>40000</v>
      </c>
      <c r="W2097">
        <v>2</v>
      </c>
      <c r="X2097" t="s">
        <v>57</v>
      </c>
      <c r="Y2097" t="s">
        <v>18</v>
      </c>
      <c r="Z2097" t="s">
        <v>19</v>
      </c>
      <c r="AA2097" t="s">
        <v>3582</v>
      </c>
      <c r="AB2097" t="s">
        <v>3582</v>
      </c>
      <c r="AC2097" t="s">
        <v>3579</v>
      </c>
      <c r="AD2097" t="s">
        <v>3479</v>
      </c>
      <c r="AE2097" t="s">
        <v>3475</v>
      </c>
      <c r="AF2097" s="2">
        <v>3578.27</v>
      </c>
      <c r="AG2097" s="2">
        <v>2171.2941999999998</v>
      </c>
      <c r="AH2097" s="2">
        <v>1406.9757999999999</v>
      </c>
      <c r="AI2097" s="3">
        <v>0.39320001006072802</v>
      </c>
    </row>
    <row r="2098" spans="1:35">
      <c r="A2098" s="1">
        <v>42171</v>
      </c>
      <c r="B2098" s="1">
        <v>37304</v>
      </c>
      <c r="C2098" t="s">
        <v>4649</v>
      </c>
      <c r="D2098">
        <v>313</v>
      </c>
      <c r="E2098">
        <v>24666</v>
      </c>
      <c r="F2098">
        <v>6</v>
      </c>
      <c r="G2098">
        <v>1</v>
      </c>
      <c r="H2098">
        <v>1</v>
      </c>
      <c r="I2098">
        <v>2</v>
      </c>
      <c r="J2098" t="s">
        <v>3491</v>
      </c>
      <c r="K2098" t="s">
        <v>3492</v>
      </c>
      <c r="L2098" s="2">
        <v>2171.2941999999998</v>
      </c>
      <c r="M2098" s="2">
        <v>3578.27</v>
      </c>
      <c r="N2098" t="s">
        <v>30</v>
      </c>
      <c r="O2098" t="s">
        <v>278</v>
      </c>
      <c r="P2098" t="s">
        <v>290</v>
      </c>
      <c r="Q2098" t="s">
        <v>8426</v>
      </c>
      <c r="R2098" s="1">
        <v>17664</v>
      </c>
      <c r="S2098" t="s">
        <v>16</v>
      </c>
      <c r="T2098" t="s">
        <v>29</v>
      </c>
      <c r="U2098" t="s">
        <v>2926</v>
      </c>
      <c r="V2098">
        <v>40000</v>
      </c>
      <c r="W2098">
        <v>2</v>
      </c>
      <c r="X2098" t="s">
        <v>57</v>
      </c>
      <c r="Y2098" t="s">
        <v>18</v>
      </c>
      <c r="Z2098" t="s">
        <v>23</v>
      </c>
      <c r="AA2098" t="s">
        <v>3582</v>
      </c>
      <c r="AB2098" t="s">
        <v>3582</v>
      </c>
      <c r="AC2098" t="s">
        <v>3579</v>
      </c>
      <c r="AD2098" t="s">
        <v>3479</v>
      </c>
      <c r="AE2098" t="s">
        <v>3475</v>
      </c>
      <c r="AF2098" s="2">
        <v>3578.27</v>
      </c>
      <c r="AG2098" s="2">
        <v>2171.2941999999998</v>
      </c>
      <c r="AH2098" s="2">
        <v>1406.9757999999999</v>
      </c>
      <c r="AI2098" s="3">
        <v>0.39320001006072802</v>
      </c>
    </row>
    <row r="2099" spans="1:35">
      <c r="A2099" s="1">
        <v>42176</v>
      </c>
      <c r="B2099" s="1">
        <v>37333</v>
      </c>
      <c r="C2099" t="s">
        <v>4690</v>
      </c>
      <c r="D2099">
        <v>313</v>
      </c>
      <c r="E2099">
        <v>24671</v>
      </c>
      <c r="F2099">
        <v>6</v>
      </c>
      <c r="G2099">
        <v>1</v>
      </c>
      <c r="H2099">
        <v>1</v>
      </c>
      <c r="I2099">
        <v>2</v>
      </c>
      <c r="J2099" t="s">
        <v>3491</v>
      </c>
      <c r="K2099" t="s">
        <v>3492</v>
      </c>
      <c r="L2099" s="2">
        <v>2171.2941999999998</v>
      </c>
      <c r="M2099" s="2">
        <v>3578.27</v>
      </c>
      <c r="N2099" t="s">
        <v>13</v>
      </c>
      <c r="O2099" t="s">
        <v>396</v>
      </c>
      <c r="P2099" t="s">
        <v>329</v>
      </c>
      <c r="Q2099" t="s">
        <v>8427</v>
      </c>
      <c r="R2099" s="1">
        <v>18216</v>
      </c>
      <c r="S2099" t="s">
        <v>16</v>
      </c>
      <c r="T2099" t="s">
        <v>16</v>
      </c>
      <c r="U2099" t="s">
        <v>2927</v>
      </c>
      <c r="V2099">
        <v>40000</v>
      </c>
      <c r="W2099">
        <v>2</v>
      </c>
      <c r="X2099" t="s">
        <v>77</v>
      </c>
      <c r="Y2099" t="s">
        <v>53</v>
      </c>
      <c r="Z2099" t="s">
        <v>19</v>
      </c>
      <c r="AA2099" t="s">
        <v>3582</v>
      </c>
      <c r="AB2099" t="s">
        <v>3582</v>
      </c>
      <c r="AC2099" t="s">
        <v>3579</v>
      </c>
      <c r="AD2099" t="s">
        <v>3479</v>
      </c>
      <c r="AE2099" t="s">
        <v>3475</v>
      </c>
      <c r="AF2099" s="2">
        <v>3578.27</v>
      </c>
      <c r="AG2099" s="2">
        <v>2171.2941999999998</v>
      </c>
      <c r="AH2099" s="2">
        <v>1406.9757999999999</v>
      </c>
      <c r="AI2099" s="3">
        <v>0.39320001006072802</v>
      </c>
    </row>
    <row r="2100" spans="1:35">
      <c r="A2100" s="1">
        <v>42182</v>
      </c>
      <c r="B2100" s="1">
        <v>37367</v>
      </c>
      <c r="C2100" t="s">
        <v>4735</v>
      </c>
      <c r="D2100">
        <v>310</v>
      </c>
      <c r="E2100">
        <v>24757</v>
      </c>
      <c r="F2100">
        <v>6</v>
      </c>
      <c r="G2100">
        <v>1</v>
      </c>
      <c r="H2100">
        <v>1</v>
      </c>
      <c r="I2100">
        <v>2</v>
      </c>
      <c r="J2100" t="s">
        <v>3485</v>
      </c>
      <c r="K2100" t="s">
        <v>3486</v>
      </c>
      <c r="L2100" s="2">
        <v>2171.2941999999998</v>
      </c>
      <c r="M2100" s="2">
        <v>3578.27</v>
      </c>
      <c r="N2100" t="s">
        <v>30</v>
      </c>
      <c r="O2100" t="s">
        <v>550</v>
      </c>
      <c r="P2100" t="s">
        <v>450</v>
      </c>
      <c r="Q2100" t="s">
        <v>8428</v>
      </c>
      <c r="R2100" s="1">
        <v>21195</v>
      </c>
      <c r="S2100" t="s">
        <v>16</v>
      </c>
      <c r="T2100" t="s">
        <v>29</v>
      </c>
      <c r="U2100" t="s">
        <v>2928</v>
      </c>
      <c r="V2100">
        <v>40000</v>
      </c>
      <c r="W2100">
        <v>1</v>
      </c>
      <c r="X2100" t="s">
        <v>52</v>
      </c>
      <c r="Y2100" t="s">
        <v>60</v>
      </c>
      <c r="Z2100" t="s">
        <v>19</v>
      </c>
      <c r="AA2100" t="s">
        <v>3582</v>
      </c>
      <c r="AB2100" t="s">
        <v>3582</v>
      </c>
      <c r="AC2100" t="s">
        <v>3579</v>
      </c>
      <c r="AD2100" t="s">
        <v>3479</v>
      </c>
      <c r="AE2100" t="s">
        <v>3475</v>
      </c>
      <c r="AF2100" s="2">
        <v>3578.27</v>
      </c>
      <c r="AG2100" s="2">
        <v>2171.2941999999998</v>
      </c>
      <c r="AH2100" s="2">
        <v>1406.9757999999999</v>
      </c>
      <c r="AI2100" s="3">
        <v>0.39320001006072802</v>
      </c>
    </row>
    <row r="2101" spans="1:35">
      <c r="A2101" s="1">
        <v>42172</v>
      </c>
      <c r="B2101" s="1">
        <v>37378</v>
      </c>
      <c r="C2101" t="s">
        <v>4651</v>
      </c>
      <c r="D2101">
        <v>314</v>
      </c>
      <c r="E2101">
        <v>24759</v>
      </c>
      <c r="F2101">
        <v>6</v>
      </c>
      <c r="G2101">
        <v>1</v>
      </c>
      <c r="H2101">
        <v>1</v>
      </c>
      <c r="I2101">
        <v>2</v>
      </c>
      <c r="J2101" t="s">
        <v>3493</v>
      </c>
      <c r="K2101" t="s">
        <v>3494</v>
      </c>
      <c r="L2101" s="2">
        <v>2171.2941999999998</v>
      </c>
      <c r="M2101" s="2">
        <v>3578.27</v>
      </c>
      <c r="N2101" t="s">
        <v>30</v>
      </c>
      <c r="O2101" t="s">
        <v>319</v>
      </c>
      <c r="P2101" t="s">
        <v>345</v>
      </c>
      <c r="Q2101" t="s">
        <v>8429</v>
      </c>
      <c r="R2101" s="1">
        <v>21657</v>
      </c>
      <c r="S2101" t="s">
        <v>22</v>
      </c>
      <c r="T2101" t="s">
        <v>29</v>
      </c>
      <c r="U2101" t="s">
        <v>2929</v>
      </c>
      <c r="V2101">
        <v>40000</v>
      </c>
      <c r="W2101">
        <v>2</v>
      </c>
      <c r="X2101" t="s">
        <v>52</v>
      </c>
      <c r="Y2101" t="s">
        <v>60</v>
      </c>
      <c r="Z2101" t="s">
        <v>23</v>
      </c>
      <c r="AA2101" t="s">
        <v>3582</v>
      </c>
      <c r="AB2101" t="s">
        <v>3582</v>
      </c>
      <c r="AC2101" t="s">
        <v>3579</v>
      </c>
      <c r="AD2101" t="s">
        <v>3479</v>
      </c>
      <c r="AE2101" t="s">
        <v>3475</v>
      </c>
      <c r="AF2101" s="2">
        <v>3578.27</v>
      </c>
      <c r="AG2101" s="2">
        <v>2171.2941999999998</v>
      </c>
      <c r="AH2101" s="2">
        <v>1406.9757999999999</v>
      </c>
      <c r="AI2101" s="3">
        <v>0.39320001006072802</v>
      </c>
    </row>
    <row r="2102" spans="1:35">
      <c r="A2102" s="1">
        <v>42190</v>
      </c>
      <c r="B2102" s="1">
        <v>37405</v>
      </c>
      <c r="C2102" t="s">
        <v>4803</v>
      </c>
      <c r="D2102">
        <v>371</v>
      </c>
      <c r="E2102">
        <v>24778</v>
      </c>
      <c r="F2102">
        <v>6</v>
      </c>
      <c r="G2102">
        <v>1</v>
      </c>
      <c r="H2102">
        <v>1</v>
      </c>
      <c r="I2102">
        <v>2</v>
      </c>
      <c r="J2102" t="s">
        <v>3553</v>
      </c>
      <c r="K2102" t="s">
        <v>3554</v>
      </c>
      <c r="L2102" s="2">
        <v>1320.6838</v>
      </c>
      <c r="M2102" s="2">
        <v>2181.5625</v>
      </c>
      <c r="N2102" t="s">
        <v>13</v>
      </c>
      <c r="O2102" t="s">
        <v>419</v>
      </c>
      <c r="P2102" t="s">
        <v>173</v>
      </c>
      <c r="Q2102" t="s">
        <v>8430</v>
      </c>
      <c r="R2102" s="1">
        <v>26220</v>
      </c>
      <c r="S2102" t="s">
        <v>16</v>
      </c>
      <c r="T2102" t="s">
        <v>16</v>
      </c>
      <c r="U2102" t="s">
        <v>2930</v>
      </c>
      <c r="V2102">
        <v>70000</v>
      </c>
      <c r="W2102">
        <v>1</v>
      </c>
      <c r="X2102" t="s">
        <v>135</v>
      </c>
      <c r="Y2102" t="s">
        <v>53</v>
      </c>
      <c r="Z2102" t="s">
        <v>19</v>
      </c>
      <c r="AA2102" t="s">
        <v>3582</v>
      </c>
      <c r="AB2102" t="s">
        <v>3582</v>
      </c>
      <c r="AC2102" t="s">
        <v>3579</v>
      </c>
      <c r="AD2102" t="s">
        <v>3479</v>
      </c>
      <c r="AE2102" t="s">
        <v>3475</v>
      </c>
      <c r="AF2102" s="2">
        <v>2181.5625</v>
      </c>
      <c r="AG2102" s="2">
        <v>1320.6838</v>
      </c>
      <c r="AH2102" s="2">
        <v>860.87869999999998</v>
      </c>
      <c r="AI2102" s="3">
        <v>0.39461564818793898</v>
      </c>
    </row>
    <row r="2103" spans="1:35">
      <c r="A2103" s="1">
        <v>42192</v>
      </c>
      <c r="B2103" s="1">
        <v>37376</v>
      </c>
      <c r="C2103" t="s">
        <v>4817</v>
      </c>
      <c r="D2103">
        <v>375</v>
      </c>
      <c r="E2103">
        <v>24781</v>
      </c>
      <c r="F2103">
        <v>6</v>
      </c>
      <c r="G2103">
        <v>1</v>
      </c>
      <c r="H2103">
        <v>1</v>
      </c>
      <c r="I2103">
        <v>2</v>
      </c>
      <c r="J2103" t="s">
        <v>3557</v>
      </c>
      <c r="K2103" t="s">
        <v>3558</v>
      </c>
      <c r="L2103" s="2">
        <v>1320.6838</v>
      </c>
      <c r="M2103" s="2">
        <v>2181.5625</v>
      </c>
      <c r="N2103" t="s">
        <v>30</v>
      </c>
      <c r="O2103" t="s">
        <v>1184</v>
      </c>
      <c r="P2103" t="s">
        <v>99</v>
      </c>
      <c r="Q2103" t="s">
        <v>8431</v>
      </c>
      <c r="R2103" s="1">
        <v>26594</v>
      </c>
      <c r="S2103" t="s">
        <v>16</v>
      </c>
      <c r="T2103" t="s">
        <v>29</v>
      </c>
      <c r="U2103" t="s">
        <v>2931</v>
      </c>
      <c r="V2103">
        <v>50000</v>
      </c>
      <c r="W2103">
        <v>1</v>
      </c>
      <c r="X2103" t="s">
        <v>135</v>
      </c>
      <c r="Y2103" t="s">
        <v>53</v>
      </c>
      <c r="Z2103" t="s">
        <v>19</v>
      </c>
      <c r="AA2103" t="s">
        <v>3582</v>
      </c>
      <c r="AB2103" t="s">
        <v>3582</v>
      </c>
      <c r="AC2103" t="s">
        <v>3579</v>
      </c>
      <c r="AD2103" t="s">
        <v>3479</v>
      </c>
      <c r="AE2103" t="s">
        <v>3475</v>
      </c>
      <c r="AF2103" s="2">
        <v>2181.5625</v>
      </c>
      <c r="AG2103" s="2">
        <v>1320.6838</v>
      </c>
      <c r="AH2103" s="2">
        <v>860.87869999999998</v>
      </c>
      <c r="AI2103" s="3">
        <v>0.39461564818793898</v>
      </c>
    </row>
    <row r="2104" spans="1:35">
      <c r="A2104" s="1">
        <v>42204</v>
      </c>
      <c r="B2104" s="1">
        <v>37352</v>
      </c>
      <c r="C2104" t="s">
        <v>4914</v>
      </c>
      <c r="D2104">
        <v>369</v>
      </c>
      <c r="E2104">
        <v>24786</v>
      </c>
      <c r="F2104">
        <v>6</v>
      </c>
      <c r="G2104">
        <v>1</v>
      </c>
      <c r="H2104">
        <v>1</v>
      </c>
      <c r="I2104">
        <v>2</v>
      </c>
      <c r="J2104" t="s">
        <v>3549</v>
      </c>
      <c r="K2104" t="s">
        <v>3550</v>
      </c>
      <c r="L2104" s="2">
        <v>1518.7864</v>
      </c>
      <c r="M2104" s="2">
        <v>2443.35</v>
      </c>
      <c r="N2104" t="s">
        <v>30</v>
      </c>
      <c r="O2104" t="s">
        <v>409</v>
      </c>
      <c r="P2104" t="s">
        <v>297</v>
      </c>
      <c r="Q2104" t="s">
        <v>8432</v>
      </c>
      <c r="R2104" s="1">
        <v>25592</v>
      </c>
      <c r="S2104" t="s">
        <v>16</v>
      </c>
      <c r="T2104" t="s">
        <v>29</v>
      </c>
      <c r="U2104" t="s">
        <v>2932</v>
      </c>
      <c r="V2104">
        <v>40000</v>
      </c>
      <c r="W2104">
        <v>1</v>
      </c>
      <c r="X2104" t="s">
        <v>17</v>
      </c>
      <c r="Y2104" t="s">
        <v>53</v>
      </c>
      <c r="Z2104" t="s">
        <v>19</v>
      </c>
      <c r="AA2104" t="s">
        <v>3582</v>
      </c>
      <c r="AB2104" t="s">
        <v>3582</v>
      </c>
      <c r="AC2104" t="s">
        <v>3579</v>
      </c>
      <c r="AD2104" t="s">
        <v>3479</v>
      </c>
      <c r="AE2104" t="s">
        <v>3475</v>
      </c>
      <c r="AF2104" s="2">
        <v>2443.35</v>
      </c>
      <c r="AG2104" s="2">
        <v>1518.7864</v>
      </c>
      <c r="AH2104" s="2">
        <v>924.56359999999995</v>
      </c>
      <c r="AI2104" s="3">
        <v>0.37839998362903399</v>
      </c>
    </row>
    <row r="2105" spans="1:35">
      <c r="A2105" s="1">
        <v>42205</v>
      </c>
      <c r="B2105" s="1">
        <v>37374</v>
      </c>
      <c r="C2105" t="s">
        <v>4926</v>
      </c>
      <c r="D2105">
        <v>375</v>
      </c>
      <c r="E2105">
        <v>24817</v>
      </c>
      <c r="F2105">
        <v>6</v>
      </c>
      <c r="G2105">
        <v>1</v>
      </c>
      <c r="H2105">
        <v>1</v>
      </c>
      <c r="I2105">
        <v>2</v>
      </c>
      <c r="J2105" t="s">
        <v>3557</v>
      </c>
      <c r="K2105" t="s">
        <v>3558</v>
      </c>
      <c r="L2105" s="2">
        <v>1320.6838</v>
      </c>
      <c r="M2105" s="2">
        <v>2181.5625</v>
      </c>
      <c r="N2105" t="s">
        <v>30</v>
      </c>
      <c r="O2105" t="s">
        <v>374</v>
      </c>
      <c r="P2105" t="s">
        <v>245</v>
      </c>
      <c r="Q2105" t="s">
        <v>8433</v>
      </c>
      <c r="R2105" s="1">
        <v>25487</v>
      </c>
      <c r="S2105" t="s">
        <v>16</v>
      </c>
      <c r="T2105" t="s">
        <v>29</v>
      </c>
      <c r="U2105" t="s">
        <v>2933</v>
      </c>
      <c r="V2105">
        <v>60000</v>
      </c>
      <c r="W2105">
        <v>2</v>
      </c>
      <c r="X2105" t="s">
        <v>135</v>
      </c>
      <c r="Y2105" t="s">
        <v>18</v>
      </c>
      <c r="Z2105" t="s">
        <v>19</v>
      </c>
      <c r="AA2105" t="s">
        <v>3582</v>
      </c>
      <c r="AB2105" t="s">
        <v>3582</v>
      </c>
      <c r="AC2105" t="s">
        <v>3579</v>
      </c>
      <c r="AD2105" t="s">
        <v>3479</v>
      </c>
      <c r="AE2105" t="s">
        <v>3475</v>
      </c>
      <c r="AF2105" s="2">
        <v>2181.5625</v>
      </c>
      <c r="AG2105" s="2">
        <v>1320.6838</v>
      </c>
      <c r="AH2105" s="2">
        <v>860.87869999999998</v>
      </c>
      <c r="AI2105" s="3">
        <v>0.39461564818793898</v>
      </c>
    </row>
    <row r="2106" spans="1:35">
      <c r="A2106" s="1">
        <v>42203</v>
      </c>
      <c r="B2106" s="1">
        <v>37357</v>
      </c>
      <c r="C2106" t="s">
        <v>4904</v>
      </c>
      <c r="D2106">
        <v>377</v>
      </c>
      <c r="E2106">
        <v>24824</v>
      </c>
      <c r="F2106">
        <v>6</v>
      </c>
      <c r="G2106">
        <v>1</v>
      </c>
      <c r="H2106">
        <v>1</v>
      </c>
      <c r="I2106">
        <v>2</v>
      </c>
      <c r="J2106" t="s">
        <v>3559</v>
      </c>
      <c r="K2106" t="s">
        <v>3560</v>
      </c>
      <c r="L2106" s="2">
        <v>1320.6838</v>
      </c>
      <c r="M2106" s="2">
        <v>2181.5625</v>
      </c>
      <c r="N2106" t="s">
        <v>26</v>
      </c>
      <c r="O2106" t="s">
        <v>628</v>
      </c>
      <c r="P2106" t="s">
        <v>283</v>
      </c>
      <c r="Q2106" t="s">
        <v>8434</v>
      </c>
      <c r="R2106" s="1">
        <v>23993</v>
      </c>
      <c r="S2106" t="s">
        <v>22</v>
      </c>
      <c r="T2106" t="s">
        <v>29</v>
      </c>
      <c r="U2106" t="s">
        <v>2934</v>
      </c>
      <c r="V2106">
        <v>40000</v>
      </c>
      <c r="W2106">
        <v>0</v>
      </c>
      <c r="X2106" t="s">
        <v>17</v>
      </c>
      <c r="Y2106" t="s">
        <v>18</v>
      </c>
      <c r="Z2106" t="s">
        <v>19</v>
      </c>
      <c r="AA2106" t="s">
        <v>3582</v>
      </c>
      <c r="AB2106" t="s">
        <v>3582</v>
      </c>
      <c r="AC2106" t="s">
        <v>3579</v>
      </c>
      <c r="AD2106" t="s">
        <v>3479</v>
      </c>
      <c r="AE2106" t="s">
        <v>3475</v>
      </c>
      <c r="AF2106" s="2">
        <v>2181.5625</v>
      </c>
      <c r="AG2106" s="2">
        <v>1320.6838</v>
      </c>
      <c r="AH2106" s="2">
        <v>860.87869999999998</v>
      </c>
      <c r="AI2106" s="3">
        <v>0.39461564818793898</v>
      </c>
    </row>
    <row r="2107" spans="1:35">
      <c r="A2107" s="1">
        <v>42215</v>
      </c>
      <c r="B2107" s="1">
        <v>37381</v>
      </c>
      <c r="C2107" t="s">
        <v>4998</v>
      </c>
      <c r="D2107">
        <v>377</v>
      </c>
      <c r="E2107">
        <v>24832</v>
      </c>
      <c r="F2107">
        <v>6</v>
      </c>
      <c r="G2107">
        <v>1</v>
      </c>
      <c r="H2107">
        <v>1</v>
      </c>
      <c r="I2107">
        <v>2</v>
      </c>
      <c r="J2107" t="s">
        <v>3559</v>
      </c>
      <c r="K2107" t="s">
        <v>3560</v>
      </c>
      <c r="L2107" s="2">
        <v>1320.6838</v>
      </c>
      <c r="M2107" s="2">
        <v>2181.5625</v>
      </c>
      <c r="N2107" t="s">
        <v>26</v>
      </c>
      <c r="O2107" t="s">
        <v>252</v>
      </c>
      <c r="P2107" t="s">
        <v>103</v>
      </c>
      <c r="Q2107" t="s">
        <v>8435</v>
      </c>
      <c r="R2107" s="1">
        <v>23956</v>
      </c>
      <c r="S2107" t="s">
        <v>16</v>
      </c>
      <c r="T2107" t="s">
        <v>29</v>
      </c>
      <c r="U2107" t="s">
        <v>2935</v>
      </c>
      <c r="V2107">
        <v>60000</v>
      </c>
      <c r="W2107">
        <v>0</v>
      </c>
      <c r="X2107" t="s">
        <v>135</v>
      </c>
      <c r="Y2107" t="s">
        <v>18</v>
      </c>
      <c r="Z2107" t="s">
        <v>23</v>
      </c>
      <c r="AA2107" t="s">
        <v>3582</v>
      </c>
      <c r="AB2107" t="s">
        <v>3582</v>
      </c>
      <c r="AC2107" t="s">
        <v>3579</v>
      </c>
      <c r="AD2107" t="s">
        <v>3479</v>
      </c>
      <c r="AE2107" t="s">
        <v>3475</v>
      </c>
      <c r="AF2107" s="2">
        <v>2181.5625</v>
      </c>
      <c r="AG2107" s="2">
        <v>1320.6838</v>
      </c>
      <c r="AH2107" s="2">
        <v>860.87869999999998</v>
      </c>
      <c r="AI2107" s="3">
        <v>0.39461564818793898</v>
      </c>
    </row>
    <row r="2108" spans="1:35">
      <c r="A2108" s="1">
        <v>42249</v>
      </c>
      <c r="B2108" s="1">
        <v>37426</v>
      </c>
      <c r="C2108" t="s">
        <v>5294</v>
      </c>
      <c r="D2108">
        <v>381</v>
      </c>
      <c r="E2108">
        <v>24887</v>
      </c>
      <c r="F2108">
        <v>9</v>
      </c>
      <c r="G2108">
        <v>1</v>
      </c>
      <c r="H2108">
        <v>1</v>
      </c>
      <c r="I2108">
        <v>2</v>
      </c>
      <c r="J2108" t="s">
        <v>3563</v>
      </c>
      <c r="K2108" t="s">
        <v>3564</v>
      </c>
      <c r="L2108" s="2">
        <v>605.64919999999995</v>
      </c>
      <c r="M2108" s="2">
        <v>1000.4375</v>
      </c>
      <c r="N2108" t="s">
        <v>13</v>
      </c>
      <c r="O2108" t="s">
        <v>420</v>
      </c>
      <c r="P2108" t="s">
        <v>470</v>
      </c>
      <c r="Q2108" t="s">
        <v>8436</v>
      </c>
      <c r="R2108" s="1">
        <v>27519</v>
      </c>
      <c r="S2108" t="s">
        <v>22</v>
      </c>
      <c r="T2108" t="s">
        <v>16</v>
      </c>
      <c r="U2108" t="s">
        <v>2936</v>
      </c>
      <c r="V2108">
        <v>70000</v>
      </c>
      <c r="W2108">
        <v>0</v>
      </c>
      <c r="X2108" t="s">
        <v>17</v>
      </c>
      <c r="Y2108" t="s">
        <v>18</v>
      </c>
      <c r="Z2108" t="s">
        <v>23</v>
      </c>
      <c r="AA2108" t="s">
        <v>3586</v>
      </c>
      <c r="AB2108" t="s">
        <v>3586</v>
      </c>
      <c r="AC2108" t="s">
        <v>3587</v>
      </c>
      <c r="AD2108" t="s">
        <v>3479</v>
      </c>
      <c r="AE2108" t="s">
        <v>3475</v>
      </c>
      <c r="AF2108" s="2">
        <v>1000.4375</v>
      </c>
      <c r="AG2108" s="2">
        <v>605.64919999999995</v>
      </c>
      <c r="AH2108" s="2">
        <v>394.78829999999999</v>
      </c>
      <c r="AI2108" s="3">
        <v>0.39461565565065299</v>
      </c>
    </row>
    <row r="2109" spans="1:35">
      <c r="A2109" s="1">
        <v>42259</v>
      </c>
      <c r="B2109" s="1">
        <v>37418</v>
      </c>
      <c r="C2109" t="s">
        <v>5361</v>
      </c>
      <c r="D2109">
        <v>383</v>
      </c>
      <c r="E2109">
        <v>24888</v>
      </c>
      <c r="F2109">
        <v>9</v>
      </c>
      <c r="G2109">
        <v>1</v>
      </c>
      <c r="H2109">
        <v>1</v>
      </c>
      <c r="I2109">
        <v>2</v>
      </c>
      <c r="J2109" t="s">
        <v>3565</v>
      </c>
      <c r="K2109" t="s">
        <v>3566</v>
      </c>
      <c r="L2109" s="2">
        <v>605.64919999999995</v>
      </c>
      <c r="M2109" s="2">
        <v>1000.4375</v>
      </c>
      <c r="N2109" t="s">
        <v>13</v>
      </c>
      <c r="O2109" t="s">
        <v>454</v>
      </c>
      <c r="P2109" t="s">
        <v>632</v>
      </c>
      <c r="Q2109" t="s">
        <v>8437</v>
      </c>
      <c r="R2109" s="1">
        <v>27405</v>
      </c>
      <c r="S2109" t="s">
        <v>22</v>
      </c>
      <c r="T2109" t="s">
        <v>16</v>
      </c>
      <c r="U2109" t="s">
        <v>2937</v>
      </c>
      <c r="V2109">
        <v>70000</v>
      </c>
      <c r="W2109">
        <v>0</v>
      </c>
      <c r="X2109" t="s">
        <v>17</v>
      </c>
      <c r="Y2109" t="s">
        <v>18</v>
      </c>
      <c r="Z2109" t="s">
        <v>23</v>
      </c>
      <c r="AA2109" t="s">
        <v>3586</v>
      </c>
      <c r="AB2109" t="s">
        <v>3586</v>
      </c>
      <c r="AC2109" t="s">
        <v>3587</v>
      </c>
      <c r="AD2109" t="s">
        <v>3479</v>
      </c>
      <c r="AE2109" t="s">
        <v>3475</v>
      </c>
      <c r="AF2109" s="2">
        <v>1000.4375</v>
      </c>
      <c r="AG2109" s="2">
        <v>605.64919999999995</v>
      </c>
      <c r="AH2109" s="2">
        <v>394.78829999999999</v>
      </c>
      <c r="AI2109" s="3">
        <v>0.39461565565065299</v>
      </c>
    </row>
    <row r="2110" spans="1:35">
      <c r="A2110" s="1">
        <v>42277</v>
      </c>
      <c r="B2110" s="1">
        <v>37493</v>
      </c>
      <c r="C2110" t="s">
        <v>5479</v>
      </c>
      <c r="D2110">
        <v>385</v>
      </c>
      <c r="E2110">
        <v>24889</v>
      </c>
      <c r="F2110">
        <v>9</v>
      </c>
      <c r="G2110">
        <v>1</v>
      </c>
      <c r="H2110">
        <v>1</v>
      </c>
      <c r="I2110">
        <v>2</v>
      </c>
      <c r="J2110" t="s">
        <v>3567</v>
      </c>
      <c r="K2110" t="s">
        <v>3568</v>
      </c>
      <c r="L2110" s="2">
        <v>605.64919999999995</v>
      </c>
      <c r="M2110" s="2">
        <v>1000.4375</v>
      </c>
      <c r="N2110" t="s">
        <v>26</v>
      </c>
      <c r="O2110" t="s">
        <v>500</v>
      </c>
      <c r="P2110" t="s">
        <v>450</v>
      </c>
      <c r="Q2110" t="s">
        <v>8438</v>
      </c>
      <c r="R2110" s="1">
        <v>27748</v>
      </c>
      <c r="S2110" t="s">
        <v>16</v>
      </c>
      <c r="T2110" t="s">
        <v>29</v>
      </c>
      <c r="U2110" t="s">
        <v>2938</v>
      </c>
      <c r="V2110">
        <v>70000</v>
      </c>
      <c r="W2110">
        <v>0</v>
      </c>
      <c r="X2110" t="s">
        <v>17</v>
      </c>
      <c r="Y2110" t="s">
        <v>18</v>
      </c>
      <c r="Z2110" t="s">
        <v>19</v>
      </c>
      <c r="AA2110" t="s">
        <v>3586</v>
      </c>
      <c r="AB2110" t="s">
        <v>3586</v>
      </c>
      <c r="AC2110" t="s">
        <v>3587</v>
      </c>
      <c r="AD2110" t="s">
        <v>3479</v>
      </c>
      <c r="AE2110" t="s">
        <v>3475</v>
      </c>
      <c r="AF2110" s="2">
        <v>1000.4375</v>
      </c>
      <c r="AG2110" s="2">
        <v>605.64919999999995</v>
      </c>
      <c r="AH2110" s="2">
        <v>394.78829999999999</v>
      </c>
      <c r="AI2110" s="3">
        <v>0.39461565565065299</v>
      </c>
    </row>
    <row r="2111" spans="1:35">
      <c r="A2111" s="1">
        <v>42303</v>
      </c>
      <c r="B2111" s="1">
        <v>37493</v>
      </c>
      <c r="C2111" t="s">
        <v>5667</v>
      </c>
      <c r="D2111">
        <v>385</v>
      </c>
      <c r="E2111">
        <v>24900</v>
      </c>
      <c r="F2111">
        <v>9</v>
      </c>
      <c r="G2111">
        <v>1</v>
      </c>
      <c r="H2111">
        <v>1</v>
      </c>
      <c r="I2111">
        <v>2</v>
      </c>
      <c r="J2111" t="s">
        <v>3567</v>
      </c>
      <c r="K2111" t="s">
        <v>3568</v>
      </c>
      <c r="L2111" s="2">
        <v>605.64919999999995</v>
      </c>
      <c r="M2111" s="2">
        <v>1000.4375</v>
      </c>
      <c r="N2111" t="s">
        <v>26</v>
      </c>
      <c r="O2111" t="s">
        <v>94</v>
      </c>
      <c r="P2111" t="s">
        <v>187</v>
      </c>
      <c r="Q2111" t="s">
        <v>8439</v>
      </c>
      <c r="R2111" s="1">
        <v>27061</v>
      </c>
      <c r="S2111" t="s">
        <v>22</v>
      </c>
      <c r="T2111" t="s">
        <v>29</v>
      </c>
      <c r="U2111" t="s">
        <v>2939</v>
      </c>
      <c r="V2111">
        <v>90000</v>
      </c>
      <c r="W2111">
        <v>0</v>
      </c>
      <c r="X2111" t="s">
        <v>17</v>
      </c>
      <c r="Y2111" t="s">
        <v>18</v>
      </c>
      <c r="Z2111" t="s">
        <v>19</v>
      </c>
      <c r="AA2111" t="s">
        <v>3586</v>
      </c>
      <c r="AB2111" t="s">
        <v>3586</v>
      </c>
      <c r="AC2111" t="s">
        <v>3587</v>
      </c>
      <c r="AD2111" t="s">
        <v>3479</v>
      </c>
      <c r="AE2111" t="s">
        <v>3475</v>
      </c>
      <c r="AF2111" s="2">
        <v>1000.4375</v>
      </c>
      <c r="AG2111" s="2">
        <v>605.64919999999995</v>
      </c>
      <c r="AH2111" s="2">
        <v>394.78829999999999</v>
      </c>
      <c r="AI2111" s="3">
        <v>0.39461565565065299</v>
      </c>
    </row>
    <row r="2112" spans="1:35">
      <c r="A2112" s="1">
        <v>42298</v>
      </c>
      <c r="B2112" s="1">
        <v>37435</v>
      </c>
      <c r="C2112" t="s">
        <v>5628</v>
      </c>
      <c r="D2112">
        <v>385</v>
      </c>
      <c r="E2112">
        <v>24901</v>
      </c>
      <c r="F2112">
        <v>9</v>
      </c>
      <c r="G2112">
        <v>1</v>
      </c>
      <c r="H2112">
        <v>1</v>
      </c>
      <c r="I2112">
        <v>2</v>
      </c>
      <c r="J2112" t="s">
        <v>3567</v>
      </c>
      <c r="K2112" t="s">
        <v>3568</v>
      </c>
      <c r="L2112" s="2">
        <v>605.64919999999995</v>
      </c>
      <c r="M2112" s="2">
        <v>1000.4375</v>
      </c>
      <c r="N2112" t="s">
        <v>13</v>
      </c>
      <c r="O2112" t="s">
        <v>58</v>
      </c>
      <c r="P2112" t="s">
        <v>450</v>
      </c>
      <c r="Q2112" t="s">
        <v>8440</v>
      </c>
      <c r="R2112" s="1">
        <v>27144</v>
      </c>
      <c r="S2112" t="s">
        <v>22</v>
      </c>
      <c r="T2112" t="s">
        <v>16</v>
      </c>
      <c r="U2112" t="s">
        <v>2940</v>
      </c>
      <c r="V2112">
        <v>110000</v>
      </c>
      <c r="W2112">
        <v>0</v>
      </c>
      <c r="X2112" t="s">
        <v>52</v>
      </c>
      <c r="Y2112" t="s">
        <v>45</v>
      </c>
      <c r="Z2112" t="s">
        <v>23</v>
      </c>
      <c r="AA2112" t="s">
        <v>3586</v>
      </c>
      <c r="AB2112" t="s">
        <v>3586</v>
      </c>
      <c r="AC2112" t="s">
        <v>3587</v>
      </c>
      <c r="AD2112" t="s">
        <v>3479</v>
      </c>
      <c r="AE2112" t="s">
        <v>3475</v>
      </c>
      <c r="AF2112" s="2">
        <v>1000.4375</v>
      </c>
      <c r="AG2112" s="2">
        <v>605.64919999999995</v>
      </c>
      <c r="AH2112" s="2">
        <v>394.78829999999999</v>
      </c>
      <c r="AI2112" s="3">
        <v>0.39461565565065299</v>
      </c>
    </row>
    <row r="2113" spans="1:35">
      <c r="A2113" s="1">
        <v>42283</v>
      </c>
      <c r="B2113" s="1">
        <v>37498</v>
      </c>
      <c r="C2113" t="s">
        <v>5518</v>
      </c>
      <c r="D2113">
        <v>381</v>
      </c>
      <c r="E2113">
        <v>24902</v>
      </c>
      <c r="F2113">
        <v>9</v>
      </c>
      <c r="G2113">
        <v>1</v>
      </c>
      <c r="H2113">
        <v>1</v>
      </c>
      <c r="I2113">
        <v>2</v>
      </c>
      <c r="J2113" t="s">
        <v>3563</v>
      </c>
      <c r="K2113" t="s">
        <v>3564</v>
      </c>
      <c r="L2113" s="2">
        <v>605.64919999999995</v>
      </c>
      <c r="M2113" s="2">
        <v>1000.4375</v>
      </c>
      <c r="N2113" t="s">
        <v>26</v>
      </c>
      <c r="O2113" t="s">
        <v>82</v>
      </c>
      <c r="P2113" t="s">
        <v>105</v>
      </c>
      <c r="Q2113" t="s">
        <v>8441</v>
      </c>
      <c r="R2113" s="1">
        <v>26882</v>
      </c>
      <c r="S2113" t="s">
        <v>22</v>
      </c>
      <c r="T2113" t="s">
        <v>29</v>
      </c>
      <c r="U2113" t="s">
        <v>2941</v>
      </c>
      <c r="V2113">
        <v>90000</v>
      </c>
      <c r="W2113">
        <v>0</v>
      </c>
      <c r="X2113" t="s">
        <v>17</v>
      </c>
      <c r="Y2113" t="s">
        <v>18</v>
      </c>
      <c r="Z2113" t="s">
        <v>19</v>
      </c>
      <c r="AA2113" t="s">
        <v>3586</v>
      </c>
      <c r="AB2113" t="s">
        <v>3586</v>
      </c>
      <c r="AC2113" t="s">
        <v>3587</v>
      </c>
      <c r="AD2113" t="s">
        <v>3479</v>
      </c>
      <c r="AE2113" t="s">
        <v>3475</v>
      </c>
      <c r="AF2113" s="2">
        <v>1000.4375</v>
      </c>
      <c r="AG2113" s="2">
        <v>605.64919999999995</v>
      </c>
      <c r="AH2113" s="2">
        <v>394.78829999999999</v>
      </c>
      <c r="AI2113" s="3">
        <v>0.39461565565065299</v>
      </c>
    </row>
    <row r="2114" spans="1:35">
      <c r="A2114" s="1">
        <v>42302</v>
      </c>
      <c r="B2114" s="1">
        <v>37530</v>
      </c>
      <c r="C2114" t="s">
        <v>5664</v>
      </c>
      <c r="D2114">
        <v>383</v>
      </c>
      <c r="E2114">
        <v>24903</v>
      </c>
      <c r="F2114">
        <v>9</v>
      </c>
      <c r="G2114">
        <v>1</v>
      </c>
      <c r="H2114">
        <v>1</v>
      </c>
      <c r="I2114">
        <v>2</v>
      </c>
      <c r="J2114" t="s">
        <v>3565</v>
      </c>
      <c r="K2114" t="s">
        <v>3566</v>
      </c>
      <c r="L2114" s="2">
        <v>605.64919999999995</v>
      </c>
      <c r="M2114" s="2">
        <v>1000.4375</v>
      </c>
      <c r="N2114" t="s">
        <v>26</v>
      </c>
      <c r="O2114" t="s">
        <v>1204</v>
      </c>
      <c r="P2114" t="s">
        <v>866</v>
      </c>
      <c r="Q2114" t="s">
        <v>8442</v>
      </c>
      <c r="R2114" s="1">
        <v>26763</v>
      </c>
      <c r="S2114" t="s">
        <v>22</v>
      </c>
      <c r="T2114" t="s">
        <v>29</v>
      </c>
      <c r="U2114" t="s">
        <v>2942</v>
      </c>
      <c r="V2114">
        <v>90000</v>
      </c>
      <c r="W2114">
        <v>0</v>
      </c>
      <c r="X2114" t="s">
        <v>17</v>
      </c>
      <c r="Y2114" t="s">
        <v>18</v>
      </c>
      <c r="Z2114" t="s">
        <v>23</v>
      </c>
      <c r="AA2114" t="s">
        <v>3586</v>
      </c>
      <c r="AB2114" t="s">
        <v>3586</v>
      </c>
      <c r="AC2114" t="s">
        <v>3587</v>
      </c>
      <c r="AD2114" t="s">
        <v>3479</v>
      </c>
      <c r="AE2114" t="s">
        <v>3475</v>
      </c>
      <c r="AF2114" s="2">
        <v>1000.4375</v>
      </c>
      <c r="AG2114" s="2">
        <v>605.64919999999995</v>
      </c>
      <c r="AH2114" s="2">
        <v>394.78829999999999</v>
      </c>
      <c r="AI2114" s="3">
        <v>0.39461565565065299</v>
      </c>
    </row>
    <row r="2115" spans="1:35">
      <c r="A2115" s="1">
        <v>42292</v>
      </c>
      <c r="B2115" s="1">
        <v>37437</v>
      </c>
      <c r="C2115" t="s">
        <v>5583</v>
      </c>
      <c r="D2115">
        <v>383</v>
      </c>
      <c r="E2115">
        <v>24904</v>
      </c>
      <c r="F2115">
        <v>9</v>
      </c>
      <c r="G2115">
        <v>1</v>
      </c>
      <c r="H2115">
        <v>1</v>
      </c>
      <c r="I2115">
        <v>2</v>
      </c>
      <c r="J2115" t="s">
        <v>3565</v>
      </c>
      <c r="K2115" t="s">
        <v>3566</v>
      </c>
      <c r="L2115" s="2">
        <v>605.64919999999995</v>
      </c>
      <c r="M2115" s="2">
        <v>1000.4375</v>
      </c>
      <c r="N2115" t="s">
        <v>26</v>
      </c>
      <c r="O2115" t="s">
        <v>117</v>
      </c>
      <c r="P2115" t="s">
        <v>87</v>
      </c>
      <c r="Q2115" t="s">
        <v>8443</v>
      </c>
      <c r="R2115" s="1">
        <v>26950</v>
      </c>
      <c r="S2115" t="s">
        <v>16</v>
      </c>
      <c r="T2115" t="s">
        <v>29</v>
      </c>
      <c r="U2115" t="s">
        <v>2943</v>
      </c>
      <c r="V2115">
        <v>90000</v>
      </c>
      <c r="W2115">
        <v>0</v>
      </c>
      <c r="X2115" t="s">
        <v>17</v>
      </c>
      <c r="Y2115" t="s">
        <v>18</v>
      </c>
      <c r="Z2115" t="s">
        <v>19</v>
      </c>
      <c r="AA2115" t="s">
        <v>3586</v>
      </c>
      <c r="AB2115" t="s">
        <v>3586</v>
      </c>
      <c r="AC2115" t="s">
        <v>3587</v>
      </c>
      <c r="AD2115" t="s">
        <v>3479</v>
      </c>
      <c r="AE2115" t="s">
        <v>3475</v>
      </c>
      <c r="AF2115" s="2">
        <v>1000.4375</v>
      </c>
      <c r="AG2115" s="2">
        <v>605.64919999999995</v>
      </c>
      <c r="AH2115" s="2">
        <v>394.78829999999999</v>
      </c>
      <c r="AI2115" s="3">
        <v>0.39461565565065299</v>
      </c>
    </row>
    <row r="2116" spans="1:35">
      <c r="A2116" s="1">
        <v>42311</v>
      </c>
      <c r="B2116" s="1">
        <v>37500</v>
      </c>
      <c r="C2116" t="s">
        <v>5719</v>
      </c>
      <c r="D2116">
        <v>389</v>
      </c>
      <c r="E2116">
        <v>24905</v>
      </c>
      <c r="F2116">
        <v>9</v>
      </c>
      <c r="G2116">
        <v>1</v>
      </c>
      <c r="H2116">
        <v>1</v>
      </c>
      <c r="I2116">
        <v>2</v>
      </c>
      <c r="J2116" t="s">
        <v>3571</v>
      </c>
      <c r="K2116" t="s">
        <v>3572</v>
      </c>
      <c r="L2116" s="2">
        <v>605.64919999999995</v>
      </c>
      <c r="M2116" s="2">
        <v>1000.4375</v>
      </c>
      <c r="N2116" t="s">
        <v>26</v>
      </c>
      <c r="O2116" t="s">
        <v>868</v>
      </c>
      <c r="P2116" t="s">
        <v>115</v>
      </c>
      <c r="Q2116" t="s">
        <v>8444</v>
      </c>
      <c r="R2116" s="1">
        <v>26959</v>
      </c>
      <c r="S2116" t="s">
        <v>16</v>
      </c>
      <c r="T2116" t="s">
        <v>29</v>
      </c>
      <c r="U2116" t="s">
        <v>2944</v>
      </c>
      <c r="V2116">
        <v>90000</v>
      </c>
      <c r="W2116">
        <v>0</v>
      </c>
      <c r="X2116" t="s">
        <v>17</v>
      </c>
      <c r="Y2116" t="s">
        <v>18</v>
      </c>
      <c r="Z2116" t="s">
        <v>19</v>
      </c>
      <c r="AA2116" t="s">
        <v>3586</v>
      </c>
      <c r="AB2116" t="s">
        <v>3586</v>
      </c>
      <c r="AC2116" t="s">
        <v>3587</v>
      </c>
      <c r="AD2116" t="s">
        <v>3479</v>
      </c>
      <c r="AE2116" t="s">
        <v>3475</v>
      </c>
      <c r="AF2116" s="2">
        <v>1000.4375</v>
      </c>
      <c r="AG2116" s="2">
        <v>605.64919999999995</v>
      </c>
      <c r="AH2116" s="2">
        <v>394.78829999999999</v>
      </c>
      <c r="AI2116" s="3">
        <v>0.39461565565065299</v>
      </c>
    </row>
    <row r="2117" spans="1:35">
      <c r="A2117" s="1">
        <v>42337</v>
      </c>
      <c r="B2117" s="1">
        <v>37519</v>
      </c>
      <c r="C2117" t="s">
        <v>5887</v>
      </c>
      <c r="D2117">
        <v>387</v>
      </c>
      <c r="E2117">
        <v>24907</v>
      </c>
      <c r="F2117">
        <v>9</v>
      </c>
      <c r="G2117">
        <v>1</v>
      </c>
      <c r="H2117">
        <v>1</v>
      </c>
      <c r="I2117">
        <v>2</v>
      </c>
      <c r="J2117" t="s">
        <v>3569</v>
      </c>
      <c r="K2117" t="s">
        <v>3570</v>
      </c>
      <c r="L2117" s="2">
        <v>605.64919999999995</v>
      </c>
      <c r="M2117" s="2">
        <v>1000.4375</v>
      </c>
      <c r="N2117" t="s">
        <v>26</v>
      </c>
      <c r="O2117" t="s">
        <v>108</v>
      </c>
      <c r="P2117" t="s">
        <v>127</v>
      </c>
      <c r="Q2117" t="s">
        <v>8445</v>
      </c>
      <c r="R2117" s="1">
        <v>26903</v>
      </c>
      <c r="S2117" t="s">
        <v>16</v>
      </c>
      <c r="T2117" t="s">
        <v>29</v>
      </c>
      <c r="U2117" t="s">
        <v>2945</v>
      </c>
      <c r="V2117">
        <v>100000</v>
      </c>
      <c r="W2117">
        <v>0</v>
      </c>
      <c r="X2117" t="s">
        <v>57</v>
      </c>
      <c r="Y2117" t="s">
        <v>45</v>
      </c>
      <c r="Z2117" t="s">
        <v>19</v>
      </c>
      <c r="AA2117" t="s">
        <v>3586</v>
      </c>
      <c r="AB2117" t="s">
        <v>3586</v>
      </c>
      <c r="AC2117" t="s">
        <v>3587</v>
      </c>
      <c r="AD2117" t="s">
        <v>3479</v>
      </c>
      <c r="AE2117" t="s">
        <v>3475</v>
      </c>
      <c r="AF2117" s="2">
        <v>1000.4375</v>
      </c>
      <c r="AG2117" s="2">
        <v>605.64919999999995</v>
      </c>
      <c r="AH2117" s="2">
        <v>394.78829999999999</v>
      </c>
      <c r="AI2117" s="3">
        <v>0.39461565565065299</v>
      </c>
    </row>
    <row r="2118" spans="1:35">
      <c r="A2118" s="1">
        <v>42324</v>
      </c>
      <c r="B2118" s="1">
        <v>37520</v>
      </c>
      <c r="C2118" t="s">
        <v>5794</v>
      </c>
      <c r="D2118">
        <v>381</v>
      </c>
      <c r="E2118">
        <v>24908</v>
      </c>
      <c r="F2118">
        <v>9</v>
      </c>
      <c r="G2118">
        <v>1</v>
      </c>
      <c r="H2118">
        <v>1</v>
      </c>
      <c r="I2118">
        <v>2</v>
      </c>
      <c r="J2118" t="s">
        <v>3563</v>
      </c>
      <c r="K2118" t="s">
        <v>3564</v>
      </c>
      <c r="L2118" s="2">
        <v>605.64919999999995</v>
      </c>
      <c r="M2118" s="2">
        <v>1000.4375</v>
      </c>
      <c r="N2118" t="s">
        <v>13</v>
      </c>
      <c r="O2118" t="s">
        <v>102</v>
      </c>
      <c r="P2118" t="s">
        <v>220</v>
      </c>
      <c r="Q2118" t="s">
        <v>8446</v>
      </c>
      <c r="R2118" s="1">
        <v>26441</v>
      </c>
      <c r="S2118" t="s">
        <v>22</v>
      </c>
      <c r="T2118" t="s">
        <v>16</v>
      </c>
      <c r="U2118" t="s">
        <v>2946</v>
      </c>
      <c r="V2118">
        <v>90000</v>
      </c>
      <c r="W2118">
        <v>0</v>
      </c>
      <c r="X2118" t="s">
        <v>17</v>
      </c>
      <c r="Y2118" t="s">
        <v>18</v>
      </c>
      <c r="Z2118" t="s">
        <v>19</v>
      </c>
      <c r="AA2118" t="s">
        <v>3586</v>
      </c>
      <c r="AB2118" t="s">
        <v>3586</v>
      </c>
      <c r="AC2118" t="s">
        <v>3587</v>
      </c>
      <c r="AD2118" t="s">
        <v>3479</v>
      </c>
      <c r="AE2118" t="s">
        <v>3475</v>
      </c>
      <c r="AF2118" s="2">
        <v>1000.4375</v>
      </c>
      <c r="AG2118" s="2">
        <v>605.64919999999995</v>
      </c>
      <c r="AH2118" s="2">
        <v>394.78829999999999</v>
      </c>
      <c r="AI2118" s="3">
        <v>0.39461565565065299</v>
      </c>
    </row>
    <row r="2119" spans="1:35">
      <c r="A2119" s="1">
        <v>42335</v>
      </c>
      <c r="B2119" s="1">
        <v>37510</v>
      </c>
      <c r="C2119" t="s">
        <v>5869</v>
      </c>
      <c r="D2119">
        <v>385</v>
      </c>
      <c r="E2119">
        <v>24909</v>
      </c>
      <c r="F2119">
        <v>9</v>
      </c>
      <c r="G2119">
        <v>1</v>
      </c>
      <c r="H2119">
        <v>1</v>
      </c>
      <c r="I2119">
        <v>2</v>
      </c>
      <c r="J2119" t="s">
        <v>3567</v>
      </c>
      <c r="K2119" t="s">
        <v>3568</v>
      </c>
      <c r="L2119" s="2">
        <v>605.64919999999995</v>
      </c>
      <c r="M2119" s="2">
        <v>1000.4375</v>
      </c>
      <c r="N2119" t="s">
        <v>13</v>
      </c>
      <c r="O2119" t="s">
        <v>554</v>
      </c>
      <c r="P2119" t="s">
        <v>87</v>
      </c>
      <c r="Q2119" t="s">
        <v>8447</v>
      </c>
      <c r="R2119" s="1">
        <v>26645</v>
      </c>
      <c r="S2119" t="s">
        <v>16</v>
      </c>
      <c r="T2119" t="s">
        <v>16</v>
      </c>
      <c r="U2119" t="s">
        <v>2947</v>
      </c>
      <c r="V2119">
        <v>100000</v>
      </c>
      <c r="W2119">
        <v>0</v>
      </c>
      <c r="X2119" t="s">
        <v>57</v>
      </c>
      <c r="Y2119" t="s">
        <v>45</v>
      </c>
      <c r="Z2119" t="s">
        <v>23</v>
      </c>
      <c r="AA2119" t="s">
        <v>3586</v>
      </c>
      <c r="AB2119" t="s">
        <v>3586</v>
      </c>
      <c r="AC2119" t="s">
        <v>3587</v>
      </c>
      <c r="AD2119" t="s">
        <v>3479</v>
      </c>
      <c r="AE2119" t="s">
        <v>3475</v>
      </c>
      <c r="AF2119" s="2">
        <v>1000.4375</v>
      </c>
      <c r="AG2119" s="2">
        <v>605.64919999999995</v>
      </c>
      <c r="AH2119" s="2">
        <v>394.78829999999999</v>
      </c>
      <c r="AI2119" s="3">
        <v>0.39461565565065299</v>
      </c>
    </row>
    <row r="2120" spans="1:35">
      <c r="A2120" s="1">
        <v>42316</v>
      </c>
      <c r="B2120" s="1">
        <v>37547</v>
      </c>
      <c r="C2120" t="s">
        <v>5748</v>
      </c>
      <c r="D2120">
        <v>383</v>
      </c>
      <c r="E2120">
        <v>24910</v>
      </c>
      <c r="F2120">
        <v>9</v>
      </c>
      <c r="G2120">
        <v>1</v>
      </c>
      <c r="H2120">
        <v>1</v>
      </c>
      <c r="I2120">
        <v>2</v>
      </c>
      <c r="J2120" t="s">
        <v>3565</v>
      </c>
      <c r="K2120" t="s">
        <v>3566</v>
      </c>
      <c r="L2120" s="2">
        <v>605.64919999999995</v>
      </c>
      <c r="M2120" s="2">
        <v>1000.4375</v>
      </c>
      <c r="N2120" t="s">
        <v>13</v>
      </c>
      <c r="O2120" t="s">
        <v>430</v>
      </c>
      <c r="P2120" t="s">
        <v>658</v>
      </c>
      <c r="Q2120" t="s">
        <v>8448</v>
      </c>
      <c r="R2120" s="1">
        <v>26524</v>
      </c>
      <c r="S2120" t="s">
        <v>16</v>
      </c>
      <c r="T2120" t="s">
        <v>16</v>
      </c>
      <c r="U2120" t="s">
        <v>2948</v>
      </c>
      <c r="V2120">
        <v>100000</v>
      </c>
      <c r="W2120">
        <v>0</v>
      </c>
      <c r="X2120" t="s">
        <v>57</v>
      </c>
      <c r="Y2120" t="s">
        <v>45</v>
      </c>
      <c r="Z2120" t="s">
        <v>19</v>
      </c>
      <c r="AA2120" t="s">
        <v>3586</v>
      </c>
      <c r="AB2120" t="s">
        <v>3586</v>
      </c>
      <c r="AC2120" t="s">
        <v>3587</v>
      </c>
      <c r="AD2120" t="s">
        <v>3479</v>
      </c>
      <c r="AE2120" t="s">
        <v>3475</v>
      </c>
      <c r="AF2120" s="2">
        <v>1000.4375</v>
      </c>
      <c r="AG2120" s="2">
        <v>605.64919999999995</v>
      </c>
      <c r="AH2120" s="2">
        <v>394.78829999999999</v>
      </c>
      <c r="AI2120" s="3">
        <v>0.39461565565065299</v>
      </c>
    </row>
    <row r="2121" spans="1:35">
      <c r="A2121" s="1">
        <v>42346</v>
      </c>
      <c r="B2121" s="1">
        <v>37483</v>
      </c>
      <c r="C2121" t="s">
        <v>5979</v>
      </c>
      <c r="D2121">
        <v>387</v>
      </c>
      <c r="E2121">
        <v>24912</v>
      </c>
      <c r="F2121">
        <v>9</v>
      </c>
      <c r="G2121">
        <v>1</v>
      </c>
      <c r="H2121">
        <v>1</v>
      </c>
      <c r="I2121">
        <v>2</v>
      </c>
      <c r="J2121" t="s">
        <v>3569</v>
      </c>
      <c r="K2121" t="s">
        <v>3570</v>
      </c>
      <c r="L2121" s="2">
        <v>605.64919999999995</v>
      </c>
      <c r="M2121" s="2">
        <v>1000.4375</v>
      </c>
      <c r="N2121" t="s">
        <v>26</v>
      </c>
      <c r="O2121" t="s">
        <v>1138</v>
      </c>
      <c r="P2121" t="s">
        <v>338</v>
      </c>
      <c r="Q2121" t="s">
        <v>8449</v>
      </c>
      <c r="R2121" s="1">
        <v>26630</v>
      </c>
      <c r="S2121" t="s">
        <v>22</v>
      </c>
      <c r="T2121" t="s">
        <v>29</v>
      </c>
      <c r="U2121" t="s">
        <v>2949</v>
      </c>
      <c r="V2121">
        <v>110000</v>
      </c>
      <c r="W2121">
        <v>0</v>
      </c>
      <c r="X2121" t="s">
        <v>57</v>
      </c>
      <c r="Y2121" t="s">
        <v>45</v>
      </c>
      <c r="Z2121" t="s">
        <v>23</v>
      </c>
      <c r="AA2121" t="s">
        <v>3586</v>
      </c>
      <c r="AB2121" t="s">
        <v>3586</v>
      </c>
      <c r="AC2121" t="s">
        <v>3587</v>
      </c>
      <c r="AD2121" t="s">
        <v>3479</v>
      </c>
      <c r="AE2121" t="s">
        <v>3475</v>
      </c>
      <c r="AF2121" s="2">
        <v>1000.4375</v>
      </c>
      <c r="AG2121" s="2">
        <v>605.64919999999995</v>
      </c>
      <c r="AH2121" s="2">
        <v>394.78829999999999</v>
      </c>
      <c r="AI2121" s="3">
        <v>0.39461565565065299</v>
      </c>
    </row>
    <row r="2122" spans="1:35">
      <c r="A2122" s="1">
        <v>42347</v>
      </c>
      <c r="B2122" s="1">
        <v>37576</v>
      </c>
      <c r="C2122" t="s">
        <v>5987</v>
      </c>
      <c r="D2122">
        <v>381</v>
      </c>
      <c r="E2122">
        <v>24913</v>
      </c>
      <c r="F2122">
        <v>9</v>
      </c>
      <c r="G2122">
        <v>1</v>
      </c>
      <c r="H2122">
        <v>1</v>
      </c>
      <c r="I2122">
        <v>2</v>
      </c>
      <c r="J2122" t="s">
        <v>3563</v>
      </c>
      <c r="K2122" t="s">
        <v>3564</v>
      </c>
      <c r="L2122" s="2">
        <v>605.64919999999995</v>
      </c>
      <c r="M2122" s="2">
        <v>1000.4375</v>
      </c>
      <c r="N2122" t="s">
        <v>26</v>
      </c>
      <c r="O2122" t="s">
        <v>868</v>
      </c>
      <c r="P2122" t="s">
        <v>62</v>
      </c>
      <c r="Q2122" t="s">
        <v>8450</v>
      </c>
      <c r="R2122" s="1">
        <v>26159</v>
      </c>
      <c r="S2122" t="s">
        <v>16</v>
      </c>
      <c r="T2122" t="s">
        <v>29</v>
      </c>
      <c r="U2122" t="s">
        <v>2950</v>
      </c>
      <c r="V2122">
        <v>90000</v>
      </c>
      <c r="W2122">
        <v>0</v>
      </c>
      <c r="X2122" t="s">
        <v>17</v>
      </c>
      <c r="Y2122" t="s">
        <v>18</v>
      </c>
      <c r="Z2122" t="s">
        <v>23</v>
      </c>
      <c r="AA2122" t="s">
        <v>3586</v>
      </c>
      <c r="AB2122" t="s">
        <v>3586</v>
      </c>
      <c r="AC2122" t="s">
        <v>3587</v>
      </c>
      <c r="AD2122" t="s">
        <v>3479</v>
      </c>
      <c r="AE2122" t="s">
        <v>3475</v>
      </c>
      <c r="AF2122" s="2">
        <v>1000.4375</v>
      </c>
      <c r="AG2122" s="2">
        <v>605.64919999999995</v>
      </c>
      <c r="AH2122" s="2">
        <v>394.78829999999999</v>
      </c>
      <c r="AI2122" s="3">
        <v>0.39461565565065299</v>
      </c>
    </row>
    <row r="2123" spans="1:35">
      <c r="A2123" s="1">
        <v>42365</v>
      </c>
      <c r="B2123" s="1">
        <v>37595</v>
      </c>
      <c r="C2123" t="s">
        <v>6181</v>
      </c>
      <c r="D2123">
        <v>385</v>
      </c>
      <c r="E2123">
        <v>24914</v>
      </c>
      <c r="F2123">
        <v>9</v>
      </c>
      <c r="G2123">
        <v>1</v>
      </c>
      <c r="H2123">
        <v>1</v>
      </c>
      <c r="I2123">
        <v>2</v>
      </c>
      <c r="J2123" t="s">
        <v>3567</v>
      </c>
      <c r="K2123" t="s">
        <v>3568</v>
      </c>
      <c r="L2123" s="2">
        <v>605.64919999999995</v>
      </c>
      <c r="M2123" s="2">
        <v>1000.4375</v>
      </c>
      <c r="N2123" t="s">
        <v>26</v>
      </c>
      <c r="O2123" t="s">
        <v>1165</v>
      </c>
      <c r="P2123" t="s">
        <v>138</v>
      </c>
      <c r="Q2123" t="s">
        <v>8451</v>
      </c>
      <c r="R2123" s="1">
        <v>26285</v>
      </c>
      <c r="S2123" t="s">
        <v>16</v>
      </c>
      <c r="T2123" t="s">
        <v>29</v>
      </c>
      <c r="U2123" t="s">
        <v>2951</v>
      </c>
      <c r="V2123">
        <v>90000</v>
      </c>
      <c r="W2123">
        <v>0</v>
      </c>
      <c r="X2123" t="s">
        <v>17</v>
      </c>
      <c r="Y2123" t="s">
        <v>18</v>
      </c>
      <c r="Z2123" t="s">
        <v>23</v>
      </c>
      <c r="AA2123" t="s">
        <v>3586</v>
      </c>
      <c r="AB2123" t="s">
        <v>3586</v>
      </c>
      <c r="AC2123" t="s">
        <v>3587</v>
      </c>
      <c r="AD2123" t="s">
        <v>3479</v>
      </c>
      <c r="AE2123" t="s">
        <v>3475</v>
      </c>
      <c r="AF2123" s="2">
        <v>1000.4375</v>
      </c>
      <c r="AG2123" s="2">
        <v>605.64919999999995</v>
      </c>
      <c r="AH2123" s="2">
        <v>394.78829999999999</v>
      </c>
      <c r="AI2123" s="3">
        <v>0.39461565565065299</v>
      </c>
    </row>
    <row r="2124" spans="1:35">
      <c r="A2124" s="1">
        <v>42369</v>
      </c>
      <c r="B2124" s="1">
        <v>37582</v>
      </c>
      <c r="C2124" t="s">
        <v>6223</v>
      </c>
      <c r="D2124">
        <v>383</v>
      </c>
      <c r="E2124">
        <v>24915</v>
      </c>
      <c r="F2124">
        <v>9</v>
      </c>
      <c r="G2124">
        <v>1</v>
      </c>
      <c r="H2124">
        <v>1</v>
      </c>
      <c r="I2124">
        <v>2</v>
      </c>
      <c r="J2124" t="s">
        <v>3565</v>
      </c>
      <c r="K2124" t="s">
        <v>3566</v>
      </c>
      <c r="L2124" s="2">
        <v>605.64919999999995</v>
      </c>
      <c r="M2124" s="2">
        <v>1000.4375</v>
      </c>
      <c r="N2124" t="s">
        <v>13</v>
      </c>
      <c r="O2124" t="s">
        <v>535</v>
      </c>
      <c r="P2124" t="s">
        <v>363</v>
      </c>
      <c r="Q2124" t="s">
        <v>8452</v>
      </c>
      <c r="R2124" s="1">
        <v>26015</v>
      </c>
      <c r="S2124" t="s">
        <v>22</v>
      </c>
      <c r="T2124" t="s">
        <v>16</v>
      </c>
      <c r="U2124" t="s">
        <v>2952</v>
      </c>
      <c r="V2124">
        <v>100000</v>
      </c>
      <c r="W2124">
        <v>0</v>
      </c>
      <c r="X2124" t="s">
        <v>57</v>
      </c>
      <c r="Y2124" t="s">
        <v>45</v>
      </c>
      <c r="Z2124" t="s">
        <v>19</v>
      </c>
      <c r="AA2124" t="s">
        <v>3586</v>
      </c>
      <c r="AB2124" t="s">
        <v>3586</v>
      </c>
      <c r="AC2124" t="s">
        <v>3587</v>
      </c>
      <c r="AD2124" t="s">
        <v>3479</v>
      </c>
      <c r="AE2124" t="s">
        <v>3475</v>
      </c>
      <c r="AF2124" s="2">
        <v>1000.4375</v>
      </c>
      <c r="AG2124" s="2">
        <v>605.64919999999995</v>
      </c>
      <c r="AH2124" s="2">
        <v>394.78829999999999</v>
      </c>
      <c r="AI2124" s="3">
        <v>0.39461565565065299</v>
      </c>
    </row>
    <row r="2125" spans="1:35">
      <c r="A2125" s="1">
        <v>42359</v>
      </c>
      <c r="B2125" s="1">
        <v>37512</v>
      </c>
      <c r="C2125" t="s">
        <v>6123</v>
      </c>
      <c r="D2125">
        <v>389</v>
      </c>
      <c r="E2125">
        <v>24916</v>
      </c>
      <c r="F2125">
        <v>9</v>
      </c>
      <c r="G2125">
        <v>1</v>
      </c>
      <c r="H2125">
        <v>1</v>
      </c>
      <c r="I2125">
        <v>2</v>
      </c>
      <c r="J2125" t="s">
        <v>3571</v>
      </c>
      <c r="K2125" t="s">
        <v>3572</v>
      </c>
      <c r="L2125" s="2">
        <v>605.64919999999995</v>
      </c>
      <c r="M2125" s="2">
        <v>1000.4375</v>
      </c>
      <c r="N2125" t="s">
        <v>26</v>
      </c>
      <c r="O2125" t="s">
        <v>883</v>
      </c>
      <c r="P2125" t="s">
        <v>490</v>
      </c>
      <c r="Q2125" t="s">
        <v>8453</v>
      </c>
      <c r="R2125" s="1">
        <v>25888</v>
      </c>
      <c r="S2125" t="s">
        <v>22</v>
      </c>
      <c r="T2125" t="s">
        <v>29</v>
      </c>
      <c r="U2125" t="s">
        <v>2953</v>
      </c>
      <c r="V2125">
        <v>90000</v>
      </c>
      <c r="W2125">
        <v>0</v>
      </c>
      <c r="X2125" t="s">
        <v>17</v>
      </c>
      <c r="Y2125" t="s">
        <v>18</v>
      </c>
      <c r="Z2125" t="s">
        <v>23</v>
      </c>
      <c r="AA2125" t="s">
        <v>3586</v>
      </c>
      <c r="AB2125" t="s">
        <v>3586</v>
      </c>
      <c r="AC2125" t="s">
        <v>3587</v>
      </c>
      <c r="AD2125" t="s">
        <v>3479</v>
      </c>
      <c r="AE2125" t="s">
        <v>3475</v>
      </c>
      <c r="AF2125" s="2">
        <v>1000.4375</v>
      </c>
      <c r="AG2125" s="2">
        <v>605.64919999999995</v>
      </c>
      <c r="AH2125" s="2">
        <v>394.78829999999999</v>
      </c>
      <c r="AI2125" s="3">
        <v>0.39461565565065299</v>
      </c>
    </row>
    <row r="2126" spans="1:35">
      <c r="A2126" s="1">
        <v>42346</v>
      </c>
      <c r="B2126" s="1">
        <v>37555</v>
      </c>
      <c r="C2126" t="s">
        <v>5972</v>
      </c>
      <c r="D2126">
        <v>381</v>
      </c>
      <c r="E2126">
        <v>24917</v>
      </c>
      <c r="F2126">
        <v>9</v>
      </c>
      <c r="G2126">
        <v>1</v>
      </c>
      <c r="H2126">
        <v>1</v>
      </c>
      <c r="I2126">
        <v>2</v>
      </c>
      <c r="J2126" t="s">
        <v>3563</v>
      </c>
      <c r="K2126" t="s">
        <v>3564</v>
      </c>
      <c r="L2126" s="2">
        <v>605.64919999999995</v>
      </c>
      <c r="M2126" s="2">
        <v>1000.4375</v>
      </c>
      <c r="N2126" t="s">
        <v>13</v>
      </c>
      <c r="O2126" t="s">
        <v>453</v>
      </c>
      <c r="P2126" t="s">
        <v>529</v>
      </c>
      <c r="Q2126" t="s">
        <v>8454</v>
      </c>
      <c r="R2126" s="1">
        <v>25770</v>
      </c>
      <c r="S2126" t="s">
        <v>22</v>
      </c>
      <c r="T2126" t="s">
        <v>16</v>
      </c>
      <c r="U2126" t="s">
        <v>2954</v>
      </c>
      <c r="V2126">
        <v>90000</v>
      </c>
      <c r="W2126">
        <v>0</v>
      </c>
      <c r="X2126" t="s">
        <v>17</v>
      </c>
      <c r="Y2126" t="s">
        <v>18</v>
      </c>
      <c r="Z2126" t="s">
        <v>23</v>
      </c>
      <c r="AA2126" t="s">
        <v>3586</v>
      </c>
      <c r="AB2126" t="s">
        <v>3586</v>
      </c>
      <c r="AC2126" t="s">
        <v>3587</v>
      </c>
      <c r="AD2126" t="s">
        <v>3479</v>
      </c>
      <c r="AE2126" t="s">
        <v>3475</v>
      </c>
      <c r="AF2126" s="2">
        <v>1000.4375</v>
      </c>
      <c r="AG2126" s="2">
        <v>605.64919999999995</v>
      </c>
      <c r="AH2126" s="2">
        <v>394.78829999999999</v>
      </c>
      <c r="AI2126" s="3">
        <v>0.39461565565065299</v>
      </c>
    </row>
    <row r="2127" spans="1:35">
      <c r="A2127" s="1">
        <v>42351</v>
      </c>
      <c r="B2127" s="1">
        <v>37503</v>
      </c>
      <c r="C2127" t="s">
        <v>6040</v>
      </c>
      <c r="D2127">
        <v>387</v>
      </c>
      <c r="E2127">
        <v>24918</v>
      </c>
      <c r="F2127">
        <v>9</v>
      </c>
      <c r="G2127">
        <v>1</v>
      </c>
      <c r="H2127">
        <v>1</v>
      </c>
      <c r="I2127">
        <v>2</v>
      </c>
      <c r="J2127" t="s">
        <v>3569</v>
      </c>
      <c r="K2127" t="s">
        <v>3570</v>
      </c>
      <c r="L2127" s="2">
        <v>605.64919999999995</v>
      </c>
      <c r="M2127" s="2">
        <v>1000.4375</v>
      </c>
      <c r="N2127" t="s">
        <v>13</v>
      </c>
      <c r="O2127" t="s">
        <v>836</v>
      </c>
      <c r="P2127" t="s">
        <v>223</v>
      </c>
      <c r="Q2127" t="s">
        <v>8455</v>
      </c>
      <c r="R2127" s="1">
        <v>25619</v>
      </c>
      <c r="S2127" t="s">
        <v>22</v>
      </c>
      <c r="T2127" t="s">
        <v>16</v>
      </c>
      <c r="U2127" t="s">
        <v>2955</v>
      </c>
      <c r="V2127">
        <v>90000</v>
      </c>
      <c r="W2127">
        <v>0</v>
      </c>
      <c r="X2127" t="s">
        <v>17</v>
      </c>
      <c r="Y2127" t="s">
        <v>18</v>
      </c>
      <c r="Z2127" t="s">
        <v>23</v>
      </c>
      <c r="AA2127" t="s">
        <v>3586</v>
      </c>
      <c r="AB2127" t="s">
        <v>3586</v>
      </c>
      <c r="AC2127" t="s">
        <v>3587</v>
      </c>
      <c r="AD2127" t="s">
        <v>3479</v>
      </c>
      <c r="AE2127" t="s">
        <v>3475</v>
      </c>
      <c r="AF2127" s="2">
        <v>1000.4375</v>
      </c>
      <c r="AG2127" s="2">
        <v>605.64919999999995</v>
      </c>
      <c r="AH2127" s="2">
        <v>394.78829999999999</v>
      </c>
      <c r="AI2127" s="3">
        <v>0.39461565565065299</v>
      </c>
    </row>
    <row r="2128" spans="1:35">
      <c r="A2128" s="1">
        <v>42355</v>
      </c>
      <c r="B2128" s="1">
        <v>37531</v>
      </c>
      <c r="C2128" t="s">
        <v>6074</v>
      </c>
      <c r="D2128">
        <v>389</v>
      </c>
      <c r="E2128">
        <v>24919</v>
      </c>
      <c r="F2128">
        <v>9</v>
      </c>
      <c r="G2128">
        <v>1</v>
      </c>
      <c r="H2128">
        <v>1</v>
      </c>
      <c r="I2128">
        <v>2</v>
      </c>
      <c r="J2128" t="s">
        <v>3571</v>
      </c>
      <c r="K2128" t="s">
        <v>3572</v>
      </c>
      <c r="L2128" s="2">
        <v>605.64919999999995</v>
      </c>
      <c r="M2128" s="2">
        <v>1000.4375</v>
      </c>
      <c r="N2128" t="s">
        <v>13</v>
      </c>
      <c r="O2128" t="s">
        <v>133</v>
      </c>
      <c r="P2128" t="s">
        <v>468</v>
      </c>
      <c r="Q2128" t="s">
        <v>8456</v>
      </c>
      <c r="R2128" s="1">
        <v>25805</v>
      </c>
      <c r="S2128" t="s">
        <v>16</v>
      </c>
      <c r="T2128" t="s">
        <v>16</v>
      </c>
      <c r="U2128" t="s">
        <v>2956</v>
      </c>
      <c r="V2128">
        <v>100000</v>
      </c>
      <c r="W2128">
        <v>0</v>
      </c>
      <c r="X2128" t="s">
        <v>77</v>
      </c>
      <c r="Y2128" t="s">
        <v>18</v>
      </c>
      <c r="Z2128" t="s">
        <v>19</v>
      </c>
      <c r="AA2128" t="s">
        <v>3586</v>
      </c>
      <c r="AB2128" t="s">
        <v>3586</v>
      </c>
      <c r="AC2128" t="s">
        <v>3587</v>
      </c>
      <c r="AD2128" t="s">
        <v>3479</v>
      </c>
      <c r="AE2128" t="s">
        <v>3475</v>
      </c>
      <c r="AF2128" s="2">
        <v>1000.4375</v>
      </c>
      <c r="AG2128" s="2">
        <v>605.64919999999995</v>
      </c>
      <c r="AH2128" s="2">
        <v>394.78829999999999</v>
      </c>
      <c r="AI2128" s="3">
        <v>0.39461565565065299</v>
      </c>
    </row>
    <row r="2129" spans="1:35">
      <c r="A2129" s="1">
        <v>42348</v>
      </c>
      <c r="B2129" s="1">
        <v>37485</v>
      </c>
      <c r="C2129" t="s">
        <v>5990</v>
      </c>
      <c r="D2129">
        <v>387</v>
      </c>
      <c r="E2129">
        <v>24920</v>
      </c>
      <c r="F2129">
        <v>9</v>
      </c>
      <c r="G2129">
        <v>1</v>
      </c>
      <c r="H2129">
        <v>1</v>
      </c>
      <c r="I2129">
        <v>2</v>
      </c>
      <c r="J2129" t="s">
        <v>3569</v>
      </c>
      <c r="K2129" t="s">
        <v>3570</v>
      </c>
      <c r="L2129" s="2">
        <v>605.64919999999995</v>
      </c>
      <c r="M2129" s="2">
        <v>1000.4375</v>
      </c>
      <c r="N2129" t="s">
        <v>26</v>
      </c>
      <c r="O2129" t="s">
        <v>160</v>
      </c>
      <c r="P2129" t="s">
        <v>223</v>
      </c>
      <c r="Q2129" t="s">
        <v>8457</v>
      </c>
      <c r="R2129" s="1">
        <v>25867</v>
      </c>
      <c r="S2129" t="s">
        <v>16</v>
      </c>
      <c r="T2129" t="s">
        <v>29</v>
      </c>
      <c r="U2129" t="s">
        <v>2957</v>
      </c>
      <c r="V2129">
        <v>110000</v>
      </c>
      <c r="W2129">
        <v>0</v>
      </c>
      <c r="X2129" t="s">
        <v>57</v>
      </c>
      <c r="Y2129" t="s">
        <v>45</v>
      </c>
      <c r="Z2129" t="s">
        <v>19</v>
      </c>
      <c r="AA2129" t="s">
        <v>3586</v>
      </c>
      <c r="AB2129" t="s">
        <v>3586</v>
      </c>
      <c r="AC2129" t="s">
        <v>3587</v>
      </c>
      <c r="AD2129" t="s">
        <v>3479</v>
      </c>
      <c r="AE2129" t="s">
        <v>3475</v>
      </c>
      <c r="AF2129" s="2">
        <v>1000.4375</v>
      </c>
      <c r="AG2129" s="2">
        <v>605.64919999999995</v>
      </c>
      <c r="AH2129" s="2">
        <v>394.78829999999999</v>
      </c>
      <c r="AI2129" s="3">
        <v>0.39461565565065299</v>
      </c>
    </row>
    <row r="2130" spans="1:35">
      <c r="A2130" s="1">
        <v>42206</v>
      </c>
      <c r="B2130" s="1">
        <v>37353</v>
      </c>
      <c r="C2130" t="s">
        <v>4929</v>
      </c>
      <c r="D2130">
        <v>370</v>
      </c>
      <c r="E2130">
        <v>24960</v>
      </c>
      <c r="F2130">
        <v>6</v>
      </c>
      <c r="G2130">
        <v>1</v>
      </c>
      <c r="H2130">
        <v>1</v>
      </c>
      <c r="I2130">
        <v>2</v>
      </c>
      <c r="J2130" t="s">
        <v>3551</v>
      </c>
      <c r="K2130" t="s">
        <v>3552</v>
      </c>
      <c r="L2130" s="2">
        <v>1518.7864</v>
      </c>
      <c r="M2130" s="2">
        <v>2443.35</v>
      </c>
      <c r="N2130" t="s">
        <v>30</v>
      </c>
      <c r="O2130" t="s">
        <v>251</v>
      </c>
      <c r="P2130" t="s">
        <v>314</v>
      </c>
      <c r="Q2130" t="s">
        <v>8458</v>
      </c>
      <c r="R2130" s="1">
        <v>16841</v>
      </c>
      <c r="S2130" t="s">
        <v>22</v>
      </c>
      <c r="T2130" t="s">
        <v>29</v>
      </c>
      <c r="U2130" t="s">
        <v>2958</v>
      </c>
      <c r="V2130">
        <v>70000</v>
      </c>
      <c r="W2130">
        <v>5</v>
      </c>
      <c r="X2130" t="s">
        <v>17</v>
      </c>
      <c r="Y2130" t="s">
        <v>45</v>
      </c>
      <c r="Z2130" t="s">
        <v>23</v>
      </c>
      <c r="AA2130" t="s">
        <v>3582</v>
      </c>
      <c r="AB2130" t="s">
        <v>3582</v>
      </c>
      <c r="AC2130" t="s">
        <v>3579</v>
      </c>
      <c r="AD2130" t="s">
        <v>3479</v>
      </c>
      <c r="AE2130" t="s">
        <v>3475</v>
      </c>
      <c r="AF2130" s="2">
        <v>2443.35</v>
      </c>
      <c r="AG2130" s="2">
        <v>1518.7864</v>
      </c>
      <c r="AH2130" s="2">
        <v>924.56359999999995</v>
      </c>
      <c r="AI2130" s="3">
        <v>0.37839998362903399</v>
      </c>
    </row>
    <row r="2131" spans="1:35">
      <c r="A2131" s="1">
        <v>42190</v>
      </c>
      <c r="B2131" s="1">
        <v>37373</v>
      </c>
      <c r="C2131" t="s">
        <v>4804</v>
      </c>
      <c r="D2131">
        <v>375</v>
      </c>
      <c r="E2131">
        <v>24976</v>
      </c>
      <c r="F2131">
        <v>6</v>
      </c>
      <c r="G2131">
        <v>1</v>
      </c>
      <c r="H2131">
        <v>1</v>
      </c>
      <c r="I2131">
        <v>2</v>
      </c>
      <c r="J2131" t="s">
        <v>3557</v>
      </c>
      <c r="K2131" t="s">
        <v>3558</v>
      </c>
      <c r="L2131" s="2">
        <v>1320.6838</v>
      </c>
      <c r="M2131" s="2">
        <v>2181.5625</v>
      </c>
      <c r="N2131" t="s">
        <v>30</v>
      </c>
      <c r="O2131" t="s">
        <v>306</v>
      </c>
      <c r="P2131" t="s">
        <v>309</v>
      </c>
      <c r="Q2131" t="s">
        <v>8459</v>
      </c>
      <c r="R2131" s="1">
        <v>18096</v>
      </c>
      <c r="S2131" t="s">
        <v>16</v>
      </c>
      <c r="T2131" t="s">
        <v>29</v>
      </c>
      <c r="U2131" t="s">
        <v>2959</v>
      </c>
      <c r="V2131">
        <v>60000</v>
      </c>
      <c r="W2131">
        <v>2</v>
      </c>
      <c r="X2131" t="s">
        <v>52</v>
      </c>
      <c r="Y2131" t="s">
        <v>18</v>
      </c>
      <c r="Z2131" t="s">
        <v>19</v>
      </c>
      <c r="AA2131" t="s">
        <v>3582</v>
      </c>
      <c r="AB2131" t="s">
        <v>3582</v>
      </c>
      <c r="AC2131" t="s">
        <v>3579</v>
      </c>
      <c r="AD2131" t="s">
        <v>3479</v>
      </c>
      <c r="AE2131" t="s">
        <v>3475</v>
      </c>
      <c r="AF2131" s="2">
        <v>2181.5625</v>
      </c>
      <c r="AG2131" s="2">
        <v>1320.6838</v>
      </c>
      <c r="AH2131" s="2">
        <v>860.87869999999998</v>
      </c>
      <c r="AI2131" s="3">
        <v>0.39461564818793898</v>
      </c>
    </row>
    <row r="2132" spans="1:35">
      <c r="A2132" s="1">
        <v>42199</v>
      </c>
      <c r="B2132" s="1">
        <v>37433</v>
      </c>
      <c r="C2132" t="s">
        <v>4881</v>
      </c>
      <c r="D2132">
        <v>373</v>
      </c>
      <c r="E2132">
        <v>24977</v>
      </c>
      <c r="F2132">
        <v>6</v>
      </c>
      <c r="G2132">
        <v>1</v>
      </c>
      <c r="H2132">
        <v>1</v>
      </c>
      <c r="I2132">
        <v>2</v>
      </c>
      <c r="J2132" t="s">
        <v>3555</v>
      </c>
      <c r="K2132" t="s">
        <v>3556</v>
      </c>
      <c r="L2132" s="2">
        <v>1320.6838</v>
      </c>
      <c r="M2132" s="2">
        <v>2181.5625</v>
      </c>
      <c r="N2132" t="s">
        <v>30</v>
      </c>
      <c r="O2132" t="s">
        <v>781</v>
      </c>
      <c r="P2132" t="s">
        <v>598</v>
      </c>
      <c r="Q2132" t="s">
        <v>8460</v>
      </c>
      <c r="R2132" s="1">
        <v>18091</v>
      </c>
      <c r="S2132" t="s">
        <v>16</v>
      </c>
      <c r="T2132" t="s">
        <v>29</v>
      </c>
      <c r="U2132" t="s">
        <v>2960</v>
      </c>
      <c r="V2132">
        <v>60000</v>
      </c>
      <c r="W2132">
        <v>2</v>
      </c>
      <c r="X2132" t="s">
        <v>52</v>
      </c>
      <c r="Y2132" t="s">
        <v>18</v>
      </c>
      <c r="Z2132" t="s">
        <v>19</v>
      </c>
      <c r="AA2132" t="s">
        <v>3582</v>
      </c>
      <c r="AB2132" t="s">
        <v>3582</v>
      </c>
      <c r="AC2132" t="s">
        <v>3579</v>
      </c>
      <c r="AD2132" t="s">
        <v>3479</v>
      </c>
      <c r="AE2132" t="s">
        <v>3475</v>
      </c>
      <c r="AF2132" s="2">
        <v>2181.5625</v>
      </c>
      <c r="AG2132" s="2">
        <v>1320.6838</v>
      </c>
      <c r="AH2132" s="2">
        <v>860.87869999999998</v>
      </c>
      <c r="AI2132" s="3">
        <v>0.39461564818793898</v>
      </c>
    </row>
    <row r="2133" spans="1:35">
      <c r="A2133" s="1">
        <v>42190</v>
      </c>
      <c r="B2133" s="1">
        <v>37341</v>
      </c>
      <c r="C2133" t="s">
        <v>4796</v>
      </c>
      <c r="D2133">
        <v>375</v>
      </c>
      <c r="E2133">
        <v>25046</v>
      </c>
      <c r="F2133">
        <v>6</v>
      </c>
      <c r="G2133">
        <v>1</v>
      </c>
      <c r="H2133">
        <v>1</v>
      </c>
      <c r="I2133">
        <v>2</v>
      </c>
      <c r="J2133" t="s">
        <v>3557</v>
      </c>
      <c r="K2133" t="s">
        <v>3558</v>
      </c>
      <c r="L2133" s="2">
        <v>1320.6838</v>
      </c>
      <c r="M2133" s="2">
        <v>2181.5625</v>
      </c>
      <c r="N2133" t="s">
        <v>13</v>
      </c>
      <c r="O2133" t="s">
        <v>149</v>
      </c>
      <c r="P2133" t="s">
        <v>239</v>
      </c>
      <c r="Q2133" t="s">
        <v>8461</v>
      </c>
      <c r="R2133" s="1">
        <v>26917</v>
      </c>
      <c r="S2133" t="s">
        <v>16</v>
      </c>
      <c r="T2133" t="s">
        <v>16</v>
      </c>
      <c r="U2133" t="s">
        <v>2961</v>
      </c>
      <c r="V2133">
        <v>60000</v>
      </c>
      <c r="W2133">
        <v>0</v>
      </c>
      <c r="X2133" t="s">
        <v>52</v>
      </c>
      <c r="Y2133" t="s">
        <v>53</v>
      </c>
      <c r="Z2133" t="s">
        <v>19</v>
      </c>
      <c r="AA2133" t="s">
        <v>3582</v>
      </c>
      <c r="AB2133" t="s">
        <v>3582</v>
      </c>
      <c r="AC2133" t="s">
        <v>3579</v>
      </c>
      <c r="AD2133" t="s">
        <v>3479</v>
      </c>
      <c r="AE2133" t="s">
        <v>3475</v>
      </c>
      <c r="AF2133" s="2">
        <v>2181.5625</v>
      </c>
      <c r="AG2133" s="2">
        <v>1320.6838</v>
      </c>
      <c r="AH2133" s="2">
        <v>860.87869999999998</v>
      </c>
      <c r="AI2133" s="3">
        <v>0.39461564818793898</v>
      </c>
    </row>
    <row r="2134" spans="1:35">
      <c r="A2134" s="1">
        <v>42190</v>
      </c>
      <c r="B2134" s="1">
        <v>37362</v>
      </c>
      <c r="C2134" t="s">
        <v>4805</v>
      </c>
      <c r="D2134">
        <v>368</v>
      </c>
      <c r="E2134">
        <v>25048</v>
      </c>
      <c r="F2134">
        <v>6</v>
      </c>
      <c r="G2134">
        <v>1</v>
      </c>
      <c r="H2134">
        <v>1</v>
      </c>
      <c r="I2134">
        <v>2</v>
      </c>
      <c r="J2134" t="s">
        <v>3547</v>
      </c>
      <c r="K2134" t="s">
        <v>3548</v>
      </c>
      <c r="L2134" s="2">
        <v>1518.7864</v>
      </c>
      <c r="M2134" s="2">
        <v>2443.35</v>
      </c>
      <c r="N2134" t="s">
        <v>26</v>
      </c>
      <c r="O2134" t="s">
        <v>1250</v>
      </c>
      <c r="P2134" t="s">
        <v>664</v>
      </c>
      <c r="Q2134" t="s">
        <v>8462</v>
      </c>
      <c r="R2134" s="1">
        <v>26705</v>
      </c>
      <c r="S2134" t="s">
        <v>22</v>
      </c>
      <c r="T2134" t="s">
        <v>29</v>
      </c>
      <c r="U2134" t="s">
        <v>2962</v>
      </c>
      <c r="V2134">
        <v>70000</v>
      </c>
      <c r="W2134">
        <v>0</v>
      </c>
      <c r="X2134" t="s">
        <v>52</v>
      </c>
      <c r="Y2134" t="s">
        <v>18</v>
      </c>
      <c r="Z2134" t="s">
        <v>23</v>
      </c>
      <c r="AA2134" t="s">
        <v>3582</v>
      </c>
      <c r="AB2134" t="s">
        <v>3582</v>
      </c>
      <c r="AC2134" t="s">
        <v>3579</v>
      </c>
      <c r="AD2134" t="s">
        <v>3479</v>
      </c>
      <c r="AE2134" t="s">
        <v>3475</v>
      </c>
      <c r="AF2134" s="2">
        <v>2443.35</v>
      </c>
      <c r="AG2134" s="2">
        <v>1518.7864</v>
      </c>
      <c r="AH2134" s="2">
        <v>924.56359999999995</v>
      </c>
      <c r="AI2134" s="3">
        <v>0.37839998362903399</v>
      </c>
    </row>
    <row r="2135" spans="1:35">
      <c r="A2135" s="1">
        <v>42210</v>
      </c>
      <c r="B2135" s="1">
        <v>37389</v>
      </c>
      <c r="C2135" t="s">
        <v>4961</v>
      </c>
      <c r="D2135">
        <v>369</v>
      </c>
      <c r="E2135">
        <v>25061</v>
      </c>
      <c r="F2135">
        <v>6</v>
      </c>
      <c r="G2135">
        <v>1</v>
      </c>
      <c r="H2135">
        <v>1</v>
      </c>
      <c r="I2135">
        <v>2</v>
      </c>
      <c r="J2135" t="s">
        <v>3549</v>
      </c>
      <c r="K2135" t="s">
        <v>3550</v>
      </c>
      <c r="L2135" s="2">
        <v>1518.7864</v>
      </c>
      <c r="M2135" s="2">
        <v>2443.35</v>
      </c>
      <c r="N2135" t="s">
        <v>26</v>
      </c>
      <c r="O2135" t="s">
        <v>202</v>
      </c>
      <c r="P2135" t="s">
        <v>280</v>
      </c>
      <c r="Q2135" t="s">
        <v>8463</v>
      </c>
      <c r="R2135" s="1">
        <v>27233</v>
      </c>
      <c r="S2135" t="s">
        <v>22</v>
      </c>
      <c r="T2135" t="s">
        <v>29</v>
      </c>
      <c r="U2135" t="s">
        <v>2963</v>
      </c>
      <c r="V2135">
        <v>50000</v>
      </c>
      <c r="W2135">
        <v>0</v>
      </c>
      <c r="X2135" t="s">
        <v>57</v>
      </c>
      <c r="Y2135" t="s">
        <v>18</v>
      </c>
      <c r="Z2135" t="s">
        <v>23</v>
      </c>
      <c r="AA2135" t="s">
        <v>3582</v>
      </c>
      <c r="AB2135" t="s">
        <v>3582</v>
      </c>
      <c r="AC2135" t="s">
        <v>3579</v>
      </c>
      <c r="AD2135" t="s">
        <v>3479</v>
      </c>
      <c r="AE2135" t="s">
        <v>3475</v>
      </c>
      <c r="AF2135" s="2">
        <v>2443.35</v>
      </c>
      <c r="AG2135" s="2">
        <v>1518.7864</v>
      </c>
      <c r="AH2135" s="2">
        <v>924.56359999999995</v>
      </c>
      <c r="AI2135" s="3">
        <v>0.37839998362903399</v>
      </c>
    </row>
    <row r="2136" spans="1:35">
      <c r="A2136" s="1">
        <v>42202</v>
      </c>
      <c r="B2136" s="1">
        <v>37352</v>
      </c>
      <c r="C2136" t="s">
        <v>4900</v>
      </c>
      <c r="D2136">
        <v>375</v>
      </c>
      <c r="E2136">
        <v>25093</v>
      </c>
      <c r="F2136">
        <v>6</v>
      </c>
      <c r="G2136">
        <v>1</v>
      </c>
      <c r="H2136">
        <v>1</v>
      </c>
      <c r="I2136">
        <v>2</v>
      </c>
      <c r="J2136" t="s">
        <v>3557</v>
      </c>
      <c r="K2136" t="s">
        <v>3558</v>
      </c>
      <c r="L2136" s="2">
        <v>1320.6838</v>
      </c>
      <c r="M2136" s="2">
        <v>2181.5625</v>
      </c>
      <c r="N2136" t="s">
        <v>26</v>
      </c>
      <c r="O2136" t="s">
        <v>764</v>
      </c>
      <c r="P2136" t="s">
        <v>246</v>
      </c>
      <c r="Q2136" t="s">
        <v>8464</v>
      </c>
      <c r="R2136" s="1">
        <v>24650</v>
      </c>
      <c r="S2136" t="s">
        <v>22</v>
      </c>
      <c r="T2136" t="s">
        <v>29</v>
      </c>
      <c r="U2136" t="s">
        <v>2964</v>
      </c>
      <c r="V2136">
        <v>50000</v>
      </c>
      <c r="W2136">
        <v>0</v>
      </c>
      <c r="X2136" t="s">
        <v>52</v>
      </c>
      <c r="Y2136" t="s">
        <v>53</v>
      </c>
      <c r="Z2136" t="s">
        <v>23</v>
      </c>
      <c r="AA2136" t="s">
        <v>3582</v>
      </c>
      <c r="AB2136" t="s">
        <v>3582</v>
      </c>
      <c r="AC2136" t="s">
        <v>3579</v>
      </c>
      <c r="AD2136" t="s">
        <v>3479</v>
      </c>
      <c r="AE2136" t="s">
        <v>3475</v>
      </c>
      <c r="AF2136" s="2">
        <v>2181.5625</v>
      </c>
      <c r="AG2136" s="2">
        <v>1320.6838</v>
      </c>
      <c r="AH2136" s="2">
        <v>860.87869999999998</v>
      </c>
      <c r="AI2136" s="3">
        <v>0.39461564818793898</v>
      </c>
    </row>
    <row r="2137" spans="1:35">
      <c r="A2137" s="1">
        <v>42200</v>
      </c>
      <c r="B2137" s="1">
        <v>37419</v>
      </c>
      <c r="C2137" t="s">
        <v>4883</v>
      </c>
      <c r="D2137">
        <v>368</v>
      </c>
      <c r="E2137">
        <v>25094</v>
      </c>
      <c r="F2137">
        <v>6</v>
      </c>
      <c r="G2137">
        <v>1</v>
      </c>
      <c r="H2137">
        <v>1</v>
      </c>
      <c r="I2137">
        <v>2</v>
      </c>
      <c r="J2137" t="s">
        <v>3547</v>
      </c>
      <c r="K2137" t="s">
        <v>3548</v>
      </c>
      <c r="L2137" s="2">
        <v>1518.7864</v>
      </c>
      <c r="M2137" s="2">
        <v>2443.35</v>
      </c>
      <c r="N2137" t="s">
        <v>13</v>
      </c>
      <c r="O2137" t="s">
        <v>327</v>
      </c>
      <c r="P2137" t="s">
        <v>299</v>
      </c>
      <c r="Q2137" t="s">
        <v>8465</v>
      </c>
      <c r="R2137" s="1">
        <v>24546</v>
      </c>
      <c r="S2137" t="s">
        <v>22</v>
      </c>
      <c r="T2137" t="s">
        <v>16</v>
      </c>
      <c r="U2137" t="s">
        <v>2965</v>
      </c>
      <c r="V2137">
        <v>50000</v>
      </c>
      <c r="W2137">
        <v>0</v>
      </c>
      <c r="X2137" t="s">
        <v>52</v>
      </c>
      <c r="Y2137" t="s">
        <v>53</v>
      </c>
      <c r="Z2137" t="s">
        <v>23</v>
      </c>
      <c r="AA2137" t="s">
        <v>3582</v>
      </c>
      <c r="AB2137" t="s">
        <v>3582</v>
      </c>
      <c r="AC2137" t="s">
        <v>3579</v>
      </c>
      <c r="AD2137" t="s">
        <v>3479</v>
      </c>
      <c r="AE2137" t="s">
        <v>3475</v>
      </c>
      <c r="AF2137" s="2">
        <v>2443.35</v>
      </c>
      <c r="AG2137" s="2">
        <v>1518.7864</v>
      </c>
      <c r="AH2137" s="2">
        <v>924.56359999999995</v>
      </c>
      <c r="AI2137" s="3">
        <v>0.37839998362903399</v>
      </c>
    </row>
    <row r="2138" spans="1:35">
      <c r="A2138" s="1">
        <v>42220</v>
      </c>
      <c r="B2138" s="1">
        <v>37455</v>
      </c>
      <c r="C2138" t="s">
        <v>5032</v>
      </c>
      <c r="D2138">
        <v>370</v>
      </c>
      <c r="E2138">
        <v>25095</v>
      </c>
      <c r="F2138">
        <v>6</v>
      </c>
      <c r="G2138">
        <v>1</v>
      </c>
      <c r="H2138">
        <v>1</v>
      </c>
      <c r="I2138">
        <v>2</v>
      </c>
      <c r="J2138" t="s">
        <v>3551</v>
      </c>
      <c r="K2138" t="s">
        <v>3552</v>
      </c>
      <c r="L2138" s="2">
        <v>1518.7864</v>
      </c>
      <c r="M2138" s="2">
        <v>2443.35</v>
      </c>
      <c r="N2138" t="s">
        <v>13</v>
      </c>
      <c r="O2138" t="s">
        <v>112</v>
      </c>
      <c r="P2138" t="s">
        <v>476</v>
      </c>
      <c r="Q2138" t="s">
        <v>8466</v>
      </c>
      <c r="R2138" s="1">
        <v>24667</v>
      </c>
      <c r="S2138" t="s">
        <v>22</v>
      </c>
      <c r="T2138" t="s">
        <v>16</v>
      </c>
      <c r="U2138" t="s">
        <v>2966</v>
      </c>
      <c r="V2138">
        <v>50000</v>
      </c>
      <c r="W2138">
        <v>0</v>
      </c>
      <c r="X2138" t="s">
        <v>52</v>
      </c>
      <c r="Y2138" t="s">
        <v>53</v>
      </c>
      <c r="Z2138" t="s">
        <v>23</v>
      </c>
      <c r="AA2138" t="s">
        <v>3582</v>
      </c>
      <c r="AB2138" t="s">
        <v>3582</v>
      </c>
      <c r="AC2138" t="s">
        <v>3579</v>
      </c>
      <c r="AD2138" t="s">
        <v>3479</v>
      </c>
      <c r="AE2138" t="s">
        <v>3475</v>
      </c>
      <c r="AF2138" s="2">
        <v>2443.35</v>
      </c>
      <c r="AG2138" s="2">
        <v>1518.7864</v>
      </c>
      <c r="AH2138" s="2">
        <v>924.56359999999995</v>
      </c>
      <c r="AI2138" s="3">
        <v>0.37839998362903399</v>
      </c>
    </row>
    <row r="2139" spans="1:35">
      <c r="A2139" s="1">
        <v>42222</v>
      </c>
      <c r="B2139" s="1">
        <v>37447</v>
      </c>
      <c r="C2139" t="s">
        <v>5054</v>
      </c>
      <c r="D2139">
        <v>369</v>
      </c>
      <c r="E2139">
        <v>25100</v>
      </c>
      <c r="F2139">
        <v>6</v>
      </c>
      <c r="G2139">
        <v>1</v>
      </c>
      <c r="H2139">
        <v>1</v>
      </c>
      <c r="I2139">
        <v>2</v>
      </c>
      <c r="J2139" t="s">
        <v>3549</v>
      </c>
      <c r="K2139" t="s">
        <v>3550</v>
      </c>
      <c r="L2139" s="2">
        <v>1518.7864</v>
      </c>
      <c r="M2139" s="2">
        <v>2443.35</v>
      </c>
      <c r="N2139" t="s">
        <v>30</v>
      </c>
      <c r="O2139" t="s">
        <v>928</v>
      </c>
      <c r="P2139" t="s">
        <v>21</v>
      </c>
      <c r="Q2139" t="s">
        <v>8467</v>
      </c>
      <c r="R2139" s="1">
        <v>21684</v>
      </c>
      <c r="S2139" t="s">
        <v>16</v>
      </c>
      <c r="T2139" t="s">
        <v>29</v>
      </c>
      <c r="U2139" t="s">
        <v>2967</v>
      </c>
      <c r="V2139">
        <v>60000</v>
      </c>
      <c r="W2139">
        <v>1</v>
      </c>
      <c r="X2139" t="s">
        <v>52</v>
      </c>
      <c r="Y2139" t="s">
        <v>53</v>
      </c>
      <c r="Z2139" t="s">
        <v>19</v>
      </c>
      <c r="AA2139" t="s">
        <v>3582</v>
      </c>
      <c r="AB2139" t="s">
        <v>3582</v>
      </c>
      <c r="AC2139" t="s">
        <v>3579</v>
      </c>
      <c r="AD2139" t="s">
        <v>3479</v>
      </c>
      <c r="AE2139" t="s">
        <v>3475</v>
      </c>
      <c r="AF2139" s="2">
        <v>2443.35</v>
      </c>
      <c r="AG2139" s="2">
        <v>1518.7864</v>
      </c>
      <c r="AH2139" s="2">
        <v>924.56359999999995</v>
      </c>
      <c r="AI2139" s="3">
        <v>0.37839998362903399</v>
      </c>
    </row>
    <row r="2140" spans="1:35">
      <c r="A2140" s="1">
        <v>42247</v>
      </c>
      <c r="B2140" s="1">
        <v>37431</v>
      </c>
      <c r="C2140" t="s">
        <v>5284</v>
      </c>
      <c r="D2140">
        <v>368</v>
      </c>
      <c r="E2140">
        <v>25104</v>
      </c>
      <c r="F2140">
        <v>6</v>
      </c>
      <c r="G2140">
        <v>1</v>
      </c>
      <c r="H2140">
        <v>1</v>
      </c>
      <c r="I2140">
        <v>2</v>
      </c>
      <c r="J2140" t="s">
        <v>3547</v>
      </c>
      <c r="K2140" t="s">
        <v>3548</v>
      </c>
      <c r="L2140" s="2">
        <v>1518.7864</v>
      </c>
      <c r="M2140" s="2">
        <v>2443.35</v>
      </c>
      <c r="N2140" t="s">
        <v>30</v>
      </c>
      <c r="O2140" t="s">
        <v>331</v>
      </c>
      <c r="P2140" t="s">
        <v>707</v>
      </c>
      <c r="Q2140" t="s">
        <v>8468</v>
      </c>
      <c r="R2140" s="1">
        <v>21836</v>
      </c>
      <c r="S2140" t="s">
        <v>22</v>
      </c>
      <c r="T2140" t="s">
        <v>29</v>
      </c>
      <c r="U2140" t="s">
        <v>2968</v>
      </c>
      <c r="V2140">
        <v>70000</v>
      </c>
      <c r="W2140">
        <v>2</v>
      </c>
      <c r="X2140" t="s">
        <v>135</v>
      </c>
      <c r="Y2140" t="s">
        <v>18</v>
      </c>
      <c r="Z2140" t="s">
        <v>23</v>
      </c>
      <c r="AA2140" t="s">
        <v>3582</v>
      </c>
      <c r="AB2140" t="s">
        <v>3582</v>
      </c>
      <c r="AC2140" t="s">
        <v>3579</v>
      </c>
      <c r="AD2140" t="s">
        <v>3479</v>
      </c>
      <c r="AE2140" t="s">
        <v>3475</v>
      </c>
      <c r="AF2140" s="2">
        <v>2443.35</v>
      </c>
      <c r="AG2140" s="2">
        <v>1518.7864</v>
      </c>
      <c r="AH2140" s="2">
        <v>924.56359999999995</v>
      </c>
      <c r="AI2140" s="3">
        <v>0.37839998362903399</v>
      </c>
    </row>
    <row r="2141" spans="1:35">
      <c r="A2141" s="1">
        <v>42217</v>
      </c>
      <c r="B2141" s="1">
        <v>37352</v>
      </c>
      <c r="C2141" t="s">
        <v>5015</v>
      </c>
      <c r="D2141">
        <v>369</v>
      </c>
      <c r="E2141">
        <v>25287</v>
      </c>
      <c r="F2141">
        <v>6</v>
      </c>
      <c r="G2141">
        <v>1</v>
      </c>
      <c r="H2141">
        <v>1</v>
      </c>
      <c r="I2141">
        <v>2</v>
      </c>
      <c r="J2141" t="s">
        <v>3549</v>
      </c>
      <c r="K2141" t="s">
        <v>3550</v>
      </c>
      <c r="L2141" s="2">
        <v>1518.7864</v>
      </c>
      <c r="M2141" s="2">
        <v>2443.35</v>
      </c>
      <c r="N2141" t="s">
        <v>26</v>
      </c>
      <c r="O2141" t="s">
        <v>1331</v>
      </c>
      <c r="P2141" t="s">
        <v>320</v>
      </c>
      <c r="Q2141" t="s">
        <v>8469</v>
      </c>
      <c r="R2141" s="1">
        <v>26619</v>
      </c>
      <c r="S2141" t="s">
        <v>22</v>
      </c>
      <c r="T2141" t="s">
        <v>29</v>
      </c>
      <c r="U2141" t="s">
        <v>2969</v>
      </c>
      <c r="V2141">
        <v>80000</v>
      </c>
      <c r="W2141">
        <v>0</v>
      </c>
      <c r="X2141" t="s">
        <v>17</v>
      </c>
      <c r="Y2141" t="s">
        <v>45</v>
      </c>
      <c r="Z2141" t="s">
        <v>23</v>
      </c>
      <c r="AA2141" t="s">
        <v>3582</v>
      </c>
      <c r="AB2141" t="s">
        <v>3582</v>
      </c>
      <c r="AC2141" t="s">
        <v>3579</v>
      </c>
      <c r="AD2141" t="s">
        <v>3479</v>
      </c>
      <c r="AE2141" t="s">
        <v>3475</v>
      </c>
      <c r="AF2141" s="2">
        <v>2443.35</v>
      </c>
      <c r="AG2141" s="2">
        <v>1518.7864</v>
      </c>
      <c r="AH2141" s="2">
        <v>924.56359999999995</v>
      </c>
      <c r="AI2141" s="3">
        <v>0.37839998362903399</v>
      </c>
    </row>
    <row r="2142" spans="1:35">
      <c r="A2142" s="1">
        <v>42235</v>
      </c>
      <c r="B2142" s="1">
        <v>37449</v>
      </c>
      <c r="C2142" t="s">
        <v>5165</v>
      </c>
      <c r="D2142">
        <v>375</v>
      </c>
      <c r="E2142">
        <v>25288</v>
      </c>
      <c r="F2142">
        <v>6</v>
      </c>
      <c r="G2142">
        <v>1</v>
      </c>
      <c r="H2142">
        <v>1</v>
      </c>
      <c r="I2142">
        <v>2</v>
      </c>
      <c r="J2142" t="s">
        <v>3557</v>
      </c>
      <c r="K2142" t="s">
        <v>3558</v>
      </c>
      <c r="L2142" s="2">
        <v>1320.6838</v>
      </c>
      <c r="M2142" s="2">
        <v>2181.5625</v>
      </c>
      <c r="N2142" t="s">
        <v>26</v>
      </c>
      <c r="O2142" t="s">
        <v>1272</v>
      </c>
      <c r="P2142" t="s">
        <v>113</v>
      </c>
      <c r="Q2142" t="s">
        <v>8470</v>
      </c>
      <c r="R2142" s="1">
        <v>25089</v>
      </c>
      <c r="S2142" t="s">
        <v>22</v>
      </c>
      <c r="T2142" t="s">
        <v>29</v>
      </c>
      <c r="U2142" t="s">
        <v>2970</v>
      </c>
      <c r="V2142">
        <v>80000</v>
      </c>
      <c r="W2142">
        <v>0</v>
      </c>
      <c r="X2142" t="s">
        <v>17</v>
      </c>
      <c r="Y2142" t="s">
        <v>45</v>
      </c>
      <c r="Z2142" t="s">
        <v>23</v>
      </c>
      <c r="AA2142" t="s">
        <v>3582</v>
      </c>
      <c r="AB2142" t="s">
        <v>3582</v>
      </c>
      <c r="AC2142" t="s">
        <v>3579</v>
      </c>
      <c r="AD2142" t="s">
        <v>3479</v>
      </c>
      <c r="AE2142" t="s">
        <v>3475</v>
      </c>
      <c r="AF2142" s="2">
        <v>2181.5625</v>
      </c>
      <c r="AG2142" s="2">
        <v>1320.6838</v>
      </c>
      <c r="AH2142" s="2">
        <v>860.87869999999998</v>
      </c>
      <c r="AI2142" s="3">
        <v>0.39461564818793898</v>
      </c>
    </row>
    <row r="2143" spans="1:35">
      <c r="A2143" s="1">
        <v>42221</v>
      </c>
      <c r="B2143" s="1">
        <v>37378</v>
      </c>
      <c r="C2143" t="s">
        <v>5042</v>
      </c>
      <c r="D2143">
        <v>369</v>
      </c>
      <c r="E2143">
        <v>25361</v>
      </c>
      <c r="F2143">
        <v>6</v>
      </c>
      <c r="G2143">
        <v>1</v>
      </c>
      <c r="H2143">
        <v>1</v>
      </c>
      <c r="I2143">
        <v>2</v>
      </c>
      <c r="J2143" t="s">
        <v>3549</v>
      </c>
      <c r="K2143" t="s">
        <v>3550</v>
      </c>
      <c r="L2143" s="2">
        <v>1518.7864</v>
      </c>
      <c r="M2143" s="2">
        <v>2443.35</v>
      </c>
      <c r="N2143" t="s">
        <v>30</v>
      </c>
      <c r="O2143" t="s">
        <v>409</v>
      </c>
      <c r="P2143" t="s">
        <v>199</v>
      </c>
      <c r="Q2143" t="s">
        <v>8471</v>
      </c>
      <c r="R2143" s="1">
        <v>21357</v>
      </c>
      <c r="S2143" t="s">
        <v>22</v>
      </c>
      <c r="T2143" t="s">
        <v>29</v>
      </c>
      <c r="U2143" t="s">
        <v>2971</v>
      </c>
      <c r="V2143">
        <v>30000</v>
      </c>
      <c r="W2143">
        <v>2</v>
      </c>
      <c r="X2143" t="s">
        <v>57</v>
      </c>
      <c r="Y2143" t="s">
        <v>53</v>
      </c>
      <c r="Z2143" t="s">
        <v>23</v>
      </c>
      <c r="AA2143" t="s">
        <v>3582</v>
      </c>
      <c r="AB2143" t="s">
        <v>3582</v>
      </c>
      <c r="AC2143" t="s">
        <v>3579</v>
      </c>
      <c r="AD2143" t="s">
        <v>3479</v>
      </c>
      <c r="AE2143" t="s">
        <v>3475</v>
      </c>
      <c r="AF2143" s="2">
        <v>2443.35</v>
      </c>
      <c r="AG2143" s="2">
        <v>1518.7864</v>
      </c>
      <c r="AH2143" s="2">
        <v>924.56359999999995</v>
      </c>
      <c r="AI2143" s="3">
        <v>0.37839998362903399</v>
      </c>
    </row>
    <row r="2144" spans="1:35">
      <c r="A2144" s="1">
        <v>42227</v>
      </c>
      <c r="B2144" s="1">
        <v>37426</v>
      </c>
      <c r="C2144" t="s">
        <v>5090</v>
      </c>
      <c r="D2144">
        <v>370</v>
      </c>
      <c r="E2144">
        <v>25363</v>
      </c>
      <c r="F2144">
        <v>6</v>
      </c>
      <c r="G2144">
        <v>1</v>
      </c>
      <c r="H2144">
        <v>1</v>
      </c>
      <c r="I2144">
        <v>2</v>
      </c>
      <c r="J2144" t="s">
        <v>3551</v>
      </c>
      <c r="K2144" t="s">
        <v>3552</v>
      </c>
      <c r="L2144" s="2">
        <v>1518.7864</v>
      </c>
      <c r="M2144" s="2">
        <v>2443.35</v>
      </c>
      <c r="N2144" t="s">
        <v>30</v>
      </c>
      <c r="O2144" t="s">
        <v>628</v>
      </c>
      <c r="P2144" t="s">
        <v>314</v>
      </c>
      <c r="Q2144" t="s">
        <v>8472</v>
      </c>
      <c r="R2144" s="1">
        <v>21235</v>
      </c>
      <c r="S2144" t="s">
        <v>16</v>
      </c>
      <c r="T2144" t="s">
        <v>29</v>
      </c>
      <c r="U2144" t="s">
        <v>2972</v>
      </c>
      <c r="V2144">
        <v>30000</v>
      </c>
      <c r="W2144">
        <v>2</v>
      </c>
      <c r="X2144" t="s">
        <v>57</v>
      </c>
      <c r="Y2144" t="s">
        <v>53</v>
      </c>
      <c r="Z2144" t="s">
        <v>19</v>
      </c>
      <c r="AA2144" t="s">
        <v>3582</v>
      </c>
      <c r="AB2144" t="s">
        <v>3582</v>
      </c>
      <c r="AC2144" t="s">
        <v>3579</v>
      </c>
      <c r="AD2144" t="s">
        <v>3479</v>
      </c>
      <c r="AE2144" t="s">
        <v>3475</v>
      </c>
      <c r="AF2144" s="2">
        <v>2443.35</v>
      </c>
      <c r="AG2144" s="2">
        <v>1518.7864</v>
      </c>
      <c r="AH2144" s="2">
        <v>924.56359999999995</v>
      </c>
      <c r="AI2144" s="3">
        <v>0.37839998362903399</v>
      </c>
    </row>
    <row r="2145" spans="1:35">
      <c r="A2145" s="1">
        <v>42233</v>
      </c>
      <c r="B2145" s="1">
        <v>37405</v>
      </c>
      <c r="C2145" t="s">
        <v>5152</v>
      </c>
      <c r="D2145">
        <v>377</v>
      </c>
      <c r="E2145">
        <v>25371</v>
      </c>
      <c r="F2145">
        <v>6</v>
      </c>
      <c r="G2145">
        <v>1</v>
      </c>
      <c r="H2145">
        <v>1</v>
      </c>
      <c r="I2145">
        <v>2</v>
      </c>
      <c r="J2145" t="s">
        <v>3559</v>
      </c>
      <c r="K2145" t="s">
        <v>3560</v>
      </c>
      <c r="L2145" s="2">
        <v>1320.6838</v>
      </c>
      <c r="M2145" s="2">
        <v>2181.5625</v>
      </c>
      <c r="N2145" t="s">
        <v>26</v>
      </c>
      <c r="O2145" t="s">
        <v>1252</v>
      </c>
      <c r="P2145" t="s">
        <v>529</v>
      </c>
      <c r="Q2145" t="s">
        <v>8473</v>
      </c>
      <c r="R2145" s="1">
        <v>26351</v>
      </c>
      <c r="S2145" t="s">
        <v>16</v>
      </c>
      <c r="T2145" t="s">
        <v>29</v>
      </c>
      <c r="U2145" t="s">
        <v>2973</v>
      </c>
      <c r="V2145">
        <v>50000</v>
      </c>
      <c r="W2145">
        <v>0</v>
      </c>
      <c r="X2145" t="s">
        <v>135</v>
      </c>
      <c r="Y2145" t="s">
        <v>53</v>
      </c>
      <c r="Z2145" t="s">
        <v>19</v>
      </c>
      <c r="AA2145" t="s">
        <v>3582</v>
      </c>
      <c r="AB2145" t="s">
        <v>3582</v>
      </c>
      <c r="AC2145" t="s">
        <v>3579</v>
      </c>
      <c r="AD2145" t="s">
        <v>3479</v>
      </c>
      <c r="AE2145" t="s">
        <v>3475</v>
      </c>
      <c r="AF2145" s="2">
        <v>2181.5625</v>
      </c>
      <c r="AG2145" s="2">
        <v>1320.6838</v>
      </c>
      <c r="AH2145" s="2">
        <v>860.87869999999998</v>
      </c>
      <c r="AI2145" s="3">
        <v>0.39461564818793898</v>
      </c>
    </row>
    <row r="2146" spans="1:35">
      <c r="A2146" s="1">
        <v>42243</v>
      </c>
      <c r="B2146" s="1">
        <v>37430</v>
      </c>
      <c r="C2146" t="s">
        <v>5249</v>
      </c>
      <c r="D2146">
        <v>369</v>
      </c>
      <c r="E2146">
        <v>25393</v>
      </c>
      <c r="F2146">
        <v>6</v>
      </c>
      <c r="G2146">
        <v>1</v>
      </c>
      <c r="H2146">
        <v>1</v>
      </c>
      <c r="I2146">
        <v>2</v>
      </c>
      <c r="J2146" t="s">
        <v>3549</v>
      </c>
      <c r="K2146" t="s">
        <v>3550</v>
      </c>
      <c r="L2146" s="2">
        <v>1518.7864</v>
      </c>
      <c r="M2146" s="2">
        <v>2443.35</v>
      </c>
      <c r="N2146" t="s">
        <v>13</v>
      </c>
      <c r="O2146" t="s">
        <v>176</v>
      </c>
      <c r="P2146" t="s">
        <v>175</v>
      </c>
      <c r="Q2146" t="s">
        <v>8474</v>
      </c>
      <c r="R2146" s="1">
        <v>26281</v>
      </c>
      <c r="S2146" t="s">
        <v>16</v>
      </c>
      <c r="T2146" t="s">
        <v>16</v>
      </c>
      <c r="U2146" t="s">
        <v>2974</v>
      </c>
      <c r="V2146">
        <v>60000</v>
      </c>
      <c r="W2146">
        <v>1</v>
      </c>
      <c r="X2146" t="s">
        <v>135</v>
      </c>
      <c r="Y2146" t="s">
        <v>18</v>
      </c>
      <c r="Z2146" t="s">
        <v>19</v>
      </c>
      <c r="AA2146" t="s">
        <v>3582</v>
      </c>
      <c r="AB2146" t="s">
        <v>3582</v>
      </c>
      <c r="AC2146" t="s">
        <v>3579</v>
      </c>
      <c r="AD2146" t="s">
        <v>3479</v>
      </c>
      <c r="AE2146" t="s">
        <v>3475</v>
      </c>
      <c r="AF2146" s="2">
        <v>2443.35</v>
      </c>
      <c r="AG2146" s="2">
        <v>1518.7864</v>
      </c>
      <c r="AH2146" s="2">
        <v>924.56359999999995</v>
      </c>
      <c r="AI2146" s="3">
        <v>0.37839998362903399</v>
      </c>
    </row>
    <row r="2147" spans="1:35">
      <c r="A2147" s="1">
        <v>42223</v>
      </c>
      <c r="B2147" s="1">
        <v>37434</v>
      </c>
      <c r="C2147" t="s">
        <v>5067</v>
      </c>
      <c r="D2147">
        <v>371</v>
      </c>
      <c r="E2147">
        <v>25408</v>
      </c>
      <c r="F2147">
        <v>6</v>
      </c>
      <c r="G2147">
        <v>1</v>
      </c>
      <c r="H2147">
        <v>1</v>
      </c>
      <c r="I2147">
        <v>2</v>
      </c>
      <c r="J2147" t="s">
        <v>3553</v>
      </c>
      <c r="K2147" t="s">
        <v>3554</v>
      </c>
      <c r="L2147" s="2">
        <v>1320.6838</v>
      </c>
      <c r="M2147" s="2">
        <v>2181.5625</v>
      </c>
      <c r="N2147" t="s">
        <v>30</v>
      </c>
      <c r="O2147" t="s">
        <v>1576</v>
      </c>
      <c r="P2147" t="s">
        <v>81</v>
      </c>
      <c r="Q2147" t="s">
        <v>8475</v>
      </c>
      <c r="R2147" s="1">
        <v>25002</v>
      </c>
      <c r="S2147" t="s">
        <v>16</v>
      </c>
      <c r="T2147" t="s">
        <v>29</v>
      </c>
      <c r="U2147" t="s">
        <v>2975</v>
      </c>
      <c r="V2147">
        <v>70000</v>
      </c>
      <c r="W2147">
        <v>2</v>
      </c>
      <c r="X2147" t="s">
        <v>17</v>
      </c>
      <c r="Y2147" t="s">
        <v>53</v>
      </c>
      <c r="Z2147" t="s">
        <v>19</v>
      </c>
      <c r="AA2147" t="s">
        <v>3582</v>
      </c>
      <c r="AB2147" t="s">
        <v>3582</v>
      </c>
      <c r="AC2147" t="s">
        <v>3579</v>
      </c>
      <c r="AD2147" t="s">
        <v>3479</v>
      </c>
      <c r="AE2147" t="s">
        <v>3475</v>
      </c>
      <c r="AF2147" s="2">
        <v>2181.5625</v>
      </c>
      <c r="AG2147" s="2">
        <v>1320.6838</v>
      </c>
      <c r="AH2147" s="2">
        <v>860.87869999999998</v>
      </c>
      <c r="AI2147" s="3">
        <v>0.39461564818793898</v>
      </c>
    </row>
    <row r="2148" spans="1:35">
      <c r="A2148" s="1">
        <v>42022</v>
      </c>
      <c r="B2148" s="1">
        <v>37257</v>
      </c>
      <c r="C2148" t="s">
        <v>3696</v>
      </c>
      <c r="D2148">
        <v>334</v>
      </c>
      <c r="E2148">
        <v>25711</v>
      </c>
      <c r="F2148">
        <v>9</v>
      </c>
      <c r="G2148">
        <v>1</v>
      </c>
      <c r="H2148">
        <v>1</v>
      </c>
      <c r="I2148">
        <v>2</v>
      </c>
      <c r="J2148" t="s">
        <v>3509</v>
      </c>
      <c r="K2148" t="s">
        <v>3510</v>
      </c>
      <c r="L2148" s="2">
        <v>413.1463</v>
      </c>
      <c r="M2148" s="2">
        <v>699.09820000000002</v>
      </c>
      <c r="N2148" t="s">
        <v>13</v>
      </c>
      <c r="O2148" t="s">
        <v>503</v>
      </c>
      <c r="P2148" t="s">
        <v>159</v>
      </c>
      <c r="Q2148" t="s">
        <v>8476</v>
      </c>
      <c r="R2148" s="1">
        <v>29121</v>
      </c>
      <c r="S2148" t="s">
        <v>22</v>
      </c>
      <c r="T2148" t="s">
        <v>16</v>
      </c>
      <c r="U2148" t="s">
        <v>2976</v>
      </c>
      <c r="V2148">
        <v>20000</v>
      </c>
      <c r="W2148">
        <v>0</v>
      </c>
      <c r="X2148" t="s">
        <v>17</v>
      </c>
      <c r="Y2148" t="s">
        <v>60</v>
      </c>
      <c r="Z2148" t="s">
        <v>23</v>
      </c>
      <c r="AA2148" t="s">
        <v>3586</v>
      </c>
      <c r="AB2148" t="s">
        <v>3586</v>
      </c>
      <c r="AC2148" t="s">
        <v>3587</v>
      </c>
      <c r="AD2148" t="s">
        <v>3479</v>
      </c>
      <c r="AE2148" t="s">
        <v>3475</v>
      </c>
      <c r="AF2148" s="2">
        <v>699.09820000000002</v>
      </c>
      <c r="AG2148" s="2">
        <v>413.1463</v>
      </c>
      <c r="AH2148" s="2">
        <v>285.95190000000002</v>
      </c>
      <c r="AI2148" s="3">
        <v>0.409029661355157</v>
      </c>
    </row>
    <row r="2149" spans="1:35">
      <c r="A2149" s="1">
        <v>42034</v>
      </c>
      <c r="B2149" s="1">
        <v>37239</v>
      </c>
      <c r="C2149" t="s">
        <v>3762</v>
      </c>
      <c r="D2149">
        <v>340</v>
      </c>
      <c r="E2149">
        <v>25712</v>
      </c>
      <c r="F2149">
        <v>9</v>
      </c>
      <c r="G2149">
        <v>1</v>
      </c>
      <c r="H2149">
        <v>1</v>
      </c>
      <c r="I2149">
        <v>2</v>
      </c>
      <c r="J2149" t="s">
        <v>3515</v>
      </c>
      <c r="K2149" t="s">
        <v>3516</v>
      </c>
      <c r="L2149" s="2">
        <v>413.1463</v>
      </c>
      <c r="M2149" s="2">
        <v>699.09820000000002</v>
      </c>
      <c r="N2149" t="s">
        <v>13</v>
      </c>
      <c r="O2149" t="s">
        <v>1483</v>
      </c>
      <c r="P2149" t="s">
        <v>190</v>
      </c>
      <c r="Q2149" t="s">
        <v>8477</v>
      </c>
      <c r="R2149" s="1">
        <v>29083</v>
      </c>
      <c r="S2149" t="s">
        <v>22</v>
      </c>
      <c r="T2149" t="s">
        <v>16</v>
      </c>
      <c r="U2149" t="s">
        <v>2977</v>
      </c>
      <c r="V2149">
        <v>20000</v>
      </c>
      <c r="W2149">
        <v>0</v>
      </c>
      <c r="X2149" t="s">
        <v>17</v>
      </c>
      <c r="Y2149" t="s">
        <v>60</v>
      </c>
      <c r="Z2149" t="s">
        <v>19</v>
      </c>
      <c r="AA2149" t="s">
        <v>3586</v>
      </c>
      <c r="AB2149" t="s">
        <v>3586</v>
      </c>
      <c r="AC2149" t="s">
        <v>3587</v>
      </c>
      <c r="AD2149" t="s">
        <v>3479</v>
      </c>
      <c r="AE2149" t="s">
        <v>3475</v>
      </c>
      <c r="AF2149" s="2">
        <v>699.09820000000002</v>
      </c>
      <c r="AG2149" s="2">
        <v>413.1463</v>
      </c>
      <c r="AH2149" s="2">
        <v>285.95190000000002</v>
      </c>
      <c r="AI2149" s="3">
        <v>0.409029661355157</v>
      </c>
    </row>
    <row r="2150" spans="1:35">
      <c r="A2150" s="1">
        <v>42011</v>
      </c>
      <c r="B2150" s="1">
        <v>37204</v>
      </c>
      <c r="C2150" t="s">
        <v>3626</v>
      </c>
      <c r="D2150">
        <v>326</v>
      </c>
      <c r="E2150">
        <v>25713</v>
      </c>
      <c r="F2150">
        <v>9</v>
      </c>
      <c r="G2150">
        <v>1</v>
      </c>
      <c r="H2150">
        <v>1</v>
      </c>
      <c r="I2150">
        <v>2</v>
      </c>
      <c r="J2150" t="s">
        <v>3501</v>
      </c>
      <c r="K2150" t="s">
        <v>3502</v>
      </c>
      <c r="L2150" s="2">
        <v>413.1463</v>
      </c>
      <c r="M2150" s="2">
        <v>699.09820000000002</v>
      </c>
      <c r="N2150" t="s">
        <v>26</v>
      </c>
      <c r="O2150" t="s">
        <v>200</v>
      </c>
      <c r="P2150" t="s">
        <v>270</v>
      </c>
      <c r="Q2150" t="s">
        <v>8478</v>
      </c>
      <c r="R2150" s="1">
        <v>28933</v>
      </c>
      <c r="S2150" t="s">
        <v>22</v>
      </c>
      <c r="T2150" t="s">
        <v>29</v>
      </c>
      <c r="U2150" t="s">
        <v>2978</v>
      </c>
      <c r="V2150">
        <v>20000</v>
      </c>
      <c r="W2150">
        <v>0</v>
      </c>
      <c r="X2150" t="s">
        <v>17</v>
      </c>
      <c r="Y2150" t="s">
        <v>60</v>
      </c>
      <c r="Z2150" t="s">
        <v>19</v>
      </c>
      <c r="AA2150" t="s">
        <v>3586</v>
      </c>
      <c r="AB2150" t="s">
        <v>3586</v>
      </c>
      <c r="AC2150" t="s">
        <v>3587</v>
      </c>
      <c r="AD2150" t="s">
        <v>3479</v>
      </c>
      <c r="AE2150" t="s">
        <v>3475</v>
      </c>
      <c r="AF2150" s="2">
        <v>699.09820000000002</v>
      </c>
      <c r="AG2150" s="2">
        <v>413.1463</v>
      </c>
      <c r="AH2150" s="2">
        <v>285.95190000000002</v>
      </c>
      <c r="AI2150" s="3">
        <v>0.409029661355157</v>
      </c>
    </row>
    <row r="2151" spans="1:35">
      <c r="A2151" s="1">
        <v>42019</v>
      </c>
      <c r="B2151" s="1">
        <v>37183</v>
      </c>
      <c r="C2151" t="s">
        <v>3674</v>
      </c>
      <c r="D2151">
        <v>328</v>
      </c>
      <c r="E2151">
        <v>25714</v>
      </c>
      <c r="F2151">
        <v>9</v>
      </c>
      <c r="G2151">
        <v>1</v>
      </c>
      <c r="H2151">
        <v>1</v>
      </c>
      <c r="I2151">
        <v>2</v>
      </c>
      <c r="J2151" t="s">
        <v>3503</v>
      </c>
      <c r="K2151" t="s">
        <v>3504</v>
      </c>
      <c r="L2151" s="2">
        <v>413.1463</v>
      </c>
      <c r="M2151" s="2">
        <v>699.09820000000002</v>
      </c>
      <c r="N2151" t="s">
        <v>13</v>
      </c>
      <c r="O2151" t="s">
        <v>504</v>
      </c>
      <c r="P2151" t="s">
        <v>217</v>
      </c>
      <c r="Q2151" t="s">
        <v>8479</v>
      </c>
      <c r="R2151" s="1">
        <v>28736</v>
      </c>
      <c r="S2151" t="s">
        <v>22</v>
      </c>
      <c r="T2151" t="s">
        <v>16</v>
      </c>
      <c r="U2151" t="s">
        <v>2979</v>
      </c>
      <c r="V2151">
        <v>20000</v>
      </c>
      <c r="W2151">
        <v>0</v>
      </c>
      <c r="X2151" t="s">
        <v>17</v>
      </c>
      <c r="Y2151" t="s">
        <v>60</v>
      </c>
      <c r="Z2151" t="s">
        <v>19</v>
      </c>
      <c r="AA2151" t="s">
        <v>3586</v>
      </c>
      <c r="AB2151" t="s">
        <v>3586</v>
      </c>
      <c r="AC2151" t="s">
        <v>3587</v>
      </c>
      <c r="AD2151" t="s">
        <v>3479</v>
      </c>
      <c r="AE2151" t="s">
        <v>3475</v>
      </c>
      <c r="AF2151" s="2">
        <v>699.09820000000002</v>
      </c>
      <c r="AG2151" s="2">
        <v>413.1463</v>
      </c>
      <c r="AH2151" s="2">
        <v>285.95190000000002</v>
      </c>
      <c r="AI2151" s="3">
        <v>0.409029661355157</v>
      </c>
    </row>
    <row r="2152" spans="1:35">
      <c r="A2152" s="1">
        <v>42032</v>
      </c>
      <c r="B2152" s="1">
        <v>37250</v>
      </c>
      <c r="C2152" t="s">
        <v>3756</v>
      </c>
      <c r="D2152">
        <v>334</v>
      </c>
      <c r="E2152">
        <v>25715</v>
      </c>
      <c r="F2152">
        <v>9</v>
      </c>
      <c r="G2152">
        <v>1</v>
      </c>
      <c r="H2152">
        <v>1</v>
      </c>
      <c r="I2152">
        <v>2</v>
      </c>
      <c r="J2152" t="s">
        <v>3509</v>
      </c>
      <c r="K2152" t="s">
        <v>3510</v>
      </c>
      <c r="L2152" s="2">
        <v>413.1463</v>
      </c>
      <c r="M2152" s="2">
        <v>699.09820000000002</v>
      </c>
      <c r="N2152" t="s">
        <v>26</v>
      </c>
      <c r="O2152" t="s">
        <v>1703</v>
      </c>
      <c r="P2152" t="s">
        <v>207</v>
      </c>
      <c r="Q2152" t="s">
        <v>8480</v>
      </c>
      <c r="R2152" s="1">
        <v>28692</v>
      </c>
      <c r="S2152" t="s">
        <v>22</v>
      </c>
      <c r="T2152" t="s">
        <v>29</v>
      </c>
      <c r="U2152" t="s">
        <v>2980</v>
      </c>
      <c r="V2152">
        <v>20000</v>
      </c>
      <c r="W2152">
        <v>0</v>
      </c>
      <c r="X2152" t="s">
        <v>17</v>
      </c>
      <c r="Y2152" t="s">
        <v>60</v>
      </c>
      <c r="Z2152" t="s">
        <v>23</v>
      </c>
      <c r="AA2152" t="s">
        <v>3586</v>
      </c>
      <c r="AB2152" t="s">
        <v>3586</v>
      </c>
      <c r="AC2152" t="s">
        <v>3587</v>
      </c>
      <c r="AD2152" t="s">
        <v>3479</v>
      </c>
      <c r="AE2152" t="s">
        <v>3475</v>
      </c>
      <c r="AF2152" s="2">
        <v>699.09820000000002</v>
      </c>
      <c r="AG2152" s="2">
        <v>413.1463</v>
      </c>
      <c r="AH2152" s="2">
        <v>285.95190000000002</v>
      </c>
      <c r="AI2152" s="3">
        <v>0.409029661355157</v>
      </c>
    </row>
    <row r="2153" spans="1:35">
      <c r="A2153" s="1">
        <v>42033</v>
      </c>
      <c r="B2153" s="1">
        <v>37255</v>
      </c>
      <c r="C2153" t="s">
        <v>3759</v>
      </c>
      <c r="D2153">
        <v>334</v>
      </c>
      <c r="E2153">
        <v>25716</v>
      </c>
      <c r="F2153">
        <v>9</v>
      </c>
      <c r="G2153">
        <v>1</v>
      </c>
      <c r="H2153">
        <v>1</v>
      </c>
      <c r="I2153">
        <v>2</v>
      </c>
      <c r="J2153" t="s">
        <v>3509</v>
      </c>
      <c r="K2153" t="s">
        <v>3510</v>
      </c>
      <c r="L2153" s="2">
        <v>413.1463</v>
      </c>
      <c r="M2153" s="2">
        <v>699.09820000000002</v>
      </c>
      <c r="N2153" t="s">
        <v>13</v>
      </c>
      <c r="O2153" t="s">
        <v>196</v>
      </c>
      <c r="P2153" t="s">
        <v>140</v>
      </c>
      <c r="Q2153" t="s">
        <v>8481</v>
      </c>
      <c r="R2153" s="1">
        <v>28819</v>
      </c>
      <c r="S2153" t="s">
        <v>22</v>
      </c>
      <c r="T2153" t="s">
        <v>16</v>
      </c>
      <c r="U2153" t="s">
        <v>2981</v>
      </c>
      <c r="V2153">
        <v>20000</v>
      </c>
      <c r="W2153">
        <v>0</v>
      </c>
      <c r="X2153" t="s">
        <v>17</v>
      </c>
      <c r="Y2153" t="s">
        <v>60</v>
      </c>
      <c r="Z2153" t="s">
        <v>23</v>
      </c>
      <c r="AA2153" t="s">
        <v>3586</v>
      </c>
      <c r="AB2153" t="s">
        <v>3586</v>
      </c>
      <c r="AC2153" t="s">
        <v>3587</v>
      </c>
      <c r="AD2153" t="s">
        <v>3479</v>
      </c>
      <c r="AE2153" t="s">
        <v>3475</v>
      </c>
      <c r="AF2153" s="2">
        <v>699.09820000000002</v>
      </c>
      <c r="AG2153" s="2">
        <v>413.1463</v>
      </c>
      <c r="AH2153" s="2">
        <v>285.95190000000002</v>
      </c>
      <c r="AI2153" s="3">
        <v>0.409029661355157</v>
      </c>
    </row>
    <row r="2154" spans="1:35">
      <c r="A2154" s="1">
        <v>42022</v>
      </c>
      <c r="B2154" s="1">
        <v>37165</v>
      </c>
      <c r="C2154" t="s">
        <v>3695</v>
      </c>
      <c r="D2154">
        <v>320</v>
      </c>
      <c r="E2154">
        <v>25717</v>
      </c>
      <c r="F2154">
        <v>9</v>
      </c>
      <c r="G2154">
        <v>1</v>
      </c>
      <c r="H2154">
        <v>1</v>
      </c>
      <c r="I2154">
        <v>2</v>
      </c>
      <c r="J2154" t="s">
        <v>3495</v>
      </c>
      <c r="K2154" t="s">
        <v>3496</v>
      </c>
      <c r="L2154" s="2">
        <v>413.1463</v>
      </c>
      <c r="M2154" s="2">
        <v>699.09820000000002</v>
      </c>
      <c r="N2154" t="s">
        <v>13</v>
      </c>
      <c r="O2154" t="s">
        <v>267</v>
      </c>
      <c r="P2154" t="s">
        <v>929</v>
      </c>
      <c r="Q2154" t="s">
        <v>8482</v>
      </c>
      <c r="R2154" s="1">
        <v>28567</v>
      </c>
      <c r="S2154" t="s">
        <v>16</v>
      </c>
      <c r="T2154" t="s">
        <v>16</v>
      </c>
      <c r="U2154" t="s">
        <v>2982</v>
      </c>
      <c r="V2154">
        <v>20000</v>
      </c>
      <c r="W2154">
        <v>0</v>
      </c>
      <c r="X2154" t="s">
        <v>17</v>
      </c>
      <c r="Y2154" t="s">
        <v>60</v>
      </c>
      <c r="Z2154" t="s">
        <v>19</v>
      </c>
      <c r="AA2154" t="s">
        <v>3586</v>
      </c>
      <c r="AB2154" t="s">
        <v>3586</v>
      </c>
      <c r="AC2154" t="s">
        <v>3587</v>
      </c>
      <c r="AD2154" t="s">
        <v>3479</v>
      </c>
      <c r="AE2154" t="s">
        <v>3475</v>
      </c>
      <c r="AF2154" s="2">
        <v>699.09820000000002</v>
      </c>
      <c r="AG2154" s="2">
        <v>413.1463</v>
      </c>
      <c r="AH2154" s="2">
        <v>285.95190000000002</v>
      </c>
      <c r="AI2154" s="3">
        <v>0.409029661355157</v>
      </c>
    </row>
    <row r="2155" spans="1:35">
      <c r="A2155" s="1">
        <v>42051</v>
      </c>
      <c r="B2155" s="1">
        <v>37287</v>
      </c>
      <c r="C2155" t="s">
        <v>3877</v>
      </c>
      <c r="D2155">
        <v>324</v>
      </c>
      <c r="E2155">
        <v>25718</v>
      </c>
      <c r="F2155">
        <v>9</v>
      </c>
      <c r="G2155">
        <v>1</v>
      </c>
      <c r="H2155">
        <v>1</v>
      </c>
      <c r="I2155">
        <v>2</v>
      </c>
      <c r="J2155" t="s">
        <v>3499</v>
      </c>
      <c r="K2155" t="s">
        <v>3500</v>
      </c>
      <c r="L2155" s="2">
        <v>413.1463</v>
      </c>
      <c r="M2155" s="2">
        <v>699.09820000000002</v>
      </c>
      <c r="N2155" t="s">
        <v>13</v>
      </c>
      <c r="O2155" t="s">
        <v>430</v>
      </c>
      <c r="P2155" t="s">
        <v>290</v>
      </c>
      <c r="Q2155" t="s">
        <v>8483</v>
      </c>
      <c r="R2155" s="1">
        <v>28361</v>
      </c>
      <c r="S2155" t="s">
        <v>22</v>
      </c>
      <c r="T2155" t="s">
        <v>16</v>
      </c>
      <c r="U2155" t="s">
        <v>2983</v>
      </c>
      <c r="V2155">
        <v>20000</v>
      </c>
      <c r="W2155">
        <v>0</v>
      </c>
      <c r="X2155" t="s">
        <v>52</v>
      </c>
      <c r="Y2155" t="s">
        <v>444</v>
      </c>
      <c r="Z2155" t="s">
        <v>23</v>
      </c>
      <c r="AA2155" t="s">
        <v>3586</v>
      </c>
      <c r="AB2155" t="s">
        <v>3586</v>
      </c>
      <c r="AC2155" t="s">
        <v>3587</v>
      </c>
      <c r="AD2155" t="s">
        <v>3479</v>
      </c>
      <c r="AE2155" t="s">
        <v>3475</v>
      </c>
      <c r="AF2155" s="2">
        <v>699.09820000000002</v>
      </c>
      <c r="AG2155" s="2">
        <v>413.1463</v>
      </c>
      <c r="AH2155" s="2">
        <v>285.95190000000002</v>
      </c>
      <c r="AI2155" s="3">
        <v>0.409029661355157</v>
      </c>
    </row>
    <row r="2156" spans="1:35">
      <c r="A2156" s="1">
        <v>42055</v>
      </c>
      <c r="B2156" s="1">
        <v>37236</v>
      </c>
      <c r="C2156" t="s">
        <v>3891</v>
      </c>
      <c r="D2156">
        <v>342</v>
      </c>
      <c r="E2156">
        <v>25819</v>
      </c>
      <c r="F2156">
        <v>9</v>
      </c>
      <c r="G2156">
        <v>1</v>
      </c>
      <c r="H2156">
        <v>1</v>
      </c>
      <c r="I2156">
        <v>2</v>
      </c>
      <c r="J2156" t="s">
        <v>3517</v>
      </c>
      <c r="K2156" t="s">
        <v>3518</v>
      </c>
      <c r="L2156" s="2">
        <v>413.1463</v>
      </c>
      <c r="M2156" s="2">
        <v>699.09820000000002</v>
      </c>
      <c r="N2156" t="s">
        <v>13</v>
      </c>
      <c r="O2156" t="s">
        <v>754</v>
      </c>
      <c r="P2156" t="s">
        <v>252</v>
      </c>
      <c r="Q2156" t="s">
        <v>8484</v>
      </c>
      <c r="R2156" s="1">
        <v>26894</v>
      </c>
      <c r="S2156" t="s">
        <v>16</v>
      </c>
      <c r="T2156" t="s">
        <v>16</v>
      </c>
      <c r="U2156" t="s">
        <v>2984</v>
      </c>
      <c r="V2156">
        <v>90000</v>
      </c>
      <c r="W2156">
        <v>0</v>
      </c>
      <c r="X2156" t="s">
        <v>17</v>
      </c>
      <c r="Y2156" t="s">
        <v>18</v>
      </c>
      <c r="Z2156" t="s">
        <v>23</v>
      </c>
      <c r="AA2156" t="s">
        <v>3586</v>
      </c>
      <c r="AB2156" t="s">
        <v>3586</v>
      </c>
      <c r="AC2156" t="s">
        <v>3587</v>
      </c>
      <c r="AD2156" t="s">
        <v>3479</v>
      </c>
      <c r="AE2156" t="s">
        <v>3475</v>
      </c>
      <c r="AF2156" s="2">
        <v>699.09820000000002</v>
      </c>
      <c r="AG2156" s="2">
        <v>413.1463</v>
      </c>
      <c r="AH2156" s="2">
        <v>285.95190000000002</v>
      </c>
      <c r="AI2156" s="3">
        <v>0.409029661355157</v>
      </c>
    </row>
    <row r="2157" spans="1:35">
      <c r="A2157" s="1">
        <v>42060</v>
      </c>
      <c r="B2157" s="1">
        <v>37215</v>
      </c>
      <c r="C2157" t="s">
        <v>3922</v>
      </c>
      <c r="D2157">
        <v>342</v>
      </c>
      <c r="E2157">
        <v>25821</v>
      </c>
      <c r="F2157">
        <v>9</v>
      </c>
      <c r="G2157">
        <v>1</v>
      </c>
      <c r="H2157">
        <v>1</v>
      </c>
      <c r="I2157">
        <v>2</v>
      </c>
      <c r="J2157" t="s">
        <v>3517</v>
      </c>
      <c r="K2157" t="s">
        <v>3518</v>
      </c>
      <c r="L2157" s="2">
        <v>413.1463</v>
      </c>
      <c r="M2157" s="2">
        <v>699.09820000000002</v>
      </c>
      <c r="N2157" t="s">
        <v>26</v>
      </c>
      <c r="O2157" t="s">
        <v>1138</v>
      </c>
      <c r="P2157" t="s">
        <v>140</v>
      </c>
      <c r="Q2157" t="s">
        <v>8485</v>
      </c>
      <c r="R2157" s="1">
        <v>26861</v>
      </c>
      <c r="S2157" t="s">
        <v>22</v>
      </c>
      <c r="T2157" t="s">
        <v>29</v>
      </c>
      <c r="U2157" t="s">
        <v>2985</v>
      </c>
      <c r="V2157">
        <v>110000</v>
      </c>
      <c r="W2157">
        <v>0</v>
      </c>
      <c r="X2157" t="s">
        <v>52</v>
      </c>
      <c r="Y2157" t="s">
        <v>45</v>
      </c>
      <c r="Z2157" t="s">
        <v>19</v>
      </c>
      <c r="AA2157" t="s">
        <v>3586</v>
      </c>
      <c r="AB2157" t="s">
        <v>3586</v>
      </c>
      <c r="AC2157" t="s">
        <v>3587</v>
      </c>
      <c r="AD2157" t="s">
        <v>3479</v>
      </c>
      <c r="AE2157" t="s">
        <v>3475</v>
      </c>
      <c r="AF2157" s="2">
        <v>699.09820000000002</v>
      </c>
      <c r="AG2157" s="2">
        <v>413.1463</v>
      </c>
      <c r="AH2157" s="2">
        <v>285.95190000000002</v>
      </c>
      <c r="AI2157" s="3">
        <v>0.409029661355157</v>
      </c>
    </row>
    <row r="2158" spans="1:35">
      <c r="A2158" s="1">
        <v>42049</v>
      </c>
      <c r="B2158" s="1">
        <v>37205</v>
      </c>
      <c r="C2158" t="s">
        <v>3862</v>
      </c>
      <c r="D2158">
        <v>326</v>
      </c>
      <c r="E2158">
        <v>25823</v>
      </c>
      <c r="F2158">
        <v>9</v>
      </c>
      <c r="G2158">
        <v>1</v>
      </c>
      <c r="H2158">
        <v>1</v>
      </c>
      <c r="I2158">
        <v>2</v>
      </c>
      <c r="J2158" t="s">
        <v>3501</v>
      </c>
      <c r="K2158" t="s">
        <v>3502</v>
      </c>
      <c r="L2158" s="2">
        <v>413.1463</v>
      </c>
      <c r="M2158" s="2">
        <v>699.09820000000002</v>
      </c>
      <c r="N2158" t="s">
        <v>13</v>
      </c>
      <c r="O2158" t="s">
        <v>92</v>
      </c>
      <c r="P2158" t="s">
        <v>72</v>
      </c>
      <c r="Q2158" t="s">
        <v>8486</v>
      </c>
      <c r="R2158" s="1">
        <v>26871</v>
      </c>
      <c r="S2158" t="s">
        <v>22</v>
      </c>
      <c r="T2158" t="s">
        <v>16</v>
      </c>
      <c r="U2158" t="s">
        <v>2986</v>
      </c>
      <c r="V2158">
        <v>110000</v>
      </c>
      <c r="W2158">
        <v>0</v>
      </c>
      <c r="X2158" t="s">
        <v>52</v>
      </c>
      <c r="Y2158" t="s">
        <v>45</v>
      </c>
      <c r="Z2158" t="s">
        <v>19</v>
      </c>
      <c r="AA2158" t="s">
        <v>3586</v>
      </c>
      <c r="AB2158" t="s">
        <v>3586</v>
      </c>
      <c r="AC2158" t="s">
        <v>3587</v>
      </c>
      <c r="AD2158" t="s">
        <v>3479</v>
      </c>
      <c r="AE2158" t="s">
        <v>3475</v>
      </c>
      <c r="AF2158" s="2">
        <v>699.09820000000002</v>
      </c>
      <c r="AG2158" s="2">
        <v>413.1463</v>
      </c>
      <c r="AH2158" s="2">
        <v>285.95190000000002</v>
      </c>
      <c r="AI2158" s="3">
        <v>0.409029661355157</v>
      </c>
    </row>
    <row r="2159" spans="1:35">
      <c r="A2159" s="1">
        <v>42075</v>
      </c>
      <c r="B2159" s="1">
        <v>37208</v>
      </c>
      <c r="C2159" t="s">
        <v>4014</v>
      </c>
      <c r="D2159">
        <v>334</v>
      </c>
      <c r="E2159">
        <v>25826</v>
      </c>
      <c r="F2159">
        <v>9</v>
      </c>
      <c r="G2159">
        <v>1</v>
      </c>
      <c r="H2159">
        <v>1</v>
      </c>
      <c r="I2159">
        <v>2</v>
      </c>
      <c r="J2159" t="s">
        <v>3509</v>
      </c>
      <c r="K2159" t="s">
        <v>3510</v>
      </c>
      <c r="L2159" s="2">
        <v>413.1463</v>
      </c>
      <c r="M2159" s="2">
        <v>699.09820000000002</v>
      </c>
      <c r="N2159" t="s">
        <v>13</v>
      </c>
      <c r="O2159" t="s">
        <v>795</v>
      </c>
      <c r="P2159" t="s">
        <v>1169</v>
      </c>
      <c r="Q2159" t="s">
        <v>8487</v>
      </c>
      <c r="R2159" s="1">
        <v>26399</v>
      </c>
      <c r="S2159" t="s">
        <v>16</v>
      </c>
      <c r="T2159" t="s">
        <v>16</v>
      </c>
      <c r="U2159" t="s">
        <v>2987</v>
      </c>
      <c r="V2159">
        <v>110000</v>
      </c>
      <c r="W2159">
        <v>0</v>
      </c>
      <c r="X2159" t="s">
        <v>52</v>
      </c>
      <c r="Y2159" t="s">
        <v>45</v>
      </c>
      <c r="Z2159" t="s">
        <v>23</v>
      </c>
      <c r="AA2159" t="s">
        <v>3586</v>
      </c>
      <c r="AB2159" t="s">
        <v>3586</v>
      </c>
      <c r="AC2159" t="s">
        <v>3587</v>
      </c>
      <c r="AD2159" t="s">
        <v>3479</v>
      </c>
      <c r="AE2159" t="s">
        <v>3475</v>
      </c>
      <c r="AF2159" s="2">
        <v>699.09820000000002</v>
      </c>
      <c r="AG2159" s="2">
        <v>413.1463</v>
      </c>
      <c r="AH2159" s="2">
        <v>285.95190000000002</v>
      </c>
      <c r="AI2159" s="3">
        <v>0.409029661355157</v>
      </c>
    </row>
    <row r="2160" spans="1:35">
      <c r="A2160" s="1">
        <v>42076</v>
      </c>
      <c r="B2160" s="1">
        <v>37288</v>
      </c>
      <c r="C2160" t="s">
        <v>4020</v>
      </c>
      <c r="D2160">
        <v>342</v>
      </c>
      <c r="E2160">
        <v>25827</v>
      </c>
      <c r="F2160">
        <v>9</v>
      </c>
      <c r="G2160">
        <v>1</v>
      </c>
      <c r="H2160">
        <v>1</v>
      </c>
      <c r="I2160">
        <v>2</v>
      </c>
      <c r="J2160" t="s">
        <v>3517</v>
      </c>
      <c r="K2160" t="s">
        <v>3518</v>
      </c>
      <c r="L2160" s="2">
        <v>413.1463</v>
      </c>
      <c r="M2160" s="2">
        <v>699.09820000000002</v>
      </c>
      <c r="N2160" t="s">
        <v>26</v>
      </c>
      <c r="O2160" t="s">
        <v>265</v>
      </c>
      <c r="P2160" t="s">
        <v>115</v>
      </c>
      <c r="Q2160" t="s">
        <v>8488</v>
      </c>
      <c r="R2160" s="1">
        <v>25994</v>
      </c>
      <c r="S2160" t="s">
        <v>22</v>
      </c>
      <c r="T2160" t="s">
        <v>29</v>
      </c>
      <c r="U2160" t="s">
        <v>2988</v>
      </c>
      <c r="V2160">
        <v>100000</v>
      </c>
      <c r="W2160">
        <v>0</v>
      </c>
      <c r="X2160" t="s">
        <v>57</v>
      </c>
      <c r="Y2160" t="s">
        <v>45</v>
      </c>
      <c r="Z2160" t="s">
        <v>19</v>
      </c>
      <c r="AA2160" t="s">
        <v>3586</v>
      </c>
      <c r="AB2160" t="s">
        <v>3586</v>
      </c>
      <c r="AC2160" t="s">
        <v>3587</v>
      </c>
      <c r="AD2160" t="s">
        <v>3479</v>
      </c>
      <c r="AE2160" t="s">
        <v>3475</v>
      </c>
      <c r="AF2160" s="2">
        <v>699.09820000000002</v>
      </c>
      <c r="AG2160" s="2">
        <v>413.1463</v>
      </c>
      <c r="AH2160" s="2">
        <v>285.95190000000002</v>
      </c>
      <c r="AI2160" s="3">
        <v>0.409029661355157</v>
      </c>
    </row>
    <row r="2161" spans="1:35">
      <c r="A2161" s="1">
        <v>42064</v>
      </c>
      <c r="B2161" s="1">
        <v>37264</v>
      </c>
      <c r="C2161" t="s">
        <v>3947</v>
      </c>
      <c r="D2161">
        <v>336</v>
      </c>
      <c r="E2161">
        <v>25828</v>
      </c>
      <c r="F2161">
        <v>9</v>
      </c>
      <c r="G2161">
        <v>1</v>
      </c>
      <c r="H2161">
        <v>1</v>
      </c>
      <c r="I2161">
        <v>2</v>
      </c>
      <c r="J2161" t="s">
        <v>3511</v>
      </c>
      <c r="K2161" t="s">
        <v>3512</v>
      </c>
      <c r="L2161" s="2">
        <v>413.1463</v>
      </c>
      <c r="M2161" s="2">
        <v>699.09820000000002</v>
      </c>
      <c r="N2161" t="s">
        <v>13</v>
      </c>
      <c r="O2161" t="s">
        <v>1589</v>
      </c>
      <c r="P2161" t="s">
        <v>658</v>
      </c>
      <c r="Q2161" t="s">
        <v>8489</v>
      </c>
      <c r="R2161" s="1">
        <v>25814</v>
      </c>
      <c r="S2161" t="s">
        <v>16</v>
      </c>
      <c r="T2161" t="s">
        <v>16</v>
      </c>
      <c r="U2161" t="s">
        <v>2989</v>
      </c>
      <c r="V2161">
        <v>100000</v>
      </c>
      <c r="W2161">
        <v>0</v>
      </c>
      <c r="X2161" t="s">
        <v>77</v>
      </c>
      <c r="Y2161" t="s">
        <v>18</v>
      </c>
      <c r="Z2161" t="s">
        <v>19</v>
      </c>
      <c r="AA2161" t="s">
        <v>3586</v>
      </c>
      <c r="AB2161" t="s">
        <v>3586</v>
      </c>
      <c r="AC2161" t="s">
        <v>3587</v>
      </c>
      <c r="AD2161" t="s">
        <v>3479</v>
      </c>
      <c r="AE2161" t="s">
        <v>3475</v>
      </c>
      <c r="AF2161" s="2">
        <v>699.09820000000002</v>
      </c>
      <c r="AG2161" s="2">
        <v>413.1463</v>
      </c>
      <c r="AH2161" s="2">
        <v>285.95190000000002</v>
      </c>
      <c r="AI2161" s="3">
        <v>0.409029661355157</v>
      </c>
    </row>
    <row r="2162" spans="1:35">
      <c r="A2162" s="1">
        <v>42078</v>
      </c>
      <c r="B2162" s="1">
        <v>37315</v>
      </c>
      <c r="C2162" t="s">
        <v>4039</v>
      </c>
      <c r="D2162">
        <v>340</v>
      </c>
      <c r="E2162">
        <v>25829</v>
      </c>
      <c r="F2162">
        <v>9</v>
      </c>
      <c r="G2162">
        <v>1</v>
      </c>
      <c r="H2162">
        <v>1</v>
      </c>
      <c r="I2162">
        <v>2</v>
      </c>
      <c r="J2162" t="s">
        <v>3515</v>
      </c>
      <c r="K2162" t="s">
        <v>3516</v>
      </c>
      <c r="L2162" s="2">
        <v>413.1463</v>
      </c>
      <c r="M2162" s="2">
        <v>699.09820000000002</v>
      </c>
      <c r="N2162" t="s">
        <v>26</v>
      </c>
      <c r="O2162" t="s">
        <v>1179</v>
      </c>
      <c r="P2162" t="s">
        <v>363</v>
      </c>
      <c r="Q2162" t="s">
        <v>8490</v>
      </c>
      <c r="R2162" s="1">
        <v>25643</v>
      </c>
      <c r="S2162" t="s">
        <v>16</v>
      </c>
      <c r="T2162" t="s">
        <v>29</v>
      </c>
      <c r="U2162" t="s">
        <v>2990</v>
      </c>
      <c r="V2162">
        <v>110000</v>
      </c>
      <c r="W2162">
        <v>0</v>
      </c>
      <c r="X2162" t="s">
        <v>57</v>
      </c>
      <c r="Y2162" t="s">
        <v>45</v>
      </c>
      <c r="Z2162" t="s">
        <v>19</v>
      </c>
      <c r="AA2162" t="s">
        <v>3586</v>
      </c>
      <c r="AB2162" t="s">
        <v>3586</v>
      </c>
      <c r="AC2162" t="s">
        <v>3587</v>
      </c>
      <c r="AD2162" t="s">
        <v>3479</v>
      </c>
      <c r="AE2162" t="s">
        <v>3475</v>
      </c>
      <c r="AF2162" s="2">
        <v>699.09820000000002</v>
      </c>
      <c r="AG2162" s="2">
        <v>413.1463</v>
      </c>
      <c r="AH2162" s="2">
        <v>285.95190000000002</v>
      </c>
      <c r="AI2162" s="3">
        <v>0.409029661355157</v>
      </c>
    </row>
    <row r="2163" spans="1:35">
      <c r="A2163" s="1">
        <v>42067</v>
      </c>
      <c r="B2163" s="1">
        <v>37252</v>
      </c>
      <c r="C2163" t="s">
        <v>3968</v>
      </c>
      <c r="D2163">
        <v>330</v>
      </c>
      <c r="E2163">
        <v>25830</v>
      </c>
      <c r="F2163">
        <v>9</v>
      </c>
      <c r="G2163">
        <v>1</v>
      </c>
      <c r="H2163">
        <v>1</v>
      </c>
      <c r="I2163">
        <v>2</v>
      </c>
      <c r="J2163" t="s">
        <v>3505</v>
      </c>
      <c r="K2163" t="s">
        <v>3506</v>
      </c>
      <c r="L2163" s="2">
        <v>413.1463</v>
      </c>
      <c r="M2163" s="2">
        <v>699.09820000000002</v>
      </c>
      <c r="N2163" t="s">
        <v>13</v>
      </c>
      <c r="O2163" t="s">
        <v>552</v>
      </c>
      <c r="P2163" t="s">
        <v>93</v>
      </c>
      <c r="Q2163" t="s">
        <v>8491</v>
      </c>
      <c r="R2163" s="1">
        <v>25628</v>
      </c>
      <c r="S2163" t="s">
        <v>16</v>
      </c>
      <c r="T2163" t="s">
        <v>16</v>
      </c>
      <c r="U2163" t="s">
        <v>2991</v>
      </c>
      <c r="V2163">
        <v>120000</v>
      </c>
      <c r="W2163">
        <v>0</v>
      </c>
      <c r="X2163" t="s">
        <v>77</v>
      </c>
      <c r="Y2163" t="s">
        <v>18</v>
      </c>
      <c r="Z2163" t="s">
        <v>19</v>
      </c>
      <c r="AA2163" t="s">
        <v>3586</v>
      </c>
      <c r="AB2163" t="s">
        <v>3586</v>
      </c>
      <c r="AC2163" t="s">
        <v>3587</v>
      </c>
      <c r="AD2163" t="s">
        <v>3479</v>
      </c>
      <c r="AE2163" t="s">
        <v>3475</v>
      </c>
      <c r="AF2163" s="2">
        <v>699.09820000000002</v>
      </c>
      <c r="AG2163" s="2">
        <v>413.1463</v>
      </c>
      <c r="AH2163" s="2">
        <v>285.95190000000002</v>
      </c>
      <c r="AI2163" s="3">
        <v>0.409029661355157</v>
      </c>
    </row>
    <row r="2164" spans="1:35">
      <c r="A2164" s="1">
        <v>42065</v>
      </c>
      <c r="B2164" s="1">
        <v>37297</v>
      </c>
      <c r="C2164" t="s">
        <v>3955</v>
      </c>
      <c r="D2164">
        <v>326</v>
      </c>
      <c r="E2164">
        <v>25831</v>
      </c>
      <c r="F2164">
        <v>9</v>
      </c>
      <c r="G2164">
        <v>1</v>
      </c>
      <c r="H2164">
        <v>1</v>
      </c>
      <c r="I2164">
        <v>2</v>
      </c>
      <c r="J2164" t="s">
        <v>3501</v>
      </c>
      <c r="K2164" t="s">
        <v>3502</v>
      </c>
      <c r="L2164" s="2">
        <v>413.1463</v>
      </c>
      <c r="M2164" s="2">
        <v>699.09820000000002</v>
      </c>
      <c r="N2164" t="s">
        <v>13</v>
      </c>
      <c r="O2164" t="s">
        <v>651</v>
      </c>
      <c r="P2164" t="s">
        <v>25</v>
      </c>
      <c r="Q2164" t="s">
        <v>8492</v>
      </c>
      <c r="R2164" s="1">
        <v>26109</v>
      </c>
      <c r="S2164" t="s">
        <v>16</v>
      </c>
      <c r="T2164" t="s">
        <v>16</v>
      </c>
      <c r="U2164" t="s">
        <v>2992</v>
      </c>
      <c r="V2164">
        <v>110000</v>
      </c>
      <c r="W2164">
        <v>0</v>
      </c>
      <c r="X2164" t="s">
        <v>57</v>
      </c>
      <c r="Y2164" t="s">
        <v>45</v>
      </c>
      <c r="Z2164" t="s">
        <v>19</v>
      </c>
      <c r="AA2164" t="s">
        <v>3586</v>
      </c>
      <c r="AB2164" t="s">
        <v>3586</v>
      </c>
      <c r="AC2164" t="s">
        <v>3587</v>
      </c>
      <c r="AD2164" t="s">
        <v>3479</v>
      </c>
      <c r="AE2164" t="s">
        <v>3475</v>
      </c>
      <c r="AF2164" s="2">
        <v>699.09820000000002</v>
      </c>
      <c r="AG2164" s="2">
        <v>413.1463</v>
      </c>
      <c r="AH2164" s="2">
        <v>285.95190000000002</v>
      </c>
      <c r="AI2164" s="3">
        <v>0.409029661355157</v>
      </c>
    </row>
    <row r="2165" spans="1:35">
      <c r="A2165" s="1">
        <v>42095</v>
      </c>
      <c r="B2165" s="1">
        <v>37265</v>
      </c>
      <c r="C2165" t="s">
        <v>4144</v>
      </c>
      <c r="D2165">
        <v>340</v>
      </c>
      <c r="E2165">
        <v>25832</v>
      </c>
      <c r="F2165">
        <v>9</v>
      </c>
      <c r="G2165">
        <v>1</v>
      </c>
      <c r="H2165">
        <v>1</v>
      </c>
      <c r="I2165">
        <v>2</v>
      </c>
      <c r="J2165" t="s">
        <v>3515</v>
      </c>
      <c r="K2165" t="s">
        <v>3516</v>
      </c>
      <c r="L2165" s="2">
        <v>413.1463</v>
      </c>
      <c r="M2165" s="2">
        <v>699.09820000000002</v>
      </c>
      <c r="N2165" t="s">
        <v>13</v>
      </c>
      <c r="O2165" t="s">
        <v>455</v>
      </c>
      <c r="P2165" t="s">
        <v>282</v>
      </c>
      <c r="Q2165" t="s">
        <v>8493</v>
      </c>
      <c r="R2165" s="1">
        <v>26026</v>
      </c>
      <c r="S2165" t="s">
        <v>22</v>
      </c>
      <c r="T2165" t="s">
        <v>16</v>
      </c>
      <c r="U2165" t="s">
        <v>2993</v>
      </c>
      <c r="V2165">
        <v>110000</v>
      </c>
      <c r="W2165">
        <v>0</v>
      </c>
      <c r="X2165" t="s">
        <v>77</v>
      </c>
      <c r="Y2165" t="s">
        <v>18</v>
      </c>
      <c r="Z2165" t="s">
        <v>23</v>
      </c>
      <c r="AA2165" t="s">
        <v>3586</v>
      </c>
      <c r="AB2165" t="s">
        <v>3586</v>
      </c>
      <c r="AC2165" t="s">
        <v>3587</v>
      </c>
      <c r="AD2165" t="s">
        <v>3479</v>
      </c>
      <c r="AE2165" t="s">
        <v>3475</v>
      </c>
      <c r="AF2165" s="2">
        <v>699.09820000000002</v>
      </c>
      <c r="AG2165" s="2">
        <v>413.1463</v>
      </c>
      <c r="AH2165" s="2">
        <v>285.95190000000002</v>
      </c>
      <c r="AI2165" s="3">
        <v>0.409029661355157</v>
      </c>
    </row>
    <row r="2166" spans="1:35">
      <c r="A2166" s="1">
        <v>42228</v>
      </c>
      <c r="B2166" s="1">
        <v>37431</v>
      </c>
      <c r="C2166" t="s">
        <v>5102</v>
      </c>
      <c r="D2166">
        <v>369</v>
      </c>
      <c r="E2166">
        <v>25864</v>
      </c>
      <c r="F2166">
        <v>6</v>
      </c>
      <c r="G2166">
        <v>1</v>
      </c>
      <c r="H2166">
        <v>1</v>
      </c>
      <c r="I2166">
        <v>2</v>
      </c>
      <c r="J2166" t="s">
        <v>3549</v>
      </c>
      <c r="K2166" t="s">
        <v>3550</v>
      </c>
      <c r="L2166" s="2">
        <v>1518.7864</v>
      </c>
      <c r="M2166" s="2">
        <v>2443.35</v>
      </c>
      <c r="N2166" t="s">
        <v>30</v>
      </c>
      <c r="O2166" t="s">
        <v>2994</v>
      </c>
      <c r="P2166" t="s">
        <v>2995</v>
      </c>
      <c r="Q2166" t="s">
        <v>8494</v>
      </c>
      <c r="R2166" s="1">
        <v>16960</v>
      </c>
      <c r="S2166" t="s">
        <v>16</v>
      </c>
      <c r="T2166" t="s">
        <v>29</v>
      </c>
      <c r="U2166" t="s">
        <v>2996</v>
      </c>
      <c r="V2166">
        <v>40000</v>
      </c>
      <c r="W2166">
        <v>5</v>
      </c>
      <c r="X2166" t="s">
        <v>57</v>
      </c>
      <c r="Y2166" t="s">
        <v>18</v>
      </c>
      <c r="Z2166" t="s">
        <v>19</v>
      </c>
      <c r="AA2166" t="s">
        <v>3582</v>
      </c>
      <c r="AB2166" t="s">
        <v>3582</v>
      </c>
      <c r="AC2166" t="s">
        <v>3579</v>
      </c>
      <c r="AD2166" t="s">
        <v>3479</v>
      </c>
      <c r="AE2166" t="s">
        <v>3475</v>
      </c>
      <c r="AF2166" s="2">
        <v>2443.35</v>
      </c>
      <c r="AG2166" s="2">
        <v>1518.7864</v>
      </c>
      <c r="AH2166" s="2">
        <v>924.56359999999995</v>
      </c>
      <c r="AI2166" s="3">
        <v>0.37839998362903399</v>
      </c>
    </row>
    <row r="2167" spans="1:35">
      <c r="A2167" s="1">
        <v>42235</v>
      </c>
      <c r="B2167" s="1">
        <v>37415</v>
      </c>
      <c r="C2167" t="s">
        <v>5163</v>
      </c>
      <c r="D2167">
        <v>370</v>
      </c>
      <c r="E2167">
        <v>25875</v>
      </c>
      <c r="F2167">
        <v>6</v>
      </c>
      <c r="G2167">
        <v>1</v>
      </c>
      <c r="H2167">
        <v>1</v>
      </c>
      <c r="I2167">
        <v>2</v>
      </c>
      <c r="J2167" t="s">
        <v>3551</v>
      </c>
      <c r="K2167" t="s">
        <v>3552</v>
      </c>
      <c r="L2167" s="2">
        <v>1518.7864</v>
      </c>
      <c r="M2167" s="2">
        <v>2443.35</v>
      </c>
      <c r="N2167" t="s">
        <v>30</v>
      </c>
      <c r="O2167" t="s">
        <v>287</v>
      </c>
      <c r="P2167" t="s">
        <v>127</v>
      </c>
      <c r="Q2167" t="s">
        <v>8495</v>
      </c>
      <c r="R2167" s="1">
        <v>17696</v>
      </c>
      <c r="S2167" t="s">
        <v>16</v>
      </c>
      <c r="T2167" t="s">
        <v>29</v>
      </c>
      <c r="U2167" t="s">
        <v>2997</v>
      </c>
      <c r="V2167">
        <v>40000</v>
      </c>
      <c r="W2167">
        <v>2</v>
      </c>
      <c r="X2167" t="s">
        <v>57</v>
      </c>
      <c r="Y2167" t="s">
        <v>18</v>
      </c>
      <c r="Z2167" t="s">
        <v>23</v>
      </c>
      <c r="AA2167" t="s">
        <v>3582</v>
      </c>
      <c r="AB2167" t="s">
        <v>3582</v>
      </c>
      <c r="AC2167" t="s">
        <v>3579</v>
      </c>
      <c r="AD2167" t="s">
        <v>3479</v>
      </c>
      <c r="AE2167" t="s">
        <v>3475</v>
      </c>
      <c r="AF2167" s="2">
        <v>2443.35</v>
      </c>
      <c r="AG2167" s="2">
        <v>1518.7864</v>
      </c>
      <c r="AH2167" s="2">
        <v>924.56359999999995</v>
      </c>
      <c r="AI2167" s="3">
        <v>0.37839998362903399</v>
      </c>
    </row>
    <row r="2168" spans="1:35">
      <c r="A2168" s="1">
        <v>42233</v>
      </c>
      <c r="B2168" s="1">
        <v>37407</v>
      </c>
      <c r="C2168" t="s">
        <v>5151</v>
      </c>
      <c r="D2168">
        <v>370</v>
      </c>
      <c r="E2168">
        <v>25883</v>
      </c>
      <c r="F2168">
        <v>6</v>
      </c>
      <c r="G2168">
        <v>1</v>
      </c>
      <c r="H2168">
        <v>1</v>
      </c>
      <c r="I2168">
        <v>2</v>
      </c>
      <c r="J2168" t="s">
        <v>3551</v>
      </c>
      <c r="K2168" t="s">
        <v>3552</v>
      </c>
      <c r="L2168" s="2">
        <v>1518.7864</v>
      </c>
      <c r="M2168" s="2">
        <v>2443.35</v>
      </c>
      <c r="N2168" t="s">
        <v>13</v>
      </c>
      <c r="O2168" t="s">
        <v>301</v>
      </c>
      <c r="P2168" t="s">
        <v>107</v>
      </c>
      <c r="Q2168" t="s">
        <v>8496</v>
      </c>
      <c r="R2168" s="1">
        <v>17932</v>
      </c>
      <c r="S2168" t="s">
        <v>16</v>
      </c>
      <c r="T2168" t="s">
        <v>16</v>
      </c>
      <c r="U2168" t="s">
        <v>2998</v>
      </c>
      <c r="V2168">
        <v>60000</v>
      </c>
      <c r="W2168">
        <v>2</v>
      </c>
      <c r="X2168" t="s">
        <v>52</v>
      </c>
      <c r="Y2168" t="s">
        <v>18</v>
      </c>
      <c r="Z2168" t="s">
        <v>19</v>
      </c>
      <c r="AA2168" t="s">
        <v>3582</v>
      </c>
      <c r="AB2168" t="s">
        <v>3582</v>
      </c>
      <c r="AC2168" t="s">
        <v>3579</v>
      </c>
      <c r="AD2168" t="s">
        <v>3479</v>
      </c>
      <c r="AE2168" t="s">
        <v>3475</v>
      </c>
      <c r="AF2168" s="2">
        <v>2443.35</v>
      </c>
      <c r="AG2168" s="2">
        <v>1518.7864</v>
      </c>
      <c r="AH2168" s="2">
        <v>924.56359999999995</v>
      </c>
      <c r="AI2168" s="3">
        <v>0.37839998362903399</v>
      </c>
    </row>
    <row r="2169" spans="1:35">
      <c r="A2169" s="1">
        <v>42231</v>
      </c>
      <c r="B2169" s="1">
        <v>37438</v>
      </c>
      <c r="C2169" t="s">
        <v>5136</v>
      </c>
      <c r="D2169">
        <v>369</v>
      </c>
      <c r="E2169">
        <v>25892</v>
      </c>
      <c r="F2169">
        <v>6</v>
      </c>
      <c r="G2169">
        <v>1</v>
      </c>
      <c r="H2169">
        <v>1</v>
      </c>
      <c r="I2169">
        <v>2</v>
      </c>
      <c r="J2169" t="s">
        <v>3549</v>
      </c>
      <c r="K2169" t="s">
        <v>3550</v>
      </c>
      <c r="L2169" s="2">
        <v>1518.7864</v>
      </c>
      <c r="M2169" s="2">
        <v>2443.35</v>
      </c>
      <c r="N2169" t="s">
        <v>30</v>
      </c>
      <c r="O2169" t="s">
        <v>306</v>
      </c>
      <c r="P2169" t="s">
        <v>127</v>
      </c>
      <c r="Q2169" t="s">
        <v>8497</v>
      </c>
      <c r="R2169" s="1">
        <v>18708</v>
      </c>
      <c r="S2169" t="s">
        <v>16</v>
      </c>
      <c r="T2169" t="s">
        <v>29</v>
      </c>
      <c r="U2169" t="s">
        <v>2999</v>
      </c>
      <c r="V2169">
        <v>60000</v>
      </c>
      <c r="W2169">
        <v>2</v>
      </c>
      <c r="X2169" t="s">
        <v>57</v>
      </c>
      <c r="Y2169" t="s">
        <v>18</v>
      </c>
      <c r="Z2169" t="s">
        <v>19</v>
      </c>
      <c r="AA2169" t="s">
        <v>3582</v>
      </c>
      <c r="AB2169" t="s">
        <v>3582</v>
      </c>
      <c r="AC2169" t="s">
        <v>3579</v>
      </c>
      <c r="AD2169" t="s">
        <v>3479</v>
      </c>
      <c r="AE2169" t="s">
        <v>3475</v>
      </c>
      <c r="AF2169" s="2">
        <v>2443.35</v>
      </c>
      <c r="AG2169" s="2">
        <v>1518.7864</v>
      </c>
      <c r="AH2169" s="2">
        <v>924.56359999999995</v>
      </c>
      <c r="AI2169" s="3">
        <v>0.37839998362903399</v>
      </c>
    </row>
    <row r="2170" spans="1:35">
      <c r="A2170" s="1">
        <v>42277</v>
      </c>
      <c r="B2170" s="1">
        <v>37494</v>
      </c>
      <c r="C2170" t="s">
        <v>5475</v>
      </c>
      <c r="D2170">
        <v>377</v>
      </c>
      <c r="E2170">
        <v>25911</v>
      </c>
      <c r="F2170">
        <v>6</v>
      </c>
      <c r="G2170">
        <v>1</v>
      </c>
      <c r="H2170">
        <v>1</v>
      </c>
      <c r="I2170">
        <v>2</v>
      </c>
      <c r="J2170" t="s">
        <v>3559</v>
      </c>
      <c r="K2170" t="s">
        <v>3560</v>
      </c>
      <c r="L2170" s="2">
        <v>1320.6838</v>
      </c>
      <c r="M2170" s="2">
        <v>2181.5625</v>
      </c>
      <c r="N2170" t="s">
        <v>26</v>
      </c>
      <c r="O2170" t="s">
        <v>336</v>
      </c>
      <c r="P2170" t="s">
        <v>320</v>
      </c>
      <c r="Q2170" t="s">
        <v>8498</v>
      </c>
      <c r="R2170" s="1">
        <v>28582</v>
      </c>
      <c r="S2170" t="s">
        <v>22</v>
      </c>
      <c r="T2170" t="s">
        <v>29</v>
      </c>
      <c r="U2170" t="s">
        <v>3000</v>
      </c>
      <c r="V2170">
        <v>40000</v>
      </c>
      <c r="W2170">
        <v>0</v>
      </c>
      <c r="X2170" t="s">
        <v>57</v>
      </c>
      <c r="Y2170" t="s">
        <v>53</v>
      </c>
      <c r="Z2170" t="s">
        <v>23</v>
      </c>
      <c r="AA2170" t="s">
        <v>3582</v>
      </c>
      <c r="AB2170" t="s">
        <v>3582</v>
      </c>
      <c r="AC2170" t="s">
        <v>3579</v>
      </c>
      <c r="AD2170" t="s">
        <v>3479</v>
      </c>
      <c r="AE2170" t="s">
        <v>3475</v>
      </c>
      <c r="AF2170" s="2">
        <v>2181.5625</v>
      </c>
      <c r="AG2170" s="2">
        <v>1320.6838</v>
      </c>
      <c r="AH2170" s="2">
        <v>860.87869999999998</v>
      </c>
      <c r="AI2170" s="3">
        <v>0.39461564818793898</v>
      </c>
    </row>
    <row r="2171" spans="1:35">
      <c r="A2171" s="1">
        <v>42122</v>
      </c>
      <c r="B2171" s="1">
        <v>37335</v>
      </c>
      <c r="C2171" t="s">
        <v>4315</v>
      </c>
      <c r="D2171">
        <v>342</v>
      </c>
      <c r="E2171">
        <v>25918</v>
      </c>
      <c r="F2171">
        <v>9</v>
      </c>
      <c r="G2171">
        <v>1</v>
      </c>
      <c r="H2171">
        <v>1</v>
      </c>
      <c r="I2171">
        <v>2</v>
      </c>
      <c r="J2171" t="s">
        <v>3517</v>
      </c>
      <c r="K2171" t="s">
        <v>3518</v>
      </c>
      <c r="L2171" s="2">
        <v>413.1463</v>
      </c>
      <c r="M2171" s="2">
        <v>699.09820000000002</v>
      </c>
      <c r="N2171" t="s">
        <v>30</v>
      </c>
      <c r="O2171" t="s">
        <v>477</v>
      </c>
      <c r="P2171" t="s">
        <v>195</v>
      </c>
      <c r="Q2171" t="s">
        <v>8499</v>
      </c>
      <c r="R2171" s="1">
        <v>16843</v>
      </c>
      <c r="S2171" t="s">
        <v>22</v>
      </c>
      <c r="T2171" t="s">
        <v>29</v>
      </c>
      <c r="U2171" t="s">
        <v>3001</v>
      </c>
      <c r="V2171">
        <v>30000</v>
      </c>
      <c r="W2171">
        <v>2</v>
      </c>
      <c r="X2171" t="s">
        <v>52</v>
      </c>
      <c r="Y2171" t="s">
        <v>60</v>
      </c>
      <c r="Z2171" t="s">
        <v>23</v>
      </c>
      <c r="AA2171" t="s">
        <v>3586</v>
      </c>
      <c r="AB2171" t="s">
        <v>3586</v>
      </c>
      <c r="AC2171" t="s">
        <v>3587</v>
      </c>
      <c r="AD2171" t="s">
        <v>3479</v>
      </c>
      <c r="AE2171" t="s">
        <v>3475</v>
      </c>
      <c r="AF2171" s="2">
        <v>699.09820000000002</v>
      </c>
      <c r="AG2171" s="2">
        <v>413.1463</v>
      </c>
      <c r="AH2171" s="2">
        <v>285.95190000000002</v>
      </c>
      <c r="AI2171" s="3">
        <v>0.409029661355157</v>
      </c>
    </row>
    <row r="2172" spans="1:35">
      <c r="A2172" s="1">
        <v>42104</v>
      </c>
      <c r="B2172" s="1">
        <v>37261</v>
      </c>
      <c r="C2172" t="s">
        <v>4193</v>
      </c>
      <c r="D2172">
        <v>326</v>
      </c>
      <c r="E2172">
        <v>25919</v>
      </c>
      <c r="F2172">
        <v>9</v>
      </c>
      <c r="G2172">
        <v>1</v>
      </c>
      <c r="H2172">
        <v>1</v>
      </c>
      <c r="I2172">
        <v>2</v>
      </c>
      <c r="J2172" t="s">
        <v>3501</v>
      </c>
      <c r="K2172" t="s">
        <v>3502</v>
      </c>
      <c r="L2172" s="2">
        <v>413.1463</v>
      </c>
      <c r="M2172" s="2">
        <v>699.09820000000002</v>
      </c>
      <c r="N2172" t="s">
        <v>30</v>
      </c>
      <c r="O2172" t="s">
        <v>234</v>
      </c>
      <c r="P2172" t="s">
        <v>89</v>
      </c>
      <c r="Q2172" t="s">
        <v>8500</v>
      </c>
      <c r="R2172" s="1">
        <v>17109</v>
      </c>
      <c r="S2172" t="s">
        <v>16</v>
      </c>
      <c r="T2172" t="s">
        <v>29</v>
      </c>
      <c r="U2172" t="s">
        <v>3002</v>
      </c>
      <c r="V2172">
        <v>30000</v>
      </c>
      <c r="W2172">
        <v>2</v>
      </c>
      <c r="X2172" t="s">
        <v>52</v>
      </c>
      <c r="Y2172" t="s">
        <v>60</v>
      </c>
      <c r="Z2172" t="s">
        <v>23</v>
      </c>
      <c r="AA2172" t="s">
        <v>3586</v>
      </c>
      <c r="AB2172" t="s">
        <v>3586</v>
      </c>
      <c r="AC2172" t="s">
        <v>3587</v>
      </c>
      <c r="AD2172" t="s">
        <v>3479</v>
      </c>
      <c r="AE2172" t="s">
        <v>3475</v>
      </c>
      <c r="AF2172" s="2">
        <v>699.09820000000002</v>
      </c>
      <c r="AG2172" s="2">
        <v>413.1463</v>
      </c>
      <c r="AH2172" s="2">
        <v>285.95190000000002</v>
      </c>
      <c r="AI2172" s="3">
        <v>0.409029661355157</v>
      </c>
    </row>
    <row r="2173" spans="1:35">
      <c r="A2173" s="1">
        <v>42114</v>
      </c>
      <c r="B2173" s="1">
        <v>37284</v>
      </c>
      <c r="C2173" t="s">
        <v>4269</v>
      </c>
      <c r="D2173">
        <v>324</v>
      </c>
      <c r="E2173">
        <v>25920</v>
      </c>
      <c r="F2173">
        <v>9</v>
      </c>
      <c r="G2173">
        <v>1</v>
      </c>
      <c r="H2173">
        <v>1</v>
      </c>
      <c r="I2173">
        <v>2</v>
      </c>
      <c r="J2173" t="s">
        <v>3499</v>
      </c>
      <c r="K2173" t="s">
        <v>3500</v>
      </c>
      <c r="L2173" s="2">
        <v>413.1463</v>
      </c>
      <c r="M2173" s="2">
        <v>699.09820000000002</v>
      </c>
      <c r="N2173" t="s">
        <v>13</v>
      </c>
      <c r="O2173" t="s">
        <v>230</v>
      </c>
      <c r="P2173" t="s">
        <v>217</v>
      </c>
      <c r="Q2173" t="s">
        <v>8501</v>
      </c>
      <c r="R2173" s="1">
        <v>16970</v>
      </c>
      <c r="S2173" t="s">
        <v>16</v>
      </c>
      <c r="T2173" t="s">
        <v>16</v>
      </c>
      <c r="U2173" t="s">
        <v>3003</v>
      </c>
      <c r="V2173">
        <v>40000</v>
      </c>
      <c r="W2173">
        <v>2</v>
      </c>
      <c r="X2173" t="s">
        <v>17</v>
      </c>
      <c r="Y2173" t="s">
        <v>45</v>
      </c>
      <c r="Z2173" t="s">
        <v>23</v>
      </c>
      <c r="AA2173" t="s">
        <v>3586</v>
      </c>
      <c r="AB2173" t="s">
        <v>3586</v>
      </c>
      <c r="AC2173" t="s">
        <v>3587</v>
      </c>
      <c r="AD2173" t="s">
        <v>3479</v>
      </c>
      <c r="AE2173" t="s">
        <v>3475</v>
      </c>
      <c r="AF2173" s="2">
        <v>699.09820000000002</v>
      </c>
      <c r="AG2173" s="2">
        <v>413.1463</v>
      </c>
      <c r="AH2173" s="2">
        <v>285.95190000000002</v>
      </c>
      <c r="AI2173" s="3">
        <v>0.409029661355157</v>
      </c>
    </row>
    <row r="2174" spans="1:35">
      <c r="A2174" s="1">
        <v>42117</v>
      </c>
      <c r="B2174" s="1">
        <v>37263</v>
      </c>
      <c r="C2174" t="s">
        <v>4282</v>
      </c>
      <c r="D2174">
        <v>320</v>
      </c>
      <c r="E2174">
        <v>25921</v>
      </c>
      <c r="F2174">
        <v>9</v>
      </c>
      <c r="G2174">
        <v>1</v>
      </c>
      <c r="H2174">
        <v>1</v>
      </c>
      <c r="I2174">
        <v>2</v>
      </c>
      <c r="J2174" t="s">
        <v>3495</v>
      </c>
      <c r="K2174" t="s">
        <v>3496</v>
      </c>
      <c r="L2174" s="2">
        <v>413.1463</v>
      </c>
      <c r="M2174" s="2">
        <v>699.09820000000002</v>
      </c>
      <c r="N2174" t="s">
        <v>13</v>
      </c>
      <c r="O2174" t="s">
        <v>371</v>
      </c>
      <c r="P2174" t="s">
        <v>468</v>
      </c>
      <c r="Q2174" t="s">
        <v>8502</v>
      </c>
      <c r="R2174" s="1">
        <v>17430</v>
      </c>
      <c r="S2174" t="s">
        <v>22</v>
      </c>
      <c r="T2174" t="s">
        <v>16</v>
      </c>
      <c r="U2174" t="s">
        <v>3004</v>
      </c>
      <c r="V2174">
        <v>30000</v>
      </c>
      <c r="W2174">
        <v>2</v>
      </c>
      <c r="X2174" t="s">
        <v>52</v>
      </c>
      <c r="Y2174" t="s">
        <v>60</v>
      </c>
      <c r="Z2174" t="s">
        <v>23</v>
      </c>
      <c r="AA2174" t="s">
        <v>3586</v>
      </c>
      <c r="AB2174" t="s">
        <v>3586</v>
      </c>
      <c r="AC2174" t="s">
        <v>3587</v>
      </c>
      <c r="AD2174" t="s">
        <v>3479</v>
      </c>
      <c r="AE2174" t="s">
        <v>3475</v>
      </c>
      <c r="AF2174" s="2">
        <v>699.09820000000002</v>
      </c>
      <c r="AG2174" s="2">
        <v>413.1463</v>
      </c>
      <c r="AH2174" s="2">
        <v>285.95190000000002</v>
      </c>
      <c r="AI2174" s="3">
        <v>0.409029661355157</v>
      </c>
    </row>
    <row r="2175" spans="1:35">
      <c r="A2175" s="1">
        <v>42151</v>
      </c>
      <c r="B2175" s="1">
        <v>37286</v>
      </c>
      <c r="C2175" t="s">
        <v>4534</v>
      </c>
      <c r="D2175">
        <v>340</v>
      </c>
      <c r="E2175">
        <v>25922</v>
      </c>
      <c r="F2175">
        <v>9</v>
      </c>
      <c r="G2175">
        <v>1</v>
      </c>
      <c r="H2175">
        <v>1</v>
      </c>
      <c r="I2175">
        <v>2</v>
      </c>
      <c r="J2175" t="s">
        <v>3515</v>
      </c>
      <c r="K2175" t="s">
        <v>3516</v>
      </c>
      <c r="L2175" s="2">
        <v>413.1463</v>
      </c>
      <c r="M2175" s="2">
        <v>699.09820000000002</v>
      </c>
      <c r="N2175" t="s">
        <v>30</v>
      </c>
      <c r="O2175" t="s">
        <v>895</v>
      </c>
      <c r="P2175" t="s">
        <v>465</v>
      </c>
      <c r="Q2175" t="s">
        <v>8503</v>
      </c>
      <c r="R2175" s="1">
        <v>17424</v>
      </c>
      <c r="S2175" t="s">
        <v>22</v>
      </c>
      <c r="T2175" t="s">
        <v>29</v>
      </c>
      <c r="U2175" t="s">
        <v>3005</v>
      </c>
      <c r="V2175">
        <v>30000</v>
      </c>
      <c r="W2175">
        <v>2</v>
      </c>
      <c r="X2175" t="s">
        <v>52</v>
      </c>
      <c r="Y2175" t="s">
        <v>60</v>
      </c>
      <c r="Z2175" t="s">
        <v>19</v>
      </c>
      <c r="AA2175" t="s">
        <v>3586</v>
      </c>
      <c r="AB2175" t="s">
        <v>3586</v>
      </c>
      <c r="AC2175" t="s">
        <v>3587</v>
      </c>
      <c r="AD2175" t="s">
        <v>3479</v>
      </c>
      <c r="AE2175" t="s">
        <v>3475</v>
      </c>
      <c r="AF2175" s="2">
        <v>699.09820000000002</v>
      </c>
      <c r="AG2175" s="2">
        <v>413.1463</v>
      </c>
      <c r="AH2175" s="2">
        <v>285.95190000000002</v>
      </c>
      <c r="AI2175" s="3">
        <v>0.409029661355157</v>
      </c>
    </row>
    <row r="2176" spans="1:35">
      <c r="A2176" s="1">
        <v>42131</v>
      </c>
      <c r="B2176" s="1">
        <v>37263</v>
      </c>
      <c r="C2176" t="s">
        <v>4390</v>
      </c>
      <c r="D2176">
        <v>320</v>
      </c>
      <c r="E2176">
        <v>25926</v>
      </c>
      <c r="F2176">
        <v>9</v>
      </c>
      <c r="G2176">
        <v>1</v>
      </c>
      <c r="H2176">
        <v>1</v>
      </c>
      <c r="I2176">
        <v>2</v>
      </c>
      <c r="J2176" t="s">
        <v>3495</v>
      </c>
      <c r="K2176" t="s">
        <v>3496</v>
      </c>
      <c r="L2176" s="2">
        <v>413.1463</v>
      </c>
      <c r="M2176" s="2">
        <v>699.09820000000002</v>
      </c>
      <c r="N2176" t="s">
        <v>13</v>
      </c>
      <c r="O2176" t="s">
        <v>247</v>
      </c>
      <c r="P2176" t="s">
        <v>217</v>
      </c>
      <c r="Q2176" t="s">
        <v>8504</v>
      </c>
      <c r="R2176" s="1">
        <v>17791</v>
      </c>
      <c r="S2176" t="s">
        <v>16</v>
      </c>
      <c r="T2176" t="s">
        <v>16</v>
      </c>
      <c r="U2176" t="s">
        <v>3006</v>
      </c>
      <c r="V2176">
        <v>20000</v>
      </c>
      <c r="W2176">
        <v>4</v>
      </c>
      <c r="X2176" t="s">
        <v>57</v>
      </c>
      <c r="Y2176" t="s">
        <v>53</v>
      </c>
      <c r="Z2176" t="s">
        <v>19</v>
      </c>
      <c r="AA2176" t="s">
        <v>3586</v>
      </c>
      <c r="AB2176" t="s">
        <v>3586</v>
      </c>
      <c r="AC2176" t="s">
        <v>3587</v>
      </c>
      <c r="AD2176" t="s">
        <v>3479</v>
      </c>
      <c r="AE2176" t="s">
        <v>3475</v>
      </c>
      <c r="AF2176" s="2">
        <v>699.09820000000002</v>
      </c>
      <c r="AG2176" s="2">
        <v>413.1463</v>
      </c>
      <c r="AH2176" s="2">
        <v>285.95190000000002</v>
      </c>
      <c r="AI2176" s="3">
        <v>0.409029661355157</v>
      </c>
    </row>
    <row r="2177" spans="1:35">
      <c r="A2177" s="1">
        <v>42125</v>
      </c>
      <c r="B2177" s="1">
        <v>37347</v>
      </c>
      <c r="C2177" t="s">
        <v>4356</v>
      </c>
      <c r="D2177">
        <v>326</v>
      </c>
      <c r="E2177">
        <v>25927</v>
      </c>
      <c r="F2177">
        <v>9</v>
      </c>
      <c r="G2177">
        <v>1</v>
      </c>
      <c r="H2177">
        <v>1</v>
      </c>
      <c r="I2177">
        <v>2</v>
      </c>
      <c r="J2177" t="s">
        <v>3501</v>
      </c>
      <c r="K2177" t="s">
        <v>3502</v>
      </c>
      <c r="L2177" s="2">
        <v>413.1463</v>
      </c>
      <c r="M2177" s="2">
        <v>699.09820000000002</v>
      </c>
      <c r="N2177" t="s">
        <v>30</v>
      </c>
      <c r="O2177" t="s">
        <v>150</v>
      </c>
      <c r="P2177" t="s">
        <v>929</v>
      </c>
      <c r="Q2177" t="s">
        <v>8505</v>
      </c>
      <c r="R2177" s="1">
        <v>17871</v>
      </c>
      <c r="S2177" t="s">
        <v>22</v>
      </c>
      <c r="T2177" t="s">
        <v>29</v>
      </c>
      <c r="U2177" t="s">
        <v>3007</v>
      </c>
      <c r="V2177">
        <v>20000</v>
      </c>
      <c r="W2177">
        <v>2</v>
      </c>
      <c r="X2177" t="s">
        <v>57</v>
      </c>
      <c r="Y2177" t="s">
        <v>53</v>
      </c>
      <c r="Z2177" t="s">
        <v>19</v>
      </c>
      <c r="AA2177" t="s">
        <v>3586</v>
      </c>
      <c r="AB2177" t="s">
        <v>3586</v>
      </c>
      <c r="AC2177" t="s">
        <v>3587</v>
      </c>
      <c r="AD2177" t="s">
        <v>3479</v>
      </c>
      <c r="AE2177" t="s">
        <v>3475</v>
      </c>
      <c r="AF2177" s="2">
        <v>699.09820000000002</v>
      </c>
      <c r="AG2177" s="2">
        <v>413.1463</v>
      </c>
      <c r="AH2177" s="2">
        <v>285.95190000000002</v>
      </c>
      <c r="AI2177" s="3">
        <v>0.409029661355157</v>
      </c>
    </row>
    <row r="2178" spans="1:35">
      <c r="A2178" s="1">
        <v>42130</v>
      </c>
      <c r="B2178" s="1">
        <v>37262</v>
      </c>
      <c r="C2178" t="s">
        <v>4384</v>
      </c>
      <c r="D2178">
        <v>324</v>
      </c>
      <c r="E2178">
        <v>25928</v>
      </c>
      <c r="F2178">
        <v>9</v>
      </c>
      <c r="G2178">
        <v>1</v>
      </c>
      <c r="H2178">
        <v>1</v>
      </c>
      <c r="I2178">
        <v>2</v>
      </c>
      <c r="J2178" t="s">
        <v>3499</v>
      </c>
      <c r="K2178" t="s">
        <v>3500</v>
      </c>
      <c r="L2178" s="2">
        <v>413.1463</v>
      </c>
      <c r="M2178" s="2">
        <v>699.09820000000002</v>
      </c>
      <c r="N2178" t="s">
        <v>13</v>
      </c>
      <c r="O2178" t="s">
        <v>503</v>
      </c>
      <c r="P2178" t="s">
        <v>664</v>
      </c>
      <c r="Q2178" t="s">
        <v>8506</v>
      </c>
      <c r="R2178" s="1">
        <v>17692</v>
      </c>
      <c r="S2178" t="s">
        <v>16</v>
      </c>
      <c r="T2178" t="s">
        <v>16</v>
      </c>
      <c r="U2178" t="s">
        <v>3008</v>
      </c>
      <c r="V2178">
        <v>20000</v>
      </c>
      <c r="W2178">
        <v>2</v>
      </c>
      <c r="X2178" t="s">
        <v>57</v>
      </c>
      <c r="Y2178" t="s">
        <v>53</v>
      </c>
      <c r="Z2178" t="s">
        <v>19</v>
      </c>
      <c r="AA2178" t="s">
        <v>3586</v>
      </c>
      <c r="AB2178" t="s">
        <v>3586</v>
      </c>
      <c r="AC2178" t="s">
        <v>3587</v>
      </c>
      <c r="AD2178" t="s">
        <v>3479</v>
      </c>
      <c r="AE2178" t="s">
        <v>3475</v>
      </c>
      <c r="AF2178" s="2">
        <v>699.09820000000002</v>
      </c>
      <c r="AG2178" s="2">
        <v>413.1463</v>
      </c>
      <c r="AH2178" s="2">
        <v>285.95190000000002</v>
      </c>
      <c r="AI2178" s="3">
        <v>0.409029661355157</v>
      </c>
    </row>
    <row r="2179" spans="1:35">
      <c r="A2179" s="1">
        <v>42137</v>
      </c>
      <c r="B2179" s="1">
        <v>37365</v>
      </c>
      <c r="C2179" t="s">
        <v>4424</v>
      </c>
      <c r="D2179">
        <v>320</v>
      </c>
      <c r="E2179">
        <v>25935</v>
      </c>
      <c r="F2179">
        <v>9</v>
      </c>
      <c r="G2179">
        <v>1</v>
      </c>
      <c r="H2179">
        <v>1</v>
      </c>
      <c r="I2179">
        <v>2</v>
      </c>
      <c r="J2179" t="s">
        <v>3495</v>
      </c>
      <c r="K2179" t="s">
        <v>3496</v>
      </c>
      <c r="L2179" s="2">
        <v>413.1463</v>
      </c>
      <c r="M2179" s="2">
        <v>699.09820000000002</v>
      </c>
      <c r="N2179" t="s">
        <v>30</v>
      </c>
      <c r="O2179" t="s">
        <v>225</v>
      </c>
      <c r="P2179" t="s">
        <v>282</v>
      </c>
      <c r="Q2179" t="s">
        <v>8507</v>
      </c>
      <c r="R2179" s="1">
        <v>17975</v>
      </c>
      <c r="S2179" t="s">
        <v>16</v>
      </c>
      <c r="T2179" t="s">
        <v>29</v>
      </c>
      <c r="U2179" t="s">
        <v>3009</v>
      </c>
      <c r="V2179">
        <v>20000</v>
      </c>
      <c r="W2179">
        <v>2</v>
      </c>
      <c r="X2179" t="s">
        <v>77</v>
      </c>
      <c r="Y2179" t="s">
        <v>60</v>
      </c>
      <c r="Z2179" t="s">
        <v>19</v>
      </c>
      <c r="AA2179" t="s">
        <v>3586</v>
      </c>
      <c r="AB2179" t="s">
        <v>3586</v>
      </c>
      <c r="AC2179" t="s">
        <v>3587</v>
      </c>
      <c r="AD2179" t="s">
        <v>3479</v>
      </c>
      <c r="AE2179" t="s">
        <v>3475</v>
      </c>
      <c r="AF2179" s="2">
        <v>699.09820000000002</v>
      </c>
      <c r="AG2179" s="2">
        <v>413.1463</v>
      </c>
      <c r="AH2179" s="2">
        <v>285.95190000000002</v>
      </c>
      <c r="AI2179" s="3">
        <v>0.409029661355157</v>
      </c>
    </row>
    <row r="2180" spans="1:35">
      <c r="A2180" s="1">
        <v>42132</v>
      </c>
      <c r="B2180" s="1">
        <v>37325</v>
      </c>
      <c r="C2180" t="s">
        <v>4396</v>
      </c>
      <c r="D2180">
        <v>334</v>
      </c>
      <c r="E2180">
        <v>25936</v>
      </c>
      <c r="F2180">
        <v>9</v>
      </c>
      <c r="G2180">
        <v>1</v>
      </c>
      <c r="H2180">
        <v>1</v>
      </c>
      <c r="I2180">
        <v>2</v>
      </c>
      <c r="J2180" t="s">
        <v>3509</v>
      </c>
      <c r="K2180" t="s">
        <v>3510</v>
      </c>
      <c r="L2180" s="2">
        <v>413.1463</v>
      </c>
      <c r="M2180" s="2">
        <v>699.09820000000002</v>
      </c>
      <c r="N2180" t="s">
        <v>30</v>
      </c>
      <c r="O2180" t="s">
        <v>128</v>
      </c>
      <c r="P2180" t="s">
        <v>501</v>
      </c>
      <c r="Q2180" t="s">
        <v>8508</v>
      </c>
      <c r="R2180" s="1">
        <v>18198</v>
      </c>
      <c r="S2180" t="s">
        <v>22</v>
      </c>
      <c r="T2180" t="s">
        <v>29</v>
      </c>
      <c r="U2180" t="s">
        <v>3010</v>
      </c>
      <c r="V2180">
        <v>20000</v>
      </c>
      <c r="W2180">
        <v>2</v>
      </c>
      <c r="X2180" t="s">
        <v>77</v>
      </c>
      <c r="Y2180" t="s">
        <v>60</v>
      </c>
      <c r="Z2180" t="s">
        <v>19</v>
      </c>
      <c r="AA2180" t="s">
        <v>3586</v>
      </c>
      <c r="AB2180" t="s">
        <v>3586</v>
      </c>
      <c r="AC2180" t="s">
        <v>3587</v>
      </c>
      <c r="AD2180" t="s">
        <v>3479</v>
      </c>
      <c r="AE2180" t="s">
        <v>3475</v>
      </c>
      <c r="AF2180" s="2">
        <v>699.09820000000002</v>
      </c>
      <c r="AG2180" s="2">
        <v>413.1463</v>
      </c>
      <c r="AH2180" s="2">
        <v>285.95190000000002</v>
      </c>
      <c r="AI2180" s="3">
        <v>0.409029661355157</v>
      </c>
    </row>
    <row r="2181" spans="1:35">
      <c r="A2181" s="1">
        <v>42134</v>
      </c>
      <c r="B2181" s="1">
        <v>37287</v>
      </c>
      <c r="C2181" t="s">
        <v>4411</v>
      </c>
      <c r="D2181">
        <v>334</v>
      </c>
      <c r="E2181">
        <v>25937</v>
      </c>
      <c r="F2181">
        <v>9</v>
      </c>
      <c r="G2181">
        <v>1</v>
      </c>
      <c r="H2181">
        <v>1</v>
      </c>
      <c r="I2181">
        <v>2</v>
      </c>
      <c r="J2181" t="s">
        <v>3509</v>
      </c>
      <c r="K2181" t="s">
        <v>3510</v>
      </c>
      <c r="L2181" s="2">
        <v>413.1463</v>
      </c>
      <c r="M2181" s="2">
        <v>699.09820000000002</v>
      </c>
      <c r="N2181" t="s">
        <v>13</v>
      </c>
      <c r="O2181" t="s">
        <v>14</v>
      </c>
      <c r="P2181" t="s">
        <v>87</v>
      </c>
      <c r="Q2181" t="s">
        <v>8509</v>
      </c>
      <c r="R2181" s="1">
        <v>18010</v>
      </c>
      <c r="S2181" t="s">
        <v>16</v>
      </c>
      <c r="T2181" t="s">
        <v>16</v>
      </c>
      <c r="U2181" t="s">
        <v>3011</v>
      </c>
      <c r="V2181">
        <v>20000</v>
      </c>
      <c r="W2181">
        <v>2</v>
      </c>
      <c r="X2181" t="s">
        <v>77</v>
      </c>
      <c r="Y2181" t="s">
        <v>60</v>
      </c>
      <c r="Z2181" t="s">
        <v>19</v>
      </c>
      <c r="AA2181" t="s">
        <v>3586</v>
      </c>
      <c r="AB2181" t="s">
        <v>3586</v>
      </c>
      <c r="AC2181" t="s">
        <v>3587</v>
      </c>
      <c r="AD2181" t="s">
        <v>3479</v>
      </c>
      <c r="AE2181" t="s">
        <v>3475</v>
      </c>
      <c r="AF2181" s="2">
        <v>699.09820000000002</v>
      </c>
      <c r="AG2181" s="2">
        <v>413.1463</v>
      </c>
      <c r="AH2181" s="2">
        <v>285.95190000000002</v>
      </c>
      <c r="AI2181" s="3">
        <v>0.409029661355157</v>
      </c>
    </row>
    <row r="2182" spans="1:35">
      <c r="A2182" s="1">
        <v>42152</v>
      </c>
      <c r="B2182" s="1">
        <v>37311</v>
      </c>
      <c r="C2182" t="s">
        <v>4538</v>
      </c>
      <c r="D2182">
        <v>336</v>
      </c>
      <c r="E2182">
        <v>25938</v>
      </c>
      <c r="F2182">
        <v>9</v>
      </c>
      <c r="G2182">
        <v>1</v>
      </c>
      <c r="H2182">
        <v>1</v>
      </c>
      <c r="I2182">
        <v>2</v>
      </c>
      <c r="J2182" t="s">
        <v>3511</v>
      </c>
      <c r="K2182" t="s">
        <v>3512</v>
      </c>
      <c r="L2182" s="2">
        <v>413.1463</v>
      </c>
      <c r="M2182" s="2">
        <v>699.09820000000002</v>
      </c>
      <c r="N2182" t="s">
        <v>13</v>
      </c>
      <c r="O2182" t="s">
        <v>1288</v>
      </c>
      <c r="P2182" t="s">
        <v>217</v>
      </c>
      <c r="Q2182" t="s">
        <v>8510</v>
      </c>
      <c r="R2182" s="1">
        <v>18193</v>
      </c>
      <c r="S2182" t="s">
        <v>22</v>
      </c>
      <c r="T2182" t="s">
        <v>16</v>
      </c>
      <c r="U2182" t="s">
        <v>3012</v>
      </c>
      <c r="V2182">
        <v>30000</v>
      </c>
      <c r="W2182">
        <v>3</v>
      </c>
      <c r="X2182" t="s">
        <v>52</v>
      </c>
      <c r="Y2182" t="s">
        <v>60</v>
      </c>
      <c r="Z2182" t="s">
        <v>23</v>
      </c>
      <c r="AA2182" t="s">
        <v>3586</v>
      </c>
      <c r="AB2182" t="s">
        <v>3586</v>
      </c>
      <c r="AC2182" t="s">
        <v>3587</v>
      </c>
      <c r="AD2182" t="s">
        <v>3479</v>
      </c>
      <c r="AE2182" t="s">
        <v>3475</v>
      </c>
      <c r="AF2182" s="2">
        <v>699.09820000000002</v>
      </c>
      <c r="AG2182" s="2">
        <v>413.1463</v>
      </c>
      <c r="AH2182" s="2">
        <v>285.95190000000002</v>
      </c>
      <c r="AI2182" s="3">
        <v>0.409029661355157</v>
      </c>
    </row>
    <row r="2183" spans="1:35">
      <c r="A2183" s="1">
        <v>42168</v>
      </c>
      <c r="B2183" s="1">
        <v>37348</v>
      </c>
      <c r="C2183" t="s">
        <v>4638</v>
      </c>
      <c r="D2183">
        <v>326</v>
      </c>
      <c r="E2183">
        <v>25939</v>
      </c>
      <c r="F2183">
        <v>9</v>
      </c>
      <c r="G2183">
        <v>1</v>
      </c>
      <c r="H2183">
        <v>1</v>
      </c>
      <c r="I2183">
        <v>2</v>
      </c>
      <c r="J2183" t="s">
        <v>3501</v>
      </c>
      <c r="K2183" t="s">
        <v>3502</v>
      </c>
      <c r="L2183" s="2">
        <v>413.1463</v>
      </c>
      <c r="M2183" s="2">
        <v>699.09820000000002</v>
      </c>
      <c r="N2183" t="s">
        <v>13</v>
      </c>
      <c r="O2183" t="s">
        <v>154</v>
      </c>
      <c r="P2183" t="s">
        <v>282</v>
      </c>
      <c r="Q2183" t="s">
        <v>8511</v>
      </c>
      <c r="R2183" s="1">
        <v>18560</v>
      </c>
      <c r="S2183" t="s">
        <v>16</v>
      </c>
      <c r="T2183" t="s">
        <v>16</v>
      </c>
      <c r="U2183" t="s">
        <v>3013</v>
      </c>
      <c r="V2183">
        <v>20000</v>
      </c>
      <c r="W2183">
        <v>2</v>
      </c>
      <c r="X2183" t="s">
        <v>77</v>
      </c>
      <c r="Y2183" t="s">
        <v>60</v>
      </c>
      <c r="Z2183" t="s">
        <v>19</v>
      </c>
      <c r="AA2183" t="s">
        <v>3586</v>
      </c>
      <c r="AB2183" t="s">
        <v>3586</v>
      </c>
      <c r="AC2183" t="s">
        <v>3587</v>
      </c>
      <c r="AD2183" t="s">
        <v>3479</v>
      </c>
      <c r="AE2183" t="s">
        <v>3475</v>
      </c>
      <c r="AF2183" s="2">
        <v>699.09820000000002</v>
      </c>
      <c r="AG2183" s="2">
        <v>413.1463</v>
      </c>
      <c r="AH2183" s="2">
        <v>285.95190000000002</v>
      </c>
      <c r="AI2183" s="3">
        <v>0.409029661355157</v>
      </c>
    </row>
    <row r="2184" spans="1:35">
      <c r="A2184" s="1">
        <v>42175</v>
      </c>
      <c r="B2184" s="1">
        <v>37385</v>
      </c>
      <c r="C2184" t="s">
        <v>4685</v>
      </c>
      <c r="D2184">
        <v>334</v>
      </c>
      <c r="E2184">
        <v>25940</v>
      </c>
      <c r="F2184">
        <v>9</v>
      </c>
      <c r="G2184">
        <v>1</v>
      </c>
      <c r="H2184">
        <v>1</v>
      </c>
      <c r="I2184">
        <v>2</v>
      </c>
      <c r="J2184" t="s">
        <v>3509</v>
      </c>
      <c r="K2184" t="s">
        <v>3510</v>
      </c>
      <c r="L2184" s="2">
        <v>413.1463</v>
      </c>
      <c r="M2184" s="2">
        <v>699.09820000000002</v>
      </c>
      <c r="N2184" t="s">
        <v>13</v>
      </c>
      <c r="O2184" t="s">
        <v>931</v>
      </c>
      <c r="P2184" t="s">
        <v>163</v>
      </c>
      <c r="Q2184" t="s">
        <v>8512</v>
      </c>
      <c r="R2184" s="1">
        <v>18854</v>
      </c>
      <c r="S2184" t="s">
        <v>22</v>
      </c>
      <c r="T2184" t="s">
        <v>16</v>
      </c>
      <c r="U2184" t="s">
        <v>3014</v>
      </c>
      <c r="V2184">
        <v>20000</v>
      </c>
      <c r="W2184">
        <v>2</v>
      </c>
      <c r="X2184" t="s">
        <v>77</v>
      </c>
      <c r="Y2184" t="s">
        <v>60</v>
      </c>
      <c r="Z2184" t="s">
        <v>19</v>
      </c>
      <c r="AA2184" t="s">
        <v>3586</v>
      </c>
      <c r="AB2184" t="s">
        <v>3586</v>
      </c>
      <c r="AC2184" t="s">
        <v>3587</v>
      </c>
      <c r="AD2184" t="s">
        <v>3479</v>
      </c>
      <c r="AE2184" t="s">
        <v>3475</v>
      </c>
      <c r="AF2184" s="2">
        <v>699.09820000000002</v>
      </c>
      <c r="AG2184" s="2">
        <v>413.1463</v>
      </c>
      <c r="AH2184" s="2">
        <v>285.95190000000002</v>
      </c>
      <c r="AI2184" s="3">
        <v>0.409029661355157</v>
      </c>
    </row>
    <row r="2185" spans="1:35">
      <c r="A2185" s="1">
        <v>42173</v>
      </c>
      <c r="B2185" s="1">
        <v>37395</v>
      </c>
      <c r="C2185" t="s">
        <v>4666</v>
      </c>
      <c r="D2185">
        <v>320</v>
      </c>
      <c r="E2185">
        <v>25941</v>
      </c>
      <c r="F2185">
        <v>9</v>
      </c>
      <c r="G2185">
        <v>1</v>
      </c>
      <c r="H2185">
        <v>1</v>
      </c>
      <c r="I2185">
        <v>2</v>
      </c>
      <c r="J2185" t="s">
        <v>3495</v>
      </c>
      <c r="K2185" t="s">
        <v>3496</v>
      </c>
      <c r="L2185" s="2">
        <v>413.1463</v>
      </c>
      <c r="M2185" s="2">
        <v>699.09820000000002</v>
      </c>
      <c r="N2185" t="s">
        <v>30</v>
      </c>
      <c r="O2185" t="s">
        <v>305</v>
      </c>
      <c r="P2185" t="s">
        <v>187</v>
      </c>
      <c r="Q2185" t="s">
        <v>8513</v>
      </c>
      <c r="R2185" s="1">
        <v>18765</v>
      </c>
      <c r="S2185" t="s">
        <v>16</v>
      </c>
      <c r="T2185" t="s">
        <v>29</v>
      </c>
      <c r="U2185" t="s">
        <v>3015</v>
      </c>
      <c r="V2185">
        <v>20000</v>
      </c>
      <c r="W2185">
        <v>2</v>
      </c>
      <c r="X2185" t="s">
        <v>77</v>
      </c>
      <c r="Y2185" t="s">
        <v>60</v>
      </c>
      <c r="Z2185" t="s">
        <v>19</v>
      </c>
      <c r="AA2185" t="s">
        <v>3586</v>
      </c>
      <c r="AB2185" t="s">
        <v>3586</v>
      </c>
      <c r="AC2185" t="s">
        <v>3587</v>
      </c>
      <c r="AD2185" t="s">
        <v>3479</v>
      </c>
      <c r="AE2185" t="s">
        <v>3475</v>
      </c>
      <c r="AF2185" s="2">
        <v>699.09820000000002</v>
      </c>
      <c r="AG2185" s="2">
        <v>413.1463</v>
      </c>
      <c r="AH2185" s="2">
        <v>285.95190000000002</v>
      </c>
      <c r="AI2185" s="3">
        <v>0.409029661355157</v>
      </c>
    </row>
    <row r="2186" spans="1:35">
      <c r="A2186" s="1">
        <v>42167</v>
      </c>
      <c r="B2186" s="1">
        <v>37332</v>
      </c>
      <c r="C2186" t="s">
        <v>4634</v>
      </c>
      <c r="D2186">
        <v>342</v>
      </c>
      <c r="E2186">
        <v>25944</v>
      </c>
      <c r="F2186">
        <v>9</v>
      </c>
      <c r="G2186">
        <v>1</v>
      </c>
      <c r="H2186">
        <v>1</v>
      </c>
      <c r="I2186">
        <v>2</v>
      </c>
      <c r="J2186" t="s">
        <v>3517</v>
      </c>
      <c r="K2186" t="s">
        <v>3518</v>
      </c>
      <c r="L2186" s="2">
        <v>413.1463</v>
      </c>
      <c r="M2186" s="2">
        <v>699.09820000000002</v>
      </c>
      <c r="N2186" t="s">
        <v>13</v>
      </c>
      <c r="O2186" t="s">
        <v>1589</v>
      </c>
      <c r="P2186" t="s">
        <v>187</v>
      </c>
      <c r="Q2186" t="s">
        <v>8514</v>
      </c>
      <c r="R2186" s="1">
        <v>19285</v>
      </c>
      <c r="S2186" t="s">
        <v>22</v>
      </c>
      <c r="T2186" t="s">
        <v>16</v>
      </c>
      <c r="U2186" t="s">
        <v>3016</v>
      </c>
      <c r="V2186">
        <v>20000</v>
      </c>
      <c r="W2186">
        <v>2</v>
      </c>
      <c r="X2186" t="s">
        <v>77</v>
      </c>
      <c r="Y2186" t="s">
        <v>60</v>
      </c>
      <c r="Z2186" t="s">
        <v>19</v>
      </c>
      <c r="AA2186" t="s">
        <v>3586</v>
      </c>
      <c r="AB2186" t="s">
        <v>3586</v>
      </c>
      <c r="AC2186" t="s">
        <v>3587</v>
      </c>
      <c r="AD2186" t="s">
        <v>3479</v>
      </c>
      <c r="AE2186" t="s">
        <v>3475</v>
      </c>
      <c r="AF2186" s="2">
        <v>699.09820000000002</v>
      </c>
      <c r="AG2186" s="2">
        <v>413.1463</v>
      </c>
      <c r="AH2186" s="2">
        <v>285.95190000000002</v>
      </c>
      <c r="AI2186" s="3">
        <v>0.409029661355157</v>
      </c>
    </row>
    <row r="2187" spans="1:35">
      <c r="A2187" s="1">
        <v>42179</v>
      </c>
      <c r="B2187" s="1">
        <v>37416</v>
      </c>
      <c r="C2187" t="s">
        <v>4717</v>
      </c>
      <c r="D2187">
        <v>320</v>
      </c>
      <c r="E2187">
        <v>25945</v>
      </c>
      <c r="F2187">
        <v>9</v>
      </c>
      <c r="G2187">
        <v>1</v>
      </c>
      <c r="H2187">
        <v>1</v>
      </c>
      <c r="I2187">
        <v>2</v>
      </c>
      <c r="J2187" t="s">
        <v>3495</v>
      </c>
      <c r="K2187" t="s">
        <v>3496</v>
      </c>
      <c r="L2187" s="2">
        <v>413.1463</v>
      </c>
      <c r="M2187" s="2">
        <v>699.09820000000002</v>
      </c>
      <c r="N2187" t="s">
        <v>13</v>
      </c>
      <c r="O2187" t="s">
        <v>1483</v>
      </c>
      <c r="P2187" t="s">
        <v>929</v>
      </c>
      <c r="Q2187" t="s">
        <v>8515</v>
      </c>
      <c r="R2187" s="1">
        <v>19041</v>
      </c>
      <c r="S2187" t="s">
        <v>16</v>
      </c>
      <c r="T2187" t="s">
        <v>16</v>
      </c>
      <c r="U2187" t="s">
        <v>3017</v>
      </c>
      <c r="V2187">
        <v>30000</v>
      </c>
      <c r="W2187">
        <v>3</v>
      </c>
      <c r="X2187" t="s">
        <v>57</v>
      </c>
      <c r="Y2187" t="s">
        <v>53</v>
      </c>
      <c r="Z2187" t="s">
        <v>19</v>
      </c>
      <c r="AA2187" t="s">
        <v>3586</v>
      </c>
      <c r="AB2187" t="s">
        <v>3586</v>
      </c>
      <c r="AC2187" t="s">
        <v>3587</v>
      </c>
      <c r="AD2187" t="s">
        <v>3479</v>
      </c>
      <c r="AE2187" t="s">
        <v>3475</v>
      </c>
      <c r="AF2187" s="2">
        <v>699.09820000000002</v>
      </c>
      <c r="AG2187" s="2">
        <v>413.1463</v>
      </c>
      <c r="AH2187" s="2">
        <v>285.95190000000002</v>
      </c>
      <c r="AI2187" s="3">
        <v>0.409029661355157</v>
      </c>
    </row>
    <row r="2188" spans="1:35">
      <c r="A2188" s="1">
        <v>42183</v>
      </c>
      <c r="B2188" s="1">
        <v>37362</v>
      </c>
      <c r="C2188" t="s">
        <v>4744</v>
      </c>
      <c r="D2188">
        <v>326</v>
      </c>
      <c r="E2188">
        <v>25946</v>
      </c>
      <c r="F2188">
        <v>9</v>
      </c>
      <c r="G2188">
        <v>1</v>
      </c>
      <c r="H2188">
        <v>1</v>
      </c>
      <c r="I2188">
        <v>2</v>
      </c>
      <c r="J2188" t="s">
        <v>3501</v>
      </c>
      <c r="K2188" t="s">
        <v>3502</v>
      </c>
      <c r="L2188" s="2">
        <v>413.1463</v>
      </c>
      <c r="M2188" s="2">
        <v>699.09820000000002</v>
      </c>
      <c r="N2188" t="s">
        <v>30</v>
      </c>
      <c r="O2188" t="s">
        <v>3018</v>
      </c>
      <c r="P2188" t="s">
        <v>1554</v>
      </c>
      <c r="Q2188" t="s">
        <v>8516</v>
      </c>
      <c r="R2188" s="1">
        <v>19441</v>
      </c>
      <c r="S2188" t="s">
        <v>16</v>
      </c>
      <c r="T2188" t="s">
        <v>29</v>
      </c>
      <c r="U2188" t="s">
        <v>3019</v>
      </c>
      <c r="V2188">
        <v>40000</v>
      </c>
      <c r="W2188">
        <v>2</v>
      </c>
      <c r="X2188" t="s">
        <v>52</v>
      </c>
      <c r="Y2188" t="s">
        <v>53</v>
      </c>
      <c r="Z2188" t="s">
        <v>19</v>
      </c>
      <c r="AA2188" t="s">
        <v>3586</v>
      </c>
      <c r="AB2188" t="s">
        <v>3586</v>
      </c>
      <c r="AC2188" t="s">
        <v>3587</v>
      </c>
      <c r="AD2188" t="s">
        <v>3479</v>
      </c>
      <c r="AE2188" t="s">
        <v>3475</v>
      </c>
      <c r="AF2188" s="2">
        <v>699.09820000000002</v>
      </c>
      <c r="AG2188" s="2">
        <v>413.1463</v>
      </c>
      <c r="AH2188" s="2">
        <v>285.95190000000002</v>
      </c>
      <c r="AI2188" s="3">
        <v>0.409029661355157</v>
      </c>
    </row>
    <row r="2189" spans="1:35">
      <c r="A2189" s="1">
        <v>42165</v>
      </c>
      <c r="B2189" s="1">
        <v>37320</v>
      </c>
      <c r="C2189" t="s">
        <v>4617</v>
      </c>
      <c r="D2189">
        <v>324</v>
      </c>
      <c r="E2189">
        <v>25947</v>
      </c>
      <c r="F2189">
        <v>9</v>
      </c>
      <c r="G2189">
        <v>1</v>
      </c>
      <c r="H2189">
        <v>1</v>
      </c>
      <c r="I2189">
        <v>2</v>
      </c>
      <c r="J2189" t="s">
        <v>3499</v>
      </c>
      <c r="K2189" t="s">
        <v>3500</v>
      </c>
      <c r="L2189" s="2">
        <v>413.1463</v>
      </c>
      <c r="M2189" s="2">
        <v>699.09820000000002</v>
      </c>
      <c r="N2189" t="s">
        <v>13</v>
      </c>
      <c r="O2189" t="s">
        <v>1261</v>
      </c>
      <c r="P2189" t="s">
        <v>66</v>
      </c>
      <c r="Q2189" t="s">
        <v>8517</v>
      </c>
      <c r="R2189" s="1">
        <v>20010</v>
      </c>
      <c r="S2189" t="s">
        <v>22</v>
      </c>
      <c r="T2189" t="s">
        <v>16</v>
      </c>
      <c r="U2189" t="s">
        <v>3020</v>
      </c>
      <c r="V2189">
        <v>40000</v>
      </c>
      <c r="W2189">
        <v>3</v>
      </c>
      <c r="X2189" t="s">
        <v>77</v>
      </c>
      <c r="Y2189" t="s">
        <v>60</v>
      </c>
      <c r="Z2189" t="s">
        <v>19</v>
      </c>
      <c r="AA2189" t="s">
        <v>3586</v>
      </c>
      <c r="AB2189" t="s">
        <v>3586</v>
      </c>
      <c r="AC2189" t="s">
        <v>3587</v>
      </c>
      <c r="AD2189" t="s">
        <v>3479</v>
      </c>
      <c r="AE2189" t="s">
        <v>3475</v>
      </c>
      <c r="AF2189" s="2">
        <v>699.09820000000002</v>
      </c>
      <c r="AG2189" s="2">
        <v>413.1463</v>
      </c>
      <c r="AH2189" s="2">
        <v>285.95190000000002</v>
      </c>
      <c r="AI2189" s="3">
        <v>0.409029661355157</v>
      </c>
    </row>
    <row r="2190" spans="1:35">
      <c r="A2190" s="1">
        <v>42178</v>
      </c>
      <c r="B2190" s="1">
        <v>37413</v>
      </c>
      <c r="C2190" t="s">
        <v>4706</v>
      </c>
      <c r="D2190">
        <v>326</v>
      </c>
      <c r="E2190">
        <v>25948</v>
      </c>
      <c r="F2190">
        <v>9</v>
      </c>
      <c r="G2190">
        <v>1</v>
      </c>
      <c r="H2190">
        <v>1</v>
      </c>
      <c r="I2190">
        <v>2</v>
      </c>
      <c r="J2190" t="s">
        <v>3501</v>
      </c>
      <c r="K2190" t="s">
        <v>3502</v>
      </c>
      <c r="L2190" s="2">
        <v>413.1463</v>
      </c>
      <c r="M2190" s="2">
        <v>699.09820000000002</v>
      </c>
      <c r="N2190" t="s">
        <v>30</v>
      </c>
      <c r="O2190" t="s">
        <v>116</v>
      </c>
      <c r="P2190" t="s">
        <v>91</v>
      </c>
      <c r="Q2190" t="s">
        <v>8518</v>
      </c>
      <c r="R2190" s="1">
        <v>19854</v>
      </c>
      <c r="S2190" t="s">
        <v>22</v>
      </c>
      <c r="T2190" t="s">
        <v>29</v>
      </c>
      <c r="U2190" t="s">
        <v>3021</v>
      </c>
      <c r="V2190">
        <v>40000</v>
      </c>
      <c r="W2190">
        <v>3</v>
      </c>
      <c r="X2190" t="s">
        <v>77</v>
      </c>
      <c r="Y2190" t="s">
        <v>60</v>
      </c>
      <c r="Z2190" t="s">
        <v>23</v>
      </c>
      <c r="AA2190" t="s">
        <v>3586</v>
      </c>
      <c r="AB2190" t="s">
        <v>3586</v>
      </c>
      <c r="AC2190" t="s">
        <v>3587</v>
      </c>
      <c r="AD2190" t="s">
        <v>3479</v>
      </c>
      <c r="AE2190" t="s">
        <v>3475</v>
      </c>
      <c r="AF2190" s="2">
        <v>699.09820000000002</v>
      </c>
      <c r="AG2190" s="2">
        <v>413.1463</v>
      </c>
      <c r="AH2190" s="2">
        <v>285.95190000000002</v>
      </c>
      <c r="AI2190" s="3">
        <v>0.409029661355157</v>
      </c>
    </row>
    <row r="2191" spans="1:35">
      <c r="A2191" s="1">
        <v>42160</v>
      </c>
      <c r="B2191" s="1">
        <v>37308</v>
      </c>
      <c r="C2191" t="s">
        <v>4580</v>
      </c>
      <c r="D2191">
        <v>336</v>
      </c>
      <c r="E2191">
        <v>25949</v>
      </c>
      <c r="F2191">
        <v>9</v>
      </c>
      <c r="G2191">
        <v>1</v>
      </c>
      <c r="H2191">
        <v>1</v>
      </c>
      <c r="I2191">
        <v>2</v>
      </c>
      <c r="J2191" t="s">
        <v>3511</v>
      </c>
      <c r="K2191" t="s">
        <v>3512</v>
      </c>
      <c r="L2191" s="2">
        <v>413.1463</v>
      </c>
      <c r="M2191" s="2">
        <v>699.09820000000002</v>
      </c>
      <c r="N2191" t="s">
        <v>30</v>
      </c>
      <c r="O2191" t="s">
        <v>932</v>
      </c>
      <c r="P2191" t="s">
        <v>431</v>
      </c>
      <c r="Q2191" t="s">
        <v>8519</v>
      </c>
      <c r="R2191" s="1">
        <v>19742</v>
      </c>
      <c r="S2191" t="s">
        <v>22</v>
      </c>
      <c r="T2191" t="s">
        <v>29</v>
      </c>
      <c r="U2191" t="s">
        <v>3022</v>
      </c>
      <c r="V2191">
        <v>40000</v>
      </c>
      <c r="W2191">
        <v>3</v>
      </c>
      <c r="X2191" t="s">
        <v>77</v>
      </c>
      <c r="Y2191" t="s">
        <v>60</v>
      </c>
      <c r="Z2191" t="s">
        <v>19</v>
      </c>
      <c r="AA2191" t="s">
        <v>3586</v>
      </c>
      <c r="AB2191" t="s">
        <v>3586</v>
      </c>
      <c r="AC2191" t="s">
        <v>3587</v>
      </c>
      <c r="AD2191" t="s">
        <v>3479</v>
      </c>
      <c r="AE2191" t="s">
        <v>3475</v>
      </c>
      <c r="AF2191" s="2">
        <v>699.09820000000002</v>
      </c>
      <c r="AG2191" s="2">
        <v>413.1463</v>
      </c>
      <c r="AH2191" s="2">
        <v>285.95190000000002</v>
      </c>
      <c r="AI2191" s="3">
        <v>0.409029661355157</v>
      </c>
    </row>
    <row r="2192" spans="1:35">
      <c r="A2192" s="1">
        <v>42195</v>
      </c>
      <c r="B2192" s="1">
        <v>37411</v>
      </c>
      <c r="C2192" t="s">
        <v>4836</v>
      </c>
      <c r="D2192">
        <v>320</v>
      </c>
      <c r="E2192">
        <v>25958</v>
      </c>
      <c r="F2192">
        <v>9</v>
      </c>
      <c r="G2192">
        <v>1</v>
      </c>
      <c r="H2192">
        <v>1</v>
      </c>
      <c r="I2192">
        <v>2</v>
      </c>
      <c r="J2192" t="s">
        <v>3495</v>
      </c>
      <c r="K2192" t="s">
        <v>3496</v>
      </c>
      <c r="L2192" s="2">
        <v>413.1463</v>
      </c>
      <c r="M2192" s="2">
        <v>699.09820000000002</v>
      </c>
      <c r="N2192" t="s">
        <v>13</v>
      </c>
      <c r="O2192" t="s">
        <v>316</v>
      </c>
      <c r="P2192" t="s">
        <v>460</v>
      </c>
      <c r="Q2192" t="s">
        <v>8520</v>
      </c>
      <c r="R2192" s="1">
        <v>20525</v>
      </c>
      <c r="S2192" t="s">
        <v>22</v>
      </c>
      <c r="T2192" t="s">
        <v>16</v>
      </c>
      <c r="U2192" t="s">
        <v>3023</v>
      </c>
      <c r="V2192">
        <v>80000</v>
      </c>
      <c r="W2192">
        <v>2</v>
      </c>
      <c r="X2192" t="s">
        <v>57</v>
      </c>
      <c r="Y2192" t="s">
        <v>53</v>
      </c>
      <c r="Z2192" t="s">
        <v>19</v>
      </c>
      <c r="AA2192" t="s">
        <v>3586</v>
      </c>
      <c r="AB2192" t="s">
        <v>3586</v>
      </c>
      <c r="AC2192" t="s">
        <v>3587</v>
      </c>
      <c r="AD2192" t="s">
        <v>3479</v>
      </c>
      <c r="AE2192" t="s">
        <v>3475</v>
      </c>
      <c r="AF2192" s="2">
        <v>699.09820000000002</v>
      </c>
      <c r="AG2192" s="2">
        <v>413.1463</v>
      </c>
      <c r="AH2192" s="2">
        <v>285.95190000000002</v>
      </c>
      <c r="AI2192" s="3">
        <v>0.409029661355157</v>
      </c>
    </row>
    <row r="2193" spans="1:35">
      <c r="A2193" s="1">
        <v>42210</v>
      </c>
      <c r="B2193" s="1">
        <v>37347</v>
      </c>
      <c r="C2193" t="s">
        <v>4964</v>
      </c>
      <c r="D2193">
        <v>342</v>
      </c>
      <c r="E2193">
        <v>25960</v>
      </c>
      <c r="F2193">
        <v>9</v>
      </c>
      <c r="G2193">
        <v>1</v>
      </c>
      <c r="H2193">
        <v>1</v>
      </c>
      <c r="I2193">
        <v>2</v>
      </c>
      <c r="J2193" t="s">
        <v>3517</v>
      </c>
      <c r="K2193" t="s">
        <v>3518</v>
      </c>
      <c r="L2193" s="2">
        <v>413.1463</v>
      </c>
      <c r="M2193" s="2">
        <v>699.09820000000002</v>
      </c>
      <c r="N2193" t="s">
        <v>13</v>
      </c>
      <c r="O2193" t="s">
        <v>154</v>
      </c>
      <c r="P2193" t="s">
        <v>223</v>
      </c>
      <c r="Q2193" t="s">
        <v>8521</v>
      </c>
      <c r="R2193" s="1">
        <v>20976</v>
      </c>
      <c r="S2193" t="s">
        <v>16</v>
      </c>
      <c r="T2193" t="s">
        <v>16</v>
      </c>
      <c r="U2193" t="s">
        <v>3024</v>
      </c>
      <c r="V2193">
        <v>70000</v>
      </c>
      <c r="W2193">
        <v>2</v>
      </c>
      <c r="X2193" t="s">
        <v>57</v>
      </c>
      <c r="Y2193" t="s">
        <v>53</v>
      </c>
      <c r="Z2193" t="s">
        <v>19</v>
      </c>
      <c r="AA2193" t="s">
        <v>3586</v>
      </c>
      <c r="AB2193" t="s">
        <v>3586</v>
      </c>
      <c r="AC2193" t="s">
        <v>3587</v>
      </c>
      <c r="AD2193" t="s">
        <v>3479</v>
      </c>
      <c r="AE2193" t="s">
        <v>3475</v>
      </c>
      <c r="AF2193" s="2">
        <v>699.09820000000002</v>
      </c>
      <c r="AG2193" s="2">
        <v>413.1463</v>
      </c>
      <c r="AH2193" s="2">
        <v>285.95190000000002</v>
      </c>
      <c r="AI2193" s="3">
        <v>0.409029661355157</v>
      </c>
    </row>
    <row r="2194" spans="1:35">
      <c r="A2194" s="1">
        <v>42188</v>
      </c>
      <c r="B2194" s="1">
        <v>37424</v>
      </c>
      <c r="C2194" t="s">
        <v>4781</v>
      </c>
      <c r="D2194">
        <v>328</v>
      </c>
      <c r="E2194">
        <v>25961</v>
      </c>
      <c r="F2194">
        <v>9</v>
      </c>
      <c r="G2194">
        <v>1</v>
      </c>
      <c r="H2194">
        <v>1</v>
      </c>
      <c r="I2194">
        <v>2</v>
      </c>
      <c r="J2194" t="s">
        <v>3503</v>
      </c>
      <c r="K2194" t="s">
        <v>3504</v>
      </c>
      <c r="L2194" s="2">
        <v>413.1463</v>
      </c>
      <c r="M2194" s="2">
        <v>699.09820000000002</v>
      </c>
      <c r="N2194" t="s">
        <v>13</v>
      </c>
      <c r="O2194" t="s">
        <v>934</v>
      </c>
      <c r="P2194" t="s">
        <v>266</v>
      </c>
      <c r="Q2194" t="s">
        <v>8522</v>
      </c>
      <c r="R2194" s="1">
        <v>20906</v>
      </c>
      <c r="S2194" t="s">
        <v>22</v>
      </c>
      <c r="T2194" t="s">
        <v>16</v>
      </c>
      <c r="U2194" t="s">
        <v>3025</v>
      </c>
      <c r="V2194">
        <v>70000</v>
      </c>
      <c r="W2194">
        <v>2</v>
      </c>
      <c r="X2194" t="s">
        <v>57</v>
      </c>
      <c r="Y2194" t="s">
        <v>53</v>
      </c>
      <c r="Z2194" t="s">
        <v>19</v>
      </c>
      <c r="AA2194" t="s">
        <v>3586</v>
      </c>
      <c r="AB2194" t="s">
        <v>3586</v>
      </c>
      <c r="AC2194" t="s">
        <v>3587</v>
      </c>
      <c r="AD2194" t="s">
        <v>3479</v>
      </c>
      <c r="AE2194" t="s">
        <v>3475</v>
      </c>
      <c r="AF2194" s="2">
        <v>699.09820000000002</v>
      </c>
      <c r="AG2194" s="2">
        <v>413.1463</v>
      </c>
      <c r="AH2194" s="2">
        <v>285.95190000000002</v>
      </c>
      <c r="AI2194" s="3">
        <v>0.409029661355157</v>
      </c>
    </row>
    <row r="2195" spans="1:35">
      <c r="A2195" s="1">
        <v>42268</v>
      </c>
      <c r="B2195" s="1">
        <v>37414</v>
      </c>
      <c r="C2195" t="s">
        <v>5424</v>
      </c>
      <c r="D2195">
        <v>373</v>
      </c>
      <c r="E2195">
        <v>25971</v>
      </c>
      <c r="F2195">
        <v>6</v>
      </c>
      <c r="G2195">
        <v>1</v>
      </c>
      <c r="H2195">
        <v>1</v>
      </c>
      <c r="I2195">
        <v>2</v>
      </c>
      <c r="J2195" t="s">
        <v>3555</v>
      </c>
      <c r="K2195" t="s">
        <v>3556</v>
      </c>
      <c r="L2195" s="2">
        <v>1320.6838</v>
      </c>
      <c r="M2195" s="2">
        <v>2181.5625</v>
      </c>
      <c r="N2195" t="s">
        <v>30</v>
      </c>
      <c r="O2195" t="s">
        <v>172</v>
      </c>
      <c r="P2195" t="s">
        <v>51</v>
      </c>
      <c r="Q2195" t="s">
        <v>8523</v>
      </c>
      <c r="R2195" s="1">
        <v>23109</v>
      </c>
      <c r="S2195" t="s">
        <v>22</v>
      </c>
      <c r="T2195" t="s">
        <v>29</v>
      </c>
      <c r="U2195" t="s">
        <v>3026</v>
      </c>
      <c r="V2195">
        <v>70000</v>
      </c>
      <c r="W2195">
        <v>4</v>
      </c>
      <c r="X2195" t="s">
        <v>17</v>
      </c>
      <c r="Y2195" t="s">
        <v>18</v>
      </c>
      <c r="Z2195" t="s">
        <v>19</v>
      </c>
      <c r="AA2195" t="s">
        <v>3582</v>
      </c>
      <c r="AB2195" t="s">
        <v>3582</v>
      </c>
      <c r="AC2195" t="s">
        <v>3579</v>
      </c>
      <c r="AD2195" t="s">
        <v>3479</v>
      </c>
      <c r="AE2195" t="s">
        <v>3475</v>
      </c>
      <c r="AF2195" s="2">
        <v>2181.5625</v>
      </c>
      <c r="AG2195" s="2">
        <v>1320.6838</v>
      </c>
      <c r="AH2195" s="2">
        <v>860.87869999999998</v>
      </c>
      <c r="AI2195" s="3">
        <v>0.39461564818793898</v>
      </c>
    </row>
    <row r="2196" spans="1:35">
      <c r="A2196" s="1">
        <v>42007</v>
      </c>
      <c r="B2196" s="1">
        <v>37241</v>
      </c>
      <c r="C2196" t="s">
        <v>3606</v>
      </c>
      <c r="D2196">
        <v>351</v>
      </c>
      <c r="E2196">
        <v>25977</v>
      </c>
      <c r="F2196">
        <v>4</v>
      </c>
      <c r="G2196">
        <v>1</v>
      </c>
      <c r="H2196">
        <v>1</v>
      </c>
      <c r="I2196">
        <v>1</v>
      </c>
      <c r="J2196" t="s">
        <v>3533</v>
      </c>
      <c r="K2196" t="s">
        <v>3534</v>
      </c>
      <c r="L2196" s="2">
        <v>1898.0944</v>
      </c>
      <c r="M2196" s="2">
        <v>3374.99</v>
      </c>
      <c r="N2196" t="s">
        <v>30</v>
      </c>
      <c r="O2196" t="s">
        <v>403</v>
      </c>
      <c r="P2196" t="s">
        <v>125</v>
      </c>
      <c r="Q2196" t="s">
        <v>8524</v>
      </c>
      <c r="R2196" s="1">
        <v>24951</v>
      </c>
      <c r="S2196" t="s">
        <v>16</v>
      </c>
      <c r="T2196" t="s">
        <v>29</v>
      </c>
      <c r="U2196" t="s">
        <v>3027</v>
      </c>
      <c r="V2196">
        <v>60000</v>
      </c>
      <c r="W2196">
        <v>2</v>
      </c>
      <c r="X2196" t="s">
        <v>135</v>
      </c>
      <c r="Y2196" t="s">
        <v>18</v>
      </c>
      <c r="Z2196" t="s">
        <v>19</v>
      </c>
      <c r="AA2196" t="s">
        <v>3580</v>
      </c>
      <c r="AB2196" t="s">
        <v>3578</v>
      </c>
      <c r="AC2196" t="s">
        <v>3579</v>
      </c>
      <c r="AD2196" t="s">
        <v>3478</v>
      </c>
      <c r="AE2196" t="s">
        <v>3475</v>
      </c>
      <c r="AF2196" s="2">
        <v>3374.99</v>
      </c>
      <c r="AG2196" s="2">
        <v>1898.0944</v>
      </c>
      <c r="AH2196" s="2">
        <v>1476.8956000000001</v>
      </c>
      <c r="AI2196" s="3">
        <v>0.43759999288886797</v>
      </c>
    </row>
    <row r="2197" spans="1:35">
      <c r="A2197" s="1">
        <v>42019</v>
      </c>
      <c r="B2197" s="1">
        <v>37215</v>
      </c>
      <c r="C2197" t="s">
        <v>3676</v>
      </c>
      <c r="D2197">
        <v>349</v>
      </c>
      <c r="E2197">
        <v>25978</v>
      </c>
      <c r="F2197">
        <v>4</v>
      </c>
      <c r="G2197">
        <v>1</v>
      </c>
      <c r="H2197">
        <v>1</v>
      </c>
      <c r="I2197">
        <v>1</v>
      </c>
      <c r="J2197" t="s">
        <v>3529</v>
      </c>
      <c r="K2197" t="s">
        <v>3530</v>
      </c>
      <c r="L2197" s="2">
        <v>1898.0944</v>
      </c>
      <c r="M2197" s="2">
        <v>3374.99</v>
      </c>
      <c r="N2197" t="s">
        <v>30</v>
      </c>
      <c r="O2197" t="s">
        <v>252</v>
      </c>
      <c r="P2197" t="s">
        <v>187</v>
      </c>
      <c r="Q2197" t="s">
        <v>8525</v>
      </c>
      <c r="R2197" s="1">
        <v>9459</v>
      </c>
      <c r="S2197" t="s">
        <v>22</v>
      </c>
      <c r="T2197" t="s">
        <v>29</v>
      </c>
      <c r="U2197" t="s">
        <v>3028</v>
      </c>
      <c r="V2197">
        <v>90000</v>
      </c>
      <c r="W2197">
        <v>5</v>
      </c>
      <c r="X2197" t="s">
        <v>17</v>
      </c>
      <c r="Y2197" t="s">
        <v>18</v>
      </c>
      <c r="Z2197" t="s">
        <v>19</v>
      </c>
      <c r="AA2197" t="s">
        <v>3580</v>
      </c>
      <c r="AB2197" t="s">
        <v>3578</v>
      </c>
      <c r="AC2197" t="s">
        <v>3579</v>
      </c>
      <c r="AD2197" t="s">
        <v>3478</v>
      </c>
      <c r="AE2197" t="s">
        <v>3475</v>
      </c>
      <c r="AF2197" s="2">
        <v>3374.99</v>
      </c>
      <c r="AG2197" s="2">
        <v>1898.0944</v>
      </c>
      <c r="AH2197" s="2">
        <v>1476.8956000000001</v>
      </c>
      <c r="AI2197" s="3">
        <v>0.43759999288886797</v>
      </c>
    </row>
    <row r="2198" spans="1:35">
      <c r="A2198" s="1">
        <v>42015</v>
      </c>
      <c r="B2198" s="1">
        <v>37148</v>
      </c>
      <c r="C2198" t="s">
        <v>3651</v>
      </c>
      <c r="D2198">
        <v>344</v>
      </c>
      <c r="E2198">
        <v>25979</v>
      </c>
      <c r="F2198">
        <v>1</v>
      </c>
      <c r="G2198">
        <v>1</v>
      </c>
      <c r="H2198">
        <v>1</v>
      </c>
      <c r="I2198">
        <v>1</v>
      </c>
      <c r="J2198" t="s">
        <v>3519</v>
      </c>
      <c r="K2198" t="s">
        <v>3520</v>
      </c>
      <c r="L2198" s="2">
        <v>1912.1543999999999</v>
      </c>
      <c r="M2198" s="2">
        <v>3399.99</v>
      </c>
      <c r="N2198" t="s">
        <v>13</v>
      </c>
      <c r="O2198" t="s">
        <v>483</v>
      </c>
      <c r="P2198" t="s">
        <v>70</v>
      </c>
      <c r="Q2198" t="s">
        <v>8526</v>
      </c>
      <c r="R2198" s="1">
        <v>23044</v>
      </c>
      <c r="S2198" t="s">
        <v>22</v>
      </c>
      <c r="T2198" t="s">
        <v>16</v>
      </c>
      <c r="U2198" t="s">
        <v>3029</v>
      </c>
      <c r="V2198">
        <v>70000</v>
      </c>
      <c r="W2198">
        <v>4</v>
      </c>
      <c r="X2198" t="s">
        <v>17</v>
      </c>
      <c r="Y2198" t="s">
        <v>18</v>
      </c>
      <c r="Z2198" t="s">
        <v>19</v>
      </c>
      <c r="AA2198" t="s">
        <v>3577</v>
      </c>
      <c r="AB2198" t="s">
        <v>3578</v>
      </c>
      <c r="AC2198" t="s">
        <v>3579</v>
      </c>
      <c r="AD2198" t="s">
        <v>3478</v>
      </c>
      <c r="AE2198" t="s">
        <v>3475</v>
      </c>
      <c r="AF2198" s="2">
        <v>3399.99</v>
      </c>
      <c r="AG2198" s="2">
        <v>1912.1543999999999</v>
      </c>
      <c r="AH2198" s="2">
        <v>1487.8356000000001</v>
      </c>
      <c r="AI2198" s="3">
        <v>0.43759999294115598</v>
      </c>
    </row>
    <row r="2199" spans="1:35">
      <c r="A2199" s="1">
        <v>42018</v>
      </c>
      <c r="B2199" s="1">
        <v>37152</v>
      </c>
      <c r="C2199" t="s">
        <v>3666</v>
      </c>
      <c r="D2199">
        <v>346</v>
      </c>
      <c r="E2199">
        <v>25980</v>
      </c>
      <c r="F2199">
        <v>1</v>
      </c>
      <c r="G2199">
        <v>1</v>
      </c>
      <c r="H2199">
        <v>1</v>
      </c>
      <c r="I2199">
        <v>1</v>
      </c>
      <c r="J2199" t="s">
        <v>3523</v>
      </c>
      <c r="K2199" t="s">
        <v>3524</v>
      </c>
      <c r="L2199" s="2">
        <v>1912.1543999999999</v>
      </c>
      <c r="M2199" s="2">
        <v>3399.99</v>
      </c>
      <c r="N2199" t="s">
        <v>30</v>
      </c>
      <c r="O2199" t="s">
        <v>202</v>
      </c>
      <c r="P2199" t="s">
        <v>343</v>
      </c>
      <c r="Q2199" t="s">
        <v>8527</v>
      </c>
      <c r="R2199" s="1">
        <v>23111</v>
      </c>
      <c r="S2199" t="s">
        <v>22</v>
      </c>
      <c r="T2199" t="s">
        <v>29</v>
      </c>
      <c r="U2199" t="s">
        <v>3030</v>
      </c>
      <c r="V2199">
        <v>70000</v>
      </c>
      <c r="W2199">
        <v>4</v>
      </c>
      <c r="X2199" t="s">
        <v>17</v>
      </c>
      <c r="Y2199" t="s">
        <v>18</v>
      </c>
      <c r="Z2199" t="s">
        <v>19</v>
      </c>
      <c r="AA2199" t="s">
        <v>3577</v>
      </c>
      <c r="AB2199" t="s">
        <v>3578</v>
      </c>
      <c r="AC2199" t="s">
        <v>3579</v>
      </c>
      <c r="AD2199" t="s">
        <v>3478</v>
      </c>
      <c r="AE2199" t="s">
        <v>3475</v>
      </c>
      <c r="AF2199" s="2">
        <v>3399.99</v>
      </c>
      <c r="AG2199" s="2">
        <v>1912.1543999999999</v>
      </c>
      <c r="AH2199" s="2">
        <v>1487.8356000000001</v>
      </c>
      <c r="AI2199" s="3">
        <v>0.43759999294115598</v>
      </c>
    </row>
    <row r="2200" spans="1:35">
      <c r="A2200" s="1">
        <v>42262</v>
      </c>
      <c r="B2200" s="1">
        <v>37445</v>
      </c>
      <c r="C2200" t="s">
        <v>5384</v>
      </c>
      <c r="D2200">
        <v>370</v>
      </c>
      <c r="E2200">
        <v>25981</v>
      </c>
      <c r="F2200">
        <v>6</v>
      </c>
      <c r="G2200">
        <v>1</v>
      </c>
      <c r="H2200">
        <v>1</v>
      </c>
      <c r="I2200">
        <v>2</v>
      </c>
      <c r="J2200" t="s">
        <v>3551</v>
      </c>
      <c r="K2200" t="s">
        <v>3552</v>
      </c>
      <c r="L2200" s="2">
        <v>1518.7864</v>
      </c>
      <c r="M2200" s="2">
        <v>2443.35</v>
      </c>
      <c r="N2200" t="s">
        <v>13</v>
      </c>
      <c r="O2200" t="s">
        <v>679</v>
      </c>
      <c r="P2200" t="s">
        <v>294</v>
      </c>
      <c r="Q2200" t="s">
        <v>8528</v>
      </c>
      <c r="R2200" s="1">
        <v>23330</v>
      </c>
      <c r="S2200" t="s">
        <v>16</v>
      </c>
      <c r="T2200" t="s">
        <v>16</v>
      </c>
      <c r="U2200" t="s">
        <v>3031</v>
      </c>
      <c r="V2200">
        <v>70000</v>
      </c>
      <c r="W2200">
        <v>4</v>
      </c>
      <c r="X2200" t="s">
        <v>17</v>
      </c>
      <c r="Y2200" t="s">
        <v>18</v>
      </c>
      <c r="Z2200" t="s">
        <v>19</v>
      </c>
      <c r="AA2200" t="s">
        <v>3582</v>
      </c>
      <c r="AB2200" t="s">
        <v>3582</v>
      </c>
      <c r="AC2200" t="s">
        <v>3579</v>
      </c>
      <c r="AD2200" t="s">
        <v>3479</v>
      </c>
      <c r="AE2200" t="s">
        <v>3475</v>
      </c>
      <c r="AF2200" s="2">
        <v>2443.35</v>
      </c>
      <c r="AG2200" s="2">
        <v>1518.7864</v>
      </c>
      <c r="AH2200" s="2">
        <v>924.56359999999995</v>
      </c>
      <c r="AI2200" s="3">
        <v>0.37839998362903399</v>
      </c>
    </row>
    <row r="2201" spans="1:35">
      <c r="A2201" s="1">
        <v>42028</v>
      </c>
      <c r="B2201" s="1">
        <v>37215</v>
      </c>
      <c r="C2201" t="s">
        <v>3738</v>
      </c>
      <c r="D2201">
        <v>345</v>
      </c>
      <c r="E2201">
        <v>25982</v>
      </c>
      <c r="F2201">
        <v>1</v>
      </c>
      <c r="G2201">
        <v>1</v>
      </c>
      <c r="H2201">
        <v>1</v>
      </c>
      <c r="I2201">
        <v>1</v>
      </c>
      <c r="J2201" t="s">
        <v>3521</v>
      </c>
      <c r="K2201" t="s">
        <v>3522</v>
      </c>
      <c r="L2201" s="2">
        <v>1912.1543999999999</v>
      </c>
      <c r="M2201" s="2">
        <v>3399.99</v>
      </c>
      <c r="N2201" t="s">
        <v>26</v>
      </c>
      <c r="O2201" t="s">
        <v>829</v>
      </c>
      <c r="P2201" t="s">
        <v>177</v>
      </c>
      <c r="Q2201" t="s">
        <v>8529</v>
      </c>
      <c r="R2201" s="1">
        <v>23118</v>
      </c>
      <c r="S2201" t="s">
        <v>22</v>
      </c>
      <c r="T2201" t="s">
        <v>29</v>
      </c>
      <c r="U2201" t="s">
        <v>3032</v>
      </c>
      <c r="V2201">
        <v>70000</v>
      </c>
      <c r="W2201">
        <v>0</v>
      </c>
      <c r="X2201" t="s">
        <v>17</v>
      </c>
      <c r="Y2201" t="s">
        <v>18</v>
      </c>
      <c r="Z2201" t="s">
        <v>23</v>
      </c>
      <c r="AA2201" t="s">
        <v>3577</v>
      </c>
      <c r="AB2201" t="s">
        <v>3578</v>
      </c>
      <c r="AC2201" t="s">
        <v>3579</v>
      </c>
      <c r="AD2201" t="s">
        <v>3478</v>
      </c>
      <c r="AE2201" t="s">
        <v>3475</v>
      </c>
      <c r="AF2201" s="2">
        <v>3399.99</v>
      </c>
      <c r="AG2201" s="2">
        <v>1912.1543999999999</v>
      </c>
      <c r="AH2201" s="2">
        <v>1487.8356000000001</v>
      </c>
      <c r="AI2201" s="3">
        <v>0.43759999294115598</v>
      </c>
    </row>
    <row r="2202" spans="1:35">
      <c r="A2202" s="1">
        <v>42012</v>
      </c>
      <c r="B2202" s="1">
        <v>37154</v>
      </c>
      <c r="C2202" t="s">
        <v>3632</v>
      </c>
      <c r="D2202">
        <v>348</v>
      </c>
      <c r="E2202">
        <v>25984</v>
      </c>
      <c r="F2202">
        <v>4</v>
      </c>
      <c r="G2202">
        <v>1</v>
      </c>
      <c r="H2202">
        <v>1</v>
      </c>
      <c r="I2202">
        <v>1</v>
      </c>
      <c r="J2202" t="s">
        <v>3527</v>
      </c>
      <c r="K2202" t="s">
        <v>3528</v>
      </c>
      <c r="L2202" s="2">
        <v>1898.0944</v>
      </c>
      <c r="M2202" s="2">
        <v>3374.99</v>
      </c>
      <c r="N2202" t="s">
        <v>30</v>
      </c>
      <c r="O2202" t="s">
        <v>588</v>
      </c>
      <c r="P2202" t="s">
        <v>240</v>
      </c>
      <c r="Q2202" t="s">
        <v>8530</v>
      </c>
      <c r="R2202" s="1">
        <v>23341</v>
      </c>
      <c r="S2202" t="s">
        <v>22</v>
      </c>
      <c r="T2202" t="s">
        <v>29</v>
      </c>
      <c r="U2202" t="s">
        <v>3033</v>
      </c>
      <c r="V2202">
        <v>60000</v>
      </c>
      <c r="W2202">
        <v>3</v>
      </c>
      <c r="X2202" t="s">
        <v>135</v>
      </c>
      <c r="Y2202" t="s">
        <v>18</v>
      </c>
      <c r="Z2202" t="s">
        <v>19</v>
      </c>
      <c r="AA2202" t="s">
        <v>3580</v>
      </c>
      <c r="AB2202" t="s">
        <v>3578</v>
      </c>
      <c r="AC2202" t="s">
        <v>3579</v>
      </c>
      <c r="AD2202" t="s">
        <v>3478</v>
      </c>
      <c r="AE2202" t="s">
        <v>3475</v>
      </c>
      <c r="AF2202" s="2">
        <v>3374.99</v>
      </c>
      <c r="AG2202" s="2">
        <v>1898.0944</v>
      </c>
      <c r="AH2202" s="2">
        <v>1476.8956000000001</v>
      </c>
      <c r="AI2202" s="3">
        <v>0.43759999288886797</v>
      </c>
    </row>
    <row r="2203" spans="1:35">
      <c r="A2203" s="1">
        <v>42015</v>
      </c>
      <c r="B2203" s="1">
        <v>37232</v>
      </c>
      <c r="C2203" t="s">
        <v>3648</v>
      </c>
      <c r="D2203">
        <v>350</v>
      </c>
      <c r="E2203">
        <v>25985</v>
      </c>
      <c r="F2203">
        <v>4</v>
      </c>
      <c r="G2203">
        <v>1</v>
      </c>
      <c r="H2203">
        <v>1</v>
      </c>
      <c r="I2203">
        <v>1</v>
      </c>
      <c r="J2203" t="s">
        <v>3531</v>
      </c>
      <c r="K2203" t="s">
        <v>3532</v>
      </c>
      <c r="L2203" s="2">
        <v>1898.0944</v>
      </c>
      <c r="M2203" s="2">
        <v>3374.99</v>
      </c>
      <c r="N2203" t="s">
        <v>13</v>
      </c>
      <c r="O2203" t="s">
        <v>614</v>
      </c>
      <c r="P2203" t="s">
        <v>250</v>
      </c>
      <c r="Q2203" t="s">
        <v>8531</v>
      </c>
      <c r="R2203" s="1">
        <v>23158</v>
      </c>
      <c r="S2203" t="s">
        <v>16</v>
      </c>
      <c r="T2203" t="s">
        <v>16</v>
      </c>
      <c r="U2203" t="s">
        <v>3034</v>
      </c>
      <c r="V2203">
        <v>60000</v>
      </c>
      <c r="W2203">
        <v>3</v>
      </c>
      <c r="X2203" t="s">
        <v>135</v>
      </c>
      <c r="Y2203" t="s">
        <v>18</v>
      </c>
      <c r="Z2203" t="s">
        <v>23</v>
      </c>
      <c r="AA2203" t="s">
        <v>3580</v>
      </c>
      <c r="AB2203" t="s">
        <v>3578</v>
      </c>
      <c r="AC2203" t="s">
        <v>3579</v>
      </c>
      <c r="AD2203" t="s">
        <v>3478</v>
      </c>
      <c r="AE2203" t="s">
        <v>3475</v>
      </c>
      <c r="AF2203" s="2">
        <v>3374.99</v>
      </c>
      <c r="AG2203" s="2">
        <v>1898.0944</v>
      </c>
      <c r="AH2203" s="2">
        <v>1476.8956000000001</v>
      </c>
      <c r="AI2203" s="3">
        <v>0.43759999288886797</v>
      </c>
    </row>
    <row r="2204" spans="1:35">
      <c r="A2204" s="1">
        <v>42042</v>
      </c>
      <c r="B2204" s="1">
        <v>37249</v>
      </c>
      <c r="C2204" t="s">
        <v>3819</v>
      </c>
      <c r="D2204">
        <v>350</v>
      </c>
      <c r="E2204">
        <v>25986</v>
      </c>
      <c r="F2204">
        <v>1</v>
      </c>
      <c r="G2204">
        <v>1</v>
      </c>
      <c r="H2204">
        <v>1</v>
      </c>
      <c r="I2204">
        <v>1</v>
      </c>
      <c r="J2204" t="s">
        <v>3531</v>
      </c>
      <c r="K2204" t="s">
        <v>3532</v>
      </c>
      <c r="L2204" s="2">
        <v>1898.0944</v>
      </c>
      <c r="M2204" s="2">
        <v>3374.99</v>
      </c>
      <c r="N2204" t="s">
        <v>30</v>
      </c>
      <c r="O2204" t="s">
        <v>758</v>
      </c>
      <c r="P2204" t="s">
        <v>184</v>
      </c>
      <c r="Q2204" t="s">
        <v>8532</v>
      </c>
      <c r="R2204" s="1">
        <v>23035</v>
      </c>
      <c r="S2204" t="s">
        <v>16</v>
      </c>
      <c r="T2204" t="s">
        <v>29</v>
      </c>
      <c r="U2204" t="s">
        <v>3035</v>
      </c>
      <c r="V2204">
        <v>60000</v>
      </c>
      <c r="W2204">
        <v>3</v>
      </c>
      <c r="X2204" t="s">
        <v>135</v>
      </c>
      <c r="Y2204" t="s">
        <v>18</v>
      </c>
      <c r="Z2204" t="s">
        <v>23</v>
      </c>
      <c r="AA2204" t="s">
        <v>3577</v>
      </c>
      <c r="AB2204" t="s">
        <v>3578</v>
      </c>
      <c r="AC2204" t="s">
        <v>3579</v>
      </c>
      <c r="AD2204" t="s">
        <v>3478</v>
      </c>
      <c r="AE2204" t="s">
        <v>3475</v>
      </c>
      <c r="AF2204" s="2">
        <v>3374.99</v>
      </c>
      <c r="AG2204" s="2">
        <v>1898.0944</v>
      </c>
      <c r="AH2204" s="2">
        <v>1476.8956000000001</v>
      </c>
      <c r="AI2204" s="3">
        <v>0.43759999288886797</v>
      </c>
    </row>
    <row r="2205" spans="1:35">
      <c r="A2205" s="1">
        <v>42045</v>
      </c>
      <c r="B2205" s="1">
        <v>37249</v>
      </c>
      <c r="C2205" t="s">
        <v>3832</v>
      </c>
      <c r="D2205">
        <v>351</v>
      </c>
      <c r="E2205">
        <v>25987</v>
      </c>
      <c r="F2205">
        <v>4</v>
      </c>
      <c r="G2205">
        <v>1</v>
      </c>
      <c r="H2205">
        <v>1</v>
      </c>
      <c r="I2205">
        <v>1</v>
      </c>
      <c r="J2205" t="s">
        <v>3533</v>
      </c>
      <c r="K2205" t="s">
        <v>3534</v>
      </c>
      <c r="L2205" s="2">
        <v>1898.0944</v>
      </c>
      <c r="M2205" s="2">
        <v>3374.99</v>
      </c>
      <c r="N2205" t="s">
        <v>13</v>
      </c>
      <c r="O2205" t="s">
        <v>274</v>
      </c>
      <c r="P2205" t="s">
        <v>194</v>
      </c>
      <c r="Q2205" t="s">
        <v>8533</v>
      </c>
      <c r="R2205" s="1">
        <v>22791</v>
      </c>
      <c r="S2205" t="s">
        <v>16</v>
      </c>
      <c r="T2205" t="s">
        <v>16</v>
      </c>
      <c r="U2205" t="s">
        <v>3036</v>
      </c>
      <c r="V2205">
        <v>40000</v>
      </c>
      <c r="W2205">
        <v>3</v>
      </c>
      <c r="X2205" t="s">
        <v>57</v>
      </c>
      <c r="Y2205" t="s">
        <v>53</v>
      </c>
      <c r="Z2205" t="s">
        <v>19</v>
      </c>
      <c r="AA2205" t="s">
        <v>3580</v>
      </c>
      <c r="AB2205" t="s">
        <v>3578</v>
      </c>
      <c r="AC2205" t="s">
        <v>3579</v>
      </c>
      <c r="AD2205" t="s">
        <v>3478</v>
      </c>
      <c r="AE2205" t="s">
        <v>3475</v>
      </c>
      <c r="AF2205" s="2">
        <v>3374.99</v>
      </c>
      <c r="AG2205" s="2">
        <v>1898.0944</v>
      </c>
      <c r="AH2205" s="2">
        <v>1476.8956000000001</v>
      </c>
      <c r="AI2205" s="3">
        <v>0.43759999288886797</v>
      </c>
    </row>
    <row r="2206" spans="1:35">
      <c r="A2206" s="1">
        <v>42299</v>
      </c>
      <c r="B2206" s="1">
        <v>37463</v>
      </c>
      <c r="C2206" t="s">
        <v>5638</v>
      </c>
      <c r="D2206">
        <v>371</v>
      </c>
      <c r="E2206">
        <v>25989</v>
      </c>
      <c r="F2206">
        <v>6</v>
      </c>
      <c r="G2206">
        <v>1</v>
      </c>
      <c r="H2206">
        <v>1</v>
      </c>
      <c r="I2206">
        <v>2</v>
      </c>
      <c r="J2206" t="s">
        <v>3553</v>
      </c>
      <c r="K2206" t="s">
        <v>3554</v>
      </c>
      <c r="L2206" s="2">
        <v>1320.6838</v>
      </c>
      <c r="M2206" s="2">
        <v>2181.5625</v>
      </c>
      <c r="N2206" t="s">
        <v>13</v>
      </c>
      <c r="O2206" t="s">
        <v>118</v>
      </c>
      <c r="P2206" t="s">
        <v>127</v>
      </c>
      <c r="Q2206" t="s">
        <v>8534</v>
      </c>
      <c r="R2206" s="1">
        <v>22664</v>
      </c>
      <c r="S2206" t="s">
        <v>16</v>
      </c>
      <c r="T2206" t="s">
        <v>16</v>
      </c>
      <c r="U2206" t="s">
        <v>3037</v>
      </c>
      <c r="V2206">
        <v>70000</v>
      </c>
      <c r="W2206">
        <v>1</v>
      </c>
      <c r="X2206" t="s">
        <v>17</v>
      </c>
      <c r="Y2206" t="s">
        <v>18</v>
      </c>
      <c r="Z2206" t="s">
        <v>19</v>
      </c>
      <c r="AA2206" t="s">
        <v>3582</v>
      </c>
      <c r="AB2206" t="s">
        <v>3582</v>
      </c>
      <c r="AC2206" t="s">
        <v>3579</v>
      </c>
      <c r="AD2206" t="s">
        <v>3479</v>
      </c>
      <c r="AE2206" t="s">
        <v>3475</v>
      </c>
      <c r="AF2206" s="2">
        <v>2181.5625</v>
      </c>
      <c r="AG2206" s="2">
        <v>1320.6838</v>
      </c>
      <c r="AH2206" s="2">
        <v>860.87869999999998</v>
      </c>
      <c r="AI2206" s="3">
        <v>0.39461564818793898</v>
      </c>
    </row>
    <row r="2207" spans="1:35">
      <c r="A2207" s="1">
        <v>42051</v>
      </c>
      <c r="B2207" s="1">
        <v>37246</v>
      </c>
      <c r="C2207" t="s">
        <v>3876</v>
      </c>
      <c r="D2207">
        <v>345</v>
      </c>
      <c r="E2207">
        <v>25990</v>
      </c>
      <c r="F2207">
        <v>1</v>
      </c>
      <c r="G2207">
        <v>1</v>
      </c>
      <c r="H2207">
        <v>1</v>
      </c>
      <c r="I2207">
        <v>1</v>
      </c>
      <c r="J2207" t="s">
        <v>3521</v>
      </c>
      <c r="K2207" t="s">
        <v>3522</v>
      </c>
      <c r="L2207" s="2">
        <v>1912.1543999999999</v>
      </c>
      <c r="M2207" s="2">
        <v>3399.99</v>
      </c>
      <c r="N2207" t="s">
        <v>30</v>
      </c>
      <c r="O2207" t="s">
        <v>403</v>
      </c>
      <c r="P2207" t="s">
        <v>707</v>
      </c>
      <c r="Q2207" t="s">
        <v>8535</v>
      </c>
      <c r="R2207" s="1">
        <v>22880</v>
      </c>
      <c r="S2207" t="s">
        <v>22</v>
      </c>
      <c r="T2207" t="s">
        <v>29</v>
      </c>
      <c r="U2207" t="s">
        <v>3038</v>
      </c>
      <c r="V2207">
        <v>70000</v>
      </c>
      <c r="W2207">
        <v>1</v>
      </c>
      <c r="X2207" t="s">
        <v>17</v>
      </c>
      <c r="Y2207" t="s">
        <v>18</v>
      </c>
      <c r="Z2207" t="s">
        <v>23</v>
      </c>
      <c r="AA2207" t="s">
        <v>3577</v>
      </c>
      <c r="AB2207" t="s">
        <v>3578</v>
      </c>
      <c r="AC2207" t="s">
        <v>3579</v>
      </c>
      <c r="AD2207" t="s">
        <v>3478</v>
      </c>
      <c r="AE2207" t="s">
        <v>3475</v>
      </c>
      <c r="AF2207" s="2">
        <v>3399.99</v>
      </c>
      <c r="AG2207" s="2">
        <v>1912.1543999999999</v>
      </c>
      <c r="AH2207" s="2">
        <v>1487.8356000000001</v>
      </c>
      <c r="AI2207" s="3">
        <v>0.43759999294115598</v>
      </c>
    </row>
    <row r="2208" spans="1:35">
      <c r="A2208" s="1">
        <v>42285</v>
      </c>
      <c r="B2208" s="1">
        <v>37485</v>
      </c>
      <c r="C2208" t="s">
        <v>5529</v>
      </c>
      <c r="D2208">
        <v>379</v>
      </c>
      <c r="E2208">
        <v>25991</v>
      </c>
      <c r="F2208">
        <v>6</v>
      </c>
      <c r="G2208">
        <v>1</v>
      </c>
      <c r="H2208">
        <v>1</v>
      </c>
      <c r="I2208">
        <v>2</v>
      </c>
      <c r="J2208" t="s">
        <v>3561</v>
      </c>
      <c r="K2208" t="s">
        <v>3562</v>
      </c>
      <c r="L2208" s="2">
        <v>1320.6838</v>
      </c>
      <c r="M2208" s="2">
        <v>2181.5625</v>
      </c>
      <c r="N2208" t="s">
        <v>30</v>
      </c>
      <c r="O2208" t="s">
        <v>944</v>
      </c>
      <c r="P2208" t="s">
        <v>505</v>
      </c>
      <c r="Q2208" t="s">
        <v>8536</v>
      </c>
      <c r="R2208" s="1">
        <v>22717</v>
      </c>
      <c r="S2208" t="s">
        <v>16</v>
      </c>
      <c r="T2208" t="s">
        <v>29</v>
      </c>
      <c r="U2208" t="s">
        <v>3039</v>
      </c>
      <c r="V2208">
        <v>70000</v>
      </c>
      <c r="W2208">
        <v>1</v>
      </c>
      <c r="X2208" t="s">
        <v>52</v>
      </c>
      <c r="Y2208" t="s">
        <v>53</v>
      </c>
      <c r="Z2208" t="s">
        <v>19</v>
      </c>
      <c r="AA2208" t="s">
        <v>3582</v>
      </c>
      <c r="AB2208" t="s">
        <v>3582</v>
      </c>
      <c r="AC2208" t="s">
        <v>3579</v>
      </c>
      <c r="AD2208" t="s">
        <v>3479</v>
      </c>
      <c r="AE2208" t="s">
        <v>3475</v>
      </c>
      <c r="AF2208" s="2">
        <v>2181.5625</v>
      </c>
      <c r="AG2208" s="2">
        <v>1320.6838</v>
      </c>
      <c r="AH2208" s="2">
        <v>860.87869999999998</v>
      </c>
      <c r="AI2208" s="3">
        <v>0.39461564818793898</v>
      </c>
    </row>
    <row r="2209" spans="1:35">
      <c r="A2209" s="1">
        <v>42297</v>
      </c>
      <c r="B2209" s="1">
        <v>37500</v>
      </c>
      <c r="C2209" t="s">
        <v>5623</v>
      </c>
      <c r="D2209">
        <v>375</v>
      </c>
      <c r="E2209">
        <v>25992</v>
      </c>
      <c r="F2209">
        <v>6</v>
      </c>
      <c r="G2209">
        <v>1</v>
      </c>
      <c r="H2209">
        <v>1</v>
      </c>
      <c r="I2209">
        <v>2</v>
      </c>
      <c r="J2209" t="s">
        <v>3557</v>
      </c>
      <c r="K2209" t="s">
        <v>3558</v>
      </c>
      <c r="L2209" s="2">
        <v>1320.6838</v>
      </c>
      <c r="M2209" s="2">
        <v>2181.5625</v>
      </c>
      <c r="N2209" t="s">
        <v>30</v>
      </c>
      <c r="O2209" t="s">
        <v>306</v>
      </c>
      <c r="P2209" t="s">
        <v>113</v>
      </c>
      <c r="Q2209" t="s">
        <v>8537</v>
      </c>
      <c r="R2209" s="1">
        <v>22778</v>
      </c>
      <c r="S2209" t="s">
        <v>16</v>
      </c>
      <c r="T2209" t="s">
        <v>29</v>
      </c>
      <c r="U2209" t="s">
        <v>3040</v>
      </c>
      <c r="V2209">
        <v>70000</v>
      </c>
      <c r="W2209">
        <v>1</v>
      </c>
      <c r="X2209" t="s">
        <v>52</v>
      </c>
      <c r="Y2209" t="s">
        <v>53</v>
      </c>
      <c r="Z2209" t="s">
        <v>19</v>
      </c>
      <c r="AA2209" t="s">
        <v>3582</v>
      </c>
      <c r="AB2209" t="s">
        <v>3582</v>
      </c>
      <c r="AC2209" t="s">
        <v>3579</v>
      </c>
      <c r="AD2209" t="s">
        <v>3479</v>
      </c>
      <c r="AE2209" t="s">
        <v>3475</v>
      </c>
      <c r="AF2209" s="2">
        <v>2181.5625</v>
      </c>
      <c r="AG2209" s="2">
        <v>1320.6838</v>
      </c>
      <c r="AH2209" s="2">
        <v>860.87869999999998</v>
      </c>
      <c r="AI2209" s="3">
        <v>0.39461564818793898</v>
      </c>
    </row>
    <row r="2210" spans="1:35">
      <c r="A2210" s="1">
        <v>42061</v>
      </c>
      <c r="B2210" s="1">
        <v>37291</v>
      </c>
      <c r="C2210" t="s">
        <v>3927</v>
      </c>
      <c r="D2210">
        <v>350</v>
      </c>
      <c r="E2210">
        <v>25993</v>
      </c>
      <c r="F2210">
        <v>1</v>
      </c>
      <c r="G2210">
        <v>1</v>
      </c>
      <c r="H2210">
        <v>1</v>
      </c>
      <c r="I2210">
        <v>1</v>
      </c>
      <c r="J2210" t="s">
        <v>3531</v>
      </c>
      <c r="K2210" t="s">
        <v>3532</v>
      </c>
      <c r="L2210" s="2">
        <v>1898.0944</v>
      </c>
      <c r="M2210" s="2">
        <v>3374.99</v>
      </c>
      <c r="N2210" t="s">
        <v>30</v>
      </c>
      <c r="O2210" t="s">
        <v>124</v>
      </c>
      <c r="P2210" t="s">
        <v>570</v>
      </c>
      <c r="Q2210" t="s">
        <v>8538</v>
      </c>
      <c r="R2210" s="1">
        <v>22428</v>
      </c>
      <c r="S2210" t="s">
        <v>22</v>
      </c>
      <c r="T2210" t="s">
        <v>29</v>
      </c>
      <c r="U2210" t="s">
        <v>3041</v>
      </c>
      <c r="V2210">
        <v>40000</v>
      </c>
      <c r="W2210">
        <v>4</v>
      </c>
      <c r="X2210" t="s">
        <v>57</v>
      </c>
      <c r="Y2210" t="s">
        <v>53</v>
      </c>
      <c r="Z2210" t="s">
        <v>19</v>
      </c>
      <c r="AA2210" t="s">
        <v>3577</v>
      </c>
      <c r="AB2210" t="s">
        <v>3578</v>
      </c>
      <c r="AC2210" t="s">
        <v>3579</v>
      </c>
      <c r="AD2210" t="s">
        <v>3478</v>
      </c>
      <c r="AE2210" t="s">
        <v>3475</v>
      </c>
      <c r="AF2210" s="2">
        <v>3374.99</v>
      </c>
      <c r="AG2210" s="2">
        <v>1898.0944</v>
      </c>
      <c r="AH2210" s="2">
        <v>1476.8956000000001</v>
      </c>
      <c r="AI2210" s="3">
        <v>0.43759999288886797</v>
      </c>
    </row>
    <row r="2211" spans="1:35">
      <c r="A2211" s="1">
        <v>42040</v>
      </c>
      <c r="B2211" s="1">
        <v>37188</v>
      </c>
      <c r="C2211" t="s">
        <v>3808</v>
      </c>
      <c r="D2211">
        <v>349</v>
      </c>
      <c r="E2211">
        <v>25994</v>
      </c>
      <c r="F2211">
        <v>1</v>
      </c>
      <c r="G2211">
        <v>1</v>
      </c>
      <c r="H2211">
        <v>1</v>
      </c>
      <c r="I2211">
        <v>1</v>
      </c>
      <c r="J2211" t="s">
        <v>3529</v>
      </c>
      <c r="K2211" t="s">
        <v>3530</v>
      </c>
      <c r="L2211" s="2">
        <v>1898.0944</v>
      </c>
      <c r="M2211" s="2">
        <v>3374.99</v>
      </c>
      <c r="N2211" t="s">
        <v>13</v>
      </c>
      <c r="O2211" t="s">
        <v>765</v>
      </c>
      <c r="P2211" t="s">
        <v>99</v>
      </c>
      <c r="Q2211" t="s">
        <v>8539</v>
      </c>
      <c r="R2211" s="1">
        <v>22357</v>
      </c>
      <c r="S2211" t="s">
        <v>22</v>
      </c>
      <c r="T2211" t="s">
        <v>16</v>
      </c>
      <c r="U2211" t="s">
        <v>3042</v>
      </c>
      <c r="V2211">
        <v>40000</v>
      </c>
      <c r="W2211">
        <v>4</v>
      </c>
      <c r="X2211" t="s">
        <v>57</v>
      </c>
      <c r="Y2211" t="s">
        <v>53</v>
      </c>
      <c r="Z2211" t="s">
        <v>19</v>
      </c>
      <c r="AA2211" t="s">
        <v>3577</v>
      </c>
      <c r="AB2211" t="s">
        <v>3578</v>
      </c>
      <c r="AC2211" t="s">
        <v>3579</v>
      </c>
      <c r="AD2211" t="s">
        <v>3478</v>
      </c>
      <c r="AE2211" t="s">
        <v>3475</v>
      </c>
      <c r="AF2211" s="2">
        <v>3374.99</v>
      </c>
      <c r="AG2211" s="2">
        <v>1898.0944</v>
      </c>
      <c r="AH2211" s="2">
        <v>1476.8956000000001</v>
      </c>
      <c r="AI2211" s="3">
        <v>0.43759999288886797</v>
      </c>
    </row>
    <row r="2212" spans="1:35">
      <c r="A2212" s="1">
        <v>42366</v>
      </c>
      <c r="B2212" s="1">
        <v>37533</v>
      </c>
      <c r="C2212" t="s">
        <v>6192</v>
      </c>
      <c r="D2212">
        <v>370</v>
      </c>
      <c r="E2212">
        <v>25995</v>
      </c>
      <c r="F2212">
        <v>6</v>
      </c>
      <c r="G2212">
        <v>1</v>
      </c>
      <c r="H2212">
        <v>1</v>
      </c>
      <c r="I2212">
        <v>2</v>
      </c>
      <c r="J2212" t="s">
        <v>3551</v>
      </c>
      <c r="K2212" t="s">
        <v>3552</v>
      </c>
      <c r="L2212" s="2">
        <v>1518.7864</v>
      </c>
      <c r="M2212" s="2">
        <v>2443.35</v>
      </c>
      <c r="N2212" t="s">
        <v>13</v>
      </c>
      <c r="O2212" t="s">
        <v>985</v>
      </c>
      <c r="P2212" t="s">
        <v>177</v>
      </c>
      <c r="Q2212" t="s">
        <v>8540</v>
      </c>
      <c r="R2212" s="1">
        <v>22373</v>
      </c>
      <c r="S2212" t="s">
        <v>16</v>
      </c>
      <c r="T2212" t="s">
        <v>16</v>
      </c>
      <c r="U2212" t="s">
        <v>3043</v>
      </c>
      <c r="V2212">
        <v>40000</v>
      </c>
      <c r="W2212">
        <v>4</v>
      </c>
      <c r="X2212" t="s">
        <v>57</v>
      </c>
      <c r="Y2212" t="s">
        <v>53</v>
      </c>
      <c r="Z2212" t="s">
        <v>19</v>
      </c>
      <c r="AA2212" t="s">
        <v>3582</v>
      </c>
      <c r="AB2212" t="s">
        <v>3582</v>
      </c>
      <c r="AC2212" t="s">
        <v>3579</v>
      </c>
      <c r="AD2212" t="s">
        <v>3479</v>
      </c>
      <c r="AE2212" t="s">
        <v>3475</v>
      </c>
      <c r="AF2212" s="2">
        <v>2443.35</v>
      </c>
      <c r="AG2212" s="2">
        <v>1518.7864</v>
      </c>
      <c r="AH2212" s="2">
        <v>924.56359999999995</v>
      </c>
      <c r="AI2212" s="3">
        <v>0.37839998362903399</v>
      </c>
    </row>
    <row r="2213" spans="1:35">
      <c r="A2213" s="1">
        <v>42063</v>
      </c>
      <c r="B2213" s="1">
        <v>37211</v>
      </c>
      <c r="C2213" t="s">
        <v>3939</v>
      </c>
      <c r="D2213">
        <v>348</v>
      </c>
      <c r="E2213">
        <v>25996</v>
      </c>
      <c r="F2213">
        <v>4</v>
      </c>
      <c r="G2213">
        <v>1</v>
      </c>
      <c r="H2213">
        <v>1</v>
      </c>
      <c r="I2213">
        <v>1</v>
      </c>
      <c r="J2213" t="s">
        <v>3527</v>
      </c>
      <c r="K2213" t="s">
        <v>3528</v>
      </c>
      <c r="L2213" s="2">
        <v>1898.0944</v>
      </c>
      <c r="M2213" s="2">
        <v>3374.99</v>
      </c>
      <c r="N2213" t="s">
        <v>30</v>
      </c>
      <c r="O2213" t="s">
        <v>793</v>
      </c>
      <c r="P2213" t="s">
        <v>105</v>
      </c>
      <c r="Q2213" t="s">
        <v>8541</v>
      </c>
      <c r="R2213" s="1">
        <v>22508</v>
      </c>
      <c r="S2213" t="s">
        <v>16</v>
      </c>
      <c r="T2213" t="s">
        <v>29</v>
      </c>
      <c r="U2213" t="s">
        <v>3044</v>
      </c>
      <c r="V2213">
        <v>60000</v>
      </c>
      <c r="W2213">
        <v>1</v>
      </c>
      <c r="X2213" t="s">
        <v>52</v>
      </c>
      <c r="Y2213" t="s">
        <v>53</v>
      </c>
      <c r="Z2213" t="s">
        <v>19</v>
      </c>
      <c r="AA2213" t="s">
        <v>3580</v>
      </c>
      <c r="AB2213" t="s">
        <v>3578</v>
      </c>
      <c r="AC2213" t="s">
        <v>3579</v>
      </c>
      <c r="AD2213" t="s">
        <v>3478</v>
      </c>
      <c r="AE2213" t="s">
        <v>3475</v>
      </c>
      <c r="AF2213" s="2">
        <v>3374.99</v>
      </c>
      <c r="AG2213" s="2">
        <v>1898.0944</v>
      </c>
      <c r="AH2213" s="2">
        <v>1476.8956000000001</v>
      </c>
      <c r="AI2213" s="3">
        <v>0.43759999288886797</v>
      </c>
    </row>
    <row r="2214" spans="1:35">
      <c r="A2214" s="1">
        <v>42074</v>
      </c>
      <c r="B2214" s="1">
        <v>37250</v>
      </c>
      <c r="C2214" t="s">
        <v>4008</v>
      </c>
      <c r="D2214">
        <v>347</v>
      </c>
      <c r="E2214">
        <v>25997</v>
      </c>
      <c r="F2214">
        <v>4</v>
      </c>
      <c r="G2214">
        <v>1</v>
      </c>
      <c r="H2214">
        <v>1</v>
      </c>
      <c r="I2214">
        <v>1</v>
      </c>
      <c r="J2214" t="s">
        <v>3525</v>
      </c>
      <c r="K2214" t="s">
        <v>3526</v>
      </c>
      <c r="L2214" s="2">
        <v>1912.1543999999999</v>
      </c>
      <c r="M2214" s="2">
        <v>3399.99</v>
      </c>
      <c r="N2214" t="s">
        <v>30</v>
      </c>
      <c r="O2214" t="s">
        <v>593</v>
      </c>
      <c r="P2214" t="s">
        <v>240</v>
      </c>
      <c r="Q2214" t="s">
        <v>8542</v>
      </c>
      <c r="R2214" s="1">
        <v>22606</v>
      </c>
      <c r="S2214" t="s">
        <v>16</v>
      </c>
      <c r="T2214" t="s">
        <v>29</v>
      </c>
      <c r="U2214" t="s">
        <v>3045</v>
      </c>
      <c r="V2214">
        <v>60000</v>
      </c>
      <c r="W2214">
        <v>1</v>
      </c>
      <c r="X2214" t="s">
        <v>52</v>
      </c>
      <c r="Y2214" t="s">
        <v>53</v>
      </c>
      <c r="Z2214" t="s">
        <v>19</v>
      </c>
      <c r="AA2214" t="s">
        <v>3580</v>
      </c>
      <c r="AB2214" t="s">
        <v>3578</v>
      </c>
      <c r="AC2214" t="s">
        <v>3579</v>
      </c>
      <c r="AD2214" t="s">
        <v>3478</v>
      </c>
      <c r="AE2214" t="s">
        <v>3475</v>
      </c>
      <c r="AF2214" s="2">
        <v>3399.99</v>
      </c>
      <c r="AG2214" s="2">
        <v>1912.1543999999999</v>
      </c>
      <c r="AH2214" s="2">
        <v>1487.8356000000001</v>
      </c>
      <c r="AI2214" s="3">
        <v>0.43759999294115598</v>
      </c>
    </row>
    <row r="2215" spans="1:35">
      <c r="A2215" s="1">
        <v>42080</v>
      </c>
      <c r="B2215" s="1">
        <v>37315</v>
      </c>
      <c r="C2215" t="s">
        <v>4052</v>
      </c>
      <c r="D2215">
        <v>346</v>
      </c>
      <c r="E2215">
        <v>25998</v>
      </c>
      <c r="F2215">
        <v>1</v>
      </c>
      <c r="G2215">
        <v>1</v>
      </c>
      <c r="H2215">
        <v>1</v>
      </c>
      <c r="I2215">
        <v>1</v>
      </c>
      <c r="J2215" t="s">
        <v>3523</v>
      </c>
      <c r="K2215" t="s">
        <v>3524</v>
      </c>
      <c r="L2215" s="2">
        <v>1912.1543999999999</v>
      </c>
      <c r="M2215" s="2">
        <v>3399.99</v>
      </c>
      <c r="N2215" t="s">
        <v>13</v>
      </c>
      <c r="O2215" t="s">
        <v>765</v>
      </c>
      <c r="P2215" t="s">
        <v>243</v>
      </c>
      <c r="Q2215" t="s">
        <v>8543</v>
      </c>
      <c r="R2215" s="1">
        <v>22344</v>
      </c>
      <c r="S2215" t="s">
        <v>16</v>
      </c>
      <c r="T2215" t="s">
        <v>16</v>
      </c>
      <c r="U2215" t="s">
        <v>3046</v>
      </c>
      <c r="V2215">
        <v>60000</v>
      </c>
      <c r="W2215">
        <v>1</v>
      </c>
      <c r="X2215" t="s">
        <v>52</v>
      </c>
      <c r="Y2215" t="s">
        <v>53</v>
      </c>
      <c r="Z2215" t="s">
        <v>19</v>
      </c>
      <c r="AA2215" t="s">
        <v>3577</v>
      </c>
      <c r="AB2215" t="s">
        <v>3578</v>
      </c>
      <c r="AC2215" t="s">
        <v>3579</v>
      </c>
      <c r="AD2215" t="s">
        <v>3478</v>
      </c>
      <c r="AE2215" t="s">
        <v>3475</v>
      </c>
      <c r="AF2215" s="2">
        <v>3399.99</v>
      </c>
      <c r="AG2215" s="2">
        <v>1912.1543999999999</v>
      </c>
      <c r="AH2215" s="2">
        <v>1487.8356000000001</v>
      </c>
      <c r="AI2215" s="3">
        <v>0.43759999294115598</v>
      </c>
    </row>
    <row r="2216" spans="1:35">
      <c r="A2216" s="1">
        <v>42365</v>
      </c>
      <c r="B2216" s="1">
        <v>37540</v>
      </c>
      <c r="C2216" t="s">
        <v>6184</v>
      </c>
      <c r="D2216">
        <v>371</v>
      </c>
      <c r="E2216">
        <v>25999</v>
      </c>
      <c r="F2216">
        <v>6</v>
      </c>
      <c r="G2216">
        <v>1</v>
      </c>
      <c r="H2216">
        <v>1</v>
      </c>
      <c r="I2216">
        <v>2</v>
      </c>
      <c r="J2216" t="s">
        <v>3553</v>
      </c>
      <c r="K2216" t="s">
        <v>3554</v>
      </c>
      <c r="L2216" s="2">
        <v>1320.6838</v>
      </c>
      <c r="M2216" s="2">
        <v>2181.5625</v>
      </c>
      <c r="N2216" t="s">
        <v>13</v>
      </c>
      <c r="O2216" t="s">
        <v>792</v>
      </c>
      <c r="P2216" t="s">
        <v>366</v>
      </c>
      <c r="Q2216" t="s">
        <v>8544</v>
      </c>
      <c r="R2216" s="1">
        <v>22098</v>
      </c>
      <c r="S2216" t="s">
        <v>16</v>
      </c>
      <c r="T2216" t="s">
        <v>16</v>
      </c>
      <c r="U2216" t="s">
        <v>3047</v>
      </c>
      <c r="V2216">
        <v>40000</v>
      </c>
      <c r="W2216">
        <v>4</v>
      </c>
      <c r="X2216" t="s">
        <v>57</v>
      </c>
      <c r="Y2216" t="s">
        <v>53</v>
      </c>
      <c r="Z2216" t="s">
        <v>19</v>
      </c>
      <c r="AA2216" t="s">
        <v>3582</v>
      </c>
      <c r="AB2216" t="s">
        <v>3582</v>
      </c>
      <c r="AC2216" t="s">
        <v>3579</v>
      </c>
      <c r="AD2216" t="s">
        <v>3479</v>
      </c>
      <c r="AE2216" t="s">
        <v>3475</v>
      </c>
      <c r="AF2216" s="2">
        <v>2181.5625</v>
      </c>
      <c r="AG2216" s="2">
        <v>1320.6838</v>
      </c>
      <c r="AH2216" s="2">
        <v>860.87869999999998</v>
      </c>
      <c r="AI2216" s="3">
        <v>0.39461564818793898</v>
      </c>
    </row>
    <row r="2217" spans="1:35">
      <c r="A2217" s="1">
        <v>42089</v>
      </c>
      <c r="B2217" s="1">
        <v>37237</v>
      </c>
      <c r="C2217" t="s">
        <v>4112</v>
      </c>
      <c r="D2217">
        <v>345</v>
      </c>
      <c r="E2217">
        <v>26001</v>
      </c>
      <c r="F2217">
        <v>1</v>
      </c>
      <c r="G2217">
        <v>1</v>
      </c>
      <c r="H2217">
        <v>1</v>
      </c>
      <c r="I2217">
        <v>1</v>
      </c>
      <c r="J2217" t="s">
        <v>3521</v>
      </c>
      <c r="K2217" t="s">
        <v>3522</v>
      </c>
      <c r="L2217" s="2">
        <v>1912.1543999999999</v>
      </c>
      <c r="M2217" s="2">
        <v>3399.99</v>
      </c>
      <c r="N2217" t="s">
        <v>13</v>
      </c>
      <c r="O2217" t="s">
        <v>300</v>
      </c>
      <c r="P2217" t="s">
        <v>307</v>
      </c>
      <c r="Q2217" t="s">
        <v>8545</v>
      </c>
      <c r="R2217" s="1">
        <v>24556</v>
      </c>
      <c r="S2217" t="s">
        <v>22</v>
      </c>
      <c r="T2217" t="s">
        <v>16</v>
      </c>
      <c r="U2217" t="s">
        <v>3048</v>
      </c>
      <c r="V2217">
        <v>50000</v>
      </c>
      <c r="W2217">
        <v>0</v>
      </c>
      <c r="X2217" t="s">
        <v>52</v>
      </c>
      <c r="Y2217" t="s">
        <v>53</v>
      </c>
      <c r="Z2217" t="s">
        <v>23</v>
      </c>
      <c r="AA2217" t="s">
        <v>3577</v>
      </c>
      <c r="AB2217" t="s">
        <v>3578</v>
      </c>
      <c r="AC2217" t="s">
        <v>3579</v>
      </c>
      <c r="AD2217" t="s">
        <v>3478</v>
      </c>
      <c r="AE2217" t="s">
        <v>3475</v>
      </c>
      <c r="AF2217" s="2">
        <v>3399.99</v>
      </c>
      <c r="AG2217" s="2">
        <v>1912.1543999999999</v>
      </c>
      <c r="AH2217" s="2">
        <v>1487.8356000000001</v>
      </c>
      <c r="AI2217" s="3">
        <v>0.43759999294115598</v>
      </c>
    </row>
    <row r="2218" spans="1:35">
      <c r="A2218" s="1">
        <v>42094</v>
      </c>
      <c r="B2218" s="1">
        <v>37241</v>
      </c>
      <c r="C2218" t="s">
        <v>4139</v>
      </c>
      <c r="D2218">
        <v>351</v>
      </c>
      <c r="E2218">
        <v>26002</v>
      </c>
      <c r="F2218">
        <v>1</v>
      </c>
      <c r="G2218">
        <v>1</v>
      </c>
      <c r="H2218">
        <v>1</v>
      </c>
      <c r="I2218">
        <v>1</v>
      </c>
      <c r="J2218" t="s">
        <v>3533</v>
      </c>
      <c r="K2218" t="s">
        <v>3534</v>
      </c>
      <c r="L2218" s="2">
        <v>1898.0944</v>
      </c>
      <c r="M2218" s="2">
        <v>3374.99</v>
      </c>
      <c r="N2218" t="s">
        <v>13</v>
      </c>
      <c r="O2218" t="s">
        <v>683</v>
      </c>
      <c r="P2218" t="s">
        <v>44</v>
      </c>
      <c r="Q2218" t="s">
        <v>8546</v>
      </c>
      <c r="R2218" s="1">
        <v>24748</v>
      </c>
      <c r="S2218" t="s">
        <v>22</v>
      </c>
      <c r="T2218" t="s">
        <v>16</v>
      </c>
      <c r="U2218" t="s">
        <v>3049</v>
      </c>
      <c r="V2218">
        <v>50000</v>
      </c>
      <c r="W2218">
        <v>0</v>
      </c>
      <c r="X2218" t="s">
        <v>52</v>
      </c>
      <c r="Y2218" t="s">
        <v>53</v>
      </c>
      <c r="Z2218" t="s">
        <v>23</v>
      </c>
      <c r="AA2218" t="s">
        <v>3577</v>
      </c>
      <c r="AB2218" t="s">
        <v>3578</v>
      </c>
      <c r="AC2218" t="s">
        <v>3579</v>
      </c>
      <c r="AD2218" t="s">
        <v>3478</v>
      </c>
      <c r="AE2218" t="s">
        <v>3475</v>
      </c>
      <c r="AF2218" s="2">
        <v>3374.99</v>
      </c>
      <c r="AG2218" s="2">
        <v>1898.0944</v>
      </c>
      <c r="AH2218" s="2">
        <v>1476.8956000000001</v>
      </c>
      <c r="AI2218" s="3">
        <v>0.43759999288886797</v>
      </c>
    </row>
    <row r="2219" spans="1:35">
      <c r="A2219" s="1">
        <v>42076</v>
      </c>
      <c r="B2219" s="1">
        <v>37247</v>
      </c>
      <c r="C2219" t="s">
        <v>4017</v>
      </c>
      <c r="D2219">
        <v>349</v>
      </c>
      <c r="E2219">
        <v>26003</v>
      </c>
      <c r="F2219">
        <v>4</v>
      </c>
      <c r="G2219">
        <v>1</v>
      </c>
      <c r="H2219">
        <v>1</v>
      </c>
      <c r="I2219">
        <v>1</v>
      </c>
      <c r="J2219" t="s">
        <v>3529</v>
      </c>
      <c r="K2219" t="s">
        <v>3530</v>
      </c>
      <c r="L2219" s="2">
        <v>1898.0944</v>
      </c>
      <c r="M2219" s="2">
        <v>3374.99</v>
      </c>
      <c r="N2219" t="s">
        <v>26</v>
      </c>
      <c r="O2219" t="s">
        <v>90</v>
      </c>
      <c r="P2219" t="s">
        <v>561</v>
      </c>
      <c r="Q2219" t="s">
        <v>8547</v>
      </c>
      <c r="R2219" s="1">
        <v>24801</v>
      </c>
      <c r="S2219" t="s">
        <v>22</v>
      </c>
      <c r="T2219" t="s">
        <v>29</v>
      </c>
      <c r="U2219" t="s">
        <v>3050</v>
      </c>
      <c r="V2219">
        <v>60000</v>
      </c>
      <c r="W2219">
        <v>0</v>
      </c>
      <c r="X2219" t="s">
        <v>135</v>
      </c>
      <c r="Y2219" t="s">
        <v>18</v>
      </c>
      <c r="Z2219" t="s">
        <v>23</v>
      </c>
      <c r="AA2219" t="s">
        <v>3580</v>
      </c>
      <c r="AB2219" t="s">
        <v>3578</v>
      </c>
      <c r="AC2219" t="s">
        <v>3579</v>
      </c>
      <c r="AD2219" t="s">
        <v>3478</v>
      </c>
      <c r="AE2219" t="s">
        <v>3475</v>
      </c>
      <c r="AF2219" s="2">
        <v>3374.99</v>
      </c>
      <c r="AG2219" s="2">
        <v>1898.0944</v>
      </c>
      <c r="AH2219" s="2">
        <v>1476.8956000000001</v>
      </c>
      <c r="AI2219" s="3">
        <v>0.43759999288886797</v>
      </c>
    </row>
    <row r="2220" spans="1:35">
      <c r="A2220" s="1">
        <v>42077</v>
      </c>
      <c r="B2220" s="1">
        <v>37265</v>
      </c>
      <c r="C2220" t="s">
        <v>4026</v>
      </c>
      <c r="D2220">
        <v>346</v>
      </c>
      <c r="E2220">
        <v>26004</v>
      </c>
      <c r="F2220">
        <v>4</v>
      </c>
      <c r="G2220">
        <v>1</v>
      </c>
      <c r="H2220">
        <v>1</v>
      </c>
      <c r="I2220">
        <v>1</v>
      </c>
      <c r="J2220" t="s">
        <v>3523</v>
      </c>
      <c r="K2220" t="s">
        <v>3524</v>
      </c>
      <c r="L2220" s="2">
        <v>1912.1543999999999</v>
      </c>
      <c r="M2220" s="2">
        <v>3399.99</v>
      </c>
      <c r="N2220" t="s">
        <v>30</v>
      </c>
      <c r="O2220" t="s">
        <v>453</v>
      </c>
      <c r="P2220" t="s">
        <v>594</v>
      </c>
      <c r="Q2220" t="s">
        <v>8548</v>
      </c>
      <c r="R2220" s="1">
        <v>22228</v>
      </c>
      <c r="S2220" t="s">
        <v>16</v>
      </c>
      <c r="T2220" t="s">
        <v>29</v>
      </c>
      <c r="U2220" t="s">
        <v>3051</v>
      </c>
      <c r="V2220">
        <v>60000</v>
      </c>
      <c r="W2220">
        <v>1</v>
      </c>
      <c r="X2220" t="s">
        <v>52</v>
      </c>
      <c r="Y2220" t="s">
        <v>53</v>
      </c>
      <c r="Z2220" t="s">
        <v>19</v>
      </c>
      <c r="AA2220" t="s">
        <v>3580</v>
      </c>
      <c r="AB2220" t="s">
        <v>3578</v>
      </c>
      <c r="AC2220" t="s">
        <v>3579</v>
      </c>
      <c r="AD2220" t="s">
        <v>3478</v>
      </c>
      <c r="AE2220" t="s">
        <v>3475</v>
      </c>
      <c r="AF2220" s="2">
        <v>3399.99</v>
      </c>
      <c r="AG2220" s="2">
        <v>1912.1543999999999</v>
      </c>
      <c r="AH2220" s="2">
        <v>1487.8356000000001</v>
      </c>
      <c r="AI2220" s="3">
        <v>0.43759999294115598</v>
      </c>
    </row>
    <row r="2221" spans="1:35">
      <c r="A2221" s="1">
        <v>42080</v>
      </c>
      <c r="B2221" s="1">
        <v>37252</v>
      </c>
      <c r="C2221" t="s">
        <v>4048</v>
      </c>
      <c r="D2221">
        <v>344</v>
      </c>
      <c r="E2221">
        <v>26005</v>
      </c>
      <c r="F2221">
        <v>1</v>
      </c>
      <c r="G2221">
        <v>1</v>
      </c>
      <c r="H2221">
        <v>1</v>
      </c>
      <c r="I2221">
        <v>1</v>
      </c>
      <c r="J2221" t="s">
        <v>3519</v>
      </c>
      <c r="K2221" t="s">
        <v>3520</v>
      </c>
      <c r="L2221" s="2">
        <v>1912.1543999999999</v>
      </c>
      <c r="M2221" s="2">
        <v>3399.99</v>
      </c>
      <c r="N2221" t="s">
        <v>30</v>
      </c>
      <c r="O2221" t="s">
        <v>31</v>
      </c>
      <c r="P2221" t="s">
        <v>406</v>
      </c>
      <c r="Q2221" t="s">
        <v>8549</v>
      </c>
      <c r="R2221" s="1">
        <v>22238</v>
      </c>
      <c r="S2221" t="s">
        <v>16</v>
      </c>
      <c r="T2221" t="s">
        <v>29</v>
      </c>
      <c r="U2221" t="s">
        <v>3052</v>
      </c>
      <c r="V2221">
        <v>60000</v>
      </c>
      <c r="W2221">
        <v>1</v>
      </c>
      <c r="X2221" t="s">
        <v>52</v>
      </c>
      <c r="Y2221" t="s">
        <v>53</v>
      </c>
      <c r="Z2221" t="s">
        <v>19</v>
      </c>
      <c r="AA2221" t="s">
        <v>3577</v>
      </c>
      <c r="AB2221" t="s">
        <v>3578</v>
      </c>
      <c r="AC2221" t="s">
        <v>3579</v>
      </c>
      <c r="AD2221" t="s">
        <v>3478</v>
      </c>
      <c r="AE2221" t="s">
        <v>3475</v>
      </c>
      <c r="AF2221" s="2">
        <v>3399.99</v>
      </c>
      <c r="AG2221" s="2">
        <v>1912.1543999999999</v>
      </c>
      <c r="AH2221" s="2">
        <v>1487.8356000000001</v>
      </c>
      <c r="AI2221" s="3">
        <v>0.43759999294115598</v>
      </c>
    </row>
    <row r="2222" spans="1:35">
      <c r="A2222" s="1">
        <v>42071</v>
      </c>
      <c r="B2222" s="1">
        <v>37279</v>
      </c>
      <c r="C2222" t="s">
        <v>3995</v>
      </c>
      <c r="D2222">
        <v>351</v>
      </c>
      <c r="E2222">
        <v>26011</v>
      </c>
      <c r="F2222">
        <v>4</v>
      </c>
      <c r="G2222">
        <v>1</v>
      </c>
      <c r="H2222">
        <v>1</v>
      </c>
      <c r="I2222">
        <v>1</v>
      </c>
      <c r="J2222" t="s">
        <v>3533</v>
      </c>
      <c r="K2222" t="s">
        <v>3534</v>
      </c>
      <c r="L2222" s="2">
        <v>1898.0944</v>
      </c>
      <c r="M2222" s="2">
        <v>3374.99</v>
      </c>
      <c r="N2222" t="s">
        <v>30</v>
      </c>
      <c r="O2222" t="s">
        <v>3053</v>
      </c>
      <c r="P2222" t="s">
        <v>3054</v>
      </c>
      <c r="Q2222" t="s">
        <v>8550</v>
      </c>
      <c r="R2222" s="1">
        <v>21620</v>
      </c>
      <c r="S2222" t="s">
        <v>22</v>
      </c>
      <c r="T2222" t="s">
        <v>29</v>
      </c>
      <c r="U2222" t="s">
        <v>3055</v>
      </c>
      <c r="V2222">
        <v>80000</v>
      </c>
      <c r="W2222">
        <v>2</v>
      </c>
      <c r="X2222" t="s">
        <v>135</v>
      </c>
      <c r="Y2222" t="s">
        <v>18</v>
      </c>
      <c r="Z2222" t="s">
        <v>23</v>
      </c>
      <c r="AA2222" t="s">
        <v>3580</v>
      </c>
      <c r="AB2222" t="s">
        <v>3578</v>
      </c>
      <c r="AC2222" t="s">
        <v>3579</v>
      </c>
      <c r="AD2222" t="s">
        <v>3478</v>
      </c>
      <c r="AE2222" t="s">
        <v>3475</v>
      </c>
      <c r="AF2222" s="2">
        <v>3374.99</v>
      </c>
      <c r="AG2222" s="2">
        <v>1898.0944</v>
      </c>
      <c r="AH2222" s="2">
        <v>1476.8956000000001</v>
      </c>
      <c r="AI2222" s="3">
        <v>0.43759999288886797</v>
      </c>
    </row>
    <row r="2223" spans="1:35">
      <c r="A2223" s="1">
        <v>42104</v>
      </c>
      <c r="B2223" s="1">
        <v>37315</v>
      </c>
      <c r="C2223" t="s">
        <v>4195</v>
      </c>
      <c r="D2223">
        <v>349</v>
      </c>
      <c r="E2223">
        <v>26012</v>
      </c>
      <c r="F2223">
        <v>4</v>
      </c>
      <c r="G2223">
        <v>1</v>
      </c>
      <c r="H2223">
        <v>1</v>
      </c>
      <c r="I2223">
        <v>1</v>
      </c>
      <c r="J2223" t="s">
        <v>3529</v>
      </c>
      <c r="K2223" t="s">
        <v>3530</v>
      </c>
      <c r="L2223" s="2">
        <v>1898.0944</v>
      </c>
      <c r="M2223" s="2">
        <v>3374.99</v>
      </c>
      <c r="N2223" t="s">
        <v>13</v>
      </c>
      <c r="O2223" t="s">
        <v>3056</v>
      </c>
      <c r="P2223" t="s">
        <v>3057</v>
      </c>
      <c r="Q2223" t="s">
        <v>8551</v>
      </c>
      <c r="R2223" s="1">
        <v>21413</v>
      </c>
      <c r="S2223" t="s">
        <v>16</v>
      </c>
      <c r="T2223" t="s">
        <v>16</v>
      </c>
      <c r="U2223" t="s">
        <v>3058</v>
      </c>
      <c r="V2223">
        <v>80000</v>
      </c>
      <c r="W2223">
        <v>1</v>
      </c>
      <c r="X2223" t="s">
        <v>52</v>
      </c>
      <c r="Y2223" t="s">
        <v>53</v>
      </c>
      <c r="Z2223" t="s">
        <v>19</v>
      </c>
      <c r="AA2223" t="s">
        <v>3580</v>
      </c>
      <c r="AB2223" t="s">
        <v>3578</v>
      </c>
      <c r="AC2223" t="s">
        <v>3579</v>
      </c>
      <c r="AD2223" t="s">
        <v>3478</v>
      </c>
      <c r="AE2223" t="s">
        <v>3475</v>
      </c>
      <c r="AF2223" s="2">
        <v>3374.99</v>
      </c>
      <c r="AG2223" s="2">
        <v>1898.0944</v>
      </c>
      <c r="AH2223" s="2">
        <v>1476.8956000000001</v>
      </c>
      <c r="AI2223" s="3">
        <v>0.43759999288886797</v>
      </c>
    </row>
    <row r="2224" spans="1:35">
      <c r="A2224" s="1">
        <v>42110</v>
      </c>
      <c r="B2224" s="1">
        <v>37287</v>
      </c>
      <c r="C2224" t="s">
        <v>4236</v>
      </c>
      <c r="D2224">
        <v>344</v>
      </c>
      <c r="E2224">
        <v>26014</v>
      </c>
      <c r="F2224">
        <v>4</v>
      </c>
      <c r="G2224">
        <v>1</v>
      </c>
      <c r="H2224">
        <v>1</v>
      </c>
      <c r="I2224">
        <v>1</v>
      </c>
      <c r="J2224" t="s">
        <v>3519</v>
      </c>
      <c r="K2224" t="s">
        <v>3520</v>
      </c>
      <c r="L2224" s="2">
        <v>1912.1543999999999</v>
      </c>
      <c r="M2224" s="2">
        <v>3399.99</v>
      </c>
      <c r="N2224" t="s">
        <v>30</v>
      </c>
      <c r="O2224" t="s">
        <v>333</v>
      </c>
      <c r="P2224" t="s">
        <v>25</v>
      </c>
      <c r="Q2224" t="s">
        <v>8552</v>
      </c>
      <c r="R2224" s="1">
        <v>21357</v>
      </c>
      <c r="S2224" t="s">
        <v>22</v>
      </c>
      <c r="T2224" t="s">
        <v>29</v>
      </c>
      <c r="U2224" t="s">
        <v>3059</v>
      </c>
      <c r="V2224">
        <v>60000</v>
      </c>
      <c r="W2224">
        <v>1</v>
      </c>
      <c r="X2224" t="s">
        <v>17</v>
      </c>
      <c r="Y2224" t="s">
        <v>18</v>
      </c>
      <c r="Z2224" t="s">
        <v>23</v>
      </c>
      <c r="AA2224" t="s">
        <v>3580</v>
      </c>
      <c r="AB2224" t="s">
        <v>3578</v>
      </c>
      <c r="AC2224" t="s">
        <v>3579</v>
      </c>
      <c r="AD2224" t="s">
        <v>3478</v>
      </c>
      <c r="AE2224" t="s">
        <v>3475</v>
      </c>
      <c r="AF2224" s="2">
        <v>3399.99</v>
      </c>
      <c r="AG2224" s="2">
        <v>1912.1543999999999</v>
      </c>
      <c r="AH2224" s="2">
        <v>1487.8356000000001</v>
      </c>
      <c r="AI2224" s="3">
        <v>0.43759999294115598</v>
      </c>
    </row>
    <row r="2225" spans="1:35">
      <c r="A2225" s="1">
        <v>42100</v>
      </c>
      <c r="B2225" s="1">
        <v>37323</v>
      </c>
      <c r="C2225" t="s">
        <v>4171</v>
      </c>
      <c r="D2225">
        <v>345</v>
      </c>
      <c r="E2225">
        <v>26015</v>
      </c>
      <c r="F2225">
        <v>4</v>
      </c>
      <c r="G2225">
        <v>1</v>
      </c>
      <c r="H2225">
        <v>1</v>
      </c>
      <c r="I2225">
        <v>1</v>
      </c>
      <c r="J2225" t="s">
        <v>3521</v>
      </c>
      <c r="K2225" t="s">
        <v>3522</v>
      </c>
      <c r="L2225" s="2">
        <v>1912.1543999999999</v>
      </c>
      <c r="M2225" s="2">
        <v>3399.99</v>
      </c>
      <c r="N2225" t="s">
        <v>13</v>
      </c>
      <c r="O2225" t="s">
        <v>284</v>
      </c>
      <c r="P2225" t="s">
        <v>609</v>
      </c>
      <c r="Q2225" t="s">
        <v>8553</v>
      </c>
      <c r="R2225" s="1">
        <v>21297</v>
      </c>
      <c r="S2225" t="s">
        <v>16</v>
      </c>
      <c r="T2225" t="s">
        <v>16</v>
      </c>
      <c r="U2225" t="s">
        <v>3060</v>
      </c>
      <c r="V2225">
        <v>60000</v>
      </c>
      <c r="W2225">
        <v>1</v>
      </c>
      <c r="X2225" t="s">
        <v>17</v>
      </c>
      <c r="Y2225" t="s">
        <v>18</v>
      </c>
      <c r="Z2225" t="s">
        <v>19</v>
      </c>
      <c r="AA2225" t="s">
        <v>3580</v>
      </c>
      <c r="AB2225" t="s">
        <v>3578</v>
      </c>
      <c r="AC2225" t="s">
        <v>3579</v>
      </c>
      <c r="AD2225" t="s">
        <v>3478</v>
      </c>
      <c r="AE2225" t="s">
        <v>3475</v>
      </c>
      <c r="AF2225" s="2">
        <v>3399.99</v>
      </c>
      <c r="AG2225" s="2">
        <v>1912.1543999999999</v>
      </c>
      <c r="AH2225" s="2">
        <v>1487.8356000000001</v>
      </c>
      <c r="AI2225" s="3">
        <v>0.43759999294115598</v>
      </c>
    </row>
    <row r="2226" spans="1:35">
      <c r="A2226" s="1">
        <v>42113</v>
      </c>
      <c r="B2226" s="1">
        <v>37276</v>
      </c>
      <c r="C2226" t="s">
        <v>4257</v>
      </c>
      <c r="D2226">
        <v>349</v>
      </c>
      <c r="E2226">
        <v>26016</v>
      </c>
      <c r="F2226">
        <v>4</v>
      </c>
      <c r="G2226">
        <v>1</v>
      </c>
      <c r="H2226">
        <v>1</v>
      </c>
      <c r="I2226">
        <v>1</v>
      </c>
      <c r="J2226" t="s">
        <v>3529</v>
      </c>
      <c r="K2226" t="s">
        <v>3530</v>
      </c>
      <c r="L2226" s="2">
        <v>1898.0944</v>
      </c>
      <c r="M2226" s="2">
        <v>3374.99</v>
      </c>
      <c r="N2226" t="s">
        <v>13</v>
      </c>
      <c r="O2226" t="s">
        <v>414</v>
      </c>
      <c r="P2226" t="s">
        <v>64</v>
      </c>
      <c r="Q2226" t="s">
        <v>8554</v>
      </c>
      <c r="R2226" s="1">
        <v>21314</v>
      </c>
      <c r="S2226" t="s">
        <v>22</v>
      </c>
      <c r="T2226" t="s">
        <v>16</v>
      </c>
      <c r="U2226" t="s">
        <v>3061</v>
      </c>
      <c r="V2226">
        <v>60000</v>
      </c>
      <c r="W2226">
        <v>1</v>
      </c>
      <c r="X2226" t="s">
        <v>17</v>
      </c>
      <c r="Y2226" t="s">
        <v>18</v>
      </c>
      <c r="Z2226" t="s">
        <v>23</v>
      </c>
      <c r="AA2226" t="s">
        <v>3580</v>
      </c>
      <c r="AB2226" t="s">
        <v>3578</v>
      </c>
      <c r="AC2226" t="s">
        <v>3579</v>
      </c>
      <c r="AD2226" t="s">
        <v>3478</v>
      </c>
      <c r="AE2226" t="s">
        <v>3475</v>
      </c>
      <c r="AF2226" s="2">
        <v>3374.99</v>
      </c>
      <c r="AG2226" s="2">
        <v>1898.0944</v>
      </c>
      <c r="AH2226" s="2">
        <v>1476.8956000000001</v>
      </c>
      <c r="AI2226" s="3">
        <v>0.43759999288886797</v>
      </c>
    </row>
    <row r="2227" spans="1:35">
      <c r="A2227" s="1">
        <v>42119</v>
      </c>
      <c r="B2227" s="1">
        <v>37269</v>
      </c>
      <c r="C2227" t="s">
        <v>4300</v>
      </c>
      <c r="D2227">
        <v>347</v>
      </c>
      <c r="E2227">
        <v>26018</v>
      </c>
      <c r="F2227">
        <v>1</v>
      </c>
      <c r="G2227">
        <v>1</v>
      </c>
      <c r="H2227">
        <v>1</v>
      </c>
      <c r="I2227">
        <v>1</v>
      </c>
      <c r="J2227" t="s">
        <v>3525</v>
      </c>
      <c r="K2227" t="s">
        <v>3526</v>
      </c>
      <c r="L2227" s="2">
        <v>1912.1543999999999</v>
      </c>
      <c r="M2227" s="2">
        <v>3399.99</v>
      </c>
      <c r="N2227" t="s">
        <v>13</v>
      </c>
      <c r="O2227" t="s">
        <v>433</v>
      </c>
      <c r="P2227" t="s">
        <v>366</v>
      </c>
      <c r="Q2227" t="s">
        <v>8555</v>
      </c>
      <c r="R2227" s="1">
        <v>21384</v>
      </c>
      <c r="S2227" t="s">
        <v>16</v>
      </c>
      <c r="T2227" t="s">
        <v>16</v>
      </c>
      <c r="U2227" t="s">
        <v>3062</v>
      </c>
      <c r="V2227">
        <v>80000</v>
      </c>
      <c r="W2227">
        <v>5</v>
      </c>
      <c r="X2227" t="s">
        <v>135</v>
      </c>
      <c r="Y2227" t="s">
        <v>18</v>
      </c>
      <c r="Z2227" t="s">
        <v>19</v>
      </c>
      <c r="AA2227" t="s">
        <v>3577</v>
      </c>
      <c r="AB2227" t="s">
        <v>3578</v>
      </c>
      <c r="AC2227" t="s">
        <v>3579</v>
      </c>
      <c r="AD2227" t="s">
        <v>3478</v>
      </c>
      <c r="AE2227" t="s">
        <v>3475</v>
      </c>
      <c r="AF2227" s="2">
        <v>3399.99</v>
      </c>
      <c r="AG2227" s="2">
        <v>1912.1543999999999</v>
      </c>
      <c r="AH2227" s="2">
        <v>1487.8356000000001</v>
      </c>
      <c r="AI2227" s="3">
        <v>0.43759999294115598</v>
      </c>
    </row>
    <row r="2228" spans="1:35">
      <c r="A2228" s="1">
        <v>42191</v>
      </c>
      <c r="B2228" s="1">
        <v>37398</v>
      </c>
      <c r="C2228" t="s">
        <v>4813</v>
      </c>
      <c r="D2228">
        <v>320</v>
      </c>
      <c r="E2228">
        <v>26019</v>
      </c>
      <c r="F2228">
        <v>9</v>
      </c>
      <c r="G2228">
        <v>1</v>
      </c>
      <c r="H2228">
        <v>1</v>
      </c>
      <c r="I2228">
        <v>2</v>
      </c>
      <c r="J2228" t="s">
        <v>3495</v>
      </c>
      <c r="K2228" t="s">
        <v>3496</v>
      </c>
      <c r="L2228" s="2">
        <v>413.1463</v>
      </c>
      <c r="M2228" s="2">
        <v>699.09820000000002</v>
      </c>
      <c r="N2228" t="s">
        <v>13</v>
      </c>
      <c r="O2228" t="s">
        <v>301</v>
      </c>
      <c r="P2228" t="s">
        <v>425</v>
      </c>
      <c r="Q2228" t="s">
        <v>8556</v>
      </c>
      <c r="R2228" s="1">
        <v>25328</v>
      </c>
      <c r="S2228" t="s">
        <v>16</v>
      </c>
      <c r="T2228" t="s">
        <v>16</v>
      </c>
      <c r="U2228" t="s">
        <v>3063</v>
      </c>
      <c r="V2228">
        <v>80000</v>
      </c>
      <c r="W2228">
        <v>4</v>
      </c>
      <c r="X2228" t="s">
        <v>135</v>
      </c>
      <c r="Y2228" t="s">
        <v>45</v>
      </c>
      <c r="Z2228" t="s">
        <v>19</v>
      </c>
      <c r="AA2228" t="s">
        <v>3586</v>
      </c>
      <c r="AB2228" t="s">
        <v>3586</v>
      </c>
      <c r="AC2228" t="s">
        <v>3587</v>
      </c>
      <c r="AD2228" t="s">
        <v>3479</v>
      </c>
      <c r="AE2228" t="s">
        <v>3475</v>
      </c>
      <c r="AF2228" s="2">
        <v>699.09820000000002</v>
      </c>
      <c r="AG2228" s="2">
        <v>413.1463</v>
      </c>
      <c r="AH2228" s="2">
        <v>285.95190000000002</v>
      </c>
      <c r="AI2228" s="3">
        <v>0.409029661355157</v>
      </c>
    </row>
    <row r="2229" spans="1:35">
      <c r="A2229" s="1">
        <v>42196</v>
      </c>
      <c r="B2229" s="1">
        <v>37368</v>
      </c>
      <c r="C2229" t="s">
        <v>4844</v>
      </c>
      <c r="D2229">
        <v>338</v>
      </c>
      <c r="E2229">
        <v>26020</v>
      </c>
      <c r="F2229">
        <v>9</v>
      </c>
      <c r="G2229">
        <v>1</v>
      </c>
      <c r="H2229">
        <v>1</v>
      </c>
      <c r="I2229">
        <v>2</v>
      </c>
      <c r="J2229" t="s">
        <v>3513</v>
      </c>
      <c r="K2229" t="s">
        <v>3514</v>
      </c>
      <c r="L2229" s="2">
        <v>413.1463</v>
      </c>
      <c r="M2229" s="2">
        <v>699.09820000000002</v>
      </c>
      <c r="N2229" t="s">
        <v>13</v>
      </c>
      <c r="O2229" t="s">
        <v>1180</v>
      </c>
      <c r="P2229" t="s">
        <v>125</v>
      </c>
      <c r="Q2229" t="s">
        <v>8557</v>
      </c>
      <c r="R2229" s="1">
        <v>25313</v>
      </c>
      <c r="S2229" t="s">
        <v>16</v>
      </c>
      <c r="T2229" t="s">
        <v>16</v>
      </c>
      <c r="U2229" t="s">
        <v>3064</v>
      </c>
      <c r="V2229">
        <v>100000</v>
      </c>
      <c r="W2229">
        <v>1</v>
      </c>
      <c r="X2229" t="s">
        <v>135</v>
      </c>
      <c r="Y2229" t="s">
        <v>45</v>
      </c>
      <c r="Z2229" t="s">
        <v>19</v>
      </c>
      <c r="AA2229" t="s">
        <v>3586</v>
      </c>
      <c r="AB2229" t="s">
        <v>3586</v>
      </c>
      <c r="AC2229" t="s">
        <v>3587</v>
      </c>
      <c r="AD2229" t="s">
        <v>3479</v>
      </c>
      <c r="AE2229" t="s">
        <v>3475</v>
      </c>
      <c r="AF2229" s="2">
        <v>699.09820000000002</v>
      </c>
      <c r="AG2229" s="2">
        <v>413.1463</v>
      </c>
      <c r="AH2229" s="2">
        <v>285.95190000000002</v>
      </c>
      <c r="AI2229" s="3">
        <v>0.409029661355157</v>
      </c>
    </row>
    <row r="2230" spans="1:35">
      <c r="A2230" s="1">
        <v>42211</v>
      </c>
      <c r="B2230" s="1">
        <v>37415</v>
      </c>
      <c r="C2230" t="s">
        <v>4967</v>
      </c>
      <c r="D2230">
        <v>324</v>
      </c>
      <c r="E2230">
        <v>26021</v>
      </c>
      <c r="F2230">
        <v>9</v>
      </c>
      <c r="G2230">
        <v>1</v>
      </c>
      <c r="H2230">
        <v>1</v>
      </c>
      <c r="I2230">
        <v>2</v>
      </c>
      <c r="J2230" t="s">
        <v>3499</v>
      </c>
      <c r="K2230" t="s">
        <v>3500</v>
      </c>
      <c r="L2230" s="2">
        <v>413.1463</v>
      </c>
      <c r="M2230" s="2">
        <v>699.09820000000002</v>
      </c>
      <c r="N2230" t="s">
        <v>30</v>
      </c>
      <c r="O2230" t="s">
        <v>308</v>
      </c>
      <c r="P2230" t="s">
        <v>217</v>
      </c>
      <c r="Q2230" t="s">
        <v>8558</v>
      </c>
      <c r="R2230" s="1">
        <v>25412</v>
      </c>
      <c r="S2230" t="s">
        <v>22</v>
      </c>
      <c r="T2230" t="s">
        <v>29</v>
      </c>
      <c r="U2230" t="s">
        <v>3065</v>
      </c>
      <c r="V2230">
        <v>100000</v>
      </c>
      <c r="W2230">
        <v>1</v>
      </c>
      <c r="X2230" t="s">
        <v>135</v>
      </c>
      <c r="Y2230" t="s">
        <v>45</v>
      </c>
      <c r="Z2230" t="s">
        <v>19</v>
      </c>
      <c r="AA2230" t="s">
        <v>3586</v>
      </c>
      <c r="AB2230" t="s">
        <v>3586</v>
      </c>
      <c r="AC2230" t="s">
        <v>3587</v>
      </c>
      <c r="AD2230" t="s">
        <v>3479</v>
      </c>
      <c r="AE2230" t="s">
        <v>3475</v>
      </c>
      <c r="AF2230" s="2">
        <v>699.09820000000002</v>
      </c>
      <c r="AG2230" s="2">
        <v>413.1463</v>
      </c>
      <c r="AH2230" s="2">
        <v>285.95190000000002</v>
      </c>
      <c r="AI2230" s="3">
        <v>0.409029661355157</v>
      </c>
    </row>
    <row r="2231" spans="1:35">
      <c r="A2231" s="1">
        <v>42215</v>
      </c>
      <c r="B2231" s="1">
        <v>37374</v>
      </c>
      <c r="C2231" t="s">
        <v>4996</v>
      </c>
      <c r="D2231">
        <v>342</v>
      </c>
      <c r="E2231">
        <v>26022</v>
      </c>
      <c r="F2231">
        <v>9</v>
      </c>
      <c r="G2231">
        <v>1</v>
      </c>
      <c r="H2231">
        <v>1</v>
      </c>
      <c r="I2231">
        <v>2</v>
      </c>
      <c r="J2231" t="s">
        <v>3517</v>
      </c>
      <c r="K2231" t="s">
        <v>3518</v>
      </c>
      <c r="L2231" s="2">
        <v>413.1463</v>
      </c>
      <c r="M2231" s="2">
        <v>699.09820000000002</v>
      </c>
      <c r="N2231" t="s">
        <v>30</v>
      </c>
      <c r="O2231" t="s">
        <v>802</v>
      </c>
      <c r="P2231" t="s">
        <v>140</v>
      </c>
      <c r="Q2231" t="s">
        <v>8559</v>
      </c>
      <c r="R2231" s="1">
        <v>25297</v>
      </c>
      <c r="S2231" t="s">
        <v>16</v>
      </c>
      <c r="T2231" t="s">
        <v>29</v>
      </c>
      <c r="U2231" t="s">
        <v>3066</v>
      </c>
      <c r="V2231">
        <v>100000</v>
      </c>
      <c r="W2231">
        <v>1</v>
      </c>
      <c r="X2231" t="s">
        <v>135</v>
      </c>
      <c r="Y2231" t="s">
        <v>45</v>
      </c>
      <c r="Z2231" t="s">
        <v>19</v>
      </c>
      <c r="AA2231" t="s">
        <v>3586</v>
      </c>
      <c r="AB2231" t="s">
        <v>3586</v>
      </c>
      <c r="AC2231" t="s">
        <v>3587</v>
      </c>
      <c r="AD2231" t="s">
        <v>3479</v>
      </c>
      <c r="AE2231" t="s">
        <v>3475</v>
      </c>
      <c r="AF2231" s="2">
        <v>699.09820000000002</v>
      </c>
      <c r="AG2231" s="2">
        <v>413.1463</v>
      </c>
      <c r="AH2231" s="2">
        <v>285.95190000000002</v>
      </c>
      <c r="AI2231" s="3">
        <v>0.409029661355157</v>
      </c>
    </row>
    <row r="2232" spans="1:35">
      <c r="A2232" s="1">
        <v>42195</v>
      </c>
      <c r="B2232" s="1">
        <v>37353</v>
      </c>
      <c r="C2232" t="s">
        <v>4837</v>
      </c>
      <c r="D2232">
        <v>342</v>
      </c>
      <c r="E2232">
        <v>26023</v>
      </c>
      <c r="F2232">
        <v>9</v>
      </c>
      <c r="G2232">
        <v>1</v>
      </c>
      <c r="H2232">
        <v>1</v>
      </c>
      <c r="I2232">
        <v>2</v>
      </c>
      <c r="J2232" t="s">
        <v>3517</v>
      </c>
      <c r="K2232" t="s">
        <v>3518</v>
      </c>
      <c r="L2232" s="2">
        <v>413.1463</v>
      </c>
      <c r="M2232" s="2">
        <v>699.09820000000002</v>
      </c>
      <c r="N2232" t="s">
        <v>30</v>
      </c>
      <c r="O2232" t="s">
        <v>218</v>
      </c>
      <c r="P2232" t="s">
        <v>21</v>
      </c>
      <c r="Q2232" t="s">
        <v>8560</v>
      </c>
      <c r="R2232" s="1">
        <v>25151</v>
      </c>
      <c r="S2232" t="s">
        <v>16</v>
      </c>
      <c r="T2232" t="s">
        <v>29</v>
      </c>
      <c r="U2232" t="s">
        <v>3067</v>
      </c>
      <c r="V2232">
        <v>60000</v>
      </c>
      <c r="W2232">
        <v>2</v>
      </c>
      <c r="X2232" t="s">
        <v>17</v>
      </c>
      <c r="Y2232" t="s">
        <v>18</v>
      </c>
      <c r="Z2232" t="s">
        <v>23</v>
      </c>
      <c r="AA2232" t="s">
        <v>3586</v>
      </c>
      <c r="AB2232" t="s">
        <v>3586</v>
      </c>
      <c r="AC2232" t="s">
        <v>3587</v>
      </c>
      <c r="AD2232" t="s">
        <v>3479</v>
      </c>
      <c r="AE2232" t="s">
        <v>3475</v>
      </c>
      <c r="AF2232" s="2">
        <v>699.09820000000002</v>
      </c>
      <c r="AG2232" s="2">
        <v>413.1463</v>
      </c>
      <c r="AH2232" s="2">
        <v>285.95190000000002</v>
      </c>
      <c r="AI2232" s="3">
        <v>0.409029661355157</v>
      </c>
    </row>
    <row r="2233" spans="1:35">
      <c r="A2233" s="1">
        <v>42227</v>
      </c>
      <c r="B2233" s="1">
        <v>37435</v>
      </c>
      <c r="C2233" t="s">
        <v>5094</v>
      </c>
      <c r="D2233">
        <v>320</v>
      </c>
      <c r="E2233">
        <v>26024</v>
      </c>
      <c r="F2233">
        <v>9</v>
      </c>
      <c r="G2233">
        <v>1</v>
      </c>
      <c r="H2233">
        <v>1</v>
      </c>
      <c r="I2233">
        <v>2</v>
      </c>
      <c r="J2233" t="s">
        <v>3495</v>
      </c>
      <c r="K2233" t="s">
        <v>3496</v>
      </c>
      <c r="L2233" s="2">
        <v>413.1463</v>
      </c>
      <c r="M2233" s="2">
        <v>699.09820000000002</v>
      </c>
      <c r="N2233" t="s">
        <v>30</v>
      </c>
      <c r="O2233" t="s">
        <v>82</v>
      </c>
      <c r="P2233" t="s">
        <v>217</v>
      </c>
      <c r="Q2233" t="s">
        <v>8561</v>
      </c>
      <c r="R2233" s="1">
        <v>25862</v>
      </c>
      <c r="S2233" t="s">
        <v>22</v>
      </c>
      <c r="T2233" t="s">
        <v>29</v>
      </c>
      <c r="U2233" t="s">
        <v>3068</v>
      </c>
      <c r="V2233">
        <v>80000</v>
      </c>
      <c r="W2233">
        <v>4</v>
      </c>
      <c r="X2233" t="s">
        <v>135</v>
      </c>
      <c r="Y2233" t="s">
        <v>45</v>
      </c>
      <c r="Z2233" t="s">
        <v>19</v>
      </c>
      <c r="AA2233" t="s">
        <v>3586</v>
      </c>
      <c r="AB2233" t="s">
        <v>3586</v>
      </c>
      <c r="AC2233" t="s">
        <v>3587</v>
      </c>
      <c r="AD2233" t="s">
        <v>3479</v>
      </c>
      <c r="AE2233" t="s">
        <v>3475</v>
      </c>
      <c r="AF2233" s="2">
        <v>699.09820000000002</v>
      </c>
      <c r="AG2233" s="2">
        <v>413.1463</v>
      </c>
      <c r="AH2233" s="2">
        <v>285.95190000000002</v>
      </c>
      <c r="AI2233" s="3">
        <v>0.409029661355157</v>
      </c>
    </row>
    <row r="2234" spans="1:35">
      <c r="A2234" s="1">
        <v>42247</v>
      </c>
      <c r="B2234" s="1">
        <v>37427</v>
      </c>
      <c r="C2234" t="s">
        <v>5276</v>
      </c>
      <c r="D2234">
        <v>320</v>
      </c>
      <c r="E2234">
        <v>26025</v>
      </c>
      <c r="F2234">
        <v>9</v>
      </c>
      <c r="G2234">
        <v>1</v>
      </c>
      <c r="H2234">
        <v>1</v>
      </c>
      <c r="I2234">
        <v>2</v>
      </c>
      <c r="J2234" t="s">
        <v>3495</v>
      </c>
      <c r="K2234" t="s">
        <v>3496</v>
      </c>
      <c r="L2234" s="2">
        <v>413.1463</v>
      </c>
      <c r="M2234" s="2">
        <v>699.09820000000002</v>
      </c>
      <c r="N2234" t="s">
        <v>30</v>
      </c>
      <c r="O2234" t="s">
        <v>189</v>
      </c>
      <c r="P2234" t="s">
        <v>68</v>
      </c>
      <c r="Q2234" t="s">
        <v>8562</v>
      </c>
      <c r="R2234" s="1">
        <v>25614</v>
      </c>
      <c r="S2234" t="s">
        <v>22</v>
      </c>
      <c r="T2234" t="s">
        <v>29</v>
      </c>
      <c r="U2234" t="s">
        <v>3069</v>
      </c>
      <c r="V2234">
        <v>90000</v>
      </c>
      <c r="W2234">
        <v>2</v>
      </c>
      <c r="X2234" t="s">
        <v>17</v>
      </c>
      <c r="Y2234" t="s">
        <v>18</v>
      </c>
      <c r="Z2234" t="s">
        <v>19</v>
      </c>
      <c r="AA2234" t="s">
        <v>3586</v>
      </c>
      <c r="AB2234" t="s">
        <v>3586</v>
      </c>
      <c r="AC2234" t="s">
        <v>3587</v>
      </c>
      <c r="AD2234" t="s">
        <v>3479</v>
      </c>
      <c r="AE2234" t="s">
        <v>3475</v>
      </c>
      <c r="AF2234" s="2">
        <v>699.09820000000002</v>
      </c>
      <c r="AG2234" s="2">
        <v>413.1463</v>
      </c>
      <c r="AH2234" s="2">
        <v>285.95190000000002</v>
      </c>
      <c r="AI2234" s="3">
        <v>0.409029661355157</v>
      </c>
    </row>
    <row r="2235" spans="1:35">
      <c r="A2235" s="1">
        <v>42246</v>
      </c>
      <c r="B2235" s="1">
        <v>37441</v>
      </c>
      <c r="C2235" t="s">
        <v>5274</v>
      </c>
      <c r="D2235">
        <v>338</v>
      </c>
      <c r="E2235">
        <v>26027</v>
      </c>
      <c r="F2235">
        <v>9</v>
      </c>
      <c r="G2235">
        <v>1</v>
      </c>
      <c r="H2235">
        <v>1</v>
      </c>
      <c r="I2235">
        <v>2</v>
      </c>
      <c r="J2235" t="s">
        <v>3513</v>
      </c>
      <c r="K2235" t="s">
        <v>3514</v>
      </c>
      <c r="L2235" s="2">
        <v>413.1463</v>
      </c>
      <c r="M2235" s="2">
        <v>699.09820000000002</v>
      </c>
      <c r="N2235" t="s">
        <v>30</v>
      </c>
      <c r="O2235" t="s">
        <v>132</v>
      </c>
      <c r="P2235" t="s">
        <v>159</v>
      </c>
      <c r="Q2235" t="s">
        <v>8563</v>
      </c>
      <c r="R2235" s="1">
        <v>25561</v>
      </c>
      <c r="S2235" t="s">
        <v>22</v>
      </c>
      <c r="T2235" t="s">
        <v>29</v>
      </c>
      <c r="U2235" t="s">
        <v>3070</v>
      </c>
      <c r="V2235">
        <v>110000</v>
      </c>
      <c r="W2235">
        <v>1</v>
      </c>
      <c r="X2235" t="s">
        <v>135</v>
      </c>
      <c r="Y2235" t="s">
        <v>45</v>
      </c>
      <c r="Z2235" t="s">
        <v>23</v>
      </c>
      <c r="AA2235" t="s">
        <v>3586</v>
      </c>
      <c r="AB2235" t="s">
        <v>3586</v>
      </c>
      <c r="AC2235" t="s">
        <v>3587</v>
      </c>
      <c r="AD2235" t="s">
        <v>3479</v>
      </c>
      <c r="AE2235" t="s">
        <v>3475</v>
      </c>
      <c r="AF2235" s="2">
        <v>699.09820000000002</v>
      </c>
      <c r="AG2235" s="2">
        <v>413.1463</v>
      </c>
      <c r="AH2235" s="2">
        <v>285.95190000000002</v>
      </c>
      <c r="AI2235" s="3">
        <v>0.409029661355157</v>
      </c>
    </row>
    <row r="2236" spans="1:35">
      <c r="A2236" s="1">
        <v>42247</v>
      </c>
      <c r="B2236" s="1">
        <v>37456</v>
      </c>
      <c r="C2236" t="s">
        <v>5279</v>
      </c>
      <c r="D2236">
        <v>330</v>
      </c>
      <c r="E2236">
        <v>26028</v>
      </c>
      <c r="F2236">
        <v>9</v>
      </c>
      <c r="G2236">
        <v>1</v>
      </c>
      <c r="H2236">
        <v>1</v>
      </c>
      <c r="I2236">
        <v>2</v>
      </c>
      <c r="J2236" t="s">
        <v>3505</v>
      </c>
      <c r="K2236" t="s">
        <v>3506</v>
      </c>
      <c r="L2236" s="2">
        <v>413.1463</v>
      </c>
      <c r="M2236" s="2">
        <v>699.09820000000002</v>
      </c>
      <c r="N2236" t="s">
        <v>30</v>
      </c>
      <c r="O2236" t="s">
        <v>585</v>
      </c>
      <c r="P2236" t="s">
        <v>99</v>
      </c>
      <c r="Q2236" t="s">
        <v>8564</v>
      </c>
      <c r="R2236" s="1">
        <v>25490</v>
      </c>
      <c r="S2236" t="s">
        <v>22</v>
      </c>
      <c r="T2236" t="s">
        <v>29</v>
      </c>
      <c r="U2236" t="s">
        <v>3071</v>
      </c>
      <c r="V2236">
        <v>130000</v>
      </c>
      <c r="W2236">
        <v>1</v>
      </c>
      <c r="X2236" t="s">
        <v>135</v>
      </c>
      <c r="Y2236" t="s">
        <v>45</v>
      </c>
      <c r="Z2236" t="s">
        <v>23</v>
      </c>
      <c r="AA2236" t="s">
        <v>3586</v>
      </c>
      <c r="AB2236" t="s">
        <v>3586</v>
      </c>
      <c r="AC2236" t="s">
        <v>3587</v>
      </c>
      <c r="AD2236" t="s">
        <v>3479</v>
      </c>
      <c r="AE2236" t="s">
        <v>3475</v>
      </c>
      <c r="AF2236" s="2">
        <v>699.09820000000002</v>
      </c>
      <c r="AG2236" s="2">
        <v>413.1463</v>
      </c>
      <c r="AH2236" s="2">
        <v>285.95190000000002</v>
      </c>
      <c r="AI2236" s="3">
        <v>0.409029661355157</v>
      </c>
    </row>
    <row r="2237" spans="1:35">
      <c r="A2237" s="1">
        <v>42242</v>
      </c>
      <c r="B2237" s="1">
        <v>37434</v>
      </c>
      <c r="C2237" t="s">
        <v>5240</v>
      </c>
      <c r="D2237">
        <v>322</v>
      </c>
      <c r="E2237">
        <v>26029</v>
      </c>
      <c r="F2237">
        <v>9</v>
      </c>
      <c r="G2237">
        <v>1</v>
      </c>
      <c r="H2237">
        <v>1</v>
      </c>
      <c r="I2237">
        <v>2</v>
      </c>
      <c r="J2237" t="s">
        <v>3497</v>
      </c>
      <c r="K2237" t="s">
        <v>3498</v>
      </c>
      <c r="L2237" s="2">
        <v>413.1463</v>
      </c>
      <c r="M2237" s="2">
        <v>699.09820000000002</v>
      </c>
      <c r="N2237" t="s">
        <v>13</v>
      </c>
      <c r="O2237" t="s">
        <v>454</v>
      </c>
      <c r="P2237" t="s">
        <v>232</v>
      </c>
      <c r="Q2237" t="s">
        <v>8565</v>
      </c>
      <c r="R2237" s="1">
        <v>24307</v>
      </c>
      <c r="S2237" t="s">
        <v>16</v>
      </c>
      <c r="T2237" t="s">
        <v>16</v>
      </c>
      <c r="U2237" t="s">
        <v>3072</v>
      </c>
      <c r="V2237">
        <v>80000</v>
      </c>
      <c r="W2237">
        <v>5</v>
      </c>
      <c r="X2237" t="s">
        <v>135</v>
      </c>
      <c r="Y2237" t="s">
        <v>45</v>
      </c>
      <c r="Z2237" t="s">
        <v>23</v>
      </c>
      <c r="AA2237" t="s">
        <v>3586</v>
      </c>
      <c r="AB2237" t="s">
        <v>3586</v>
      </c>
      <c r="AC2237" t="s">
        <v>3587</v>
      </c>
      <c r="AD2237" t="s">
        <v>3479</v>
      </c>
      <c r="AE2237" t="s">
        <v>3475</v>
      </c>
      <c r="AF2237" s="2">
        <v>699.09820000000002</v>
      </c>
      <c r="AG2237" s="2">
        <v>413.1463</v>
      </c>
      <c r="AH2237" s="2">
        <v>285.95190000000002</v>
      </c>
      <c r="AI2237" s="3">
        <v>0.409029661355157</v>
      </c>
    </row>
    <row r="2238" spans="1:35">
      <c r="A2238" s="1">
        <v>42225</v>
      </c>
      <c r="B2238" s="1">
        <v>37380</v>
      </c>
      <c r="C2238" t="s">
        <v>5079</v>
      </c>
      <c r="D2238">
        <v>342</v>
      </c>
      <c r="E2238">
        <v>26033</v>
      </c>
      <c r="F2238">
        <v>9</v>
      </c>
      <c r="G2238">
        <v>1</v>
      </c>
      <c r="H2238">
        <v>1</v>
      </c>
      <c r="I2238">
        <v>2</v>
      </c>
      <c r="J2238" t="s">
        <v>3517</v>
      </c>
      <c r="K2238" t="s">
        <v>3518</v>
      </c>
      <c r="L2238" s="2">
        <v>413.1463</v>
      </c>
      <c r="M2238" s="2">
        <v>699.09820000000002</v>
      </c>
      <c r="N2238" t="s">
        <v>13</v>
      </c>
      <c r="O2238" t="s">
        <v>577</v>
      </c>
      <c r="P2238" t="s">
        <v>232</v>
      </c>
      <c r="Q2238" t="s">
        <v>8566</v>
      </c>
      <c r="R2238" s="1">
        <v>23936</v>
      </c>
      <c r="S2238" t="s">
        <v>22</v>
      </c>
      <c r="T2238" t="s">
        <v>16</v>
      </c>
      <c r="U2238" t="s">
        <v>3073</v>
      </c>
      <c r="V2238">
        <v>70000</v>
      </c>
      <c r="W2238">
        <v>0</v>
      </c>
      <c r="X2238" t="s">
        <v>17</v>
      </c>
      <c r="Y2238" t="s">
        <v>18</v>
      </c>
      <c r="Z2238" t="s">
        <v>19</v>
      </c>
      <c r="AA2238" t="s">
        <v>3586</v>
      </c>
      <c r="AB2238" t="s">
        <v>3586</v>
      </c>
      <c r="AC2238" t="s">
        <v>3587</v>
      </c>
      <c r="AD2238" t="s">
        <v>3479</v>
      </c>
      <c r="AE2238" t="s">
        <v>3475</v>
      </c>
      <c r="AF2238" s="2">
        <v>699.09820000000002</v>
      </c>
      <c r="AG2238" s="2">
        <v>413.1463</v>
      </c>
      <c r="AH2238" s="2">
        <v>285.95190000000002</v>
      </c>
      <c r="AI2238" s="3">
        <v>0.409029661355157</v>
      </c>
    </row>
    <row r="2239" spans="1:35">
      <c r="A2239" s="1">
        <v>42096</v>
      </c>
      <c r="B2239" s="1">
        <v>37291</v>
      </c>
      <c r="C2239" t="s">
        <v>4146</v>
      </c>
      <c r="D2239">
        <v>346</v>
      </c>
      <c r="E2239">
        <v>26041</v>
      </c>
      <c r="F2239">
        <v>1</v>
      </c>
      <c r="G2239">
        <v>1</v>
      </c>
      <c r="H2239">
        <v>1</v>
      </c>
      <c r="I2239">
        <v>1</v>
      </c>
      <c r="J2239" t="s">
        <v>3523</v>
      </c>
      <c r="K2239" t="s">
        <v>3524</v>
      </c>
      <c r="L2239" s="2">
        <v>1912.1543999999999</v>
      </c>
      <c r="M2239" s="2">
        <v>3399.99</v>
      </c>
      <c r="N2239" t="s">
        <v>30</v>
      </c>
      <c r="O2239" t="s">
        <v>1096</v>
      </c>
      <c r="P2239" t="s">
        <v>25</v>
      </c>
      <c r="Q2239" t="s">
        <v>8567</v>
      </c>
      <c r="R2239" s="1">
        <v>21006</v>
      </c>
      <c r="S2239" t="s">
        <v>16</v>
      </c>
      <c r="T2239" t="s">
        <v>29</v>
      </c>
      <c r="U2239" t="s">
        <v>3074</v>
      </c>
      <c r="V2239">
        <v>70000</v>
      </c>
      <c r="W2239">
        <v>3</v>
      </c>
      <c r="X2239" t="s">
        <v>52</v>
      </c>
      <c r="Y2239" t="s">
        <v>18</v>
      </c>
      <c r="Z2239" t="s">
        <v>19</v>
      </c>
      <c r="AA2239" t="s">
        <v>3577</v>
      </c>
      <c r="AB2239" t="s">
        <v>3578</v>
      </c>
      <c r="AC2239" t="s">
        <v>3579</v>
      </c>
      <c r="AD2239" t="s">
        <v>3478</v>
      </c>
      <c r="AE2239" t="s">
        <v>3475</v>
      </c>
      <c r="AF2239" s="2">
        <v>3399.99</v>
      </c>
      <c r="AG2239" s="2">
        <v>1912.1543999999999</v>
      </c>
      <c r="AH2239" s="2">
        <v>1487.8356000000001</v>
      </c>
      <c r="AI2239" s="3">
        <v>0.43759999294115598</v>
      </c>
    </row>
    <row r="2240" spans="1:35">
      <c r="A2240" s="1">
        <v>42106</v>
      </c>
      <c r="B2240" s="1">
        <v>37278</v>
      </c>
      <c r="C2240" t="s">
        <v>4204</v>
      </c>
      <c r="D2240">
        <v>348</v>
      </c>
      <c r="E2240">
        <v>26042</v>
      </c>
      <c r="F2240">
        <v>4</v>
      </c>
      <c r="G2240">
        <v>1</v>
      </c>
      <c r="H2240">
        <v>1</v>
      </c>
      <c r="I2240">
        <v>1</v>
      </c>
      <c r="J2240" t="s">
        <v>3527</v>
      </c>
      <c r="K2240" t="s">
        <v>3528</v>
      </c>
      <c r="L2240" s="2">
        <v>1898.0944</v>
      </c>
      <c r="M2240" s="2">
        <v>3374.99</v>
      </c>
      <c r="N2240" t="s">
        <v>13</v>
      </c>
      <c r="O2240" t="s">
        <v>285</v>
      </c>
      <c r="P2240" t="s">
        <v>246</v>
      </c>
      <c r="Q2240" t="s">
        <v>8568</v>
      </c>
      <c r="R2240" s="1">
        <v>21099</v>
      </c>
      <c r="S2240" t="s">
        <v>16</v>
      </c>
      <c r="T2240" t="s">
        <v>16</v>
      </c>
      <c r="U2240" t="s">
        <v>3075</v>
      </c>
      <c r="V2240">
        <v>90000</v>
      </c>
      <c r="W2240">
        <v>2</v>
      </c>
      <c r="X2240" t="s">
        <v>52</v>
      </c>
      <c r="Y2240" t="s">
        <v>18</v>
      </c>
      <c r="Z2240" t="s">
        <v>23</v>
      </c>
      <c r="AA2240" t="s">
        <v>3580</v>
      </c>
      <c r="AB2240" t="s">
        <v>3578</v>
      </c>
      <c r="AC2240" t="s">
        <v>3579</v>
      </c>
      <c r="AD2240" t="s">
        <v>3478</v>
      </c>
      <c r="AE2240" t="s">
        <v>3475</v>
      </c>
      <c r="AF2240" s="2">
        <v>3374.99</v>
      </c>
      <c r="AG2240" s="2">
        <v>1898.0944</v>
      </c>
      <c r="AH2240" s="2">
        <v>1476.8956000000001</v>
      </c>
      <c r="AI2240" s="3">
        <v>0.43759999288886797</v>
      </c>
    </row>
    <row r="2241" spans="1:35">
      <c r="A2241" s="1">
        <v>42098</v>
      </c>
      <c r="B2241" s="1">
        <v>37323</v>
      </c>
      <c r="C2241" t="s">
        <v>4158</v>
      </c>
      <c r="D2241">
        <v>348</v>
      </c>
      <c r="E2241">
        <v>26050</v>
      </c>
      <c r="F2241">
        <v>1</v>
      </c>
      <c r="G2241">
        <v>1</v>
      </c>
      <c r="H2241">
        <v>1</v>
      </c>
      <c r="I2241">
        <v>1</v>
      </c>
      <c r="J2241" t="s">
        <v>3527</v>
      </c>
      <c r="K2241" t="s">
        <v>3528</v>
      </c>
      <c r="L2241" s="2">
        <v>1898.0944</v>
      </c>
      <c r="M2241" s="2">
        <v>3374.99</v>
      </c>
      <c r="N2241" t="s">
        <v>13</v>
      </c>
      <c r="O2241" t="s">
        <v>58</v>
      </c>
      <c r="P2241" t="s">
        <v>161</v>
      </c>
      <c r="Q2241" t="s">
        <v>8569</v>
      </c>
      <c r="R2241" s="1">
        <v>20712</v>
      </c>
      <c r="S2241" t="s">
        <v>22</v>
      </c>
      <c r="T2241" t="s">
        <v>16</v>
      </c>
      <c r="U2241" t="s">
        <v>3076</v>
      </c>
      <c r="V2241">
        <v>60000</v>
      </c>
      <c r="W2241">
        <v>2</v>
      </c>
      <c r="X2241" t="s">
        <v>57</v>
      </c>
      <c r="Y2241" t="s">
        <v>18</v>
      </c>
      <c r="Z2241" t="s">
        <v>23</v>
      </c>
      <c r="AA2241" t="s">
        <v>3577</v>
      </c>
      <c r="AB2241" t="s">
        <v>3578</v>
      </c>
      <c r="AC2241" t="s">
        <v>3579</v>
      </c>
      <c r="AD2241" t="s">
        <v>3478</v>
      </c>
      <c r="AE2241" t="s">
        <v>3475</v>
      </c>
      <c r="AF2241" s="2">
        <v>3374.99</v>
      </c>
      <c r="AG2241" s="2">
        <v>1898.0944</v>
      </c>
      <c r="AH2241" s="2">
        <v>1476.8956000000001</v>
      </c>
      <c r="AI2241" s="3">
        <v>0.43759999288886797</v>
      </c>
    </row>
    <row r="2242" spans="1:35">
      <c r="A2242" s="1">
        <v>42116</v>
      </c>
      <c r="B2242" s="1">
        <v>37353</v>
      </c>
      <c r="C2242" t="s">
        <v>4277</v>
      </c>
      <c r="D2242">
        <v>344</v>
      </c>
      <c r="E2242">
        <v>26055</v>
      </c>
      <c r="F2242">
        <v>1</v>
      </c>
      <c r="G2242">
        <v>1</v>
      </c>
      <c r="H2242">
        <v>1</v>
      </c>
      <c r="I2242">
        <v>1</v>
      </c>
      <c r="J2242" t="s">
        <v>3519</v>
      </c>
      <c r="K2242" t="s">
        <v>3520</v>
      </c>
      <c r="L2242" s="2">
        <v>1912.1543999999999</v>
      </c>
      <c r="M2242" s="2">
        <v>3399.99</v>
      </c>
      <c r="N2242" t="s">
        <v>13</v>
      </c>
      <c r="O2242" t="s">
        <v>67</v>
      </c>
      <c r="P2242" t="s">
        <v>321</v>
      </c>
      <c r="Q2242" t="s">
        <v>8570</v>
      </c>
      <c r="R2242" s="1">
        <v>23974</v>
      </c>
      <c r="S2242" t="s">
        <v>22</v>
      </c>
      <c r="T2242" t="s">
        <v>16</v>
      </c>
      <c r="U2242" t="s">
        <v>3077</v>
      </c>
      <c r="V2242">
        <v>100000</v>
      </c>
      <c r="W2242">
        <v>4</v>
      </c>
      <c r="X2242" t="s">
        <v>52</v>
      </c>
      <c r="Y2242" t="s">
        <v>18</v>
      </c>
      <c r="Z2242" t="s">
        <v>19</v>
      </c>
      <c r="AA2242" t="s">
        <v>3577</v>
      </c>
      <c r="AB2242" t="s">
        <v>3578</v>
      </c>
      <c r="AC2242" t="s">
        <v>3579</v>
      </c>
      <c r="AD2242" t="s">
        <v>3478</v>
      </c>
      <c r="AE2242" t="s">
        <v>3475</v>
      </c>
      <c r="AF2242" s="2">
        <v>3399.99</v>
      </c>
      <c r="AG2242" s="2">
        <v>1912.1543999999999</v>
      </c>
      <c r="AH2242" s="2">
        <v>1487.8356000000001</v>
      </c>
      <c r="AI2242" s="3">
        <v>0.43759999294115598</v>
      </c>
    </row>
    <row r="2243" spans="1:35">
      <c r="A2243" s="1">
        <v>42131</v>
      </c>
      <c r="B2243" s="1">
        <v>37305</v>
      </c>
      <c r="C2243" t="s">
        <v>4389</v>
      </c>
      <c r="D2243">
        <v>345</v>
      </c>
      <c r="E2243">
        <v>26056</v>
      </c>
      <c r="F2243">
        <v>4</v>
      </c>
      <c r="G2243">
        <v>1</v>
      </c>
      <c r="H2243">
        <v>1</v>
      </c>
      <c r="I2243">
        <v>1</v>
      </c>
      <c r="J2243" t="s">
        <v>3521</v>
      </c>
      <c r="K2243" t="s">
        <v>3522</v>
      </c>
      <c r="L2243" s="2">
        <v>1912.1543999999999</v>
      </c>
      <c r="M2243" s="2">
        <v>3399.99</v>
      </c>
      <c r="N2243" t="s">
        <v>30</v>
      </c>
      <c r="O2243" t="s">
        <v>1576</v>
      </c>
      <c r="P2243" t="s">
        <v>227</v>
      </c>
      <c r="Q2243" t="s">
        <v>8571</v>
      </c>
      <c r="R2243" s="1">
        <v>24091</v>
      </c>
      <c r="S2243" t="s">
        <v>22</v>
      </c>
      <c r="T2243" t="s">
        <v>29</v>
      </c>
      <c r="U2243" t="s">
        <v>3078</v>
      </c>
      <c r="V2243">
        <v>100000</v>
      </c>
      <c r="W2243">
        <v>4</v>
      </c>
      <c r="X2243" t="s">
        <v>52</v>
      </c>
      <c r="Y2243" t="s">
        <v>18</v>
      </c>
      <c r="Z2243" t="s">
        <v>19</v>
      </c>
      <c r="AA2243" t="s">
        <v>3580</v>
      </c>
      <c r="AB2243" t="s">
        <v>3578</v>
      </c>
      <c r="AC2243" t="s">
        <v>3579</v>
      </c>
      <c r="AD2243" t="s">
        <v>3478</v>
      </c>
      <c r="AE2243" t="s">
        <v>3475</v>
      </c>
      <c r="AF2243" s="2">
        <v>3399.99</v>
      </c>
      <c r="AG2243" s="2">
        <v>1912.1543999999999</v>
      </c>
      <c r="AH2243" s="2">
        <v>1487.8356000000001</v>
      </c>
      <c r="AI2243" s="3">
        <v>0.43759999294115598</v>
      </c>
    </row>
    <row r="2244" spans="1:35">
      <c r="A2244" s="1">
        <v>42148</v>
      </c>
      <c r="B2244" s="1">
        <v>37300</v>
      </c>
      <c r="C2244" t="s">
        <v>4509</v>
      </c>
      <c r="D2244">
        <v>347</v>
      </c>
      <c r="E2244">
        <v>26057</v>
      </c>
      <c r="F2244">
        <v>4</v>
      </c>
      <c r="G2244">
        <v>1</v>
      </c>
      <c r="H2244">
        <v>1</v>
      </c>
      <c r="I2244">
        <v>1</v>
      </c>
      <c r="J2244" t="s">
        <v>3525</v>
      </c>
      <c r="K2244" t="s">
        <v>3526</v>
      </c>
      <c r="L2244" s="2">
        <v>1912.1543999999999</v>
      </c>
      <c r="M2244" s="2">
        <v>3399.99</v>
      </c>
      <c r="N2244" t="s">
        <v>13</v>
      </c>
      <c r="O2244" t="s">
        <v>1180</v>
      </c>
      <c r="P2244" t="s">
        <v>561</v>
      </c>
      <c r="Q2244" t="s">
        <v>8572</v>
      </c>
      <c r="R2244" s="1">
        <v>23790</v>
      </c>
      <c r="S2244" t="s">
        <v>22</v>
      </c>
      <c r="T2244" t="s">
        <v>16</v>
      </c>
      <c r="U2244" t="s">
        <v>3079</v>
      </c>
      <c r="V2244">
        <v>110000</v>
      </c>
      <c r="W2244">
        <v>2</v>
      </c>
      <c r="X2244" t="s">
        <v>17</v>
      </c>
      <c r="Y2244" t="s">
        <v>45</v>
      </c>
      <c r="Z2244" t="s">
        <v>19</v>
      </c>
      <c r="AA2244" t="s">
        <v>3580</v>
      </c>
      <c r="AB2244" t="s">
        <v>3578</v>
      </c>
      <c r="AC2244" t="s">
        <v>3579</v>
      </c>
      <c r="AD2244" t="s">
        <v>3478</v>
      </c>
      <c r="AE2244" t="s">
        <v>3475</v>
      </c>
      <c r="AF2244" s="2">
        <v>3399.99</v>
      </c>
      <c r="AG2244" s="2">
        <v>1912.1543999999999</v>
      </c>
      <c r="AH2244" s="2">
        <v>1487.8356000000001</v>
      </c>
      <c r="AI2244" s="3">
        <v>0.43759999294115598</v>
      </c>
    </row>
    <row r="2245" spans="1:35">
      <c r="A2245" s="1">
        <v>42148</v>
      </c>
      <c r="B2245" s="1">
        <v>37326</v>
      </c>
      <c r="C2245" t="s">
        <v>4511</v>
      </c>
      <c r="D2245">
        <v>345</v>
      </c>
      <c r="E2245">
        <v>26058</v>
      </c>
      <c r="F2245">
        <v>4</v>
      </c>
      <c r="G2245">
        <v>1</v>
      </c>
      <c r="H2245">
        <v>1</v>
      </c>
      <c r="I2245">
        <v>1</v>
      </c>
      <c r="J2245" t="s">
        <v>3521</v>
      </c>
      <c r="K2245" t="s">
        <v>3522</v>
      </c>
      <c r="L2245" s="2">
        <v>1912.1543999999999</v>
      </c>
      <c r="M2245" s="2">
        <v>3399.99</v>
      </c>
      <c r="N2245" t="s">
        <v>30</v>
      </c>
      <c r="O2245" t="s">
        <v>793</v>
      </c>
      <c r="P2245" t="s">
        <v>345</v>
      </c>
      <c r="Q2245" t="s">
        <v>8573</v>
      </c>
      <c r="R2245" s="1">
        <v>24071</v>
      </c>
      <c r="S2245" t="s">
        <v>22</v>
      </c>
      <c r="T2245" t="s">
        <v>29</v>
      </c>
      <c r="U2245" t="s">
        <v>3080</v>
      </c>
      <c r="V2245">
        <v>120000</v>
      </c>
      <c r="W2245">
        <v>3</v>
      </c>
      <c r="X2245" t="s">
        <v>17</v>
      </c>
      <c r="Y2245" t="s">
        <v>45</v>
      </c>
      <c r="Z2245" t="s">
        <v>19</v>
      </c>
      <c r="AA2245" t="s">
        <v>3580</v>
      </c>
      <c r="AB2245" t="s">
        <v>3578</v>
      </c>
      <c r="AC2245" t="s">
        <v>3579</v>
      </c>
      <c r="AD2245" t="s">
        <v>3478</v>
      </c>
      <c r="AE2245" t="s">
        <v>3475</v>
      </c>
      <c r="AF2245" s="2">
        <v>3399.99</v>
      </c>
      <c r="AG2245" s="2">
        <v>1912.1543999999999</v>
      </c>
      <c r="AH2245" s="2">
        <v>1487.8356000000001</v>
      </c>
      <c r="AI2245" s="3">
        <v>0.43759999294115598</v>
      </c>
    </row>
    <row r="2246" spans="1:35">
      <c r="A2246" s="1">
        <v>42147</v>
      </c>
      <c r="B2246" s="1">
        <v>37325</v>
      </c>
      <c r="C2246" t="s">
        <v>4507</v>
      </c>
      <c r="D2246">
        <v>351</v>
      </c>
      <c r="E2246">
        <v>26060</v>
      </c>
      <c r="F2246">
        <v>4</v>
      </c>
      <c r="G2246">
        <v>1</v>
      </c>
      <c r="H2246">
        <v>1</v>
      </c>
      <c r="I2246">
        <v>1</v>
      </c>
      <c r="J2246" t="s">
        <v>3533</v>
      </c>
      <c r="K2246" t="s">
        <v>3534</v>
      </c>
      <c r="L2246" s="2">
        <v>1898.0944</v>
      </c>
      <c r="M2246" s="2">
        <v>3374.99</v>
      </c>
      <c r="N2246" t="s">
        <v>13</v>
      </c>
      <c r="O2246" t="s">
        <v>387</v>
      </c>
      <c r="P2246" t="s">
        <v>70</v>
      </c>
      <c r="Q2246" t="s">
        <v>8574</v>
      </c>
      <c r="R2246" s="1">
        <v>24058</v>
      </c>
      <c r="S2246" t="s">
        <v>16</v>
      </c>
      <c r="T2246" t="s">
        <v>16</v>
      </c>
      <c r="U2246" t="s">
        <v>3081</v>
      </c>
      <c r="V2246">
        <v>130000</v>
      </c>
      <c r="W2246">
        <v>1</v>
      </c>
      <c r="X2246" t="s">
        <v>135</v>
      </c>
      <c r="Y2246" t="s">
        <v>45</v>
      </c>
      <c r="Z2246" t="s">
        <v>19</v>
      </c>
      <c r="AA2246" t="s">
        <v>3580</v>
      </c>
      <c r="AB2246" t="s">
        <v>3578</v>
      </c>
      <c r="AC2246" t="s">
        <v>3579</v>
      </c>
      <c r="AD2246" t="s">
        <v>3478</v>
      </c>
      <c r="AE2246" t="s">
        <v>3475</v>
      </c>
      <c r="AF2246" s="2">
        <v>3374.99</v>
      </c>
      <c r="AG2246" s="2">
        <v>1898.0944</v>
      </c>
      <c r="AH2246" s="2">
        <v>1476.8956000000001</v>
      </c>
      <c r="AI2246" s="3">
        <v>0.43759999288886797</v>
      </c>
    </row>
    <row r="2247" spans="1:35">
      <c r="A2247" s="1">
        <v>42137</v>
      </c>
      <c r="B2247" s="1">
        <v>37308</v>
      </c>
      <c r="C2247" t="s">
        <v>4425</v>
      </c>
      <c r="D2247">
        <v>347</v>
      </c>
      <c r="E2247">
        <v>26061</v>
      </c>
      <c r="F2247">
        <v>4</v>
      </c>
      <c r="G2247">
        <v>1</v>
      </c>
      <c r="H2247">
        <v>1</v>
      </c>
      <c r="I2247">
        <v>1</v>
      </c>
      <c r="J2247" t="s">
        <v>3525</v>
      </c>
      <c r="K2247" t="s">
        <v>3526</v>
      </c>
      <c r="L2247" s="2">
        <v>1912.1543999999999</v>
      </c>
      <c r="M2247" s="2">
        <v>3399.99</v>
      </c>
      <c r="N2247" t="s">
        <v>13</v>
      </c>
      <c r="O2247" t="s">
        <v>1281</v>
      </c>
      <c r="P2247" t="s">
        <v>148</v>
      </c>
      <c r="Q2247" t="s">
        <v>8575</v>
      </c>
      <c r="R2247" s="1">
        <v>23850</v>
      </c>
      <c r="S2247" t="s">
        <v>22</v>
      </c>
      <c r="T2247" t="s">
        <v>16</v>
      </c>
      <c r="U2247" t="s">
        <v>3082</v>
      </c>
      <c r="V2247">
        <v>170000</v>
      </c>
      <c r="W2247">
        <v>0</v>
      </c>
      <c r="X2247" t="s">
        <v>135</v>
      </c>
      <c r="Y2247" t="s">
        <v>45</v>
      </c>
      <c r="Z2247" t="s">
        <v>23</v>
      </c>
      <c r="AA2247" t="s">
        <v>3580</v>
      </c>
      <c r="AB2247" t="s">
        <v>3578</v>
      </c>
      <c r="AC2247" t="s">
        <v>3579</v>
      </c>
      <c r="AD2247" t="s">
        <v>3478</v>
      </c>
      <c r="AE2247" t="s">
        <v>3475</v>
      </c>
      <c r="AF2247" s="2">
        <v>3399.99</v>
      </c>
      <c r="AG2247" s="2">
        <v>1912.1543999999999</v>
      </c>
      <c r="AH2247" s="2">
        <v>1487.8356000000001</v>
      </c>
      <c r="AI2247" s="3">
        <v>0.43759999294115598</v>
      </c>
    </row>
    <row r="2248" spans="1:35">
      <c r="A2248" s="1">
        <v>42149</v>
      </c>
      <c r="B2248" s="1">
        <v>37291</v>
      </c>
      <c r="C2248" t="s">
        <v>4518</v>
      </c>
      <c r="D2248">
        <v>351</v>
      </c>
      <c r="E2248">
        <v>26066</v>
      </c>
      <c r="F2248">
        <v>4</v>
      </c>
      <c r="G2248">
        <v>1</v>
      </c>
      <c r="H2248">
        <v>1</v>
      </c>
      <c r="I2248">
        <v>1</v>
      </c>
      <c r="J2248" t="s">
        <v>3533</v>
      </c>
      <c r="K2248" t="s">
        <v>3534</v>
      </c>
      <c r="L2248" s="2">
        <v>1898.0944</v>
      </c>
      <c r="M2248" s="2">
        <v>3374.99</v>
      </c>
      <c r="N2248" t="s">
        <v>30</v>
      </c>
      <c r="O2248" t="s">
        <v>31</v>
      </c>
      <c r="P2248" t="s">
        <v>290</v>
      </c>
      <c r="Q2248" t="s">
        <v>8576</v>
      </c>
      <c r="R2248" s="1">
        <v>20663</v>
      </c>
      <c r="S2248" t="s">
        <v>16</v>
      </c>
      <c r="T2248" t="s">
        <v>29</v>
      </c>
      <c r="U2248" t="s">
        <v>3083</v>
      </c>
      <c r="V2248">
        <v>70000</v>
      </c>
      <c r="W2248">
        <v>3</v>
      </c>
      <c r="X2248" t="s">
        <v>52</v>
      </c>
      <c r="Y2248" t="s">
        <v>18</v>
      </c>
      <c r="Z2248" t="s">
        <v>23</v>
      </c>
      <c r="AA2248" t="s">
        <v>3580</v>
      </c>
      <c r="AB2248" t="s">
        <v>3578</v>
      </c>
      <c r="AC2248" t="s">
        <v>3579</v>
      </c>
      <c r="AD2248" t="s">
        <v>3478</v>
      </c>
      <c r="AE2248" t="s">
        <v>3475</v>
      </c>
      <c r="AF2248" s="2">
        <v>3374.99</v>
      </c>
      <c r="AG2248" s="2">
        <v>1898.0944</v>
      </c>
      <c r="AH2248" s="2">
        <v>1476.8956000000001</v>
      </c>
      <c r="AI2248" s="3">
        <v>0.43759999288886797</v>
      </c>
    </row>
    <row r="2249" spans="1:35">
      <c r="A2249" s="1">
        <v>42147</v>
      </c>
      <c r="B2249" s="1">
        <v>37308</v>
      </c>
      <c r="C2249" t="s">
        <v>4505</v>
      </c>
      <c r="D2249">
        <v>350</v>
      </c>
      <c r="E2249">
        <v>26070</v>
      </c>
      <c r="F2249">
        <v>4</v>
      </c>
      <c r="G2249">
        <v>1</v>
      </c>
      <c r="H2249">
        <v>1</v>
      </c>
      <c r="I2249">
        <v>1</v>
      </c>
      <c r="J2249" t="s">
        <v>3531</v>
      </c>
      <c r="K2249" t="s">
        <v>3532</v>
      </c>
      <c r="L2249" s="2">
        <v>1898.0944</v>
      </c>
      <c r="M2249" s="2">
        <v>3374.99</v>
      </c>
      <c r="N2249" t="s">
        <v>13</v>
      </c>
      <c r="O2249" t="s">
        <v>435</v>
      </c>
      <c r="P2249" t="s">
        <v>261</v>
      </c>
      <c r="Q2249" t="s">
        <v>8577</v>
      </c>
      <c r="R2249" s="1">
        <v>20639</v>
      </c>
      <c r="S2249" t="s">
        <v>22</v>
      </c>
      <c r="T2249" t="s">
        <v>16</v>
      </c>
      <c r="U2249" t="s">
        <v>3084</v>
      </c>
      <c r="V2249">
        <v>90000</v>
      </c>
      <c r="W2249">
        <v>2</v>
      </c>
      <c r="X2249" t="s">
        <v>52</v>
      </c>
      <c r="Y2249" t="s">
        <v>18</v>
      </c>
      <c r="Z2249" t="s">
        <v>19</v>
      </c>
      <c r="AA2249" t="s">
        <v>3580</v>
      </c>
      <c r="AB2249" t="s">
        <v>3578</v>
      </c>
      <c r="AC2249" t="s">
        <v>3579</v>
      </c>
      <c r="AD2249" t="s">
        <v>3478</v>
      </c>
      <c r="AE2249" t="s">
        <v>3475</v>
      </c>
      <c r="AF2249" s="2">
        <v>3374.99</v>
      </c>
      <c r="AG2249" s="2">
        <v>1898.0944</v>
      </c>
      <c r="AH2249" s="2">
        <v>1476.8956000000001</v>
      </c>
      <c r="AI2249" s="3">
        <v>0.43759999288886797</v>
      </c>
    </row>
    <row r="2250" spans="1:35">
      <c r="A2250" s="1">
        <v>42145</v>
      </c>
      <c r="B2250" s="1">
        <v>37337</v>
      </c>
      <c r="C2250" t="s">
        <v>4493</v>
      </c>
      <c r="D2250">
        <v>348</v>
      </c>
      <c r="E2250">
        <v>26075</v>
      </c>
      <c r="F2250">
        <v>1</v>
      </c>
      <c r="G2250">
        <v>1</v>
      </c>
      <c r="H2250">
        <v>1</v>
      </c>
      <c r="I2250">
        <v>1</v>
      </c>
      <c r="J2250" t="s">
        <v>3527</v>
      </c>
      <c r="K2250" t="s">
        <v>3528</v>
      </c>
      <c r="L2250" s="2">
        <v>1898.0944</v>
      </c>
      <c r="M2250" s="2">
        <v>3374.99</v>
      </c>
      <c r="N2250" t="s">
        <v>26</v>
      </c>
      <c r="O2250" t="s">
        <v>145</v>
      </c>
      <c r="P2250" t="s">
        <v>44</v>
      </c>
      <c r="Q2250" t="s">
        <v>8578</v>
      </c>
      <c r="R2250" s="1">
        <v>23128</v>
      </c>
      <c r="S2250" t="s">
        <v>22</v>
      </c>
      <c r="T2250" t="s">
        <v>29</v>
      </c>
      <c r="U2250" t="s">
        <v>3085</v>
      </c>
      <c r="V2250">
        <v>90000</v>
      </c>
      <c r="W2250">
        <v>0</v>
      </c>
      <c r="X2250" t="s">
        <v>52</v>
      </c>
      <c r="Y2250" t="s">
        <v>18</v>
      </c>
      <c r="Z2250" t="s">
        <v>19</v>
      </c>
      <c r="AA2250" t="s">
        <v>3577</v>
      </c>
      <c r="AB2250" t="s">
        <v>3578</v>
      </c>
      <c r="AC2250" t="s">
        <v>3579</v>
      </c>
      <c r="AD2250" t="s">
        <v>3478</v>
      </c>
      <c r="AE2250" t="s">
        <v>3475</v>
      </c>
      <c r="AF2250" s="2">
        <v>3374.99</v>
      </c>
      <c r="AG2250" s="2">
        <v>1898.0944</v>
      </c>
      <c r="AH2250" s="2">
        <v>1476.8956000000001</v>
      </c>
      <c r="AI2250" s="3">
        <v>0.43759999288886797</v>
      </c>
    </row>
    <row r="2251" spans="1:35">
      <c r="A2251" s="1">
        <v>42130</v>
      </c>
      <c r="B2251" s="1">
        <v>37325</v>
      </c>
      <c r="C2251" t="s">
        <v>4381</v>
      </c>
      <c r="D2251">
        <v>351</v>
      </c>
      <c r="E2251">
        <v>26082</v>
      </c>
      <c r="F2251">
        <v>4</v>
      </c>
      <c r="G2251">
        <v>1</v>
      </c>
      <c r="H2251">
        <v>1</v>
      </c>
      <c r="I2251">
        <v>1</v>
      </c>
      <c r="J2251" t="s">
        <v>3533</v>
      </c>
      <c r="K2251" t="s">
        <v>3534</v>
      </c>
      <c r="L2251" s="2">
        <v>1898.0944</v>
      </c>
      <c r="M2251" s="2">
        <v>3374.99</v>
      </c>
      <c r="N2251" t="s">
        <v>13</v>
      </c>
      <c r="O2251" t="s">
        <v>396</v>
      </c>
      <c r="P2251" t="s">
        <v>32</v>
      </c>
      <c r="Q2251" t="s">
        <v>8579</v>
      </c>
      <c r="R2251" s="1">
        <v>22832</v>
      </c>
      <c r="S2251" t="s">
        <v>22</v>
      </c>
      <c r="T2251" t="s">
        <v>16</v>
      </c>
      <c r="U2251" t="s">
        <v>3086</v>
      </c>
      <c r="V2251">
        <v>130000</v>
      </c>
      <c r="W2251">
        <v>1</v>
      </c>
      <c r="X2251" t="s">
        <v>17</v>
      </c>
      <c r="Y2251" t="s">
        <v>45</v>
      </c>
      <c r="Z2251" t="s">
        <v>23</v>
      </c>
      <c r="AA2251" t="s">
        <v>3580</v>
      </c>
      <c r="AB2251" t="s">
        <v>3578</v>
      </c>
      <c r="AC2251" t="s">
        <v>3579</v>
      </c>
      <c r="AD2251" t="s">
        <v>3478</v>
      </c>
      <c r="AE2251" t="s">
        <v>3475</v>
      </c>
      <c r="AF2251" s="2">
        <v>3374.99</v>
      </c>
      <c r="AG2251" s="2">
        <v>1898.0944</v>
      </c>
      <c r="AH2251" s="2">
        <v>1476.8956000000001</v>
      </c>
      <c r="AI2251" s="3">
        <v>0.43759999288886797</v>
      </c>
    </row>
    <row r="2252" spans="1:35">
      <c r="A2252" s="1">
        <v>42154</v>
      </c>
      <c r="B2252" s="1">
        <v>37386</v>
      </c>
      <c r="C2252" t="s">
        <v>4541</v>
      </c>
      <c r="D2252">
        <v>351</v>
      </c>
      <c r="E2252">
        <v>26083</v>
      </c>
      <c r="F2252">
        <v>4</v>
      </c>
      <c r="G2252">
        <v>1</v>
      </c>
      <c r="H2252">
        <v>1</v>
      </c>
      <c r="I2252">
        <v>1</v>
      </c>
      <c r="J2252" t="s">
        <v>3533</v>
      </c>
      <c r="K2252" t="s">
        <v>3534</v>
      </c>
      <c r="L2252" s="2">
        <v>1898.0944</v>
      </c>
      <c r="M2252" s="2">
        <v>3374.99</v>
      </c>
      <c r="N2252" t="s">
        <v>30</v>
      </c>
      <c r="O2252" t="s">
        <v>174</v>
      </c>
      <c r="P2252" t="s">
        <v>672</v>
      </c>
      <c r="Q2252" t="s">
        <v>8580</v>
      </c>
      <c r="R2252" s="1">
        <v>22682</v>
      </c>
      <c r="S2252" t="s">
        <v>22</v>
      </c>
      <c r="T2252" t="s">
        <v>29</v>
      </c>
      <c r="U2252" t="s">
        <v>3087</v>
      </c>
      <c r="V2252">
        <v>150000</v>
      </c>
      <c r="W2252">
        <v>1</v>
      </c>
      <c r="X2252" t="s">
        <v>52</v>
      </c>
      <c r="Y2252" t="s">
        <v>18</v>
      </c>
      <c r="Z2252" t="s">
        <v>23</v>
      </c>
      <c r="AA2252" t="s">
        <v>3580</v>
      </c>
      <c r="AB2252" t="s">
        <v>3578</v>
      </c>
      <c r="AC2252" t="s">
        <v>3579</v>
      </c>
      <c r="AD2252" t="s">
        <v>3478</v>
      </c>
      <c r="AE2252" t="s">
        <v>3475</v>
      </c>
      <c r="AF2252" s="2">
        <v>3374.99</v>
      </c>
      <c r="AG2252" s="2">
        <v>1898.0944</v>
      </c>
      <c r="AH2252" s="2">
        <v>1476.8956000000001</v>
      </c>
      <c r="AI2252" s="3">
        <v>0.43759999288886797</v>
      </c>
    </row>
    <row r="2253" spans="1:35">
      <c r="A2253" s="1">
        <v>42155</v>
      </c>
      <c r="B2253" s="1">
        <v>37387</v>
      </c>
      <c r="C2253" t="s">
        <v>4550</v>
      </c>
      <c r="D2253">
        <v>351</v>
      </c>
      <c r="E2253">
        <v>26084</v>
      </c>
      <c r="F2253">
        <v>4</v>
      </c>
      <c r="G2253">
        <v>1</v>
      </c>
      <c r="H2253">
        <v>1</v>
      </c>
      <c r="I2253">
        <v>1</v>
      </c>
      <c r="J2253" t="s">
        <v>3533</v>
      </c>
      <c r="K2253" t="s">
        <v>3534</v>
      </c>
      <c r="L2253" s="2">
        <v>1898.0944</v>
      </c>
      <c r="M2253" s="2">
        <v>3374.99</v>
      </c>
      <c r="N2253" t="s">
        <v>13</v>
      </c>
      <c r="O2253" t="s">
        <v>61</v>
      </c>
      <c r="P2253" t="s">
        <v>47</v>
      </c>
      <c r="Q2253" t="s">
        <v>8581</v>
      </c>
      <c r="R2253" s="1">
        <v>22762</v>
      </c>
      <c r="S2253" t="s">
        <v>16</v>
      </c>
      <c r="T2253" t="s">
        <v>16</v>
      </c>
      <c r="U2253" t="s">
        <v>3088</v>
      </c>
      <c r="V2253">
        <v>160000</v>
      </c>
      <c r="W2253">
        <v>1</v>
      </c>
      <c r="X2253" t="s">
        <v>17</v>
      </c>
      <c r="Y2253" t="s">
        <v>45</v>
      </c>
      <c r="Z2253" t="s">
        <v>23</v>
      </c>
      <c r="AA2253" t="s">
        <v>3580</v>
      </c>
      <c r="AB2253" t="s">
        <v>3578</v>
      </c>
      <c r="AC2253" t="s">
        <v>3579</v>
      </c>
      <c r="AD2253" t="s">
        <v>3478</v>
      </c>
      <c r="AE2253" t="s">
        <v>3475</v>
      </c>
      <c r="AF2253" s="2">
        <v>3374.99</v>
      </c>
      <c r="AG2253" s="2">
        <v>1898.0944</v>
      </c>
      <c r="AH2253" s="2">
        <v>1476.8956000000001</v>
      </c>
      <c r="AI2253" s="3">
        <v>0.43759999288886797</v>
      </c>
    </row>
    <row r="2254" spans="1:35">
      <c r="A2254" s="1">
        <v>42137</v>
      </c>
      <c r="B2254" s="1">
        <v>37334</v>
      </c>
      <c r="C2254" t="s">
        <v>4435</v>
      </c>
      <c r="D2254">
        <v>344</v>
      </c>
      <c r="E2254">
        <v>26089</v>
      </c>
      <c r="F2254">
        <v>4</v>
      </c>
      <c r="G2254">
        <v>1</v>
      </c>
      <c r="H2254">
        <v>1</v>
      </c>
      <c r="I2254">
        <v>1</v>
      </c>
      <c r="J2254" t="s">
        <v>3519</v>
      </c>
      <c r="K2254" t="s">
        <v>3520</v>
      </c>
      <c r="L2254" s="2">
        <v>1912.1543999999999</v>
      </c>
      <c r="M2254" s="2">
        <v>3399.99</v>
      </c>
      <c r="N2254" t="s">
        <v>13</v>
      </c>
      <c r="O2254" t="s">
        <v>1590</v>
      </c>
      <c r="P2254" t="s">
        <v>59</v>
      </c>
      <c r="Q2254" t="s">
        <v>8582</v>
      </c>
      <c r="R2254" s="1">
        <v>22504</v>
      </c>
      <c r="S2254" t="s">
        <v>22</v>
      </c>
      <c r="T2254" t="s">
        <v>16</v>
      </c>
      <c r="U2254" t="s">
        <v>3089</v>
      </c>
      <c r="V2254">
        <v>110000</v>
      </c>
      <c r="W2254">
        <v>1</v>
      </c>
      <c r="X2254" t="s">
        <v>17</v>
      </c>
      <c r="Y2254" t="s">
        <v>45</v>
      </c>
      <c r="Z2254" t="s">
        <v>23</v>
      </c>
      <c r="AA2254" t="s">
        <v>3580</v>
      </c>
      <c r="AB2254" t="s">
        <v>3578</v>
      </c>
      <c r="AC2254" t="s">
        <v>3579</v>
      </c>
      <c r="AD2254" t="s">
        <v>3478</v>
      </c>
      <c r="AE2254" t="s">
        <v>3475</v>
      </c>
      <c r="AF2254" s="2">
        <v>3399.99</v>
      </c>
      <c r="AG2254" s="2">
        <v>1912.1543999999999</v>
      </c>
      <c r="AH2254" s="2">
        <v>1487.8356000000001</v>
      </c>
      <c r="AI2254" s="3">
        <v>0.43759999294115598</v>
      </c>
    </row>
    <row r="2255" spans="1:35">
      <c r="A2255" s="1">
        <v>42129</v>
      </c>
      <c r="B2255" s="1">
        <v>37347</v>
      </c>
      <c r="C2255" t="s">
        <v>4378</v>
      </c>
      <c r="D2255">
        <v>347</v>
      </c>
      <c r="E2255">
        <v>26090</v>
      </c>
      <c r="F2255">
        <v>4</v>
      </c>
      <c r="G2255">
        <v>1</v>
      </c>
      <c r="H2255">
        <v>1</v>
      </c>
      <c r="I2255">
        <v>1</v>
      </c>
      <c r="J2255" t="s">
        <v>3525</v>
      </c>
      <c r="K2255" t="s">
        <v>3526</v>
      </c>
      <c r="L2255" s="2">
        <v>1912.1543999999999</v>
      </c>
      <c r="M2255" s="2">
        <v>3399.99</v>
      </c>
      <c r="N2255" t="s">
        <v>13</v>
      </c>
      <c r="O2255" t="s">
        <v>843</v>
      </c>
      <c r="P2255" t="s">
        <v>85</v>
      </c>
      <c r="Q2255" t="s">
        <v>8583</v>
      </c>
      <c r="R2255" s="1">
        <v>22577</v>
      </c>
      <c r="S2255" t="s">
        <v>22</v>
      </c>
      <c r="T2255" t="s">
        <v>16</v>
      </c>
      <c r="U2255" t="s">
        <v>3090</v>
      </c>
      <c r="V2255">
        <v>110000</v>
      </c>
      <c r="W2255">
        <v>1</v>
      </c>
      <c r="X2255" t="s">
        <v>17</v>
      </c>
      <c r="Y2255" t="s">
        <v>45</v>
      </c>
      <c r="Z2255" t="s">
        <v>19</v>
      </c>
      <c r="AA2255" t="s">
        <v>3580</v>
      </c>
      <c r="AB2255" t="s">
        <v>3578</v>
      </c>
      <c r="AC2255" t="s">
        <v>3579</v>
      </c>
      <c r="AD2255" t="s">
        <v>3478</v>
      </c>
      <c r="AE2255" t="s">
        <v>3475</v>
      </c>
      <c r="AF2255" s="2">
        <v>3399.99</v>
      </c>
      <c r="AG2255" s="2">
        <v>1912.1543999999999</v>
      </c>
      <c r="AH2255" s="2">
        <v>1487.8356000000001</v>
      </c>
      <c r="AI2255" s="3">
        <v>0.43759999294115598</v>
      </c>
    </row>
    <row r="2256" spans="1:35">
      <c r="A2256" s="1">
        <v>42138</v>
      </c>
      <c r="B2256" s="1">
        <v>37365</v>
      </c>
      <c r="C2256" t="s">
        <v>4438</v>
      </c>
      <c r="D2256">
        <v>348</v>
      </c>
      <c r="E2256">
        <v>26091</v>
      </c>
      <c r="F2256">
        <v>4</v>
      </c>
      <c r="G2256">
        <v>1</v>
      </c>
      <c r="H2256">
        <v>1</v>
      </c>
      <c r="I2256">
        <v>1</v>
      </c>
      <c r="J2256" t="s">
        <v>3527</v>
      </c>
      <c r="K2256" t="s">
        <v>3528</v>
      </c>
      <c r="L2256" s="2">
        <v>1898.0944</v>
      </c>
      <c r="M2256" s="2">
        <v>3374.99</v>
      </c>
      <c r="N2256" t="s">
        <v>30</v>
      </c>
      <c r="O2256" t="s">
        <v>50</v>
      </c>
      <c r="P2256" t="s">
        <v>49</v>
      </c>
      <c r="Q2256" t="s">
        <v>8584</v>
      </c>
      <c r="R2256" s="1">
        <v>22514</v>
      </c>
      <c r="S2256" t="s">
        <v>16</v>
      </c>
      <c r="T2256" t="s">
        <v>29</v>
      </c>
      <c r="U2256" t="s">
        <v>3091</v>
      </c>
      <c r="V2256">
        <v>160000</v>
      </c>
      <c r="W2256">
        <v>1</v>
      </c>
      <c r="X2256" t="s">
        <v>17</v>
      </c>
      <c r="Y2256" t="s">
        <v>45</v>
      </c>
      <c r="Z2256" t="s">
        <v>23</v>
      </c>
      <c r="AA2256" t="s">
        <v>3580</v>
      </c>
      <c r="AB2256" t="s">
        <v>3578</v>
      </c>
      <c r="AC2256" t="s">
        <v>3579</v>
      </c>
      <c r="AD2256" t="s">
        <v>3478</v>
      </c>
      <c r="AE2256" t="s">
        <v>3475</v>
      </c>
      <c r="AF2256" s="2">
        <v>3374.99</v>
      </c>
      <c r="AG2256" s="2">
        <v>1898.0944</v>
      </c>
      <c r="AH2256" s="2">
        <v>1476.8956000000001</v>
      </c>
      <c r="AI2256" s="3">
        <v>0.43759999288886797</v>
      </c>
    </row>
    <row r="2257" spans="1:35">
      <c r="A2257" s="1">
        <v>42148</v>
      </c>
      <c r="B2257" s="1">
        <v>37312</v>
      </c>
      <c r="C2257" t="s">
        <v>4515</v>
      </c>
      <c r="D2257">
        <v>351</v>
      </c>
      <c r="E2257">
        <v>26093</v>
      </c>
      <c r="F2257">
        <v>4</v>
      </c>
      <c r="G2257">
        <v>1</v>
      </c>
      <c r="H2257">
        <v>1</v>
      </c>
      <c r="I2257">
        <v>1</v>
      </c>
      <c r="J2257" t="s">
        <v>3533</v>
      </c>
      <c r="K2257" t="s">
        <v>3534</v>
      </c>
      <c r="L2257" s="2">
        <v>1898.0944</v>
      </c>
      <c r="M2257" s="2">
        <v>3374.99</v>
      </c>
      <c r="N2257" t="s">
        <v>30</v>
      </c>
      <c r="O2257" t="s">
        <v>258</v>
      </c>
      <c r="P2257" t="s">
        <v>594</v>
      </c>
      <c r="Q2257" t="s">
        <v>8585</v>
      </c>
      <c r="R2257" s="1">
        <v>20311</v>
      </c>
      <c r="S2257" t="s">
        <v>22</v>
      </c>
      <c r="T2257" t="s">
        <v>29</v>
      </c>
      <c r="U2257" t="s">
        <v>3092</v>
      </c>
      <c r="V2257">
        <v>60000</v>
      </c>
      <c r="W2257">
        <v>2</v>
      </c>
      <c r="X2257" t="s">
        <v>57</v>
      </c>
      <c r="Y2257" t="s">
        <v>18</v>
      </c>
      <c r="Z2257" t="s">
        <v>23</v>
      </c>
      <c r="AA2257" t="s">
        <v>3580</v>
      </c>
      <c r="AB2257" t="s">
        <v>3578</v>
      </c>
      <c r="AC2257" t="s">
        <v>3579</v>
      </c>
      <c r="AD2257" t="s">
        <v>3478</v>
      </c>
      <c r="AE2257" t="s">
        <v>3475</v>
      </c>
      <c r="AF2257" s="2">
        <v>3374.99</v>
      </c>
      <c r="AG2257" s="2">
        <v>1898.0944</v>
      </c>
      <c r="AH2257" s="2">
        <v>1476.8956000000001</v>
      </c>
      <c r="AI2257" s="3">
        <v>0.43759999288886797</v>
      </c>
    </row>
    <row r="2258" spans="1:35">
      <c r="A2258" s="1">
        <v>42129</v>
      </c>
      <c r="B2258" s="1">
        <v>37332</v>
      </c>
      <c r="C2258" t="s">
        <v>4379</v>
      </c>
      <c r="D2258">
        <v>350</v>
      </c>
      <c r="E2258">
        <v>26094</v>
      </c>
      <c r="F2258">
        <v>4</v>
      </c>
      <c r="G2258">
        <v>1</v>
      </c>
      <c r="H2258">
        <v>1</v>
      </c>
      <c r="I2258">
        <v>1</v>
      </c>
      <c r="J2258" t="s">
        <v>3531</v>
      </c>
      <c r="K2258" t="s">
        <v>3532</v>
      </c>
      <c r="L2258" s="2">
        <v>1898.0944</v>
      </c>
      <c r="M2258" s="2">
        <v>3374.99</v>
      </c>
      <c r="N2258" t="s">
        <v>30</v>
      </c>
      <c r="O2258" t="s">
        <v>298</v>
      </c>
      <c r="P2258" t="s">
        <v>148</v>
      </c>
      <c r="Q2258" t="s">
        <v>8586</v>
      </c>
      <c r="R2258" s="1">
        <v>20251</v>
      </c>
      <c r="S2258" t="s">
        <v>16</v>
      </c>
      <c r="T2258" t="s">
        <v>29</v>
      </c>
      <c r="U2258" t="s">
        <v>3093</v>
      </c>
      <c r="V2258">
        <v>60000</v>
      </c>
      <c r="W2258">
        <v>2</v>
      </c>
      <c r="X2258" t="s">
        <v>57</v>
      </c>
      <c r="Y2258" t="s">
        <v>18</v>
      </c>
      <c r="Z2258" t="s">
        <v>23</v>
      </c>
      <c r="AA2258" t="s">
        <v>3580</v>
      </c>
      <c r="AB2258" t="s">
        <v>3578</v>
      </c>
      <c r="AC2258" t="s">
        <v>3579</v>
      </c>
      <c r="AD2258" t="s">
        <v>3478</v>
      </c>
      <c r="AE2258" t="s">
        <v>3475</v>
      </c>
      <c r="AF2258" s="2">
        <v>3374.99</v>
      </c>
      <c r="AG2258" s="2">
        <v>1898.0944</v>
      </c>
      <c r="AH2258" s="2">
        <v>1476.8956000000001</v>
      </c>
      <c r="AI2258" s="3">
        <v>0.43759999288886797</v>
      </c>
    </row>
    <row r="2259" spans="1:35">
      <c r="A2259" s="1">
        <v>42179</v>
      </c>
      <c r="B2259" s="1">
        <v>37353</v>
      </c>
      <c r="C2259" t="s">
        <v>4721</v>
      </c>
      <c r="D2259">
        <v>344</v>
      </c>
      <c r="E2259">
        <v>26096</v>
      </c>
      <c r="F2259">
        <v>4</v>
      </c>
      <c r="G2259">
        <v>1</v>
      </c>
      <c r="H2259">
        <v>1</v>
      </c>
      <c r="I2259">
        <v>1</v>
      </c>
      <c r="J2259" t="s">
        <v>3519</v>
      </c>
      <c r="K2259" t="s">
        <v>3520</v>
      </c>
      <c r="L2259" s="2">
        <v>1912.1543999999999</v>
      </c>
      <c r="M2259" s="2">
        <v>3399.99</v>
      </c>
      <c r="N2259" t="s">
        <v>13</v>
      </c>
      <c r="O2259" t="s">
        <v>646</v>
      </c>
      <c r="P2259" t="s">
        <v>240</v>
      </c>
      <c r="Q2259" t="s">
        <v>8587</v>
      </c>
      <c r="R2259" s="1">
        <v>20114</v>
      </c>
      <c r="S2259" t="s">
        <v>16</v>
      </c>
      <c r="T2259" t="s">
        <v>16</v>
      </c>
      <c r="U2259" t="s">
        <v>3094</v>
      </c>
      <c r="V2259">
        <v>90000</v>
      </c>
      <c r="W2259">
        <v>2</v>
      </c>
      <c r="X2259" t="s">
        <v>57</v>
      </c>
      <c r="Y2259" t="s">
        <v>18</v>
      </c>
      <c r="Z2259" t="s">
        <v>19</v>
      </c>
      <c r="AA2259" t="s">
        <v>3580</v>
      </c>
      <c r="AB2259" t="s">
        <v>3578</v>
      </c>
      <c r="AC2259" t="s">
        <v>3579</v>
      </c>
      <c r="AD2259" t="s">
        <v>3478</v>
      </c>
      <c r="AE2259" t="s">
        <v>3475</v>
      </c>
      <c r="AF2259" s="2">
        <v>3399.99</v>
      </c>
      <c r="AG2259" s="2">
        <v>1912.1543999999999</v>
      </c>
      <c r="AH2259" s="2">
        <v>1487.8356000000001</v>
      </c>
      <c r="AI2259" s="3">
        <v>0.43759999294115598</v>
      </c>
    </row>
    <row r="2260" spans="1:35">
      <c r="A2260" s="1">
        <v>42178</v>
      </c>
      <c r="B2260" s="1">
        <v>37339</v>
      </c>
      <c r="C2260" t="s">
        <v>4714</v>
      </c>
      <c r="D2260">
        <v>350</v>
      </c>
      <c r="E2260">
        <v>26097</v>
      </c>
      <c r="F2260">
        <v>4</v>
      </c>
      <c r="G2260">
        <v>1</v>
      </c>
      <c r="H2260">
        <v>1</v>
      </c>
      <c r="I2260">
        <v>1</v>
      </c>
      <c r="J2260" t="s">
        <v>3531</v>
      </c>
      <c r="K2260" t="s">
        <v>3532</v>
      </c>
      <c r="L2260" s="2">
        <v>1898.0944</v>
      </c>
      <c r="M2260" s="2">
        <v>3374.99</v>
      </c>
      <c r="N2260" t="s">
        <v>13</v>
      </c>
      <c r="O2260" t="s">
        <v>383</v>
      </c>
      <c r="P2260" t="s">
        <v>113</v>
      </c>
      <c r="Q2260" t="s">
        <v>8588</v>
      </c>
      <c r="R2260" s="1">
        <v>12946</v>
      </c>
      <c r="S2260" t="s">
        <v>22</v>
      </c>
      <c r="T2260" t="s">
        <v>16</v>
      </c>
      <c r="U2260" t="s">
        <v>3095</v>
      </c>
      <c r="V2260">
        <v>130000</v>
      </c>
      <c r="W2260">
        <v>2</v>
      </c>
      <c r="X2260" t="s">
        <v>135</v>
      </c>
      <c r="Y2260" t="s">
        <v>45</v>
      </c>
      <c r="Z2260" t="s">
        <v>23</v>
      </c>
      <c r="AA2260" t="s">
        <v>3580</v>
      </c>
      <c r="AB2260" t="s">
        <v>3578</v>
      </c>
      <c r="AC2260" t="s">
        <v>3579</v>
      </c>
      <c r="AD2260" t="s">
        <v>3478</v>
      </c>
      <c r="AE2260" t="s">
        <v>3475</v>
      </c>
      <c r="AF2260" s="2">
        <v>3374.99</v>
      </c>
      <c r="AG2260" s="2">
        <v>1898.0944</v>
      </c>
      <c r="AH2260" s="2">
        <v>1476.8956000000001</v>
      </c>
      <c r="AI2260" s="3">
        <v>0.43759999288886797</v>
      </c>
    </row>
    <row r="2261" spans="1:35">
      <c r="A2261" s="1">
        <v>42185</v>
      </c>
      <c r="B2261" s="1">
        <v>37399</v>
      </c>
      <c r="C2261" t="s">
        <v>4758</v>
      </c>
      <c r="D2261">
        <v>345</v>
      </c>
      <c r="E2261">
        <v>26098</v>
      </c>
      <c r="F2261">
        <v>4</v>
      </c>
      <c r="G2261">
        <v>1</v>
      </c>
      <c r="H2261">
        <v>1</v>
      </c>
      <c r="I2261">
        <v>1</v>
      </c>
      <c r="J2261" t="s">
        <v>3521</v>
      </c>
      <c r="K2261" t="s">
        <v>3522</v>
      </c>
      <c r="L2261" s="2">
        <v>1912.1543999999999</v>
      </c>
      <c r="M2261" s="2">
        <v>3399.99</v>
      </c>
      <c r="N2261" t="s">
        <v>13</v>
      </c>
      <c r="O2261" t="s">
        <v>123</v>
      </c>
      <c r="P2261" t="s">
        <v>307</v>
      </c>
      <c r="Q2261" t="s">
        <v>8589</v>
      </c>
      <c r="R2261" s="1">
        <v>13036</v>
      </c>
      <c r="S2261" t="s">
        <v>22</v>
      </c>
      <c r="T2261" t="s">
        <v>16</v>
      </c>
      <c r="U2261" t="s">
        <v>3096</v>
      </c>
      <c r="V2261">
        <v>130000</v>
      </c>
      <c r="W2261">
        <v>2</v>
      </c>
      <c r="X2261" t="s">
        <v>135</v>
      </c>
      <c r="Y2261" t="s">
        <v>45</v>
      </c>
      <c r="Z2261" t="s">
        <v>23</v>
      </c>
      <c r="AA2261" t="s">
        <v>3580</v>
      </c>
      <c r="AB2261" t="s">
        <v>3578</v>
      </c>
      <c r="AC2261" t="s">
        <v>3579</v>
      </c>
      <c r="AD2261" t="s">
        <v>3478</v>
      </c>
      <c r="AE2261" t="s">
        <v>3475</v>
      </c>
      <c r="AF2261" s="2">
        <v>3399.99</v>
      </c>
      <c r="AG2261" s="2">
        <v>1912.1543999999999</v>
      </c>
      <c r="AH2261" s="2">
        <v>1487.8356000000001</v>
      </c>
      <c r="AI2261" s="3">
        <v>0.43759999294115598</v>
      </c>
    </row>
    <row r="2262" spans="1:35">
      <c r="A2262" s="1">
        <v>42176</v>
      </c>
      <c r="B2262" s="1">
        <v>37397</v>
      </c>
      <c r="C2262" t="s">
        <v>4691</v>
      </c>
      <c r="D2262">
        <v>348</v>
      </c>
      <c r="E2262">
        <v>26106</v>
      </c>
      <c r="F2262">
        <v>4</v>
      </c>
      <c r="G2262">
        <v>1</v>
      </c>
      <c r="H2262">
        <v>1</v>
      </c>
      <c r="I2262">
        <v>1</v>
      </c>
      <c r="J2262" t="s">
        <v>3527</v>
      </c>
      <c r="K2262" t="s">
        <v>3528</v>
      </c>
      <c r="L2262" s="2">
        <v>1898.0944</v>
      </c>
      <c r="M2262" s="2">
        <v>3374.99</v>
      </c>
      <c r="N2262" t="s">
        <v>13</v>
      </c>
      <c r="O2262" t="s">
        <v>1281</v>
      </c>
      <c r="P2262" t="s">
        <v>64</v>
      </c>
      <c r="Q2262" t="s">
        <v>8590</v>
      </c>
      <c r="R2262" s="1">
        <v>21987</v>
      </c>
      <c r="S2262" t="s">
        <v>22</v>
      </c>
      <c r="T2262" t="s">
        <v>16</v>
      </c>
      <c r="U2262" t="s">
        <v>3097</v>
      </c>
      <c r="V2262">
        <v>120000</v>
      </c>
      <c r="W2262">
        <v>5</v>
      </c>
      <c r="X2262" t="s">
        <v>57</v>
      </c>
      <c r="Y2262" t="s">
        <v>18</v>
      </c>
      <c r="Z2262" t="s">
        <v>19</v>
      </c>
      <c r="AA2262" t="s">
        <v>3580</v>
      </c>
      <c r="AB2262" t="s">
        <v>3578</v>
      </c>
      <c r="AC2262" t="s">
        <v>3579</v>
      </c>
      <c r="AD2262" t="s">
        <v>3478</v>
      </c>
      <c r="AE2262" t="s">
        <v>3475</v>
      </c>
      <c r="AF2262" s="2">
        <v>3374.99</v>
      </c>
      <c r="AG2262" s="2">
        <v>1898.0944</v>
      </c>
      <c r="AH2262" s="2">
        <v>1476.8956000000001</v>
      </c>
      <c r="AI2262" s="3">
        <v>0.43759999288886797</v>
      </c>
    </row>
    <row r="2263" spans="1:35">
      <c r="A2263" s="1">
        <v>42161</v>
      </c>
      <c r="B2263" s="1">
        <v>37366</v>
      </c>
      <c r="C2263" t="s">
        <v>4582</v>
      </c>
      <c r="D2263">
        <v>344</v>
      </c>
      <c r="E2263">
        <v>26107</v>
      </c>
      <c r="F2263">
        <v>4</v>
      </c>
      <c r="G2263">
        <v>1</v>
      </c>
      <c r="H2263">
        <v>1</v>
      </c>
      <c r="I2263">
        <v>1</v>
      </c>
      <c r="J2263" t="s">
        <v>3519</v>
      </c>
      <c r="K2263" t="s">
        <v>3520</v>
      </c>
      <c r="L2263" s="2">
        <v>1912.1543999999999</v>
      </c>
      <c r="M2263" s="2">
        <v>3399.99</v>
      </c>
      <c r="N2263" t="s">
        <v>30</v>
      </c>
      <c r="O2263" t="s">
        <v>357</v>
      </c>
      <c r="P2263" t="s">
        <v>299</v>
      </c>
      <c r="Q2263" t="s">
        <v>8591</v>
      </c>
      <c r="R2263" s="1">
        <v>22018</v>
      </c>
      <c r="S2263" t="s">
        <v>16</v>
      </c>
      <c r="T2263" t="s">
        <v>29</v>
      </c>
      <c r="U2263" t="s">
        <v>3098</v>
      </c>
      <c r="V2263">
        <v>130000</v>
      </c>
      <c r="W2263">
        <v>4</v>
      </c>
      <c r="X2263" t="s">
        <v>17</v>
      </c>
      <c r="Y2263" t="s">
        <v>45</v>
      </c>
      <c r="Z2263" t="s">
        <v>19</v>
      </c>
      <c r="AA2263" t="s">
        <v>3580</v>
      </c>
      <c r="AB2263" t="s">
        <v>3578</v>
      </c>
      <c r="AC2263" t="s">
        <v>3579</v>
      </c>
      <c r="AD2263" t="s">
        <v>3478</v>
      </c>
      <c r="AE2263" t="s">
        <v>3475</v>
      </c>
      <c r="AF2263" s="2">
        <v>3399.99</v>
      </c>
      <c r="AG2263" s="2">
        <v>1912.1543999999999</v>
      </c>
      <c r="AH2263" s="2">
        <v>1487.8356000000001</v>
      </c>
      <c r="AI2263" s="3">
        <v>0.43759999294115598</v>
      </c>
    </row>
    <row r="2264" spans="1:35">
      <c r="A2264" s="1">
        <v>42168</v>
      </c>
      <c r="B2264" s="1">
        <v>37333</v>
      </c>
      <c r="C2264" t="s">
        <v>4636</v>
      </c>
      <c r="D2264">
        <v>350</v>
      </c>
      <c r="E2264">
        <v>26110</v>
      </c>
      <c r="F2264">
        <v>1</v>
      </c>
      <c r="G2264">
        <v>1</v>
      </c>
      <c r="H2264">
        <v>1</v>
      </c>
      <c r="I2264">
        <v>1</v>
      </c>
      <c r="J2264" t="s">
        <v>3531</v>
      </c>
      <c r="K2264" t="s">
        <v>3532</v>
      </c>
      <c r="L2264" s="2">
        <v>1898.0944</v>
      </c>
      <c r="M2264" s="2">
        <v>3374.99</v>
      </c>
      <c r="N2264" t="s">
        <v>13</v>
      </c>
      <c r="O2264" t="s">
        <v>229</v>
      </c>
      <c r="P2264" t="s">
        <v>288</v>
      </c>
      <c r="Q2264" t="s">
        <v>8592</v>
      </c>
      <c r="R2264" s="1">
        <v>20033</v>
      </c>
      <c r="S2264" t="s">
        <v>16</v>
      </c>
      <c r="T2264" t="s">
        <v>16</v>
      </c>
      <c r="U2264" t="s">
        <v>3099</v>
      </c>
      <c r="V2264">
        <v>70000</v>
      </c>
      <c r="W2264">
        <v>3</v>
      </c>
      <c r="X2264" t="s">
        <v>57</v>
      </c>
      <c r="Y2264" t="s">
        <v>18</v>
      </c>
      <c r="Z2264" t="s">
        <v>19</v>
      </c>
      <c r="AA2264" t="s">
        <v>3577</v>
      </c>
      <c r="AB2264" t="s">
        <v>3578</v>
      </c>
      <c r="AC2264" t="s">
        <v>3579</v>
      </c>
      <c r="AD2264" t="s">
        <v>3478</v>
      </c>
      <c r="AE2264" t="s">
        <v>3475</v>
      </c>
      <c r="AF2264" s="2">
        <v>3374.99</v>
      </c>
      <c r="AG2264" s="2">
        <v>1898.0944</v>
      </c>
      <c r="AH2264" s="2">
        <v>1476.8956000000001</v>
      </c>
      <c r="AI2264" s="3">
        <v>0.43759999288886797</v>
      </c>
    </row>
    <row r="2265" spans="1:35">
      <c r="A2265" s="1">
        <v>42175</v>
      </c>
      <c r="B2265" s="1">
        <v>37364</v>
      </c>
      <c r="C2265" t="s">
        <v>4687</v>
      </c>
      <c r="D2265">
        <v>351</v>
      </c>
      <c r="E2265">
        <v>26111</v>
      </c>
      <c r="F2265">
        <v>4</v>
      </c>
      <c r="G2265">
        <v>1</v>
      </c>
      <c r="H2265">
        <v>1</v>
      </c>
      <c r="I2265">
        <v>1</v>
      </c>
      <c r="J2265" t="s">
        <v>3533</v>
      </c>
      <c r="K2265" t="s">
        <v>3534</v>
      </c>
      <c r="L2265" s="2">
        <v>1898.0944</v>
      </c>
      <c r="M2265" s="2">
        <v>3374.99</v>
      </c>
      <c r="N2265" t="s">
        <v>30</v>
      </c>
      <c r="O2265" t="s">
        <v>298</v>
      </c>
      <c r="P2265" t="s">
        <v>264</v>
      </c>
      <c r="Q2265" t="s">
        <v>8593</v>
      </c>
      <c r="R2265" s="1">
        <v>19915</v>
      </c>
      <c r="S2265" t="s">
        <v>16</v>
      </c>
      <c r="T2265" t="s">
        <v>29</v>
      </c>
      <c r="U2265" t="s">
        <v>3100</v>
      </c>
      <c r="V2265">
        <v>70000</v>
      </c>
      <c r="W2265">
        <v>3</v>
      </c>
      <c r="X2265" t="s">
        <v>57</v>
      </c>
      <c r="Y2265" t="s">
        <v>18</v>
      </c>
      <c r="Z2265" t="s">
        <v>19</v>
      </c>
      <c r="AA2265" t="s">
        <v>3580</v>
      </c>
      <c r="AB2265" t="s">
        <v>3578</v>
      </c>
      <c r="AC2265" t="s">
        <v>3579</v>
      </c>
      <c r="AD2265" t="s">
        <v>3478</v>
      </c>
      <c r="AE2265" t="s">
        <v>3475</v>
      </c>
      <c r="AF2265" s="2">
        <v>3374.99</v>
      </c>
      <c r="AG2265" s="2">
        <v>1898.0944</v>
      </c>
      <c r="AH2265" s="2">
        <v>1476.8956000000001</v>
      </c>
      <c r="AI2265" s="3">
        <v>0.43759999288886797</v>
      </c>
    </row>
    <row r="2266" spans="1:35">
      <c r="A2266" s="1">
        <v>42165</v>
      </c>
      <c r="B2266" s="1">
        <v>37330</v>
      </c>
      <c r="C2266" t="s">
        <v>4614</v>
      </c>
      <c r="D2266">
        <v>349</v>
      </c>
      <c r="E2266">
        <v>26112</v>
      </c>
      <c r="F2266">
        <v>1</v>
      </c>
      <c r="G2266">
        <v>1</v>
      </c>
      <c r="H2266">
        <v>1</v>
      </c>
      <c r="I2266">
        <v>1</v>
      </c>
      <c r="J2266" t="s">
        <v>3529</v>
      </c>
      <c r="K2266" t="s">
        <v>3530</v>
      </c>
      <c r="L2266" s="2">
        <v>1898.0944</v>
      </c>
      <c r="M2266" s="2">
        <v>3374.99</v>
      </c>
      <c r="N2266" t="s">
        <v>13</v>
      </c>
      <c r="O2266" t="s">
        <v>61</v>
      </c>
      <c r="P2266" t="s">
        <v>329</v>
      </c>
      <c r="Q2266" t="s">
        <v>8594</v>
      </c>
      <c r="R2266" s="1">
        <v>19581</v>
      </c>
      <c r="S2266" t="s">
        <v>16</v>
      </c>
      <c r="T2266" t="s">
        <v>16</v>
      </c>
      <c r="U2266" t="s">
        <v>3101</v>
      </c>
      <c r="V2266">
        <v>70000</v>
      </c>
      <c r="W2266">
        <v>3</v>
      </c>
      <c r="X2266" t="s">
        <v>135</v>
      </c>
      <c r="Y2266" t="s">
        <v>45</v>
      </c>
      <c r="Z2266" t="s">
        <v>19</v>
      </c>
      <c r="AA2266" t="s">
        <v>3577</v>
      </c>
      <c r="AB2266" t="s">
        <v>3578</v>
      </c>
      <c r="AC2266" t="s">
        <v>3579</v>
      </c>
      <c r="AD2266" t="s">
        <v>3478</v>
      </c>
      <c r="AE2266" t="s">
        <v>3475</v>
      </c>
      <c r="AF2266" s="2">
        <v>3374.99</v>
      </c>
      <c r="AG2266" s="2">
        <v>1898.0944</v>
      </c>
      <c r="AH2266" s="2">
        <v>1476.8956000000001</v>
      </c>
      <c r="AI2266" s="3">
        <v>0.43759999288886797</v>
      </c>
    </row>
    <row r="2267" spans="1:35">
      <c r="A2267" s="1">
        <v>42169</v>
      </c>
      <c r="B2267" s="1">
        <v>37335</v>
      </c>
      <c r="C2267" t="s">
        <v>4640</v>
      </c>
      <c r="D2267">
        <v>347</v>
      </c>
      <c r="E2267">
        <v>26114</v>
      </c>
      <c r="F2267">
        <v>4</v>
      </c>
      <c r="G2267">
        <v>1</v>
      </c>
      <c r="H2267">
        <v>1</v>
      </c>
      <c r="I2267">
        <v>1</v>
      </c>
      <c r="J2267" t="s">
        <v>3525</v>
      </c>
      <c r="K2267" t="s">
        <v>3526</v>
      </c>
      <c r="L2267" s="2">
        <v>1912.1543999999999</v>
      </c>
      <c r="M2267" s="2">
        <v>3399.99</v>
      </c>
      <c r="N2267" t="s">
        <v>13</v>
      </c>
      <c r="O2267" t="s">
        <v>743</v>
      </c>
      <c r="P2267" t="s">
        <v>587</v>
      </c>
      <c r="Q2267" t="s">
        <v>8595</v>
      </c>
      <c r="R2267" s="1">
        <v>19407</v>
      </c>
      <c r="S2267" t="s">
        <v>22</v>
      </c>
      <c r="T2267" t="s">
        <v>16</v>
      </c>
      <c r="U2267" t="s">
        <v>3102</v>
      </c>
      <c r="V2267">
        <v>70000</v>
      </c>
      <c r="W2267">
        <v>3</v>
      </c>
      <c r="X2267" t="s">
        <v>135</v>
      </c>
      <c r="Y2267" t="s">
        <v>45</v>
      </c>
      <c r="Z2267" t="s">
        <v>19</v>
      </c>
      <c r="AA2267" t="s">
        <v>3580</v>
      </c>
      <c r="AB2267" t="s">
        <v>3578</v>
      </c>
      <c r="AC2267" t="s">
        <v>3579</v>
      </c>
      <c r="AD2267" t="s">
        <v>3478</v>
      </c>
      <c r="AE2267" t="s">
        <v>3475</v>
      </c>
      <c r="AF2267" s="2">
        <v>3399.99</v>
      </c>
      <c r="AG2267" s="2">
        <v>1912.1543999999999</v>
      </c>
      <c r="AH2267" s="2">
        <v>1487.8356000000001</v>
      </c>
      <c r="AI2267" s="3">
        <v>0.43759999294115598</v>
      </c>
    </row>
    <row r="2268" spans="1:35">
      <c r="A2268" s="1">
        <v>42174</v>
      </c>
      <c r="B2268" s="1">
        <v>37381</v>
      </c>
      <c r="C2268" t="s">
        <v>4669</v>
      </c>
      <c r="D2268">
        <v>351</v>
      </c>
      <c r="E2268">
        <v>26116</v>
      </c>
      <c r="F2268">
        <v>1</v>
      </c>
      <c r="G2268">
        <v>1</v>
      </c>
      <c r="H2268">
        <v>1</v>
      </c>
      <c r="I2268">
        <v>1</v>
      </c>
      <c r="J2268" t="s">
        <v>3533</v>
      </c>
      <c r="K2268" t="s">
        <v>3534</v>
      </c>
      <c r="L2268" s="2">
        <v>1898.0944</v>
      </c>
      <c r="M2268" s="2">
        <v>3374.99</v>
      </c>
      <c r="N2268" t="s">
        <v>30</v>
      </c>
      <c r="O2268" t="s">
        <v>289</v>
      </c>
      <c r="P2268" t="s">
        <v>103</v>
      </c>
      <c r="Q2268" t="s">
        <v>8596</v>
      </c>
      <c r="R2268" s="1">
        <v>19545</v>
      </c>
      <c r="S2268" t="s">
        <v>22</v>
      </c>
      <c r="T2268" t="s">
        <v>29</v>
      </c>
      <c r="U2268" t="s">
        <v>3103</v>
      </c>
      <c r="V2268">
        <v>70000</v>
      </c>
      <c r="W2268">
        <v>3</v>
      </c>
      <c r="X2268" t="s">
        <v>135</v>
      </c>
      <c r="Y2268" t="s">
        <v>45</v>
      </c>
      <c r="Z2268" t="s">
        <v>23</v>
      </c>
      <c r="AA2268" t="s">
        <v>3577</v>
      </c>
      <c r="AB2268" t="s">
        <v>3578</v>
      </c>
      <c r="AC2268" t="s">
        <v>3579</v>
      </c>
      <c r="AD2268" t="s">
        <v>3478</v>
      </c>
      <c r="AE2268" t="s">
        <v>3475</v>
      </c>
      <c r="AF2268" s="2">
        <v>3374.99</v>
      </c>
      <c r="AG2268" s="2">
        <v>1898.0944</v>
      </c>
      <c r="AH2268" s="2">
        <v>1476.8956000000001</v>
      </c>
      <c r="AI2268" s="3">
        <v>0.43759999288886797</v>
      </c>
    </row>
    <row r="2269" spans="1:35">
      <c r="A2269" s="1">
        <v>42212</v>
      </c>
      <c r="B2269" s="1">
        <v>37401</v>
      </c>
      <c r="C2269" t="s">
        <v>4977</v>
      </c>
      <c r="D2269">
        <v>356</v>
      </c>
      <c r="E2269">
        <v>26120</v>
      </c>
      <c r="F2269">
        <v>4</v>
      </c>
      <c r="G2269">
        <v>1</v>
      </c>
      <c r="H2269">
        <v>1</v>
      </c>
      <c r="I2269">
        <v>1</v>
      </c>
      <c r="J2269" t="s">
        <v>3539</v>
      </c>
      <c r="K2269" t="s">
        <v>3540</v>
      </c>
      <c r="L2269" s="2">
        <v>1117.8559</v>
      </c>
      <c r="M2269" s="2">
        <v>2071.4196000000002</v>
      </c>
      <c r="N2269" t="s">
        <v>13</v>
      </c>
      <c r="O2269" t="s">
        <v>483</v>
      </c>
      <c r="P2269" t="s">
        <v>407</v>
      </c>
      <c r="Q2269" t="s">
        <v>8597</v>
      </c>
      <c r="R2269" s="1">
        <v>18739</v>
      </c>
      <c r="S2269" t="s">
        <v>22</v>
      </c>
      <c r="T2269" t="s">
        <v>16</v>
      </c>
      <c r="U2269" t="s">
        <v>3104</v>
      </c>
      <c r="V2269">
        <v>40000</v>
      </c>
      <c r="W2269">
        <v>3</v>
      </c>
      <c r="X2269" t="s">
        <v>52</v>
      </c>
      <c r="Y2269" t="s">
        <v>18</v>
      </c>
      <c r="Z2269" t="s">
        <v>23</v>
      </c>
      <c r="AA2269" t="s">
        <v>3580</v>
      </c>
      <c r="AB2269" t="s">
        <v>3578</v>
      </c>
      <c r="AC2269" t="s">
        <v>3579</v>
      </c>
      <c r="AD2269" t="s">
        <v>3478</v>
      </c>
      <c r="AE2269" t="s">
        <v>3475</v>
      </c>
      <c r="AF2269" s="2">
        <v>2071.4196000000002</v>
      </c>
      <c r="AG2269" s="2">
        <v>1117.8559</v>
      </c>
      <c r="AH2269" s="2">
        <v>953.56370000000004</v>
      </c>
      <c r="AI2269" s="3">
        <v>0.460343090313522</v>
      </c>
    </row>
    <row r="2270" spans="1:35">
      <c r="A2270" s="1">
        <v>42202</v>
      </c>
      <c r="B2270" s="1">
        <v>37409</v>
      </c>
      <c r="C2270" t="s">
        <v>4899</v>
      </c>
      <c r="D2270">
        <v>356</v>
      </c>
      <c r="E2270">
        <v>26121</v>
      </c>
      <c r="F2270">
        <v>4</v>
      </c>
      <c r="G2270">
        <v>1</v>
      </c>
      <c r="H2270">
        <v>1</v>
      </c>
      <c r="I2270">
        <v>1</v>
      </c>
      <c r="J2270" t="s">
        <v>3539</v>
      </c>
      <c r="K2270" t="s">
        <v>3540</v>
      </c>
      <c r="L2270" s="2">
        <v>1117.8559</v>
      </c>
      <c r="M2270" s="2">
        <v>2071.4196000000002</v>
      </c>
      <c r="N2270" t="s">
        <v>30</v>
      </c>
      <c r="O2270" t="s">
        <v>938</v>
      </c>
      <c r="P2270" t="s">
        <v>203</v>
      </c>
      <c r="Q2270" t="s">
        <v>8598</v>
      </c>
      <c r="R2270" s="1">
        <v>18826</v>
      </c>
      <c r="S2270" t="s">
        <v>16</v>
      </c>
      <c r="T2270" t="s">
        <v>29</v>
      </c>
      <c r="U2270" t="s">
        <v>3105</v>
      </c>
      <c r="V2270">
        <v>40000</v>
      </c>
      <c r="W2270">
        <v>3</v>
      </c>
      <c r="X2270" t="s">
        <v>52</v>
      </c>
      <c r="Y2270" t="s">
        <v>18</v>
      </c>
      <c r="Z2270" t="s">
        <v>23</v>
      </c>
      <c r="AA2270" t="s">
        <v>3580</v>
      </c>
      <c r="AB2270" t="s">
        <v>3578</v>
      </c>
      <c r="AC2270" t="s">
        <v>3579</v>
      </c>
      <c r="AD2270" t="s">
        <v>3478</v>
      </c>
      <c r="AE2270" t="s">
        <v>3475</v>
      </c>
      <c r="AF2270" s="2">
        <v>2071.4196000000002</v>
      </c>
      <c r="AG2270" s="2">
        <v>1117.8559</v>
      </c>
      <c r="AH2270" s="2">
        <v>953.56370000000004</v>
      </c>
      <c r="AI2270" s="3">
        <v>0.460343090313522</v>
      </c>
    </row>
    <row r="2271" spans="1:35">
      <c r="A2271" s="1">
        <v>42194</v>
      </c>
      <c r="B2271" s="1">
        <v>37352</v>
      </c>
      <c r="C2271" t="s">
        <v>4835</v>
      </c>
      <c r="D2271">
        <v>360</v>
      </c>
      <c r="E2271">
        <v>26127</v>
      </c>
      <c r="F2271">
        <v>1</v>
      </c>
      <c r="G2271">
        <v>1</v>
      </c>
      <c r="H2271">
        <v>1</v>
      </c>
      <c r="I2271">
        <v>1</v>
      </c>
      <c r="J2271" t="s">
        <v>3543</v>
      </c>
      <c r="K2271" t="s">
        <v>3544</v>
      </c>
      <c r="L2271" s="2">
        <v>1105.81</v>
      </c>
      <c r="M2271" s="2">
        <v>2049.0981999999999</v>
      </c>
      <c r="N2271" t="s">
        <v>13</v>
      </c>
      <c r="O2271" t="s">
        <v>1590</v>
      </c>
      <c r="P2271" t="s">
        <v>171</v>
      </c>
      <c r="Q2271" t="s">
        <v>8599</v>
      </c>
      <c r="R2271" s="1">
        <v>17990</v>
      </c>
      <c r="S2271" t="s">
        <v>16</v>
      </c>
      <c r="T2271" t="s">
        <v>16</v>
      </c>
      <c r="U2271" t="s">
        <v>3106</v>
      </c>
      <c r="V2271">
        <v>30000</v>
      </c>
      <c r="W2271">
        <v>4</v>
      </c>
      <c r="X2271" t="s">
        <v>57</v>
      </c>
      <c r="Y2271" t="s">
        <v>18</v>
      </c>
      <c r="Z2271" t="s">
        <v>19</v>
      </c>
      <c r="AA2271" t="s">
        <v>3577</v>
      </c>
      <c r="AB2271" t="s">
        <v>3578</v>
      </c>
      <c r="AC2271" t="s">
        <v>3579</v>
      </c>
      <c r="AD2271" t="s">
        <v>3478</v>
      </c>
      <c r="AE2271" t="s">
        <v>3475</v>
      </c>
      <c r="AF2271" s="2">
        <v>2049.0981999999999</v>
      </c>
      <c r="AG2271" s="2">
        <v>1105.81</v>
      </c>
      <c r="AH2271" s="2">
        <v>943.28819999999996</v>
      </c>
      <c r="AI2271" s="3">
        <v>0.46034309141455498</v>
      </c>
    </row>
    <row r="2272" spans="1:35">
      <c r="A2272" s="1">
        <v>42225</v>
      </c>
      <c r="B2272" s="1">
        <v>37361</v>
      </c>
      <c r="C2272" t="s">
        <v>5081</v>
      </c>
      <c r="D2272">
        <v>338</v>
      </c>
      <c r="E2272">
        <v>26131</v>
      </c>
      <c r="F2272">
        <v>9</v>
      </c>
      <c r="G2272">
        <v>1</v>
      </c>
      <c r="H2272">
        <v>1</v>
      </c>
      <c r="I2272">
        <v>2</v>
      </c>
      <c r="J2272" t="s">
        <v>3513</v>
      </c>
      <c r="K2272" t="s">
        <v>3514</v>
      </c>
      <c r="L2272" s="2">
        <v>413.1463</v>
      </c>
      <c r="M2272" s="2">
        <v>699.09820000000002</v>
      </c>
      <c r="N2272" t="s">
        <v>13</v>
      </c>
      <c r="O2272" t="s">
        <v>1094</v>
      </c>
      <c r="P2272" t="s">
        <v>40</v>
      </c>
      <c r="Q2272" t="s">
        <v>8600</v>
      </c>
      <c r="R2272" s="1">
        <v>23310</v>
      </c>
      <c r="S2272" t="s">
        <v>16</v>
      </c>
      <c r="T2272" t="s">
        <v>16</v>
      </c>
      <c r="U2272" t="s">
        <v>3107</v>
      </c>
      <c r="V2272">
        <v>60000</v>
      </c>
      <c r="W2272">
        <v>3</v>
      </c>
      <c r="X2272" t="s">
        <v>17</v>
      </c>
      <c r="Y2272" t="s">
        <v>18</v>
      </c>
      <c r="Z2272" t="s">
        <v>19</v>
      </c>
      <c r="AA2272" t="s">
        <v>3586</v>
      </c>
      <c r="AB2272" t="s">
        <v>3586</v>
      </c>
      <c r="AC2272" t="s">
        <v>3587</v>
      </c>
      <c r="AD2272" t="s">
        <v>3479</v>
      </c>
      <c r="AE2272" t="s">
        <v>3475</v>
      </c>
      <c r="AF2272" s="2">
        <v>699.09820000000002</v>
      </c>
      <c r="AG2272" s="2">
        <v>413.1463</v>
      </c>
      <c r="AH2272" s="2">
        <v>285.95190000000002</v>
      </c>
      <c r="AI2272" s="3">
        <v>0.409029661355157</v>
      </c>
    </row>
    <row r="2273" spans="1:35">
      <c r="A2273" s="1">
        <v>42227</v>
      </c>
      <c r="B2273" s="1">
        <v>37415</v>
      </c>
      <c r="C2273" t="s">
        <v>5093</v>
      </c>
      <c r="D2273">
        <v>334</v>
      </c>
      <c r="E2273">
        <v>26133</v>
      </c>
      <c r="F2273">
        <v>9</v>
      </c>
      <c r="G2273">
        <v>1</v>
      </c>
      <c r="H2273">
        <v>1</v>
      </c>
      <c r="I2273">
        <v>2</v>
      </c>
      <c r="J2273" t="s">
        <v>3509</v>
      </c>
      <c r="K2273" t="s">
        <v>3510</v>
      </c>
      <c r="L2273" s="2">
        <v>413.1463</v>
      </c>
      <c r="M2273" s="2">
        <v>699.09820000000002</v>
      </c>
      <c r="N2273" t="s">
        <v>13</v>
      </c>
      <c r="O2273" t="s">
        <v>104</v>
      </c>
      <c r="P2273" t="s">
        <v>704</v>
      </c>
      <c r="Q2273" t="s">
        <v>8601</v>
      </c>
      <c r="R2273" s="1">
        <v>23203</v>
      </c>
      <c r="S2273" t="s">
        <v>22</v>
      </c>
      <c r="T2273" t="s">
        <v>16</v>
      </c>
      <c r="U2273" t="s">
        <v>3108</v>
      </c>
      <c r="V2273">
        <v>70000</v>
      </c>
      <c r="W2273">
        <v>0</v>
      </c>
      <c r="X2273" t="s">
        <v>17</v>
      </c>
      <c r="Y2273" t="s">
        <v>18</v>
      </c>
      <c r="Z2273" t="s">
        <v>19</v>
      </c>
      <c r="AA2273" t="s">
        <v>3586</v>
      </c>
      <c r="AB2273" t="s">
        <v>3586</v>
      </c>
      <c r="AC2273" t="s">
        <v>3587</v>
      </c>
      <c r="AD2273" t="s">
        <v>3479</v>
      </c>
      <c r="AE2273" t="s">
        <v>3475</v>
      </c>
      <c r="AF2273" s="2">
        <v>699.09820000000002</v>
      </c>
      <c r="AG2273" s="2">
        <v>413.1463</v>
      </c>
      <c r="AH2273" s="2">
        <v>285.95190000000002</v>
      </c>
      <c r="AI2273" s="3">
        <v>0.409029661355157</v>
      </c>
    </row>
    <row r="2274" spans="1:35">
      <c r="A2274" s="1">
        <v>42220</v>
      </c>
      <c r="B2274" s="1">
        <v>37360</v>
      </c>
      <c r="C2274" t="s">
        <v>5034</v>
      </c>
      <c r="D2274">
        <v>324</v>
      </c>
      <c r="E2274">
        <v>26134</v>
      </c>
      <c r="F2274">
        <v>9</v>
      </c>
      <c r="G2274">
        <v>1</v>
      </c>
      <c r="H2274">
        <v>1</v>
      </c>
      <c r="I2274">
        <v>2</v>
      </c>
      <c r="J2274" t="s">
        <v>3499</v>
      </c>
      <c r="K2274" t="s">
        <v>3500</v>
      </c>
      <c r="L2274" s="2">
        <v>413.1463</v>
      </c>
      <c r="M2274" s="2">
        <v>699.09820000000002</v>
      </c>
      <c r="N2274" t="s">
        <v>30</v>
      </c>
      <c r="O2274" t="s">
        <v>1128</v>
      </c>
      <c r="P2274" t="s">
        <v>266</v>
      </c>
      <c r="Q2274" t="s">
        <v>8602</v>
      </c>
      <c r="R2274" s="1">
        <v>24597</v>
      </c>
      <c r="S2274" t="s">
        <v>16</v>
      </c>
      <c r="T2274" t="s">
        <v>29</v>
      </c>
      <c r="U2274" t="s">
        <v>3109</v>
      </c>
      <c r="V2274">
        <v>90000</v>
      </c>
      <c r="W2274">
        <v>3</v>
      </c>
      <c r="X2274" t="s">
        <v>17</v>
      </c>
      <c r="Y2274" t="s">
        <v>18</v>
      </c>
      <c r="Z2274" t="s">
        <v>19</v>
      </c>
      <c r="AA2274" t="s">
        <v>3586</v>
      </c>
      <c r="AB2274" t="s">
        <v>3586</v>
      </c>
      <c r="AC2274" t="s">
        <v>3587</v>
      </c>
      <c r="AD2274" t="s">
        <v>3479</v>
      </c>
      <c r="AE2274" t="s">
        <v>3475</v>
      </c>
      <c r="AF2274" s="2">
        <v>699.09820000000002</v>
      </c>
      <c r="AG2274" s="2">
        <v>413.1463</v>
      </c>
      <c r="AH2274" s="2">
        <v>285.95190000000002</v>
      </c>
      <c r="AI2274" s="3">
        <v>0.409029661355157</v>
      </c>
    </row>
    <row r="2275" spans="1:35">
      <c r="A2275" s="1">
        <v>42267</v>
      </c>
      <c r="B2275" s="1">
        <v>37499</v>
      </c>
      <c r="C2275" t="s">
        <v>5418</v>
      </c>
      <c r="D2275">
        <v>324</v>
      </c>
      <c r="E2275">
        <v>26135</v>
      </c>
      <c r="F2275">
        <v>9</v>
      </c>
      <c r="G2275">
        <v>1</v>
      </c>
      <c r="H2275">
        <v>1</v>
      </c>
      <c r="I2275">
        <v>2</v>
      </c>
      <c r="J2275" t="s">
        <v>3499</v>
      </c>
      <c r="K2275" t="s">
        <v>3500</v>
      </c>
      <c r="L2275" s="2">
        <v>413.1463</v>
      </c>
      <c r="M2275" s="2">
        <v>699.09820000000002</v>
      </c>
      <c r="N2275" t="s">
        <v>30</v>
      </c>
      <c r="O2275" t="s">
        <v>335</v>
      </c>
      <c r="P2275" t="s">
        <v>470</v>
      </c>
      <c r="Q2275" t="s">
        <v>8603</v>
      </c>
      <c r="R2275" s="1">
        <v>24524</v>
      </c>
      <c r="S2275" t="s">
        <v>16</v>
      </c>
      <c r="T2275" t="s">
        <v>29</v>
      </c>
      <c r="U2275" t="s">
        <v>3110</v>
      </c>
      <c r="V2275">
        <v>90000</v>
      </c>
      <c r="W2275">
        <v>3</v>
      </c>
      <c r="X2275" t="s">
        <v>17</v>
      </c>
      <c r="Y2275" t="s">
        <v>18</v>
      </c>
      <c r="Z2275" t="s">
        <v>19</v>
      </c>
      <c r="AA2275" t="s">
        <v>3586</v>
      </c>
      <c r="AB2275" t="s">
        <v>3586</v>
      </c>
      <c r="AC2275" t="s">
        <v>3587</v>
      </c>
      <c r="AD2275" t="s">
        <v>3479</v>
      </c>
      <c r="AE2275" t="s">
        <v>3475</v>
      </c>
      <c r="AF2275" s="2">
        <v>699.09820000000002</v>
      </c>
      <c r="AG2275" s="2">
        <v>413.1463</v>
      </c>
      <c r="AH2275" s="2">
        <v>285.95190000000002</v>
      </c>
      <c r="AI2275" s="3">
        <v>0.409029661355157</v>
      </c>
    </row>
    <row r="2276" spans="1:35">
      <c r="A2276" s="1">
        <v>42277</v>
      </c>
      <c r="B2276" s="1">
        <v>37432</v>
      </c>
      <c r="C2276" t="s">
        <v>5481</v>
      </c>
      <c r="D2276">
        <v>326</v>
      </c>
      <c r="E2276">
        <v>26138</v>
      </c>
      <c r="F2276">
        <v>9</v>
      </c>
      <c r="G2276">
        <v>1</v>
      </c>
      <c r="H2276">
        <v>1</v>
      </c>
      <c r="I2276">
        <v>2</v>
      </c>
      <c r="J2276" t="s">
        <v>3501</v>
      </c>
      <c r="K2276" t="s">
        <v>3502</v>
      </c>
      <c r="L2276" s="2">
        <v>413.1463</v>
      </c>
      <c r="M2276" s="2">
        <v>699.09820000000002</v>
      </c>
      <c r="N2276" t="s">
        <v>30</v>
      </c>
      <c r="O2276" t="s">
        <v>354</v>
      </c>
      <c r="P2276" t="s">
        <v>171</v>
      </c>
      <c r="Q2276" t="s">
        <v>8604</v>
      </c>
      <c r="R2276" s="1">
        <v>22714</v>
      </c>
      <c r="S2276" t="s">
        <v>16</v>
      </c>
      <c r="T2276" t="s">
        <v>29</v>
      </c>
      <c r="U2276" t="s">
        <v>3111</v>
      </c>
      <c r="V2276">
        <v>70000</v>
      </c>
      <c r="W2276">
        <v>1</v>
      </c>
      <c r="X2276" t="s">
        <v>52</v>
      </c>
      <c r="Y2276" t="s">
        <v>53</v>
      </c>
      <c r="Z2276" t="s">
        <v>19</v>
      </c>
      <c r="AA2276" t="s">
        <v>3586</v>
      </c>
      <c r="AB2276" t="s">
        <v>3586</v>
      </c>
      <c r="AC2276" t="s">
        <v>3587</v>
      </c>
      <c r="AD2276" t="s">
        <v>3479</v>
      </c>
      <c r="AE2276" t="s">
        <v>3475</v>
      </c>
      <c r="AF2276" s="2">
        <v>699.09820000000002</v>
      </c>
      <c r="AG2276" s="2">
        <v>413.1463</v>
      </c>
      <c r="AH2276" s="2">
        <v>285.95190000000002</v>
      </c>
      <c r="AI2276" s="3">
        <v>0.409029661355157</v>
      </c>
    </row>
    <row r="2277" spans="1:35">
      <c r="A2277" s="1">
        <v>42270</v>
      </c>
      <c r="B2277" s="1">
        <v>37451</v>
      </c>
      <c r="C2277" t="s">
        <v>5433</v>
      </c>
      <c r="D2277">
        <v>330</v>
      </c>
      <c r="E2277">
        <v>26140</v>
      </c>
      <c r="F2277">
        <v>9</v>
      </c>
      <c r="G2277">
        <v>1</v>
      </c>
      <c r="H2277">
        <v>1</v>
      </c>
      <c r="I2277">
        <v>2</v>
      </c>
      <c r="J2277" t="s">
        <v>3505</v>
      </c>
      <c r="K2277" t="s">
        <v>3506</v>
      </c>
      <c r="L2277" s="2">
        <v>413.1463</v>
      </c>
      <c r="M2277" s="2">
        <v>699.09820000000002</v>
      </c>
      <c r="N2277" t="s">
        <v>26</v>
      </c>
      <c r="O2277" t="s">
        <v>178</v>
      </c>
      <c r="P2277" t="s">
        <v>239</v>
      </c>
      <c r="Q2277" t="s">
        <v>8605</v>
      </c>
      <c r="R2277" s="1">
        <v>24469</v>
      </c>
      <c r="S2277" t="s">
        <v>22</v>
      </c>
      <c r="T2277" t="s">
        <v>29</v>
      </c>
      <c r="U2277" t="s">
        <v>3112</v>
      </c>
      <c r="V2277">
        <v>100000</v>
      </c>
      <c r="W2277">
        <v>0</v>
      </c>
      <c r="X2277" t="s">
        <v>135</v>
      </c>
      <c r="Y2277" t="s">
        <v>45</v>
      </c>
      <c r="Z2277" t="s">
        <v>23</v>
      </c>
      <c r="AA2277" t="s">
        <v>3586</v>
      </c>
      <c r="AB2277" t="s">
        <v>3586</v>
      </c>
      <c r="AC2277" t="s">
        <v>3587</v>
      </c>
      <c r="AD2277" t="s">
        <v>3479</v>
      </c>
      <c r="AE2277" t="s">
        <v>3475</v>
      </c>
      <c r="AF2277" s="2">
        <v>699.09820000000002</v>
      </c>
      <c r="AG2277" s="2">
        <v>413.1463</v>
      </c>
      <c r="AH2277" s="2">
        <v>285.95190000000002</v>
      </c>
      <c r="AI2277" s="3">
        <v>0.409029661355157</v>
      </c>
    </row>
    <row r="2278" spans="1:35">
      <c r="A2278" s="1">
        <v>42273</v>
      </c>
      <c r="B2278" s="1">
        <v>37462</v>
      </c>
      <c r="C2278" t="s">
        <v>5459</v>
      </c>
      <c r="D2278">
        <v>330</v>
      </c>
      <c r="E2278">
        <v>26142</v>
      </c>
      <c r="F2278">
        <v>9</v>
      </c>
      <c r="G2278">
        <v>1</v>
      </c>
      <c r="H2278">
        <v>1</v>
      </c>
      <c r="I2278">
        <v>2</v>
      </c>
      <c r="J2278" t="s">
        <v>3505</v>
      </c>
      <c r="K2278" t="s">
        <v>3506</v>
      </c>
      <c r="L2278" s="2">
        <v>413.1463</v>
      </c>
      <c r="M2278" s="2">
        <v>699.09820000000002</v>
      </c>
      <c r="N2278" t="s">
        <v>13</v>
      </c>
      <c r="O2278" t="s">
        <v>219</v>
      </c>
      <c r="P2278" t="s">
        <v>97</v>
      </c>
      <c r="Q2278" t="s">
        <v>8606</v>
      </c>
      <c r="R2278" s="1">
        <v>22276</v>
      </c>
      <c r="S2278" t="s">
        <v>16</v>
      </c>
      <c r="T2278" t="s">
        <v>16</v>
      </c>
      <c r="U2278" t="s">
        <v>3113</v>
      </c>
      <c r="V2278">
        <v>60000</v>
      </c>
      <c r="W2278">
        <v>1</v>
      </c>
      <c r="X2278" t="s">
        <v>52</v>
      </c>
      <c r="Y2278" t="s">
        <v>53</v>
      </c>
      <c r="Z2278" t="s">
        <v>19</v>
      </c>
      <c r="AA2278" t="s">
        <v>3586</v>
      </c>
      <c r="AB2278" t="s">
        <v>3586</v>
      </c>
      <c r="AC2278" t="s">
        <v>3587</v>
      </c>
      <c r="AD2278" t="s">
        <v>3479</v>
      </c>
      <c r="AE2278" t="s">
        <v>3475</v>
      </c>
      <c r="AF2278" s="2">
        <v>699.09820000000002</v>
      </c>
      <c r="AG2278" s="2">
        <v>413.1463</v>
      </c>
      <c r="AH2278" s="2">
        <v>285.95190000000002</v>
      </c>
      <c r="AI2278" s="3">
        <v>0.409029661355157</v>
      </c>
    </row>
    <row r="2279" spans="1:35">
      <c r="A2279" s="1">
        <v>42259</v>
      </c>
      <c r="B2279" s="1">
        <v>37405</v>
      </c>
      <c r="C2279" t="s">
        <v>5360</v>
      </c>
      <c r="D2279">
        <v>328</v>
      </c>
      <c r="E2279">
        <v>26148</v>
      </c>
      <c r="F2279">
        <v>9</v>
      </c>
      <c r="G2279">
        <v>1</v>
      </c>
      <c r="H2279">
        <v>1</v>
      </c>
      <c r="I2279">
        <v>2</v>
      </c>
      <c r="J2279" t="s">
        <v>3503</v>
      </c>
      <c r="K2279" t="s">
        <v>3504</v>
      </c>
      <c r="L2279" s="2">
        <v>413.1463</v>
      </c>
      <c r="M2279" s="2">
        <v>699.09820000000002</v>
      </c>
      <c r="N2279" t="s">
        <v>13</v>
      </c>
      <c r="O2279" t="s">
        <v>1668</v>
      </c>
      <c r="P2279" t="s">
        <v>366</v>
      </c>
      <c r="Q2279" t="s">
        <v>8607</v>
      </c>
      <c r="R2279" s="1">
        <v>23828</v>
      </c>
      <c r="S2279" t="s">
        <v>16</v>
      </c>
      <c r="T2279" t="s">
        <v>16</v>
      </c>
      <c r="U2279" t="s">
        <v>3114</v>
      </c>
      <c r="V2279">
        <v>80000</v>
      </c>
      <c r="W2279">
        <v>5</v>
      </c>
      <c r="X2279" t="s">
        <v>17</v>
      </c>
      <c r="Y2279" t="s">
        <v>18</v>
      </c>
      <c r="Z2279" t="s">
        <v>19</v>
      </c>
      <c r="AA2279" t="s">
        <v>3586</v>
      </c>
      <c r="AB2279" t="s">
        <v>3586</v>
      </c>
      <c r="AC2279" t="s">
        <v>3587</v>
      </c>
      <c r="AD2279" t="s">
        <v>3479</v>
      </c>
      <c r="AE2279" t="s">
        <v>3475</v>
      </c>
      <c r="AF2279" s="2">
        <v>699.09820000000002</v>
      </c>
      <c r="AG2279" s="2">
        <v>413.1463</v>
      </c>
      <c r="AH2279" s="2">
        <v>285.95190000000002</v>
      </c>
      <c r="AI2279" s="3">
        <v>0.409029661355157</v>
      </c>
    </row>
    <row r="2280" spans="1:35">
      <c r="A2280" s="1">
        <v>42272</v>
      </c>
      <c r="B2280" s="1">
        <v>37500</v>
      </c>
      <c r="C2280" t="s">
        <v>5451</v>
      </c>
      <c r="D2280">
        <v>320</v>
      </c>
      <c r="E2280">
        <v>26150</v>
      </c>
      <c r="F2280">
        <v>9</v>
      </c>
      <c r="G2280">
        <v>1</v>
      </c>
      <c r="H2280">
        <v>1</v>
      </c>
      <c r="I2280">
        <v>2</v>
      </c>
      <c r="J2280" t="s">
        <v>3495</v>
      </c>
      <c r="K2280" t="s">
        <v>3496</v>
      </c>
      <c r="L2280" s="2">
        <v>413.1463</v>
      </c>
      <c r="M2280" s="2">
        <v>699.09820000000002</v>
      </c>
      <c r="N2280" t="s">
        <v>26</v>
      </c>
      <c r="O2280" t="s">
        <v>391</v>
      </c>
      <c r="P2280" t="s">
        <v>830</v>
      </c>
      <c r="Q2280" t="s">
        <v>8608</v>
      </c>
      <c r="R2280" s="1">
        <v>23677</v>
      </c>
      <c r="S2280" t="s">
        <v>22</v>
      </c>
      <c r="T2280" t="s">
        <v>29</v>
      </c>
      <c r="U2280" t="s">
        <v>3115</v>
      </c>
      <c r="V2280">
        <v>70000</v>
      </c>
      <c r="W2280">
        <v>0</v>
      </c>
      <c r="X2280" t="s">
        <v>17</v>
      </c>
      <c r="Y2280" t="s">
        <v>18</v>
      </c>
      <c r="Z2280" t="s">
        <v>23</v>
      </c>
      <c r="AA2280" t="s">
        <v>3586</v>
      </c>
      <c r="AB2280" t="s">
        <v>3586</v>
      </c>
      <c r="AC2280" t="s">
        <v>3587</v>
      </c>
      <c r="AD2280" t="s">
        <v>3479</v>
      </c>
      <c r="AE2280" t="s">
        <v>3475</v>
      </c>
      <c r="AF2280" s="2">
        <v>699.09820000000002</v>
      </c>
      <c r="AG2280" s="2">
        <v>413.1463</v>
      </c>
      <c r="AH2280" s="2">
        <v>285.95190000000002</v>
      </c>
      <c r="AI2280" s="3">
        <v>0.409029661355157</v>
      </c>
    </row>
    <row r="2281" spans="1:35">
      <c r="A2281" s="1">
        <v>42249</v>
      </c>
      <c r="B2281" s="1">
        <v>37431</v>
      </c>
      <c r="C2281" t="s">
        <v>5292</v>
      </c>
      <c r="D2281">
        <v>328</v>
      </c>
      <c r="E2281">
        <v>26152</v>
      </c>
      <c r="F2281">
        <v>9</v>
      </c>
      <c r="G2281">
        <v>1</v>
      </c>
      <c r="H2281">
        <v>1</v>
      </c>
      <c r="I2281">
        <v>2</v>
      </c>
      <c r="J2281" t="s">
        <v>3503</v>
      </c>
      <c r="K2281" t="s">
        <v>3504</v>
      </c>
      <c r="L2281" s="2">
        <v>413.1463</v>
      </c>
      <c r="M2281" s="2">
        <v>699.09820000000002</v>
      </c>
      <c r="N2281" t="s">
        <v>26</v>
      </c>
      <c r="O2281" t="s">
        <v>92</v>
      </c>
      <c r="P2281" t="s">
        <v>270</v>
      </c>
      <c r="Q2281" t="s">
        <v>8609</v>
      </c>
      <c r="R2281" s="1">
        <v>23236</v>
      </c>
      <c r="S2281" t="s">
        <v>22</v>
      </c>
      <c r="T2281" t="s">
        <v>29</v>
      </c>
      <c r="U2281" t="s">
        <v>3116</v>
      </c>
      <c r="V2281">
        <v>70000</v>
      </c>
      <c r="W2281">
        <v>0</v>
      </c>
      <c r="X2281" t="s">
        <v>17</v>
      </c>
      <c r="Y2281" t="s">
        <v>18</v>
      </c>
      <c r="Z2281" t="s">
        <v>23</v>
      </c>
      <c r="AA2281" t="s">
        <v>3586</v>
      </c>
      <c r="AB2281" t="s">
        <v>3586</v>
      </c>
      <c r="AC2281" t="s">
        <v>3587</v>
      </c>
      <c r="AD2281" t="s">
        <v>3479</v>
      </c>
      <c r="AE2281" t="s">
        <v>3475</v>
      </c>
      <c r="AF2281" s="2">
        <v>699.09820000000002</v>
      </c>
      <c r="AG2281" s="2">
        <v>413.1463</v>
      </c>
      <c r="AH2281" s="2">
        <v>285.95190000000002</v>
      </c>
      <c r="AI2281" s="3">
        <v>0.409029661355157</v>
      </c>
    </row>
    <row r="2282" spans="1:35">
      <c r="A2282" s="1">
        <v>42257</v>
      </c>
      <c r="B2282" s="1">
        <v>37478</v>
      </c>
      <c r="C2282" t="s">
        <v>5344</v>
      </c>
      <c r="D2282">
        <v>336</v>
      </c>
      <c r="E2282">
        <v>26153</v>
      </c>
      <c r="F2282">
        <v>9</v>
      </c>
      <c r="G2282">
        <v>1</v>
      </c>
      <c r="H2282">
        <v>1</v>
      </c>
      <c r="I2282">
        <v>2</v>
      </c>
      <c r="J2282" t="s">
        <v>3511</v>
      </c>
      <c r="K2282" t="s">
        <v>3512</v>
      </c>
      <c r="L2282" s="2">
        <v>413.1463</v>
      </c>
      <c r="M2282" s="2">
        <v>699.09820000000002</v>
      </c>
      <c r="N2282" t="s">
        <v>30</v>
      </c>
      <c r="O2282" t="s">
        <v>829</v>
      </c>
      <c r="P2282" t="s">
        <v>377</v>
      </c>
      <c r="Q2282" t="s">
        <v>8610</v>
      </c>
      <c r="R2282" s="1">
        <v>22776</v>
      </c>
      <c r="S2282" t="s">
        <v>16</v>
      </c>
      <c r="T2282" t="s">
        <v>29</v>
      </c>
      <c r="U2282" t="s">
        <v>3117</v>
      </c>
      <c r="V2282">
        <v>60000</v>
      </c>
      <c r="W2282">
        <v>1</v>
      </c>
      <c r="X2282" t="s">
        <v>52</v>
      </c>
      <c r="Y2282" t="s">
        <v>53</v>
      </c>
      <c r="Z2282" t="s">
        <v>19</v>
      </c>
      <c r="AA2282" t="s">
        <v>3586</v>
      </c>
      <c r="AB2282" t="s">
        <v>3586</v>
      </c>
      <c r="AC2282" t="s">
        <v>3587</v>
      </c>
      <c r="AD2282" t="s">
        <v>3479</v>
      </c>
      <c r="AE2282" t="s">
        <v>3475</v>
      </c>
      <c r="AF2282" s="2">
        <v>699.09820000000002</v>
      </c>
      <c r="AG2282" s="2">
        <v>413.1463</v>
      </c>
      <c r="AH2282" s="2">
        <v>285.95190000000002</v>
      </c>
      <c r="AI2282" s="3">
        <v>0.409029661355157</v>
      </c>
    </row>
    <row r="2283" spans="1:35">
      <c r="A2283" s="1">
        <v>42267</v>
      </c>
      <c r="B2283" s="1">
        <v>37457</v>
      </c>
      <c r="C2283" t="s">
        <v>5415</v>
      </c>
      <c r="D2283">
        <v>342</v>
      </c>
      <c r="E2283">
        <v>26154</v>
      </c>
      <c r="F2283">
        <v>9</v>
      </c>
      <c r="G2283">
        <v>1</v>
      </c>
      <c r="H2283">
        <v>1</v>
      </c>
      <c r="I2283">
        <v>2</v>
      </c>
      <c r="J2283" t="s">
        <v>3517</v>
      </c>
      <c r="K2283" t="s">
        <v>3518</v>
      </c>
      <c r="L2283" s="2">
        <v>413.1463</v>
      </c>
      <c r="M2283" s="2">
        <v>699.09820000000002</v>
      </c>
      <c r="N2283" t="s">
        <v>13</v>
      </c>
      <c r="O2283" t="s">
        <v>1166</v>
      </c>
      <c r="P2283" t="s">
        <v>658</v>
      </c>
      <c r="Q2283" t="s">
        <v>8611</v>
      </c>
      <c r="R2283" s="1">
        <v>22947</v>
      </c>
      <c r="S2283" t="s">
        <v>16</v>
      </c>
      <c r="T2283" t="s">
        <v>16</v>
      </c>
      <c r="U2283" t="s">
        <v>3118</v>
      </c>
      <c r="V2283">
        <v>60000</v>
      </c>
      <c r="W2283">
        <v>1</v>
      </c>
      <c r="X2283" t="s">
        <v>52</v>
      </c>
      <c r="Y2283" t="s">
        <v>53</v>
      </c>
      <c r="Z2283" t="s">
        <v>19</v>
      </c>
      <c r="AA2283" t="s">
        <v>3586</v>
      </c>
      <c r="AB2283" t="s">
        <v>3586</v>
      </c>
      <c r="AC2283" t="s">
        <v>3587</v>
      </c>
      <c r="AD2283" t="s">
        <v>3479</v>
      </c>
      <c r="AE2283" t="s">
        <v>3475</v>
      </c>
      <c r="AF2283" s="2">
        <v>699.09820000000002</v>
      </c>
      <c r="AG2283" s="2">
        <v>413.1463</v>
      </c>
      <c r="AH2283" s="2">
        <v>285.95190000000002</v>
      </c>
      <c r="AI2283" s="3">
        <v>0.409029661355157</v>
      </c>
    </row>
    <row r="2284" spans="1:35">
      <c r="A2284" s="1">
        <v>42290</v>
      </c>
      <c r="B2284" s="1">
        <v>37475</v>
      </c>
      <c r="C2284" t="s">
        <v>5567</v>
      </c>
      <c r="D2284">
        <v>336</v>
      </c>
      <c r="E2284">
        <v>26160</v>
      </c>
      <c r="F2284">
        <v>9</v>
      </c>
      <c r="G2284">
        <v>1</v>
      </c>
      <c r="H2284">
        <v>1</v>
      </c>
      <c r="I2284">
        <v>2</v>
      </c>
      <c r="J2284" t="s">
        <v>3511</v>
      </c>
      <c r="K2284" t="s">
        <v>3512</v>
      </c>
      <c r="L2284" s="2">
        <v>413.1463</v>
      </c>
      <c r="M2284" s="2">
        <v>699.09820000000002</v>
      </c>
      <c r="N2284" t="s">
        <v>13</v>
      </c>
      <c r="O2284" t="s">
        <v>114</v>
      </c>
      <c r="P2284" t="s">
        <v>62</v>
      </c>
      <c r="Q2284" t="s">
        <v>8612</v>
      </c>
      <c r="R2284" s="1">
        <v>21058</v>
      </c>
      <c r="S2284" t="s">
        <v>16</v>
      </c>
      <c r="T2284" t="s">
        <v>16</v>
      </c>
      <c r="U2284" t="s">
        <v>3119</v>
      </c>
      <c r="V2284">
        <v>70000</v>
      </c>
      <c r="W2284">
        <v>1</v>
      </c>
      <c r="X2284" t="s">
        <v>52</v>
      </c>
      <c r="Y2284" t="s">
        <v>53</v>
      </c>
      <c r="Z2284" t="s">
        <v>19</v>
      </c>
      <c r="AA2284" t="s">
        <v>3586</v>
      </c>
      <c r="AB2284" t="s">
        <v>3586</v>
      </c>
      <c r="AC2284" t="s">
        <v>3587</v>
      </c>
      <c r="AD2284" t="s">
        <v>3479</v>
      </c>
      <c r="AE2284" t="s">
        <v>3475</v>
      </c>
      <c r="AF2284" s="2">
        <v>699.09820000000002</v>
      </c>
      <c r="AG2284" s="2">
        <v>413.1463</v>
      </c>
      <c r="AH2284" s="2">
        <v>285.95190000000002</v>
      </c>
      <c r="AI2284" s="3">
        <v>0.409029661355157</v>
      </c>
    </row>
    <row r="2285" spans="1:35">
      <c r="A2285" s="1">
        <v>42289</v>
      </c>
      <c r="B2285" s="1">
        <v>37484</v>
      </c>
      <c r="C2285" t="s">
        <v>5560</v>
      </c>
      <c r="D2285">
        <v>342</v>
      </c>
      <c r="E2285">
        <v>26161</v>
      </c>
      <c r="F2285">
        <v>9</v>
      </c>
      <c r="G2285">
        <v>1</v>
      </c>
      <c r="H2285">
        <v>1</v>
      </c>
      <c r="I2285">
        <v>2</v>
      </c>
      <c r="J2285" t="s">
        <v>3517</v>
      </c>
      <c r="K2285" t="s">
        <v>3518</v>
      </c>
      <c r="L2285" s="2">
        <v>413.1463</v>
      </c>
      <c r="M2285" s="2">
        <v>699.09820000000002</v>
      </c>
      <c r="N2285" t="s">
        <v>13</v>
      </c>
      <c r="O2285" t="s">
        <v>1155</v>
      </c>
      <c r="P2285" t="s">
        <v>155</v>
      </c>
      <c r="Q2285" t="s">
        <v>8613</v>
      </c>
      <c r="R2285" s="1">
        <v>22208</v>
      </c>
      <c r="S2285" t="s">
        <v>16</v>
      </c>
      <c r="T2285" t="s">
        <v>16</v>
      </c>
      <c r="U2285" t="s">
        <v>3120</v>
      </c>
      <c r="V2285">
        <v>60000</v>
      </c>
      <c r="W2285">
        <v>3</v>
      </c>
      <c r="X2285" t="s">
        <v>52</v>
      </c>
      <c r="Y2285" t="s">
        <v>53</v>
      </c>
      <c r="Z2285" t="s">
        <v>19</v>
      </c>
      <c r="AA2285" t="s">
        <v>3586</v>
      </c>
      <c r="AB2285" t="s">
        <v>3586</v>
      </c>
      <c r="AC2285" t="s">
        <v>3587</v>
      </c>
      <c r="AD2285" t="s">
        <v>3479</v>
      </c>
      <c r="AE2285" t="s">
        <v>3475</v>
      </c>
      <c r="AF2285" s="2">
        <v>699.09820000000002</v>
      </c>
      <c r="AG2285" s="2">
        <v>413.1463</v>
      </c>
      <c r="AH2285" s="2">
        <v>285.95190000000002</v>
      </c>
      <c r="AI2285" s="3">
        <v>0.409029661355157</v>
      </c>
    </row>
    <row r="2286" spans="1:35">
      <c r="A2286" s="1">
        <v>42278</v>
      </c>
      <c r="B2286" s="1">
        <v>37512</v>
      </c>
      <c r="C2286" t="s">
        <v>5484</v>
      </c>
      <c r="D2286">
        <v>326</v>
      </c>
      <c r="E2286">
        <v>26165</v>
      </c>
      <c r="F2286">
        <v>9</v>
      </c>
      <c r="G2286">
        <v>1</v>
      </c>
      <c r="H2286">
        <v>1</v>
      </c>
      <c r="I2286">
        <v>2</v>
      </c>
      <c r="J2286" t="s">
        <v>3501</v>
      </c>
      <c r="K2286" t="s">
        <v>3502</v>
      </c>
      <c r="L2286" s="2">
        <v>413.1463</v>
      </c>
      <c r="M2286" s="2">
        <v>699.09820000000002</v>
      </c>
      <c r="N2286" t="s">
        <v>30</v>
      </c>
      <c r="O2286" t="s">
        <v>336</v>
      </c>
      <c r="P2286" t="s">
        <v>113</v>
      </c>
      <c r="Q2286" t="s">
        <v>8614</v>
      </c>
      <c r="R2286" s="1">
        <v>20877</v>
      </c>
      <c r="S2286" t="s">
        <v>16</v>
      </c>
      <c r="T2286" t="s">
        <v>29</v>
      </c>
      <c r="U2286" t="s">
        <v>3121</v>
      </c>
      <c r="V2286">
        <v>70000</v>
      </c>
      <c r="W2286">
        <v>1</v>
      </c>
      <c r="X2286" t="s">
        <v>52</v>
      </c>
      <c r="Y2286" t="s">
        <v>53</v>
      </c>
      <c r="Z2286" t="s">
        <v>19</v>
      </c>
      <c r="AA2286" t="s">
        <v>3586</v>
      </c>
      <c r="AB2286" t="s">
        <v>3586</v>
      </c>
      <c r="AC2286" t="s">
        <v>3587</v>
      </c>
      <c r="AD2286" t="s">
        <v>3479</v>
      </c>
      <c r="AE2286" t="s">
        <v>3475</v>
      </c>
      <c r="AF2286" s="2">
        <v>699.09820000000002</v>
      </c>
      <c r="AG2286" s="2">
        <v>413.1463</v>
      </c>
      <c r="AH2286" s="2">
        <v>285.95190000000002</v>
      </c>
      <c r="AI2286" s="3">
        <v>0.409029661355157</v>
      </c>
    </row>
    <row r="2287" spans="1:35">
      <c r="A2287" s="1">
        <v>42306</v>
      </c>
      <c r="B2287" s="1">
        <v>37452</v>
      </c>
      <c r="C2287" t="s">
        <v>5686</v>
      </c>
      <c r="D2287">
        <v>336</v>
      </c>
      <c r="E2287">
        <v>26167</v>
      </c>
      <c r="F2287">
        <v>9</v>
      </c>
      <c r="G2287">
        <v>1</v>
      </c>
      <c r="H2287">
        <v>1</v>
      </c>
      <c r="I2287">
        <v>2</v>
      </c>
      <c r="J2287" t="s">
        <v>3511</v>
      </c>
      <c r="K2287" t="s">
        <v>3512</v>
      </c>
      <c r="L2287" s="2">
        <v>413.1463</v>
      </c>
      <c r="M2287" s="2">
        <v>699.09820000000002</v>
      </c>
      <c r="N2287" t="s">
        <v>30</v>
      </c>
      <c r="O2287" t="s">
        <v>117</v>
      </c>
      <c r="P2287" t="s">
        <v>81</v>
      </c>
      <c r="Q2287" t="s">
        <v>8615</v>
      </c>
      <c r="R2287" s="1">
        <v>19500</v>
      </c>
      <c r="S2287" t="s">
        <v>22</v>
      </c>
      <c r="T2287" t="s">
        <v>29</v>
      </c>
      <c r="U2287" t="s">
        <v>3122</v>
      </c>
      <c r="V2287">
        <v>40000</v>
      </c>
      <c r="W2287">
        <v>2</v>
      </c>
      <c r="X2287" t="s">
        <v>17</v>
      </c>
      <c r="Y2287" t="s">
        <v>45</v>
      </c>
      <c r="Z2287" t="s">
        <v>23</v>
      </c>
      <c r="AA2287" t="s">
        <v>3586</v>
      </c>
      <c r="AB2287" t="s">
        <v>3586</v>
      </c>
      <c r="AC2287" t="s">
        <v>3587</v>
      </c>
      <c r="AD2287" t="s">
        <v>3479</v>
      </c>
      <c r="AE2287" t="s">
        <v>3475</v>
      </c>
      <c r="AF2287" s="2">
        <v>699.09820000000002</v>
      </c>
      <c r="AG2287" s="2">
        <v>413.1463</v>
      </c>
      <c r="AH2287" s="2">
        <v>285.95190000000002</v>
      </c>
      <c r="AI2287" s="3">
        <v>0.409029661355157</v>
      </c>
    </row>
    <row r="2288" spans="1:35">
      <c r="A2288" s="1">
        <v>42196</v>
      </c>
      <c r="B2288" s="1">
        <v>37401</v>
      </c>
      <c r="C2288" t="s">
        <v>4849</v>
      </c>
      <c r="D2288">
        <v>354</v>
      </c>
      <c r="E2288">
        <v>26174</v>
      </c>
      <c r="F2288">
        <v>1</v>
      </c>
      <c r="G2288">
        <v>1</v>
      </c>
      <c r="H2288">
        <v>1</v>
      </c>
      <c r="I2288">
        <v>1</v>
      </c>
      <c r="J2288" t="s">
        <v>3537</v>
      </c>
      <c r="K2288" t="s">
        <v>3538</v>
      </c>
      <c r="L2288" s="2">
        <v>1117.8559</v>
      </c>
      <c r="M2288" s="2">
        <v>2071.4196000000002</v>
      </c>
      <c r="N2288" t="s">
        <v>13</v>
      </c>
      <c r="O2288" t="s">
        <v>743</v>
      </c>
      <c r="P2288" t="s">
        <v>297</v>
      </c>
      <c r="Q2288" t="s">
        <v>8616</v>
      </c>
      <c r="R2288" s="1">
        <v>29398</v>
      </c>
      <c r="S2288" t="s">
        <v>22</v>
      </c>
      <c r="T2288" t="s">
        <v>16</v>
      </c>
      <c r="U2288" t="s">
        <v>3123</v>
      </c>
      <c r="V2288">
        <v>30000</v>
      </c>
      <c r="W2288">
        <v>0</v>
      </c>
      <c r="X2288" t="s">
        <v>57</v>
      </c>
      <c r="Y2288" t="s">
        <v>53</v>
      </c>
      <c r="Z2288" t="s">
        <v>23</v>
      </c>
      <c r="AA2288" t="s">
        <v>3577</v>
      </c>
      <c r="AB2288" t="s">
        <v>3578</v>
      </c>
      <c r="AC2288" t="s">
        <v>3579</v>
      </c>
      <c r="AD2288" t="s">
        <v>3478</v>
      </c>
      <c r="AE2288" t="s">
        <v>3475</v>
      </c>
      <c r="AF2288" s="2">
        <v>2071.4196000000002</v>
      </c>
      <c r="AG2288" s="2">
        <v>1117.8559</v>
      </c>
      <c r="AH2288" s="2">
        <v>953.56370000000004</v>
      </c>
      <c r="AI2288" s="3">
        <v>0.460343090313522</v>
      </c>
    </row>
    <row r="2289" spans="1:35">
      <c r="A2289" s="1">
        <v>42212</v>
      </c>
      <c r="B2289" s="1">
        <v>37395</v>
      </c>
      <c r="C2289" t="s">
        <v>4970</v>
      </c>
      <c r="D2289">
        <v>354</v>
      </c>
      <c r="E2289">
        <v>26183</v>
      </c>
      <c r="F2289">
        <v>4</v>
      </c>
      <c r="G2289">
        <v>1</v>
      </c>
      <c r="H2289">
        <v>1</v>
      </c>
      <c r="I2289">
        <v>1</v>
      </c>
      <c r="J2289" t="s">
        <v>3537</v>
      </c>
      <c r="K2289" t="s">
        <v>3538</v>
      </c>
      <c r="L2289" s="2">
        <v>1117.8559</v>
      </c>
      <c r="M2289" s="2">
        <v>2071.4196000000002</v>
      </c>
      <c r="N2289" t="s">
        <v>13</v>
      </c>
      <c r="O2289" t="s">
        <v>425</v>
      </c>
      <c r="P2289" t="s">
        <v>453</v>
      </c>
      <c r="Q2289" t="s">
        <v>8617</v>
      </c>
      <c r="R2289" s="1">
        <v>28160</v>
      </c>
      <c r="S2289" t="s">
        <v>22</v>
      </c>
      <c r="T2289" t="s">
        <v>16</v>
      </c>
      <c r="U2289" t="s">
        <v>3124</v>
      </c>
      <c r="V2289">
        <v>30000</v>
      </c>
      <c r="W2289">
        <v>0</v>
      </c>
      <c r="X2289" t="s">
        <v>77</v>
      </c>
      <c r="Y2289" t="s">
        <v>60</v>
      </c>
      <c r="Z2289" t="s">
        <v>23</v>
      </c>
      <c r="AA2289" t="s">
        <v>3580</v>
      </c>
      <c r="AB2289" t="s">
        <v>3578</v>
      </c>
      <c r="AC2289" t="s">
        <v>3579</v>
      </c>
      <c r="AD2289" t="s">
        <v>3478</v>
      </c>
      <c r="AE2289" t="s">
        <v>3475</v>
      </c>
      <c r="AF2289" s="2">
        <v>2071.4196000000002</v>
      </c>
      <c r="AG2289" s="2">
        <v>1117.8559</v>
      </c>
      <c r="AH2289" s="2">
        <v>953.56370000000004</v>
      </c>
      <c r="AI2289" s="3">
        <v>0.460343090313522</v>
      </c>
    </row>
    <row r="2290" spans="1:35">
      <c r="A2290" s="1">
        <v>42289</v>
      </c>
      <c r="B2290" s="1">
        <v>37438</v>
      </c>
      <c r="C2290" t="s">
        <v>5556</v>
      </c>
      <c r="D2290">
        <v>338</v>
      </c>
      <c r="E2290">
        <v>26187</v>
      </c>
      <c r="F2290">
        <v>9</v>
      </c>
      <c r="G2290">
        <v>1</v>
      </c>
      <c r="H2290">
        <v>1</v>
      </c>
      <c r="I2290">
        <v>2</v>
      </c>
      <c r="J2290" t="s">
        <v>3513</v>
      </c>
      <c r="K2290" t="s">
        <v>3514</v>
      </c>
      <c r="L2290" s="2">
        <v>413.1463</v>
      </c>
      <c r="M2290" s="2">
        <v>699.09820000000002</v>
      </c>
      <c r="N2290" t="s">
        <v>13</v>
      </c>
      <c r="O2290" t="s">
        <v>984</v>
      </c>
      <c r="P2290" t="s">
        <v>270</v>
      </c>
      <c r="Q2290" t="s">
        <v>8618</v>
      </c>
      <c r="R2290" s="1">
        <v>14753</v>
      </c>
      <c r="S2290" t="s">
        <v>22</v>
      </c>
      <c r="T2290" t="s">
        <v>16</v>
      </c>
      <c r="U2290" t="s">
        <v>3125</v>
      </c>
      <c r="V2290">
        <v>40000</v>
      </c>
      <c r="W2290">
        <v>2</v>
      </c>
      <c r="X2290" t="s">
        <v>17</v>
      </c>
      <c r="Y2290" t="s">
        <v>45</v>
      </c>
      <c r="Z2290" t="s">
        <v>19</v>
      </c>
      <c r="AA2290" t="s">
        <v>3586</v>
      </c>
      <c r="AB2290" t="s">
        <v>3586</v>
      </c>
      <c r="AC2290" t="s">
        <v>3587</v>
      </c>
      <c r="AD2290" t="s">
        <v>3479</v>
      </c>
      <c r="AE2290" t="s">
        <v>3475</v>
      </c>
      <c r="AF2290" s="2">
        <v>699.09820000000002</v>
      </c>
      <c r="AG2290" s="2">
        <v>413.1463</v>
      </c>
      <c r="AH2290" s="2">
        <v>285.95190000000002</v>
      </c>
      <c r="AI2290" s="3">
        <v>0.409029661355157</v>
      </c>
    </row>
    <row r="2291" spans="1:35">
      <c r="A2291" s="1">
        <v>42303</v>
      </c>
      <c r="B2291" s="1">
        <v>37493</v>
      </c>
      <c r="C2291" t="s">
        <v>5669</v>
      </c>
      <c r="D2291">
        <v>330</v>
      </c>
      <c r="E2291">
        <v>26188</v>
      </c>
      <c r="F2291">
        <v>9</v>
      </c>
      <c r="G2291">
        <v>1</v>
      </c>
      <c r="H2291">
        <v>1</v>
      </c>
      <c r="I2291">
        <v>2</v>
      </c>
      <c r="J2291" t="s">
        <v>3505</v>
      </c>
      <c r="K2291" t="s">
        <v>3506</v>
      </c>
      <c r="L2291" s="2">
        <v>413.1463</v>
      </c>
      <c r="M2291" s="2">
        <v>699.09820000000002</v>
      </c>
      <c r="N2291" t="s">
        <v>13</v>
      </c>
      <c r="O2291" t="s">
        <v>654</v>
      </c>
      <c r="P2291" t="s">
        <v>207</v>
      </c>
      <c r="Q2291" t="s">
        <v>8619</v>
      </c>
      <c r="R2291" s="1">
        <v>14892</v>
      </c>
      <c r="S2291" t="s">
        <v>16</v>
      </c>
      <c r="T2291" t="s">
        <v>16</v>
      </c>
      <c r="U2291" t="s">
        <v>3126</v>
      </c>
      <c r="V2291">
        <v>40000</v>
      </c>
      <c r="W2291">
        <v>2</v>
      </c>
      <c r="X2291" t="s">
        <v>17</v>
      </c>
      <c r="Y2291" t="s">
        <v>45</v>
      </c>
      <c r="Z2291" t="s">
        <v>19</v>
      </c>
      <c r="AA2291" t="s">
        <v>3586</v>
      </c>
      <c r="AB2291" t="s">
        <v>3586</v>
      </c>
      <c r="AC2291" t="s">
        <v>3587</v>
      </c>
      <c r="AD2291" t="s">
        <v>3479</v>
      </c>
      <c r="AE2291" t="s">
        <v>3475</v>
      </c>
      <c r="AF2291" s="2">
        <v>699.09820000000002</v>
      </c>
      <c r="AG2291" s="2">
        <v>413.1463</v>
      </c>
      <c r="AH2291" s="2">
        <v>285.95190000000002</v>
      </c>
      <c r="AI2291" s="3">
        <v>0.409029661355157</v>
      </c>
    </row>
    <row r="2292" spans="1:35">
      <c r="A2292" s="1">
        <v>42308</v>
      </c>
      <c r="B2292" s="1">
        <v>37538</v>
      </c>
      <c r="C2292" t="s">
        <v>5705</v>
      </c>
      <c r="D2292">
        <v>326</v>
      </c>
      <c r="E2292">
        <v>26189</v>
      </c>
      <c r="F2292">
        <v>9</v>
      </c>
      <c r="G2292">
        <v>1</v>
      </c>
      <c r="H2292">
        <v>1</v>
      </c>
      <c r="I2292">
        <v>2</v>
      </c>
      <c r="J2292" t="s">
        <v>3501</v>
      </c>
      <c r="K2292" t="s">
        <v>3502</v>
      </c>
      <c r="L2292" s="2">
        <v>413.1463</v>
      </c>
      <c r="M2292" s="2">
        <v>699.09820000000002</v>
      </c>
      <c r="N2292" t="s">
        <v>13</v>
      </c>
      <c r="O2292" t="s">
        <v>584</v>
      </c>
      <c r="P2292" t="s">
        <v>157</v>
      </c>
      <c r="Q2292" t="s">
        <v>8620</v>
      </c>
      <c r="R2292" s="1">
        <v>14703</v>
      </c>
      <c r="S2292" t="s">
        <v>16</v>
      </c>
      <c r="T2292" t="s">
        <v>16</v>
      </c>
      <c r="U2292" t="s">
        <v>3127</v>
      </c>
      <c r="V2292">
        <v>40000</v>
      </c>
      <c r="W2292">
        <v>2</v>
      </c>
      <c r="X2292" t="s">
        <v>17</v>
      </c>
      <c r="Y2292" t="s">
        <v>45</v>
      </c>
      <c r="Z2292" t="s">
        <v>23</v>
      </c>
      <c r="AA2292" t="s">
        <v>3586</v>
      </c>
      <c r="AB2292" t="s">
        <v>3586</v>
      </c>
      <c r="AC2292" t="s">
        <v>3587</v>
      </c>
      <c r="AD2292" t="s">
        <v>3479</v>
      </c>
      <c r="AE2292" t="s">
        <v>3475</v>
      </c>
      <c r="AF2292" s="2">
        <v>699.09820000000002</v>
      </c>
      <c r="AG2292" s="2">
        <v>413.1463</v>
      </c>
      <c r="AH2292" s="2">
        <v>285.95190000000002</v>
      </c>
      <c r="AI2292" s="3">
        <v>0.409029661355157</v>
      </c>
    </row>
    <row r="2293" spans="1:35">
      <c r="A2293" s="1">
        <v>42296</v>
      </c>
      <c r="B2293" s="1">
        <v>37445</v>
      </c>
      <c r="C2293" t="s">
        <v>5608</v>
      </c>
      <c r="D2293">
        <v>326</v>
      </c>
      <c r="E2293">
        <v>26190</v>
      </c>
      <c r="F2293">
        <v>9</v>
      </c>
      <c r="G2293">
        <v>1</v>
      </c>
      <c r="H2293">
        <v>1</v>
      </c>
      <c r="I2293">
        <v>2</v>
      </c>
      <c r="J2293" t="s">
        <v>3501</v>
      </c>
      <c r="K2293" t="s">
        <v>3502</v>
      </c>
      <c r="L2293" s="2">
        <v>413.1463</v>
      </c>
      <c r="M2293" s="2">
        <v>699.09820000000002</v>
      </c>
      <c r="N2293" t="s">
        <v>13</v>
      </c>
      <c r="O2293" t="s">
        <v>453</v>
      </c>
      <c r="P2293" t="s">
        <v>907</v>
      </c>
      <c r="Q2293" t="s">
        <v>8621</v>
      </c>
      <c r="R2293" s="1">
        <v>15203</v>
      </c>
      <c r="S2293" t="s">
        <v>22</v>
      </c>
      <c r="T2293" t="s">
        <v>16</v>
      </c>
      <c r="U2293" t="s">
        <v>3128</v>
      </c>
      <c r="V2293">
        <v>40000</v>
      </c>
      <c r="W2293">
        <v>2</v>
      </c>
      <c r="X2293" t="s">
        <v>17</v>
      </c>
      <c r="Y2293" t="s">
        <v>45</v>
      </c>
      <c r="Z2293" t="s">
        <v>23</v>
      </c>
      <c r="AA2293" t="s">
        <v>3586</v>
      </c>
      <c r="AB2293" t="s">
        <v>3586</v>
      </c>
      <c r="AC2293" t="s">
        <v>3587</v>
      </c>
      <c r="AD2293" t="s">
        <v>3479</v>
      </c>
      <c r="AE2293" t="s">
        <v>3475</v>
      </c>
      <c r="AF2293" s="2">
        <v>699.09820000000002</v>
      </c>
      <c r="AG2293" s="2">
        <v>413.1463</v>
      </c>
      <c r="AH2293" s="2">
        <v>285.95190000000002</v>
      </c>
      <c r="AI2293" s="3">
        <v>0.409029661355157</v>
      </c>
    </row>
    <row r="2294" spans="1:35">
      <c r="A2294" s="1">
        <v>42307</v>
      </c>
      <c r="B2294" s="1">
        <v>37482</v>
      </c>
      <c r="C2294" t="s">
        <v>5696</v>
      </c>
      <c r="D2294">
        <v>322</v>
      </c>
      <c r="E2294">
        <v>26191</v>
      </c>
      <c r="F2294">
        <v>9</v>
      </c>
      <c r="G2294">
        <v>1</v>
      </c>
      <c r="H2294">
        <v>1</v>
      </c>
      <c r="I2294">
        <v>2</v>
      </c>
      <c r="J2294" t="s">
        <v>3497</v>
      </c>
      <c r="K2294" t="s">
        <v>3498</v>
      </c>
      <c r="L2294" s="2">
        <v>413.1463</v>
      </c>
      <c r="M2294" s="2">
        <v>699.09820000000002</v>
      </c>
      <c r="N2294" t="s">
        <v>13</v>
      </c>
      <c r="O2294" t="s">
        <v>14</v>
      </c>
      <c r="P2294" t="s">
        <v>56</v>
      </c>
      <c r="Q2294" t="s">
        <v>8622</v>
      </c>
      <c r="R2294" s="1">
        <v>15776</v>
      </c>
      <c r="S2294" t="s">
        <v>16</v>
      </c>
      <c r="T2294" t="s">
        <v>16</v>
      </c>
      <c r="U2294" t="s">
        <v>3129</v>
      </c>
      <c r="V2294">
        <v>40000</v>
      </c>
      <c r="W2294">
        <v>2</v>
      </c>
      <c r="X2294" t="s">
        <v>17</v>
      </c>
      <c r="Y2294" t="s">
        <v>45</v>
      </c>
      <c r="Z2294" t="s">
        <v>23</v>
      </c>
      <c r="AA2294" t="s">
        <v>3586</v>
      </c>
      <c r="AB2294" t="s">
        <v>3586</v>
      </c>
      <c r="AC2294" t="s">
        <v>3587</v>
      </c>
      <c r="AD2294" t="s">
        <v>3479</v>
      </c>
      <c r="AE2294" t="s">
        <v>3475</v>
      </c>
      <c r="AF2294" s="2">
        <v>699.09820000000002</v>
      </c>
      <c r="AG2294" s="2">
        <v>413.1463</v>
      </c>
      <c r="AH2294" s="2">
        <v>285.95190000000002</v>
      </c>
      <c r="AI2294" s="3">
        <v>0.409029661355157</v>
      </c>
    </row>
    <row r="2295" spans="1:35">
      <c r="A2295" s="1">
        <v>42305</v>
      </c>
      <c r="B2295" s="1">
        <v>37440</v>
      </c>
      <c r="C2295" t="s">
        <v>5683</v>
      </c>
      <c r="D2295">
        <v>324</v>
      </c>
      <c r="E2295">
        <v>26192</v>
      </c>
      <c r="F2295">
        <v>9</v>
      </c>
      <c r="G2295">
        <v>1</v>
      </c>
      <c r="H2295">
        <v>1</v>
      </c>
      <c r="I2295">
        <v>2</v>
      </c>
      <c r="J2295" t="s">
        <v>3499</v>
      </c>
      <c r="K2295" t="s">
        <v>3500</v>
      </c>
      <c r="L2295" s="2">
        <v>413.1463</v>
      </c>
      <c r="M2295" s="2">
        <v>699.09820000000002</v>
      </c>
      <c r="N2295" t="s">
        <v>13</v>
      </c>
      <c r="O2295" t="s">
        <v>141</v>
      </c>
      <c r="P2295" t="s">
        <v>55</v>
      </c>
      <c r="Q2295" t="s">
        <v>8623</v>
      </c>
      <c r="R2295" s="1">
        <v>15899</v>
      </c>
      <c r="S2295" t="s">
        <v>16</v>
      </c>
      <c r="T2295" t="s">
        <v>16</v>
      </c>
      <c r="U2295" t="s">
        <v>3130</v>
      </c>
      <c r="V2295">
        <v>40000</v>
      </c>
      <c r="W2295">
        <v>2</v>
      </c>
      <c r="X2295" t="s">
        <v>17</v>
      </c>
      <c r="Y2295" t="s">
        <v>45</v>
      </c>
      <c r="Z2295" t="s">
        <v>19</v>
      </c>
      <c r="AA2295" t="s">
        <v>3586</v>
      </c>
      <c r="AB2295" t="s">
        <v>3586</v>
      </c>
      <c r="AC2295" t="s">
        <v>3587</v>
      </c>
      <c r="AD2295" t="s">
        <v>3479</v>
      </c>
      <c r="AE2295" t="s">
        <v>3475</v>
      </c>
      <c r="AF2295" s="2">
        <v>699.09820000000002</v>
      </c>
      <c r="AG2295" s="2">
        <v>413.1463</v>
      </c>
      <c r="AH2295" s="2">
        <v>285.95190000000002</v>
      </c>
      <c r="AI2295" s="3">
        <v>0.409029661355157</v>
      </c>
    </row>
    <row r="2296" spans="1:35">
      <c r="A2296" s="1">
        <v>42198</v>
      </c>
      <c r="B2296" s="1">
        <v>37335</v>
      </c>
      <c r="C2296" t="s">
        <v>4864</v>
      </c>
      <c r="D2296">
        <v>354</v>
      </c>
      <c r="E2296">
        <v>26201</v>
      </c>
      <c r="F2296">
        <v>4</v>
      </c>
      <c r="G2296">
        <v>1</v>
      </c>
      <c r="H2296">
        <v>1</v>
      </c>
      <c r="I2296">
        <v>1</v>
      </c>
      <c r="J2296" t="s">
        <v>3537</v>
      </c>
      <c r="K2296" t="s">
        <v>3538</v>
      </c>
      <c r="L2296" s="2">
        <v>1117.8559</v>
      </c>
      <c r="M2296" s="2">
        <v>2071.4196000000002</v>
      </c>
      <c r="N2296" t="s">
        <v>13</v>
      </c>
      <c r="O2296" t="s">
        <v>186</v>
      </c>
      <c r="P2296" t="s">
        <v>1169</v>
      </c>
      <c r="Q2296" t="s">
        <v>8624</v>
      </c>
      <c r="R2296" s="1">
        <v>25133</v>
      </c>
      <c r="S2296" t="s">
        <v>22</v>
      </c>
      <c r="T2296" t="s">
        <v>16</v>
      </c>
      <c r="U2296" t="s">
        <v>3131</v>
      </c>
      <c r="V2296">
        <v>80000</v>
      </c>
      <c r="W2296">
        <v>0</v>
      </c>
      <c r="X2296" t="s">
        <v>17</v>
      </c>
      <c r="Y2296" t="s">
        <v>45</v>
      </c>
      <c r="Z2296" t="s">
        <v>19</v>
      </c>
      <c r="AA2296" t="s">
        <v>3580</v>
      </c>
      <c r="AB2296" t="s">
        <v>3578</v>
      </c>
      <c r="AC2296" t="s">
        <v>3579</v>
      </c>
      <c r="AD2296" t="s">
        <v>3478</v>
      </c>
      <c r="AE2296" t="s">
        <v>3475</v>
      </c>
      <c r="AF2296" s="2">
        <v>2071.4196000000002</v>
      </c>
      <c r="AG2296" s="2">
        <v>1117.8559</v>
      </c>
      <c r="AH2296" s="2">
        <v>953.56370000000004</v>
      </c>
      <c r="AI2296" s="3">
        <v>0.460343090313522</v>
      </c>
    </row>
    <row r="2297" spans="1:35">
      <c r="A2297" s="1">
        <v>42289</v>
      </c>
      <c r="B2297" s="1">
        <v>37483</v>
      </c>
      <c r="C2297" t="s">
        <v>5551</v>
      </c>
      <c r="D2297">
        <v>332</v>
      </c>
      <c r="E2297">
        <v>26204</v>
      </c>
      <c r="F2297">
        <v>9</v>
      </c>
      <c r="G2297">
        <v>1</v>
      </c>
      <c r="H2297">
        <v>1</v>
      </c>
      <c r="I2297">
        <v>2</v>
      </c>
      <c r="J2297" t="s">
        <v>3507</v>
      </c>
      <c r="K2297" t="s">
        <v>3508</v>
      </c>
      <c r="L2297" s="2">
        <v>413.1463</v>
      </c>
      <c r="M2297" s="2">
        <v>699.09820000000002</v>
      </c>
      <c r="N2297" t="s">
        <v>30</v>
      </c>
      <c r="O2297" t="s">
        <v>27</v>
      </c>
      <c r="P2297" t="s">
        <v>140</v>
      </c>
      <c r="Q2297" t="s">
        <v>8625</v>
      </c>
      <c r="R2297" s="1">
        <v>25997</v>
      </c>
      <c r="S2297" t="s">
        <v>16</v>
      </c>
      <c r="T2297" t="s">
        <v>29</v>
      </c>
      <c r="U2297" t="s">
        <v>3132</v>
      </c>
      <c r="V2297">
        <v>130000</v>
      </c>
      <c r="W2297">
        <v>5</v>
      </c>
      <c r="X2297" t="s">
        <v>77</v>
      </c>
      <c r="Y2297" t="s">
        <v>45</v>
      </c>
      <c r="Z2297" t="s">
        <v>19</v>
      </c>
      <c r="AA2297" t="s">
        <v>3586</v>
      </c>
      <c r="AB2297" t="s">
        <v>3586</v>
      </c>
      <c r="AC2297" t="s">
        <v>3587</v>
      </c>
      <c r="AD2297" t="s">
        <v>3479</v>
      </c>
      <c r="AE2297" t="s">
        <v>3475</v>
      </c>
      <c r="AF2297" s="2">
        <v>699.09820000000002</v>
      </c>
      <c r="AG2297" s="2">
        <v>413.1463</v>
      </c>
      <c r="AH2297" s="2">
        <v>285.95190000000002</v>
      </c>
      <c r="AI2297" s="3">
        <v>0.409029661355157</v>
      </c>
    </row>
    <row r="2298" spans="1:35">
      <c r="A2298" s="1">
        <v>42199</v>
      </c>
      <c r="B2298" s="1">
        <v>37346</v>
      </c>
      <c r="C2298" t="s">
        <v>4876</v>
      </c>
      <c r="D2298">
        <v>362</v>
      </c>
      <c r="E2298">
        <v>26234</v>
      </c>
      <c r="F2298">
        <v>4</v>
      </c>
      <c r="G2298">
        <v>1</v>
      </c>
      <c r="H2298">
        <v>1</v>
      </c>
      <c r="I2298">
        <v>1</v>
      </c>
      <c r="J2298" t="s">
        <v>3545</v>
      </c>
      <c r="K2298" t="s">
        <v>3546</v>
      </c>
      <c r="L2298" s="2">
        <v>1105.81</v>
      </c>
      <c r="M2298" s="2">
        <v>2049.0981999999999</v>
      </c>
      <c r="N2298" t="s">
        <v>13</v>
      </c>
      <c r="O2298" t="s">
        <v>682</v>
      </c>
      <c r="P2298" t="s">
        <v>329</v>
      </c>
      <c r="Q2298" t="s">
        <v>8626</v>
      </c>
      <c r="R2298" s="1">
        <v>27755</v>
      </c>
      <c r="S2298" t="s">
        <v>22</v>
      </c>
      <c r="T2298" t="s">
        <v>16</v>
      </c>
      <c r="U2298" t="s">
        <v>3133</v>
      </c>
      <c r="V2298">
        <v>40000</v>
      </c>
      <c r="W2298">
        <v>3</v>
      </c>
      <c r="X2298" t="s">
        <v>52</v>
      </c>
      <c r="Y2298" t="s">
        <v>60</v>
      </c>
      <c r="Z2298" t="s">
        <v>19</v>
      </c>
      <c r="AA2298" t="s">
        <v>3580</v>
      </c>
      <c r="AB2298" t="s">
        <v>3578</v>
      </c>
      <c r="AC2298" t="s">
        <v>3579</v>
      </c>
      <c r="AD2298" t="s">
        <v>3478</v>
      </c>
      <c r="AE2298" t="s">
        <v>3475</v>
      </c>
      <c r="AF2298" s="2">
        <v>2049.0981999999999</v>
      </c>
      <c r="AG2298" s="2">
        <v>1105.81</v>
      </c>
      <c r="AH2298" s="2">
        <v>943.28819999999996</v>
      </c>
      <c r="AI2298" s="3">
        <v>0.46034309141455498</v>
      </c>
    </row>
    <row r="2299" spans="1:35">
      <c r="A2299" s="1">
        <v>42196</v>
      </c>
      <c r="B2299" s="1">
        <v>37334</v>
      </c>
      <c r="C2299" t="s">
        <v>4851</v>
      </c>
      <c r="D2299">
        <v>360</v>
      </c>
      <c r="E2299">
        <v>26238</v>
      </c>
      <c r="F2299">
        <v>4</v>
      </c>
      <c r="G2299">
        <v>1</v>
      </c>
      <c r="H2299">
        <v>1</v>
      </c>
      <c r="I2299">
        <v>1</v>
      </c>
      <c r="J2299" t="s">
        <v>3543</v>
      </c>
      <c r="K2299" t="s">
        <v>3544</v>
      </c>
      <c r="L2299" s="2">
        <v>1105.81</v>
      </c>
      <c r="M2299" s="2">
        <v>2049.0981999999999</v>
      </c>
      <c r="N2299" t="s">
        <v>30</v>
      </c>
      <c r="O2299" t="s">
        <v>202</v>
      </c>
      <c r="P2299" t="s">
        <v>321</v>
      </c>
      <c r="Q2299" t="s">
        <v>8627</v>
      </c>
      <c r="R2299" s="1">
        <v>27289</v>
      </c>
      <c r="S2299" t="s">
        <v>22</v>
      </c>
      <c r="T2299" t="s">
        <v>29</v>
      </c>
      <c r="U2299" t="s">
        <v>3134</v>
      </c>
      <c r="V2299">
        <v>40000</v>
      </c>
      <c r="W2299">
        <v>3</v>
      </c>
      <c r="X2299" t="s">
        <v>52</v>
      </c>
      <c r="Y2299" t="s">
        <v>60</v>
      </c>
      <c r="Z2299" t="s">
        <v>19</v>
      </c>
      <c r="AA2299" t="s">
        <v>3580</v>
      </c>
      <c r="AB2299" t="s">
        <v>3578</v>
      </c>
      <c r="AC2299" t="s">
        <v>3579</v>
      </c>
      <c r="AD2299" t="s">
        <v>3478</v>
      </c>
      <c r="AE2299" t="s">
        <v>3475</v>
      </c>
      <c r="AF2299" s="2">
        <v>2049.0981999999999</v>
      </c>
      <c r="AG2299" s="2">
        <v>1105.81</v>
      </c>
      <c r="AH2299" s="2">
        <v>943.28819999999996</v>
      </c>
      <c r="AI2299" s="3">
        <v>0.46034309141455498</v>
      </c>
    </row>
    <row r="2300" spans="1:35">
      <c r="A2300" s="1">
        <v>42210</v>
      </c>
      <c r="B2300" s="1">
        <v>37392</v>
      </c>
      <c r="C2300" t="s">
        <v>4959</v>
      </c>
      <c r="D2300">
        <v>352</v>
      </c>
      <c r="E2300">
        <v>26241</v>
      </c>
      <c r="F2300">
        <v>4</v>
      </c>
      <c r="G2300">
        <v>1</v>
      </c>
      <c r="H2300">
        <v>1</v>
      </c>
      <c r="I2300">
        <v>1</v>
      </c>
      <c r="J2300" t="s">
        <v>3535</v>
      </c>
      <c r="K2300" t="s">
        <v>3536</v>
      </c>
      <c r="L2300" s="2">
        <v>1117.8559</v>
      </c>
      <c r="M2300" s="2">
        <v>2071.4196000000002</v>
      </c>
      <c r="N2300" t="s">
        <v>13</v>
      </c>
      <c r="O2300" t="s">
        <v>229</v>
      </c>
      <c r="P2300" t="s">
        <v>62</v>
      </c>
      <c r="Q2300" t="s">
        <v>8628</v>
      </c>
      <c r="R2300" s="1">
        <v>27107</v>
      </c>
      <c r="S2300" t="s">
        <v>16</v>
      </c>
      <c r="T2300" t="s">
        <v>16</v>
      </c>
      <c r="U2300" t="s">
        <v>3135</v>
      </c>
      <c r="V2300">
        <v>50000</v>
      </c>
      <c r="W2300">
        <v>0</v>
      </c>
      <c r="X2300" t="s">
        <v>135</v>
      </c>
      <c r="Y2300" t="s">
        <v>53</v>
      </c>
      <c r="Z2300" t="s">
        <v>19</v>
      </c>
      <c r="AA2300" t="s">
        <v>3580</v>
      </c>
      <c r="AB2300" t="s">
        <v>3578</v>
      </c>
      <c r="AC2300" t="s">
        <v>3579</v>
      </c>
      <c r="AD2300" t="s">
        <v>3478</v>
      </c>
      <c r="AE2300" t="s">
        <v>3475</v>
      </c>
      <c r="AF2300" s="2">
        <v>2071.4196000000002</v>
      </c>
      <c r="AG2300" s="2">
        <v>1117.8559</v>
      </c>
      <c r="AH2300" s="2">
        <v>953.56370000000004</v>
      </c>
      <c r="AI2300" s="3">
        <v>0.460343090313522</v>
      </c>
    </row>
    <row r="2301" spans="1:35">
      <c r="A2301" s="1">
        <v>42215</v>
      </c>
      <c r="B2301" s="1">
        <v>37387</v>
      </c>
      <c r="C2301" t="s">
        <v>4992</v>
      </c>
      <c r="D2301">
        <v>356</v>
      </c>
      <c r="E2301">
        <v>26245</v>
      </c>
      <c r="F2301">
        <v>4</v>
      </c>
      <c r="G2301">
        <v>1</v>
      </c>
      <c r="H2301">
        <v>1</v>
      </c>
      <c r="I2301">
        <v>1</v>
      </c>
      <c r="J2301" t="s">
        <v>3539</v>
      </c>
      <c r="K2301" t="s">
        <v>3540</v>
      </c>
      <c r="L2301" s="2">
        <v>1117.8559</v>
      </c>
      <c r="M2301" s="2">
        <v>2071.4196000000002</v>
      </c>
      <c r="N2301" t="s">
        <v>13</v>
      </c>
      <c r="O2301" t="s">
        <v>285</v>
      </c>
      <c r="P2301" t="s">
        <v>105</v>
      </c>
      <c r="Q2301" t="s">
        <v>8629</v>
      </c>
      <c r="R2301" s="1">
        <v>24354</v>
      </c>
      <c r="S2301" t="s">
        <v>16</v>
      </c>
      <c r="T2301" t="s">
        <v>16</v>
      </c>
      <c r="U2301" t="s">
        <v>3136</v>
      </c>
      <c r="V2301">
        <v>80000</v>
      </c>
      <c r="W2301">
        <v>0</v>
      </c>
      <c r="X2301" t="s">
        <v>135</v>
      </c>
      <c r="Y2301" t="s">
        <v>53</v>
      </c>
      <c r="Z2301" t="s">
        <v>19</v>
      </c>
      <c r="AA2301" t="s">
        <v>3580</v>
      </c>
      <c r="AB2301" t="s">
        <v>3578</v>
      </c>
      <c r="AC2301" t="s">
        <v>3579</v>
      </c>
      <c r="AD2301" t="s">
        <v>3478</v>
      </c>
      <c r="AE2301" t="s">
        <v>3475</v>
      </c>
      <c r="AF2301" s="2">
        <v>2071.4196000000002</v>
      </c>
      <c r="AG2301" s="2">
        <v>1117.8559</v>
      </c>
      <c r="AH2301" s="2">
        <v>953.56370000000004</v>
      </c>
      <c r="AI2301" s="3">
        <v>0.460343090313522</v>
      </c>
    </row>
    <row r="2302" spans="1:35">
      <c r="A2302" s="1">
        <v>42199</v>
      </c>
      <c r="B2302" s="1">
        <v>37408</v>
      </c>
      <c r="C2302" t="s">
        <v>4882</v>
      </c>
      <c r="D2302">
        <v>360</v>
      </c>
      <c r="E2302">
        <v>26247</v>
      </c>
      <c r="F2302">
        <v>4</v>
      </c>
      <c r="G2302">
        <v>1</v>
      </c>
      <c r="H2302">
        <v>1</v>
      </c>
      <c r="I2302">
        <v>1</v>
      </c>
      <c r="J2302" t="s">
        <v>3543</v>
      </c>
      <c r="K2302" t="s">
        <v>3544</v>
      </c>
      <c r="L2302" s="2">
        <v>1105.81</v>
      </c>
      <c r="M2302" s="2">
        <v>2049.0981999999999</v>
      </c>
      <c r="N2302" t="s">
        <v>26</v>
      </c>
      <c r="O2302" t="s">
        <v>781</v>
      </c>
      <c r="P2302" t="s">
        <v>347</v>
      </c>
      <c r="Q2302" t="s">
        <v>8630</v>
      </c>
      <c r="R2302" s="1">
        <v>24251</v>
      </c>
      <c r="S2302" t="s">
        <v>16</v>
      </c>
      <c r="T2302" t="s">
        <v>29</v>
      </c>
      <c r="U2302" t="s">
        <v>3137</v>
      </c>
      <c r="V2302">
        <v>80000</v>
      </c>
      <c r="W2302">
        <v>0</v>
      </c>
      <c r="X2302" t="s">
        <v>135</v>
      </c>
      <c r="Y2302" t="s">
        <v>53</v>
      </c>
      <c r="Z2302" t="s">
        <v>19</v>
      </c>
      <c r="AA2302" t="s">
        <v>3580</v>
      </c>
      <c r="AB2302" t="s">
        <v>3578</v>
      </c>
      <c r="AC2302" t="s">
        <v>3579</v>
      </c>
      <c r="AD2302" t="s">
        <v>3478</v>
      </c>
      <c r="AE2302" t="s">
        <v>3475</v>
      </c>
      <c r="AF2302" s="2">
        <v>2049.0981999999999</v>
      </c>
      <c r="AG2302" s="2">
        <v>1105.81</v>
      </c>
      <c r="AH2302" s="2">
        <v>943.28819999999996</v>
      </c>
      <c r="AI2302" s="3">
        <v>0.46034309141455498</v>
      </c>
    </row>
    <row r="2303" spans="1:35">
      <c r="A2303" s="1">
        <v>42194</v>
      </c>
      <c r="B2303" s="1">
        <v>37375</v>
      </c>
      <c r="C2303" t="s">
        <v>4834</v>
      </c>
      <c r="D2303">
        <v>360</v>
      </c>
      <c r="E2303">
        <v>26252</v>
      </c>
      <c r="F2303">
        <v>4</v>
      </c>
      <c r="G2303">
        <v>1</v>
      </c>
      <c r="H2303">
        <v>1</v>
      </c>
      <c r="I2303">
        <v>1</v>
      </c>
      <c r="J2303" t="s">
        <v>3543</v>
      </c>
      <c r="K2303" t="s">
        <v>3544</v>
      </c>
      <c r="L2303" s="2">
        <v>1105.81</v>
      </c>
      <c r="M2303" s="2">
        <v>2049.0981999999999</v>
      </c>
      <c r="N2303" t="s">
        <v>30</v>
      </c>
      <c r="O2303" t="s">
        <v>252</v>
      </c>
      <c r="P2303" t="s">
        <v>99</v>
      </c>
      <c r="Q2303" t="s">
        <v>8631</v>
      </c>
      <c r="R2303" s="1">
        <v>20022</v>
      </c>
      <c r="S2303" t="s">
        <v>16</v>
      </c>
      <c r="T2303" t="s">
        <v>29</v>
      </c>
      <c r="U2303" t="s">
        <v>3138</v>
      </c>
      <c r="V2303">
        <v>40000</v>
      </c>
      <c r="W2303">
        <v>1</v>
      </c>
      <c r="X2303" t="s">
        <v>52</v>
      </c>
      <c r="Y2303" t="s">
        <v>60</v>
      </c>
      <c r="Z2303" t="s">
        <v>19</v>
      </c>
      <c r="AA2303" t="s">
        <v>3580</v>
      </c>
      <c r="AB2303" t="s">
        <v>3578</v>
      </c>
      <c r="AC2303" t="s">
        <v>3579</v>
      </c>
      <c r="AD2303" t="s">
        <v>3478</v>
      </c>
      <c r="AE2303" t="s">
        <v>3475</v>
      </c>
      <c r="AF2303" s="2">
        <v>2049.0981999999999</v>
      </c>
      <c r="AG2303" s="2">
        <v>1105.81</v>
      </c>
      <c r="AH2303" s="2">
        <v>943.28819999999996</v>
      </c>
      <c r="AI2303" s="3">
        <v>0.46034309141455498</v>
      </c>
    </row>
    <row r="2304" spans="1:35">
      <c r="A2304" s="1">
        <v>42215</v>
      </c>
      <c r="B2304" s="1">
        <v>37443</v>
      </c>
      <c r="C2304" t="s">
        <v>4994</v>
      </c>
      <c r="D2304">
        <v>362</v>
      </c>
      <c r="E2304">
        <v>26276</v>
      </c>
      <c r="F2304">
        <v>1</v>
      </c>
      <c r="G2304">
        <v>1</v>
      </c>
      <c r="H2304">
        <v>1</v>
      </c>
      <c r="I2304">
        <v>1</v>
      </c>
      <c r="J2304" t="s">
        <v>3545</v>
      </c>
      <c r="K2304" t="s">
        <v>3546</v>
      </c>
      <c r="L2304" s="2">
        <v>1105.81</v>
      </c>
      <c r="M2304" s="2">
        <v>2049.0981999999999</v>
      </c>
      <c r="N2304" t="s">
        <v>30</v>
      </c>
      <c r="O2304" t="s">
        <v>1165</v>
      </c>
      <c r="P2304" t="s">
        <v>21</v>
      </c>
      <c r="Q2304" t="s">
        <v>8632</v>
      </c>
      <c r="R2304" s="1">
        <v>21224</v>
      </c>
      <c r="S2304" t="s">
        <v>16</v>
      </c>
      <c r="T2304" t="s">
        <v>29</v>
      </c>
      <c r="U2304" t="s">
        <v>3139</v>
      </c>
      <c r="V2304">
        <v>40000</v>
      </c>
      <c r="W2304">
        <v>1</v>
      </c>
      <c r="X2304" t="s">
        <v>52</v>
      </c>
      <c r="Y2304" t="s">
        <v>60</v>
      </c>
      <c r="Z2304" t="s">
        <v>19</v>
      </c>
      <c r="AA2304" t="s">
        <v>3577</v>
      </c>
      <c r="AB2304" t="s">
        <v>3578</v>
      </c>
      <c r="AC2304" t="s">
        <v>3579</v>
      </c>
      <c r="AD2304" t="s">
        <v>3478</v>
      </c>
      <c r="AE2304" t="s">
        <v>3475</v>
      </c>
      <c r="AF2304" s="2">
        <v>2049.0981999999999</v>
      </c>
      <c r="AG2304" s="2">
        <v>1105.81</v>
      </c>
      <c r="AH2304" s="2">
        <v>943.28819999999996</v>
      </c>
      <c r="AI2304" s="3">
        <v>0.46034309141455498</v>
      </c>
    </row>
    <row r="2305" spans="1:35">
      <c r="A2305" s="1">
        <v>42232</v>
      </c>
      <c r="B2305" s="1">
        <v>37399</v>
      </c>
      <c r="C2305" t="s">
        <v>5139</v>
      </c>
      <c r="D2305">
        <v>356</v>
      </c>
      <c r="E2305">
        <v>26277</v>
      </c>
      <c r="F2305">
        <v>1</v>
      </c>
      <c r="G2305">
        <v>1</v>
      </c>
      <c r="H2305">
        <v>1</v>
      </c>
      <c r="I2305">
        <v>1</v>
      </c>
      <c r="J2305" t="s">
        <v>3539</v>
      </c>
      <c r="K2305" t="s">
        <v>3540</v>
      </c>
      <c r="L2305" s="2">
        <v>1117.8559</v>
      </c>
      <c r="M2305" s="2">
        <v>2071.4196000000002</v>
      </c>
      <c r="N2305" t="s">
        <v>30</v>
      </c>
      <c r="O2305" t="s">
        <v>315</v>
      </c>
      <c r="P2305" t="s">
        <v>280</v>
      </c>
      <c r="Q2305" t="s">
        <v>8633</v>
      </c>
      <c r="R2305" s="1">
        <v>21513</v>
      </c>
      <c r="S2305" t="s">
        <v>22</v>
      </c>
      <c r="T2305" t="s">
        <v>29</v>
      </c>
      <c r="U2305" t="s">
        <v>3140</v>
      </c>
      <c r="V2305">
        <v>40000</v>
      </c>
      <c r="W2305">
        <v>2</v>
      </c>
      <c r="X2305" t="s">
        <v>52</v>
      </c>
      <c r="Y2305" t="s">
        <v>60</v>
      </c>
      <c r="Z2305" t="s">
        <v>19</v>
      </c>
      <c r="AA2305" t="s">
        <v>3577</v>
      </c>
      <c r="AB2305" t="s">
        <v>3578</v>
      </c>
      <c r="AC2305" t="s">
        <v>3579</v>
      </c>
      <c r="AD2305" t="s">
        <v>3478</v>
      </c>
      <c r="AE2305" t="s">
        <v>3475</v>
      </c>
      <c r="AF2305" s="2">
        <v>2071.4196000000002</v>
      </c>
      <c r="AG2305" s="2">
        <v>1117.8559</v>
      </c>
      <c r="AH2305" s="2">
        <v>953.56370000000004</v>
      </c>
      <c r="AI2305" s="3">
        <v>0.460343090313522</v>
      </c>
    </row>
    <row r="2306" spans="1:35">
      <c r="A2306" s="1">
        <v>42228</v>
      </c>
      <c r="B2306" s="1">
        <v>37406</v>
      </c>
      <c r="C2306" t="s">
        <v>5100</v>
      </c>
      <c r="D2306">
        <v>360</v>
      </c>
      <c r="E2306">
        <v>26280</v>
      </c>
      <c r="F2306">
        <v>4</v>
      </c>
      <c r="G2306">
        <v>1</v>
      </c>
      <c r="H2306">
        <v>1</v>
      </c>
      <c r="I2306">
        <v>1</v>
      </c>
      <c r="J2306" t="s">
        <v>3543</v>
      </c>
      <c r="K2306" t="s">
        <v>3544</v>
      </c>
      <c r="L2306" s="2">
        <v>1105.81</v>
      </c>
      <c r="M2306" s="2">
        <v>2049.0981999999999</v>
      </c>
      <c r="N2306" t="s">
        <v>13</v>
      </c>
      <c r="O2306" t="s">
        <v>393</v>
      </c>
      <c r="P2306" t="s">
        <v>47</v>
      </c>
      <c r="Q2306" t="s">
        <v>8634</v>
      </c>
      <c r="R2306" s="1">
        <v>21664</v>
      </c>
      <c r="S2306" t="s">
        <v>22</v>
      </c>
      <c r="T2306" t="s">
        <v>16</v>
      </c>
      <c r="U2306" t="s">
        <v>3141</v>
      </c>
      <c r="V2306">
        <v>40000</v>
      </c>
      <c r="W2306">
        <v>2</v>
      </c>
      <c r="X2306" t="s">
        <v>52</v>
      </c>
      <c r="Y2306" t="s">
        <v>60</v>
      </c>
      <c r="Z2306" t="s">
        <v>23</v>
      </c>
      <c r="AA2306" t="s">
        <v>3580</v>
      </c>
      <c r="AB2306" t="s">
        <v>3578</v>
      </c>
      <c r="AC2306" t="s">
        <v>3579</v>
      </c>
      <c r="AD2306" t="s">
        <v>3478</v>
      </c>
      <c r="AE2306" t="s">
        <v>3475</v>
      </c>
      <c r="AF2306" s="2">
        <v>2049.0981999999999</v>
      </c>
      <c r="AG2306" s="2">
        <v>1105.81</v>
      </c>
      <c r="AH2306" s="2">
        <v>943.28819999999996</v>
      </c>
      <c r="AI2306" s="3">
        <v>0.46034309141455498</v>
      </c>
    </row>
    <row r="2307" spans="1:35">
      <c r="A2307" s="1">
        <v>42229</v>
      </c>
      <c r="B2307" s="1">
        <v>37452</v>
      </c>
      <c r="C2307" t="s">
        <v>5110</v>
      </c>
      <c r="D2307">
        <v>352</v>
      </c>
      <c r="E2307">
        <v>26281</v>
      </c>
      <c r="F2307">
        <v>4</v>
      </c>
      <c r="G2307">
        <v>1</v>
      </c>
      <c r="H2307">
        <v>1</v>
      </c>
      <c r="I2307">
        <v>1</v>
      </c>
      <c r="J2307" t="s">
        <v>3535</v>
      </c>
      <c r="K2307" t="s">
        <v>3536</v>
      </c>
      <c r="L2307" s="2">
        <v>1117.8559</v>
      </c>
      <c r="M2307" s="2">
        <v>2071.4196000000002</v>
      </c>
      <c r="N2307" t="s">
        <v>13</v>
      </c>
      <c r="O2307" t="s">
        <v>46</v>
      </c>
      <c r="P2307" t="s">
        <v>288</v>
      </c>
      <c r="Q2307" t="s">
        <v>8635</v>
      </c>
      <c r="R2307" s="1">
        <v>21695</v>
      </c>
      <c r="S2307" t="s">
        <v>22</v>
      </c>
      <c r="T2307" t="s">
        <v>16</v>
      </c>
      <c r="U2307" t="s">
        <v>3142</v>
      </c>
      <c r="V2307">
        <v>40000</v>
      </c>
      <c r="W2307">
        <v>2</v>
      </c>
      <c r="X2307" t="s">
        <v>52</v>
      </c>
      <c r="Y2307" t="s">
        <v>60</v>
      </c>
      <c r="Z2307" t="s">
        <v>19</v>
      </c>
      <c r="AA2307" t="s">
        <v>3580</v>
      </c>
      <c r="AB2307" t="s">
        <v>3578</v>
      </c>
      <c r="AC2307" t="s">
        <v>3579</v>
      </c>
      <c r="AD2307" t="s">
        <v>3478</v>
      </c>
      <c r="AE2307" t="s">
        <v>3475</v>
      </c>
      <c r="AF2307" s="2">
        <v>2071.4196000000002</v>
      </c>
      <c r="AG2307" s="2">
        <v>1117.8559</v>
      </c>
      <c r="AH2307" s="2">
        <v>953.56370000000004</v>
      </c>
      <c r="AI2307" s="3">
        <v>0.460343090313522</v>
      </c>
    </row>
    <row r="2308" spans="1:35">
      <c r="A2308" s="1">
        <v>42232</v>
      </c>
      <c r="B2308" s="1">
        <v>37414</v>
      </c>
      <c r="C2308" t="s">
        <v>5140</v>
      </c>
      <c r="D2308">
        <v>356</v>
      </c>
      <c r="E2308">
        <v>26285</v>
      </c>
      <c r="F2308">
        <v>1</v>
      </c>
      <c r="G2308">
        <v>1</v>
      </c>
      <c r="H2308">
        <v>1</v>
      </c>
      <c r="I2308">
        <v>1</v>
      </c>
      <c r="J2308" t="s">
        <v>3539</v>
      </c>
      <c r="K2308" t="s">
        <v>3540</v>
      </c>
      <c r="L2308" s="2">
        <v>1117.8559</v>
      </c>
      <c r="M2308" s="2">
        <v>2071.4196000000002</v>
      </c>
      <c r="N2308" t="s">
        <v>26</v>
      </c>
      <c r="O2308" t="s">
        <v>916</v>
      </c>
      <c r="P2308" t="s">
        <v>505</v>
      </c>
      <c r="Q2308" t="s">
        <v>8636</v>
      </c>
      <c r="R2308" s="1">
        <v>26527</v>
      </c>
      <c r="S2308" t="s">
        <v>22</v>
      </c>
      <c r="T2308" t="s">
        <v>29</v>
      </c>
      <c r="U2308" t="s">
        <v>3143</v>
      </c>
      <c r="V2308">
        <v>50000</v>
      </c>
      <c r="W2308">
        <v>0</v>
      </c>
      <c r="X2308" t="s">
        <v>135</v>
      </c>
      <c r="Y2308" t="s">
        <v>53</v>
      </c>
      <c r="Z2308" t="s">
        <v>19</v>
      </c>
      <c r="AA2308" t="s">
        <v>3577</v>
      </c>
      <c r="AB2308" t="s">
        <v>3578</v>
      </c>
      <c r="AC2308" t="s">
        <v>3579</v>
      </c>
      <c r="AD2308" t="s">
        <v>3478</v>
      </c>
      <c r="AE2308" t="s">
        <v>3475</v>
      </c>
      <c r="AF2308" s="2">
        <v>2071.4196000000002</v>
      </c>
      <c r="AG2308" s="2">
        <v>1117.8559</v>
      </c>
      <c r="AH2308" s="2">
        <v>953.56370000000004</v>
      </c>
      <c r="AI2308" s="3">
        <v>0.460343090313522</v>
      </c>
    </row>
    <row r="2309" spans="1:35">
      <c r="A2309" s="1">
        <v>42231</v>
      </c>
      <c r="B2309" s="1">
        <v>37379</v>
      </c>
      <c r="C2309" t="s">
        <v>5128</v>
      </c>
      <c r="D2309">
        <v>362</v>
      </c>
      <c r="E2309">
        <v>26286</v>
      </c>
      <c r="F2309">
        <v>4</v>
      </c>
      <c r="G2309">
        <v>1</v>
      </c>
      <c r="H2309">
        <v>1</v>
      </c>
      <c r="I2309">
        <v>1</v>
      </c>
      <c r="J2309" t="s">
        <v>3545</v>
      </c>
      <c r="K2309" t="s">
        <v>3546</v>
      </c>
      <c r="L2309" s="2">
        <v>1105.81</v>
      </c>
      <c r="M2309" s="2">
        <v>2049.0981999999999</v>
      </c>
      <c r="N2309" t="s">
        <v>13</v>
      </c>
      <c r="O2309" t="s">
        <v>228</v>
      </c>
      <c r="P2309" t="s">
        <v>177</v>
      </c>
      <c r="Q2309" t="s">
        <v>8637</v>
      </c>
      <c r="R2309" s="1">
        <v>26640</v>
      </c>
      <c r="S2309" t="s">
        <v>22</v>
      </c>
      <c r="T2309" t="s">
        <v>16</v>
      </c>
      <c r="U2309" t="s">
        <v>3144</v>
      </c>
      <c r="V2309">
        <v>50000</v>
      </c>
      <c r="W2309">
        <v>0</v>
      </c>
      <c r="X2309" t="s">
        <v>135</v>
      </c>
      <c r="Y2309" t="s">
        <v>53</v>
      </c>
      <c r="Z2309" t="s">
        <v>19</v>
      </c>
      <c r="AA2309" t="s">
        <v>3580</v>
      </c>
      <c r="AB2309" t="s">
        <v>3578</v>
      </c>
      <c r="AC2309" t="s">
        <v>3579</v>
      </c>
      <c r="AD2309" t="s">
        <v>3478</v>
      </c>
      <c r="AE2309" t="s">
        <v>3475</v>
      </c>
      <c r="AF2309" s="2">
        <v>2049.0981999999999</v>
      </c>
      <c r="AG2309" s="2">
        <v>1105.81</v>
      </c>
      <c r="AH2309" s="2">
        <v>943.28819999999996</v>
      </c>
      <c r="AI2309" s="3">
        <v>0.46034309141455498</v>
      </c>
    </row>
    <row r="2310" spans="1:35">
      <c r="A2310" s="1">
        <v>42225</v>
      </c>
      <c r="B2310" s="1">
        <v>37454</v>
      </c>
      <c r="C2310" t="s">
        <v>5083</v>
      </c>
      <c r="D2310">
        <v>356</v>
      </c>
      <c r="E2310">
        <v>26290</v>
      </c>
      <c r="F2310">
        <v>4</v>
      </c>
      <c r="G2310">
        <v>1</v>
      </c>
      <c r="H2310">
        <v>1</v>
      </c>
      <c r="I2310">
        <v>1</v>
      </c>
      <c r="J2310" t="s">
        <v>3539</v>
      </c>
      <c r="K2310" t="s">
        <v>3540</v>
      </c>
      <c r="L2310" s="2">
        <v>1117.8559</v>
      </c>
      <c r="M2310" s="2">
        <v>2071.4196000000002</v>
      </c>
      <c r="N2310" t="s">
        <v>13</v>
      </c>
      <c r="O2310" t="s">
        <v>141</v>
      </c>
      <c r="P2310" t="s">
        <v>686</v>
      </c>
      <c r="Q2310" t="s">
        <v>8638</v>
      </c>
      <c r="R2310" s="1">
        <v>26847</v>
      </c>
      <c r="S2310" t="s">
        <v>22</v>
      </c>
      <c r="T2310" t="s">
        <v>16</v>
      </c>
      <c r="U2310" t="s">
        <v>3145</v>
      </c>
      <c r="V2310">
        <v>60000</v>
      </c>
      <c r="W2310">
        <v>1</v>
      </c>
      <c r="X2310" t="s">
        <v>135</v>
      </c>
      <c r="Y2310" t="s">
        <v>53</v>
      </c>
      <c r="Z2310" t="s">
        <v>19</v>
      </c>
      <c r="AA2310" t="s">
        <v>3580</v>
      </c>
      <c r="AB2310" t="s">
        <v>3578</v>
      </c>
      <c r="AC2310" t="s">
        <v>3579</v>
      </c>
      <c r="AD2310" t="s">
        <v>3478</v>
      </c>
      <c r="AE2310" t="s">
        <v>3475</v>
      </c>
      <c r="AF2310" s="2">
        <v>2071.4196000000002</v>
      </c>
      <c r="AG2310" s="2">
        <v>1117.8559</v>
      </c>
      <c r="AH2310" s="2">
        <v>953.56370000000004</v>
      </c>
      <c r="AI2310" s="3">
        <v>0.460343090313522</v>
      </c>
    </row>
    <row r="2311" spans="1:35">
      <c r="A2311" s="1">
        <v>42242</v>
      </c>
      <c r="B2311" s="1">
        <v>37406</v>
      </c>
      <c r="C2311" t="s">
        <v>5238</v>
      </c>
      <c r="D2311">
        <v>358</v>
      </c>
      <c r="E2311">
        <v>26292</v>
      </c>
      <c r="F2311">
        <v>1</v>
      </c>
      <c r="G2311">
        <v>1</v>
      </c>
      <c r="H2311">
        <v>1</v>
      </c>
      <c r="I2311">
        <v>1</v>
      </c>
      <c r="J2311" t="s">
        <v>3541</v>
      </c>
      <c r="K2311" t="s">
        <v>3542</v>
      </c>
      <c r="L2311" s="2">
        <v>1105.81</v>
      </c>
      <c r="M2311" s="2">
        <v>2049.0981999999999</v>
      </c>
      <c r="N2311" t="s">
        <v>30</v>
      </c>
      <c r="O2311" t="s">
        <v>3146</v>
      </c>
      <c r="P2311" t="s">
        <v>1909</v>
      </c>
      <c r="Q2311" t="s">
        <v>8639</v>
      </c>
      <c r="R2311" s="1">
        <v>26171</v>
      </c>
      <c r="S2311" t="s">
        <v>16</v>
      </c>
      <c r="T2311" t="s">
        <v>29</v>
      </c>
      <c r="U2311" t="s">
        <v>3147</v>
      </c>
      <c r="V2311">
        <v>70000</v>
      </c>
      <c r="W2311">
        <v>1</v>
      </c>
      <c r="X2311" t="s">
        <v>135</v>
      </c>
      <c r="Y2311" t="s">
        <v>53</v>
      </c>
      <c r="Z2311" t="s">
        <v>19</v>
      </c>
      <c r="AA2311" t="s">
        <v>3577</v>
      </c>
      <c r="AB2311" t="s">
        <v>3578</v>
      </c>
      <c r="AC2311" t="s">
        <v>3579</v>
      </c>
      <c r="AD2311" t="s">
        <v>3478</v>
      </c>
      <c r="AE2311" t="s">
        <v>3475</v>
      </c>
      <c r="AF2311" s="2">
        <v>2049.0981999999999</v>
      </c>
      <c r="AG2311" s="2">
        <v>1105.81</v>
      </c>
      <c r="AH2311" s="2">
        <v>943.28819999999996</v>
      </c>
      <c r="AI2311" s="3">
        <v>0.46034309141455498</v>
      </c>
    </row>
    <row r="2312" spans="1:35">
      <c r="A2312" s="1">
        <v>42217</v>
      </c>
      <c r="B2312" s="1">
        <v>37386</v>
      </c>
      <c r="C2312" t="s">
        <v>5010</v>
      </c>
      <c r="D2312">
        <v>362</v>
      </c>
      <c r="E2312">
        <v>26293</v>
      </c>
      <c r="F2312">
        <v>1</v>
      </c>
      <c r="G2312">
        <v>1</v>
      </c>
      <c r="H2312">
        <v>1</v>
      </c>
      <c r="I2312">
        <v>1</v>
      </c>
      <c r="J2312" t="s">
        <v>3545</v>
      </c>
      <c r="K2312" t="s">
        <v>3546</v>
      </c>
      <c r="L2312" s="2">
        <v>1105.81</v>
      </c>
      <c r="M2312" s="2">
        <v>2049.0981999999999</v>
      </c>
      <c r="N2312" t="s">
        <v>13</v>
      </c>
      <c r="O2312" t="s">
        <v>158</v>
      </c>
      <c r="P2312" t="s">
        <v>38</v>
      </c>
      <c r="Q2312" t="s">
        <v>8640</v>
      </c>
      <c r="R2312" s="1">
        <v>26123</v>
      </c>
      <c r="S2312" t="s">
        <v>16</v>
      </c>
      <c r="T2312" t="s">
        <v>16</v>
      </c>
      <c r="U2312" t="s">
        <v>3148</v>
      </c>
      <c r="V2312">
        <v>70000</v>
      </c>
      <c r="W2312">
        <v>1</v>
      </c>
      <c r="X2312" t="s">
        <v>135</v>
      </c>
      <c r="Y2312" t="s">
        <v>53</v>
      </c>
      <c r="Z2312" t="s">
        <v>19</v>
      </c>
      <c r="AA2312" t="s">
        <v>3577</v>
      </c>
      <c r="AB2312" t="s">
        <v>3578</v>
      </c>
      <c r="AC2312" t="s">
        <v>3579</v>
      </c>
      <c r="AD2312" t="s">
        <v>3478</v>
      </c>
      <c r="AE2312" t="s">
        <v>3475</v>
      </c>
      <c r="AF2312" s="2">
        <v>2049.0981999999999</v>
      </c>
      <c r="AG2312" s="2">
        <v>1105.81</v>
      </c>
      <c r="AH2312" s="2">
        <v>943.28819999999996</v>
      </c>
      <c r="AI2312" s="3">
        <v>0.46034309141455498</v>
      </c>
    </row>
    <row r="2313" spans="1:35">
      <c r="A2313" s="1">
        <v>42235</v>
      </c>
      <c r="B2313" s="1">
        <v>37377</v>
      </c>
      <c r="C2313" t="s">
        <v>5171</v>
      </c>
      <c r="D2313">
        <v>358</v>
      </c>
      <c r="E2313">
        <v>26295</v>
      </c>
      <c r="F2313">
        <v>1</v>
      </c>
      <c r="G2313">
        <v>1</v>
      </c>
      <c r="H2313">
        <v>1</v>
      </c>
      <c r="I2313">
        <v>1</v>
      </c>
      <c r="J2313" t="s">
        <v>3541</v>
      </c>
      <c r="K2313" t="s">
        <v>3542</v>
      </c>
      <c r="L2313" s="2">
        <v>1105.81</v>
      </c>
      <c r="M2313" s="2">
        <v>2049.0981999999999</v>
      </c>
      <c r="N2313" t="s">
        <v>30</v>
      </c>
      <c r="O2313" t="s">
        <v>1179</v>
      </c>
      <c r="P2313" t="s">
        <v>215</v>
      </c>
      <c r="Q2313" t="s">
        <v>8641</v>
      </c>
      <c r="R2313" s="1">
        <v>26320</v>
      </c>
      <c r="S2313" t="s">
        <v>16</v>
      </c>
      <c r="T2313" t="s">
        <v>29</v>
      </c>
      <c r="U2313" t="s">
        <v>3149</v>
      </c>
      <c r="V2313">
        <v>50000</v>
      </c>
      <c r="W2313">
        <v>1</v>
      </c>
      <c r="X2313" t="s">
        <v>17</v>
      </c>
      <c r="Y2313" t="s">
        <v>53</v>
      </c>
      <c r="Z2313" t="s">
        <v>19</v>
      </c>
      <c r="AA2313" t="s">
        <v>3577</v>
      </c>
      <c r="AB2313" t="s">
        <v>3578</v>
      </c>
      <c r="AC2313" t="s">
        <v>3579</v>
      </c>
      <c r="AD2313" t="s">
        <v>3478</v>
      </c>
      <c r="AE2313" t="s">
        <v>3475</v>
      </c>
      <c r="AF2313" s="2">
        <v>2049.0981999999999</v>
      </c>
      <c r="AG2313" s="2">
        <v>1105.81</v>
      </c>
      <c r="AH2313" s="2">
        <v>943.28819999999996</v>
      </c>
      <c r="AI2313" s="3">
        <v>0.46034309141455498</v>
      </c>
    </row>
    <row r="2314" spans="1:35">
      <c r="A2314" s="1">
        <v>42224</v>
      </c>
      <c r="B2314" s="1">
        <v>37450</v>
      </c>
      <c r="C2314" t="s">
        <v>5074</v>
      </c>
      <c r="D2314">
        <v>354</v>
      </c>
      <c r="E2314">
        <v>26296</v>
      </c>
      <c r="F2314">
        <v>1</v>
      </c>
      <c r="G2314">
        <v>1</v>
      </c>
      <c r="H2314">
        <v>1</v>
      </c>
      <c r="I2314">
        <v>1</v>
      </c>
      <c r="J2314" t="s">
        <v>3537</v>
      </c>
      <c r="K2314" t="s">
        <v>3538</v>
      </c>
      <c r="L2314" s="2">
        <v>1117.8559</v>
      </c>
      <c r="M2314" s="2">
        <v>2071.4196000000002</v>
      </c>
      <c r="N2314" t="s">
        <v>30</v>
      </c>
      <c r="O2314" t="s">
        <v>147</v>
      </c>
      <c r="P2314" t="s">
        <v>111</v>
      </c>
      <c r="Q2314" t="s">
        <v>8642</v>
      </c>
      <c r="R2314" s="1">
        <v>26473</v>
      </c>
      <c r="S2314" t="s">
        <v>16</v>
      </c>
      <c r="T2314" t="s">
        <v>29</v>
      </c>
      <c r="U2314" t="s">
        <v>3150</v>
      </c>
      <c r="V2314">
        <v>50000</v>
      </c>
      <c r="W2314">
        <v>1</v>
      </c>
      <c r="X2314" t="s">
        <v>17</v>
      </c>
      <c r="Y2314" t="s">
        <v>53</v>
      </c>
      <c r="Z2314" t="s">
        <v>19</v>
      </c>
      <c r="AA2314" t="s">
        <v>3577</v>
      </c>
      <c r="AB2314" t="s">
        <v>3578</v>
      </c>
      <c r="AC2314" t="s">
        <v>3579</v>
      </c>
      <c r="AD2314" t="s">
        <v>3478</v>
      </c>
      <c r="AE2314" t="s">
        <v>3475</v>
      </c>
      <c r="AF2314" s="2">
        <v>2071.4196000000002</v>
      </c>
      <c r="AG2314" s="2">
        <v>1117.8559</v>
      </c>
      <c r="AH2314" s="2">
        <v>953.56370000000004</v>
      </c>
      <c r="AI2314" s="3">
        <v>0.460343090313522</v>
      </c>
    </row>
    <row r="2315" spans="1:35">
      <c r="A2315" s="1">
        <v>42241</v>
      </c>
      <c r="B2315" s="1">
        <v>37402</v>
      </c>
      <c r="C2315" t="s">
        <v>5225</v>
      </c>
      <c r="D2315">
        <v>360</v>
      </c>
      <c r="E2315">
        <v>26297</v>
      </c>
      <c r="F2315">
        <v>1</v>
      </c>
      <c r="G2315">
        <v>1</v>
      </c>
      <c r="H2315">
        <v>1</v>
      </c>
      <c r="I2315">
        <v>1</v>
      </c>
      <c r="J2315" t="s">
        <v>3543</v>
      </c>
      <c r="K2315" t="s">
        <v>3544</v>
      </c>
      <c r="L2315" s="2">
        <v>1105.81</v>
      </c>
      <c r="M2315" s="2">
        <v>2049.0981999999999</v>
      </c>
      <c r="N2315" t="s">
        <v>13</v>
      </c>
      <c r="O2315" t="s">
        <v>692</v>
      </c>
      <c r="P2315" t="s">
        <v>125</v>
      </c>
      <c r="Q2315" t="s">
        <v>8643</v>
      </c>
      <c r="R2315" s="1">
        <v>26659</v>
      </c>
      <c r="S2315" t="s">
        <v>16</v>
      </c>
      <c r="T2315" t="s">
        <v>16</v>
      </c>
      <c r="U2315" t="s">
        <v>3151</v>
      </c>
      <c r="V2315">
        <v>50000</v>
      </c>
      <c r="W2315">
        <v>1</v>
      </c>
      <c r="X2315" t="s">
        <v>17</v>
      </c>
      <c r="Y2315" t="s">
        <v>53</v>
      </c>
      <c r="Z2315" t="s">
        <v>19</v>
      </c>
      <c r="AA2315" t="s">
        <v>3577</v>
      </c>
      <c r="AB2315" t="s">
        <v>3578</v>
      </c>
      <c r="AC2315" t="s">
        <v>3579</v>
      </c>
      <c r="AD2315" t="s">
        <v>3478</v>
      </c>
      <c r="AE2315" t="s">
        <v>3475</v>
      </c>
      <c r="AF2315" s="2">
        <v>2049.0981999999999</v>
      </c>
      <c r="AG2315" s="2">
        <v>1105.81</v>
      </c>
      <c r="AH2315" s="2">
        <v>943.28819999999996</v>
      </c>
      <c r="AI2315" s="3">
        <v>0.46034309141455498</v>
      </c>
    </row>
    <row r="2316" spans="1:35">
      <c r="A2316" s="1">
        <v>42230</v>
      </c>
      <c r="B2316" s="1">
        <v>37371</v>
      </c>
      <c r="C2316" t="s">
        <v>5121</v>
      </c>
      <c r="D2316">
        <v>354</v>
      </c>
      <c r="E2316">
        <v>26298</v>
      </c>
      <c r="F2316">
        <v>1</v>
      </c>
      <c r="G2316">
        <v>1</v>
      </c>
      <c r="H2316">
        <v>1</v>
      </c>
      <c r="I2316">
        <v>1</v>
      </c>
      <c r="J2316" t="s">
        <v>3537</v>
      </c>
      <c r="K2316" t="s">
        <v>3538</v>
      </c>
      <c r="L2316" s="2">
        <v>1117.8559</v>
      </c>
      <c r="M2316" s="2">
        <v>2071.4196000000002</v>
      </c>
      <c r="N2316" t="s">
        <v>30</v>
      </c>
      <c r="O2316" t="s">
        <v>253</v>
      </c>
      <c r="P2316" t="s">
        <v>587</v>
      </c>
      <c r="Q2316" t="s">
        <v>8644</v>
      </c>
      <c r="R2316" s="1">
        <v>26309</v>
      </c>
      <c r="S2316" t="s">
        <v>16</v>
      </c>
      <c r="T2316" t="s">
        <v>29</v>
      </c>
      <c r="U2316" t="s">
        <v>3152</v>
      </c>
      <c r="V2316">
        <v>50000</v>
      </c>
      <c r="W2316">
        <v>1</v>
      </c>
      <c r="X2316" t="s">
        <v>17</v>
      </c>
      <c r="Y2316" t="s">
        <v>53</v>
      </c>
      <c r="Z2316" t="s">
        <v>19</v>
      </c>
      <c r="AA2316" t="s">
        <v>3577</v>
      </c>
      <c r="AB2316" t="s">
        <v>3578</v>
      </c>
      <c r="AC2316" t="s">
        <v>3579</v>
      </c>
      <c r="AD2316" t="s">
        <v>3478</v>
      </c>
      <c r="AE2316" t="s">
        <v>3475</v>
      </c>
      <c r="AF2316" s="2">
        <v>2071.4196000000002</v>
      </c>
      <c r="AG2316" s="2">
        <v>1117.8559</v>
      </c>
      <c r="AH2316" s="2">
        <v>953.56370000000004</v>
      </c>
      <c r="AI2316" s="3">
        <v>0.460343090313522</v>
      </c>
    </row>
    <row r="2317" spans="1:35">
      <c r="A2317" s="1">
        <v>42234</v>
      </c>
      <c r="B2317" s="1">
        <v>37431</v>
      </c>
      <c r="C2317" t="s">
        <v>5160</v>
      </c>
      <c r="D2317">
        <v>360</v>
      </c>
      <c r="E2317">
        <v>26299</v>
      </c>
      <c r="F2317">
        <v>1</v>
      </c>
      <c r="G2317">
        <v>1</v>
      </c>
      <c r="H2317">
        <v>1</v>
      </c>
      <c r="I2317">
        <v>1</v>
      </c>
      <c r="J2317" t="s">
        <v>3543</v>
      </c>
      <c r="K2317" t="s">
        <v>3544</v>
      </c>
      <c r="L2317" s="2">
        <v>1105.81</v>
      </c>
      <c r="M2317" s="2">
        <v>2049.0981999999999</v>
      </c>
      <c r="N2317" t="s">
        <v>13</v>
      </c>
      <c r="O2317" t="s">
        <v>3153</v>
      </c>
      <c r="P2317" t="s">
        <v>3154</v>
      </c>
      <c r="Q2317" t="s">
        <v>8645</v>
      </c>
      <c r="R2317" s="1">
        <v>26507</v>
      </c>
      <c r="S2317" t="s">
        <v>22</v>
      </c>
      <c r="T2317" t="s">
        <v>16</v>
      </c>
      <c r="U2317" t="s">
        <v>3155</v>
      </c>
      <c r="V2317">
        <v>60000</v>
      </c>
      <c r="W2317">
        <v>1</v>
      </c>
      <c r="X2317" t="s">
        <v>135</v>
      </c>
      <c r="Y2317" t="s">
        <v>53</v>
      </c>
      <c r="Z2317" t="s">
        <v>23</v>
      </c>
      <c r="AA2317" t="s">
        <v>3577</v>
      </c>
      <c r="AB2317" t="s">
        <v>3578</v>
      </c>
      <c r="AC2317" t="s">
        <v>3579</v>
      </c>
      <c r="AD2317" t="s">
        <v>3478</v>
      </c>
      <c r="AE2317" t="s">
        <v>3475</v>
      </c>
      <c r="AF2317" s="2">
        <v>2049.0981999999999</v>
      </c>
      <c r="AG2317" s="2">
        <v>1105.81</v>
      </c>
      <c r="AH2317" s="2">
        <v>943.28819999999996</v>
      </c>
      <c r="AI2317" s="3">
        <v>0.46034309141455498</v>
      </c>
    </row>
    <row r="2318" spans="1:35">
      <c r="A2318" s="1">
        <v>42228</v>
      </c>
      <c r="B2318" s="1">
        <v>37360</v>
      </c>
      <c r="C2318" t="s">
        <v>5097</v>
      </c>
      <c r="D2318">
        <v>362</v>
      </c>
      <c r="E2318">
        <v>26300</v>
      </c>
      <c r="F2318">
        <v>4</v>
      </c>
      <c r="G2318">
        <v>1</v>
      </c>
      <c r="H2318">
        <v>1</v>
      </c>
      <c r="I2318">
        <v>1</v>
      </c>
      <c r="J2318" t="s">
        <v>3545</v>
      </c>
      <c r="K2318" t="s">
        <v>3546</v>
      </c>
      <c r="L2318" s="2">
        <v>1105.81</v>
      </c>
      <c r="M2318" s="2">
        <v>2049.0981999999999</v>
      </c>
      <c r="N2318" t="s">
        <v>30</v>
      </c>
      <c r="O2318" t="s">
        <v>871</v>
      </c>
      <c r="P2318" t="s">
        <v>460</v>
      </c>
      <c r="Q2318" t="s">
        <v>8646</v>
      </c>
      <c r="R2318" s="1">
        <v>26404</v>
      </c>
      <c r="S2318" t="s">
        <v>22</v>
      </c>
      <c r="T2318" t="s">
        <v>29</v>
      </c>
      <c r="U2318" t="s">
        <v>3156</v>
      </c>
      <c r="V2318">
        <v>60000</v>
      </c>
      <c r="W2318">
        <v>1</v>
      </c>
      <c r="X2318" t="s">
        <v>135</v>
      </c>
      <c r="Y2318" t="s">
        <v>53</v>
      </c>
      <c r="Z2318" t="s">
        <v>19</v>
      </c>
      <c r="AA2318" t="s">
        <v>3580</v>
      </c>
      <c r="AB2318" t="s">
        <v>3578</v>
      </c>
      <c r="AC2318" t="s">
        <v>3579</v>
      </c>
      <c r="AD2318" t="s">
        <v>3478</v>
      </c>
      <c r="AE2318" t="s">
        <v>3475</v>
      </c>
      <c r="AF2318" s="2">
        <v>2049.0981999999999</v>
      </c>
      <c r="AG2318" s="2">
        <v>1105.81</v>
      </c>
      <c r="AH2318" s="2">
        <v>943.28819999999996</v>
      </c>
      <c r="AI2318" s="3">
        <v>0.46034309141455498</v>
      </c>
    </row>
    <row r="2319" spans="1:35">
      <c r="A2319" s="1">
        <v>42233</v>
      </c>
      <c r="B2319" s="1">
        <v>37374</v>
      </c>
      <c r="C2319" t="s">
        <v>5148</v>
      </c>
      <c r="D2319">
        <v>352</v>
      </c>
      <c r="E2319">
        <v>26301</v>
      </c>
      <c r="F2319">
        <v>4</v>
      </c>
      <c r="G2319">
        <v>1</v>
      </c>
      <c r="H2319">
        <v>1</v>
      </c>
      <c r="I2319">
        <v>1</v>
      </c>
      <c r="J2319" t="s">
        <v>3535</v>
      </c>
      <c r="K2319" t="s">
        <v>3536</v>
      </c>
      <c r="L2319" s="2">
        <v>1117.8559</v>
      </c>
      <c r="M2319" s="2">
        <v>2071.4196000000002</v>
      </c>
      <c r="N2319" t="s">
        <v>13</v>
      </c>
      <c r="O2319" t="s">
        <v>679</v>
      </c>
      <c r="P2319" t="s">
        <v>704</v>
      </c>
      <c r="Q2319" t="s">
        <v>8647</v>
      </c>
      <c r="R2319" s="1">
        <v>26313</v>
      </c>
      <c r="S2319" t="s">
        <v>22</v>
      </c>
      <c r="T2319" t="s">
        <v>16</v>
      </c>
      <c r="U2319" t="s">
        <v>3157</v>
      </c>
      <c r="V2319">
        <v>70000</v>
      </c>
      <c r="W2319">
        <v>1</v>
      </c>
      <c r="X2319" t="s">
        <v>135</v>
      </c>
      <c r="Y2319" t="s">
        <v>18</v>
      </c>
      <c r="Z2319" t="s">
        <v>23</v>
      </c>
      <c r="AA2319" t="s">
        <v>3580</v>
      </c>
      <c r="AB2319" t="s">
        <v>3578</v>
      </c>
      <c r="AC2319" t="s">
        <v>3579</v>
      </c>
      <c r="AD2319" t="s">
        <v>3478</v>
      </c>
      <c r="AE2319" t="s">
        <v>3475</v>
      </c>
      <c r="AF2319" s="2">
        <v>2071.4196000000002</v>
      </c>
      <c r="AG2319" s="2">
        <v>1117.8559</v>
      </c>
      <c r="AH2319" s="2">
        <v>953.56370000000004</v>
      </c>
      <c r="AI2319" s="3">
        <v>0.460343090313522</v>
      </c>
    </row>
    <row r="2320" spans="1:35">
      <c r="A2320" s="1">
        <v>42218</v>
      </c>
      <c r="B2320" s="1">
        <v>37406</v>
      </c>
      <c r="C2320" t="s">
        <v>5024</v>
      </c>
      <c r="D2320">
        <v>360</v>
      </c>
      <c r="E2320">
        <v>26302</v>
      </c>
      <c r="F2320">
        <v>4</v>
      </c>
      <c r="G2320">
        <v>1</v>
      </c>
      <c r="H2320">
        <v>1</v>
      </c>
      <c r="I2320">
        <v>1</v>
      </c>
      <c r="J2320" t="s">
        <v>3543</v>
      </c>
      <c r="K2320" t="s">
        <v>3544</v>
      </c>
      <c r="L2320" s="2">
        <v>1105.81</v>
      </c>
      <c r="M2320" s="2">
        <v>2049.0981999999999</v>
      </c>
      <c r="N2320" t="s">
        <v>13</v>
      </c>
      <c r="O2320" t="s">
        <v>229</v>
      </c>
      <c r="P2320" t="s">
        <v>393</v>
      </c>
      <c r="Q2320" t="s">
        <v>8648</v>
      </c>
      <c r="R2320" s="1">
        <v>25761</v>
      </c>
      <c r="S2320" t="s">
        <v>16</v>
      </c>
      <c r="T2320" t="s">
        <v>16</v>
      </c>
      <c r="U2320" t="s">
        <v>3158</v>
      </c>
      <c r="V2320">
        <v>40000</v>
      </c>
      <c r="W2320">
        <v>1</v>
      </c>
      <c r="X2320" t="s">
        <v>17</v>
      </c>
      <c r="Y2320" t="s">
        <v>53</v>
      </c>
      <c r="Z2320" t="s">
        <v>19</v>
      </c>
      <c r="AA2320" t="s">
        <v>3580</v>
      </c>
      <c r="AB2320" t="s">
        <v>3578</v>
      </c>
      <c r="AC2320" t="s">
        <v>3579</v>
      </c>
      <c r="AD2320" t="s">
        <v>3478</v>
      </c>
      <c r="AE2320" t="s">
        <v>3475</v>
      </c>
      <c r="AF2320" s="2">
        <v>2049.0981999999999</v>
      </c>
      <c r="AG2320" s="2">
        <v>1105.81</v>
      </c>
      <c r="AH2320" s="2">
        <v>943.28819999999996</v>
      </c>
      <c r="AI2320" s="3">
        <v>0.46034309141455498</v>
      </c>
    </row>
    <row r="2321" spans="1:35">
      <c r="A2321" s="1">
        <v>42243</v>
      </c>
      <c r="B2321" s="1">
        <v>37412</v>
      </c>
      <c r="C2321" t="s">
        <v>5246</v>
      </c>
      <c r="D2321">
        <v>354</v>
      </c>
      <c r="E2321">
        <v>26303</v>
      </c>
      <c r="F2321">
        <v>4</v>
      </c>
      <c r="G2321">
        <v>1</v>
      </c>
      <c r="H2321">
        <v>1</v>
      </c>
      <c r="I2321">
        <v>1</v>
      </c>
      <c r="J2321" t="s">
        <v>3537</v>
      </c>
      <c r="K2321" t="s">
        <v>3538</v>
      </c>
      <c r="L2321" s="2">
        <v>1117.8559</v>
      </c>
      <c r="M2321" s="2">
        <v>2071.4196000000002</v>
      </c>
      <c r="N2321" t="s">
        <v>13</v>
      </c>
      <c r="O2321" t="s">
        <v>1320</v>
      </c>
      <c r="P2321" t="s">
        <v>490</v>
      </c>
      <c r="Q2321" t="s">
        <v>8649</v>
      </c>
      <c r="R2321" s="1">
        <v>25704</v>
      </c>
      <c r="S2321" t="s">
        <v>16</v>
      </c>
      <c r="T2321" t="s">
        <v>16</v>
      </c>
      <c r="U2321" t="s">
        <v>3159</v>
      </c>
      <c r="V2321">
        <v>40000</v>
      </c>
      <c r="W2321">
        <v>1</v>
      </c>
      <c r="X2321" t="s">
        <v>17</v>
      </c>
      <c r="Y2321" t="s">
        <v>53</v>
      </c>
      <c r="Z2321" t="s">
        <v>19</v>
      </c>
      <c r="AA2321" t="s">
        <v>3580</v>
      </c>
      <c r="AB2321" t="s">
        <v>3578</v>
      </c>
      <c r="AC2321" t="s">
        <v>3579</v>
      </c>
      <c r="AD2321" t="s">
        <v>3478</v>
      </c>
      <c r="AE2321" t="s">
        <v>3475</v>
      </c>
      <c r="AF2321" s="2">
        <v>2071.4196000000002</v>
      </c>
      <c r="AG2321" s="2">
        <v>1117.8559</v>
      </c>
      <c r="AH2321" s="2">
        <v>953.56370000000004</v>
      </c>
      <c r="AI2321" s="3">
        <v>0.460343090313522</v>
      </c>
    </row>
    <row r="2322" spans="1:35">
      <c r="A2322" s="1">
        <v>42247</v>
      </c>
      <c r="B2322" s="1">
        <v>37468</v>
      </c>
      <c r="C2322" t="s">
        <v>5278</v>
      </c>
      <c r="D2322">
        <v>360</v>
      </c>
      <c r="E2322">
        <v>26304</v>
      </c>
      <c r="F2322">
        <v>1</v>
      </c>
      <c r="G2322">
        <v>1</v>
      </c>
      <c r="H2322">
        <v>1</v>
      </c>
      <c r="I2322">
        <v>1</v>
      </c>
      <c r="J2322" t="s">
        <v>3543</v>
      </c>
      <c r="K2322" t="s">
        <v>3544</v>
      </c>
      <c r="L2322" s="2">
        <v>1105.81</v>
      </c>
      <c r="M2322" s="2">
        <v>2049.0981999999999</v>
      </c>
      <c r="N2322" t="s">
        <v>30</v>
      </c>
      <c r="O2322" t="s">
        <v>349</v>
      </c>
      <c r="P2322" t="s">
        <v>407</v>
      </c>
      <c r="Q2322" t="s">
        <v>8650</v>
      </c>
      <c r="R2322" s="1">
        <v>25751</v>
      </c>
      <c r="S2322" t="s">
        <v>16</v>
      </c>
      <c r="T2322" t="s">
        <v>29</v>
      </c>
      <c r="U2322" t="s">
        <v>3160</v>
      </c>
      <c r="V2322">
        <v>60000</v>
      </c>
      <c r="W2322">
        <v>1</v>
      </c>
      <c r="X2322" t="s">
        <v>135</v>
      </c>
      <c r="Y2322" t="s">
        <v>18</v>
      </c>
      <c r="Z2322" t="s">
        <v>19</v>
      </c>
      <c r="AA2322" t="s">
        <v>3577</v>
      </c>
      <c r="AB2322" t="s">
        <v>3578</v>
      </c>
      <c r="AC2322" t="s">
        <v>3579</v>
      </c>
      <c r="AD2322" t="s">
        <v>3478</v>
      </c>
      <c r="AE2322" t="s">
        <v>3475</v>
      </c>
      <c r="AF2322" s="2">
        <v>2049.0981999999999</v>
      </c>
      <c r="AG2322" s="2">
        <v>1105.81</v>
      </c>
      <c r="AH2322" s="2">
        <v>943.28819999999996</v>
      </c>
      <c r="AI2322" s="3">
        <v>0.46034309141455498</v>
      </c>
    </row>
    <row r="2323" spans="1:35">
      <c r="A2323" s="1">
        <v>42238</v>
      </c>
      <c r="B2323" s="1">
        <v>37441</v>
      </c>
      <c r="C2323" t="s">
        <v>5197</v>
      </c>
      <c r="D2323">
        <v>362</v>
      </c>
      <c r="E2323">
        <v>26305</v>
      </c>
      <c r="F2323">
        <v>1</v>
      </c>
      <c r="G2323">
        <v>1</v>
      </c>
      <c r="H2323">
        <v>1</v>
      </c>
      <c r="I2323">
        <v>1</v>
      </c>
      <c r="J2323" t="s">
        <v>3545</v>
      </c>
      <c r="K2323" t="s">
        <v>3546</v>
      </c>
      <c r="L2323" s="2">
        <v>1105.81</v>
      </c>
      <c r="M2323" s="2">
        <v>2049.0981999999999</v>
      </c>
      <c r="N2323" t="s">
        <v>30</v>
      </c>
      <c r="O2323" t="s">
        <v>202</v>
      </c>
      <c r="P2323" t="s">
        <v>572</v>
      </c>
      <c r="Q2323" t="s">
        <v>8651</v>
      </c>
      <c r="R2323" s="1">
        <v>25549</v>
      </c>
      <c r="S2323" t="s">
        <v>22</v>
      </c>
      <c r="T2323" t="s">
        <v>29</v>
      </c>
      <c r="U2323" t="s">
        <v>3161</v>
      </c>
      <c r="V2323">
        <v>60000</v>
      </c>
      <c r="W2323">
        <v>2</v>
      </c>
      <c r="X2323" t="s">
        <v>17</v>
      </c>
      <c r="Y2323" t="s">
        <v>53</v>
      </c>
      <c r="Z2323" t="s">
        <v>23</v>
      </c>
      <c r="AA2323" t="s">
        <v>3577</v>
      </c>
      <c r="AB2323" t="s">
        <v>3578</v>
      </c>
      <c r="AC2323" t="s">
        <v>3579</v>
      </c>
      <c r="AD2323" t="s">
        <v>3478</v>
      </c>
      <c r="AE2323" t="s">
        <v>3475</v>
      </c>
      <c r="AF2323" s="2">
        <v>2049.0981999999999</v>
      </c>
      <c r="AG2323" s="2">
        <v>1105.81</v>
      </c>
      <c r="AH2323" s="2">
        <v>943.28819999999996</v>
      </c>
      <c r="AI2323" s="3">
        <v>0.46034309141455498</v>
      </c>
    </row>
    <row r="2324" spans="1:35">
      <c r="A2324" s="1">
        <v>42268</v>
      </c>
      <c r="B2324" s="1">
        <v>37442</v>
      </c>
      <c r="C2324" t="s">
        <v>5423</v>
      </c>
      <c r="D2324">
        <v>358</v>
      </c>
      <c r="E2324">
        <v>26306</v>
      </c>
      <c r="F2324">
        <v>4</v>
      </c>
      <c r="G2324">
        <v>1</v>
      </c>
      <c r="H2324">
        <v>1</v>
      </c>
      <c r="I2324">
        <v>1</v>
      </c>
      <c r="J2324" t="s">
        <v>3541</v>
      </c>
      <c r="K2324" t="s">
        <v>3542</v>
      </c>
      <c r="L2324" s="2">
        <v>1105.81</v>
      </c>
      <c r="M2324" s="2">
        <v>2049.0981999999999</v>
      </c>
      <c r="N2324" t="s">
        <v>13</v>
      </c>
      <c r="O2324" t="s">
        <v>387</v>
      </c>
      <c r="P2324" t="s">
        <v>2107</v>
      </c>
      <c r="Q2324" t="s">
        <v>8652</v>
      </c>
      <c r="R2324" s="1">
        <v>25319</v>
      </c>
      <c r="S2324" t="s">
        <v>22</v>
      </c>
      <c r="T2324" t="s">
        <v>16</v>
      </c>
      <c r="U2324" t="s">
        <v>3162</v>
      </c>
      <c r="V2324">
        <v>60000</v>
      </c>
      <c r="W2324">
        <v>2</v>
      </c>
      <c r="X2324" t="s">
        <v>17</v>
      </c>
      <c r="Y2324" t="s">
        <v>53</v>
      </c>
      <c r="Z2324" t="s">
        <v>23</v>
      </c>
      <c r="AA2324" t="s">
        <v>3580</v>
      </c>
      <c r="AB2324" t="s">
        <v>3578</v>
      </c>
      <c r="AC2324" t="s">
        <v>3579</v>
      </c>
      <c r="AD2324" t="s">
        <v>3478</v>
      </c>
      <c r="AE2324" t="s">
        <v>3475</v>
      </c>
      <c r="AF2324" s="2">
        <v>2049.0981999999999</v>
      </c>
      <c r="AG2324" s="2">
        <v>1105.81</v>
      </c>
      <c r="AH2324" s="2">
        <v>943.28819999999996</v>
      </c>
      <c r="AI2324" s="3">
        <v>0.46034309141455498</v>
      </c>
    </row>
    <row r="2325" spans="1:35">
      <c r="A2325" s="1">
        <v>42256</v>
      </c>
      <c r="B2325" s="1">
        <v>37435</v>
      </c>
      <c r="C2325" t="s">
        <v>5329</v>
      </c>
      <c r="D2325">
        <v>352</v>
      </c>
      <c r="E2325">
        <v>26307</v>
      </c>
      <c r="F2325">
        <v>4</v>
      </c>
      <c r="G2325">
        <v>1</v>
      </c>
      <c r="H2325">
        <v>1</v>
      </c>
      <c r="I2325">
        <v>1</v>
      </c>
      <c r="J2325" t="s">
        <v>3535</v>
      </c>
      <c r="K2325" t="s">
        <v>3536</v>
      </c>
      <c r="L2325" s="2">
        <v>1117.8559</v>
      </c>
      <c r="M2325" s="2">
        <v>2071.4196000000002</v>
      </c>
      <c r="N2325" t="s">
        <v>13</v>
      </c>
      <c r="O2325" t="s">
        <v>288</v>
      </c>
      <c r="P2325" t="s">
        <v>328</v>
      </c>
      <c r="Q2325" t="s">
        <v>8653</v>
      </c>
      <c r="R2325" s="1">
        <v>25440</v>
      </c>
      <c r="S2325" t="s">
        <v>16</v>
      </c>
      <c r="T2325" t="s">
        <v>16</v>
      </c>
      <c r="U2325" t="s">
        <v>3163</v>
      </c>
      <c r="V2325">
        <v>60000</v>
      </c>
      <c r="W2325">
        <v>2</v>
      </c>
      <c r="X2325" t="s">
        <v>17</v>
      </c>
      <c r="Y2325" t="s">
        <v>53</v>
      </c>
      <c r="Z2325" t="s">
        <v>19</v>
      </c>
      <c r="AA2325" t="s">
        <v>3580</v>
      </c>
      <c r="AB2325" t="s">
        <v>3578</v>
      </c>
      <c r="AC2325" t="s">
        <v>3579</v>
      </c>
      <c r="AD2325" t="s">
        <v>3478</v>
      </c>
      <c r="AE2325" t="s">
        <v>3475</v>
      </c>
      <c r="AF2325" s="2">
        <v>2071.4196000000002</v>
      </c>
      <c r="AG2325" s="2">
        <v>1117.8559</v>
      </c>
      <c r="AH2325" s="2">
        <v>953.56370000000004</v>
      </c>
      <c r="AI2325" s="3">
        <v>0.460343090313522</v>
      </c>
    </row>
    <row r="2326" spans="1:35">
      <c r="A2326" s="1">
        <v>42257</v>
      </c>
      <c r="B2326" s="1">
        <v>37493</v>
      </c>
      <c r="C2326" t="s">
        <v>5345</v>
      </c>
      <c r="D2326">
        <v>354</v>
      </c>
      <c r="E2326">
        <v>26308</v>
      </c>
      <c r="F2326">
        <v>1</v>
      </c>
      <c r="G2326">
        <v>1</v>
      </c>
      <c r="H2326">
        <v>1</v>
      </c>
      <c r="I2326">
        <v>1</v>
      </c>
      <c r="J2326" t="s">
        <v>3537</v>
      </c>
      <c r="K2326" t="s">
        <v>3538</v>
      </c>
      <c r="L2326" s="2">
        <v>1117.8559</v>
      </c>
      <c r="M2326" s="2">
        <v>2071.4196000000002</v>
      </c>
      <c r="N2326" t="s">
        <v>30</v>
      </c>
      <c r="O2326" t="s">
        <v>207</v>
      </c>
      <c r="P2326" t="s">
        <v>376</v>
      </c>
      <c r="Q2326" t="s">
        <v>8654</v>
      </c>
      <c r="R2326" s="1">
        <v>25463</v>
      </c>
      <c r="S2326" t="s">
        <v>22</v>
      </c>
      <c r="T2326" t="s">
        <v>29</v>
      </c>
      <c r="U2326" t="s">
        <v>3164</v>
      </c>
      <c r="V2326">
        <v>60000</v>
      </c>
      <c r="W2326">
        <v>2</v>
      </c>
      <c r="X2326" t="s">
        <v>17</v>
      </c>
      <c r="Y2326" t="s">
        <v>53</v>
      </c>
      <c r="Z2326" t="s">
        <v>23</v>
      </c>
      <c r="AA2326" t="s">
        <v>3577</v>
      </c>
      <c r="AB2326" t="s">
        <v>3578</v>
      </c>
      <c r="AC2326" t="s">
        <v>3579</v>
      </c>
      <c r="AD2326" t="s">
        <v>3478</v>
      </c>
      <c r="AE2326" t="s">
        <v>3475</v>
      </c>
      <c r="AF2326" s="2">
        <v>2071.4196000000002</v>
      </c>
      <c r="AG2326" s="2">
        <v>1117.8559</v>
      </c>
      <c r="AH2326" s="2">
        <v>953.56370000000004</v>
      </c>
      <c r="AI2326" s="3">
        <v>0.460343090313522</v>
      </c>
    </row>
    <row r="2327" spans="1:35">
      <c r="A2327" s="1">
        <v>42257</v>
      </c>
      <c r="B2327" s="1">
        <v>37408</v>
      </c>
      <c r="C2327" t="s">
        <v>5341</v>
      </c>
      <c r="D2327">
        <v>362</v>
      </c>
      <c r="E2327">
        <v>26309</v>
      </c>
      <c r="F2327">
        <v>4</v>
      </c>
      <c r="G2327">
        <v>1</v>
      </c>
      <c r="H2327">
        <v>1</v>
      </c>
      <c r="I2327">
        <v>1</v>
      </c>
      <c r="J2327" t="s">
        <v>3545</v>
      </c>
      <c r="K2327" t="s">
        <v>3546</v>
      </c>
      <c r="L2327" s="2">
        <v>1105.81</v>
      </c>
      <c r="M2327" s="2">
        <v>2049.0981999999999</v>
      </c>
      <c r="N2327" t="s">
        <v>13</v>
      </c>
      <c r="O2327" t="s">
        <v>440</v>
      </c>
      <c r="P2327" t="s">
        <v>119</v>
      </c>
      <c r="Q2327" t="s">
        <v>8655</v>
      </c>
      <c r="R2327" s="1">
        <v>25407</v>
      </c>
      <c r="S2327" t="s">
        <v>22</v>
      </c>
      <c r="T2327" t="s">
        <v>16</v>
      </c>
      <c r="U2327" t="s">
        <v>3165</v>
      </c>
      <c r="V2327">
        <v>60000</v>
      </c>
      <c r="W2327">
        <v>2</v>
      </c>
      <c r="X2327" t="s">
        <v>17</v>
      </c>
      <c r="Y2327" t="s">
        <v>53</v>
      </c>
      <c r="Z2327" t="s">
        <v>23</v>
      </c>
      <c r="AA2327" t="s">
        <v>3580</v>
      </c>
      <c r="AB2327" t="s">
        <v>3578</v>
      </c>
      <c r="AC2327" t="s">
        <v>3579</v>
      </c>
      <c r="AD2327" t="s">
        <v>3478</v>
      </c>
      <c r="AE2327" t="s">
        <v>3475</v>
      </c>
      <c r="AF2327" s="2">
        <v>2049.0981999999999</v>
      </c>
      <c r="AG2327" s="2">
        <v>1105.81</v>
      </c>
      <c r="AH2327" s="2">
        <v>943.28819999999996</v>
      </c>
      <c r="AI2327" s="3">
        <v>0.46034309141455498</v>
      </c>
    </row>
    <row r="2328" spans="1:35">
      <c r="A2328" s="1">
        <v>42273</v>
      </c>
      <c r="B2328" s="1">
        <v>37504</v>
      </c>
      <c r="C2328" t="s">
        <v>5453</v>
      </c>
      <c r="D2328">
        <v>354</v>
      </c>
      <c r="E2328">
        <v>26311</v>
      </c>
      <c r="F2328">
        <v>1</v>
      </c>
      <c r="G2328">
        <v>1</v>
      </c>
      <c r="H2328">
        <v>1</v>
      </c>
      <c r="I2328">
        <v>1</v>
      </c>
      <c r="J2328" t="s">
        <v>3537</v>
      </c>
      <c r="K2328" t="s">
        <v>3538</v>
      </c>
      <c r="L2328" s="2">
        <v>1117.8559</v>
      </c>
      <c r="M2328" s="2">
        <v>2071.4196000000002</v>
      </c>
      <c r="N2328" t="s">
        <v>30</v>
      </c>
      <c r="O2328" t="s">
        <v>497</v>
      </c>
      <c r="P2328" t="s">
        <v>293</v>
      </c>
      <c r="Q2328" t="s">
        <v>8656</v>
      </c>
      <c r="R2328" s="1">
        <v>26166</v>
      </c>
      <c r="S2328" t="s">
        <v>22</v>
      </c>
      <c r="T2328" t="s">
        <v>29</v>
      </c>
      <c r="U2328" t="s">
        <v>3166</v>
      </c>
      <c r="V2328">
        <v>60000</v>
      </c>
      <c r="W2328">
        <v>1</v>
      </c>
      <c r="X2328" t="s">
        <v>135</v>
      </c>
      <c r="Y2328" t="s">
        <v>18</v>
      </c>
      <c r="Z2328" t="s">
        <v>19</v>
      </c>
      <c r="AA2328" t="s">
        <v>3577</v>
      </c>
      <c r="AB2328" t="s">
        <v>3578</v>
      </c>
      <c r="AC2328" t="s">
        <v>3579</v>
      </c>
      <c r="AD2328" t="s">
        <v>3478</v>
      </c>
      <c r="AE2328" t="s">
        <v>3475</v>
      </c>
      <c r="AF2328" s="2">
        <v>2071.4196000000002</v>
      </c>
      <c r="AG2328" s="2">
        <v>1117.8559</v>
      </c>
      <c r="AH2328" s="2">
        <v>953.56370000000004</v>
      </c>
      <c r="AI2328" s="3">
        <v>0.460343090313522</v>
      </c>
    </row>
    <row r="2329" spans="1:35">
      <c r="A2329" s="1">
        <v>42267</v>
      </c>
      <c r="B2329" s="1">
        <v>37468</v>
      </c>
      <c r="C2329" t="s">
        <v>5417</v>
      </c>
      <c r="D2329">
        <v>356</v>
      </c>
      <c r="E2329">
        <v>26312</v>
      </c>
      <c r="F2329">
        <v>1</v>
      </c>
      <c r="G2329">
        <v>1</v>
      </c>
      <c r="H2329">
        <v>1</v>
      </c>
      <c r="I2329">
        <v>1</v>
      </c>
      <c r="J2329" t="s">
        <v>3539</v>
      </c>
      <c r="K2329" t="s">
        <v>3540</v>
      </c>
      <c r="L2329" s="2">
        <v>1117.8559</v>
      </c>
      <c r="M2329" s="2">
        <v>2071.4196000000002</v>
      </c>
      <c r="N2329" t="s">
        <v>30</v>
      </c>
      <c r="O2329" t="s">
        <v>31</v>
      </c>
      <c r="P2329" t="s">
        <v>283</v>
      </c>
      <c r="Q2329" t="s">
        <v>8657</v>
      </c>
      <c r="R2329" s="1">
        <v>26115</v>
      </c>
      <c r="S2329" t="s">
        <v>16</v>
      </c>
      <c r="T2329" t="s">
        <v>29</v>
      </c>
      <c r="U2329" t="s">
        <v>3167</v>
      </c>
      <c r="V2329">
        <v>60000</v>
      </c>
      <c r="W2329">
        <v>1</v>
      </c>
      <c r="X2329" t="s">
        <v>135</v>
      </c>
      <c r="Y2329" t="s">
        <v>18</v>
      </c>
      <c r="Z2329" t="s">
        <v>19</v>
      </c>
      <c r="AA2329" t="s">
        <v>3577</v>
      </c>
      <c r="AB2329" t="s">
        <v>3578</v>
      </c>
      <c r="AC2329" t="s">
        <v>3579</v>
      </c>
      <c r="AD2329" t="s">
        <v>3478</v>
      </c>
      <c r="AE2329" t="s">
        <v>3475</v>
      </c>
      <c r="AF2329" s="2">
        <v>2071.4196000000002</v>
      </c>
      <c r="AG2329" s="2">
        <v>1117.8559</v>
      </c>
      <c r="AH2329" s="2">
        <v>953.56370000000004</v>
      </c>
      <c r="AI2329" s="3">
        <v>0.460343090313522</v>
      </c>
    </row>
    <row r="2330" spans="1:35">
      <c r="A2330" s="1">
        <v>42267</v>
      </c>
      <c r="B2330" s="1">
        <v>37482</v>
      </c>
      <c r="C2330" t="s">
        <v>5416</v>
      </c>
      <c r="D2330">
        <v>360</v>
      </c>
      <c r="E2330">
        <v>26313</v>
      </c>
      <c r="F2330">
        <v>4</v>
      </c>
      <c r="G2330">
        <v>1</v>
      </c>
      <c r="H2330">
        <v>1</v>
      </c>
      <c r="I2330">
        <v>1</v>
      </c>
      <c r="J2330" t="s">
        <v>3543</v>
      </c>
      <c r="K2330" t="s">
        <v>3544</v>
      </c>
      <c r="L2330" s="2">
        <v>1105.81</v>
      </c>
      <c r="M2330" s="2">
        <v>2049.0981999999999</v>
      </c>
      <c r="N2330" t="s">
        <v>13</v>
      </c>
      <c r="O2330" t="s">
        <v>186</v>
      </c>
      <c r="P2330" t="s">
        <v>111</v>
      </c>
      <c r="Q2330" t="s">
        <v>8658</v>
      </c>
      <c r="R2330" s="1">
        <v>26239</v>
      </c>
      <c r="S2330" t="s">
        <v>16</v>
      </c>
      <c r="T2330" t="s">
        <v>16</v>
      </c>
      <c r="U2330" t="s">
        <v>3168</v>
      </c>
      <c r="V2330">
        <v>70000</v>
      </c>
      <c r="W2330">
        <v>3</v>
      </c>
      <c r="X2330" t="s">
        <v>135</v>
      </c>
      <c r="Y2330" t="s">
        <v>18</v>
      </c>
      <c r="Z2330" t="s">
        <v>19</v>
      </c>
      <c r="AA2330" t="s">
        <v>3580</v>
      </c>
      <c r="AB2330" t="s">
        <v>3578</v>
      </c>
      <c r="AC2330" t="s">
        <v>3579</v>
      </c>
      <c r="AD2330" t="s">
        <v>3478</v>
      </c>
      <c r="AE2330" t="s">
        <v>3475</v>
      </c>
      <c r="AF2330" s="2">
        <v>2049.0981999999999</v>
      </c>
      <c r="AG2330" s="2">
        <v>1105.81</v>
      </c>
      <c r="AH2330" s="2">
        <v>943.28819999999996</v>
      </c>
      <c r="AI2330" s="3">
        <v>0.46034309141455498</v>
      </c>
    </row>
    <row r="2331" spans="1:35">
      <c r="A2331" s="1">
        <v>42265</v>
      </c>
      <c r="B2331" s="1">
        <v>37439</v>
      </c>
      <c r="C2331" t="s">
        <v>5403</v>
      </c>
      <c r="D2331">
        <v>362</v>
      </c>
      <c r="E2331">
        <v>26315</v>
      </c>
      <c r="F2331">
        <v>4</v>
      </c>
      <c r="G2331">
        <v>1</v>
      </c>
      <c r="H2331">
        <v>1</v>
      </c>
      <c r="I2331">
        <v>1</v>
      </c>
      <c r="J2331" t="s">
        <v>3545</v>
      </c>
      <c r="K2331" t="s">
        <v>3546</v>
      </c>
      <c r="L2331" s="2">
        <v>1105.81</v>
      </c>
      <c r="M2331" s="2">
        <v>2049.0981999999999</v>
      </c>
      <c r="N2331" t="s">
        <v>30</v>
      </c>
      <c r="O2331" t="s">
        <v>254</v>
      </c>
      <c r="P2331" t="s">
        <v>587</v>
      </c>
      <c r="Q2331" t="s">
        <v>8659</v>
      </c>
      <c r="R2331" s="1">
        <v>25338</v>
      </c>
      <c r="S2331" t="s">
        <v>22</v>
      </c>
      <c r="T2331" t="s">
        <v>29</v>
      </c>
      <c r="U2331" t="s">
        <v>3169</v>
      </c>
      <c r="V2331">
        <v>60000</v>
      </c>
      <c r="W2331">
        <v>1</v>
      </c>
      <c r="X2331" t="s">
        <v>135</v>
      </c>
      <c r="Y2331" t="s">
        <v>18</v>
      </c>
      <c r="Z2331" t="s">
        <v>23</v>
      </c>
      <c r="AA2331" t="s">
        <v>3580</v>
      </c>
      <c r="AB2331" t="s">
        <v>3578</v>
      </c>
      <c r="AC2331" t="s">
        <v>3579</v>
      </c>
      <c r="AD2331" t="s">
        <v>3478</v>
      </c>
      <c r="AE2331" t="s">
        <v>3475</v>
      </c>
      <c r="AF2331" s="2">
        <v>2049.0981999999999</v>
      </c>
      <c r="AG2331" s="2">
        <v>1105.81</v>
      </c>
      <c r="AH2331" s="2">
        <v>943.28819999999996</v>
      </c>
      <c r="AI2331" s="3">
        <v>0.46034309141455498</v>
      </c>
    </row>
    <row r="2332" spans="1:35">
      <c r="A2332" s="1">
        <v>42235</v>
      </c>
      <c r="B2332" s="1">
        <v>37437</v>
      </c>
      <c r="C2332" t="s">
        <v>5170</v>
      </c>
      <c r="D2332">
        <v>381</v>
      </c>
      <c r="E2332">
        <v>26316</v>
      </c>
      <c r="F2332">
        <v>6</v>
      </c>
      <c r="G2332">
        <v>1</v>
      </c>
      <c r="H2332">
        <v>1</v>
      </c>
      <c r="I2332">
        <v>2</v>
      </c>
      <c r="J2332" t="s">
        <v>3563</v>
      </c>
      <c r="K2332" t="s">
        <v>3564</v>
      </c>
      <c r="L2332" s="2">
        <v>605.64919999999995</v>
      </c>
      <c r="M2332" s="2">
        <v>1000.4375</v>
      </c>
      <c r="N2332" t="s">
        <v>30</v>
      </c>
      <c r="O2332" t="s">
        <v>306</v>
      </c>
      <c r="P2332" t="s">
        <v>280</v>
      </c>
      <c r="Q2332" t="s">
        <v>8660</v>
      </c>
      <c r="R2332" s="1">
        <v>25483</v>
      </c>
      <c r="S2332" t="s">
        <v>22</v>
      </c>
      <c r="T2332" t="s">
        <v>29</v>
      </c>
      <c r="U2332" t="s">
        <v>3170</v>
      </c>
      <c r="V2332">
        <v>60000</v>
      </c>
      <c r="W2332">
        <v>1</v>
      </c>
      <c r="X2332" t="s">
        <v>135</v>
      </c>
      <c r="Y2332" t="s">
        <v>18</v>
      </c>
      <c r="Z2332" t="s">
        <v>19</v>
      </c>
      <c r="AA2332" t="s">
        <v>3582</v>
      </c>
      <c r="AB2332" t="s">
        <v>3582</v>
      </c>
      <c r="AC2332" t="s">
        <v>3579</v>
      </c>
      <c r="AD2332" t="s">
        <v>3479</v>
      </c>
      <c r="AE2332" t="s">
        <v>3475</v>
      </c>
      <c r="AF2332" s="2">
        <v>1000.4375</v>
      </c>
      <c r="AG2332" s="2">
        <v>605.64919999999995</v>
      </c>
      <c r="AH2332" s="2">
        <v>394.78829999999999</v>
      </c>
      <c r="AI2332" s="3">
        <v>0.39461565565065299</v>
      </c>
    </row>
    <row r="2333" spans="1:35">
      <c r="A2333" s="1">
        <v>42275</v>
      </c>
      <c r="B2333" s="1">
        <v>37453</v>
      </c>
      <c r="C2333" t="s">
        <v>5466</v>
      </c>
      <c r="D2333">
        <v>354</v>
      </c>
      <c r="E2333">
        <v>26317</v>
      </c>
      <c r="F2333">
        <v>1</v>
      </c>
      <c r="G2333">
        <v>1</v>
      </c>
      <c r="H2333">
        <v>1</v>
      </c>
      <c r="I2333">
        <v>1</v>
      </c>
      <c r="J2333" t="s">
        <v>3537</v>
      </c>
      <c r="K2333" t="s">
        <v>3538</v>
      </c>
      <c r="L2333" s="2">
        <v>1117.8559</v>
      </c>
      <c r="M2333" s="2">
        <v>2071.4196000000002</v>
      </c>
      <c r="N2333" t="s">
        <v>30</v>
      </c>
      <c r="O2333" t="s">
        <v>106</v>
      </c>
      <c r="P2333" t="s">
        <v>240</v>
      </c>
      <c r="Q2333" t="s">
        <v>8661</v>
      </c>
      <c r="R2333" s="1">
        <v>25341</v>
      </c>
      <c r="S2333" t="s">
        <v>16</v>
      </c>
      <c r="T2333" t="s">
        <v>29</v>
      </c>
      <c r="U2333" t="s">
        <v>3171</v>
      </c>
      <c r="V2333">
        <v>60000</v>
      </c>
      <c r="W2333">
        <v>1</v>
      </c>
      <c r="X2333" t="s">
        <v>135</v>
      </c>
      <c r="Y2333" t="s">
        <v>18</v>
      </c>
      <c r="Z2333" t="s">
        <v>19</v>
      </c>
      <c r="AA2333" t="s">
        <v>3577</v>
      </c>
      <c r="AB2333" t="s">
        <v>3578</v>
      </c>
      <c r="AC2333" t="s">
        <v>3579</v>
      </c>
      <c r="AD2333" t="s">
        <v>3478</v>
      </c>
      <c r="AE2333" t="s">
        <v>3475</v>
      </c>
      <c r="AF2333" s="2">
        <v>2071.4196000000002</v>
      </c>
      <c r="AG2333" s="2">
        <v>1117.8559</v>
      </c>
      <c r="AH2333" s="2">
        <v>953.56370000000004</v>
      </c>
      <c r="AI2333" s="3">
        <v>0.460343090313522</v>
      </c>
    </row>
    <row r="2334" spans="1:35">
      <c r="A2334" s="1">
        <v>42274</v>
      </c>
      <c r="B2334" s="1">
        <v>37484</v>
      </c>
      <c r="C2334" t="s">
        <v>5465</v>
      </c>
      <c r="D2334">
        <v>362</v>
      </c>
      <c r="E2334">
        <v>26319</v>
      </c>
      <c r="F2334">
        <v>4</v>
      </c>
      <c r="G2334">
        <v>1</v>
      </c>
      <c r="H2334">
        <v>1</v>
      </c>
      <c r="I2334">
        <v>1</v>
      </c>
      <c r="J2334" t="s">
        <v>3545</v>
      </c>
      <c r="K2334" t="s">
        <v>3546</v>
      </c>
      <c r="L2334" s="2">
        <v>1105.81</v>
      </c>
      <c r="M2334" s="2">
        <v>2049.0981999999999</v>
      </c>
      <c r="N2334" t="s">
        <v>13</v>
      </c>
      <c r="O2334" t="s">
        <v>862</v>
      </c>
      <c r="P2334" t="s">
        <v>290</v>
      </c>
      <c r="Q2334" t="s">
        <v>8662</v>
      </c>
      <c r="R2334" s="1">
        <v>25159</v>
      </c>
      <c r="S2334" t="s">
        <v>22</v>
      </c>
      <c r="T2334" t="s">
        <v>16</v>
      </c>
      <c r="U2334" t="s">
        <v>3172</v>
      </c>
      <c r="V2334">
        <v>70000</v>
      </c>
      <c r="W2334">
        <v>2</v>
      </c>
      <c r="X2334" t="s">
        <v>17</v>
      </c>
      <c r="Y2334" t="s">
        <v>53</v>
      </c>
      <c r="Z2334" t="s">
        <v>23</v>
      </c>
      <c r="AA2334" t="s">
        <v>3580</v>
      </c>
      <c r="AB2334" t="s">
        <v>3578</v>
      </c>
      <c r="AC2334" t="s">
        <v>3579</v>
      </c>
      <c r="AD2334" t="s">
        <v>3478</v>
      </c>
      <c r="AE2334" t="s">
        <v>3475</v>
      </c>
      <c r="AF2334" s="2">
        <v>2049.0981999999999</v>
      </c>
      <c r="AG2334" s="2">
        <v>1105.81</v>
      </c>
      <c r="AH2334" s="2">
        <v>943.28819999999996</v>
      </c>
      <c r="AI2334" s="3">
        <v>0.46034309141455498</v>
      </c>
    </row>
    <row r="2335" spans="1:35">
      <c r="A2335" s="1">
        <v>42248</v>
      </c>
      <c r="B2335" s="1">
        <v>37474</v>
      </c>
      <c r="C2335" t="s">
        <v>5288</v>
      </c>
      <c r="D2335">
        <v>356</v>
      </c>
      <c r="E2335">
        <v>26320</v>
      </c>
      <c r="F2335">
        <v>4</v>
      </c>
      <c r="G2335">
        <v>1</v>
      </c>
      <c r="H2335">
        <v>1</v>
      </c>
      <c r="I2335">
        <v>1</v>
      </c>
      <c r="J2335" t="s">
        <v>3539</v>
      </c>
      <c r="K2335" t="s">
        <v>3540</v>
      </c>
      <c r="L2335" s="2">
        <v>1117.8559</v>
      </c>
      <c r="M2335" s="2">
        <v>2071.4196000000002</v>
      </c>
      <c r="N2335" t="s">
        <v>30</v>
      </c>
      <c r="O2335" t="s">
        <v>251</v>
      </c>
      <c r="P2335" t="s">
        <v>136</v>
      </c>
      <c r="Q2335" t="s">
        <v>8663</v>
      </c>
      <c r="R2335" s="1">
        <v>24918</v>
      </c>
      <c r="S2335" t="s">
        <v>16</v>
      </c>
      <c r="T2335" t="s">
        <v>29</v>
      </c>
      <c r="U2335" t="s">
        <v>3173</v>
      </c>
      <c r="V2335">
        <v>70000</v>
      </c>
      <c r="W2335">
        <v>2</v>
      </c>
      <c r="X2335" t="s">
        <v>17</v>
      </c>
      <c r="Y2335" t="s">
        <v>53</v>
      </c>
      <c r="Z2335" t="s">
        <v>19</v>
      </c>
      <c r="AA2335" t="s">
        <v>3580</v>
      </c>
      <c r="AB2335" t="s">
        <v>3578</v>
      </c>
      <c r="AC2335" t="s">
        <v>3579</v>
      </c>
      <c r="AD2335" t="s">
        <v>3478</v>
      </c>
      <c r="AE2335" t="s">
        <v>3475</v>
      </c>
      <c r="AF2335" s="2">
        <v>2071.4196000000002</v>
      </c>
      <c r="AG2335" s="2">
        <v>1117.8559</v>
      </c>
      <c r="AH2335" s="2">
        <v>953.56370000000004</v>
      </c>
      <c r="AI2335" s="3">
        <v>0.460343090313522</v>
      </c>
    </row>
    <row r="2336" spans="1:35">
      <c r="A2336" s="1">
        <v>42297</v>
      </c>
      <c r="B2336" s="1">
        <v>37479</v>
      </c>
      <c r="C2336" t="s">
        <v>5622</v>
      </c>
      <c r="D2336">
        <v>383</v>
      </c>
      <c r="E2336">
        <v>26321</v>
      </c>
      <c r="F2336">
        <v>6</v>
      </c>
      <c r="G2336">
        <v>1</v>
      </c>
      <c r="H2336">
        <v>1</v>
      </c>
      <c r="I2336">
        <v>2</v>
      </c>
      <c r="J2336" t="s">
        <v>3565</v>
      </c>
      <c r="K2336" t="s">
        <v>3566</v>
      </c>
      <c r="L2336" s="2">
        <v>605.64919999999995</v>
      </c>
      <c r="M2336" s="2">
        <v>1000.4375</v>
      </c>
      <c r="N2336" t="s">
        <v>13</v>
      </c>
      <c r="O2336" t="s">
        <v>735</v>
      </c>
      <c r="P2336" t="s">
        <v>220</v>
      </c>
      <c r="Q2336" t="s">
        <v>8664</v>
      </c>
      <c r="R2336" s="1">
        <v>25161</v>
      </c>
      <c r="S2336" t="s">
        <v>16</v>
      </c>
      <c r="T2336" t="s">
        <v>16</v>
      </c>
      <c r="U2336" t="s">
        <v>3174</v>
      </c>
      <c r="V2336">
        <v>70000</v>
      </c>
      <c r="W2336">
        <v>2</v>
      </c>
      <c r="X2336" t="s">
        <v>17</v>
      </c>
      <c r="Y2336" t="s">
        <v>53</v>
      </c>
      <c r="Z2336" t="s">
        <v>19</v>
      </c>
      <c r="AA2336" t="s">
        <v>3582</v>
      </c>
      <c r="AB2336" t="s">
        <v>3582</v>
      </c>
      <c r="AC2336" t="s">
        <v>3579</v>
      </c>
      <c r="AD2336" t="s">
        <v>3479</v>
      </c>
      <c r="AE2336" t="s">
        <v>3475</v>
      </c>
      <c r="AF2336" s="2">
        <v>1000.4375</v>
      </c>
      <c r="AG2336" s="2">
        <v>605.64919999999995</v>
      </c>
      <c r="AH2336" s="2">
        <v>394.78829999999999</v>
      </c>
      <c r="AI2336" s="3">
        <v>0.39461565565065299</v>
      </c>
    </row>
    <row r="2337" spans="1:35">
      <c r="A2337" s="1">
        <v>42270</v>
      </c>
      <c r="B2337" s="1">
        <v>37465</v>
      </c>
      <c r="C2337" t="s">
        <v>5435</v>
      </c>
      <c r="D2337">
        <v>352</v>
      </c>
      <c r="E2337">
        <v>26322</v>
      </c>
      <c r="F2337">
        <v>1</v>
      </c>
      <c r="G2337">
        <v>1</v>
      </c>
      <c r="H2337">
        <v>1</v>
      </c>
      <c r="I2337">
        <v>1</v>
      </c>
      <c r="J2337" t="s">
        <v>3535</v>
      </c>
      <c r="K2337" t="s">
        <v>3536</v>
      </c>
      <c r="L2337" s="2">
        <v>1117.8559</v>
      </c>
      <c r="M2337" s="2">
        <v>2071.4196000000002</v>
      </c>
      <c r="N2337" t="s">
        <v>13</v>
      </c>
      <c r="O2337" t="s">
        <v>614</v>
      </c>
      <c r="P2337" t="s">
        <v>68</v>
      </c>
      <c r="Q2337" t="s">
        <v>8665</v>
      </c>
      <c r="R2337" s="1">
        <v>24729</v>
      </c>
      <c r="S2337" t="s">
        <v>22</v>
      </c>
      <c r="T2337" t="s">
        <v>16</v>
      </c>
      <c r="U2337" t="s">
        <v>3175</v>
      </c>
      <c r="V2337">
        <v>40000</v>
      </c>
      <c r="W2337">
        <v>0</v>
      </c>
      <c r="X2337" t="s">
        <v>17</v>
      </c>
      <c r="Y2337" t="s">
        <v>18</v>
      </c>
      <c r="Z2337" t="s">
        <v>23</v>
      </c>
      <c r="AA2337" t="s">
        <v>3577</v>
      </c>
      <c r="AB2337" t="s">
        <v>3578</v>
      </c>
      <c r="AC2337" t="s">
        <v>3579</v>
      </c>
      <c r="AD2337" t="s">
        <v>3478</v>
      </c>
      <c r="AE2337" t="s">
        <v>3475</v>
      </c>
      <c r="AF2337" s="2">
        <v>2071.4196000000002</v>
      </c>
      <c r="AG2337" s="2">
        <v>1117.8559</v>
      </c>
      <c r="AH2337" s="2">
        <v>953.56370000000004</v>
      </c>
      <c r="AI2337" s="3">
        <v>0.460343090313522</v>
      </c>
    </row>
    <row r="2338" spans="1:35">
      <c r="A2338" s="1">
        <v>42256</v>
      </c>
      <c r="B2338" s="1">
        <v>37390</v>
      </c>
      <c r="C2338" t="s">
        <v>5332</v>
      </c>
      <c r="D2338">
        <v>354</v>
      </c>
      <c r="E2338">
        <v>26324</v>
      </c>
      <c r="F2338">
        <v>1</v>
      </c>
      <c r="G2338">
        <v>1</v>
      </c>
      <c r="H2338">
        <v>1</v>
      </c>
      <c r="I2338">
        <v>1</v>
      </c>
      <c r="J2338" t="s">
        <v>3537</v>
      </c>
      <c r="K2338" t="s">
        <v>3538</v>
      </c>
      <c r="L2338" s="2">
        <v>1117.8559</v>
      </c>
      <c r="M2338" s="2">
        <v>2071.4196000000002</v>
      </c>
      <c r="N2338" t="s">
        <v>30</v>
      </c>
      <c r="O2338" t="s">
        <v>793</v>
      </c>
      <c r="P2338" t="s">
        <v>286</v>
      </c>
      <c r="Q2338" t="s">
        <v>8666</v>
      </c>
      <c r="R2338" s="1">
        <v>25879</v>
      </c>
      <c r="S2338" t="s">
        <v>22</v>
      </c>
      <c r="T2338" t="s">
        <v>29</v>
      </c>
      <c r="U2338" t="s">
        <v>3176</v>
      </c>
      <c r="V2338">
        <v>70000</v>
      </c>
      <c r="W2338">
        <v>3</v>
      </c>
      <c r="X2338" t="s">
        <v>135</v>
      </c>
      <c r="Y2338" t="s">
        <v>18</v>
      </c>
      <c r="Z2338" t="s">
        <v>23</v>
      </c>
      <c r="AA2338" t="s">
        <v>3577</v>
      </c>
      <c r="AB2338" t="s">
        <v>3578</v>
      </c>
      <c r="AC2338" t="s">
        <v>3579</v>
      </c>
      <c r="AD2338" t="s">
        <v>3478</v>
      </c>
      <c r="AE2338" t="s">
        <v>3475</v>
      </c>
      <c r="AF2338" s="2">
        <v>2071.4196000000002</v>
      </c>
      <c r="AG2338" s="2">
        <v>1117.8559</v>
      </c>
      <c r="AH2338" s="2">
        <v>953.56370000000004</v>
      </c>
      <c r="AI2338" s="3">
        <v>0.460343090313522</v>
      </c>
    </row>
    <row r="2339" spans="1:35">
      <c r="A2339" s="1">
        <v>42273</v>
      </c>
      <c r="B2339" s="1">
        <v>37468</v>
      </c>
      <c r="C2339" t="s">
        <v>5461</v>
      </c>
      <c r="D2339">
        <v>352</v>
      </c>
      <c r="E2339">
        <v>26325</v>
      </c>
      <c r="F2339">
        <v>1</v>
      </c>
      <c r="G2339">
        <v>1</v>
      </c>
      <c r="H2339">
        <v>1</v>
      </c>
      <c r="I2339">
        <v>1</v>
      </c>
      <c r="J2339" t="s">
        <v>3535</v>
      </c>
      <c r="K2339" t="s">
        <v>3536</v>
      </c>
      <c r="L2339" s="2">
        <v>1117.8559</v>
      </c>
      <c r="M2339" s="2">
        <v>2071.4196000000002</v>
      </c>
      <c r="N2339" t="s">
        <v>13</v>
      </c>
      <c r="O2339" t="s">
        <v>789</v>
      </c>
      <c r="P2339" t="s">
        <v>275</v>
      </c>
      <c r="Q2339" t="s">
        <v>8667</v>
      </c>
      <c r="R2339" s="1">
        <v>25864</v>
      </c>
      <c r="S2339" t="s">
        <v>16</v>
      </c>
      <c r="T2339" t="s">
        <v>16</v>
      </c>
      <c r="U2339" t="s">
        <v>3177</v>
      </c>
      <c r="V2339">
        <v>70000</v>
      </c>
      <c r="W2339">
        <v>3</v>
      </c>
      <c r="X2339" t="s">
        <v>135</v>
      </c>
      <c r="Y2339" t="s">
        <v>18</v>
      </c>
      <c r="Z2339" t="s">
        <v>19</v>
      </c>
      <c r="AA2339" t="s">
        <v>3577</v>
      </c>
      <c r="AB2339" t="s">
        <v>3578</v>
      </c>
      <c r="AC2339" t="s">
        <v>3579</v>
      </c>
      <c r="AD2339" t="s">
        <v>3478</v>
      </c>
      <c r="AE2339" t="s">
        <v>3475</v>
      </c>
      <c r="AF2339" s="2">
        <v>2071.4196000000002</v>
      </c>
      <c r="AG2339" s="2">
        <v>1117.8559</v>
      </c>
      <c r="AH2339" s="2">
        <v>953.56370000000004</v>
      </c>
      <c r="AI2339" s="3">
        <v>0.460343090313522</v>
      </c>
    </row>
    <row r="2340" spans="1:35">
      <c r="A2340" s="1">
        <v>42260</v>
      </c>
      <c r="B2340" s="1">
        <v>37441</v>
      </c>
      <c r="C2340" t="s">
        <v>5372</v>
      </c>
      <c r="D2340">
        <v>362</v>
      </c>
      <c r="E2340">
        <v>26326</v>
      </c>
      <c r="F2340">
        <v>4</v>
      </c>
      <c r="G2340">
        <v>1</v>
      </c>
      <c r="H2340">
        <v>1</v>
      </c>
      <c r="I2340">
        <v>1</v>
      </c>
      <c r="J2340" t="s">
        <v>3545</v>
      </c>
      <c r="K2340" t="s">
        <v>3546</v>
      </c>
      <c r="L2340" s="2">
        <v>1105.81</v>
      </c>
      <c r="M2340" s="2">
        <v>2049.0981999999999</v>
      </c>
      <c r="N2340" t="s">
        <v>13</v>
      </c>
      <c r="O2340" t="s">
        <v>183</v>
      </c>
      <c r="P2340" t="s">
        <v>594</v>
      </c>
      <c r="Q2340" t="s">
        <v>8668</v>
      </c>
      <c r="R2340" s="1">
        <v>25755</v>
      </c>
      <c r="S2340" t="s">
        <v>16</v>
      </c>
      <c r="T2340" t="s">
        <v>16</v>
      </c>
      <c r="U2340" t="s">
        <v>3178</v>
      </c>
      <c r="V2340">
        <v>70000</v>
      </c>
      <c r="W2340">
        <v>4</v>
      </c>
      <c r="X2340" t="s">
        <v>135</v>
      </c>
      <c r="Y2340" t="s">
        <v>18</v>
      </c>
      <c r="Z2340" t="s">
        <v>19</v>
      </c>
      <c r="AA2340" t="s">
        <v>3580</v>
      </c>
      <c r="AB2340" t="s">
        <v>3578</v>
      </c>
      <c r="AC2340" t="s">
        <v>3579</v>
      </c>
      <c r="AD2340" t="s">
        <v>3478</v>
      </c>
      <c r="AE2340" t="s">
        <v>3475</v>
      </c>
      <c r="AF2340" s="2">
        <v>2049.0981999999999</v>
      </c>
      <c r="AG2340" s="2">
        <v>1105.81</v>
      </c>
      <c r="AH2340" s="2">
        <v>943.28819999999996</v>
      </c>
      <c r="AI2340" s="3">
        <v>0.46034309141455498</v>
      </c>
    </row>
    <row r="2341" spans="1:35">
      <c r="A2341" s="1">
        <v>42268</v>
      </c>
      <c r="B2341" s="1">
        <v>37501</v>
      </c>
      <c r="C2341" t="s">
        <v>5421</v>
      </c>
      <c r="D2341">
        <v>362</v>
      </c>
      <c r="E2341">
        <v>26327</v>
      </c>
      <c r="F2341">
        <v>4</v>
      </c>
      <c r="G2341">
        <v>1</v>
      </c>
      <c r="H2341">
        <v>1</v>
      </c>
      <c r="I2341">
        <v>1</v>
      </c>
      <c r="J2341" t="s">
        <v>3545</v>
      </c>
      <c r="K2341" t="s">
        <v>3546</v>
      </c>
      <c r="L2341" s="2">
        <v>1105.81</v>
      </c>
      <c r="M2341" s="2">
        <v>2049.0981999999999</v>
      </c>
      <c r="N2341" t="s">
        <v>13</v>
      </c>
      <c r="O2341" t="s">
        <v>985</v>
      </c>
      <c r="P2341" t="s">
        <v>476</v>
      </c>
      <c r="Q2341" t="s">
        <v>8669</v>
      </c>
      <c r="R2341" s="1">
        <v>25691</v>
      </c>
      <c r="S2341" t="s">
        <v>16</v>
      </c>
      <c r="T2341" t="s">
        <v>16</v>
      </c>
      <c r="U2341" t="s">
        <v>3179</v>
      </c>
      <c r="V2341">
        <v>70000</v>
      </c>
      <c r="W2341">
        <v>4</v>
      </c>
      <c r="X2341" t="s">
        <v>135</v>
      </c>
      <c r="Y2341" t="s">
        <v>18</v>
      </c>
      <c r="Z2341" t="s">
        <v>19</v>
      </c>
      <c r="AA2341" t="s">
        <v>3580</v>
      </c>
      <c r="AB2341" t="s">
        <v>3578</v>
      </c>
      <c r="AC2341" t="s">
        <v>3579</v>
      </c>
      <c r="AD2341" t="s">
        <v>3478</v>
      </c>
      <c r="AE2341" t="s">
        <v>3475</v>
      </c>
      <c r="AF2341" s="2">
        <v>2049.0981999999999</v>
      </c>
      <c r="AG2341" s="2">
        <v>1105.81</v>
      </c>
      <c r="AH2341" s="2">
        <v>943.28819999999996</v>
      </c>
      <c r="AI2341" s="3">
        <v>0.46034309141455498</v>
      </c>
    </row>
    <row r="2342" spans="1:35">
      <c r="A2342" s="1">
        <v>42294</v>
      </c>
      <c r="B2342" s="1">
        <v>37484</v>
      </c>
      <c r="C2342" t="s">
        <v>5598</v>
      </c>
      <c r="D2342">
        <v>358</v>
      </c>
      <c r="E2342">
        <v>26328</v>
      </c>
      <c r="F2342">
        <v>4</v>
      </c>
      <c r="G2342">
        <v>1</v>
      </c>
      <c r="H2342">
        <v>1</v>
      </c>
      <c r="I2342">
        <v>1</v>
      </c>
      <c r="J2342" t="s">
        <v>3541</v>
      </c>
      <c r="K2342" t="s">
        <v>3542</v>
      </c>
      <c r="L2342" s="2">
        <v>1105.81</v>
      </c>
      <c r="M2342" s="2">
        <v>2049.0981999999999</v>
      </c>
      <c r="N2342" t="s">
        <v>13</v>
      </c>
      <c r="O2342" t="s">
        <v>263</v>
      </c>
      <c r="P2342" t="s">
        <v>166</v>
      </c>
      <c r="Q2342" t="s">
        <v>8670</v>
      </c>
      <c r="R2342" s="1">
        <v>25666</v>
      </c>
      <c r="S2342" t="s">
        <v>22</v>
      </c>
      <c r="T2342" t="s">
        <v>16</v>
      </c>
      <c r="U2342" t="s">
        <v>3180</v>
      </c>
      <c r="V2342">
        <v>80000</v>
      </c>
      <c r="W2342">
        <v>2</v>
      </c>
      <c r="X2342" t="s">
        <v>135</v>
      </c>
      <c r="Y2342" t="s">
        <v>18</v>
      </c>
      <c r="Z2342" t="s">
        <v>23</v>
      </c>
      <c r="AA2342" t="s">
        <v>3580</v>
      </c>
      <c r="AB2342" t="s">
        <v>3578</v>
      </c>
      <c r="AC2342" t="s">
        <v>3579</v>
      </c>
      <c r="AD2342" t="s">
        <v>3478</v>
      </c>
      <c r="AE2342" t="s">
        <v>3475</v>
      </c>
      <c r="AF2342" s="2">
        <v>2049.0981999999999</v>
      </c>
      <c r="AG2342" s="2">
        <v>1105.81</v>
      </c>
      <c r="AH2342" s="2">
        <v>943.28819999999996</v>
      </c>
      <c r="AI2342" s="3">
        <v>0.46034309141455498</v>
      </c>
    </row>
    <row r="2343" spans="1:35">
      <c r="A2343" s="1">
        <v>42283</v>
      </c>
      <c r="B2343" s="1">
        <v>37508</v>
      </c>
      <c r="C2343" t="s">
        <v>5516</v>
      </c>
      <c r="D2343">
        <v>358</v>
      </c>
      <c r="E2343">
        <v>26329</v>
      </c>
      <c r="F2343">
        <v>4</v>
      </c>
      <c r="G2343">
        <v>1</v>
      </c>
      <c r="H2343">
        <v>1</v>
      </c>
      <c r="I2343">
        <v>1</v>
      </c>
      <c r="J2343" t="s">
        <v>3541</v>
      </c>
      <c r="K2343" t="s">
        <v>3542</v>
      </c>
      <c r="L2343" s="2">
        <v>1105.81</v>
      </c>
      <c r="M2343" s="2">
        <v>2049.0981999999999</v>
      </c>
      <c r="N2343" t="s">
        <v>30</v>
      </c>
      <c r="O2343" t="s">
        <v>685</v>
      </c>
      <c r="P2343" t="s">
        <v>184</v>
      </c>
      <c r="Q2343" t="s">
        <v>8671</v>
      </c>
      <c r="R2343" s="1">
        <v>24613</v>
      </c>
      <c r="S2343" t="s">
        <v>16</v>
      </c>
      <c r="T2343" t="s">
        <v>29</v>
      </c>
      <c r="U2343" t="s">
        <v>3181</v>
      </c>
      <c r="V2343">
        <v>50000</v>
      </c>
      <c r="W2343">
        <v>2</v>
      </c>
      <c r="X2343" t="s">
        <v>17</v>
      </c>
      <c r="Y2343" t="s">
        <v>53</v>
      </c>
      <c r="Z2343" t="s">
        <v>19</v>
      </c>
      <c r="AA2343" t="s">
        <v>3580</v>
      </c>
      <c r="AB2343" t="s">
        <v>3578</v>
      </c>
      <c r="AC2343" t="s">
        <v>3579</v>
      </c>
      <c r="AD2343" t="s">
        <v>3478</v>
      </c>
      <c r="AE2343" t="s">
        <v>3475</v>
      </c>
      <c r="AF2343" s="2">
        <v>2049.0981999999999</v>
      </c>
      <c r="AG2343" s="2">
        <v>1105.81</v>
      </c>
      <c r="AH2343" s="2">
        <v>943.28819999999996</v>
      </c>
      <c r="AI2343" s="3">
        <v>0.46034309141455498</v>
      </c>
    </row>
    <row r="2344" spans="1:35">
      <c r="A2344" s="1">
        <v>42282</v>
      </c>
      <c r="B2344" s="1">
        <v>37512</v>
      </c>
      <c r="C2344" t="s">
        <v>5514</v>
      </c>
      <c r="D2344">
        <v>352</v>
      </c>
      <c r="E2344">
        <v>26330</v>
      </c>
      <c r="F2344">
        <v>1</v>
      </c>
      <c r="G2344">
        <v>1</v>
      </c>
      <c r="H2344">
        <v>1</v>
      </c>
      <c r="I2344">
        <v>1</v>
      </c>
      <c r="J2344" t="s">
        <v>3535</v>
      </c>
      <c r="K2344" t="s">
        <v>3536</v>
      </c>
      <c r="L2344" s="2">
        <v>1117.8559</v>
      </c>
      <c r="M2344" s="2">
        <v>2071.4196000000002</v>
      </c>
      <c r="N2344" t="s">
        <v>13</v>
      </c>
      <c r="O2344" t="s">
        <v>249</v>
      </c>
      <c r="P2344" t="s">
        <v>136</v>
      </c>
      <c r="Q2344" t="s">
        <v>8672</v>
      </c>
      <c r="R2344" s="1">
        <v>24595</v>
      </c>
      <c r="S2344" t="s">
        <v>22</v>
      </c>
      <c r="T2344" t="s">
        <v>16</v>
      </c>
      <c r="U2344" t="s">
        <v>3182</v>
      </c>
      <c r="V2344">
        <v>50000</v>
      </c>
      <c r="W2344">
        <v>2</v>
      </c>
      <c r="X2344" t="s">
        <v>17</v>
      </c>
      <c r="Y2344" t="s">
        <v>53</v>
      </c>
      <c r="Z2344" t="s">
        <v>23</v>
      </c>
      <c r="AA2344" t="s">
        <v>3577</v>
      </c>
      <c r="AB2344" t="s">
        <v>3578</v>
      </c>
      <c r="AC2344" t="s">
        <v>3579</v>
      </c>
      <c r="AD2344" t="s">
        <v>3478</v>
      </c>
      <c r="AE2344" t="s">
        <v>3475</v>
      </c>
      <c r="AF2344" s="2">
        <v>2071.4196000000002</v>
      </c>
      <c r="AG2344" s="2">
        <v>1117.8559</v>
      </c>
      <c r="AH2344" s="2">
        <v>953.56370000000004</v>
      </c>
      <c r="AI2344" s="3">
        <v>0.460343090313522</v>
      </c>
    </row>
    <row r="2345" spans="1:35">
      <c r="A2345" s="1">
        <v>42295</v>
      </c>
      <c r="B2345" s="1">
        <v>37489</v>
      </c>
      <c r="C2345" t="s">
        <v>5606</v>
      </c>
      <c r="D2345">
        <v>358</v>
      </c>
      <c r="E2345">
        <v>26331</v>
      </c>
      <c r="F2345">
        <v>1</v>
      </c>
      <c r="G2345">
        <v>1</v>
      </c>
      <c r="H2345">
        <v>1</v>
      </c>
      <c r="I2345">
        <v>1</v>
      </c>
      <c r="J2345" t="s">
        <v>3541</v>
      </c>
      <c r="K2345" t="s">
        <v>3542</v>
      </c>
      <c r="L2345" s="2">
        <v>1105.81</v>
      </c>
      <c r="M2345" s="2">
        <v>2049.0981999999999</v>
      </c>
      <c r="N2345" t="s">
        <v>30</v>
      </c>
      <c r="O2345" t="s">
        <v>877</v>
      </c>
      <c r="P2345" t="s">
        <v>119</v>
      </c>
      <c r="Q2345" t="s">
        <v>8673</v>
      </c>
      <c r="R2345" s="1">
        <v>24719</v>
      </c>
      <c r="S2345" t="s">
        <v>16</v>
      </c>
      <c r="T2345" t="s">
        <v>29</v>
      </c>
      <c r="U2345" t="s">
        <v>3183</v>
      </c>
      <c r="V2345">
        <v>50000</v>
      </c>
      <c r="W2345">
        <v>2</v>
      </c>
      <c r="X2345" t="s">
        <v>17</v>
      </c>
      <c r="Y2345" t="s">
        <v>53</v>
      </c>
      <c r="Z2345" t="s">
        <v>19</v>
      </c>
      <c r="AA2345" t="s">
        <v>3577</v>
      </c>
      <c r="AB2345" t="s">
        <v>3578</v>
      </c>
      <c r="AC2345" t="s">
        <v>3579</v>
      </c>
      <c r="AD2345" t="s">
        <v>3478</v>
      </c>
      <c r="AE2345" t="s">
        <v>3475</v>
      </c>
      <c r="AF2345" s="2">
        <v>2049.0981999999999</v>
      </c>
      <c r="AG2345" s="2">
        <v>1105.81</v>
      </c>
      <c r="AH2345" s="2">
        <v>943.28819999999996</v>
      </c>
      <c r="AI2345" s="3">
        <v>0.46034309141455498</v>
      </c>
    </row>
    <row r="2346" spans="1:35">
      <c r="A2346" s="1">
        <v>42290</v>
      </c>
      <c r="B2346" s="1">
        <v>37448</v>
      </c>
      <c r="C2346" t="s">
        <v>5563</v>
      </c>
      <c r="D2346">
        <v>360</v>
      </c>
      <c r="E2346">
        <v>26338</v>
      </c>
      <c r="F2346">
        <v>4</v>
      </c>
      <c r="G2346">
        <v>1</v>
      </c>
      <c r="H2346">
        <v>1</v>
      </c>
      <c r="I2346">
        <v>1</v>
      </c>
      <c r="J2346" t="s">
        <v>3543</v>
      </c>
      <c r="K2346" t="s">
        <v>3544</v>
      </c>
      <c r="L2346" s="2">
        <v>1105.81</v>
      </c>
      <c r="M2346" s="2">
        <v>2049.0981999999999</v>
      </c>
      <c r="N2346" t="s">
        <v>30</v>
      </c>
      <c r="O2346" t="s">
        <v>349</v>
      </c>
      <c r="P2346" t="s">
        <v>264</v>
      </c>
      <c r="Q2346" t="s">
        <v>8674</v>
      </c>
      <c r="R2346" s="1">
        <v>24206</v>
      </c>
      <c r="S2346" t="s">
        <v>16</v>
      </c>
      <c r="T2346" t="s">
        <v>29</v>
      </c>
      <c r="U2346" t="s">
        <v>3184</v>
      </c>
      <c r="V2346">
        <v>70000</v>
      </c>
      <c r="W2346">
        <v>4</v>
      </c>
      <c r="X2346" t="s">
        <v>135</v>
      </c>
      <c r="Y2346" t="s">
        <v>18</v>
      </c>
      <c r="Z2346" t="s">
        <v>19</v>
      </c>
      <c r="AA2346" t="s">
        <v>3580</v>
      </c>
      <c r="AB2346" t="s">
        <v>3578</v>
      </c>
      <c r="AC2346" t="s">
        <v>3579</v>
      </c>
      <c r="AD2346" t="s">
        <v>3478</v>
      </c>
      <c r="AE2346" t="s">
        <v>3475</v>
      </c>
      <c r="AF2346" s="2">
        <v>2049.0981999999999</v>
      </c>
      <c r="AG2346" s="2">
        <v>1105.81</v>
      </c>
      <c r="AH2346" s="2">
        <v>943.28819999999996</v>
      </c>
      <c r="AI2346" s="3">
        <v>0.46034309141455498</v>
      </c>
    </row>
    <row r="2347" spans="1:35">
      <c r="A2347" s="1">
        <v>42296</v>
      </c>
      <c r="B2347" s="1">
        <v>37446</v>
      </c>
      <c r="C2347" t="s">
        <v>5610</v>
      </c>
      <c r="D2347">
        <v>352</v>
      </c>
      <c r="E2347">
        <v>26339</v>
      </c>
      <c r="F2347">
        <v>1</v>
      </c>
      <c r="G2347">
        <v>1</v>
      </c>
      <c r="H2347">
        <v>1</v>
      </c>
      <c r="I2347">
        <v>1</v>
      </c>
      <c r="J2347" t="s">
        <v>3535</v>
      </c>
      <c r="K2347" t="s">
        <v>3536</v>
      </c>
      <c r="L2347" s="2">
        <v>1117.8559</v>
      </c>
      <c r="M2347" s="2">
        <v>2071.4196000000002</v>
      </c>
      <c r="N2347" t="s">
        <v>30</v>
      </c>
      <c r="O2347" t="s">
        <v>362</v>
      </c>
      <c r="P2347" t="s">
        <v>229</v>
      </c>
      <c r="Q2347" t="s">
        <v>8675</v>
      </c>
      <c r="R2347" s="1">
        <v>24389</v>
      </c>
      <c r="S2347" t="s">
        <v>22</v>
      </c>
      <c r="T2347" t="s">
        <v>29</v>
      </c>
      <c r="U2347" t="s">
        <v>3185</v>
      </c>
      <c r="V2347">
        <v>70000</v>
      </c>
      <c r="W2347">
        <v>4</v>
      </c>
      <c r="X2347" t="s">
        <v>135</v>
      </c>
      <c r="Y2347" t="s">
        <v>18</v>
      </c>
      <c r="Z2347" t="s">
        <v>19</v>
      </c>
      <c r="AA2347" t="s">
        <v>3577</v>
      </c>
      <c r="AB2347" t="s">
        <v>3578</v>
      </c>
      <c r="AC2347" t="s">
        <v>3579</v>
      </c>
      <c r="AD2347" t="s">
        <v>3478</v>
      </c>
      <c r="AE2347" t="s">
        <v>3475</v>
      </c>
      <c r="AF2347" s="2">
        <v>2071.4196000000002</v>
      </c>
      <c r="AG2347" s="2">
        <v>1117.8559</v>
      </c>
      <c r="AH2347" s="2">
        <v>953.56370000000004</v>
      </c>
      <c r="AI2347" s="3">
        <v>0.460343090313522</v>
      </c>
    </row>
    <row r="2348" spans="1:35">
      <c r="A2348" s="1">
        <v>42295</v>
      </c>
      <c r="B2348" s="1">
        <v>37474</v>
      </c>
      <c r="C2348" t="s">
        <v>5601</v>
      </c>
      <c r="D2348">
        <v>354</v>
      </c>
      <c r="E2348">
        <v>26342</v>
      </c>
      <c r="F2348">
        <v>4</v>
      </c>
      <c r="G2348">
        <v>1</v>
      </c>
      <c r="H2348">
        <v>1</v>
      </c>
      <c r="I2348">
        <v>1</v>
      </c>
      <c r="J2348" t="s">
        <v>3537</v>
      </c>
      <c r="K2348" t="s">
        <v>3538</v>
      </c>
      <c r="L2348" s="2">
        <v>1117.8559</v>
      </c>
      <c r="M2348" s="2">
        <v>2071.4196000000002</v>
      </c>
      <c r="N2348" t="s">
        <v>13</v>
      </c>
      <c r="O2348" t="s">
        <v>260</v>
      </c>
      <c r="P2348" t="s">
        <v>246</v>
      </c>
      <c r="Q2348" t="s">
        <v>8676</v>
      </c>
      <c r="R2348" s="1">
        <v>25431</v>
      </c>
      <c r="S2348" t="s">
        <v>22</v>
      </c>
      <c r="T2348" t="s">
        <v>16</v>
      </c>
      <c r="U2348" t="s">
        <v>3186</v>
      </c>
      <c r="V2348">
        <v>80000</v>
      </c>
      <c r="W2348">
        <v>3</v>
      </c>
      <c r="X2348" t="s">
        <v>135</v>
      </c>
      <c r="Y2348" t="s">
        <v>18</v>
      </c>
      <c r="Z2348" t="s">
        <v>23</v>
      </c>
      <c r="AA2348" t="s">
        <v>3580</v>
      </c>
      <c r="AB2348" t="s">
        <v>3578</v>
      </c>
      <c r="AC2348" t="s">
        <v>3579</v>
      </c>
      <c r="AD2348" t="s">
        <v>3478</v>
      </c>
      <c r="AE2348" t="s">
        <v>3475</v>
      </c>
      <c r="AF2348" s="2">
        <v>2071.4196000000002</v>
      </c>
      <c r="AG2348" s="2">
        <v>1117.8559</v>
      </c>
      <c r="AH2348" s="2">
        <v>953.56370000000004</v>
      </c>
      <c r="AI2348" s="3">
        <v>0.460343090313522</v>
      </c>
    </row>
    <row r="2349" spans="1:35">
      <c r="A2349" s="1">
        <v>42283</v>
      </c>
      <c r="B2349" s="1">
        <v>37506</v>
      </c>
      <c r="C2349" t="s">
        <v>5519</v>
      </c>
      <c r="D2349">
        <v>360</v>
      </c>
      <c r="E2349">
        <v>26343</v>
      </c>
      <c r="F2349">
        <v>1</v>
      </c>
      <c r="G2349">
        <v>1</v>
      </c>
      <c r="H2349">
        <v>1</v>
      </c>
      <c r="I2349">
        <v>1</v>
      </c>
      <c r="J2349" t="s">
        <v>3543</v>
      </c>
      <c r="K2349" t="s">
        <v>3544</v>
      </c>
      <c r="L2349" s="2">
        <v>1105.81</v>
      </c>
      <c r="M2349" s="2">
        <v>2049.0981999999999</v>
      </c>
      <c r="N2349" t="s">
        <v>26</v>
      </c>
      <c r="O2349" t="s">
        <v>677</v>
      </c>
      <c r="P2349" t="s">
        <v>594</v>
      </c>
      <c r="Q2349" t="s">
        <v>8677</v>
      </c>
      <c r="R2349" s="1">
        <v>24000</v>
      </c>
      <c r="S2349" t="s">
        <v>22</v>
      </c>
      <c r="T2349" t="s">
        <v>29</v>
      </c>
      <c r="U2349" t="s">
        <v>3187</v>
      </c>
      <c r="V2349">
        <v>40000</v>
      </c>
      <c r="W2349">
        <v>0</v>
      </c>
      <c r="X2349" t="s">
        <v>17</v>
      </c>
      <c r="Y2349" t="s">
        <v>18</v>
      </c>
      <c r="Z2349" t="s">
        <v>23</v>
      </c>
      <c r="AA2349" t="s">
        <v>3577</v>
      </c>
      <c r="AB2349" t="s">
        <v>3578</v>
      </c>
      <c r="AC2349" t="s">
        <v>3579</v>
      </c>
      <c r="AD2349" t="s">
        <v>3478</v>
      </c>
      <c r="AE2349" t="s">
        <v>3475</v>
      </c>
      <c r="AF2349" s="2">
        <v>2049.0981999999999</v>
      </c>
      <c r="AG2349" s="2">
        <v>1105.81</v>
      </c>
      <c r="AH2349" s="2">
        <v>943.28819999999996</v>
      </c>
      <c r="AI2349" s="3">
        <v>0.46034309141455498</v>
      </c>
    </row>
    <row r="2350" spans="1:35">
      <c r="A2350" s="1">
        <v>42299</v>
      </c>
      <c r="B2350" s="1">
        <v>37444</v>
      </c>
      <c r="C2350" t="s">
        <v>5641</v>
      </c>
      <c r="D2350">
        <v>358</v>
      </c>
      <c r="E2350">
        <v>26344</v>
      </c>
      <c r="F2350">
        <v>4</v>
      </c>
      <c r="G2350">
        <v>1</v>
      </c>
      <c r="H2350">
        <v>1</v>
      </c>
      <c r="I2350">
        <v>1</v>
      </c>
      <c r="J2350" t="s">
        <v>3541</v>
      </c>
      <c r="K2350" t="s">
        <v>3542</v>
      </c>
      <c r="L2350" s="2">
        <v>1105.81</v>
      </c>
      <c r="M2350" s="2">
        <v>2049.0981999999999</v>
      </c>
      <c r="N2350" t="s">
        <v>30</v>
      </c>
      <c r="O2350" t="s">
        <v>331</v>
      </c>
      <c r="P2350" t="s">
        <v>280</v>
      </c>
      <c r="Q2350" t="s">
        <v>8678</v>
      </c>
      <c r="R2350" s="1">
        <v>23919</v>
      </c>
      <c r="S2350" t="s">
        <v>22</v>
      </c>
      <c r="T2350" t="s">
        <v>29</v>
      </c>
      <c r="U2350" t="s">
        <v>3188</v>
      </c>
      <c r="V2350">
        <v>50000</v>
      </c>
      <c r="W2350">
        <v>3</v>
      </c>
      <c r="X2350" t="s">
        <v>17</v>
      </c>
      <c r="Y2350" t="s">
        <v>53</v>
      </c>
      <c r="Z2350" t="s">
        <v>19</v>
      </c>
      <c r="AA2350" t="s">
        <v>3580</v>
      </c>
      <c r="AB2350" t="s">
        <v>3578</v>
      </c>
      <c r="AC2350" t="s">
        <v>3579</v>
      </c>
      <c r="AD2350" t="s">
        <v>3478</v>
      </c>
      <c r="AE2350" t="s">
        <v>3475</v>
      </c>
      <c r="AF2350" s="2">
        <v>2049.0981999999999</v>
      </c>
      <c r="AG2350" s="2">
        <v>1105.81</v>
      </c>
      <c r="AH2350" s="2">
        <v>943.28819999999996</v>
      </c>
      <c r="AI2350" s="3">
        <v>0.46034309141455498</v>
      </c>
    </row>
    <row r="2351" spans="1:35">
      <c r="A2351" s="1">
        <v>42302</v>
      </c>
      <c r="B2351" s="1">
        <v>37489</v>
      </c>
      <c r="C2351" t="s">
        <v>5661</v>
      </c>
      <c r="D2351">
        <v>360</v>
      </c>
      <c r="E2351">
        <v>26351</v>
      </c>
      <c r="F2351">
        <v>4</v>
      </c>
      <c r="G2351">
        <v>1</v>
      </c>
      <c r="H2351">
        <v>1</v>
      </c>
      <c r="I2351">
        <v>1</v>
      </c>
      <c r="J2351" t="s">
        <v>3543</v>
      </c>
      <c r="K2351" t="s">
        <v>3544</v>
      </c>
      <c r="L2351" s="2">
        <v>1105.81</v>
      </c>
      <c r="M2351" s="2">
        <v>2049.0981999999999</v>
      </c>
      <c r="N2351" t="s">
        <v>26</v>
      </c>
      <c r="O2351" t="s">
        <v>721</v>
      </c>
      <c r="P2351" t="s">
        <v>674</v>
      </c>
      <c r="Q2351" t="s">
        <v>8679</v>
      </c>
      <c r="R2351" s="1">
        <v>23766</v>
      </c>
      <c r="S2351" t="s">
        <v>22</v>
      </c>
      <c r="T2351" t="s">
        <v>29</v>
      </c>
      <c r="U2351" t="s">
        <v>3189</v>
      </c>
      <c r="V2351">
        <v>60000</v>
      </c>
      <c r="W2351">
        <v>0</v>
      </c>
      <c r="X2351" t="s">
        <v>135</v>
      </c>
      <c r="Y2351" t="s">
        <v>18</v>
      </c>
      <c r="Z2351" t="s">
        <v>23</v>
      </c>
      <c r="AA2351" t="s">
        <v>3580</v>
      </c>
      <c r="AB2351" t="s">
        <v>3578</v>
      </c>
      <c r="AC2351" t="s">
        <v>3579</v>
      </c>
      <c r="AD2351" t="s">
        <v>3478</v>
      </c>
      <c r="AE2351" t="s">
        <v>3475</v>
      </c>
      <c r="AF2351" s="2">
        <v>2049.0981999999999</v>
      </c>
      <c r="AG2351" s="2">
        <v>1105.81</v>
      </c>
      <c r="AH2351" s="2">
        <v>943.28819999999996</v>
      </c>
      <c r="AI2351" s="3">
        <v>0.46034309141455498</v>
      </c>
    </row>
    <row r="2352" spans="1:35">
      <c r="A2352" s="1">
        <v>42299</v>
      </c>
      <c r="B2352" s="1">
        <v>37435</v>
      </c>
      <c r="C2352" t="s">
        <v>5639</v>
      </c>
      <c r="D2352">
        <v>389</v>
      </c>
      <c r="E2352">
        <v>26373</v>
      </c>
      <c r="F2352">
        <v>6</v>
      </c>
      <c r="G2352">
        <v>1</v>
      </c>
      <c r="H2352">
        <v>1</v>
      </c>
      <c r="I2352">
        <v>2</v>
      </c>
      <c r="J2352" t="s">
        <v>3571</v>
      </c>
      <c r="K2352" t="s">
        <v>3572</v>
      </c>
      <c r="L2352" s="2">
        <v>605.64919999999995</v>
      </c>
      <c r="M2352" s="2">
        <v>1000.4375</v>
      </c>
      <c r="N2352" t="s">
        <v>26</v>
      </c>
      <c r="O2352" t="s">
        <v>677</v>
      </c>
      <c r="P2352" t="s">
        <v>144</v>
      </c>
      <c r="Q2352" t="s">
        <v>8680</v>
      </c>
      <c r="R2352" s="1">
        <v>26462</v>
      </c>
      <c r="S2352" t="s">
        <v>16</v>
      </c>
      <c r="T2352" t="s">
        <v>29</v>
      </c>
      <c r="U2352" t="s">
        <v>3190</v>
      </c>
      <c r="V2352">
        <v>70000</v>
      </c>
      <c r="W2352">
        <v>0</v>
      </c>
      <c r="X2352" t="s">
        <v>52</v>
      </c>
      <c r="Y2352" t="s">
        <v>53</v>
      </c>
      <c r="Z2352" t="s">
        <v>19</v>
      </c>
      <c r="AA2352" t="s">
        <v>3582</v>
      </c>
      <c r="AB2352" t="s">
        <v>3582</v>
      </c>
      <c r="AC2352" t="s">
        <v>3579</v>
      </c>
      <c r="AD2352" t="s">
        <v>3479</v>
      </c>
      <c r="AE2352" t="s">
        <v>3475</v>
      </c>
      <c r="AF2352" s="2">
        <v>1000.4375</v>
      </c>
      <c r="AG2352" s="2">
        <v>605.64919999999995</v>
      </c>
      <c r="AH2352" s="2">
        <v>394.78829999999999</v>
      </c>
      <c r="AI2352" s="3">
        <v>0.39461565565065299</v>
      </c>
    </row>
    <row r="2353" spans="1:35">
      <c r="A2353" s="1">
        <v>42283</v>
      </c>
      <c r="B2353" s="1">
        <v>37471</v>
      </c>
      <c r="C2353" t="s">
        <v>5522</v>
      </c>
      <c r="D2353">
        <v>342</v>
      </c>
      <c r="E2353">
        <v>26375</v>
      </c>
      <c r="F2353">
        <v>9</v>
      </c>
      <c r="G2353">
        <v>1</v>
      </c>
      <c r="H2353">
        <v>1</v>
      </c>
      <c r="I2353">
        <v>2</v>
      </c>
      <c r="J2353" t="s">
        <v>3517</v>
      </c>
      <c r="K2353" t="s">
        <v>3518</v>
      </c>
      <c r="L2353" s="2">
        <v>413.1463</v>
      </c>
      <c r="M2353" s="2">
        <v>699.09820000000002</v>
      </c>
      <c r="N2353" t="s">
        <v>13</v>
      </c>
      <c r="O2353" t="s">
        <v>37</v>
      </c>
      <c r="P2353" t="s">
        <v>460</v>
      </c>
      <c r="Q2353" t="s">
        <v>8681</v>
      </c>
      <c r="R2353" s="1">
        <v>26099</v>
      </c>
      <c r="S2353" t="s">
        <v>22</v>
      </c>
      <c r="T2353" t="s">
        <v>16</v>
      </c>
      <c r="U2353" t="s">
        <v>3191</v>
      </c>
      <c r="V2353">
        <v>130000</v>
      </c>
      <c r="W2353">
        <v>0</v>
      </c>
      <c r="X2353" t="s">
        <v>77</v>
      </c>
      <c r="Y2353" t="s">
        <v>45</v>
      </c>
      <c r="Z2353" t="s">
        <v>19</v>
      </c>
      <c r="AA2353" t="s">
        <v>3586</v>
      </c>
      <c r="AB2353" t="s">
        <v>3586</v>
      </c>
      <c r="AC2353" t="s">
        <v>3587</v>
      </c>
      <c r="AD2353" t="s">
        <v>3479</v>
      </c>
      <c r="AE2353" t="s">
        <v>3475</v>
      </c>
      <c r="AF2353" s="2">
        <v>699.09820000000002</v>
      </c>
      <c r="AG2353" s="2">
        <v>413.1463</v>
      </c>
      <c r="AH2353" s="2">
        <v>285.95190000000002</v>
      </c>
      <c r="AI2353" s="3">
        <v>0.409029661355157</v>
      </c>
    </row>
    <row r="2354" spans="1:35">
      <c r="A2354" s="1">
        <v>42326</v>
      </c>
      <c r="B2354" s="1">
        <v>37494</v>
      </c>
      <c r="C2354" t="s">
        <v>5808</v>
      </c>
      <c r="D2354">
        <v>322</v>
      </c>
      <c r="E2354">
        <v>26422</v>
      </c>
      <c r="F2354">
        <v>9</v>
      </c>
      <c r="G2354">
        <v>1</v>
      </c>
      <c r="H2354">
        <v>1</v>
      </c>
      <c r="I2354">
        <v>2</v>
      </c>
      <c r="J2354" t="s">
        <v>3497</v>
      </c>
      <c r="K2354" t="s">
        <v>3498</v>
      </c>
      <c r="L2354" s="2">
        <v>413.1463</v>
      </c>
      <c r="M2354" s="2">
        <v>699.09820000000002</v>
      </c>
      <c r="N2354" t="s">
        <v>13</v>
      </c>
      <c r="O2354" t="s">
        <v>584</v>
      </c>
      <c r="P2354" t="s">
        <v>907</v>
      </c>
      <c r="Q2354" t="s">
        <v>8682</v>
      </c>
      <c r="R2354" s="1">
        <v>27640</v>
      </c>
      <c r="S2354" t="s">
        <v>22</v>
      </c>
      <c r="T2354" t="s">
        <v>16</v>
      </c>
      <c r="U2354" t="s">
        <v>3192</v>
      </c>
      <c r="V2354">
        <v>70000</v>
      </c>
      <c r="W2354">
        <v>0</v>
      </c>
      <c r="X2354" t="s">
        <v>17</v>
      </c>
      <c r="Y2354" t="s">
        <v>18</v>
      </c>
      <c r="Z2354" t="s">
        <v>19</v>
      </c>
      <c r="AA2354" t="s">
        <v>3586</v>
      </c>
      <c r="AB2354" t="s">
        <v>3586</v>
      </c>
      <c r="AC2354" t="s">
        <v>3587</v>
      </c>
      <c r="AD2354" t="s">
        <v>3479</v>
      </c>
      <c r="AE2354" t="s">
        <v>3475</v>
      </c>
      <c r="AF2354" s="2">
        <v>699.09820000000002</v>
      </c>
      <c r="AG2354" s="2">
        <v>413.1463</v>
      </c>
      <c r="AH2354" s="2">
        <v>285.95190000000002</v>
      </c>
      <c r="AI2354" s="3">
        <v>0.409029661355157</v>
      </c>
    </row>
    <row r="2355" spans="1:35">
      <c r="A2355" s="1">
        <v>42332</v>
      </c>
      <c r="B2355" s="1">
        <v>37547</v>
      </c>
      <c r="C2355" t="s">
        <v>5842</v>
      </c>
      <c r="D2355">
        <v>338</v>
      </c>
      <c r="E2355">
        <v>26423</v>
      </c>
      <c r="F2355">
        <v>9</v>
      </c>
      <c r="G2355">
        <v>1</v>
      </c>
      <c r="H2355">
        <v>1</v>
      </c>
      <c r="I2355">
        <v>2</v>
      </c>
      <c r="J2355" t="s">
        <v>3513</v>
      </c>
      <c r="K2355" t="s">
        <v>3514</v>
      </c>
      <c r="L2355" s="2">
        <v>413.1463</v>
      </c>
      <c r="M2355" s="2">
        <v>699.09820000000002</v>
      </c>
      <c r="N2355" t="s">
        <v>13</v>
      </c>
      <c r="O2355" t="s">
        <v>984</v>
      </c>
      <c r="P2355" t="s">
        <v>217</v>
      </c>
      <c r="Q2355" t="s">
        <v>8683</v>
      </c>
      <c r="R2355" s="1">
        <v>27703</v>
      </c>
      <c r="S2355" t="s">
        <v>22</v>
      </c>
      <c r="T2355" t="s">
        <v>16</v>
      </c>
      <c r="U2355" t="s">
        <v>3193</v>
      </c>
      <c r="V2355">
        <v>70000</v>
      </c>
      <c r="W2355">
        <v>0</v>
      </c>
      <c r="X2355" t="s">
        <v>17</v>
      </c>
      <c r="Y2355" t="s">
        <v>18</v>
      </c>
      <c r="Z2355" t="s">
        <v>19</v>
      </c>
      <c r="AA2355" t="s">
        <v>3586</v>
      </c>
      <c r="AB2355" t="s">
        <v>3586</v>
      </c>
      <c r="AC2355" t="s">
        <v>3587</v>
      </c>
      <c r="AD2355" t="s">
        <v>3479</v>
      </c>
      <c r="AE2355" t="s">
        <v>3475</v>
      </c>
      <c r="AF2355" s="2">
        <v>699.09820000000002</v>
      </c>
      <c r="AG2355" s="2">
        <v>413.1463</v>
      </c>
      <c r="AH2355" s="2">
        <v>285.95190000000002</v>
      </c>
      <c r="AI2355" s="3">
        <v>0.409029661355157</v>
      </c>
    </row>
    <row r="2356" spans="1:35">
      <c r="A2356" s="1">
        <v>42337</v>
      </c>
      <c r="B2356" s="1">
        <v>37555</v>
      </c>
      <c r="C2356" t="s">
        <v>5888</v>
      </c>
      <c r="D2356">
        <v>324</v>
      </c>
      <c r="E2356">
        <v>26429</v>
      </c>
      <c r="F2356">
        <v>9</v>
      </c>
      <c r="G2356">
        <v>1</v>
      </c>
      <c r="H2356">
        <v>1</v>
      </c>
      <c r="I2356">
        <v>2</v>
      </c>
      <c r="J2356" t="s">
        <v>3499</v>
      </c>
      <c r="K2356" t="s">
        <v>3500</v>
      </c>
      <c r="L2356" s="2">
        <v>413.1463</v>
      </c>
      <c r="M2356" s="2">
        <v>699.09820000000002</v>
      </c>
      <c r="N2356" t="s">
        <v>13</v>
      </c>
      <c r="O2356" t="s">
        <v>622</v>
      </c>
      <c r="P2356" t="s">
        <v>460</v>
      </c>
      <c r="Q2356" t="s">
        <v>8684</v>
      </c>
      <c r="R2356" s="1">
        <v>28059</v>
      </c>
      <c r="S2356" t="s">
        <v>22</v>
      </c>
      <c r="T2356" t="s">
        <v>16</v>
      </c>
      <c r="U2356" t="s">
        <v>3194</v>
      </c>
      <c r="V2356">
        <v>80000</v>
      </c>
      <c r="W2356">
        <v>0</v>
      </c>
      <c r="X2356" t="s">
        <v>17</v>
      </c>
      <c r="Y2356" t="s">
        <v>18</v>
      </c>
      <c r="Z2356" t="s">
        <v>23</v>
      </c>
      <c r="AA2356" t="s">
        <v>3586</v>
      </c>
      <c r="AB2356" t="s">
        <v>3586</v>
      </c>
      <c r="AC2356" t="s">
        <v>3587</v>
      </c>
      <c r="AD2356" t="s">
        <v>3479</v>
      </c>
      <c r="AE2356" t="s">
        <v>3475</v>
      </c>
      <c r="AF2356" s="2">
        <v>699.09820000000002</v>
      </c>
      <c r="AG2356" s="2">
        <v>413.1463</v>
      </c>
      <c r="AH2356" s="2">
        <v>285.95190000000002</v>
      </c>
      <c r="AI2356" s="3">
        <v>0.409029661355157</v>
      </c>
    </row>
    <row r="2357" spans="1:35">
      <c r="A2357" s="1">
        <v>42319</v>
      </c>
      <c r="B2357" s="1">
        <v>37529</v>
      </c>
      <c r="C2357" t="s">
        <v>5769</v>
      </c>
      <c r="D2357">
        <v>328</v>
      </c>
      <c r="E2357">
        <v>26433</v>
      </c>
      <c r="F2357">
        <v>9</v>
      </c>
      <c r="G2357">
        <v>1</v>
      </c>
      <c r="H2357">
        <v>1</v>
      </c>
      <c r="I2357">
        <v>2</v>
      </c>
      <c r="J2357" t="s">
        <v>3503</v>
      </c>
      <c r="K2357" t="s">
        <v>3504</v>
      </c>
      <c r="L2357" s="2">
        <v>413.1463</v>
      </c>
      <c r="M2357" s="2">
        <v>699.09820000000002</v>
      </c>
      <c r="N2357" t="s">
        <v>13</v>
      </c>
      <c r="O2357" t="s">
        <v>203</v>
      </c>
      <c r="P2357" t="s">
        <v>198</v>
      </c>
      <c r="Q2357" t="s">
        <v>8685</v>
      </c>
      <c r="R2357" s="1">
        <v>27602</v>
      </c>
      <c r="S2357" t="s">
        <v>16</v>
      </c>
      <c r="T2357" t="s">
        <v>16</v>
      </c>
      <c r="U2357" t="s">
        <v>3195</v>
      </c>
      <c r="V2357">
        <v>90000</v>
      </c>
      <c r="W2357">
        <v>0</v>
      </c>
      <c r="X2357" t="s">
        <v>17</v>
      </c>
      <c r="Y2357" t="s">
        <v>18</v>
      </c>
      <c r="Z2357" t="s">
        <v>19</v>
      </c>
      <c r="AA2357" t="s">
        <v>3586</v>
      </c>
      <c r="AB2357" t="s">
        <v>3586</v>
      </c>
      <c r="AC2357" t="s">
        <v>3587</v>
      </c>
      <c r="AD2357" t="s">
        <v>3479</v>
      </c>
      <c r="AE2357" t="s">
        <v>3475</v>
      </c>
      <c r="AF2357" s="2">
        <v>699.09820000000002</v>
      </c>
      <c r="AG2357" s="2">
        <v>413.1463</v>
      </c>
      <c r="AH2357" s="2">
        <v>285.95190000000002</v>
      </c>
      <c r="AI2357" s="3">
        <v>0.409029661355157</v>
      </c>
    </row>
    <row r="2358" spans="1:35">
      <c r="A2358" s="1">
        <v>42335</v>
      </c>
      <c r="B2358" s="1">
        <v>37486</v>
      </c>
      <c r="C2358" t="s">
        <v>5875</v>
      </c>
      <c r="D2358">
        <v>328</v>
      </c>
      <c r="E2358">
        <v>26435</v>
      </c>
      <c r="F2358">
        <v>9</v>
      </c>
      <c r="G2358">
        <v>1</v>
      </c>
      <c r="H2358">
        <v>1</v>
      </c>
      <c r="I2358">
        <v>2</v>
      </c>
      <c r="J2358" t="s">
        <v>3503</v>
      </c>
      <c r="K2358" t="s">
        <v>3504</v>
      </c>
      <c r="L2358" s="2">
        <v>413.1463</v>
      </c>
      <c r="M2358" s="2">
        <v>699.09820000000002</v>
      </c>
      <c r="N2358" t="s">
        <v>26</v>
      </c>
      <c r="O2358" t="s">
        <v>1250</v>
      </c>
      <c r="P2358" t="s">
        <v>266</v>
      </c>
      <c r="Q2358" t="s">
        <v>8686</v>
      </c>
      <c r="R2358" s="1">
        <v>26943</v>
      </c>
      <c r="S2358" t="s">
        <v>16</v>
      </c>
      <c r="T2358" t="s">
        <v>29</v>
      </c>
      <c r="U2358" t="s">
        <v>3196</v>
      </c>
      <c r="V2358">
        <v>90000</v>
      </c>
      <c r="W2358">
        <v>0</v>
      </c>
      <c r="X2358" t="s">
        <v>17</v>
      </c>
      <c r="Y2358" t="s">
        <v>18</v>
      </c>
      <c r="Z2358" t="s">
        <v>23</v>
      </c>
      <c r="AA2358" t="s">
        <v>3586</v>
      </c>
      <c r="AB2358" t="s">
        <v>3586</v>
      </c>
      <c r="AC2358" t="s">
        <v>3587</v>
      </c>
      <c r="AD2358" t="s">
        <v>3479</v>
      </c>
      <c r="AE2358" t="s">
        <v>3475</v>
      </c>
      <c r="AF2358" s="2">
        <v>699.09820000000002</v>
      </c>
      <c r="AG2358" s="2">
        <v>413.1463</v>
      </c>
      <c r="AH2358" s="2">
        <v>285.95190000000002</v>
      </c>
      <c r="AI2358" s="3">
        <v>0.409029661355157</v>
      </c>
    </row>
    <row r="2359" spans="1:35">
      <c r="A2359" s="1">
        <v>42314</v>
      </c>
      <c r="B2359" s="1">
        <v>37532</v>
      </c>
      <c r="C2359" t="s">
        <v>5730</v>
      </c>
      <c r="D2359">
        <v>326</v>
      </c>
      <c r="E2359">
        <v>26436</v>
      </c>
      <c r="F2359">
        <v>9</v>
      </c>
      <c r="G2359">
        <v>1</v>
      </c>
      <c r="H2359">
        <v>1</v>
      </c>
      <c r="I2359">
        <v>2</v>
      </c>
      <c r="J2359" t="s">
        <v>3501</v>
      </c>
      <c r="K2359" t="s">
        <v>3502</v>
      </c>
      <c r="L2359" s="2">
        <v>413.1463</v>
      </c>
      <c r="M2359" s="2">
        <v>699.09820000000002</v>
      </c>
      <c r="N2359" t="s">
        <v>26</v>
      </c>
      <c r="O2359" t="s">
        <v>633</v>
      </c>
      <c r="P2359" t="s">
        <v>38</v>
      </c>
      <c r="Q2359" t="s">
        <v>8687</v>
      </c>
      <c r="R2359" s="1">
        <v>27024</v>
      </c>
      <c r="S2359" t="s">
        <v>22</v>
      </c>
      <c r="T2359" t="s">
        <v>29</v>
      </c>
      <c r="U2359" t="s">
        <v>3197</v>
      </c>
      <c r="V2359">
        <v>110000</v>
      </c>
      <c r="W2359">
        <v>0</v>
      </c>
      <c r="X2359" t="s">
        <v>52</v>
      </c>
      <c r="Y2359" t="s">
        <v>45</v>
      </c>
      <c r="Z2359" t="s">
        <v>19</v>
      </c>
      <c r="AA2359" t="s">
        <v>3586</v>
      </c>
      <c r="AB2359" t="s">
        <v>3586</v>
      </c>
      <c r="AC2359" t="s">
        <v>3587</v>
      </c>
      <c r="AD2359" t="s">
        <v>3479</v>
      </c>
      <c r="AE2359" t="s">
        <v>3475</v>
      </c>
      <c r="AF2359" s="2">
        <v>699.09820000000002</v>
      </c>
      <c r="AG2359" s="2">
        <v>413.1463</v>
      </c>
      <c r="AH2359" s="2">
        <v>285.95190000000002</v>
      </c>
      <c r="AI2359" s="3">
        <v>0.409029661355157</v>
      </c>
    </row>
    <row r="2360" spans="1:35">
      <c r="A2360" s="1">
        <v>42335</v>
      </c>
      <c r="B2360" s="1">
        <v>37548</v>
      </c>
      <c r="C2360" t="s">
        <v>5874</v>
      </c>
      <c r="D2360">
        <v>328</v>
      </c>
      <c r="E2360">
        <v>26437</v>
      </c>
      <c r="F2360">
        <v>9</v>
      </c>
      <c r="G2360">
        <v>1</v>
      </c>
      <c r="H2360">
        <v>1</v>
      </c>
      <c r="I2360">
        <v>2</v>
      </c>
      <c r="J2360" t="s">
        <v>3503</v>
      </c>
      <c r="K2360" t="s">
        <v>3504</v>
      </c>
      <c r="L2360" s="2">
        <v>413.1463</v>
      </c>
      <c r="M2360" s="2">
        <v>699.09820000000002</v>
      </c>
      <c r="N2360" t="s">
        <v>26</v>
      </c>
      <c r="O2360" t="s">
        <v>150</v>
      </c>
      <c r="P2360" t="s">
        <v>28</v>
      </c>
      <c r="Q2360" t="s">
        <v>8688</v>
      </c>
      <c r="R2360" s="1">
        <v>26834</v>
      </c>
      <c r="S2360" t="s">
        <v>22</v>
      </c>
      <c r="T2360" t="s">
        <v>29</v>
      </c>
      <c r="U2360" t="s">
        <v>3198</v>
      </c>
      <c r="V2360">
        <v>110000</v>
      </c>
      <c r="W2360">
        <v>0</v>
      </c>
      <c r="X2360" t="s">
        <v>52</v>
      </c>
      <c r="Y2360" t="s">
        <v>45</v>
      </c>
      <c r="Z2360" t="s">
        <v>19</v>
      </c>
      <c r="AA2360" t="s">
        <v>3586</v>
      </c>
      <c r="AB2360" t="s">
        <v>3586</v>
      </c>
      <c r="AC2360" t="s">
        <v>3587</v>
      </c>
      <c r="AD2360" t="s">
        <v>3479</v>
      </c>
      <c r="AE2360" t="s">
        <v>3475</v>
      </c>
      <c r="AF2360" s="2">
        <v>699.09820000000002</v>
      </c>
      <c r="AG2360" s="2">
        <v>413.1463</v>
      </c>
      <c r="AH2360" s="2">
        <v>285.95190000000002</v>
      </c>
      <c r="AI2360" s="3">
        <v>0.409029661355157</v>
      </c>
    </row>
    <row r="2361" spans="1:35">
      <c r="A2361" s="1">
        <v>42320</v>
      </c>
      <c r="B2361" s="1">
        <v>37464</v>
      </c>
      <c r="C2361" t="s">
        <v>5773</v>
      </c>
      <c r="D2361">
        <v>328</v>
      </c>
      <c r="E2361">
        <v>26438</v>
      </c>
      <c r="F2361">
        <v>9</v>
      </c>
      <c r="G2361">
        <v>1</v>
      </c>
      <c r="H2361">
        <v>1</v>
      </c>
      <c r="I2361">
        <v>2</v>
      </c>
      <c r="J2361" t="s">
        <v>3503</v>
      </c>
      <c r="K2361" t="s">
        <v>3504</v>
      </c>
      <c r="L2361" s="2">
        <v>413.1463</v>
      </c>
      <c r="M2361" s="2">
        <v>699.09820000000002</v>
      </c>
      <c r="N2361" t="s">
        <v>30</v>
      </c>
      <c r="O2361" t="s">
        <v>550</v>
      </c>
      <c r="P2361" t="s">
        <v>271</v>
      </c>
      <c r="Q2361" t="s">
        <v>8689</v>
      </c>
      <c r="R2361" s="1">
        <v>26775</v>
      </c>
      <c r="S2361" t="s">
        <v>16</v>
      </c>
      <c r="T2361" t="s">
        <v>29</v>
      </c>
      <c r="U2361" t="s">
        <v>3199</v>
      </c>
      <c r="V2361">
        <v>130000</v>
      </c>
      <c r="W2361">
        <v>4</v>
      </c>
      <c r="X2361" t="s">
        <v>57</v>
      </c>
      <c r="Y2361" t="s">
        <v>45</v>
      </c>
      <c r="Z2361" t="s">
        <v>19</v>
      </c>
      <c r="AA2361" t="s">
        <v>3586</v>
      </c>
      <c r="AB2361" t="s">
        <v>3586</v>
      </c>
      <c r="AC2361" t="s">
        <v>3587</v>
      </c>
      <c r="AD2361" t="s">
        <v>3479</v>
      </c>
      <c r="AE2361" t="s">
        <v>3475</v>
      </c>
      <c r="AF2361" s="2">
        <v>699.09820000000002</v>
      </c>
      <c r="AG2361" s="2">
        <v>413.1463</v>
      </c>
      <c r="AH2361" s="2">
        <v>285.95190000000002</v>
      </c>
      <c r="AI2361" s="3">
        <v>0.409029661355157</v>
      </c>
    </row>
    <row r="2362" spans="1:35">
      <c r="A2362" s="1">
        <v>42313</v>
      </c>
      <c r="B2362" s="1">
        <v>37542</v>
      </c>
      <c r="C2362" t="s">
        <v>5726</v>
      </c>
      <c r="D2362">
        <v>320</v>
      </c>
      <c r="E2362">
        <v>26439</v>
      </c>
      <c r="F2362">
        <v>9</v>
      </c>
      <c r="G2362">
        <v>1</v>
      </c>
      <c r="H2362">
        <v>1</v>
      </c>
      <c r="I2362">
        <v>2</v>
      </c>
      <c r="J2362" t="s">
        <v>3495</v>
      </c>
      <c r="K2362" t="s">
        <v>3496</v>
      </c>
      <c r="L2362" s="2">
        <v>413.1463</v>
      </c>
      <c r="M2362" s="2">
        <v>699.09820000000002</v>
      </c>
      <c r="N2362" t="s">
        <v>13</v>
      </c>
      <c r="O2362" t="s">
        <v>743</v>
      </c>
      <c r="P2362" t="s">
        <v>311</v>
      </c>
      <c r="Q2362" t="s">
        <v>8690</v>
      </c>
      <c r="R2362" s="1">
        <v>26363</v>
      </c>
      <c r="S2362" t="s">
        <v>22</v>
      </c>
      <c r="T2362" t="s">
        <v>16</v>
      </c>
      <c r="U2362" t="s">
        <v>3200</v>
      </c>
      <c r="V2362">
        <v>100000</v>
      </c>
      <c r="W2362">
        <v>0</v>
      </c>
      <c r="X2362" t="s">
        <v>57</v>
      </c>
      <c r="Y2362" t="s">
        <v>45</v>
      </c>
      <c r="Z2362" t="s">
        <v>19</v>
      </c>
      <c r="AA2362" t="s">
        <v>3586</v>
      </c>
      <c r="AB2362" t="s">
        <v>3586</v>
      </c>
      <c r="AC2362" t="s">
        <v>3587</v>
      </c>
      <c r="AD2362" t="s">
        <v>3479</v>
      </c>
      <c r="AE2362" t="s">
        <v>3475</v>
      </c>
      <c r="AF2362" s="2">
        <v>699.09820000000002</v>
      </c>
      <c r="AG2362" s="2">
        <v>413.1463</v>
      </c>
      <c r="AH2362" s="2">
        <v>285.95190000000002</v>
      </c>
      <c r="AI2362" s="3">
        <v>0.409029661355157</v>
      </c>
    </row>
    <row r="2363" spans="1:35">
      <c r="A2363" s="1">
        <v>42326</v>
      </c>
      <c r="B2363" s="1">
        <v>37489</v>
      </c>
      <c r="C2363" t="s">
        <v>5804</v>
      </c>
      <c r="D2363">
        <v>326</v>
      </c>
      <c r="E2363">
        <v>26440</v>
      </c>
      <c r="F2363">
        <v>9</v>
      </c>
      <c r="G2363">
        <v>1</v>
      </c>
      <c r="H2363">
        <v>1</v>
      </c>
      <c r="I2363">
        <v>2</v>
      </c>
      <c r="J2363" t="s">
        <v>3501</v>
      </c>
      <c r="K2363" t="s">
        <v>3502</v>
      </c>
      <c r="L2363" s="2">
        <v>413.1463</v>
      </c>
      <c r="M2363" s="2">
        <v>699.09820000000002</v>
      </c>
      <c r="N2363" t="s">
        <v>13</v>
      </c>
      <c r="O2363" t="s">
        <v>285</v>
      </c>
      <c r="P2363" t="s">
        <v>598</v>
      </c>
      <c r="Q2363" t="s">
        <v>8691</v>
      </c>
      <c r="R2363" s="1">
        <v>26312</v>
      </c>
      <c r="S2363" t="s">
        <v>22</v>
      </c>
      <c r="T2363" t="s">
        <v>16</v>
      </c>
      <c r="U2363" t="s">
        <v>3201</v>
      </c>
      <c r="V2363">
        <v>100000</v>
      </c>
      <c r="W2363">
        <v>0</v>
      </c>
      <c r="X2363" t="s">
        <v>57</v>
      </c>
      <c r="Y2363" t="s">
        <v>45</v>
      </c>
      <c r="Z2363" t="s">
        <v>23</v>
      </c>
      <c r="AA2363" t="s">
        <v>3586</v>
      </c>
      <c r="AB2363" t="s">
        <v>3586</v>
      </c>
      <c r="AC2363" t="s">
        <v>3587</v>
      </c>
      <c r="AD2363" t="s">
        <v>3479</v>
      </c>
      <c r="AE2363" t="s">
        <v>3475</v>
      </c>
      <c r="AF2363" s="2">
        <v>699.09820000000002</v>
      </c>
      <c r="AG2363" s="2">
        <v>413.1463</v>
      </c>
      <c r="AH2363" s="2">
        <v>285.95190000000002</v>
      </c>
      <c r="AI2363" s="3">
        <v>0.409029661355157</v>
      </c>
    </row>
    <row r="2364" spans="1:35">
      <c r="A2364" s="1">
        <v>42313</v>
      </c>
      <c r="B2364" s="1">
        <v>37462</v>
      </c>
      <c r="C2364" t="s">
        <v>5724</v>
      </c>
      <c r="D2364">
        <v>320</v>
      </c>
      <c r="E2364">
        <v>26442</v>
      </c>
      <c r="F2364">
        <v>9</v>
      </c>
      <c r="G2364">
        <v>1</v>
      </c>
      <c r="H2364">
        <v>1</v>
      </c>
      <c r="I2364">
        <v>2</v>
      </c>
      <c r="J2364" t="s">
        <v>3495</v>
      </c>
      <c r="K2364" t="s">
        <v>3496</v>
      </c>
      <c r="L2364" s="2">
        <v>413.1463</v>
      </c>
      <c r="M2364" s="2">
        <v>699.09820000000002</v>
      </c>
      <c r="N2364" t="s">
        <v>26</v>
      </c>
      <c r="O2364" t="s">
        <v>755</v>
      </c>
      <c r="P2364" t="s">
        <v>21</v>
      </c>
      <c r="Q2364" t="s">
        <v>8692</v>
      </c>
      <c r="R2364" s="1">
        <v>26305</v>
      </c>
      <c r="S2364" t="s">
        <v>22</v>
      </c>
      <c r="T2364" t="s">
        <v>29</v>
      </c>
      <c r="U2364" t="s">
        <v>3202</v>
      </c>
      <c r="V2364">
        <v>120000</v>
      </c>
      <c r="W2364">
        <v>0</v>
      </c>
      <c r="X2364" t="s">
        <v>77</v>
      </c>
      <c r="Y2364" t="s">
        <v>18</v>
      </c>
      <c r="Z2364" t="s">
        <v>23</v>
      </c>
      <c r="AA2364" t="s">
        <v>3586</v>
      </c>
      <c r="AB2364" t="s">
        <v>3586</v>
      </c>
      <c r="AC2364" t="s">
        <v>3587</v>
      </c>
      <c r="AD2364" t="s">
        <v>3479</v>
      </c>
      <c r="AE2364" t="s">
        <v>3475</v>
      </c>
      <c r="AF2364" s="2">
        <v>699.09820000000002</v>
      </c>
      <c r="AG2364" s="2">
        <v>413.1463</v>
      </c>
      <c r="AH2364" s="2">
        <v>285.95190000000002</v>
      </c>
      <c r="AI2364" s="3">
        <v>0.409029661355157</v>
      </c>
    </row>
    <row r="2365" spans="1:35">
      <c r="A2365" s="1">
        <v>42325</v>
      </c>
      <c r="B2365" s="1">
        <v>37538</v>
      </c>
      <c r="C2365" t="s">
        <v>5800</v>
      </c>
      <c r="D2365">
        <v>322</v>
      </c>
      <c r="E2365">
        <v>26443</v>
      </c>
      <c r="F2365">
        <v>9</v>
      </c>
      <c r="G2365">
        <v>1</v>
      </c>
      <c r="H2365">
        <v>1</v>
      </c>
      <c r="I2365">
        <v>2</v>
      </c>
      <c r="J2365" t="s">
        <v>3497</v>
      </c>
      <c r="K2365" t="s">
        <v>3498</v>
      </c>
      <c r="L2365" s="2">
        <v>413.1463</v>
      </c>
      <c r="M2365" s="2">
        <v>699.09820000000002</v>
      </c>
      <c r="N2365" t="s">
        <v>26</v>
      </c>
      <c r="O2365" t="s">
        <v>881</v>
      </c>
      <c r="P2365" t="s">
        <v>450</v>
      </c>
      <c r="Q2365" t="s">
        <v>8693</v>
      </c>
      <c r="R2365" s="1">
        <v>26140</v>
      </c>
      <c r="S2365" t="s">
        <v>16</v>
      </c>
      <c r="T2365" t="s">
        <v>29</v>
      </c>
      <c r="U2365" t="s">
        <v>3203</v>
      </c>
      <c r="V2365">
        <v>100000</v>
      </c>
      <c r="W2365">
        <v>0</v>
      </c>
      <c r="X2365" t="s">
        <v>57</v>
      </c>
      <c r="Y2365" t="s">
        <v>45</v>
      </c>
      <c r="Z2365" t="s">
        <v>19</v>
      </c>
      <c r="AA2365" t="s">
        <v>3586</v>
      </c>
      <c r="AB2365" t="s">
        <v>3586</v>
      </c>
      <c r="AC2365" t="s">
        <v>3587</v>
      </c>
      <c r="AD2365" t="s">
        <v>3479</v>
      </c>
      <c r="AE2365" t="s">
        <v>3475</v>
      </c>
      <c r="AF2365" s="2">
        <v>699.09820000000002</v>
      </c>
      <c r="AG2365" s="2">
        <v>413.1463</v>
      </c>
      <c r="AH2365" s="2">
        <v>285.95190000000002</v>
      </c>
      <c r="AI2365" s="3">
        <v>0.409029661355157</v>
      </c>
    </row>
    <row r="2366" spans="1:35">
      <c r="A2366" s="1">
        <v>42331</v>
      </c>
      <c r="B2366" s="1">
        <v>37483</v>
      </c>
      <c r="C2366" t="s">
        <v>5838</v>
      </c>
      <c r="D2366">
        <v>326</v>
      </c>
      <c r="E2366">
        <v>26444</v>
      </c>
      <c r="F2366">
        <v>9</v>
      </c>
      <c r="G2366">
        <v>1</v>
      </c>
      <c r="H2366">
        <v>1</v>
      </c>
      <c r="I2366">
        <v>2</v>
      </c>
      <c r="J2366" t="s">
        <v>3501</v>
      </c>
      <c r="K2366" t="s">
        <v>3502</v>
      </c>
      <c r="L2366" s="2">
        <v>413.1463</v>
      </c>
      <c r="M2366" s="2">
        <v>699.09820000000002</v>
      </c>
      <c r="N2366" t="s">
        <v>26</v>
      </c>
      <c r="O2366" t="s">
        <v>517</v>
      </c>
      <c r="P2366" t="s">
        <v>125</v>
      </c>
      <c r="Q2366" t="s">
        <v>8694</v>
      </c>
      <c r="R2366" s="1">
        <v>25846</v>
      </c>
      <c r="S2366" t="s">
        <v>22</v>
      </c>
      <c r="T2366" t="s">
        <v>29</v>
      </c>
      <c r="U2366" t="s">
        <v>3204</v>
      </c>
      <c r="V2366">
        <v>100000</v>
      </c>
      <c r="W2366">
        <v>0</v>
      </c>
      <c r="X2366" t="s">
        <v>77</v>
      </c>
      <c r="Y2366" t="s">
        <v>18</v>
      </c>
      <c r="Z2366" t="s">
        <v>19</v>
      </c>
      <c r="AA2366" t="s">
        <v>3586</v>
      </c>
      <c r="AB2366" t="s">
        <v>3586</v>
      </c>
      <c r="AC2366" t="s">
        <v>3587</v>
      </c>
      <c r="AD2366" t="s">
        <v>3479</v>
      </c>
      <c r="AE2366" t="s">
        <v>3475</v>
      </c>
      <c r="AF2366" s="2">
        <v>699.09820000000002</v>
      </c>
      <c r="AG2366" s="2">
        <v>413.1463</v>
      </c>
      <c r="AH2366" s="2">
        <v>285.95190000000002</v>
      </c>
      <c r="AI2366" s="3">
        <v>0.409029661355157</v>
      </c>
    </row>
    <row r="2367" spans="1:35">
      <c r="A2367" s="1">
        <v>42328</v>
      </c>
      <c r="B2367" s="1">
        <v>37474</v>
      </c>
      <c r="C2367" t="s">
        <v>5814</v>
      </c>
      <c r="D2367">
        <v>334</v>
      </c>
      <c r="E2367">
        <v>26445</v>
      </c>
      <c r="F2367">
        <v>9</v>
      </c>
      <c r="G2367">
        <v>1</v>
      </c>
      <c r="H2367">
        <v>1</v>
      </c>
      <c r="I2367">
        <v>2</v>
      </c>
      <c r="J2367" t="s">
        <v>3509</v>
      </c>
      <c r="K2367" t="s">
        <v>3510</v>
      </c>
      <c r="L2367" s="2">
        <v>413.1463</v>
      </c>
      <c r="M2367" s="2">
        <v>699.09820000000002</v>
      </c>
      <c r="N2367" t="s">
        <v>13</v>
      </c>
      <c r="O2367" t="s">
        <v>618</v>
      </c>
      <c r="P2367" t="s">
        <v>321</v>
      </c>
      <c r="Q2367" t="s">
        <v>8695</v>
      </c>
      <c r="R2367" s="1">
        <v>25817</v>
      </c>
      <c r="S2367" t="s">
        <v>22</v>
      </c>
      <c r="T2367" t="s">
        <v>16</v>
      </c>
      <c r="U2367" t="s">
        <v>3205</v>
      </c>
      <c r="V2367">
        <v>110000</v>
      </c>
      <c r="W2367">
        <v>0</v>
      </c>
      <c r="X2367" t="s">
        <v>57</v>
      </c>
      <c r="Y2367" t="s">
        <v>45</v>
      </c>
      <c r="Z2367" t="s">
        <v>23</v>
      </c>
      <c r="AA2367" t="s">
        <v>3586</v>
      </c>
      <c r="AB2367" t="s">
        <v>3586</v>
      </c>
      <c r="AC2367" t="s">
        <v>3587</v>
      </c>
      <c r="AD2367" t="s">
        <v>3479</v>
      </c>
      <c r="AE2367" t="s">
        <v>3475</v>
      </c>
      <c r="AF2367" s="2">
        <v>699.09820000000002</v>
      </c>
      <c r="AG2367" s="2">
        <v>413.1463</v>
      </c>
      <c r="AH2367" s="2">
        <v>285.95190000000002</v>
      </c>
      <c r="AI2367" s="3">
        <v>0.409029661355157</v>
      </c>
    </row>
    <row r="2368" spans="1:35">
      <c r="A2368" s="1">
        <v>42345</v>
      </c>
      <c r="B2368" s="1">
        <v>37579</v>
      </c>
      <c r="C2368" t="s">
        <v>5967</v>
      </c>
      <c r="D2368">
        <v>328</v>
      </c>
      <c r="E2368">
        <v>26447</v>
      </c>
      <c r="F2368">
        <v>9</v>
      </c>
      <c r="G2368">
        <v>1</v>
      </c>
      <c r="H2368">
        <v>1</v>
      </c>
      <c r="I2368">
        <v>2</v>
      </c>
      <c r="J2368" t="s">
        <v>3503</v>
      </c>
      <c r="K2368" t="s">
        <v>3504</v>
      </c>
      <c r="L2368" s="2">
        <v>413.1463</v>
      </c>
      <c r="M2368" s="2">
        <v>699.09820000000002</v>
      </c>
      <c r="N2368" t="s">
        <v>13</v>
      </c>
      <c r="O2368" t="s">
        <v>141</v>
      </c>
      <c r="P2368" t="s">
        <v>71</v>
      </c>
      <c r="Q2368" t="s">
        <v>8696</v>
      </c>
      <c r="R2368" s="1">
        <v>26043</v>
      </c>
      <c r="S2368" t="s">
        <v>22</v>
      </c>
      <c r="T2368" t="s">
        <v>16</v>
      </c>
      <c r="U2368" t="s">
        <v>3206</v>
      </c>
      <c r="V2368">
        <v>110000</v>
      </c>
      <c r="W2368">
        <v>0</v>
      </c>
      <c r="X2368" t="s">
        <v>57</v>
      </c>
      <c r="Y2368" t="s">
        <v>45</v>
      </c>
      <c r="Z2368" t="s">
        <v>23</v>
      </c>
      <c r="AA2368" t="s">
        <v>3586</v>
      </c>
      <c r="AB2368" t="s">
        <v>3586</v>
      </c>
      <c r="AC2368" t="s">
        <v>3587</v>
      </c>
      <c r="AD2368" t="s">
        <v>3479</v>
      </c>
      <c r="AE2368" t="s">
        <v>3475</v>
      </c>
      <c r="AF2368" s="2">
        <v>699.09820000000002</v>
      </c>
      <c r="AG2368" s="2">
        <v>413.1463</v>
      </c>
      <c r="AH2368" s="2">
        <v>285.95190000000002</v>
      </c>
      <c r="AI2368" s="3">
        <v>0.409029661355157</v>
      </c>
    </row>
    <row r="2369" spans="1:35">
      <c r="A2369" s="1">
        <v>42298</v>
      </c>
      <c r="B2369" s="1">
        <v>37522</v>
      </c>
      <c r="C2369" t="s">
        <v>5634</v>
      </c>
      <c r="D2369">
        <v>352</v>
      </c>
      <c r="E2369">
        <v>26481</v>
      </c>
      <c r="F2369">
        <v>4</v>
      </c>
      <c r="G2369">
        <v>1</v>
      </c>
      <c r="H2369">
        <v>1</v>
      </c>
      <c r="I2369">
        <v>1</v>
      </c>
      <c r="J2369" t="s">
        <v>3535</v>
      </c>
      <c r="K2369" t="s">
        <v>3536</v>
      </c>
      <c r="L2369" s="2">
        <v>1117.8559</v>
      </c>
      <c r="M2369" s="2">
        <v>2071.4196000000002</v>
      </c>
      <c r="N2369" t="s">
        <v>13</v>
      </c>
      <c r="O2369" t="s">
        <v>61</v>
      </c>
      <c r="P2369" t="s">
        <v>51</v>
      </c>
      <c r="Q2369" t="s">
        <v>8697</v>
      </c>
      <c r="R2369" s="1">
        <v>16713</v>
      </c>
      <c r="S2369" t="s">
        <v>16</v>
      </c>
      <c r="T2369" t="s">
        <v>16</v>
      </c>
      <c r="U2369" t="s">
        <v>3207</v>
      </c>
      <c r="V2369">
        <v>30000</v>
      </c>
      <c r="W2369">
        <v>5</v>
      </c>
      <c r="X2369" t="s">
        <v>77</v>
      </c>
      <c r="Y2369" t="s">
        <v>53</v>
      </c>
      <c r="Z2369" t="s">
        <v>19</v>
      </c>
      <c r="AA2369" t="s">
        <v>3580</v>
      </c>
      <c r="AB2369" t="s">
        <v>3578</v>
      </c>
      <c r="AC2369" t="s">
        <v>3579</v>
      </c>
      <c r="AD2369" t="s">
        <v>3478</v>
      </c>
      <c r="AE2369" t="s">
        <v>3475</v>
      </c>
      <c r="AF2369" s="2">
        <v>2071.4196000000002</v>
      </c>
      <c r="AG2369" s="2">
        <v>1117.8559</v>
      </c>
      <c r="AH2369" s="2">
        <v>953.56370000000004</v>
      </c>
      <c r="AI2369" s="3">
        <v>0.460343090313522</v>
      </c>
    </row>
    <row r="2370" spans="1:35">
      <c r="A2370" s="1">
        <v>42329</v>
      </c>
      <c r="B2370" s="1">
        <v>37553</v>
      </c>
      <c r="C2370" t="s">
        <v>5829</v>
      </c>
      <c r="D2370">
        <v>387</v>
      </c>
      <c r="E2370">
        <v>26482</v>
      </c>
      <c r="F2370">
        <v>6</v>
      </c>
      <c r="G2370">
        <v>1</v>
      </c>
      <c r="H2370">
        <v>1</v>
      </c>
      <c r="I2370">
        <v>2</v>
      </c>
      <c r="J2370" t="s">
        <v>3569</v>
      </c>
      <c r="K2370" t="s">
        <v>3570</v>
      </c>
      <c r="L2370" s="2">
        <v>605.64919999999995</v>
      </c>
      <c r="M2370" s="2">
        <v>1000.4375</v>
      </c>
      <c r="N2370" t="s">
        <v>30</v>
      </c>
      <c r="O2370" t="s">
        <v>48</v>
      </c>
      <c r="P2370" t="s">
        <v>55</v>
      </c>
      <c r="Q2370" t="s">
        <v>8698</v>
      </c>
      <c r="R2370" s="1">
        <v>16574</v>
      </c>
      <c r="S2370" t="s">
        <v>16</v>
      </c>
      <c r="T2370" t="s">
        <v>29</v>
      </c>
      <c r="U2370" t="s">
        <v>3208</v>
      </c>
      <c r="V2370">
        <v>30000</v>
      </c>
      <c r="W2370">
        <v>5</v>
      </c>
      <c r="X2370" t="s">
        <v>77</v>
      </c>
      <c r="Y2370" t="s">
        <v>53</v>
      </c>
      <c r="Z2370" t="s">
        <v>19</v>
      </c>
      <c r="AA2370" t="s">
        <v>3582</v>
      </c>
      <c r="AB2370" t="s">
        <v>3582</v>
      </c>
      <c r="AC2370" t="s">
        <v>3579</v>
      </c>
      <c r="AD2370" t="s">
        <v>3479</v>
      </c>
      <c r="AE2370" t="s">
        <v>3475</v>
      </c>
      <c r="AF2370" s="2">
        <v>1000.4375</v>
      </c>
      <c r="AG2370" s="2">
        <v>605.64919999999995</v>
      </c>
      <c r="AH2370" s="2">
        <v>394.78829999999999</v>
      </c>
      <c r="AI2370" s="3">
        <v>0.39461565565065299</v>
      </c>
    </row>
    <row r="2371" spans="1:35">
      <c r="A2371" s="1">
        <v>42307</v>
      </c>
      <c r="B2371" s="1">
        <v>37516</v>
      </c>
      <c r="C2371" t="s">
        <v>5695</v>
      </c>
      <c r="D2371">
        <v>356</v>
      </c>
      <c r="E2371">
        <v>26484</v>
      </c>
      <c r="F2371">
        <v>4</v>
      </c>
      <c r="G2371">
        <v>1</v>
      </c>
      <c r="H2371">
        <v>1</v>
      </c>
      <c r="I2371">
        <v>1</v>
      </c>
      <c r="J2371" t="s">
        <v>3539</v>
      </c>
      <c r="K2371" t="s">
        <v>3540</v>
      </c>
      <c r="L2371" s="2">
        <v>1117.8559</v>
      </c>
      <c r="M2371" s="2">
        <v>2071.4196000000002</v>
      </c>
      <c r="N2371" t="s">
        <v>13</v>
      </c>
      <c r="O2371" t="s">
        <v>414</v>
      </c>
      <c r="P2371" t="s">
        <v>261</v>
      </c>
      <c r="Q2371" t="s">
        <v>8699</v>
      </c>
      <c r="R2371" s="1">
        <v>16895</v>
      </c>
      <c r="S2371" t="s">
        <v>22</v>
      </c>
      <c r="T2371" t="s">
        <v>16</v>
      </c>
      <c r="U2371" t="s">
        <v>3209</v>
      </c>
      <c r="V2371">
        <v>40000</v>
      </c>
      <c r="W2371">
        <v>5</v>
      </c>
      <c r="X2371" t="s">
        <v>57</v>
      </c>
      <c r="Y2371" t="s">
        <v>18</v>
      </c>
      <c r="Z2371" t="s">
        <v>23</v>
      </c>
      <c r="AA2371" t="s">
        <v>3580</v>
      </c>
      <c r="AB2371" t="s">
        <v>3578</v>
      </c>
      <c r="AC2371" t="s">
        <v>3579</v>
      </c>
      <c r="AD2371" t="s">
        <v>3478</v>
      </c>
      <c r="AE2371" t="s">
        <v>3475</v>
      </c>
      <c r="AF2371" s="2">
        <v>2071.4196000000002</v>
      </c>
      <c r="AG2371" s="2">
        <v>1117.8559</v>
      </c>
      <c r="AH2371" s="2">
        <v>953.56370000000004</v>
      </c>
      <c r="AI2371" s="3">
        <v>0.460343090313522</v>
      </c>
    </row>
    <row r="2372" spans="1:35">
      <c r="A2372" s="1">
        <v>42280</v>
      </c>
      <c r="B2372" s="1">
        <v>37434</v>
      </c>
      <c r="C2372" t="s">
        <v>5504</v>
      </c>
      <c r="D2372">
        <v>352</v>
      </c>
      <c r="E2372">
        <v>26485</v>
      </c>
      <c r="F2372">
        <v>1</v>
      </c>
      <c r="G2372">
        <v>1</v>
      </c>
      <c r="H2372">
        <v>1</v>
      </c>
      <c r="I2372">
        <v>1</v>
      </c>
      <c r="J2372" t="s">
        <v>3535</v>
      </c>
      <c r="K2372" t="s">
        <v>3536</v>
      </c>
      <c r="L2372" s="2">
        <v>1117.8559</v>
      </c>
      <c r="M2372" s="2">
        <v>2071.4196000000002</v>
      </c>
      <c r="N2372" t="s">
        <v>13</v>
      </c>
      <c r="O2372" t="s">
        <v>279</v>
      </c>
      <c r="P2372" t="s">
        <v>184</v>
      </c>
      <c r="Q2372" t="s">
        <v>8700</v>
      </c>
      <c r="R2372" s="1">
        <v>16960</v>
      </c>
      <c r="S2372" t="s">
        <v>16</v>
      </c>
      <c r="T2372" t="s">
        <v>16</v>
      </c>
      <c r="U2372" t="s">
        <v>3210</v>
      </c>
      <c r="V2372">
        <v>40000</v>
      </c>
      <c r="W2372">
        <v>5</v>
      </c>
      <c r="X2372" t="s">
        <v>57</v>
      </c>
      <c r="Y2372" t="s">
        <v>18</v>
      </c>
      <c r="Z2372" t="s">
        <v>19</v>
      </c>
      <c r="AA2372" t="s">
        <v>3577</v>
      </c>
      <c r="AB2372" t="s">
        <v>3578</v>
      </c>
      <c r="AC2372" t="s">
        <v>3579</v>
      </c>
      <c r="AD2372" t="s">
        <v>3478</v>
      </c>
      <c r="AE2372" t="s">
        <v>3475</v>
      </c>
      <c r="AF2372" s="2">
        <v>2071.4196000000002</v>
      </c>
      <c r="AG2372" s="2">
        <v>1117.8559</v>
      </c>
      <c r="AH2372" s="2">
        <v>953.56370000000004</v>
      </c>
      <c r="AI2372" s="3">
        <v>0.460343090313522</v>
      </c>
    </row>
    <row r="2373" spans="1:35">
      <c r="A2373" s="1">
        <v>42303</v>
      </c>
      <c r="B2373" s="1">
        <v>37475</v>
      </c>
      <c r="C2373" t="s">
        <v>5666</v>
      </c>
      <c r="D2373">
        <v>358</v>
      </c>
      <c r="E2373">
        <v>26486</v>
      </c>
      <c r="F2373">
        <v>4</v>
      </c>
      <c r="G2373">
        <v>1</v>
      </c>
      <c r="H2373">
        <v>1</v>
      </c>
      <c r="I2373">
        <v>1</v>
      </c>
      <c r="J2373" t="s">
        <v>3541</v>
      </c>
      <c r="K2373" t="s">
        <v>3542</v>
      </c>
      <c r="L2373" s="2">
        <v>1105.81</v>
      </c>
      <c r="M2373" s="2">
        <v>2049.0981999999999</v>
      </c>
      <c r="N2373" t="s">
        <v>30</v>
      </c>
      <c r="O2373" t="s">
        <v>318</v>
      </c>
      <c r="P2373" t="s">
        <v>334</v>
      </c>
      <c r="Q2373" t="s">
        <v>8701</v>
      </c>
      <c r="R2373" s="1">
        <v>16987</v>
      </c>
      <c r="S2373" t="s">
        <v>16</v>
      </c>
      <c r="T2373" t="s">
        <v>29</v>
      </c>
      <c r="U2373" t="s">
        <v>3211</v>
      </c>
      <c r="V2373">
        <v>40000</v>
      </c>
      <c r="W2373">
        <v>5</v>
      </c>
      <c r="X2373" t="s">
        <v>57</v>
      </c>
      <c r="Y2373" t="s">
        <v>18</v>
      </c>
      <c r="Z2373" t="s">
        <v>23</v>
      </c>
      <c r="AA2373" t="s">
        <v>3580</v>
      </c>
      <c r="AB2373" t="s">
        <v>3578</v>
      </c>
      <c r="AC2373" t="s">
        <v>3579</v>
      </c>
      <c r="AD2373" t="s">
        <v>3478</v>
      </c>
      <c r="AE2373" t="s">
        <v>3475</v>
      </c>
      <c r="AF2373" s="2">
        <v>2049.0981999999999</v>
      </c>
      <c r="AG2373" s="2">
        <v>1105.81</v>
      </c>
      <c r="AH2373" s="2">
        <v>943.28819999999996</v>
      </c>
      <c r="AI2373" s="3">
        <v>0.46034309141455498</v>
      </c>
    </row>
    <row r="2374" spans="1:35">
      <c r="A2374" s="1">
        <v>42295</v>
      </c>
      <c r="B2374" s="1">
        <v>37431</v>
      </c>
      <c r="C2374" t="s">
        <v>5607</v>
      </c>
      <c r="D2374">
        <v>362</v>
      </c>
      <c r="E2374">
        <v>26487</v>
      </c>
      <c r="F2374">
        <v>1</v>
      </c>
      <c r="G2374">
        <v>1</v>
      </c>
      <c r="H2374">
        <v>1</v>
      </c>
      <c r="I2374">
        <v>1</v>
      </c>
      <c r="J2374" t="s">
        <v>3545</v>
      </c>
      <c r="K2374" t="s">
        <v>3546</v>
      </c>
      <c r="L2374" s="2">
        <v>1105.81</v>
      </c>
      <c r="M2374" s="2">
        <v>2049.0981999999999</v>
      </c>
      <c r="N2374" t="s">
        <v>13</v>
      </c>
      <c r="O2374" t="s">
        <v>732</v>
      </c>
      <c r="P2374" t="s">
        <v>192</v>
      </c>
      <c r="Q2374" t="s">
        <v>8702</v>
      </c>
      <c r="R2374" s="1">
        <v>16910</v>
      </c>
      <c r="S2374" t="s">
        <v>22</v>
      </c>
      <c r="T2374" t="s">
        <v>16</v>
      </c>
      <c r="U2374" t="s">
        <v>3212</v>
      </c>
      <c r="V2374">
        <v>70000</v>
      </c>
      <c r="W2374">
        <v>5</v>
      </c>
      <c r="X2374" t="s">
        <v>17</v>
      </c>
      <c r="Y2374" t="s">
        <v>45</v>
      </c>
      <c r="Z2374" t="s">
        <v>19</v>
      </c>
      <c r="AA2374" t="s">
        <v>3577</v>
      </c>
      <c r="AB2374" t="s">
        <v>3578</v>
      </c>
      <c r="AC2374" t="s">
        <v>3579</v>
      </c>
      <c r="AD2374" t="s">
        <v>3478</v>
      </c>
      <c r="AE2374" t="s">
        <v>3475</v>
      </c>
      <c r="AF2374" s="2">
        <v>2049.0981999999999</v>
      </c>
      <c r="AG2374" s="2">
        <v>1105.81</v>
      </c>
      <c r="AH2374" s="2">
        <v>943.28819999999996</v>
      </c>
      <c r="AI2374" s="3">
        <v>0.46034309141455498</v>
      </c>
    </row>
    <row r="2375" spans="1:35">
      <c r="A2375" s="1">
        <v>42293</v>
      </c>
      <c r="B2375" s="1">
        <v>37430</v>
      </c>
      <c r="C2375" t="s">
        <v>5587</v>
      </c>
      <c r="D2375">
        <v>362</v>
      </c>
      <c r="E2375">
        <v>26490</v>
      </c>
      <c r="F2375">
        <v>4</v>
      </c>
      <c r="G2375">
        <v>1</v>
      </c>
      <c r="H2375">
        <v>1</v>
      </c>
      <c r="I2375">
        <v>1</v>
      </c>
      <c r="J2375" t="s">
        <v>3545</v>
      </c>
      <c r="K2375" t="s">
        <v>3546</v>
      </c>
      <c r="L2375" s="2">
        <v>1105.81</v>
      </c>
      <c r="M2375" s="2">
        <v>2049.0981999999999</v>
      </c>
      <c r="N2375" t="s">
        <v>13</v>
      </c>
      <c r="O2375" t="s">
        <v>682</v>
      </c>
      <c r="P2375" t="s">
        <v>111</v>
      </c>
      <c r="Q2375" t="s">
        <v>8703</v>
      </c>
      <c r="R2375" s="1">
        <v>17221</v>
      </c>
      <c r="S2375" t="s">
        <v>22</v>
      </c>
      <c r="T2375" t="s">
        <v>16</v>
      </c>
      <c r="U2375" t="s">
        <v>3213</v>
      </c>
      <c r="V2375">
        <v>70000</v>
      </c>
      <c r="W2375">
        <v>2</v>
      </c>
      <c r="X2375" t="s">
        <v>17</v>
      </c>
      <c r="Y2375" t="s">
        <v>45</v>
      </c>
      <c r="Z2375" t="s">
        <v>23</v>
      </c>
      <c r="AA2375" t="s">
        <v>3580</v>
      </c>
      <c r="AB2375" t="s">
        <v>3578</v>
      </c>
      <c r="AC2375" t="s">
        <v>3579</v>
      </c>
      <c r="AD2375" t="s">
        <v>3478</v>
      </c>
      <c r="AE2375" t="s">
        <v>3475</v>
      </c>
      <c r="AF2375" s="2">
        <v>2049.0981999999999</v>
      </c>
      <c r="AG2375" s="2">
        <v>1105.81</v>
      </c>
      <c r="AH2375" s="2">
        <v>943.28819999999996</v>
      </c>
      <c r="AI2375" s="3">
        <v>0.46034309141455498</v>
      </c>
    </row>
    <row r="2376" spans="1:35">
      <c r="A2376" s="1">
        <v>42318</v>
      </c>
      <c r="B2376" s="1">
        <v>37548</v>
      </c>
      <c r="C2376" t="s">
        <v>5758</v>
      </c>
      <c r="D2376">
        <v>362</v>
      </c>
      <c r="E2376">
        <v>26491</v>
      </c>
      <c r="F2376">
        <v>1</v>
      </c>
      <c r="G2376">
        <v>1</v>
      </c>
      <c r="H2376">
        <v>1</v>
      </c>
      <c r="I2376">
        <v>1</v>
      </c>
      <c r="J2376" t="s">
        <v>3545</v>
      </c>
      <c r="K2376" t="s">
        <v>3546</v>
      </c>
      <c r="L2376" s="2">
        <v>1105.81</v>
      </c>
      <c r="M2376" s="2">
        <v>2049.0981999999999</v>
      </c>
      <c r="N2376" t="s">
        <v>30</v>
      </c>
      <c r="O2376" t="s">
        <v>1639</v>
      </c>
      <c r="P2376" t="s">
        <v>109</v>
      </c>
      <c r="Q2376" t="s">
        <v>8704</v>
      </c>
      <c r="R2376" s="1">
        <v>17490</v>
      </c>
      <c r="S2376" t="s">
        <v>22</v>
      </c>
      <c r="T2376" t="s">
        <v>29</v>
      </c>
      <c r="U2376" t="s">
        <v>3214</v>
      </c>
      <c r="V2376">
        <v>70000</v>
      </c>
      <c r="W2376">
        <v>2</v>
      </c>
      <c r="X2376" t="s">
        <v>17</v>
      </c>
      <c r="Y2376" t="s">
        <v>45</v>
      </c>
      <c r="Z2376" t="s">
        <v>23</v>
      </c>
      <c r="AA2376" t="s">
        <v>3577</v>
      </c>
      <c r="AB2376" t="s">
        <v>3578</v>
      </c>
      <c r="AC2376" t="s">
        <v>3579</v>
      </c>
      <c r="AD2376" t="s">
        <v>3478</v>
      </c>
      <c r="AE2376" t="s">
        <v>3475</v>
      </c>
      <c r="AF2376" s="2">
        <v>2049.0981999999999</v>
      </c>
      <c r="AG2376" s="2">
        <v>1105.81</v>
      </c>
      <c r="AH2376" s="2">
        <v>943.28819999999996</v>
      </c>
      <c r="AI2376" s="3">
        <v>0.46034309141455498</v>
      </c>
    </row>
    <row r="2377" spans="1:35">
      <c r="A2377" s="1">
        <v>42335</v>
      </c>
      <c r="B2377" s="1">
        <v>37555</v>
      </c>
      <c r="C2377" t="s">
        <v>5864</v>
      </c>
      <c r="D2377">
        <v>385</v>
      </c>
      <c r="E2377">
        <v>26496</v>
      </c>
      <c r="F2377">
        <v>6</v>
      </c>
      <c r="G2377">
        <v>1</v>
      </c>
      <c r="H2377">
        <v>1</v>
      </c>
      <c r="I2377">
        <v>2</v>
      </c>
      <c r="J2377" t="s">
        <v>3567</v>
      </c>
      <c r="K2377" t="s">
        <v>3568</v>
      </c>
      <c r="L2377" s="2">
        <v>605.64919999999995</v>
      </c>
      <c r="M2377" s="2">
        <v>1000.4375</v>
      </c>
      <c r="N2377" t="s">
        <v>30</v>
      </c>
      <c r="O2377" t="s">
        <v>791</v>
      </c>
      <c r="P2377" t="s">
        <v>246</v>
      </c>
      <c r="Q2377" t="s">
        <v>8705</v>
      </c>
      <c r="R2377" s="1">
        <v>17845</v>
      </c>
      <c r="S2377" t="s">
        <v>16</v>
      </c>
      <c r="T2377" t="s">
        <v>29</v>
      </c>
      <c r="U2377" t="s">
        <v>3215</v>
      </c>
      <c r="V2377">
        <v>40000</v>
      </c>
      <c r="W2377">
        <v>2</v>
      </c>
      <c r="X2377" t="s">
        <v>57</v>
      </c>
      <c r="Y2377" t="s">
        <v>18</v>
      </c>
      <c r="Z2377" t="s">
        <v>19</v>
      </c>
      <c r="AA2377" t="s">
        <v>3582</v>
      </c>
      <c r="AB2377" t="s">
        <v>3582</v>
      </c>
      <c r="AC2377" t="s">
        <v>3579</v>
      </c>
      <c r="AD2377" t="s">
        <v>3479</v>
      </c>
      <c r="AE2377" t="s">
        <v>3475</v>
      </c>
      <c r="AF2377" s="2">
        <v>1000.4375</v>
      </c>
      <c r="AG2377" s="2">
        <v>605.64919999999995</v>
      </c>
      <c r="AH2377" s="2">
        <v>394.78829999999999</v>
      </c>
      <c r="AI2377" s="3">
        <v>0.39461565565065299</v>
      </c>
    </row>
    <row r="2378" spans="1:35">
      <c r="A2378" s="1">
        <v>42326</v>
      </c>
      <c r="B2378" s="1">
        <v>37563</v>
      </c>
      <c r="C2378" t="s">
        <v>5809</v>
      </c>
      <c r="D2378">
        <v>352</v>
      </c>
      <c r="E2378">
        <v>26499</v>
      </c>
      <c r="F2378">
        <v>4</v>
      </c>
      <c r="G2378">
        <v>1</v>
      </c>
      <c r="H2378">
        <v>1</v>
      </c>
      <c r="I2378">
        <v>1</v>
      </c>
      <c r="J2378" t="s">
        <v>3535</v>
      </c>
      <c r="K2378" t="s">
        <v>3536</v>
      </c>
      <c r="L2378" s="2">
        <v>1117.8559</v>
      </c>
      <c r="M2378" s="2">
        <v>2071.4196000000002</v>
      </c>
      <c r="N2378" t="s">
        <v>30</v>
      </c>
      <c r="O2378" t="s">
        <v>1252</v>
      </c>
      <c r="P2378" t="s">
        <v>34</v>
      </c>
      <c r="Q2378" t="s">
        <v>8706</v>
      </c>
      <c r="R2378" s="1">
        <v>17581</v>
      </c>
      <c r="S2378" t="s">
        <v>16</v>
      </c>
      <c r="T2378" t="s">
        <v>29</v>
      </c>
      <c r="U2378" t="s">
        <v>3216</v>
      </c>
      <c r="V2378">
        <v>60000</v>
      </c>
      <c r="W2378">
        <v>2</v>
      </c>
      <c r="X2378" t="s">
        <v>52</v>
      </c>
      <c r="Y2378" t="s">
        <v>18</v>
      </c>
      <c r="Z2378" t="s">
        <v>19</v>
      </c>
      <c r="AA2378" t="s">
        <v>3580</v>
      </c>
      <c r="AB2378" t="s">
        <v>3578</v>
      </c>
      <c r="AC2378" t="s">
        <v>3579</v>
      </c>
      <c r="AD2378" t="s">
        <v>3478</v>
      </c>
      <c r="AE2378" t="s">
        <v>3475</v>
      </c>
      <c r="AF2378" s="2">
        <v>2071.4196000000002</v>
      </c>
      <c r="AG2378" s="2">
        <v>1117.8559</v>
      </c>
      <c r="AH2378" s="2">
        <v>953.56370000000004</v>
      </c>
      <c r="AI2378" s="3">
        <v>0.460343090313522</v>
      </c>
    </row>
    <row r="2379" spans="1:35">
      <c r="A2379" s="1">
        <v>42343</v>
      </c>
      <c r="B2379" s="1">
        <v>37509</v>
      </c>
      <c r="C2379" t="s">
        <v>5945</v>
      </c>
      <c r="D2379">
        <v>389</v>
      </c>
      <c r="E2379">
        <v>26503</v>
      </c>
      <c r="F2379">
        <v>6</v>
      </c>
      <c r="G2379">
        <v>1</v>
      </c>
      <c r="H2379">
        <v>1</v>
      </c>
      <c r="I2379">
        <v>2</v>
      </c>
      <c r="J2379" t="s">
        <v>3571</v>
      </c>
      <c r="K2379" t="s">
        <v>3572</v>
      </c>
      <c r="L2379" s="2">
        <v>605.64919999999995</v>
      </c>
      <c r="M2379" s="2">
        <v>1000.4375</v>
      </c>
      <c r="N2379" t="s">
        <v>13</v>
      </c>
      <c r="O2379" t="s">
        <v>692</v>
      </c>
      <c r="P2379" t="s">
        <v>248</v>
      </c>
      <c r="Q2379" t="s">
        <v>8707</v>
      </c>
      <c r="R2379" s="1">
        <v>17932</v>
      </c>
      <c r="S2379" t="s">
        <v>16</v>
      </c>
      <c r="T2379" t="s">
        <v>16</v>
      </c>
      <c r="U2379" t="s">
        <v>3217</v>
      </c>
      <c r="V2379">
        <v>40000</v>
      </c>
      <c r="W2379">
        <v>2</v>
      </c>
      <c r="X2379" t="s">
        <v>77</v>
      </c>
      <c r="Y2379" t="s">
        <v>53</v>
      </c>
      <c r="Z2379" t="s">
        <v>19</v>
      </c>
      <c r="AA2379" t="s">
        <v>3582</v>
      </c>
      <c r="AB2379" t="s">
        <v>3582</v>
      </c>
      <c r="AC2379" t="s">
        <v>3579</v>
      </c>
      <c r="AD2379" t="s">
        <v>3479</v>
      </c>
      <c r="AE2379" t="s">
        <v>3475</v>
      </c>
      <c r="AF2379" s="2">
        <v>1000.4375</v>
      </c>
      <c r="AG2379" s="2">
        <v>605.64919999999995</v>
      </c>
      <c r="AH2379" s="2">
        <v>394.78829999999999</v>
      </c>
      <c r="AI2379" s="3">
        <v>0.39461565565065299</v>
      </c>
    </row>
    <row r="2380" spans="1:35">
      <c r="A2380" s="1">
        <v>42354</v>
      </c>
      <c r="B2380" s="1">
        <v>37540</v>
      </c>
      <c r="C2380" t="s">
        <v>6068</v>
      </c>
      <c r="D2380">
        <v>389</v>
      </c>
      <c r="E2380">
        <v>26504</v>
      </c>
      <c r="F2380">
        <v>6</v>
      </c>
      <c r="G2380">
        <v>1</v>
      </c>
      <c r="H2380">
        <v>1</v>
      </c>
      <c r="I2380">
        <v>2</v>
      </c>
      <c r="J2380" t="s">
        <v>3571</v>
      </c>
      <c r="K2380" t="s">
        <v>3572</v>
      </c>
      <c r="L2380" s="2">
        <v>605.64919999999995</v>
      </c>
      <c r="M2380" s="2">
        <v>1000.4375</v>
      </c>
      <c r="N2380" t="s">
        <v>30</v>
      </c>
      <c r="O2380" t="s">
        <v>98</v>
      </c>
      <c r="P2380" t="s">
        <v>275</v>
      </c>
      <c r="Q2380" t="s">
        <v>8708</v>
      </c>
      <c r="R2380" s="1">
        <v>18130</v>
      </c>
      <c r="S2380" t="s">
        <v>16</v>
      </c>
      <c r="T2380" t="s">
        <v>29</v>
      </c>
      <c r="U2380" t="s">
        <v>3218</v>
      </c>
      <c r="V2380">
        <v>40000</v>
      </c>
      <c r="W2380">
        <v>2</v>
      </c>
      <c r="X2380" t="s">
        <v>77</v>
      </c>
      <c r="Y2380" t="s">
        <v>53</v>
      </c>
      <c r="Z2380" t="s">
        <v>19</v>
      </c>
      <c r="AA2380" t="s">
        <v>3582</v>
      </c>
      <c r="AB2380" t="s">
        <v>3582</v>
      </c>
      <c r="AC2380" t="s">
        <v>3579</v>
      </c>
      <c r="AD2380" t="s">
        <v>3479</v>
      </c>
      <c r="AE2380" t="s">
        <v>3475</v>
      </c>
      <c r="AF2380" s="2">
        <v>1000.4375</v>
      </c>
      <c r="AG2380" s="2">
        <v>605.64919999999995</v>
      </c>
      <c r="AH2380" s="2">
        <v>394.78829999999999</v>
      </c>
      <c r="AI2380" s="3">
        <v>0.39461565565065299</v>
      </c>
    </row>
    <row r="2381" spans="1:35">
      <c r="A2381" s="1">
        <v>42328</v>
      </c>
      <c r="B2381" s="1">
        <v>37485</v>
      </c>
      <c r="C2381" t="s">
        <v>5821</v>
      </c>
      <c r="D2381">
        <v>362</v>
      </c>
      <c r="E2381">
        <v>26509</v>
      </c>
      <c r="F2381">
        <v>1</v>
      </c>
      <c r="G2381">
        <v>1</v>
      </c>
      <c r="H2381">
        <v>1</v>
      </c>
      <c r="I2381">
        <v>1</v>
      </c>
      <c r="J2381" t="s">
        <v>3545</v>
      </c>
      <c r="K2381" t="s">
        <v>3546</v>
      </c>
      <c r="L2381" s="2">
        <v>1105.81</v>
      </c>
      <c r="M2381" s="2">
        <v>2049.0981999999999</v>
      </c>
      <c r="N2381" t="s">
        <v>13</v>
      </c>
      <c r="O2381" t="s">
        <v>69</v>
      </c>
      <c r="P2381" t="s">
        <v>254</v>
      </c>
      <c r="Q2381" t="s">
        <v>8709</v>
      </c>
      <c r="R2381" s="1">
        <v>17962</v>
      </c>
      <c r="S2381" t="s">
        <v>22</v>
      </c>
      <c r="T2381" t="s">
        <v>16</v>
      </c>
      <c r="U2381" t="s">
        <v>3219</v>
      </c>
      <c r="V2381">
        <v>60000</v>
      </c>
      <c r="W2381">
        <v>2</v>
      </c>
      <c r="X2381" t="s">
        <v>52</v>
      </c>
      <c r="Y2381" t="s">
        <v>18</v>
      </c>
      <c r="Z2381" t="s">
        <v>23</v>
      </c>
      <c r="AA2381" t="s">
        <v>3577</v>
      </c>
      <c r="AB2381" t="s">
        <v>3578</v>
      </c>
      <c r="AC2381" t="s">
        <v>3579</v>
      </c>
      <c r="AD2381" t="s">
        <v>3478</v>
      </c>
      <c r="AE2381" t="s">
        <v>3475</v>
      </c>
      <c r="AF2381" s="2">
        <v>2049.0981999999999</v>
      </c>
      <c r="AG2381" s="2">
        <v>1105.81</v>
      </c>
      <c r="AH2381" s="2">
        <v>943.28819999999996</v>
      </c>
      <c r="AI2381" s="3">
        <v>0.46034309141455498</v>
      </c>
    </row>
    <row r="2382" spans="1:35">
      <c r="A2382" s="1">
        <v>42332</v>
      </c>
      <c r="B2382" s="1">
        <v>37501</v>
      </c>
      <c r="C2382" t="s">
        <v>5844</v>
      </c>
      <c r="D2382">
        <v>354</v>
      </c>
      <c r="E2382">
        <v>26510</v>
      </c>
      <c r="F2382">
        <v>4</v>
      </c>
      <c r="G2382">
        <v>1</v>
      </c>
      <c r="H2382">
        <v>1</v>
      </c>
      <c r="I2382">
        <v>1</v>
      </c>
      <c r="J2382" t="s">
        <v>3537</v>
      </c>
      <c r="K2382" t="s">
        <v>3538</v>
      </c>
      <c r="L2382" s="2">
        <v>1117.8559</v>
      </c>
      <c r="M2382" s="2">
        <v>2071.4196000000002</v>
      </c>
      <c r="N2382" t="s">
        <v>13</v>
      </c>
      <c r="O2382" t="s">
        <v>985</v>
      </c>
      <c r="P2382" t="s">
        <v>512</v>
      </c>
      <c r="Q2382" t="s">
        <v>8710</v>
      </c>
      <c r="R2382" s="1">
        <v>17975</v>
      </c>
      <c r="S2382" t="s">
        <v>22</v>
      </c>
      <c r="T2382" t="s">
        <v>16</v>
      </c>
      <c r="U2382" t="s">
        <v>3220</v>
      </c>
      <c r="V2382">
        <v>60000</v>
      </c>
      <c r="W2382">
        <v>2</v>
      </c>
      <c r="X2382" t="s">
        <v>52</v>
      </c>
      <c r="Y2382" t="s">
        <v>18</v>
      </c>
      <c r="Z2382" t="s">
        <v>19</v>
      </c>
      <c r="AA2382" t="s">
        <v>3580</v>
      </c>
      <c r="AB2382" t="s">
        <v>3578</v>
      </c>
      <c r="AC2382" t="s">
        <v>3579</v>
      </c>
      <c r="AD2382" t="s">
        <v>3478</v>
      </c>
      <c r="AE2382" t="s">
        <v>3475</v>
      </c>
      <c r="AF2382" s="2">
        <v>2071.4196000000002</v>
      </c>
      <c r="AG2382" s="2">
        <v>1117.8559</v>
      </c>
      <c r="AH2382" s="2">
        <v>953.56370000000004</v>
      </c>
      <c r="AI2382" s="3">
        <v>0.460343090313522</v>
      </c>
    </row>
    <row r="2383" spans="1:35">
      <c r="A2383" s="1">
        <v>42330</v>
      </c>
      <c r="B2383" s="1">
        <v>37555</v>
      </c>
      <c r="C2383" t="s">
        <v>5832</v>
      </c>
      <c r="D2383">
        <v>354</v>
      </c>
      <c r="E2383">
        <v>26511</v>
      </c>
      <c r="F2383">
        <v>4</v>
      </c>
      <c r="G2383">
        <v>1</v>
      </c>
      <c r="H2383">
        <v>1</v>
      </c>
      <c r="I2383">
        <v>1</v>
      </c>
      <c r="J2383" t="s">
        <v>3537</v>
      </c>
      <c r="K2383" t="s">
        <v>3538</v>
      </c>
      <c r="L2383" s="2">
        <v>1117.8559</v>
      </c>
      <c r="M2383" s="2">
        <v>2071.4196000000002</v>
      </c>
      <c r="N2383" t="s">
        <v>13</v>
      </c>
      <c r="O2383" t="s">
        <v>327</v>
      </c>
      <c r="P2383" t="s">
        <v>716</v>
      </c>
      <c r="Q2383" t="s">
        <v>8711</v>
      </c>
      <c r="R2383" s="1">
        <v>18117</v>
      </c>
      <c r="S2383" t="s">
        <v>16</v>
      </c>
      <c r="T2383" t="s">
        <v>16</v>
      </c>
      <c r="U2383" t="s">
        <v>3221</v>
      </c>
      <c r="V2383">
        <v>70000</v>
      </c>
      <c r="W2383">
        <v>5</v>
      </c>
      <c r="X2383" t="s">
        <v>52</v>
      </c>
      <c r="Y2383" t="s">
        <v>18</v>
      </c>
      <c r="Z2383" t="s">
        <v>19</v>
      </c>
      <c r="AA2383" t="s">
        <v>3580</v>
      </c>
      <c r="AB2383" t="s">
        <v>3578</v>
      </c>
      <c r="AC2383" t="s">
        <v>3579</v>
      </c>
      <c r="AD2383" t="s">
        <v>3478</v>
      </c>
      <c r="AE2383" t="s">
        <v>3475</v>
      </c>
      <c r="AF2383" s="2">
        <v>2071.4196000000002</v>
      </c>
      <c r="AG2383" s="2">
        <v>1117.8559</v>
      </c>
      <c r="AH2383" s="2">
        <v>953.56370000000004</v>
      </c>
      <c r="AI2383" s="3">
        <v>0.460343090313522</v>
      </c>
    </row>
    <row r="2384" spans="1:35">
      <c r="A2384" s="1">
        <v>42346</v>
      </c>
      <c r="B2384" s="1">
        <v>37536</v>
      </c>
      <c r="C2384" t="s">
        <v>5974</v>
      </c>
      <c r="D2384">
        <v>385</v>
      </c>
      <c r="E2384">
        <v>26512</v>
      </c>
      <c r="F2384">
        <v>6</v>
      </c>
      <c r="G2384">
        <v>1</v>
      </c>
      <c r="H2384">
        <v>1</v>
      </c>
      <c r="I2384">
        <v>2</v>
      </c>
      <c r="J2384" t="s">
        <v>3567</v>
      </c>
      <c r="K2384" t="s">
        <v>3568</v>
      </c>
      <c r="L2384" s="2">
        <v>605.64919999999995</v>
      </c>
      <c r="M2384" s="2">
        <v>1000.4375</v>
      </c>
      <c r="N2384" t="s">
        <v>30</v>
      </c>
      <c r="O2384" t="s">
        <v>1019</v>
      </c>
      <c r="P2384" t="s">
        <v>309</v>
      </c>
      <c r="Q2384" t="s">
        <v>8712</v>
      </c>
      <c r="R2384" s="1">
        <v>18295</v>
      </c>
      <c r="S2384" t="s">
        <v>16</v>
      </c>
      <c r="T2384" t="s">
        <v>29</v>
      </c>
      <c r="U2384" t="s">
        <v>3222</v>
      </c>
      <c r="V2384">
        <v>40000</v>
      </c>
      <c r="W2384">
        <v>2</v>
      </c>
      <c r="X2384" t="s">
        <v>77</v>
      </c>
      <c r="Y2384" t="s">
        <v>53</v>
      </c>
      <c r="Z2384" t="s">
        <v>23</v>
      </c>
      <c r="AA2384" t="s">
        <v>3582</v>
      </c>
      <c r="AB2384" t="s">
        <v>3582</v>
      </c>
      <c r="AC2384" t="s">
        <v>3579</v>
      </c>
      <c r="AD2384" t="s">
        <v>3479</v>
      </c>
      <c r="AE2384" t="s">
        <v>3475</v>
      </c>
      <c r="AF2384" s="2">
        <v>1000.4375</v>
      </c>
      <c r="AG2384" s="2">
        <v>605.64919999999995</v>
      </c>
      <c r="AH2384" s="2">
        <v>394.78829999999999</v>
      </c>
      <c r="AI2384" s="3">
        <v>0.39461565565065299</v>
      </c>
    </row>
    <row r="2385" spans="1:35">
      <c r="A2385" s="1">
        <v>42311</v>
      </c>
      <c r="B2385" s="1">
        <v>37488</v>
      </c>
      <c r="C2385" t="s">
        <v>5722</v>
      </c>
      <c r="D2385">
        <v>356</v>
      </c>
      <c r="E2385">
        <v>26513</v>
      </c>
      <c r="F2385">
        <v>1</v>
      </c>
      <c r="G2385">
        <v>1</v>
      </c>
      <c r="H2385">
        <v>1</v>
      </c>
      <c r="I2385">
        <v>1</v>
      </c>
      <c r="J2385" t="s">
        <v>3539</v>
      </c>
      <c r="K2385" t="s">
        <v>3540</v>
      </c>
      <c r="L2385" s="2">
        <v>1117.8559</v>
      </c>
      <c r="M2385" s="2">
        <v>2071.4196000000002</v>
      </c>
      <c r="N2385" t="s">
        <v>30</v>
      </c>
      <c r="O2385" t="s">
        <v>814</v>
      </c>
      <c r="P2385" t="s">
        <v>85</v>
      </c>
      <c r="Q2385" t="s">
        <v>8713</v>
      </c>
      <c r="R2385" s="1">
        <v>18297</v>
      </c>
      <c r="S2385" t="s">
        <v>22</v>
      </c>
      <c r="T2385" t="s">
        <v>29</v>
      </c>
      <c r="U2385" t="s">
        <v>3223</v>
      </c>
      <c r="V2385">
        <v>60000</v>
      </c>
      <c r="W2385">
        <v>2</v>
      </c>
      <c r="X2385" t="s">
        <v>52</v>
      </c>
      <c r="Y2385" t="s">
        <v>18</v>
      </c>
      <c r="Z2385" t="s">
        <v>23</v>
      </c>
      <c r="AA2385" t="s">
        <v>3577</v>
      </c>
      <c r="AB2385" t="s">
        <v>3578</v>
      </c>
      <c r="AC2385" t="s">
        <v>3579</v>
      </c>
      <c r="AD2385" t="s">
        <v>3478</v>
      </c>
      <c r="AE2385" t="s">
        <v>3475</v>
      </c>
      <c r="AF2385" s="2">
        <v>2071.4196000000002</v>
      </c>
      <c r="AG2385" s="2">
        <v>1117.8559</v>
      </c>
      <c r="AH2385" s="2">
        <v>953.56370000000004</v>
      </c>
      <c r="AI2385" s="3">
        <v>0.460343090313522</v>
      </c>
    </row>
    <row r="2386" spans="1:35">
      <c r="A2386" s="1">
        <v>42333</v>
      </c>
      <c r="B2386" s="1">
        <v>37503</v>
      </c>
      <c r="C2386" t="s">
        <v>5853</v>
      </c>
      <c r="D2386">
        <v>360</v>
      </c>
      <c r="E2386">
        <v>26520</v>
      </c>
      <c r="F2386">
        <v>1</v>
      </c>
      <c r="G2386">
        <v>1</v>
      </c>
      <c r="H2386">
        <v>1</v>
      </c>
      <c r="I2386">
        <v>1</v>
      </c>
      <c r="J2386" t="s">
        <v>3543</v>
      </c>
      <c r="K2386" t="s">
        <v>3544</v>
      </c>
      <c r="L2386" s="2">
        <v>1105.81</v>
      </c>
      <c r="M2386" s="2">
        <v>2049.0981999999999</v>
      </c>
      <c r="N2386" t="s">
        <v>30</v>
      </c>
      <c r="O2386" t="s">
        <v>50</v>
      </c>
      <c r="P2386" t="s">
        <v>259</v>
      </c>
      <c r="Q2386" t="s">
        <v>8714</v>
      </c>
      <c r="R2386" s="1">
        <v>18925</v>
      </c>
      <c r="S2386" t="s">
        <v>22</v>
      </c>
      <c r="T2386" t="s">
        <v>29</v>
      </c>
      <c r="U2386" t="s">
        <v>3224</v>
      </c>
      <c r="V2386">
        <v>60000</v>
      </c>
      <c r="W2386">
        <v>2</v>
      </c>
      <c r="X2386" t="s">
        <v>57</v>
      </c>
      <c r="Y2386" t="s">
        <v>18</v>
      </c>
      <c r="Z2386" t="s">
        <v>23</v>
      </c>
      <c r="AA2386" t="s">
        <v>3577</v>
      </c>
      <c r="AB2386" t="s">
        <v>3578</v>
      </c>
      <c r="AC2386" t="s">
        <v>3579</v>
      </c>
      <c r="AD2386" t="s">
        <v>3478</v>
      </c>
      <c r="AE2386" t="s">
        <v>3475</v>
      </c>
      <c r="AF2386" s="2">
        <v>2049.0981999999999</v>
      </c>
      <c r="AG2386" s="2">
        <v>1105.81</v>
      </c>
      <c r="AH2386" s="2">
        <v>943.28819999999996</v>
      </c>
      <c r="AI2386" s="3">
        <v>0.46034309141455498</v>
      </c>
    </row>
    <row r="2387" spans="1:35">
      <c r="A2387" s="1">
        <v>42316</v>
      </c>
      <c r="B2387" s="1">
        <v>37462</v>
      </c>
      <c r="C2387" t="s">
        <v>5746</v>
      </c>
      <c r="D2387">
        <v>352</v>
      </c>
      <c r="E2387">
        <v>26521</v>
      </c>
      <c r="F2387">
        <v>1</v>
      </c>
      <c r="G2387">
        <v>1</v>
      </c>
      <c r="H2387">
        <v>1</v>
      </c>
      <c r="I2387">
        <v>1</v>
      </c>
      <c r="J2387" t="s">
        <v>3535</v>
      </c>
      <c r="K2387" t="s">
        <v>3536</v>
      </c>
      <c r="L2387" s="2">
        <v>1117.8559</v>
      </c>
      <c r="M2387" s="2">
        <v>2071.4196000000002</v>
      </c>
      <c r="N2387" t="s">
        <v>13</v>
      </c>
      <c r="O2387" t="s">
        <v>110</v>
      </c>
      <c r="P2387" t="s">
        <v>254</v>
      </c>
      <c r="Q2387" t="s">
        <v>8715</v>
      </c>
      <c r="R2387" s="1">
        <v>18780</v>
      </c>
      <c r="S2387" t="s">
        <v>16</v>
      </c>
      <c r="T2387" t="s">
        <v>16</v>
      </c>
      <c r="U2387" t="s">
        <v>3225</v>
      </c>
      <c r="V2387">
        <v>60000</v>
      </c>
      <c r="W2387">
        <v>2</v>
      </c>
      <c r="X2387" t="s">
        <v>57</v>
      </c>
      <c r="Y2387" t="s">
        <v>18</v>
      </c>
      <c r="Z2387" t="s">
        <v>23</v>
      </c>
      <c r="AA2387" t="s">
        <v>3577</v>
      </c>
      <c r="AB2387" t="s">
        <v>3578</v>
      </c>
      <c r="AC2387" t="s">
        <v>3579</v>
      </c>
      <c r="AD2387" t="s">
        <v>3478</v>
      </c>
      <c r="AE2387" t="s">
        <v>3475</v>
      </c>
      <c r="AF2387" s="2">
        <v>2071.4196000000002</v>
      </c>
      <c r="AG2387" s="2">
        <v>1117.8559</v>
      </c>
      <c r="AH2387" s="2">
        <v>953.56370000000004</v>
      </c>
      <c r="AI2387" s="3">
        <v>0.460343090313522</v>
      </c>
    </row>
    <row r="2388" spans="1:35">
      <c r="A2388" s="1">
        <v>42332</v>
      </c>
      <c r="B2388" s="1">
        <v>37477</v>
      </c>
      <c r="C2388" t="s">
        <v>5848</v>
      </c>
      <c r="D2388">
        <v>360</v>
      </c>
      <c r="E2388">
        <v>26530</v>
      </c>
      <c r="F2388">
        <v>1</v>
      </c>
      <c r="G2388">
        <v>1</v>
      </c>
      <c r="H2388">
        <v>1</v>
      </c>
      <c r="I2388">
        <v>1</v>
      </c>
      <c r="J2388" t="s">
        <v>3543</v>
      </c>
      <c r="K2388" t="s">
        <v>3544</v>
      </c>
      <c r="L2388" s="2">
        <v>1105.81</v>
      </c>
      <c r="M2388" s="2">
        <v>2049.0981999999999</v>
      </c>
      <c r="N2388" t="s">
        <v>30</v>
      </c>
      <c r="O2388" t="s">
        <v>1639</v>
      </c>
      <c r="P2388" t="s">
        <v>252</v>
      </c>
      <c r="Q2388" t="s">
        <v>8716</v>
      </c>
      <c r="R2388" s="1">
        <v>25275</v>
      </c>
      <c r="S2388" t="s">
        <v>16</v>
      </c>
      <c r="T2388" t="s">
        <v>29</v>
      </c>
      <c r="U2388" t="s">
        <v>3226</v>
      </c>
      <c r="V2388">
        <v>70000</v>
      </c>
      <c r="W2388">
        <v>5</v>
      </c>
      <c r="X2388" t="s">
        <v>135</v>
      </c>
      <c r="Y2388" t="s">
        <v>18</v>
      </c>
      <c r="Z2388" t="s">
        <v>23</v>
      </c>
      <c r="AA2388" t="s">
        <v>3577</v>
      </c>
      <c r="AB2388" t="s">
        <v>3578</v>
      </c>
      <c r="AC2388" t="s">
        <v>3579</v>
      </c>
      <c r="AD2388" t="s">
        <v>3478</v>
      </c>
      <c r="AE2388" t="s">
        <v>3475</v>
      </c>
      <c r="AF2388" s="2">
        <v>2049.0981999999999</v>
      </c>
      <c r="AG2388" s="2">
        <v>1105.81</v>
      </c>
      <c r="AH2388" s="2">
        <v>943.28819999999996</v>
      </c>
      <c r="AI2388" s="3">
        <v>0.46034309141455498</v>
      </c>
    </row>
    <row r="2389" spans="1:35">
      <c r="A2389" s="1">
        <v>42333</v>
      </c>
      <c r="B2389" s="1">
        <v>37522</v>
      </c>
      <c r="C2389" t="s">
        <v>5850</v>
      </c>
      <c r="D2389">
        <v>356</v>
      </c>
      <c r="E2389">
        <v>26532</v>
      </c>
      <c r="F2389">
        <v>4</v>
      </c>
      <c r="G2389">
        <v>1</v>
      </c>
      <c r="H2389">
        <v>1</v>
      </c>
      <c r="I2389">
        <v>1</v>
      </c>
      <c r="J2389" t="s">
        <v>3539</v>
      </c>
      <c r="K2389" t="s">
        <v>3540</v>
      </c>
      <c r="L2389" s="2">
        <v>1117.8559</v>
      </c>
      <c r="M2389" s="2">
        <v>2071.4196000000002</v>
      </c>
      <c r="N2389" t="s">
        <v>26</v>
      </c>
      <c r="O2389" t="s">
        <v>142</v>
      </c>
      <c r="P2389" t="s">
        <v>291</v>
      </c>
      <c r="Q2389" t="s">
        <v>8717</v>
      </c>
      <c r="R2389" s="1">
        <v>25093</v>
      </c>
      <c r="S2389" t="s">
        <v>22</v>
      </c>
      <c r="T2389" t="s">
        <v>29</v>
      </c>
      <c r="U2389" t="s">
        <v>3227</v>
      </c>
      <c r="V2389">
        <v>80000</v>
      </c>
      <c r="W2389">
        <v>0</v>
      </c>
      <c r="X2389" t="s">
        <v>17</v>
      </c>
      <c r="Y2389" t="s">
        <v>45</v>
      </c>
      <c r="Z2389" t="s">
        <v>23</v>
      </c>
      <c r="AA2389" t="s">
        <v>3580</v>
      </c>
      <c r="AB2389" t="s">
        <v>3578</v>
      </c>
      <c r="AC2389" t="s">
        <v>3579</v>
      </c>
      <c r="AD2389" t="s">
        <v>3478</v>
      </c>
      <c r="AE2389" t="s">
        <v>3475</v>
      </c>
      <c r="AF2389" s="2">
        <v>2071.4196000000002</v>
      </c>
      <c r="AG2389" s="2">
        <v>1117.8559</v>
      </c>
      <c r="AH2389" s="2">
        <v>953.56370000000004</v>
      </c>
      <c r="AI2389" s="3">
        <v>0.460343090313522</v>
      </c>
    </row>
    <row r="2390" spans="1:35">
      <c r="A2390" s="1">
        <v>42315</v>
      </c>
      <c r="B2390" s="1">
        <v>37538</v>
      </c>
      <c r="C2390" t="s">
        <v>5739</v>
      </c>
      <c r="D2390">
        <v>352</v>
      </c>
      <c r="E2390">
        <v>26534</v>
      </c>
      <c r="F2390">
        <v>4</v>
      </c>
      <c r="G2390">
        <v>1</v>
      </c>
      <c r="H2390">
        <v>1</v>
      </c>
      <c r="I2390">
        <v>1</v>
      </c>
      <c r="J2390" t="s">
        <v>3535</v>
      </c>
      <c r="K2390" t="s">
        <v>3536</v>
      </c>
      <c r="L2390" s="2">
        <v>1117.8559</v>
      </c>
      <c r="M2390" s="2">
        <v>2071.4196000000002</v>
      </c>
      <c r="N2390" t="s">
        <v>13</v>
      </c>
      <c r="O2390" t="s">
        <v>414</v>
      </c>
      <c r="P2390" t="s">
        <v>672</v>
      </c>
      <c r="Q2390" t="s">
        <v>8718</v>
      </c>
      <c r="R2390" s="1">
        <v>24879</v>
      </c>
      <c r="S2390" t="s">
        <v>22</v>
      </c>
      <c r="T2390" t="s">
        <v>16</v>
      </c>
      <c r="U2390" t="s">
        <v>3228</v>
      </c>
      <c r="V2390">
        <v>90000</v>
      </c>
      <c r="W2390">
        <v>4</v>
      </c>
      <c r="X2390" t="s">
        <v>17</v>
      </c>
      <c r="Y2390" t="s">
        <v>45</v>
      </c>
      <c r="Z2390" t="s">
        <v>19</v>
      </c>
      <c r="AA2390" t="s">
        <v>3580</v>
      </c>
      <c r="AB2390" t="s">
        <v>3578</v>
      </c>
      <c r="AC2390" t="s">
        <v>3579</v>
      </c>
      <c r="AD2390" t="s">
        <v>3478</v>
      </c>
      <c r="AE2390" t="s">
        <v>3475</v>
      </c>
      <c r="AF2390" s="2">
        <v>2071.4196000000002</v>
      </c>
      <c r="AG2390" s="2">
        <v>1117.8559</v>
      </c>
      <c r="AH2390" s="2">
        <v>953.56370000000004</v>
      </c>
      <c r="AI2390" s="3">
        <v>0.460343090313522</v>
      </c>
    </row>
    <row r="2391" spans="1:35">
      <c r="A2391" s="1">
        <v>42319</v>
      </c>
      <c r="B2391" s="1">
        <v>37545</v>
      </c>
      <c r="C2391" t="s">
        <v>5765</v>
      </c>
      <c r="D2391">
        <v>352</v>
      </c>
      <c r="E2391">
        <v>26536</v>
      </c>
      <c r="F2391">
        <v>4</v>
      </c>
      <c r="G2391">
        <v>1</v>
      </c>
      <c r="H2391">
        <v>1</v>
      </c>
      <c r="I2391">
        <v>1</v>
      </c>
      <c r="J2391" t="s">
        <v>3535</v>
      </c>
      <c r="K2391" t="s">
        <v>3536</v>
      </c>
      <c r="L2391" s="2">
        <v>1117.8559</v>
      </c>
      <c r="M2391" s="2">
        <v>2071.4196000000002</v>
      </c>
      <c r="N2391" t="s">
        <v>26</v>
      </c>
      <c r="O2391" t="s">
        <v>593</v>
      </c>
      <c r="P2391" t="s">
        <v>299</v>
      </c>
      <c r="Q2391" t="s">
        <v>8719</v>
      </c>
      <c r="R2391" s="1">
        <v>24750</v>
      </c>
      <c r="S2391" t="s">
        <v>22</v>
      </c>
      <c r="T2391" t="s">
        <v>29</v>
      </c>
      <c r="U2391" t="s">
        <v>3229</v>
      </c>
      <c r="V2391">
        <v>100000</v>
      </c>
      <c r="W2391">
        <v>0</v>
      </c>
      <c r="X2391" t="s">
        <v>17</v>
      </c>
      <c r="Y2391" t="s">
        <v>45</v>
      </c>
      <c r="Z2391" t="s">
        <v>19</v>
      </c>
      <c r="AA2391" t="s">
        <v>3580</v>
      </c>
      <c r="AB2391" t="s">
        <v>3578</v>
      </c>
      <c r="AC2391" t="s">
        <v>3579</v>
      </c>
      <c r="AD2391" t="s">
        <v>3478</v>
      </c>
      <c r="AE2391" t="s">
        <v>3475</v>
      </c>
      <c r="AF2391" s="2">
        <v>2071.4196000000002</v>
      </c>
      <c r="AG2391" s="2">
        <v>1117.8559</v>
      </c>
      <c r="AH2391" s="2">
        <v>953.56370000000004</v>
      </c>
      <c r="AI2391" s="3">
        <v>0.460343090313522</v>
      </c>
    </row>
    <row r="2392" spans="1:35">
      <c r="A2392" s="1">
        <v>42327</v>
      </c>
      <c r="B2392" s="1">
        <v>37464</v>
      </c>
      <c r="C2392" t="s">
        <v>5813</v>
      </c>
      <c r="D2392">
        <v>358</v>
      </c>
      <c r="E2392">
        <v>26537</v>
      </c>
      <c r="F2392">
        <v>1</v>
      </c>
      <c r="G2392">
        <v>1</v>
      </c>
      <c r="H2392">
        <v>1</v>
      </c>
      <c r="I2392">
        <v>1</v>
      </c>
      <c r="J2392" t="s">
        <v>3541</v>
      </c>
      <c r="K2392" t="s">
        <v>3542</v>
      </c>
      <c r="L2392" s="2">
        <v>1105.81</v>
      </c>
      <c r="M2392" s="2">
        <v>2049.0981999999999</v>
      </c>
      <c r="N2392" t="s">
        <v>13</v>
      </c>
      <c r="O2392" t="s">
        <v>54</v>
      </c>
      <c r="P2392" t="s">
        <v>187</v>
      </c>
      <c r="Q2392" t="s">
        <v>8720</v>
      </c>
      <c r="R2392" s="1">
        <v>24577</v>
      </c>
      <c r="S2392" t="s">
        <v>22</v>
      </c>
      <c r="T2392" t="s">
        <v>16</v>
      </c>
      <c r="U2392" t="s">
        <v>3230</v>
      </c>
      <c r="V2392">
        <v>100000</v>
      </c>
      <c r="W2392">
        <v>1</v>
      </c>
      <c r="X2392" t="s">
        <v>17</v>
      </c>
      <c r="Y2392" t="s">
        <v>45</v>
      </c>
      <c r="Z2392" t="s">
        <v>19</v>
      </c>
      <c r="AA2392" t="s">
        <v>3577</v>
      </c>
      <c r="AB2392" t="s">
        <v>3578</v>
      </c>
      <c r="AC2392" t="s">
        <v>3579</v>
      </c>
      <c r="AD2392" t="s">
        <v>3478</v>
      </c>
      <c r="AE2392" t="s">
        <v>3475</v>
      </c>
      <c r="AF2392" s="2">
        <v>2049.0981999999999</v>
      </c>
      <c r="AG2392" s="2">
        <v>1105.81</v>
      </c>
      <c r="AH2392" s="2">
        <v>943.28819999999996</v>
      </c>
      <c r="AI2392" s="3">
        <v>0.46034309141455498</v>
      </c>
    </row>
    <row r="2393" spans="1:35">
      <c r="A2393" s="1">
        <v>42328</v>
      </c>
      <c r="B2393" s="1">
        <v>37543</v>
      </c>
      <c r="C2393" t="s">
        <v>5822</v>
      </c>
      <c r="D2393">
        <v>352</v>
      </c>
      <c r="E2393">
        <v>26538</v>
      </c>
      <c r="F2393">
        <v>4</v>
      </c>
      <c r="G2393">
        <v>1</v>
      </c>
      <c r="H2393">
        <v>1</v>
      </c>
      <c r="I2393">
        <v>1</v>
      </c>
      <c r="J2393" t="s">
        <v>3535</v>
      </c>
      <c r="K2393" t="s">
        <v>3536</v>
      </c>
      <c r="L2393" s="2">
        <v>1117.8559</v>
      </c>
      <c r="M2393" s="2">
        <v>2071.4196000000002</v>
      </c>
      <c r="N2393" t="s">
        <v>13</v>
      </c>
      <c r="O2393" t="s">
        <v>836</v>
      </c>
      <c r="P2393" t="s">
        <v>866</v>
      </c>
      <c r="Q2393" t="s">
        <v>8721</v>
      </c>
      <c r="R2393" s="1">
        <v>25160</v>
      </c>
      <c r="S2393" t="s">
        <v>16</v>
      </c>
      <c r="T2393" t="s">
        <v>16</v>
      </c>
      <c r="U2393" t="s">
        <v>3231</v>
      </c>
      <c r="V2393">
        <v>110000</v>
      </c>
      <c r="W2393">
        <v>2</v>
      </c>
      <c r="X2393" t="s">
        <v>135</v>
      </c>
      <c r="Y2393" t="s">
        <v>45</v>
      </c>
      <c r="Z2393" t="s">
        <v>19</v>
      </c>
      <c r="AA2393" t="s">
        <v>3580</v>
      </c>
      <c r="AB2393" t="s">
        <v>3578</v>
      </c>
      <c r="AC2393" t="s">
        <v>3579</v>
      </c>
      <c r="AD2393" t="s">
        <v>3478</v>
      </c>
      <c r="AE2393" t="s">
        <v>3475</v>
      </c>
      <c r="AF2393" s="2">
        <v>2071.4196000000002</v>
      </c>
      <c r="AG2393" s="2">
        <v>1117.8559</v>
      </c>
      <c r="AH2393" s="2">
        <v>953.56370000000004</v>
      </c>
      <c r="AI2393" s="3">
        <v>0.460343090313522</v>
      </c>
    </row>
    <row r="2394" spans="1:35">
      <c r="A2394" s="1">
        <v>42321</v>
      </c>
      <c r="B2394" s="1">
        <v>37515</v>
      </c>
      <c r="C2394" t="s">
        <v>5779</v>
      </c>
      <c r="D2394">
        <v>362</v>
      </c>
      <c r="E2394">
        <v>26539</v>
      </c>
      <c r="F2394">
        <v>4</v>
      </c>
      <c r="G2394">
        <v>1</v>
      </c>
      <c r="H2394">
        <v>1</v>
      </c>
      <c r="I2394">
        <v>1</v>
      </c>
      <c r="J2394" t="s">
        <v>3545</v>
      </c>
      <c r="K2394" t="s">
        <v>3546</v>
      </c>
      <c r="L2394" s="2">
        <v>1105.81</v>
      </c>
      <c r="M2394" s="2">
        <v>2049.0981999999999</v>
      </c>
      <c r="N2394" t="s">
        <v>30</v>
      </c>
      <c r="O2394" t="s">
        <v>793</v>
      </c>
      <c r="P2394" t="s">
        <v>505</v>
      </c>
      <c r="Q2394" t="s">
        <v>8722</v>
      </c>
      <c r="R2394" s="1">
        <v>24953</v>
      </c>
      <c r="S2394" t="s">
        <v>22</v>
      </c>
      <c r="T2394" t="s">
        <v>29</v>
      </c>
      <c r="U2394" t="s">
        <v>3232</v>
      </c>
      <c r="V2394">
        <v>130000</v>
      </c>
      <c r="W2394">
        <v>1</v>
      </c>
      <c r="X2394" t="s">
        <v>135</v>
      </c>
      <c r="Y2394" t="s">
        <v>45</v>
      </c>
      <c r="Z2394" t="s">
        <v>23</v>
      </c>
      <c r="AA2394" t="s">
        <v>3580</v>
      </c>
      <c r="AB2394" t="s">
        <v>3578</v>
      </c>
      <c r="AC2394" t="s">
        <v>3579</v>
      </c>
      <c r="AD2394" t="s">
        <v>3478</v>
      </c>
      <c r="AE2394" t="s">
        <v>3475</v>
      </c>
      <c r="AF2394" s="2">
        <v>2049.0981999999999</v>
      </c>
      <c r="AG2394" s="2">
        <v>1105.81</v>
      </c>
      <c r="AH2394" s="2">
        <v>943.28819999999996</v>
      </c>
      <c r="AI2394" s="3">
        <v>0.46034309141455498</v>
      </c>
    </row>
    <row r="2395" spans="1:35">
      <c r="A2395" s="1">
        <v>42338</v>
      </c>
      <c r="B2395" s="1">
        <v>37514</v>
      </c>
      <c r="C2395" t="s">
        <v>5894</v>
      </c>
      <c r="D2395">
        <v>362</v>
      </c>
      <c r="E2395">
        <v>26540</v>
      </c>
      <c r="F2395">
        <v>4</v>
      </c>
      <c r="G2395">
        <v>1</v>
      </c>
      <c r="H2395">
        <v>1</v>
      </c>
      <c r="I2395">
        <v>1</v>
      </c>
      <c r="J2395" t="s">
        <v>3545</v>
      </c>
      <c r="K2395" t="s">
        <v>3546</v>
      </c>
      <c r="L2395" s="2">
        <v>1105.81</v>
      </c>
      <c r="M2395" s="2">
        <v>2049.0981999999999</v>
      </c>
      <c r="N2395" t="s">
        <v>30</v>
      </c>
      <c r="O2395" t="s">
        <v>595</v>
      </c>
      <c r="P2395" t="s">
        <v>109</v>
      </c>
      <c r="Q2395" t="s">
        <v>8723</v>
      </c>
      <c r="R2395" s="1">
        <v>25133</v>
      </c>
      <c r="S2395" t="s">
        <v>22</v>
      </c>
      <c r="T2395" t="s">
        <v>29</v>
      </c>
      <c r="U2395" t="s">
        <v>3233</v>
      </c>
      <c r="V2395">
        <v>170000</v>
      </c>
      <c r="W2395">
        <v>1</v>
      </c>
      <c r="X2395" t="s">
        <v>135</v>
      </c>
      <c r="Y2395" t="s">
        <v>45</v>
      </c>
      <c r="Z2395" t="s">
        <v>23</v>
      </c>
      <c r="AA2395" t="s">
        <v>3580</v>
      </c>
      <c r="AB2395" t="s">
        <v>3578</v>
      </c>
      <c r="AC2395" t="s">
        <v>3579</v>
      </c>
      <c r="AD2395" t="s">
        <v>3478</v>
      </c>
      <c r="AE2395" t="s">
        <v>3475</v>
      </c>
      <c r="AF2395" s="2">
        <v>2049.0981999999999</v>
      </c>
      <c r="AG2395" s="2">
        <v>1105.81</v>
      </c>
      <c r="AH2395" s="2">
        <v>943.28819999999996</v>
      </c>
      <c r="AI2395" s="3">
        <v>0.46034309141455498</v>
      </c>
    </row>
    <row r="2396" spans="1:35">
      <c r="A2396" s="1">
        <v>42323</v>
      </c>
      <c r="B2396" s="1">
        <v>37511</v>
      </c>
      <c r="C2396" t="s">
        <v>5788</v>
      </c>
      <c r="D2396">
        <v>354</v>
      </c>
      <c r="E2396">
        <v>26545</v>
      </c>
      <c r="F2396">
        <v>4</v>
      </c>
      <c r="G2396">
        <v>1</v>
      </c>
      <c r="H2396">
        <v>1</v>
      </c>
      <c r="I2396">
        <v>1</v>
      </c>
      <c r="J2396" t="s">
        <v>3537</v>
      </c>
      <c r="K2396" t="s">
        <v>3538</v>
      </c>
      <c r="L2396" s="2">
        <v>1117.8559</v>
      </c>
      <c r="M2396" s="2">
        <v>2071.4196000000002</v>
      </c>
      <c r="N2396" t="s">
        <v>26</v>
      </c>
      <c r="O2396" t="s">
        <v>254</v>
      </c>
      <c r="P2396" t="s">
        <v>199</v>
      </c>
      <c r="Q2396" t="s">
        <v>8724</v>
      </c>
      <c r="R2396" s="1">
        <v>28498</v>
      </c>
      <c r="S2396" t="s">
        <v>16</v>
      </c>
      <c r="T2396" t="s">
        <v>29</v>
      </c>
      <c r="U2396" t="s">
        <v>3234</v>
      </c>
      <c r="V2396">
        <v>60000</v>
      </c>
      <c r="W2396">
        <v>0</v>
      </c>
      <c r="X2396" t="s">
        <v>52</v>
      </c>
      <c r="Y2396" t="s">
        <v>53</v>
      </c>
      <c r="Z2396" t="s">
        <v>23</v>
      </c>
      <c r="AA2396" t="s">
        <v>3580</v>
      </c>
      <c r="AB2396" t="s">
        <v>3578</v>
      </c>
      <c r="AC2396" t="s">
        <v>3579</v>
      </c>
      <c r="AD2396" t="s">
        <v>3478</v>
      </c>
      <c r="AE2396" t="s">
        <v>3475</v>
      </c>
      <c r="AF2396" s="2">
        <v>2071.4196000000002</v>
      </c>
      <c r="AG2396" s="2">
        <v>1117.8559</v>
      </c>
      <c r="AH2396" s="2">
        <v>953.56370000000004</v>
      </c>
      <c r="AI2396" s="3">
        <v>0.460343090313522</v>
      </c>
    </row>
    <row r="2397" spans="1:35">
      <c r="A2397" s="1">
        <v>42310</v>
      </c>
      <c r="B2397" s="1">
        <v>37484</v>
      </c>
      <c r="C2397" t="s">
        <v>5714</v>
      </c>
      <c r="D2397">
        <v>356</v>
      </c>
      <c r="E2397">
        <v>26546</v>
      </c>
      <c r="F2397">
        <v>4</v>
      </c>
      <c r="G2397">
        <v>1</v>
      </c>
      <c r="H2397">
        <v>1</v>
      </c>
      <c r="I2397">
        <v>1</v>
      </c>
      <c r="J2397" t="s">
        <v>3539</v>
      </c>
      <c r="K2397" t="s">
        <v>3540</v>
      </c>
      <c r="L2397" s="2">
        <v>1117.8559</v>
      </c>
      <c r="M2397" s="2">
        <v>2071.4196000000002</v>
      </c>
      <c r="N2397" t="s">
        <v>13</v>
      </c>
      <c r="O2397" t="s">
        <v>483</v>
      </c>
      <c r="P2397" t="s">
        <v>49</v>
      </c>
      <c r="Q2397" t="s">
        <v>8725</v>
      </c>
      <c r="R2397" s="1">
        <v>28667</v>
      </c>
      <c r="S2397" t="s">
        <v>16</v>
      </c>
      <c r="T2397" t="s">
        <v>16</v>
      </c>
      <c r="U2397" t="s">
        <v>3235</v>
      </c>
      <c r="V2397">
        <v>60000</v>
      </c>
      <c r="W2397">
        <v>0</v>
      </c>
      <c r="X2397" t="s">
        <v>52</v>
      </c>
      <c r="Y2397" t="s">
        <v>53</v>
      </c>
      <c r="Z2397" t="s">
        <v>19</v>
      </c>
      <c r="AA2397" t="s">
        <v>3580</v>
      </c>
      <c r="AB2397" t="s">
        <v>3578</v>
      </c>
      <c r="AC2397" t="s">
        <v>3579</v>
      </c>
      <c r="AD2397" t="s">
        <v>3478</v>
      </c>
      <c r="AE2397" t="s">
        <v>3475</v>
      </c>
      <c r="AF2397" s="2">
        <v>2071.4196000000002</v>
      </c>
      <c r="AG2397" s="2">
        <v>1117.8559</v>
      </c>
      <c r="AH2397" s="2">
        <v>953.56370000000004</v>
      </c>
      <c r="AI2397" s="3">
        <v>0.460343090313522</v>
      </c>
    </row>
    <row r="2398" spans="1:35">
      <c r="A2398" s="1">
        <v>42358</v>
      </c>
      <c r="B2398" s="1">
        <v>37513</v>
      </c>
      <c r="C2398" t="s">
        <v>6109</v>
      </c>
      <c r="D2398">
        <v>336</v>
      </c>
      <c r="E2398">
        <v>26547</v>
      </c>
      <c r="F2398">
        <v>9</v>
      </c>
      <c r="G2398">
        <v>1</v>
      </c>
      <c r="H2398">
        <v>1</v>
      </c>
      <c r="I2398">
        <v>2</v>
      </c>
      <c r="J2398" t="s">
        <v>3511</v>
      </c>
      <c r="K2398" t="s">
        <v>3512</v>
      </c>
      <c r="L2398" s="2">
        <v>413.1463</v>
      </c>
      <c r="M2398" s="2">
        <v>699.09820000000002</v>
      </c>
      <c r="N2398" t="s">
        <v>30</v>
      </c>
      <c r="O2398" t="s">
        <v>755</v>
      </c>
      <c r="P2398" t="s">
        <v>75</v>
      </c>
      <c r="Q2398" t="s">
        <v>8726</v>
      </c>
      <c r="R2398" s="1">
        <v>16931</v>
      </c>
      <c r="S2398" t="s">
        <v>22</v>
      </c>
      <c r="T2398" t="s">
        <v>29</v>
      </c>
      <c r="U2398" t="s">
        <v>3236</v>
      </c>
      <c r="V2398">
        <v>30000</v>
      </c>
      <c r="W2398">
        <v>2</v>
      </c>
      <c r="X2398" t="s">
        <v>52</v>
      </c>
      <c r="Y2398" t="s">
        <v>60</v>
      </c>
      <c r="Z2398" t="s">
        <v>23</v>
      </c>
      <c r="AA2398" t="s">
        <v>3586</v>
      </c>
      <c r="AB2398" t="s">
        <v>3586</v>
      </c>
      <c r="AC2398" t="s">
        <v>3587</v>
      </c>
      <c r="AD2398" t="s">
        <v>3479</v>
      </c>
      <c r="AE2398" t="s">
        <v>3475</v>
      </c>
      <c r="AF2398" s="2">
        <v>699.09820000000002</v>
      </c>
      <c r="AG2398" s="2">
        <v>413.1463</v>
      </c>
      <c r="AH2398" s="2">
        <v>285.95190000000002</v>
      </c>
      <c r="AI2398" s="3">
        <v>0.409029661355157</v>
      </c>
    </row>
    <row r="2399" spans="1:35">
      <c r="A2399" s="1">
        <v>42363</v>
      </c>
      <c r="B2399" s="1">
        <v>37501</v>
      </c>
      <c r="C2399" t="s">
        <v>6162</v>
      </c>
      <c r="D2399">
        <v>334</v>
      </c>
      <c r="E2399">
        <v>26548</v>
      </c>
      <c r="F2399">
        <v>9</v>
      </c>
      <c r="G2399">
        <v>1</v>
      </c>
      <c r="H2399">
        <v>1</v>
      </c>
      <c r="I2399">
        <v>2</v>
      </c>
      <c r="J2399" t="s">
        <v>3509</v>
      </c>
      <c r="K2399" t="s">
        <v>3510</v>
      </c>
      <c r="L2399" s="2">
        <v>413.1463</v>
      </c>
      <c r="M2399" s="2">
        <v>699.09820000000002</v>
      </c>
      <c r="N2399" t="s">
        <v>13</v>
      </c>
      <c r="O2399" t="s">
        <v>158</v>
      </c>
      <c r="P2399" t="s">
        <v>40</v>
      </c>
      <c r="Q2399" t="s">
        <v>8727</v>
      </c>
      <c r="R2399" s="1">
        <v>17298</v>
      </c>
      <c r="S2399" t="s">
        <v>22</v>
      </c>
      <c r="T2399" t="s">
        <v>16</v>
      </c>
      <c r="U2399" t="s">
        <v>3237</v>
      </c>
      <c r="V2399">
        <v>20000</v>
      </c>
      <c r="W2399">
        <v>4</v>
      </c>
      <c r="X2399" t="s">
        <v>57</v>
      </c>
      <c r="Y2399" t="s">
        <v>53</v>
      </c>
      <c r="Z2399" t="s">
        <v>23</v>
      </c>
      <c r="AA2399" t="s">
        <v>3586</v>
      </c>
      <c r="AB2399" t="s">
        <v>3586</v>
      </c>
      <c r="AC2399" t="s">
        <v>3587</v>
      </c>
      <c r="AD2399" t="s">
        <v>3479</v>
      </c>
      <c r="AE2399" t="s">
        <v>3475</v>
      </c>
      <c r="AF2399" s="2">
        <v>699.09820000000002</v>
      </c>
      <c r="AG2399" s="2">
        <v>413.1463</v>
      </c>
      <c r="AH2399" s="2">
        <v>285.95190000000002</v>
      </c>
      <c r="AI2399" s="3">
        <v>0.409029661355157</v>
      </c>
    </row>
    <row r="2400" spans="1:35">
      <c r="A2400" s="1">
        <v>42365</v>
      </c>
      <c r="B2400" s="1">
        <v>37571</v>
      </c>
      <c r="C2400" t="s">
        <v>6182</v>
      </c>
      <c r="D2400">
        <v>338</v>
      </c>
      <c r="E2400">
        <v>26549</v>
      </c>
      <c r="F2400">
        <v>9</v>
      </c>
      <c r="G2400">
        <v>1</v>
      </c>
      <c r="H2400">
        <v>1</v>
      </c>
      <c r="I2400">
        <v>2</v>
      </c>
      <c r="J2400" t="s">
        <v>3513</v>
      </c>
      <c r="K2400" t="s">
        <v>3514</v>
      </c>
      <c r="L2400" s="2">
        <v>413.1463</v>
      </c>
      <c r="M2400" s="2">
        <v>699.09820000000002</v>
      </c>
      <c r="N2400" t="s">
        <v>13</v>
      </c>
      <c r="O2400" t="s">
        <v>802</v>
      </c>
      <c r="P2400" t="s">
        <v>538</v>
      </c>
      <c r="Q2400" t="s">
        <v>8728</v>
      </c>
      <c r="R2400" s="1">
        <v>17760</v>
      </c>
      <c r="S2400" t="s">
        <v>22</v>
      </c>
      <c r="T2400" t="s">
        <v>16</v>
      </c>
      <c r="U2400" t="s">
        <v>3238</v>
      </c>
      <c r="V2400">
        <v>20000</v>
      </c>
      <c r="W2400">
        <v>2</v>
      </c>
      <c r="X2400" t="s">
        <v>77</v>
      </c>
      <c r="Y2400" t="s">
        <v>60</v>
      </c>
      <c r="Z2400" t="s">
        <v>19</v>
      </c>
      <c r="AA2400" t="s">
        <v>3586</v>
      </c>
      <c r="AB2400" t="s">
        <v>3586</v>
      </c>
      <c r="AC2400" t="s">
        <v>3587</v>
      </c>
      <c r="AD2400" t="s">
        <v>3479</v>
      </c>
      <c r="AE2400" t="s">
        <v>3475</v>
      </c>
      <c r="AF2400" s="2">
        <v>699.09820000000002</v>
      </c>
      <c r="AG2400" s="2">
        <v>413.1463</v>
      </c>
      <c r="AH2400" s="2">
        <v>285.95190000000002</v>
      </c>
      <c r="AI2400" s="3">
        <v>0.409029661355157</v>
      </c>
    </row>
    <row r="2401" spans="1:35">
      <c r="A2401" s="1">
        <v>42350</v>
      </c>
      <c r="B2401" s="1">
        <v>37500</v>
      </c>
      <c r="C2401" t="s">
        <v>6023</v>
      </c>
      <c r="D2401">
        <v>328</v>
      </c>
      <c r="E2401">
        <v>26560</v>
      </c>
      <c r="F2401">
        <v>9</v>
      </c>
      <c r="G2401">
        <v>1</v>
      </c>
      <c r="H2401">
        <v>1</v>
      </c>
      <c r="I2401">
        <v>2</v>
      </c>
      <c r="J2401" t="s">
        <v>3503</v>
      </c>
      <c r="K2401" t="s">
        <v>3504</v>
      </c>
      <c r="L2401" s="2">
        <v>413.1463</v>
      </c>
      <c r="M2401" s="2">
        <v>699.09820000000002</v>
      </c>
      <c r="N2401" t="s">
        <v>30</v>
      </c>
      <c r="O2401" t="s">
        <v>1265</v>
      </c>
      <c r="P2401" t="s">
        <v>271</v>
      </c>
      <c r="Q2401" t="s">
        <v>8729</v>
      </c>
      <c r="R2401" s="1">
        <v>18783</v>
      </c>
      <c r="S2401" t="s">
        <v>16</v>
      </c>
      <c r="T2401" t="s">
        <v>29</v>
      </c>
      <c r="U2401" t="s">
        <v>3239</v>
      </c>
      <c r="V2401">
        <v>20000</v>
      </c>
      <c r="W2401">
        <v>2</v>
      </c>
      <c r="X2401" t="s">
        <v>77</v>
      </c>
      <c r="Y2401" t="s">
        <v>60</v>
      </c>
      <c r="Z2401" t="s">
        <v>19</v>
      </c>
      <c r="AA2401" t="s">
        <v>3586</v>
      </c>
      <c r="AB2401" t="s">
        <v>3586</v>
      </c>
      <c r="AC2401" t="s">
        <v>3587</v>
      </c>
      <c r="AD2401" t="s">
        <v>3479</v>
      </c>
      <c r="AE2401" t="s">
        <v>3475</v>
      </c>
      <c r="AF2401" s="2">
        <v>699.09820000000002</v>
      </c>
      <c r="AG2401" s="2">
        <v>413.1463</v>
      </c>
      <c r="AH2401" s="2">
        <v>285.95190000000002</v>
      </c>
      <c r="AI2401" s="3">
        <v>0.409029661355157</v>
      </c>
    </row>
    <row r="2402" spans="1:35">
      <c r="A2402" s="1">
        <v>42352</v>
      </c>
      <c r="B2402" s="1">
        <v>37503</v>
      </c>
      <c r="C2402" t="s">
        <v>6050</v>
      </c>
      <c r="D2402">
        <v>326</v>
      </c>
      <c r="E2402">
        <v>26561</v>
      </c>
      <c r="F2402">
        <v>9</v>
      </c>
      <c r="G2402">
        <v>1</v>
      </c>
      <c r="H2402">
        <v>1</v>
      </c>
      <c r="I2402">
        <v>2</v>
      </c>
      <c r="J2402" t="s">
        <v>3501</v>
      </c>
      <c r="K2402" t="s">
        <v>3502</v>
      </c>
      <c r="L2402" s="2">
        <v>413.1463</v>
      </c>
      <c r="M2402" s="2">
        <v>699.09820000000002</v>
      </c>
      <c r="N2402" t="s">
        <v>30</v>
      </c>
      <c r="O2402" t="s">
        <v>278</v>
      </c>
      <c r="P2402" t="s">
        <v>407</v>
      </c>
      <c r="Q2402" t="s">
        <v>8730</v>
      </c>
      <c r="R2402" s="1">
        <v>18754</v>
      </c>
      <c r="S2402" t="s">
        <v>16</v>
      </c>
      <c r="T2402" t="s">
        <v>29</v>
      </c>
      <c r="U2402" t="s">
        <v>3240</v>
      </c>
      <c r="V2402">
        <v>20000</v>
      </c>
      <c r="W2402">
        <v>2</v>
      </c>
      <c r="X2402" t="s">
        <v>77</v>
      </c>
      <c r="Y2402" t="s">
        <v>60</v>
      </c>
      <c r="Z2402" t="s">
        <v>19</v>
      </c>
      <c r="AA2402" t="s">
        <v>3586</v>
      </c>
      <c r="AB2402" t="s">
        <v>3586</v>
      </c>
      <c r="AC2402" t="s">
        <v>3587</v>
      </c>
      <c r="AD2402" t="s">
        <v>3479</v>
      </c>
      <c r="AE2402" t="s">
        <v>3475</v>
      </c>
      <c r="AF2402" s="2">
        <v>699.09820000000002</v>
      </c>
      <c r="AG2402" s="2">
        <v>413.1463</v>
      </c>
      <c r="AH2402" s="2">
        <v>285.95190000000002</v>
      </c>
      <c r="AI2402" s="3">
        <v>0.409029661355157</v>
      </c>
    </row>
    <row r="2403" spans="1:35">
      <c r="A2403" s="1">
        <v>42352</v>
      </c>
      <c r="B2403" s="1">
        <v>37558</v>
      </c>
      <c r="C2403" t="s">
        <v>6048</v>
      </c>
      <c r="D2403">
        <v>340</v>
      </c>
      <c r="E2403">
        <v>26562</v>
      </c>
      <c r="F2403">
        <v>9</v>
      </c>
      <c r="G2403">
        <v>1</v>
      </c>
      <c r="H2403">
        <v>1</v>
      </c>
      <c r="I2403">
        <v>2</v>
      </c>
      <c r="J2403" t="s">
        <v>3515</v>
      </c>
      <c r="K2403" t="s">
        <v>3516</v>
      </c>
      <c r="L2403" s="2">
        <v>413.1463</v>
      </c>
      <c r="M2403" s="2">
        <v>699.09820000000002</v>
      </c>
      <c r="N2403" t="s">
        <v>13</v>
      </c>
      <c r="O2403" t="s">
        <v>263</v>
      </c>
      <c r="P2403" t="s">
        <v>66</v>
      </c>
      <c r="Q2403" t="s">
        <v>8731</v>
      </c>
      <c r="R2403" s="1">
        <v>19383</v>
      </c>
      <c r="S2403" t="s">
        <v>16</v>
      </c>
      <c r="T2403" t="s">
        <v>16</v>
      </c>
      <c r="U2403" t="s">
        <v>3241</v>
      </c>
      <c r="V2403">
        <v>40000</v>
      </c>
      <c r="W2403">
        <v>2</v>
      </c>
      <c r="X2403" t="s">
        <v>52</v>
      </c>
      <c r="Y2403" t="s">
        <v>53</v>
      </c>
      <c r="Z2403" t="s">
        <v>19</v>
      </c>
      <c r="AA2403" t="s">
        <v>3586</v>
      </c>
      <c r="AB2403" t="s">
        <v>3586</v>
      </c>
      <c r="AC2403" t="s">
        <v>3587</v>
      </c>
      <c r="AD2403" t="s">
        <v>3479</v>
      </c>
      <c r="AE2403" t="s">
        <v>3475</v>
      </c>
      <c r="AF2403" s="2">
        <v>699.09820000000002</v>
      </c>
      <c r="AG2403" s="2">
        <v>413.1463</v>
      </c>
      <c r="AH2403" s="2">
        <v>285.95190000000002</v>
      </c>
      <c r="AI2403" s="3">
        <v>0.409029661355157</v>
      </c>
    </row>
    <row r="2404" spans="1:35">
      <c r="A2404" s="1">
        <v>42369</v>
      </c>
      <c r="B2404" s="1">
        <v>37574</v>
      </c>
      <c r="C2404" t="s">
        <v>6220</v>
      </c>
      <c r="D2404">
        <v>324</v>
      </c>
      <c r="E2404">
        <v>26563</v>
      </c>
      <c r="F2404">
        <v>9</v>
      </c>
      <c r="G2404">
        <v>1</v>
      </c>
      <c r="H2404">
        <v>1</v>
      </c>
      <c r="I2404">
        <v>2</v>
      </c>
      <c r="J2404" t="s">
        <v>3499</v>
      </c>
      <c r="K2404" t="s">
        <v>3500</v>
      </c>
      <c r="L2404" s="2">
        <v>413.1463</v>
      </c>
      <c r="M2404" s="2">
        <v>699.09820000000002</v>
      </c>
      <c r="N2404" t="s">
        <v>13</v>
      </c>
      <c r="O2404" t="s">
        <v>661</v>
      </c>
      <c r="P2404" t="s">
        <v>450</v>
      </c>
      <c r="Q2404" t="s">
        <v>8732</v>
      </c>
      <c r="R2404" s="1">
        <v>19383</v>
      </c>
      <c r="S2404" t="s">
        <v>16</v>
      </c>
      <c r="T2404" t="s">
        <v>16</v>
      </c>
      <c r="U2404" t="s">
        <v>3242</v>
      </c>
      <c r="V2404">
        <v>40000</v>
      </c>
      <c r="W2404">
        <v>2</v>
      </c>
      <c r="X2404" t="s">
        <v>52</v>
      </c>
      <c r="Y2404" t="s">
        <v>53</v>
      </c>
      <c r="Z2404" t="s">
        <v>19</v>
      </c>
      <c r="AA2404" t="s">
        <v>3586</v>
      </c>
      <c r="AB2404" t="s">
        <v>3586</v>
      </c>
      <c r="AC2404" t="s">
        <v>3587</v>
      </c>
      <c r="AD2404" t="s">
        <v>3479</v>
      </c>
      <c r="AE2404" t="s">
        <v>3475</v>
      </c>
      <c r="AF2404" s="2">
        <v>699.09820000000002</v>
      </c>
      <c r="AG2404" s="2">
        <v>413.1463</v>
      </c>
      <c r="AH2404" s="2">
        <v>285.95190000000002</v>
      </c>
      <c r="AI2404" s="3">
        <v>0.409029661355157</v>
      </c>
    </row>
    <row r="2405" spans="1:35">
      <c r="A2405" s="1">
        <v>42348</v>
      </c>
      <c r="B2405" s="1">
        <v>37511</v>
      </c>
      <c r="C2405" t="s">
        <v>5992</v>
      </c>
      <c r="D2405">
        <v>334</v>
      </c>
      <c r="E2405">
        <v>26566</v>
      </c>
      <c r="F2405">
        <v>9</v>
      </c>
      <c r="G2405">
        <v>1</v>
      </c>
      <c r="H2405">
        <v>1</v>
      </c>
      <c r="I2405">
        <v>2</v>
      </c>
      <c r="J2405" t="s">
        <v>3509</v>
      </c>
      <c r="K2405" t="s">
        <v>3510</v>
      </c>
      <c r="L2405" s="2">
        <v>413.1463</v>
      </c>
      <c r="M2405" s="2">
        <v>699.09820000000002</v>
      </c>
      <c r="N2405" t="s">
        <v>30</v>
      </c>
      <c r="O2405" t="s">
        <v>218</v>
      </c>
      <c r="P2405" t="s">
        <v>686</v>
      </c>
      <c r="Q2405" t="s">
        <v>8733</v>
      </c>
      <c r="R2405" s="1">
        <v>19806</v>
      </c>
      <c r="S2405" t="s">
        <v>22</v>
      </c>
      <c r="T2405" t="s">
        <v>29</v>
      </c>
      <c r="U2405" t="s">
        <v>3243</v>
      </c>
      <c r="V2405">
        <v>40000</v>
      </c>
      <c r="W2405">
        <v>3</v>
      </c>
      <c r="X2405" t="s">
        <v>77</v>
      </c>
      <c r="Y2405" t="s">
        <v>60</v>
      </c>
      <c r="Z2405" t="s">
        <v>23</v>
      </c>
      <c r="AA2405" t="s">
        <v>3586</v>
      </c>
      <c r="AB2405" t="s">
        <v>3586</v>
      </c>
      <c r="AC2405" t="s">
        <v>3587</v>
      </c>
      <c r="AD2405" t="s">
        <v>3479</v>
      </c>
      <c r="AE2405" t="s">
        <v>3475</v>
      </c>
      <c r="AF2405" s="2">
        <v>699.09820000000002</v>
      </c>
      <c r="AG2405" s="2">
        <v>413.1463</v>
      </c>
      <c r="AH2405" s="2">
        <v>285.95190000000002</v>
      </c>
      <c r="AI2405" s="3">
        <v>0.409029661355157</v>
      </c>
    </row>
    <row r="2406" spans="1:35">
      <c r="A2406" s="1">
        <v>42347</v>
      </c>
      <c r="B2406" s="1">
        <v>37566</v>
      </c>
      <c r="C2406" t="s">
        <v>5989</v>
      </c>
      <c r="D2406">
        <v>330</v>
      </c>
      <c r="E2406">
        <v>26567</v>
      </c>
      <c r="F2406">
        <v>9</v>
      </c>
      <c r="G2406">
        <v>1</v>
      </c>
      <c r="H2406">
        <v>1</v>
      </c>
      <c r="I2406">
        <v>2</v>
      </c>
      <c r="J2406" t="s">
        <v>3505</v>
      </c>
      <c r="K2406" t="s">
        <v>3506</v>
      </c>
      <c r="L2406" s="2">
        <v>413.1463</v>
      </c>
      <c r="M2406" s="2">
        <v>699.09820000000002</v>
      </c>
      <c r="N2406" t="s">
        <v>30</v>
      </c>
      <c r="O2406" t="s">
        <v>132</v>
      </c>
      <c r="P2406" t="s">
        <v>59</v>
      </c>
      <c r="Q2406" t="s">
        <v>8734</v>
      </c>
      <c r="R2406" s="1">
        <v>20369</v>
      </c>
      <c r="S2406" t="s">
        <v>22</v>
      </c>
      <c r="T2406" t="s">
        <v>29</v>
      </c>
      <c r="U2406" t="s">
        <v>3244</v>
      </c>
      <c r="V2406">
        <v>80000</v>
      </c>
      <c r="W2406">
        <v>2</v>
      </c>
      <c r="X2406" t="s">
        <v>52</v>
      </c>
      <c r="Y2406" t="s">
        <v>53</v>
      </c>
      <c r="Z2406" t="s">
        <v>23</v>
      </c>
      <c r="AA2406" t="s">
        <v>3586</v>
      </c>
      <c r="AB2406" t="s">
        <v>3586</v>
      </c>
      <c r="AC2406" t="s">
        <v>3587</v>
      </c>
      <c r="AD2406" t="s">
        <v>3479</v>
      </c>
      <c r="AE2406" t="s">
        <v>3475</v>
      </c>
      <c r="AF2406" s="2">
        <v>699.09820000000002</v>
      </c>
      <c r="AG2406" s="2">
        <v>413.1463</v>
      </c>
      <c r="AH2406" s="2">
        <v>285.95190000000002</v>
      </c>
      <c r="AI2406" s="3">
        <v>0.409029661355157</v>
      </c>
    </row>
    <row r="2407" spans="1:35">
      <c r="A2407" s="1">
        <v>42355</v>
      </c>
      <c r="B2407" s="1">
        <v>37495</v>
      </c>
      <c r="C2407" t="s">
        <v>6081</v>
      </c>
      <c r="D2407">
        <v>322</v>
      </c>
      <c r="E2407">
        <v>26568</v>
      </c>
      <c r="F2407">
        <v>9</v>
      </c>
      <c r="G2407">
        <v>1</v>
      </c>
      <c r="H2407">
        <v>1</v>
      </c>
      <c r="I2407">
        <v>2</v>
      </c>
      <c r="J2407" t="s">
        <v>3497</v>
      </c>
      <c r="K2407" t="s">
        <v>3498</v>
      </c>
      <c r="L2407" s="2">
        <v>413.1463</v>
      </c>
      <c r="M2407" s="2">
        <v>699.09820000000002</v>
      </c>
      <c r="N2407" t="s">
        <v>73</v>
      </c>
      <c r="O2407" t="s">
        <v>391</v>
      </c>
      <c r="P2407" t="s">
        <v>1083</v>
      </c>
      <c r="Q2407" t="s">
        <v>8735</v>
      </c>
      <c r="R2407" s="1">
        <v>20312</v>
      </c>
      <c r="S2407" t="s">
        <v>22</v>
      </c>
      <c r="T2407" t="s">
        <v>76</v>
      </c>
      <c r="U2407" t="s">
        <v>3245</v>
      </c>
      <c r="V2407">
        <v>80000</v>
      </c>
      <c r="W2407">
        <v>2</v>
      </c>
      <c r="X2407" t="s">
        <v>52</v>
      </c>
      <c r="Y2407" t="s">
        <v>53</v>
      </c>
      <c r="Z2407" t="s">
        <v>19</v>
      </c>
      <c r="AA2407" t="s">
        <v>3586</v>
      </c>
      <c r="AB2407" t="s">
        <v>3586</v>
      </c>
      <c r="AC2407" t="s">
        <v>3587</v>
      </c>
      <c r="AD2407" t="s">
        <v>3479</v>
      </c>
      <c r="AE2407" t="s">
        <v>3475</v>
      </c>
      <c r="AF2407" s="2">
        <v>699.09820000000002</v>
      </c>
      <c r="AG2407" s="2">
        <v>413.1463</v>
      </c>
      <c r="AH2407" s="2">
        <v>285.95190000000002</v>
      </c>
      <c r="AI2407" s="3">
        <v>0.409029661355157</v>
      </c>
    </row>
    <row r="2408" spans="1:35">
      <c r="A2408" s="1">
        <v>42355</v>
      </c>
      <c r="B2408" s="1">
        <v>37538</v>
      </c>
      <c r="C2408" t="s">
        <v>6080</v>
      </c>
      <c r="D2408">
        <v>338</v>
      </c>
      <c r="E2408">
        <v>26569</v>
      </c>
      <c r="F2408">
        <v>9</v>
      </c>
      <c r="G2408">
        <v>1</v>
      </c>
      <c r="H2408">
        <v>1</v>
      </c>
      <c r="I2408">
        <v>2</v>
      </c>
      <c r="J2408" t="s">
        <v>3513</v>
      </c>
      <c r="K2408" t="s">
        <v>3514</v>
      </c>
      <c r="L2408" s="2">
        <v>413.1463</v>
      </c>
      <c r="M2408" s="2">
        <v>699.09820000000002</v>
      </c>
      <c r="N2408" t="s">
        <v>30</v>
      </c>
      <c r="O2408" t="s">
        <v>1405</v>
      </c>
      <c r="P2408" t="s">
        <v>109</v>
      </c>
      <c r="Q2408" t="s">
        <v>8736</v>
      </c>
      <c r="R2408" s="1">
        <v>20310</v>
      </c>
      <c r="S2408" t="s">
        <v>16</v>
      </c>
      <c r="T2408" t="s">
        <v>29</v>
      </c>
      <c r="U2408" t="s">
        <v>3246</v>
      </c>
      <c r="V2408">
        <v>80000</v>
      </c>
      <c r="W2408">
        <v>2</v>
      </c>
      <c r="X2408" t="s">
        <v>52</v>
      </c>
      <c r="Y2408" t="s">
        <v>53</v>
      </c>
      <c r="Z2408" t="s">
        <v>19</v>
      </c>
      <c r="AA2408" t="s">
        <v>3586</v>
      </c>
      <c r="AB2408" t="s">
        <v>3586</v>
      </c>
      <c r="AC2408" t="s">
        <v>3587</v>
      </c>
      <c r="AD2408" t="s">
        <v>3479</v>
      </c>
      <c r="AE2408" t="s">
        <v>3475</v>
      </c>
      <c r="AF2408" s="2">
        <v>699.09820000000002</v>
      </c>
      <c r="AG2408" s="2">
        <v>413.1463</v>
      </c>
      <c r="AH2408" s="2">
        <v>285.95190000000002</v>
      </c>
      <c r="AI2408" s="3">
        <v>0.409029661355157</v>
      </c>
    </row>
    <row r="2409" spans="1:35">
      <c r="A2409" s="1">
        <v>42358</v>
      </c>
      <c r="B2409" s="1">
        <v>37589</v>
      </c>
      <c r="C2409" t="s">
        <v>6114</v>
      </c>
      <c r="D2409">
        <v>334</v>
      </c>
      <c r="E2409">
        <v>26570</v>
      </c>
      <c r="F2409">
        <v>9</v>
      </c>
      <c r="G2409">
        <v>1</v>
      </c>
      <c r="H2409">
        <v>1</v>
      </c>
      <c r="I2409">
        <v>2</v>
      </c>
      <c r="J2409" t="s">
        <v>3509</v>
      </c>
      <c r="K2409" t="s">
        <v>3510</v>
      </c>
      <c r="L2409" s="2">
        <v>413.1463</v>
      </c>
      <c r="M2409" s="2">
        <v>699.09820000000002</v>
      </c>
      <c r="N2409" t="s">
        <v>13</v>
      </c>
      <c r="O2409" t="s">
        <v>274</v>
      </c>
      <c r="P2409" t="s">
        <v>422</v>
      </c>
      <c r="Q2409" t="s">
        <v>8737</v>
      </c>
      <c r="R2409" s="1">
        <v>20220</v>
      </c>
      <c r="S2409" t="s">
        <v>16</v>
      </c>
      <c r="T2409" t="s">
        <v>16</v>
      </c>
      <c r="U2409" t="s">
        <v>3247</v>
      </c>
      <c r="V2409">
        <v>80000</v>
      </c>
      <c r="W2409">
        <v>2</v>
      </c>
      <c r="X2409" t="s">
        <v>52</v>
      </c>
      <c r="Y2409" t="s">
        <v>53</v>
      </c>
      <c r="Z2409" t="s">
        <v>19</v>
      </c>
      <c r="AA2409" t="s">
        <v>3586</v>
      </c>
      <c r="AB2409" t="s">
        <v>3586</v>
      </c>
      <c r="AC2409" t="s">
        <v>3587</v>
      </c>
      <c r="AD2409" t="s">
        <v>3479</v>
      </c>
      <c r="AE2409" t="s">
        <v>3475</v>
      </c>
      <c r="AF2409" s="2">
        <v>699.09820000000002</v>
      </c>
      <c r="AG2409" s="2">
        <v>413.1463</v>
      </c>
      <c r="AH2409" s="2">
        <v>285.95190000000002</v>
      </c>
      <c r="AI2409" s="3">
        <v>0.409029661355157</v>
      </c>
    </row>
    <row r="2410" spans="1:35">
      <c r="A2410" s="1">
        <v>42354</v>
      </c>
      <c r="B2410" s="1">
        <v>37488</v>
      </c>
      <c r="C2410" t="s">
        <v>6071</v>
      </c>
      <c r="D2410">
        <v>334</v>
      </c>
      <c r="E2410">
        <v>26571</v>
      </c>
      <c r="F2410">
        <v>9</v>
      </c>
      <c r="G2410">
        <v>1</v>
      </c>
      <c r="H2410">
        <v>1</v>
      </c>
      <c r="I2410">
        <v>2</v>
      </c>
      <c r="J2410" t="s">
        <v>3509</v>
      </c>
      <c r="K2410" t="s">
        <v>3510</v>
      </c>
      <c r="L2410" s="2">
        <v>413.1463</v>
      </c>
      <c r="M2410" s="2">
        <v>699.09820000000002</v>
      </c>
      <c r="N2410" t="s">
        <v>30</v>
      </c>
      <c r="O2410" t="s">
        <v>475</v>
      </c>
      <c r="P2410" t="s">
        <v>490</v>
      </c>
      <c r="Q2410" t="s">
        <v>8738</v>
      </c>
      <c r="R2410" s="1">
        <v>20136</v>
      </c>
      <c r="S2410" t="s">
        <v>22</v>
      </c>
      <c r="T2410" t="s">
        <v>29</v>
      </c>
      <c r="U2410" t="s">
        <v>3248</v>
      </c>
      <c r="V2410">
        <v>80000</v>
      </c>
      <c r="W2410">
        <v>2</v>
      </c>
      <c r="X2410" t="s">
        <v>52</v>
      </c>
      <c r="Y2410" t="s">
        <v>53</v>
      </c>
      <c r="Z2410" t="s">
        <v>23</v>
      </c>
      <c r="AA2410" t="s">
        <v>3586</v>
      </c>
      <c r="AB2410" t="s">
        <v>3586</v>
      </c>
      <c r="AC2410" t="s">
        <v>3587</v>
      </c>
      <c r="AD2410" t="s">
        <v>3479</v>
      </c>
      <c r="AE2410" t="s">
        <v>3475</v>
      </c>
      <c r="AF2410" s="2">
        <v>699.09820000000002</v>
      </c>
      <c r="AG2410" s="2">
        <v>413.1463</v>
      </c>
      <c r="AH2410" s="2">
        <v>285.95190000000002</v>
      </c>
      <c r="AI2410" s="3">
        <v>0.409029661355157</v>
      </c>
    </row>
    <row r="2411" spans="1:35">
      <c r="A2411" s="1">
        <v>42319</v>
      </c>
      <c r="B2411" s="1">
        <v>37485</v>
      </c>
      <c r="C2411" t="s">
        <v>5771</v>
      </c>
      <c r="D2411">
        <v>362</v>
      </c>
      <c r="E2411">
        <v>26575</v>
      </c>
      <c r="F2411">
        <v>4</v>
      </c>
      <c r="G2411">
        <v>1</v>
      </c>
      <c r="H2411">
        <v>1</v>
      </c>
      <c r="I2411">
        <v>1</v>
      </c>
      <c r="J2411" t="s">
        <v>3545</v>
      </c>
      <c r="K2411" t="s">
        <v>3546</v>
      </c>
      <c r="L2411" s="2">
        <v>1105.81</v>
      </c>
      <c r="M2411" s="2">
        <v>2049.0981999999999</v>
      </c>
      <c r="N2411" t="s">
        <v>26</v>
      </c>
      <c r="O2411" t="s">
        <v>1179</v>
      </c>
      <c r="P2411" t="s">
        <v>95</v>
      </c>
      <c r="Q2411" t="s">
        <v>8739</v>
      </c>
      <c r="R2411" s="1">
        <v>27583</v>
      </c>
      <c r="S2411" t="s">
        <v>22</v>
      </c>
      <c r="T2411" t="s">
        <v>29</v>
      </c>
      <c r="U2411" t="s">
        <v>3249</v>
      </c>
      <c r="V2411">
        <v>40000</v>
      </c>
      <c r="W2411">
        <v>0</v>
      </c>
      <c r="X2411" t="s">
        <v>57</v>
      </c>
      <c r="Y2411" t="s">
        <v>53</v>
      </c>
      <c r="Z2411" t="s">
        <v>23</v>
      </c>
      <c r="AA2411" t="s">
        <v>3580</v>
      </c>
      <c r="AB2411" t="s">
        <v>3578</v>
      </c>
      <c r="AC2411" t="s">
        <v>3579</v>
      </c>
      <c r="AD2411" t="s">
        <v>3478</v>
      </c>
      <c r="AE2411" t="s">
        <v>3475</v>
      </c>
      <c r="AF2411" s="2">
        <v>2049.0981999999999</v>
      </c>
      <c r="AG2411" s="2">
        <v>1105.81</v>
      </c>
      <c r="AH2411" s="2">
        <v>943.28819999999996</v>
      </c>
      <c r="AI2411" s="3">
        <v>0.46034309141455498</v>
      </c>
    </row>
    <row r="2412" spans="1:35">
      <c r="A2412" s="1">
        <v>42332</v>
      </c>
      <c r="B2412" s="1">
        <v>37534</v>
      </c>
      <c r="C2412" t="s">
        <v>5843</v>
      </c>
      <c r="D2412">
        <v>362</v>
      </c>
      <c r="E2412">
        <v>26579</v>
      </c>
      <c r="F2412">
        <v>4</v>
      </c>
      <c r="G2412">
        <v>1</v>
      </c>
      <c r="H2412">
        <v>1</v>
      </c>
      <c r="I2412">
        <v>1</v>
      </c>
      <c r="J2412" t="s">
        <v>3545</v>
      </c>
      <c r="K2412" t="s">
        <v>3546</v>
      </c>
      <c r="L2412" s="2">
        <v>1105.81</v>
      </c>
      <c r="M2412" s="2">
        <v>2049.0981999999999</v>
      </c>
      <c r="N2412" t="s">
        <v>13</v>
      </c>
      <c r="O2412" t="s">
        <v>274</v>
      </c>
      <c r="P2412" t="s">
        <v>505</v>
      </c>
      <c r="Q2412" t="s">
        <v>8740</v>
      </c>
      <c r="R2412" s="1">
        <v>27171</v>
      </c>
      <c r="S2412" t="s">
        <v>22</v>
      </c>
      <c r="T2412" t="s">
        <v>16</v>
      </c>
      <c r="U2412" t="s">
        <v>3250</v>
      </c>
      <c r="V2412">
        <v>50000</v>
      </c>
      <c r="W2412">
        <v>0</v>
      </c>
      <c r="X2412" t="s">
        <v>57</v>
      </c>
      <c r="Y2412" t="s">
        <v>53</v>
      </c>
      <c r="Z2412" t="s">
        <v>23</v>
      </c>
      <c r="AA2412" t="s">
        <v>3580</v>
      </c>
      <c r="AB2412" t="s">
        <v>3578</v>
      </c>
      <c r="AC2412" t="s">
        <v>3579</v>
      </c>
      <c r="AD2412" t="s">
        <v>3478</v>
      </c>
      <c r="AE2412" t="s">
        <v>3475</v>
      </c>
      <c r="AF2412" s="2">
        <v>2049.0981999999999</v>
      </c>
      <c r="AG2412" s="2">
        <v>1105.81</v>
      </c>
      <c r="AH2412" s="2">
        <v>943.28819999999996</v>
      </c>
      <c r="AI2412" s="3">
        <v>0.46034309141455498</v>
      </c>
    </row>
    <row r="2413" spans="1:35">
      <c r="A2413" s="1">
        <v>42331</v>
      </c>
      <c r="B2413" s="1">
        <v>37539</v>
      </c>
      <c r="C2413" t="s">
        <v>5837</v>
      </c>
      <c r="D2413">
        <v>354</v>
      </c>
      <c r="E2413">
        <v>26581</v>
      </c>
      <c r="F2413">
        <v>1</v>
      </c>
      <c r="G2413">
        <v>1</v>
      </c>
      <c r="H2413">
        <v>1</v>
      </c>
      <c r="I2413">
        <v>1</v>
      </c>
      <c r="J2413" t="s">
        <v>3537</v>
      </c>
      <c r="K2413" t="s">
        <v>3538</v>
      </c>
      <c r="L2413" s="2">
        <v>1117.8559</v>
      </c>
      <c r="M2413" s="2">
        <v>2071.4196000000002</v>
      </c>
      <c r="N2413" t="s">
        <v>26</v>
      </c>
      <c r="O2413" t="s">
        <v>677</v>
      </c>
      <c r="P2413" t="s">
        <v>261</v>
      </c>
      <c r="Q2413" t="s">
        <v>8741</v>
      </c>
      <c r="R2413" s="1">
        <v>26990</v>
      </c>
      <c r="S2413" t="s">
        <v>16</v>
      </c>
      <c r="T2413" t="s">
        <v>29</v>
      </c>
      <c r="U2413" t="s">
        <v>3251</v>
      </c>
      <c r="V2413">
        <v>60000</v>
      </c>
      <c r="W2413">
        <v>0</v>
      </c>
      <c r="X2413" t="s">
        <v>52</v>
      </c>
      <c r="Y2413" t="s">
        <v>53</v>
      </c>
      <c r="Z2413" t="s">
        <v>19</v>
      </c>
      <c r="AA2413" t="s">
        <v>3577</v>
      </c>
      <c r="AB2413" t="s">
        <v>3578</v>
      </c>
      <c r="AC2413" t="s">
        <v>3579</v>
      </c>
      <c r="AD2413" t="s">
        <v>3478</v>
      </c>
      <c r="AE2413" t="s">
        <v>3475</v>
      </c>
      <c r="AF2413" s="2">
        <v>2071.4196000000002</v>
      </c>
      <c r="AG2413" s="2">
        <v>1117.8559</v>
      </c>
      <c r="AH2413" s="2">
        <v>953.56370000000004</v>
      </c>
      <c r="AI2413" s="3">
        <v>0.460343090313522</v>
      </c>
    </row>
    <row r="2414" spans="1:35">
      <c r="A2414" s="1">
        <v>42340</v>
      </c>
      <c r="B2414" s="1">
        <v>37480</v>
      </c>
      <c r="C2414" t="s">
        <v>5909</v>
      </c>
      <c r="D2414">
        <v>338</v>
      </c>
      <c r="E2414">
        <v>26585</v>
      </c>
      <c r="F2414">
        <v>9</v>
      </c>
      <c r="G2414">
        <v>1</v>
      </c>
      <c r="H2414">
        <v>1</v>
      </c>
      <c r="I2414">
        <v>2</v>
      </c>
      <c r="J2414" t="s">
        <v>3513</v>
      </c>
      <c r="K2414" t="s">
        <v>3514</v>
      </c>
      <c r="L2414" s="2">
        <v>413.1463</v>
      </c>
      <c r="M2414" s="2">
        <v>699.09820000000002</v>
      </c>
      <c r="N2414" t="s">
        <v>13</v>
      </c>
      <c r="O2414" t="s">
        <v>74</v>
      </c>
      <c r="P2414" t="s">
        <v>474</v>
      </c>
      <c r="Q2414" t="s">
        <v>8742</v>
      </c>
      <c r="R2414" s="1">
        <v>20651</v>
      </c>
      <c r="S2414" t="s">
        <v>22</v>
      </c>
      <c r="T2414" t="s">
        <v>16</v>
      </c>
      <c r="U2414" t="s">
        <v>3252</v>
      </c>
      <c r="V2414">
        <v>80000</v>
      </c>
      <c r="W2414">
        <v>2</v>
      </c>
      <c r="X2414" t="s">
        <v>57</v>
      </c>
      <c r="Y2414" t="s">
        <v>53</v>
      </c>
      <c r="Z2414" t="s">
        <v>19</v>
      </c>
      <c r="AA2414" t="s">
        <v>3586</v>
      </c>
      <c r="AB2414" t="s">
        <v>3586</v>
      </c>
      <c r="AC2414" t="s">
        <v>3587</v>
      </c>
      <c r="AD2414" t="s">
        <v>3479</v>
      </c>
      <c r="AE2414" t="s">
        <v>3475</v>
      </c>
      <c r="AF2414" s="2">
        <v>699.09820000000002</v>
      </c>
      <c r="AG2414" s="2">
        <v>413.1463</v>
      </c>
      <c r="AH2414" s="2">
        <v>285.95190000000002</v>
      </c>
      <c r="AI2414" s="3">
        <v>0.409029661355157</v>
      </c>
    </row>
    <row r="2415" spans="1:35">
      <c r="A2415" s="1">
        <v>42346</v>
      </c>
      <c r="B2415" s="1">
        <v>37559</v>
      </c>
      <c r="C2415" t="s">
        <v>5980</v>
      </c>
      <c r="D2415">
        <v>334</v>
      </c>
      <c r="E2415">
        <v>26587</v>
      </c>
      <c r="F2415">
        <v>9</v>
      </c>
      <c r="G2415">
        <v>1</v>
      </c>
      <c r="H2415">
        <v>1</v>
      </c>
      <c r="I2415">
        <v>2</v>
      </c>
      <c r="J2415" t="s">
        <v>3509</v>
      </c>
      <c r="K2415" t="s">
        <v>3510</v>
      </c>
      <c r="L2415" s="2">
        <v>413.1463</v>
      </c>
      <c r="M2415" s="2">
        <v>699.09820000000002</v>
      </c>
      <c r="N2415" t="s">
        <v>13</v>
      </c>
      <c r="O2415" t="s">
        <v>503</v>
      </c>
      <c r="P2415" t="s">
        <v>1071</v>
      </c>
      <c r="Q2415" t="s">
        <v>8743</v>
      </c>
      <c r="R2415" s="1">
        <v>20887</v>
      </c>
      <c r="S2415" t="s">
        <v>22</v>
      </c>
      <c r="T2415" t="s">
        <v>16</v>
      </c>
      <c r="U2415" t="s">
        <v>3253</v>
      </c>
      <c r="V2415">
        <v>70000</v>
      </c>
      <c r="W2415">
        <v>2</v>
      </c>
      <c r="X2415" t="s">
        <v>57</v>
      </c>
      <c r="Y2415" t="s">
        <v>53</v>
      </c>
      <c r="Z2415" t="s">
        <v>23</v>
      </c>
      <c r="AA2415" t="s">
        <v>3586</v>
      </c>
      <c r="AB2415" t="s">
        <v>3586</v>
      </c>
      <c r="AC2415" t="s">
        <v>3587</v>
      </c>
      <c r="AD2415" t="s">
        <v>3479</v>
      </c>
      <c r="AE2415" t="s">
        <v>3475</v>
      </c>
      <c r="AF2415" s="2">
        <v>699.09820000000002</v>
      </c>
      <c r="AG2415" s="2">
        <v>413.1463</v>
      </c>
      <c r="AH2415" s="2">
        <v>285.95190000000002</v>
      </c>
      <c r="AI2415" s="3">
        <v>0.409029661355157</v>
      </c>
    </row>
    <row r="2416" spans="1:35">
      <c r="A2416" s="1">
        <v>42324</v>
      </c>
      <c r="B2416" s="1">
        <v>37503</v>
      </c>
      <c r="C2416" t="s">
        <v>5795</v>
      </c>
      <c r="D2416">
        <v>360</v>
      </c>
      <c r="E2416">
        <v>26600</v>
      </c>
      <c r="F2416">
        <v>4</v>
      </c>
      <c r="G2416">
        <v>1</v>
      </c>
      <c r="H2416">
        <v>1</v>
      </c>
      <c r="I2416">
        <v>1</v>
      </c>
      <c r="J2416" t="s">
        <v>3543</v>
      </c>
      <c r="K2416" t="s">
        <v>3544</v>
      </c>
      <c r="L2416" s="2">
        <v>1105.81</v>
      </c>
      <c r="M2416" s="2">
        <v>2049.0981999999999</v>
      </c>
      <c r="N2416" t="s">
        <v>30</v>
      </c>
      <c r="O2416" t="s">
        <v>1405</v>
      </c>
      <c r="P2416" t="s">
        <v>314</v>
      </c>
      <c r="Q2416" t="s">
        <v>8744</v>
      </c>
      <c r="R2416" s="1">
        <v>23580</v>
      </c>
      <c r="S2416" t="s">
        <v>22</v>
      </c>
      <c r="T2416" t="s">
        <v>29</v>
      </c>
      <c r="U2416" t="s">
        <v>3254</v>
      </c>
      <c r="V2416">
        <v>60000</v>
      </c>
      <c r="W2416">
        <v>4</v>
      </c>
      <c r="X2416" t="s">
        <v>17</v>
      </c>
      <c r="Y2416" t="s">
        <v>53</v>
      </c>
      <c r="Z2416" t="s">
        <v>23</v>
      </c>
      <c r="AA2416" t="s">
        <v>3580</v>
      </c>
      <c r="AB2416" t="s">
        <v>3578</v>
      </c>
      <c r="AC2416" t="s">
        <v>3579</v>
      </c>
      <c r="AD2416" t="s">
        <v>3478</v>
      </c>
      <c r="AE2416" t="s">
        <v>3475</v>
      </c>
      <c r="AF2416" s="2">
        <v>2049.0981999999999</v>
      </c>
      <c r="AG2416" s="2">
        <v>1105.81</v>
      </c>
      <c r="AH2416" s="2">
        <v>943.28819999999996</v>
      </c>
      <c r="AI2416" s="3">
        <v>0.46034309141455498</v>
      </c>
    </row>
    <row r="2417" spans="1:35">
      <c r="A2417" s="1">
        <v>42327</v>
      </c>
      <c r="B2417" s="1">
        <v>37477</v>
      </c>
      <c r="C2417" t="s">
        <v>5812</v>
      </c>
      <c r="D2417">
        <v>356</v>
      </c>
      <c r="E2417">
        <v>26601</v>
      </c>
      <c r="F2417">
        <v>4</v>
      </c>
      <c r="G2417">
        <v>1</v>
      </c>
      <c r="H2417">
        <v>1</v>
      </c>
      <c r="I2417">
        <v>1</v>
      </c>
      <c r="J2417" t="s">
        <v>3539</v>
      </c>
      <c r="K2417" t="s">
        <v>3540</v>
      </c>
      <c r="L2417" s="2">
        <v>1117.8559</v>
      </c>
      <c r="M2417" s="2">
        <v>2071.4196000000002</v>
      </c>
      <c r="N2417" t="s">
        <v>13</v>
      </c>
      <c r="O2417" t="s">
        <v>387</v>
      </c>
      <c r="P2417" t="s">
        <v>95</v>
      </c>
      <c r="Q2417" t="s">
        <v>8745</v>
      </c>
      <c r="R2417" s="1">
        <v>23552</v>
      </c>
      <c r="S2417" t="s">
        <v>22</v>
      </c>
      <c r="T2417" t="s">
        <v>16</v>
      </c>
      <c r="U2417" t="s">
        <v>3255</v>
      </c>
      <c r="V2417">
        <v>60000</v>
      </c>
      <c r="W2417">
        <v>4</v>
      </c>
      <c r="X2417" t="s">
        <v>17</v>
      </c>
      <c r="Y2417" t="s">
        <v>53</v>
      </c>
      <c r="Z2417" t="s">
        <v>19</v>
      </c>
      <c r="AA2417" t="s">
        <v>3580</v>
      </c>
      <c r="AB2417" t="s">
        <v>3578</v>
      </c>
      <c r="AC2417" t="s">
        <v>3579</v>
      </c>
      <c r="AD2417" t="s">
        <v>3478</v>
      </c>
      <c r="AE2417" t="s">
        <v>3475</v>
      </c>
      <c r="AF2417" s="2">
        <v>2071.4196000000002</v>
      </c>
      <c r="AG2417" s="2">
        <v>1117.8559</v>
      </c>
      <c r="AH2417" s="2">
        <v>953.56370000000004</v>
      </c>
      <c r="AI2417" s="3">
        <v>0.460343090313522</v>
      </c>
    </row>
    <row r="2418" spans="1:35">
      <c r="A2418" s="1">
        <v>42348</v>
      </c>
      <c r="B2418" s="1">
        <v>37562</v>
      </c>
      <c r="C2418" t="s">
        <v>5996</v>
      </c>
      <c r="D2418">
        <v>360</v>
      </c>
      <c r="E2418">
        <v>26602</v>
      </c>
      <c r="F2418">
        <v>4</v>
      </c>
      <c r="G2418">
        <v>1</v>
      </c>
      <c r="H2418">
        <v>1</v>
      </c>
      <c r="I2418">
        <v>1</v>
      </c>
      <c r="J2418" t="s">
        <v>3543</v>
      </c>
      <c r="K2418" t="s">
        <v>3544</v>
      </c>
      <c r="L2418" s="2">
        <v>1105.81</v>
      </c>
      <c r="M2418" s="2">
        <v>2049.0981999999999</v>
      </c>
      <c r="N2418" t="s">
        <v>13</v>
      </c>
      <c r="O2418" t="s">
        <v>141</v>
      </c>
      <c r="P2418" t="s">
        <v>15</v>
      </c>
      <c r="Q2418" t="s">
        <v>8746</v>
      </c>
      <c r="R2418" s="1">
        <v>23288</v>
      </c>
      <c r="S2418" t="s">
        <v>22</v>
      </c>
      <c r="T2418" t="s">
        <v>16</v>
      </c>
      <c r="U2418" t="s">
        <v>3256</v>
      </c>
      <c r="V2418">
        <v>70000</v>
      </c>
      <c r="W2418">
        <v>4</v>
      </c>
      <c r="X2418" t="s">
        <v>17</v>
      </c>
      <c r="Y2418" t="s">
        <v>18</v>
      </c>
      <c r="Z2418" t="s">
        <v>19</v>
      </c>
      <c r="AA2418" t="s">
        <v>3580</v>
      </c>
      <c r="AB2418" t="s">
        <v>3578</v>
      </c>
      <c r="AC2418" t="s">
        <v>3579</v>
      </c>
      <c r="AD2418" t="s">
        <v>3478</v>
      </c>
      <c r="AE2418" t="s">
        <v>3475</v>
      </c>
      <c r="AF2418" s="2">
        <v>2049.0981999999999</v>
      </c>
      <c r="AG2418" s="2">
        <v>1105.81</v>
      </c>
      <c r="AH2418" s="2">
        <v>943.28819999999996</v>
      </c>
      <c r="AI2418" s="3">
        <v>0.46034309141455498</v>
      </c>
    </row>
    <row r="2419" spans="1:35">
      <c r="A2419" s="1">
        <v>42348</v>
      </c>
      <c r="B2419" s="1">
        <v>37575</v>
      </c>
      <c r="C2419" t="s">
        <v>5997</v>
      </c>
      <c r="D2419">
        <v>362</v>
      </c>
      <c r="E2419">
        <v>26603</v>
      </c>
      <c r="F2419">
        <v>4</v>
      </c>
      <c r="G2419">
        <v>1</v>
      </c>
      <c r="H2419">
        <v>1</v>
      </c>
      <c r="I2419">
        <v>1</v>
      </c>
      <c r="J2419" t="s">
        <v>3545</v>
      </c>
      <c r="K2419" t="s">
        <v>3546</v>
      </c>
      <c r="L2419" s="2">
        <v>1105.81</v>
      </c>
      <c r="M2419" s="2">
        <v>2049.0981999999999</v>
      </c>
      <c r="N2419" t="s">
        <v>30</v>
      </c>
      <c r="O2419" t="s">
        <v>1597</v>
      </c>
      <c r="P2419" t="s">
        <v>34</v>
      </c>
      <c r="Q2419" t="s">
        <v>8747</v>
      </c>
      <c r="R2419" s="1">
        <v>23104</v>
      </c>
      <c r="S2419" t="s">
        <v>22</v>
      </c>
      <c r="T2419" t="s">
        <v>29</v>
      </c>
      <c r="U2419" t="s">
        <v>3257</v>
      </c>
      <c r="V2419">
        <v>70000</v>
      </c>
      <c r="W2419">
        <v>4</v>
      </c>
      <c r="X2419" t="s">
        <v>17</v>
      </c>
      <c r="Y2419" t="s">
        <v>18</v>
      </c>
      <c r="Z2419" t="s">
        <v>23</v>
      </c>
      <c r="AA2419" t="s">
        <v>3580</v>
      </c>
      <c r="AB2419" t="s">
        <v>3578</v>
      </c>
      <c r="AC2419" t="s">
        <v>3579</v>
      </c>
      <c r="AD2419" t="s">
        <v>3478</v>
      </c>
      <c r="AE2419" t="s">
        <v>3475</v>
      </c>
      <c r="AF2419" s="2">
        <v>2049.0981999999999</v>
      </c>
      <c r="AG2419" s="2">
        <v>1105.81</v>
      </c>
      <c r="AH2419" s="2">
        <v>943.28819999999996</v>
      </c>
      <c r="AI2419" s="3">
        <v>0.46034309141455498</v>
      </c>
    </row>
    <row r="2420" spans="1:35">
      <c r="A2420" s="1">
        <v>42353</v>
      </c>
      <c r="B2420" s="1">
        <v>37550</v>
      </c>
      <c r="C2420" t="s">
        <v>6060</v>
      </c>
      <c r="D2420">
        <v>358</v>
      </c>
      <c r="E2420">
        <v>26604</v>
      </c>
      <c r="F2420">
        <v>4</v>
      </c>
      <c r="G2420">
        <v>1</v>
      </c>
      <c r="H2420">
        <v>1</v>
      </c>
      <c r="I2420">
        <v>1</v>
      </c>
      <c r="J2420" t="s">
        <v>3541</v>
      </c>
      <c r="K2420" t="s">
        <v>3542</v>
      </c>
      <c r="L2420" s="2">
        <v>1105.81</v>
      </c>
      <c r="M2420" s="2">
        <v>2049.0981999999999</v>
      </c>
      <c r="N2420" t="s">
        <v>26</v>
      </c>
      <c r="O2420" t="s">
        <v>31</v>
      </c>
      <c r="P2420" t="s">
        <v>1427</v>
      </c>
      <c r="Q2420" t="s">
        <v>8748</v>
      </c>
      <c r="R2420" s="1">
        <v>25149</v>
      </c>
      <c r="S2420" t="s">
        <v>22</v>
      </c>
      <c r="T2420" t="s">
        <v>29</v>
      </c>
      <c r="U2420" t="s">
        <v>3258</v>
      </c>
      <c r="V2420">
        <v>70000</v>
      </c>
      <c r="W2420">
        <v>0</v>
      </c>
      <c r="X2420" t="s">
        <v>17</v>
      </c>
      <c r="Y2420" t="s">
        <v>18</v>
      </c>
      <c r="Z2420" t="s">
        <v>23</v>
      </c>
      <c r="AA2420" t="s">
        <v>3580</v>
      </c>
      <c r="AB2420" t="s">
        <v>3578</v>
      </c>
      <c r="AC2420" t="s">
        <v>3579</v>
      </c>
      <c r="AD2420" t="s">
        <v>3478</v>
      </c>
      <c r="AE2420" t="s">
        <v>3475</v>
      </c>
      <c r="AF2420" s="2">
        <v>2049.0981999999999</v>
      </c>
      <c r="AG2420" s="2">
        <v>1105.81</v>
      </c>
      <c r="AH2420" s="2">
        <v>943.28819999999996</v>
      </c>
      <c r="AI2420" s="3">
        <v>0.46034309141455498</v>
      </c>
    </row>
    <row r="2421" spans="1:35">
      <c r="A2421" s="1">
        <v>42348</v>
      </c>
      <c r="B2421" s="1">
        <v>37481</v>
      </c>
      <c r="C2421" t="s">
        <v>5993</v>
      </c>
      <c r="D2421">
        <v>360</v>
      </c>
      <c r="E2421">
        <v>26606</v>
      </c>
      <c r="F2421">
        <v>1</v>
      </c>
      <c r="G2421">
        <v>1</v>
      </c>
      <c r="H2421">
        <v>1</v>
      </c>
      <c r="I2421">
        <v>1</v>
      </c>
      <c r="J2421" t="s">
        <v>3543</v>
      </c>
      <c r="K2421" t="s">
        <v>3544</v>
      </c>
      <c r="L2421" s="2">
        <v>1105.81</v>
      </c>
      <c r="M2421" s="2">
        <v>2049.0981999999999</v>
      </c>
      <c r="N2421" t="s">
        <v>30</v>
      </c>
      <c r="O2421" t="s">
        <v>278</v>
      </c>
      <c r="P2421" t="s">
        <v>250</v>
      </c>
      <c r="Q2421" t="s">
        <v>8749</v>
      </c>
      <c r="R2421" s="1">
        <v>23348</v>
      </c>
      <c r="S2421" t="s">
        <v>22</v>
      </c>
      <c r="T2421" t="s">
        <v>29</v>
      </c>
      <c r="U2421" t="s">
        <v>3259</v>
      </c>
      <c r="V2421">
        <v>60000</v>
      </c>
      <c r="W2421">
        <v>3</v>
      </c>
      <c r="X2421" t="s">
        <v>135</v>
      </c>
      <c r="Y2421" t="s">
        <v>18</v>
      </c>
      <c r="Z2421" t="s">
        <v>19</v>
      </c>
      <c r="AA2421" t="s">
        <v>3577</v>
      </c>
      <c r="AB2421" t="s">
        <v>3578</v>
      </c>
      <c r="AC2421" t="s">
        <v>3579</v>
      </c>
      <c r="AD2421" t="s">
        <v>3478</v>
      </c>
      <c r="AE2421" t="s">
        <v>3475</v>
      </c>
      <c r="AF2421" s="2">
        <v>2049.0981999999999</v>
      </c>
      <c r="AG2421" s="2">
        <v>1105.81</v>
      </c>
      <c r="AH2421" s="2">
        <v>943.28819999999996</v>
      </c>
      <c r="AI2421" s="3">
        <v>0.46034309141455498</v>
      </c>
    </row>
    <row r="2422" spans="1:35">
      <c r="A2422" s="1">
        <v>42362</v>
      </c>
      <c r="B2422" s="1">
        <v>37559</v>
      </c>
      <c r="C2422" t="s">
        <v>6156</v>
      </c>
      <c r="D2422">
        <v>356</v>
      </c>
      <c r="E2422">
        <v>26607</v>
      </c>
      <c r="F2422">
        <v>4</v>
      </c>
      <c r="G2422">
        <v>1</v>
      </c>
      <c r="H2422">
        <v>1</v>
      </c>
      <c r="I2422">
        <v>1</v>
      </c>
      <c r="J2422" t="s">
        <v>3539</v>
      </c>
      <c r="K2422" t="s">
        <v>3540</v>
      </c>
      <c r="L2422" s="2">
        <v>1117.8559</v>
      </c>
      <c r="M2422" s="2">
        <v>2071.4196000000002</v>
      </c>
      <c r="N2422" t="s">
        <v>30</v>
      </c>
      <c r="O2422" t="s">
        <v>331</v>
      </c>
      <c r="P2422" t="s">
        <v>119</v>
      </c>
      <c r="Q2422" t="s">
        <v>8750</v>
      </c>
      <c r="R2422" s="1">
        <v>23203</v>
      </c>
      <c r="S2422" t="s">
        <v>16</v>
      </c>
      <c r="T2422" t="s">
        <v>29</v>
      </c>
      <c r="U2422" t="s">
        <v>3260</v>
      </c>
      <c r="V2422">
        <v>60000</v>
      </c>
      <c r="W2422">
        <v>3</v>
      </c>
      <c r="X2422" t="s">
        <v>135</v>
      </c>
      <c r="Y2422" t="s">
        <v>18</v>
      </c>
      <c r="Z2422" t="s">
        <v>19</v>
      </c>
      <c r="AA2422" t="s">
        <v>3580</v>
      </c>
      <c r="AB2422" t="s">
        <v>3578</v>
      </c>
      <c r="AC2422" t="s">
        <v>3579</v>
      </c>
      <c r="AD2422" t="s">
        <v>3478</v>
      </c>
      <c r="AE2422" t="s">
        <v>3475</v>
      </c>
      <c r="AF2422" s="2">
        <v>2071.4196000000002</v>
      </c>
      <c r="AG2422" s="2">
        <v>1117.8559</v>
      </c>
      <c r="AH2422" s="2">
        <v>953.56370000000004</v>
      </c>
      <c r="AI2422" s="3">
        <v>0.460343090313522</v>
      </c>
    </row>
    <row r="2423" spans="1:35">
      <c r="A2423" s="1">
        <v>42364</v>
      </c>
      <c r="B2423" s="1">
        <v>37590</v>
      </c>
      <c r="C2423" t="s">
        <v>6169</v>
      </c>
      <c r="D2423">
        <v>352</v>
      </c>
      <c r="E2423">
        <v>26608</v>
      </c>
      <c r="F2423">
        <v>4</v>
      </c>
      <c r="G2423">
        <v>1</v>
      </c>
      <c r="H2423">
        <v>1</v>
      </c>
      <c r="I2423">
        <v>1</v>
      </c>
      <c r="J2423" t="s">
        <v>3535</v>
      </c>
      <c r="K2423" t="s">
        <v>3536</v>
      </c>
      <c r="L2423" s="2">
        <v>1117.8559</v>
      </c>
      <c r="M2423" s="2">
        <v>2071.4196000000002</v>
      </c>
      <c r="N2423" t="s">
        <v>13</v>
      </c>
      <c r="O2423" t="s">
        <v>723</v>
      </c>
      <c r="P2423" t="s">
        <v>203</v>
      </c>
      <c r="Q2423" t="s">
        <v>8751</v>
      </c>
      <c r="R2423" s="1">
        <v>23209</v>
      </c>
      <c r="S2423" t="s">
        <v>22</v>
      </c>
      <c r="T2423" t="s">
        <v>16</v>
      </c>
      <c r="U2423" t="s">
        <v>3261</v>
      </c>
      <c r="V2423">
        <v>60000</v>
      </c>
      <c r="W2423">
        <v>3</v>
      </c>
      <c r="X2423" t="s">
        <v>135</v>
      </c>
      <c r="Y2423" t="s">
        <v>18</v>
      </c>
      <c r="Z2423" t="s">
        <v>23</v>
      </c>
      <c r="AA2423" t="s">
        <v>3580</v>
      </c>
      <c r="AB2423" t="s">
        <v>3578</v>
      </c>
      <c r="AC2423" t="s">
        <v>3579</v>
      </c>
      <c r="AD2423" t="s">
        <v>3478</v>
      </c>
      <c r="AE2423" t="s">
        <v>3475</v>
      </c>
      <c r="AF2423" s="2">
        <v>2071.4196000000002</v>
      </c>
      <c r="AG2423" s="2">
        <v>1117.8559</v>
      </c>
      <c r="AH2423" s="2">
        <v>953.56370000000004</v>
      </c>
      <c r="AI2423" s="3">
        <v>0.460343090313522</v>
      </c>
    </row>
    <row r="2424" spans="1:35">
      <c r="A2424" s="1">
        <v>42357</v>
      </c>
      <c r="B2424" s="1">
        <v>37583</v>
      </c>
      <c r="C2424" t="s">
        <v>6094</v>
      </c>
      <c r="D2424">
        <v>354</v>
      </c>
      <c r="E2424">
        <v>26609</v>
      </c>
      <c r="F2424">
        <v>1</v>
      </c>
      <c r="G2424">
        <v>1</v>
      </c>
      <c r="H2424">
        <v>1</v>
      </c>
      <c r="I2424">
        <v>1</v>
      </c>
      <c r="J2424" t="s">
        <v>3537</v>
      </c>
      <c r="K2424" t="s">
        <v>3538</v>
      </c>
      <c r="L2424" s="2">
        <v>1117.8559</v>
      </c>
      <c r="M2424" s="2">
        <v>2071.4196000000002</v>
      </c>
      <c r="N2424" t="s">
        <v>30</v>
      </c>
      <c r="O2424" t="s">
        <v>182</v>
      </c>
      <c r="P2424" t="s">
        <v>376</v>
      </c>
      <c r="Q2424" t="s">
        <v>8752</v>
      </c>
      <c r="R2424" s="1">
        <v>22747</v>
      </c>
      <c r="S2424" t="s">
        <v>16</v>
      </c>
      <c r="T2424" t="s">
        <v>29</v>
      </c>
      <c r="U2424" t="s">
        <v>3262</v>
      </c>
      <c r="V2424">
        <v>70000</v>
      </c>
      <c r="W2424">
        <v>1</v>
      </c>
      <c r="X2424" t="s">
        <v>52</v>
      </c>
      <c r="Y2424" t="s">
        <v>53</v>
      </c>
      <c r="Z2424" t="s">
        <v>19</v>
      </c>
      <c r="AA2424" t="s">
        <v>3577</v>
      </c>
      <c r="AB2424" t="s">
        <v>3578</v>
      </c>
      <c r="AC2424" t="s">
        <v>3579</v>
      </c>
      <c r="AD2424" t="s">
        <v>3478</v>
      </c>
      <c r="AE2424" t="s">
        <v>3475</v>
      </c>
      <c r="AF2424" s="2">
        <v>2071.4196000000002</v>
      </c>
      <c r="AG2424" s="2">
        <v>1117.8559</v>
      </c>
      <c r="AH2424" s="2">
        <v>953.56370000000004</v>
      </c>
      <c r="AI2424" s="3">
        <v>0.460343090313522</v>
      </c>
    </row>
    <row r="2425" spans="1:35">
      <c r="A2425" s="1">
        <v>42361</v>
      </c>
      <c r="B2425" s="1">
        <v>37527</v>
      </c>
      <c r="C2425" t="s">
        <v>6147</v>
      </c>
      <c r="D2425">
        <v>354</v>
      </c>
      <c r="E2425">
        <v>26610</v>
      </c>
      <c r="F2425">
        <v>4</v>
      </c>
      <c r="G2425">
        <v>1</v>
      </c>
      <c r="H2425">
        <v>1</v>
      </c>
      <c r="I2425">
        <v>1</v>
      </c>
      <c r="J2425" t="s">
        <v>3537</v>
      </c>
      <c r="K2425" t="s">
        <v>3538</v>
      </c>
      <c r="L2425" s="2">
        <v>1117.8559</v>
      </c>
      <c r="M2425" s="2">
        <v>2071.4196000000002</v>
      </c>
      <c r="N2425" t="s">
        <v>30</v>
      </c>
      <c r="O2425" t="s">
        <v>771</v>
      </c>
      <c r="P2425" t="s">
        <v>187</v>
      </c>
      <c r="Q2425" t="s">
        <v>8753</v>
      </c>
      <c r="R2425" s="1">
        <v>22959</v>
      </c>
      <c r="S2425" t="s">
        <v>16</v>
      </c>
      <c r="T2425" t="s">
        <v>29</v>
      </c>
      <c r="U2425" t="s">
        <v>3263</v>
      </c>
      <c r="V2425">
        <v>70000</v>
      </c>
      <c r="W2425">
        <v>1</v>
      </c>
      <c r="X2425" t="s">
        <v>52</v>
      </c>
      <c r="Y2425" t="s">
        <v>53</v>
      </c>
      <c r="Z2425" t="s">
        <v>19</v>
      </c>
      <c r="AA2425" t="s">
        <v>3580</v>
      </c>
      <c r="AB2425" t="s">
        <v>3578</v>
      </c>
      <c r="AC2425" t="s">
        <v>3579</v>
      </c>
      <c r="AD2425" t="s">
        <v>3478</v>
      </c>
      <c r="AE2425" t="s">
        <v>3475</v>
      </c>
      <c r="AF2425" s="2">
        <v>2071.4196000000002</v>
      </c>
      <c r="AG2425" s="2">
        <v>1117.8559</v>
      </c>
      <c r="AH2425" s="2">
        <v>953.56370000000004</v>
      </c>
      <c r="AI2425" s="3">
        <v>0.460343090313522</v>
      </c>
    </row>
    <row r="2426" spans="1:35">
      <c r="A2426" s="1">
        <v>42346</v>
      </c>
      <c r="B2426" s="1">
        <v>37484</v>
      </c>
      <c r="C2426" t="s">
        <v>5978</v>
      </c>
      <c r="D2426">
        <v>352</v>
      </c>
      <c r="E2426">
        <v>26611</v>
      </c>
      <c r="F2426">
        <v>4</v>
      </c>
      <c r="G2426">
        <v>1</v>
      </c>
      <c r="H2426">
        <v>1</v>
      </c>
      <c r="I2426">
        <v>1</v>
      </c>
      <c r="J2426" t="s">
        <v>3535</v>
      </c>
      <c r="K2426" t="s">
        <v>3536</v>
      </c>
      <c r="L2426" s="2">
        <v>1117.8559</v>
      </c>
      <c r="M2426" s="2">
        <v>2071.4196000000002</v>
      </c>
      <c r="N2426" t="s">
        <v>30</v>
      </c>
      <c r="O2426" t="s">
        <v>916</v>
      </c>
      <c r="P2426" t="s">
        <v>146</v>
      </c>
      <c r="Q2426" t="s">
        <v>8754</v>
      </c>
      <c r="R2426" s="1">
        <v>22755</v>
      </c>
      <c r="S2426" t="s">
        <v>16</v>
      </c>
      <c r="T2426" t="s">
        <v>29</v>
      </c>
      <c r="U2426" t="s">
        <v>3264</v>
      </c>
      <c r="V2426">
        <v>70000</v>
      </c>
      <c r="W2426">
        <v>1</v>
      </c>
      <c r="X2426" t="s">
        <v>52</v>
      </c>
      <c r="Y2426" t="s">
        <v>53</v>
      </c>
      <c r="Z2426" t="s">
        <v>19</v>
      </c>
      <c r="AA2426" t="s">
        <v>3580</v>
      </c>
      <c r="AB2426" t="s">
        <v>3578</v>
      </c>
      <c r="AC2426" t="s">
        <v>3579</v>
      </c>
      <c r="AD2426" t="s">
        <v>3478</v>
      </c>
      <c r="AE2426" t="s">
        <v>3475</v>
      </c>
      <c r="AF2426" s="2">
        <v>2071.4196000000002</v>
      </c>
      <c r="AG2426" s="2">
        <v>1117.8559</v>
      </c>
      <c r="AH2426" s="2">
        <v>953.56370000000004</v>
      </c>
      <c r="AI2426" s="3">
        <v>0.460343090313522</v>
      </c>
    </row>
    <row r="2427" spans="1:35">
      <c r="A2427" s="1">
        <v>42356</v>
      </c>
      <c r="B2427" s="1">
        <v>37536</v>
      </c>
      <c r="C2427" t="s">
        <v>6090</v>
      </c>
      <c r="D2427">
        <v>362</v>
      </c>
      <c r="E2427">
        <v>26614</v>
      </c>
      <c r="F2427">
        <v>1</v>
      </c>
      <c r="G2427">
        <v>1</v>
      </c>
      <c r="H2427">
        <v>1</v>
      </c>
      <c r="I2427">
        <v>1</v>
      </c>
      <c r="J2427" t="s">
        <v>3545</v>
      </c>
      <c r="K2427" t="s">
        <v>3546</v>
      </c>
      <c r="L2427" s="2">
        <v>1105.81</v>
      </c>
      <c r="M2427" s="2">
        <v>2049.0981999999999</v>
      </c>
      <c r="N2427" t="s">
        <v>13</v>
      </c>
      <c r="O2427" t="s">
        <v>765</v>
      </c>
      <c r="P2427" t="s">
        <v>275</v>
      </c>
      <c r="Q2427" t="s">
        <v>8755</v>
      </c>
      <c r="R2427" s="1">
        <v>22437</v>
      </c>
      <c r="S2427" t="s">
        <v>22</v>
      </c>
      <c r="T2427" t="s">
        <v>16</v>
      </c>
      <c r="U2427" t="s">
        <v>3265</v>
      </c>
      <c r="V2427">
        <v>40000</v>
      </c>
      <c r="W2427">
        <v>4</v>
      </c>
      <c r="X2427" t="s">
        <v>57</v>
      </c>
      <c r="Y2427" t="s">
        <v>53</v>
      </c>
      <c r="Z2427" t="s">
        <v>19</v>
      </c>
      <c r="AA2427" t="s">
        <v>3577</v>
      </c>
      <c r="AB2427" t="s">
        <v>3578</v>
      </c>
      <c r="AC2427" t="s">
        <v>3579</v>
      </c>
      <c r="AD2427" t="s">
        <v>3478</v>
      </c>
      <c r="AE2427" t="s">
        <v>3475</v>
      </c>
      <c r="AF2427" s="2">
        <v>2049.0981999999999</v>
      </c>
      <c r="AG2427" s="2">
        <v>1105.81</v>
      </c>
      <c r="AH2427" s="2">
        <v>943.28819999999996</v>
      </c>
      <c r="AI2427" s="3">
        <v>0.46034309141455498</v>
      </c>
    </row>
    <row r="2428" spans="1:35">
      <c r="A2428" s="1">
        <v>42357</v>
      </c>
      <c r="B2428" s="1">
        <v>37534</v>
      </c>
      <c r="C2428" t="s">
        <v>6098</v>
      </c>
      <c r="D2428">
        <v>358</v>
      </c>
      <c r="E2428">
        <v>26616</v>
      </c>
      <c r="F2428">
        <v>1</v>
      </c>
      <c r="G2428">
        <v>1</v>
      </c>
      <c r="H2428">
        <v>1</v>
      </c>
      <c r="I2428">
        <v>1</v>
      </c>
      <c r="J2428" t="s">
        <v>3541</v>
      </c>
      <c r="K2428" t="s">
        <v>3542</v>
      </c>
      <c r="L2428" s="2">
        <v>1105.81</v>
      </c>
      <c r="M2428" s="2">
        <v>2049.0981999999999</v>
      </c>
      <c r="N2428" t="s">
        <v>13</v>
      </c>
      <c r="O2428" t="s">
        <v>371</v>
      </c>
      <c r="P2428" t="s">
        <v>266</v>
      </c>
      <c r="Q2428" t="s">
        <v>8756</v>
      </c>
      <c r="R2428" s="1">
        <v>21993</v>
      </c>
      <c r="S2428" t="s">
        <v>16</v>
      </c>
      <c r="T2428" t="s">
        <v>16</v>
      </c>
      <c r="U2428" t="s">
        <v>3266</v>
      </c>
      <c r="V2428">
        <v>40000</v>
      </c>
      <c r="W2428">
        <v>0</v>
      </c>
      <c r="X2428" t="s">
        <v>17</v>
      </c>
      <c r="Y2428" t="s">
        <v>18</v>
      </c>
      <c r="Z2428" t="s">
        <v>23</v>
      </c>
      <c r="AA2428" t="s">
        <v>3577</v>
      </c>
      <c r="AB2428" t="s">
        <v>3578</v>
      </c>
      <c r="AC2428" t="s">
        <v>3579</v>
      </c>
      <c r="AD2428" t="s">
        <v>3478</v>
      </c>
      <c r="AE2428" t="s">
        <v>3475</v>
      </c>
      <c r="AF2428" s="2">
        <v>2049.0981999999999</v>
      </c>
      <c r="AG2428" s="2">
        <v>1105.81</v>
      </c>
      <c r="AH2428" s="2">
        <v>943.28819999999996</v>
      </c>
      <c r="AI2428" s="3">
        <v>0.46034309141455498</v>
      </c>
    </row>
    <row r="2429" spans="1:35">
      <c r="A2429" s="1">
        <v>42350</v>
      </c>
      <c r="B2429" s="1">
        <v>37533</v>
      </c>
      <c r="C2429" t="s">
        <v>6020</v>
      </c>
      <c r="D2429">
        <v>352</v>
      </c>
      <c r="E2429">
        <v>26617</v>
      </c>
      <c r="F2429">
        <v>4</v>
      </c>
      <c r="G2429">
        <v>1</v>
      </c>
      <c r="H2429">
        <v>1</v>
      </c>
      <c r="I2429">
        <v>1</v>
      </c>
      <c r="J2429" t="s">
        <v>3535</v>
      </c>
      <c r="K2429" t="s">
        <v>3536</v>
      </c>
      <c r="L2429" s="2">
        <v>1117.8559</v>
      </c>
      <c r="M2429" s="2">
        <v>2071.4196000000002</v>
      </c>
      <c r="N2429" t="s">
        <v>13</v>
      </c>
      <c r="O2429" t="s">
        <v>679</v>
      </c>
      <c r="P2429" t="s">
        <v>587</v>
      </c>
      <c r="Q2429" t="s">
        <v>8757</v>
      </c>
      <c r="R2429" s="1">
        <v>22200</v>
      </c>
      <c r="S2429" t="s">
        <v>16</v>
      </c>
      <c r="T2429" t="s">
        <v>16</v>
      </c>
      <c r="U2429" t="s">
        <v>3267</v>
      </c>
      <c r="V2429">
        <v>60000</v>
      </c>
      <c r="W2429">
        <v>1</v>
      </c>
      <c r="X2429" t="s">
        <v>52</v>
      </c>
      <c r="Y2429" t="s">
        <v>53</v>
      </c>
      <c r="Z2429" t="s">
        <v>19</v>
      </c>
      <c r="AA2429" t="s">
        <v>3580</v>
      </c>
      <c r="AB2429" t="s">
        <v>3578</v>
      </c>
      <c r="AC2429" t="s">
        <v>3579</v>
      </c>
      <c r="AD2429" t="s">
        <v>3478</v>
      </c>
      <c r="AE2429" t="s">
        <v>3475</v>
      </c>
      <c r="AF2429" s="2">
        <v>2071.4196000000002</v>
      </c>
      <c r="AG2429" s="2">
        <v>1117.8559</v>
      </c>
      <c r="AH2429" s="2">
        <v>953.56370000000004</v>
      </c>
      <c r="AI2429" s="3">
        <v>0.460343090313522</v>
      </c>
    </row>
    <row r="2430" spans="1:35">
      <c r="A2430" s="1">
        <v>42343</v>
      </c>
      <c r="B2430" s="1">
        <v>37519</v>
      </c>
      <c r="C2430" t="s">
        <v>5937</v>
      </c>
      <c r="D2430">
        <v>362</v>
      </c>
      <c r="E2430">
        <v>26618</v>
      </c>
      <c r="F2430">
        <v>4</v>
      </c>
      <c r="G2430">
        <v>1</v>
      </c>
      <c r="H2430">
        <v>1</v>
      </c>
      <c r="I2430">
        <v>1</v>
      </c>
      <c r="J2430" t="s">
        <v>3545</v>
      </c>
      <c r="K2430" t="s">
        <v>3546</v>
      </c>
      <c r="L2430" s="2">
        <v>1105.81</v>
      </c>
      <c r="M2430" s="2">
        <v>2049.0981999999999</v>
      </c>
      <c r="N2430" t="s">
        <v>30</v>
      </c>
      <c r="O2430" t="s">
        <v>106</v>
      </c>
      <c r="P2430" t="s">
        <v>311</v>
      </c>
      <c r="Q2430" t="s">
        <v>8758</v>
      </c>
      <c r="R2430" s="1">
        <v>21964</v>
      </c>
      <c r="S2430" t="s">
        <v>16</v>
      </c>
      <c r="T2430" t="s">
        <v>29</v>
      </c>
      <c r="U2430" t="s">
        <v>3268</v>
      </c>
      <c r="V2430">
        <v>60000</v>
      </c>
      <c r="W2430">
        <v>1</v>
      </c>
      <c r="X2430" t="s">
        <v>52</v>
      </c>
      <c r="Y2430" t="s">
        <v>53</v>
      </c>
      <c r="Z2430" t="s">
        <v>19</v>
      </c>
      <c r="AA2430" t="s">
        <v>3580</v>
      </c>
      <c r="AB2430" t="s">
        <v>3578</v>
      </c>
      <c r="AC2430" t="s">
        <v>3579</v>
      </c>
      <c r="AD2430" t="s">
        <v>3478</v>
      </c>
      <c r="AE2430" t="s">
        <v>3475</v>
      </c>
      <c r="AF2430" s="2">
        <v>2049.0981999999999</v>
      </c>
      <c r="AG2430" s="2">
        <v>1105.81</v>
      </c>
      <c r="AH2430" s="2">
        <v>943.28819999999996</v>
      </c>
      <c r="AI2430" s="3">
        <v>0.46034309141455498</v>
      </c>
    </row>
    <row r="2431" spans="1:35">
      <c r="A2431" s="1">
        <v>42341</v>
      </c>
      <c r="B2431" s="1">
        <v>37539</v>
      </c>
      <c r="C2431" t="s">
        <v>5933</v>
      </c>
      <c r="D2431">
        <v>354</v>
      </c>
      <c r="E2431">
        <v>26619</v>
      </c>
      <c r="F2431">
        <v>1</v>
      </c>
      <c r="G2431">
        <v>1</v>
      </c>
      <c r="H2431">
        <v>1</v>
      </c>
      <c r="I2431">
        <v>1</v>
      </c>
      <c r="J2431" t="s">
        <v>3537</v>
      </c>
      <c r="K2431" t="s">
        <v>3538</v>
      </c>
      <c r="L2431" s="2">
        <v>1117.8559</v>
      </c>
      <c r="M2431" s="2">
        <v>2071.4196000000002</v>
      </c>
      <c r="N2431" t="s">
        <v>13</v>
      </c>
      <c r="O2431" t="s">
        <v>299</v>
      </c>
      <c r="P2431" t="s">
        <v>55</v>
      </c>
      <c r="Q2431" t="s">
        <v>8759</v>
      </c>
      <c r="R2431" s="1">
        <v>22001</v>
      </c>
      <c r="S2431" t="s">
        <v>16</v>
      </c>
      <c r="T2431" t="s">
        <v>16</v>
      </c>
      <c r="U2431" t="s">
        <v>3269</v>
      </c>
      <c r="V2431">
        <v>60000</v>
      </c>
      <c r="W2431">
        <v>1</v>
      </c>
      <c r="X2431" t="s">
        <v>52</v>
      </c>
      <c r="Y2431" t="s">
        <v>53</v>
      </c>
      <c r="Z2431" t="s">
        <v>19</v>
      </c>
      <c r="AA2431" t="s">
        <v>3577</v>
      </c>
      <c r="AB2431" t="s">
        <v>3578</v>
      </c>
      <c r="AC2431" t="s">
        <v>3579</v>
      </c>
      <c r="AD2431" t="s">
        <v>3478</v>
      </c>
      <c r="AE2431" t="s">
        <v>3475</v>
      </c>
      <c r="AF2431" s="2">
        <v>2071.4196000000002</v>
      </c>
      <c r="AG2431" s="2">
        <v>1117.8559</v>
      </c>
      <c r="AH2431" s="2">
        <v>953.56370000000004</v>
      </c>
      <c r="AI2431" s="3">
        <v>0.460343090313522</v>
      </c>
    </row>
    <row r="2432" spans="1:35">
      <c r="A2432" s="1">
        <v>42352</v>
      </c>
      <c r="B2432" s="1">
        <v>37512</v>
      </c>
      <c r="C2432" t="s">
        <v>6051</v>
      </c>
      <c r="D2432">
        <v>362</v>
      </c>
      <c r="E2432">
        <v>26622</v>
      </c>
      <c r="F2432">
        <v>1</v>
      </c>
      <c r="G2432">
        <v>1</v>
      </c>
      <c r="H2432">
        <v>1</v>
      </c>
      <c r="I2432">
        <v>1</v>
      </c>
      <c r="J2432" t="s">
        <v>3545</v>
      </c>
      <c r="K2432" t="s">
        <v>3546</v>
      </c>
      <c r="L2432" s="2">
        <v>1105.81</v>
      </c>
      <c r="M2432" s="2">
        <v>2049.0981999999999</v>
      </c>
      <c r="N2432" t="s">
        <v>26</v>
      </c>
      <c r="O2432" t="s">
        <v>237</v>
      </c>
      <c r="P2432" t="s">
        <v>294</v>
      </c>
      <c r="Q2432" t="s">
        <v>8760</v>
      </c>
      <c r="R2432" s="1">
        <v>24720</v>
      </c>
      <c r="S2432" t="s">
        <v>22</v>
      </c>
      <c r="T2432" t="s">
        <v>29</v>
      </c>
      <c r="U2432" t="s">
        <v>3270</v>
      </c>
      <c r="V2432">
        <v>50000</v>
      </c>
      <c r="W2432">
        <v>0</v>
      </c>
      <c r="X2432" t="s">
        <v>52</v>
      </c>
      <c r="Y2432" t="s">
        <v>53</v>
      </c>
      <c r="Z2432" t="s">
        <v>23</v>
      </c>
      <c r="AA2432" t="s">
        <v>3577</v>
      </c>
      <c r="AB2432" t="s">
        <v>3578</v>
      </c>
      <c r="AC2432" t="s">
        <v>3579</v>
      </c>
      <c r="AD2432" t="s">
        <v>3478</v>
      </c>
      <c r="AE2432" t="s">
        <v>3475</v>
      </c>
      <c r="AF2432" s="2">
        <v>2049.0981999999999</v>
      </c>
      <c r="AG2432" s="2">
        <v>1105.81</v>
      </c>
      <c r="AH2432" s="2">
        <v>943.28819999999996</v>
      </c>
      <c r="AI2432" s="3">
        <v>0.46034309141455498</v>
      </c>
    </row>
    <row r="2433" spans="1:35">
      <c r="A2433" s="1">
        <v>42360</v>
      </c>
      <c r="B2433" s="1">
        <v>37499</v>
      </c>
      <c r="C2433" t="s">
        <v>6126</v>
      </c>
      <c r="D2433">
        <v>358</v>
      </c>
      <c r="E2433">
        <v>26623</v>
      </c>
      <c r="F2433">
        <v>1</v>
      </c>
      <c r="G2433">
        <v>1</v>
      </c>
      <c r="H2433">
        <v>1</v>
      </c>
      <c r="I2433">
        <v>1</v>
      </c>
      <c r="J2433" t="s">
        <v>3541</v>
      </c>
      <c r="K2433" t="s">
        <v>3542</v>
      </c>
      <c r="L2433" s="2">
        <v>1105.81</v>
      </c>
      <c r="M2433" s="2">
        <v>2049.0981999999999</v>
      </c>
      <c r="N2433" t="s">
        <v>26</v>
      </c>
      <c r="O2433" t="s">
        <v>336</v>
      </c>
      <c r="P2433" t="s">
        <v>199</v>
      </c>
      <c r="Q2433" t="s">
        <v>8761</v>
      </c>
      <c r="R2433" s="1">
        <v>24514</v>
      </c>
      <c r="S2433" t="s">
        <v>22</v>
      </c>
      <c r="T2433" t="s">
        <v>29</v>
      </c>
      <c r="U2433" t="s">
        <v>3271</v>
      </c>
      <c r="V2433">
        <v>50000</v>
      </c>
      <c r="W2433">
        <v>0</v>
      </c>
      <c r="X2433" t="s">
        <v>52</v>
      </c>
      <c r="Y2433" t="s">
        <v>53</v>
      </c>
      <c r="Z2433" t="s">
        <v>23</v>
      </c>
      <c r="AA2433" t="s">
        <v>3577</v>
      </c>
      <c r="AB2433" t="s">
        <v>3578</v>
      </c>
      <c r="AC2433" t="s">
        <v>3579</v>
      </c>
      <c r="AD2433" t="s">
        <v>3478</v>
      </c>
      <c r="AE2433" t="s">
        <v>3475</v>
      </c>
      <c r="AF2433" s="2">
        <v>2049.0981999999999</v>
      </c>
      <c r="AG2433" s="2">
        <v>1105.81</v>
      </c>
      <c r="AH2433" s="2">
        <v>943.28819999999996</v>
      </c>
      <c r="AI2433" s="3">
        <v>0.46034309141455498</v>
      </c>
    </row>
    <row r="2434" spans="1:35">
      <c r="A2434" s="1">
        <v>42366</v>
      </c>
      <c r="B2434" s="1">
        <v>37514</v>
      </c>
      <c r="C2434" t="s">
        <v>6191</v>
      </c>
      <c r="D2434">
        <v>362</v>
      </c>
      <c r="E2434">
        <v>26624</v>
      </c>
      <c r="F2434">
        <v>1</v>
      </c>
      <c r="G2434">
        <v>1</v>
      </c>
      <c r="H2434">
        <v>1</v>
      </c>
      <c r="I2434">
        <v>1</v>
      </c>
      <c r="J2434" t="s">
        <v>3545</v>
      </c>
      <c r="K2434" t="s">
        <v>3546</v>
      </c>
      <c r="L2434" s="2">
        <v>1105.81</v>
      </c>
      <c r="M2434" s="2">
        <v>2049.0981999999999</v>
      </c>
      <c r="N2434" t="s">
        <v>26</v>
      </c>
      <c r="O2434" t="s">
        <v>31</v>
      </c>
      <c r="P2434" t="s">
        <v>71</v>
      </c>
      <c r="Q2434" t="s">
        <v>8762</v>
      </c>
      <c r="R2434" s="1">
        <v>24598</v>
      </c>
      <c r="S2434" t="s">
        <v>22</v>
      </c>
      <c r="T2434" t="s">
        <v>29</v>
      </c>
      <c r="U2434" t="s">
        <v>3272</v>
      </c>
      <c r="V2434">
        <v>50000</v>
      </c>
      <c r="W2434">
        <v>0</v>
      </c>
      <c r="X2434" t="s">
        <v>52</v>
      </c>
      <c r="Y2434" t="s">
        <v>53</v>
      </c>
      <c r="Z2434" t="s">
        <v>23</v>
      </c>
      <c r="AA2434" t="s">
        <v>3577</v>
      </c>
      <c r="AB2434" t="s">
        <v>3578</v>
      </c>
      <c r="AC2434" t="s">
        <v>3579</v>
      </c>
      <c r="AD2434" t="s">
        <v>3478</v>
      </c>
      <c r="AE2434" t="s">
        <v>3475</v>
      </c>
      <c r="AF2434" s="2">
        <v>2049.0981999999999</v>
      </c>
      <c r="AG2434" s="2">
        <v>1105.81</v>
      </c>
      <c r="AH2434" s="2">
        <v>943.28819999999996</v>
      </c>
      <c r="AI2434" s="3">
        <v>0.46034309141455498</v>
      </c>
    </row>
    <row r="2435" spans="1:35">
      <c r="A2435" s="1">
        <v>42361</v>
      </c>
      <c r="B2435" s="1">
        <v>37552</v>
      </c>
      <c r="C2435" t="s">
        <v>6144</v>
      </c>
      <c r="D2435">
        <v>354</v>
      </c>
      <c r="E2435">
        <v>26625</v>
      </c>
      <c r="F2435">
        <v>1</v>
      </c>
      <c r="G2435">
        <v>1</v>
      </c>
      <c r="H2435">
        <v>1</v>
      </c>
      <c r="I2435">
        <v>1</v>
      </c>
      <c r="J2435" t="s">
        <v>3537</v>
      </c>
      <c r="K2435" t="s">
        <v>3538</v>
      </c>
      <c r="L2435" s="2">
        <v>1117.8559</v>
      </c>
      <c r="M2435" s="2">
        <v>2071.4196000000002</v>
      </c>
      <c r="N2435" t="s">
        <v>26</v>
      </c>
      <c r="O2435" t="s">
        <v>43</v>
      </c>
      <c r="P2435" t="s">
        <v>291</v>
      </c>
      <c r="Q2435" t="s">
        <v>8763</v>
      </c>
      <c r="R2435" s="1">
        <v>24825</v>
      </c>
      <c r="S2435" t="s">
        <v>22</v>
      </c>
      <c r="T2435" t="s">
        <v>29</v>
      </c>
      <c r="U2435" t="s">
        <v>3273</v>
      </c>
      <c r="V2435">
        <v>60000</v>
      </c>
      <c r="W2435">
        <v>0</v>
      </c>
      <c r="X2435" t="s">
        <v>135</v>
      </c>
      <c r="Y2435" t="s">
        <v>18</v>
      </c>
      <c r="Z2435" t="s">
        <v>19</v>
      </c>
      <c r="AA2435" t="s">
        <v>3577</v>
      </c>
      <c r="AB2435" t="s">
        <v>3578</v>
      </c>
      <c r="AC2435" t="s">
        <v>3579</v>
      </c>
      <c r="AD2435" t="s">
        <v>3478</v>
      </c>
      <c r="AE2435" t="s">
        <v>3475</v>
      </c>
      <c r="AF2435" s="2">
        <v>2071.4196000000002</v>
      </c>
      <c r="AG2435" s="2">
        <v>1117.8559</v>
      </c>
      <c r="AH2435" s="2">
        <v>953.56370000000004</v>
      </c>
      <c r="AI2435" s="3">
        <v>0.460343090313522</v>
      </c>
    </row>
    <row r="2436" spans="1:35">
      <c r="A2436" s="1">
        <v>42345</v>
      </c>
      <c r="B2436" s="1">
        <v>37553</v>
      </c>
      <c r="C2436" t="s">
        <v>5958</v>
      </c>
      <c r="D2436">
        <v>356</v>
      </c>
      <c r="E2436">
        <v>26626</v>
      </c>
      <c r="F2436">
        <v>4</v>
      </c>
      <c r="G2436">
        <v>1</v>
      </c>
      <c r="H2436">
        <v>1</v>
      </c>
      <c r="I2436">
        <v>1</v>
      </c>
      <c r="J2436" t="s">
        <v>3539</v>
      </c>
      <c r="K2436" t="s">
        <v>3540</v>
      </c>
      <c r="L2436" s="2">
        <v>1117.8559</v>
      </c>
      <c r="M2436" s="2">
        <v>2071.4196000000002</v>
      </c>
      <c r="N2436" t="s">
        <v>13</v>
      </c>
      <c r="O2436" t="s">
        <v>186</v>
      </c>
      <c r="P2436" t="s">
        <v>254</v>
      </c>
      <c r="Q2436" t="s">
        <v>8764</v>
      </c>
      <c r="R2436" s="1">
        <v>24556</v>
      </c>
      <c r="S2436" t="s">
        <v>22</v>
      </c>
      <c r="T2436" t="s">
        <v>16</v>
      </c>
      <c r="U2436" t="s">
        <v>3274</v>
      </c>
      <c r="V2436">
        <v>60000</v>
      </c>
      <c r="W2436">
        <v>0</v>
      </c>
      <c r="X2436" t="s">
        <v>135</v>
      </c>
      <c r="Y2436" t="s">
        <v>18</v>
      </c>
      <c r="Z2436" t="s">
        <v>23</v>
      </c>
      <c r="AA2436" t="s">
        <v>3580</v>
      </c>
      <c r="AB2436" t="s">
        <v>3578</v>
      </c>
      <c r="AC2436" t="s">
        <v>3579</v>
      </c>
      <c r="AD2436" t="s">
        <v>3478</v>
      </c>
      <c r="AE2436" t="s">
        <v>3475</v>
      </c>
      <c r="AF2436" s="2">
        <v>2071.4196000000002</v>
      </c>
      <c r="AG2436" s="2">
        <v>1117.8559</v>
      </c>
      <c r="AH2436" s="2">
        <v>953.56370000000004</v>
      </c>
      <c r="AI2436" s="3">
        <v>0.460343090313522</v>
      </c>
    </row>
    <row r="2437" spans="1:35">
      <c r="A2437" s="1">
        <v>42364</v>
      </c>
      <c r="B2437" s="1">
        <v>37540</v>
      </c>
      <c r="C2437" t="s">
        <v>6174</v>
      </c>
      <c r="D2437">
        <v>362</v>
      </c>
      <c r="E2437">
        <v>26627</v>
      </c>
      <c r="F2437">
        <v>4</v>
      </c>
      <c r="G2437">
        <v>1</v>
      </c>
      <c r="H2437">
        <v>1</v>
      </c>
      <c r="I2437">
        <v>1</v>
      </c>
      <c r="J2437" t="s">
        <v>3545</v>
      </c>
      <c r="K2437" t="s">
        <v>3546</v>
      </c>
      <c r="L2437" s="2">
        <v>1105.81</v>
      </c>
      <c r="M2437" s="2">
        <v>2049.0981999999999</v>
      </c>
      <c r="N2437" t="s">
        <v>13</v>
      </c>
      <c r="O2437" t="s">
        <v>304</v>
      </c>
      <c r="P2437" t="s">
        <v>288</v>
      </c>
      <c r="Q2437" t="s">
        <v>8765</v>
      </c>
      <c r="R2437" s="1">
        <v>24691</v>
      </c>
      <c r="S2437" t="s">
        <v>16</v>
      </c>
      <c r="T2437" t="s">
        <v>16</v>
      </c>
      <c r="U2437" t="s">
        <v>3275</v>
      </c>
      <c r="V2437">
        <v>60000</v>
      </c>
      <c r="W2437">
        <v>0</v>
      </c>
      <c r="X2437" t="s">
        <v>135</v>
      </c>
      <c r="Y2437" t="s">
        <v>18</v>
      </c>
      <c r="Z2437" t="s">
        <v>23</v>
      </c>
      <c r="AA2437" t="s">
        <v>3580</v>
      </c>
      <c r="AB2437" t="s">
        <v>3578</v>
      </c>
      <c r="AC2437" t="s">
        <v>3579</v>
      </c>
      <c r="AD2437" t="s">
        <v>3478</v>
      </c>
      <c r="AE2437" t="s">
        <v>3475</v>
      </c>
      <c r="AF2437" s="2">
        <v>2049.0981999999999</v>
      </c>
      <c r="AG2437" s="2">
        <v>1105.81</v>
      </c>
      <c r="AH2437" s="2">
        <v>943.28819999999996</v>
      </c>
      <c r="AI2437" s="3">
        <v>0.46034309141455498</v>
      </c>
    </row>
    <row r="2438" spans="1:35">
      <c r="A2438" s="1">
        <v>42349</v>
      </c>
      <c r="B2438" s="1">
        <v>37583</v>
      </c>
      <c r="C2438" t="s">
        <v>6004</v>
      </c>
      <c r="D2438">
        <v>354</v>
      </c>
      <c r="E2438">
        <v>26631</v>
      </c>
      <c r="F2438">
        <v>4</v>
      </c>
      <c r="G2438">
        <v>1</v>
      </c>
      <c r="H2438">
        <v>1</v>
      </c>
      <c r="I2438">
        <v>1</v>
      </c>
      <c r="J2438" t="s">
        <v>3537</v>
      </c>
      <c r="K2438" t="s">
        <v>3538</v>
      </c>
      <c r="L2438" s="2">
        <v>1117.8559</v>
      </c>
      <c r="M2438" s="2">
        <v>2071.4196000000002</v>
      </c>
      <c r="N2438" t="s">
        <v>13</v>
      </c>
      <c r="O2438" t="s">
        <v>679</v>
      </c>
      <c r="P2438" t="s">
        <v>345</v>
      </c>
      <c r="Q2438" t="s">
        <v>8766</v>
      </c>
      <c r="R2438" s="1">
        <v>21976</v>
      </c>
      <c r="S2438" t="s">
        <v>16</v>
      </c>
      <c r="T2438" t="s">
        <v>16</v>
      </c>
      <c r="U2438" t="s">
        <v>3276</v>
      </c>
      <c r="V2438">
        <v>60000</v>
      </c>
      <c r="W2438">
        <v>1</v>
      </c>
      <c r="X2438" t="s">
        <v>52</v>
      </c>
      <c r="Y2438" t="s">
        <v>53</v>
      </c>
      <c r="Z2438" t="s">
        <v>19</v>
      </c>
      <c r="AA2438" t="s">
        <v>3580</v>
      </c>
      <c r="AB2438" t="s">
        <v>3578</v>
      </c>
      <c r="AC2438" t="s">
        <v>3579</v>
      </c>
      <c r="AD2438" t="s">
        <v>3478</v>
      </c>
      <c r="AE2438" t="s">
        <v>3475</v>
      </c>
      <c r="AF2438" s="2">
        <v>2071.4196000000002</v>
      </c>
      <c r="AG2438" s="2">
        <v>1117.8559</v>
      </c>
      <c r="AH2438" s="2">
        <v>953.56370000000004</v>
      </c>
      <c r="AI2438" s="3">
        <v>0.460343090313522</v>
      </c>
    </row>
    <row r="2439" spans="1:35">
      <c r="A2439" s="1">
        <v>42355</v>
      </c>
      <c r="B2439" s="1">
        <v>37519</v>
      </c>
      <c r="C2439" t="s">
        <v>6077</v>
      </c>
      <c r="D2439">
        <v>352</v>
      </c>
      <c r="E2439">
        <v>26632</v>
      </c>
      <c r="F2439">
        <v>1</v>
      </c>
      <c r="G2439">
        <v>1</v>
      </c>
      <c r="H2439">
        <v>1</v>
      </c>
      <c r="I2439">
        <v>1</v>
      </c>
      <c r="J2439" t="s">
        <v>3535</v>
      </c>
      <c r="K2439" t="s">
        <v>3536</v>
      </c>
      <c r="L2439" s="2">
        <v>1117.8559</v>
      </c>
      <c r="M2439" s="2">
        <v>2071.4196000000002</v>
      </c>
      <c r="N2439" t="s">
        <v>30</v>
      </c>
      <c r="O2439" t="s">
        <v>588</v>
      </c>
      <c r="P2439" t="s">
        <v>674</v>
      </c>
      <c r="Q2439" t="s">
        <v>8767</v>
      </c>
      <c r="R2439" s="1">
        <v>22274</v>
      </c>
      <c r="S2439" t="s">
        <v>16</v>
      </c>
      <c r="T2439" t="s">
        <v>29</v>
      </c>
      <c r="U2439" t="s">
        <v>3277</v>
      </c>
      <c r="V2439">
        <v>60000</v>
      </c>
      <c r="W2439">
        <v>1</v>
      </c>
      <c r="X2439" t="s">
        <v>52</v>
      </c>
      <c r="Y2439" t="s">
        <v>53</v>
      </c>
      <c r="Z2439" t="s">
        <v>19</v>
      </c>
      <c r="AA2439" t="s">
        <v>3577</v>
      </c>
      <c r="AB2439" t="s">
        <v>3578</v>
      </c>
      <c r="AC2439" t="s">
        <v>3579</v>
      </c>
      <c r="AD2439" t="s">
        <v>3478</v>
      </c>
      <c r="AE2439" t="s">
        <v>3475</v>
      </c>
      <c r="AF2439" s="2">
        <v>2071.4196000000002</v>
      </c>
      <c r="AG2439" s="2">
        <v>1117.8559</v>
      </c>
      <c r="AH2439" s="2">
        <v>953.56370000000004</v>
      </c>
      <c r="AI2439" s="3">
        <v>0.460343090313522</v>
      </c>
    </row>
    <row r="2440" spans="1:35">
      <c r="A2440" s="1">
        <v>42341</v>
      </c>
      <c r="B2440" s="1">
        <v>37526</v>
      </c>
      <c r="C2440" t="s">
        <v>5923</v>
      </c>
      <c r="D2440">
        <v>360</v>
      </c>
      <c r="E2440">
        <v>26633</v>
      </c>
      <c r="F2440">
        <v>4</v>
      </c>
      <c r="G2440">
        <v>1</v>
      </c>
      <c r="H2440">
        <v>1</v>
      </c>
      <c r="I2440">
        <v>1</v>
      </c>
      <c r="J2440" t="s">
        <v>3543</v>
      </c>
      <c r="K2440" t="s">
        <v>3544</v>
      </c>
      <c r="L2440" s="2">
        <v>1105.81</v>
      </c>
      <c r="M2440" s="2">
        <v>2049.0981999999999</v>
      </c>
      <c r="N2440" t="s">
        <v>30</v>
      </c>
      <c r="O2440" t="s">
        <v>296</v>
      </c>
      <c r="P2440" t="s">
        <v>424</v>
      </c>
      <c r="Q2440" t="s">
        <v>8768</v>
      </c>
      <c r="R2440" s="1">
        <v>22228</v>
      </c>
      <c r="S2440" t="s">
        <v>16</v>
      </c>
      <c r="T2440" t="s">
        <v>29</v>
      </c>
      <c r="U2440" t="s">
        <v>3278</v>
      </c>
      <c r="V2440">
        <v>60000</v>
      </c>
      <c r="W2440">
        <v>1</v>
      </c>
      <c r="X2440" t="s">
        <v>52</v>
      </c>
      <c r="Y2440" t="s">
        <v>53</v>
      </c>
      <c r="Z2440" t="s">
        <v>19</v>
      </c>
      <c r="AA2440" t="s">
        <v>3580</v>
      </c>
      <c r="AB2440" t="s">
        <v>3578</v>
      </c>
      <c r="AC2440" t="s">
        <v>3579</v>
      </c>
      <c r="AD2440" t="s">
        <v>3478</v>
      </c>
      <c r="AE2440" t="s">
        <v>3475</v>
      </c>
      <c r="AF2440" s="2">
        <v>2049.0981999999999</v>
      </c>
      <c r="AG2440" s="2">
        <v>1105.81</v>
      </c>
      <c r="AH2440" s="2">
        <v>943.28819999999996</v>
      </c>
      <c r="AI2440" s="3">
        <v>0.46034309141455498</v>
      </c>
    </row>
    <row r="2441" spans="1:35">
      <c r="A2441" s="1">
        <v>42340</v>
      </c>
      <c r="B2441" s="1">
        <v>37509</v>
      </c>
      <c r="C2441" t="s">
        <v>5912</v>
      </c>
      <c r="D2441">
        <v>356</v>
      </c>
      <c r="E2441">
        <v>26634</v>
      </c>
      <c r="F2441">
        <v>4</v>
      </c>
      <c r="G2441">
        <v>1</v>
      </c>
      <c r="H2441">
        <v>1</v>
      </c>
      <c r="I2441">
        <v>1</v>
      </c>
      <c r="J2441" t="s">
        <v>3539</v>
      </c>
      <c r="K2441" t="s">
        <v>3540</v>
      </c>
      <c r="L2441" s="2">
        <v>1117.8559</v>
      </c>
      <c r="M2441" s="2">
        <v>2071.4196000000002</v>
      </c>
      <c r="N2441" t="s">
        <v>13</v>
      </c>
      <c r="O2441" t="s">
        <v>285</v>
      </c>
      <c r="P2441" t="s">
        <v>44</v>
      </c>
      <c r="Q2441" t="s">
        <v>8769</v>
      </c>
      <c r="R2441" s="1">
        <v>22048</v>
      </c>
      <c r="S2441" t="s">
        <v>16</v>
      </c>
      <c r="T2441" t="s">
        <v>16</v>
      </c>
      <c r="U2441" t="s">
        <v>3279</v>
      </c>
      <c r="V2441">
        <v>60000</v>
      </c>
      <c r="W2441">
        <v>1</v>
      </c>
      <c r="X2441" t="s">
        <v>52</v>
      </c>
      <c r="Y2441" t="s">
        <v>53</v>
      </c>
      <c r="Z2441" t="s">
        <v>23</v>
      </c>
      <c r="AA2441" t="s">
        <v>3580</v>
      </c>
      <c r="AB2441" t="s">
        <v>3578</v>
      </c>
      <c r="AC2441" t="s">
        <v>3579</v>
      </c>
      <c r="AD2441" t="s">
        <v>3478</v>
      </c>
      <c r="AE2441" t="s">
        <v>3475</v>
      </c>
      <c r="AF2441" s="2">
        <v>2071.4196000000002</v>
      </c>
      <c r="AG2441" s="2">
        <v>1117.8559</v>
      </c>
      <c r="AH2441" s="2">
        <v>953.56370000000004</v>
      </c>
      <c r="AI2441" s="3">
        <v>0.460343090313522</v>
      </c>
    </row>
    <row r="2442" spans="1:35">
      <c r="A2442" s="1">
        <v>42349</v>
      </c>
      <c r="B2442" s="1">
        <v>37581</v>
      </c>
      <c r="C2442" t="s">
        <v>6006</v>
      </c>
      <c r="D2442">
        <v>362</v>
      </c>
      <c r="E2442">
        <v>26635</v>
      </c>
      <c r="F2442">
        <v>4</v>
      </c>
      <c r="G2442">
        <v>1</v>
      </c>
      <c r="H2442">
        <v>1</v>
      </c>
      <c r="I2442">
        <v>1</v>
      </c>
      <c r="J2442" t="s">
        <v>3545</v>
      </c>
      <c r="K2442" t="s">
        <v>3546</v>
      </c>
      <c r="L2442" s="2">
        <v>1105.81</v>
      </c>
      <c r="M2442" s="2">
        <v>2049.0981999999999</v>
      </c>
      <c r="N2442" t="s">
        <v>30</v>
      </c>
      <c r="O2442" t="s">
        <v>253</v>
      </c>
      <c r="P2442" t="s">
        <v>250</v>
      </c>
      <c r="Q2442" t="s">
        <v>8770</v>
      </c>
      <c r="R2442" s="1">
        <v>21684</v>
      </c>
      <c r="S2442" t="s">
        <v>16</v>
      </c>
      <c r="T2442" t="s">
        <v>29</v>
      </c>
      <c r="U2442" t="s">
        <v>3280</v>
      </c>
      <c r="V2442">
        <v>60000</v>
      </c>
      <c r="W2442">
        <v>1</v>
      </c>
      <c r="X2442" t="s">
        <v>52</v>
      </c>
      <c r="Y2442" t="s">
        <v>53</v>
      </c>
      <c r="Z2442" t="s">
        <v>19</v>
      </c>
      <c r="AA2442" t="s">
        <v>3580</v>
      </c>
      <c r="AB2442" t="s">
        <v>3578</v>
      </c>
      <c r="AC2442" t="s">
        <v>3579</v>
      </c>
      <c r="AD2442" t="s">
        <v>3478</v>
      </c>
      <c r="AE2442" t="s">
        <v>3475</v>
      </c>
      <c r="AF2442" s="2">
        <v>2049.0981999999999</v>
      </c>
      <c r="AG2442" s="2">
        <v>1105.81</v>
      </c>
      <c r="AH2442" s="2">
        <v>943.28819999999996</v>
      </c>
      <c r="AI2442" s="3">
        <v>0.46034309141455498</v>
      </c>
    </row>
    <row r="2443" spans="1:35">
      <c r="A2443" s="1">
        <v>42350</v>
      </c>
      <c r="B2443" s="1">
        <v>37584</v>
      </c>
      <c r="C2443" t="s">
        <v>6025</v>
      </c>
      <c r="D2443">
        <v>360</v>
      </c>
      <c r="E2443">
        <v>26638</v>
      </c>
      <c r="F2443">
        <v>1</v>
      </c>
      <c r="G2443">
        <v>1</v>
      </c>
      <c r="H2443">
        <v>1</v>
      </c>
      <c r="I2443">
        <v>1</v>
      </c>
      <c r="J2443" t="s">
        <v>3543</v>
      </c>
      <c r="K2443" t="s">
        <v>3544</v>
      </c>
      <c r="L2443" s="2">
        <v>1105.81</v>
      </c>
      <c r="M2443" s="2">
        <v>2049.0981999999999</v>
      </c>
      <c r="N2443" t="s">
        <v>30</v>
      </c>
      <c r="O2443" t="s">
        <v>333</v>
      </c>
      <c r="P2443" t="s">
        <v>113</v>
      </c>
      <c r="Q2443" t="s">
        <v>8771</v>
      </c>
      <c r="R2443" s="1">
        <v>21725</v>
      </c>
      <c r="S2443" t="s">
        <v>22</v>
      </c>
      <c r="T2443" t="s">
        <v>29</v>
      </c>
      <c r="U2443" t="s">
        <v>3281</v>
      </c>
      <c r="V2443">
        <v>70000</v>
      </c>
      <c r="W2443">
        <v>1</v>
      </c>
      <c r="X2443" t="s">
        <v>135</v>
      </c>
      <c r="Y2443" t="s">
        <v>18</v>
      </c>
      <c r="Z2443" t="s">
        <v>23</v>
      </c>
      <c r="AA2443" t="s">
        <v>3577</v>
      </c>
      <c r="AB2443" t="s">
        <v>3578</v>
      </c>
      <c r="AC2443" t="s">
        <v>3579</v>
      </c>
      <c r="AD2443" t="s">
        <v>3478</v>
      </c>
      <c r="AE2443" t="s">
        <v>3475</v>
      </c>
      <c r="AF2443" s="2">
        <v>2049.0981999999999</v>
      </c>
      <c r="AG2443" s="2">
        <v>1105.81</v>
      </c>
      <c r="AH2443" s="2">
        <v>943.28819999999996</v>
      </c>
      <c r="AI2443" s="3">
        <v>0.46034309141455498</v>
      </c>
    </row>
    <row r="2444" spans="1:35">
      <c r="A2444" s="1">
        <v>42345</v>
      </c>
      <c r="B2444" s="1">
        <v>37522</v>
      </c>
      <c r="C2444" t="s">
        <v>5956</v>
      </c>
      <c r="D2444">
        <v>352</v>
      </c>
      <c r="E2444">
        <v>26641</v>
      </c>
      <c r="F2444">
        <v>4</v>
      </c>
      <c r="G2444">
        <v>1</v>
      </c>
      <c r="H2444">
        <v>1</v>
      </c>
      <c r="I2444">
        <v>1</v>
      </c>
      <c r="J2444" t="s">
        <v>3535</v>
      </c>
      <c r="K2444" t="s">
        <v>3536</v>
      </c>
      <c r="L2444" s="2">
        <v>1117.8559</v>
      </c>
      <c r="M2444" s="2">
        <v>2071.4196000000002</v>
      </c>
      <c r="N2444" t="s">
        <v>13</v>
      </c>
      <c r="O2444" t="s">
        <v>398</v>
      </c>
      <c r="P2444" t="s">
        <v>72</v>
      </c>
      <c r="Q2444" t="s">
        <v>8772</v>
      </c>
      <c r="R2444" s="1">
        <v>21767</v>
      </c>
      <c r="S2444" t="s">
        <v>22</v>
      </c>
      <c r="T2444" t="s">
        <v>16</v>
      </c>
      <c r="U2444" t="s">
        <v>3282</v>
      </c>
      <c r="V2444">
        <v>80000</v>
      </c>
      <c r="W2444">
        <v>1</v>
      </c>
      <c r="X2444" t="s">
        <v>135</v>
      </c>
      <c r="Y2444" t="s">
        <v>18</v>
      </c>
      <c r="Z2444" t="s">
        <v>19</v>
      </c>
      <c r="AA2444" t="s">
        <v>3580</v>
      </c>
      <c r="AB2444" t="s">
        <v>3578</v>
      </c>
      <c r="AC2444" t="s">
        <v>3579</v>
      </c>
      <c r="AD2444" t="s">
        <v>3478</v>
      </c>
      <c r="AE2444" t="s">
        <v>3475</v>
      </c>
      <c r="AF2444" s="2">
        <v>2071.4196000000002</v>
      </c>
      <c r="AG2444" s="2">
        <v>1117.8559</v>
      </c>
      <c r="AH2444" s="2">
        <v>953.56370000000004</v>
      </c>
      <c r="AI2444" s="3">
        <v>0.460343090313522</v>
      </c>
    </row>
    <row r="2445" spans="1:35">
      <c r="A2445" s="1">
        <v>42346</v>
      </c>
      <c r="B2445" s="1">
        <v>37531</v>
      </c>
      <c r="C2445" t="s">
        <v>5976</v>
      </c>
      <c r="D2445">
        <v>352</v>
      </c>
      <c r="E2445">
        <v>26642</v>
      </c>
      <c r="F2445">
        <v>1</v>
      </c>
      <c r="G2445">
        <v>1</v>
      </c>
      <c r="H2445">
        <v>1</v>
      </c>
      <c r="I2445">
        <v>1</v>
      </c>
      <c r="J2445" t="s">
        <v>3535</v>
      </c>
      <c r="K2445" t="s">
        <v>3536</v>
      </c>
      <c r="L2445" s="2">
        <v>1117.8559</v>
      </c>
      <c r="M2445" s="2">
        <v>2071.4196000000002</v>
      </c>
      <c r="N2445" t="s">
        <v>30</v>
      </c>
      <c r="O2445" t="s">
        <v>296</v>
      </c>
      <c r="P2445" t="s">
        <v>325</v>
      </c>
      <c r="Q2445" t="s">
        <v>8773</v>
      </c>
      <c r="R2445" s="1">
        <v>21354</v>
      </c>
      <c r="S2445" t="s">
        <v>16</v>
      </c>
      <c r="T2445" t="s">
        <v>29</v>
      </c>
      <c r="U2445" t="s">
        <v>3283</v>
      </c>
      <c r="V2445">
        <v>80000</v>
      </c>
      <c r="W2445">
        <v>1</v>
      </c>
      <c r="X2445" t="s">
        <v>52</v>
      </c>
      <c r="Y2445" t="s">
        <v>53</v>
      </c>
      <c r="Z2445" t="s">
        <v>19</v>
      </c>
      <c r="AA2445" t="s">
        <v>3577</v>
      </c>
      <c r="AB2445" t="s">
        <v>3578</v>
      </c>
      <c r="AC2445" t="s">
        <v>3579</v>
      </c>
      <c r="AD2445" t="s">
        <v>3478</v>
      </c>
      <c r="AE2445" t="s">
        <v>3475</v>
      </c>
      <c r="AF2445" s="2">
        <v>2071.4196000000002</v>
      </c>
      <c r="AG2445" s="2">
        <v>1117.8559</v>
      </c>
      <c r="AH2445" s="2">
        <v>953.56370000000004</v>
      </c>
      <c r="AI2445" s="3">
        <v>0.460343090313522</v>
      </c>
    </row>
    <row r="2446" spans="1:35">
      <c r="A2446" s="1">
        <v>42357</v>
      </c>
      <c r="B2446" s="1">
        <v>37592</v>
      </c>
      <c r="C2446" t="s">
        <v>6100</v>
      </c>
      <c r="D2446">
        <v>358</v>
      </c>
      <c r="E2446">
        <v>26644</v>
      </c>
      <c r="F2446">
        <v>1</v>
      </c>
      <c r="G2446">
        <v>1</v>
      </c>
      <c r="H2446">
        <v>1</v>
      </c>
      <c r="I2446">
        <v>1</v>
      </c>
      <c r="J2446" t="s">
        <v>3541</v>
      </c>
      <c r="K2446" t="s">
        <v>3542</v>
      </c>
      <c r="L2446" s="2">
        <v>1105.81</v>
      </c>
      <c r="M2446" s="2">
        <v>2049.0981999999999</v>
      </c>
      <c r="N2446" t="s">
        <v>30</v>
      </c>
      <c r="O2446" t="s">
        <v>403</v>
      </c>
      <c r="P2446" t="s">
        <v>101</v>
      </c>
      <c r="Q2446" t="s">
        <v>8774</v>
      </c>
      <c r="R2446" s="1">
        <v>21296</v>
      </c>
      <c r="S2446" t="s">
        <v>22</v>
      </c>
      <c r="T2446" t="s">
        <v>29</v>
      </c>
      <c r="U2446" t="s">
        <v>3284</v>
      </c>
      <c r="V2446">
        <v>60000</v>
      </c>
      <c r="W2446">
        <v>1</v>
      </c>
      <c r="X2446" t="s">
        <v>17</v>
      </c>
      <c r="Y2446" t="s">
        <v>18</v>
      </c>
      <c r="Z2446" t="s">
        <v>23</v>
      </c>
      <c r="AA2446" t="s">
        <v>3577</v>
      </c>
      <c r="AB2446" t="s">
        <v>3578</v>
      </c>
      <c r="AC2446" t="s">
        <v>3579</v>
      </c>
      <c r="AD2446" t="s">
        <v>3478</v>
      </c>
      <c r="AE2446" t="s">
        <v>3475</v>
      </c>
      <c r="AF2446" s="2">
        <v>2049.0981999999999</v>
      </c>
      <c r="AG2446" s="2">
        <v>1105.81</v>
      </c>
      <c r="AH2446" s="2">
        <v>943.28819999999996</v>
      </c>
      <c r="AI2446" s="3">
        <v>0.46034309141455498</v>
      </c>
    </row>
    <row r="2447" spans="1:35">
      <c r="A2447" s="1">
        <v>42343</v>
      </c>
      <c r="B2447" s="1">
        <v>37524</v>
      </c>
      <c r="C2447" t="s">
        <v>5948</v>
      </c>
      <c r="D2447">
        <v>362</v>
      </c>
      <c r="E2447">
        <v>26645</v>
      </c>
      <c r="F2447">
        <v>4</v>
      </c>
      <c r="G2447">
        <v>1</v>
      </c>
      <c r="H2447">
        <v>1</v>
      </c>
      <c r="I2447">
        <v>1</v>
      </c>
      <c r="J2447" t="s">
        <v>3545</v>
      </c>
      <c r="K2447" t="s">
        <v>3546</v>
      </c>
      <c r="L2447" s="2">
        <v>1105.81</v>
      </c>
      <c r="M2447" s="2">
        <v>2049.0981999999999</v>
      </c>
      <c r="N2447" t="s">
        <v>30</v>
      </c>
      <c r="O2447" t="s">
        <v>252</v>
      </c>
      <c r="P2447" t="s">
        <v>245</v>
      </c>
      <c r="Q2447" t="s">
        <v>8775</v>
      </c>
      <c r="R2447" s="1">
        <v>21419</v>
      </c>
      <c r="S2447" t="s">
        <v>22</v>
      </c>
      <c r="T2447" t="s">
        <v>29</v>
      </c>
      <c r="U2447" t="s">
        <v>3285</v>
      </c>
      <c r="V2447">
        <v>60000</v>
      </c>
      <c r="W2447">
        <v>1</v>
      </c>
      <c r="X2447" t="s">
        <v>17</v>
      </c>
      <c r="Y2447" t="s">
        <v>18</v>
      </c>
      <c r="Z2447" t="s">
        <v>19</v>
      </c>
      <c r="AA2447" t="s">
        <v>3580</v>
      </c>
      <c r="AB2447" t="s">
        <v>3578</v>
      </c>
      <c r="AC2447" t="s">
        <v>3579</v>
      </c>
      <c r="AD2447" t="s">
        <v>3478</v>
      </c>
      <c r="AE2447" t="s">
        <v>3475</v>
      </c>
      <c r="AF2447" s="2">
        <v>2049.0981999999999</v>
      </c>
      <c r="AG2447" s="2">
        <v>1105.81</v>
      </c>
      <c r="AH2447" s="2">
        <v>943.28819999999996</v>
      </c>
      <c r="AI2447" s="3">
        <v>0.46034309141455498</v>
      </c>
    </row>
    <row r="2448" spans="1:35">
      <c r="A2448" s="1">
        <v>42357</v>
      </c>
      <c r="B2448" s="1">
        <v>37571</v>
      </c>
      <c r="C2448" t="s">
        <v>6103</v>
      </c>
      <c r="D2448">
        <v>356</v>
      </c>
      <c r="E2448">
        <v>26646</v>
      </c>
      <c r="F2448">
        <v>4</v>
      </c>
      <c r="G2448">
        <v>1</v>
      </c>
      <c r="H2448">
        <v>1</v>
      </c>
      <c r="I2448">
        <v>1</v>
      </c>
      <c r="J2448" t="s">
        <v>3539</v>
      </c>
      <c r="K2448" t="s">
        <v>3540</v>
      </c>
      <c r="L2448" s="2">
        <v>1117.8559</v>
      </c>
      <c r="M2448" s="2">
        <v>2071.4196000000002</v>
      </c>
      <c r="N2448" t="s">
        <v>30</v>
      </c>
      <c r="O2448" t="s">
        <v>1272</v>
      </c>
      <c r="P2448" t="s">
        <v>329</v>
      </c>
      <c r="Q2448" t="s">
        <v>8776</v>
      </c>
      <c r="R2448" s="1">
        <v>21480</v>
      </c>
      <c r="S2448" t="s">
        <v>22</v>
      </c>
      <c r="T2448" t="s">
        <v>29</v>
      </c>
      <c r="U2448" t="s">
        <v>3286</v>
      </c>
      <c r="V2448">
        <v>60000</v>
      </c>
      <c r="W2448">
        <v>1</v>
      </c>
      <c r="X2448" t="s">
        <v>17</v>
      </c>
      <c r="Y2448" t="s">
        <v>18</v>
      </c>
      <c r="Z2448" t="s">
        <v>19</v>
      </c>
      <c r="AA2448" t="s">
        <v>3580</v>
      </c>
      <c r="AB2448" t="s">
        <v>3578</v>
      </c>
      <c r="AC2448" t="s">
        <v>3579</v>
      </c>
      <c r="AD2448" t="s">
        <v>3478</v>
      </c>
      <c r="AE2448" t="s">
        <v>3475</v>
      </c>
      <c r="AF2448" s="2">
        <v>2071.4196000000002</v>
      </c>
      <c r="AG2448" s="2">
        <v>1117.8559</v>
      </c>
      <c r="AH2448" s="2">
        <v>953.56370000000004</v>
      </c>
      <c r="AI2448" s="3">
        <v>0.460343090313522</v>
      </c>
    </row>
    <row r="2449" spans="1:35">
      <c r="A2449" s="1">
        <v>42366</v>
      </c>
      <c r="B2449" s="1">
        <v>37594</v>
      </c>
      <c r="C2449" t="s">
        <v>6193</v>
      </c>
      <c r="D2449">
        <v>362</v>
      </c>
      <c r="E2449">
        <v>26647</v>
      </c>
      <c r="F2449">
        <v>4</v>
      </c>
      <c r="G2449">
        <v>1</v>
      </c>
      <c r="H2449">
        <v>1</v>
      </c>
      <c r="I2449">
        <v>1</v>
      </c>
      <c r="J2449" t="s">
        <v>3545</v>
      </c>
      <c r="K2449" t="s">
        <v>3546</v>
      </c>
      <c r="L2449" s="2">
        <v>1105.81</v>
      </c>
      <c r="M2449" s="2">
        <v>2049.0981999999999</v>
      </c>
      <c r="N2449" t="s">
        <v>30</v>
      </c>
      <c r="O2449" t="s">
        <v>253</v>
      </c>
      <c r="P2449" t="s">
        <v>111</v>
      </c>
      <c r="Q2449" t="s">
        <v>8777</v>
      </c>
      <c r="R2449" s="1">
        <v>21272</v>
      </c>
      <c r="S2449" t="s">
        <v>22</v>
      </c>
      <c r="T2449" t="s">
        <v>29</v>
      </c>
      <c r="U2449" t="s">
        <v>3287</v>
      </c>
      <c r="V2449">
        <v>60000</v>
      </c>
      <c r="W2449">
        <v>1</v>
      </c>
      <c r="X2449" t="s">
        <v>17</v>
      </c>
      <c r="Y2449" t="s">
        <v>18</v>
      </c>
      <c r="Z2449" t="s">
        <v>19</v>
      </c>
      <c r="AA2449" t="s">
        <v>3580</v>
      </c>
      <c r="AB2449" t="s">
        <v>3578</v>
      </c>
      <c r="AC2449" t="s">
        <v>3579</v>
      </c>
      <c r="AD2449" t="s">
        <v>3478</v>
      </c>
      <c r="AE2449" t="s">
        <v>3475</v>
      </c>
      <c r="AF2449" s="2">
        <v>2049.0981999999999</v>
      </c>
      <c r="AG2449" s="2">
        <v>1105.81</v>
      </c>
      <c r="AH2449" s="2">
        <v>943.28819999999996</v>
      </c>
      <c r="AI2449" s="3">
        <v>0.46034309141455498</v>
      </c>
    </row>
    <row r="2450" spans="1:35">
      <c r="A2450" s="1">
        <v>42339</v>
      </c>
      <c r="B2450" s="1">
        <v>37538</v>
      </c>
      <c r="C2450" t="s">
        <v>5902</v>
      </c>
      <c r="D2450">
        <v>358</v>
      </c>
      <c r="E2450">
        <v>26649</v>
      </c>
      <c r="F2450">
        <v>4</v>
      </c>
      <c r="G2450">
        <v>1</v>
      </c>
      <c r="H2450">
        <v>1</v>
      </c>
      <c r="I2450">
        <v>1</v>
      </c>
      <c r="J2450" t="s">
        <v>3541</v>
      </c>
      <c r="K2450" t="s">
        <v>3542</v>
      </c>
      <c r="L2450" s="2">
        <v>1105.81</v>
      </c>
      <c r="M2450" s="2">
        <v>2049.0981999999999</v>
      </c>
      <c r="N2450" t="s">
        <v>30</v>
      </c>
      <c r="O2450" t="s">
        <v>178</v>
      </c>
      <c r="P2450" t="s">
        <v>329</v>
      </c>
      <c r="Q2450" t="s">
        <v>8778</v>
      </c>
      <c r="R2450" s="1">
        <v>21466</v>
      </c>
      <c r="S2450" t="s">
        <v>22</v>
      </c>
      <c r="T2450" t="s">
        <v>29</v>
      </c>
      <c r="U2450" t="s">
        <v>3288</v>
      </c>
      <c r="V2450">
        <v>80000</v>
      </c>
      <c r="W2450">
        <v>5</v>
      </c>
      <c r="X2450" t="s">
        <v>135</v>
      </c>
      <c r="Y2450" t="s">
        <v>18</v>
      </c>
      <c r="Z2450" t="s">
        <v>23</v>
      </c>
      <c r="AA2450" t="s">
        <v>3580</v>
      </c>
      <c r="AB2450" t="s">
        <v>3578</v>
      </c>
      <c r="AC2450" t="s">
        <v>3579</v>
      </c>
      <c r="AD2450" t="s">
        <v>3478</v>
      </c>
      <c r="AE2450" t="s">
        <v>3475</v>
      </c>
      <c r="AF2450" s="2">
        <v>2049.0981999999999</v>
      </c>
      <c r="AG2450" s="2">
        <v>1105.81</v>
      </c>
      <c r="AH2450" s="2">
        <v>943.28819999999996</v>
      </c>
      <c r="AI2450" s="3">
        <v>0.46034309141455498</v>
      </c>
    </row>
    <row r="2451" spans="1:35">
      <c r="A2451" s="1">
        <v>42356</v>
      </c>
      <c r="B2451" s="1">
        <v>37518</v>
      </c>
      <c r="C2451" t="s">
        <v>6087</v>
      </c>
      <c r="D2451">
        <v>352</v>
      </c>
      <c r="E2451">
        <v>26650</v>
      </c>
      <c r="F2451">
        <v>4</v>
      </c>
      <c r="G2451">
        <v>1</v>
      </c>
      <c r="H2451">
        <v>1</v>
      </c>
      <c r="I2451">
        <v>1</v>
      </c>
      <c r="J2451" t="s">
        <v>3535</v>
      </c>
      <c r="K2451" t="s">
        <v>3536</v>
      </c>
      <c r="L2451" s="2">
        <v>1117.8559</v>
      </c>
      <c r="M2451" s="2">
        <v>2071.4196000000002</v>
      </c>
      <c r="N2451" t="s">
        <v>13</v>
      </c>
      <c r="O2451" t="s">
        <v>646</v>
      </c>
      <c r="P2451" t="s">
        <v>377</v>
      </c>
      <c r="Q2451" t="s">
        <v>8779</v>
      </c>
      <c r="R2451" s="1">
        <v>21333</v>
      </c>
      <c r="S2451" t="s">
        <v>22</v>
      </c>
      <c r="T2451" t="s">
        <v>16</v>
      </c>
      <c r="U2451" t="s">
        <v>3289</v>
      </c>
      <c r="V2451">
        <v>80000</v>
      </c>
      <c r="W2451">
        <v>5</v>
      </c>
      <c r="X2451" t="s">
        <v>135</v>
      </c>
      <c r="Y2451" t="s">
        <v>18</v>
      </c>
      <c r="Z2451" t="s">
        <v>19</v>
      </c>
      <c r="AA2451" t="s">
        <v>3580</v>
      </c>
      <c r="AB2451" t="s">
        <v>3578</v>
      </c>
      <c r="AC2451" t="s">
        <v>3579</v>
      </c>
      <c r="AD2451" t="s">
        <v>3478</v>
      </c>
      <c r="AE2451" t="s">
        <v>3475</v>
      </c>
      <c r="AF2451" s="2">
        <v>2071.4196000000002</v>
      </c>
      <c r="AG2451" s="2">
        <v>1117.8559</v>
      </c>
      <c r="AH2451" s="2">
        <v>953.56370000000004</v>
      </c>
      <c r="AI2451" s="3">
        <v>0.460343090313522</v>
      </c>
    </row>
    <row r="2452" spans="1:35">
      <c r="A2452" s="1">
        <v>42351</v>
      </c>
      <c r="B2452" s="1">
        <v>37581</v>
      </c>
      <c r="C2452" t="s">
        <v>6031</v>
      </c>
      <c r="D2452">
        <v>360</v>
      </c>
      <c r="E2452">
        <v>26676</v>
      </c>
      <c r="F2452">
        <v>4</v>
      </c>
      <c r="G2452">
        <v>1</v>
      </c>
      <c r="H2452">
        <v>1</v>
      </c>
      <c r="I2452">
        <v>1</v>
      </c>
      <c r="J2452" t="s">
        <v>3543</v>
      </c>
      <c r="K2452" t="s">
        <v>3544</v>
      </c>
      <c r="L2452" s="2">
        <v>1105.81</v>
      </c>
      <c r="M2452" s="2">
        <v>2049.0981999999999</v>
      </c>
      <c r="N2452" t="s">
        <v>30</v>
      </c>
      <c r="O2452" t="s">
        <v>178</v>
      </c>
      <c r="P2452" t="s">
        <v>47</v>
      </c>
      <c r="Q2452" t="s">
        <v>8780</v>
      </c>
      <c r="R2452" s="1">
        <v>21020</v>
      </c>
      <c r="S2452" t="s">
        <v>16</v>
      </c>
      <c r="T2452" t="s">
        <v>29</v>
      </c>
      <c r="U2452" t="s">
        <v>3290</v>
      </c>
      <c r="V2452">
        <v>60000</v>
      </c>
      <c r="W2452">
        <v>2</v>
      </c>
      <c r="X2452" t="s">
        <v>57</v>
      </c>
      <c r="Y2452" t="s">
        <v>18</v>
      </c>
      <c r="Z2452" t="s">
        <v>19</v>
      </c>
      <c r="AA2452" t="s">
        <v>3580</v>
      </c>
      <c r="AB2452" t="s">
        <v>3578</v>
      </c>
      <c r="AC2452" t="s">
        <v>3579</v>
      </c>
      <c r="AD2452" t="s">
        <v>3478</v>
      </c>
      <c r="AE2452" t="s">
        <v>3475</v>
      </c>
      <c r="AF2452" s="2">
        <v>2049.0981999999999</v>
      </c>
      <c r="AG2452" s="2">
        <v>1105.81</v>
      </c>
      <c r="AH2452" s="2">
        <v>943.28819999999996</v>
      </c>
      <c r="AI2452" s="3">
        <v>0.46034309141455498</v>
      </c>
    </row>
    <row r="2453" spans="1:35">
      <c r="A2453" s="1">
        <v>42360</v>
      </c>
      <c r="B2453" s="1">
        <v>37593</v>
      </c>
      <c r="C2453" t="s">
        <v>6136</v>
      </c>
      <c r="D2453">
        <v>356</v>
      </c>
      <c r="E2453">
        <v>26681</v>
      </c>
      <c r="F2453">
        <v>4</v>
      </c>
      <c r="G2453">
        <v>1</v>
      </c>
      <c r="H2453">
        <v>1</v>
      </c>
      <c r="I2453">
        <v>1</v>
      </c>
      <c r="J2453" t="s">
        <v>3539</v>
      </c>
      <c r="K2453" t="s">
        <v>3540</v>
      </c>
      <c r="L2453" s="2">
        <v>1117.8559</v>
      </c>
      <c r="M2453" s="2">
        <v>2071.4196000000002</v>
      </c>
      <c r="N2453" t="s">
        <v>13</v>
      </c>
      <c r="O2453" t="s">
        <v>433</v>
      </c>
      <c r="P2453" t="s">
        <v>393</v>
      </c>
      <c r="Q2453" t="s">
        <v>8781</v>
      </c>
      <c r="R2453" s="1">
        <v>20548</v>
      </c>
      <c r="S2453" t="s">
        <v>22</v>
      </c>
      <c r="T2453" t="s">
        <v>16</v>
      </c>
      <c r="U2453" t="s">
        <v>3291</v>
      </c>
      <c r="V2453">
        <v>60000</v>
      </c>
      <c r="W2453">
        <v>2</v>
      </c>
      <c r="X2453" t="s">
        <v>57</v>
      </c>
      <c r="Y2453" t="s">
        <v>18</v>
      </c>
      <c r="Z2453" t="s">
        <v>19</v>
      </c>
      <c r="AA2453" t="s">
        <v>3580</v>
      </c>
      <c r="AB2453" t="s">
        <v>3578</v>
      </c>
      <c r="AC2453" t="s">
        <v>3579</v>
      </c>
      <c r="AD2453" t="s">
        <v>3478</v>
      </c>
      <c r="AE2453" t="s">
        <v>3475</v>
      </c>
      <c r="AF2453" s="2">
        <v>2071.4196000000002</v>
      </c>
      <c r="AG2453" s="2">
        <v>1117.8559</v>
      </c>
      <c r="AH2453" s="2">
        <v>953.56370000000004</v>
      </c>
      <c r="AI2453" s="3">
        <v>0.460343090313522</v>
      </c>
    </row>
    <row r="2454" spans="1:35">
      <c r="A2454" s="1">
        <v>42352</v>
      </c>
      <c r="B2454" s="1">
        <v>37547</v>
      </c>
      <c r="C2454" t="s">
        <v>6047</v>
      </c>
      <c r="D2454">
        <v>360</v>
      </c>
      <c r="E2454">
        <v>26684</v>
      </c>
      <c r="F2454">
        <v>4</v>
      </c>
      <c r="G2454">
        <v>1</v>
      </c>
      <c r="H2454">
        <v>1</v>
      </c>
      <c r="I2454">
        <v>1</v>
      </c>
      <c r="J2454" t="s">
        <v>3543</v>
      </c>
      <c r="K2454" t="s">
        <v>3544</v>
      </c>
      <c r="L2454" s="2">
        <v>1105.81</v>
      </c>
      <c r="M2454" s="2">
        <v>2049.0981999999999</v>
      </c>
      <c r="N2454" t="s">
        <v>13</v>
      </c>
      <c r="O2454" t="s">
        <v>514</v>
      </c>
      <c r="P2454" t="s">
        <v>134</v>
      </c>
      <c r="Q2454" t="s">
        <v>8782</v>
      </c>
      <c r="R2454" s="1">
        <v>24068</v>
      </c>
      <c r="S2454" t="s">
        <v>16</v>
      </c>
      <c r="T2454" t="s">
        <v>16</v>
      </c>
      <c r="U2454" t="s">
        <v>3292</v>
      </c>
      <c r="V2454">
        <v>110000</v>
      </c>
      <c r="W2454">
        <v>2</v>
      </c>
      <c r="X2454" t="s">
        <v>17</v>
      </c>
      <c r="Y2454" t="s">
        <v>45</v>
      </c>
      <c r="Z2454" t="s">
        <v>19</v>
      </c>
      <c r="AA2454" t="s">
        <v>3580</v>
      </c>
      <c r="AB2454" t="s">
        <v>3578</v>
      </c>
      <c r="AC2454" t="s">
        <v>3579</v>
      </c>
      <c r="AD2454" t="s">
        <v>3478</v>
      </c>
      <c r="AE2454" t="s">
        <v>3475</v>
      </c>
      <c r="AF2454" s="2">
        <v>2049.0981999999999</v>
      </c>
      <c r="AG2454" s="2">
        <v>1105.81</v>
      </c>
      <c r="AH2454" s="2">
        <v>943.28819999999996</v>
      </c>
      <c r="AI2454" s="3">
        <v>0.46034309141455498</v>
      </c>
    </row>
    <row r="2455" spans="1:35">
      <c r="A2455" s="1">
        <v>42005</v>
      </c>
      <c r="B2455" s="1">
        <v>37211</v>
      </c>
      <c r="C2455" t="s">
        <v>3597</v>
      </c>
      <c r="D2455">
        <v>338</v>
      </c>
      <c r="E2455">
        <v>26782</v>
      </c>
      <c r="F2455">
        <v>6</v>
      </c>
      <c r="G2455">
        <v>1</v>
      </c>
      <c r="H2455">
        <v>1</v>
      </c>
      <c r="I2455">
        <v>2</v>
      </c>
      <c r="J2455" t="s">
        <v>3513</v>
      </c>
      <c r="K2455" t="s">
        <v>3514</v>
      </c>
      <c r="L2455" s="2">
        <v>413.1463</v>
      </c>
      <c r="M2455" s="2">
        <v>699.09820000000002</v>
      </c>
      <c r="N2455" t="s">
        <v>13</v>
      </c>
      <c r="O2455" t="s">
        <v>69</v>
      </c>
      <c r="P2455" t="s">
        <v>407</v>
      </c>
      <c r="Q2455" t="s">
        <v>8783</v>
      </c>
      <c r="R2455" s="1">
        <v>29489</v>
      </c>
      <c r="S2455" t="s">
        <v>22</v>
      </c>
      <c r="T2455" t="s">
        <v>16</v>
      </c>
      <c r="U2455" t="s">
        <v>3293</v>
      </c>
      <c r="V2455">
        <v>30000</v>
      </c>
      <c r="W2455">
        <v>0</v>
      </c>
      <c r="X2455" t="s">
        <v>57</v>
      </c>
      <c r="Y2455" t="s">
        <v>53</v>
      </c>
      <c r="Z2455" t="s">
        <v>23</v>
      </c>
      <c r="AA2455" t="s">
        <v>3582</v>
      </c>
      <c r="AB2455" t="s">
        <v>3582</v>
      </c>
      <c r="AC2455" t="s">
        <v>3579</v>
      </c>
      <c r="AD2455" t="s">
        <v>3479</v>
      </c>
      <c r="AE2455" t="s">
        <v>3475</v>
      </c>
      <c r="AF2455" s="2">
        <v>699.09820000000002</v>
      </c>
      <c r="AG2455" s="2">
        <v>413.1463</v>
      </c>
      <c r="AH2455" s="2">
        <v>285.95190000000002</v>
      </c>
      <c r="AI2455" s="3">
        <v>0.409029661355157</v>
      </c>
    </row>
    <row r="2456" spans="1:35">
      <c r="A2456" s="1">
        <v>42041</v>
      </c>
      <c r="B2456" s="1">
        <v>37268</v>
      </c>
      <c r="C2456" t="s">
        <v>3809</v>
      </c>
      <c r="D2456">
        <v>338</v>
      </c>
      <c r="E2456">
        <v>26789</v>
      </c>
      <c r="F2456">
        <v>6</v>
      </c>
      <c r="G2456">
        <v>1</v>
      </c>
      <c r="H2456">
        <v>1</v>
      </c>
      <c r="I2456">
        <v>2</v>
      </c>
      <c r="J2456" t="s">
        <v>3513</v>
      </c>
      <c r="K2456" t="s">
        <v>3514</v>
      </c>
      <c r="L2456" s="2">
        <v>413.1463</v>
      </c>
      <c r="M2456" s="2">
        <v>699.09820000000002</v>
      </c>
      <c r="N2456" t="s">
        <v>13</v>
      </c>
      <c r="O2456" t="s">
        <v>143</v>
      </c>
      <c r="P2456" t="s">
        <v>311</v>
      </c>
      <c r="Q2456" t="s">
        <v>8784</v>
      </c>
      <c r="R2456" s="1">
        <v>28804</v>
      </c>
      <c r="S2456" t="s">
        <v>22</v>
      </c>
      <c r="T2456" t="s">
        <v>16</v>
      </c>
      <c r="U2456" t="s">
        <v>3294</v>
      </c>
      <c r="V2456">
        <v>40000</v>
      </c>
      <c r="W2456">
        <v>0</v>
      </c>
      <c r="X2456" t="s">
        <v>57</v>
      </c>
      <c r="Y2456" t="s">
        <v>53</v>
      </c>
      <c r="Z2456" t="s">
        <v>23</v>
      </c>
      <c r="AA2456" t="s">
        <v>3582</v>
      </c>
      <c r="AB2456" t="s">
        <v>3582</v>
      </c>
      <c r="AC2456" t="s">
        <v>3579</v>
      </c>
      <c r="AD2456" t="s">
        <v>3479</v>
      </c>
      <c r="AE2456" t="s">
        <v>3475</v>
      </c>
      <c r="AF2456" s="2">
        <v>699.09820000000002</v>
      </c>
      <c r="AG2456" s="2">
        <v>413.1463</v>
      </c>
      <c r="AH2456" s="2">
        <v>285.95190000000002</v>
      </c>
      <c r="AI2456" s="3">
        <v>0.409029661355157</v>
      </c>
    </row>
    <row r="2457" spans="1:35">
      <c r="A2457" s="1">
        <v>42157</v>
      </c>
      <c r="B2457" s="1">
        <v>37389</v>
      </c>
      <c r="C2457" t="s">
        <v>4561</v>
      </c>
      <c r="D2457">
        <v>328</v>
      </c>
      <c r="E2457">
        <v>27014</v>
      </c>
      <c r="F2457">
        <v>6</v>
      </c>
      <c r="G2457">
        <v>1</v>
      </c>
      <c r="H2457">
        <v>1</v>
      </c>
      <c r="I2457">
        <v>2</v>
      </c>
      <c r="J2457" t="s">
        <v>3503</v>
      </c>
      <c r="K2457" t="s">
        <v>3504</v>
      </c>
      <c r="L2457" s="2">
        <v>413.1463</v>
      </c>
      <c r="M2457" s="2">
        <v>699.09820000000002</v>
      </c>
      <c r="N2457" t="s">
        <v>13</v>
      </c>
      <c r="O2457" t="s">
        <v>61</v>
      </c>
      <c r="P2457" t="s">
        <v>280</v>
      </c>
      <c r="Q2457" t="s">
        <v>8785</v>
      </c>
      <c r="R2457" s="1">
        <v>24342</v>
      </c>
      <c r="S2457" t="s">
        <v>16</v>
      </c>
      <c r="T2457" t="s">
        <v>16</v>
      </c>
      <c r="U2457" t="s">
        <v>3295</v>
      </c>
      <c r="V2457">
        <v>80000</v>
      </c>
      <c r="W2457">
        <v>0</v>
      </c>
      <c r="X2457" t="s">
        <v>135</v>
      </c>
      <c r="Y2457" t="s">
        <v>53</v>
      </c>
      <c r="Z2457" t="s">
        <v>19</v>
      </c>
      <c r="AA2457" t="s">
        <v>3582</v>
      </c>
      <c r="AB2457" t="s">
        <v>3582</v>
      </c>
      <c r="AC2457" t="s">
        <v>3579</v>
      </c>
      <c r="AD2457" t="s">
        <v>3479</v>
      </c>
      <c r="AE2457" t="s">
        <v>3475</v>
      </c>
      <c r="AF2457" s="2">
        <v>699.09820000000002</v>
      </c>
      <c r="AG2457" s="2">
        <v>413.1463</v>
      </c>
      <c r="AH2457" s="2">
        <v>285.95190000000002</v>
      </c>
      <c r="AI2457" s="3">
        <v>0.409029661355157</v>
      </c>
    </row>
    <row r="2458" spans="1:35">
      <c r="A2458" s="1">
        <v>42158</v>
      </c>
      <c r="B2458" s="1">
        <v>37342</v>
      </c>
      <c r="C2458" t="s">
        <v>4567</v>
      </c>
      <c r="D2458">
        <v>342</v>
      </c>
      <c r="E2458">
        <v>27026</v>
      </c>
      <c r="F2458">
        <v>6</v>
      </c>
      <c r="G2458">
        <v>1</v>
      </c>
      <c r="H2458">
        <v>1</v>
      </c>
      <c r="I2458">
        <v>2</v>
      </c>
      <c r="J2458" t="s">
        <v>3517</v>
      </c>
      <c r="K2458" t="s">
        <v>3518</v>
      </c>
      <c r="L2458" s="2">
        <v>413.1463</v>
      </c>
      <c r="M2458" s="2">
        <v>699.09820000000002</v>
      </c>
      <c r="N2458" t="s">
        <v>13</v>
      </c>
      <c r="O2458" t="s">
        <v>262</v>
      </c>
      <c r="P2458" t="s">
        <v>329</v>
      </c>
      <c r="Q2458" t="s">
        <v>8786</v>
      </c>
      <c r="R2458" s="1">
        <v>20281</v>
      </c>
      <c r="S2458" t="s">
        <v>22</v>
      </c>
      <c r="T2458" t="s">
        <v>16</v>
      </c>
      <c r="U2458" t="s">
        <v>3296</v>
      </c>
      <c r="V2458">
        <v>30000</v>
      </c>
      <c r="W2458">
        <v>1</v>
      </c>
      <c r="X2458" t="s">
        <v>57</v>
      </c>
      <c r="Y2458" t="s">
        <v>60</v>
      </c>
      <c r="Z2458" t="s">
        <v>23</v>
      </c>
      <c r="AA2458" t="s">
        <v>3582</v>
      </c>
      <c r="AB2458" t="s">
        <v>3582</v>
      </c>
      <c r="AC2458" t="s">
        <v>3579</v>
      </c>
      <c r="AD2458" t="s">
        <v>3479</v>
      </c>
      <c r="AE2458" t="s">
        <v>3475</v>
      </c>
      <c r="AF2458" s="2">
        <v>699.09820000000002</v>
      </c>
      <c r="AG2458" s="2">
        <v>413.1463</v>
      </c>
      <c r="AH2458" s="2">
        <v>285.95190000000002</v>
      </c>
      <c r="AI2458" s="3">
        <v>0.409029661355157</v>
      </c>
    </row>
    <row r="2459" spans="1:35">
      <c r="A2459" s="1">
        <v>42224</v>
      </c>
      <c r="B2459" s="1">
        <v>37447</v>
      </c>
      <c r="C2459" t="s">
        <v>5076</v>
      </c>
      <c r="D2459">
        <v>342</v>
      </c>
      <c r="E2459">
        <v>27027</v>
      </c>
      <c r="F2459">
        <v>6</v>
      </c>
      <c r="G2459">
        <v>1</v>
      </c>
      <c r="H2459">
        <v>1</v>
      </c>
      <c r="I2459">
        <v>2</v>
      </c>
      <c r="J2459" t="s">
        <v>3517</v>
      </c>
      <c r="K2459" t="s">
        <v>3518</v>
      </c>
      <c r="L2459" s="2">
        <v>413.1463</v>
      </c>
      <c r="M2459" s="2">
        <v>699.09820000000002</v>
      </c>
      <c r="N2459" t="s">
        <v>30</v>
      </c>
      <c r="O2459" t="s">
        <v>98</v>
      </c>
      <c r="P2459" t="s">
        <v>688</v>
      </c>
      <c r="Q2459" t="s">
        <v>8787</v>
      </c>
      <c r="R2459" s="1">
        <v>20284</v>
      </c>
      <c r="S2459" t="s">
        <v>22</v>
      </c>
      <c r="T2459" t="s">
        <v>29</v>
      </c>
      <c r="U2459" t="s">
        <v>3297</v>
      </c>
      <c r="V2459">
        <v>30000</v>
      </c>
      <c r="W2459">
        <v>1</v>
      </c>
      <c r="X2459" t="s">
        <v>57</v>
      </c>
      <c r="Y2459" t="s">
        <v>60</v>
      </c>
      <c r="Z2459" t="s">
        <v>23</v>
      </c>
      <c r="AA2459" t="s">
        <v>3582</v>
      </c>
      <c r="AB2459" t="s">
        <v>3582</v>
      </c>
      <c r="AC2459" t="s">
        <v>3579</v>
      </c>
      <c r="AD2459" t="s">
        <v>3479</v>
      </c>
      <c r="AE2459" t="s">
        <v>3475</v>
      </c>
      <c r="AF2459" s="2">
        <v>699.09820000000002</v>
      </c>
      <c r="AG2459" s="2">
        <v>413.1463</v>
      </c>
      <c r="AH2459" s="2">
        <v>285.95190000000002</v>
      </c>
      <c r="AI2459" s="3">
        <v>0.409029661355157</v>
      </c>
    </row>
    <row r="2460" spans="1:35">
      <c r="A2460" s="1">
        <v>42233</v>
      </c>
      <c r="B2460" s="1">
        <v>37416</v>
      </c>
      <c r="C2460" t="s">
        <v>5146</v>
      </c>
      <c r="D2460">
        <v>336</v>
      </c>
      <c r="E2460">
        <v>27043</v>
      </c>
      <c r="F2460">
        <v>6</v>
      </c>
      <c r="G2460">
        <v>1</v>
      </c>
      <c r="H2460">
        <v>1</v>
      </c>
      <c r="I2460">
        <v>2</v>
      </c>
      <c r="J2460" t="s">
        <v>3511</v>
      </c>
      <c r="K2460" t="s">
        <v>3512</v>
      </c>
      <c r="L2460" s="2">
        <v>413.1463</v>
      </c>
      <c r="M2460" s="2">
        <v>699.09820000000002</v>
      </c>
      <c r="N2460" t="s">
        <v>13</v>
      </c>
      <c r="O2460" t="s">
        <v>186</v>
      </c>
      <c r="P2460" t="s">
        <v>105</v>
      </c>
      <c r="Q2460" t="s">
        <v>8788</v>
      </c>
      <c r="R2460" s="1">
        <v>21345</v>
      </c>
      <c r="S2460" t="s">
        <v>22</v>
      </c>
      <c r="T2460" t="s">
        <v>16</v>
      </c>
      <c r="U2460" t="s">
        <v>3298</v>
      </c>
      <c r="V2460">
        <v>30000</v>
      </c>
      <c r="W2460">
        <v>2</v>
      </c>
      <c r="X2460" t="s">
        <v>57</v>
      </c>
      <c r="Y2460" t="s">
        <v>53</v>
      </c>
      <c r="Z2460" t="s">
        <v>19</v>
      </c>
      <c r="AA2460" t="s">
        <v>3582</v>
      </c>
      <c r="AB2460" t="s">
        <v>3582</v>
      </c>
      <c r="AC2460" t="s">
        <v>3579</v>
      </c>
      <c r="AD2460" t="s">
        <v>3479</v>
      </c>
      <c r="AE2460" t="s">
        <v>3475</v>
      </c>
      <c r="AF2460" s="2">
        <v>699.09820000000002</v>
      </c>
      <c r="AG2460" s="2">
        <v>413.1463</v>
      </c>
      <c r="AH2460" s="2">
        <v>285.95190000000002</v>
      </c>
      <c r="AI2460" s="3">
        <v>0.409029661355157</v>
      </c>
    </row>
    <row r="2461" spans="1:35">
      <c r="A2461" s="1">
        <v>42263</v>
      </c>
      <c r="B2461" s="1">
        <v>37430</v>
      </c>
      <c r="C2461" t="s">
        <v>5390</v>
      </c>
      <c r="D2461">
        <v>324</v>
      </c>
      <c r="E2461">
        <v>27053</v>
      </c>
      <c r="F2461">
        <v>6</v>
      </c>
      <c r="G2461">
        <v>1</v>
      </c>
      <c r="H2461">
        <v>1</v>
      </c>
      <c r="I2461">
        <v>2</v>
      </c>
      <c r="J2461" t="s">
        <v>3499</v>
      </c>
      <c r="K2461" t="s">
        <v>3500</v>
      </c>
      <c r="L2461" s="2">
        <v>413.1463</v>
      </c>
      <c r="M2461" s="2">
        <v>699.09820000000002</v>
      </c>
      <c r="N2461" t="s">
        <v>13</v>
      </c>
      <c r="O2461" t="s">
        <v>990</v>
      </c>
      <c r="P2461" t="s">
        <v>334</v>
      </c>
      <c r="Q2461" t="s">
        <v>8789</v>
      </c>
      <c r="R2461" s="1">
        <v>21633</v>
      </c>
      <c r="S2461" t="s">
        <v>22</v>
      </c>
      <c r="T2461" t="s">
        <v>16</v>
      </c>
      <c r="U2461" t="s">
        <v>3299</v>
      </c>
      <c r="V2461">
        <v>40000</v>
      </c>
      <c r="W2461">
        <v>2</v>
      </c>
      <c r="X2461" t="s">
        <v>52</v>
      </c>
      <c r="Y2461" t="s">
        <v>60</v>
      </c>
      <c r="Z2461" t="s">
        <v>19</v>
      </c>
      <c r="AA2461" t="s">
        <v>3582</v>
      </c>
      <c r="AB2461" t="s">
        <v>3582</v>
      </c>
      <c r="AC2461" t="s">
        <v>3579</v>
      </c>
      <c r="AD2461" t="s">
        <v>3479</v>
      </c>
      <c r="AE2461" t="s">
        <v>3475</v>
      </c>
      <c r="AF2461" s="2">
        <v>699.09820000000002</v>
      </c>
      <c r="AG2461" s="2">
        <v>413.1463</v>
      </c>
      <c r="AH2461" s="2">
        <v>285.95190000000002</v>
      </c>
      <c r="AI2461" s="3">
        <v>0.409029661355157</v>
      </c>
    </row>
    <row r="2462" spans="1:35">
      <c r="A2462" s="1">
        <v>42273</v>
      </c>
      <c r="B2462" s="1">
        <v>37495</v>
      </c>
      <c r="C2462" t="s">
        <v>5458</v>
      </c>
      <c r="D2462">
        <v>342</v>
      </c>
      <c r="E2462">
        <v>27060</v>
      </c>
      <c r="F2462">
        <v>6</v>
      </c>
      <c r="G2462">
        <v>1</v>
      </c>
      <c r="H2462">
        <v>1</v>
      </c>
      <c r="I2462">
        <v>2</v>
      </c>
      <c r="J2462" t="s">
        <v>3517</v>
      </c>
      <c r="K2462" t="s">
        <v>3518</v>
      </c>
      <c r="L2462" s="2">
        <v>413.1463</v>
      </c>
      <c r="M2462" s="2">
        <v>699.09820000000002</v>
      </c>
      <c r="N2462" t="s">
        <v>13</v>
      </c>
      <c r="O2462" t="s">
        <v>176</v>
      </c>
      <c r="P2462" t="s">
        <v>264</v>
      </c>
      <c r="Q2462" t="s">
        <v>8790</v>
      </c>
      <c r="R2462" s="1">
        <v>26751</v>
      </c>
      <c r="S2462" t="s">
        <v>16</v>
      </c>
      <c r="T2462" t="s">
        <v>16</v>
      </c>
      <c r="U2462" t="s">
        <v>3300</v>
      </c>
      <c r="V2462">
        <v>40000</v>
      </c>
      <c r="W2462">
        <v>0</v>
      </c>
      <c r="X2462" t="s">
        <v>135</v>
      </c>
      <c r="Y2462" t="s">
        <v>53</v>
      </c>
      <c r="Z2462" t="s">
        <v>19</v>
      </c>
      <c r="AA2462" t="s">
        <v>3582</v>
      </c>
      <c r="AB2462" t="s">
        <v>3582</v>
      </c>
      <c r="AC2462" t="s">
        <v>3579</v>
      </c>
      <c r="AD2462" t="s">
        <v>3479</v>
      </c>
      <c r="AE2462" t="s">
        <v>3475</v>
      </c>
      <c r="AF2462" s="2">
        <v>699.09820000000002</v>
      </c>
      <c r="AG2462" s="2">
        <v>413.1463</v>
      </c>
      <c r="AH2462" s="2">
        <v>285.95190000000002</v>
      </c>
      <c r="AI2462" s="3">
        <v>0.409029661355157</v>
      </c>
    </row>
    <row r="2463" spans="1:35">
      <c r="A2463" s="1">
        <v>42275</v>
      </c>
      <c r="B2463" s="1">
        <v>37419</v>
      </c>
      <c r="C2463" t="s">
        <v>5467</v>
      </c>
      <c r="D2463">
        <v>320</v>
      </c>
      <c r="E2463">
        <v>27062</v>
      </c>
      <c r="F2463">
        <v>6</v>
      </c>
      <c r="G2463">
        <v>1</v>
      </c>
      <c r="H2463">
        <v>1</v>
      </c>
      <c r="I2463">
        <v>2</v>
      </c>
      <c r="J2463" t="s">
        <v>3495</v>
      </c>
      <c r="K2463" t="s">
        <v>3496</v>
      </c>
      <c r="L2463" s="2">
        <v>413.1463</v>
      </c>
      <c r="M2463" s="2">
        <v>699.09820000000002</v>
      </c>
      <c r="N2463" t="s">
        <v>13</v>
      </c>
      <c r="O2463" t="s">
        <v>263</v>
      </c>
      <c r="P2463" t="s">
        <v>250</v>
      </c>
      <c r="Q2463" t="s">
        <v>8791</v>
      </c>
      <c r="R2463" s="1">
        <v>26757</v>
      </c>
      <c r="S2463" t="s">
        <v>22</v>
      </c>
      <c r="T2463" t="s">
        <v>16</v>
      </c>
      <c r="U2463" t="s">
        <v>3301</v>
      </c>
      <c r="V2463">
        <v>40000</v>
      </c>
      <c r="W2463">
        <v>0</v>
      </c>
      <c r="X2463" t="s">
        <v>135</v>
      </c>
      <c r="Y2463" t="s">
        <v>53</v>
      </c>
      <c r="Z2463" t="s">
        <v>19</v>
      </c>
      <c r="AA2463" t="s">
        <v>3582</v>
      </c>
      <c r="AB2463" t="s">
        <v>3582</v>
      </c>
      <c r="AC2463" t="s">
        <v>3579</v>
      </c>
      <c r="AD2463" t="s">
        <v>3479</v>
      </c>
      <c r="AE2463" t="s">
        <v>3475</v>
      </c>
      <c r="AF2463" s="2">
        <v>699.09820000000002</v>
      </c>
      <c r="AG2463" s="2">
        <v>413.1463</v>
      </c>
      <c r="AH2463" s="2">
        <v>285.95190000000002</v>
      </c>
      <c r="AI2463" s="3">
        <v>0.409029661355157</v>
      </c>
    </row>
    <row r="2464" spans="1:35">
      <c r="A2464" s="1">
        <v>42255</v>
      </c>
      <c r="B2464" s="1">
        <v>37424</v>
      </c>
      <c r="C2464" t="s">
        <v>5320</v>
      </c>
      <c r="D2464">
        <v>324</v>
      </c>
      <c r="E2464">
        <v>27071</v>
      </c>
      <c r="F2464">
        <v>6</v>
      </c>
      <c r="G2464">
        <v>1</v>
      </c>
      <c r="H2464">
        <v>1</v>
      </c>
      <c r="I2464">
        <v>2</v>
      </c>
      <c r="J2464" t="s">
        <v>3499</v>
      </c>
      <c r="K2464" t="s">
        <v>3500</v>
      </c>
      <c r="L2464" s="2">
        <v>413.1463</v>
      </c>
      <c r="M2464" s="2">
        <v>699.09820000000002</v>
      </c>
      <c r="N2464" t="s">
        <v>13</v>
      </c>
      <c r="O2464" t="s">
        <v>1449</v>
      </c>
      <c r="P2464" t="s">
        <v>406</v>
      </c>
      <c r="Q2464" t="s">
        <v>8792</v>
      </c>
      <c r="R2464" s="1">
        <v>25942</v>
      </c>
      <c r="S2464" t="s">
        <v>22</v>
      </c>
      <c r="T2464" t="s">
        <v>16</v>
      </c>
      <c r="U2464" t="s">
        <v>3302</v>
      </c>
      <c r="V2464">
        <v>40000</v>
      </c>
      <c r="W2464">
        <v>4</v>
      </c>
      <c r="X2464" t="s">
        <v>57</v>
      </c>
      <c r="Y2464" t="s">
        <v>53</v>
      </c>
      <c r="Z2464" t="s">
        <v>19</v>
      </c>
      <c r="AA2464" t="s">
        <v>3582</v>
      </c>
      <c r="AB2464" t="s">
        <v>3582</v>
      </c>
      <c r="AC2464" t="s">
        <v>3579</v>
      </c>
      <c r="AD2464" t="s">
        <v>3479</v>
      </c>
      <c r="AE2464" t="s">
        <v>3475</v>
      </c>
      <c r="AF2464" s="2">
        <v>699.09820000000002</v>
      </c>
      <c r="AG2464" s="2">
        <v>413.1463</v>
      </c>
      <c r="AH2464" s="2">
        <v>285.95190000000002</v>
      </c>
      <c r="AI2464" s="3">
        <v>0.409029661355157</v>
      </c>
    </row>
    <row r="2465" spans="1:35">
      <c r="A2465" s="1">
        <v>42270</v>
      </c>
      <c r="B2465" s="1">
        <v>37427</v>
      </c>
      <c r="C2465" t="s">
        <v>5434</v>
      </c>
      <c r="D2465">
        <v>338</v>
      </c>
      <c r="E2465">
        <v>27075</v>
      </c>
      <c r="F2465">
        <v>6</v>
      </c>
      <c r="G2465">
        <v>1</v>
      </c>
      <c r="H2465">
        <v>1</v>
      </c>
      <c r="I2465">
        <v>2</v>
      </c>
      <c r="J2465" t="s">
        <v>3513</v>
      </c>
      <c r="K2465" t="s">
        <v>3514</v>
      </c>
      <c r="L2465" s="2">
        <v>413.1463</v>
      </c>
      <c r="M2465" s="2">
        <v>699.09820000000002</v>
      </c>
      <c r="N2465" t="s">
        <v>13</v>
      </c>
      <c r="O2465" t="s">
        <v>393</v>
      </c>
      <c r="P2465" t="s">
        <v>686</v>
      </c>
      <c r="Q2465" t="s">
        <v>8793</v>
      </c>
      <c r="R2465" s="1">
        <v>26220</v>
      </c>
      <c r="S2465" t="s">
        <v>16</v>
      </c>
      <c r="T2465" t="s">
        <v>16</v>
      </c>
      <c r="U2465" t="s">
        <v>3303</v>
      </c>
      <c r="V2465">
        <v>70000</v>
      </c>
      <c r="W2465">
        <v>1</v>
      </c>
      <c r="X2465" t="s">
        <v>135</v>
      </c>
      <c r="Y2465" t="s">
        <v>53</v>
      </c>
      <c r="Z2465" t="s">
        <v>23</v>
      </c>
      <c r="AA2465" t="s">
        <v>3582</v>
      </c>
      <c r="AB2465" t="s">
        <v>3582</v>
      </c>
      <c r="AC2465" t="s">
        <v>3579</v>
      </c>
      <c r="AD2465" t="s">
        <v>3479</v>
      </c>
      <c r="AE2465" t="s">
        <v>3475</v>
      </c>
      <c r="AF2465" s="2">
        <v>699.09820000000002</v>
      </c>
      <c r="AG2465" s="2">
        <v>413.1463</v>
      </c>
      <c r="AH2465" s="2">
        <v>285.95190000000002</v>
      </c>
      <c r="AI2465" s="3">
        <v>0.409029661355157</v>
      </c>
    </row>
    <row r="2466" spans="1:35">
      <c r="A2466" s="1">
        <v>42301</v>
      </c>
      <c r="B2466" s="1">
        <v>37486</v>
      </c>
      <c r="C2466" t="s">
        <v>5658</v>
      </c>
      <c r="D2466">
        <v>338</v>
      </c>
      <c r="E2466">
        <v>27082</v>
      </c>
      <c r="F2466">
        <v>6</v>
      </c>
      <c r="G2466">
        <v>1</v>
      </c>
      <c r="H2466">
        <v>1</v>
      </c>
      <c r="I2466">
        <v>2</v>
      </c>
      <c r="J2466" t="s">
        <v>3513</v>
      </c>
      <c r="K2466" t="s">
        <v>3514</v>
      </c>
      <c r="L2466" s="2">
        <v>413.1463</v>
      </c>
      <c r="M2466" s="2">
        <v>699.09820000000002</v>
      </c>
      <c r="N2466" t="s">
        <v>13</v>
      </c>
      <c r="O2466" t="s">
        <v>433</v>
      </c>
      <c r="P2466" t="s">
        <v>254</v>
      </c>
      <c r="Q2466" t="s">
        <v>8794</v>
      </c>
      <c r="R2466" s="1">
        <v>25635</v>
      </c>
      <c r="S2466" t="s">
        <v>16</v>
      </c>
      <c r="T2466" t="s">
        <v>16</v>
      </c>
      <c r="U2466" t="s">
        <v>3304</v>
      </c>
      <c r="V2466">
        <v>40000</v>
      </c>
      <c r="W2466">
        <v>1</v>
      </c>
      <c r="X2466" t="s">
        <v>17</v>
      </c>
      <c r="Y2466" t="s">
        <v>53</v>
      </c>
      <c r="Z2466" t="s">
        <v>19</v>
      </c>
      <c r="AA2466" t="s">
        <v>3582</v>
      </c>
      <c r="AB2466" t="s">
        <v>3582</v>
      </c>
      <c r="AC2466" t="s">
        <v>3579</v>
      </c>
      <c r="AD2466" t="s">
        <v>3479</v>
      </c>
      <c r="AE2466" t="s">
        <v>3475</v>
      </c>
      <c r="AF2466" s="2">
        <v>699.09820000000002</v>
      </c>
      <c r="AG2466" s="2">
        <v>413.1463</v>
      </c>
      <c r="AH2466" s="2">
        <v>285.95190000000002</v>
      </c>
      <c r="AI2466" s="3">
        <v>0.409029661355157</v>
      </c>
    </row>
    <row r="2467" spans="1:35">
      <c r="A2467" s="1">
        <v>42278</v>
      </c>
      <c r="B2467" s="1">
        <v>37410</v>
      </c>
      <c r="C2467" t="s">
        <v>5488</v>
      </c>
      <c r="D2467">
        <v>342</v>
      </c>
      <c r="E2467">
        <v>27084</v>
      </c>
      <c r="F2467">
        <v>6</v>
      </c>
      <c r="G2467">
        <v>1</v>
      </c>
      <c r="H2467">
        <v>1</v>
      </c>
      <c r="I2467">
        <v>2</v>
      </c>
      <c r="J2467" t="s">
        <v>3517</v>
      </c>
      <c r="K2467" t="s">
        <v>3518</v>
      </c>
      <c r="L2467" s="2">
        <v>413.1463</v>
      </c>
      <c r="M2467" s="2">
        <v>699.09820000000002</v>
      </c>
      <c r="N2467" t="s">
        <v>13</v>
      </c>
      <c r="O2467" t="s">
        <v>414</v>
      </c>
      <c r="P2467" t="s">
        <v>71</v>
      </c>
      <c r="Q2467" t="s">
        <v>8795</v>
      </c>
      <c r="R2467" s="1">
        <v>25630</v>
      </c>
      <c r="S2467" t="s">
        <v>16</v>
      </c>
      <c r="T2467" t="s">
        <v>16</v>
      </c>
      <c r="U2467" t="s">
        <v>3305</v>
      </c>
      <c r="V2467">
        <v>40000</v>
      </c>
      <c r="W2467">
        <v>1</v>
      </c>
      <c r="X2467" t="s">
        <v>17</v>
      </c>
      <c r="Y2467" t="s">
        <v>53</v>
      </c>
      <c r="Z2467" t="s">
        <v>23</v>
      </c>
      <c r="AA2467" t="s">
        <v>3582</v>
      </c>
      <c r="AB2467" t="s">
        <v>3582</v>
      </c>
      <c r="AC2467" t="s">
        <v>3579</v>
      </c>
      <c r="AD2467" t="s">
        <v>3479</v>
      </c>
      <c r="AE2467" t="s">
        <v>3475</v>
      </c>
      <c r="AF2467" s="2">
        <v>699.09820000000002</v>
      </c>
      <c r="AG2467" s="2">
        <v>413.1463</v>
      </c>
      <c r="AH2467" s="2">
        <v>285.95190000000002</v>
      </c>
      <c r="AI2467" s="3">
        <v>0.409029661355157</v>
      </c>
    </row>
    <row r="2468" spans="1:35">
      <c r="A2468" s="1">
        <v>42335</v>
      </c>
      <c r="B2468" s="1">
        <v>37563</v>
      </c>
      <c r="C2468" t="s">
        <v>5865</v>
      </c>
      <c r="D2468">
        <v>326</v>
      </c>
      <c r="E2468">
        <v>27085</v>
      </c>
      <c r="F2468">
        <v>6</v>
      </c>
      <c r="G2468">
        <v>1</v>
      </c>
      <c r="H2468">
        <v>1</v>
      </c>
      <c r="I2468">
        <v>2</v>
      </c>
      <c r="J2468" t="s">
        <v>3501</v>
      </c>
      <c r="K2468" t="s">
        <v>3502</v>
      </c>
      <c r="L2468" s="2">
        <v>413.1463</v>
      </c>
      <c r="M2468" s="2">
        <v>699.09820000000002</v>
      </c>
      <c r="N2468" t="s">
        <v>13</v>
      </c>
      <c r="O2468" t="s">
        <v>396</v>
      </c>
      <c r="P2468" t="s">
        <v>66</v>
      </c>
      <c r="Q2468" t="s">
        <v>8796</v>
      </c>
      <c r="R2468" s="1">
        <v>25843</v>
      </c>
      <c r="S2468" t="s">
        <v>16</v>
      </c>
      <c r="T2468" t="s">
        <v>16</v>
      </c>
      <c r="U2468" t="s">
        <v>3306</v>
      </c>
      <c r="V2468">
        <v>40000</v>
      </c>
      <c r="W2468">
        <v>1</v>
      </c>
      <c r="X2468" t="s">
        <v>17</v>
      </c>
      <c r="Y2468" t="s">
        <v>53</v>
      </c>
      <c r="Z2468" t="s">
        <v>19</v>
      </c>
      <c r="AA2468" t="s">
        <v>3582</v>
      </c>
      <c r="AB2468" t="s">
        <v>3582</v>
      </c>
      <c r="AC2468" t="s">
        <v>3579</v>
      </c>
      <c r="AD2468" t="s">
        <v>3479</v>
      </c>
      <c r="AE2468" t="s">
        <v>3475</v>
      </c>
      <c r="AF2468" s="2">
        <v>699.09820000000002</v>
      </c>
      <c r="AG2468" s="2">
        <v>413.1463</v>
      </c>
      <c r="AH2468" s="2">
        <v>285.95190000000002</v>
      </c>
      <c r="AI2468" s="3">
        <v>0.409029661355157</v>
      </c>
    </row>
    <row r="2469" spans="1:35">
      <c r="A2469" s="1">
        <v>42335</v>
      </c>
      <c r="B2469" s="1">
        <v>37556</v>
      </c>
      <c r="C2469" t="s">
        <v>5876</v>
      </c>
      <c r="D2469">
        <v>322</v>
      </c>
      <c r="E2469">
        <v>27099</v>
      </c>
      <c r="F2469">
        <v>6</v>
      </c>
      <c r="G2469">
        <v>1</v>
      </c>
      <c r="H2469">
        <v>1</v>
      </c>
      <c r="I2469">
        <v>2</v>
      </c>
      <c r="J2469" t="s">
        <v>3497</v>
      </c>
      <c r="K2469" t="s">
        <v>3498</v>
      </c>
      <c r="L2469" s="2">
        <v>413.1463</v>
      </c>
      <c r="M2469" s="2">
        <v>699.09820000000002</v>
      </c>
      <c r="N2469" t="s">
        <v>13</v>
      </c>
      <c r="O2469" t="s">
        <v>433</v>
      </c>
      <c r="P2469" t="s">
        <v>273</v>
      </c>
      <c r="Q2469" t="s">
        <v>8797</v>
      </c>
      <c r="R2469" s="1">
        <v>25844</v>
      </c>
      <c r="S2469" t="s">
        <v>16</v>
      </c>
      <c r="T2469" t="s">
        <v>16</v>
      </c>
      <c r="U2469" t="s">
        <v>3307</v>
      </c>
      <c r="V2469">
        <v>60000</v>
      </c>
      <c r="W2469">
        <v>1</v>
      </c>
      <c r="X2469" t="s">
        <v>135</v>
      </c>
      <c r="Y2469" t="s">
        <v>18</v>
      </c>
      <c r="Z2469" t="s">
        <v>19</v>
      </c>
      <c r="AA2469" t="s">
        <v>3582</v>
      </c>
      <c r="AB2469" t="s">
        <v>3582</v>
      </c>
      <c r="AC2469" t="s">
        <v>3579</v>
      </c>
      <c r="AD2469" t="s">
        <v>3479</v>
      </c>
      <c r="AE2469" t="s">
        <v>3475</v>
      </c>
      <c r="AF2469" s="2">
        <v>699.09820000000002</v>
      </c>
      <c r="AG2469" s="2">
        <v>413.1463</v>
      </c>
      <c r="AH2469" s="2">
        <v>285.95190000000002</v>
      </c>
      <c r="AI2469" s="3">
        <v>0.409029661355157</v>
      </c>
    </row>
    <row r="2470" spans="1:35">
      <c r="A2470" s="1">
        <v>42335</v>
      </c>
      <c r="B2470" s="1">
        <v>37542</v>
      </c>
      <c r="C2470" t="s">
        <v>5866</v>
      </c>
      <c r="D2470">
        <v>328</v>
      </c>
      <c r="E2470">
        <v>27101</v>
      </c>
      <c r="F2470">
        <v>6</v>
      </c>
      <c r="G2470">
        <v>1</v>
      </c>
      <c r="H2470">
        <v>1</v>
      </c>
      <c r="I2470">
        <v>2</v>
      </c>
      <c r="J2470" t="s">
        <v>3503</v>
      </c>
      <c r="K2470" t="s">
        <v>3504</v>
      </c>
      <c r="L2470" s="2">
        <v>413.1463</v>
      </c>
      <c r="M2470" s="2">
        <v>699.09820000000002</v>
      </c>
      <c r="N2470" t="s">
        <v>13</v>
      </c>
      <c r="O2470" t="s">
        <v>260</v>
      </c>
      <c r="P2470" t="s">
        <v>798</v>
      </c>
      <c r="Q2470" t="s">
        <v>8798</v>
      </c>
      <c r="R2470" s="1">
        <v>25632</v>
      </c>
      <c r="S2470" t="s">
        <v>22</v>
      </c>
      <c r="T2470" t="s">
        <v>16</v>
      </c>
      <c r="U2470" t="s">
        <v>3308</v>
      </c>
      <c r="V2470">
        <v>60000</v>
      </c>
      <c r="W2470">
        <v>1</v>
      </c>
      <c r="X2470" t="s">
        <v>135</v>
      </c>
      <c r="Y2470" t="s">
        <v>18</v>
      </c>
      <c r="Z2470" t="s">
        <v>19</v>
      </c>
      <c r="AA2470" t="s">
        <v>3582</v>
      </c>
      <c r="AB2470" t="s">
        <v>3582</v>
      </c>
      <c r="AC2470" t="s">
        <v>3579</v>
      </c>
      <c r="AD2470" t="s">
        <v>3479</v>
      </c>
      <c r="AE2470" t="s">
        <v>3475</v>
      </c>
      <c r="AF2470" s="2">
        <v>699.09820000000002</v>
      </c>
      <c r="AG2470" s="2">
        <v>413.1463</v>
      </c>
      <c r="AH2470" s="2">
        <v>285.95190000000002</v>
      </c>
      <c r="AI2470" s="3">
        <v>0.409029661355157</v>
      </c>
    </row>
    <row r="2471" spans="1:35">
      <c r="A2471" s="1">
        <v>42336</v>
      </c>
      <c r="B2471" s="1">
        <v>37531</v>
      </c>
      <c r="C2471" t="s">
        <v>5880</v>
      </c>
      <c r="D2471">
        <v>326</v>
      </c>
      <c r="E2471">
        <v>27102</v>
      </c>
      <c r="F2471">
        <v>6</v>
      </c>
      <c r="G2471">
        <v>1</v>
      </c>
      <c r="H2471">
        <v>1</v>
      </c>
      <c r="I2471">
        <v>2</v>
      </c>
      <c r="J2471" t="s">
        <v>3501</v>
      </c>
      <c r="K2471" t="s">
        <v>3502</v>
      </c>
      <c r="L2471" s="2">
        <v>413.1463</v>
      </c>
      <c r="M2471" s="2">
        <v>699.09820000000002</v>
      </c>
      <c r="N2471" t="s">
        <v>30</v>
      </c>
      <c r="O2471" t="s">
        <v>593</v>
      </c>
      <c r="P2471" t="s">
        <v>328</v>
      </c>
      <c r="Q2471" t="s">
        <v>8799</v>
      </c>
      <c r="R2471" s="1">
        <v>25761</v>
      </c>
      <c r="S2471" t="s">
        <v>22</v>
      </c>
      <c r="T2471" t="s">
        <v>29</v>
      </c>
      <c r="U2471" t="s">
        <v>3309</v>
      </c>
      <c r="V2471">
        <v>60000</v>
      </c>
      <c r="W2471">
        <v>1</v>
      </c>
      <c r="X2471" t="s">
        <v>135</v>
      </c>
      <c r="Y2471" t="s">
        <v>18</v>
      </c>
      <c r="Z2471" t="s">
        <v>23</v>
      </c>
      <c r="AA2471" t="s">
        <v>3582</v>
      </c>
      <c r="AB2471" t="s">
        <v>3582</v>
      </c>
      <c r="AC2471" t="s">
        <v>3579</v>
      </c>
      <c r="AD2471" t="s">
        <v>3479</v>
      </c>
      <c r="AE2471" t="s">
        <v>3475</v>
      </c>
      <c r="AF2471" s="2">
        <v>699.09820000000002</v>
      </c>
      <c r="AG2471" s="2">
        <v>413.1463</v>
      </c>
      <c r="AH2471" s="2">
        <v>285.95190000000002</v>
      </c>
      <c r="AI2471" s="3">
        <v>0.409029661355157</v>
      </c>
    </row>
    <row r="2472" spans="1:35">
      <c r="A2472" s="1">
        <v>42364</v>
      </c>
      <c r="B2472" s="1">
        <v>37503</v>
      </c>
      <c r="C2472" t="s">
        <v>6171</v>
      </c>
      <c r="D2472">
        <v>340</v>
      </c>
      <c r="E2472">
        <v>27242</v>
      </c>
      <c r="F2472">
        <v>6</v>
      </c>
      <c r="G2472">
        <v>1</v>
      </c>
      <c r="H2472">
        <v>1</v>
      </c>
      <c r="I2472">
        <v>2</v>
      </c>
      <c r="J2472" t="s">
        <v>3515</v>
      </c>
      <c r="K2472" t="s">
        <v>3516</v>
      </c>
      <c r="L2472" s="2">
        <v>413.1463</v>
      </c>
      <c r="M2472" s="2">
        <v>699.09820000000002</v>
      </c>
      <c r="N2472" t="s">
        <v>13</v>
      </c>
      <c r="O2472" t="s">
        <v>274</v>
      </c>
      <c r="P2472" t="s">
        <v>136</v>
      </c>
      <c r="Q2472" t="s">
        <v>8800</v>
      </c>
      <c r="R2472" s="1">
        <v>26834</v>
      </c>
      <c r="S2472" t="s">
        <v>16</v>
      </c>
      <c r="T2472" t="s">
        <v>16</v>
      </c>
      <c r="U2472" t="s">
        <v>3310</v>
      </c>
      <c r="V2472">
        <v>40000</v>
      </c>
      <c r="W2472">
        <v>0</v>
      </c>
      <c r="X2472" t="s">
        <v>135</v>
      </c>
      <c r="Y2472" t="s">
        <v>53</v>
      </c>
      <c r="Z2472" t="s">
        <v>19</v>
      </c>
      <c r="AA2472" t="s">
        <v>3582</v>
      </c>
      <c r="AB2472" t="s">
        <v>3582</v>
      </c>
      <c r="AC2472" t="s">
        <v>3579</v>
      </c>
      <c r="AD2472" t="s">
        <v>3479</v>
      </c>
      <c r="AE2472" t="s">
        <v>3475</v>
      </c>
      <c r="AF2472" s="2">
        <v>699.09820000000002</v>
      </c>
      <c r="AG2472" s="2">
        <v>413.1463</v>
      </c>
      <c r="AH2472" s="2">
        <v>285.95190000000002</v>
      </c>
      <c r="AI2472" s="3">
        <v>0.409029661355157</v>
      </c>
    </row>
    <row r="2473" spans="1:35">
      <c r="A2473" s="1">
        <v>42367</v>
      </c>
      <c r="B2473" s="1">
        <v>37521</v>
      </c>
      <c r="C2473" t="s">
        <v>6197</v>
      </c>
      <c r="D2473">
        <v>338</v>
      </c>
      <c r="E2473">
        <v>27252</v>
      </c>
      <c r="F2473">
        <v>6</v>
      </c>
      <c r="G2473">
        <v>1</v>
      </c>
      <c r="H2473">
        <v>1</v>
      </c>
      <c r="I2473">
        <v>2</v>
      </c>
      <c r="J2473" t="s">
        <v>3513</v>
      </c>
      <c r="K2473" t="s">
        <v>3514</v>
      </c>
      <c r="L2473" s="2">
        <v>413.1463</v>
      </c>
      <c r="M2473" s="2">
        <v>699.09820000000002</v>
      </c>
      <c r="N2473" t="s">
        <v>30</v>
      </c>
      <c r="O2473" t="s">
        <v>318</v>
      </c>
      <c r="P2473" t="s">
        <v>345</v>
      </c>
      <c r="Q2473" t="s">
        <v>8801</v>
      </c>
      <c r="R2473" s="1">
        <v>26131</v>
      </c>
      <c r="S2473" t="s">
        <v>16</v>
      </c>
      <c r="T2473" t="s">
        <v>29</v>
      </c>
      <c r="U2473" t="s">
        <v>3311</v>
      </c>
      <c r="V2473">
        <v>50000</v>
      </c>
      <c r="W2473">
        <v>1</v>
      </c>
      <c r="X2473" t="s">
        <v>135</v>
      </c>
      <c r="Y2473" t="s">
        <v>53</v>
      </c>
      <c r="Z2473" t="s">
        <v>19</v>
      </c>
      <c r="AA2473" t="s">
        <v>3582</v>
      </c>
      <c r="AB2473" t="s">
        <v>3582</v>
      </c>
      <c r="AC2473" t="s">
        <v>3579</v>
      </c>
      <c r="AD2473" t="s">
        <v>3479</v>
      </c>
      <c r="AE2473" t="s">
        <v>3475</v>
      </c>
      <c r="AF2473" s="2">
        <v>699.09820000000002</v>
      </c>
      <c r="AG2473" s="2">
        <v>413.1463</v>
      </c>
      <c r="AH2473" s="2">
        <v>285.95190000000002</v>
      </c>
      <c r="AI2473" s="3">
        <v>0.409029661355157</v>
      </c>
    </row>
    <row r="2474" spans="1:35">
      <c r="A2474" s="1">
        <v>42367</v>
      </c>
      <c r="B2474" s="1">
        <v>37563</v>
      </c>
      <c r="C2474" t="s">
        <v>6199</v>
      </c>
      <c r="D2474">
        <v>334</v>
      </c>
      <c r="E2474">
        <v>27253</v>
      </c>
      <c r="F2474">
        <v>6</v>
      </c>
      <c r="G2474">
        <v>1</v>
      </c>
      <c r="H2474">
        <v>1</v>
      </c>
      <c r="I2474">
        <v>2</v>
      </c>
      <c r="J2474" t="s">
        <v>3509</v>
      </c>
      <c r="K2474" t="s">
        <v>3510</v>
      </c>
      <c r="L2474" s="2">
        <v>413.1463</v>
      </c>
      <c r="M2474" s="2">
        <v>699.09820000000002</v>
      </c>
      <c r="N2474" t="s">
        <v>13</v>
      </c>
      <c r="O2474" t="s">
        <v>1281</v>
      </c>
      <c r="P2474" t="s">
        <v>476</v>
      </c>
      <c r="Q2474" t="s">
        <v>8802</v>
      </c>
      <c r="R2474" s="1">
        <v>26404</v>
      </c>
      <c r="S2474" t="s">
        <v>16</v>
      </c>
      <c r="T2474" t="s">
        <v>16</v>
      </c>
      <c r="U2474" t="s">
        <v>3312</v>
      </c>
      <c r="V2474">
        <v>50000</v>
      </c>
      <c r="W2474">
        <v>1</v>
      </c>
      <c r="X2474" t="s">
        <v>135</v>
      </c>
      <c r="Y2474" t="s">
        <v>53</v>
      </c>
      <c r="Z2474" t="s">
        <v>19</v>
      </c>
      <c r="AA2474" t="s">
        <v>3582</v>
      </c>
      <c r="AB2474" t="s">
        <v>3582</v>
      </c>
      <c r="AC2474" t="s">
        <v>3579</v>
      </c>
      <c r="AD2474" t="s">
        <v>3479</v>
      </c>
      <c r="AE2474" t="s">
        <v>3475</v>
      </c>
      <c r="AF2474" s="2">
        <v>699.09820000000002</v>
      </c>
      <c r="AG2474" s="2">
        <v>413.1463</v>
      </c>
      <c r="AH2474" s="2">
        <v>285.95190000000002</v>
      </c>
      <c r="AI2474" s="3">
        <v>0.409029661355157</v>
      </c>
    </row>
    <row r="2475" spans="1:35">
      <c r="A2475" s="1">
        <v>42358</v>
      </c>
      <c r="B2475" s="1">
        <v>37594</v>
      </c>
      <c r="C2475" t="s">
        <v>6108</v>
      </c>
      <c r="D2475">
        <v>332</v>
      </c>
      <c r="E2475">
        <v>27259</v>
      </c>
      <c r="F2475">
        <v>6</v>
      </c>
      <c r="G2475">
        <v>1</v>
      </c>
      <c r="H2475">
        <v>1</v>
      </c>
      <c r="I2475">
        <v>2</v>
      </c>
      <c r="J2475" t="s">
        <v>3507</v>
      </c>
      <c r="K2475" t="s">
        <v>3508</v>
      </c>
      <c r="L2475" s="2">
        <v>413.1463</v>
      </c>
      <c r="M2475" s="2">
        <v>699.09820000000002</v>
      </c>
      <c r="N2475" t="s">
        <v>30</v>
      </c>
      <c r="O2475" t="s">
        <v>142</v>
      </c>
      <c r="P2475" t="s">
        <v>136</v>
      </c>
      <c r="Q2475" t="s">
        <v>8803</v>
      </c>
      <c r="R2475" s="1">
        <v>25627</v>
      </c>
      <c r="S2475" t="s">
        <v>16</v>
      </c>
      <c r="T2475" t="s">
        <v>29</v>
      </c>
      <c r="U2475" t="s">
        <v>3313</v>
      </c>
      <c r="V2475">
        <v>40000</v>
      </c>
      <c r="W2475">
        <v>1</v>
      </c>
      <c r="X2475" t="s">
        <v>17</v>
      </c>
      <c r="Y2475" t="s">
        <v>53</v>
      </c>
      <c r="Z2475" t="s">
        <v>19</v>
      </c>
      <c r="AA2475" t="s">
        <v>3582</v>
      </c>
      <c r="AB2475" t="s">
        <v>3582</v>
      </c>
      <c r="AC2475" t="s">
        <v>3579</v>
      </c>
      <c r="AD2475" t="s">
        <v>3479</v>
      </c>
      <c r="AE2475" t="s">
        <v>3475</v>
      </c>
      <c r="AF2475" s="2">
        <v>699.09820000000002</v>
      </c>
      <c r="AG2475" s="2">
        <v>413.1463</v>
      </c>
      <c r="AH2475" s="2">
        <v>285.95190000000002</v>
      </c>
      <c r="AI2475" s="3">
        <v>0.409029661355157</v>
      </c>
    </row>
    <row r="2476" spans="1:35">
      <c r="A2476" s="1">
        <v>42343</v>
      </c>
      <c r="B2476" s="1">
        <v>37579</v>
      </c>
      <c r="C2476" t="s">
        <v>5943</v>
      </c>
      <c r="D2476">
        <v>338</v>
      </c>
      <c r="E2476">
        <v>27265</v>
      </c>
      <c r="F2476">
        <v>6</v>
      </c>
      <c r="G2476">
        <v>1</v>
      </c>
      <c r="H2476">
        <v>1</v>
      </c>
      <c r="I2476">
        <v>2</v>
      </c>
      <c r="J2476" t="s">
        <v>3513</v>
      </c>
      <c r="K2476" t="s">
        <v>3514</v>
      </c>
      <c r="L2476" s="2">
        <v>413.1463</v>
      </c>
      <c r="M2476" s="2">
        <v>699.09820000000002</v>
      </c>
      <c r="N2476" t="s">
        <v>30</v>
      </c>
      <c r="O2476" t="s">
        <v>588</v>
      </c>
      <c r="P2476" t="s">
        <v>299</v>
      </c>
      <c r="Q2476" t="s">
        <v>8804</v>
      </c>
      <c r="R2476" s="1">
        <v>25454</v>
      </c>
      <c r="S2476" t="s">
        <v>22</v>
      </c>
      <c r="T2476" t="s">
        <v>29</v>
      </c>
      <c r="U2476" t="s">
        <v>3314</v>
      </c>
      <c r="V2476">
        <v>60000</v>
      </c>
      <c r="W2476">
        <v>2</v>
      </c>
      <c r="X2476" t="s">
        <v>17</v>
      </c>
      <c r="Y2476" t="s">
        <v>53</v>
      </c>
      <c r="Z2476" t="s">
        <v>23</v>
      </c>
      <c r="AA2476" t="s">
        <v>3582</v>
      </c>
      <c r="AB2476" t="s">
        <v>3582</v>
      </c>
      <c r="AC2476" t="s">
        <v>3579</v>
      </c>
      <c r="AD2476" t="s">
        <v>3479</v>
      </c>
      <c r="AE2476" t="s">
        <v>3475</v>
      </c>
      <c r="AF2476" s="2">
        <v>699.09820000000002</v>
      </c>
      <c r="AG2476" s="2">
        <v>413.1463</v>
      </c>
      <c r="AH2476" s="2">
        <v>285.95190000000002</v>
      </c>
      <c r="AI2476" s="3">
        <v>0.409029661355157</v>
      </c>
    </row>
    <row r="2477" spans="1:35">
      <c r="A2477" s="1">
        <v>42060</v>
      </c>
      <c r="B2477" s="1">
        <v>37267</v>
      </c>
      <c r="C2477" t="s">
        <v>3920</v>
      </c>
      <c r="D2477">
        <v>311</v>
      </c>
      <c r="E2477">
        <v>27672</v>
      </c>
      <c r="F2477">
        <v>6</v>
      </c>
      <c r="G2477">
        <v>1</v>
      </c>
      <c r="H2477">
        <v>1</v>
      </c>
      <c r="I2477">
        <v>2</v>
      </c>
      <c r="J2477" t="s">
        <v>3487</v>
      </c>
      <c r="K2477" t="s">
        <v>3488</v>
      </c>
      <c r="L2477" s="2">
        <v>2171.2941999999998</v>
      </c>
      <c r="M2477" s="2">
        <v>3578.27</v>
      </c>
      <c r="N2477" t="s">
        <v>13</v>
      </c>
      <c r="O2477" t="s">
        <v>614</v>
      </c>
      <c r="P2477" t="s">
        <v>180</v>
      </c>
      <c r="Q2477" t="s">
        <v>8805</v>
      </c>
      <c r="R2477" s="1">
        <v>19456</v>
      </c>
      <c r="S2477" t="s">
        <v>22</v>
      </c>
      <c r="T2477" t="s">
        <v>16</v>
      </c>
      <c r="U2477" t="s">
        <v>3315</v>
      </c>
      <c r="V2477">
        <v>60000</v>
      </c>
      <c r="W2477">
        <v>3</v>
      </c>
      <c r="X2477" t="s">
        <v>135</v>
      </c>
      <c r="Y2477" t="s">
        <v>45</v>
      </c>
      <c r="Z2477" t="s">
        <v>19</v>
      </c>
      <c r="AA2477" t="s">
        <v>3582</v>
      </c>
      <c r="AB2477" t="s">
        <v>3582</v>
      </c>
      <c r="AC2477" t="s">
        <v>3579</v>
      </c>
      <c r="AD2477" t="s">
        <v>3479</v>
      </c>
      <c r="AE2477" t="s">
        <v>3475</v>
      </c>
      <c r="AF2477" s="2">
        <v>3578.27</v>
      </c>
      <c r="AG2477" s="2">
        <v>2171.2941999999998</v>
      </c>
      <c r="AH2477" s="2">
        <v>1406.9757999999999</v>
      </c>
      <c r="AI2477" s="3">
        <v>0.39320001006072802</v>
      </c>
    </row>
    <row r="2478" spans="1:35">
      <c r="A2478" s="1">
        <v>42054</v>
      </c>
      <c r="B2478" s="1">
        <v>37223</v>
      </c>
      <c r="C2478" t="s">
        <v>3886</v>
      </c>
      <c r="D2478">
        <v>313</v>
      </c>
      <c r="E2478">
        <v>27752</v>
      </c>
      <c r="F2478">
        <v>6</v>
      </c>
      <c r="G2478">
        <v>1</v>
      </c>
      <c r="H2478">
        <v>1</v>
      </c>
      <c r="I2478">
        <v>2</v>
      </c>
      <c r="J2478" t="s">
        <v>3491</v>
      </c>
      <c r="K2478" t="s">
        <v>3492</v>
      </c>
      <c r="L2478" s="2">
        <v>2171.2941999999998</v>
      </c>
      <c r="M2478" s="2">
        <v>3578.27</v>
      </c>
      <c r="N2478" t="s">
        <v>13</v>
      </c>
      <c r="O2478" t="s">
        <v>396</v>
      </c>
      <c r="P2478" t="s">
        <v>148</v>
      </c>
      <c r="Q2478" t="s">
        <v>8806</v>
      </c>
      <c r="R2478" s="1">
        <v>27537</v>
      </c>
      <c r="S2478" t="s">
        <v>22</v>
      </c>
      <c r="T2478" t="s">
        <v>16</v>
      </c>
      <c r="U2478" t="s">
        <v>3316</v>
      </c>
      <c r="V2478">
        <v>40000</v>
      </c>
      <c r="W2478">
        <v>0</v>
      </c>
      <c r="X2478" t="s">
        <v>57</v>
      </c>
      <c r="Y2478" t="s">
        <v>53</v>
      </c>
      <c r="Z2478" t="s">
        <v>23</v>
      </c>
      <c r="AA2478" t="s">
        <v>3582</v>
      </c>
      <c r="AB2478" t="s">
        <v>3582</v>
      </c>
      <c r="AC2478" t="s">
        <v>3579</v>
      </c>
      <c r="AD2478" t="s">
        <v>3479</v>
      </c>
      <c r="AE2478" t="s">
        <v>3475</v>
      </c>
      <c r="AF2478" s="2">
        <v>3578.27</v>
      </c>
      <c r="AG2478" s="2">
        <v>2171.2941999999998</v>
      </c>
      <c r="AH2478" s="2">
        <v>1406.9757999999999</v>
      </c>
      <c r="AI2478" s="3">
        <v>0.39320001006072802</v>
      </c>
    </row>
    <row r="2479" spans="1:35">
      <c r="A2479" s="1">
        <v>42048</v>
      </c>
      <c r="B2479" s="1">
        <v>37201</v>
      </c>
      <c r="C2479" t="s">
        <v>3858</v>
      </c>
      <c r="D2479">
        <v>311</v>
      </c>
      <c r="E2479">
        <v>28013</v>
      </c>
      <c r="F2479">
        <v>6</v>
      </c>
      <c r="G2479">
        <v>1</v>
      </c>
      <c r="H2479">
        <v>1</v>
      </c>
      <c r="I2479">
        <v>2</v>
      </c>
      <c r="J2479" t="s">
        <v>3487</v>
      </c>
      <c r="K2479" t="s">
        <v>3488</v>
      </c>
      <c r="L2479" s="2">
        <v>2171.2941999999998</v>
      </c>
      <c r="M2479" s="2">
        <v>3578.27</v>
      </c>
      <c r="N2479" t="s">
        <v>13</v>
      </c>
      <c r="O2479" t="s">
        <v>229</v>
      </c>
      <c r="P2479" t="s">
        <v>328</v>
      </c>
      <c r="Q2479" t="s">
        <v>8807</v>
      </c>
      <c r="R2479" s="1">
        <v>16177</v>
      </c>
      <c r="S2479" t="s">
        <v>16</v>
      </c>
      <c r="T2479" t="s">
        <v>16</v>
      </c>
      <c r="U2479" t="s">
        <v>3318</v>
      </c>
      <c r="V2479">
        <v>30000</v>
      </c>
      <c r="W2479">
        <v>4</v>
      </c>
      <c r="X2479" t="s">
        <v>57</v>
      </c>
      <c r="Y2479" t="s">
        <v>18</v>
      </c>
      <c r="Z2479" t="s">
        <v>19</v>
      </c>
      <c r="AA2479" t="s">
        <v>3582</v>
      </c>
      <c r="AB2479" t="s">
        <v>3582</v>
      </c>
      <c r="AC2479" t="s">
        <v>3579</v>
      </c>
      <c r="AD2479" t="s">
        <v>3479</v>
      </c>
      <c r="AE2479" t="s">
        <v>3475</v>
      </c>
      <c r="AF2479" s="2">
        <v>3578.27</v>
      </c>
      <c r="AG2479" s="2">
        <v>2171.2941999999998</v>
      </c>
      <c r="AH2479" s="2">
        <v>1406.9757999999999</v>
      </c>
      <c r="AI2479" s="3">
        <v>0.39320001006072802</v>
      </c>
    </row>
    <row r="2480" spans="1:35">
      <c r="A2480" s="1">
        <v>42038</v>
      </c>
      <c r="B2480" s="1">
        <v>37202</v>
      </c>
      <c r="C2480" t="s">
        <v>3792</v>
      </c>
      <c r="D2480">
        <v>313</v>
      </c>
      <c r="E2480">
        <v>28036</v>
      </c>
      <c r="F2480">
        <v>6</v>
      </c>
      <c r="G2480">
        <v>1</v>
      </c>
      <c r="H2480">
        <v>1</v>
      </c>
      <c r="I2480">
        <v>2</v>
      </c>
      <c r="J2480" t="s">
        <v>3491</v>
      </c>
      <c r="K2480" t="s">
        <v>3492</v>
      </c>
      <c r="L2480" s="2">
        <v>2171.2941999999998</v>
      </c>
      <c r="M2480" s="2">
        <v>3578.27</v>
      </c>
      <c r="N2480" t="s">
        <v>13</v>
      </c>
      <c r="O2480" t="s">
        <v>262</v>
      </c>
      <c r="P2480" t="s">
        <v>422</v>
      </c>
      <c r="Q2480" t="s">
        <v>8808</v>
      </c>
      <c r="R2480" s="1">
        <v>17689</v>
      </c>
      <c r="S2480" t="s">
        <v>22</v>
      </c>
      <c r="T2480" t="s">
        <v>16</v>
      </c>
      <c r="U2480" t="s">
        <v>3319</v>
      </c>
      <c r="V2480">
        <v>40000</v>
      </c>
      <c r="W2480">
        <v>2</v>
      </c>
      <c r="X2480" t="s">
        <v>57</v>
      </c>
      <c r="Y2480" t="s">
        <v>18</v>
      </c>
      <c r="Z2480" t="s">
        <v>23</v>
      </c>
      <c r="AA2480" t="s">
        <v>3582</v>
      </c>
      <c r="AB2480" t="s">
        <v>3582</v>
      </c>
      <c r="AC2480" t="s">
        <v>3579</v>
      </c>
      <c r="AD2480" t="s">
        <v>3479</v>
      </c>
      <c r="AE2480" t="s">
        <v>3475</v>
      </c>
      <c r="AF2480" s="2">
        <v>3578.27</v>
      </c>
      <c r="AG2480" s="2">
        <v>2171.2941999999998</v>
      </c>
      <c r="AH2480" s="2">
        <v>1406.9757999999999</v>
      </c>
      <c r="AI2480" s="3">
        <v>0.39320001006072802</v>
      </c>
    </row>
    <row r="2481" spans="1:35">
      <c r="A2481" s="1">
        <v>42063</v>
      </c>
      <c r="B2481" s="1">
        <v>37256</v>
      </c>
      <c r="C2481" t="s">
        <v>3942</v>
      </c>
      <c r="D2481">
        <v>314</v>
      </c>
      <c r="E2481">
        <v>28051</v>
      </c>
      <c r="F2481">
        <v>6</v>
      </c>
      <c r="G2481">
        <v>1</v>
      </c>
      <c r="H2481">
        <v>1</v>
      </c>
      <c r="I2481">
        <v>2</v>
      </c>
      <c r="J2481" t="s">
        <v>3493</v>
      </c>
      <c r="K2481" t="s">
        <v>3494</v>
      </c>
      <c r="L2481" s="2">
        <v>2171.2941999999998</v>
      </c>
      <c r="M2481" s="2">
        <v>3578.27</v>
      </c>
      <c r="N2481" t="s">
        <v>13</v>
      </c>
      <c r="O2481" t="s">
        <v>299</v>
      </c>
      <c r="P2481" t="s">
        <v>51</v>
      </c>
      <c r="Q2481" t="s">
        <v>8809</v>
      </c>
      <c r="R2481" s="1">
        <v>18643</v>
      </c>
      <c r="S2481" t="s">
        <v>22</v>
      </c>
      <c r="T2481" t="s">
        <v>16</v>
      </c>
      <c r="U2481" t="s">
        <v>3320</v>
      </c>
      <c r="V2481">
        <v>60000</v>
      </c>
      <c r="W2481">
        <v>2</v>
      </c>
      <c r="X2481" t="s">
        <v>57</v>
      </c>
      <c r="Y2481" t="s">
        <v>18</v>
      </c>
      <c r="Z2481" t="s">
        <v>23</v>
      </c>
      <c r="AA2481" t="s">
        <v>3582</v>
      </c>
      <c r="AB2481" t="s">
        <v>3582</v>
      </c>
      <c r="AC2481" t="s">
        <v>3579</v>
      </c>
      <c r="AD2481" t="s">
        <v>3479</v>
      </c>
      <c r="AE2481" t="s">
        <v>3475</v>
      </c>
      <c r="AF2481" s="2">
        <v>3578.27</v>
      </c>
      <c r="AG2481" s="2">
        <v>2171.2941999999998</v>
      </c>
      <c r="AH2481" s="2">
        <v>1406.9757999999999</v>
      </c>
      <c r="AI2481" s="3">
        <v>0.39320001006072802</v>
      </c>
    </row>
    <row r="2482" spans="1:35">
      <c r="A2482" s="1">
        <v>42046</v>
      </c>
      <c r="B2482" s="1">
        <v>37197</v>
      </c>
      <c r="C2482" t="s">
        <v>3850</v>
      </c>
      <c r="D2482">
        <v>312</v>
      </c>
      <c r="E2482">
        <v>28092</v>
      </c>
      <c r="F2482">
        <v>6</v>
      </c>
      <c r="G2482">
        <v>1</v>
      </c>
      <c r="H2482">
        <v>1</v>
      </c>
      <c r="I2482">
        <v>2</v>
      </c>
      <c r="J2482" t="s">
        <v>3489</v>
      </c>
      <c r="K2482" t="s">
        <v>3490</v>
      </c>
      <c r="L2482" s="2">
        <v>2171.2941999999998</v>
      </c>
      <c r="M2482" s="2">
        <v>3578.27</v>
      </c>
      <c r="N2482" t="s">
        <v>26</v>
      </c>
      <c r="O2482" t="s">
        <v>252</v>
      </c>
      <c r="P2482" t="s">
        <v>704</v>
      </c>
      <c r="Q2482" t="s">
        <v>8810</v>
      </c>
      <c r="R2482" s="1">
        <v>28840</v>
      </c>
      <c r="S2482" t="s">
        <v>22</v>
      </c>
      <c r="T2482" t="s">
        <v>29</v>
      </c>
      <c r="U2482" t="s">
        <v>3321</v>
      </c>
      <c r="V2482">
        <v>40000</v>
      </c>
      <c r="W2482">
        <v>0</v>
      </c>
      <c r="X2482" t="s">
        <v>57</v>
      </c>
      <c r="Y2482" t="s">
        <v>53</v>
      </c>
      <c r="Z2482" t="s">
        <v>23</v>
      </c>
      <c r="AA2482" t="s">
        <v>3582</v>
      </c>
      <c r="AB2482" t="s">
        <v>3582</v>
      </c>
      <c r="AC2482" t="s">
        <v>3579</v>
      </c>
      <c r="AD2482" t="s">
        <v>3479</v>
      </c>
      <c r="AE2482" t="s">
        <v>3475</v>
      </c>
      <c r="AF2482" s="2">
        <v>3578.27</v>
      </c>
      <c r="AG2482" s="2">
        <v>2171.2941999999998</v>
      </c>
      <c r="AH2482" s="2">
        <v>1406.9757999999999</v>
      </c>
      <c r="AI2482" s="3">
        <v>0.39320001006072802</v>
      </c>
    </row>
    <row r="2483" spans="1:35">
      <c r="A2483" s="1">
        <v>42048</v>
      </c>
      <c r="B2483" s="1">
        <v>37239</v>
      </c>
      <c r="C2483" t="s">
        <v>3859</v>
      </c>
      <c r="D2483">
        <v>310</v>
      </c>
      <c r="E2483">
        <v>28129</v>
      </c>
      <c r="F2483">
        <v>6</v>
      </c>
      <c r="G2483">
        <v>1</v>
      </c>
      <c r="H2483">
        <v>1</v>
      </c>
      <c r="I2483">
        <v>2</v>
      </c>
      <c r="J2483" t="s">
        <v>3485</v>
      </c>
      <c r="K2483" t="s">
        <v>3486</v>
      </c>
      <c r="L2483" s="2">
        <v>2171.2941999999998</v>
      </c>
      <c r="M2483" s="2">
        <v>3578.27</v>
      </c>
      <c r="N2483" t="s">
        <v>13</v>
      </c>
      <c r="O2483" t="s">
        <v>614</v>
      </c>
      <c r="P2483" t="s">
        <v>246</v>
      </c>
      <c r="Q2483" t="s">
        <v>8811</v>
      </c>
      <c r="R2483" s="1">
        <v>27094</v>
      </c>
      <c r="S2483" t="s">
        <v>22</v>
      </c>
      <c r="T2483" t="s">
        <v>16</v>
      </c>
      <c r="U2483" t="s">
        <v>3322</v>
      </c>
      <c r="V2483">
        <v>50000</v>
      </c>
      <c r="W2483">
        <v>0</v>
      </c>
      <c r="X2483" t="s">
        <v>57</v>
      </c>
      <c r="Y2483" t="s">
        <v>53</v>
      </c>
      <c r="Z2483" t="s">
        <v>23</v>
      </c>
      <c r="AA2483" t="s">
        <v>3582</v>
      </c>
      <c r="AB2483" t="s">
        <v>3582</v>
      </c>
      <c r="AC2483" t="s">
        <v>3579</v>
      </c>
      <c r="AD2483" t="s">
        <v>3479</v>
      </c>
      <c r="AE2483" t="s">
        <v>3475</v>
      </c>
      <c r="AF2483" s="2">
        <v>3578.27</v>
      </c>
      <c r="AG2483" s="2">
        <v>2171.2941999999998</v>
      </c>
      <c r="AH2483" s="2">
        <v>1406.9757999999999</v>
      </c>
      <c r="AI2483" s="3">
        <v>0.39320001006072802</v>
      </c>
    </row>
    <row r="2484" spans="1:35">
      <c r="A2484" s="1">
        <v>42049</v>
      </c>
      <c r="B2484" s="1">
        <v>37185</v>
      </c>
      <c r="C2484" t="s">
        <v>3864</v>
      </c>
      <c r="D2484">
        <v>312</v>
      </c>
      <c r="E2484">
        <v>28130</v>
      </c>
      <c r="F2484">
        <v>6</v>
      </c>
      <c r="G2484">
        <v>1</v>
      </c>
      <c r="H2484">
        <v>1</v>
      </c>
      <c r="I2484">
        <v>2</v>
      </c>
      <c r="J2484" t="s">
        <v>3489</v>
      </c>
      <c r="K2484" t="s">
        <v>3490</v>
      </c>
      <c r="L2484" s="2">
        <v>2171.2941999999998</v>
      </c>
      <c r="M2484" s="2">
        <v>3578.27</v>
      </c>
      <c r="N2484" t="s">
        <v>13</v>
      </c>
      <c r="O2484" t="s">
        <v>792</v>
      </c>
      <c r="P2484" t="s">
        <v>254</v>
      </c>
      <c r="Q2484" t="s">
        <v>8812</v>
      </c>
      <c r="R2484" s="1">
        <v>26697</v>
      </c>
      <c r="S2484" t="s">
        <v>22</v>
      </c>
      <c r="T2484" t="s">
        <v>16</v>
      </c>
      <c r="U2484" t="s">
        <v>3323</v>
      </c>
      <c r="V2484">
        <v>60000</v>
      </c>
      <c r="W2484">
        <v>0</v>
      </c>
      <c r="X2484" t="s">
        <v>52</v>
      </c>
      <c r="Y2484" t="s">
        <v>53</v>
      </c>
      <c r="Z2484" t="s">
        <v>19</v>
      </c>
      <c r="AA2484" t="s">
        <v>3582</v>
      </c>
      <c r="AB2484" t="s">
        <v>3582</v>
      </c>
      <c r="AC2484" t="s">
        <v>3579</v>
      </c>
      <c r="AD2484" t="s">
        <v>3479</v>
      </c>
      <c r="AE2484" t="s">
        <v>3475</v>
      </c>
      <c r="AF2484" s="2">
        <v>3578.27</v>
      </c>
      <c r="AG2484" s="2">
        <v>2171.2941999999998</v>
      </c>
      <c r="AH2484" s="2">
        <v>1406.9757999999999</v>
      </c>
      <c r="AI2484" s="3">
        <v>0.39320001006072802</v>
      </c>
    </row>
    <row r="2485" spans="1:35">
      <c r="A2485" s="1">
        <v>42046</v>
      </c>
      <c r="B2485" s="1">
        <v>37241</v>
      </c>
      <c r="C2485" t="s">
        <v>3844</v>
      </c>
      <c r="D2485">
        <v>310</v>
      </c>
      <c r="E2485">
        <v>28161</v>
      </c>
      <c r="F2485">
        <v>6</v>
      </c>
      <c r="G2485">
        <v>1</v>
      </c>
      <c r="H2485">
        <v>1</v>
      </c>
      <c r="I2485">
        <v>2</v>
      </c>
      <c r="J2485" t="s">
        <v>3485</v>
      </c>
      <c r="K2485" t="s">
        <v>3486</v>
      </c>
      <c r="L2485" s="2">
        <v>2171.2941999999998</v>
      </c>
      <c r="M2485" s="2">
        <v>3578.27</v>
      </c>
      <c r="N2485" t="s">
        <v>30</v>
      </c>
      <c r="O2485" t="s">
        <v>145</v>
      </c>
      <c r="P2485" t="s">
        <v>329</v>
      </c>
      <c r="Q2485" t="s">
        <v>8813</v>
      </c>
      <c r="R2485" s="1">
        <v>22719</v>
      </c>
      <c r="S2485" t="s">
        <v>22</v>
      </c>
      <c r="T2485" t="s">
        <v>29</v>
      </c>
      <c r="U2485" t="s">
        <v>3324</v>
      </c>
      <c r="V2485">
        <v>60000</v>
      </c>
      <c r="W2485">
        <v>1</v>
      </c>
      <c r="X2485" t="s">
        <v>17</v>
      </c>
      <c r="Y2485" t="s">
        <v>18</v>
      </c>
      <c r="Z2485" t="s">
        <v>23</v>
      </c>
      <c r="AA2485" t="s">
        <v>3582</v>
      </c>
      <c r="AB2485" t="s">
        <v>3582</v>
      </c>
      <c r="AC2485" t="s">
        <v>3579</v>
      </c>
      <c r="AD2485" t="s">
        <v>3479</v>
      </c>
      <c r="AE2485" t="s">
        <v>3475</v>
      </c>
      <c r="AF2485" s="2">
        <v>3578.27</v>
      </c>
      <c r="AG2485" s="2">
        <v>2171.2941999999998</v>
      </c>
      <c r="AH2485" s="2">
        <v>1406.9757999999999</v>
      </c>
      <c r="AI2485" s="3">
        <v>0.39320001006072802</v>
      </c>
    </row>
    <row r="2486" spans="1:35">
      <c r="A2486" s="1">
        <v>42047</v>
      </c>
      <c r="B2486" s="1">
        <v>37198</v>
      </c>
      <c r="C2486" t="s">
        <v>3852</v>
      </c>
      <c r="D2486">
        <v>311</v>
      </c>
      <c r="E2486">
        <v>28165</v>
      </c>
      <c r="F2486">
        <v>6</v>
      </c>
      <c r="G2486">
        <v>1</v>
      </c>
      <c r="H2486">
        <v>1</v>
      </c>
      <c r="I2486">
        <v>2</v>
      </c>
      <c r="J2486" t="s">
        <v>3487</v>
      </c>
      <c r="K2486" t="s">
        <v>3488</v>
      </c>
      <c r="L2486" s="2">
        <v>2171.2941999999998</v>
      </c>
      <c r="M2486" s="2">
        <v>3578.27</v>
      </c>
      <c r="N2486" t="s">
        <v>30</v>
      </c>
      <c r="O2486" t="s">
        <v>939</v>
      </c>
      <c r="P2486" t="s">
        <v>243</v>
      </c>
      <c r="Q2486" t="s">
        <v>8814</v>
      </c>
      <c r="R2486" s="1">
        <v>22533</v>
      </c>
      <c r="S2486" t="s">
        <v>16</v>
      </c>
      <c r="T2486" t="s">
        <v>29</v>
      </c>
      <c r="U2486" t="s">
        <v>3325</v>
      </c>
      <c r="V2486">
        <v>40000</v>
      </c>
      <c r="W2486">
        <v>4</v>
      </c>
      <c r="X2486" t="s">
        <v>57</v>
      </c>
      <c r="Y2486" t="s">
        <v>53</v>
      </c>
      <c r="Z2486" t="s">
        <v>23</v>
      </c>
      <c r="AA2486" t="s">
        <v>3582</v>
      </c>
      <c r="AB2486" t="s">
        <v>3582</v>
      </c>
      <c r="AC2486" t="s">
        <v>3579</v>
      </c>
      <c r="AD2486" t="s">
        <v>3479</v>
      </c>
      <c r="AE2486" t="s">
        <v>3475</v>
      </c>
      <c r="AF2486" s="2">
        <v>3578.27</v>
      </c>
      <c r="AG2486" s="2">
        <v>2171.2941999999998</v>
      </c>
      <c r="AH2486" s="2">
        <v>1406.9757999999999</v>
      </c>
      <c r="AI2486" s="3">
        <v>0.39320001006072802</v>
      </c>
    </row>
    <row r="2487" spans="1:35">
      <c r="A2487" s="1">
        <v>42049</v>
      </c>
      <c r="B2487" s="1">
        <v>37275</v>
      </c>
      <c r="C2487" t="s">
        <v>3865</v>
      </c>
      <c r="D2487">
        <v>312</v>
      </c>
      <c r="E2487">
        <v>28169</v>
      </c>
      <c r="F2487">
        <v>6</v>
      </c>
      <c r="G2487">
        <v>1</v>
      </c>
      <c r="H2487">
        <v>1</v>
      </c>
      <c r="I2487">
        <v>2</v>
      </c>
      <c r="J2487" t="s">
        <v>3489</v>
      </c>
      <c r="K2487" t="s">
        <v>3490</v>
      </c>
      <c r="L2487" s="2">
        <v>2171.2941999999998</v>
      </c>
      <c r="M2487" s="2">
        <v>3578.27</v>
      </c>
      <c r="N2487" t="s">
        <v>13</v>
      </c>
      <c r="O2487" t="s">
        <v>176</v>
      </c>
      <c r="P2487" t="s">
        <v>910</v>
      </c>
      <c r="Q2487" t="s">
        <v>8815</v>
      </c>
      <c r="R2487" s="1">
        <v>22358</v>
      </c>
      <c r="S2487" t="s">
        <v>16</v>
      </c>
      <c r="T2487" t="s">
        <v>16</v>
      </c>
      <c r="U2487" t="s">
        <v>3326</v>
      </c>
      <c r="V2487">
        <v>60000</v>
      </c>
      <c r="W2487">
        <v>1</v>
      </c>
      <c r="X2487" t="s">
        <v>52</v>
      </c>
      <c r="Y2487" t="s">
        <v>53</v>
      </c>
      <c r="Z2487" t="s">
        <v>23</v>
      </c>
      <c r="AA2487" t="s">
        <v>3582</v>
      </c>
      <c r="AB2487" t="s">
        <v>3582</v>
      </c>
      <c r="AC2487" t="s">
        <v>3579</v>
      </c>
      <c r="AD2487" t="s">
        <v>3479</v>
      </c>
      <c r="AE2487" t="s">
        <v>3475</v>
      </c>
      <c r="AF2487" s="2">
        <v>3578.27</v>
      </c>
      <c r="AG2487" s="2">
        <v>2171.2941999999998</v>
      </c>
      <c r="AH2487" s="2">
        <v>1406.9757999999999</v>
      </c>
      <c r="AI2487" s="3">
        <v>0.39320001006072802</v>
      </c>
    </row>
    <row r="2488" spans="1:35">
      <c r="A2488" s="1">
        <v>42061</v>
      </c>
      <c r="B2488" s="1">
        <v>37205</v>
      </c>
      <c r="C2488" t="s">
        <v>3934</v>
      </c>
      <c r="D2488">
        <v>314</v>
      </c>
      <c r="E2488">
        <v>28173</v>
      </c>
      <c r="F2488">
        <v>6</v>
      </c>
      <c r="G2488">
        <v>1</v>
      </c>
      <c r="H2488">
        <v>1</v>
      </c>
      <c r="I2488">
        <v>2</v>
      </c>
      <c r="J2488" t="s">
        <v>3493</v>
      </c>
      <c r="K2488" t="s">
        <v>3494</v>
      </c>
      <c r="L2488" s="2">
        <v>2171.2941999999998</v>
      </c>
      <c r="M2488" s="2">
        <v>3578.27</v>
      </c>
      <c r="N2488" t="s">
        <v>13</v>
      </c>
      <c r="O2488" t="s">
        <v>757</v>
      </c>
      <c r="P2488" t="s">
        <v>51</v>
      </c>
      <c r="Q2488" t="s">
        <v>8816</v>
      </c>
      <c r="R2488" s="1">
        <v>21947</v>
      </c>
      <c r="S2488" t="s">
        <v>22</v>
      </c>
      <c r="T2488" t="s">
        <v>16</v>
      </c>
      <c r="U2488" t="s">
        <v>3327</v>
      </c>
      <c r="V2488">
        <v>40000</v>
      </c>
      <c r="W2488">
        <v>4</v>
      </c>
      <c r="X2488" t="s">
        <v>57</v>
      </c>
      <c r="Y2488" t="s">
        <v>53</v>
      </c>
      <c r="Z2488" t="s">
        <v>19</v>
      </c>
      <c r="AA2488" t="s">
        <v>3582</v>
      </c>
      <c r="AB2488" t="s">
        <v>3582</v>
      </c>
      <c r="AC2488" t="s">
        <v>3579</v>
      </c>
      <c r="AD2488" t="s">
        <v>3479</v>
      </c>
      <c r="AE2488" t="s">
        <v>3475</v>
      </c>
      <c r="AF2488" s="2">
        <v>3578.27</v>
      </c>
      <c r="AG2488" s="2">
        <v>2171.2941999999998</v>
      </c>
      <c r="AH2488" s="2">
        <v>1406.9757999999999</v>
      </c>
      <c r="AI2488" s="3">
        <v>0.39320001006072802</v>
      </c>
    </row>
    <row r="2489" spans="1:35">
      <c r="A2489" s="1">
        <v>42048</v>
      </c>
      <c r="B2489" s="1">
        <v>37202</v>
      </c>
      <c r="C2489" t="s">
        <v>3860</v>
      </c>
      <c r="D2489">
        <v>312</v>
      </c>
      <c r="E2489">
        <v>28176</v>
      </c>
      <c r="F2489">
        <v>6</v>
      </c>
      <c r="G2489">
        <v>1</v>
      </c>
      <c r="H2489">
        <v>1</v>
      </c>
      <c r="I2489">
        <v>2</v>
      </c>
      <c r="J2489" t="s">
        <v>3489</v>
      </c>
      <c r="K2489" t="s">
        <v>3490</v>
      </c>
      <c r="L2489" s="2">
        <v>2171.2941999999998</v>
      </c>
      <c r="M2489" s="2">
        <v>3578.27</v>
      </c>
      <c r="N2489" t="s">
        <v>26</v>
      </c>
      <c r="O2489" t="s">
        <v>331</v>
      </c>
      <c r="P2489" t="s">
        <v>277</v>
      </c>
      <c r="Q2489" t="s">
        <v>8817</v>
      </c>
      <c r="R2489" s="1">
        <v>24657</v>
      </c>
      <c r="S2489" t="s">
        <v>22</v>
      </c>
      <c r="T2489" t="s">
        <v>29</v>
      </c>
      <c r="U2489" t="s">
        <v>3328</v>
      </c>
      <c r="V2489">
        <v>60000</v>
      </c>
      <c r="W2489">
        <v>0</v>
      </c>
      <c r="X2489" t="s">
        <v>52</v>
      </c>
      <c r="Y2489" t="s">
        <v>53</v>
      </c>
      <c r="Z2489" t="s">
        <v>23</v>
      </c>
      <c r="AA2489" t="s">
        <v>3582</v>
      </c>
      <c r="AB2489" t="s">
        <v>3582</v>
      </c>
      <c r="AC2489" t="s">
        <v>3579</v>
      </c>
      <c r="AD2489" t="s">
        <v>3479</v>
      </c>
      <c r="AE2489" t="s">
        <v>3475</v>
      </c>
      <c r="AF2489" s="2">
        <v>3578.27</v>
      </c>
      <c r="AG2489" s="2">
        <v>2171.2941999999998</v>
      </c>
      <c r="AH2489" s="2">
        <v>1406.9757999999999</v>
      </c>
      <c r="AI2489" s="3">
        <v>0.39320001006072802</v>
      </c>
    </row>
    <row r="2490" spans="1:35">
      <c r="A2490" s="1">
        <v>42057</v>
      </c>
      <c r="B2490" s="1">
        <v>37219</v>
      </c>
      <c r="C2490" t="s">
        <v>3896</v>
      </c>
      <c r="D2490">
        <v>312</v>
      </c>
      <c r="E2490">
        <v>28177</v>
      </c>
      <c r="F2490">
        <v>6</v>
      </c>
      <c r="G2490">
        <v>1</v>
      </c>
      <c r="H2490">
        <v>1</v>
      </c>
      <c r="I2490">
        <v>2</v>
      </c>
      <c r="J2490" t="s">
        <v>3489</v>
      </c>
      <c r="K2490" t="s">
        <v>3490</v>
      </c>
      <c r="L2490" s="2">
        <v>2171.2941999999998</v>
      </c>
      <c r="M2490" s="2">
        <v>3578.27</v>
      </c>
      <c r="N2490" t="s">
        <v>13</v>
      </c>
      <c r="O2490" t="s">
        <v>415</v>
      </c>
      <c r="P2490" t="s">
        <v>146</v>
      </c>
      <c r="Q2490" t="s">
        <v>8818</v>
      </c>
      <c r="R2490" s="1">
        <v>24702</v>
      </c>
      <c r="S2490" t="s">
        <v>22</v>
      </c>
      <c r="T2490" t="s">
        <v>16</v>
      </c>
      <c r="U2490" t="s">
        <v>3329</v>
      </c>
      <c r="V2490">
        <v>60000</v>
      </c>
      <c r="W2490">
        <v>0</v>
      </c>
      <c r="X2490" t="s">
        <v>52</v>
      </c>
      <c r="Y2490" t="s">
        <v>53</v>
      </c>
      <c r="Z2490" t="s">
        <v>23</v>
      </c>
      <c r="AA2490" t="s">
        <v>3582</v>
      </c>
      <c r="AB2490" t="s">
        <v>3582</v>
      </c>
      <c r="AC2490" t="s">
        <v>3579</v>
      </c>
      <c r="AD2490" t="s">
        <v>3479</v>
      </c>
      <c r="AE2490" t="s">
        <v>3475</v>
      </c>
      <c r="AF2490" s="2">
        <v>3578.27</v>
      </c>
      <c r="AG2490" s="2">
        <v>2171.2941999999998</v>
      </c>
      <c r="AH2490" s="2">
        <v>1406.9757999999999</v>
      </c>
      <c r="AI2490" s="3">
        <v>0.39320001006072802</v>
      </c>
    </row>
    <row r="2491" spans="1:35">
      <c r="A2491" s="1">
        <v>42041</v>
      </c>
      <c r="B2491" s="1">
        <v>37231</v>
      </c>
      <c r="C2491" t="s">
        <v>3814</v>
      </c>
      <c r="D2491">
        <v>310</v>
      </c>
      <c r="E2491">
        <v>28178</v>
      </c>
      <c r="F2491">
        <v>6</v>
      </c>
      <c r="G2491">
        <v>1</v>
      </c>
      <c r="H2491">
        <v>1</v>
      </c>
      <c r="I2491">
        <v>2</v>
      </c>
      <c r="J2491" t="s">
        <v>3485</v>
      </c>
      <c r="K2491" t="s">
        <v>3486</v>
      </c>
      <c r="L2491" s="2">
        <v>2171.2941999999998</v>
      </c>
      <c r="M2491" s="2">
        <v>3578.27</v>
      </c>
      <c r="N2491" t="s">
        <v>26</v>
      </c>
      <c r="O2491" t="s">
        <v>593</v>
      </c>
      <c r="P2491" t="s">
        <v>229</v>
      </c>
      <c r="Q2491" t="s">
        <v>8819</v>
      </c>
      <c r="R2491" s="1">
        <v>24589</v>
      </c>
      <c r="S2491" t="s">
        <v>22</v>
      </c>
      <c r="T2491" t="s">
        <v>29</v>
      </c>
      <c r="U2491" t="s">
        <v>3330</v>
      </c>
      <c r="V2491">
        <v>60000</v>
      </c>
      <c r="W2491">
        <v>0</v>
      </c>
      <c r="X2491" t="s">
        <v>52</v>
      </c>
      <c r="Y2491" t="s">
        <v>53</v>
      </c>
      <c r="Z2491" t="s">
        <v>23</v>
      </c>
      <c r="AA2491" t="s">
        <v>3582</v>
      </c>
      <c r="AB2491" t="s">
        <v>3582</v>
      </c>
      <c r="AC2491" t="s">
        <v>3579</v>
      </c>
      <c r="AD2491" t="s">
        <v>3479</v>
      </c>
      <c r="AE2491" t="s">
        <v>3475</v>
      </c>
      <c r="AF2491" s="2">
        <v>3578.27</v>
      </c>
      <c r="AG2491" s="2">
        <v>2171.2941999999998</v>
      </c>
      <c r="AH2491" s="2">
        <v>1406.9757999999999</v>
      </c>
      <c r="AI2491" s="3">
        <v>0.39320001006072802</v>
      </c>
    </row>
    <row r="2492" spans="1:35">
      <c r="A2492" s="1">
        <v>42046</v>
      </c>
      <c r="B2492" s="1">
        <v>37203</v>
      </c>
      <c r="C2492" t="s">
        <v>3845</v>
      </c>
      <c r="D2492">
        <v>313</v>
      </c>
      <c r="E2492">
        <v>28197</v>
      </c>
      <c r="F2492">
        <v>6</v>
      </c>
      <c r="G2492">
        <v>1</v>
      </c>
      <c r="H2492">
        <v>1</v>
      </c>
      <c r="I2492">
        <v>2</v>
      </c>
      <c r="J2492" t="s">
        <v>3491</v>
      </c>
      <c r="K2492" t="s">
        <v>3492</v>
      </c>
      <c r="L2492" s="2">
        <v>2171.2941999999998</v>
      </c>
      <c r="M2492" s="2">
        <v>3578.27</v>
      </c>
      <c r="N2492" t="s">
        <v>30</v>
      </c>
      <c r="O2492" t="s">
        <v>916</v>
      </c>
      <c r="P2492" t="s">
        <v>293</v>
      </c>
      <c r="Q2492" t="s">
        <v>8820</v>
      </c>
      <c r="R2492" s="1">
        <v>21464</v>
      </c>
      <c r="S2492" t="s">
        <v>22</v>
      </c>
      <c r="T2492" t="s">
        <v>29</v>
      </c>
      <c r="U2492" t="s">
        <v>3331</v>
      </c>
      <c r="V2492">
        <v>60000</v>
      </c>
      <c r="W2492">
        <v>1</v>
      </c>
      <c r="X2492" t="s">
        <v>17</v>
      </c>
      <c r="Y2492" t="s">
        <v>18</v>
      </c>
      <c r="Z2492" t="s">
        <v>19</v>
      </c>
      <c r="AA2492" t="s">
        <v>3582</v>
      </c>
      <c r="AB2492" t="s">
        <v>3582</v>
      </c>
      <c r="AC2492" t="s">
        <v>3579</v>
      </c>
      <c r="AD2492" t="s">
        <v>3479</v>
      </c>
      <c r="AE2492" t="s">
        <v>3475</v>
      </c>
      <c r="AF2492" s="2">
        <v>3578.27</v>
      </c>
      <c r="AG2492" s="2">
        <v>2171.2941999999998</v>
      </c>
      <c r="AH2492" s="2">
        <v>1406.9757999999999</v>
      </c>
      <c r="AI2492" s="3">
        <v>0.39320001006072802</v>
      </c>
    </row>
    <row r="2493" spans="1:35">
      <c r="A2493" s="1">
        <v>42047</v>
      </c>
      <c r="B2493" s="1">
        <v>37240</v>
      </c>
      <c r="C2493" t="s">
        <v>3854</v>
      </c>
      <c r="D2493">
        <v>310</v>
      </c>
      <c r="E2493">
        <v>28198</v>
      </c>
      <c r="F2493">
        <v>6</v>
      </c>
      <c r="G2493">
        <v>1</v>
      </c>
      <c r="H2493">
        <v>1</v>
      </c>
      <c r="I2493">
        <v>2</v>
      </c>
      <c r="J2493" t="s">
        <v>3485</v>
      </c>
      <c r="K2493" t="s">
        <v>3486</v>
      </c>
      <c r="L2493" s="2">
        <v>2171.2941999999998</v>
      </c>
      <c r="M2493" s="2">
        <v>3578.27</v>
      </c>
      <c r="N2493" t="s">
        <v>13</v>
      </c>
      <c r="O2493" t="s">
        <v>586</v>
      </c>
      <c r="P2493" t="s">
        <v>1333</v>
      </c>
      <c r="Q2493" t="s">
        <v>8821</v>
      </c>
      <c r="R2493" s="1">
        <v>21226</v>
      </c>
      <c r="S2493" t="s">
        <v>16</v>
      </c>
      <c r="T2493" t="s">
        <v>16</v>
      </c>
      <c r="U2493" t="s">
        <v>3332</v>
      </c>
      <c r="V2493">
        <v>60000</v>
      </c>
      <c r="W2493">
        <v>1</v>
      </c>
      <c r="X2493" t="s">
        <v>17</v>
      </c>
      <c r="Y2493" t="s">
        <v>18</v>
      </c>
      <c r="Z2493" t="s">
        <v>23</v>
      </c>
      <c r="AA2493" t="s">
        <v>3582</v>
      </c>
      <c r="AB2493" t="s">
        <v>3582</v>
      </c>
      <c r="AC2493" t="s">
        <v>3579</v>
      </c>
      <c r="AD2493" t="s">
        <v>3479</v>
      </c>
      <c r="AE2493" t="s">
        <v>3475</v>
      </c>
      <c r="AF2493" s="2">
        <v>3578.27</v>
      </c>
      <c r="AG2493" s="2">
        <v>2171.2941999999998</v>
      </c>
      <c r="AH2493" s="2">
        <v>1406.9757999999999</v>
      </c>
      <c r="AI2493" s="3">
        <v>0.39320001006072802</v>
      </c>
    </row>
    <row r="2494" spans="1:35">
      <c r="A2494" s="1">
        <v>42061</v>
      </c>
      <c r="B2494" s="1">
        <v>37209</v>
      </c>
      <c r="C2494" t="s">
        <v>3928</v>
      </c>
      <c r="D2494">
        <v>311</v>
      </c>
      <c r="E2494">
        <v>28354</v>
      </c>
      <c r="F2494">
        <v>6</v>
      </c>
      <c r="G2494">
        <v>1</v>
      </c>
      <c r="H2494">
        <v>1</v>
      </c>
      <c r="I2494">
        <v>2</v>
      </c>
      <c r="J2494" t="s">
        <v>3487</v>
      </c>
      <c r="K2494" t="s">
        <v>3488</v>
      </c>
      <c r="L2494" s="2">
        <v>2171.2941999999998</v>
      </c>
      <c r="M2494" s="2">
        <v>3578.27</v>
      </c>
      <c r="N2494" t="s">
        <v>13</v>
      </c>
      <c r="O2494" t="s">
        <v>46</v>
      </c>
      <c r="P2494" t="s">
        <v>66</v>
      </c>
      <c r="Q2494" t="s">
        <v>8822</v>
      </c>
      <c r="R2494" s="1">
        <v>23915</v>
      </c>
      <c r="S2494" t="s">
        <v>22</v>
      </c>
      <c r="T2494" t="s">
        <v>16</v>
      </c>
      <c r="U2494" t="s">
        <v>3333</v>
      </c>
      <c r="V2494">
        <v>40000</v>
      </c>
      <c r="W2494">
        <v>0</v>
      </c>
      <c r="X2494" t="s">
        <v>17</v>
      </c>
      <c r="Y2494" t="s">
        <v>18</v>
      </c>
      <c r="Z2494" t="s">
        <v>23</v>
      </c>
      <c r="AA2494" t="s">
        <v>3582</v>
      </c>
      <c r="AB2494" t="s">
        <v>3582</v>
      </c>
      <c r="AC2494" t="s">
        <v>3579</v>
      </c>
      <c r="AD2494" t="s">
        <v>3479</v>
      </c>
      <c r="AE2494" t="s">
        <v>3475</v>
      </c>
      <c r="AF2494" s="2">
        <v>3578.27</v>
      </c>
      <c r="AG2494" s="2">
        <v>2171.2941999999998</v>
      </c>
      <c r="AH2494" s="2">
        <v>1406.9757999999999</v>
      </c>
      <c r="AI2494" s="3">
        <v>0.39320001006072802</v>
      </c>
    </row>
    <row r="2495" spans="1:35">
      <c r="A2495" s="1">
        <v>42041</v>
      </c>
      <c r="B2495" s="1">
        <v>37177</v>
      </c>
      <c r="C2495" t="s">
        <v>3817</v>
      </c>
      <c r="D2495">
        <v>313</v>
      </c>
      <c r="E2495">
        <v>28363</v>
      </c>
      <c r="F2495">
        <v>6</v>
      </c>
      <c r="G2495">
        <v>1</v>
      </c>
      <c r="H2495">
        <v>1</v>
      </c>
      <c r="I2495">
        <v>2</v>
      </c>
      <c r="J2495" t="s">
        <v>3491</v>
      </c>
      <c r="K2495" t="s">
        <v>3492</v>
      </c>
      <c r="L2495" s="2">
        <v>2171.2941999999998</v>
      </c>
      <c r="M2495" s="2">
        <v>3578.27</v>
      </c>
      <c r="N2495" t="s">
        <v>26</v>
      </c>
      <c r="O2495" t="s">
        <v>172</v>
      </c>
      <c r="P2495" t="s">
        <v>787</v>
      </c>
      <c r="Q2495" t="s">
        <v>8823</v>
      </c>
      <c r="R2495" s="1">
        <v>23792</v>
      </c>
      <c r="S2495" t="s">
        <v>22</v>
      </c>
      <c r="T2495" t="s">
        <v>29</v>
      </c>
      <c r="U2495" t="s">
        <v>3334</v>
      </c>
      <c r="V2495">
        <v>60000</v>
      </c>
      <c r="W2495">
        <v>0</v>
      </c>
      <c r="X2495" t="s">
        <v>135</v>
      </c>
      <c r="Y2495" t="s">
        <v>18</v>
      </c>
      <c r="Z2495" t="s">
        <v>23</v>
      </c>
      <c r="AA2495" t="s">
        <v>3582</v>
      </c>
      <c r="AB2495" t="s">
        <v>3582</v>
      </c>
      <c r="AC2495" t="s">
        <v>3579</v>
      </c>
      <c r="AD2495" t="s">
        <v>3479</v>
      </c>
      <c r="AE2495" t="s">
        <v>3475</v>
      </c>
      <c r="AF2495" s="2">
        <v>3578.27</v>
      </c>
      <c r="AG2495" s="2">
        <v>2171.2941999999998</v>
      </c>
      <c r="AH2495" s="2">
        <v>1406.9757999999999</v>
      </c>
      <c r="AI2495" s="3">
        <v>0.39320001006072802</v>
      </c>
    </row>
    <row r="2496" spans="1:35">
      <c r="A2496" s="1">
        <v>42019</v>
      </c>
      <c r="B2496" s="1">
        <v>37230</v>
      </c>
      <c r="C2496" t="s">
        <v>3673</v>
      </c>
      <c r="D2496">
        <v>344</v>
      </c>
      <c r="E2496">
        <v>28419</v>
      </c>
      <c r="F2496">
        <v>7</v>
      </c>
      <c r="G2496">
        <v>1</v>
      </c>
      <c r="H2496">
        <v>1</v>
      </c>
      <c r="I2496">
        <v>1</v>
      </c>
      <c r="J2496" t="s">
        <v>3519</v>
      </c>
      <c r="K2496" t="s">
        <v>3520</v>
      </c>
      <c r="L2496" s="2">
        <v>1912.1543999999999</v>
      </c>
      <c r="M2496" s="2">
        <v>3399.99</v>
      </c>
      <c r="N2496" t="s">
        <v>30</v>
      </c>
      <c r="O2496" t="s">
        <v>188</v>
      </c>
      <c r="P2496" t="s">
        <v>40</v>
      </c>
      <c r="Q2496" t="s">
        <v>8824</v>
      </c>
      <c r="R2496" s="1">
        <v>22691</v>
      </c>
      <c r="S2496" t="s">
        <v>16</v>
      </c>
      <c r="T2496" t="s">
        <v>29</v>
      </c>
      <c r="U2496" t="s">
        <v>3335</v>
      </c>
      <c r="V2496">
        <v>40000</v>
      </c>
      <c r="W2496">
        <v>1</v>
      </c>
      <c r="X2496" t="s">
        <v>17</v>
      </c>
      <c r="Y2496" t="s">
        <v>53</v>
      </c>
      <c r="Z2496" t="s">
        <v>19</v>
      </c>
      <c r="AA2496" t="s">
        <v>3583</v>
      </c>
      <c r="AB2496" t="s">
        <v>3583</v>
      </c>
      <c r="AC2496" t="s">
        <v>3584</v>
      </c>
      <c r="AD2496" t="s">
        <v>3478</v>
      </c>
      <c r="AE2496" t="s">
        <v>3475</v>
      </c>
      <c r="AF2496" s="2">
        <v>3399.99</v>
      </c>
      <c r="AG2496" s="2">
        <v>1912.1543999999999</v>
      </c>
      <c r="AH2496" s="2">
        <v>1487.8356000000001</v>
      </c>
      <c r="AI2496" s="3">
        <v>0.43759999294115598</v>
      </c>
    </row>
    <row r="2497" spans="1:35">
      <c r="A2497" s="1">
        <v>42026</v>
      </c>
      <c r="B2497" s="1">
        <v>37250</v>
      </c>
      <c r="C2497" t="s">
        <v>3727</v>
      </c>
      <c r="D2497">
        <v>344</v>
      </c>
      <c r="E2497">
        <v>28420</v>
      </c>
      <c r="F2497">
        <v>7</v>
      </c>
      <c r="G2497">
        <v>1</v>
      </c>
      <c r="H2497">
        <v>1</v>
      </c>
      <c r="I2497">
        <v>1</v>
      </c>
      <c r="J2497" t="s">
        <v>3519</v>
      </c>
      <c r="K2497" t="s">
        <v>3520</v>
      </c>
      <c r="L2497" s="2">
        <v>1912.1543999999999</v>
      </c>
      <c r="M2497" s="2">
        <v>3399.99</v>
      </c>
      <c r="N2497" t="s">
        <v>30</v>
      </c>
      <c r="O2497" t="s">
        <v>1204</v>
      </c>
      <c r="P2497" t="s">
        <v>392</v>
      </c>
      <c r="Q2497" t="s">
        <v>8825</v>
      </c>
      <c r="R2497" s="1">
        <v>22899</v>
      </c>
      <c r="S2497" t="s">
        <v>16</v>
      </c>
      <c r="T2497" t="s">
        <v>29</v>
      </c>
      <c r="U2497" t="s">
        <v>3336</v>
      </c>
      <c r="V2497">
        <v>40000</v>
      </c>
      <c r="W2497">
        <v>1</v>
      </c>
      <c r="X2497" t="s">
        <v>17</v>
      </c>
      <c r="Y2497" t="s">
        <v>53</v>
      </c>
      <c r="Z2497" t="s">
        <v>19</v>
      </c>
      <c r="AA2497" t="s">
        <v>3583</v>
      </c>
      <c r="AB2497" t="s">
        <v>3583</v>
      </c>
      <c r="AC2497" t="s">
        <v>3584</v>
      </c>
      <c r="AD2497" t="s">
        <v>3478</v>
      </c>
      <c r="AE2497" t="s">
        <v>3475</v>
      </c>
      <c r="AF2497" s="2">
        <v>3399.99</v>
      </c>
      <c r="AG2497" s="2">
        <v>1912.1543999999999</v>
      </c>
      <c r="AH2497" s="2">
        <v>1487.8356000000001</v>
      </c>
      <c r="AI2497" s="3">
        <v>0.43759999294115598</v>
      </c>
    </row>
    <row r="2498" spans="1:35">
      <c r="A2498" s="1">
        <v>42038</v>
      </c>
      <c r="B2498" s="1">
        <v>37226</v>
      </c>
      <c r="C2498" t="s">
        <v>3790</v>
      </c>
      <c r="D2498">
        <v>351</v>
      </c>
      <c r="E2498">
        <v>28443</v>
      </c>
      <c r="F2498">
        <v>7</v>
      </c>
      <c r="G2498">
        <v>1</v>
      </c>
      <c r="H2498">
        <v>1</v>
      </c>
      <c r="I2498">
        <v>1</v>
      </c>
      <c r="J2498" t="s">
        <v>3533</v>
      </c>
      <c r="K2498" t="s">
        <v>3534</v>
      </c>
      <c r="L2498" s="2">
        <v>1898.0944</v>
      </c>
      <c r="M2498" s="2">
        <v>3374.99</v>
      </c>
      <c r="N2498" t="s">
        <v>13</v>
      </c>
      <c r="O2498" t="s">
        <v>316</v>
      </c>
      <c r="P2498" t="s">
        <v>97</v>
      </c>
      <c r="Q2498" t="s">
        <v>8826</v>
      </c>
      <c r="R2498" s="1">
        <v>27746</v>
      </c>
      <c r="S2498" t="s">
        <v>22</v>
      </c>
      <c r="T2498" t="s">
        <v>16</v>
      </c>
      <c r="U2498" t="s">
        <v>3337</v>
      </c>
      <c r="V2498">
        <v>30000</v>
      </c>
      <c r="W2498">
        <v>0</v>
      </c>
      <c r="X2498" t="s">
        <v>52</v>
      </c>
      <c r="Y2498" t="s">
        <v>60</v>
      </c>
      <c r="Z2498" t="s">
        <v>23</v>
      </c>
      <c r="AA2498" t="s">
        <v>3583</v>
      </c>
      <c r="AB2498" t="s">
        <v>3583</v>
      </c>
      <c r="AC2498" t="s">
        <v>3584</v>
      </c>
      <c r="AD2498" t="s">
        <v>3478</v>
      </c>
      <c r="AE2498" t="s">
        <v>3475</v>
      </c>
      <c r="AF2498" s="2">
        <v>3374.99</v>
      </c>
      <c r="AG2498" s="2">
        <v>1898.0944</v>
      </c>
      <c r="AH2498" s="2">
        <v>1476.8956000000001</v>
      </c>
      <c r="AI2498" s="3">
        <v>0.43759999288886797</v>
      </c>
    </row>
    <row r="2499" spans="1:35">
      <c r="A2499" s="1">
        <v>42040</v>
      </c>
      <c r="B2499" s="1">
        <v>37223</v>
      </c>
      <c r="C2499" t="s">
        <v>3806</v>
      </c>
      <c r="D2499">
        <v>348</v>
      </c>
      <c r="E2499">
        <v>28449</v>
      </c>
      <c r="F2499">
        <v>7</v>
      </c>
      <c r="G2499">
        <v>1</v>
      </c>
      <c r="H2499">
        <v>1</v>
      </c>
      <c r="I2499">
        <v>1</v>
      </c>
      <c r="J2499" t="s">
        <v>3527</v>
      </c>
      <c r="K2499" t="s">
        <v>3528</v>
      </c>
      <c r="L2499" s="2">
        <v>1898.0944</v>
      </c>
      <c r="M2499" s="2">
        <v>3374.99</v>
      </c>
      <c r="N2499" t="s">
        <v>13</v>
      </c>
      <c r="O2499" t="s">
        <v>3317</v>
      </c>
      <c r="P2499" t="s">
        <v>270</v>
      </c>
      <c r="Q2499" t="s">
        <v>8827</v>
      </c>
      <c r="R2499" s="1">
        <v>25578</v>
      </c>
      <c r="S2499" t="s">
        <v>16</v>
      </c>
      <c r="T2499" t="s">
        <v>16</v>
      </c>
      <c r="U2499" t="s">
        <v>3338</v>
      </c>
      <c r="V2499">
        <v>10000</v>
      </c>
      <c r="W2499">
        <v>0</v>
      </c>
      <c r="X2499" t="s">
        <v>135</v>
      </c>
      <c r="Y2499" t="s">
        <v>444</v>
      </c>
      <c r="Z2499" t="s">
        <v>19</v>
      </c>
      <c r="AA2499" t="s">
        <v>3583</v>
      </c>
      <c r="AB2499" t="s">
        <v>3583</v>
      </c>
      <c r="AC2499" t="s">
        <v>3584</v>
      </c>
      <c r="AD2499" t="s">
        <v>3478</v>
      </c>
      <c r="AE2499" t="s">
        <v>3475</v>
      </c>
      <c r="AF2499" s="2">
        <v>3374.99</v>
      </c>
      <c r="AG2499" s="2">
        <v>1898.0944</v>
      </c>
      <c r="AH2499" s="2">
        <v>1476.8956000000001</v>
      </c>
      <c r="AI2499" s="3">
        <v>0.43759999288886797</v>
      </c>
    </row>
    <row r="2500" spans="1:35">
      <c r="A2500" s="1">
        <v>42074</v>
      </c>
      <c r="B2500" s="1">
        <v>37240</v>
      </c>
      <c r="C2500" t="s">
        <v>4006</v>
      </c>
      <c r="D2500">
        <v>350</v>
      </c>
      <c r="E2500">
        <v>28458</v>
      </c>
      <c r="F2500">
        <v>7</v>
      </c>
      <c r="G2500">
        <v>1</v>
      </c>
      <c r="H2500">
        <v>1</v>
      </c>
      <c r="I2500">
        <v>1</v>
      </c>
      <c r="J2500" t="s">
        <v>3531</v>
      </c>
      <c r="K2500" t="s">
        <v>3532</v>
      </c>
      <c r="L2500" s="2">
        <v>1898.0944</v>
      </c>
      <c r="M2500" s="2">
        <v>3374.99</v>
      </c>
      <c r="N2500" t="s">
        <v>30</v>
      </c>
      <c r="O2500" t="s">
        <v>158</v>
      </c>
      <c r="P2500" t="s">
        <v>450</v>
      </c>
      <c r="Q2500" t="s">
        <v>8828</v>
      </c>
      <c r="R2500" s="1">
        <v>22806</v>
      </c>
      <c r="S2500" t="s">
        <v>22</v>
      </c>
      <c r="T2500" t="s">
        <v>29</v>
      </c>
      <c r="U2500" t="s">
        <v>3339</v>
      </c>
      <c r="V2500">
        <v>30000</v>
      </c>
      <c r="W2500">
        <v>4</v>
      </c>
      <c r="X2500" t="s">
        <v>135</v>
      </c>
      <c r="Y2500" t="s">
        <v>60</v>
      </c>
      <c r="Z2500" t="s">
        <v>19</v>
      </c>
      <c r="AA2500" t="s">
        <v>3583</v>
      </c>
      <c r="AB2500" t="s">
        <v>3583</v>
      </c>
      <c r="AC2500" t="s">
        <v>3584</v>
      </c>
      <c r="AD2500" t="s">
        <v>3478</v>
      </c>
      <c r="AE2500" t="s">
        <v>3475</v>
      </c>
      <c r="AF2500" s="2">
        <v>3374.99</v>
      </c>
      <c r="AG2500" s="2">
        <v>1898.0944</v>
      </c>
      <c r="AH2500" s="2">
        <v>1476.8956000000001</v>
      </c>
      <c r="AI2500" s="3">
        <v>0.43759999288886797</v>
      </c>
    </row>
    <row r="2501" spans="1:35">
      <c r="A2501" s="1">
        <v>42070</v>
      </c>
      <c r="B2501" s="1">
        <v>37300</v>
      </c>
      <c r="C2501" t="s">
        <v>3991</v>
      </c>
      <c r="D2501">
        <v>344</v>
      </c>
      <c r="E2501">
        <v>28470</v>
      </c>
      <c r="F2501">
        <v>7</v>
      </c>
      <c r="G2501">
        <v>1</v>
      </c>
      <c r="H2501">
        <v>1</v>
      </c>
      <c r="I2501">
        <v>1</v>
      </c>
      <c r="J2501" t="s">
        <v>3519</v>
      </c>
      <c r="K2501" t="s">
        <v>3520</v>
      </c>
      <c r="L2501" s="2">
        <v>1912.1543999999999</v>
      </c>
      <c r="M2501" s="2">
        <v>3399.99</v>
      </c>
      <c r="N2501" t="s">
        <v>30</v>
      </c>
      <c r="O2501" t="s">
        <v>181</v>
      </c>
      <c r="P2501" t="s">
        <v>282</v>
      </c>
      <c r="Q2501" t="s">
        <v>8829</v>
      </c>
      <c r="R2501" s="1">
        <v>19774</v>
      </c>
      <c r="S2501" t="s">
        <v>16</v>
      </c>
      <c r="T2501" t="s">
        <v>29</v>
      </c>
      <c r="U2501" t="s">
        <v>3340</v>
      </c>
      <c r="V2501">
        <v>10000</v>
      </c>
      <c r="W2501">
        <v>2</v>
      </c>
      <c r="X2501" t="s">
        <v>52</v>
      </c>
      <c r="Y2501" t="s">
        <v>444</v>
      </c>
      <c r="Z2501" t="s">
        <v>23</v>
      </c>
      <c r="AA2501" t="s">
        <v>3583</v>
      </c>
      <c r="AB2501" t="s">
        <v>3583</v>
      </c>
      <c r="AC2501" t="s">
        <v>3584</v>
      </c>
      <c r="AD2501" t="s">
        <v>3478</v>
      </c>
      <c r="AE2501" t="s">
        <v>3475</v>
      </c>
      <c r="AF2501" s="2">
        <v>3399.99</v>
      </c>
      <c r="AG2501" s="2">
        <v>1912.1543999999999</v>
      </c>
      <c r="AH2501" s="2">
        <v>1487.8356000000001</v>
      </c>
      <c r="AI2501" s="3">
        <v>0.43759999294115598</v>
      </c>
    </row>
    <row r="2502" spans="1:35">
      <c r="A2502" s="1">
        <v>42087</v>
      </c>
      <c r="B2502" s="1">
        <v>37320</v>
      </c>
      <c r="C2502" t="s">
        <v>4099</v>
      </c>
      <c r="D2502">
        <v>350</v>
      </c>
      <c r="E2502">
        <v>28471</v>
      </c>
      <c r="F2502">
        <v>7</v>
      </c>
      <c r="G2502">
        <v>1</v>
      </c>
      <c r="H2502">
        <v>1</v>
      </c>
      <c r="I2502">
        <v>1</v>
      </c>
      <c r="J2502" t="s">
        <v>3531</v>
      </c>
      <c r="K2502" t="s">
        <v>3532</v>
      </c>
      <c r="L2502" s="2">
        <v>1898.0944</v>
      </c>
      <c r="M2502" s="2">
        <v>3374.99</v>
      </c>
      <c r="N2502" t="s">
        <v>13</v>
      </c>
      <c r="O2502" t="s">
        <v>1182</v>
      </c>
      <c r="P2502" t="s">
        <v>2132</v>
      </c>
      <c r="Q2502" t="s">
        <v>8830</v>
      </c>
      <c r="R2502" s="1">
        <v>19960</v>
      </c>
      <c r="S2502" t="s">
        <v>22</v>
      </c>
      <c r="T2502" t="s">
        <v>16</v>
      </c>
      <c r="U2502" t="s">
        <v>3341</v>
      </c>
      <c r="V2502">
        <v>10000</v>
      </c>
      <c r="W2502">
        <v>2</v>
      </c>
      <c r="X2502" t="s">
        <v>52</v>
      </c>
      <c r="Y2502" t="s">
        <v>444</v>
      </c>
      <c r="Z2502" t="s">
        <v>23</v>
      </c>
      <c r="AA2502" t="s">
        <v>3583</v>
      </c>
      <c r="AB2502" t="s">
        <v>3583</v>
      </c>
      <c r="AC2502" t="s">
        <v>3584</v>
      </c>
      <c r="AD2502" t="s">
        <v>3478</v>
      </c>
      <c r="AE2502" t="s">
        <v>3475</v>
      </c>
      <c r="AF2502" s="2">
        <v>3374.99</v>
      </c>
      <c r="AG2502" s="2">
        <v>1898.0944</v>
      </c>
      <c r="AH2502" s="2">
        <v>1476.8956000000001</v>
      </c>
      <c r="AI2502" s="3">
        <v>0.43759999288886797</v>
      </c>
    </row>
    <row r="2503" spans="1:35">
      <c r="A2503" s="1">
        <v>42076</v>
      </c>
      <c r="B2503" s="1">
        <v>37294</v>
      </c>
      <c r="C2503" t="s">
        <v>4021</v>
      </c>
      <c r="D2503">
        <v>348</v>
      </c>
      <c r="E2503">
        <v>28478</v>
      </c>
      <c r="F2503">
        <v>7</v>
      </c>
      <c r="G2503">
        <v>1</v>
      </c>
      <c r="H2503">
        <v>1</v>
      </c>
      <c r="I2503">
        <v>1</v>
      </c>
      <c r="J2503" t="s">
        <v>3527</v>
      </c>
      <c r="K2503" t="s">
        <v>3528</v>
      </c>
      <c r="L2503" s="2">
        <v>1898.0944</v>
      </c>
      <c r="M2503" s="2">
        <v>3374.99</v>
      </c>
      <c r="N2503" t="s">
        <v>30</v>
      </c>
      <c r="O2503" t="s">
        <v>1639</v>
      </c>
      <c r="P2503" t="s">
        <v>239</v>
      </c>
      <c r="Q2503" t="s">
        <v>8831</v>
      </c>
      <c r="R2503" s="1">
        <v>15995</v>
      </c>
      <c r="S2503" t="s">
        <v>22</v>
      </c>
      <c r="T2503" t="s">
        <v>29</v>
      </c>
      <c r="U2503" t="s">
        <v>3342</v>
      </c>
      <c r="V2503">
        <v>10000</v>
      </c>
      <c r="W2503">
        <v>3</v>
      </c>
      <c r="X2503" t="s">
        <v>52</v>
      </c>
      <c r="Y2503" t="s">
        <v>444</v>
      </c>
      <c r="Z2503" t="s">
        <v>19</v>
      </c>
      <c r="AA2503" t="s">
        <v>3583</v>
      </c>
      <c r="AB2503" t="s">
        <v>3583</v>
      </c>
      <c r="AC2503" t="s">
        <v>3584</v>
      </c>
      <c r="AD2503" t="s">
        <v>3478</v>
      </c>
      <c r="AE2503" t="s">
        <v>3475</v>
      </c>
      <c r="AF2503" s="2">
        <v>3374.99</v>
      </c>
      <c r="AG2503" s="2">
        <v>1898.0944</v>
      </c>
      <c r="AH2503" s="2">
        <v>1476.8956000000001</v>
      </c>
      <c r="AI2503" s="3">
        <v>0.43759999288886797</v>
      </c>
    </row>
    <row r="2504" spans="1:35">
      <c r="A2504" s="1">
        <v>42146</v>
      </c>
      <c r="B2504" s="1">
        <v>37378</v>
      </c>
      <c r="C2504" t="s">
        <v>4496</v>
      </c>
      <c r="D2504">
        <v>350</v>
      </c>
      <c r="E2504">
        <v>28491</v>
      </c>
      <c r="F2504">
        <v>7</v>
      </c>
      <c r="G2504">
        <v>1</v>
      </c>
      <c r="H2504">
        <v>1</v>
      </c>
      <c r="I2504">
        <v>1</v>
      </c>
      <c r="J2504" t="s">
        <v>3531</v>
      </c>
      <c r="K2504" t="s">
        <v>3532</v>
      </c>
      <c r="L2504" s="2">
        <v>1898.0944</v>
      </c>
      <c r="M2504" s="2">
        <v>3374.99</v>
      </c>
      <c r="N2504" t="s">
        <v>30</v>
      </c>
      <c r="O2504" t="s">
        <v>204</v>
      </c>
      <c r="P2504" t="s">
        <v>476</v>
      </c>
      <c r="Q2504" t="s">
        <v>8832</v>
      </c>
      <c r="R2504" s="1">
        <v>22393</v>
      </c>
      <c r="S2504" t="s">
        <v>22</v>
      </c>
      <c r="T2504" t="s">
        <v>29</v>
      </c>
      <c r="U2504" t="s">
        <v>3343</v>
      </c>
      <c r="V2504">
        <v>20000</v>
      </c>
      <c r="W2504">
        <v>1</v>
      </c>
      <c r="X2504" t="s">
        <v>52</v>
      </c>
      <c r="Y2504" t="s">
        <v>444</v>
      </c>
      <c r="Z2504" t="s">
        <v>23</v>
      </c>
      <c r="AA2504" t="s">
        <v>3583</v>
      </c>
      <c r="AB2504" t="s">
        <v>3583</v>
      </c>
      <c r="AC2504" t="s">
        <v>3584</v>
      </c>
      <c r="AD2504" t="s">
        <v>3478</v>
      </c>
      <c r="AE2504" t="s">
        <v>3475</v>
      </c>
      <c r="AF2504" s="2">
        <v>3374.99</v>
      </c>
      <c r="AG2504" s="2">
        <v>1898.0944</v>
      </c>
      <c r="AH2504" s="2">
        <v>1476.8956000000001</v>
      </c>
      <c r="AI2504" s="3">
        <v>0.43759999288886797</v>
      </c>
    </row>
    <row r="2505" spans="1:35">
      <c r="A2505" s="1">
        <v>42136</v>
      </c>
      <c r="B2505" s="1">
        <v>37320</v>
      </c>
      <c r="C2505" t="s">
        <v>4416</v>
      </c>
      <c r="D2505">
        <v>351</v>
      </c>
      <c r="E2505">
        <v>28492</v>
      </c>
      <c r="F2505">
        <v>7</v>
      </c>
      <c r="G2505">
        <v>1</v>
      </c>
      <c r="H2505">
        <v>1</v>
      </c>
      <c r="I2505">
        <v>1</v>
      </c>
      <c r="J2505" t="s">
        <v>3533</v>
      </c>
      <c r="K2505" t="s">
        <v>3534</v>
      </c>
      <c r="L2505" s="2">
        <v>1898.0944</v>
      </c>
      <c r="M2505" s="2">
        <v>3374.99</v>
      </c>
      <c r="N2505" t="s">
        <v>30</v>
      </c>
      <c r="O2505" t="s">
        <v>86</v>
      </c>
      <c r="P2505" t="s">
        <v>282</v>
      </c>
      <c r="Q2505" t="s">
        <v>8833</v>
      </c>
      <c r="R2505" s="1">
        <v>22408</v>
      </c>
      <c r="S2505" t="s">
        <v>16</v>
      </c>
      <c r="T2505" t="s">
        <v>29</v>
      </c>
      <c r="U2505" t="s">
        <v>3344</v>
      </c>
      <c r="V2505">
        <v>30000</v>
      </c>
      <c r="W2505">
        <v>4</v>
      </c>
      <c r="X2505" t="s">
        <v>135</v>
      </c>
      <c r="Y2505" t="s">
        <v>60</v>
      </c>
      <c r="Z2505" t="s">
        <v>23</v>
      </c>
      <c r="AA2505" t="s">
        <v>3583</v>
      </c>
      <c r="AB2505" t="s">
        <v>3583</v>
      </c>
      <c r="AC2505" t="s">
        <v>3584</v>
      </c>
      <c r="AD2505" t="s">
        <v>3478</v>
      </c>
      <c r="AE2505" t="s">
        <v>3475</v>
      </c>
      <c r="AF2505" s="2">
        <v>3374.99</v>
      </c>
      <c r="AG2505" s="2">
        <v>1898.0944</v>
      </c>
      <c r="AH2505" s="2">
        <v>1476.8956000000001</v>
      </c>
      <c r="AI2505" s="3">
        <v>0.43759999288886797</v>
      </c>
    </row>
    <row r="2506" spans="1:35">
      <c r="A2506" s="1">
        <v>42174</v>
      </c>
      <c r="B2506" s="1">
        <v>37401</v>
      </c>
      <c r="C2506" t="s">
        <v>4680</v>
      </c>
      <c r="D2506">
        <v>349</v>
      </c>
      <c r="E2506">
        <v>28504</v>
      </c>
      <c r="F2506">
        <v>7</v>
      </c>
      <c r="G2506">
        <v>1</v>
      </c>
      <c r="H2506">
        <v>1</v>
      </c>
      <c r="I2506">
        <v>1</v>
      </c>
      <c r="J2506" t="s">
        <v>3529</v>
      </c>
      <c r="K2506" t="s">
        <v>3530</v>
      </c>
      <c r="L2506" s="2">
        <v>1898.0944</v>
      </c>
      <c r="M2506" s="2">
        <v>3374.99</v>
      </c>
      <c r="N2506" t="s">
        <v>13</v>
      </c>
      <c r="O2506" t="s">
        <v>622</v>
      </c>
      <c r="P2506" t="s">
        <v>529</v>
      </c>
      <c r="Q2506" t="s">
        <v>8834</v>
      </c>
      <c r="R2506" s="1">
        <v>21453</v>
      </c>
      <c r="S2506" t="s">
        <v>22</v>
      </c>
      <c r="T2506" t="s">
        <v>16</v>
      </c>
      <c r="U2506" t="s">
        <v>3345</v>
      </c>
      <c r="V2506">
        <v>20000</v>
      </c>
      <c r="W2506">
        <v>2</v>
      </c>
      <c r="X2506" t="s">
        <v>52</v>
      </c>
      <c r="Y2506" t="s">
        <v>444</v>
      </c>
      <c r="Z2506" t="s">
        <v>23</v>
      </c>
      <c r="AA2506" t="s">
        <v>3583</v>
      </c>
      <c r="AB2506" t="s">
        <v>3583</v>
      </c>
      <c r="AC2506" t="s">
        <v>3584</v>
      </c>
      <c r="AD2506" t="s">
        <v>3478</v>
      </c>
      <c r="AE2506" t="s">
        <v>3475</v>
      </c>
      <c r="AF2506" s="2">
        <v>3374.99</v>
      </c>
      <c r="AG2506" s="2">
        <v>1898.0944</v>
      </c>
      <c r="AH2506" s="2">
        <v>1476.8956000000001</v>
      </c>
      <c r="AI2506" s="3">
        <v>0.43759999288886797</v>
      </c>
    </row>
    <row r="2507" spans="1:35">
      <c r="A2507" s="1">
        <v>42203</v>
      </c>
      <c r="B2507" s="1">
        <v>37377</v>
      </c>
      <c r="C2507" t="s">
        <v>4906</v>
      </c>
      <c r="D2507">
        <v>352</v>
      </c>
      <c r="E2507">
        <v>28510</v>
      </c>
      <c r="F2507">
        <v>7</v>
      </c>
      <c r="G2507">
        <v>1</v>
      </c>
      <c r="H2507">
        <v>1</v>
      </c>
      <c r="I2507">
        <v>1</v>
      </c>
      <c r="J2507" t="s">
        <v>3535</v>
      </c>
      <c r="K2507" t="s">
        <v>3536</v>
      </c>
      <c r="L2507" s="2">
        <v>1117.8559</v>
      </c>
      <c r="M2507" s="2">
        <v>2071.4196000000002</v>
      </c>
      <c r="N2507" t="s">
        <v>13</v>
      </c>
      <c r="O2507" t="s">
        <v>1408</v>
      </c>
      <c r="P2507" t="s">
        <v>134</v>
      </c>
      <c r="Q2507" t="s">
        <v>8835</v>
      </c>
      <c r="R2507" s="1">
        <v>21632</v>
      </c>
      <c r="S2507" t="s">
        <v>22</v>
      </c>
      <c r="T2507" t="s">
        <v>16</v>
      </c>
      <c r="U2507" t="s">
        <v>3346</v>
      </c>
      <c r="V2507">
        <v>30000</v>
      </c>
      <c r="W2507">
        <v>0</v>
      </c>
      <c r="X2507" t="s">
        <v>17</v>
      </c>
      <c r="Y2507" t="s">
        <v>60</v>
      </c>
      <c r="Z2507" t="s">
        <v>19</v>
      </c>
      <c r="AA2507" t="s">
        <v>3583</v>
      </c>
      <c r="AB2507" t="s">
        <v>3583</v>
      </c>
      <c r="AC2507" t="s">
        <v>3584</v>
      </c>
      <c r="AD2507" t="s">
        <v>3478</v>
      </c>
      <c r="AE2507" t="s">
        <v>3475</v>
      </c>
      <c r="AF2507" s="2">
        <v>2071.4196000000002</v>
      </c>
      <c r="AG2507" s="2">
        <v>1117.8559</v>
      </c>
      <c r="AH2507" s="2">
        <v>953.56370000000004</v>
      </c>
      <c r="AI2507" s="3">
        <v>0.460343090313522</v>
      </c>
    </row>
    <row r="2508" spans="1:35">
      <c r="A2508" s="1">
        <v>42240</v>
      </c>
      <c r="B2508" s="1">
        <v>37435</v>
      </c>
      <c r="C2508" t="s">
        <v>5211</v>
      </c>
      <c r="D2508">
        <v>362</v>
      </c>
      <c r="E2508">
        <v>28512</v>
      </c>
      <c r="F2508">
        <v>7</v>
      </c>
      <c r="G2508">
        <v>1</v>
      </c>
      <c r="H2508">
        <v>1</v>
      </c>
      <c r="I2508">
        <v>1</v>
      </c>
      <c r="J2508" t="s">
        <v>3545</v>
      </c>
      <c r="K2508" t="s">
        <v>3546</v>
      </c>
      <c r="L2508" s="2">
        <v>1105.81</v>
      </c>
      <c r="M2508" s="2">
        <v>2049.0981999999999</v>
      </c>
      <c r="N2508" t="s">
        <v>13</v>
      </c>
      <c r="O2508" t="s">
        <v>666</v>
      </c>
      <c r="P2508" t="s">
        <v>779</v>
      </c>
      <c r="Q2508" t="s">
        <v>8836</v>
      </c>
      <c r="R2508" s="1">
        <v>25884</v>
      </c>
      <c r="S2508" t="s">
        <v>22</v>
      </c>
      <c r="T2508" t="s">
        <v>16</v>
      </c>
      <c r="U2508" t="s">
        <v>3347</v>
      </c>
      <c r="V2508">
        <v>20000</v>
      </c>
      <c r="W2508">
        <v>0</v>
      </c>
      <c r="X2508" t="s">
        <v>52</v>
      </c>
      <c r="Y2508" t="s">
        <v>444</v>
      </c>
      <c r="Z2508" t="s">
        <v>23</v>
      </c>
      <c r="AA2508" t="s">
        <v>3583</v>
      </c>
      <c r="AB2508" t="s">
        <v>3583</v>
      </c>
      <c r="AC2508" t="s">
        <v>3584</v>
      </c>
      <c r="AD2508" t="s">
        <v>3478</v>
      </c>
      <c r="AE2508" t="s">
        <v>3475</v>
      </c>
      <c r="AF2508" s="2">
        <v>2049.0981999999999</v>
      </c>
      <c r="AG2508" s="2">
        <v>1105.81</v>
      </c>
      <c r="AH2508" s="2">
        <v>943.28819999999996</v>
      </c>
      <c r="AI2508" s="3">
        <v>0.46034309141455498</v>
      </c>
    </row>
    <row r="2509" spans="1:35">
      <c r="A2509" s="1">
        <v>42240</v>
      </c>
      <c r="B2509" s="1">
        <v>37436</v>
      </c>
      <c r="C2509" t="s">
        <v>5215</v>
      </c>
      <c r="D2509">
        <v>360</v>
      </c>
      <c r="E2509">
        <v>28519</v>
      </c>
      <c r="F2509">
        <v>7</v>
      </c>
      <c r="G2509">
        <v>1</v>
      </c>
      <c r="H2509">
        <v>1</v>
      </c>
      <c r="I2509">
        <v>1</v>
      </c>
      <c r="J2509" t="s">
        <v>3543</v>
      </c>
      <c r="K2509" t="s">
        <v>3544</v>
      </c>
      <c r="L2509" s="2">
        <v>1105.81</v>
      </c>
      <c r="M2509" s="2">
        <v>2049.0981999999999</v>
      </c>
      <c r="N2509" t="s">
        <v>13</v>
      </c>
      <c r="O2509" t="s">
        <v>1340</v>
      </c>
      <c r="P2509" t="s">
        <v>89</v>
      </c>
      <c r="Q2509" t="s">
        <v>8837</v>
      </c>
      <c r="R2509" s="1">
        <v>25491</v>
      </c>
      <c r="S2509" t="s">
        <v>16</v>
      </c>
      <c r="T2509" t="s">
        <v>16</v>
      </c>
      <c r="U2509" t="s">
        <v>3348</v>
      </c>
      <c r="V2509">
        <v>30000</v>
      </c>
      <c r="W2509">
        <v>1</v>
      </c>
      <c r="X2509" t="s">
        <v>17</v>
      </c>
      <c r="Y2509" t="s">
        <v>60</v>
      </c>
      <c r="Z2509" t="s">
        <v>19</v>
      </c>
      <c r="AA2509" t="s">
        <v>3583</v>
      </c>
      <c r="AB2509" t="s">
        <v>3583</v>
      </c>
      <c r="AC2509" t="s">
        <v>3584</v>
      </c>
      <c r="AD2509" t="s">
        <v>3478</v>
      </c>
      <c r="AE2509" t="s">
        <v>3475</v>
      </c>
      <c r="AF2509" s="2">
        <v>2049.0981999999999</v>
      </c>
      <c r="AG2509" s="2">
        <v>1105.81</v>
      </c>
      <c r="AH2509" s="2">
        <v>943.28819999999996</v>
      </c>
      <c r="AI2509" s="3">
        <v>0.46034309141455498</v>
      </c>
    </row>
    <row r="2510" spans="1:35">
      <c r="A2510" s="1">
        <v>42247</v>
      </c>
      <c r="B2510" s="1">
        <v>37432</v>
      </c>
      <c r="C2510" t="s">
        <v>5285</v>
      </c>
      <c r="D2510">
        <v>354</v>
      </c>
      <c r="E2510">
        <v>28520</v>
      </c>
      <c r="F2510">
        <v>7</v>
      </c>
      <c r="G2510">
        <v>1</v>
      </c>
      <c r="H2510">
        <v>1</v>
      </c>
      <c r="I2510">
        <v>1</v>
      </c>
      <c r="J2510" t="s">
        <v>3537</v>
      </c>
      <c r="K2510" t="s">
        <v>3538</v>
      </c>
      <c r="L2510" s="2">
        <v>1117.8559</v>
      </c>
      <c r="M2510" s="2">
        <v>2071.4196000000002</v>
      </c>
      <c r="N2510" t="s">
        <v>26</v>
      </c>
      <c r="O2510" t="s">
        <v>698</v>
      </c>
      <c r="P2510" t="s">
        <v>151</v>
      </c>
      <c r="Q2510" t="s">
        <v>8838</v>
      </c>
      <c r="R2510" s="1">
        <v>25298</v>
      </c>
      <c r="S2510" t="s">
        <v>16</v>
      </c>
      <c r="T2510" t="s">
        <v>29</v>
      </c>
      <c r="U2510" t="s">
        <v>3349</v>
      </c>
      <c r="V2510">
        <v>40000</v>
      </c>
      <c r="W2510">
        <v>0</v>
      </c>
      <c r="X2510" t="s">
        <v>135</v>
      </c>
      <c r="Y2510" t="s">
        <v>60</v>
      </c>
      <c r="Z2510" t="s">
        <v>19</v>
      </c>
      <c r="AA2510" t="s">
        <v>3583</v>
      </c>
      <c r="AB2510" t="s">
        <v>3583</v>
      </c>
      <c r="AC2510" t="s">
        <v>3584</v>
      </c>
      <c r="AD2510" t="s">
        <v>3478</v>
      </c>
      <c r="AE2510" t="s">
        <v>3475</v>
      </c>
      <c r="AF2510" s="2">
        <v>2071.4196000000002</v>
      </c>
      <c r="AG2510" s="2">
        <v>1117.8559</v>
      </c>
      <c r="AH2510" s="2">
        <v>953.56370000000004</v>
      </c>
      <c r="AI2510" s="3">
        <v>0.460343090313522</v>
      </c>
    </row>
    <row r="2511" spans="1:35">
      <c r="A2511" s="1">
        <v>42245</v>
      </c>
      <c r="B2511" s="1">
        <v>37381</v>
      </c>
      <c r="C2511" t="s">
        <v>5267</v>
      </c>
      <c r="D2511">
        <v>362</v>
      </c>
      <c r="E2511">
        <v>28529</v>
      </c>
      <c r="F2511">
        <v>7</v>
      </c>
      <c r="G2511">
        <v>1</v>
      </c>
      <c r="H2511">
        <v>1</v>
      </c>
      <c r="I2511">
        <v>1</v>
      </c>
      <c r="J2511" t="s">
        <v>3545</v>
      </c>
      <c r="K2511" t="s">
        <v>3546</v>
      </c>
      <c r="L2511" s="2">
        <v>1105.81</v>
      </c>
      <c r="M2511" s="2">
        <v>2049.0981999999999</v>
      </c>
      <c r="N2511" t="s">
        <v>30</v>
      </c>
      <c r="O2511" t="s">
        <v>1133</v>
      </c>
      <c r="P2511" t="s">
        <v>205</v>
      </c>
      <c r="Q2511" t="s">
        <v>8839</v>
      </c>
      <c r="R2511" s="1">
        <v>24997</v>
      </c>
      <c r="S2511" t="s">
        <v>22</v>
      </c>
      <c r="T2511" t="s">
        <v>29</v>
      </c>
      <c r="U2511" t="s">
        <v>3350</v>
      </c>
      <c r="V2511">
        <v>20000</v>
      </c>
      <c r="W2511">
        <v>1</v>
      </c>
      <c r="X2511" t="s">
        <v>52</v>
      </c>
      <c r="Y2511" t="s">
        <v>444</v>
      </c>
      <c r="Z2511" t="s">
        <v>19</v>
      </c>
      <c r="AA2511" t="s">
        <v>3583</v>
      </c>
      <c r="AB2511" t="s">
        <v>3583</v>
      </c>
      <c r="AC2511" t="s">
        <v>3584</v>
      </c>
      <c r="AD2511" t="s">
        <v>3478</v>
      </c>
      <c r="AE2511" t="s">
        <v>3475</v>
      </c>
      <c r="AF2511" s="2">
        <v>2049.0981999999999</v>
      </c>
      <c r="AG2511" s="2">
        <v>1105.81</v>
      </c>
      <c r="AH2511" s="2">
        <v>943.28819999999996</v>
      </c>
      <c r="AI2511" s="3">
        <v>0.46034309141455498</v>
      </c>
    </row>
    <row r="2512" spans="1:35">
      <c r="A2512" s="1">
        <v>42220</v>
      </c>
      <c r="B2512" s="1">
        <v>37382</v>
      </c>
      <c r="C2512" t="s">
        <v>5039</v>
      </c>
      <c r="D2512">
        <v>354</v>
      </c>
      <c r="E2512">
        <v>28532</v>
      </c>
      <c r="F2512">
        <v>7</v>
      </c>
      <c r="G2512">
        <v>1</v>
      </c>
      <c r="H2512">
        <v>1</v>
      </c>
      <c r="I2512">
        <v>1</v>
      </c>
      <c r="J2512" t="s">
        <v>3537</v>
      </c>
      <c r="K2512" t="s">
        <v>3538</v>
      </c>
      <c r="L2512" s="2">
        <v>1117.8559</v>
      </c>
      <c r="M2512" s="2">
        <v>2071.4196000000002</v>
      </c>
      <c r="N2512" t="s">
        <v>13</v>
      </c>
      <c r="O2512" t="s">
        <v>1591</v>
      </c>
      <c r="P2512" t="s">
        <v>72</v>
      </c>
      <c r="Q2512" t="s">
        <v>8840</v>
      </c>
      <c r="R2512" s="1">
        <v>25178</v>
      </c>
      <c r="S2512" t="s">
        <v>16</v>
      </c>
      <c r="T2512" t="s">
        <v>16</v>
      </c>
      <c r="U2512" t="s">
        <v>3351</v>
      </c>
      <c r="V2512">
        <v>30000</v>
      </c>
      <c r="W2512">
        <v>1</v>
      </c>
      <c r="X2512" t="s">
        <v>17</v>
      </c>
      <c r="Y2512" t="s">
        <v>60</v>
      </c>
      <c r="Z2512" t="s">
        <v>19</v>
      </c>
      <c r="AA2512" t="s">
        <v>3583</v>
      </c>
      <c r="AB2512" t="s">
        <v>3583</v>
      </c>
      <c r="AC2512" t="s">
        <v>3584</v>
      </c>
      <c r="AD2512" t="s">
        <v>3478</v>
      </c>
      <c r="AE2512" t="s">
        <v>3475</v>
      </c>
      <c r="AF2512" s="2">
        <v>2071.4196000000002</v>
      </c>
      <c r="AG2512" s="2">
        <v>1117.8559</v>
      </c>
      <c r="AH2512" s="2">
        <v>953.56370000000004</v>
      </c>
      <c r="AI2512" s="3">
        <v>0.460343090313522</v>
      </c>
    </row>
    <row r="2513" spans="1:35">
      <c r="A2513" s="1">
        <v>42236</v>
      </c>
      <c r="B2513" s="1">
        <v>37448</v>
      </c>
      <c r="C2513" t="s">
        <v>5179</v>
      </c>
      <c r="D2513">
        <v>362</v>
      </c>
      <c r="E2513">
        <v>28540</v>
      </c>
      <c r="F2513">
        <v>7</v>
      </c>
      <c r="G2513">
        <v>1</v>
      </c>
      <c r="H2513">
        <v>1</v>
      </c>
      <c r="I2513">
        <v>1</v>
      </c>
      <c r="J2513" t="s">
        <v>3545</v>
      </c>
      <c r="K2513" t="s">
        <v>3546</v>
      </c>
      <c r="L2513" s="2">
        <v>1105.81</v>
      </c>
      <c r="M2513" s="2">
        <v>2049.0981999999999</v>
      </c>
      <c r="N2513" t="s">
        <v>26</v>
      </c>
      <c r="O2513" t="s">
        <v>167</v>
      </c>
      <c r="P2513" t="s">
        <v>68</v>
      </c>
      <c r="Q2513" t="s">
        <v>8841</v>
      </c>
      <c r="R2513" s="1">
        <v>27359</v>
      </c>
      <c r="S2513" t="s">
        <v>16</v>
      </c>
      <c r="T2513" t="s">
        <v>29</v>
      </c>
      <c r="U2513" t="s">
        <v>3352</v>
      </c>
      <c r="V2513">
        <v>30000</v>
      </c>
      <c r="W2513">
        <v>0</v>
      </c>
      <c r="X2513" t="s">
        <v>52</v>
      </c>
      <c r="Y2513" t="s">
        <v>60</v>
      </c>
      <c r="Z2513" t="s">
        <v>23</v>
      </c>
      <c r="AA2513" t="s">
        <v>3583</v>
      </c>
      <c r="AB2513" t="s">
        <v>3583</v>
      </c>
      <c r="AC2513" t="s">
        <v>3584</v>
      </c>
      <c r="AD2513" t="s">
        <v>3478</v>
      </c>
      <c r="AE2513" t="s">
        <v>3475</v>
      </c>
      <c r="AF2513" s="2">
        <v>2049.0981999999999</v>
      </c>
      <c r="AG2513" s="2">
        <v>1105.81</v>
      </c>
      <c r="AH2513" s="2">
        <v>943.28819999999996</v>
      </c>
      <c r="AI2513" s="3">
        <v>0.46034309141455498</v>
      </c>
    </row>
    <row r="2514" spans="1:35">
      <c r="A2514" s="1">
        <v>42222</v>
      </c>
      <c r="B2514" s="1">
        <v>37399</v>
      </c>
      <c r="C2514" t="s">
        <v>5052</v>
      </c>
      <c r="D2514">
        <v>362</v>
      </c>
      <c r="E2514">
        <v>28541</v>
      </c>
      <c r="F2514">
        <v>7</v>
      </c>
      <c r="G2514">
        <v>1</v>
      </c>
      <c r="H2514">
        <v>1</v>
      </c>
      <c r="I2514">
        <v>1</v>
      </c>
      <c r="J2514" t="s">
        <v>3545</v>
      </c>
      <c r="K2514" t="s">
        <v>3546</v>
      </c>
      <c r="L2514" s="2">
        <v>1105.81</v>
      </c>
      <c r="M2514" s="2">
        <v>2049.0981999999999</v>
      </c>
      <c r="N2514" t="s">
        <v>26</v>
      </c>
      <c r="O2514" t="s">
        <v>588</v>
      </c>
      <c r="P2514" t="s">
        <v>187</v>
      </c>
      <c r="Q2514" t="s">
        <v>8842</v>
      </c>
      <c r="R2514" s="1">
        <v>27122</v>
      </c>
      <c r="S2514" t="s">
        <v>22</v>
      </c>
      <c r="T2514" t="s">
        <v>29</v>
      </c>
      <c r="U2514" t="s">
        <v>3353</v>
      </c>
      <c r="V2514">
        <v>30000</v>
      </c>
      <c r="W2514">
        <v>0</v>
      </c>
      <c r="X2514" t="s">
        <v>52</v>
      </c>
      <c r="Y2514" t="s">
        <v>60</v>
      </c>
      <c r="Z2514" t="s">
        <v>23</v>
      </c>
      <c r="AA2514" t="s">
        <v>3583</v>
      </c>
      <c r="AB2514" t="s">
        <v>3583</v>
      </c>
      <c r="AC2514" t="s">
        <v>3584</v>
      </c>
      <c r="AD2514" t="s">
        <v>3478</v>
      </c>
      <c r="AE2514" t="s">
        <v>3475</v>
      </c>
      <c r="AF2514" s="2">
        <v>2049.0981999999999</v>
      </c>
      <c r="AG2514" s="2">
        <v>1105.81</v>
      </c>
      <c r="AH2514" s="2">
        <v>943.28819999999996</v>
      </c>
      <c r="AI2514" s="3">
        <v>0.46034309141455498</v>
      </c>
    </row>
    <row r="2515" spans="1:35">
      <c r="A2515" s="1">
        <v>42227</v>
      </c>
      <c r="B2515" s="1">
        <v>37435</v>
      </c>
      <c r="C2515" t="s">
        <v>5091</v>
      </c>
      <c r="D2515">
        <v>360</v>
      </c>
      <c r="E2515">
        <v>28547</v>
      </c>
      <c r="F2515">
        <v>7</v>
      </c>
      <c r="G2515">
        <v>1</v>
      </c>
      <c r="H2515">
        <v>1</v>
      </c>
      <c r="I2515">
        <v>1</v>
      </c>
      <c r="J2515" t="s">
        <v>3543</v>
      </c>
      <c r="K2515" t="s">
        <v>3544</v>
      </c>
      <c r="L2515" s="2">
        <v>1105.81</v>
      </c>
      <c r="M2515" s="2">
        <v>2049.0981999999999</v>
      </c>
      <c r="N2515" t="s">
        <v>26</v>
      </c>
      <c r="O2515" t="s">
        <v>225</v>
      </c>
      <c r="P2515" t="s">
        <v>271</v>
      </c>
      <c r="Q2515" t="s">
        <v>8843</v>
      </c>
      <c r="R2515" s="1">
        <v>29414</v>
      </c>
      <c r="S2515" t="s">
        <v>22</v>
      </c>
      <c r="T2515" t="s">
        <v>29</v>
      </c>
      <c r="U2515" t="s">
        <v>3354</v>
      </c>
      <c r="V2515">
        <v>20000</v>
      </c>
      <c r="W2515">
        <v>0</v>
      </c>
      <c r="X2515" t="s">
        <v>77</v>
      </c>
      <c r="Y2515" t="s">
        <v>444</v>
      </c>
      <c r="Z2515" t="s">
        <v>23</v>
      </c>
      <c r="AA2515" t="s">
        <v>3583</v>
      </c>
      <c r="AB2515" t="s">
        <v>3583</v>
      </c>
      <c r="AC2515" t="s">
        <v>3584</v>
      </c>
      <c r="AD2515" t="s">
        <v>3478</v>
      </c>
      <c r="AE2515" t="s">
        <v>3475</v>
      </c>
      <c r="AF2515" s="2">
        <v>2049.0981999999999</v>
      </c>
      <c r="AG2515" s="2">
        <v>1105.81</v>
      </c>
      <c r="AH2515" s="2">
        <v>943.28819999999996</v>
      </c>
      <c r="AI2515" s="3">
        <v>0.46034309141455498</v>
      </c>
    </row>
    <row r="2516" spans="1:35">
      <c r="A2516" s="1">
        <v>42260</v>
      </c>
      <c r="B2516" s="1">
        <v>37468</v>
      </c>
      <c r="C2516" t="s">
        <v>5371</v>
      </c>
      <c r="D2516">
        <v>354</v>
      </c>
      <c r="E2516">
        <v>28553</v>
      </c>
      <c r="F2516">
        <v>7</v>
      </c>
      <c r="G2516">
        <v>1</v>
      </c>
      <c r="H2516">
        <v>1</v>
      </c>
      <c r="I2516">
        <v>1</v>
      </c>
      <c r="J2516" t="s">
        <v>3537</v>
      </c>
      <c r="K2516" t="s">
        <v>3538</v>
      </c>
      <c r="L2516" s="2">
        <v>1117.8559</v>
      </c>
      <c r="M2516" s="2">
        <v>2071.4196000000002</v>
      </c>
      <c r="N2516" t="s">
        <v>30</v>
      </c>
      <c r="O2516" t="s">
        <v>1578</v>
      </c>
      <c r="P2516" t="s">
        <v>157</v>
      </c>
      <c r="Q2516" t="s">
        <v>8844</v>
      </c>
      <c r="R2516" s="1">
        <v>26686</v>
      </c>
      <c r="S2516" t="s">
        <v>16</v>
      </c>
      <c r="T2516" t="s">
        <v>29</v>
      </c>
      <c r="U2516" t="s">
        <v>3355</v>
      </c>
      <c r="V2516">
        <v>40000</v>
      </c>
      <c r="W2516">
        <v>1</v>
      </c>
      <c r="X2516" t="s">
        <v>17</v>
      </c>
      <c r="Y2516" t="s">
        <v>53</v>
      </c>
      <c r="Z2516" t="s">
        <v>19</v>
      </c>
      <c r="AA2516" t="s">
        <v>3583</v>
      </c>
      <c r="AB2516" t="s">
        <v>3583</v>
      </c>
      <c r="AC2516" t="s">
        <v>3584</v>
      </c>
      <c r="AD2516" t="s">
        <v>3478</v>
      </c>
      <c r="AE2516" t="s">
        <v>3475</v>
      </c>
      <c r="AF2516" s="2">
        <v>2071.4196000000002</v>
      </c>
      <c r="AG2516" s="2">
        <v>1117.8559</v>
      </c>
      <c r="AH2516" s="2">
        <v>953.56370000000004</v>
      </c>
      <c r="AI2516" s="3">
        <v>0.460343090313522</v>
      </c>
    </row>
    <row r="2517" spans="1:35">
      <c r="A2517" s="1">
        <v>42258</v>
      </c>
      <c r="B2517" s="1">
        <v>37420</v>
      </c>
      <c r="C2517" t="s">
        <v>5347</v>
      </c>
      <c r="D2517">
        <v>360</v>
      </c>
      <c r="E2517">
        <v>28559</v>
      </c>
      <c r="F2517">
        <v>7</v>
      </c>
      <c r="G2517">
        <v>1</v>
      </c>
      <c r="H2517">
        <v>1</v>
      </c>
      <c r="I2517">
        <v>1</v>
      </c>
      <c r="J2517" t="s">
        <v>3543</v>
      </c>
      <c r="K2517" t="s">
        <v>3544</v>
      </c>
      <c r="L2517" s="2">
        <v>1105.81</v>
      </c>
      <c r="M2517" s="2">
        <v>2049.0981999999999</v>
      </c>
      <c r="N2517" t="s">
        <v>13</v>
      </c>
      <c r="O2517" t="s">
        <v>562</v>
      </c>
      <c r="P2517" t="s">
        <v>217</v>
      </c>
      <c r="Q2517" t="s">
        <v>8845</v>
      </c>
      <c r="R2517" s="1">
        <v>26507</v>
      </c>
      <c r="S2517" t="s">
        <v>16</v>
      </c>
      <c r="T2517" t="s">
        <v>16</v>
      </c>
      <c r="U2517" t="s">
        <v>3356</v>
      </c>
      <c r="V2517">
        <v>30000</v>
      </c>
      <c r="W2517">
        <v>0</v>
      </c>
      <c r="X2517" t="s">
        <v>57</v>
      </c>
      <c r="Y2517" t="s">
        <v>444</v>
      </c>
      <c r="Z2517" t="s">
        <v>23</v>
      </c>
      <c r="AA2517" t="s">
        <v>3583</v>
      </c>
      <c r="AB2517" t="s">
        <v>3583</v>
      </c>
      <c r="AC2517" t="s">
        <v>3584</v>
      </c>
      <c r="AD2517" t="s">
        <v>3478</v>
      </c>
      <c r="AE2517" t="s">
        <v>3475</v>
      </c>
      <c r="AF2517" s="2">
        <v>2049.0981999999999</v>
      </c>
      <c r="AG2517" s="2">
        <v>1105.81</v>
      </c>
      <c r="AH2517" s="2">
        <v>943.28819999999996</v>
      </c>
      <c r="AI2517" s="3">
        <v>0.46034309141455498</v>
      </c>
    </row>
    <row r="2518" spans="1:35">
      <c r="A2518" s="1">
        <v>42251</v>
      </c>
      <c r="B2518" s="1">
        <v>37429</v>
      </c>
      <c r="C2518" t="s">
        <v>5310</v>
      </c>
      <c r="D2518">
        <v>352</v>
      </c>
      <c r="E2518">
        <v>28560</v>
      </c>
      <c r="F2518">
        <v>7</v>
      </c>
      <c r="G2518">
        <v>1</v>
      </c>
      <c r="H2518">
        <v>1</v>
      </c>
      <c r="I2518">
        <v>1</v>
      </c>
      <c r="J2518" t="s">
        <v>3535</v>
      </c>
      <c r="K2518" t="s">
        <v>3536</v>
      </c>
      <c r="L2518" s="2">
        <v>1117.8559</v>
      </c>
      <c r="M2518" s="2">
        <v>2071.4196000000002</v>
      </c>
      <c r="N2518" t="s">
        <v>26</v>
      </c>
      <c r="O2518" t="s">
        <v>3357</v>
      </c>
      <c r="P2518" t="s">
        <v>672</v>
      </c>
      <c r="Q2518" t="s">
        <v>8846</v>
      </c>
      <c r="R2518" s="1">
        <v>26395</v>
      </c>
      <c r="S2518" t="s">
        <v>22</v>
      </c>
      <c r="T2518" t="s">
        <v>29</v>
      </c>
      <c r="U2518" t="s">
        <v>3358</v>
      </c>
      <c r="V2518">
        <v>30000</v>
      </c>
      <c r="W2518">
        <v>0</v>
      </c>
      <c r="X2518" t="s">
        <v>57</v>
      </c>
      <c r="Y2518" t="s">
        <v>444</v>
      </c>
      <c r="Z2518" t="s">
        <v>19</v>
      </c>
      <c r="AA2518" t="s">
        <v>3583</v>
      </c>
      <c r="AB2518" t="s">
        <v>3583</v>
      </c>
      <c r="AC2518" t="s">
        <v>3584</v>
      </c>
      <c r="AD2518" t="s">
        <v>3478</v>
      </c>
      <c r="AE2518" t="s">
        <v>3475</v>
      </c>
      <c r="AF2518" s="2">
        <v>2071.4196000000002</v>
      </c>
      <c r="AG2518" s="2">
        <v>1117.8559</v>
      </c>
      <c r="AH2518" s="2">
        <v>953.56370000000004</v>
      </c>
      <c r="AI2518" s="3">
        <v>0.460343090313522</v>
      </c>
    </row>
    <row r="2519" spans="1:35">
      <c r="A2519" s="1">
        <v>42265</v>
      </c>
      <c r="B2519" s="1">
        <v>37419</v>
      </c>
      <c r="C2519" t="s">
        <v>5402</v>
      </c>
      <c r="D2519">
        <v>352</v>
      </c>
      <c r="E2519">
        <v>28562</v>
      </c>
      <c r="F2519">
        <v>7</v>
      </c>
      <c r="G2519">
        <v>1</v>
      </c>
      <c r="H2519">
        <v>1</v>
      </c>
      <c r="I2519">
        <v>1</v>
      </c>
      <c r="J2519" t="s">
        <v>3535</v>
      </c>
      <c r="K2519" t="s">
        <v>3536</v>
      </c>
      <c r="L2519" s="2">
        <v>1117.8559</v>
      </c>
      <c r="M2519" s="2">
        <v>2071.4196000000002</v>
      </c>
      <c r="N2519" t="s">
        <v>13</v>
      </c>
      <c r="O2519" t="s">
        <v>1182</v>
      </c>
      <c r="P2519" t="s">
        <v>290</v>
      </c>
      <c r="Q2519" t="s">
        <v>8847</v>
      </c>
      <c r="R2519" s="1">
        <v>26490</v>
      </c>
      <c r="S2519" t="s">
        <v>16</v>
      </c>
      <c r="T2519" t="s">
        <v>16</v>
      </c>
      <c r="U2519" t="s">
        <v>3359</v>
      </c>
      <c r="V2519">
        <v>40000</v>
      </c>
      <c r="W2519">
        <v>1</v>
      </c>
      <c r="X2519" t="s">
        <v>17</v>
      </c>
      <c r="Y2519" t="s">
        <v>53</v>
      </c>
      <c r="Z2519" t="s">
        <v>19</v>
      </c>
      <c r="AA2519" t="s">
        <v>3583</v>
      </c>
      <c r="AB2519" t="s">
        <v>3583</v>
      </c>
      <c r="AC2519" t="s">
        <v>3584</v>
      </c>
      <c r="AD2519" t="s">
        <v>3478</v>
      </c>
      <c r="AE2519" t="s">
        <v>3475</v>
      </c>
      <c r="AF2519" s="2">
        <v>2071.4196000000002</v>
      </c>
      <c r="AG2519" s="2">
        <v>1117.8559</v>
      </c>
      <c r="AH2519" s="2">
        <v>953.56370000000004</v>
      </c>
      <c r="AI2519" s="3">
        <v>0.460343090313522</v>
      </c>
    </row>
    <row r="2520" spans="1:35">
      <c r="A2520" s="1">
        <v>42255</v>
      </c>
      <c r="B2520" s="1">
        <v>37482</v>
      </c>
      <c r="C2520" t="s">
        <v>5321</v>
      </c>
      <c r="D2520">
        <v>358</v>
      </c>
      <c r="E2520">
        <v>28569</v>
      </c>
      <c r="F2520">
        <v>7</v>
      </c>
      <c r="G2520">
        <v>1</v>
      </c>
      <c r="H2520">
        <v>1</v>
      </c>
      <c r="I2520">
        <v>1</v>
      </c>
      <c r="J2520" t="s">
        <v>3541</v>
      </c>
      <c r="K2520" t="s">
        <v>3542</v>
      </c>
      <c r="L2520" s="2">
        <v>1105.81</v>
      </c>
      <c r="M2520" s="2">
        <v>2049.0981999999999</v>
      </c>
      <c r="N2520" t="s">
        <v>13</v>
      </c>
      <c r="O2520" t="s">
        <v>514</v>
      </c>
      <c r="P2520" t="s">
        <v>476</v>
      </c>
      <c r="Q2520" t="s">
        <v>8848</v>
      </c>
      <c r="R2520" s="1">
        <v>26201</v>
      </c>
      <c r="S2520" t="s">
        <v>16</v>
      </c>
      <c r="T2520" t="s">
        <v>16</v>
      </c>
      <c r="U2520" t="s">
        <v>3360</v>
      </c>
      <c r="V2520">
        <v>40000</v>
      </c>
      <c r="W2520">
        <v>2</v>
      </c>
      <c r="X2520" t="s">
        <v>52</v>
      </c>
      <c r="Y2520" t="s">
        <v>60</v>
      </c>
      <c r="Z2520" t="s">
        <v>19</v>
      </c>
      <c r="AA2520" t="s">
        <v>3583</v>
      </c>
      <c r="AB2520" t="s">
        <v>3583</v>
      </c>
      <c r="AC2520" t="s">
        <v>3584</v>
      </c>
      <c r="AD2520" t="s">
        <v>3478</v>
      </c>
      <c r="AE2520" t="s">
        <v>3475</v>
      </c>
      <c r="AF2520" s="2">
        <v>2049.0981999999999</v>
      </c>
      <c r="AG2520" s="2">
        <v>1105.81</v>
      </c>
      <c r="AH2520" s="2">
        <v>943.28819999999996</v>
      </c>
      <c r="AI2520" s="3">
        <v>0.46034309141455498</v>
      </c>
    </row>
    <row r="2521" spans="1:35">
      <c r="A2521" s="1">
        <v>42061</v>
      </c>
      <c r="B2521" s="1">
        <v>37232</v>
      </c>
      <c r="C2521" t="s">
        <v>3931</v>
      </c>
      <c r="D2521">
        <v>312</v>
      </c>
      <c r="E2521">
        <v>28574</v>
      </c>
      <c r="F2521">
        <v>6</v>
      </c>
      <c r="G2521">
        <v>1</v>
      </c>
      <c r="H2521">
        <v>1</v>
      </c>
      <c r="I2521">
        <v>2</v>
      </c>
      <c r="J2521" t="s">
        <v>3489</v>
      </c>
      <c r="K2521" t="s">
        <v>3490</v>
      </c>
      <c r="L2521" s="2">
        <v>2171.2941999999998</v>
      </c>
      <c r="M2521" s="2">
        <v>3578.27</v>
      </c>
      <c r="N2521" t="s">
        <v>26</v>
      </c>
      <c r="O2521" t="s">
        <v>916</v>
      </c>
      <c r="P2521" t="s">
        <v>113</v>
      </c>
      <c r="Q2521" t="s">
        <v>8849</v>
      </c>
      <c r="R2521" s="1">
        <v>27168</v>
      </c>
      <c r="S2521" t="s">
        <v>22</v>
      </c>
      <c r="T2521" t="s">
        <v>29</v>
      </c>
      <c r="U2521" t="s">
        <v>3361</v>
      </c>
      <c r="V2521">
        <v>50000</v>
      </c>
      <c r="W2521">
        <v>0</v>
      </c>
      <c r="X2521" t="s">
        <v>135</v>
      </c>
      <c r="Y2521" t="s">
        <v>53</v>
      </c>
      <c r="Z2521" t="s">
        <v>19</v>
      </c>
      <c r="AA2521" t="s">
        <v>3582</v>
      </c>
      <c r="AB2521" t="s">
        <v>3582</v>
      </c>
      <c r="AC2521" t="s">
        <v>3579</v>
      </c>
      <c r="AD2521" t="s">
        <v>3479</v>
      </c>
      <c r="AE2521" t="s">
        <v>3475</v>
      </c>
      <c r="AF2521" s="2">
        <v>3578.27</v>
      </c>
      <c r="AG2521" s="2">
        <v>2171.2941999999998</v>
      </c>
      <c r="AH2521" s="2">
        <v>1406.9757999999999</v>
      </c>
      <c r="AI2521" s="3">
        <v>0.39320001006072802</v>
      </c>
    </row>
    <row r="2522" spans="1:35">
      <c r="A2522" s="1">
        <v>42046</v>
      </c>
      <c r="B2522" s="1">
        <v>37237</v>
      </c>
      <c r="C2522" t="s">
        <v>3842</v>
      </c>
      <c r="D2522">
        <v>310</v>
      </c>
      <c r="E2522">
        <v>28620</v>
      </c>
      <c r="F2522">
        <v>6</v>
      </c>
      <c r="G2522">
        <v>1</v>
      </c>
      <c r="H2522">
        <v>1</v>
      </c>
      <c r="I2522">
        <v>2</v>
      </c>
      <c r="J2522" t="s">
        <v>3485</v>
      </c>
      <c r="K2522" t="s">
        <v>3486</v>
      </c>
      <c r="L2522" s="2">
        <v>2171.2941999999998</v>
      </c>
      <c r="M2522" s="2">
        <v>3578.27</v>
      </c>
      <c r="N2522" t="s">
        <v>13</v>
      </c>
      <c r="O2522" t="s">
        <v>1139</v>
      </c>
      <c r="P2522" t="s">
        <v>245</v>
      </c>
      <c r="Q2522" t="s">
        <v>8850</v>
      </c>
      <c r="R2522" s="1">
        <v>21431</v>
      </c>
      <c r="S2522" t="s">
        <v>16</v>
      </c>
      <c r="T2522" t="s">
        <v>16</v>
      </c>
      <c r="U2522" t="s">
        <v>3362</v>
      </c>
      <c r="V2522">
        <v>30000</v>
      </c>
      <c r="W2522">
        <v>2</v>
      </c>
      <c r="X2522" t="s">
        <v>57</v>
      </c>
      <c r="Y2522" t="s">
        <v>53</v>
      </c>
      <c r="Z2522" t="s">
        <v>19</v>
      </c>
      <c r="AA2522" t="s">
        <v>3582</v>
      </c>
      <c r="AB2522" t="s">
        <v>3582</v>
      </c>
      <c r="AC2522" t="s">
        <v>3579</v>
      </c>
      <c r="AD2522" t="s">
        <v>3479</v>
      </c>
      <c r="AE2522" t="s">
        <v>3475</v>
      </c>
      <c r="AF2522" s="2">
        <v>3578.27</v>
      </c>
      <c r="AG2522" s="2">
        <v>2171.2941999999998</v>
      </c>
      <c r="AH2522" s="2">
        <v>1406.9757999999999</v>
      </c>
      <c r="AI2522" s="3">
        <v>0.39320001006072802</v>
      </c>
    </row>
    <row r="2523" spans="1:35">
      <c r="A2523" s="1">
        <v>42052</v>
      </c>
      <c r="B2523" s="1">
        <v>37284</v>
      </c>
      <c r="C2523" t="s">
        <v>3878</v>
      </c>
      <c r="D2523">
        <v>312</v>
      </c>
      <c r="E2523">
        <v>28624</v>
      </c>
      <c r="F2523">
        <v>6</v>
      </c>
      <c r="G2523">
        <v>1</v>
      </c>
      <c r="H2523">
        <v>1</v>
      </c>
      <c r="I2523">
        <v>2</v>
      </c>
      <c r="J2523" t="s">
        <v>3489</v>
      </c>
      <c r="K2523" t="s">
        <v>3490</v>
      </c>
      <c r="L2523" s="2">
        <v>2171.2941999999998</v>
      </c>
      <c r="M2523" s="2">
        <v>3578.27</v>
      </c>
      <c r="N2523" t="s">
        <v>13</v>
      </c>
      <c r="O2523" t="s">
        <v>236</v>
      </c>
      <c r="P2523" t="s">
        <v>47</v>
      </c>
      <c r="Q2523" t="s">
        <v>8851</v>
      </c>
      <c r="R2523" s="1">
        <v>21391</v>
      </c>
      <c r="S2523" t="s">
        <v>22</v>
      </c>
      <c r="T2523" t="s">
        <v>16</v>
      </c>
      <c r="U2523" t="s">
        <v>3363</v>
      </c>
      <c r="V2523">
        <v>40000</v>
      </c>
      <c r="W2523">
        <v>2</v>
      </c>
      <c r="X2523" t="s">
        <v>52</v>
      </c>
      <c r="Y2523" t="s">
        <v>60</v>
      </c>
      <c r="Z2523" t="s">
        <v>19</v>
      </c>
      <c r="AA2523" t="s">
        <v>3582</v>
      </c>
      <c r="AB2523" t="s">
        <v>3582</v>
      </c>
      <c r="AC2523" t="s">
        <v>3579</v>
      </c>
      <c r="AD2523" t="s">
        <v>3479</v>
      </c>
      <c r="AE2523" t="s">
        <v>3475</v>
      </c>
      <c r="AF2523" s="2">
        <v>3578.27</v>
      </c>
      <c r="AG2523" s="2">
        <v>2171.2941999999998</v>
      </c>
      <c r="AH2523" s="2">
        <v>1406.9757999999999</v>
      </c>
      <c r="AI2523" s="3">
        <v>0.39320001006072802</v>
      </c>
    </row>
    <row r="2524" spans="1:35">
      <c r="A2524" s="1">
        <v>42061</v>
      </c>
      <c r="B2524" s="1">
        <v>37266</v>
      </c>
      <c r="C2524" t="s">
        <v>3924</v>
      </c>
      <c r="D2524">
        <v>314</v>
      </c>
      <c r="E2524">
        <v>28626</v>
      </c>
      <c r="F2524">
        <v>6</v>
      </c>
      <c r="G2524">
        <v>1</v>
      </c>
      <c r="H2524">
        <v>1</v>
      </c>
      <c r="I2524">
        <v>2</v>
      </c>
      <c r="J2524" t="s">
        <v>3493</v>
      </c>
      <c r="K2524" t="s">
        <v>3494</v>
      </c>
      <c r="L2524" s="2">
        <v>2171.2941999999998</v>
      </c>
      <c r="M2524" s="2">
        <v>3578.27</v>
      </c>
      <c r="N2524" t="s">
        <v>30</v>
      </c>
      <c r="O2524" t="s">
        <v>428</v>
      </c>
      <c r="P2524" t="s">
        <v>101</v>
      </c>
      <c r="Q2524" t="s">
        <v>8852</v>
      </c>
      <c r="R2524" s="1">
        <v>21605</v>
      </c>
      <c r="S2524" t="s">
        <v>22</v>
      </c>
      <c r="T2524" t="s">
        <v>29</v>
      </c>
      <c r="U2524" t="s">
        <v>3364</v>
      </c>
      <c r="V2524">
        <v>40000</v>
      </c>
      <c r="W2524">
        <v>2</v>
      </c>
      <c r="X2524" t="s">
        <v>52</v>
      </c>
      <c r="Y2524" t="s">
        <v>60</v>
      </c>
      <c r="Z2524" t="s">
        <v>23</v>
      </c>
      <c r="AA2524" t="s">
        <v>3582</v>
      </c>
      <c r="AB2524" t="s">
        <v>3582</v>
      </c>
      <c r="AC2524" t="s">
        <v>3579</v>
      </c>
      <c r="AD2524" t="s">
        <v>3479</v>
      </c>
      <c r="AE2524" t="s">
        <v>3475</v>
      </c>
      <c r="AF2524" s="2">
        <v>3578.27</v>
      </c>
      <c r="AG2524" s="2">
        <v>2171.2941999999998</v>
      </c>
      <c r="AH2524" s="2">
        <v>1406.9757999999999</v>
      </c>
      <c r="AI2524" s="3">
        <v>0.39320001006072802</v>
      </c>
    </row>
    <row r="2525" spans="1:35">
      <c r="A2525" s="1">
        <v>42037</v>
      </c>
      <c r="B2525" s="1">
        <v>37192</v>
      </c>
      <c r="C2525" t="s">
        <v>3786</v>
      </c>
      <c r="D2525">
        <v>310</v>
      </c>
      <c r="E2525">
        <v>28630</v>
      </c>
      <c r="F2525">
        <v>6</v>
      </c>
      <c r="G2525">
        <v>1</v>
      </c>
      <c r="H2525">
        <v>1</v>
      </c>
      <c r="I2525">
        <v>2</v>
      </c>
      <c r="J2525" t="s">
        <v>3485</v>
      </c>
      <c r="K2525" t="s">
        <v>3486</v>
      </c>
      <c r="L2525" s="2">
        <v>2171.2941999999998</v>
      </c>
      <c r="M2525" s="2">
        <v>3578.27</v>
      </c>
      <c r="N2525" t="s">
        <v>13</v>
      </c>
      <c r="O2525" t="s">
        <v>985</v>
      </c>
      <c r="P2525" t="s">
        <v>1734</v>
      </c>
      <c r="Q2525" t="s">
        <v>8853</v>
      </c>
      <c r="R2525" s="1">
        <v>21867</v>
      </c>
      <c r="S2525" t="s">
        <v>22</v>
      </c>
      <c r="T2525" t="s">
        <v>16</v>
      </c>
      <c r="U2525" t="s">
        <v>3365</v>
      </c>
      <c r="V2525">
        <v>40000</v>
      </c>
      <c r="W2525">
        <v>2</v>
      </c>
      <c r="X2525" t="s">
        <v>52</v>
      </c>
      <c r="Y2525" t="s">
        <v>60</v>
      </c>
      <c r="Z2525" t="s">
        <v>19</v>
      </c>
      <c r="AA2525" t="s">
        <v>3582</v>
      </c>
      <c r="AB2525" t="s">
        <v>3582</v>
      </c>
      <c r="AC2525" t="s">
        <v>3579</v>
      </c>
      <c r="AD2525" t="s">
        <v>3479</v>
      </c>
      <c r="AE2525" t="s">
        <v>3475</v>
      </c>
      <c r="AF2525" s="2">
        <v>3578.27</v>
      </c>
      <c r="AG2525" s="2">
        <v>2171.2941999999998</v>
      </c>
      <c r="AH2525" s="2">
        <v>1406.9757999999999</v>
      </c>
      <c r="AI2525" s="3">
        <v>0.39320001006072802</v>
      </c>
    </row>
    <row r="2526" spans="1:35">
      <c r="A2526" s="1">
        <v>42055</v>
      </c>
      <c r="B2526" s="1">
        <v>37205</v>
      </c>
      <c r="C2526" t="s">
        <v>3889</v>
      </c>
      <c r="D2526">
        <v>311</v>
      </c>
      <c r="E2526">
        <v>28646</v>
      </c>
      <c r="F2526">
        <v>6</v>
      </c>
      <c r="G2526">
        <v>1</v>
      </c>
      <c r="H2526">
        <v>1</v>
      </c>
      <c r="I2526">
        <v>2</v>
      </c>
      <c r="J2526" t="s">
        <v>3487</v>
      </c>
      <c r="K2526" t="s">
        <v>3488</v>
      </c>
      <c r="L2526" s="2">
        <v>2171.2941999999998</v>
      </c>
      <c r="M2526" s="2">
        <v>3578.27</v>
      </c>
      <c r="N2526" t="s">
        <v>30</v>
      </c>
      <c r="O2526" t="s">
        <v>357</v>
      </c>
      <c r="P2526" t="s">
        <v>674</v>
      </c>
      <c r="Q2526" t="s">
        <v>8854</v>
      </c>
      <c r="R2526" s="1">
        <v>26451</v>
      </c>
      <c r="S2526" t="s">
        <v>16</v>
      </c>
      <c r="T2526" t="s">
        <v>29</v>
      </c>
      <c r="U2526" t="s">
        <v>3366</v>
      </c>
      <c r="V2526">
        <v>50000</v>
      </c>
      <c r="W2526">
        <v>1</v>
      </c>
      <c r="X2526" t="s">
        <v>135</v>
      </c>
      <c r="Y2526" t="s">
        <v>53</v>
      </c>
      <c r="Z2526" t="s">
        <v>19</v>
      </c>
      <c r="AA2526" t="s">
        <v>3582</v>
      </c>
      <c r="AB2526" t="s">
        <v>3582</v>
      </c>
      <c r="AC2526" t="s">
        <v>3579</v>
      </c>
      <c r="AD2526" t="s">
        <v>3479</v>
      </c>
      <c r="AE2526" t="s">
        <v>3475</v>
      </c>
      <c r="AF2526" s="2">
        <v>3578.27</v>
      </c>
      <c r="AG2526" s="2">
        <v>2171.2941999999998</v>
      </c>
      <c r="AH2526" s="2">
        <v>1406.9757999999999</v>
      </c>
      <c r="AI2526" s="3">
        <v>0.39320001006072802</v>
      </c>
    </row>
    <row r="2527" spans="1:35">
      <c r="A2527" s="1">
        <v>42055</v>
      </c>
      <c r="B2527" s="1">
        <v>37265</v>
      </c>
      <c r="C2527" t="s">
        <v>3892</v>
      </c>
      <c r="D2527">
        <v>310</v>
      </c>
      <c r="E2527">
        <v>28647</v>
      </c>
      <c r="F2527">
        <v>6</v>
      </c>
      <c r="G2527">
        <v>1</v>
      </c>
      <c r="H2527">
        <v>1</v>
      </c>
      <c r="I2527">
        <v>2</v>
      </c>
      <c r="J2527" t="s">
        <v>3485</v>
      </c>
      <c r="K2527" t="s">
        <v>3486</v>
      </c>
      <c r="L2527" s="2">
        <v>2171.2941999999998</v>
      </c>
      <c r="M2527" s="2">
        <v>3578.27</v>
      </c>
      <c r="N2527" t="s">
        <v>30</v>
      </c>
      <c r="O2527" t="s">
        <v>278</v>
      </c>
      <c r="P2527" t="s">
        <v>321</v>
      </c>
      <c r="Q2527" t="s">
        <v>8855</v>
      </c>
      <c r="R2527" s="1">
        <v>26551</v>
      </c>
      <c r="S2527" t="s">
        <v>16</v>
      </c>
      <c r="T2527" t="s">
        <v>29</v>
      </c>
      <c r="U2527" t="s">
        <v>3367</v>
      </c>
      <c r="V2527">
        <v>50000</v>
      </c>
      <c r="W2527">
        <v>1</v>
      </c>
      <c r="X2527" t="s">
        <v>135</v>
      </c>
      <c r="Y2527" t="s">
        <v>53</v>
      </c>
      <c r="Z2527" t="s">
        <v>19</v>
      </c>
      <c r="AA2527" t="s">
        <v>3582</v>
      </c>
      <c r="AB2527" t="s">
        <v>3582</v>
      </c>
      <c r="AC2527" t="s">
        <v>3579</v>
      </c>
      <c r="AD2527" t="s">
        <v>3479</v>
      </c>
      <c r="AE2527" t="s">
        <v>3475</v>
      </c>
      <c r="AF2527" s="2">
        <v>3578.27</v>
      </c>
      <c r="AG2527" s="2">
        <v>2171.2941999999998</v>
      </c>
      <c r="AH2527" s="2">
        <v>1406.9757999999999</v>
      </c>
      <c r="AI2527" s="3">
        <v>0.39320001006072802</v>
      </c>
    </row>
    <row r="2528" spans="1:35">
      <c r="A2528" s="1">
        <v>42075</v>
      </c>
      <c r="B2528" s="1">
        <v>37212</v>
      </c>
      <c r="C2528" t="s">
        <v>4013</v>
      </c>
      <c r="D2528">
        <v>312</v>
      </c>
      <c r="E2528">
        <v>28652</v>
      </c>
      <c r="F2528">
        <v>6</v>
      </c>
      <c r="G2528">
        <v>1</v>
      </c>
      <c r="H2528">
        <v>1</v>
      </c>
      <c r="I2528">
        <v>2</v>
      </c>
      <c r="J2528" t="s">
        <v>3489</v>
      </c>
      <c r="K2528" t="s">
        <v>3490</v>
      </c>
      <c r="L2528" s="2">
        <v>2171.2941999999998</v>
      </c>
      <c r="M2528" s="2">
        <v>3578.27</v>
      </c>
      <c r="N2528" t="s">
        <v>30</v>
      </c>
      <c r="O2528" t="s">
        <v>677</v>
      </c>
      <c r="P2528" t="s">
        <v>105</v>
      </c>
      <c r="Q2528" t="s">
        <v>8856</v>
      </c>
      <c r="R2528" s="1">
        <v>25742</v>
      </c>
      <c r="S2528" t="s">
        <v>16</v>
      </c>
      <c r="T2528" t="s">
        <v>29</v>
      </c>
      <c r="U2528" t="s">
        <v>3368</v>
      </c>
      <c r="V2528">
        <v>40000</v>
      </c>
      <c r="W2528">
        <v>1</v>
      </c>
      <c r="X2528" t="s">
        <v>17</v>
      </c>
      <c r="Y2528" t="s">
        <v>53</v>
      </c>
      <c r="Z2528" t="s">
        <v>19</v>
      </c>
      <c r="AA2528" t="s">
        <v>3582</v>
      </c>
      <c r="AB2528" t="s">
        <v>3582</v>
      </c>
      <c r="AC2528" t="s">
        <v>3579</v>
      </c>
      <c r="AD2528" t="s">
        <v>3479</v>
      </c>
      <c r="AE2528" t="s">
        <v>3475</v>
      </c>
      <c r="AF2528" s="2">
        <v>3578.27</v>
      </c>
      <c r="AG2528" s="2">
        <v>2171.2941999999998</v>
      </c>
      <c r="AH2528" s="2">
        <v>1406.9757999999999</v>
      </c>
      <c r="AI2528" s="3">
        <v>0.39320001006072802</v>
      </c>
    </row>
    <row r="2529" spans="1:35">
      <c r="A2529" s="1">
        <v>42064</v>
      </c>
      <c r="B2529" s="1">
        <v>37292</v>
      </c>
      <c r="C2529" t="s">
        <v>3946</v>
      </c>
      <c r="D2529">
        <v>312</v>
      </c>
      <c r="E2529">
        <v>28656</v>
      </c>
      <c r="F2529">
        <v>6</v>
      </c>
      <c r="G2529">
        <v>1</v>
      </c>
      <c r="H2529">
        <v>1</v>
      </c>
      <c r="I2529">
        <v>2</v>
      </c>
      <c r="J2529" t="s">
        <v>3489</v>
      </c>
      <c r="K2529" t="s">
        <v>3490</v>
      </c>
      <c r="L2529" s="2">
        <v>2171.2941999999998</v>
      </c>
      <c r="M2529" s="2">
        <v>3578.27</v>
      </c>
      <c r="N2529" t="s">
        <v>13</v>
      </c>
      <c r="O2529" t="s">
        <v>176</v>
      </c>
      <c r="P2529" t="s">
        <v>105</v>
      </c>
      <c r="Q2529" t="s">
        <v>8857</v>
      </c>
      <c r="R2529" s="1">
        <v>25345</v>
      </c>
      <c r="S2529" t="s">
        <v>16</v>
      </c>
      <c r="T2529" t="s">
        <v>16</v>
      </c>
      <c r="U2529" t="s">
        <v>3369</v>
      </c>
      <c r="V2529">
        <v>60000</v>
      </c>
      <c r="W2529">
        <v>2</v>
      </c>
      <c r="X2529" t="s">
        <v>17</v>
      </c>
      <c r="Y2529" t="s">
        <v>53</v>
      </c>
      <c r="Z2529" t="s">
        <v>23</v>
      </c>
      <c r="AA2529" t="s">
        <v>3582</v>
      </c>
      <c r="AB2529" t="s">
        <v>3582</v>
      </c>
      <c r="AC2529" t="s">
        <v>3579</v>
      </c>
      <c r="AD2529" t="s">
        <v>3479</v>
      </c>
      <c r="AE2529" t="s">
        <v>3475</v>
      </c>
      <c r="AF2529" s="2">
        <v>3578.27</v>
      </c>
      <c r="AG2529" s="2">
        <v>2171.2941999999998</v>
      </c>
      <c r="AH2529" s="2">
        <v>1406.9757999999999</v>
      </c>
      <c r="AI2529" s="3">
        <v>0.39320001006072802</v>
      </c>
    </row>
    <row r="2530" spans="1:35">
      <c r="A2530" s="1">
        <v>42212</v>
      </c>
      <c r="B2530" s="1">
        <v>37375</v>
      </c>
      <c r="C2530" t="s">
        <v>4978</v>
      </c>
      <c r="D2530">
        <v>369</v>
      </c>
      <c r="E2530">
        <v>28659</v>
      </c>
      <c r="F2530">
        <v>6</v>
      </c>
      <c r="G2530">
        <v>1</v>
      </c>
      <c r="H2530">
        <v>1</v>
      </c>
      <c r="I2530">
        <v>2</v>
      </c>
      <c r="J2530" t="s">
        <v>3549</v>
      </c>
      <c r="K2530" t="s">
        <v>3550</v>
      </c>
      <c r="L2530" s="2">
        <v>1518.7864</v>
      </c>
      <c r="M2530" s="2">
        <v>2443.35</v>
      </c>
      <c r="N2530" t="s">
        <v>30</v>
      </c>
      <c r="O2530" t="s">
        <v>1315</v>
      </c>
      <c r="P2530" t="s">
        <v>111</v>
      </c>
      <c r="Q2530" t="s">
        <v>8858</v>
      </c>
      <c r="R2530" s="1">
        <v>25274</v>
      </c>
      <c r="S2530" t="s">
        <v>22</v>
      </c>
      <c r="T2530" t="s">
        <v>29</v>
      </c>
      <c r="U2530" t="s">
        <v>3370</v>
      </c>
      <c r="V2530">
        <v>60000</v>
      </c>
      <c r="W2530">
        <v>1</v>
      </c>
      <c r="X2530" t="s">
        <v>135</v>
      </c>
      <c r="Y2530" t="s">
        <v>18</v>
      </c>
      <c r="Z2530" t="s">
        <v>19</v>
      </c>
      <c r="AA2530" t="s">
        <v>3582</v>
      </c>
      <c r="AB2530" t="s">
        <v>3582</v>
      </c>
      <c r="AC2530" t="s">
        <v>3579</v>
      </c>
      <c r="AD2530" t="s">
        <v>3479</v>
      </c>
      <c r="AE2530" t="s">
        <v>3475</v>
      </c>
      <c r="AF2530" s="2">
        <v>2443.35</v>
      </c>
      <c r="AG2530" s="2">
        <v>1518.7864</v>
      </c>
      <c r="AH2530" s="2">
        <v>924.56359999999995</v>
      </c>
      <c r="AI2530" s="3">
        <v>0.37839998362903399</v>
      </c>
    </row>
    <row r="2531" spans="1:35">
      <c r="A2531" s="1">
        <v>42211</v>
      </c>
      <c r="B2531" s="1">
        <v>37445</v>
      </c>
      <c r="C2531" t="s">
        <v>4966</v>
      </c>
      <c r="D2531">
        <v>377</v>
      </c>
      <c r="E2531">
        <v>28669</v>
      </c>
      <c r="F2531">
        <v>6</v>
      </c>
      <c r="G2531">
        <v>1</v>
      </c>
      <c r="H2531">
        <v>1</v>
      </c>
      <c r="I2531">
        <v>2</v>
      </c>
      <c r="J2531" t="s">
        <v>3559</v>
      </c>
      <c r="K2531" t="s">
        <v>3560</v>
      </c>
      <c r="L2531" s="2">
        <v>1320.6838</v>
      </c>
      <c r="M2531" s="2">
        <v>2181.5625</v>
      </c>
      <c r="N2531" t="s">
        <v>13</v>
      </c>
      <c r="O2531" t="s">
        <v>63</v>
      </c>
      <c r="P2531" t="s">
        <v>107</v>
      </c>
      <c r="Q2531" t="s">
        <v>8859</v>
      </c>
      <c r="R2531" s="1">
        <v>25758</v>
      </c>
      <c r="S2531" t="s">
        <v>22</v>
      </c>
      <c r="T2531" t="s">
        <v>16</v>
      </c>
      <c r="U2531" t="s">
        <v>3371</v>
      </c>
      <c r="V2531">
        <v>60000</v>
      </c>
      <c r="W2531">
        <v>1</v>
      </c>
      <c r="X2531" t="s">
        <v>135</v>
      </c>
      <c r="Y2531" t="s">
        <v>18</v>
      </c>
      <c r="Z2531" t="s">
        <v>23</v>
      </c>
      <c r="AA2531" t="s">
        <v>3582</v>
      </c>
      <c r="AB2531" t="s">
        <v>3582</v>
      </c>
      <c r="AC2531" t="s">
        <v>3579</v>
      </c>
      <c r="AD2531" t="s">
        <v>3479</v>
      </c>
      <c r="AE2531" t="s">
        <v>3475</v>
      </c>
      <c r="AF2531" s="2">
        <v>2181.5625</v>
      </c>
      <c r="AG2531" s="2">
        <v>1320.6838</v>
      </c>
      <c r="AH2531" s="2">
        <v>860.87869999999998</v>
      </c>
      <c r="AI2531" s="3">
        <v>0.39461564818793898</v>
      </c>
    </row>
    <row r="2532" spans="1:35">
      <c r="A2532" s="1">
        <v>42261</v>
      </c>
      <c r="B2532" s="1">
        <v>37420</v>
      </c>
      <c r="C2532" t="s">
        <v>5379</v>
      </c>
      <c r="D2532">
        <v>360</v>
      </c>
      <c r="E2532">
        <v>28683</v>
      </c>
      <c r="F2532">
        <v>7</v>
      </c>
      <c r="G2532">
        <v>1</v>
      </c>
      <c r="H2532">
        <v>1</v>
      </c>
      <c r="I2532">
        <v>1</v>
      </c>
      <c r="J2532" t="s">
        <v>3543</v>
      </c>
      <c r="K2532" t="s">
        <v>3544</v>
      </c>
      <c r="L2532" s="2">
        <v>1105.81</v>
      </c>
      <c r="M2532" s="2">
        <v>2049.0981999999999</v>
      </c>
      <c r="N2532" t="s">
        <v>30</v>
      </c>
      <c r="O2532" t="s">
        <v>197</v>
      </c>
      <c r="P2532" t="s">
        <v>129</v>
      </c>
      <c r="Q2532" t="s">
        <v>8860</v>
      </c>
      <c r="R2532" s="1">
        <v>25850</v>
      </c>
      <c r="S2532" t="s">
        <v>22</v>
      </c>
      <c r="T2532" t="s">
        <v>29</v>
      </c>
      <c r="U2532" t="s">
        <v>3372</v>
      </c>
      <c r="V2532">
        <v>10000</v>
      </c>
      <c r="W2532">
        <v>1</v>
      </c>
      <c r="X2532" t="s">
        <v>57</v>
      </c>
      <c r="Y2532" t="s">
        <v>444</v>
      </c>
      <c r="Z2532" t="s">
        <v>23</v>
      </c>
      <c r="AA2532" t="s">
        <v>3583</v>
      </c>
      <c r="AB2532" t="s">
        <v>3583</v>
      </c>
      <c r="AC2532" t="s">
        <v>3584</v>
      </c>
      <c r="AD2532" t="s">
        <v>3478</v>
      </c>
      <c r="AE2532" t="s">
        <v>3475</v>
      </c>
      <c r="AF2532" s="2">
        <v>2049.0981999999999</v>
      </c>
      <c r="AG2532" s="2">
        <v>1105.81</v>
      </c>
      <c r="AH2532" s="2">
        <v>943.28819999999996</v>
      </c>
      <c r="AI2532" s="3">
        <v>0.46034309141455498</v>
      </c>
    </row>
    <row r="2533" spans="1:35">
      <c r="A2533" s="1">
        <v>42250</v>
      </c>
      <c r="B2533" s="1">
        <v>37479</v>
      </c>
      <c r="C2533" t="s">
        <v>5302</v>
      </c>
      <c r="D2533">
        <v>358</v>
      </c>
      <c r="E2533">
        <v>28685</v>
      </c>
      <c r="F2533">
        <v>7</v>
      </c>
      <c r="G2533">
        <v>1</v>
      </c>
      <c r="H2533">
        <v>1</v>
      </c>
      <c r="I2533">
        <v>1</v>
      </c>
      <c r="J2533" t="s">
        <v>3541</v>
      </c>
      <c r="K2533" t="s">
        <v>3542</v>
      </c>
      <c r="L2533" s="2">
        <v>1105.81</v>
      </c>
      <c r="M2533" s="2">
        <v>2049.0981999999999</v>
      </c>
      <c r="N2533" t="s">
        <v>13</v>
      </c>
      <c r="O2533" t="s">
        <v>340</v>
      </c>
      <c r="P2533" t="s">
        <v>28</v>
      </c>
      <c r="Q2533" t="s">
        <v>8861</v>
      </c>
      <c r="R2533" s="1">
        <v>25643</v>
      </c>
      <c r="S2533" t="s">
        <v>16</v>
      </c>
      <c r="T2533" t="s">
        <v>16</v>
      </c>
      <c r="U2533" t="s">
        <v>3373</v>
      </c>
      <c r="V2533">
        <v>10000</v>
      </c>
      <c r="W2533">
        <v>2</v>
      </c>
      <c r="X2533" t="s">
        <v>57</v>
      </c>
      <c r="Y2533" t="s">
        <v>444</v>
      </c>
      <c r="Z2533" t="s">
        <v>19</v>
      </c>
      <c r="AA2533" t="s">
        <v>3583</v>
      </c>
      <c r="AB2533" t="s">
        <v>3583</v>
      </c>
      <c r="AC2533" t="s">
        <v>3584</v>
      </c>
      <c r="AD2533" t="s">
        <v>3478</v>
      </c>
      <c r="AE2533" t="s">
        <v>3475</v>
      </c>
      <c r="AF2533" s="2">
        <v>2049.0981999999999</v>
      </c>
      <c r="AG2533" s="2">
        <v>1105.81</v>
      </c>
      <c r="AH2533" s="2">
        <v>943.28819999999996</v>
      </c>
      <c r="AI2533" s="3">
        <v>0.46034309141455498</v>
      </c>
    </row>
    <row r="2534" spans="1:35">
      <c r="A2534" s="1">
        <v>42298</v>
      </c>
      <c r="B2534" s="1">
        <v>37439</v>
      </c>
      <c r="C2534" t="s">
        <v>5632</v>
      </c>
      <c r="D2534">
        <v>360</v>
      </c>
      <c r="E2534">
        <v>28689</v>
      </c>
      <c r="F2534">
        <v>7</v>
      </c>
      <c r="G2534">
        <v>1</v>
      </c>
      <c r="H2534">
        <v>1</v>
      </c>
      <c r="I2534">
        <v>1</v>
      </c>
      <c r="J2534" t="s">
        <v>3543</v>
      </c>
      <c r="K2534" t="s">
        <v>3544</v>
      </c>
      <c r="L2534" s="2">
        <v>1105.81</v>
      </c>
      <c r="M2534" s="2">
        <v>2049.0981999999999</v>
      </c>
      <c r="N2534" t="s">
        <v>13</v>
      </c>
      <c r="O2534" t="s">
        <v>893</v>
      </c>
      <c r="P2534" t="s">
        <v>68</v>
      </c>
      <c r="Q2534" t="s">
        <v>8862</v>
      </c>
      <c r="R2534" s="1">
        <v>25350</v>
      </c>
      <c r="S2534" t="s">
        <v>22</v>
      </c>
      <c r="T2534" t="s">
        <v>16</v>
      </c>
      <c r="U2534" t="s">
        <v>3374</v>
      </c>
      <c r="V2534">
        <v>10000</v>
      </c>
      <c r="W2534">
        <v>2</v>
      </c>
      <c r="X2534" t="s">
        <v>57</v>
      </c>
      <c r="Y2534" t="s">
        <v>444</v>
      </c>
      <c r="Z2534" t="s">
        <v>19</v>
      </c>
      <c r="AA2534" t="s">
        <v>3583</v>
      </c>
      <c r="AB2534" t="s">
        <v>3583</v>
      </c>
      <c r="AC2534" t="s">
        <v>3584</v>
      </c>
      <c r="AD2534" t="s">
        <v>3478</v>
      </c>
      <c r="AE2534" t="s">
        <v>3475</v>
      </c>
      <c r="AF2534" s="2">
        <v>2049.0981999999999</v>
      </c>
      <c r="AG2534" s="2">
        <v>1105.81</v>
      </c>
      <c r="AH2534" s="2">
        <v>943.28819999999996</v>
      </c>
      <c r="AI2534" s="3">
        <v>0.46034309141455498</v>
      </c>
    </row>
    <row r="2535" spans="1:35">
      <c r="A2535" s="1">
        <v>42307</v>
      </c>
      <c r="B2535" s="1">
        <v>37443</v>
      </c>
      <c r="C2535" t="s">
        <v>5693</v>
      </c>
      <c r="D2535">
        <v>362</v>
      </c>
      <c r="E2535">
        <v>28690</v>
      </c>
      <c r="F2535">
        <v>7</v>
      </c>
      <c r="G2535">
        <v>1</v>
      </c>
      <c r="H2535">
        <v>1</v>
      </c>
      <c r="I2535">
        <v>1</v>
      </c>
      <c r="J2535" t="s">
        <v>3545</v>
      </c>
      <c r="K2535" t="s">
        <v>3546</v>
      </c>
      <c r="L2535" s="2">
        <v>1105.81</v>
      </c>
      <c r="M2535" s="2">
        <v>2049.0981999999999</v>
      </c>
      <c r="N2535" t="s">
        <v>13</v>
      </c>
      <c r="O2535" t="s">
        <v>1166</v>
      </c>
      <c r="P2535" t="s">
        <v>570</v>
      </c>
      <c r="Q2535" t="s">
        <v>8863</v>
      </c>
      <c r="R2535" s="1">
        <v>25667</v>
      </c>
      <c r="S2535" t="s">
        <v>22</v>
      </c>
      <c r="T2535" t="s">
        <v>16</v>
      </c>
      <c r="U2535" t="s">
        <v>3375</v>
      </c>
      <c r="V2535">
        <v>30000</v>
      </c>
      <c r="W2535">
        <v>0</v>
      </c>
      <c r="X2535" t="s">
        <v>17</v>
      </c>
      <c r="Y2535" t="s">
        <v>60</v>
      </c>
      <c r="Z2535" t="s">
        <v>19</v>
      </c>
      <c r="AA2535" t="s">
        <v>3583</v>
      </c>
      <c r="AB2535" t="s">
        <v>3583</v>
      </c>
      <c r="AC2535" t="s">
        <v>3584</v>
      </c>
      <c r="AD2535" t="s">
        <v>3478</v>
      </c>
      <c r="AE2535" t="s">
        <v>3475</v>
      </c>
      <c r="AF2535" s="2">
        <v>2049.0981999999999</v>
      </c>
      <c r="AG2535" s="2">
        <v>1105.81</v>
      </c>
      <c r="AH2535" s="2">
        <v>943.28819999999996</v>
      </c>
      <c r="AI2535" s="3">
        <v>0.46034309141455498</v>
      </c>
    </row>
    <row r="2536" spans="1:35">
      <c r="A2536" s="1">
        <v>42293</v>
      </c>
      <c r="B2536" s="1">
        <v>37486</v>
      </c>
      <c r="C2536" t="s">
        <v>5593</v>
      </c>
      <c r="D2536">
        <v>356</v>
      </c>
      <c r="E2536">
        <v>28707</v>
      </c>
      <c r="F2536">
        <v>7</v>
      </c>
      <c r="G2536">
        <v>1</v>
      </c>
      <c r="H2536">
        <v>1</v>
      </c>
      <c r="I2536">
        <v>1</v>
      </c>
      <c r="J2536" t="s">
        <v>3539</v>
      </c>
      <c r="K2536" t="s">
        <v>3540</v>
      </c>
      <c r="L2536" s="2">
        <v>1117.8559</v>
      </c>
      <c r="M2536" s="2">
        <v>2071.4196000000002</v>
      </c>
      <c r="N2536" t="s">
        <v>30</v>
      </c>
      <c r="O2536" t="s">
        <v>627</v>
      </c>
      <c r="P2536" t="s">
        <v>131</v>
      </c>
      <c r="Q2536" t="s">
        <v>8864</v>
      </c>
      <c r="R2536" s="1">
        <v>18745</v>
      </c>
      <c r="S2536" t="s">
        <v>22</v>
      </c>
      <c r="T2536" t="s">
        <v>29</v>
      </c>
      <c r="U2536" t="s">
        <v>3376</v>
      </c>
      <c r="V2536">
        <v>10000</v>
      </c>
      <c r="W2536">
        <v>3</v>
      </c>
      <c r="X2536" t="s">
        <v>52</v>
      </c>
      <c r="Y2536" t="s">
        <v>444</v>
      </c>
      <c r="Z2536" t="s">
        <v>23</v>
      </c>
      <c r="AA2536" t="s">
        <v>3583</v>
      </c>
      <c r="AB2536" t="s">
        <v>3583</v>
      </c>
      <c r="AC2536" t="s">
        <v>3584</v>
      </c>
      <c r="AD2536" t="s">
        <v>3478</v>
      </c>
      <c r="AE2536" t="s">
        <v>3475</v>
      </c>
      <c r="AF2536" s="2">
        <v>2071.4196000000002</v>
      </c>
      <c r="AG2536" s="2">
        <v>1117.8559</v>
      </c>
      <c r="AH2536" s="2">
        <v>953.56370000000004</v>
      </c>
      <c r="AI2536" s="3">
        <v>0.460343090313522</v>
      </c>
    </row>
    <row r="2537" spans="1:35">
      <c r="A2537" s="1">
        <v>42286</v>
      </c>
      <c r="B2537" s="1">
        <v>37460</v>
      </c>
      <c r="C2537" t="s">
        <v>5536</v>
      </c>
      <c r="D2537">
        <v>356</v>
      </c>
      <c r="E2537">
        <v>28708</v>
      </c>
      <c r="F2537">
        <v>7</v>
      </c>
      <c r="G2537">
        <v>1</v>
      </c>
      <c r="H2537">
        <v>1</v>
      </c>
      <c r="I2537">
        <v>1</v>
      </c>
      <c r="J2537" t="s">
        <v>3539</v>
      </c>
      <c r="K2537" t="s">
        <v>3540</v>
      </c>
      <c r="L2537" s="2">
        <v>1117.8559</v>
      </c>
      <c r="M2537" s="2">
        <v>2071.4196000000002</v>
      </c>
      <c r="N2537" t="s">
        <v>13</v>
      </c>
      <c r="O2537" t="s">
        <v>563</v>
      </c>
      <c r="P2537" t="s">
        <v>470</v>
      </c>
      <c r="Q2537" t="s">
        <v>8865</v>
      </c>
      <c r="R2537" s="1">
        <v>18880</v>
      </c>
      <c r="S2537" t="s">
        <v>22</v>
      </c>
      <c r="T2537" t="s">
        <v>16</v>
      </c>
      <c r="U2537" t="s">
        <v>3377</v>
      </c>
      <c r="V2537">
        <v>20000</v>
      </c>
      <c r="W2537">
        <v>2</v>
      </c>
      <c r="X2537" t="s">
        <v>52</v>
      </c>
      <c r="Y2537" t="s">
        <v>444</v>
      </c>
      <c r="Z2537" t="s">
        <v>23</v>
      </c>
      <c r="AA2537" t="s">
        <v>3583</v>
      </c>
      <c r="AB2537" t="s">
        <v>3583</v>
      </c>
      <c r="AC2537" t="s">
        <v>3584</v>
      </c>
      <c r="AD2537" t="s">
        <v>3478</v>
      </c>
      <c r="AE2537" t="s">
        <v>3475</v>
      </c>
      <c r="AF2537" s="2">
        <v>2071.4196000000002</v>
      </c>
      <c r="AG2537" s="2">
        <v>1117.8559</v>
      </c>
      <c r="AH2537" s="2">
        <v>953.56370000000004</v>
      </c>
      <c r="AI2537" s="3">
        <v>0.460343090313522</v>
      </c>
    </row>
    <row r="2538" spans="1:35">
      <c r="A2538" s="1">
        <v>42283</v>
      </c>
      <c r="B2538" s="1">
        <v>37504</v>
      </c>
      <c r="C2538" t="s">
        <v>5520</v>
      </c>
      <c r="D2538">
        <v>356</v>
      </c>
      <c r="E2538">
        <v>28711</v>
      </c>
      <c r="F2538">
        <v>7</v>
      </c>
      <c r="G2538">
        <v>1</v>
      </c>
      <c r="H2538">
        <v>1</v>
      </c>
      <c r="I2538">
        <v>1</v>
      </c>
      <c r="J2538" t="s">
        <v>3539</v>
      </c>
      <c r="K2538" t="s">
        <v>3540</v>
      </c>
      <c r="L2538" s="2">
        <v>1117.8559</v>
      </c>
      <c r="M2538" s="2">
        <v>2071.4196000000002</v>
      </c>
      <c r="N2538" t="s">
        <v>30</v>
      </c>
      <c r="O2538" t="s">
        <v>1260</v>
      </c>
      <c r="P2538" t="s">
        <v>25</v>
      </c>
      <c r="Q2538" t="s">
        <v>8866</v>
      </c>
      <c r="R2538" s="1">
        <v>25167</v>
      </c>
      <c r="S2538" t="s">
        <v>16</v>
      </c>
      <c r="T2538" t="s">
        <v>29</v>
      </c>
      <c r="U2538" t="s">
        <v>3378</v>
      </c>
      <c r="V2538">
        <v>30000</v>
      </c>
      <c r="W2538">
        <v>1</v>
      </c>
      <c r="X2538" t="s">
        <v>17</v>
      </c>
      <c r="Y2538" t="s">
        <v>60</v>
      </c>
      <c r="Z2538" t="s">
        <v>19</v>
      </c>
      <c r="AA2538" t="s">
        <v>3583</v>
      </c>
      <c r="AB2538" t="s">
        <v>3583</v>
      </c>
      <c r="AC2538" t="s">
        <v>3584</v>
      </c>
      <c r="AD2538" t="s">
        <v>3478</v>
      </c>
      <c r="AE2538" t="s">
        <v>3475</v>
      </c>
      <c r="AF2538" s="2">
        <v>2071.4196000000002</v>
      </c>
      <c r="AG2538" s="2">
        <v>1117.8559</v>
      </c>
      <c r="AH2538" s="2">
        <v>953.56370000000004</v>
      </c>
      <c r="AI2538" s="3">
        <v>0.460343090313522</v>
      </c>
    </row>
    <row r="2539" spans="1:35">
      <c r="A2539" s="1">
        <v>42302</v>
      </c>
      <c r="B2539" s="1">
        <v>37478</v>
      </c>
      <c r="C2539" t="s">
        <v>5663</v>
      </c>
      <c r="D2539">
        <v>360</v>
      </c>
      <c r="E2539">
        <v>28724</v>
      </c>
      <c r="F2539">
        <v>7</v>
      </c>
      <c r="G2539">
        <v>1</v>
      </c>
      <c r="H2539">
        <v>1</v>
      </c>
      <c r="I2539">
        <v>1</v>
      </c>
      <c r="J2539" t="s">
        <v>3543</v>
      </c>
      <c r="K2539" t="s">
        <v>3544</v>
      </c>
      <c r="L2539" s="2">
        <v>1105.81</v>
      </c>
      <c r="M2539" s="2">
        <v>2049.0981999999999</v>
      </c>
      <c r="N2539" t="s">
        <v>13</v>
      </c>
      <c r="O2539" t="s">
        <v>1288</v>
      </c>
      <c r="P2539" t="s">
        <v>153</v>
      </c>
      <c r="Q2539" t="s">
        <v>8867</v>
      </c>
      <c r="R2539" s="1">
        <v>27309</v>
      </c>
      <c r="S2539" t="s">
        <v>22</v>
      </c>
      <c r="T2539" t="s">
        <v>16</v>
      </c>
      <c r="U2539" t="s">
        <v>3379</v>
      </c>
      <c r="V2539">
        <v>30000</v>
      </c>
      <c r="W2539">
        <v>0</v>
      </c>
      <c r="X2539" t="s">
        <v>52</v>
      </c>
      <c r="Y2539" t="s">
        <v>60</v>
      </c>
      <c r="Z2539" t="s">
        <v>23</v>
      </c>
      <c r="AA2539" t="s">
        <v>3583</v>
      </c>
      <c r="AB2539" t="s">
        <v>3583</v>
      </c>
      <c r="AC2539" t="s">
        <v>3584</v>
      </c>
      <c r="AD2539" t="s">
        <v>3478</v>
      </c>
      <c r="AE2539" t="s">
        <v>3475</v>
      </c>
      <c r="AF2539" s="2">
        <v>2049.0981999999999</v>
      </c>
      <c r="AG2539" s="2">
        <v>1105.81</v>
      </c>
      <c r="AH2539" s="2">
        <v>943.28819999999996</v>
      </c>
      <c r="AI2539" s="3">
        <v>0.46034309141455498</v>
      </c>
    </row>
    <row r="2540" spans="1:35">
      <c r="A2540" s="1">
        <v>42337</v>
      </c>
      <c r="B2540" s="1">
        <v>37553</v>
      </c>
      <c r="C2540" t="s">
        <v>5884</v>
      </c>
      <c r="D2540">
        <v>356</v>
      </c>
      <c r="E2540">
        <v>28727</v>
      </c>
      <c r="F2540">
        <v>7</v>
      </c>
      <c r="G2540">
        <v>1</v>
      </c>
      <c r="H2540">
        <v>1</v>
      </c>
      <c r="I2540">
        <v>1</v>
      </c>
      <c r="J2540" t="s">
        <v>3539</v>
      </c>
      <c r="K2540" t="s">
        <v>3540</v>
      </c>
      <c r="L2540" s="2">
        <v>1117.8559</v>
      </c>
      <c r="M2540" s="2">
        <v>2071.4196000000002</v>
      </c>
      <c r="N2540" t="s">
        <v>13</v>
      </c>
      <c r="O2540" t="s">
        <v>531</v>
      </c>
      <c r="P2540" t="s">
        <v>658</v>
      </c>
      <c r="Q2540" t="s">
        <v>8868</v>
      </c>
      <c r="R2540" s="1">
        <v>29526</v>
      </c>
      <c r="S2540" t="s">
        <v>22</v>
      </c>
      <c r="T2540" t="s">
        <v>16</v>
      </c>
      <c r="U2540" t="s">
        <v>3380</v>
      </c>
      <c r="V2540">
        <v>20000</v>
      </c>
      <c r="W2540">
        <v>0</v>
      </c>
      <c r="X2540" t="s">
        <v>77</v>
      </c>
      <c r="Y2540" t="s">
        <v>444</v>
      </c>
      <c r="Z2540" t="s">
        <v>23</v>
      </c>
      <c r="AA2540" t="s">
        <v>3583</v>
      </c>
      <c r="AB2540" t="s">
        <v>3583</v>
      </c>
      <c r="AC2540" t="s">
        <v>3584</v>
      </c>
      <c r="AD2540" t="s">
        <v>3478</v>
      </c>
      <c r="AE2540" t="s">
        <v>3475</v>
      </c>
      <c r="AF2540" s="2">
        <v>2071.4196000000002</v>
      </c>
      <c r="AG2540" s="2">
        <v>1117.8559</v>
      </c>
      <c r="AH2540" s="2">
        <v>953.56370000000004</v>
      </c>
      <c r="AI2540" s="3">
        <v>0.460343090313522</v>
      </c>
    </row>
    <row r="2541" spans="1:35">
      <c r="A2541" s="1">
        <v>42357</v>
      </c>
      <c r="B2541" s="1">
        <v>37494</v>
      </c>
      <c r="C2541" t="s">
        <v>6099</v>
      </c>
      <c r="D2541">
        <v>362</v>
      </c>
      <c r="E2541">
        <v>28728</v>
      </c>
      <c r="F2541">
        <v>7</v>
      </c>
      <c r="G2541">
        <v>1</v>
      </c>
      <c r="H2541">
        <v>1</v>
      </c>
      <c r="I2541">
        <v>1</v>
      </c>
      <c r="J2541" t="s">
        <v>3545</v>
      </c>
      <c r="K2541" t="s">
        <v>3546</v>
      </c>
      <c r="L2541" s="2">
        <v>1105.81</v>
      </c>
      <c r="M2541" s="2">
        <v>2049.0981999999999</v>
      </c>
      <c r="N2541" t="s">
        <v>13</v>
      </c>
      <c r="O2541" t="s">
        <v>862</v>
      </c>
      <c r="P2541" t="s">
        <v>239</v>
      </c>
      <c r="Q2541" t="s">
        <v>8869</v>
      </c>
      <c r="R2541" s="1">
        <v>29263</v>
      </c>
      <c r="S2541" t="s">
        <v>22</v>
      </c>
      <c r="T2541" t="s">
        <v>16</v>
      </c>
      <c r="U2541" t="s">
        <v>3381</v>
      </c>
      <c r="V2541">
        <v>20000</v>
      </c>
      <c r="W2541">
        <v>0</v>
      </c>
      <c r="X2541" t="s">
        <v>77</v>
      </c>
      <c r="Y2541" t="s">
        <v>444</v>
      </c>
      <c r="Z2541" t="s">
        <v>23</v>
      </c>
      <c r="AA2541" t="s">
        <v>3583</v>
      </c>
      <c r="AB2541" t="s">
        <v>3583</v>
      </c>
      <c r="AC2541" t="s">
        <v>3584</v>
      </c>
      <c r="AD2541" t="s">
        <v>3478</v>
      </c>
      <c r="AE2541" t="s">
        <v>3475</v>
      </c>
      <c r="AF2541" s="2">
        <v>2049.0981999999999</v>
      </c>
      <c r="AG2541" s="2">
        <v>1105.81</v>
      </c>
      <c r="AH2541" s="2">
        <v>943.28819999999996</v>
      </c>
      <c r="AI2541" s="3">
        <v>0.46034309141455498</v>
      </c>
    </row>
    <row r="2542" spans="1:35">
      <c r="A2542" s="1">
        <v>42368</v>
      </c>
      <c r="B2542" s="1">
        <v>37549</v>
      </c>
      <c r="C2542" t="s">
        <v>6215</v>
      </c>
      <c r="D2542">
        <v>352</v>
      </c>
      <c r="E2542">
        <v>28736</v>
      </c>
      <c r="F2542">
        <v>7</v>
      </c>
      <c r="G2542">
        <v>1</v>
      </c>
      <c r="H2542">
        <v>1</v>
      </c>
      <c r="I2542">
        <v>1</v>
      </c>
      <c r="J2542" t="s">
        <v>3535</v>
      </c>
      <c r="K2542" t="s">
        <v>3536</v>
      </c>
      <c r="L2542" s="2">
        <v>1117.8559</v>
      </c>
      <c r="M2542" s="2">
        <v>2071.4196000000002</v>
      </c>
      <c r="N2542" t="s">
        <v>26</v>
      </c>
      <c r="O2542" t="s">
        <v>1176</v>
      </c>
      <c r="P2542" t="s">
        <v>153</v>
      </c>
      <c r="Q2542" t="s">
        <v>8870</v>
      </c>
      <c r="R2542" s="1">
        <v>26777</v>
      </c>
      <c r="S2542" t="s">
        <v>22</v>
      </c>
      <c r="T2542" t="s">
        <v>29</v>
      </c>
      <c r="U2542" t="s">
        <v>3382</v>
      </c>
      <c r="V2542">
        <v>30000</v>
      </c>
      <c r="W2542">
        <v>0</v>
      </c>
      <c r="X2542" t="s">
        <v>57</v>
      </c>
      <c r="Y2542" t="s">
        <v>444</v>
      </c>
      <c r="Z2542" t="s">
        <v>23</v>
      </c>
      <c r="AA2542" t="s">
        <v>3583</v>
      </c>
      <c r="AB2542" t="s">
        <v>3583</v>
      </c>
      <c r="AC2542" t="s">
        <v>3584</v>
      </c>
      <c r="AD2542" t="s">
        <v>3478</v>
      </c>
      <c r="AE2542" t="s">
        <v>3475</v>
      </c>
      <c r="AF2542" s="2">
        <v>2071.4196000000002</v>
      </c>
      <c r="AG2542" s="2">
        <v>1117.8559</v>
      </c>
      <c r="AH2542" s="2">
        <v>953.56370000000004</v>
      </c>
      <c r="AI2542" s="3">
        <v>0.460343090313522</v>
      </c>
    </row>
    <row r="2543" spans="1:35">
      <c r="A2543" s="1">
        <v>42356</v>
      </c>
      <c r="B2543" s="1">
        <v>37542</v>
      </c>
      <c r="C2543" t="s">
        <v>6089</v>
      </c>
      <c r="D2543">
        <v>358</v>
      </c>
      <c r="E2543">
        <v>28739</v>
      </c>
      <c r="F2543">
        <v>7</v>
      </c>
      <c r="G2543">
        <v>1</v>
      </c>
      <c r="H2543">
        <v>1</v>
      </c>
      <c r="I2543">
        <v>1</v>
      </c>
      <c r="J2543" t="s">
        <v>3541</v>
      </c>
      <c r="K2543" t="s">
        <v>3542</v>
      </c>
      <c r="L2543" s="2">
        <v>1105.81</v>
      </c>
      <c r="M2543" s="2">
        <v>2049.0981999999999</v>
      </c>
      <c r="N2543" t="s">
        <v>26</v>
      </c>
      <c r="O2543" t="s">
        <v>591</v>
      </c>
      <c r="P2543" t="s">
        <v>329</v>
      </c>
      <c r="Q2543" t="s">
        <v>8871</v>
      </c>
      <c r="R2543" s="1">
        <v>26745</v>
      </c>
      <c r="S2543" t="s">
        <v>22</v>
      </c>
      <c r="T2543" t="s">
        <v>29</v>
      </c>
      <c r="U2543" t="s">
        <v>3383</v>
      </c>
      <c r="V2543">
        <v>30000</v>
      </c>
      <c r="W2543">
        <v>0</v>
      </c>
      <c r="X2543" t="s">
        <v>57</v>
      </c>
      <c r="Y2543" t="s">
        <v>444</v>
      </c>
      <c r="Z2543" t="s">
        <v>23</v>
      </c>
      <c r="AA2543" t="s">
        <v>3583</v>
      </c>
      <c r="AB2543" t="s">
        <v>3583</v>
      </c>
      <c r="AC2543" t="s">
        <v>3584</v>
      </c>
      <c r="AD2543" t="s">
        <v>3478</v>
      </c>
      <c r="AE2543" t="s">
        <v>3475</v>
      </c>
      <c r="AF2543" s="2">
        <v>2049.0981999999999</v>
      </c>
      <c r="AG2543" s="2">
        <v>1105.81</v>
      </c>
      <c r="AH2543" s="2">
        <v>943.28819999999996</v>
      </c>
      <c r="AI2543" s="3">
        <v>0.46034309141455498</v>
      </c>
    </row>
    <row r="2544" spans="1:35">
      <c r="A2544" s="1">
        <v>42349</v>
      </c>
      <c r="B2544" s="1">
        <v>37578</v>
      </c>
      <c r="C2544" t="s">
        <v>5999</v>
      </c>
      <c r="D2544">
        <v>354</v>
      </c>
      <c r="E2544">
        <v>28740</v>
      </c>
      <c r="F2544">
        <v>7</v>
      </c>
      <c r="G2544">
        <v>1</v>
      </c>
      <c r="H2544">
        <v>1</v>
      </c>
      <c r="I2544">
        <v>1</v>
      </c>
      <c r="J2544" t="s">
        <v>3537</v>
      </c>
      <c r="K2544" t="s">
        <v>3538</v>
      </c>
      <c r="L2544" s="2">
        <v>1117.8559</v>
      </c>
      <c r="M2544" s="2">
        <v>2071.4196000000002</v>
      </c>
      <c r="N2544" t="s">
        <v>30</v>
      </c>
      <c r="O2544" t="s">
        <v>550</v>
      </c>
      <c r="P2544" t="s">
        <v>121</v>
      </c>
      <c r="Q2544" t="s">
        <v>8872</v>
      </c>
      <c r="R2544" s="1">
        <v>26759</v>
      </c>
      <c r="S2544" t="s">
        <v>16</v>
      </c>
      <c r="T2544" t="s">
        <v>29</v>
      </c>
      <c r="U2544" t="s">
        <v>3384</v>
      </c>
      <c r="V2544">
        <v>40000</v>
      </c>
      <c r="W2544">
        <v>1</v>
      </c>
      <c r="X2544" t="s">
        <v>17</v>
      </c>
      <c r="Y2544" t="s">
        <v>53</v>
      </c>
      <c r="Z2544" t="s">
        <v>19</v>
      </c>
      <c r="AA2544" t="s">
        <v>3583</v>
      </c>
      <c r="AB2544" t="s">
        <v>3583</v>
      </c>
      <c r="AC2544" t="s">
        <v>3584</v>
      </c>
      <c r="AD2544" t="s">
        <v>3478</v>
      </c>
      <c r="AE2544" t="s">
        <v>3475</v>
      </c>
      <c r="AF2544" s="2">
        <v>2071.4196000000002</v>
      </c>
      <c r="AG2544" s="2">
        <v>1117.8559</v>
      </c>
      <c r="AH2544" s="2">
        <v>953.56370000000004</v>
      </c>
      <c r="AI2544" s="3">
        <v>0.460343090313522</v>
      </c>
    </row>
    <row r="2545" spans="1:35">
      <c r="A2545" s="1">
        <v>42362</v>
      </c>
      <c r="B2545" s="1">
        <v>37535</v>
      </c>
      <c r="C2545" t="s">
        <v>6152</v>
      </c>
      <c r="D2545">
        <v>362</v>
      </c>
      <c r="E2545">
        <v>28749</v>
      </c>
      <c r="F2545">
        <v>7</v>
      </c>
      <c r="G2545">
        <v>1</v>
      </c>
      <c r="H2545">
        <v>1</v>
      </c>
      <c r="I2545">
        <v>1</v>
      </c>
      <c r="J2545" t="s">
        <v>3545</v>
      </c>
      <c r="K2545" t="s">
        <v>3546</v>
      </c>
      <c r="L2545" s="2">
        <v>1105.81</v>
      </c>
      <c r="M2545" s="2">
        <v>2049.0981999999999</v>
      </c>
      <c r="N2545" t="s">
        <v>13</v>
      </c>
      <c r="O2545" t="s">
        <v>498</v>
      </c>
      <c r="P2545" t="s">
        <v>138</v>
      </c>
      <c r="Q2545" t="s">
        <v>8873</v>
      </c>
      <c r="R2545" s="1">
        <v>26580</v>
      </c>
      <c r="S2545" t="s">
        <v>22</v>
      </c>
      <c r="T2545" t="s">
        <v>16</v>
      </c>
      <c r="U2545" t="s">
        <v>3385</v>
      </c>
      <c r="V2545">
        <v>30000</v>
      </c>
      <c r="W2545">
        <v>0</v>
      </c>
      <c r="X2545" t="s">
        <v>57</v>
      </c>
      <c r="Y2545" t="s">
        <v>444</v>
      </c>
      <c r="Z2545" t="s">
        <v>23</v>
      </c>
      <c r="AA2545" t="s">
        <v>3583</v>
      </c>
      <c r="AB2545" t="s">
        <v>3583</v>
      </c>
      <c r="AC2545" t="s">
        <v>3584</v>
      </c>
      <c r="AD2545" t="s">
        <v>3478</v>
      </c>
      <c r="AE2545" t="s">
        <v>3475</v>
      </c>
      <c r="AF2545" s="2">
        <v>2049.0981999999999</v>
      </c>
      <c r="AG2545" s="2">
        <v>1105.81</v>
      </c>
      <c r="AH2545" s="2">
        <v>943.28819999999996</v>
      </c>
      <c r="AI2545" s="3">
        <v>0.46034309141455498</v>
      </c>
    </row>
    <row r="2546" spans="1:35">
      <c r="A2546" s="1">
        <v>42360</v>
      </c>
      <c r="B2546" s="1">
        <v>37584</v>
      </c>
      <c r="C2546" t="s">
        <v>6127</v>
      </c>
      <c r="D2546">
        <v>358</v>
      </c>
      <c r="E2546">
        <v>28750</v>
      </c>
      <c r="F2546">
        <v>7</v>
      </c>
      <c r="G2546">
        <v>1</v>
      </c>
      <c r="H2546">
        <v>1</v>
      </c>
      <c r="I2546">
        <v>1</v>
      </c>
      <c r="J2546" t="s">
        <v>3541</v>
      </c>
      <c r="K2546" t="s">
        <v>3542</v>
      </c>
      <c r="L2546" s="2">
        <v>1105.81</v>
      </c>
      <c r="M2546" s="2">
        <v>2049.0981999999999</v>
      </c>
      <c r="N2546" t="s">
        <v>13</v>
      </c>
      <c r="O2546" t="s">
        <v>441</v>
      </c>
      <c r="P2546" t="s">
        <v>317</v>
      </c>
      <c r="Q2546" t="s">
        <v>8874</v>
      </c>
      <c r="R2546" s="1">
        <v>26655</v>
      </c>
      <c r="S2546" t="s">
        <v>16</v>
      </c>
      <c r="T2546" t="s">
        <v>16</v>
      </c>
      <c r="U2546" t="s">
        <v>3386</v>
      </c>
      <c r="V2546">
        <v>40000</v>
      </c>
      <c r="W2546">
        <v>1</v>
      </c>
      <c r="X2546" t="s">
        <v>17</v>
      </c>
      <c r="Y2546" t="s">
        <v>53</v>
      </c>
      <c r="Z2546" t="s">
        <v>19</v>
      </c>
      <c r="AA2546" t="s">
        <v>3583</v>
      </c>
      <c r="AB2546" t="s">
        <v>3583</v>
      </c>
      <c r="AC2546" t="s">
        <v>3584</v>
      </c>
      <c r="AD2546" t="s">
        <v>3478</v>
      </c>
      <c r="AE2546" t="s">
        <v>3475</v>
      </c>
      <c r="AF2546" s="2">
        <v>2049.0981999999999</v>
      </c>
      <c r="AG2546" s="2">
        <v>1105.81</v>
      </c>
      <c r="AH2546" s="2">
        <v>943.28819999999996</v>
      </c>
      <c r="AI2546" s="3">
        <v>0.46034309141455498</v>
      </c>
    </row>
    <row r="2547" spans="1:35">
      <c r="A2547" s="1">
        <v>42357</v>
      </c>
      <c r="B2547" s="1">
        <v>37558</v>
      </c>
      <c r="C2547" t="s">
        <v>6102</v>
      </c>
      <c r="D2547">
        <v>356</v>
      </c>
      <c r="E2547">
        <v>28751</v>
      </c>
      <c r="F2547">
        <v>7</v>
      </c>
      <c r="G2547">
        <v>1</v>
      </c>
      <c r="H2547">
        <v>1</v>
      </c>
      <c r="I2547">
        <v>1</v>
      </c>
      <c r="J2547" t="s">
        <v>3539</v>
      </c>
      <c r="K2547" t="s">
        <v>3540</v>
      </c>
      <c r="L2547" s="2">
        <v>1117.8559</v>
      </c>
      <c r="M2547" s="2">
        <v>2071.4196000000002</v>
      </c>
      <c r="N2547" t="s">
        <v>13</v>
      </c>
      <c r="O2547" t="s">
        <v>774</v>
      </c>
      <c r="P2547" t="s">
        <v>3387</v>
      </c>
      <c r="Q2547" t="s">
        <v>8875</v>
      </c>
      <c r="R2547" s="1">
        <v>26447</v>
      </c>
      <c r="S2547" t="s">
        <v>16</v>
      </c>
      <c r="T2547" t="s">
        <v>16</v>
      </c>
      <c r="U2547" t="s">
        <v>3388</v>
      </c>
      <c r="V2547">
        <v>40000</v>
      </c>
      <c r="W2547">
        <v>1</v>
      </c>
      <c r="X2547" t="s">
        <v>17</v>
      </c>
      <c r="Y2547" t="s">
        <v>53</v>
      </c>
      <c r="Z2547" t="s">
        <v>19</v>
      </c>
      <c r="AA2547" t="s">
        <v>3583</v>
      </c>
      <c r="AB2547" t="s">
        <v>3583</v>
      </c>
      <c r="AC2547" t="s">
        <v>3584</v>
      </c>
      <c r="AD2547" t="s">
        <v>3478</v>
      </c>
      <c r="AE2547" t="s">
        <v>3475</v>
      </c>
      <c r="AF2547" s="2">
        <v>2071.4196000000002</v>
      </c>
      <c r="AG2547" s="2">
        <v>1117.8559</v>
      </c>
      <c r="AH2547" s="2">
        <v>953.56370000000004</v>
      </c>
      <c r="AI2547" s="3">
        <v>0.460343090313522</v>
      </c>
    </row>
    <row r="2548" spans="1:35">
      <c r="A2548" s="1">
        <v>42354</v>
      </c>
      <c r="B2548" s="1">
        <v>37548</v>
      </c>
      <c r="C2548" t="s">
        <v>6072</v>
      </c>
      <c r="D2548">
        <v>362</v>
      </c>
      <c r="E2548">
        <v>28756</v>
      </c>
      <c r="F2548">
        <v>7</v>
      </c>
      <c r="G2548">
        <v>1</v>
      </c>
      <c r="H2548">
        <v>1</v>
      </c>
      <c r="I2548">
        <v>1</v>
      </c>
      <c r="J2548" t="s">
        <v>3545</v>
      </c>
      <c r="K2548" t="s">
        <v>3546</v>
      </c>
      <c r="L2548" s="2">
        <v>1105.81</v>
      </c>
      <c r="M2548" s="2">
        <v>2049.0981999999999</v>
      </c>
      <c r="N2548" t="s">
        <v>30</v>
      </c>
      <c r="O2548" t="s">
        <v>647</v>
      </c>
      <c r="P2548" t="s">
        <v>3389</v>
      </c>
      <c r="Q2548" t="s">
        <v>8876</v>
      </c>
      <c r="R2548" s="1">
        <v>25720</v>
      </c>
      <c r="S2548" t="s">
        <v>22</v>
      </c>
      <c r="T2548" t="s">
        <v>29</v>
      </c>
      <c r="U2548" t="s">
        <v>3390</v>
      </c>
      <c r="V2548">
        <v>40000</v>
      </c>
      <c r="W2548">
        <v>2</v>
      </c>
      <c r="X2548" t="s">
        <v>52</v>
      </c>
      <c r="Y2548" t="s">
        <v>60</v>
      </c>
      <c r="Z2548" t="s">
        <v>19</v>
      </c>
      <c r="AA2548" t="s">
        <v>3583</v>
      </c>
      <c r="AB2548" t="s">
        <v>3583</v>
      </c>
      <c r="AC2548" t="s">
        <v>3584</v>
      </c>
      <c r="AD2548" t="s">
        <v>3478</v>
      </c>
      <c r="AE2548" t="s">
        <v>3475</v>
      </c>
      <c r="AF2548" s="2">
        <v>2049.0981999999999</v>
      </c>
      <c r="AG2548" s="2">
        <v>1105.81</v>
      </c>
      <c r="AH2548" s="2">
        <v>943.28819999999996</v>
      </c>
      <c r="AI2548" s="3">
        <v>0.46034309141455498</v>
      </c>
    </row>
    <row r="2549" spans="1:35">
      <c r="A2549" s="1">
        <v>42356</v>
      </c>
      <c r="B2549" s="1">
        <v>37493</v>
      </c>
      <c r="C2549" t="s">
        <v>6091</v>
      </c>
      <c r="D2549">
        <v>352</v>
      </c>
      <c r="E2549">
        <v>28757</v>
      </c>
      <c r="F2549">
        <v>7</v>
      </c>
      <c r="G2549">
        <v>1</v>
      </c>
      <c r="H2549">
        <v>1</v>
      </c>
      <c r="I2549">
        <v>1</v>
      </c>
      <c r="J2549" t="s">
        <v>3535</v>
      </c>
      <c r="K2549" t="s">
        <v>3536</v>
      </c>
      <c r="L2549" s="2">
        <v>1117.8559</v>
      </c>
      <c r="M2549" s="2">
        <v>2071.4196000000002</v>
      </c>
      <c r="N2549" t="s">
        <v>13</v>
      </c>
      <c r="O2549" t="s">
        <v>1589</v>
      </c>
      <c r="P2549" t="s">
        <v>293</v>
      </c>
      <c r="Q2549" t="s">
        <v>8877</v>
      </c>
      <c r="R2549" s="1">
        <v>26196</v>
      </c>
      <c r="S2549" t="s">
        <v>16</v>
      </c>
      <c r="T2549" t="s">
        <v>16</v>
      </c>
      <c r="U2549" t="s">
        <v>3391</v>
      </c>
      <c r="V2549">
        <v>40000</v>
      </c>
      <c r="W2549">
        <v>2</v>
      </c>
      <c r="X2549" t="s">
        <v>52</v>
      </c>
      <c r="Y2549" t="s">
        <v>60</v>
      </c>
      <c r="Z2549" t="s">
        <v>19</v>
      </c>
      <c r="AA2549" t="s">
        <v>3583</v>
      </c>
      <c r="AB2549" t="s">
        <v>3583</v>
      </c>
      <c r="AC2549" t="s">
        <v>3584</v>
      </c>
      <c r="AD2549" t="s">
        <v>3478</v>
      </c>
      <c r="AE2549" t="s">
        <v>3475</v>
      </c>
      <c r="AF2549" s="2">
        <v>2071.4196000000002</v>
      </c>
      <c r="AG2549" s="2">
        <v>1117.8559</v>
      </c>
      <c r="AH2549" s="2">
        <v>953.56370000000004</v>
      </c>
      <c r="AI2549" s="3">
        <v>0.460343090313522</v>
      </c>
    </row>
    <row r="2550" spans="1:35">
      <c r="A2550" s="1">
        <v>42359</v>
      </c>
      <c r="B2550" s="1">
        <v>37536</v>
      </c>
      <c r="C2550" t="s">
        <v>6124</v>
      </c>
      <c r="D2550">
        <v>362</v>
      </c>
      <c r="E2550">
        <v>28758</v>
      </c>
      <c r="F2550">
        <v>7</v>
      </c>
      <c r="G2550">
        <v>1</v>
      </c>
      <c r="H2550">
        <v>1</v>
      </c>
      <c r="I2550">
        <v>1</v>
      </c>
      <c r="J2550" t="s">
        <v>3545</v>
      </c>
      <c r="K2550" t="s">
        <v>3546</v>
      </c>
      <c r="L2550" s="2">
        <v>1105.81</v>
      </c>
      <c r="M2550" s="2">
        <v>2049.0981999999999</v>
      </c>
      <c r="N2550" t="s">
        <v>13</v>
      </c>
      <c r="O2550" t="s">
        <v>639</v>
      </c>
      <c r="P2550" t="s">
        <v>293</v>
      </c>
      <c r="Q2550" t="s">
        <v>8878</v>
      </c>
      <c r="R2550" s="1">
        <v>26153</v>
      </c>
      <c r="S2550" t="s">
        <v>16</v>
      </c>
      <c r="T2550" t="s">
        <v>16</v>
      </c>
      <c r="U2550" t="s">
        <v>3392</v>
      </c>
      <c r="V2550">
        <v>40000</v>
      </c>
      <c r="W2550">
        <v>2</v>
      </c>
      <c r="X2550" t="s">
        <v>52</v>
      </c>
      <c r="Y2550" t="s">
        <v>60</v>
      </c>
      <c r="Z2550" t="s">
        <v>19</v>
      </c>
      <c r="AA2550" t="s">
        <v>3583</v>
      </c>
      <c r="AB2550" t="s">
        <v>3583</v>
      </c>
      <c r="AC2550" t="s">
        <v>3584</v>
      </c>
      <c r="AD2550" t="s">
        <v>3478</v>
      </c>
      <c r="AE2550" t="s">
        <v>3475</v>
      </c>
      <c r="AF2550" s="2">
        <v>2049.0981999999999</v>
      </c>
      <c r="AG2550" s="2">
        <v>1105.81</v>
      </c>
      <c r="AH2550" s="2">
        <v>943.28819999999996</v>
      </c>
      <c r="AI2550" s="3">
        <v>0.46034309141455498</v>
      </c>
    </row>
    <row r="2551" spans="1:35">
      <c r="A2551" s="1">
        <v>42193</v>
      </c>
      <c r="B2551" s="1">
        <v>37399</v>
      </c>
      <c r="C2551" t="s">
        <v>4826</v>
      </c>
      <c r="D2551">
        <v>370</v>
      </c>
      <c r="E2551">
        <v>28766</v>
      </c>
      <c r="F2551">
        <v>6</v>
      </c>
      <c r="G2551">
        <v>1</v>
      </c>
      <c r="H2551">
        <v>1</v>
      </c>
      <c r="I2551">
        <v>2</v>
      </c>
      <c r="J2551" t="s">
        <v>3551</v>
      </c>
      <c r="K2551" t="s">
        <v>3552</v>
      </c>
      <c r="L2551" s="2">
        <v>1518.7864</v>
      </c>
      <c r="M2551" s="2">
        <v>2443.35</v>
      </c>
      <c r="N2551" t="s">
        <v>13</v>
      </c>
      <c r="O2551" t="s">
        <v>774</v>
      </c>
      <c r="P2551" t="s">
        <v>779</v>
      </c>
      <c r="Q2551" t="s">
        <v>8879</v>
      </c>
      <c r="R2551" s="1">
        <v>27428</v>
      </c>
      <c r="S2551" t="s">
        <v>22</v>
      </c>
      <c r="T2551" t="s">
        <v>16</v>
      </c>
      <c r="U2551" t="s">
        <v>3393</v>
      </c>
      <c r="V2551">
        <v>40000</v>
      </c>
      <c r="W2551">
        <v>3</v>
      </c>
      <c r="X2551" t="s">
        <v>52</v>
      </c>
      <c r="Y2551" t="s">
        <v>60</v>
      </c>
      <c r="Z2551" t="s">
        <v>19</v>
      </c>
      <c r="AA2551" t="s">
        <v>3582</v>
      </c>
      <c r="AB2551" t="s">
        <v>3582</v>
      </c>
      <c r="AC2551" t="s">
        <v>3579</v>
      </c>
      <c r="AD2551" t="s">
        <v>3479</v>
      </c>
      <c r="AE2551" t="s">
        <v>3475</v>
      </c>
      <c r="AF2551" s="2">
        <v>2443.35</v>
      </c>
      <c r="AG2551" s="2">
        <v>1518.7864</v>
      </c>
      <c r="AH2551" s="2">
        <v>924.56359999999995</v>
      </c>
      <c r="AI2551" s="3">
        <v>0.37839998362903399</v>
      </c>
    </row>
    <row r="2552" spans="1:35">
      <c r="A2552" s="1">
        <v>42037</v>
      </c>
      <c r="B2552" s="1">
        <v>37263</v>
      </c>
      <c r="C2552" t="s">
        <v>3787</v>
      </c>
      <c r="D2552">
        <v>312</v>
      </c>
      <c r="E2552">
        <v>28778</v>
      </c>
      <c r="F2552">
        <v>6</v>
      </c>
      <c r="G2552">
        <v>1</v>
      </c>
      <c r="H2552">
        <v>1</v>
      </c>
      <c r="I2552">
        <v>2</v>
      </c>
      <c r="J2552" t="s">
        <v>3489</v>
      </c>
      <c r="K2552" t="s">
        <v>3490</v>
      </c>
      <c r="L2552" s="2">
        <v>2171.2941999999998</v>
      </c>
      <c r="M2552" s="2">
        <v>3578.27</v>
      </c>
      <c r="N2552" t="s">
        <v>13</v>
      </c>
      <c r="O2552" t="s">
        <v>281</v>
      </c>
      <c r="P2552" t="s">
        <v>664</v>
      </c>
      <c r="Q2552" t="s">
        <v>8880</v>
      </c>
      <c r="R2552" s="1">
        <v>20342</v>
      </c>
      <c r="S2552" t="s">
        <v>16</v>
      </c>
      <c r="T2552" t="s">
        <v>16</v>
      </c>
      <c r="U2552" t="s">
        <v>3394</v>
      </c>
      <c r="V2552">
        <v>30000</v>
      </c>
      <c r="W2552">
        <v>1</v>
      </c>
      <c r="X2552" t="s">
        <v>57</v>
      </c>
      <c r="Y2552" t="s">
        <v>60</v>
      </c>
      <c r="Z2552" t="s">
        <v>19</v>
      </c>
      <c r="AA2552" t="s">
        <v>3582</v>
      </c>
      <c r="AB2552" t="s">
        <v>3582</v>
      </c>
      <c r="AC2552" t="s">
        <v>3579</v>
      </c>
      <c r="AD2552" t="s">
        <v>3479</v>
      </c>
      <c r="AE2552" t="s">
        <v>3475</v>
      </c>
      <c r="AF2552" s="2">
        <v>3578.27</v>
      </c>
      <c r="AG2552" s="2">
        <v>2171.2941999999998</v>
      </c>
      <c r="AH2552" s="2">
        <v>1406.9757999999999</v>
      </c>
      <c r="AI2552" s="3">
        <v>0.39320001006072802</v>
      </c>
    </row>
    <row r="2553" spans="1:35">
      <c r="A2553" s="1">
        <v>42243</v>
      </c>
      <c r="B2553" s="1">
        <v>37406</v>
      </c>
      <c r="C2553" t="s">
        <v>5253</v>
      </c>
      <c r="D2553">
        <v>369</v>
      </c>
      <c r="E2553">
        <v>28798</v>
      </c>
      <c r="F2553">
        <v>6</v>
      </c>
      <c r="G2553">
        <v>1</v>
      </c>
      <c r="H2553">
        <v>1</v>
      </c>
      <c r="I2553">
        <v>2</v>
      </c>
      <c r="J2553" t="s">
        <v>3549</v>
      </c>
      <c r="K2553" t="s">
        <v>3550</v>
      </c>
      <c r="L2553" s="2">
        <v>1518.7864</v>
      </c>
      <c r="M2553" s="2">
        <v>2443.35</v>
      </c>
      <c r="N2553" t="s">
        <v>13</v>
      </c>
      <c r="O2553" t="s">
        <v>757</v>
      </c>
      <c r="P2553" t="s">
        <v>177</v>
      </c>
      <c r="Q2553" t="s">
        <v>8881</v>
      </c>
      <c r="R2553" s="1">
        <v>21718</v>
      </c>
      <c r="S2553" t="s">
        <v>22</v>
      </c>
      <c r="T2553" t="s">
        <v>16</v>
      </c>
      <c r="U2553" t="s">
        <v>3395</v>
      </c>
      <c r="V2553">
        <v>40000</v>
      </c>
      <c r="W2553">
        <v>2</v>
      </c>
      <c r="X2553" t="s">
        <v>52</v>
      </c>
      <c r="Y2553" t="s">
        <v>60</v>
      </c>
      <c r="Z2553" t="s">
        <v>23</v>
      </c>
      <c r="AA2553" t="s">
        <v>3582</v>
      </c>
      <c r="AB2553" t="s">
        <v>3582</v>
      </c>
      <c r="AC2553" t="s">
        <v>3579</v>
      </c>
      <c r="AD2553" t="s">
        <v>3479</v>
      </c>
      <c r="AE2553" t="s">
        <v>3475</v>
      </c>
      <c r="AF2553" s="2">
        <v>2443.35</v>
      </c>
      <c r="AG2553" s="2">
        <v>1518.7864</v>
      </c>
      <c r="AH2553" s="2">
        <v>924.56359999999995</v>
      </c>
      <c r="AI2553" s="3">
        <v>0.37839998362903399</v>
      </c>
    </row>
    <row r="2554" spans="1:35">
      <c r="A2554" s="1">
        <v>42220</v>
      </c>
      <c r="B2554" s="1">
        <v>37387</v>
      </c>
      <c r="C2554" t="s">
        <v>5033</v>
      </c>
      <c r="D2554">
        <v>369</v>
      </c>
      <c r="E2554">
        <v>28802</v>
      </c>
      <c r="F2554">
        <v>6</v>
      </c>
      <c r="G2554">
        <v>1</v>
      </c>
      <c r="H2554">
        <v>1</v>
      </c>
      <c r="I2554">
        <v>2</v>
      </c>
      <c r="J2554" t="s">
        <v>3549</v>
      </c>
      <c r="K2554" t="s">
        <v>3550</v>
      </c>
      <c r="L2554" s="2">
        <v>1518.7864</v>
      </c>
      <c r="M2554" s="2">
        <v>2443.35</v>
      </c>
      <c r="N2554" t="s">
        <v>26</v>
      </c>
      <c r="O2554" t="s">
        <v>324</v>
      </c>
      <c r="P2554" t="s">
        <v>203</v>
      </c>
      <c r="Q2554" t="s">
        <v>8882</v>
      </c>
      <c r="R2554" s="1">
        <v>26558</v>
      </c>
      <c r="S2554" t="s">
        <v>16</v>
      </c>
      <c r="T2554" t="s">
        <v>29</v>
      </c>
      <c r="U2554" t="s">
        <v>3396</v>
      </c>
      <c r="V2554">
        <v>60000</v>
      </c>
      <c r="W2554">
        <v>0</v>
      </c>
      <c r="X2554" t="s">
        <v>135</v>
      </c>
      <c r="Y2554" t="s">
        <v>53</v>
      </c>
      <c r="Z2554" t="s">
        <v>19</v>
      </c>
      <c r="AA2554" t="s">
        <v>3582</v>
      </c>
      <c r="AB2554" t="s">
        <v>3582</v>
      </c>
      <c r="AC2554" t="s">
        <v>3579</v>
      </c>
      <c r="AD2554" t="s">
        <v>3479</v>
      </c>
      <c r="AE2554" t="s">
        <v>3475</v>
      </c>
      <c r="AF2554" s="2">
        <v>2443.35</v>
      </c>
      <c r="AG2554" s="2">
        <v>1518.7864</v>
      </c>
      <c r="AH2554" s="2">
        <v>924.56359999999995</v>
      </c>
      <c r="AI2554" s="3">
        <v>0.37839998362903399</v>
      </c>
    </row>
    <row r="2555" spans="1:35">
      <c r="A2555" s="1">
        <v>42231</v>
      </c>
      <c r="B2555" s="1">
        <v>37433</v>
      </c>
      <c r="C2555" t="s">
        <v>5127</v>
      </c>
      <c r="D2555">
        <v>373</v>
      </c>
      <c r="E2555">
        <v>28818</v>
      </c>
      <c r="F2555">
        <v>6</v>
      </c>
      <c r="G2555">
        <v>1</v>
      </c>
      <c r="H2555">
        <v>1</v>
      </c>
      <c r="I2555">
        <v>2</v>
      </c>
      <c r="J2555" t="s">
        <v>3555</v>
      </c>
      <c r="K2555" t="s">
        <v>3556</v>
      </c>
      <c r="L2555" s="2">
        <v>1320.6838</v>
      </c>
      <c r="M2555" s="2">
        <v>2181.5625</v>
      </c>
      <c r="N2555" t="s">
        <v>13</v>
      </c>
      <c r="O2555" t="s">
        <v>666</v>
      </c>
      <c r="P2555" t="s">
        <v>101</v>
      </c>
      <c r="Q2555" t="s">
        <v>8883</v>
      </c>
      <c r="R2555" s="1">
        <v>26421</v>
      </c>
      <c r="S2555" t="s">
        <v>16</v>
      </c>
      <c r="T2555" t="s">
        <v>16</v>
      </c>
      <c r="U2555" t="s">
        <v>3397</v>
      </c>
      <c r="V2555">
        <v>60000</v>
      </c>
      <c r="W2555">
        <v>1</v>
      </c>
      <c r="X2555" t="s">
        <v>135</v>
      </c>
      <c r="Y2555" t="s">
        <v>53</v>
      </c>
      <c r="Z2555" t="s">
        <v>23</v>
      </c>
      <c r="AA2555" t="s">
        <v>3582</v>
      </c>
      <c r="AB2555" t="s">
        <v>3582</v>
      </c>
      <c r="AC2555" t="s">
        <v>3579</v>
      </c>
      <c r="AD2555" t="s">
        <v>3479</v>
      </c>
      <c r="AE2555" t="s">
        <v>3475</v>
      </c>
      <c r="AF2555" s="2">
        <v>2181.5625</v>
      </c>
      <c r="AG2555" s="2">
        <v>1320.6838</v>
      </c>
      <c r="AH2555" s="2">
        <v>860.87869999999998</v>
      </c>
      <c r="AI2555" s="3">
        <v>0.39461564818793898</v>
      </c>
    </row>
    <row r="2556" spans="1:35">
      <c r="A2556" s="1">
        <v>42222</v>
      </c>
      <c r="B2556" s="1">
        <v>37385</v>
      </c>
      <c r="C2556" t="s">
        <v>5051</v>
      </c>
      <c r="D2556">
        <v>375</v>
      </c>
      <c r="E2556">
        <v>28819</v>
      </c>
      <c r="F2556">
        <v>6</v>
      </c>
      <c r="G2556">
        <v>1</v>
      </c>
      <c r="H2556">
        <v>1</v>
      </c>
      <c r="I2556">
        <v>2</v>
      </c>
      <c r="J2556" t="s">
        <v>3557</v>
      </c>
      <c r="K2556" t="s">
        <v>3558</v>
      </c>
      <c r="L2556" s="2">
        <v>1320.6838</v>
      </c>
      <c r="M2556" s="2">
        <v>2181.5625</v>
      </c>
      <c r="N2556" t="s">
        <v>30</v>
      </c>
      <c r="O2556" t="s">
        <v>147</v>
      </c>
      <c r="P2556" t="s">
        <v>49</v>
      </c>
      <c r="Q2556" t="s">
        <v>8884</v>
      </c>
      <c r="R2556" s="1">
        <v>26583</v>
      </c>
      <c r="S2556" t="s">
        <v>16</v>
      </c>
      <c r="T2556" t="s">
        <v>29</v>
      </c>
      <c r="U2556" t="s">
        <v>3398</v>
      </c>
      <c r="V2556">
        <v>60000</v>
      </c>
      <c r="W2556">
        <v>1</v>
      </c>
      <c r="X2556" t="s">
        <v>135</v>
      </c>
      <c r="Y2556" t="s">
        <v>53</v>
      </c>
      <c r="Z2556" t="s">
        <v>19</v>
      </c>
      <c r="AA2556" t="s">
        <v>3582</v>
      </c>
      <c r="AB2556" t="s">
        <v>3582</v>
      </c>
      <c r="AC2556" t="s">
        <v>3579</v>
      </c>
      <c r="AD2556" t="s">
        <v>3479</v>
      </c>
      <c r="AE2556" t="s">
        <v>3475</v>
      </c>
      <c r="AF2556" s="2">
        <v>2181.5625</v>
      </c>
      <c r="AG2556" s="2">
        <v>1320.6838</v>
      </c>
      <c r="AH2556" s="2">
        <v>860.87869999999998</v>
      </c>
      <c r="AI2556" s="3">
        <v>0.39461564818793898</v>
      </c>
    </row>
    <row r="2557" spans="1:35">
      <c r="A2557" s="1">
        <v>42223</v>
      </c>
      <c r="B2557" s="1">
        <v>37371</v>
      </c>
      <c r="C2557" t="s">
        <v>5066</v>
      </c>
      <c r="D2557">
        <v>375</v>
      </c>
      <c r="E2557">
        <v>28832</v>
      </c>
      <c r="F2557">
        <v>6</v>
      </c>
      <c r="G2557">
        <v>1</v>
      </c>
      <c r="H2557">
        <v>1</v>
      </c>
      <c r="I2557">
        <v>2</v>
      </c>
      <c r="J2557" t="s">
        <v>3557</v>
      </c>
      <c r="K2557" t="s">
        <v>3558</v>
      </c>
      <c r="L2557" s="2">
        <v>1320.6838</v>
      </c>
      <c r="M2557" s="2">
        <v>2181.5625</v>
      </c>
      <c r="N2557" t="s">
        <v>13</v>
      </c>
      <c r="O2557" t="s">
        <v>485</v>
      </c>
      <c r="P2557" t="s">
        <v>293</v>
      </c>
      <c r="Q2557" t="s">
        <v>8885</v>
      </c>
      <c r="R2557" s="1">
        <v>25693</v>
      </c>
      <c r="S2557" t="s">
        <v>16</v>
      </c>
      <c r="T2557" t="s">
        <v>16</v>
      </c>
      <c r="U2557" t="s">
        <v>3399</v>
      </c>
      <c r="V2557">
        <v>40000</v>
      </c>
      <c r="W2557">
        <v>1</v>
      </c>
      <c r="X2557" t="s">
        <v>17</v>
      </c>
      <c r="Y2557" t="s">
        <v>53</v>
      </c>
      <c r="Z2557" t="s">
        <v>19</v>
      </c>
      <c r="AA2557" t="s">
        <v>3582</v>
      </c>
      <c r="AB2557" t="s">
        <v>3582</v>
      </c>
      <c r="AC2557" t="s">
        <v>3579</v>
      </c>
      <c r="AD2557" t="s">
        <v>3479</v>
      </c>
      <c r="AE2557" t="s">
        <v>3475</v>
      </c>
      <c r="AF2557" s="2">
        <v>2181.5625</v>
      </c>
      <c r="AG2557" s="2">
        <v>1320.6838</v>
      </c>
      <c r="AH2557" s="2">
        <v>860.87869999999998</v>
      </c>
      <c r="AI2557" s="3">
        <v>0.39461564818793898</v>
      </c>
    </row>
    <row r="2558" spans="1:35">
      <c r="A2558" s="1">
        <v>42236</v>
      </c>
      <c r="B2558" s="1">
        <v>37399</v>
      </c>
      <c r="C2558" t="s">
        <v>5180</v>
      </c>
      <c r="D2558">
        <v>368</v>
      </c>
      <c r="E2558">
        <v>28834</v>
      </c>
      <c r="F2558">
        <v>6</v>
      </c>
      <c r="G2558">
        <v>1</v>
      </c>
      <c r="H2558">
        <v>1</v>
      </c>
      <c r="I2558">
        <v>2</v>
      </c>
      <c r="J2558" t="s">
        <v>3547</v>
      </c>
      <c r="K2558" t="s">
        <v>3548</v>
      </c>
      <c r="L2558" s="2">
        <v>1518.7864</v>
      </c>
      <c r="M2558" s="2">
        <v>2443.35</v>
      </c>
      <c r="N2558" t="s">
        <v>30</v>
      </c>
      <c r="O2558" t="s">
        <v>331</v>
      </c>
      <c r="P2558" t="s">
        <v>55</v>
      </c>
      <c r="Q2558" t="s">
        <v>8886</v>
      </c>
      <c r="R2558" s="1">
        <v>25321</v>
      </c>
      <c r="S2558" t="s">
        <v>16</v>
      </c>
      <c r="T2558" t="s">
        <v>29</v>
      </c>
      <c r="U2558" t="s">
        <v>3400</v>
      </c>
      <c r="V2558">
        <v>60000</v>
      </c>
      <c r="W2558">
        <v>2</v>
      </c>
      <c r="X2558" t="s">
        <v>17</v>
      </c>
      <c r="Y2558" t="s">
        <v>53</v>
      </c>
      <c r="Z2558" t="s">
        <v>19</v>
      </c>
      <c r="AA2558" t="s">
        <v>3582</v>
      </c>
      <c r="AB2558" t="s">
        <v>3582</v>
      </c>
      <c r="AC2558" t="s">
        <v>3579</v>
      </c>
      <c r="AD2558" t="s">
        <v>3479</v>
      </c>
      <c r="AE2558" t="s">
        <v>3475</v>
      </c>
      <c r="AF2558" s="2">
        <v>2443.35</v>
      </c>
      <c r="AG2558" s="2">
        <v>1518.7864</v>
      </c>
      <c r="AH2558" s="2">
        <v>924.56359999999995</v>
      </c>
      <c r="AI2558" s="3">
        <v>0.37839998362903399</v>
      </c>
    </row>
    <row r="2559" spans="1:35">
      <c r="A2559" s="1">
        <v>42234</v>
      </c>
      <c r="B2559" s="1">
        <v>37450</v>
      </c>
      <c r="C2559" t="s">
        <v>5157</v>
      </c>
      <c r="D2559">
        <v>368</v>
      </c>
      <c r="E2559">
        <v>28836</v>
      </c>
      <c r="F2559">
        <v>6</v>
      </c>
      <c r="G2559">
        <v>1</v>
      </c>
      <c r="H2559">
        <v>1</v>
      </c>
      <c r="I2559">
        <v>2</v>
      </c>
      <c r="J2559" t="s">
        <v>3547</v>
      </c>
      <c r="K2559" t="s">
        <v>3548</v>
      </c>
      <c r="L2559" s="2">
        <v>1518.7864</v>
      </c>
      <c r="M2559" s="2">
        <v>2443.35</v>
      </c>
      <c r="N2559" t="s">
        <v>30</v>
      </c>
      <c r="O2559" t="s">
        <v>43</v>
      </c>
      <c r="P2559" t="s">
        <v>334</v>
      </c>
      <c r="Q2559" t="s">
        <v>8887</v>
      </c>
      <c r="R2559" s="1">
        <v>26153</v>
      </c>
      <c r="S2559" t="s">
        <v>22</v>
      </c>
      <c r="T2559" t="s">
        <v>29</v>
      </c>
      <c r="U2559" t="s">
        <v>3401</v>
      </c>
      <c r="V2559">
        <v>60000</v>
      </c>
      <c r="W2559">
        <v>1</v>
      </c>
      <c r="X2559" t="s">
        <v>135</v>
      </c>
      <c r="Y2559" t="s">
        <v>18</v>
      </c>
      <c r="Z2559" t="s">
        <v>23</v>
      </c>
      <c r="AA2559" t="s">
        <v>3582</v>
      </c>
      <c r="AB2559" t="s">
        <v>3582</v>
      </c>
      <c r="AC2559" t="s">
        <v>3579</v>
      </c>
      <c r="AD2559" t="s">
        <v>3479</v>
      </c>
      <c r="AE2559" t="s">
        <v>3475</v>
      </c>
      <c r="AF2559" s="2">
        <v>2443.35</v>
      </c>
      <c r="AG2559" s="2">
        <v>1518.7864</v>
      </c>
      <c r="AH2559" s="2">
        <v>924.56359999999995</v>
      </c>
      <c r="AI2559" s="3">
        <v>0.37839998362903399</v>
      </c>
    </row>
    <row r="2560" spans="1:35">
      <c r="A2560" s="1">
        <v>42228</v>
      </c>
      <c r="B2560" s="1">
        <v>37362</v>
      </c>
      <c r="C2560" t="s">
        <v>5103</v>
      </c>
      <c r="D2560">
        <v>373</v>
      </c>
      <c r="E2560">
        <v>28837</v>
      </c>
      <c r="F2560">
        <v>6</v>
      </c>
      <c r="G2560">
        <v>1</v>
      </c>
      <c r="H2560">
        <v>1</v>
      </c>
      <c r="I2560">
        <v>2</v>
      </c>
      <c r="J2560" t="s">
        <v>3555</v>
      </c>
      <c r="K2560" t="s">
        <v>3556</v>
      </c>
      <c r="L2560" s="2">
        <v>1320.6838</v>
      </c>
      <c r="M2560" s="2">
        <v>2181.5625</v>
      </c>
      <c r="N2560" t="s">
        <v>30</v>
      </c>
      <c r="O2560" t="s">
        <v>374</v>
      </c>
      <c r="P2560" t="s">
        <v>293</v>
      </c>
      <c r="Q2560" t="s">
        <v>8888</v>
      </c>
      <c r="R2560" s="1">
        <v>26226</v>
      </c>
      <c r="S2560" t="s">
        <v>16</v>
      </c>
      <c r="T2560" t="s">
        <v>29</v>
      </c>
      <c r="U2560" t="s">
        <v>3402</v>
      </c>
      <c r="V2560">
        <v>60000</v>
      </c>
      <c r="W2560">
        <v>1</v>
      </c>
      <c r="X2560" t="s">
        <v>135</v>
      </c>
      <c r="Y2560" t="s">
        <v>18</v>
      </c>
      <c r="Z2560" t="s">
        <v>23</v>
      </c>
      <c r="AA2560" t="s">
        <v>3582</v>
      </c>
      <c r="AB2560" t="s">
        <v>3582</v>
      </c>
      <c r="AC2560" t="s">
        <v>3579</v>
      </c>
      <c r="AD2560" t="s">
        <v>3479</v>
      </c>
      <c r="AE2560" t="s">
        <v>3475</v>
      </c>
      <c r="AF2560" s="2">
        <v>2181.5625</v>
      </c>
      <c r="AG2560" s="2">
        <v>1320.6838</v>
      </c>
      <c r="AH2560" s="2">
        <v>860.87869999999998</v>
      </c>
      <c r="AI2560" s="3">
        <v>0.39461564818793898</v>
      </c>
    </row>
    <row r="2561" spans="1:35">
      <c r="A2561" s="1">
        <v>42230</v>
      </c>
      <c r="B2561" s="1">
        <v>37467</v>
      </c>
      <c r="C2561" t="s">
        <v>5122</v>
      </c>
      <c r="D2561">
        <v>377</v>
      </c>
      <c r="E2561">
        <v>28848</v>
      </c>
      <c r="F2561">
        <v>6</v>
      </c>
      <c r="G2561">
        <v>1</v>
      </c>
      <c r="H2561">
        <v>1</v>
      </c>
      <c r="I2561">
        <v>2</v>
      </c>
      <c r="J2561" t="s">
        <v>3559</v>
      </c>
      <c r="K2561" t="s">
        <v>3560</v>
      </c>
      <c r="L2561" s="2">
        <v>1320.6838</v>
      </c>
      <c r="M2561" s="2">
        <v>2181.5625</v>
      </c>
      <c r="N2561" t="s">
        <v>13</v>
      </c>
      <c r="O2561" t="s">
        <v>614</v>
      </c>
      <c r="P2561" t="s">
        <v>148</v>
      </c>
      <c r="Q2561" t="s">
        <v>8889</v>
      </c>
      <c r="R2561" s="1">
        <v>24679</v>
      </c>
      <c r="S2561" t="s">
        <v>22</v>
      </c>
      <c r="T2561" t="s">
        <v>16</v>
      </c>
      <c r="U2561" t="s">
        <v>3403</v>
      </c>
      <c r="V2561">
        <v>40000</v>
      </c>
      <c r="W2561">
        <v>0</v>
      </c>
      <c r="X2561" t="s">
        <v>17</v>
      </c>
      <c r="Y2561" t="s">
        <v>18</v>
      </c>
      <c r="Z2561" t="s">
        <v>23</v>
      </c>
      <c r="AA2561" t="s">
        <v>3582</v>
      </c>
      <c r="AB2561" t="s">
        <v>3582</v>
      </c>
      <c r="AC2561" t="s">
        <v>3579</v>
      </c>
      <c r="AD2561" t="s">
        <v>3479</v>
      </c>
      <c r="AE2561" t="s">
        <v>3475</v>
      </c>
      <c r="AF2561" s="2">
        <v>2181.5625</v>
      </c>
      <c r="AG2561" s="2">
        <v>1320.6838</v>
      </c>
      <c r="AH2561" s="2">
        <v>860.87869999999998</v>
      </c>
      <c r="AI2561" s="3">
        <v>0.39461564818793898</v>
      </c>
    </row>
    <row r="2562" spans="1:35">
      <c r="A2562" s="1">
        <v>42222</v>
      </c>
      <c r="B2562" s="1">
        <v>37455</v>
      </c>
      <c r="C2562" t="s">
        <v>5056</v>
      </c>
      <c r="D2562">
        <v>370</v>
      </c>
      <c r="E2562">
        <v>28850</v>
      </c>
      <c r="F2562">
        <v>6</v>
      </c>
      <c r="G2562">
        <v>1</v>
      </c>
      <c r="H2562">
        <v>1</v>
      </c>
      <c r="I2562">
        <v>2</v>
      </c>
      <c r="J2562" t="s">
        <v>3551</v>
      </c>
      <c r="K2562" t="s">
        <v>3552</v>
      </c>
      <c r="L2562" s="2">
        <v>1518.7864</v>
      </c>
      <c r="M2562" s="2">
        <v>2443.35</v>
      </c>
      <c r="N2562" t="s">
        <v>13</v>
      </c>
      <c r="O2562" t="s">
        <v>203</v>
      </c>
      <c r="P2562" t="s">
        <v>101</v>
      </c>
      <c r="Q2562" t="s">
        <v>8890</v>
      </c>
      <c r="R2562" s="1">
        <v>25876</v>
      </c>
      <c r="S2562" t="s">
        <v>22</v>
      </c>
      <c r="T2562" t="s">
        <v>16</v>
      </c>
      <c r="U2562" t="s">
        <v>3404</v>
      </c>
      <c r="V2562">
        <v>60000</v>
      </c>
      <c r="W2562">
        <v>1</v>
      </c>
      <c r="X2562" t="s">
        <v>135</v>
      </c>
      <c r="Y2562" t="s">
        <v>18</v>
      </c>
      <c r="Z2562" t="s">
        <v>23</v>
      </c>
      <c r="AA2562" t="s">
        <v>3582</v>
      </c>
      <c r="AB2562" t="s">
        <v>3582</v>
      </c>
      <c r="AC2562" t="s">
        <v>3579</v>
      </c>
      <c r="AD2562" t="s">
        <v>3479</v>
      </c>
      <c r="AE2562" t="s">
        <v>3475</v>
      </c>
      <c r="AF2562" s="2">
        <v>2443.35</v>
      </c>
      <c r="AG2562" s="2">
        <v>1518.7864</v>
      </c>
      <c r="AH2562" s="2">
        <v>924.56359999999995</v>
      </c>
      <c r="AI2562" s="3">
        <v>0.37839998362903399</v>
      </c>
    </row>
    <row r="2563" spans="1:35">
      <c r="A2563" s="1">
        <v>42240</v>
      </c>
      <c r="B2563" s="1">
        <v>37388</v>
      </c>
      <c r="C2563" t="s">
        <v>5212</v>
      </c>
      <c r="D2563">
        <v>371</v>
      </c>
      <c r="E2563">
        <v>29013</v>
      </c>
      <c r="F2563">
        <v>6</v>
      </c>
      <c r="G2563">
        <v>1</v>
      </c>
      <c r="H2563">
        <v>1</v>
      </c>
      <c r="I2563">
        <v>2</v>
      </c>
      <c r="J2563" t="s">
        <v>3553</v>
      </c>
      <c r="K2563" t="s">
        <v>3554</v>
      </c>
      <c r="L2563" s="2">
        <v>1320.6838</v>
      </c>
      <c r="M2563" s="2">
        <v>2181.5625</v>
      </c>
      <c r="N2563" t="s">
        <v>30</v>
      </c>
      <c r="O2563" t="s">
        <v>721</v>
      </c>
      <c r="P2563" t="s">
        <v>704</v>
      </c>
      <c r="Q2563" t="s">
        <v>8891</v>
      </c>
      <c r="R2563" s="1">
        <v>18393</v>
      </c>
      <c r="S2563" t="s">
        <v>22</v>
      </c>
      <c r="T2563" t="s">
        <v>29</v>
      </c>
      <c r="U2563" t="s">
        <v>3405</v>
      </c>
      <c r="V2563">
        <v>40000</v>
      </c>
      <c r="W2563">
        <v>2</v>
      </c>
      <c r="X2563" t="s">
        <v>77</v>
      </c>
      <c r="Y2563" t="s">
        <v>53</v>
      </c>
      <c r="Z2563" t="s">
        <v>19</v>
      </c>
      <c r="AA2563" t="s">
        <v>3582</v>
      </c>
      <c r="AB2563" t="s">
        <v>3582</v>
      </c>
      <c r="AC2563" t="s">
        <v>3579</v>
      </c>
      <c r="AD2563" t="s">
        <v>3479</v>
      </c>
      <c r="AE2563" t="s">
        <v>3475</v>
      </c>
      <c r="AF2563" s="2">
        <v>2181.5625</v>
      </c>
      <c r="AG2563" s="2">
        <v>1320.6838</v>
      </c>
      <c r="AH2563" s="2">
        <v>860.87869999999998</v>
      </c>
      <c r="AI2563" s="3">
        <v>0.39461564818793898</v>
      </c>
    </row>
    <row r="2564" spans="1:35">
      <c r="A2564" s="1">
        <v>42241</v>
      </c>
      <c r="B2564" s="1">
        <v>37459</v>
      </c>
      <c r="C2564" t="s">
        <v>5219</v>
      </c>
      <c r="D2564">
        <v>373</v>
      </c>
      <c r="E2564">
        <v>29135</v>
      </c>
      <c r="F2564">
        <v>6</v>
      </c>
      <c r="G2564">
        <v>1</v>
      </c>
      <c r="H2564">
        <v>1</v>
      </c>
      <c r="I2564">
        <v>2</v>
      </c>
      <c r="J2564" t="s">
        <v>3555</v>
      </c>
      <c r="K2564" t="s">
        <v>3556</v>
      </c>
      <c r="L2564" s="2">
        <v>1320.6838</v>
      </c>
      <c r="M2564" s="2">
        <v>2181.5625</v>
      </c>
      <c r="N2564" t="s">
        <v>13</v>
      </c>
      <c r="O2564" t="s">
        <v>112</v>
      </c>
      <c r="P2564" t="s">
        <v>425</v>
      </c>
      <c r="Q2564" t="s">
        <v>8892</v>
      </c>
      <c r="R2564" s="1">
        <v>23654</v>
      </c>
      <c r="S2564" t="s">
        <v>16</v>
      </c>
      <c r="T2564" t="s">
        <v>16</v>
      </c>
      <c r="U2564" t="s">
        <v>3406</v>
      </c>
      <c r="V2564">
        <v>60000</v>
      </c>
      <c r="W2564">
        <v>4</v>
      </c>
      <c r="X2564" t="s">
        <v>17</v>
      </c>
      <c r="Y2564" t="s">
        <v>53</v>
      </c>
      <c r="Z2564" t="s">
        <v>19</v>
      </c>
      <c r="AA2564" t="s">
        <v>3582</v>
      </c>
      <c r="AB2564" t="s">
        <v>3582</v>
      </c>
      <c r="AC2564" t="s">
        <v>3579</v>
      </c>
      <c r="AD2564" t="s">
        <v>3479</v>
      </c>
      <c r="AE2564" t="s">
        <v>3475</v>
      </c>
      <c r="AF2564" s="2">
        <v>2181.5625</v>
      </c>
      <c r="AG2564" s="2">
        <v>1320.6838</v>
      </c>
      <c r="AH2564" s="2">
        <v>860.87869999999998</v>
      </c>
      <c r="AI2564" s="3">
        <v>0.39461564818793898</v>
      </c>
    </row>
    <row r="2565" spans="1:35">
      <c r="A2565" s="1">
        <v>42010</v>
      </c>
      <c r="B2565" s="1">
        <v>37158</v>
      </c>
      <c r="C2565" t="s">
        <v>3621</v>
      </c>
      <c r="D2565">
        <v>310</v>
      </c>
      <c r="E2565">
        <v>29140</v>
      </c>
      <c r="F2565">
        <v>1</v>
      </c>
      <c r="G2565">
        <v>1</v>
      </c>
      <c r="H2565">
        <v>1</v>
      </c>
      <c r="I2565">
        <v>2</v>
      </c>
      <c r="J2565" t="s">
        <v>3485</v>
      </c>
      <c r="K2565" t="s">
        <v>3486</v>
      </c>
      <c r="L2565" s="2">
        <v>2171.2941999999998</v>
      </c>
      <c r="M2565" s="2">
        <v>3578.27</v>
      </c>
      <c r="N2565" t="s">
        <v>13</v>
      </c>
      <c r="O2565" t="s">
        <v>765</v>
      </c>
      <c r="P2565" t="s">
        <v>424</v>
      </c>
      <c r="Q2565" t="s">
        <v>8893</v>
      </c>
      <c r="R2565" s="1">
        <v>23343</v>
      </c>
      <c r="S2565" t="s">
        <v>22</v>
      </c>
      <c r="T2565" t="s">
        <v>16</v>
      </c>
      <c r="U2565" t="s">
        <v>3407</v>
      </c>
      <c r="V2565">
        <v>60000</v>
      </c>
      <c r="W2565">
        <v>3</v>
      </c>
      <c r="X2565" t="s">
        <v>135</v>
      </c>
      <c r="Y2565" t="s">
        <v>18</v>
      </c>
      <c r="Z2565" t="s">
        <v>19</v>
      </c>
      <c r="AA2565" t="s">
        <v>3577</v>
      </c>
      <c r="AB2565" t="s">
        <v>3578</v>
      </c>
      <c r="AC2565" t="s">
        <v>3579</v>
      </c>
      <c r="AD2565" t="s">
        <v>3479</v>
      </c>
      <c r="AE2565" t="s">
        <v>3475</v>
      </c>
      <c r="AF2565" s="2">
        <v>3578.27</v>
      </c>
      <c r="AG2565" s="2">
        <v>2171.2941999999998</v>
      </c>
      <c r="AH2565" s="2">
        <v>1406.9757999999999</v>
      </c>
      <c r="AI2565" s="3">
        <v>0.39320001006072802</v>
      </c>
    </row>
    <row r="2566" spans="1:35">
      <c r="A2566" s="1">
        <v>42012</v>
      </c>
      <c r="B2566" s="1">
        <v>37206</v>
      </c>
      <c r="C2566" t="s">
        <v>3634</v>
      </c>
      <c r="D2566">
        <v>313</v>
      </c>
      <c r="E2566">
        <v>29141</v>
      </c>
      <c r="F2566">
        <v>4</v>
      </c>
      <c r="G2566">
        <v>1</v>
      </c>
      <c r="H2566">
        <v>1</v>
      </c>
      <c r="I2566">
        <v>2</v>
      </c>
      <c r="J2566" t="s">
        <v>3491</v>
      </c>
      <c r="K2566" t="s">
        <v>3492</v>
      </c>
      <c r="L2566" s="2">
        <v>2171.2941999999998</v>
      </c>
      <c r="M2566" s="2">
        <v>3578.27</v>
      </c>
      <c r="N2566" t="s">
        <v>30</v>
      </c>
      <c r="O2566" t="s">
        <v>981</v>
      </c>
      <c r="P2566" t="s">
        <v>56</v>
      </c>
      <c r="Q2566" t="s">
        <v>8894</v>
      </c>
      <c r="R2566" s="1">
        <v>22844</v>
      </c>
      <c r="S2566" t="s">
        <v>22</v>
      </c>
      <c r="T2566" t="s">
        <v>29</v>
      </c>
      <c r="U2566" t="s">
        <v>3408</v>
      </c>
      <c r="V2566">
        <v>60000</v>
      </c>
      <c r="W2566">
        <v>1</v>
      </c>
      <c r="X2566" t="s">
        <v>17</v>
      </c>
      <c r="Y2566" t="s">
        <v>18</v>
      </c>
      <c r="Z2566" t="s">
        <v>23</v>
      </c>
      <c r="AA2566" t="s">
        <v>3580</v>
      </c>
      <c r="AB2566" t="s">
        <v>3578</v>
      </c>
      <c r="AC2566" t="s">
        <v>3579</v>
      </c>
      <c r="AD2566" t="s">
        <v>3479</v>
      </c>
      <c r="AE2566" t="s">
        <v>3475</v>
      </c>
      <c r="AF2566" s="2">
        <v>3578.27</v>
      </c>
      <c r="AG2566" s="2">
        <v>2171.2941999999998</v>
      </c>
      <c r="AH2566" s="2">
        <v>1406.9757999999999</v>
      </c>
      <c r="AI2566" s="3">
        <v>0.39320001006072802</v>
      </c>
    </row>
    <row r="2567" spans="1:35">
      <c r="A2567" s="1">
        <v>42010</v>
      </c>
      <c r="B2567" s="1">
        <v>37181</v>
      </c>
      <c r="C2567" t="s">
        <v>3618</v>
      </c>
      <c r="D2567">
        <v>310</v>
      </c>
      <c r="E2567">
        <v>29142</v>
      </c>
      <c r="F2567">
        <v>4</v>
      </c>
      <c r="G2567">
        <v>1</v>
      </c>
      <c r="H2567">
        <v>1</v>
      </c>
      <c r="I2567">
        <v>2</v>
      </c>
      <c r="J2567" t="s">
        <v>3485</v>
      </c>
      <c r="K2567" t="s">
        <v>3486</v>
      </c>
      <c r="L2567" s="2">
        <v>2171.2941999999998</v>
      </c>
      <c r="M2567" s="2">
        <v>3578.27</v>
      </c>
      <c r="N2567" t="s">
        <v>30</v>
      </c>
      <c r="O2567" t="s">
        <v>289</v>
      </c>
      <c r="P2567" t="s">
        <v>672</v>
      </c>
      <c r="Q2567" t="s">
        <v>8895</v>
      </c>
      <c r="R2567" s="1">
        <v>22790</v>
      </c>
      <c r="S2567" t="s">
        <v>16</v>
      </c>
      <c r="T2567" t="s">
        <v>29</v>
      </c>
      <c r="U2567" t="s">
        <v>3409</v>
      </c>
      <c r="V2567">
        <v>60000</v>
      </c>
      <c r="W2567">
        <v>1</v>
      </c>
      <c r="X2567" t="s">
        <v>17</v>
      </c>
      <c r="Y2567" t="s">
        <v>18</v>
      </c>
      <c r="Z2567" t="s">
        <v>19</v>
      </c>
      <c r="AA2567" t="s">
        <v>3580</v>
      </c>
      <c r="AB2567" t="s">
        <v>3578</v>
      </c>
      <c r="AC2567" t="s">
        <v>3579</v>
      </c>
      <c r="AD2567" t="s">
        <v>3479</v>
      </c>
      <c r="AE2567" t="s">
        <v>3475</v>
      </c>
      <c r="AF2567" s="2">
        <v>3578.27</v>
      </c>
      <c r="AG2567" s="2">
        <v>2171.2941999999998</v>
      </c>
      <c r="AH2567" s="2">
        <v>1406.9757999999999</v>
      </c>
      <c r="AI2567" s="3">
        <v>0.39320001006072802</v>
      </c>
    </row>
    <row r="2568" spans="1:35">
      <c r="A2568" s="1">
        <v>42006</v>
      </c>
      <c r="B2568" s="1">
        <v>37176</v>
      </c>
      <c r="C2568" t="s">
        <v>3599</v>
      </c>
      <c r="D2568">
        <v>310</v>
      </c>
      <c r="E2568">
        <v>29143</v>
      </c>
      <c r="F2568">
        <v>4</v>
      </c>
      <c r="G2568">
        <v>1</v>
      </c>
      <c r="H2568">
        <v>1</v>
      </c>
      <c r="I2568">
        <v>2</v>
      </c>
      <c r="J2568" t="s">
        <v>3485</v>
      </c>
      <c r="K2568" t="s">
        <v>3486</v>
      </c>
      <c r="L2568" s="2">
        <v>2171.2941999999998</v>
      </c>
      <c r="M2568" s="2">
        <v>3578.27</v>
      </c>
      <c r="N2568" t="s">
        <v>30</v>
      </c>
      <c r="O2568" t="s">
        <v>147</v>
      </c>
      <c r="P2568" t="s">
        <v>47</v>
      </c>
      <c r="Q2568" t="s">
        <v>8896</v>
      </c>
      <c r="R2568" s="1">
        <v>22721</v>
      </c>
      <c r="S2568" t="s">
        <v>22</v>
      </c>
      <c r="T2568" t="s">
        <v>29</v>
      </c>
      <c r="U2568" t="s">
        <v>3410</v>
      </c>
      <c r="V2568">
        <v>60000</v>
      </c>
      <c r="W2568">
        <v>1</v>
      </c>
      <c r="X2568" t="s">
        <v>17</v>
      </c>
      <c r="Y2568" t="s">
        <v>18</v>
      </c>
      <c r="Z2568" t="s">
        <v>23</v>
      </c>
      <c r="AA2568" t="s">
        <v>3580</v>
      </c>
      <c r="AB2568" t="s">
        <v>3578</v>
      </c>
      <c r="AC2568" t="s">
        <v>3579</v>
      </c>
      <c r="AD2568" t="s">
        <v>3479</v>
      </c>
      <c r="AE2568" t="s">
        <v>3475</v>
      </c>
      <c r="AF2568" s="2">
        <v>3578.27</v>
      </c>
      <c r="AG2568" s="2">
        <v>2171.2941999999998</v>
      </c>
      <c r="AH2568" s="2">
        <v>1406.9757999999999</v>
      </c>
      <c r="AI2568" s="3">
        <v>0.39320001006072802</v>
      </c>
    </row>
    <row r="2569" spans="1:35">
      <c r="A2569" s="1">
        <v>42028</v>
      </c>
      <c r="B2569" s="1">
        <v>37196</v>
      </c>
      <c r="C2569" t="s">
        <v>3731</v>
      </c>
      <c r="D2569">
        <v>314</v>
      </c>
      <c r="E2569">
        <v>29144</v>
      </c>
      <c r="F2569">
        <v>1</v>
      </c>
      <c r="G2569">
        <v>1</v>
      </c>
      <c r="H2569">
        <v>1</v>
      </c>
      <c r="I2569">
        <v>2</v>
      </c>
      <c r="J2569" t="s">
        <v>3493</v>
      </c>
      <c r="K2569" t="s">
        <v>3494</v>
      </c>
      <c r="L2569" s="2">
        <v>2171.2941999999998</v>
      </c>
      <c r="M2569" s="2">
        <v>3578.27</v>
      </c>
      <c r="N2569" t="s">
        <v>13</v>
      </c>
      <c r="O2569" t="s">
        <v>989</v>
      </c>
      <c r="P2569" t="s">
        <v>68</v>
      </c>
      <c r="Q2569" t="s">
        <v>8897</v>
      </c>
      <c r="R2569" s="1">
        <v>22688</v>
      </c>
      <c r="S2569" t="s">
        <v>16</v>
      </c>
      <c r="T2569" t="s">
        <v>16</v>
      </c>
      <c r="U2569" t="s">
        <v>3411</v>
      </c>
      <c r="V2569">
        <v>60000</v>
      </c>
      <c r="W2569">
        <v>1</v>
      </c>
      <c r="X2569" t="s">
        <v>52</v>
      </c>
      <c r="Y2569" t="s">
        <v>53</v>
      </c>
      <c r="Z2569" t="s">
        <v>19</v>
      </c>
      <c r="AA2569" t="s">
        <v>3577</v>
      </c>
      <c r="AB2569" t="s">
        <v>3578</v>
      </c>
      <c r="AC2569" t="s">
        <v>3579</v>
      </c>
      <c r="AD2569" t="s">
        <v>3479</v>
      </c>
      <c r="AE2569" t="s">
        <v>3475</v>
      </c>
      <c r="AF2569" s="2">
        <v>3578.27</v>
      </c>
      <c r="AG2569" s="2">
        <v>2171.2941999999998</v>
      </c>
      <c r="AH2569" s="2">
        <v>1406.9757999999999</v>
      </c>
      <c r="AI2569" s="3">
        <v>0.39320001006072802</v>
      </c>
    </row>
    <row r="2570" spans="1:35">
      <c r="A2570" s="1">
        <v>42023</v>
      </c>
      <c r="B2570" s="1">
        <v>37228</v>
      </c>
      <c r="C2570" t="s">
        <v>3705</v>
      </c>
      <c r="D2570">
        <v>310</v>
      </c>
      <c r="E2570">
        <v>29145</v>
      </c>
      <c r="F2570">
        <v>1</v>
      </c>
      <c r="G2570">
        <v>1</v>
      </c>
      <c r="H2570">
        <v>1</v>
      </c>
      <c r="I2570">
        <v>2</v>
      </c>
      <c r="J2570" t="s">
        <v>3485</v>
      </c>
      <c r="K2570" t="s">
        <v>3486</v>
      </c>
      <c r="L2570" s="2">
        <v>2171.2941999999998</v>
      </c>
      <c r="M2570" s="2">
        <v>3578.27</v>
      </c>
      <c r="N2570" t="s">
        <v>30</v>
      </c>
      <c r="O2570" t="s">
        <v>718</v>
      </c>
      <c r="P2570" t="s">
        <v>314</v>
      </c>
      <c r="Q2570" t="s">
        <v>8898</v>
      </c>
      <c r="R2570" s="1">
        <v>22868</v>
      </c>
      <c r="S2570" t="s">
        <v>16</v>
      </c>
      <c r="T2570" t="s">
        <v>29</v>
      </c>
      <c r="U2570" t="s">
        <v>3412</v>
      </c>
      <c r="V2570">
        <v>60000</v>
      </c>
      <c r="W2570">
        <v>1</v>
      </c>
      <c r="X2570" t="s">
        <v>52</v>
      </c>
      <c r="Y2570" t="s">
        <v>53</v>
      </c>
      <c r="Z2570" t="s">
        <v>19</v>
      </c>
      <c r="AA2570" t="s">
        <v>3577</v>
      </c>
      <c r="AB2570" t="s">
        <v>3578</v>
      </c>
      <c r="AC2570" t="s">
        <v>3579</v>
      </c>
      <c r="AD2570" t="s">
        <v>3479</v>
      </c>
      <c r="AE2570" t="s">
        <v>3475</v>
      </c>
      <c r="AF2570" s="2">
        <v>3578.27</v>
      </c>
      <c r="AG2570" s="2">
        <v>2171.2941999999998</v>
      </c>
      <c r="AH2570" s="2">
        <v>1406.9757999999999</v>
      </c>
      <c r="AI2570" s="3">
        <v>0.39320001006072802</v>
      </c>
    </row>
    <row r="2571" spans="1:35">
      <c r="A2571" s="1">
        <v>42012</v>
      </c>
      <c r="B2571" s="1">
        <v>37196</v>
      </c>
      <c r="C2571" t="s">
        <v>3631</v>
      </c>
      <c r="D2571">
        <v>310</v>
      </c>
      <c r="E2571">
        <v>29146</v>
      </c>
      <c r="F2571">
        <v>1</v>
      </c>
      <c r="G2571">
        <v>1</v>
      </c>
      <c r="H2571">
        <v>1</v>
      </c>
      <c r="I2571">
        <v>2</v>
      </c>
      <c r="J2571" t="s">
        <v>3485</v>
      </c>
      <c r="K2571" t="s">
        <v>3486</v>
      </c>
      <c r="L2571" s="2">
        <v>2171.2941999999998</v>
      </c>
      <c r="M2571" s="2">
        <v>3578.27</v>
      </c>
      <c r="N2571" t="s">
        <v>13</v>
      </c>
      <c r="O2571" t="s">
        <v>46</v>
      </c>
      <c r="P2571" t="s">
        <v>146</v>
      </c>
      <c r="Q2571" t="s">
        <v>8899</v>
      </c>
      <c r="R2571" s="1">
        <v>22927</v>
      </c>
      <c r="S2571" t="s">
        <v>16</v>
      </c>
      <c r="T2571" t="s">
        <v>16</v>
      </c>
      <c r="U2571" t="s">
        <v>3413</v>
      </c>
      <c r="V2571">
        <v>60000</v>
      </c>
      <c r="W2571">
        <v>1</v>
      </c>
      <c r="X2571" t="s">
        <v>52</v>
      </c>
      <c r="Y2571" t="s">
        <v>53</v>
      </c>
      <c r="Z2571" t="s">
        <v>19</v>
      </c>
      <c r="AA2571" t="s">
        <v>3577</v>
      </c>
      <c r="AB2571" t="s">
        <v>3578</v>
      </c>
      <c r="AC2571" t="s">
        <v>3579</v>
      </c>
      <c r="AD2571" t="s">
        <v>3479</v>
      </c>
      <c r="AE2571" t="s">
        <v>3475</v>
      </c>
      <c r="AF2571" s="2">
        <v>3578.27</v>
      </c>
      <c r="AG2571" s="2">
        <v>2171.2941999999998</v>
      </c>
      <c r="AH2571" s="2">
        <v>1406.9757999999999</v>
      </c>
      <c r="AI2571" s="3">
        <v>0.39320001006072802</v>
      </c>
    </row>
    <row r="2572" spans="1:35">
      <c r="A2572" s="1">
        <v>42031</v>
      </c>
      <c r="B2572" s="1">
        <v>37222</v>
      </c>
      <c r="C2572" t="s">
        <v>3749</v>
      </c>
      <c r="D2572">
        <v>314</v>
      </c>
      <c r="E2572">
        <v>29147</v>
      </c>
      <c r="F2572">
        <v>1</v>
      </c>
      <c r="G2572">
        <v>1</v>
      </c>
      <c r="H2572">
        <v>1</v>
      </c>
      <c r="I2572">
        <v>2</v>
      </c>
      <c r="J2572" t="s">
        <v>3493</v>
      </c>
      <c r="K2572" t="s">
        <v>3494</v>
      </c>
      <c r="L2572" s="2">
        <v>2171.2941999999998</v>
      </c>
      <c r="M2572" s="2">
        <v>3578.27</v>
      </c>
      <c r="N2572" t="s">
        <v>30</v>
      </c>
      <c r="O2572" t="s">
        <v>771</v>
      </c>
      <c r="P2572" t="s">
        <v>277</v>
      </c>
      <c r="Q2572" t="s">
        <v>8900</v>
      </c>
      <c r="R2572" s="1">
        <v>22326</v>
      </c>
      <c r="S2572" t="s">
        <v>22</v>
      </c>
      <c r="T2572" t="s">
        <v>29</v>
      </c>
      <c r="U2572" t="s">
        <v>3414</v>
      </c>
      <c r="V2572">
        <v>40000</v>
      </c>
      <c r="W2572">
        <v>4</v>
      </c>
      <c r="X2572" t="s">
        <v>57</v>
      </c>
      <c r="Y2572" t="s">
        <v>53</v>
      </c>
      <c r="Z2572" t="s">
        <v>23</v>
      </c>
      <c r="AA2572" t="s">
        <v>3577</v>
      </c>
      <c r="AB2572" t="s">
        <v>3578</v>
      </c>
      <c r="AC2572" t="s">
        <v>3579</v>
      </c>
      <c r="AD2572" t="s">
        <v>3479</v>
      </c>
      <c r="AE2572" t="s">
        <v>3475</v>
      </c>
      <c r="AF2572" s="2">
        <v>3578.27</v>
      </c>
      <c r="AG2572" s="2">
        <v>2171.2941999999998</v>
      </c>
      <c r="AH2572" s="2">
        <v>1406.9757999999999</v>
      </c>
      <c r="AI2572" s="3">
        <v>0.39320001006072802</v>
      </c>
    </row>
    <row r="2573" spans="1:35">
      <c r="A2573" s="1">
        <v>42025</v>
      </c>
      <c r="B2573" s="1">
        <v>37261</v>
      </c>
      <c r="C2573" t="s">
        <v>3714</v>
      </c>
      <c r="D2573">
        <v>311</v>
      </c>
      <c r="E2573">
        <v>29148</v>
      </c>
      <c r="F2573">
        <v>4</v>
      </c>
      <c r="G2573">
        <v>1</v>
      </c>
      <c r="H2573">
        <v>1</v>
      </c>
      <c r="I2573">
        <v>2</v>
      </c>
      <c r="J2573" t="s">
        <v>3487</v>
      </c>
      <c r="K2573" t="s">
        <v>3488</v>
      </c>
      <c r="L2573" s="2">
        <v>2171.2941999999998</v>
      </c>
      <c r="M2573" s="2">
        <v>3578.27</v>
      </c>
      <c r="N2573" t="s">
        <v>30</v>
      </c>
      <c r="O2573" t="s">
        <v>687</v>
      </c>
      <c r="P2573" t="s">
        <v>105</v>
      </c>
      <c r="Q2573" t="s">
        <v>8901</v>
      </c>
      <c r="R2573" s="1">
        <v>22598</v>
      </c>
      <c r="S2573" t="s">
        <v>22</v>
      </c>
      <c r="T2573" t="s">
        <v>29</v>
      </c>
      <c r="U2573" t="s">
        <v>3415</v>
      </c>
      <c r="V2573">
        <v>40000</v>
      </c>
      <c r="W2573">
        <v>4</v>
      </c>
      <c r="X2573" t="s">
        <v>57</v>
      </c>
      <c r="Y2573" t="s">
        <v>53</v>
      </c>
      <c r="Z2573" t="s">
        <v>19</v>
      </c>
      <c r="AA2573" t="s">
        <v>3580</v>
      </c>
      <c r="AB2573" t="s">
        <v>3578</v>
      </c>
      <c r="AC2573" t="s">
        <v>3579</v>
      </c>
      <c r="AD2573" t="s">
        <v>3479</v>
      </c>
      <c r="AE2573" t="s">
        <v>3475</v>
      </c>
      <c r="AF2573" s="2">
        <v>3578.27</v>
      </c>
      <c r="AG2573" s="2">
        <v>2171.2941999999998</v>
      </c>
      <c r="AH2573" s="2">
        <v>1406.9757999999999</v>
      </c>
      <c r="AI2573" s="3">
        <v>0.39320001006072802</v>
      </c>
    </row>
    <row r="2574" spans="1:35">
      <c r="A2574" s="1">
        <v>42265</v>
      </c>
      <c r="B2574" s="1">
        <v>37409</v>
      </c>
      <c r="C2574" t="s">
        <v>5396</v>
      </c>
      <c r="D2574">
        <v>368</v>
      </c>
      <c r="E2574">
        <v>29149</v>
      </c>
      <c r="F2574">
        <v>6</v>
      </c>
      <c r="G2574">
        <v>1</v>
      </c>
      <c r="H2574">
        <v>1</v>
      </c>
      <c r="I2574">
        <v>2</v>
      </c>
      <c r="J2574" t="s">
        <v>3547</v>
      </c>
      <c r="K2574" t="s">
        <v>3548</v>
      </c>
      <c r="L2574" s="2">
        <v>1518.7864</v>
      </c>
      <c r="M2574" s="2">
        <v>2443.35</v>
      </c>
      <c r="N2574" t="s">
        <v>30</v>
      </c>
      <c r="O2574" t="s">
        <v>518</v>
      </c>
      <c r="P2574" t="s">
        <v>798</v>
      </c>
      <c r="Q2574" t="s">
        <v>8902</v>
      </c>
      <c r="R2574" s="1">
        <v>22513</v>
      </c>
      <c r="S2574" t="s">
        <v>16</v>
      </c>
      <c r="T2574" t="s">
        <v>29</v>
      </c>
      <c r="U2574" t="s">
        <v>3416</v>
      </c>
      <c r="V2574">
        <v>60000</v>
      </c>
      <c r="W2574">
        <v>1</v>
      </c>
      <c r="X2574" t="s">
        <v>52</v>
      </c>
      <c r="Y2574" t="s">
        <v>53</v>
      </c>
      <c r="Z2574" t="s">
        <v>19</v>
      </c>
      <c r="AA2574" t="s">
        <v>3582</v>
      </c>
      <c r="AB2574" t="s">
        <v>3582</v>
      </c>
      <c r="AC2574" t="s">
        <v>3579</v>
      </c>
      <c r="AD2574" t="s">
        <v>3479</v>
      </c>
      <c r="AE2574" t="s">
        <v>3475</v>
      </c>
      <c r="AF2574" s="2">
        <v>2443.35</v>
      </c>
      <c r="AG2574" s="2">
        <v>1518.7864</v>
      </c>
      <c r="AH2574" s="2">
        <v>924.56359999999995</v>
      </c>
      <c r="AI2574" s="3">
        <v>0.37839998362903399</v>
      </c>
    </row>
    <row r="2575" spans="1:35">
      <c r="A2575" s="1">
        <v>42035</v>
      </c>
      <c r="B2575" s="1">
        <v>37169</v>
      </c>
      <c r="C2575" t="s">
        <v>3777</v>
      </c>
      <c r="D2575">
        <v>310</v>
      </c>
      <c r="E2575">
        <v>29150</v>
      </c>
      <c r="F2575">
        <v>1</v>
      </c>
      <c r="G2575">
        <v>1</v>
      </c>
      <c r="H2575">
        <v>1</v>
      </c>
      <c r="I2575">
        <v>2</v>
      </c>
      <c r="J2575" t="s">
        <v>3485</v>
      </c>
      <c r="K2575" t="s">
        <v>3486</v>
      </c>
      <c r="L2575" s="2">
        <v>2171.2941999999998</v>
      </c>
      <c r="M2575" s="2">
        <v>3578.27</v>
      </c>
      <c r="N2575" t="s">
        <v>13</v>
      </c>
      <c r="O2575" t="s">
        <v>54</v>
      </c>
      <c r="P2575" t="s">
        <v>246</v>
      </c>
      <c r="Q2575" t="s">
        <v>8903</v>
      </c>
      <c r="R2575" s="1">
        <v>22474</v>
      </c>
      <c r="S2575" t="s">
        <v>16</v>
      </c>
      <c r="T2575" t="s">
        <v>16</v>
      </c>
      <c r="U2575" t="s">
        <v>3417</v>
      </c>
      <c r="V2575">
        <v>60000</v>
      </c>
      <c r="W2575">
        <v>1</v>
      </c>
      <c r="X2575" t="s">
        <v>52</v>
      </c>
      <c r="Y2575" t="s">
        <v>53</v>
      </c>
      <c r="Z2575" t="s">
        <v>19</v>
      </c>
      <c r="AA2575" t="s">
        <v>3577</v>
      </c>
      <c r="AB2575" t="s">
        <v>3578</v>
      </c>
      <c r="AC2575" t="s">
        <v>3579</v>
      </c>
      <c r="AD2575" t="s">
        <v>3479</v>
      </c>
      <c r="AE2575" t="s">
        <v>3475</v>
      </c>
      <c r="AF2575" s="2">
        <v>3578.27</v>
      </c>
      <c r="AG2575" s="2">
        <v>2171.2941999999998</v>
      </c>
      <c r="AH2575" s="2">
        <v>1406.9757999999999</v>
      </c>
      <c r="AI2575" s="3">
        <v>0.39320001006072802</v>
      </c>
    </row>
    <row r="2576" spans="1:35">
      <c r="A2576" s="1">
        <v>42008</v>
      </c>
      <c r="B2576" s="1">
        <v>37194</v>
      </c>
      <c r="C2576" t="s">
        <v>3611</v>
      </c>
      <c r="D2576">
        <v>313</v>
      </c>
      <c r="E2576">
        <v>29151</v>
      </c>
      <c r="F2576">
        <v>4</v>
      </c>
      <c r="G2576">
        <v>1</v>
      </c>
      <c r="H2576">
        <v>1</v>
      </c>
      <c r="I2576">
        <v>2</v>
      </c>
      <c r="J2576" t="s">
        <v>3491</v>
      </c>
      <c r="K2576" t="s">
        <v>3492</v>
      </c>
      <c r="L2576" s="2">
        <v>2171.2941999999998</v>
      </c>
      <c r="M2576" s="2">
        <v>3578.27</v>
      </c>
      <c r="N2576" t="s">
        <v>30</v>
      </c>
      <c r="O2576" t="s">
        <v>242</v>
      </c>
      <c r="P2576" t="s">
        <v>239</v>
      </c>
      <c r="Q2576" t="s">
        <v>8904</v>
      </c>
      <c r="R2576" s="1">
        <v>22363</v>
      </c>
      <c r="S2576" t="s">
        <v>16</v>
      </c>
      <c r="T2576" t="s">
        <v>29</v>
      </c>
      <c r="U2576" t="s">
        <v>3418</v>
      </c>
      <c r="V2576">
        <v>60000</v>
      </c>
      <c r="W2576">
        <v>1</v>
      </c>
      <c r="X2576" t="s">
        <v>52</v>
      </c>
      <c r="Y2576" t="s">
        <v>53</v>
      </c>
      <c r="Z2576" t="s">
        <v>19</v>
      </c>
      <c r="AA2576" t="s">
        <v>3580</v>
      </c>
      <c r="AB2576" t="s">
        <v>3578</v>
      </c>
      <c r="AC2576" t="s">
        <v>3579</v>
      </c>
      <c r="AD2576" t="s">
        <v>3479</v>
      </c>
      <c r="AE2576" t="s">
        <v>3475</v>
      </c>
      <c r="AF2576" s="2">
        <v>3578.27</v>
      </c>
      <c r="AG2576" s="2">
        <v>2171.2941999999998</v>
      </c>
      <c r="AH2576" s="2">
        <v>1406.9757999999999</v>
      </c>
      <c r="AI2576" s="3">
        <v>0.39320001006072802</v>
      </c>
    </row>
    <row r="2577" spans="1:35">
      <c r="A2577" s="1">
        <v>42266</v>
      </c>
      <c r="B2577" s="1">
        <v>37441</v>
      </c>
      <c r="C2577" t="s">
        <v>5413</v>
      </c>
      <c r="D2577">
        <v>375</v>
      </c>
      <c r="E2577">
        <v>29152</v>
      </c>
      <c r="F2577">
        <v>6</v>
      </c>
      <c r="G2577">
        <v>1</v>
      </c>
      <c r="H2577">
        <v>1</v>
      </c>
      <c r="I2577">
        <v>2</v>
      </c>
      <c r="J2577" t="s">
        <v>3557</v>
      </c>
      <c r="K2577" t="s">
        <v>3558</v>
      </c>
      <c r="L2577" s="2">
        <v>1320.6838</v>
      </c>
      <c r="M2577" s="2">
        <v>2181.5625</v>
      </c>
      <c r="N2577" t="s">
        <v>13</v>
      </c>
      <c r="O2577" t="s">
        <v>990</v>
      </c>
      <c r="P2577" t="s">
        <v>320</v>
      </c>
      <c r="Q2577" t="s">
        <v>8905</v>
      </c>
      <c r="R2577" s="1">
        <v>22487</v>
      </c>
      <c r="S2577" t="s">
        <v>16</v>
      </c>
      <c r="T2577" t="s">
        <v>16</v>
      </c>
      <c r="U2577" t="s">
        <v>3419</v>
      </c>
      <c r="V2577">
        <v>60000</v>
      </c>
      <c r="W2577">
        <v>1</v>
      </c>
      <c r="X2577" t="s">
        <v>52</v>
      </c>
      <c r="Y2577" t="s">
        <v>53</v>
      </c>
      <c r="Z2577" t="s">
        <v>23</v>
      </c>
      <c r="AA2577" t="s">
        <v>3582</v>
      </c>
      <c r="AB2577" t="s">
        <v>3582</v>
      </c>
      <c r="AC2577" t="s">
        <v>3579</v>
      </c>
      <c r="AD2577" t="s">
        <v>3479</v>
      </c>
      <c r="AE2577" t="s">
        <v>3475</v>
      </c>
      <c r="AF2577" s="2">
        <v>2181.5625</v>
      </c>
      <c r="AG2577" s="2">
        <v>1320.6838</v>
      </c>
      <c r="AH2577" s="2">
        <v>860.87869999999998</v>
      </c>
      <c r="AI2577" s="3">
        <v>0.39461564818793898</v>
      </c>
    </row>
    <row r="2578" spans="1:35">
      <c r="A2578" s="1">
        <v>42304</v>
      </c>
      <c r="B2578" s="1">
        <v>37473</v>
      </c>
      <c r="C2578" t="s">
        <v>5677</v>
      </c>
      <c r="D2578">
        <v>377</v>
      </c>
      <c r="E2578">
        <v>29154</v>
      </c>
      <c r="F2578">
        <v>6</v>
      </c>
      <c r="G2578">
        <v>1</v>
      </c>
      <c r="H2578">
        <v>1</v>
      </c>
      <c r="I2578">
        <v>2</v>
      </c>
      <c r="J2578" t="s">
        <v>3559</v>
      </c>
      <c r="K2578" t="s">
        <v>3560</v>
      </c>
      <c r="L2578" s="2">
        <v>1320.6838</v>
      </c>
      <c r="M2578" s="2">
        <v>2181.5625</v>
      </c>
      <c r="N2578" t="s">
        <v>13</v>
      </c>
      <c r="O2578" t="s">
        <v>260</v>
      </c>
      <c r="P2578" t="s">
        <v>49</v>
      </c>
      <c r="Q2578" t="s">
        <v>8906</v>
      </c>
      <c r="R2578" s="1">
        <v>24731</v>
      </c>
      <c r="S2578" t="s">
        <v>22</v>
      </c>
      <c r="T2578" t="s">
        <v>16</v>
      </c>
      <c r="U2578" t="s">
        <v>3420</v>
      </c>
      <c r="V2578">
        <v>60000</v>
      </c>
      <c r="W2578">
        <v>0</v>
      </c>
      <c r="X2578" t="s">
        <v>52</v>
      </c>
      <c r="Y2578" t="s">
        <v>53</v>
      </c>
      <c r="Z2578" t="s">
        <v>23</v>
      </c>
      <c r="AA2578" t="s">
        <v>3582</v>
      </c>
      <c r="AB2578" t="s">
        <v>3582</v>
      </c>
      <c r="AC2578" t="s">
        <v>3579</v>
      </c>
      <c r="AD2578" t="s">
        <v>3479</v>
      </c>
      <c r="AE2578" t="s">
        <v>3475</v>
      </c>
      <c r="AF2578" s="2">
        <v>2181.5625</v>
      </c>
      <c r="AG2578" s="2">
        <v>1320.6838</v>
      </c>
      <c r="AH2578" s="2">
        <v>860.87869999999998</v>
      </c>
      <c r="AI2578" s="3">
        <v>0.39461564818793898</v>
      </c>
    </row>
    <row r="2579" spans="1:35">
      <c r="A2579" s="1">
        <v>42032</v>
      </c>
      <c r="B2579" s="1">
        <v>37236</v>
      </c>
      <c r="C2579" t="s">
        <v>3753</v>
      </c>
      <c r="D2579">
        <v>310</v>
      </c>
      <c r="E2579">
        <v>29155</v>
      </c>
      <c r="F2579">
        <v>1</v>
      </c>
      <c r="G2579">
        <v>1</v>
      </c>
      <c r="H2579">
        <v>1</v>
      </c>
      <c r="I2579">
        <v>2</v>
      </c>
      <c r="J2579" t="s">
        <v>3485</v>
      </c>
      <c r="K2579" t="s">
        <v>3486</v>
      </c>
      <c r="L2579" s="2">
        <v>2171.2941999999998</v>
      </c>
      <c r="M2579" s="2">
        <v>3578.27</v>
      </c>
      <c r="N2579" t="s">
        <v>26</v>
      </c>
      <c r="O2579" t="s">
        <v>687</v>
      </c>
      <c r="P2579" t="s">
        <v>376</v>
      </c>
      <c r="Q2579" t="s">
        <v>8907</v>
      </c>
      <c r="R2579" s="1">
        <v>24753</v>
      </c>
      <c r="S2579" t="s">
        <v>22</v>
      </c>
      <c r="T2579" t="s">
        <v>29</v>
      </c>
      <c r="U2579" t="s">
        <v>3421</v>
      </c>
      <c r="V2579">
        <v>60000</v>
      </c>
      <c r="W2579">
        <v>0</v>
      </c>
      <c r="X2579" t="s">
        <v>52</v>
      </c>
      <c r="Y2579" t="s">
        <v>53</v>
      </c>
      <c r="Z2579" t="s">
        <v>23</v>
      </c>
      <c r="AA2579" t="s">
        <v>3577</v>
      </c>
      <c r="AB2579" t="s">
        <v>3578</v>
      </c>
      <c r="AC2579" t="s">
        <v>3579</v>
      </c>
      <c r="AD2579" t="s">
        <v>3479</v>
      </c>
      <c r="AE2579" t="s">
        <v>3475</v>
      </c>
      <c r="AF2579" s="2">
        <v>3578.27</v>
      </c>
      <c r="AG2579" s="2">
        <v>2171.2941999999998</v>
      </c>
      <c r="AH2579" s="2">
        <v>1406.9757999999999</v>
      </c>
      <c r="AI2579" s="3">
        <v>0.39320001006072802</v>
      </c>
    </row>
    <row r="2580" spans="1:35">
      <c r="A2580" s="1">
        <v>42026</v>
      </c>
      <c r="B2580" s="1">
        <v>37217</v>
      </c>
      <c r="C2580" t="s">
        <v>3720</v>
      </c>
      <c r="D2580">
        <v>312</v>
      </c>
      <c r="E2580">
        <v>29156</v>
      </c>
      <c r="F2580">
        <v>4</v>
      </c>
      <c r="G2580">
        <v>1</v>
      </c>
      <c r="H2580">
        <v>1</v>
      </c>
      <c r="I2580">
        <v>2</v>
      </c>
      <c r="J2580" t="s">
        <v>3489</v>
      </c>
      <c r="K2580" t="s">
        <v>3490</v>
      </c>
      <c r="L2580" s="2">
        <v>2171.2941999999998</v>
      </c>
      <c r="M2580" s="2">
        <v>3578.27</v>
      </c>
      <c r="N2580" t="s">
        <v>26</v>
      </c>
      <c r="O2580" t="s">
        <v>289</v>
      </c>
      <c r="P2580" t="s">
        <v>291</v>
      </c>
      <c r="Q2580" t="s">
        <v>8908</v>
      </c>
      <c r="R2580" s="1">
        <v>24767</v>
      </c>
      <c r="S2580" t="s">
        <v>22</v>
      </c>
      <c r="T2580" t="s">
        <v>29</v>
      </c>
      <c r="U2580" t="s">
        <v>3422</v>
      </c>
      <c r="V2580">
        <v>60000</v>
      </c>
      <c r="W2580">
        <v>0</v>
      </c>
      <c r="X2580" t="s">
        <v>135</v>
      </c>
      <c r="Y2580" t="s">
        <v>18</v>
      </c>
      <c r="Z2580" t="s">
        <v>23</v>
      </c>
      <c r="AA2580" t="s">
        <v>3580</v>
      </c>
      <c r="AB2580" t="s">
        <v>3578</v>
      </c>
      <c r="AC2580" t="s">
        <v>3579</v>
      </c>
      <c r="AD2580" t="s">
        <v>3479</v>
      </c>
      <c r="AE2580" t="s">
        <v>3475</v>
      </c>
      <c r="AF2580" s="2">
        <v>3578.27</v>
      </c>
      <c r="AG2580" s="2">
        <v>2171.2941999999998</v>
      </c>
      <c r="AH2580" s="2">
        <v>1406.9757999999999</v>
      </c>
      <c r="AI2580" s="3">
        <v>0.39320001006072802</v>
      </c>
    </row>
    <row r="2581" spans="1:35">
      <c r="A2581" s="1">
        <v>42021</v>
      </c>
      <c r="B2581" s="1">
        <v>37194</v>
      </c>
      <c r="C2581" t="s">
        <v>3692</v>
      </c>
      <c r="D2581">
        <v>314</v>
      </c>
      <c r="E2581">
        <v>29157</v>
      </c>
      <c r="F2581">
        <v>4</v>
      </c>
      <c r="G2581">
        <v>1</v>
      </c>
      <c r="H2581">
        <v>1</v>
      </c>
      <c r="I2581">
        <v>2</v>
      </c>
      <c r="J2581" t="s">
        <v>3493</v>
      </c>
      <c r="K2581" t="s">
        <v>3494</v>
      </c>
      <c r="L2581" s="2">
        <v>2171.2941999999998</v>
      </c>
      <c r="M2581" s="2">
        <v>3578.27</v>
      </c>
      <c r="N2581" t="s">
        <v>13</v>
      </c>
      <c r="O2581" t="s">
        <v>69</v>
      </c>
      <c r="P2581" t="s">
        <v>119</v>
      </c>
      <c r="Q2581" t="s">
        <v>8909</v>
      </c>
      <c r="R2581" s="1">
        <v>24589</v>
      </c>
      <c r="S2581" t="s">
        <v>22</v>
      </c>
      <c r="T2581" t="s">
        <v>16</v>
      </c>
      <c r="U2581" t="s">
        <v>3423</v>
      </c>
      <c r="V2581">
        <v>60000</v>
      </c>
      <c r="W2581">
        <v>0</v>
      </c>
      <c r="X2581" t="s">
        <v>135</v>
      </c>
      <c r="Y2581" t="s">
        <v>18</v>
      </c>
      <c r="Z2581" t="s">
        <v>23</v>
      </c>
      <c r="AA2581" t="s">
        <v>3580</v>
      </c>
      <c r="AB2581" t="s">
        <v>3578</v>
      </c>
      <c r="AC2581" t="s">
        <v>3579</v>
      </c>
      <c r="AD2581" t="s">
        <v>3479</v>
      </c>
      <c r="AE2581" t="s">
        <v>3475</v>
      </c>
      <c r="AF2581" s="2">
        <v>3578.27</v>
      </c>
      <c r="AG2581" s="2">
        <v>2171.2941999999998</v>
      </c>
      <c r="AH2581" s="2">
        <v>1406.9757999999999</v>
      </c>
      <c r="AI2581" s="3">
        <v>0.39320001006072802</v>
      </c>
    </row>
    <row r="2582" spans="1:35">
      <c r="A2582" s="1">
        <v>42014</v>
      </c>
      <c r="B2582" s="1">
        <v>37237</v>
      </c>
      <c r="C2582" t="s">
        <v>3641</v>
      </c>
      <c r="D2582">
        <v>313</v>
      </c>
      <c r="E2582">
        <v>29158</v>
      </c>
      <c r="F2582">
        <v>1</v>
      </c>
      <c r="G2582">
        <v>1</v>
      </c>
      <c r="H2582">
        <v>1</v>
      </c>
      <c r="I2582">
        <v>2</v>
      </c>
      <c r="J2582" t="s">
        <v>3491</v>
      </c>
      <c r="K2582" t="s">
        <v>3492</v>
      </c>
      <c r="L2582" s="2">
        <v>2171.2941999999998</v>
      </c>
      <c r="M2582" s="2">
        <v>3578.27</v>
      </c>
      <c r="N2582" t="s">
        <v>13</v>
      </c>
      <c r="O2582" t="s">
        <v>46</v>
      </c>
      <c r="P2582" t="s">
        <v>70</v>
      </c>
      <c r="Q2582" t="s">
        <v>8910</v>
      </c>
      <c r="R2582" s="1">
        <v>22261</v>
      </c>
      <c r="S2582" t="s">
        <v>16</v>
      </c>
      <c r="T2582" t="s">
        <v>16</v>
      </c>
      <c r="U2582" t="s">
        <v>3424</v>
      </c>
      <c r="V2582">
        <v>60000</v>
      </c>
      <c r="W2582">
        <v>1</v>
      </c>
      <c r="X2582" t="s">
        <v>52</v>
      </c>
      <c r="Y2582" t="s">
        <v>53</v>
      </c>
      <c r="Z2582" t="s">
        <v>19</v>
      </c>
      <c r="AA2582" t="s">
        <v>3577</v>
      </c>
      <c r="AB2582" t="s">
        <v>3578</v>
      </c>
      <c r="AC2582" t="s">
        <v>3579</v>
      </c>
      <c r="AD2582" t="s">
        <v>3479</v>
      </c>
      <c r="AE2582" t="s">
        <v>3475</v>
      </c>
      <c r="AF2582" s="2">
        <v>3578.27</v>
      </c>
      <c r="AG2582" s="2">
        <v>2171.2941999999998</v>
      </c>
      <c r="AH2582" s="2">
        <v>1406.9757999999999</v>
      </c>
      <c r="AI2582" s="3">
        <v>0.39320001006072802</v>
      </c>
    </row>
    <row r="2583" spans="1:35">
      <c r="A2583" s="1">
        <v>42302</v>
      </c>
      <c r="B2583" s="1">
        <v>37534</v>
      </c>
      <c r="C2583" t="s">
        <v>5660</v>
      </c>
      <c r="D2583">
        <v>368</v>
      </c>
      <c r="E2583">
        <v>29159</v>
      </c>
      <c r="F2583">
        <v>6</v>
      </c>
      <c r="G2583">
        <v>1</v>
      </c>
      <c r="H2583">
        <v>1</v>
      </c>
      <c r="I2583">
        <v>2</v>
      </c>
      <c r="J2583" t="s">
        <v>3547</v>
      </c>
      <c r="K2583" t="s">
        <v>3548</v>
      </c>
      <c r="L2583" s="2">
        <v>1518.7864</v>
      </c>
      <c r="M2583" s="2">
        <v>2443.35</v>
      </c>
      <c r="N2583" t="s">
        <v>30</v>
      </c>
      <c r="O2583" t="s">
        <v>721</v>
      </c>
      <c r="P2583" t="s">
        <v>252</v>
      </c>
      <c r="Q2583" t="s">
        <v>8911</v>
      </c>
      <c r="R2583" s="1">
        <v>22111</v>
      </c>
      <c r="S2583" t="s">
        <v>16</v>
      </c>
      <c r="T2583" t="s">
        <v>29</v>
      </c>
      <c r="U2583" t="s">
        <v>3425</v>
      </c>
      <c r="V2583">
        <v>60000</v>
      </c>
      <c r="W2583">
        <v>1</v>
      </c>
      <c r="X2583" t="s">
        <v>52</v>
      </c>
      <c r="Y2583" t="s">
        <v>53</v>
      </c>
      <c r="Z2583" t="s">
        <v>19</v>
      </c>
      <c r="AA2583" t="s">
        <v>3582</v>
      </c>
      <c r="AB2583" t="s">
        <v>3582</v>
      </c>
      <c r="AC2583" t="s">
        <v>3579</v>
      </c>
      <c r="AD2583" t="s">
        <v>3479</v>
      </c>
      <c r="AE2583" t="s">
        <v>3475</v>
      </c>
      <c r="AF2583" s="2">
        <v>2443.35</v>
      </c>
      <c r="AG2583" s="2">
        <v>1518.7864</v>
      </c>
      <c r="AH2583" s="2">
        <v>924.56359999999995</v>
      </c>
      <c r="AI2583" s="3">
        <v>0.37839998362903399</v>
      </c>
    </row>
    <row r="2584" spans="1:35">
      <c r="A2584" s="1">
        <v>42015</v>
      </c>
      <c r="B2584" s="1">
        <v>37160</v>
      </c>
      <c r="C2584" t="s">
        <v>3650</v>
      </c>
      <c r="D2584">
        <v>314</v>
      </c>
      <c r="E2584">
        <v>29163</v>
      </c>
      <c r="F2584">
        <v>1</v>
      </c>
      <c r="G2584">
        <v>1</v>
      </c>
      <c r="H2584">
        <v>1</v>
      </c>
      <c r="I2584">
        <v>2</v>
      </c>
      <c r="J2584" t="s">
        <v>3493</v>
      </c>
      <c r="K2584" t="s">
        <v>3494</v>
      </c>
      <c r="L2584" s="2">
        <v>2171.2941999999998</v>
      </c>
      <c r="M2584" s="2">
        <v>3578.27</v>
      </c>
      <c r="N2584" t="s">
        <v>13</v>
      </c>
      <c r="O2584" t="s">
        <v>303</v>
      </c>
      <c r="P2584" t="s">
        <v>105</v>
      </c>
      <c r="Q2584" t="s">
        <v>8912</v>
      </c>
      <c r="R2584" s="1">
        <v>21587</v>
      </c>
      <c r="S2584" t="s">
        <v>22</v>
      </c>
      <c r="T2584" t="s">
        <v>16</v>
      </c>
      <c r="U2584" t="s">
        <v>3426</v>
      </c>
      <c r="V2584">
        <v>60000</v>
      </c>
      <c r="W2584">
        <v>4</v>
      </c>
      <c r="X2584" t="s">
        <v>17</v>
      </c>
      <c r="Y2584" t="s">
        <v>18</v>
      </c>
      <c r="Z2584" t="s">
        <v>23</v>
      </c>
      <c r="AA2584" t="s">
        <v>3577</v>
      </c>
      <c r="AB2584" t="s">
        <v>3578</v>
      </c>
      <c r="AC2584" t="s">
        <v>3579</v>
      </c>
      <c r="AD2584" t="s">
        <v>3479</v>
      </c>
      <c r="AE2584" t="s">
        <v>3475</v>
      </c>
      <c r="AF2584" s="2">
        <v>3578.27</v>
      </c>
      <c r="AG2584" s="2">
        <v>2171.2941999999998</v>
      </c>
      <c r="AH2584" s="2">
        <v>1406.9757999999999</v>
      </c>
      <c r="AI2584" s="3">
        <v>0.39320001006072802</v>
      </c>
    </row>
    <row r="2585" spans="1:35">
      <c r="A2585" s="1">
        <v>42017</v>
      </c>
      <c r="B2585" s="1">
        <v>37223</v>
      </c>
      <c r="C2585" t="s">
        <v>3661</v>
      </c>
      <c r="D2585">
        <v>312</v>
      </c>
      <c r="E2585">
        <v>29166</v>
      </c>
      <c r="F2585">
        <v>4</v>
      </c>
      <c r="G2585">
        <v>1</v>
      </c>
      <c r="H2585">
        <v>1</v>
      </c>
      <c r="I2585">
        <v>2</v>
      </c>
      <c r="J2585" t="s">
        <v>3489</v>
      </c>
      <c r="K2585" t="s">
        <v>3490</v>
      </c>
      <c r="L2585" s="2">
        <v>2171.2941999999998</v>
      </c>
      <c r="M2585" s="2">
        <v>3578.27</v>
      </c>
      <c r="N2585" t="s">
        <v>13</v>
      </c>
      <c r="O2585" t="s">
        <v>92</v>
      </c>
      <c r="P2585" t="s">
        <v>101</v>
      </c>
      <c r="Q2585" t="s">
        <v>8913</v>
      </c>
      <c r="R2585" s="1">
        <v>21672</v>
      </c>
      <c r="S2585" t="s">
        <v>22</v>
      </c>
      <c r="T2585" t="s">
        <v>16</v>
      </c>
      <c r="U2585" t="s">
        <v>3427</v>
      </c>
      <c r="V2585">
        <v>80000</v>
      </c>
      <c r="W2585">
        <v>2</v>
      </c>
      <c r="X2585" t="s">
        <v>135</v>
      </c>
      <c r="Y2585" t="s">
        <v>18</v>
      </c>
      <c r="Z2585" t="s">
        <v>23</v>
      </c>
      <c r="AA2585" t="s">
        <v>3580</v>
      </c>
      <c r="AB2585" t="s">
        <v>3578</v>
      </c>
      <c r="AC2585" t="s">
        <v>3579</v>
      </c>
      <c r="AD2585" t="s">
        <v>3479</v>
      </c>
      <c r="AE2585" t="s">
        <v>3475</v>
      </c>
      <c r="AF2585" s="2">
        <v>3578.27</v>
      </c>
      <c r="AG2585" s="2">
        <v>2171.2941999999998</v>
      </c>
      <c r="AH2585" s="2">
        <v>1406.9757999999999</v>
      </c>
      <c r="AI2585" s="3">
        <v>0.39320001006072802</v>
      </c>
    </row>
    <row r="2586" spans="1:35">
      <c r="A2586" s="1">
        <v>42008</v>
      </c>
      <c r="B2586" s="1">
        <v>37149</v>
      </c>
      <c r="C2586" t="s">
        <v>3612</v>
      </c>
      <c r="D2586">
        <v>310</v>
      </c>
      <c r="E2586">
        <v>29167</v>
      </c>
      <c r="F2586">
        <v>1</v>
      </c>
      <c r="G2586">
        <v>1</v>
      </c>
      <c r="H2586">
        <v>1</v>
      </c>
      <c r="I2586">
        <v>2</v>
      </c>
      <c r="J2586" t="s">
        <v>3485</v>
      </c>
      <c r="K2586" t="s">
        <v>3486</v>
      </c>
      <c r="L2586" s="2">
        <v>2171.2941999999998</v>
      </c>
      <c r="M2586" s="2">
        <v>3578.27</v>
      </c>
      <c r="N2586" t="s">
        <v>30</v>
      </c>
      <c r="O2586" t="s">
        <v>580</v>
      </c>
      <c r="P2586" t="s">
        <v>271</v>
      </c>
      <c r="Q2586" t="s">
        <v>8914</v>
      </c>
      <c r="R2586" s="1">
        <v>21621</v>
      </c>
      <c r="S2586" t="s">
        <v>22</v>
      </c>
      <c r="T2586" t="s">
        <v>29</v>
      </c>
      <c r="U2586" t="s">
        <v>3428</v>
      </c>
      <c r="V2586">
        <v>80000</v>
      </c>
      <c r="W2586">
        <v>2</v>
      </c>
      <c r="X2586" t="s">
        <v>135</v>
      </c>
      <c r="Y2586" t="s">
        <v>18</v>
      </c>
      <c r="Z2586" t="s">
        <v>23</v>
      </c>
      <c r="AA2586" t="s">
        <v>3577</v>
      </c>
      <c r="AB2586" t="s">
        <v>3578</v>
      </c>
      <c r="AC2586" t="s">
        <v>3579</v>
      </c>
      <c r="AD2586" t="s">
        <v>3479</v>
      </c>
      <c r="AE2586" t="s">
        <v>3475</v>
      </c>
      <c r="AF2586" s="2">
        <v>3578.27</v>
      </c>
      <c r="AG2586" s="2">
        <v>2171.2941999999998</v>
      </c>
      <c r="AH2586" s="2">
        <v>1406.9757999999999</v>
      </c>
      <c r="AI2586" s="3">
        <v>0.39320001006072802</v>
      </c>
    </row>
    <row r="2587" spans="1:35">
      <c r="A2587" s="1">
        <v>42025</v>
      </c>
      <c r="B2587" s="1">
        <v>37217</v>
      </c>
      <c r="C2587" t="s">
        <v>3712</v>
      </c>
      <c r="D2587">
        <v>312</v>
      </c>
      <c r="E2587">
        <v>29168</v>
      </c>
      <c r="F2587">
        <v>4</v>
      </c>
      <c r="G2587">
        <v>1</v>
      </c>
      <c r="H2587">
        <v>1</v>
      </c>
      <c r="I2587">
        <v>2</v>
      </c>
      <c r="J2587" t="s">
        <v>3489</v>
      </c>
      <c r="K2587" t="s">
        <v>3490</v>
      </c>
      <c r="L2587" s="2">
        <v>2171.2941999999998</v>
      </c>
      <c r="M2587" s="2">
        <v>3578.27</v>
      </c>
      <c r="N2587" t="s">
        <v>13</v>
      </c>
      <c r="O2587" t="s">
        <v>1217</v>
      </c>
      <c r="P2587" t="s">
        <v>317</v>
      </c>
      <c r="Q2587" t="s">
        <v>8915</v>
      </c>
      <c r="R2587" s="1">
        <v>21607</v>
      </c>
      <c r="S2587" t="s">
        <v>22</v>
      </c>
      <c r="T2587" t="s">
        <v>16</v>
      </c>
      <c r="U2587" t="s">
        <v>3429</v>
      </c>
      <c r="V2587">
        <v>80000</v>
      </c>
      <c r="W2587">
        <v>4</v>
      </c>
      <c r="X2587" t="s">
        <v>135</v>
      </c>
      <c r="Y2587" t="s">
        <v>18</v>
      </c>
      <c r="Z2587" t="s">
        <v>23</v>
      </c>
      <c r="AA2587" t="s">
        <v>3580</v>
      </c>
      <c r="AB2587" t="s">
        <v>3578</v>
      </c>
      <c r="AC2587" t="s">
        <v>3579</v>
      </c>
      <c r="AD2587" t="s">
        <v>3479</v>
      </c>
      <c r="AE2587" t="s">
        <v>3475</v>
      </c>
      <c r="AF2587" s="2">
        <v>3578.27</v>
      </c>
      <c r="AG2587" s="2">
        <v>2171.2941999999998</v>
      </c>
      <c r="AH2587" s="2">
        <v>1406.9757999999999</v>
      </c>
      <c r="AI2587" s="3">
        <v>0.39320001006072802</v>
      </c>
    </row>
    <row r="2588" spans="1:35">
      <c r="A2588" s="1">
        <v>42013</v>
      </c>
      <c r="B2588" s="1">
        <v>37158</v>
      </c>
      <c r="C2588" t="s">
        <v>3639</v>
      </c>
      <c r="D2588">
        <v>310</v>
      </c>
      <c r="E2588">
        <v>29169</v>
      </c>
      <c r="F2588">
        <v>1</v>
      </c>
      <c r="G2588">
        <v>1</v>
      </c>
      <c r="H2588">
        <v>1</v>
      </c>
      <c r="I2588">
        <v>2</v>
      </c>
      <c r="J2588" t="s">
        <v>3485</v>
      </c>
      <c r="K2588" t="s">
        <v>3486</v>
      </c>
      <c r="L2588" s="2">
        <v>2171.2941999999998</v>
      </c>
      <c r="M2588" s="2">
        <v>3578.27</v>
      </c>
      <c r="N2588" t="s">
        <v>30</v>
      </c>
      <c r="O2588" t="s">
        <v>374</v>
      </c>
      <c r="P2588" t="s">
        <v>428</v>
      </c>
      <c r="Q2588" t="s">
        <v>8916</v>
      </c>
      <c r="R2588" s="1">
        <v>21446</v>
      </c>
      <c r="S2588" t="s">
        <v>22</v>
      </c>
      <c r="T2588" t="s">
        <v>29</v>
      </c>
      <c r="U2588" t="s">
        <v>3430</v>
      </c>
      <c r="V2588">
        <v>60000</v>
      </c>
      <c r="W2588">
        <v>1</v>
      </c>
      <c r="X2588" t="s">
        <v>17</v>
      </c>
      <c r="Y2588" t="s">
        <v>18</v>
      </c>
      <c r="Z2588" t="s">
        <v>23</v>
      </c>
      <c r="AA2588" t="s">
        <v>3577</v>
      </c>
      <c r="AB2588" t="s">
        <v>3578</v>
      </c>
      <c r="AC2588" t="s">
        <v>3579</v>
      </c>
      <c r="AD2588" t="s">
        <v>3479</v>
      </c>
      <c r="AE2588" t="s">
        <v>3475</v>
      </c>
      <c r="AF2588" s="2">
        <v>3578.27</v>
      </c>
      <c r="AG2588" s="2">
        <v>2171.2941999999998</v>
      </c>
      <c r="AH2588" s="2">
        <v>1406.9757999999999</v>
      </c>
      <c r="AI2588" s="3">
        <v>0.39320001006072802</v>
      </c>
    </row>
    <row r="2589" spans="1:35">
      <c r="A2589" s="1">
        <v>42007</v>
      </c>
      <c r="B2589" s="1">
        <v>37163</v>
      </c>
      <c r="C2589" t="s">
        <v>3603</v>
      </c>
      <c r="D2589">
        <v>310</v>
      </c>
      <c r="E2589">
        <v>29170</v>
      </c>
      <c r="F2589">
        <v>4</v>
      </c>
      <c r="G2589">
        <v>1</v>
      </c>
      <c r="H2589">
        <v>1</v>
      </c>
      <c r="I2589">
        <v>2</v>
      </c>
      <c r="J2589" t="s">
        <v>3485</v>
      </c>
      <c r="K2589" t="s">
        <v>3486</v>
      </c>
      <c r="L2589" s="2">
        <v>2171.2941999999998</v>
      </c>
      <c r="M2589" s="2">
        <v>3578.27</v>
      </c>
      <c r="N2589" t="s">
        <v>30</v>
      </c>
      <c r="O2589" t="s">
        <v>336</v>
      </c>
      <c r="P2589" t="s">
        <v>297</v>
      </c>
      <c r="Q2589" t="s">
        <v>8917</v>
      </c>
      <c r="R2589" s="1">
        <v>21474</v>
      </c>
      <c r="S2589" t="s">
        <v>22</v>
      </c>
      <c r="T2589" t="s">
        <v>29</v>
      </c>
      <c r="U2589" t="s">
        <v>3431</v>
      </c>
      <c r="V2589">
        <v>60000</v>
      </c>
      <c r="W2589">
        <v>1</v>
      </c>
      <c r="X2589" t="s">
        <v>17</v>
      </c>
      <c r="Y2589" t="s">
        <v>18</v>
      </c>
      <c r="Z2589" t="s">
        <v>23</v>
      </c>
      <c r="AA2589" t="s">
        <v>3580</v>
      </c>
      <c r="AB2589" t="s">
        <v>3578</v>
      </c>
      <c r="AC2589" t="s">
        <v>3579</v>
      </c>
      <c r="AD2589" t="s">
        <v>3479</v>
      </c>
      <c r="AE2589" t="s">
        <v>3475</v>
      </c>
      <c r="AF2589" s="2">
        <v>3578.27</v>
      </c>
      <c r="AG2589" s="2">
        <v>2171.2941999999998</v>
      </c>
      <c r="AH2589" s="2">
        <v>1406.9757999999999</v>
      </c>
      <c r="AI2589" s="3">
        <v>0.39320001006072802</v>
      </c>
    </row>
    <row r="2590" spans="1:35">
      <c r="A2590" s="1">
        <v>42008</v>
      </c>
      <c r="B2590" s="1">
        <v>37245</v>
      </c>
      <c r="C2590" t="s">
        <v>3614</v>
      </c>
      <c r="D2590">
        <v>312</v>
      </c>
      <c r="E2590">
        <v>29174</v>
      </c>
      <c r="F2590">
        <v>1</v>
      </c>
      <c r="G2590">
        <v>1</v>
      </c>
      <c r="H2590">
        <v>1</v>
      </c>
      <c r="I2590">
        <v>2</v>
      </c>
      <c r="J2590" t="s">
        <v>3489</v>
      </c>
      <c r="K2590" t="s">
        <v>3490</v>
      </c>
      <c r="L2590" s="2">
        <v>2171.2941999999998</v>
      </c>
      <c r="M2590" s="2">
        <v>3578.27</v>
      </c>
      <c r="N2590" t="s">
        <v>13</v>
      </c>
      <c r="O2590" t="s">
        <v>765</v>
      </c>
      <c r="P2590" t="s">
        <v>707</v>
      </c>
      <c r="Q2590" t="s">
        <v>8918</v>
      </c>
      <c r="R2590" s="1">
        <v>21504</v>
      </c>
      <c r="S2590" t="s">
        <v>22</v>
      </c>
      <c r="T2590" t="s">
        <v>16</v>
      </c>
      <c r="U2590" t="s">
        <v>3432</v>
      </c>
      <c r="V2590">
        <v>80000</v>
      </c>
      <c r="W2590">
        <v>5</v>
      </c>
      <c r="X2590" t="s">
        <v>135</v>
      </c>
      <c r="Y2590" t="s">
        <v>18</v>
      </c>
      <c r="Z2590" t="s">
        <v>23</v>
      </c>
      <c r="AA2590" t="s">
        <v>3577</v>
      </c>
      <c r="AB2590" t="s">
        <v>3578</v>
      </c>
      <c r="AC2590" t="s">
        <v>3579</v>
      </c>
      <c r="AD2590" t="s">
        <v>3479</v>
      </c>
      <c r="AE2590" t="s">
        <v>3475</v>
      </c>
      <c r="AF2590" s="2">
        <v>3578.27</v>
      </c>
      <c r="AG2590" s="2">
        <v>2171.2941999999998</v>
      </c>
      <c r="AH2590" s="2">
        <v>1406.9757999999999</v>
      </c>
      <c r="AI2590" s="3">
        <v>0.39320001006072802</v>
      </c>
    </row>
    <row r="2591" spans="1:35">
      <c r="A2591" s="1">
        <v>42035</v>
      </c>
      <c r="B2591" s="1">
        <v>37235</v>
      </c>
      <c r="C2591" t="s">
        <v>3774</v>
      </c>
      <c r="D2591">
        <v>312</v>
      </c>
      <c r="E2591">
        <v>29175</v>
      </c>
      <c r="F2591">
        <v>1</v>
      </c>
      <c r="G2591">
        <v>1</v>
      </c>
      <c r="H2591">
        <v>1</v>
      </c>
      <c r="I2591">
        <v>2</v>
      </c>
      <c r="J2591" t="s">
        <v>3489</v>
      </c>
      <c r="K2591" t="s">
        <v>3490</v>
      </c>
      <c r="L2591" s="2">
        <v>2171.2941999999998</v>
      </c>
      <c r="M2591" s="2">
        <v>3578.27</v>
      </c>
      <c r="N2591" t="s">
        <v>13</v>
      </c>
      <c r="O2591" t="s">
        <v>419</v>
      </c>
      <c r="P2591" t="s">
        <v>243</v>
      </c>
      <c r="Q2591" t="s">
        <v>8919</v>
      </c>
      <c r="R2591" s="1">
        <v>21403</v>
      </c>
      <c r="S2591" t="s">
        <v>16</v>
      </c>
      <c r="T2591" t="s">
        <v>16</v>
      </c>
      <c r="U2591" t="s">
        <v>3433</v>
      </c>
      <c r="V2591">
        <v>80000</v>
      </c>
      <c r="W2591">
        <v>5</v>
      </c>
      <c r="X2591" t="s">
        <v>135</v>
      </c>
      <c r="Y2591" t="s">
        <v>18</v>
      </c>
      <c r="Z2591" t="s">
        <v>19</v>
      </c>
      <c r="AA2591" t="s">
        <v>3577</v>
      </c>
      <c r="AB2591" t="s">
        <v>3578</v>
      </c>
      <c r="AC2591" t="s">
        <v>3579</v>
      </c>
      <c r="AD2591" t="s">
        <v>3479</v>
      </c>
      <c r="AE2591" t="s">
        <v>3475</v>
      </c>
      <c r="AF2591" s="2">
        <v>3578.27</v>
      </c>
      <c r="AG2591" s="2">
        <v>2171.2941999999998</v>
      </c>
      <c r="AH2591" s="2">
        <v>1406.9757999999999</v>
      </c>
      <c r="AI2591" s="3">
        <v>0.39320001006072802</v>
      </c>
    </row>
    <row r="2592" spans="1:35">
      <c r="A2592" s="1">
        <v>42021</v>
      </c>
      <c r="B2592" s="1">
        <v>37224</v>
      </c>
      <c r="C2592" t="s">
        <v>3688</v>
      </c>
      <c r="D2592">
        <v>313</v>
      </c>
      <c r="E2592">
        <v>29198</v>
      </c>
      <c r="F2592">
        <v>4</v>
      </c>
      <c r="G2592">
        <v>1</v>
      </c>
      <c r="H2592">
        <v>1</v>
      </c>
      <c r="I2592">
        <v>2</v>
      </c>
      <c r="J2592" t="s">
        <v>3491</v>
      </c>
      <c r="K2592" t="s">
        <v>3492</v>
      </c>
      <c r="L2592" s="2">
        <v>2171.2941999999998</v>
      </c>
      <c r="M2592" s="2">
        <v>3578.27</v>
      </c>
      <c r="N2592" t="s">
        <v>30</v>
      </c>
      <c r="O2592" t="s">
        <v>793</v>
      </c>
      <c r="P2592" t="s">
        <v>259</v>
      </c>
      <c r="Q2592" t="s">
        <v>8920</v>
      </c>
      <c r="R2592" s="1">
        <v>19546</v>
      </c>
      <c r="S2592" t="s">
        <v>16</v>
      </c>
      <c r="T2592" t="s">
        <v>29</v>
      </c>
      <c r="U2592" t="s">
        <v>3434</v>
      </c>
      <c r="V2592">
        <v>60000</v>
      </c>
      <c r="W2592">
        <v>3</v>
      </c>
      <c r="X2592" t="s">
        <v>77</v>
      </c>
      <c r="Y2592" t="s">
        <v>53</v>
      </c>
      <c r="Z2592" t="s">
        <v>19</v>
      </c>
      <c r="AA2592" t="s">
        <v>3580</v>
      </c>
      <c r="AB2592" t="s">
        <v>3578</v>
      </c>
      <c r="AC2592" t="s">
        <v>3579</v>
      </c>
      <c r="AD2592" t="s">
        <v>3479</v>
      </c>
      <c r="AE2592" t="s">
        <v>3475</v>
      </c>
      <c r="AF2592" s="2">
        <v>3578.27</v>
      </c>
      <c r="AG2592" s="2">
        <v>2171.2941999999998</v>
      </c>
      <c r="AH2592" s="2">
        <v>1406.9757999999999</v>
      </c>
      <c r="AI2592" s="3">
        <v>0.39320001006072802</v>
      </c>
    </row>
    <row r="2593" spans="1:35">
      <c r="A2593" s="1">
        <v>42026</v>
      </c>
      <c r="B2593" s="1">
        <v>37262</v>
      </c>
      <c r="C2593" t="s">
        <v>3724</v>
      </c>
      <c r="D2593">
        <v>314</v>
      </c>
      <c r="E2593">
        <v>29201</v>
      </c>
      <c r="F2593">
        <v>4</v>
      </c>
      <c r="G2593">
        <v>1</v>
      </c>
      <c r="H2593">
        <v>1</v>
      </c>
      <c r="I2593">
        <v>2</v>
      </c>
      <c r="J2593" t="s">
        <v>3493</v>
      </c>
      <c r="K2593" t="s">
        <v>3494</v>
      </c>
      <c r="L2593" s="2">
        <v>2171.2941999999998</v>
      </c>
      <c r="M2593" s="2">
        <v>3578.27</v>
      </c>
      <c r="N2593" t="s">
        <v>30</v>
      </c>
      <c r="O2593" t="s">
        <v>883</v>
      </c>
      <c r="P2593" t="s">
        <v>476</v>
      </c>
      <c r="Q2593" t="s">
        <v>8921</v>
      </c>
      <c r="R2593" s="1">
        <v>20958</v>
      </c>
      <c r="S2593" t="s">
        <v>22</v>
      </c>
      <c r="T2593" t="s">
        <v>29</v>
      </c>
      <c r="U2593" t="s">
        <v>3435</v>
      </c>
      <c r="V2593">
        <v>70000</v>
      </c>
      <c r="W2593">
        <v>3</v>
      </c>
      <c r="X2593" t="s">
        <v>52</v>
      </c>
      <c r="Y2593" t="s">
        <v>18</v>
      </c>
      <c r="Z2593" t="s">
        <v>23</v>
      </c>
      <c r="AA2593" t="s">
        <v>3580</v>
      </c>
      <c r="AB2593" t="s">
        <v>3578</v>
      </c>
      <c r="AC2593" t="s">
        <v>3579</v>
      </c>
      <c r="AD2593" t="s">
        <v>3479</v>
      </c>
      <c r="AE2593" t="s">
        <v>3475</v>
      </c>
      <c r="AF2593" s="2">
        <v>3578.27</v>
      </c>
      <c r="AG2593" s="2">
        <v>2171.2941999999998</v>
      </c>
      <c r="AH2593" s="2">
        <v>1406.9757999999999</v>
      </c>
      <c r="AI2593" s="3">
        <v>0.39320001006072802</v>
      </c>
    </row>
    <row r="2594" spans="1:35">
      <c r="A2594" s="1">
        <v>42018</v>
      </c>
      <c r="B2594" s="1">
        <v>37222</v>
      </c>
      <c r="C2594" t="s">
        <v>3665</v>
      </c>
      <c r="D2594">
        <v>314</v>
      </c>
      <c r="E2594">
        <v>29202</v>
      </c>
      <c r="F2594">
        <v>1</v>
      </c>
      <c r="G2594">
        <v>1</v>
      </c>
      <c r="H2594">
        <v>1</v>
      </c>
      <c r="I2594">
        <v>2</v>
      </c>
      <c r="J2594" t="s">
        <v>3493</v>
      </c>
      <c r="K2594" t="s">
        <v>3494</v>
      </c>
      <c r="L2594" s="2">
        <v>2171.2941999999998</v>
      </c>
      <c r="M2594" s="2">
        <v>3578.27</v>
      </c>
      <c r="N2594" t="s">
        <v>13</v>
      </c>
      <c r="O2594" t="s">
        <v>756</v>
      </c>
      <c r="P2594" t="s">
        <v>194</v>
      </c>
      <c r="Q2594" t="s">
        <v>8922</v>
      </c>
      <c r="R2594" s="1">
        <v>21142</v>
      </c>
      <c r="S2594" t="s">
        <v>16</v>
      </c>
      <c r="T2594" t="s">
        <v>16</v>
      </c>
      <c r="U2594" t="s">
        <v>3436</v>
      </c>
      <c r="V2594">
        <v>70000</v>
      </c>
      <c r="W2594">
        <v>3</v>
      </c>
      <c r="X2594" t="s">
        <v>52</v>
      </c>
      <c r="Y2594" t="s">
        <v>18</v>
      </c>
      <c r="Z2594" t="s">
        <v>19</v>
      </c>
      <c r="AA2594" t="s">
        <v>3577</v>
      </c>
      <c r="AB2594" t="s">
        <v>3578</v>
      </c>
      <c r="AC2594" t="s">
        <v>3579</v>
      </c>
      <c r="AD2594" t="s">
        <v>3479</v>
      </c>
      <c r="AE2594" t="s">
        <v>3475</v>
      </c>
      <c r="AF2594" s="2">
        <v>3578.27</v>
      </c>
      <c r="AG2594" s="2">
        <v>2171.2941999999998</v>
      </c>
      <c r="AH2594" s="2">
        <v>1406.9757999999999</v>
      </c>
      <c r="AI2594" s="3">
        <v>0.39320001006072802</v>
      </c>
    </row>
    <row r="2595" spans="1:35">
      <c r="A2595" s="1">
        <v>42032</v>
      </c>
      <c r="B2595" s="1">
        <v>37250</v>
      </c>
      <c r="C2595" t="s">
        <v>3754</v>
      </c>
      <c r="D2595">
        <v>311</v>
      </c>
      <c r="E2595">
        <v>29203</v>
      </c>
      <c r="F2595">
        <v>4</v>
      </c>
      <c r="G2595">
        <v>1</v>
      </c>
      <c r="H2595">
        <v>1</v>
      </c>
      <c r="I2595">
        <v>2</v>
      </c>
      <c r="J2595" t="s">
        <v>3487</v>
      </c>
      <c r="K2595" t="s">
        <v>3488</v>
      </c>
      <c r="L2595" s="2">
        <v>2171.2941999999998</v>
      </c>
      <c r="M2595" s="2">
        <v>3578.27</v>
      </c>
      <c r="N2595" t="s">
        <v>30</v>
      </c>
      <c r="O2595" t="s">
        <v>548</v>
      </c>
      <c r="P2595" t="s">
        <v>511</v>
      </c>
      <c r="Q2595" t="s">
        <v>8923</v>
      </c>
      <c r="R2595" s="1">
        <v>20938</v>
      </c>
      <c r="S2595" t="s">
        <v>16</v>
      </c>
      <c r="T2595" t="s">
        <v>29</v>
      </c>
      <c r="U2595" t="s">
        <v>3437</v>
      </c>
      <c r="V2595">
        <v>70000</v>
      </c>
      <c r="W2595">
        <v>3</v>
      </c>
      <c r="X2595" t="s">
        <v>52</v>
      </c>
      <c r="Y2595" t="s">
        <v>18</v>
      </c>
      <c r="Z2595" t="s">
        <v>19</v>
      </c>
      <c r="AA2595" t="s">
        <v>3580</v>
      </c>
      <c r="AB2595" t="s">
        <v>3578</v>
      </c>
      <c r="AC2595" t="s">
        <v>3579</v>
      </c>
      <c r="AD2595" t="s">
        <v>3479</v>
      </c>
      <c r="AE2595" t="s">
        <v>3475</v>
      </c>
      <c r="AF2595" s="2">
        <v>3578.27</v>
      </c>
      <c r="AG2595" s="2">
        <v>2171.2941999999998</v>
      </c>
      <c r="AH2595" s="2">
        <v>1406.9757999999999</v>
      </c>
      <c r="AI2595" s="3">
        <v>0.39320001006072802</v>
      </c>
    </row>
    <row r="2596" spans="1:35">
      <c r="A2596" s="1">
        <v>42012</v>
      </c>
      <c r="B2596" s="1">
        <v>37219</v>
      </c>
      <c r="C2596" t="s">
        <v>3630</v>
      </c>
      <c r="D2596">
        <v>311</v>
      </c>
      <c r="E2596">
        <v>29204</v>
      </c>
      <c r="F2596">
        <v>1</v>
      </c>
      <c r="G2596">
        <v>1</v>
      </c>
      <c r="H2596">
        <v>1</v>
      </c>
      <c r="I2596">
        <v>2</v>
      </c>
      <c r="J2596" t="s">
        <v>3487</v>
      </c>
      <c r="K2596" t="s">
        <v>3488</v>
      </c>
      <c r="L2596" s="2">
        <v>2171.2941999999998</v>
      </c>
      <c r="M2596" s="2">
        <v>3578.27</v>
      </c>
      <c r="N2596" t="s">
        <v>13</v>
      </c>
      <c r="O2596" t="s">
        <v>601</v>
      </c>
      <c r="P2596" t="s">
        <v>664</v>
      </c>
      <c r="Q2596" t="s">
        <v>8924</v>
      </c>
      <c r="R2596" s="1">
        <v>21150</v>
      </c>
      <c r="S2596" t="s">
        <v>22</v>
      </c>
      <c r="T2596" t="s">
        <v>16</v>
      </c>
      <c r="U2596" t="s">
        <v>3438</v>
      </c>
      <c r="V2596">
        <v>90000</v>
      </c>
      <c r="W2596">
        <v>2</v>
      </c>
      <c r="X2596" t="s">
        <v>52</v>
      </c>
      <c r="Y2596" t="s">
        <v>18</v>
      </c>
      <c r="Z2596" t="s">
        <v>23</v>
      </c>
      <c r="AA2596" t="s">
        <v>3577</v>
      </c>
      <c r="AB2596" t="s">
        <v>3578</v>
      </c>
      <c r="AC2596" t="s">
        <v>3579</v>
      </c>
      <c r="AD2596" t="s">
        <v>3479</v>
      </c>
      <c r="AE2596" t="s">
        <v>3475</v>
      </c>
      <c r="AF2596" s="2">
        <v>3578.27</v>
      </c>
      <c r="AG2596" s="2">
        <v>2171.2941999999998</v>
      </c>
      <c r="AH2596" s="2">
        <v>1406.9757999999999</v>
      </c>
      <c r="AI2596" s="3">
        <v>0.39320001006072802</v>
      </c>
    </row>
    <row r="2597" spans="1:35">
      <c r="A2597" s="1">
        <v>42028</v>
      </c>
      <c r="B2597" s="1">
        <v>37229</v>
      </c>
      <c r="C2597" t="s">
        <v>3735</v>
      </c>
      <c r="D2597">
        <v>312</v>
      </c>
      <c r="E2597">
        <v>29207</v>
      </c>
      <c r="F2597">
        <v>1</v>
      </c>
      <c r="G2597">
        <v>1</v>
      </c>
      <c r="H2597">
        <v>1</v>
      </c>
      <c r="I2597">
        <v>2</v>
      </c>
      <c r="J2597" t="s">
        <v>3489</v>
      </c>
      <c r="K2597" t="s">
        <v>3490</v>
      </c>
      <c r="L2597" s="2">
        <v>2171.2941999999998</v>
      </c>
      <c r="M2597" s="2">
        <v>3578.27</v>
      </c>
      <c r="N2597" t="s">
        <v>30</v>
      </c>
      <c r="O2597" t="s">
        <v>372</v>
      </c>
      <c r="P2597" t="s">
        <v>229</v>
      </c>
      <c r="Q2597" t="s">
        <v>8925</v>
      </c>
      <c r="R2597" s="1">
        <v>20481</v>
      </c>
      <c r="S2597" t="s">
        <v>16</v>
      </c>
      <c r="T2597" t="s">
        <v>29</v>
      </c>
      <c r="U2597" t="s">
        <v>3439</v>
      </c>
      <c r="V2597">
        <v>60000</v>
      </c>
      <c r="W2597">
        <v>2</v>
      </c>
      <c r="X2597" t="s">
        <v>57</v>
      </c>
      <c r="Y2597" t="s">
        <v>18</v>
      </c>
      <c r="Z2597" t="s">
        <v>19</v>
      </c>
      <c r="AA2597" t="s">
        <v>3577</v>
      </c>
      <c r="AB2597" t="s">
        <v>3578</v>
      </c>
      <c r="AC2597" t="s">
        <v>3579</v>
      </c>
      <c r="AD2597" t="s">
        <v>3479</v>
      </c>
      <c r="AE2597" t="s">
        <v>3475</v>
      </c>
      <c r="AF2597" s="2">
        <v>3578.27</v>
      </c>
      <c r="AG2597" s="2">
        <v>2171.2941999999998</v>
      </c>
      <c r="AH2597" s="2">
        <v>1406.9757999999999</v>
      </c>
      <c r="AI2597" s="3">
        <v>0.39320001006072802</v>
      </c>
    </row>
    <row r="2598" spans="1:35">
      <c r="A2598" s="1">
        <v>42027</v>
      </c>
      <c r="B2598" s="1">
        <v>37206</v>
      </c>
      <c r="C2598" t="s">
        <v>3728</v>
      </c>
      <c r="D2598">
        <v>312</v>
      </c>
      <c r="E2598">
        <v>29208</v>
      </c>
      <c r="F2598">
        <v>1</v>
      </c>
      <c r="G2598">
        <v>1</v>
      </c>
      <c r="H2598">
        <v>1</v>
      </c>
      <c r="I2598">
        <v>2</v>
      </c>
      <c r="J2598" t="s">
        <v>3489</v>
      </c>
      <c r="K2598" t="s">
        <v>3490</v>
      </c>
      <c r="L2598" s="2">
        <v>2171.2941999999998</v>
      </c>
      <c r="M2598" s="2">
        <v>3578.27</v>
      </c>
      <c r="N2598" t="s">
        <v>30</v>
      </c>
      <c r="O2598" t="s">
        <v>346</v>
      </c>
      <c r="P2598" t="s">
        <v>125</v>
      </c>
      <c r="Q2598" t="s">
        <v>8926</v>
      </c>
      <c r="R2598" s="1">
        <v>20771</v>
      </c>
      <c r="S2598" t="s">
        <v>16</v>
      </c>
      <c r="T2598" t="s">
        <v>29</v>
      </c>
      <c r="U2598" t="s">
        <v>3440</v>
      </c>
      <c r="V2598">
        <v>60000</v>
      </c>
      <c r="W2598">
        <v>2</v>
      </c>
      <c r="X2598" t="s">
        <v>57</v>
      </c>
      <c r="Y2598" t="s">
        <v>18</v>
      </c>
      <c r="Z2598" t="s">
        <v>23</v>
      </c>
      <c r="AA2598" t="s">
        <v>3577</v>
      </c>
      <c r="AB2598" t="s">
        <v>3578</v>
      </c>
      <c r="AC2598" t="s">
        <v>3579</v>
      </c>
      <c r="AD2598" t="s">
        <v>3479</v>
      </c>
      <c r="AE2598" t="s">
        <v>3475</v>
      </c>
      <c r="AF2598" s="2">
        <v>3578.27</v>
      </c>
      <c r="AG2598" s="2">
        <v>2171.2941999999998</v>
      </c>
      <c r="AH2598" s="2">
        <v>1406.9757999999999</v>
      </c>
      <c r="AI2598" s="3">
        <v>0.39320001006072802</v>
      </c>
    </row>
    <row r="2599" spans="1:35">
      <c r="A2599" s="1">
        <v>42024</v>
      </c>
      <c r="B2599" s="1">
        <v>37216</v>
      </c>
      <c r="C2599" t="s">
        <v>3709</v>
      </c>
      <c r="D2599">
        <v>313</v>
      </c>
      <c r="E2599">
        <v>29221</v>
      </c>
      <c r="F2599">
        <v>4</v>
      </c>
      <c r="G2599">
        <v>1</v>
      </c>
      <c r="H2599">
        <v>1</v>
      </c>
      <c r="I2599">
        <v>2</v>
      </c>
      <c r="J2599" t="s">
        <v>3491</v>
      </c>
      <c r="K2599" t="s">
        <v>3492</v>
      </c>
      <c r="L2599" s="2">
        <v>2171.2941999999998</v>
      </c>
      <c r="M2599" s="2">
        <v>3578.27</v>
      </c>
      <c r="N2599" t="s">
        <v>30</v>
      </c>
      <c r="O2599" t="s">
        <v>376</v>
      </c>
      <c r="P2599" t="s">
        <v>49</v>
      </c>
      <c r="Q2599" t="s">
        <v>8927</v>
      </c>
      <c r="R2599" s="1">
        <v>23537</v>
      </c>
      <c r="S2599" t="s">
        <v>22</v>
      </c>
      <c r="T2599" t="s">
        <v>29</v>
      </c>
      <c r="U2599" t="s">
        <v>3441</v>
      </c>
      <c r="V2599">
        <v>150000</v>
      </c>
      <c r="W2599">
        <v>1</v>
      </c>
      <c r="X2599" t="s">
        <v>17</v>
      </c>
      <c r="Y2599" t="s">
        <v>45</v>
      </c>
      <c r="Z2599" t="s">
        <v>23</v>
      </c>
      <c r="AA2599" t="s">
        <v>3580</v>
      </c>
      <c r="AB2599" t="s">
        <v>3578</v>
      </c>
      <c r="AC2599" t="s">
        <v>3579</v>
      </c>
      <c r="AD2599" t="s">
        <v>3479</v>
      </c>
      <c r="AE2599" t="s">
        <v>3475</v>
      </c>
      <c r="AF2599" s="2">
        <v>3578.27</v>
      </c>
      <c r="AG2599" s="2">
        <v>2171.2941999999998</v>
      </c>
      <c r="AH2599" s="2">
        <v>1406.9757999999999</v>
      </c>
      <c r="AI2599" s="3">
        <v>0.39320001006072802</v>
      </c>
    </row>
    <row r="2600" spans="1:35">
      <c r="A2600" s="1">
        <v>42016</v>
      </c>
      <c r="B2600" s="1">
        <v>37250</v>
      </c>
      <c r="C2600" t="s">
        <v>3653</v>
      </c>
      <c r="D2600">
        <v>312</v>
      </c>
      <c r="E2600">
        <v>29222</v>
      </c>
      <c r="F2600">
        <v>4</v>
      </c>
      <c r="G2600">
        <v>1</v>
      </c>
      <c r="H2600">
        <v>1</v>
      </c>
      <c r="I2600">
        <v>2</v>
      </c>
      <c r="J2600" t="s">
        <v>3489</v>
      </c>
      <c r="K2600" t="s">
        <v>3490</v>
      </c>
      <c r="L2600" s="2">
        <v>2171.2941999999998</v>
      </c>
      <c r="M2600" s="2">
        <v>3578.27</v>
      </c>
      <c r="N2600" t="s">
        <v>13</v>
      </c>
      <c r="O2600" t="s">
        <v>228</v>
      </c>
      <c r="P2600" t="s">
        <v>187</v>
      </c>
      <c r="Q2600" t="s">
        <v>8928</v>
      </c>
      <c r="R2600" s="1">
        <v>23501</v>
      </c>
      <c r="S2600" t="s">
        <v>16</v>
      </c>
      <c r="T2600" t="s">
        <v>16</v>
      </c>
      <c r="U2600" t="s">
        <v>3442</v>
      </c>
      <c r="V2600">
        <v>160000</v>
      </c>
      <c r="W2600">
        <v>0</v>
      </c>
      <c r="X2600" t="s">
        <v>17</v>
      </c>
      <c r="Y2600" t="s">
        <v>45</v>
      </c>
      <c r="Z2600" t="s">
        <v>19</v>
      </c>
      <c r="AA2600" t="s">
        <v>3580</v>
      </c>
      <c r="AB2600" t="s">
        <v>3578</v>
      </c>
      <c r="AC2600" t="s">
        <v>3579</v>
      </c>
      <c r="AD2600" t="s">
        <v>3479</v>
      </c>
      <c r="AE2600" t="s">
        <v>3475</v>
      </c>
      <c r="AF2600" s="2">
        <v>3578.27</v>
      </c>
      <c r="AG2600" s="2">
        <v>2171.2941999999998</v>
      </c>
      <c r="AH2600" s="2">
        <v>1406.9757999999999</v>
      </c>
      <c r="AI2600" s="3">
        <v>0.39320001006072802</v>
      </c>
    </row>
    <row r="2601" spans="1:35">
      <c r="A2601" s="1">
        <v>42032</v>
      </c>
      <c r="B2601" s="1">
        <v>37210</v>
      </c>
      <c r="C2601" t="s">
        <v>3752</v>
      </c>
      <c r="D2601">
        <v>311</v>
      </c>
      <c r="E2601">
        <v>29223</v>
      </c>
      <c r="F2601">
        <v>1</v>
      </c>
      <c r="G2601">
        <v>1</v>
      </c>
      <c r="H2601">
        <v>1</v>
      </c>
      <c r="I2601">
        <v>2</v>
      </c>
      <c r="J2601" t="s">
        <v>3487</v>
      </c>
      <c r="K2601" t="s">
        <v>3488</v>
      </c>
      <c r="L2601" s="2">
        <v>2171.2941999999998</v>
      </c>
      <c r="M2601" s="2">
        <v>3578.27</v>
      </c>
      <c r="N2601" t="s">
        <v>13</v>
      </c>
      <c r="O2601" t="s">
        <v>350</v>
      </c>
      <c r="P2601" t="s">
        <v>177</v>
      </c>
      <c r="Q2601" t="s">
        <v>8929</v>
      </c>
      <c r="R2601" s="1">
        <v>20469</v>
      </c>
      <c r="S2601" t="s">
        <v>22</v>
      </c>
      <c r="T2601" t="s">
        <v>16</v>
      </c>
      <c r="U2601" t="s">
        <v>3443</v>
      </c>
      <c r="V2601">
        <v>70000</v>
      </c>
      <c r="W2601">
        <v>4</v>
      </c>
      <c r="X2601" t="s">
        <v>52</v>
      </c>
      <c r="Y2601" t="s">
        <v>18</v>
      </c>
      <c r="Z2601" t="s">
        <v>23</v>
      </c>
      <c r="AA2601" t="s">
        <v>3577</v>
      </c>
      <c r="AB2601" t="s">
        <v>3578</v>
      </c>
      <c r="AC2601" t="s">
        <v>3579</v>
      </c>
      <c r="AD2601" t="s">
        <v>3479</v>
      </c>
      <c r="AE2601" t="s">
        <v>3475</v>
      </c>
      <c r="AF2601" s="2">
        <v>3578.27</v>
      </c>
      <c r="AG2601" s="2">
        <v>2171.2941999999998</v>
      </c>
      <c r="AH2601" s="2">
        <v>1406.9757999999999</v>
      </c>
      <c r="AI2601" s="3">
        <v>0.39320001006072802</v>
      </c>
    </row>
    <row r="2602" spans="1:35">
      <c r="A2602" s="1">
        <v>42035</v>
      </c>
      <c r="B2602" s="1">
        <v>37179</v>
      </c>
      <c r="C2602" t="s">
        <v>3772</v>
      </c>
      <c r="D2602">
        <v>314</v>
      </c>
      <c r="E2602">
        <v>29225</v>
      </c>
      <c r="F2602">
        <v>1</v>
      </c>
      <c r="G2602">
        <v>1</v>
      </c>
      <c r="H2602">
        <v>1</v>
      </c>
      <c r="I2602">
        <v>2</v>
      </c>
      <c r="J2602" t="s">
        <v>3493</v>
      </c>
      <c r="K2602" t="s">
        <v>3494</v>
      </c>
      <c r="L2602" s="2">
        <v>2171.2941999999998</v>
      </c>
      <c r="M2602" s="2">
        <v>3578.27</v>
      </c>
      <c r="N2602" t="s">
        <v>13</v>
      </c>
      <c r="O2602" t="s">
        <v>1469</v>
      </c>
      <c r="P2602" t="s">
        <v>307</v>
      </c>
      <c r="Q2602" t="s">
        <v>8930</v>
      </c>
      <c r="R2602" s="1">
        <v>20554</v>
      </c>
      <c r="S2602" t="s">
        <v>22</v>
      </c>
      <c r="T2602" t="s">
        <v>16</v>
      </c>
      <c r="U2602" t="s">
        <v>3444</v>
      </c>
      <c r="V2602">
        <v>80000</v>
      </c>
      <c r="W2602">
        <v>3</v>
      </c>
      <c r="X2602" t="s">
        <v>52</v>
      </c>
      <c r="Y2602" t="s">
        <v>18</v>
      </c>
      <c r="Z2602" t="s">
        <v>23</v>
      </c>
      <c r="AA2602" t="s">
        <v>3577</v>
      </c>
      <c r="AB2602" t="s">
        <v>3578</v>
      </c>
      <c r="AC2602" t="s">
        <v>3579</v>
      </c>
      <c r="AD2602" t="s">
        <v>3479</v>
      </c>
      <c r="AE2602" t="s">
        <v>3475</v>
      </c>
      <c r="AF2602" s="2">
        <v>3578.27</v>
      </c>
      <c r="AG2602" s="2">
        <v>2171.2941999999998</v>
      </c>
      <c r="AH2602" s="2">
        <v>1406.9757999999999</v>
      </c>
      <c r="AI2602" s="3">
        <v>0.39320001006072802</v>
      </c>
    </row>
    <row r="2603" spans="1:35">
      <c r="A2603" s="1">
        <v>42013</v>
      </c>
      <c r="B2603" s="1">
        <v>37248</v>
      </c>
      <c r="C2603" t="s">
        <v>3637</v>
      </c>
      <c r="D2603">
        <v>314</v>
      </c>
      <c r="E2603">
        <v>29236</v>
      </c>
      <c r="F2603">
        <v>4</v>
      </c>
      <c r="G2603">
        <v>1</v>
      </c>
      <c r="H2603">
        <v>1</v>
      </c>
      <c r="I2603">
        <v>2</v>
      </c>
      <c r="J2603" t="s">
        <v>3493</v>
      </c>
      <c r="K2603" t="s">
        <v>3494</v>
      </c>
      <c r="L2603" s="2">
        <v>2171.2941999999998</v>
      </c>
      <c r="M2603" s="2">
        <v>3578.27</v>
      </c>
      <c r="N2603" t="s">
        <v>13</v>
      </c>
      <c r="O2603" t="s">
        <v>1508</v>
      </c>
      <c r="P2603" t="s">
        <v>51</v>
      </c>
      <c r="Q2603" t="s">
        <v>8931</v>
      </c>
      <c r="R2603" s="1">
        <v>23105</v>
      </c>
      <c r="S2603" t="s">
        <v>22</v>
      </c>
      <c r="T2603" t="s">
        <v>16</v>
      </c>
      <c r="U2603" t="s">
        <v>3445</v>
      </c>
      <c r="V2603">
        <v>120000</v>
      </c>
      <c r="W2603">
        <v>4</v>
      </c>
      <c r="X2603" t="s">
        <v>52</v>
      </c>
      <c r="Y2603" t="s">
        <v>18</v>
      </c>
      <c r="Z2603" t="s">
        <v>19</v>
      </c>
      <c r="AA2603" t="s">
        <v>3580</v>
      </c>
      <c r="AB2603" t="s">
        <v>3578</v>
      </c>
      <c r="AC2603" t="s">
        <v>3579</v>
      </c>
      <c r="AD2603" t="s">
        <v>3479</v>
      </c>
      <c r="AE2603" t="s">
        <v>3475</v>
      </c>
      <c r="AF2603" s="2">
        <v>3578.27</v>
      </c>
      <c r="AG2603" s="2">
        <v>2171.2941999999998</v>
      </c>
      <c r="AH2603" s="2">
        <v>1406.9757999999999</v>
      </c>
      <c r="AI2603" s="3">
        <v>0.39320001006072802</v>
      </c>
    </row>
    <row r="2604" spans="1:35">
      <c r="A2604" s="1">
        <v>42034</v>
      </c>
      <c r="B2604" s="1">
        <v>37241</v>
      </c>
      <c r="C2604" t="s">
        <v>3763</v>
      </c>
      <c r="D2604">
        <v>314</v>
      </c>
      <c r="E2604">
        <v>29237</v>
      </c>
      <c r="F2604">
        <v>4</v>
      </c>
      <c r="G2604">
        <v>1</v>
      </c>
      <c r="H2604">
        <v>1</v>
      </c>
      <c r="I2604">
        <v>2</v>
      </c>
      <c r="J2604" t="s">
        <v>3493</v>
      </c>
      <c r="K2604" t="s">
        <v>3494</v>
      </c>
      <c r="L2604" s="2">
        <v>2171.2941999999998</v>
      </c>
      <c r="M2604" s="2">
        <v>3578.27</v>
      </c>
      <c r="N2604" t="s">
        <v>30</v>
      </c>
      <c r="O2604" t="s">
        <v>98</v>
      </c>
      <c r="P2604" t="s">
        <v>47</v>
      </c>
      <c r="Q2604" t="s">
        <v>8932</v>
      </c>
      <c r="R2604" s="1">
        <v>23240</v>
      </c>
      <c r="S2604" t="s">
        <v>22</v>
      </c>
      <c r="T2604" t="s">
        <v>29</v>
      </c>
      <c r="U2604" t="s">
        <v>3446</v>
      </c>
      <c r="V2604">
        <v>120000</v>
      </c>
      <c r="W2604">
        <v>4</v>
      </c>
      <c r="X2604" t="s">
        <v>52</v>
      </c>
      <c r="Y2604" t="s">
        <v>18</v>
      </c>
      <c r="Z2604" t="s">
        <v>19</v>
      </c>
      <c r="AA2604" t="s">
        <v>3580</v>
      </c>
      <c r="AB2604" t="s">
        <v>3578</v>
      </c>
      <c r="AC2604" t="s">
        <v>3579</v>
      </c>
      <c r="AD2604" t="s">
        <v>3479</v>
      </c>
      <c r="AE2604" t="s">
        <v>3475</v>
      </c>
      <c r="AF2604" s="2">
        <v>3578.27</v>
      </c>
      <c r="AG2604" s="2">
        <v>2171.2941999999998</v>
      </c>
      <c r="AH2604" s="2">
        <v>1406.9757999999999</v>
      </c>
      <c r="AI2604" s="3">
        <v>0.39320001006072802</v>
      </c>
    </row>
    <row r="2605" spans="1:35">
      <c r="A2605" s="1">
        <v>42021</v>
      </c>
      <c r="B2605" s="1">
        <v>37187</v>
      </c>
      <c r="C2605" t="s">
        <v>3693</v>
      </c>
      <c r="D2605">
        <v>313</v>
      </c>
      <c r="E2605">
        <v>29238</v>
      </c>
      <c r="F2605">
        <v>4</v>
      </c>
      <c r="G2605">
        <v>1</v>
      </c>
      <c r="H2605">
        <v>1</v>
      </c>
      <c r="I2605">
        <v>2</v>
      </c>
      <c r="J2605" t="s">
        <v>3491</v>
      </c>
      <c r="K2605" t="s">
        <v>3492</v>
      </c>
      <c r="L2605" s="2">
        <v>2171.2941999999998</v>
      </c>
      <c r="M2605" s="2">
        <v>3578.27</v>
      </c>
      <c r="N2605" t="s">
        <v>13</v>
      </c>
      <c r="O2605" t="s">
        <v>365</v>
      </c>
      <c r="P2605" t="s">
        <v>119</v>
      </c>
      <c r="Q2605" t="s">
        <v>8933</v>
      </c>
      <c r="R2605" s="1">
        <v>23177</v>
      </c>
      <c r="S2605" t="s">
        <v>22</v>
      </c>
      <c r="T2605" t="s">
        <v>16</v>
      </c>
      <c r="U2605" t="s">
        <v>3447</v>
      </c>
      <c r="V2605">
        <v>150000</v>
      </c>
      <c r="W2605">
        <v>4</v>
      </c>
      <c r="X2605" t="s">
        <v>52</v>
      </c>
      <c r="Y2605" t="s">
        <v>18</v>
      </c>
      <c r="Z2605" t="s">
        <v>23</v>
      </c>
      <c r="AA2605" t="s">
        <v>3580</v>
      </c>
      <c r="AB2605" t="s">
        <v>3578</v>
      </c>
      <c r="AC2605" t="s">
        <v>3579</v>
      </c>
      <c r="AD2605" t="s">
        <v>3479</v>
      </c>
      <c r="AE2605" t="s">
        <v>3475</v>
      </c>
      <c r="AF2605" s="2">
        <v>3578.27</v>
      </c>
      <c r="AG2605" s="2">
        <v>2171.2941999999998</v>
      </c>
      <c r="AH2605" s="2">
        <v>1406.9757999999999</v>
      </c>
      <c r="AI2605" s="3">
        <v>0.39320001006072802</v>
      </c>
    </row>
    <row r="2606" spans="1:35">
      <c r="A2606" s="1">
        <v>42026</v>
      </c>
      <c r="B2606" s="1">
        <v>37175</v>
      </c>
      <c r="C2606" t="s">
        <v>3725</v>
      </c>
      <c r="D2606">
        <v>311</v>
      </c>
      <c r="E2606">
        <v>29239</v>
      </c>
      <c r="F2606">
        <v>4</v>
      </c>
      <c r="G2606">
        <v>1</v>
      </c>
      <c r="H2606">
        <v>1</v>
      </c>
      <c r="I2606">
        <v>2</v>
      </c>
      <c r="J2606" t="s">
        <v>3487</v>
      </c>
      <c r="K2606" t="s">
        <v>3488</v>
      </c>
      <c r="L2606" s="2">
        <v>2171.2941999999998</v>
      </c>
      <c r="M2606" s="2">
        <v>3578.27</v>
      </c>
      <c r="N2606" t="s">
        <v>30</v>
      </c>
      <c r="O2606" t="s">
        <v>238</v>
      </c>
      <c r="P2606" t="s">
        <v>328</v>
      </c>
      <c r="Q2606" t="s">
        <v>8934</v>
      </c>
      <c r="R2606" s="1">
        <v>23176</v>
      </c>
      <c r="S2606" t="s">
        <v>22</v>
      </c>
      <c r="T2606" t="s">
        <v>29</v>
      </c>
      <c r="U2606" t="s">
        <v>3448</v>
      </c>
      <c r="V2606">
        <v>150000</v>
      </c>
      <c r="W2606">
        <v>4</v>
      </c>
      <c r="X2606" t="s">
        <v>52</v>
      </c>
      <c r="Y2606" t="s">
        <v>18</v>
      </c>
      <c r="Z2606" t="s">
        <v>23</v>
      </c>
      <c r="AA2606" t="s">
        <v>3580</v>
      </c>
      <c r="AB2606" t="s">
        <v>3578</v>
      </c>
      <c r="AC2606" t="s">
        <v>3579</v>
      </c>
      <c r="AD2606" t="s">
        <v>3479</v>
      </c>
      <c r="AE2606" t="s">
        <v>3475</v>
      </c>
      <c r="AF2606" s="2">
        <v>3578.27</v>
      </c>
      <c r="AG2606" s="2">
        <v>2171.2941999999998</v>
      </c>
      <c r="AH2606" s="2">
        <v>1406.9757999999999</v>
      </c>
      <c r="AI2606" s="3">
        <v>0.39320001006072802</v>
      </c>
    </row>
    <row r="2607" spans="1:35">
      <c r="A2607" s="1">
        <v>42034</v>
      </c>
      <c r="B2607" s="1">
        <v>37183</v>
      </c>
      <c r="C2607" t="s">
        <v>3761</v>
      </c>
      <c r="D2607">
        <v>314</v>
      </c>
      <c r="E2607">
        <v>29252</v>
      </c>
      <c r="F2607">
        <v>4</v>
      </c>
      <c r="G2607">
        <v>1</v>
      </c>
      <c r="H2607">
        <v>1</v>
      </c>
      <c r="I2607">
        <v>2</v>
      </c>
      <c r="J2607" t="s">
        <v>3493</v>
      </c>
      <c r="K2607" t="s">
        <v>3494</v>
      </c>
      <c r="L2607" s="2">
        <v>2171.2941999999998</v>
      </c>
      <c r="M2607" s="2">
        <v>3578.27</v>
      </c>
      <c r="N2607" t="s">
        <v>13</v>
      </c>
      <c r="O2607" t="s">
        <v>876</v>
      </c>
      <c r="P2607" t="s">
        <v>707</v>
      </c>
      <c r="Q2607" t="s">
        <v>8935</v>
      </c>
      <c r="R2607" s="1">
        <v>22532</v>
      </c>
      <c r="S2607" t="s">
        <v>16</v>
      </c>
      <c r="T2607" t="s">
        <v>16</v>
      </c>
      <c r="U2607" t="s">
        <v>3449</v>
      </c>
      <c r="V2607">
        <v>130000</v>
      </c>
      <c r="W2607">
        <v>1</v>
      </c>
      <c r="X2607" t="s">
        <v>17</v>
      </c>
      <c r="Y2607" t="s">
        <v>45</v>
      </c>
      <c r="Z2607" t="s">
        <v>19</v>
      </c>
      <c r="AA2607" t="s">
        <v>3580</v>
      </c>
      <c r="AB2607" t="s">
        <v>3578</v>
      </c>
      <c r="AC2607" t="s">
        <v>3579</v>
      </c>
      <c r="AD2607" t="s">
        <v>3479</v>
      </c>
      <c r="AE2607" t="s">
        <v>3475</v>
      </c>
      <c r="AF2607" s="2">
        <v>3578.27</v>
      </c>
      <c r="AG2607" s="2">
        <v>2171.2941999999998</v>
      </c>
      <c r="AH2607" s="2">
        <v>1406.9757999999999</v>
      </c>
      <c r="AI2607" s="3">
        <v>0.39320001006072802</v>
      </c>
    </row>
    <row r="2608" spans="1:35">
      <c r="A2608" s="1">
        <v>42021</v>
      </c>
      <c r="B2608" s="1">
        <v>37217</v>
      </c>
      <c r="C2608" t="s">
        <v>3687</v>
      </c>
      <c r="D2608">
        <v>313</v>
      </c>
      <c r="E2608">
        <v>29254</v>
      </c>
      <c r="F2608">
        <v>1</v>
      </c>
      <c r="G2608">
        <v>1</v>
      </c>
      <c r="H2608">
        <v>1</v>
      </c>
      <c r="I2608">
        <v>2</v>
      </c>
      <c r="J2608" t="s">
        <v>3491</v>
      </c>
      <c r="K2608" t="s">
        <v>3492</v>
      </c>
      <c r="L2608" s="2">
        <v>2171.2941999999998</v>
      </c>
      <c r="M2608" s="2">
        <v>3578.27</v>
      </c>
      <c r="N2608" t="s">
        <v>30</v>
      </c>
      <c r="O2608" t="s">
        <v>423</v>
      </c>
      <c r="P2608" t="s">
        <v>109</v>
      </c>
      <c r="Q2608" t="s">
        <v>8936</v>
      </c>
      <c r="R2608" s="1">
        <v>20377</v>
      </c>
      <c r="S2608" t="s">
        <v>16</v>
      </c>
      <c r="T2608" t="s">
        <v>29</v>
      </c>
      <c r="U2608" t="s">
        <v>3450</v>
      </c>
      <c r="V2608">
        <v>60000</v>
      </c>
      <c r="W2608">
        <v>2</v>
      </c>
      <c r="X2608" t="s">
        <v>57</v>
      </c>
      <c r="Y2608" t="s">
        <v>18</v>
      </c>
      <c r="Z2608" t="s">
        <v>19</v>
      </c>
      <c r="AA2608" t="s">
        <v>3577</v>
      </c>
      <c r="AB2608" t="s">
        <v>3578</v>
      </c>
      <c r="AC2608" t="s">
        <v>3579</v>
      </c>
      <c r="AD2608" t="s">
        <v>3479</v>
      </c>
      <c r="AE2608" t="s">
        <v>3475</v>
      </c>
      <c r="AF2608" s="2">
        <v>3578.27</v>
      </c>
      <c r="AG2608" s="2">
        <v>2171.2941999999998</v>
      </c>
      <c r="AH2608" s="2">
        <v>1406.9757999999999</v>
      </c>
      <c r="AI2608" s="3">
        <v>0.39320001006072802</v>
      </c>
    </row>
    <row r="2609" spans="1:35">
      <c r="A2609" s="1">
        <v>42005</v>
      </c>
      <c r="B2609" s="1">
        <v>37230</v>
      </c>
      <c r="C2609" t="s">
        <v>3595</v>
      </c>
      <c r="D2609">
        <v>312</v>
      </c>
      <c r="E2609">
        <v>29255</v>
      </c>
      <c r="F2609">
        <v>4</v>
      </c>
      <c r="G2609">
        <v>1</v>
      </c>
      <c r="H2609">
        <v>1</v>
      </c>
      <c r="I2609">
        <v>2</v>
      </c>
      <c r="J2609" t="s">
        <v>3489</v>
      </c>
      <c r="K2609" t="s">
        <v>3490</v>
      </c>
      <c r="L2609" s="2">
        <v>2171.2941999999998</v>
      </c>
      <c r="M2609" s="2">
        <v>3578.27</v>
      </c>
      <c r="N2609" t="s">
        <v>13</v>
      </c>
      <c r="O2609" t="s">
        <v>387</v>
      </c>
      <c r="P2609" t="s">
        <v>594</v>
      </c>
      <c r="Q2609" t="s">
        <v>8937</v>
      </c>
      <c r="R2609" s="1">
        <v>20190</v>
      </c>
      <c r="S2609" t="s">
        <v>22</v>
      </c>
      <c r="T2609" t="s">
        <v>16</v>
      </c>
      <c r="U2609" t="s">
        <v>3451</v>
      </c>
      <c r="V2609">
        <v>80000</v>
      </c>
      <c r="W2609">
        <v>3</v>
      </c>
      <c r="X2609" t="s">
        <v>52</v>
      </c>
      <c r="Y2609" t="s">
        <v>18</v>
      </c>
      <c r="Z2609" t="s">
        <v>23</v>
      </c>
      <c r="AA2609" t="s">
        <v>3580</v>
      </c>
      <c r="AB2609" t="s">
        <v>3578</v>
      </c>
      <c r="AC2609" t="s">
        <v>3579</v>
      </c>
      <c r="AD2609" t="s">
        <v>3479</v>
      </c>
      <c r="AE2609" t="s">
        <v>3475</v>
      </c>
      <c r="AF2609" s="2">
        <v>3578.27</v>
      </c>
      <c r="AG2609" s="2">
        <v>2171.2941999999998</v>
      </c>
      <c r="AH2609" s="2">
        <v>1406.9757999999999</v>
      </c>
      <c r="AI2609" s="3">
        <v>0.39320001006072802</v>
      </c>
    </row>
    <row r="2610" spans="1:35">
      <c r="A2610" s="1">
        <v>42034</v>
      </c>
      <c r="B2610" s="1">
        <v>37180</v>
      </c>
      <c r="C2610" t="s">
        <v>3765</v>
      </c>
      <c r="D2610">
        <v>314</v>
      </c>
      <c r="E2610">
        <v>29258</v>
      </c>
      <c r="F2610">
        <v>1</v>
      </c>
      <c r="G2610">
        <v>1</v>
      </c>
      <c r="H2610">
        <v>1</v>
      </c>
      <c r="I2610">
        <v>2</v>
      </c>
      <c r="J2610" t="s">
        <v>3493</v>
      </c>
      <c r="K2610" t="s">
        <v>3494</v>
      </c>
      <c r="L2610" s="2">
        <v>2171.2941999999998</v>
      </c>
      <c r="M2610" s="2">
        <v>3578.27</v>
      </c>
      <c r="N2610" t="s">
        <v>30</v>
      </c>
      <c r="O2610" t="s">
        <v>941</v>
      </c>
      <c r="P2610" t="s">
        <v>229</v>
      </c>
      <c r="Q2610" t="s">
        <v>8938</v>
      </c>
      <c r="R2610" s="1">
        <v>20354</v>
      </c>
      <c r="S2610" t="s">
        <v>16</v>
      </c>
      <c r="T2610" t="s">
        <v>29</v>
      </c>
      <c r="U2610" t="s">
        <v>3452</v>
      </c>
      <c r="V2610">
        <v>90000</v>
      </c>
      <c r="W2610">
        <v>2</v>
      </c>
      <c r="X2610" t="s">
        <v>57</v>
      </c>
      <c r="Y2610" t="s">
        <v>18</v>
      </c>
      <c r="Z2610" t="s">
        <v>19</v>
      </c>
      <c r="AA2610" t="s">
        <v>3577</v>
      </c>
      <c r="AB2610" t="s">
        <v>3578</v>
      </c>
      <c r="AC2610" t="s">
        <v>3579</v>
      </c>
      <c r="AD2610" t="s">
        <v>3479</v>
      </c>
      <c r="AE2610" t="s">
        <v>3475</v>
      </c>
      <c r="AF2610" s="2">
        <v>3578.27</v>
      </c>
      <c r="AG2610" s="2">
        <v>2171.2941999999998</v>
      </c>
      <c r="AH2610" s="2">
        <v>1406.9757999999999</v>
      </c>
      <c r="AI2610" s="3">
        <v>0.39320001006072802</v>
      </c>
    </row>
    <row r="2611" spans="1:35">
      <c r="A2611" s="1">
        <v>42027</v>
      </c>
      <c r="B2611" s="1">
        <v>37178</v>
      </c>
      <c r="C2611" t="s">
        <v>3730</v>
      </c>
      <c r="D2611">
        <v>313</v>
      </c>
      <c r="E2611">
        <v>29261</v>
      </c>
      <c r="F2611">
        <v>4</v>
      </c>
      <c r="G2611">
        <v>1</v>
      </c>
      <c r="H2611">
        <v>1</v>
      </c>
      <c r="I2611">
        <v>2</v>
      </c>
      <c r="J2611" t="s">
        <v>3491</v>
      </c>
      <c r="K2611" t="s">
        <v>3492</v>
      </c>
      <c r="L2611" s="2">
        <v>2171.2941999999998</v>
      </c>
      <c r="M2611" s="2">
        <v>3578.27</v>
      </c>
      <c r="N2611" t="s">
        <v>13</v>
      </c>
      <c r="O2611" t="s">
        <v>383</v>
      </c>
      <c r="P2611" t="s">
        <v>347</v>
      </c>
      <c r="Q2611" t="s">
        <v>8939</v>
      </c>
      <c r="R2611" s="1">
        <v>12858</v>
      </c>
      <c r="S2611" t="s">
        <v>22</v>
      </c>
      <c r="T2611" t="s">
        <v>16</v>
      </c>
      <c r="U2611" t="s">
        <v>3453</v>
      </c>
      <c r="V2611">
        <v>130000</v>
      </c>
      <c r="W2611">
        <v>2</v>
      </c>
      <c r="X2611" t="s">
        <v>135</v>
      </c>
      <c r="Y2611" t="s">
        <v>45</v>
      </c>
      <c r="Z2611" t="s">
        <v>23</v>
      </c>
      <c r="AA2611" t="s">
        <v>3580</v>
      </c>
      <c r="AB2611" t="s">
        <v>3578</v>
      </c>
      <c r="AC2611" t="s">
        <v>3579</v>
      </c>
      <c r="AD2611" t="s">
        <v>3479</v>
      </c>
      <c r="AE2611" t="s">
        <v>3475</v>
      </c>
      <c r="AF2611" s="2">
        <v>3578.27</v>
      </c>
      <c r="AG2611" s="2">
        <v>2171.2941999999998</v>
      </c>
      <c r="AH2611" s="2">
        <v>1406.9757999999999</v>
      </c>
      <c r="AI2611" s="3">
        <v>0.39320001006072802</v>
      </c>
    </row>
    <row r="2612" spans="1:35">
      <c r="A2612" s="1">
        <v>42015</v>
      </c>
      <c r="B2612" s="1">
        <v>37228</v>
      </c>
      <c r="C2612" t="s">
        <v>3652</v>
      </c>
      <c r="D2612">
        <v>310</v>
      </c>
      <c r="E2612">
        <v>29264</v>
      </c>
      <c r="F2612">
        <v>4</v>
      </c>
      <c r="G2612">
        <v>1</v>
      </c>
      <c r="H2612">
        <v>1</v>
      </c>
      <c r="I2612">
        <v>2</v>
      </c>
      <c r="J2612" t="s">
        <v>3485</v>
      </c>
      <c r="K2612" t="s">
        <v>3486</v>
      </c>
      <c r="L2612" s="2">
        <v>2171.2941999999998</v>
      </c>
      <c r="M2612" s="2">
        <v>3578.27</v>
      </c>
      <c r="N2612" t="s">
        <v>30</v>
      </c>
      <c r="O2612" t="s">
        <v>1639</v>
      </c>
      <c r="P2612" t="s">
        <v>286</v>
      </c>
      <c r="Q2612" t="s">
        <v>8940</v>
      </c>
      <c r="R2612" s="1">
        <v>13176</v>
      </c>
      <c r="S2612" t="s">
        <v>16</v>
      </c>
      <c r="T2612" t="s">
        <v>29</v>
      </c>
      <c r="U2612" t="s">
        <v>3454</v>
      </c>
      <c r="V2612">
        <v>90000</v>
      </c>
      <c r="W2612">
        <v>4</v>
      </c>
      <c r="X2612" t="s">
        <v>17</v>
      </c>
      <c r="Y2612" t="s">
        <v>45</v>
      </c>
      <c r="Z2612" t="s">
        <v>23</v>
      </c>
      <c r="AA2612" t="s">
        <v>3580</v>
      </c>
      <c r="AB2612" t="s">
        <v>3578</v>
      </c>
      <c r="AC2612" t="s">
        <v>3579</v>
      </c>
      <c r="AD2612" t="s">
        <v>3479</v>
      </c>
      <c r="AE2612" t="s">
        <v>3475</v>
      </c>
      <c r="AF2612" s="2">
        <v>3578.27</v>
      </c>
      <c r="AG2612" s="2">
        <v>2171.2941999999998</v>
      </c>
      <c r="AH2612" s="2">
        <v>1406.9757999999999</v>
      </c>
      <c r="AI2612" s="3">
        <v>0.39320001006072802</v>
      </c>
    </row>
    <row r="2613" spans="1:35">
      <c r="A2613" s="1">
        <v>42035</v>
      </c>
      <c r="B2613" s="1">
        <v>37225</v>
      </c>
      <c r="C2613" t="s">
        <v>3771</v>
      </c>
      <c r="D2613">
        <v>313</v>
      </c>
      <c r="E2613">
        <v>29265</v>
      </c>
      <c r="F2613">
        <v>4</v>
      </c>
      <c r="G2613">
        <v>1</v>
      </c>
      <c r="H2613">
        <v>1</v>
      </c>
      <c r="I2613">
        <v>2</v>
      </c>
      <c r="J2613" t="s">
        <v>3491</v>
      </c>
      <c r="K2613" t="s">
        <v>3492</v>
      </c>
      <c r="L2613" s="2">
        <v>2171.2941999999998</v>
      </c>
      <c r="M2613" s="2">
        <v>3578.27</v>
      </c>
      <c r="N2613" t="s">
        <v>30</v>
      </c>
      <c r="O2613" t="s">
        <v>1633</v>
      </c>
      <c r="P2613" t="s">
        <v>136</v>
      </c>
      <c r="Q2613" t="s">
        <v>8941</v>
      </c>
      <c r="R2613" s="1">
        <v>13462</v>
      </c>
      <c r="S2613" t="s">
        <v>22</v>
      </c>
      <c r="T2613" t="s">
        <v>29</v>
      </c>
      <c r="U2613" t="s">
        <v>3455</v>
      </c>
      <c r="V2613">
        <v>90000</v>
      </c>
      <c r="W2613">
        <v>4</v>
      </c>
      <c r="X2613" t="s">
        <v>17</v>
      </c>
      <c r="Y2613" t="s">
        <v>45</v>
      </c>
      <c r="Z2613" t="s">
        <v>23</v>
      </c>
      <c r="AA2613" t="s">
        <v>3580</v>
      </c>
      <c r="AB2613" t="s">
        <v>3578</v>
      </c>
      <c r="AC2613" t="s">
        <v>3579</v>
      </c>
      <c r="AD2613" t="s">
        <v>3479</v>
      </c>
      <c r="AE2613" t="s">
        <v>3475</v>
      </c>
      <c r="AF2613" s="2">
        <v>3578.27</v>
      </c>
      <c r="AG2613" s="2">
        <v>2171.2941999999998</v>
      </c>
      <c r="AH2613" s="2">
        <v>1406.9757999999999</v>
      </c>
      <c r="AI2613" s="3">
        <v>0.39320001006072802</v>
      </c>
    </row>
    <row r="2614" spans="1:35">
      <c r="A2614" s="1">
        <v>42009</v>
      </c>
      <c r="B2614" s="1">
        <v>37219</v>
      </c>
      <c r="C2614" t="s">
        <v>3617</v>
      </c>
      <c r="D2614">
        <v>310</v>
      </c>
      <c r="E2614">
        <v>29274</v>
      </c>
      <c r="F2614">
        <v>4</v>
      </c>
      <c r="G2614">
        <v>1</v>
      </c>
      <c r="H2614">
        <v>1</v>
      </c>
      <c r="I2614">
        <v>2</v>
      </c>
      <c r="J2614" t="s">
        <v>3485</v>
      </c>
      <c r="K2614" t="s">
        <v>3486</v>
      </c>
      <c r="L2614" s="2">
        <v>2171.2941999999998</v>
      </c>
      <c r="M2614" s="2">
        <v>3578.27</v>
      </c>
      <c r="N2614" t="s">
        <v>13</v>
      </c>
      <c r="O2614" t="s">
        <v>483</v>
      </c>
      <c r="P2614" t="s">
        <v>598</v>
      </c>
      <c r="Q2614" t="s">
        <v>8942</v>
      </c>
      <c r="R2614" s="1">
        <v>22119</v>
      </c>
      <c r="S2614" t="s">
        <v>22</v>
      </c>
      <c r="T2614" t="s">
        <v>16</v>
      </c>
      <c r="U2614" t="s">
        <v>3456</v>
      </c>
      <c r="V2614">
        <v>120000</v>
      </c>
      <c r="W2614">
        <v>5</v>
      </c>
      <c r="X2614" t="s">
        <v>57</v>
      </c>
      <c r="Y2614" t="s">
        <v>18</v>
      </c>
      <c r="Z2614" t="s">
        <v>19</v>
      </c>
      <c r="AA2614" t="s">
        <v>3580</v>
      </c>
      <c r="AB2614" t="s">
        <v>3578</v>
      </c>
      <c r="AC2614" t="s">
        <v>3579</v>
      </c>
      <c r="AD2614" t="s">
        <v>3479</v>
      </c>
      <c r="AE2614" t="s">
        <v>3475</v>
      </c>
      <c r="AF2614" s="2">
        <v>3578.27</v>
      </c>
      <c r="AG2614" s="2">
        <v>2171.2941999999998</v>
      </c>
      <c r="AH2614" s="2">
        <v>1406.9757999999999</v>
      </c>
      <c r="AI2614" s="3">
        <v>0.39320001006072802</v>
      </c>
    </row>
    <row r="2615" spans="1:35">
      <c r="A2615" s="1">
        <v>42010</v>
      </c>
      <c r="B2615" s="1">
        <v>37239</v>
      </c>
      <c r="C2615" t="s">
        <v>3623</v>
      </c>
      <c r="D2615">
        <v>312</v>
      </c>
      <c r="E2615">
        <v>29275</v>
      </c>
      <c r="F2615">
        <v>4</v>
      </c>
      <c r="G2615">
        <v>1</v>
      </c>
      <c r="H2615">
        <v>1</v>
      </c>
      <c r="I2615">
        <v>2</v>
      </c>
      <c r="J2615" t="s">
        <v>3489</v>
      </c>
      <c r="K2615" t="s">
        <v>3490</v>
      </c>
      <c r="L2615" s="2">
        <v>2171.2941999999998</v>
      </c>
      <c r="M2615" s="2">
        <v>3578.27</v>
      </c>
      <c r="N2615" t="s">
        <v>30</v>
      </c>
      <c r="O2615" t="s">
        <v>254</v>
      </c>
      <c r="P2615" t="s">
        <v>299</v>
      </c>
      <c r="Q2615" t="s">
        <v>8943</v>
      </c>
      <c r="R2615" s="1">
        <v>19494</v>
      </c>
      <c r="S2615" t="s">
        <v>22</v>
      </c>
      <c r="T2615" t="s">
        <v>29</v>
      </c>
      <c r="U2615" t="s">
        <v>3457</v>
      </c>
      <c r="V2615">
        <v>70000</v>
      </c>
      <c r="W2615">
        <v>3</v>
      </c>
      <c r="X2615" t="s">
        <v>135</v>
      </c>
      <c r="Y2615" t="s">
        <v>45</v>
      </c>
      <c r="Z2615" t="s">
        <v>23</v>
      </c>
      <c r="AA2615" t="s">
        <v>3580</v>
      </c>
      <c r="AB2615" t="s">
        <v>3578</v>
      </c>
      <c r="AC2615" t="s">
        <v>3579</v>
      </c>
      <c r="AD2615" t="s">
        <v>3479</v>
      </c>
      <c r="AE2615" t="s">
        <v>3475</v>
      </c>
      <c r="AF2615" s="2">
        <v>3578.27</v>
      </c>
      <c r="AG2615" s="2">
        <v>2171.2941999999998</v>
      </c>
      <c r="AH2615" s="2">
        <v>1406.9757999999999</v>
      </c>
      <c r="AI2615" s="3">
        <v>0.39320001006072802</v>
      </c>
    </row>
    <row r="2616" spans="1:35">
      <c r="A2616" s="1">
        <v>42018</v>
      </c>
      <c r="B2616" s="1">
        <v>37250</v>
      </c>
      <c r="C2616" t="s">
        <v>3671</v>
      </c>
      <c r="D2616">
        <v>310</v>
      </c>
      <c r="E2616">
        <v>29276</v>
      </c>
      <c r="F2616">
        <v>1</v>
      </c>
      <c r="G2616">
        <v>1</v>
      </c>
      <c r="H2616">
        <v>1</v>
      </c>
      <c r="I2616">
        <v>2</v>
      </c>
      <c r="J2616" t="s">
        <v>3485</v>
      </c>
      <c r="K2616" t="s">
        <v>3486</v>
      </c>
      <c r="L2616" s="2">
        <v>2171.2941999999998</v>
      </c>
      <c r="M2616" s="2">
        <v>3578.27</v>
      </c>
      <c r="N2616" t="s">
        <v>30</v>
      </c>
      <c r="O2616" t="s">
        <v>48</v>
      </c>
      <c r="P2616" t="s">
        <v>113</v>
      </c>
      <c r="Q2616" t="s">
        <v>8944</v>
      </c>
      <c r="R2616" s="1">
        <v>19593</v>
      </c>
      <c r="S2616" t="s">
        <v>16</v>
      </c>
      <c r="T2616" t="s">
        <v>29</v>
      </c>
      <c r="U2616" t="s">
        <v>3458</v>
      </c>
      <c r="V2616">
        <v>70000</v>
      </c>
      <c r="W2616">
        <v>3</v>
      </c>
      <c r="X2616" t="s">
        <v>135</v>
      </c>
      <c r="Y2616" t="s">
        <v>45</v>
      </c>
      <c r="Z2616" t="s">
        <v>19</v>
      </c>
      <c r="AA2616" t="s">
        <v>3577</v>
      </c>
      <c r="AB2616" t="s">
        <v>3578</v>
      </c>
      <c r="AC2616" t="s">
        <v>3579</v>
      </c>
      <c r="AD2616" t="s">
        <v>3479</v>
      </c>
      <c r="AE2616" t="s">
        <v>3475</v>
      </c>
      <c r="AF2616" s="2">
        <v>3578.27</v>
      </c>
      <c r="AG2616" s="2">
        <v>2171.2941999999998</v>
      </c>
      <c r="AH2616" s="2">
        <v>1406.9757999999999</v>
      </c>
      <c r="AI2616" s="3">
        <v>0.39320001006072802</v>
      </c>
    </row>
    <row r="2617" spans="1:35">
      <c r="A2617" s="1">
        <v>42016</v>
      </c>
      <c r="B2617" s="1">
        <v>37250</v>
      </c>
      <c r="C2617" t="s">
        <v>3654</v>
      </c>
      <c r="D2617">
        <v>310</v>
      </c>
      <c r="E2617">
        <v>29278</v>
      </c>
      <c r="F2617">
        <v>4</v>
      </c>
      <c r="G2617">
        <v>1</v>
      </c>
      <c r="H2617">
        <v>1</v>
      </c>
      <c r="I2617">
        <v>2</v>
      </c>
      <c r="J2617" t="s">
        <v>3485</v>
      </c>
      <c r="K2617" t="s">
        <v>3486</v>
      </c>
      <c r="L2617" s="2">
        <v>2171.2941999999998</v>
      </c>
      <c r="M2617" s="2">
        <v>3578.27</v>
      </c>
      <c r="N2617" t="s">
        <v>30</v>
      </c>
      <c r="O2617" t="s">
        <v>526</v>
      </c>
      <c r="P2617" t="s">
        <v>512</v>
      </c>
      <c r="Q2617" t="s">
        <v>8945</v>
      </c>
      <c r="R2617" s="1">
        <v>19589</v>
      </c>
      <c r="S2617" t="s">
        <v>22</v>
      </c>
      <c r="T2617" t="s">
        <v>29</v>
      </c>
      <c r="U2617" t="s">
        <v>3459</v>
      </c>
      <c r="V2617">
        <v>70000</v>
      </c>
      <c r="W2617">
        <v>3</v>
      </c>
      <c r="X2617" t="s">
        <v>135</v>
      </c>
      <c r="Y2617" t="s">
        <v>45</v>
      </c>
      <c r="Z2617" t="s">
        <v>19</v>
      </c>
      <c r="AA2617" t="s">
        <v>3580</v>
      </c>
      <c r="AB2617" t="s">
        <v>3578</v>
      </c>
      <c r="AC2617" t="s">
        <v>3579</v>
      </c>
      <c r="AD2617" t="s">
        <v>3479</v>
      </c>
      <c r="AE2617" t="s">
        <v>3475</v>
      </c>
      <c r="AF2617" s="2">
        <v>3578.27</v>
      </c>
      <c r="AG2617" s="2">
        <v>2171.2941999999998</v>
      </c>
      <c r="AH2617" s="2">
        <v>1406.9757999999999</v>
      </c>
      <c r="AI2617" s="3">
        <v>0.39320001006072802</v>
      </c>
    </row>
    <row r="2618" spans="1:35">
      <c r="A2618" s="1">
        <v>42052</v>
      </c>
      <c r="B2618" s="1">
        <v>37274</v>
      </c>
      <c r="C2618" t="s">
        <v>3880</v>
      </c>
      <c r="D2618">
        <v>311</v>
      </c>
      <c r="E2618">
        <v>29279</v>
      </c>
      <c r="F2618">
        <v>4</v>
      </c>
      <c r="G2618">
        <v>1</v>
      </c>
      <c r="H2618">
        <v>1</v>
      </c>
      <c r="I2618">
        <v>2</v>
      </c>
      <c r="J2618" t="s">
        <v>3487</v>
      </c>
      <c r="K2618" t="s">
        <v>3488</v>
      </c>
      <c r="L2618" s="2">
        <v>2171.2941999999998</v>
      </c>
      <c r="M2618" s="2">
        <v>3578.27</v>
      </c>
      <c r="N2618" t="s">
        <v>30</v>
      </c>
      <c r="O2618" t="s">
        <v>337</v>
      </c>
      <c r="P2618" t="s">
        <v>347</v>
      </c>
      <c r="Q2618" t="s">
        <v>8946</v>
      </c>
      <c r="R2618" s="1">
        <v>19561</v>
      </c>
      <c r="S2618" t="s">
        <v>22</v>
      </c>
      <c r="T2618" t="s">
        <v>29</v>
      </c>
      <c r="U2618" t="s">
        <v>3460</v>
      </c>
      <c r="V2618">
        <v>70000</v>
      </c>
      <c r="W2618">
        <v>3</v>
      </c>
      <c r="X2618" t="s">
        <v>135</v>
      </c>
      <c r="Y2618" t="s">
        <v>45</v>
      </c>
      <c r="Z2618" t="s">
        <v>19</v>
      </c>
      <c r="AA2618" t="s">
        <v>3580</v>
      </c>
      <c r="AB2618" t="s">
        <v>3578</v>
      </c>
      <c r="AC2618" t="s">
        <v>3579</v>
      </c>
      <c r="AD2618" t="s">
        <v>3479</v>
      </c>
      <c r="AE2618" t="s">
        <v>3475</v>
      </c>
      <c r="AF2618" s="2">
        <v>3578.27</v>
      </c>
      <c r="AG2618" s="2">
        <v>2171.2941999999998</v>
      </c>
      <c r="AH2618" s="2">
        <v>1406.9757999999999</v>
      </c>
      <c r="AI2618" s="3">
        <v>0.39320001006072802</v>
      </c>
    </row>
    <row r="2619" spans="1:35">
      <c r="A2619" s="1">
        <v>42057</v>
      </c>
      <c r="B2619" s="1">
        <v>37241</v>
      </c>
      <c r="C2619" t="s">
        <v>3899</v>
      </c>
      <c r="D2619">
        <v>313</v>
      </c>
      <c r="E2619">
        <v>29280</v>
      </c>
      <c r="F2619">
        <v>1</v>
      </c>
      <c r="G2619">
        <v>1</v>
      </c>
      <c r="H2619">
        <v>1</v>
      </c>
      <c r="I2619">
        <v>2</v>
      </c>
      <c r="J2619" t="s">
        <v>3491</v>
      </c>
      <c r="K2619" t="s">
        <v>3492</v>
      </c>
      <c r="L2619" s="2">
        <v>2171.2941999999998</v>
      </c>
      <c r="M2619" s="2">
        <v>3578.27</v>
      </c>
      <c r="N2619" t="s">
        <v>30</v>
      </c>
      <c r="O2619" t="s">
        <v>423</v>
      </c>
      <c r="P2619" t="s">
        <v>334</v>
      </c>
      <c r="Q2619" t="s">
        <v>8947</v>
      </c>
      <c r="R2619" s="1">
        <v>18668</v>
      </c>
      <c r="S2619" t="s">
        <v>22</v>
      </c>
      <c r="T2619" t="s">
        <v>29</v>
      </c>
      <c r="U2619" t="s">
        <v>3461</v>
      </c>
      <c r="V2619">
        <v>40000</v>
      </c>
      <c r="W2619">
        <v>3</v>
      </c>
      <c r="X2619" t="s">
        <v>52</v>
      </c>
      <c r="Y2619" t="s">
        <v>18</v>
      </c>
      <c r="Z2619" t="s">
        <v>23</v>
      </c>
      <c r="AA2619" t="s">
        <v>3577</v>
      </c>
      <c r="AB2619" t="s">
        <v>3578</v>
      </c>
      <c r="AC2619" t="s">
        <v>3579</v>
      </c>
      <c r="AD2619" t="s">
        <v>3479</v>
      </c>
      <c r="AE2619" t="s">
        <v>3475</v>
      </c>
      <c r="AF2619" s="2">
        <v>3578.27</v>
      </c>
      <c r="AG2619" s="2">
        <v>2171.2941999999998</v>
      </c>
      <c r="AH2619" s="2">
        <v>1406.9757999999999</v>
      </c>
      <c r="AI2619" s="3">
        <v>0.39320001006072802</v>
      </c>
    </row>
    <row r="2620" spans="1:35">
      <c r="A2620" s="1">
        <v>42304</v>
      </c>
      <c r="B2620" s="1">
        <v>37439</v>
      </c>
      <c r="C2620" t="s">
        <v>5675</v>
      </c>
      <c r="D2620">
        <v>368</v>
      </c>
      <c r="E2620">
        <v>29281</v>
      </c>
      <c r="F2620">
        <v>6</v>
      </c>
      <c r="G2620">
        <v>1</v>
      </c>
      <c r="H2620">
        <v>1</v>
      </c>
      <c r="I2620">
        <v>2</v>
      </c>
      <c r="J2620" t="s">
        <v>3547</v>
      </c>
      <c r="K2620" t="s">
        <v>3548</v>
      </c>
      <c r="L2620" s="2">
        <v>1518.7864</v>
      </c>
      <c r="M2620" s="2">
        <v>2443.35</v>
      </c>
      <c r="N2620" t="s">
        <v>13</v>
      </c>
      <c r="O2620" t="s">
        <v>327</v>
      </c>
      <c r="P2620" t="s">
        <v>166</v>
      </c>
      <c r="Q2620" t="s">
        <v>8948</v>
      </c>
      <c r="R2620" s="1">
        <v>18320</v>
      </c>
      <c r="S2620" t="s">
        <v>22</v>
      </c>
      <c r="T2620" t="s">
        <v>16</v>
      </c>
      <c r="U2620" t="s">
        <v>3462</v>
      </c>
      <c r="V2620">
        <v>40000</v>
      </c>
      <c r="W2620">
        <v>4</v>
      </c>
      <c r="X2620" t="s">
        <v>52</v>
      </c>
      <c r="Y2620" t="s">
        <v>18</v>
      </c>
      <c r="Z2620" t="s">
        <v>23</v>
      </c>
      <c r="AA2620" t="s">
        <v>3582</v>
      </c>
      <c r="AB2620" t="s">
        <v>3582</v>
      </c>
      <c r="AC2620" t="s">
        <v>3579</v>
      </c>
      <c r="AD2620" t="s">
        <v>3479</v>
      </c>
      <c r="AE2620" t="s">
        <v>3475</v>
      </c>
      <c r="AF2620" s="2">
        <v>2443.35</v>
      </c>
      <c r="AG2620" s="2">
        <v>1518.7864</v>
      </c>
      <c r="AH2620" s="2">
        <v>924.56359999999995</v>
      </c>
      <c r="AI2620" s="3">
        <v>0.37839998362903399</v>
      </c>
    </row>
    <row r="2621" spans="1:35">
      <c r="A2621" s="1">
        <v>42045</v>
      </c>
      <c r="B2621" s="1">
        <v>37246</v>
      </c>
      <c r="C2621" t="s">
        <v>3838</v>
      </c>
      <c r="D2621">
        <v>314</v>
      </c>
      <c r="E2621">
        <v>29285</v>
      </c>
      <c r="F2621">
        <v>4</v>
      </c>
      <c r="G2621">
        <v>1</v>
      </c>
      <c r="H2621">
        <v>1</v>
      </c>
      <c r="I2621">
        <v>2</v>
      </c>
      <c r="J2621" t="s">
        <v>3493</v>
      </c>
      <c r="K2621" t="s">
        <v>3494</v>
      </c>
      <c r="L2621" s="2">
        <v>2171.2941999999998</v>
      </c>
      <c r="M2621" s="2">
        <v>3578.27</v>
      </c>
      <c r="N2621" t="s">
        <v>13</v>
      </c>
      <c r="O2621" t="s">
        <v>299</v>
      </c>
      <c r="P2621" t="s">
        <v>297</v>
      </c>
      <c r="Q2621" t="s">
        <v>8949</v>
      </c>
      <c r="R2621" s="1">
        <v>17912</v>
      </c>
      <c r="S2621" t="s">
        <v>22</v>
      </c>
      <c r="T2621" t="s">
        <v>16</v>
      </c>
      <c r="U2621" t="s">
        <v>3463</v>
      </c>
      <c r="V2621">
        <v>40000</v>
      </c>
      <c r="W2621">
        <v>4</v>
      </c>
      <c r="X2621" t="s">
        <v>57</v>
      </c>
      <c r="Y2621" t="s">
        <v>18</v>
      </c>
      <c r="Z2621" t="s">
        <v>23</v>
      </c>
      <c r="AA2621" t="s">
        <v>3580</v>
      </c>
      <c r="AB2621" t="s">
        <v>3578</v>
      </c>
      <c r="AC2621" t="s">
        <v>3579</v>
      </c>
      <c r="AD2621" t="s">
        <v>3479</v>
      </c>
      <c r="AE2621" t="s">
        <v>3475</v>
      </c>
      <c r="AF2621" s="2">
        <v>3578.27</v>
      </c>
      <c r="AG2621" s="2">
        <v>2171.2941999999998</v>
      </c>
      <c r="AH2621" s="2">
        <v>1406.9757999999999</v>
      </c>
      <c r="AI2621" s="3">
        <v>0.39320001006072802</v>
      </c>
    </row>
    <row r="2622" spans="1:35">
      <c r="A2622" s="1">
        <v>42045</v>
      </c>
      <c r="B2622" s="1">
        <v>37189</v>
      </c>
      <c r="C2622" t="s">
        <v>3839</v>
      </c>
      <c r="D2622">
        <v>314</v>
      </c>
      <c r="E2622">
        <v>29326</v>
      </c>
      <c r="F2622">
        <v>4</v>
      </c>
      <c r="G2622">
        <v>1</v>
      </c>
      <c r="H2622">
        <v>1</v>
      </c>
      <c r="I2622">
        <v>2</v>
      </c>
      <c r="J2622" t="s">
        <v>3493</v>
      </c>
      <c r="K2622" t="s">
        <v>3494</v>
      </c>
      <c r="L2622" s="2">
        <v>2171.2941999999998</v>
      </c>
      <c r="M2622" s="2">
        <v>3578.27</v>
      </c>
      <c r="N2622" t="s">
        <v>26</v>
      </c>
      <c r="O2622" t="s">
        <v>374</v>
      </c>
      <c r="P2622" t="s">
        <v>136</v>
      </c>
      <c r="Q2622" t="s">
        <v>8950</v>
      </c>
      <c r="R2622" s="1">
        <v>29268</v>
      </c>
      <c r="S2622" t="s">
        <v>22</v>
      </c>
      <c r="T2622" t="s">
        <v>29</v>
      </c>
      <c r="U2622" t="s">
        <v>3464</v>
      </c>
      <c r="V2622">
        <v>30000</v>
      </c>
      <c r="W2622">
        <v>0</v>
      </c>
      <c r="X2622" t="s">
        <v>57</v>
      </c>
      <c r="Y2622" t="s">
        <v>53</v>
      </c>
      <c r="Z2622" t="s">
        <v>23</v>
      </c>
      <c r="AA2622" t="s">
        <v>3580</v>
      </c>
      <c r="AB2622" t="s">
        <v>3578</v>
      </c>
      <c r="AC2622" t="s">
        <v>3579</v>
      </c>
      <c r="AD2622" t="s">
        <v>3479</v>
      </c>
      <c r="AE2622" t="s">
        <v>3475</v>
      </c>
      <c r="AF2622" s="2">
        <v>3578.27</v>
      </c>
      <c r="AG2622" s="2">
        <v>2171.2941999999998</v>
      </c>
      <c r="AH2622" s="2">
        <v>1406.9757999999999</v>
      </c>
      <c r="AI2622" s="3">
        <v>0.39320001006072802</v>
      </c>
    </row>
    <row r="2623" spans="1:35">
      <c r="A2623" s="1">
        <v>42049</v>
      </c>
      <c r="B2623" s="1">
        <v>37185</v>
      </c>
      <c r="C2623" t="s">
        <v>3867</v>
      </c>
      <c r="D2623">
        <v>310</v>
      </c>
      <c r="E2623">
        <v>29334</v>
      </c>
      <c r="F2623">
        <v>1</v>
      </c>
      <c r="G2623">
        <v>1</v>
      </c>
      <c r="H2623">
        <v>1</v>
      </c>
      <c r="I2623">
        <v>2</v>
      </c>
      <c r="J2623" t="s">
        <v>3485</v>
      </c>
      <c r="K2623" t="s">
        <v>3486</v>
      </c>
      <c r="L2623" s="2">
        <v>2171.2941999999998</v>
      </c>
      <c r="M2623" s="2">
        <v>3578.27</v>
      </c>
      <c r="N2623" t="s">
        <v>26</v>
      </c>
      <c r="O2623" t="s">
        <v>1331</v>
      </c>
      <c r="P2623" t="s">
        <v>294</v>
      </c>
      <c r="Q2623" t="s">
        <v>8951</v>
      </c>
      <c r="R2623" s="1">
        <v>28987</v>
      </c>
      <c r="S2623" t="s">
        <v>22</v>
      </c>
      <c r="T2623" t="s">
        <v>29</v>
      </c>
      <c r="U2623" t="s">
        <v>3465</v>
      </c>
      <c r="V2623">
        <v>30000</v>
      </c>
      <c r="W2623">
        <v>0</v>
      </c>
      <c r="X2623" t="s">
        <v>77</v>
      </c>
      <c r="Y2623" t="s">
        <v>60</v>
      </c>
      <c r="Z2623" t="s">
        <v>23</v>
      </c>
      <c r="AA2623" t="s">
        <v>3577</v>
      </c>
      <c r="AB2623" t="s">
        <v>3578</v>
      </c>
      <c r="AC2623" t="s">
        <v>3579</v>
      </c>
      <c r="AD2623" t="s">
        <v>3479</v>
      </c>
      <c r="AE2623" t="s">
        <v>3475</v>
      </c>
      <c r="AF2623" s="2">
        <v>3578.27</v>
      </c>
      <c r="AG2623" s="2">
        <v>2171.2941999999998</v>
      </c>
      <c r="AH2623" s="2">
        <v>1406.9757999999999</v>
      </c>
      <c r="AI2623" s="3">
        <v>0.39320001006072802</v>
      </c>
    </row>
    <row r="2624" spans="1:35">
      <c r="A2624" s="1">
        <v>42050</v>
      </c>
      <c r="B2624" s="1">
        <v>37287</v>
      </c>
      <c r="C2624" t="s">
        <v>3873</v>
      </c>
      <c r="D2624">
        <v>314</v>
      </c>
      <c r="E2624">
        <v>29335</v>
      </c>
      <c r="F2624">
        <v>1</v>
      </c>
      <c r="G2624">
        <v>1</v>
      </c>
      <c r="H2624">
        <v>1</v>
      </c>
      <c r="I2624">
        <v>2</v>
      </c>
      <c r="J2624" t="s">
        <v>3493</v>
      </c>
      <c r="K2624" t="s">
        <v>3494</v>
      </c>
      <c r="L2624" s="2">
        <v>2171.2941999999998</v>
      </c>
      <c r="M2624" s="2">
        <v>3578.27</v>
      </c>
      <c r="N2624" t="s">
        <v>13</v>
      </c>
      <c r="O2624" t="s">
        <v>614</v>
      </c>
      <c r="P2624" t="s">
        <v>184</v>
      </c>
      <c r="Q2624" t="s">
        <v>8952</v>
      </c>
      <c r="R2624" s="1">
        <v>28559</v>
      </c>
      <c r="S2624" t="s">
        <v>22</v>
      </c>
      <c r="T2624" t="s">
        <v>16</v>
      </c>
      <c r="U2624" t="s">
        <v>3466</v>
      </c>
      <c r="V2624">
        <v>30000</v>
      </c>
      <c r="W2624">
        <v>0</v>
      </c>
      <c r="X2624" t="s">
        <v>77</v>
      </c>
      <c r="Y2624" t="s">
        <v>60</v>
      </c>
      <c r="Z2624" t="s">
        <v>23</v>
      </c>
      <c r="AA2624" t="s">
        <v>3577</v>
      </c>
      <c r="AB2624" t="s">
        <v>3578</v>
      </c>
      <c r="AC2624" t="s">
        <v>3579</v>
      </c>
      <c r="AD2624" t="s">
        <v>3479</v>
      </c>
      <c r="AE2624" t="s">
        <v>3475</v>
      </c>
      <c r="AF2624" s="2">
        <v>3578.27</v>
      </c>
      <c r="AG2624" s="2">
        <v>2171.2941999999998</v>
      </c>
      <c r="AH2624" s="2">
        <v>1406.9757999999999</v>
      </c>
      <c r="AI2624" s="3">
        <v>0.39320001006072802</v>
      </c>
    </row>
    <row r="2625" spans="1:35">
      <c r="A2625" s="1">
        <v>42301</v>
      </c>
      <c r="B2625" s="1">
        <v>37456</v>
      </c>
      <c r="C2625" t="s">
        <v>5655</v>
      </c>
      <c r="D2625">
        <v>373</v>
      </c>
      <c r="E2625">
        <v>29336</v>
      </c>
      <c r="F2625">
        <v>6</v>
      </c>
      <c r="G2625">
        <v>1</v>
      </c>
      <c r="H2625">
        <v>1</v>
      </c>
      <c r="I2625">
        <v>2</v>
      </c>
      <c r="J2625" t="s">
        <v>3555</v>
      </c>
      <c r="K2625" t="s">
        <v>3556</v>
      </c>
      <c r="L2625" s="2">
        <v>1320.6838</v>
      </c>
      <c r="M2625" s="2">
        <v>2181.5625</v>
      </c>
      <c r="N2625" t="s">
        <v>13</v>
      </c>
      <c r="O2625" t="s">
        <v>795</v>
      </c>
      <c r="P2625" t="s">
        <v>428</v>
      </c>
      <c r="Q2625" t="s">
        <v>8953</v>
      </c>
      <c r="R2625" s="1">
        <v>28688</v>
      </c>
      <c r="S2625" t="s">
        <v>22</v>
      </c>
      <c r="T2625" t="s">
        <v>16</v>
      </c>
      <c r="U2625" t="s">
        <v>3467</v>
      </c>
      <c r="V2625">
        <v>40000</v>
      </c>
      <c r="W2625">
        <v>0</v>
      </c>
      <c r="X2625" t="s">
        <v>57</v>
      </c>
      <c r="Y2625" t="s">
        <v>53</v>
      </c>
      <c r="Z2625" t="s">
        <v>23</v>
      </c>
      <c r="AA2625" t="s">
        <v>3582</v>
      </c>
      <c r="AB2625" t="s">
        <v>3582</v>
      </c>
      <c r="AC2625" t="s">
        <v>3579</v>
      </c>
      <c r="AD2625" t="s">
        <v>3479</v>
      </c>
      <c r="AE2625" t="s">
        <v>3475</v>
      </c>
      <c r="AF2625" s="2">
        <v>2181.5625</v>
      </c>
      <c r="AG2625" s="2">
        <v>1320.6838</v>
      </c>
      <c r="AH2625" s="2">
        <v>860.87869999999998</v>
      </c>
      <c r="AI2625" s="3">
        <v>0.39461564818793898</v>
      </c>
    </row>
    <row r="2626" spans="1:35">
      <c r="A2626" s="1">
        <v>42061</v>
      </c>
      <c r="B2626" s="1">
        <v>37294</v>
      </c>
      <c r="C2626" t="s">
        <v>3932</v>
      </c>
      <c r="D2626">
        <v>314</v>
      </c>
      <c r="E2626">
        <v>29340</v>
      </c>
      <c r="F2626">
        <v>6</v>
      </c>
      <c r="G2626">
        <v>1</v>
      </c>
      <c r="H2626">
        <v>1</v>
      </c>
      <c r="I2626">
        <v>2</v>
      </c>
      <c r="J2626" t="s">
        <v>3493</v>
      </c>
      <c r="K2626" t="s">
        <v>3494</v>
      </c>
      <c r="L2626" s="2">
        <v>2171.2941999999998</v>
      </c>
      <c r="M2626" s="2">
        <v>3578.27</v>
      </c>
      <c r="N2626" t="s">
        <v>26</v>
      </c>
      <c r="O2626" t="s">
        <v>1218</v>
      </c>
      <c r="P2626" t="s">
        <v>175</v>
      </c>
      <c r="Q2626" t="s">
        <v>8954</v>
      </c>
      <c r="R2626" s="1">
        <v>29133</v>
      </c>
      <c r="S2626" t="s">
        <v>22</v>
      </c>
      <c r="T2626" t="s">
        <v>29</v>
      </c>
      <c r="U2626" t="s">
        <v>3468</v>
      </c>
      <c r="V2626">
        <v>30000</v>
      </c>
      <c r="W2626">
        <v>0</v>
      </c>
      <c r="X2626" t="s">
        <v>77</v>
      </c>
      <c r="Y2626" t="s">
        <v>60</v>
      </c>
      <c r="Z2626" t="s">
        <v>23</v>
      </c>
      <c r="AA2626" t="s">
        <v>3582</v>
      </c>
      <c r="AB2626" t="s">
        <v>3582</v>
      </c>
      <c r="AC2626" t="s">
        <v>3579</v>
      </c>
      <c r="AD2626" t="s">
        <v>3479</v>
      </c>
      <c r="AE2626" t="s">
        <v>3475</v>
      </c>
      <c r="AF2626" s="2">
        <v>3578.27</v>
      </c>
      <c r="AG2626" s="2">
        <v>2171.2941999999998</v>
      </c>
      <c r="AH2626" s="2">
        <v>1406.9757999999999</v>
      </c>
      <c r="AI2626" s="3">
        <v>0.39320001006072802</v>
      </c>
    </row>
    <row r="2627" spans="1:35">
      <c r="A2627" s="1">
        <v>42050</v>
      </c>
      <c r="B2627" s="1">
        <v>37236</v>
      </c>
      <c r="C2627" t="s">
        <v>3872</v>
      </c>
      <c r="D2627">
        <v>313</v>
      </c>
      <c r="E2627">
        <v>29350</v>
      </c>
      <c r="F2627">
        <v>4</v>
      </c>
      <c r="G2627">
        <v>1</v>
      </c>
      <c r="H2627">
        <v>1</v>
      </c>
      <c r="I2627">
        <v>2</v>
      </c>
      <c r="J2627" t="s">
        <v>3491</v>
      </c>
      <c r="K2627" t="s">
        <v>3492</v>
      </c>
      <c r="L2627" s="2">
        <v>2171.2941999999998</v>
      </c>
      <c r="M2627" s="2">
        <v>3578.27</v>
      </c>
      <c r="N2627" t="s">
        <v>30</v>
      </c>
      <c r="O2627" t="s">
        <v>202</v>
      </c>
      <c r="P2627" t="s">
        <v>366</v>
      </c>
      <c r="Q2627" t="s">
        <v>8955</v>
      </c>
      <c r="R2627" s="1">
        <v>24055</v>
      </c>
      <c r="S2627" t="s">
        <v>22</v>
      </c>
      <c r="T2627" t="s">
        <v>29</v>
      </c>
      <c r="U2627" t="s">
        <v>3469</v>
      </c>
      <c r="V2627">
        <v>50000</v>
      </c>
      <c r="W2627">
        <v>3</v>
      </c>
      <c r="X2627" t="s">
        <v>17</v>
      </c>
      <c r="Y2627" t="s">
        <v>53</v>
      </c>
      <c r="Z2627" t="s">
        <v>19</v>
      </c>
      <c r="AA2627" t="s">
        <v>3580</v>
      </c>
      <c r="AB2627" t="s">
        <v>3578</v>
      </c>
      <c r="AC2627" t="s">
        <v>3579</v>
      </c>
      <c r="AD2627" t="s">
        <v>3479</v>
      </c>
      <c r="AE2627" t="s">
        <v>3475</v>
      </c>
      <c r="AF2627" s="2">
        <v>3578.27</v>
      </c>
      <c r="AG2627" s="2">
        <v>2171.2941999999998</v>
      </c>
      <c r="AH2627" s="2">
        <v>1406.9757999999999</v>
      </c>
      <c r="AI2627" s="3">
        <v>0.39320001006072802</v>
      </c>
    </row>
    <row r="2628" spans="1:35">
      <c r="A2628" s="1">
        <v>42043</v>
      </c>
      <c r="B2628" s="1">
        <v>37228</v>
      </c>
      <c r="C2628" t="s">
        <v>3826</v>
      </c>
      <c r="D2628">
        <v>313</v>
      </c>
      <c r="E2628">
        <v>29352</v>
      </c>
      <c r="F2628">
        <v>4</v>
      </c>
      <c r="G2628">
        <v>1</v>
      </c>
      <c r="H2628">
        <v>1</v>
      </c>
      <c r="I2628">
        <v>2</v>
      </c>
      <c r="J2628" t="s">
        <v>3491</v>
      </c>
      <c r="K2628" t="s">
        <v>3492</v>
      </c>
      <c r="L2628" s="2">
        <v>2171.2941999999998</v>
      </c>
      <c r="M2628" s="2">
        <v>3578.27</v>
      </c>
      <c r="N2628" t="s">
        <v>30</v>
      </c>
      <c r="O2628" t="s">
        <v>1195</v>
      </c>
      <c r="P2628" t="s">
        <v>95</v>
      </c>
      <c r="Q2628" t="s">
        <v>8956</v>
      </c>
      <c r="R2628" s="1">
        <v>23965</v>
      </c>
      <c r="S2628" t="s">
        <v>22</v>
      </c>
      <c r="T2628" t="s">
        <v>29</v>
      </c>
      <c r="U2628" t="s">
        <v>3470</v>
      </c>
      <c r="V2628">
        <v>50000</v>
      </c>
      <c r="W2628">
        <v>3</v>
      </c>
      <c r="X2628" t="s">
        <v>17</v>
      </c>
      <c r="Y2628" t="s">
        <v>53</v>
      </c>
      <c r="Z2628" t="s">
        <v>23</v>
      </c>
      <c r="AA2628" t="s">
        <v>3580</v>
      </c>
      <c r="AB2628" t="s">
        <v>3578</v>
      </c>
      <c r="AC2628" t="s">
        <v>3579</v>
      </c>
      <c r="AD2628" t="s">
        <v>3479</v>
      </c>
      <c r="AE2628" t="s">
        <v>3475</v>
      </c>
      <c r="AF2628" s="2">
        <v>3578.27</v>
      </c>
      <c r="AG2628" s="2">
        <v>2171.2941999999998</v>
      </c>
      <c r="AH2628" s="2">
        <v>1406.9757999999999</v>
      </c>
      <c r="AI2628" s="3">
        <v>0.39320001006072802</v>
      </c>
    </row>
    <row r="2629" spans="1:35">
      <c r="A2629" s="1">
        <v>42058</v>
      </c>
      <c r="B2629" s="1">
        <v>37196</v>
      </c>
      <c r="C2629" t="s">
        <v>3906</v>
      </c>
      <c r="D2629">
        <v>313</v>
      </c>
      <c r="E2629">
        <v>29354</v>
      </c>
      <c r="F2629">
        <v>1</v>
      </c>
      <c r="G2629">
        <v>1</v>
      </c>
      <c r="H2629">
        <v>1</v>
      </c>
      <c r="I2629">
        <v>2</v>
      </c>
      <c r="J2629" t="s">
        <v>3491</v>
      </c>
      <c r="K2629" t="s">
        <v>3492</v>
      </c>
      <c r="L2629" s="2">
        <v>2171.2941999999998</v>
      </c>
      <c r="M2629" s="2">
        <v>3578.27</v>
      </c>
      <c r="N2629" t="s">
        <v>13</v>
      </c>
      <c r="O2629" t="s">
        <v>679</v>
      </c>
      <c r="P2629" t="s">
        <v>70</v>
      </c>
      <c r="Q2629" t="s">
        <v>8957</v>
      </c>
      <c r="R2629" s="1">
        <v>23996</v>
      </c>
      <c r="S2629" t="s">
        <v>22</v>
      </c>
      <c r="T2629" t="s">
        <v>16</v>
      </c>
      <c r="U2629" t="s">
        <v>3471</v>
      </c>
      <c r="V2629">
        <v>60000</v>
      </c>
      <c r="W2629">
        <v>0</v>
      </c>
      <c r="X2629" t="s">
        <v>135</v>
      </c>
      <c r="Y2629" t="s">
        <v>18</v>
      </c>
      <c r="Z2629" t="s">
        <v>19</v>
      </c>
      <c r="AA2629" t="s">
        <v>3577</v>
      </c>
      <c r="AB2629" t="s">
        <v>3578</v>
      </c>
      <c r="AC2629" t="s">
        <v>3579</v>
      </c>
      <c r="AD2629" t="s">
        <v>3479</v>
      </c>
      <c r="AE2629" t="s">
        <v>3475</v>
      </c>
      <c r="AF2629" s="2">
        <v>3578.27</v>
      </c>
      <c r="AG2629" s="2">
        <v>2171.2941999999998</v>
      </c>
      <c r="AH2629" s="2">
        <v>1406.9757999999999</v>
      </c>
      <c r="AI2629" s="3">
        <v>0.39320001006072802</v>
      </c>
    </row>
    <row r="2630" spans="1:35">
      <c r="A2630" s="1">
        <v>42025</v>
      </c>
      <c r="B2630" s="1">
        <v>37244</v>
      </c>
      <c r="C2630" t="s">
        <v>3713</v>
      </c>
      <c r="D2630">
        <v>346</v>
      </c>
      <c r="E2630">
        <v>29476</v>
      </c>
      <c r="F2630">
        <v>8</v>
      </c>
      <c r="G2630">
        <v>1</v>
      </c>
      <c r="H2630">
        <v>1</v>
      </c>
      <c r="I2630">
        <v>1</v>
      </c>
      <c r="J2630" t="s">
        <v>3523</v>
      </c>
      <c r="K2630" t="s">
        <v>3524</v>
      </c>
      <c r="L2630" s="2">
        <v>1912.1543999999999</v>
      </c>
      <c r="M2630" s="2">
        <v>3399.99</v>
      </c>
      <c r="N2630" t="s">
        <v>30</v>
      </c>
      <c r="O2630" t="s">
        <v>31</v>
      </c>
      <c r="P2630" t="s">
        <v>1021</v>
      </c>
      <c r="Q2630" t="s">
        <v>8958</v>
      </c>
      <c r="R2630" s="1">
        <v>21734</v>
      </c>
      <c r="S2630" t="s">
        <v>16</v>
      </c>
      <c r="T2630" t="s">
        <v>29</v>
      </c>
      <c r="U2630" t="s">
        <v>3472</v>
      </c>
      <c r="V2630">
        <v>20000</v>
      </c>
      <c r="W2630">
        <v>2</v>
      </c>
      <c r="X2630" t="s">
        <v>52</v>
      </c>
      <c r="Y2630" t="s">
        <v>444</v>
      </c>
      <c r="Z2630" t="s">
        <v>23</v>
      </c>
      <c r="AA2630" t="s">
        <v>3585</v>
      </c>
      <c r="AB2630" t="s">
        <v>3585</v>
      </c>
      <c r="AC2630" t="s">
        <v>3584</v>
      </c>
      <c r="AD2630" t="s">
        <v>3478</v>
      </c>
      <c r="AE2630" t="s">
        <v>3475</v>
      </c>
      <c r="AF2630" s="2">
        <v>3399.99</v>
      </c>
      <c r="AG2630" s="2">
        <v>1912.1543999999999</v>
      </c>
      <c r="AH2630" s="2">
        <v>1487.8356000000001</v>
      </c>
      <c r="AI2630" s="3">
        <v>0.43759999294115598</v>
      </c>
    </row>
    <row r="2631" spans="1:35">
      <c r="A2631" s="1">
        <v>42048</v>
      </c>
      <c r="B2631" s="1">
        <v>37210</v>
      </c>
      <c r="C2631" t="s">
        <v>3856</v>
      </c>
      <c r="D2631">
        <v>349</v>
      </c>
      <c r="E2631">
        <v>29481</v>
      </c>
      <c r="F2631">
        <v>8</v>
      </c>
      <c r="G2631">
        <v>1</v>
      </c>
      <c r="H2631">
        <v>1</v>
      </c>
      <c r="I2631">
        <v>1</v>
      </c>
      <c r="J2631" t="s">
        <v>3529</v>
      </c>
      <c r="K2631" t="s">
        <v>3530</v>
      </c>
      <c r="L2631" s="2">
        <v>1898.0944</v>
      </c>
      <c r="M2631" s="2">
        <v>3374.99</v>
      </c>
      <c r="N2631" t="s">
        <v>13</v>
      </c>
      <c r="O2631" t="s">
        <v>629</v>
      </c>
      <c r="P2631" t="s">
        <v>907</v>
      </c>
      <c r="Q2631" t="s">
        <v>8959</v>
      </c>
      <c r="R2631" s="1">
        <v>21920</v>
      </c>
      <c r="S2631" t="s">
        <v>22</v>
      </c>
      <c r="T2631" t="s">
        <v>16</v>
      </c>
      <c r="U2631" t="s">
        <v>3473</v>
      </c>
      <c r="V2631">
        <v>30000</v>
      </c>
      <c r="W2631">
        <v>3</v>
      </c>
      <c r="X2631" t="s">
        <v>135</v>
      </c>
      <c r="Y2631" t="s">
        <v>60</v>
      </c>
      <c r="Z2631" t="s">
        <v>23</v>
      </c>
      <c r="AA2631" t="s">
        <v>3585</v>
      </c>
      <c r="AB2631" t="s">
        <v>3585</v>
      </c>
      <c r="AC2631" t="s">
        <v>3584</v>
      </c>
      <c r="AD2631" t="s">
        <v>3478</v>
      </c>
      <c r="AE2631" t="s">
        <v>3475</v>
      </c>
      <c r="AF2631" s="2">
        <v>3374.99</v>
      </c>
      <c r="AG2631" s="2">
        <v>1898.0944</v>
      </c>
      <c r="AH2631" s="2">
        <v>1476.8956000000001</v>
      </c>
      <c r="AI2631" s="3">
        <v>0.43759999288886797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C80-C675-1E49-95B8-6334778A43B8}">
  <sheetPr codeName="Sheet6"/>
  <dimension ref="A1:L1810"/>
  <sheetViews>
    <sheetView workbookViewId="0"/>
  </sheetViews>
  <sheetFormatPr baseColWidth="10" defaultRowHeight="18"/>
  <cols>
    <col min="1" max="1" width="13.5" bestFit="1" customWidth="1"/>
    <col min="2" max="2" width="17.1640625" bestFit="1" customWidth="1"/>
    <col min="3" max="3" width="27.83203125" bestFit="1" customWidth="1"/>
    <col min="4" max="4" width="15.83203125" style="4" bestFit="1" customWidth="1"/>
    <col min="5" max="5" width="16.33203125" style="4" bestFit="1" customWidth="1"/>
    <col min="6" max="6" width="20" bestFit="1" customWidth="1"/>
    <col min="7" max="7" width="16.6640625" bestFit="1" customWidth="1"/>
    <col min="8" max="9" width="15.5" bestFit="1" customWidth="1"/>
    <col min="10" max="10" width="14" bestFit="1" customWidth="1"/>
    <col min="11" max="11" width="15" bestFit="1" customWidth="1"/>
    <col min="12" max="12" width="14" customWidth="1"/>
  </cols>
  <sheetData>
    <row r="1" spans="1:12">
      <c r="A1" t="s">
        <v>6224</v>
      </c>
      <c r="B1" t="s">
        <v>6225</v>
      </c>
      <c r="C1" t="s">
        <v>3482</v>
      </c>
      <c r="D1" s="4" t="s">
        <v>3483</v>
      </c>
      <c r="E1" s="4" t="s">
        <v>3484</v>
      </c>
      <c r="F1" t="s">
        <v>3477</v>
      </c>
      <c r="G1" t="s">
        <v>3474</v>
      </c>
      <c r="H1" t="s">
        <v>3574</v>
      </c>
      <c r="I1" t="s">
        <v>3575</v>
      </c>
      <c r="J1" t="s">
        <v>3576</v>
      </c>
      <c r="K1" t="s">
        <v>8960</v>
      </c>
      <c r="L1" t="s">
        <v>8961</v>
      </c>
    </row>
    <row r="2" spans="1:12">
      <c r="A2" s="1">
        <v>42022</v>
      </c>
      <c r="B2">
        <v>1</v>
      </c>
      <c r="C2" t="s">
        <v>3490</v>
      </c>
      <c r="D2" s="4">
        <v>2171.2941999999998</v>
      </c>
      <c r="E2" s="4">
        <v>3578.27</v>
      </c>
      <c r="F2" t="s">
        <v>3479</v>
      </c>
      <c r="G2" t="s">
        <v>3475</v>
      </c>
      <c r="H2" t="s">
        <v>3586</v>
      </c>
      <c r="I2" t="s">
        <v>3586</v>
      </c>
      <c r="J2" t="s">
        <v>3587</v>
      </c>
      <c r="K2" s="4">
        <v>3578.27</v>
      </c>
      <c r="L2" s="4">
        <v>2171.2941999999998</v>
      </c>
    </row>
    <row r="3" spans="1:12">
      <c r="A3" s="1">
        <v>42109</v>
      </c>
      <c r="B3">
        <v>1</v>
      </c>
      <c r="C3" t="s">
        <v>3490</v>
      </c>
      <c r="D3" s="4">
        <v>2171.2941999999998</v>
      </c>
      <c r="E3" s="4">
        <v>3578.27</v>
      </c>
      <c r="F3" t="s">
        <v>3479</v>
      </c>
      <c r="G3" t="s">
        <v>3475</v>
      </c>
      <c r="H3" t="s">
        <v>3586</v>
      </c>
      <c r="I3" t="s">
        <v>3586</v>
      </c>
      <c r="J3" t="s">
        <v>3587</v>
      </c>
      <c r="K3" s="4">
        <v>3578.27</v>
      </c>
      <c r="L3" s="4">
        <v>2171.2941999999998</v>
      </c>
    </row>
    <row r="4" spans="1:12">
      <c r="A4" s="1">
        <v>42115</v>
      </c>
      <c r="B4">
        <v>1</v>
      </c>
      <c r="C4" t="s">
        <v>3490</v>
      </c>
      <c r="D4" s="4">
        <v>2171.2941999999998</v>
      </c>
      <c r="E4" s="4">
        <v>3578.27</v>
      </c>
      <c r="F4" t="s">
        <v>3479</v>
      </c>
      <c r="G4" t="s">
        <v>3475</v>
      </c>
      <c r="H4" t="s">
        <v>3586</v>
      </c>
      <c r="I4" t="s">
        <v>3586</v>
      </c>
      <c r="J4" t="s">
        <v>3587</v>
      </c>
      <c r="K4" s="4">
        <v>3578.27</v>
      </c>
      <c r="L4" s="4">
        <v>2171.2941999999998</v>
      </c>
    </row>
    <row r="5" spans="1:12">
      <c r="A5" s="1">
        <v>42114</v>
      </c>
      <c r="B5">
        <v>1</v>
      </c>
      <c r="C5" t="s">
        <v>3486</v>
      </c>
      <c r="D5" s="4">
        <v>2171.2941999999998</v>
      </c>
      <c r="E5" s="4">
        <v>3578.27</v>
      </c>
      <c r="F5" t="s">
        <v>3479</v>
      </c>
      <c r="G5" t="s">
        <v>3475</v>
      </c>
      <c r="H5" t="s">
        <v>3586</v>
      </c>
      <c r="I5" t="s">
        <v>3586</v>
      </c>
      <c r="J5" t="s">
        <v>3587</v>
      </c>
      <c r="K5" s="4">
        <v>3578.27</v>
      </c>
      <c r="L5" s="4">
        <v>2171.2941999999998</v>
      </c>
    </row>
    <row r="6" spans="1:12">
      <c r="A6" s="1">
        <v>42050</v>
      </c>
      <c r="B6">
        <v>1</v>
      </c>
      <c r="C6" t="s">
        <v>3490</v>
      </c>
      <c r="D6" s="4">
        <v>2171.2941999999998</v>
      </c>
      <c r="E6" s="4">
        <v>3578.27</v>
      </c>
      <c r="F6" t="s">
        <v>3479</v>
      </c>
      <c r="G6" t="s">
        <v>3475</v>
      </c>
      <c r="H6" t="s">
        <v>3577</v>
      </c>
      <c r="I6" t="s">
        <v>3578</v>
      </c>
      <c r="J6" t="s">
        <v>3579</v>
      </c>
      <c r="K6" s="4">
        <v>3578.27</v>
      </c>
      <c r="L6" s="4">
        <v>2171.2941999999998</v>
      </c>
    </row>
    <row r="7" spans="1:12">
      <c r="A7" s="1">
        <v>42037</v>
      </c>
      <c r="B7">
        <v>1</v>
      </c>
      <c r="C7" t="s">
        <v>3490</v>
      </c>
      <c r="D7" s="4">
        <v>2171.2941999999998</v>
      </c>
      <c r="E7" s="4">
        <v>3578.27</v>
      </c>
      <c r="F7" t="s">
        <v>3479</v>
      </c>
      <c r="G7" t="s">
        <v>3475</v>
      </c>
      <c r="H7" t="s">
        <v>3582</v>
      </c>
      <c r="I7" t="s">
        <v>3582</v>
      </c>
      <c r="J7" t="s">
        <v>3579</v>
      </c>
      <c r="K7" s="4">
        <v>3578.27</v>
      </c>
      <c r="L7" s="4">
        <v>2171.2941999999998</v>
      </c>
    </row>
    <row r="8" spans="1:12">
      <c r="A8" s="1">
        <v>42123</v>
      </c>
      <c r="B8">
        <v>1</v>
      </c>
      <c r="C8" t="s">
        <v>3486</v>
      </c>
      <c r="D8" s="4">
        <v>2171.2941999999998</v>
      </c>
      <c r="E8" s="4">
        <v>3578.27</v>
      </c>
      <c r="F8" t="s">
        <v>3479</v>
      </c>
      <c r="G8" t="s">
        <v>3475</v>
      </c>
      <c r="H8" t="s">
        <v>3582</v>
      </c>
      <c r="I8" t="s">
        <v>3582</v>
      </c>
      <c r="J8" t="s">
        <v>3579</v>
      </c>
      <c r="K8" s="4">
        <v>3578.27</v>
      </c>
      <c r="L8" s="4">
        <v>2171.2941999999998</v>
      </c>
    </row>
    <row r="9" spans="1:12">
      <c r="A9" s="1">
        <v>42089</v>
      </c>
      <c r="B9">
        <v>1</v>
      </c>
      <c r="C9" t="s">
        <v>3490</v>
      </c>
      <c r="D9" s="4">
        <v>2171.2941999999998</v>
      </c>
      <c r="E9" s="4">
        <v>3578.27</v>
      </c>
      <c r="F9" t="s">
        <v>3479</v>
      </c>
      <c r="G9" t="s">
        <v>3475</v>
      </c>
      <c r="H9" t="s">
        <v>3588</v>
      </c>
      <c r="I9" t="s">
        <v>3588</v>
      </c>
      <c r="J9" t="s">
        <v>3584</v>
      </c>
      <c r="K9" s="4">
        <v>3578.27</v>
      </c>
      <c r="L9" s="4">
        <v>2171.2941999999998</v>
      </c>
    </row>
    <row r="10" spans="1:12">
      <c r="A10" s="1">
        <v>42022</v>
      </c>
      <c r="B10">
        <v>1</v>
      </c>
      <c r="C10" t="s">
        <v>3486</v>
      </c>
      <c r="D10" s="4">
        <v>2171.2941999999998</v>
      </c>
      <c r="E10" s="4">
        <v>3578.27</v>
      </c>
      <c r="F10" t="s">
        <v>3479</v>
      </c>
      <c r="G10" t="s">
        <v>3475</v>
      </c>
      <c r="H10" t="s">
        <v>3588</v>
      </c>
      <c r="I10" t="s">
        <v>3588</v>
      </c>
      <c r="J10" t="s">
        <v>3584</v>
      </c>
      <c r="K10" s="4">
        <v>3578.27</v>
      </c>
      <c r="L10" s="4">
        <v>2171.2941999999998</v>
      </c>
    </row>
    <row r="11" spans="1:12">
      <c r="A11" s="1">
        <v>42125</v>
      </c>
      <c r="B11">
        <v>1</v>
      </c>
      <c r="C11" t="s">
        <v>3490</v>
      </c>
      <c r="D11" s="4">
        <v>2171.2941999999998</v>
      </c>
      <c r="E11" s="4">
        <v>3578.27</v>
      </c>
      <c r="F11" t="s">
        <v>3479</v>
      </c>
      <c r="G11" t="s">
        <v>3475</v>
      </c>
      <c r="H11" t="s">
        <v>3580</v>
      </c>
      <c r="I11" t="s">
        <v>3578</v>
      </c>
      <c r="J11" t="s">
        <v>3579</v>
      </c>
      <c r="K11" s="4">
        <v>3578.27</v>
      </c>
      <c r="L11" s="4">
        <v>2171.2941999999998</v>
      </c>
    </row>
    <row r="12" spans="1:12">
      <c r="A12" s="1">
        <v>42091</v>
      </c>
      <c r="B12">
        <v>1</v>
      </c>
      <c r="C12" t="s">
        <v>3490</v>
      </c>
      <c r="D12" s="4">
        <v>2171.2941999999998</v>
      </c>
      <c r="E12" s="4">
        <v>3578.27</v>
      </c>
      <c r="F12" t="s">
        <v>3479</v>
      </c>
      <c r="G12" t="s">
        <v>3475</v>
      </c>
      <c r="H12" t="s">
        <v>3583</v>
      </c>
      <c r="I12" t="s">
        <v>3583</v>
      </c>
      <c r="J12" t="s">
        <v>3584</v>
      </c>
      <c r="K12" s="4">
        <v>3578.27</v>
      </c>
      <c r="L12" s="4">
        <v>2171.2941999999998</v>
      </c>
    </row>
    <row r="13" spans="1:12">
      <c r="A13" s="1">
        <v>42137</v>
      </c>
      <c r="B13">
        <v>1</v>
      </c>
      <c r="C13" t="s">
        <v>3486</v>
      </c>
      <c r="D13" s="4">
        <v>2171.2941999999998</v>
      </c>
      <c r="E13" s="4">
        <v>3578.27</v>
      </c>
      <c r="F13" t="s">
        <v>3479</v>
      </c>
      <c r="G13" t="s">
        <v>3475</v>
      </c>
      <c r="H13" t="s">
        <v>3577</v>
      </c>
      <c r="I13" t="s">
        <v>3578</v>
      </c>
      <c r="J13" t="s">
        <v>3579</v>
      </c>
      <c r="K13" s="4">
        <v>3578.27</v>
      </c>
      <c r="L13" s="4">
        <v>2171.2941999999998</v>
      </c>
    </row>
    <row r="14" spans="1:12">
      <c r="A14" s="1">
        <v>42026</v>
      </c>
      <c r="B14">
        <v>1</v>
      </c>
      <c r="C14" t="s">
        <v>3488</v>
      </c>
      <c r="D14" s="4">
        <v>2171.2941999999998</v>
      </c>
      <c r="E14" s="4">
        <v>3578.27</v>
      </c>
      <c r="F14" t="s">
        <v>3479</v>
      </c>
      <c r="G14" t="s">
        <v>3475</v>
      </c>
      <c r="H14" t="s">
        <v>3580</v>
      </c>
      <c r="I14" t="s">
        <v>3578</v>
      </c>
      <c r="J14" t="s">
        <v>3579</v>
      </c>
      <c r="K14" s="4">
        <v>3578.27</v>
      </c>
      <c r="L14" s="4">
        <v>2171.2941999999998</v>
      </c>
    </row>
    <row r="15" spans="1:12">
      <c r="A15" s="1">
        <v>42054</v>
      </c>
      <c r="B15">
        <v>1</v>
      </c>
      <c r="C15" t="s">
        <v>3488</v>
      </c>
      <c r="D15" s="4">
        <v>2171.2941999999998</v>
      </c>
      <c r="E15" s="4">
        <v>3578.27</v>
      </c>
      <c r="F15" t="s">
        <v>3479</v>
      </c>
      <c r="G15" t="s">
        <v>3475</v>
      </c>
      <c r="H15" t="s">
        <v>3586</v>
      </c>
      <c r="I15" t="s">
        <v>3586</v>
      </c>
      <c r="J15" t="s">
        <v>3587</v>
      </c>
      <c r="K15" s="4">
        <v>3578.27</v>
      </c>
      <c r="L15" s="4">
        <v>2171.2941999999998</v>
      </c>
    </row>
    <row r="16" spans="1:12">
      <c r="A16" s="1">
        <v>42085</v>
      </c>
      <c r="B16">
        <v>1</v>
      </c>
      <c r="C16" t="s">
        <v>3488</v>
      </c>
      <c r="D16" s="4">
        <v>2171.2941999999998</v>
      </c>
      <c r="E16" s="4">
        <v>3578.27</v>
      </c>
      <c r="F16" t="s">
        <v>3479</v>
      </c>
      <c r="G16" t="s">
        <v>3475</v>
      </c>
      <c r="H16" t="s">
        <v>3580</v>
      </c>
      <c r="I16" t="s">
        <v>3578</v>
      </c>
      <c r="J16" t="s">
        <v>3579</v>
      </c>
      <c r="K16" s="4">
        <v>3578.27</v>
      </c>
      <c r="L16" s="4">
        <v>2171.2941999999998</v>
      </c>
    </row>
    <row r="17" spans="1:12">
      <c r="A17" s="1">
        <v>42092</v>
      </c>
      <c r="B17">
        <v>1</v>
      </c>
      <c r="C17" t="s">
        <v>3488</v>
      </c>
      <c r="D17" s="4">
        <v>2171.2941999999998</v>
      </c>
      <c r="E17" s="4">
        <v>3578.27</v>
      </c>
      <c r="F17" t="s">
        <v>3479</v>
      </c>
      <c r="G17" t="s">
        <v>3475</v>
      </c>
      <c r="H17" t="s">
        <v>3586</v>
      </c>
      <c r="I17" t="s">
        <v>3586</v>
      </c>
      <c r="J17" t="s">
        <v>3587</v>
      </c>
      <c r="K17" s="4">
        <v>3578.27</v>
      </c>
      <c r="L17" s="4">
        <v>2171.2941999999998</v>
      </c>
    </row>
    <row r="18" spans="1:12">
      <c r="A18" s="1">
        <v>42095</v>
      </c>
      <c r="B18">
        <v>1</v>
      </c>
      <c r="C18" t="s">
        <v>3488</v>
      </c>
      <c r="D18" s="4">
        <v>2171.2941999999998</v>
      </c>
      <c r="E18" s="4">
        <v>3578.27</v>
      </c>
      <c r="F18" t="s">
        <v>3479</v>
      </c>
      <c r="G18" t="s">
        <v>3475</v>
      </c>
      <c r="H18" t="s">
        <v>3585</v>
      </c>
      <c r="I18" t="s">
        <v>3585</v>
      </c>
      <c r="J18" t="s">
        <v>3584</v>
      </c>
      <c r="K18" s="4">
        <v>3578.27</v>
      </c>
      <c r="L18" s="4">
        <v>2171.2941999999998</v>
      </c>
    </row>
    <row r="19" spans="1:12">
      <c r="A19" s="1">
        <v>42101</v>
      </c>
      <c r="B19">
        <v>1</v>
      </c>
      <c r="C19" t="s">
        <v>3488</v>
      </c>
      <c r="D19" s="4">
        <v>2171.2941999999998</v>
      </c>
      <c r="E19" s="4">
        <v>3578.27</v>
      </c>
      <c r="F19" t="s">
        <v>3479</v>
      </c>
      <c r="G19" t="s">
        <v>3475</v>
      </c>
      <c r="H19" t="s">
        <v>3586</v>
      </c>
      <c r="I19" t="s">
        <v>3586</v>
      </c>
      <c r="J19" t="s">
        <v>3587</v>
      </c>
      <c r="K19" s="4">
        <v>3578.27</v>
      </c>
      <c r="L19" s="4">
        <v>2171.2941999999998</v>
      </c>
    </row>
    <row r="20" spans="1:12">
      <c r="A20" s="1">
        <v>42103</v>
      </c>
      <c r="B20">
        <v>1</v>
      </c>
      <c r="C20" t="s">
        <v>3488</v>
      </c>
      <c r="D20" s="4">
        <v>2171.2941999999998</v>
      </c>
      <c r="E20" s="4">
        <v>3578.27</v>
      </c>
      <c r="F20" t="s">
        <v>3479</v>
      </c>
      <c r="G20" t="s">
        <v>3475</v>
      </c>
      <c r="H20" t="s">
        <v>3586</v>
      </c>
      <c r="I20" t="s">
        <v>3586</v>
      </c>
      <c r="J20" t="s">
        <v>3587</v>
      </c>
      <c r="K20" s="4">
        <v>3578.27</v>
      </c>
      <c r="L20" s="4">
        <v>2171.2941999999998</v>
      </c>
    </row>
    <row r="21" spans="1:12">
      <c r="A21" s="1">
        <v>42025</v>
      </c>
      <c r="B21">
        <v>1</v>
      </c>
      <c r="C21" t="s">
        <v>3524</v>
      </c>
      <c r="D21" s="4">
        <v>1912.1543999999999</v>
      </c>
      <c r="E21" s="4">
        <v>3399.99</v>
      </c>
      <c r="F21" t="s">
        <v>3478</v>
      </c>
      <c r="G21" t="s">
        <v>3475</v>
      </c>
      <c r="H21" t="s">
        <v>3585</v>
      </c>
      <c r="I21" t="s">
        <v>3585</v>
      </c>
      <c r="J21" t="s">
        <v>3584</v>
      </c>
      <c r="K21" s="4">
        <v>3399.99</v>
      </c>
      <c r="L21" s="4">
        <v>1912.1543999999999</v>
      </c>
    </row>
    <row r="22" spans="1:12">
      <c r="A22" s="1">
        <v>42077</v>
      </c>
      <c r="B22">
        <v>1</v>
      </c>
      <c r="C22" t="s">
        <v>3524</v>
      </c>
      <c r="D22" s="4">
        <v>1912.1543999999999</v>
      </c>
      <c r="E22" s="4">
        <v>3399.99</v>
      </c>
      <c r="F22" t="s">
        <v>3478</v>
      </c>
      <c r="G22" t="s">
        <v>3475</v>
      </c>
      <c r="H22" t="s">
        <v>3580</v>
      </c>
      <c r="I22" t="s">
        <v>3578</v>
      </c>
      <c r="J22" t="s">
        <v>3579</v>
      </c>
      <c r="K22" s="4">
        <v>3399.99</v>
      </c>
      <c r="L22" s="4">
        <v>1912.1543999999999</v>
      </c>
    </row>
    <row r="23" spans="1:12">
      <c r="A23" s="1">
        <v>42596</v>
      </c>
      <c r="B23">
        <v>1</v>
      </c>
      <c r="C23" t="s">
        <v>6226</v>
      </c>
      <c r="D23" s="4">
        <v>13.0863</v>
      </c>
      <c r="E23" s="4">
        <v>34.99</v>
      </c>
      <c r="F23" t="s">
        <v>6227</v>
      </c>
      <c r="G23" t="s">
        <v>6228</v>
      </c>
      <c r="H23" t="s">
        <v>3585</v>
      </c>
      <c r="I23" t="s">
        <v>3585</v>
      </c>
      <c r="J23" t="s">
        <v>3584</v>
      </c>
      <c r="K23" s="4">
        <v>34.99</v>
      </c>
      <c r="L23" s="4">
        <v>13.0863</v>
      </c>
    </row>
    <row r="24" spans="1:12">
      <c r="A24" s="1">
        <v>42603</v>
      </c>
      <c r="B24">
        <v>1</v>
      </c>
      <c r="C24" t="s">
        <v>6226</v>
      </c>
      <c r="D24" s="4">
        <v>13.0863</v>
      </c>
      <c r="E24" s="4">
        <v>34.99</v>
      </c>
      <c r="F24" t="s">
        <v>6227</v>
      </c>
      <c r="G24" t="s">
        <v>6228</v>
      </c>
      <c r="H24" t="s">
        <v>3577</v>
      </c>
      <c r="I24" t="s">
        <v>3578</v>
      </c>
      <c r="J24" t="s">
        <v>3579</v>
      </c>
      <c r="K24" s="4">
        <v>34.99</v>
      </c>
      <c r="L24" s="4">
        <v>13.0863</v>
      </c>
    </row>
    <row r="25" spans="1:12">
      <c r="A25" s="1">
        <v>42603</v>
      </c>
      <c r="B25">
        <v>1</v>
      </c>
      <c r="C25" t="s">
        <v>6226</v>
      </c>
      <c r="D25" s="4">
        <v>13.0863</v>
      </c>
      <c r="E25" s="4">
        <v>34.99</v>
      </c>
      <c r="F25" t="s">
        <v>6227</v>
      </c>
      <c r="G25" t="s">
        <v>6228</v>
      </c>
      <c r="H25" t="s">
        <v>3585</v>
      </c>
      <c r="I25" t="s">
        <v>3585</v>
      </c>
      <c r="J25" t="s">
        <v>3584</v>
      </c>
      <c r="K25" s="4">
        <v>34.99</v>
      </c>
      <c r="L25" s="4">
        <v>13.0863</v>
      </c>
    </row>
    <row r="26" spans="1:12">
      <c r="A26" s="1">
        <v>42606</v>
      </c>
      <c r="B26">
        <v>1</v>
      </c>
      <c r="C26" t="s">
        <v>6226</v>
      </c>
      <c r="D26" s="4">
        <v>13.0863</v>
      </c>
      <c r="E26" s="4">
        <v>34.99</v>
      </c>
      <c r="F26" t="s">
        <v>6227</v>
      </c>
      <c r="G26" t="s">
        <v>6228</v>
      </c>
      <c r="H26" t="s">
        <v>3586</v>
      </c>
      <c r="I26" t="s">
        <v>3586</v>
      </c>
      <c r="J26" t="s">
        <v>3587</v>
      </c>
      <c r="K26" s="4">
        <v>34.99</v>
      </c>
      <c r="L26" s="4">
        <v>13.0863</v>
      </c>
    </row>
    <row r="27" spans="1:12">
      <c r="A27" s="1">
        <v>42560</v>
      </c>
      <c r="B27">
        <v>1</v>
      </c>
      <c r="C27" t="s">
        <v>6229</v>
      </c>
      <c r="D27" s="4">
        <v>12.027799999999999</v>
      </c>
      <c r="E27" s="4">
        <v>33.644199999999998</v>
      </c>
      <c r="F27" t="s">
        <v>6227</v>
      </c>
      <c r="G27" t="s">
        <v>6228</v>
      </c>
      <c r="H27" t="s">
        <v>3583</v>
      </c>
      <c r="I27" t="s">
        <v>3583</v>
      </c>
      <c r="J27" t="s">
        <v>3584</v>
      </c>
      <c r="K27" s="4">
        <v>33.644199999999998</v>
      </c>
      <c r="L27" s="4">
        <v>12.027799999999999</v>
      </c>
    </row>
    <row r="28" spans="1:12">
      <c r="A28" s="1">
        <v>42596</v>
      </c>
      <c r="B28">
        <v>1</v>
      </c>
      <c r="C28" t="s">
        <v>6229</v>
      </c>
      <c r="D28" s="4">
        <v>12.027799999999999</v>
      </c>
      <c r="E28" s="4">
        <v>33.644199999999998</v>
      </c>
      <c r="F28" t="s">
        <v>6227</v>
      </c>
      <c r="G28" t="s">
        <v>6228</v>
      </c>
      <c r="H28" t="s">
        <v>3588</v>
      </c>
      <c r="I28" t="s">
        <v>3588</v>
      </c>
      <c r="J28" t="s">
        <v>3584</v>
      </c>
      <c r="K28" s="4">
        <v>33.644199999999998</v>
      </c>
      <c r="L28" s="4">
        <v>12.027799999999999</v>
      </c>
    </row>
    <row r="29" spans="1:12">
      <c r="A29" s="1">
        <v>42607</v>
      </c>
      <c r="B29">
        <v>1</v>
      </c>
      <c r="C29" t="s">
        <v>6229</v>
      </c>
      <c r="D29" s="4">
        <v>12.027799999999999</v>
      </c>
      <c r="E29" s="4">
        <v>33.644199999999998</v>
      </c>
      <c r="F29" t="s">
        <v>6227</v>
      </c>
      <c r="G29" t="s">
        <v>6228</v>
      </c>
      <c r="H29" t="s">
        <v>3580</v>
      </c>
      <c r="I29" t="s">
        <v>3578</v>
      </c>
      <c r="J29" t="s">
        <v>3579</v>
      </c>
      <c r="K29" s="4">
        <v>33.644199999999998</v>
      </c>
      <c r="L29" s="4">
        <v>12.027799999999999</v>
      </c>
    </row>
    <row r="30" spans="1:12">
      <c r="A30" s="1">
        <v>42574</v>
      </c>
      <c r="B30">
        <v>1</v>
      </c>
      <c r="C30" t="s">
        <v>6230</v>
      </c>
      <c r="D30" s="4">
        <v>12.027799999999999</v>
      </c>
      <c r="E30" s="4">
        <v>33.644199999999998</v>
      </c>
      <c r="F30" t="s">
        <v>6227</v>
      </c>
      <c r="G30" t="s">
        <v>6228</v>
      </c>
      <c r="H30" t="s">
        <v>3588</v>
      </c>
      <c r="I30" t="s">
        <v>3588</v>
      </c>
      <c r="J30" t="s">
        <v>3584</v>
      </c>
      <c r="K30" s="4">
        <v>33.644199999999998</v>
      </c>
      <c r="L30" s="4">
        <v>12.027799999999999</v>
      </c>
    </row>
    <row r="31" spans="1:12">
      <c r="A31" s="1">
        <v>42582</v>
      </c>
      <c r="B31">
        <v>1</v>
      </c>
      <c r="C31" t="s">
        <v>6230</v>
      </c>
      <c r="D31" s="4">
        <v>12.027799999999999</v>
      </c>
      <c r="E31" s="4">
        <v>33.644199999999998</v>
      </c>
      <c r="F31" t="s">
        <v>6227</v>
      </c>
      <c r="G31" t="s">
        <v>6228</v>
      </c>
      <c r="H31" t="s">
        <v>3583</v>
      </c>
      <c r="I31" t="s">
        <v>3583</v>
      </c>
      <c r="J31" t="s">
        <v>3584</v>
      </c>
      <c r="K31" s="4">
        <v>33.644199999999998</v>
      </c>
      <c r="L31" s="4">
        <v>12.027799999999999</v>
      </c>
    </row>
    <row r="32" spans="1:12">
      <c r="A32" s="1">
        <v>42587</v>
      </c>
      <c r="B32">
        <v>1</v>
      </c>
      <c r="C32" t="s">
        <v>6230</v>
      </c>
      <c r="D32" s="4">
        <v>12.027799999999999</v>
      </c>
      <c r="E32" s="4">
        <v>33.644199999999998</v>
      </c>
      <c r="F32" t="s">
        <v>6227</v>
      </c>
      <c r="G32" t="s">
        <v>6228</v>
      </c>
      <c r="H32" t="s">
        <v>3582</v>
      </c>
      <c r="I32" t="s">
        <v>3582</v>
      </c>
      <c r="J32" t="s">
        <v>3579</v>
      </c>
      <c r="K32" s="4">
        <v>33.644199999999998</v>
      </c>
      <c r="L32" s="4">
        <v>12.027799999999999</v>
      </c>
    </row>
    <row r="33" spans="1:12">
      <c r="A33" s="1">
        <v>42592</v>
      </c>
      <c r="B33">
        <v>1</v>
      </c>
      <c r="C33" t="s">
        <v>6230</v>
      </c>
      <c r="D33" s="4">
        <v>12.027799999999999</v>
      </c>
      <c r="E33" s="4">
        <v>33.644199999999998</v>
      </c>
      <c r="F33" t="s">
        <v>6227</v>
      </c>
      <c r="G33" t="s">
        <v>6228</v>
      </c>
      <c r="H33" t="s">
        <v>3586</v>
      </c>
      <c r="I33" t="s">
        <v>3586</v>
      </c>
      <c r="J33" t="s">
        <v>3587</v>
      </c>
      <c r="K33" s="4">
        <v>33.644199999999998</v>
      </c>
      <c r="L33" s="4">
        <v>12.027799999999999</v>
      </c>
    </row>
    <row r="34" spans="1:12">
      <c r="A34" s="1">
        <v>42599</v>
      </c>
      <c r="B34">
        <v>1</v>
      </c>
      <c r="C34" t="s">
        <v>6230</v>
      </c>
      <c r="D34" s="4">
        <v>12.027799999999999</v>
      </c>
      <c r="E34" s="4">
        <v>33.644199999999998</v>
      </c>
      <c r="F34" t="s">
        <v>6227</v>
      </c>
      <c r="G34" t="s">
        <v>6228</v>
      </c>
      <c r="H34" t="s">
        <v>3580</v>
      </c>
      <c r="I34" t="s">
        <v>3578</v>
      </c>
      <c r="J34" t="s">
        <v>3579</v>
      </c>
      <c r="K34" s="4">
        <v>33.644199999999998</v>
      </c>
      <c r="L34" s="4">
        <v>12.027799999999999</v>
      </c>
    </row>
    <row r="35" spans="1:12">
      <c r="A35" s="1">
        <v>42602</v>
      </c>
      <c r="B35">
        <v>1</v>
      </c>
      <c r="C35" t="s">
        <v>6230</v>
      </c>
      <c r="D35" s="4">
        <v>12.027799999999999</v>
      </c>
      <c r="E35" s="4">
        <v>33.644199999999998</v>
      </c>
      <c r="F35" t="s">
        <v>6227</v>
      </c>
      <c r="G35" t="s">
        <v>6228</v>
      </c>
      <c r="H35" t="s">
        <v>3585</v>
      </c>
      <c r="I35" t="s">
        <v>3585</v>
      </c>
      <c r="J35" t="s">
        <v>3584</v>
      </c>
      <c r="K35" s="4">
        <v>33.644199999999998</v>
      </c>
      <c r="L35" s="4">
        <v>12.027799999999999</v>
      </c>
    </row>
    <row r="36" spans="1:12">
      <c r="A36" s="1">
        <v>42604</v>
      </c>
      <c r="B36">
        <v>1</v>
      </c>
      <c r="C36" t="s">
        <v>6230</v>
      </c>
      <c r="D36" s="4">
        <v>12.027799999999999</v>
      </c>
      <c r="E36" s="4">
        <v>33.644199999999998</v>
      </c>
      <c r="F36" t="s">
        <v>6227</v>
      </c>
      <c r="G36" t="s">
        <v>6228</v>
      </c>
      <c r="H36" t="s">
        <v>3580</v>
      </c>
      <c r="I36" t="s">
        <v>3578</v>
      </c>
      <c r="J36" t="s">
        <v>3579</v>
      </c>
      <c r="K36" s="4">
        <v>33.644199999999998</v>
      </c>
      <c r="L36" s="4">
        <v>12.027799999999999</v>
      </c>
    </row>
    <row r="37" spans="1:12">
      <c r="A37" s="1">
        <v>42567</v>
      </c>
      <c r="B37">
        <v>1</v>
      </c>
      <c r="C37" t="s">
        <v>6231</v>
      </c>
      <c r="D37" s="4">
        <v>5.7051999999999996</v>
      </c>
      <c r="E37" s="4">
        <v>8.6441999999999997</v>
      </c>
      <c r="F37" t="s">
        <v>6232</v>
      </c>
      <c r="G37" t="s">
        <v>6233</v>
      </c>
      <c r="H37" t="s">
        <v>3577</v>
      </c>
      <c r="I37" t="s">
        <v>3578</v>
      </c>
      <c r="J37" t="s">
        <v>3579</v>
      </c>
      <c r="K37" s="4">
        <v>8.6441999999999997</v>
      </c>
      <c r="L37" s="4">
        <v>5.7051999999999996</v>
      </c>
    </row>
    <row r="38" spans="1:12">
      <c r="A38" s="1">
        <v>42601</v>
      </c>
      <c r="B38">
        <v>1</v>
      </c>
      <c r="C38" t="s">
        <v>6231</v>
      </c>
      <c r="D38" s="4">
        <v>5.7051999999999996</v>
      </c>
      <c r="E38" s="4">
        <v>8.6441999999999997</v>
      </c>
      <c r="F38" t="s">
        <v>6232</v>
      </c>
      <c r="G38" t="s">
        <v>6233</v>
      </c>
      <c r="H38" t="s">
        <v>3585</v>
      </c>
      <c r="I38" t="s">
        <v>3585</v>
      </c>
      <c r="J38" t="s">
        <v>3584</v>
      </c>
      <c r="K38" s="4">
        <v>8.6441999999999997</v>
      </c>
      <c r="L38" s="4">
        <v>5.7051999999999996</v>
      </c>
    </row>
    <row r="39" spans="1:12">
      <c r="A39" s="1">
        <v>42610</v>
      </c>
      <c r="B39">
        <v>1</v>
      </c>
      <c r="C39" t="s">
        <v>6231</v>
      </c>
      <c r="D39" s="4">
        <v>5.7051999999999996</v>
      </c>
      <c r="E39" s="4">
        <v>8.6441999999999997</v>
      </c>
      <c r="F39" t="s">
        <v>6232</v>
      </c>
      <c r="G39" t="s">
        <v>6233</v>
      </c>
      <c r="H39" t="s">
        <v>3582</v>
      </c>
      <c r="I39" t="s">
        <v>3582</v>
      </c>
      <c r="J39" t="s">
        <v>3579</v>
      </c>
      <c r="K39" s="4">
        <v>8.6441999999999997</v>
      </c>
      <c r="L39" s="4">
        <v>5.7051999999999996</v>
      </c>
    </row>
    <row r="40" spans="1:12">
      <c r="A40" s="1">
        <v>42596</v>
      </c>
      <c r="B40">
        <v>1</v>
      </c>
      <c r="C40" t="s">
        <v>6234</v>
      </c>
      <c r="D40" s="4">
        <v>31.724399999999999</v>
      </c>
      <c r="E40" s="4">
        <v>48.067300000000003</v>
      </c>
      <c r="F40" t="s">
        <v>6235</v>
      </c>
      <c r="G40" t="s">
        <v>6233</v>
      </c>
      <c r="H40" t="s">
        <v>3585</v>
      </c>
      <c r="I40" t="s">
        <v>3585</v>
      </c>
      <c r="J40" t="s">
        <v>3584</v>
      </c>
      <c r="K40" s="4">
        <v>48.067300000000003</v>
      </c>
      <c r="L40" s="4">
        <v>31.724399999999999</v>
      </c>
    </row>
    <row r="41" spans="1:12">
      <c r="A41" s="1">
        <v>42597</v>
      </c>
      <c r="B41">
        <v>1</v>
      </c>
      <c r="C41" t="s">
        <v>6234</v>
      </c>
      <c r="D41" s="4">
        <v>31.724399999999999</v>
      </c>
      <c r="E41" s="4">
        <v>48.067300000000003</v>
      </c>
      <c r="F41" t="s">
        <v>6235</v>
      </c>
      <c r="G41" t="s">
        <v>6233</v>
      </c>
      <c r="H41" t="s">
        <v>3588</v>
      </c>
      <c r="I41" t="s">
        <v>3588</v>
      </c>
      <c r="J41" t="s">
        <v>3584</v>
      </c>
      <c r="K41" s="4">
        <v>48.067300000000003</v>
      </c>
      <c r="L41" s="4">
        <v>31.724399999999999</v>
      </c>
    </row>
    <row r="42" spans="1:12">
      <c r="A42" s="1">
        <v>42608</v>
      </c>
      <c r="B42">
        <v>1</v>
      </c>
      <c r="C42" t="s">
        <v>6234</v>
      </c>
      <c r="D42" s="4">
        <v>31.724399999999999</v>
      </c>
      <c r="E42" s="4">
        <v>48.067300000000003</v>
      </c>
      <c r="F42" t="s">
        <v>6235</v>
      </c>
      <c r="G42" t="s">
        <v>6233</v>
      </c>
      <c r="H42" t="s">
        <v>3586</v>
      </c>
      <c r="I42" t="s">
        <v>3586</v>
      </c>
      <c r="J42" t="s">
        <v>3587</v>
      </c>
      <c r="K42" s="4">
        <v>48.067300000000003</v>
      </c>
      <c r="L42" s="4">
        <v>31.724399999999999</v>
      </c>
    </row>
    <row r="43" spans="1:12">
      <c r="A43" s="1">
        <v>42059</v>
      </c>
      <c r="B43">
        <v>1</v>
      </c>
      <c r="C43" t="s">
        <v>3494</v>
      </c>
      <c r="D43" s="4">
        <v>2171.2941999999998</v>
      </c>
      <c r="E43" s="4">
        <v>3578.27</v>
      </c>
      <c r="F43" t="s">
        <v>3479</v>
      </c>
      <c r="G43" t="s">
        <v>3475</v>
      </c>
      <c r="H43" t="s">
        <v>3585</v>
      </c>
      <c r="I43" t="s">
        <v>3585</v>
      </c>
      <c r="J43" t="s">
        <v>3584</v>
      </c>
      <c r="K43" s="4">
        <v>3578.27</v>
      </c>
      <c r="L43" s="4">
        <v>2171.2941999999998</v>
      </c>
    </row>
    <row r="44" spans="1:12">
      <c r="A44" s="1">
        <v>42091</v>
      </c>
      <c r="B44">
        <v>1</v>
      </c>
      <c r="C44" t="s">
        <v>3494</v>
      </c>
      <c r="D44" s="4">
        <v>2171.2941999999998</v>
      </c>
      <c r="E44" s="4">
        <v>3578.27</v>
      </c>
      <c r="F44" t="s">
        <v>3479</v>
      </c>
      <c r="G44" t="s">
        <v>3475</v>
      </c>
      <c r="H44" t="s">
        <v>3586</v>
      </c>
      <c r="I44" t="s">
        <v>3586</v>
      </c>
      <c r="J44" t="s">
        <v>3587</v>
      </c>
      <c r="K44" s="4">
        <v>3578.27</v>
      </c>
      <c r="L44" s="4">
        <v>2171.2941999999998</v>
      </c>
    </row>
    <row r="45" spans="1:12">
      <c r="A45" s="1">
        <v>42121</v>
      </c>
      <c r="B45">
        <v>1</v>
      </c>
      <c r="C45" t="s">
        <v>3494</v>
      </c>
      <c r="D45" s="4">
        <v>2171.2941999999998</v>
      </c>
      <c r="E45" s="4">
        <v>3578.27</v>
      </c>
      <c r="F45" t="s">
        <v>3479</v>
      </c>
      <c r="G45" t="s">
        <v>3475</v>
      </c>
      <c r="H45" t="s">
        <v>3577</v>
      </c>
      <c r="I45" t="s">
        <v>3578</v>
      </c>
      <c r="J45" t="s">
        <v>3579</v>
      </c>
      <c r="K45" s="4">
        <v>3578.27</v>
      </c>
      <c r="L45" s="4">
        <v>2171.2941999999998</v>
      </c>
    </row>
    <row r="46" spans="1:12">
      <c r="A46" s="1">
        <v>42146</v>
      </c>
      <c r="B46">
        <v>1</v>
      </c>
      <c r="C46" t="s">
        <v>3494</v>
      </c>
      <c r="D46" s="4">
        <v>2171.2941999999998</v>
      </c>
      <c r="E46" s="4">
        <v>3578.27</v>
      </c>
      <c r="F46" t="s">
        <v>3479</v>
      </c>
      <c r="G46" t="s">
        <v>3475</v>
      </c>
      <c r="H46" t="s">
        <v>3586</v>
      </c>
      <c r="I46" t="s">
        <v>3586</v>
      </c>
      <c r="J46" t="s">
        <v>3587</v>
      </c>
      <c r="K46" s="4">
        <v>3578.27</v>
      </c>
      <c r="L46" s="4">
        <v>2171.2941999999998</v>
      </c>
    </row>
    <row r="47" spans="1:12">
      <c r="A47" s="1">
        <v>42154</v>
      </c>
      <c r="B47">
        <v>1</v>
      </c>
      <c r="C47" t="s">
        <v>3494</v>
      </c>
      <c r="D47" s="4">
        <v>2171.2941999999998</v>
      </c>
      <c r="E47" s="4">
        <v>3578.27</v>
      </c>
      <c r="F47" t="s">
        <v>3479</v>
      </c>
      <c r="G47" t="s">
        <v>3475</v>
      </c>
      <c r="H47" t="s">
        <v>3580</v>
      </c>
      <c r="I47" t="s">
        <v>3578</v>
      </c>
      <c r="J47" t="s">
        <v>3579</v>
      </c>
      <c r="K47" s="4">
        <v>3578.27</v>
      </c>
      <c r="L47" s="4">
        <v>2171.2941999999998</v>
      </c>
    </row>
    <row r="48" spans="1:12">
      <c r="A48" s="1">
        <v>42585</v>
      </c>
      <c r="B48">
        <v>1</v>
      </c>
      <c r="C48" t="s">
        <v>6236</v>
      </c>
      <c r="D48" s="4">
        <v>31.724399999999999</v>
      </c>
      <c r="E48" s="4">
        <v>48.067300000000003</v>
      </c>
      <c r="F48" t="s">
        <v>6235</v>
      </c>
      <c r="G48" t="s">
        <v>6233</v>
      </c>
      <c r="H48" t="s">
        <v>3582</v>
      </c>
      <c r="I48" t="s">
        <v>3582</v>
      </c>
      <c r="J48" t="s">
        <v>3579</v>
      </c>
      <c r="K48" s="4">
        <v>48.067300000000003</v>
      </c>
      <c r="L48" s="4">
        <v>31.724399999999999</v>
      </c>
    </row>
    <row r="49" spans="1:12">
      <c r="A49" s="1">
        <v>42597</v>
      </c>
      <c r="B49">
        <v>1</v>
      </c>
      <c r="C49" t="s">
        <v>6236</v>
      </c>
      <c r="D49" s="4">
        <v>31.724399999999999</v>
      </c>
      <c r="E49" s="4">
        <v>48.067300000000003</v>
      </c>
      <c r="F49" t="s">
        <v>6235</v>
      </c>
      <c r="G49" t="s">
        <v>6233</v>
      </c>
      <c r="H49" t="s">
        <v>3582</v>
      </c>
      <c r="I49" t="s">
        <v>3582</v>
      </c>
      <c r="J49" t="s">
        <v>3579</v>
      </c>
      <c r="K49" s="4">
        <v>48.067300000000003</v>
      </c>
      <c r="L49" s="4">
        <v>31.724399999999999</v>
      </c>
    </row>
    <row r="50" spans="1:12">
      <c r="A50" s="1">
        <v>42602</v>
      </c>
      <c r="B50">
        <v>1</v>
      </c>
      <c r="C50" t="s">
        <v>6236</v>
      </c>
      <c r="D50" s="4">
        <v>31.724399999999999</v>
      </c>
      <c r="E50" s="4">
        <v>48.067300000000003</v>
      </c>
      <c r="F50" t="s">
        <v>6235</v>
      </c>
      <c r="G50" t="s">
        <v>6233</v>
      </c>
      <c r="H50" t="s">
        <v>3586</v>
      </c>
      <c r="I50" t="s">
        <v>3586</v>
      </c>
      <c r="J50" t="s">
        <v>3587</v>
      </c>
      <c r="K50" s="4">
        <v>48.067300000000003</v>
      </c>
      <c r="L50" s="4">
        <v>31.724399999999999</v>
      </c>
    </row>
    <row r="51" spans="1:12">
      <c r="A51" s="1">
        <v>42071</v>
      </c>
      <c r="B51">
        <v>1</v>
      </c>
      <c r="C51" t="s">
        <v>3532</v>
      </c>
      <c r="D51" s="4">
        <v>1898.0944</v>
      </c>
      <c r="E51" s="4">
        <v>3374.99</v>
      </c>
      <c r="F51" t="s">
        <v>3478</v>
      </c>
      <c r="G51" t="s">
        <v>3475</v>
      </c>
      <c r="H51" t="s">
        <v>3585</v>
      </c>
      <c r="I51" t="s">
        <v>3585</v>
      </c>
      <c r="J51" t="s">
        <v>3584</v>
      </c>
      <c r="K51" s="4">
        <v>3374.99</v>
      </c>
      <c r="L51" s="4">
        <v>1898.0944</v>
      </c>
    </row>
    <row r="52" spans="1:12">
      <c r="A52" s="1">
        <v>42076</v>
      </c>
      <c r="B52">
        <v>1</v>
      </c>
      <c r="C52" t="s">
        <v>3532</v>
      </c>
      <c r="D52" s="4">
        <v>1898.0944</v>
      </c>
      <c r="E52" s="4">
        <v>3374.99</v>
      </c>
      <c r="F52" t="s">
        <v>3478</v>
      </c>
      <c r="G52" t="s">
        <v>3475</v>
      </c>
      <c r="H52" t="s">
        <v>3586</v>
      </c>
      <c r="I52" t="s">
        <v>3586</v>
      </c>
      <c r="J52" t="s">
        <v>3587</v>
      </c>
      <c r="K52" s="4">
        <v>3374.99</v>
      </c>
      <c r="L52" s="4">
        <v>1898.0944</v>
      </c>
    </row>
    <row r="53" spans="1:12">
      <c r="A53" s="1">
        <v>42562</v>
      </c>
      <c r="B53">
        <v>1</v>
      </c>
      <c r="C53" t="s">
        <v>6237</v>
      </c>
      <c r="D53" s="4">
        <v>31.724399999999999</v>
      </c>
      <c r="E53" s="4">
        <v>48.067300000000003</v>
      </c>
      <c r="F53" t="s">
        <v>6235</v>
      </c>
      <c r="G53" t="s">
        <v>6233</v>
      </c>
      <c r="H53" t="s">
        <v>3585</v>
      </c>
      <c r="I53" t="s">
        <v>3585</v>
      </c>
      <c r="J53" t="s">
        <v>3584</v>
      </c>
      <c r="K53" s="4">
        <v>48.067300000000003</v>
      </c>
      <c r="L53" s="4">
        <v>31.724399999999999</v>
      </c>
    </row>
    <row r="54" spans="1:12">
      <c r="A54" s="1">
        <v>42607</v>
      </c>
      <c r="B54">
        <v>1</v>
      </c>
      <c r="C54" t="s">
        <v>6237</v>
      </c>
      <c r="D54" s="4">
        <v>31.724399999999999</v>
      </c>
      <c r="E54" s="4">
        <v>48.067300000000003</v>
      </c>
      <c r="F54" t="s">
        <v>6235</v>
      </c>
      <c r="G54" t="s">
        <v>6233</v>
      </c>
      <c r="H54" t="s">
        <v>3580</v>
      </c>
      <c r="I54" t="s">
        <v>3578</v>
      </c>
      <c r="J54" t="s">
        <v>3579</v>
      </c>
      <c r="K54" s="4">
        <v>48.067300000000003</v>
      </c>
      <c r="L54" s="4">
        <v>31.724399999999999</v>
      </c>
    </row>
    <row r="55" spans="1:12">
      <c r="A55" s="1">
        <v>42596</v>
      </c>
      <c r="B55">
        <v>1</v>
      </c>
      <c r="C55" t="s">
        <v>6238</v>
      </c>
      <c r="D55" s="4">
        <v>31.724399999999999</v>
      </c>
      <c r="E55" s="4">
        <v>48.067300000000003</v>
      </c>
      <c r="F55" t="s">
        <v>6235</v>
      </c>
      <c r="G55" t="s">
        <v>6233</v>
      </c>
      <c r="H55" t="s">
        <v>3582</v>
      </c>
      <c r="I55" t="s">
        <v>3582</v>
      </c>
      <c r="J55" t="s">
        <v>3579</v>
      </c>
      <c r="K55" s="4">
        <v>48.067300000000003</v>
      </c>
      <c r="L55" s="4">
        <v>31.724399999999999</v>
      </c>
    </row>
    <row r="56" spans="1:12">
      <c r="A56" s="1">
        <v>42078</v>
      </c>
      <c r="B56">
        <v>1</v>
      </c>
      <c r="C56" t="s">
        <v>3516</v>
      </c>
      <c r="D56" s="4">
        <v>413.1463</v>
      </c>
      <c r="E56" s="4">
        <v>699.09820000000002</v>
      </c>
      <c r="F56" t="s">
        <v>3479</v>
      </c>
      <c r="G56" t="s">
        <v>3475</v>
      </c>
      <c r="H56" t="s">
        <v>3586</v>
      </c>
      <c r="I56" t="s">
        <v>3586</v>
      </c>
      <c r="J56" t="s">
        <v>3587</v>
      </c>
      <c r="K56" s="4">
        <v>699.09820000000002</v>
      </c>
      <c r="L56" s="4">
        <v>413.1463</v>
      </c>
    </row>
    <row r="57" spans="1:12">
      <c r="A57" s="1">
        <v>42101</v>
      </c>
      <c r="B57">
        <v>1</v>
      </c>
      <c r="C57" t="s">
        <v>3534</v>
      </c>
      <c r="D57" s="4">
        <v>1898.0944</v>
      </c>
      <c r="E57" s="4">
        <v>3374.99</v>
      </c>
      <c r="F57" t="s">
        <v>3478</v>
      </c>
      <c r="G57" t="s">
        <v>3475</v>
      </c>
      <c r="H57" t="s">
        <v>3586</v>
      </c>
      <c r="I57" t="s">
        <v>3586</v>
      </c>
      <c r="J57" t="s">
        <v>3587</v>
      </c>
      <c r="K57" s="4">
        <v>3374.99</v>
      </c>
      <c r="L57" s="4">
        <v>1898.0944</v>
      </c>
    </row>
    <row r="58" spans="1:12">
      <c r="A58" s="1">
        <v>42131</v>
      </c>
      <c r="B58">
        <v>1</v>
      </c>
      <c r="C58" t="s">
        <v>3534</v>
      </c>
      <c r="D58" s="4">
        <v>1898.0944</v>
      </c>
      <c r="E58" s="4">
        <v>3374.99</v>
      </c>
      <c r="F58" t="s">
        <v>3478</v>
      </c>
      <c r="G58" t="s">
        <v>3475</v>
      </c>
      <c r="H58" t="s">
        <v>3586</v>
      </c>
      <c r="I58" t="s">
        <v>3586</v>
      </c>
      <c r="J58" t="s">
        <v>3587</v>
      </c>
      <c r="K58" s="4">
        <v>3374.99</v>
      </c>
      <c r="L58" s="4">
        <v>1898.0944</v>
      </c>
    </row>
    <row r="59" spans="1:12">
      <c r="A59" s="1">
        <v>42104</v>
      </c>
      <c r="B59">
        <v>1</v>
      </c>
      <c r="C59" t="s">
        <v>3502</v>
      </c>
      <c r="D59" s="4">
        <v>413.1463</v>
      </c>
      <c r="E59" s="4">
        <v>699.09820000000002</v>
      </c>
      <c r="F59" t="s">
        <v>3479</v>
      </c>
      <c r="G59" t="s">
        <v>3475</v>
      </c>
      <c r="H59" t="s">
        <v>3586</v>
      </c>
      <c r="I59" t="s">
        <v>3586</v>
      </c>
      <c r="J59" t="s">
        <v>3587</v>
      </c>
      <c r="K59" s="4">
        <v>699.09820000000002</v>
      </c>
      <c r="L59" s="4">
        <v>413.1463</v>
      </c>
    </row>
    <row r="60" spans="1:12">
      <c r="A60" s="1">
        <v>42331</v>
      </c>
      <c r="B60">
        <v>1</v>
      </c>
      <c r="C60" t="s">
        <v>3502</v>
      </c>
      <c r="D60" s="4">
        <v>413.1463</v>
      </c>
      <c r="E60" s="4">
        <v>699.09820000000002</v>
      </c>
      <c r="F60" t="s">
        <v>3479</v>
      </c>
      <c r="G60" t="s">
        <v>3475</v>
      </c>
      <c r="H60" t="s">
        <v>3586</v>
      </c>
      <c r="I60" t="s">
        <v>3586</v>
      </c>
      <c r="J60" t="s">
        <v>3587</v>
      </c>
      <c r="K60" s="4">
        <v>699.09820000000002</v>
      </c>
      <c r="L60" s="4">
        <v>413.1463</v>
      </c>
    </row>
    <row r="61" spans="1:12">
      <c r="A61" s="1">
        <v>42517</v>
      </c>
      <c r="B61">
        <v>1</v>
      </c>
      <c r="C61" t="s">
        <v>3502</v>
      </c>
      <c r="D61" s="4">
        <v>413.1463</v>
      </c>
      <c r="E61" s="4">
        <v>699.09820000000002</v>
      </c>
      <c r="F61" t="s">
        <v>3479</v>
      </c>
      <c r="G61" t="s">
        <v>3475</v>
      </c>
      <c r="H61" t="s">
        <v>3583</v>
      </c>
      <c r="I61" t="s">
        <v>3583</v>
      </c>
      <c r="J61" t="s">
        <v>3584</v>
      </c>
      <c r="K61" s="4">
        <v>699.09820000000002</v>
      </c>
      <c r="L61" s="4">
        <v>413.1463</v>
      </c>
    </row>
    <row r="62" spans="1:12">
      <c r="A62" s="1">
        <v>42110</v>
      </c>
      <c r="B62">
        <v>1</v>
      </c>
      <c r="C62" t="s">
        <v>3530</v>
      </c>
      <c r="D62" s="4">
        <v>1898.0944</v>
      </c>
      <c r="E62" s="4">
        <v>3374.99</v>
      </c>
      <c r="F62" t="s">
        <v>3478</v>
      </c>
      <c r="G62" t="s">
        <v>3475</v>
      </c>
      <c r="H62" t="s">
        <v>3586</v>
      </c>
      <c r="I62" t="s">
        <v>3586</v>
      </c>
      <c r="J62" t="s">
        <v>3587</v>
      </c>
      <c r="K62" s="4">
        <v>3374.99</v>
      </c>
      <c r="L62" s="4">
        <v>1898.0944</v>
      </c>
    </row>
    <row r="63" spans="1:12">
      <c r="A63" s="1">
        <v>42119</v>
      </c>
      <c r="B63">
        <v>1</v>
      </c>
      <c r="C63" t="s">
        <v>3500</v>
      </c>
      <c r="D63" s="4">
        <v>413.1463</v>
      </c>
      <c r="E63" s="4">
        <v>699.09820000000002</v>
      </c>
      <c r="F63" t="s">
        <v>3479</v>
      </c>
      <c r="G63" t="s">
        <v>3475</v>
      </c>
      <c r="H63" t="s">
        <v>3580</v>
      </c>
      <c r="I63" t="s">
        <v>3578</v>
      </c>
      <c r="J63" t="s">
        <v>3579</v>
      </c>
      <c r="K63" s="4">
        <v>699.09820000000002</v>
      </c>
      <c r="L63" s="4">
        <v>413.1463</v>
      </c>
    </row>
    <row r="64" spans="1:12">
      <c r="A64" s="1">
        <v>42130</v>
      </c>
      <c r="B64">
        <v>1</v>
      </c>
      <c r="C64" t="s">
        <v>3500</v>
      </c>
      <c r="D64" s="4">
        <v>413.1463</v>
      </c>
      <c r="E64" s="4">
        <v>699.09820000000002</v>
      </c>
      <c r="F64" t="s">
        <v>3479</v>
      </c>
      <c r="G64" t="s">
        <v>3475</v>
      </c>
      <c r="H64" t="s">
        <v>3586</v>
      </c>
      <c r="I64" t="s">
        <v>3586</v>
      </c>
      <c r="J64" t="s">
        <v>3587</v>
      </c>
      <c r="K64" s="4">
        <v>699.09820000000002</v>
      </c>
      <c r="L64" s="4">
        <v>413.1463</v>
      </c>
    </row>
    <row r="65" spans="1:12">
      <c r="A65" s="1">
        <v>42342</v>
      </c>
      <c r="B65">
        <v>1</v>
      </c>
      <c r="C65" t="s">
        <v>3500</v>
      </c>
      <c r="D65" s="4">
        <v>413.1463</v>
      </c>
      <c r="E65" s="4">
        <v>699.09820000000002</v>
      </c>
      <c r="F65" t="s">
        <v>3479</v>
      </c>
      <c r="G65" t="s">
        <v>3475</v>
      </c>
      <c r="H65" t="s">
        <v>3580</v>
      </c>
      <c r="I65" t="s">
        <v>3578</v>
      </c>
      <c r="J65" t="s">
        <v>3579</v>
      </c>
      <c r="K65" s="4">
        <v>699.09820000000002</v>
      </c>
      <c r="L65" s="4">
        <v>413.1463</v>
      </c>
    </row>
    <row r="66" spans="1:12">
      <c r="A66" s="1">
        <v>42123</v>
      </c>
      <c r="B66">
        <v>1</v>
      </c>
      <c r="C66" t="s">
        <v>3528</v>
      </c>
      <c r="D66" s="4">
        <v>1898.0944</v>
      </c>
      <c r="E66" s="4">
        <v>3374.99</v>
      </c>
      <c r="F66" t="s">
        <v>3478</v>
      </c>
      <c r="G66" t="s">
        <v>3475</v>
      </c>
      <c r="H66" t="s">
        <v>3586</v>
      </c>
      <c r="I66" t="s">
        <v>3586</v>
      </c>
      <c r="J66" t="s">
        <v>3587</v>
      </c>
      <c r="K66" s="4">
        <v>3374.99</v>
      </c>
      <c r="L66" s="4">
        <v>1898.0944</v>
      </c>
    </row>
    <row r="67" spans="1:12">
      <c r="A67" s="1">
        <v>42124</v>
      </c>
      <c r="B67">
        <v>1</v>
      </c>
      <c r="C67" t="s">
        <v>3506</v>
      </c>
      <c r="D67" s="4">
        <v>413.1463</v>
      </c>
      <c r="E67" s="4">
        <v>699.09820000000002</v>
      </c>
      <c r="F67" t="s">
        <v>3479</v>
      </c>
      <c r="G67" t="s">
        <v>3475</v>
      </c>
      <c r="H67" t="s">
        <v>3585</v>
      </c>
      <c r="I67" t="s">
        <v>3585</v>
      </c>
      <c r="J67" t="s">
        <v>3584</v>
      </c>
      <c r="K67" s="4">
        <v>699.09820000000002</v>
      </c>
      <c r="L67" s="4">
        <v>413.1463</v>
      </c>
    </row>
    <row r="68" spans="1:12">
      <c r="A68" s="1">
        <v>42332</v>
      </c>
      <c r="B68">
        <v>1</v>
      </c>
      <c r="C68" t="s">
        <v>3506</v>
      </c>
      <c r="D68" s="4">
        <v>413.1463</v>
      </c>
      <c r="E68" s="4">
        <v>699.09820000000002</v>
      </c>
      <c r="F68" t="s">
        <v>3479</v>
      </c>
      <c r="G68" t="s">
        <v>3475</v>
      </c>
      <c r="H68" t="s">
        <v>3577</v>
      </c>
      <c r="I68" t="s">
        <v>3578</v>
      </c>
      <c r="J68" t="s">
        <v>3579</v>
      </c>
      <c r="K68" s="4">
        <v>699.09820000000002</v>
      </c>
      <c r="L68" s="4">
        <v>413.1463</v>
      </c>
    </row>
    <row r="69" spans="1:12">
      <c r="A69" s="1">
        <v>42395</v>
      </c>
      <c r="B69">
        <v>1</v>
      </c>
      <c r="C69" t="s">
        <v>3506</v>
      </c>
      <c r="D69" s="4">
        <v>413.1463</v>
      </c>
      <c r="E69" s="4">
        <v>699.09820000000002</v>
      </c>
      <c r="F69" t="s">
        <v>3479</v>
      </c>
      <c r="G69" t="s">
        <v>3475</v>
      </c>
      <c r="H69" t="s">
        <v>3586</v>
      </c>
      <c r="I69" t="s">
        <v>3586</v>
      </c>
      <c r="J69" t="s">
        <v>3587</v>
      </c>
      <c r="K69" s="4">
        <v>699.09820000000002</v>
      </c>
      <c r="L69" s="4">
        <v>413.1463</v>
      </c>
    </row>
    <row r="70" spans="1:12">
      <c r="A70" s="1">
        <v>42412</v>
      </c>
      <c r="B70">
        <v>1</v>
      </c>
      <c r="C70" t="s">
        <v>3506</v>
      </c>
      <c r="D70" s="4">
        <v>413.1463</v>
      </c>
      <c r="E70" s="4">
        <v>699.09820000000002</v>
      </c>
      <c r="F70" t="s">
        <v>3479</v>
      </c>
      <c r="G70" t="s">
        <v>3475</v>
      </c>
      <c r="H70" t="s">
        <v>3586</v>
      </c>
      <c r="I70" t="s">
        <v>3586</v>
      </c>
      <c r="J70" t="s">
        <v>3587</v>
      </c>
      <c r="K70" s="4">
        <v>699.09820000000002</v>
      </c>
      <c r="L70" s="4">
        <v>413.1463</v>
      </c>
    </row>
    <row r="71" spans="1:12">
      <c r="A71" s="1">
        <v>42450</v>
      </c>
      <c r="B71">
        <v>1</v>
      </c>
      <c r="C71" t="s">
        <v>3506</v>
      </c>
      <c r="D71" s="4">
        <v>413.1463</v>
      </c>
      <c r="E71" s="4">
        <v>699.09820000000002</v>
      </c>
      <c r="F71" t="s">
        <v>3479</v>
      </c>
      <c r="G71" t="s">
        <v>3475</v>
      </c>
      <c r="H71" t="s">
        <v>3582</v>
      </c>
      <c r="I71" t="s">
        <v>3582</v>
      </c>
      <c r="J71" t="s">
        <v>3579</v>
      </c>
      <c r="K71" s="4">
        <v>699.09820000000002</v>
      </c>
      <c r="L71" s="4">
        <v>413.1463</v>
      </c>
    </row>
    <row r="72" spans="1:12">
      <c r="A72" s="1">
        <v>42453</v>
      </c>
      <c r="B72">
        <v>1</v>
      </c>
      <c r="C72" t="s">
        <v>3506</v>
      </c>
      <c r="D72" s="4">
        <v>413.1463</v>
      </c>
      <c r="E72" s="4">
        <v>699.09820000000002</v>
      </c>
      <c r="F72" t="s">
        <v>3479</v>
      </c>
      <c r="G72" t="s">
        <v>3475</v>
      </c>
      <c r="H72" t="s">
        <v>3583</v>
      </c>
      <c r="I72" t="s">
        <v>3583</v>
      </c>
      <c r="J72" t="s">
        <v>3584</v>
      </c>
      <c r="K72" s="4">
        <v>699.09820000000002</v>
      </c>
      <c r="L72" s="4">
        <v>413.1463</v>
      </c>
    </row>
    <row r="73" spans="1:12">
      <c r="A73" s="1">
        <v>42138</v>
      </c>
      <c r="B73">
        <v>1</v>
      </c>
      <c r="C73" t="s">
        <v>3492</v>
      </c>
      <c r="D73" s="4">
        <v>2171.2941999999998</v>
      </c>
      <c r="E73" s="4">
        <v>3578.27</v>
      </c>
      <c r="F73" t="s">
        <v>3479</v>
      </c>
      <c r="G73" t="s">
        <v>3475</v>
      </c>
      <c r="H73" t="s">
        <v>3583</v>
      </c>
      <c r="I73" t="s">
        <v>3583</v>
      </c>
      <c r="J73" t="s">
        <v>3584</v>
      </c>
      <c r="K73" s="4">
        <v>3578.27</v>
      </c>
      <c r="L73" s="4">
        <v>2171.2941999999998</v>
      </c>
    </row>
    <row r="74" spans="1:12">
      <c r="A74" s="1">
        <v>42140</v>
      </c>
      <c r="B74">
        <v>1</v>
      </c>
      <c r="C74" t="s">
        <v>3492</v>
      </c>
      <c r="D74" s="4">
        <v>2171.2941999999998</v>
      </c>
      <c r="E74" s="4">
        <v>3578.27</v>
      </c>
      <c r="F74" t="s">
        <v>3479</v>
      </c>
      <c r="G74" t="s">
        <v>3475</v>
      </c>
      <c r="H74" t="s">
        <v>3582</v>
      </c>
      <c r="I74" t="s">
        <v>3582</v>
      </c>
      <c r="J74" t="s">
        <v>3579</v>
      </c>
      <c r="K74" s="4">
        <v>3578.27</v>
      </c>
      <c r="L74" s="4">
        <v>2171.2941999999998</v>
      </c>
    </row>
    <row r="75" spans="1:12">
      <c r="A75" s="1">
        <v>42140</v>
      </c>
      <c r="B75">
        <v>1</v>
      </c>
      <c r="C75" t="s">
        <v>3492</v>
      </c>
      <c r="D75" s="4">
        <v>2171.2941999999998</v>
      </c>
      <c r="E75" s="4">
        <v>3578.27</v>
      </c>
      <c r="F75" t="s">
        <v>3479</v>
      </c>
      <c r="G75" t="s">
        <v>3475</v>
      </c>
      <c r="H75" t="s">
        <v>3583</v>
      </c>
      <c r="I75" t="s">
        <v>3583</v>
      </c>
      <c r="J75" t="s">
        <v>3584</v>
      </c>
      <c r="K75" s="4">
        <v>3578.27</v>
      </c>
      <c r="L75" s="4">
        <v>2171.2941999999998</v>
      </c>
    </row>
    <row r="76" spans="1:12">
      <c r="A76" s="1">
        <v>42154</v>
      </c>
      <c r="B76">
        <v>1</v>
      </c>
      <c r="C76" t="s">
        <v>3492</v>
      </c>
      <c r="D76" s="4">
        <v>2171.2941999999998</v>
      </c>
      <c r="E76" s="4">
        <v>3578.27</v>
      </c>
      <c r="F76" t="s">
        <v>3479</v>
      </c>
      <c r="G76" t="s">
        <v>3475</v>
      </c>
      <c r="H76" t="s">
        <v>3577</v>
      </c>
      <c r="I76" t="s">
        <v>3578</v>
      </c>
      <c r="J76" t="s">
        <v>3579</v>
      </c>
      <c r="K76" s="4">
        <v>3578.27</v>
      </c>
      <c r="L76" s="4">
        <v>2171.2941999999998</v>
      </c>
    </row>
    <row r="77" spans="1:12">
      <c r="A77" s="1">
        <v>42160</v>
      </c>
      <c r="B77">
        <v>1</v>
      </c>
      <c r="C77" t="s">
        <v>3492</v>
      </c>
      <c r="D77" s="4">
        <v>2171.2941999999998</v>
      </c>
      <c r="E77" s="4">
        <v>3578.27</v>
      </c>
      <c r="F77" t="s">
        <v>3479</v>
      </c>
      <c r="G77" t="s">
        <v>3475</v>
      </c>
      <c r="H77" t="s">
        <v>3580</v>
      </c>
      <c r="I77" t="s">
        <v>3578</v>
      </c>
      <c r="J77" t="s">
        <v>3579</v>
      </c>
      <c r="K77" s="4">
        <v>3578.27</v>
      </c>
      <c r="L77" s="4">
        <v>2171.2941999999998</v>
      </c>
    </row>
    <row r="78" spans="1:12">
      <c r="A78" s="1">
        <v>42148</v>
      </c>
      <c r="B78">
        <v>1</v>
      </c>
      <c r="C78" t="s">
        <v>3498</v>
      </c>
      <c r="D78" s="4">
        <v>413.1463</v>
      </c>
      <c r="E78" s="4">
        <v>699.09820000000002</v>
      </c>
      <c r="F78" t="s">
        <v>3479</v>
      </c>
      <c r="G78" t="s">
        <v>3475</v>
      </c>
      <c r="H78" t="s">
        <v>3585</v>
      </c>
      <c r="I78" t="s">
        <v>3585</v>
      </c>
      <c r="J78" t="s">
        <v>3584</v>
      </c>
      <c r="K78" s="4">
        <v>699.09820000000002</v>
      </c>
      <c r="L78" s="4">
        <v>413.1463</v>
      </c>
    </row>
    <row r="79" spans="1:12">
      <c r="A79" s="1">
        <v>42491</v>
      </c>
      <c r="B79">
        <v>1</v>
      </c>
      <c r="C79" t="s">
        <v>3498</v>
      </c>
      <c r="D79" s="4">
        <v>413.1463</v>
      </c>
      <c r="E79" s="4">
        <v>699.09820000000002</v>
      </c>
      <c r="F79" t="s">
        <v>3479</v>
      </c>
      <c r="G79" t="s">
        <v>3475</v>
      </c>
      <c r="H79" t="s">
        <v>3577</v>
      </c>
      <c r="I79" t="s">
        <v>3578</v>
      </c>
      <c r="J79" t="s">
        <v>3579</v>
      </c>
      <c r="K79" s="4">
        <v>699.09820000000002</v>
      </c>
      <c r="L79" s="4">
        <v>413.1463</v>
      </c>
    </row>
    <row r="80" spans="1:12">
      <c r="A80" s="1">
        <v>42162</v>
      </c>
      <c r="B80">
        <v>1</v>
      </c>
      <c r="C80" t="s">
        <v>3518</v>
      </c>
      <c r="D80" s="4">
        <v>413.1463</v>
      </c>
      <c r="E80" s="4">
        <v>699.09820000000002</v>
      </c>
      <c r="F80" t="s">
        <v>3479</v>
      </c>
      <c r="G80" t="s">
        <v>3475</v>
      </c>
      <c r="H80" t="s">
        <v>3580</v>
      </c>
      <c r="I80" t="s">
        <v>3578</v>
      </c>
      <c r="J80" t="s">
        <v>3579</v>
      </c>
      <c r="K80" s="4">
        <v>699.09820000000002</v>
      </c>
      <c r="L80" s="4">
        <v>413.1463</v>
      </c>
    </row>
    <row r="81" spans="1:12">
      <c r="A81" s="1">
        <v>42175</v>
      </c>
      <c r="B81">
        <v>1</v>
      </c>
      <c r="C81" t="s">
        <v>3526</v>
      </c>
      <c r="D81" s="4">
        <v>1912.1543999999999</v>
      </c>
      <c r="E81" s="4">
        <v>3399.99</v>
      </c>
      <c r="F81" t="s">
        <v>3478</v>
      </c>
      <c r="G81" t="s">
        <v>3475</v>
      </c>
      <c r="H81" t="s">
        <v>3586</v>
      </c>
      <c r="I81" t="s">
        <v>3586</v>
      </c>
      <c r="J81" t="s">
        <v>3587</v>
      </c>
      <c r="K81" s="4">
        <v>3399.99</v>
      </c>
      <c r="L81" s="4">
        <v>1912.1543999999999</v>
      </c>
    </row>
    <row r="82" spans="1:12">
      <c r="A82" s="1">
        <v>42179</v>
      </c>
      <c r="B82">
        <v>1</v>
      </c>
      <c r="C82" t="s">
        <v>3496</v>
      </c>
      <c r="D82" s="4">
        <v>413.1463</v>
      </c>
      <c r="E82" s="4">
        <v>699.09820000000002</v>
      </c>
      <c r="F82" t="s">
        <v>3479</v>
      </c>
      <c r="G82" t="s">
        <v>3475</v>
      </c>
      <c r="H82" t="s">
        <v>3586</v>
      </c>
      <c r="I82" t="s">
        <v>3586</v>
      </c>
      <c r="J82" t="s">
        <v>3587</v>
      </c>
      <c r="K82" s="4">
        <v>699.09820000000002</v>
      </c>
      <c r="L82" s="4">
        <v>413.1463</v>
      </c>
    </row>
    <row r="83" spans="1:12">
      <c r="A83" s="1">
        <v>42335</v>
      </c>
      <c r="B83">
        <v>1</v>
      </c>
      <c r="C83" t="s">
        <v>3496</v>
      </c>
      <c r="D83" s="4">
        <v>413.1463</v>
      </c>
      <c r="E83" s="4">
        <v>699.09820000000002</v>
      </c>
      <c r="F83" t="s">
        <v>3479</v>
      </c>
      <c r="G83" t="s">
        <v>3475</v>
      </c>
      <c r="H83" t="s">
        <v>3588</v>
      </c>
      <c r="I83" t="s">
        <v>3588</v>
      </c>
      <c r="J83" t="s">
        <v>3584</v>
      </c>
      <c r="K83" s="4">
        <v>699.09820000000002</v>
      </c>
      <c r="L83" s="4">
        <v>413.1463</v>
      </c>
    </row>
    <row r="84" spans="1:12">
      <c r="A84" s="1">
        <v>42485</v>
      </c>
      <c r="B84">
        <v>1</v>
      </c>
      <c r="C84" t="s">
        <v>3496</v>
      </c>
      <c r="D84" s="4">
        <v>413.1463</v>
      </c>
      <c r="E84" s="4">
        <v>699.09820000000002</v>
      </c>
      <c r="F84" t="s">
        <v>3479</v>
      </c>
      <c r="G84" t="s">
        <v>3475</v>
      </c>
      <c r="H84" t="s">
        <v>3577</v>
      </c>
      <c r="I84" t="s">
        <v>3578</v>
      </c>
      <c r="J84" t="s">
        <v>3579</v>
      </c>
      <c r="K84" s="4">
        <v>699.09820000000002</v>
      </c>
      <c r="L84" s="4">
        <v>413.1463</v>
      </c>
    </row>
    <row r="85" spans="1:12">
      <c r="A85" s="1">
        <v>42188</v>
      </c>
      <c r="B85">
        <v>1</v>
      </c>
      <c r="C85" t="s">
        <v>3556</v>
      </c>
      <c r="D85" s="4">
        <v>1320.6838</v>
      </c>
      <c r="E85" s="4">
        <v>2181.5625</v>
      </c>
      <c r="F85" t="s">
        <v>3479</v>
      </c>
      <c r="G85" t="s">
        <v>3475</v>
      </c>
      <c r="H85" t="s">
        <v>3580</v>
      </c>
      <c r="I85" t="s">
        <v>3578</v>
      </c>
      <c r="J85" t="s">
        <v>3579</v>
      </c>
      <c r="K85" s="4">
        <v>2181.5625</v>
      </c>
      <c r="L85" s="4">
        <v>1320.6838</v>
      </c>
    </row>
    <row r="86" spans="1:12">
      <c r="A86" s="1">
        <v>42247</v>
      </c>
      <c r="B86">
        <v>1</v>
      </c>
      <c r="C86" t="s">
        <v>3556</v>
      </c>
      <c r="D86" s="4">
        <v>1320.6838</v>
      </c>
      <c r="E86" s="4">
        <v>2181.5625</v>
      </c>
      <c r="F86" t="s">
        <v>3479</v>
      </c>
      <c r="G86" t="s">
        <v>3475</v>
      </c>
      <c r="H86" t="s">
        <v>3588</v>
      </c>
      <c r="I86" t="s">
        <v>3588</v>
      </c>
      <c r="J86" t="s">
        <v>3584</v>
      </c>
      <c r="K86" s="4">
        <v>2181.5625</v>
      </c>
      <c r="L86" s="4">
        <v>1320.6838</v>
      </c>
    </row>
    <row r="87" spans="1:12">
      <c r="A87" s="1">
        <v>42305</v>
      </c>
      <c r="B87">
        <v>1</v>
      </c>
      <c r="C87" t="s">
        <v>3556</v>
      </c>
      <c r="D87" s="4">
        <v>1320.6838</v>
      </c>
      <c r="E87" s="4">
        <v>2181.5625</v>
      </c>
      <c r="F87" t="s">
        <v>3479</v>
      </c>
      <c r="G87" t="s">
        <v>3475</v>
      </c>
      <c r="H87" t="s">
        <v>3585</v>
      </c>
      <c r="I87" t="s">
        <v>3585</v>
      </c>
      <c r="J87" t="s">
        <v>3584</v>
      </c>
      <c r="K87" s="4">
        <v>2181.5625</v>
      </c>
      <c r="L87" s="4">
        <v>1320.6838</v>
      </c>
    </row>
    <row r="88" spans="1:12">
      <c r="A88" s="1">
        <v>42378</v>
      </c>
      <c r="B88">
        <v>1</v>
      </c>
      <c r="C88" t="s">
        <v>3556</v>
      </c>
      <c r="D88" s="4">
        <v>1320.6838</v>
      </c>
      <c r="E88" s="4">
        <v>2181.5625</v>
      </c>
      <c r="F88" t="s">
        <v>3479</v>
      </c>
      <c r="G88" t="s">
        <v>3475</v>
      </c>
      <c r="H88" t="s">
        <v>3585</v>
      </c>
      <c r="I88" t="s">
        <v>3585</v>
      </c>
      <c r="J88" t="s">
        <v>3584</v>
      </c>
      <c r="K88" s="4">
        <v>2181.5625</v>
      </c>
      <c r="L88" s="4">
        <v>1320.6838</v>
      </c>
    </row>
    <row r="89" spans="1:12">
      <c r="A89" s="1">
        <v>42461</v>
      </c>
      <c r="B89">
        <v>1</v>
      </c>
      <c r="C89" t="s">
        <v>3556</v>
      </c>
      <c r="D89" s="4">
        <v>1320.6838</v>
      </c>
      <c r="E89" s="4">
        <v>2181.5625</v>
      </c>
      <c r="F89" t="s">
        <v>3479</v>
      </c>
      <c r="G89" t="s">
        <v>3475</v>
      </c>
      <c r="H89" t="s">
        <v>3585</v>
      </c>
      <c r="I89" t="s">
        <v>3585</v>
      </c>
      <c r="J89" t="s">
        <v>3584</v>
      </c>
      <c r="K89" s="4">
        <v>2181.5625</v>
      </c>
      <c r="L89" s="4">
        <v>1320.6838</v>
      </c>
    </row>
    <row r="90" spans="1:12">
      <c r="A90" s="1">
        <v>42487</v>
      </c>
      <c r="B90">
        <v>1</v>
      </c>
      <c r="C90" t="s">
        <v>3556</v>
      </c>
      <c r="D90" s="4">
        <v>1320.6838</v>
      </c>
      <c r="E90" s="4">
        <v>2181.5625</v>
      </c>
      <c r="F90" t="s">
        <v>3479</v>
      </c>
      <c r="G90" t="s">
        <v>3475</v>
      </c>
      <c r="H90" t="s">
        <v>3580</v>
      </c>
      <c r="I90" t="s">
        <v>3578</v>
      </c>
      <c r="J90" t="s">
        <v>3579</v>
      </c>
      <c r="K90" s="4">
        <v>2181.5625</v>
      </c>
      <c r="L90" s="4">
        <v>1320.6838</v>
      </c>
    </row>
    <row r="91" spans="1:12">
      <c r="A91" s="1">
        <v>42591</v>
      </c>
      <c r="B91">
        <v>1</v>
      </c>
      <c r="C91" t="s">
        <v>3556</v>
      </c>
      <c r="D91" s="4">
        <v>1320.6838</v>
      </c>
      <c r="E91" s="4">
        <v>2181.5625</v>
      </c>
      <c r="F91" t="s">
        <v>3479</v>
      </c>
      <c r="G91" t="s">
        <v>3475</v>
      </c>
      <c r="H91" t="s">
        <v>3586</v>
      </c>
      <c r="I91" t="s">
        <v>3586</v>
      </c>
      <c r="J91" t="s">
        <v>3587</v>
      </c>
      <c r="K91" s="4">
        <v>2181.5625</v>
      </c>
      <c r="L91" s="4">
        <v>1320.6838</v>
      </c>
    </row>
    <row r="92" spans="1:12">
      <c r="A92" s="1">
        <v>42196</v>
      </c>
      <c r="B92">
        <v>1</v>
      </c>
      <c r="C92" t="s">
        <v>3570</v>
      </c>
      <c r="D92" s="4">
        <v>605.64919999999995</v>
      </c>
      <c r="E92" s="4">
        <v>1000.4375</v>
      </c>
      <c r="F92" t="s">
        <v>3479</v>
      </c>
      <c r="G92" t="s">
        <v>3475</v>
      </c>
      <c r="H92" t="s">
        <v>3585</v>
      </c>
      <c r="I92" t="s">
        <v>3585</v>
      </c>
      <c r="J92" t="s">
        <v>3584</v>
      </c>
      <c r="K92" s="4">
        <v>1000.4375</v>
      </c>
      <c r="L92" s="4">
        <v>605.64919999999995</v>
      </c>
    </row>
    <row r="93" spans="1:12">
      <c r="A93" s="1">
        <v>42242</v>
      </c>
      <c r="B93">
        <v>1</v>
      </c>
      <c r="C93" t="s">
        <v>3570</v>
      </c>
      <c r="D93" s="4">
        <v>605.64919999999995</v>
      </c>
      <c r="E93" s="4">
        <v>1000.4375</v>
      </c>
      <c r="F93" t="s">
        <v>3479</v>
      </c>
      <c r="G93" t="s">
        <v>3475</v>
      </c>
      <c r="H93" t="s">
        <v>3580</v>
      </c>
      <c r="I93" t="s">
        <v>3578</v>
      </c>
      <c r="J93" t="s">
        <v>3579</v>
      </c>
      <c r="K93" s="4">
        <v>1000.4375</v>
      </c>
      <c r="L93" s="4">
        <v>605.64919999999995</v>
      </c>
    </row>
    <row r="94" spans="1:12">
      <c r="A94" s="1">
        <v>42464</v>
      </c>
      <c r="B94">
        <v>1</v>
      </c>
      <c r="C94" t="s">
        <v>3570</v>
      </c>
      <c r="D94" s="4">
        <v>605.64919999999995</v>
      </c>
      <c r="E94" s="4">
        <v>1000.4375</v>
      </c>
      <c r="F94" t="s">
        <v>3479</v>
      </c>
      <c r="G94" t="s">
        <v>3475</v>
      </c>
      <c r="H94" t="s">
        <v>3583</v>
      </c>
      <c r="I94" t="s">
        <v>3583</v>
      </c>
      <c r="J94" t="s">
        <v>3584</v>
      </c>
      <c r="K94" s="4">
        <v>1000.4375</v>
      </c>
      <c r="L94" s="4">
        <v>605.64919999999995</v>
      </c>
    </row>
    <row r="95" spans="1:12">
      <c r="A95" s="1">
        <v>42595</v>
      </c>
      <c r="B95">
        <v>1</v>
      </c>
      <c r="C95" t="s">
        <v>3570</v>
      </c>
      <c r="D95" s="4">
        <v>605.64919999999995</v>
      </c>
      <c r="E95" s="4">
        <v>1000.4375</v>
      </c>
      <c r="F95" t="s">
        <v>3479</v>
      </c>
      <c r="G95" t="s">
        <v>3475</v>
      </c>
      <c r="H95" t="s">
        <v>3577</v>
      </c>
      <c r="I95" t="s">
        <v>3578</v>
      </c>
      <c r="J95" t="s">
        <v>3579</v>
      </c>
      <c r="K95" s="4">
        <v>1000.4375</v>
      </c>
      <c r="L95" s="4">
        <v>605.64919999999995</v>
      </c>
    </row>
    <row r="96" spans="1:12">
      <c r="A96" s="1">
        <v>42207</v>
      </c>
      <c r="B96">
        <v>1</v>
      </c>
      <c r="C96" t="s">
        <v>3562</v>
      </c>
      <c r="D96" s="4">
        <v>1320.6838</v>
      </c>
      <c r="E96" s="4">
        <v>2181.5625</v>
      </c>
      <c r="F96" t="s">
        <v>3479</v>
      </c>
      <c r="G96" t="s">
        <v>3475</v>
      </c>
      <c r="H96" t="s">
        <v>3585</v>
      </c>
      <c r="I96" t="s">
        <v>3585</v>
      </c>
      <c r="J96" t="s">
        <v>3584</v>
      </c>
      <c r="K96" s="4">
        <v>2181.5625</v>
      </c>
      <c r="L96" s="4">
        <v>1320.6838</v>
      </c>
    </row>
    <row r="97" spans="1:12">
      <c r="A97" s="1">
        <v>42289</v>
      </c>
      <c r="B97">
        <v>1</v>
      </c>
      <c r="C97" t="s">
        <v>3562</v>
      </c>
      <c r="D97" s="4">
        <v>1320.6838</v>
      </c>
      <c r="E97" s="4">
        <v>2181.5625</v>
      </c>
      <c r="F97" t="s">
        <v>3479</v>
      </c>
      <c r="G97" t="s">
        <v>3475</v>
      </c>
      <c r="H97" t="s">
        <v>3586</v>
      </c>
      <c r="I97" t="s">
        <v>3586</v>
      </c>
      <c r="J97" t="s">
        <v>3587</v>
      </c>
      <c r="K97" s="4">
        <v>2181.5625</v>
      </c>
      <c r="L97" s="4">
        <v>1320.6838</v>
      </c>
    </row>
    <row r="98" spans="1:12">
      <c r="A98" s="1">
        <v>42324</v>
      </c>
      <c r="B98">
        <v>1</v>
      </c>
      <c r="C98" t="s">
        <v>3562</v>
      </c>
      <c r="D98" s="4">
        <v>1320.6838</v>
      </c>
      <c r="E98" s="4">
        <v>2181.5625</v>
      </c>
      <c r="F98" t="s">
        <v>3479</v>
      </c>
      <c r="G98" t="s">
        <v>3475</v>
      </c>
      <c r="H98" t="s">
        <v>3585</v>
      </c>
      <c r="I98" t="s">
        <v>3585</v>
      </c>
      <c r="J98" t="s">
        <v>3584</v>
      </c>
      <c r="K98" s="4">
        <v>2181.5625</v>
      </c>
      <c r="L98" s="4">
        <v>1320.6838</v>
      </c>
    </row>
    <row r="99" spans="1:12">
      <c r="A99" s="1">
        <v>42350</v>
      </c>
      <c r="B99">
        <v>1</v>
      </c>
      <c r="C99" t="s">
        <v>3562</v>
      </c>
      <c r="D99" s="4">
        <v>1320.6838</v>
      </c>
      <c r="E99" s="4">
        <v>2181.5625</v>
      </c>
      <c r="F99" t="s">
        <v>3479</v>
      </c>
      <c r="G99" t="s">
        <v>3475</v>
      </c>
      <c r="H99" t="s">
        <v>3586</v>
      </c>
      <c r="I99" t="s">
        <v>3586</v>
      </c>
      <c r="J99" t="s">
        <v>3587</v>
      </c>
      <c r="K99" s="4">
        <v>2181.5625</v>
      </c>
      <c r="L99" s="4">
        <v>1320.6838</v>
      </c>
    </row>
    <row r="100" spans="1:12">
      <c r="A100" s="1">
        <v>42230</v>
      </c>
      <c r="B100">
        <v>1</v>
      </c>
      <c r="C100" t="s">
        <v>3560</v>
      </c>
      <c r="D100" s="4">
        <v>1320.6838</v>
      </c>
      <c r="E100" s="4">
        <v>2181.5625</v>
      </c>
      <c r="F100" t="s">
        <v>3479</v>
      </c>
      <c r="G100" t="s">
        <v>3475</v>
      </c>
      <c r="H100" t="s">
        <v>3582</v>
      </c>
      <c r="I100" t="s">
        <v>3582</v>
      </c>
      <c r="J100" t="s">
        <v>3579</v>
      </c>
      <c r="K100" s="4">
        <v>2181.5625</v>
      </c>
      <c r="L100" s="4">
        <v>1320.6838</v>
      </c>
    </row>
    <row r="101" spans="1:12">
      <c r="A101" s="1">
        <v>42231</v>
      </c>
      <c r="B101">
        <v>1</v>
      </c>
      <c r="C101" t="s">
        <v>3560</v>
      </c>
      <c r="D101" s="4">
        <v>1320.6838</v>
      </c>
      <c r="E101" s="4">
        <v>2181.5625</v>
      </c>
      <c r="F101" t="s">
        <v>3479</v>
      </c>
      <c r="G101" t="s">
        <v>3475</v>
      </c>
      <c r="H101" t="s">
        <v>3577</v>
      </c>
      <c r="I101" t="s">
        <v>3578</v>
      </c>
      <c r="J101" t="s">
        <v>3579</v>
      </c>
      <c r="K101" s="4">
        <v>2181.5625</v>
      </c>
      <c r="L101" s="4">
        <v>1320.6838</v>
      </c>
    </row>
    <row r="102" spans="1:12">
      <c r="A102" s="1">
        <v>42350</v>
      </c>
      <c r="B102">
        <v>1</v>
      </c>
      <c r="C102" t="s">
        <v>3560</v>
      </c>
      <c r="D102" s="4">
        <v>1320.6838</v>
      </c>
      <c r="E102" s="4">
        <v>2181.5625</v>
      </c>
      <c r="F102" t="s">
        <v>3479</v>
      </c>
      <c r="G102" t="s">
        <v>3475</v>
      </c>
      <c r="H102" t="s">
        <v>3585</v>
      </c>
      <c r="I102" t="s">
        <v>3585</v>
      </c>
      <c r="J102" t="s">
        <v>3584</v>
      </c>
      <c r="K102" s="4">
        <v>2181.5625</v>
      </c>
      <c r="L102" s="4">
        <v>1320.6838</v>
      </c>
    </row>
    <row r="103" spans="1:12">
      <c r="A103" s="1">
        <v>42352</v>
      </c>
      <c r="B103">
        <v>1</v>
      </c>
      <c r="C103" t="s">
        <v>3560</v>
      </c>
      <c r="D103" s="4">
        <v>1320.6838</v>
      </c>
      <c r="E103" s="4">
        <v>2181.5625</v>
      </c>
      <c r="F103" t="s">
        <v>3479</v>
      </c>
      <c r="G103" t="s">
        <v>3475</v>
      </c>
      <c r="H103" t="s">
        <v>3586</v>
      </c>
      <c r="I103" t="s">
        <v>3586</v>
      </c>
      <c r="J103" t="s">
        <v>3587</v>
      </c>
      <c r="K103" s="4">
        <v>2181.5625</v>
      </c>
      <c r="L103" s="4">
        <v>1320.6838</v>
      </c>
    </row>
    <row r="104" spans="1:12">
      <c r="A104" s="1">
        <v>42354</v>
      </c>
      <c r="B104">
        <v>1</v>
      </c>
      <c r="C104" t="s">
        <v>3560</v>
      </c>
      <c r="D104" s="4">
        <v>1320.6838</v>
      </c>
      <c r="E104" s="4">
        <v>2181.5625</v>
      </c>
      <c r="F104" t="s">
        <v>3479</v>
      </c>
      <c r="G104" t="s">
        <v>3475</v>
      </c>
      <c r="H104" t="s">
        <v>3580</v>
      </c>
      <c r="I104" t="s">
        <v>3578</v>
      </c>
      <c r="J104" t="s">
        <v>3579</v>
      </c>
      <c r="K104" s="4">
        <v>2181.5625</v>
      </c>
      <c r="L104" s="4">
        <v>1320.6838</v>
      </c>
    </row>
    <row r="105" spans="1:12">
      <c r="A105" s="1">
        <v>42420</v>
      </c>
      <c r="B105">
        <v>1</v>
      </c>
      <c r="C105" t="s">
        <v>3560</v>
      </c>
      <c r="D105" s="4">
        <v>1320.6838</v>
      </c>
      <c r="E105" s="4">
        <v>2181.5625</v>
      </c>
      <c r="F105" t="s">
        <v>3479</v>
      </c>
      <c r="G105" t="s">
        <v>3475</v>
      </c>
      <c r="H105" t="s">
        <v>3586</v>
      </c>
      <c r="I105" t="s">
        <v>3586</v>
      </c>
      <c r="J105" t="s">
        <v>3587</v>
      </c>
      <c r="K105" s="4">
        <v>2181.5625</v>
      </c>
      <c r="L105" s="4">
        <v>1320.6838</v>
      </c>
    </row>
    <row r="106" spans="1:12">
      <c r="A106" s="1">
        <v>42574</v>
      </c>
      <c r="B106">
        <v>1</v>
      </c>
      <c r="C106" t="s">
        <v>3560</v>
      </c>
      <c r="D106" s="4">
        <v>1320.6838</v>
      </c>
      <c r="E106" s="4">
        <v>2181.5625</v>
      </c>
      <c r="F106" t="s">
        <v>3479</v>
      </c>
      <c r="G106" t="s">
        <v>3475</v>
      </c>
      <c r="H106" t="s">
        <v>3586</v>
      </c>
      <c r="I106" t="s">
        <v>3586</v>
      </c>
      <c r="J106" t="s">
        <v>3587</v>
      </c>
      <c r="K106" s="4">
        <v>2181.5625</v>
      </c>
      <c r="L106" s="4">
        <v>1320.6838</v>
      </c>
    </row>
    <row r="107" spans="1:12">
      <c r="A107" s="1">
        <v>42579</v>
      </c>
      <c r="B107">
        <v>1</v>
      </c>
      <c r="C107" t="s">
        <v>3560</v>
      </c>
      <c r="D107" s="4">
        <v>1320.6838</v>
      </c>
      <c r="E107" s="4">
        <v>2181.5625</v>
      </c>
      <c r="F107" t="s">
        <v>3479</v>
      </c>
      <c r="G107" t="s">
        <v>3475</v>
      </c>
      <c r="H107" t="s">
        <v>3583</v>
      </c>
      <c r="I107" t="s">
        <v>3583</v>
      </c>
      <c r="J107" t="s">
        <v>3584</v>
      </c>
      <c r="K107" s="4">
        <v>2181.5625</v>
      </c>
      <c r="L107" s="4">
        <v>1320.6838</v>
      </c>
    </row>
    <row r="108" spans="1:12">
      <c r="A108" s="1">
        <v>42231</v>
      </c>
      <c r="B108">
        <v>1</v>
      </c>
      <c r="C108" t="s">
        <v>3504</v>
      </c>
      <c r="D108" s="4">
        <v>413.1463</v>
      </c>
      <c r="E108" s="4">
        <v>699.09820000000002</v>
      </c>
      <c r="F108" t="s">
        <v>3479</v>
      </c>
      <c r="G108" t="s">
        <v>3475</v>
      </c>
      <c r="H108" t="s">
        <v>3585</v>
      </c>
      <c r="I108" t="s">
        <v>3585</v>
      </c>
      <c r="J108" t="s">
        <v>3584</v>
      </c>
      <c r="K108" s="4">
        <v>699.09820000000002</v>
      </c>
      <c r="L108" s="4">
        <v>413.1463</v>
      </c>
    </row>
    <row r="109" spans="1:12">
      <c r="A109" s="1">
        <v>42420</v>
      </c>
      <c r="B109">
        <v>1</v>
      </c>
      <c r="C109" t="s">
        <v>3504</v>
      </c>
      <c r="D109" s="4">
        <v>413.1463</v>
      </c>
      <c r="E109" s="4">
        <v>699.09820000000002</v>
      </c>
      <c r="F109" t="s">
        <v>3479</v>
      </c>
      <c r="G109" t="s">
        <v>3475</v>
      </c>
      <c r="H109" t="s">
        <v>3586</v>
      </c>
      <c r="I109" t="s">
        <v>3586</v>
      </c>
      <c r="J109" t="s">
        <v>3587</v>
      </c>
      <c r="K109" s="4">
        <v>699.09820000000002</v>
      </c>
      <c r="L109" s="4">
        <v>413.1463</v>
      </c>
    </row>
    <row r="110" spans="1:12">
      <c r="A110" s="1">
        <v>42513</v>
      </c>
      <c r="B110">
        <v>1</v>
      </c>
      <c r="C110" t="s">
        <v>3504</v>
      </c>
      <c r="D110" s="4">
        <v>413.1463</v>
      </c>
      <c r="E110" s="4">
        <v>699.09820000000002</v>
      </c>
      <c r="F110" t="s">
        <v>3479</v>
      </c>
      <c r="G110" t="s">
        <v>3475</v>
      </c>
      <c r="H110" t="s">
        <v>3585</v>
      </c>
      <c r="I110" t="s">
        <v>3585</v>
      </c>
      <c r="J110" t="s">
        <v>3584</v>
      </c>
      <c r="K110" s="4">
        <v>699.09820000000002</v>
      </c>
      <c r="L110" s="4">
        <v>413.1463</v>
      </c>
    </row>
    <row r="111" spans="1:12">
      <c r="A111" s="1">
        <v>42540</v>
      </c>
      <c r="B111">
        <v>1</v>
      </c>
      <c r="C111" t="s">
        <v>3504</v>
      </c>
      <c r="D111" s="4">
        <v>413.1463</v>
      </c>
      <c r="E111" s="4">
        <v>699.09820000000002</v>
      </c>
      <c r="F111" t="s">
        <v>3479</v>
      </c>
      <c r="G111" t="s">
        <v>3475</v>
      </c>
      <c r="H111" t="s">
        <v>3577</v>
      </c>
      <c r="I111" t="s">
        <v>3578</v>
      </c>
      <c r="J111" t="s">
        <v>3579</v>
      </c>
      <c r="K111" s="4">
        <v>699.09820000000002</v>
      </c>
      <c r="L111" s="4">
        <v>413.1463</v>
      </c>
    </row>
    <row r="112" spans="1:12">
      <c r="A112" s="1">
        <v>42244</v>
      </c>
      <c r="B112">
        <v>1</v>
      </c>
      <c r="C112" t="s">
        <v>3552</v>
      </c>
      <c r="D112" s="4">
        <v>1518.7864</v>
      </c>
      <c r="E112" s="4">
        <v>2443.35</v>
      </c>
      <c r="F112" t="s">
        <v>3479</v>
      </c>
      <c r="G112" t="s">
        <v>3475</v>
      </c>
      <c r="H112" t="s">
        <v>3580</v>
      </c>
      <c r="I112" t="s">
        <v>3578</v>
      </c>
      <c r="J112" t="s">
        <v>3579</v>
      </c>
      <c r="K112" s="4">
        <v>2443.35</v>
      </c>
      <c r="L112" s="4">
        <v>1518.7864</v>
      </c>
    </row>
    <row r="113" spans="1:12">
      <c r="A113" s="1">
        <v>42307</v>
      </c>
      <c r="B113">
        <v>1</v>
      </c>
      <c r="C113" t="s">
        <v>3552</v>
      </c>
      <c r="D113" s="4">
        <v>1518.7864</v>
      </c>
      <c r="E113" s="4">
        <v>2443.35</v>
      </c>
      <c r="F113" t="s">
        <v>3479</v>
      </c>
      <c r="G113" t="s">
        <v>3475</v>
      </c>
      <c r="H113" t="s">
        <v>3583</v>
      </c>
      <c r="I113" t="s">
        <v>3583</v>
      </c>
      <c r="J113" t="s">
        <v>3584</v>
      </c>
      <c r="K113" s="4">
        <v>2443.35</v>
      </c>
      <c r="L113" s="4">
        <v>1518.7864</v>
      </c>
    </row>
    <row r="114" spans="1:12">
      <c r="A114" s="1">
        <v>42425</v>
      </c>
      <c r="B114">
        <v>1</v>
      </c>
      <c r="C114" t="s">
        <v>3552</v>
      </c>
      <c r="D114" s="4">
        <v>1518.7864</v>
      </c>
      <c r="E114" s="4">
        <v>2443.35</v>
      </c>
      <c r="F114" t="s">
        <v>3479</v>
      </c>
      <c r="G114" t="s">
        <v>3475</v>
      </c>
      <c r="H114" t="s">
        <v>3586</v>
      </c>
      <c r="I114" t="s">
        <v>3586</v>
      </c>
      <c r="J114" t="s">
        <v>3587</v>
      </c>
      <c r="K114" s="4">
        <v>2443.35</v>
      </c>
      <c r="L114" s="4">
        <v>1518.7864</v>
      </c>
    </row>
    <row r="115" spans="1:12">
      <c r="A115" s="1">
        <v>42447</v>
      </c>
      <c r="B115">
        <v>1</v>
      </c>
      <c r="C115" t="s">
        <v>3552</v>
      </c>
      <c r="D115" s="4">
        <v>1518.7864</v>
      </c>
      <c r="E115" s="4">
        <v>2443.35</v>
      </c>
      <c r="F115" t="s">
        <v>3479</v>
      </c>
      <c r="G115" t="s">
        <v>3475</v>
      </c>
      <c r="H115" t="s">
        <v>3583</v>
      </c>
      <c r="I115" t="s">
        <v>3583</v>
      </c>
      <c r="J115" t="s">
        <v>3584</v>
      </c>
      <c r="K115" s="4">
        <v>2443.35</v>
      </c>
      <c r="L115" s="4">
        <v>1518.7864</v>
      </c>
    </row>
    <row r="116" spans="1:12">
      <c r="A116" s="1">
        <v>42493</v>
      </c>
      <c r="B116">
        <v>1</v>
      </c>
      <c r="C116" t="s">
        <v>3552</v>
      </c>
      <c r="D116" s="4">
        <v>1518.7864</v>
      </c>
      <c r="E116" s="4">
        <v>2443.35</v>
      </c>
      <c r="F116" t="s">
        <v>3479</v>
      </c>
      <c r="G116" t="s">
        <v>3475</v>
      </c>
      <c r="H116" t="s">
        <v>3586</v>
      </c>
      <c r="I116" t="s">
        <v>3586</v>
      </c>
      <c r="J116" t="s">
        <v>3587</v>
      </c>
      <c r="K116" s="4">
        <v>2443.35</v>
      </c>
      <c r="L116" s="4">
        <v>1518.7864</v>
      </c>
    </row>
    <row r="117" spans="1:12">
      <c r="A117" s="1">
        <v>42250</v>
      </c>
      <c r="B117">
        <v>1</v>
      </c>
      <c r="C117" t="s">
        <v>3550</v>
      </c>
      <c r="D117" s="4">
        <v>1518.7864</v>
      </c>
      <c r="E117" s="4">
        <v>2443.35</v>
      </c>
      <c r="F117" t="s">
        <v>3479</v>
      </c>
      <c r="G117" t="s">
        <v>3475</v>
      </c>
      <c r="H117" t="s">
        <v>3586</v>
      </c>
      <c r="I117" t="s">
        <v>3586</v>
      </c>
      <c r="J117" t="s">
        <v>3587</v>
      </c>
      <c r="K117" s="4">
        <v>2443.35</v>
      </c>
      <c r="L117" s="4">
        <v>1518.7864</v>
      </c>
    </row>
    <row r="118" spans="1:12">
      <c r="A118" s="1">
        <v>42422</v>
      </c>
      <c r="B118">
        <v>1</v>
      </c>
      <c r="C118" t="s">
        <v>3550</v>
      </c>
      <c r="D118" s="4">
        <v>1518.7864</v>
      </c>
      <c r="E118" s="4">
        <v>2443.35</v>
      </c>
      <c r="F118" t="s">
        <v>3479</v>
      </c>
      <c r="G118" t="s">
        <v>3475</v>
      </c>
      <c r="H118" t="s">
        <v>3585</v>
      </c>
      <c r="I118" t="s">
        <v>3585</v>
      </c>
      <c r="J118" t="s">
        <v>3584</v>
      </c>
      <c r="K118" s="4">
        <v>2443.35</v>
      </c>
      <c r="L118" s="4">
        <v>1518.7864</v>
      </c>
    </row>
    <row r="119" spans="1:12">
      <c r="A119" s="1">
        <v>42521</v>
      </c>
      <c r="B119">
        <v>1</v>
      </c>
      <c r="C119" t="s">
        <v>3550</v>
      </c>
      <c r="D119" s="4">
        <v>1518.7864</v>
      </c>
      <c r="E119" s="4">
        <v>2443.35</v>
      </c>
      <c r="F119" t="s">
        <v>3479</v>
      </c>
      <c r="G119" t="s">
        <v>3475</v>
      </c>
      <c r="H119" t="s">
        <v>3580</v>
      </c>
      <c r="I119" t="s">
        <v>3578</v>
      </c>
      <c r="J119" t="s">
        <v>3579</v>
      </c>
      <c r="K119" s="4">
        <v>2443.35</v>
      </c>
      <c r="L119" s="4">
        <v>1518.7864</v>
      </c>
    </row>
    <row r="120" spans="1:12">
      <c r="A120" s="1">
        <v>42546</v>
      </c>
      <c r="B120">
        <v>1</v>
      </c>
      <c r="C120" t="s">
        <v>3550</v>
      </c>
      <c r="D120" s="4">
        <v>1518.7864</v>
      </c>
      <c r="E120" s="4">
        <v>2443.35</v>
      </c>
      <c r="F120" t="s">
        <v>3479</v>
      </c>
      <c r="G120" t="s">
        <v>3475</v>
      </c>
      <c r="H120" t="s">
        <v>3583</v>
      </c>
      <c r="I120" t="s">
        <v>3583</v>
      </c>
      <c r="J120" t="s">
        <v>3584</v>
      </c>
      <c r="K120" s="4">
        <v>2443.35</v>
      </c>
      <c r="L120" s="4">
        <v>1518.7864</v>
      </c>
    </row>
    <row r="121" spans="1:12">
      <c r="A121" s="1">
        <v>42257</v>
      </c>
      <c r="B121">
        <v>1</v>
      </c>
      <c r="C121" t="s">
        <v>3538</v>
      </c>
      <c r="D121" s="4">
        <v>1117.8559</v>
      </c>
      <c r="E121" s="4">
        <v>2071.4196000000002</v>
      </c>
      <c r="F121" t="s">
        <v>3478</v>
      </c>
      <c r="G121" t="s">
        <v>3475</v>
      </c>
      <c r="H121" t="s">
        <v>3577</v>
      </c>
      <c r="I121" t="s">
        <v>3578</v>
      </c>
      <c r="J121" t="s">
        <v>3579</v>
      </c>
      <c r="K121" s="4">
        <v>2071.4196000000002</v>
      </c>
      <c r="L121" s="4">
        <v>1117.8559</v>
      </c>
    </row>
    <row r="122" spans="1:12">
      <c r="A122" s="1">
        <v>42285</v>
      </c>
      <c r="B122">
        <v>1</v>
      </c>
      <c r="C122" t="s">
        <v>3538</v>
      </c>
      <c r="D122" s="4">
        <v>1117.8559</v>
      </c>
      <c r="E122" s="4">
        <v>2071.4196000000002</v>
      </c>
      <c r="F122" t="s">
        <v>3478</v>
      </c>
      <c r="G122" t="s">
        <v>3475</v>
      </c>
      <c r="H122" t="s">
        <v>3588</v>
      </c>
      <c r="I122" t="s">
        <v>3588</v>
      </c>
      <c r="J122" t="s">
        <v>3584</v>
      </c>
      <c r="K122" s="4">
        <v>2071.4196000000002</v>
      </c>
      <c r="L122" s="4">
        <v>1117.8559</v>
      </c>
    </row>
    <row r="123" spans="1:12">
      <c r="A123" s="1">
        <v>42300</v>
      </c>
      <c r="B123">
        <v>1</v>
      </c>
      <c r="C123" t="s">
        <v>3538</v>
      </c>
      <c r="D123" s="4">
        <v>1117.8559</v>
      </c>
      <c r="E123" s="4">
        <v>2071.4196000000002</v>
      </c>
      <c r="F123" t="s">
        <v>3478</v>
      </c>
      <c r="G123" t="s">
        <v>3475</v>
      </c>
      <c r="H123" t="s">
        <v>3586</v>
      </c>
      <c r="I123" t="s">
        <v>3586</v>
      </c>
      <c r="J123" t="s">
        <v>3587</v>
      </c>
      <c r="K123" s="4">
        <v>2071.4196000000002</v>
      </c>
      <c r="L123" s="4">
        <v>1117.8559</v>
      </c>
    </row>
    <row r="124" spans="1:12">
      <c r="A124" s="1">
        <v>42392</v>
      </c>
      <c r="B124">
        <v>1</v>
      </c>
      <c r="C124" t="s">
        <v>3538</v>
      </c>
      <c r="D124" s="4">
        <v>1117.8559</v>
      </c>
      <c r="E124" s="4">
        <v>2071.4196000000002</v>
      </c>
      <c r="F124" t="s">
        <v>3478</v>
      </c>
      <c r="G124" t="s">
        <v>3475</v>
      </c>
      <c r="H124" t="s">
        <v>3586</v>
      </c>
      <c r="I124" t="s">
        <v>3586</v>
      </c>
      <c r="J124" t="s">
        <v>3587</v>
      </c>
      <c r="K124" s="4">
        <v>2071.4196000000002</v>
      </c>
      <c r="L124" s="4">
        <v>1117.8559</v>
      </c>
    </row>
    <row r="125" spans="1:12">
      <c r="A125" s="1">
        <v>42401</v>
      </c>
      <c r="B125">
        <v>1</v>
      </c>
      <c r="C125" t="s">
        <v>3538</v>
      </c>
      <c r="D125" s="4">
        <v>1117.8559</v>
      </c>
      <c r="E125" s="4">
        <v>2071.4196000000002</v>
      </c>
      <c r="F125" t="s">
        <v>3478</v>
      </c>
      <c r="G125" t="s">
        <v>3475</v>
      </c>
      <c r="H125" t="s">
        <v>3577</v>
      </c>
      <c r="I125" t="s">
        <v>3578</v>
      </c>
      <c r="J125" t="s">
        <v>3579</v>
      </c>
      <c r="K125" s="4">
        <v>2071.4196000000002</v>
      </c>
      <c r="L125" s="4">
        <v>1117.8559</v>
      </c>
    </row>
    <row r="126" spans="1:12">
      <c r="A126" s="1">
        <v>42506</v>
      </c>
      <c r="B126">
        <v>1</v>
      </c>
      <c r="C126" t="s">
        <v>3538</v>
      </c>
      <c r="D126" s="4">
        <v>1117.8559</v>
      </c>
      <c r="E126" s="4">
        <v>2071.4196000000002</v>
      </c>
      <c r="F126" t="s">
        <v>3478</v>
      </c>
      <c r="G126" t="s">
        <v>3475</v>
      </c>
      <c r="H126" t="s">
        <v>3586</v>
      </c>
      <c r="I126" t="s">
        <v>3586</v>
      </c>
      <c r="J126" t="s">
        <v>3587</v>
      </c>
      <c r="K126" s="4">
        <v>2071.4196000000002</v>
      </c>
      <c r="L126" s="4">
        <v>1117.8559</v>
      </c>
    </row>
    <row r="127" spans="1:12">
      <c r="A127" s="1">
        <v>42554</v>
      </c>
      <c r="B127">
        <v>1</v>
      </c>
      <c r="C127" t="s">
        <v>3538</v>
      </c>
      <c r="D127" s="4">
        <v>1117.8559</v>
      </c>
      <c r="E127" s="4">
        <v>2071.4196000000002</v>
      </c>
      <c r="F127" t="s">
        <v>3478</v>
      </c>
      <c r="G127" t="s">
        <v>3475</v>
      </c>
      <c r="H127" t="s">
        <v>3586</v>
      </c>
      <c r="I127" t="s">
        <v>3586</v>
      </c>
      <c r="J127" t="s">
        <v>3587</v>
      </c>
      <c r="K127" s="4">
        <v>2071.4196000000002</v>
      </c>
      <c r="L127" s="4">
        <v>1117.8559</v>
      </c>
    </row>
    <row r="128" spans="1:12">
      <c r="A128" s="1">
        <v>42280</v>
      </c>
      <c r="B128">
        <v>1</v>
      </c>
      <c r="C128" t="s">
        <v>3536</v>
      </c>
      <c r="D128" s="4">
        <v>1117.8559</v>
      </c>
      <c r="E128" s="4">
        <v>2071.4196000000002</v>
      </c>
      <c r="F128" t="s">
        <v>3478</v>
      </c>
      <c r="G128" t="s">
        <v>3475</v>
      </c>
      <c r="H128" t="s">
        <v>3577</v>
      </c>
      <c r="I128" t="s">
        <v>3578</v>
      </c>
      <c r="J128" t="s">
        <v>3579</v>
      </c>
      <c r="K128" s="4">
        <v>2071.4196000000002</v>
      </c>
      <c r="L128" s="4">
        <v>1117.8559</v>
      </c>
    </row>
    <row r="129" spans="1:12">
      <c r="A129" s="1">
        <v>42284</v>
      </c>
      <c r="B129">
        <v>1</v>
      </c>
      <c r="C129" t="s">
        <v>3536</v>
      </c>
      <c r="D129" s="4">
        <v>1117.8559</v>
      </c>
      <c r="E129" s="4">
        <v>2071.4196000000002</v>
      </c>
      <c r="F129" t="s">
        <v>3478</v>
      </c>
      <c r="G129" t="s">
        <v>3475</v>
      </c>
      <c r="H129" t="s">
        <v>3586</v>
      </c>
      <c r="I129" t="s">
        <v>3586</v>
      </c>
      <c r="J129" t="s">
        <v>3587</v>
      </c>
      <c r="K129" s="4">
        <v>2071.4196000000002</v>
      </c>
      <c r="L129" s="4">
        <v>1117.8559</v>
      </c>
    </row>
    <row r="130" spans="1:12">
      <c r="A130" s="1">
        <v>42290</v>
      </c>
      <c r="B130">
        <v>2</v>
      </c>
      <c r="C130" t="s">
        <v>3536</v>
      </c>
      <c r="D130" s="4">
        <v>1117.8559</v>
      </c>
      <c r="E130" s="4">
        <v>2071.4196000000002</v>
      </c>
      <c r="F130" t="s">
        <v>3478</v>
      </c>
      <c r="G130" t="s">
        <v>3475</v>
      </c>
      <c r="H130" t="s">
        <v>3586</v>
      </c>
      <c r="I130" t="s">
        <v>3586</v>
      </c>
      <c r="J130" t="s">
        <v>3587</v>
      </c>
      <c r="K130" s="4">
        <v>4142.8392000000003</v>
      </c>
      <c r="L130" s="4">
        <v>2235.7118</v>
      </c>
    </row>
    <row r="131" spans="1:12">
      <c r="A131" s="1">
        <v>42356</v>
      </c>
      <c r="B131">
        <v>1</v>
      </c>
      <c r="C131" t="s">
        <v>3536</v>
      </c>
      <c r="D131" s="4">
        <v>1117.8559</v>
      </c>
      <c r="E131" s="4">
        <v>2071.4196000000002</v>
      </c>
      <c r="F131" t="s">
        <v>3478</v>
      </c>
      <c r="G131" t="s">
        <v>3475</v>
      </c>
      <c r="H131" t="s">
        <v>3580</v>
      </c>
      <c r="I131" t="s">
        <v>3578</v>
      </c>
      <c r="J131" t="s">
        <v>3579</v>
      </c>
      <c r="K131" s="4">
        <v>2071.4196000000002</v>
      </c>
      <c r="L131" s="4">
        <v>1117.8559</v>
      </c>
    </row>
    <row r="132" spans="1:12">
      <c r="A132" s="1">
        <v>42437</v>
      </c>
      <c r="B132">
        <v>1</v>
      </c>
      <c r="C132" t="s">
        <v>3536</v>
      </c>
      <c r="D132" s="4">
        <v>1117.8559</v>
      </c>
      <c r="E132" s="4">
        <v>2071.4196000000002</v>
      </c>
      <c r="F132" t="s">
        <v>3478</v>
      </c>
      <c r="G132" t="s">
        <v>3475</v>
      </c>
      <c r="H132" t="s">
        <v>3586</v>
      </c>
      <c r="I132" t="s">
        <v>3586</v>
      </c>
      <c r="J132" t="s">
        <v>3587</v>
      </c>
      <c r="K132" s="4">
        <v>2071.4196000000002</v>
      </c>
      <c r="L132" s="4">
        <v>1117.8559</v>
      </c>
    </row>
    <row r="133" spans="1:12">
      <c r="A133" s="1">
        <v>42491</v>
      </c>
      <c r="B133">
        <v>1</v>
      </c>
      <c r="C133" t="s">
        <v>3536</v>
      </c>
      <c r="D133" s="4">
        <v>1117.8559</v>
      </c>
      <c r="E133" s="4">
        <v>2071.4196000000002</v>
      </c>
      <c r="F133" t="s">
        <v>3478</v>
      </c>
      <c r="G133" t="s">
        <v>3475</v>
      </c>
      <c r="H133" t="s">
        <v>3586</v>
      </c>
      <c r="I133" t="s">
        <v>3586</v>
      </c>
      <c r="J133" t="s">
        <v>3587</v>
      </c>
      <c r="K133" s="4">
        <v>2071.4196000000002</v>
      </c>
      <c r="L133" s="4">
        <v>1117.8559</v>
      </c>
    </row>
    <row r="134" spans="1:12">
      <c r="A134" s="1">
        <v>42501</v>
      </c>
      <c r="B134">
        <v>1</v>
      </c>
      <c r="C134" t="s">
        <v>3536</v>
      </c>
      <c r="D134" s="4">
        <v>1117.8559</v>
      </c>
      <c r="E134" s="4">
        <v>2071.4196000000002</v>
      </c>
      <c r="F134" t="s">
        <v>3478</v>
      </c>
      <c r="G134" t="s">
        <v>3475</v>
      </c>
      <c r="H134" t="s">
        <v>3583</v>
      </c>
      <c r="I134" t="s">
        <v>3583</v>
      </c>
      <c r="J134" t="s">
        <v>3584</v>
      </c>
      <c r="K134" s="4">
        <v>2071.4196000000002</v>
      </c>
      <c r="L134" s="4">
        <v>1117.8559</v>
      </c>
    </row>
    <row r="135" spans="1:12">
      <c r="A135" s="1">
        <v>42564</v>
      </c>
      <c r="B135">
        <v>1</v>
      </c>
      <c r="C135" t="s">
        <v>3536</v>
      </c>
      <c r="D135" s="4">
        <v>1117.8559</v>
      </c>
      <c r="E135" s="4">
        <v>2071.4196000000002</v>
      </c>
      <c r="F135" t="s">
        <v>3478</v>
      </c>
      <c r="G135" t="s">
        <v>3475</v>
      </c>
      <c r="H135" t="s">
        <v>3580</v>
      </c>
      <c r="I135" t="s">
        <v>3578</v>
      </c>
      <c r="J135" t="s">
        <v>3579</v>
      </c>
      <c r="K135" s="4">
        <v>2071.4196000000002</v>
      </c>
      <c r="L135" s="4">
        <v>1117.8559</v>
      </c>
    </row>
    <row r="136" spans="1:12">
      <c r="A136" s="1">
        <v>42392</v>
      </c>
      <c r="B136">
        <v>1</v>
      </c>
      <c r="C136" t="s">
        <v>3508</v>
      </c>
      <c r="D136" s="4">
        <v>413.1463</v>
      </c>
      <c r="E136" s="4">
        <v>699.09820000000002</v>
      </c>
      <c r="F136" t="s">
        <v>3479</v>
      </c>
      <c r="G136" t="s">
        <v>3475</v>
      </c>
      <c r="H136" t="s">
        <v>3580</v>
      </c>
      <c r="I136" t="s">
        <v>3578</v>
      </c>
      <c r="J136" t="s">
        <v>3579</v>
      </c>
      <c r="K136" s="4">
        <v>699.09820000000002</v>
      </c>
      <c r="L136" s="4">
        <v>413.1463</v>
      </c>
    </row>
    <row r="137" spans="1:12">
      <c r="A137" s="1">
        <v>42536</v>
      </c>
      <c r="B137">
        <v>1</v>
      </c>
      <c r="C137" t="s">
        <v>3508</v>
      </c>
      <c r="D137" s="4">
        <v>413.1463</v>
      </c>
      <c r="E137" s="4">
        <v>699.09820000000002</v>
      </c>
      <c r="F137" t="s">
        <v>3479</v>
      </c>
      <c r="G137" t="s">
        <v>3475</v>
      </c>
      <c r="H137" t="s">
        <v>3580</v>
      </c>
      <c r="I137" t="s">
        <v>3578</v>
      </c>
      <c r="J137" t="s">
        <v>3579</v>
      </c>
      <c r="K137" s="4">
        <v>699.09820000000002</v>
      </c>
      <c r="L137" s="4">
        <v>413.1463</v>
      </c>
    </row>
    <row r="138" spans="1:12">
      <c r="A138" s="1">
        <v>42302</v>
      </c>
      <c r="B138">
        <v>1</v>
      </c>
      <c r="C138" t="s">
        <v>3510</v>
      </c>
      <c r="D138" s="4">
        <v>413.1463</v>
      </c>
      <c r="E138" s="4">
        <v>699.09820000000002</v>
      </c>
      <c r="F138" t="s">
        <v>3479</v>
      </c>
      <c r="G138" t="s">
        <v>3475</v>
      </c>
      <c r="H138" t="s">
        <v>3585</v>
      </c>
      <c r="I138" t="s">
        <v>3585</v>
      </c>
      <c r="J138" t="s">
        <v>3584</v>
      </c>
      <c r="K138" s="4">
        <v>699.09820000000002</v>
      </c>
      <c r="L138" s="4">
        <v>413.1463</v>
      </c>
    </row>
    <row r="139" spans="1:12">
      <c r="A139" s="1">
        <v>42348</v>
      </c>
      <c r="B139">
        <v>1</v>
      </c>
      <c r="C139" t="s">
        <v>3510</v>
      </c>
      <c r="D139" s="4">
        <v>413.1463</v>
      </c>
      <c r="E139" s="4">
        <v>699.09820000000002</v>
      </c>
      <c r="F139" t="s">
        <v>3479</v>
      </c>
      <c r="G139" t="s">
        <v>3475</v>
      </c>
      <c r="H139" t="s">
        <v>3586</v>
      </c>
      <c r="I139" t="s">
        <v>3586</v>
      </c>
      <c r="J139" t="s">
        <v>3587</v>
      </c>
      <c r="K139" s="4">
        <v>699.09820000000002</v>
      </c>
      <c r="L139" s="4">
        <v>413.1463</v>
      </c>
    </row>
    <row r="140" spans="1:12">
      <c r="A140" s="1">
        <v>42441</v>
      </c>
      <c r="B140">
        <v>1</v>
      </c>
      <c r="C140" t="s">
        <v>3512</v>
      </c>
      <c r="D140" s="4">
        <v>413.1463</v>
      </c>
      <c r="E140" s="4">
        <v>699.09820000000002</v>
      </c>
      <c r="F140" t="s">
        <v>3479</v>
      </c>
      <c r="G140" t="s">
        <v>3475</v>
      </c>
      <c r="H140" t="s">
        <v>3577</v>
      </c>
      <c r="I140" t="s">
        <v>3578</v>
      </c>
      <c r="J140" t="s">
        <v>3579</v>
      </c>
      <c r="K140" s="4">
        <v>699.09820000000002</v>
      </c>
      <c r="L140" s="4">
        <v>413.1463</v>
      </c>
    </row>
    <row r="141" spans="1:12">
      <c r="A141" s="1">
        <v>42304</v>
      </c>
      <c r="B141">
        <v>1</v>
      </c>
      <c r="C141" t="s">
        <v>3548</v>
      </c>
      <c r="D141" s="4">
        <v>1518.7864</v>
      </c>
      <c r="E141" s="4">
        <v>2443.35</v>
      </c>
      <c r="F141" t="s">
        <v>3479</v>
      </c>
      <c r="G141" t="s">
        <v>3475</v>
      </c>
      <c r="H141" t="s">
        <v>3582</v>
      </c>
      <c r="I141" t="s">
        <v>3582</v>
      </c>
      <c r="J141" t="s">
        <v>3579</v>
      </c>
      <c r="K141" s="4">
        <v>2443.35</v>
      </c>
      <c r="L141" s="4">
        <v>1518.7864</v>
      </c>
    </row>
    <row r="142" spans="1:12">
      <c r="A142" s="1">
        <v>42460</v>
      </c>
      <c r="B142">
        <v>1</v>
      </c>
      <c r="C142" t="s">
        <v>3548</v>
      </c>
      <c r="D142" s="4">
        <v>1518.7864</v>
      </c>
      <c r="E142" s="4">
        <v>2443.35</v>
      </c>
      <c r="F142" t="s">
        <v>3479</v>
      </c>
      <c r="G142" t="s">
        <v>3475</v>
      </c>
      <c r="H142" t="s">
        <v>3583</v>
      </c>
      <c r="I142" t="s">
        <v>3583</v>
      </c>
      <c r="J142" t="s">
        <v>3584</v>
      </c>
      <c r="K142" s="4">
        <v>2443.35</v>
      </c>
      <c r="L142" s="4">
        <v>1518.7864</v>
      </c>
    </row>
    <row r="143" spans="1:12">
      <c r="A143" s="1">
        <v>42542</v>
      </c>
      <c r="B143">
        <v>1</v>
      </c>
      <c r="C143" t="s">
        <v>3548</v>
      </c>
      <c r="D143" s="4">
        <v>1518.7864</v>
      </c>
      <c r="E143" s="4">
        <v>2443.35</v>
      </c>
      <c r="F143" t="s">
        <v>3479</v>
      </c>
      <c r="G143" t="s">
        <v>3475</v>
      </c>
      <c r="H143" t="s">
        <v>3588</v>
      </c>
      <c r="I143" t="s">
        <v>3588</v>
      </c>
      <c r="J143" t="s">
        <v>3584</v>
      </c>
      <c r="K143" s="4">
        <v>2443.35</v>
      </c>
      <c r="L143" s="4">
        <v>1518.7864</v>
      </c>
    </row>
    <row r="144" spans="1:12">
      <c r="A144" s="1">
        <v>42328</v>
      </c>
      <c r="B144">
        <v>1</v>
      </c>
      <c r="C144" t="s">
        <v>3544</v>
      </c>
      <c r="D144" s="4">
        <v>1105.81</v>
      </c>
      <c r="E144" s="4">
        <v>2049.0981999999999</v>
      </c>
      <c r="F144" t="s">
        <v>3478</v>
      </c>
      <c r="G144" t="s">
        <v>3475</v>
      </c>
      <c r="H144" t="s">
        <v>3585</v>
      </c>
      <c r="I144" t="s">
        <v>3585</v>
      </c>
      <c r="J144" t="s">
        <v>3584</v>
      </c>
      <c r="K144" s="4">
        <v>2049.0981999999999</v>
      </c>
      <c r="L144" s="4">
        <v>1105.81</v>
      </c>
    </row>
    <row r="145" spans="1:12">
      <c r="A145" s="1">
        <v>42344</v>
      </c>
      <c r="B145">
        <v>1</v>
      </c>
      <c r="C145" t="s">
        <v>3544</v>
      </c>
      <c r="D145" s="4">
        <v>1105.81</v>
      </c>
      <c r="E145" s="4">
        <v>2049.0981999999999</v>
      </c>
      <c r="F145" t="s">
        <v>3478</v>
      </c>
      <c r="G145" t="s">
        <v>3475</v>
      </c>
      <c r="H145" t="s">
        <v>3588</v>
      </c>
      <c r="I145" t="s">
        <v>3588</v>
      </c>
      <c r="J145" t="s">
        <v>3584</v>
      </c>
      <c r="K145" s="4">
        <v>2049.0981999999999</v>
      </c>
      <c r="L145" s="4">
        <v>1105.81</v>
      </c>
    </row>
    <row r="146" spans="1:12">
      <c r="A146" s="1">
        <v>42400</v>
      </c>
      <c r="B146">
        <v>1</v>
      </c>
      <c r="C146" t="s">
        <v>3544</v>
      </c>
      <c r="D146" s="4">
        <v>1105.81</v>
      </c>
      <c r="E146" s="4">
        <v>2049.0981999999999</v>
      </c>
      <c r="F146" t="s">
        <v>3478</v>
      </c>
      <c r="G146" t="s">
        <v>3475</v>
      </c>
      <c r="H146" t="s">
        <v>3580</v>
      </c>
      <c r="I146" t="s">
        <v>3578</v>
      </c>
      <c r="J146" t="s">
        <v>3579</v>
      </c>
      <c r="K146" s="4">
        <v>2049.0981999999999</v>
      </c>
      <c r="L146" s="4">
        <v>1105.81</v>
      </c>
    </row>
    <row r="147" spans="1:12">
      <c r="A147" s="1">
        <v>42449</v>
      </c>
      <c r="B147">
        <v>1</v>
      </c>
      <c r="C147" t="s">
        <v>3544</v>
      </c>
      <c r="D147" s="4">
        <v>1105.81</v>
      </c>
      <c r="E147" s="4">
        <v>2049.0981999999999</v>
      </c>
      <c r="F147" t="s">
        <v>3478</v>
      </c>
      <c r="G147" t="s">
        <v>3475</v>
      </c>
      <c r="H147" t="s">
        <v>3586</v>
      </c>
      <c r="I147" t="s">
        <v>3586</v>
      </c>
      <c r="J147" t="s">
        <v>3587</v>
      </c>
      <c r="K147" s="4">
        <v>2049.0981999999999</v>
      </c>
      <c r="L147" s="4">
        <v>1105.81</v>
      </c>
    </row>
    <row r="148" spans="1:12">
      <c r="A148" s="1">
        <v>42516</v>
      </c>
      <c r="B148">
        <v>1</v>
      </c>
      <c r="C148" t="s">
        <v>3544</v>
      </c>
      <c r="D148" s="4">
        <v>1105.81</v>
      </c>
      <c r="E148" s="4">
        <v>2049.0981999999999</v>
      </c>
      <c r="F148" t="s">
        <v>3478</v>
      </c>
      <c r="G148" t="s">
        <v>3475</v>
      </c>
      <c r="H148" t="s">
        <v>3583</v>
      </c>
      <c r="I148" t="s">
        <v>3583</v>
      </c>
      <c r="J148" t="s">
        <v>3584</v>
      </c>
      <c r="K148" s="4">
        <v>2049.0981999999999</v>
      </c>
      <c r="L148" s="4">
        <v>1105.81</v>
      </c>
    </row>
    <row r="149" spans="1:12">
      <c r="A149" s="1">
        <v>42600</v>
      </c>
      <c r="B149">
        <v>1</v>
      </c>
      <c r="C149" t="s">
        <v>3544</v>
      </c>
      <c r="D149" s="4">
        <v>1105.81</v>
      </c>
      <c r="E149" s="4">
        <v>2049.0981999999999</v>
      </c>
      <c r="F149" t="s">
        <v>3478</v>
      </c>
      <c r="G149" t="s">
        <v>3475</v>
      </c>
      <c r="H149" t="s">
        <v>3577</v>
      </c>
      <c r="I149" t="s">
        <v>3578</v>
      </c>
      <c r="J149" t="s">
        <v>3579</v>
      </c>
      <c r="K149" s="4">
        <v>2049.0981999999999</v>
      </c>
      <c r="L149" s="4">
        <v>1105.81</v>
      </c>
    </row>
    <row r="150" spans="1:12">
      <c r="A150" s="1">
        <v>42339</v>
      </c>
      <c r="B150">
        <v>1</v>
      </c>
      <c r="C150" t="s">
        <v>3540</v>
      </c>
      <c r="D150" s="4">
        <v>1117.8559</v>
      </c>
      <c r="E150" s="4">
        <v>2071.4196000000002</v>
      </c>
      <c r="F150" t="s">
        <v>3478</v>
      </c>
      <c r="G150" t="s">
        <v>3475</v>
      </c>
      <c r="H150" t="s">
        <v>3588</v>
      </c>
      <c r="I150" t="s">
        <v>3588</v>
      </c>
      <c r="J150" t="s">
        <v>3584</v>
      </c>
      <c r="K150" s="4">
        <v>2071.4196000000002</v>
      </c>
      <c r="L150" s="4">
        <v>1117.8559</v>
      </c>
    </row>
    <row r="151" spans="1:12">
      <c r="A151" s="1">
        <v>42531</v>
      </c>
      <c r="B151">
        <v>1</v>
      </c>
      <c r="C151" t="s">
        <v>3540</v>
      </c>
      <c r="D151" s="4">
        <v>1117.8559</v>
      </c>
      <c r="E151" s="4">
        <v>2071.4196000000002</v>
      </c>
      <c r="F151" t="s">
        <v>3478</v>
      </c>
      <c r="G151" t="s">
        <v>3475</v>
      </c>
      <c r="H151" t="s">
        <v>3580</v>
      </c>
      <c r="I151" t="s">
        <v>3578</v>
      </c>
      <c r="J151" t="s">
        <v>3579</v>
      </c>
      <c r="K151" s="4">
        <v>2071.4196000000002</v>
      </c>
      <c r="L151" s="4">
        <v>1117.8559</v>
      </c>
    </row>
    <row r="152" spans="1:12">
      <c r="A152" s="1">
        <v>42555</v>
      </c>
      <c r="B152">
        <v>1</v>
      </c>
      <c r="C152" t="s">
        <v>3540</v>
      </c>
      <c r="D152" s="4">
        <v>1117.8559</v>
      </c>
      <c r="E152" s="4">
        <v>2071.4196000000002</v>
      </c>
      <c r="F152" t="s">
        <v>3478</v>
      </c>
      <c r="G152" t="s">
        <v>3475</v>
      </c>
      <c r="H152" t="s">
        <v>3586</v>
      </c>
      <c r="I152" t="s">
        <v>3586</v>
      </c>
      <c r="J152" t="s">
        <v>3587</v>
      </c>
      <c r="K152" s="4">
        <v>2071.4196000000002</v>
      </c>
      <c r="L152" s="4">
        <v>1117.8559</v>
      </c>
    </row>
    <row r="153" spans="1:12">
      <c r="A153" s="1">
        <v>42598</v>
      </c>
      <c r="B153">
        <v>1</v>
      </c>
      <c r="C153" t="s">
        <v>3540</v>
      </c>
      <c r="D153" s="4">
        <v>1117.8559</v>
      </c>
      <c r="E153" s="4">
        <v>2071.4196000000002</v>
      </c>
      <c r="F153" t="s">
        <v>3478</v>
      </c>
      <c r="G153" t="s">
        <v>3475</v>
      </c>
      <c r="H153" t="s">
        <v>3580</v>
      </c>
      <c r="I153" t="s">
        <v>3578</v>
      </c>
      <c r="J153" t="s">
        <v>3579</v>
      </c>
      <c r="K153" s="4">
        <v>2071.4196000000002</v>
      </c>
      <c r="L153" s="4">
        <v>1117.8559</v>
      </c>
    </row>
    <row r="154" spans="1:12">
      <c r="A154" s="1">
        <v>42343</v>
      </c>
      <c r="B154">
        <v>1</v>
      </c>
      <c r="C154" t="s">
        <v>3572</v>
      </c>
      <c r="D154" s="4">
        <v>605.64919999999995</v>
      </c>
      <c r="E154" s="4">
        <v>1000.4375</v>
      </c>
      <c r="F154" t="s">
        <v>3479</v>
      </c>
      <c r="G154" t="s">
        <v>3475</v>
      </c>
      <c r="H154" t="s">
        <v>3582</v>
      </c>
      <c r="I154" t="s">
        <v>3582</v>
      </c>
      <c r="J154" t="s">
        <v>3579</v>
      </c>
      <c r="K154" s="4">
        <v>1000.4375</v>
      </c>
      <c r="L154" s="4">
        <v>605.64919999999995</v>
      </c>
    </row>
    <row r="155" spans="1:12">
      <c r="A155" s="1">
        <v>42363</v>
      </c>
      <c r="B155">
        <v>1</v>
      </c>
      <c r="C155" t="s">
        <v>3572</v>
      </c>
      <c r="D155" s="4">
        <v>605.64919999999995</v>
      </c>
      <c r="E155" s="4">
        <v>1000.4375</v>
      </c>
      <c r="F155" t="s">
        <v>3479</v>
      </c>
      <c r="G155" t="s">
        <v>3475</v>
      </c>
      <c r="H155" t="s">
        <v>3585</v>
      </c>
      <c r="I155" t="s">
        <v>3585</v>
      </c>
      <c r="J155" t="s">
        <v>3584</v>
      </c>
      <c r="K155" s="4">
        <v>1000.4375</v>
      </c>
      <c r="L155" s="4">
        <v>605.64919999999995</v>
      </c>
    </row>
    <row r="156" spans="1:12">
      <c r="A156" s="1">
        <v>42563</v>
      </c>
      <c r="B156">
        <v>1</v>
      </c>
      <c r="C156" t="s">
        <v>3572</v>
      </c>
      <c r="D156" s="4">
        <v>605.64919999999995</v>
      </c>
      <c r="E156" s="4">
        <v>1000.4375</v>
      </c>
      <c r="F156" t="s">
        <v>3479</v>
      </c>
      <c r="G156" t="s">
        <v>3475</v>
      </c>
      <c r="H156" t="s">
        <v>3583</v>
      </c>
      <c r="I156" t="s">
        <v>3583</v>
      </c>
      <c r="J156" t="s">
        <v>3584</v>
      </c>
      <c r="K156" s="4">
        <v>1000.4375</v>
      </c>
      <c r="L156" s="4">
        <v>605.64919999999995</v>
      </c>
    </row>
    <row r="157" spans="1:12">
      <c r="A157" s="1">
        <v>42558</v>
      </c>
      <c r="B157">
        <v>1</v>
      </c>
      <c r="C157" t="s">
        <v>3542</v>
      </c>
      <c r="D157" s="4">
        <v>1105.81</v>
      </c>
      <c r="E157" s="4">
        <v>2049.0981999999999</v>
      </c>
      <c r="F157" t="s">
        <v>3478</v>
      </c>
      <c r="G157" t="s">
        <v>3475</v>
      </c>
      <c r="H157" t="s">
        <v>3588</v>
      </c>
      <c r="I157" t="s">
        <v>3588</v>
      </c>
      <c r="J157" t="s">
        <v>3584</v>
      </c>
      <c r="K157" s="4">
        <v>2049.0981999999999</v>
      </c>
      <c r="L157" s="4">
        <v>1105.81</v>
      </c>
    </row>
    <row r="158" spans="1:12">
      <c r="A158" s="1">
        <v>42349</v>
      </c>
      <c r="B158">
        <v>1</v>
      </c>
      <c r="C158" t="s">
        <v>3558</v>
      </c>
      <c r="D158" s="4">
        <v>1320.6838</v>
      </c>
      <c r="E158" s="4">
        <v>2181.5625</v>
      </c>
      <c r="F158" t="s">
        <v>3479</v>
      </c>
      <c r="G158" t="s">
        <v>3475</v>
      </c>
      <c r="H158" t="s">
        <v>3586</v>
      </c>
      <c r="I158" t="s">
        <v>3586</v>
      </c>
      <c r="J158" t="s">
        <v>3587</v>
      </c>
      <c r="K158" s="4">
        <v>2181.5625</v>
      </c>
      <c r="L158" s="4">
        <v>1320.6838</v>
      </c>
    </row>
    <row r="159" spans="1:12">
      <c r="A159" s="1">
        <v>42458</v>
      </c>
      <c r="B159">
        <v>1</v>
      </c>
      <c r="C159" t="s">
        <v>3558</v>
      </c>
      <c r="D159" s="4">
        <v>1320.6838</v>
      </c>
      <c r="E159" s="4">
        <v>2181.5625</v>
      </c>
      <c r="F159" t="s">
        <v>3479</v>
      </c>
      <c r="G159" t="s">
        <v>3475</v>
      </c>
      <c r="H159" t="s">
        <v>3586</v>
      </c>
      <c r="I159" t="s">
        <v>3586</v>
      </c>
      <c r="J159" t="s">
        <v>3587</v>
      </c>
      <c r="K159" s="4">
        <v>2181.5625</v>
      </c>
      <c r="L159" s="4">
        <v>1320.6838</v>
      </c>
    </row>
    <row r="160" spans="1:12">
      <c r="A160" s="1">
        <v>42553</v>
      </c>
      <c r="B160">
        <v>1</v>
      </c>
      <c r="C160" t="s">
        <v>3558</v>
      </c>
      <c r="D160" s="4">
        <v>1320.6838</v>
      </c>
      <c r="E160" s="4">
        <v>2181.5625</v>
      </c>
      <c r="F160" t="s">
        <v>3479</v>
      </c>
      <c r="G160" t="s">
        <v>3475</v>
      </c>
      <c r="H160" t="s">
        <v>3586</v>
      </c>
      <c r="I160" t="s">
        <v>3586</v>
      </c>
      <c r="J160" t="s">
        <v>3587</v>
      </c>
      <c r="K160" s="4">
        <v>2181.5625</v>
      </c>
      <c r="L160" s="4">
        <v>1320.6838</v>
      </c>
    </row>
    <row r="161" spans="1:12">
      <c r="A161" s="1">
        <v>42589</v>
      </c>
      <c r="B161">
        <v>1</v>
      </c>
      <c r="C161" t="s">
        <v>3558</v>
      </c>
      <c r="D161" s="4">
        <v>1320.6838</v>
      </c>
      <c r="E161" s="4">
        <v>2181.5625</v>
      </c>
      <c r="F161" t="s">
        <v>3479</v>
      </c>
      <c r="G161" t="s">
        <v>3475</v>
      </c>
      <c r="H161" t="s">
        <v>3586</v>
      </c>
      <c r="I161" t="s">
        <v>3586</v>
      </c>
      <c r="J161" t="s">
        <v>3587</v>
      </c>
      <c r="K161" s="4">
        <v>2181.5625</v>
      </c>
      <c r="L161" s="4">
        <v>1320.6838</v>
      </c>
    </row>
    <row r="162" spans="1:12">
      <c r="A162" s="1">
        <v>42350</v>
      </c>
      <c r="B162">
        <v>1</v>
      </c>
      <c r="C162" t="s">
        <v>3546</v>
      </c>
      <c r="D162" s="4">
        <v>1105.81</v>
      </c>
      <c r="E162" s="4">
        <v>2049.0981999999999</v>
      </c>
      <c r="F162" t="s">
        <v>3478</v>
      </c>
      <c r="G162" t="s">
        <v>3475</v>
      </c>
      <c r="H162" t="s">
        <v>3586</v>
      </c>
      <c r="I162" t="s">
        <v>3586</v>
      </c>
      <c r="J162" t="s">
        <v>3587</v>
      </c>
      <c r="K162" s="4">
        <v>2049.0981999999999</v>
      </c>
      <c r="L162" s="4">
        <v>1105.81</v>
      </c>
    </row>
    <row r="163" spans="1:12">
      <c r="A163" s="1">
        <v>42376</v>
      </c>
      <c r="B163">
        <v>1</v>
      </c>
      <c r="C163" t="s">
        <v>3546</v>
      </c>
      <c r="D163" s="4">
        <v>1105.81</v>
      </c>
      <c r="E163" s="4">
        <v>2049.0981999999999</v>
      </c>
      <c r="F163" t="s">
        <v>3478</v>
      </c>
      <c r="G163" t="s">
        <v>3475</v>
      </c>
      <c r="H163" t="s">
        <v>3586</v>
      </c>
      <c r="I163" t="s">
        <v>3586</v>
      </c>
      <c r="J163" t="s">
        <v>3587</v>
      </c>
      <c r="K163" s="4">
        <v>2049.0981999999999</v>
      </c>
      <c r="L163" s="4">
        <v>1105.81</v>
      </c>
    </row>
    <row r="164" spans="1:12">
      <c r="A164" s="1">
        <v>42422</v>
      </c>
      <c r="B164">
        <v>1</v>
      </c>
      <c r="C164" t="s">
        <v>3546</v>
      </c>
      <c r="D164" s="4">
        <v>1105.81</v>
      </c>
      <c r="E164" s="4">
        <v>2049.0981999999999</v>
      </c>
      <c r="F164" t="s">
        <v>3478</v>
      </c>
      <c r="G164" t="s">
        <v>3475</v>
      </c>
      <c r="H164" t="s">
        <v>3586</v>
      </c>
      <c r="I164" t="s">
        <v>3586</v>
      </c>
      <c r="J164" t="s">
        <v>3587</v>
      </c>
      <c r="K164" s="4">
        <v>2049.0981999999999</v>
      </c>
      <c r="L164" s="4">
        <v>1105.81</v>
      </c>
    </row>
    <row r="165" spans="1:12">
      <c r="A165" s="1">
        <v>42473</v>
      </c>
      <c r="B165">
        <v>1</v>
      </c>
      <c r="C165" t="s">
        <v>3546</v>
      </c>
      <c r="D165" s="4">
        <v>1105.81</v>
      </c>
      <c r="E165" s="4">
        <v>2049.0981999999999</v>
      </c>
      <c r="F165" t="s">
        <v>3478</v>
      </c>
      <c r="G165" t="s">
        <v>3475</v>
      </c>
      <c r="H165" t="s">
        <v>3585</v>
      </c>
      <c r="I165" t="s">
        <v>3585</v>
      </c>
      <c r="J165" t="s">
        <v>3584</v>
      </c>
      <c r="K165" s="4">
        <v>2049.0981999999999</v>
      </c>
      <c r="L165" s="4">
        <v>1105.81</v>
      </c>
    </row>
    <row r="166" spans="1:12">
      <c r="A166" s="1">
        <v>42548</v>
      </c>
      <c r="B166">
        <v>1</v>
      </c>
      <c r="C166" t="s">
        <v>3546</v>
      </c>
      <c r="D166" s="4">
        <v>1105.81</v>
      </c>
      <c r="E166" s="4">
        <v>2049.0981999999999</v>
      </c>
      <c r="F166" t="s">
        <v>3478</v>
      </c>
      <c r="G166" t="s">
        <v>3475</v>
      </c>
      <c r="H166" t="s">
        <v>3586</v>
      </c>
      <c r="I166" t="s">
        <v>3586</v>
      </c>
      <c r="J166" t="s">
        <v>3587</v>
      </c>
      <c r="K166" s="4">
        <v>2049.0981999999999</v>
      </c>
      <c r="L166" s="4">
        <v>1105.81</v>
      </c>
    </row>
    <row r="167" spans="1:12">
      <c r="A167" s="1">
        <v>42605</v>
      </c>
      <c r="B167">
        <v>1</v>
      </c>
      <c r="C167" t="s">
        <v>3546</v>
      </c>
      <c r="D167" s="4">
        <v>1105.81</v>
      </c>
      <c r="E167" s="4">
        <v>2049.0981999999999</v>
      </c>
      <c r="F167" t="s">
        <v>3478</v>
      </c>
      <c r="G167" t="s">
        <v>3475</v>
      </c>
      <c r="H167" t="s">
        <v>3588</v>
      </c>
      <c r="I167" t="s">
        <v>3588</v>
      </c>
      <c r="J167" t="s">
        <v>3584</v>
      </c>
      <c r="K167" s="4">
        <v>2049.0981999999999</v>
      </c>
      <c r="L167" s="4">
        <v>1105.81</v>
      </c>
    </row>
    <row r="168" spans="1:12">
      <c r="A168" s="1">
        <v>42608</v>
      </c>
      <c r="B168">
        <v>1</v>
      </c>
      <c r="C168" t="s">
        <v>3546</v>
      </c>
      <c r="D168" s="4">
        <v>1105.81</v>
      </c>
      <c r="E168" s="4">
        <v>2049.0981999999999</v>
      </c>
      <c r="F168" t="s">
        <v>3478</v>
      </c>
      <c r="G168" t="s">
        <v>3475</v>
      </c>
      <c r="H168" t="s">
        <v>3583</v>
      </c>
      <c r="I168" t="s">
        <v>3583</v>
      </c>
      <c r="J168" t="s">
        <v>3584</v>
      </c>
      <c r="K168" s="4">
        <v>2049.0981999999999</v>
      </c>
      <c r="L168" s="4">
        <v>1105.81</v>
      </c>
    </row>
    <row r="169" spans="1:12">
      <c r="A169" s="1">
        <v>42385</v>
      </c>
      <c r="B169">
        <v>1</v>
      </c>
      <c r="C169" t="s">
        <v>3554</v>
      </c>
      <c r="D169" s="4">
        <v>1320.6838</v>
      </c>
      <c r="E169" s="4">
        <v>2181.5625</v>
      </c>
      <c r="F169" t="s">
        <v>3479</v>
      </c>
      <c r="G169" t="s">
        <v>3475</v>
      </c>
      <c r="H169" t="s">
        <v>3583</v>
      </c>
      <c r="I169" t="s">
        <v>3583</v>
      </c>
      <c r="J169" t="s">
        <v>3584</v>
      </c>
      <c r="K169" s="4">
        <v>2181.5625</v>
      </c>
      <c r="L169" s="4">
        <v>1320.6838</v>
      </c>
    </row>
    <row r="170" spans="1:12">
      <c r="A170" s="1">
        <v>42511</v>
      </c>
      <c r="B170">
        <v>1</v>
      </c>
      <c r="C170" t="s">
        <v>3554</v>
      </c>
      <c r="D170" s="4">
        <v>1320.6838</v>
      </c>
      <c r="E170" s="4">
        <v>2181.5625</v>
      </c>
      <c r="F170" t="s">
        <v>3479</v>
      </c>
      <c r="G170" t="s">
        <v>3475</v>
      </c>
      <c r="H170" t="s">
        <v>3580</v>
      </c>
      <c r="I170" t="s">
        <v>3578</v>
      </c>
      <c r="J170" t="s">
        <v>3579</v>
      </c>
      <c r="K170" s="4">
        <v>2181.5625</v>
      </c>
      <c r="L170" s="4">
        <v>1320.6838</v>
      </c>
    </row>
    <row r="171" spans="1:12">
      <c r="A171" s="1">
        <v>42534</v>
      </c>
      <c r="B171">
        <v>1</v>
      </c>
      <c r="C171" t="s">
        <v>3554</v>
      </c>
      <c r="D171" s="4">
        <v>1320.6838</v>
      </c>
      <c r="E171" s="4">
        <v>2181.5625</v>
      </c>
      <c r="F171" t="s">
        <v>3479</v>
      </c>
      <c r="G171" t="s">
        <v>3475</v>
      </c>
      <c r="H171" t="s">
        <v>3580</v>
      </c>
      <c r="I171" t="s">
        <v>3578</v>
      </c>
      <c r="J171" t="s">
        <v>3579</v>
      </c>
      <c r="K171" s="4">
        <v>2181.5625</v>
      </c>
      <c r="L171" s="4">
        <v>1320.6838</v>
      </c>
    </row>
    <row r="172" spans="1:12">
      <c r="A172" s="1">
        <v>42564</v>
      </c>
      <c r="B172">
        <v>1</v>
      </c>
      <c r="C172" t="s">
        <v>3554</v>
      </c>
      <c r="D172" s="4">
        <v>1320.6838</v>
      </c>
      <c r="E172" s="4">
        <v>2181.5625</v>
      </c>
      <c r="F172" t="s">
        <v>3479</v>
      </c>
      <c r="G172" t="s">
        <v>3475</v>
      </c>
      <c r="H172" t="s">
        <v>3586</v>
      </c>
      <c r="I172" t="s">
        <v>3586</v>
      </c>
      <c r="J172" t="s">
        <v>3587</v>
      </c>
      <c r="K172" s="4">
        <v>2181.5625</v>
      </c>
      <c r="L172" s="4">
        <v>1320.6838</v>
      </c>
    </row>
    <row r="173" spans="1:12">
      <c r="A173" s="1">
        <v>42590</v>
      </c>
      <c r="B173">
        <v>1</v>
      </c>
      <c r="C173" t="s">
        <v>3554</v>
      </c>
      <c r="D173" s="4">
        <v>1320.6838</v>
      </c>
      <c r="E173" s="4">
        <v>2181.5625</v>
      </c>
      <c r="F173" t="s">
        <v>3479</v>
      </c>
      <c r="G173" t="s">
        <v>3475</v>
      </c>
      <c r="H173" t="s">
        <v>3588</v>
      </c>
      <c r="I173" t="s">
        <v>3588</v>
      </c>
      <c r="J173" t="s">
        <v>3584</v>
      </c>
      <c r="K173" s="4">
        <v>2181.5625</v>
      </c>
      <c r="L173" s="4">
        <v>1320.6838</v>
      </c>
    </row>
    <row r="174" spans="1:12">
      <c r="A174" s="1">
        <v>42379</v>
      </c>
      <c r="B174">
        <v>1</v>
      </c>
      <c r="C174" t="s">
        <v>3564</v>
      </c>
      <c r="D174" s="4">
        <v>605.64919999999995</v>
      </c>
      <c r="E174" s="4">
        <v>1000.4375</v>
      </c>
      <c r="F174" t="s">
        <v>3479</v>
      </c>
      <c r="G174" t="s">
        <v>3475</v>
      </c>
      <c r="H174" t="s">
        <v>3586</v>
      </c>
      <c r="I174" t="s">
        <v>3586</v>
      </c>
      <c r="J174" t="s">
        <v>3587</v>
      </c>
      <c r="K174" s="4">
        <v>1000.4375</v>
      </c>
      <c r="L174" s="4">
        <v>605.64919999999995</v>
      </c>
    </row>
    <row r="175" spans="1:12">
      <c r="A175" s="1">
        <v>42414</v>
      </c>
      <c r="B175">
        <v>1</v>
      </c>
      <c r="C175" t="s">
        <v>3564</v>
      </c>
      <c r="D175" s="4">
        <v>605.64919999999995</v>
      </c>
      <c r="E175" s="4">
        <v>1000.4375</v>
      </c>
      <c r="F175" t="s">
        <v>3479</v>
      </c>
      <c r="G175" t="s">
        <v>3475</v>
      </c>
      <c r="H175" t="s">
        <v>3580</v>
      </c>
      <c r="I175" t="s">
        <v>3578</v>
      </c>
      <c r="J175" t="s">
        <v>3579</v>
      </c>
      <c r="K175" s="4">
        <v>1000.4375</v>
      </c>
      <c r="L175" s="4">
        <v>605.64919999999995</v>
      </c>
    </row>
    <row r="176" spans="1:12">
      <c r="A176" s="1">
        <v>42533</v>
      </c>
      <c r="B176">
        <v>1</v>
      </c>
      <c r="C176" t="s">
        <v>3564</v>
      </c>
      <c r="D176" s="4">
        <v>605.64919999999995</v>
      </c>
      <c r="E176" s="4">
        <v>1000.4375</v>
      </c>
      <c r="F176" t="s">
        <v>3479</v>
      </c>
      <c r="G176" t="s">
        <v>3475</v>
      </c>
      <c r="H176" t="s">
        <v>3588</v>
      </c>
      <c r="I176" t="s">
        <v>3588</v>
      </c>
      <c r="J176" t="s">
        <v>3584</v>
      </c>
      <c r="K176" s="4">
        <v>1000.4375</v>
      </c>
      <c r="L176" s="4">
        <v>605.64919999999995</v>
      </c>
    </row>
    <row r="177" spans="1:12">
      <c r="A177" s="1">
        <v>42559</v>
      </c>
      <c r="B177">
        <v>1</v>
      </c>
      <c r="C177" t="s">
        <v>3564</v>
      </c>
      <c r="D177" s="4">
        <v>605.64919999999995</v>
      </c>
      <c r="E177" s="4">
        <v>1000.4375</v>
      </c>
      <c r="F177" t="s">
        <v>3479</v>
      </c>
      <c r="G177" t="s">
        <v>3475</v>
      </c>
      <c r="H177" t="s">
        <v>3585</v>
      </c>
      <c r="I177" t="s">
        <v>3585</v>
      </c>
      <c r="J177" t="s">
        <v>3584</v>
      </c>
      <c r="K177" s="4">
        <v>1000.4375</v>
      </c>
      <c r="L177" s="4">
        <v>605.64919999999995</v>
      </c>
    </row>
    <row r="178" spans="1:12">
      <c r="A178" s="1">
        <v>42593</v>
      </c>
      <c r="B178">
        <v>1</v>
      </c>
      <c r="C178" t="s">
        <v>3568</v>
      </c>
      <c r="D178" s="4">
        <v>605.64919999999995</v>
      </c>
      <c r="E178" s="4">
        <v>1000.4375</v>
      </c>
      <c r="F178" t="s">
        <v>3479</v>
      </c>
      <c r="G178" t="s">
        <v>3475</v>
      </c>
      <c r="H178" t="s">
        <v>3580</v>
      </c>
      <c r="I178" t="s">
        <v>3578</v>
      </c>
      <c r="J178" t="s">
        <v>3579</v>
      </c>
      <c r="K178" s="4">
        <v>1000.4375</v>
      </c>
      <c r="L178" s="4">
        <v>605.64919999999995</v>
      </c>
    </row>
    <row r="179" spans="1:12">
      <c r="A179" s="1">
        <v>42554</v>
      </c>
      <c r="B179">
        <v>1</v>
      </c>
      <c r="C179" t="s">
        <v>6239</v>
      </c>
      <c r="D179" s="4">
        <v>1.8663000000000001</v>
      </c>
      <c r="E179" s="4">
        <v>4.99</v>
      </c>
      <c r="F179" t="s">
        <v>6240</v>
      </c>
      <c r="G179" t="s">
        <v>6228</v>
      </c>
      <c r="H179" t="s">
        <v>3586</v>
      </c>
      <c r="I179" t="s">
        <v>3586</v>
      </c>
      <c r="J179" t="s">
        <v>3587</v>
      </c>
      <c r="K179" s="4">
        <v>4.99</v>
      </c>
      <c r="L179" s="4">
        <v>1.8663000000000001</v>
      </c>
    </row>
    <row r="180" spans="1:12">
      <c r="A180" s="1">
        <v>42562</v>
      </c>
      <c r="B180">
        <v>1</v>
      </c>
      <c r="C180" t="s">
        <v>6239</v>
      </c>
      <c r="D180" s="4">
        <v>1.8663000000000001</v>
      </c>
      <c r="E180" s="4">
        <v>4.99</v>
      </c>
      <c r="F180" t="s">
        <v>6240</v>
      </c>
      <c r="G180" t="s">
        <v>6228</v>
      </c>
      <c r="H180" t="s">
        <v>3580</v>
      </c>
      <c r="I180" t="s">
        <v>3578</v>
      </c>
      <c r="J180" t="s">
        <v>3579</v>
      </c>
      <c r="K180" s="4">
        <v>4.99</v>
      </c>
      <c r="L180" s="4">
        <v>1.8663000000000001</v>
      </c>
    </row>
    <row r="181" spans="1:12">
      <c r="A181" s="1">
        <v>42573</v>
      </c>
      <c r="B181">
        <v>1</v>
      </c>
      <c r="C181" t="s">
        <v>6239</v>
      </c>
      <c r="D181" s="4">
        <v>1.8663000000000001</v>
      </c>
      <c r="E181" s="4">
        <v>4.99</v>
      </c>
      <c r="F181" t="s">
        <v>6240</v>
      </c>
      <c r="G181" t="s">
        <v>6228</v>
      </c>
      <c r="H181" t="s">
        <v>3577</v>
      </c>
      <c r="I181" t="s">
        <v>3578</v>
      </c>
      <c r="J181" t="s">
        <v>3579</v>
      </c>
      <c r="K181" s="4">
        <v>4.99</v>
      </c>
      <c r="L181" s="4">
        <v>1.8663000000000001</v>
      </c>
    </row>
    <row r="182" spans="1:12">
      <c r="A182" s="1">
        <v>42575</v>
      </c>
      <c r="B182">
        <v>1</v>
      </c>
      <c r="C182" t="s">
        <v>6239</v>
      </c>
      <c r="D182" s="4">
        <v>1.8663000000000001</v>
      </c>
      <c r="E182" s="4">
        <v>4.99</v>
      </c>
      <c r="F182" t="s">
        <v>6240</v>
      </c>
      <c r="G182" t="s">
        <v>6228</v>
      </c>
      <c r="H182" t="s">
        <v>3588</v>
      </c>
      <c r="I182" t="s">
        <v>3588</v>
      </c>
      <c r="J182" t="s">
        <v>3584</v>
      </c>
      <c r="K182" s="4">
        <v>4.99</v>
      </c>
      <c r="L182" s="4">
        <v>1.8663000000000001</v>
      </c>
    </row>
    <row r="183" spans="1:12">
      <c r="A183" s="1">
        <v>42584</v>
      </c>
      <c r="B183">
        <v>1</v>
      </c>
      <c r="C183" t="s">
        <v>6239</v>
      </c>
      <c r="D183" s="4">
        <v>1.8663000000000001</v>
      </c>
      <c r="E183" s="4">
        <v>4.99</v>
      </c>
      <c r="F183" t="s">
        <v>6240</v>
      </c>
      <c r="G183" t="s">
        <v>6228</v>
      </c>
      <c r="H183" t="s">
        <v>3580</v>
      </c>
      <c r="I183" t="s">
        <v>3578</v>
      </c>
      <c r="J183" t="s">
        <v>3579</v>
      </c>
      <c r="K183" s="4">
        <v>4.99</v>
      </c>
      <c r="L183" s="4">
        <v>1.8663000000000001</v>
      </c>
    </row>
    <row r="184" spans="1:12">
      <c r="A184" s="1">
        <v>42584</v>
      </c>
      <c r="B184">
        <v>1</v>
      </c>
      <c r="C184" t="s">
        <v>6239</v>
      </c>
      <c r="D184" s="4">
        <v>1.8663000000000001</v>
      </c>
      <c r="E184" s="4">
        <v>4.99</v>
      </c>
      <c r="F184" t="s">
        <v>6240</v>
      </c>
      <c r="G184" t="s">
        <v>6228</v>
      </c>
      <c r="H184" t="s">
        <v>3582</v>
      </c>
      <c r="I184" t="s">
        <v>3582</v>
      </c>
      <c r="J184" t="s">
        <v>3579</v>
      </c>
      <c r="K184" s="4">
        <v>4.99</v>
      </c>
      <c r="L184" s="4">
        <v>1.8663000000000001</v>
      </c>
    </row>
    <row r="185" spans="1:12">
      <c r="A185" s="1">
        <v>42592</v>
      </c>
      <c r="B185">
        <v>1</v>
      </c>
      <c r="C185" t="s">
        <v>6239</v>
      </c>
      <c r="D185" s="4">
        <v>1.8663000000000001</v>
      </c>
      <c r="E185" s="4">
        <v>4.99</v>
      </c>
      <c r="F185" t="s">
        <v>6240</v>
      </c>
      <c r="G185" t="s">
        <v>6228</v>
      </c>
      <c r="H185" t="s">
        <v>3583</v>
      </c>
      <c r="I185" t="s">
        <v>3583</v>
      </c>
      <c r="J185" t="s">
        <v>3584</v>
      </c>
      <c r="K185" s="4">
        <v>4.99</v>
      </c>
      <c r="L185" s="4">
        <v>1.8663000000000001</v>
      </c>
    </row>
    <row r="186" spans="1:12">
      <c r="A186" s="1">
        <v>42593</v>
      </c>
      <c r="B186">
        <v>1</v>
      </c>
      <c r="C186" t="s">
        <v>6239</v>
      </c>
      <c r="D186" s="4">
        <v>1.8663000000000001</v>
      </c>
      <c r="E186" s="4">
        <v>4.99</v>
      </c>
      <c r="F186" t="s">
        <v>6240</v>
      </c>
      <c r="G186" t="s">
        <v>6228</v>
      </c>
      <c r="H186" t="s">
        <v>3582</v>
      </c>
      <c r="I186" t="s">
        <v>3582</v>
      </c>
      <c r="J186" t="s">
        <v>3579</v>
      </c>
      <c r="K186" s="4">
        <v>4.99</v>
      </c>
      <c r="L186" s="4">
        <v>1.8663000000000001</v>
      </c>
    </row>
    <row r="187" spans="1:12">
      <c r="A187" s="1">
        <v>42594</v>
      </c>
      <c r="B187">
        <v>1</v>
      </c>
      <c r="C187" t="s">
        <v>6239</v>
      </c>
      <c r="D187" s="4">
        <v>1.8663000000000001</v>
      </c>
      <c r="E187" s="4">
        <v>4.99</v>
      </c>
      <c r="F187" t="s">
        <v>6240</v>
      </c>
      <c r="G187" t="s">
        <v>6228</v>
      </c>
      <c r="H187" t="s">
        <v>3585</v>
      </c>
      <c r="I187" t="s">
        <v>3585</v>
      </c>
      <c r="J187" t="s">
        <v>3584</v>
      </c>
      <c r="K187" s="4">
        <v>4.99</v>
      </c>
      <c r="L187" s="4">
        <v>1.8663000000000001</v>
      </c>
    </row>
    <row r="188" spans="1:12">
      <c r="A188" s="1">
        <v>42600</v>
      </c>
      <c r="B188">
        <v>1</v>
      </c>
      <c r="C188" t="s">
        <v>6239</v>
      </c>
      <c r="D188" s="4">
        <v>1.8663000000000001</v>
      </c>
      <c r="E188" s="4">
        <v>4.99</v>
      </c>
      <c r="F188" t="s">
        <v>6240</v>
      </c>
      <c r="G188" t="s">
        <v>6228</v>
      </c>
      <c r="H188" t="s">
        <v>3583</v>
      </c>
      <c r="I188" t="s">
        <v>3583</v>
      </c>
      <c r="J188" t="s">
        <v>3584</v>
      </c>
      <c r="K188" s="4">
        <v>4.99</v>
      </c>
      <c r="L188" s="4">
        <v>1.8663000000000001</v>
      </c>
    </row>
    <row r="189" spans="1:12">
      <c r="A189" s="1">
        <v>42601</v>
      </c>
      <c r="B189">
        <v>2</v>
      </c>
      <c r="C189" t="s">
        <v>6239</v>
      </c>
      <c r="D189" s="4">
        <v>1.8663000000000001</v>
      </c>
      <c r="E189" s="4">
        <v>4.99</v>
      </c>
      <c r="F189" t="s">
        <v>6240</v>
      </c>
      <c r="G189" t="s">
        <v>6228</v>
      </c>
      <c r="H189" t="s">
        <v>3580</v>
      </c>
      <c r="I189" t="s">
        <v>3578</v>
      </c>
      <c r="J189" t="s">
        <v>3579</v>
      </c>
      <c r="K189" s="4">
        <v>9.98</v>
      </c>
      <c r="L189" s="4">
        <v>3.7326000000000001</v>
      </c>
    </row>
    <row r="190" spans="1:12">
      <c r="A190" s="1">
        <v>42605</v>
      </c>
      <c r="B190">
        <v>1</v>
      </c>
      <c r="C190" t="s">
        <v>6239</v>
      </c>
      <c r="D190" s="4">
        <v>1.8663000000000001</v>
      </c>
      <c r="E190" s="4">
        <v>4.99</v>
      </c>
      <c r="F190" t="s">
        <v>6240</v>
      </c>
      <c r="G190" t="s">
        <v>6228</v>
      </c>
      <c r="H190" t="s">
        <v>3580</v>
      </c>
      <c r="I190" t="s">
        <v>3578</v>
      </c>
      <c r="J190" t="s">
        <v>3579</v>
      </c>
      <c r="K190" s="4">
        <v>4.99</v>
      </c>
      <c r="L190" s="4">
        <v>1.8663000000000001</v>
      </c>
    </row>
    <row r="191" spans="1:12">
      <c r="A191" s="1">
        <v>42609</v>
      </c>
      <c r="B191">
        <v>1</v>
      </c>
      <c r="C191" t="s">
        <v>6239</v>
      </c>
      <c r="D191" s="4">
        <v>1.8663000000000001</v>
      </c>
      <c r="E191" s="4">
        <v>4.99</v>
      </c>
      <c r="F191" t="s">
        <v>6240</v>
      </c>
      <c r="G191" t="s">
        <v>6228</v>
      </c>
      <c r="H191" t="s">
        <v>3582</v>
      </c>
      <c r="I191" t="s">
        <v>3582</v>
      </c>
      <c r="J191" t="s">
        <v>3579</v>
      </c>
      <c r="K191" s="4">
        <v>4.99</v>
      </c>
      <c r="L191" s="4">
        <v>1.8663000000000001</v>
      </c>
    </row>
    <row r="192" spans="1:12">
      <c r="A192" s="1">
        <v>42609</v>
      </c>
      <c r="B192">
        <v>1</v>
      </c>
      <c r="C192" t="s">
        <v>6239</v>
      </c>
      <c r="D192" s="4">
        <v>1.8663000000000001</v>
      </c>
      <c r="E192" s="4">
        <v>4.99</v>
      </c>
      <c r="F192" t="s">
        <v>6240</v>
      </c>
      <c r="G192" t="s">
        <v>6228</v>
      </c>
      <c r="H192" t="s">
        <v>3585</v>
      </c>
      <c r="I192" t="s">
        <v>3585</v>
      </c>
      <c r="J192" t="s">
        <v>3584</v>
      </c>
      <c r="K192" s="4">
        <v>4.99</v>
      </c>
      <c r="L192" s="4">
        <v>1.8663000000000001</v>
      </c>
    </row>
    <row r="193" spans="1:12">
      <c r="A193" s="1">
        <v>42610</v>
      </c>
      <c r="B193">
        <v>1</v>
      </c>
      <c r="C193" t="s">
        <v>6239</v>
      </c>
      <c r="D193" s="4">
        <v>1.8663000000000001</v>
      </c>
      <c r="E193" s="4">
        <v>4.99</v>
      </c>
      <c r="F193" t="s">
        <v>6240</v>
      </c>
      <c r="G193" t="s">
        <v>6228</v>
      </c>
      <c r="H193" t="s">
        <v>3582</v>
      </c>
      <c r="I193" t="s">
        <v>3582</v>
      </c>
      <c r="J193" t="s">
        <v>3579</v>
      </c>
      <c r="K193" s="4">
        <v>4.99</v>
      </c>
      <c r="L193" s="4">
        <v>1.8663000000000001</v>
      </c>
    </row>
    <row r="194" spans="1:12">
      <c r="A194" s="1">
        <v>42611</v>
      </c>
      <c r="B194">
        <v>1</v>
      </c>
      <c r="C194" t="s">
        <v>6239</v>
      </c>
      <c r="D194" s="4">
        <v>1.8663000000000001</v>
      </c>
      <c r="E194" s="4">
        <v>4.99</v>
      </c>
      <c r="F194" t="s">
        <v>6240</v>
      </c>
      <c r="G194" t="s">
        <v>6228</v>
      </c>
      <c r="H194" t="s">
        <v>3580</v>
      </c>
      <c r="I194" t="s">
        <v>3578</v>
      </c>
      <c r="J194" t="s">
        <v>3579</v>
      </c>
      <c r="K194" s="4">
        <v>4.99</v>
      </c>
      <c r="L194" s="4">
        <v>1.8663000000000001</v>
      </c>
    </row>
    <row r="195" spans="1:12">
      <c r="A195" s="1">
        <v>42611</v>
      </c>
      <c r="B195">
        <v>1</v>
      </c>
      <c r="C195" t="s">
        <v>6239</v>
      </c>
      <c r="D195" s="4">
        <v>1.8663000000000001</v>
      </c>
      <c r="E195" s="4">
        <v>4.99</v>
      </c>
      <c r="F195" t="s">
        <v>6240</v>
      </c>
      <c r="G195" t="s">
        <v>6228</v>
      </c>
      <c r="H195" t="s">
        <v>3583</v>
      </c>
      <c r="I195" t="s">
        <v>3583</v>
      </c>
      <c r="J195" t="s">
        <v>3584</v>
      </c>
      <c r="K195" s="4">
        <v>4.99</v>
      </c>
      <c r="L195" s="4">
        <v>1.8663000000000001</v>
      </c>
    </row>
    <row r="196" spans="1:12">
      <c r="A196" s="1">
        <v>42612</v>
      </c>
      <c r="B196">
        <v>1</v>
      </c>
      <c r="C196" t="s">
        <v>6239</v>
      </c>
      <c r="D196" s="4">
        <v>1.8663000000000001</v>
      </c>
      <c r="E196" s="4">
        <v>4.99</v>
      </c>
      <c r="F196" t="s">
        <v>6240</v>
      </c>
      <c r="G196" t="s">
        <v>6228</v>
      </c>
      <c r="H196" t="s">
        <v>3577</v>
      </c>
      <c r="I196" t="s">
        <v>3578</v>
      </c>
      <c r="J196" t="s">
        <v>3579</v>
      </c>
      <c r="K196" s="4">
        <v>4.99</v>
      </c>
      <c r="L196" s="4">
        <v>1.8663000000000001</v>
      </c>
    </row>
    <row r="197" spans="1:12">
      <c r="A197" s="1">
        <v>42554</v>
      </c>
      <c r="B197">
        <v>1</v>
      </c>
      <c r="C197" t="s">
        <v>6241</v>
      </c>
      <c r="D197" s="4">
        <v>3.3622999999999998</v>
      </c>
      <c r="E197" s="4">
        <v>8.99</v>
      </c>
      <c r="F197" t="s">
        <v>6240</v>
      </c>
      <c r="G197" t="s">
        <v>6228</v>
      </c>
      <c r="H197" t="s">
        <v>3586</v>
      </c>
      <c r="I197" t="s">
        <v>3586</v>
      </c>
      <c r="J197" t="s">
        <v>3587</v>
      </c>
      <c r="K197" s="4">
        <v>8.99</v>
      </c>
      <c r="L197" s="4">
        <v>3.3622999999999998</v>
      </c>
    </row>
    <row r="198" spans="1:12">
      <c r="A198" s="1">
        <v>42589</v>
      </c>
      <c r="B198">
        <v>1</v>
      </c>
      <c r="C198" t="s">
        <v>6241</v>
      </c>
      <c r="D198" s="4">
        <v>3.3622999999999998</v>
      </c>
      <c r="E198" s="4">
        <v>8.99</v>
      </c>
      <c r="F198" t="s">
        <v>6240</v>
      </c>
      <c r="G198" t="s">
        <v>6228</v>
      </c>
      <c r="H198" t="s">
        <v>3588</v>
      </c>
      <c r="I198" t="s">
        <v>3588</v>
      </c>
      <c r="J198" t="s">
        <v>3584</v>
      </c>
      <c r="K198" s="4">
        <v>8.99</v>
      </c>
      <c r="L198" s="4">
        <v>3.3622999999999998</v>
      </c>
    </row>
    <row r="199" spans="1:12">
      <c r="A199" s="1">
        <v>42612</v>
      </c>
      <c r="B199">
        <v>1</v>
      </c>
      <c r="C199" t="s">
        <v>6241</v>
      </c>
      <c r="D199" s="4">
        <v>3.3622999999999998</v>
      </c>
      <c r="E199" s="4">
        <v>8.99</v>
      </c>
      <c r="F199" t="s">
        <v>6240</v>
      </c>
      <c r="G199" t="s">
        <v>6228</v>
      </c>
      <c r="H199" t="s">
        <v>3586</v>
      </c>
      <c r="I199" t="s">
        <v>3586</v>
      </c>
      <c r="J199" t="s">
        <v>3587</v>
      </c>
      <c r="K199" s="4">
        <v>8.99</v>
      </c>
      <c r="L199" s="4">
        <v>3.3622999999999998</v>
      </c>
    </row>
    <row r="200" spans="1:12">
      <c r="A200" s="1">
        <v>42557</v>
      </c>
      <c r="B200">
        <v>1</v>
      </c>
      <c r="C200" t="s">
        <v>6242</v>
      </c>
      <c r="D200" s="4">
        <v>1.8663000000000001</v>
      </c>
      <c r="E200" s="4">
        <v>4.99</v>
      </c>
      <c r="F200" t="s">
        <v>6243</v>
      </c>
      <c r="G200" t="s">
        <v>6228</v>
      </c>
      <c r="H200" t="s">
        <v>3588</v>
      </c>
      <c r="I200" t="s">
        <v>3588</v>
      </c>
      <c r="J200" t="s">
        <v>3584</v>
      </c>
      <c r="K200" s="4">
        <v>4.99</v>
      </c>
      <c r="L200" s="4">
        <v>1.8663000000000001</v>
      </c>
    </row>
    <row r="201" spans="1:12">
      <c r="A201" s="1">
        <v>42577</v>
      </c>
      <c r="B201">
        <v>1</v>
      </c>
      <c r="C201" t="s">
        <v>6242</v>
      </c>
      <c r="D201" s="4">
        <v>1.8663000000000001</v>
      </c>
      <c r="E201" s="4">
        <v>4.99</v>
      </c>
      <c r="F201" t="s">
        <v>6243</v>
      </c>
      <c r="G201" t="s">
        <v>6228</v>
      </c>
      <c r="H201" t="s">
        <v>3586</v>
      </c>
      <c r="I201" t="s">
        <v>3586</v>
      </c>
      <c r="J201" t="s">
        <v>3587</v>
      </c>
      <c r="K201" s="4">
        <v>4.99</v>
      </c>
      <c r="L201" s="4">
        <v>1.8663000000000001</v>
      </c>
    </row>
    <row r="202" spans="1:12">
      <c r="A202" s="1">
        <v>42587</v>
      </c>
      <c r="B202">
        <v>1</v>
      </c>
      <c r="C202" t="s">
        <v>6242</v>
      </c>
      <c r="D202" s="4">
        <v>1.8663000000000001</v>
      </c>
      <c r="E202" s="4">
        <v>4.99</v>
      </c>
      <c r="F202" t="s">
        <v>6243</v>
      </c>
      <c r="G202" t="s">
        <v>6228</v>
      </c>
      <c r="H202" t="s">
        <v>3580</v>
      </c>
      <c r="I202" t="s">
        <v>3578</v>
      </c>
      <c r="J202" t="s">
        <v>3579</v>
      </c>
      <c r="K202" s="4">
        <v>4.99</v>
      </c>
      <c r="L202" s="4">
        <v>1.8663000000000001</v>
      </c>
    </row>
    <row r="203" spans="1:12">
      <c r="A203" s="1">
        <v>42593</v>
      </c>
      <c r="B203">
        <v>1</v>
      </c>
      <c r="C203" t="s">
        <v>6242</v>
      </c>
      <c r="D203" s="4">
        <v>1.8663000000000001</v>
      </c>
      <c r="E203" s="4">
        <v>4.99</v>
      </c>
      <c r="F203" t="s">
        <v>6243</v>
      </c>
      <c r="G203" t="s">
        <v>6228</v>
      </c>
      <c r="H203" t="s">
        <v>3586</v>
      </c>
      <c r="I203" t="s">
        <v>3586</v>
      </c>
      <c r="J203" t="s">
        <v>3587</v>
      </c>
      <c r="K203" s="4">
        <v>4.99</v>
      </c>
      <c r="L203" s="4">
        <v>1.8663000000000001</v>
      </c>
    </row>
    <row r="204" spans="1:12">
      <c r="A204" s="1">
        <v>42594</v>
      </c>
      <c r="B204">
        <v>1</v>
      </c>
      <c r="C204" t="s">
        <v>6242</v>
      </c>
      <c r="D204" s="4">
        <v>1.8663000000000001</v>
      </c>
      <c r="E204" s="4">
        <v>4.99</v>
      </c>
      <c r="F204" t="s">
        <v>6243</v>
      </c>
      <c r="G204" t="s">
        <v>6228</v>
      </c>
      <c r="H204" t="s">
        <v>3577</v>
      </c>
      <c r="I204" t="s">
        <v>3578</v>
      </c>
      <c r="J204" t="s">
        <v>3579</v>
      </c>
      <c r="K204" s="4">
        <v>4.99</v>
      </c>
      <c r="L204" s="4">
        <v>1.8663000000000001</v>
      </c>
    </row>
    <row r="205" spans="1:12">
      <c r="A205" s="1">
        <v>42597</v>
      </c>
      <c r="B205">
        <v>1</v>
      </c>
      <c r="C205" t="s">
        <v>6242</v>
      </c>
      <c r="D205" s="4">
        <v>1.8663000000000001</v>
      </c>
      <c r="E205" s="4">
        <v>4.99</v>
      </c>
      <c r="F205" t="s">
        <v>6243</v>
      </c>
      <c r="G205" t="s">
        <v>6228</v>
      </c>
      <c r="H205" t="s">
        <v>3577</v>
      </c>
      <c r="I205" t="s">
        <v>3578</v>
      </c>
      <c r="J205" t="s">
        <v>3579</v>
      </c>
      <c r="K205" s="4">
        <v>4.99</v>
      </c>
      <c r="L205" s="4">
        <v>1.8663000000000001</v>
      </c>
    </row>
    <row r="206" spans="1:12">
      <c r="A206" s="1">
        <v>42606</v>
      </c>
      <c r="B206">
        <v>1</v>
      </c>
      <c r="C206" t="s">
        <v>6242</v>
      </c>
      <c r="D206" s="4">
        <v>1.8663000000000001</v>
      </c>
      <c r="E206" s="4">
        <v>4.99</v>
      </c>
      <c r="F206" t="s">
        <v>6243</v>
      </c>
      <c r="G206" t="s">
        <v>6228</v>
      </c>
      <c r="H206" t="s">
        <v>3580</v>
      </c>
      <c r="I206" t="s">
        <v>3578</v>
      </c>
      <c r="J206" t="s">
        <v>3579</v>
      </c>
      <c r="K206" s="4">
        <v>4.99</v>
      </c>
      <c r="L206" s="4">
        <v>1.8663000000000001</v>
      </c>
    </row>
    <row r="207" spans="1:12">
      <c r="A207" s="1">
        <v>42612</v>
      </c>
      <c r="B207">
        <v>1</v>
      </c>
      <c r="C207" t="s">
        <v>6242</v>
      </c>
      <c r="D207" s="4">
        <v>1.8663000000000001</v>
      </c>
      <c r="E207" s="4">
        <v>4.99</v>
      </c>
      <c r="F207" t="s">
        <v>6243</v>
      </c>
      <c r="G207" t="s">
        <v>6228</v>
      </c>
      <c r="H207" t="s">
        <v>3582</v>
      </c>
      <c r="I207" t="s">
        <v>3582</v>
      </c>
      <c r="J207" t="s">
        <v>3579</v>
      </c>
      <c r="K207" s="4">
        <v>4.99</v>
      </c>
      <c r="L207" s="4">
        <v>1.8663000000000001</v>
      </c>
    </row>
    <row r="208" spans="1:12">
      <c r="A208" s="1">
        <v>42559</v>
      </c>
      <c r="B208">
        <v>1</v>
      </c>
      <c r="C208" t="s">
        <v>6244</v>
      </c>
      <c r="D208" s="4">
        <v>3.7363</v>
      </c>
      <c r="E208" s="4">
        <v>9.99</v>
      </c>
      <c r="F208" t="s">
        <v>6240</v>
      </c>
      <c r="G208" t="s">
        <v>6228</v>
      </c>
      <c r="H208" t="s">
        <v>3586</v>
      </c>
      <c r="I208" t="s">
        <v>3586</v>
      </c>
      <c r="J208" t="s">
        <v>3587</v>
      </c>
      <c r="K208" s="4">
        <v>9.99</v>
      </c>
      <c r="L208" s="4">
        <v>3.7363</v>
      </c>
    </row>
    <row r="209" spans="1:12">
      <c r="A209" s="1">
        <v>42563</v>
      </c>
      <c r="B209">
        <v>1</v>
      </c>
      <c r="C209" t="s">
        <v>6244</v>
      </c>
      <c r="D209" s="4">
        <v>3.7363</v>
      </c>
      <c r="E209" s="4">
        <v>9.99</v>
      </c>
      <c r="F209" t="s">
        <v>6240</v>
      </c>
      <c r="G209" t="s">
        <v>6228</v>
      </c>
      <c r="H209" t="s">
        <v>3580</v>
      </c>
      <c r="I209" t="s">
        <v>3578</v>
      </c>
      <c r="J209" t="s">
        <v>3579</v>
      </c>
      <c r="K209" s="4">
        <v>9.99</v>
      </c>
      <c r="L209" s="4">
        <v>3.7363</v>
      </c>
    </row>
    <row r="210" spans="1:12">
      <c r="A210" s="1">
        <v>42566</v>
      </c>
      <c r="B210">
        <v>1</v>
      </c>
      <c r="C210" t="s">
        <v>6244</v>
      </c>
      <c r="D210" s="4">
        <v>3.7363</v>
      </c>
      <c r="E210" s="4">
        <v>9.99</v>
      </c>
      <c r="F210" t="s">
        <v>6240</v>
      </c>
      <c r="G210" t="s">
        <v>6228</v>
      </c>
      <c r="H210" t="s">
        <v>3580</v>
      </c>
      <c r="I210" t="s">
        <v>3578</v>
      </c>
      <c r="J210" t="s">
        <v>3579</v>
      </c>
      <c r="K210" s="4">
        <v>9.99</v>
      </c>
      <c r="L210" s="4">
        <v>3.7363</v>
      </c>
    </row>
    <row r="211" spans="1:12">
      <c r="A211" s="1">
        <v>42586</v>
      </c>
      <c r="B211">
        <v>1</v>
      </c>
      <c r="C211" t="s">
        <v>6244</v>
      </c>
      <c r="D211" s="4">
        <v>3.7363</v>
      </c>
      <c r="E211" s="4">
        <v>9.99</v>
      </c>
      <c r="F211" t="s">
        <v>6240</v>
      </c>
      <c r="G211" t="s">
        <v>6228</v>
      </c>
      <c r="H211" t="s">
        <v>3577</v>
      </c>
      <c r="I211" t="s">
        <v>3578</v>
      </c>
      <c r="J211" t="s">
        <v>3579</v>
      </c>
      <c r="K211" s="4">
        <v>9.99</v>
      </c>
      <c r="L211" s="4">
        <v>3.7363</v>
      </c>
    </row>
    <row r="212" spans="1:12">
      <c r="A212" s="1">
        <v>42595</v>
      </c>
      <c r="B212">
        <v>1</v>
      </c>
      <c r="C212" t="s">
        <v>6244</v>
      </c>
      <c r="D212" s="4">
        <v>3.7363</v>
      </c>
      <c r="E212" s="4">
        <v>9.99</v>
      </c>
      <c r="F212" t="s">
        <v>6240</v>
      </c>
      <c r="G212" t="s">
        <v>6228</v>
      </c>
      <c r="H212" t="s">
        <v>3580</v>
      </c>
      <c r="I212" t="s">
        <v>3578</v>
      </c>
      <c r="J212" t="s">
        <v>3579</v>
      </c>
      <c r="K212" s="4">
        <v>9.99</v>
      </c>
      <c r="L212" s="4">
        <v>3.7363</v>
      </c>
    </row>
    <row r="213" spans="1:12">
      <c r="A213" s="1">
        <v>42597</v>
      </c>
      <c r="B213">
        <v>1</v>
      </c>
      <c r="C213" t="s">
        <v>6244</v>
      </c>
      <c r="D213" s="4">
        <v>3.7363</v>
      </c>
      <c r="E213" s="4">
        <v>9.99</v>
      </c>
      <c r="F213" t="s">
        <v>6240</v>
      </c>
      <c r="G213" t="s">
        <v>6228</v>
      </c>
      <c r="H213" t="s">
        <v>3582</v>
      </c>
      <c r="I213" t="s">
        <v>3582</v>
      </c>
      <c r="J213" t="s">
        <v>3579</v>
      </c>
      <c r="K213" s="4">
        <v>9.99</v>
      </c>
      <c r="L213" s="4">
        <v>3.7363</v>
      </c>
    </row>
    <row r="214" spans="1:12">
      <c r="A214" s="1">
        <v>42598</v>
      </c>
      <c r="B214">
        <v>1</v>
      </c>
      <c r="C214" t="s">
        <v>6244</v>
      </c>
      <c r="D214" s="4">
        <v>3.7363</v>
      </c>
      <c r="E214" s="4">
        <v>9.99</v>
      </c>
      <c r="F214" t="s">
        <v>6240</v>
      </c>
      <c r="G214" t="s">
        <v>6228</v>
      </c>
      <c r="H214" t="s">
        <v>3582</v>
      </c>
      <c r="I214" t="s">
        <v>3582</v>
      </c>
      <c r="J214" t="s">
        <v>3579</v>
      </c>
      <c r="K214" s="4">
        <v>9.99</v>
      </c>
      <c r="L214" s="4">
        <v>3.7363</v>
      </c>
    </row>
    <row r="215" spans="1:12">
      <c r="A215" s="1">
        <v>42600</v>
      </c>
      <c r="B215">
        <v>1</v>
      </c>
      <c r="C215" t="s">
        <v>6244</v>
      </c>
      <c r="D215" s="4">
        <v>3.7363</v>
      </c>
      <c r="E215" s="4">
        <v>9.99</v>
      </c>
      <c r="F215" t="s">
        <v>6240</v>
      </c>
      <c r="G215" t="s">
        <v>6228</v>
      </c>
      <c r="H215" t="s">
        <v>3583</v>
      </c>
      <c r="I215" t="s">
        <v>3583</v>
      </c>
      <c r="J215" t="s">
        <v>3584</v>
      </c>
      <c r="K215" s="4">
        <v>9.99</v>
      </c>
      <c r="L215" s="4">
        <v>3.7363</v>
      </c>
    </row>
    <row r="216" spans="1:12">
      <c r="A216" s="1">
        <v>42606</v>
      </c>
      <c r="B216">
        <v>1</v>
      </c>
      <c r="C216" t="s">
        <v>6244</v>
      </c>
      <c r="D216" s="4">
        <v>3.7363</v>
      </c>
      <c r="E216" s="4">
        <v>9.99</v>
      </c>
      <c r="F216" t="s">
        <v>6240</v>
      </c>
      <c r="G216" t="s">
        <v>6228</v>
      </c>
      <c r="H216" t="s">
        <v>3580</v>
      </c>
      <c r="I216" t="s">
        <v>3578</v>
      </c>
      <c r="J216" t="s">
        <v>3579</v>
      </c>
      <c r="K216" s="4">
        <v>9.99</v>
      </c>
      <c r="L216" s="4">
        <v>3.7363</v>
      </c>
    </row>
    <row r="217" spans="1:12">
      <c r="A217" s="1">
        <v>42606</v>
      </c>
      <c r="B217">
        <v>1</v>
      </c>
      <c r="C217" t="s">
        <v>6244</v>
      </c>
      <c r="D217" s="4">
        <v>3.7363</v>
      </c>
      <c r="E217" s="4">
        <v>9.99</v>
      </c>
      <c r="F217" t="s">
        <v>6240</v>
      </c>
      <c r="G217" t="s">
        <v>6228</v>
      </c>
      <c r="H217" t="s">
        <v>3582</v>
      </c>
      <c r="I217" t="s">
        <v>3582</v>
      </c>
      <c r="J217" t="s">
        <v>3579</v>
      </c>
      <c r="K217" s="4">
        <v>9.99</v>
      </c>
      <c r="L217" s="4">
        <v>3.7363</v>
      </c>
    </row>
    <row r="218" spans="1:12">
      <c r="A218" s="1">
        <v>42559</v>
      </c>
      <c r="B218">
        <v>1</v>
      </c>
      <c r="C218" t="s">
        <v>6245</v>
      </c>
      <c r="D218" s="4">
        <v>0.85650000000000004</v>
      </c>
      <c r="E218" s="4">
        <v>2.29</v>
      </c>
      <c r="F218" t="s">
        <v>6243</v>
      </c>
      <c r="G218" t="s">
        <v>6228</v>
      </c>
      <c r="H218" t="s">
        <v>3586</v>
      </c>
      <c r="I218" t="s">
        <v>3586</v>
      </c>
      <c r="J218" t="s">
        <v>3587</v>
      </c>
      <c r="K218" s="4">
        <v>2.29</v>
      </c>
      <c r="L218" s="4">
        <v>0.85650000000000004</v>
      </c>
    </row>
    <row r="219" spans="1:12">
      <c r="A219" s="1">
        <v>42559</v>
      </c>
      <c r="B219">
        <v>1</v>
      </c>
      <c r="C219" t="s">
        <v>6245</v>
      </c>
      <c r="D219" s="4">
        <v>0.85650000000000004</v>
      </c>
      <c r="E219" s="4">
        <v>2.29</v>
      </c>
      <c r="F219" t="s">
        <v>6243</v>
      </c>
      <c r="G219" t="s">
        <v>6228</v>
      </c>
      <c r="H219" t="s">
        <v>3588</v>
      </c>
      <c r="I219" t="s">
        <v>3588</v>
      </c>
      <c r="J219" t="s">
        <v>3584</v>
      </c>
      <c r="K219" s="4">
        <v>2.29</v>
      </c>
      <c r="L219" s="4">
        <v>0.85650000000000004</v>
      </c>
    </row>
    <row r="220" spans="1:12">
      <c r="A220" s="1">
        <v>42580</v>
      </c>
      <c r="B220">
        <v>1</v>
      </c>
      <c r="C220" t="s">
        <v>6245</v>
      </c>
      <c r="D220" s="4">
        <v>0.85650000000000004</v>
      </c>
      <c r="E220" s="4">
        <v>2.29</v>
      </c>
      <c r="F220" t="s">
        <v>6243</v>
      </c>
      <c r="G220" t="s">
        <v>6228</v>
      </c>
      <c r="H220" t="s">
        <v>3586</v>
      </c>
      <c r="I220" t="s">
        <v>3586</v>
      </c>
      <c r="J220" t="s">
        <v>3587</v>
      </c>
      <c r="K220" s="4">
        <v>2.29</v>
      </c>
      <c r="L220" s="4">
        <v>0.85650000000000004</v>
      </c>
    </row>
    <row r="221" spans="1:12">
      <c r="A221" s="1">
        <v>42580</v>
      </c>
      <c r="B221">
        <v>1</v>
      </c>
      <c r="C221" t="s">
        <v>6245</v>
      </c>
      <c r="D221" s="4">
        <v>0.85650000000000004</v>
      </c>
      <c r="E221" s="4">
        <v>2.29</v>
      </c>
      <c r="F221" t="s">
        <v>6243</v>
      </c>
      <c r="G221" t="s">
        <v>6228</v>
      </c>
      <c r="H221" t="s">
        <v>3588</v>
      </c>
      <c r="I221" t="s">
        <v>3588</v>
      </c>
      <c r="J221" t="s">
        <v>3584</v>
      </c>
      <c r="K221" s="4">
        <v>2.29</v>
      </c>
      <c r="L221" s="4">
        <v>0.85650000000000004</v>
      </c>
    </row>
    <row r="222" spans="1:12">
      <c r="A222" s="1">
        <v>42589</v>
      </c>
      <c r="B222">
        <v>1</v>
      </c>
      <c r="C222" t="s">
        <v>6245</v>
      </c>
      <c r="D222" s="4">
        <v>0.85650000000000004</v>
      </c>
      <c r="E222" s="4">
        <v>2.29</v>
      </c>
      <c r="F222" t="s">
        <v>6243</v>
      </c>
      <c r="G222" t="s">
        <v>6228</v>
      </c>
      <c r="H222" t="s">
        <v>3582</v>
      </c>
      <c r="I222" t="s">
        <v>3582</v>
      </c>
      <c r="J222" t="s">
        <v>3579</v>
      </c>
      <c r="K222" s="4">
        <v>2.29</v>
      </c>
      <c r="L222" s="4">
        <v>0.85650000000000004</v>
      </c>
    </row>
    <row r="223" spans="1:12">
      <c r="A223" s="1">
        <v>42589</v>
      </c>
      <c r="B223">
        <v>1</v>
      </c>
      <c r="C223" t="s">
        <v>6245</v>
      </c>
      <c r="D223" s="4">
        <v>0.85650000000000004</v>
      </c>
      <c r="E223" s="4">
        <v>2.29</v>
      </c>
      <c r="F223" t="s">
        <v>6243</v>
      </c>
      <c r="G223" t="s">
        <v>6228</v>
      </c>
      <c r="H223" t="s">
        <v>3586</v>
      </c>
      <c r="I223" t="s">
        <v>3586</v>
      </c>
      <c r="J223" t="s">
        <v>3587</v>
      </c>
      <c r="K223" s="4">
        <v>2.29</v>
      </c>
      <c r="L223" s="4">
        <v>0.85650000000000004</v>
      </c>
    </row>
    <row r="224" spans="1:12">
      <c r="A224" s="1">
        <v>42594</v>
      </c>
      <c r="B224">
        <v>1</v>
      </c>
      <c r="C224" t="s">
        <v>6245</v>
      </c>
      <c r="D224" s="4">
        <v>0.85650000000000004</v>
      </c>
      <c r="E224" s="4">
        <v>2.29</v>
      </c>
      <c r="F224" t="s">
        <v>6243</v>
      </c>
      <c r="G224" t="s">
        <v>6228</v>
      </c>
      <c r="H224" t="s">
        <v>3582</v>
      </c>
      <c r="I224" t="s">
        <v>3582</v>
      </c>
      <c r="J224" t="s">
        <v>3579</v>
      </c>
      <c r="K224" s="4">
        <v>2.29</v>
      </c>
      <c r="L224" s="4">
        <v>0.85650000000000004</v>
      </c>
    </row>
    <row r="225" spans="1:12">
      <c r="A225" s="1">
        <v>42606</v>
      </c>
      <c r="B225">
        <v>1</v>
      </c>
      <c r="C225" t="s">
        <v>6245</v>
      </c>
      <c r="D225" s="4">
        <v>0.85650000000000004</v>
      </c>
      <c r="E225" s="4">
        <v>2.29</v>
      </c>
      <c r="F225" t="s">
        <v>6243</v>
      </c>
      <c r="G225" t="s">
        <v>6228</v>
      </c>
      <c r="H225" t="s">
        <v>3580</v>
      </c>
      <c r="I225" t="s">
        <v>3578</v>
      </c>
      <c r="J225" t="s">
        <v>3579</v>
      </c>
      <c r="K225" s="4">
        <v>2.29</v>
      </c>
      <c r="L225" s="4">
        <v>0.85650000000000004</v>
      </c>
    </row>
    <row r="226" spans="1:12">
      <c r="A226" s="1">
        <v>42606</v>
      </c>
      <c r="B226">
        <v>1</v>
      </c>
      <c r="C226" t="s">
        <v>6245</v>
      </c>
      <c r="D226" s="4">
        <v>0.85650000000000004</v>
      </c>
      <c r="E226" s="4">
        <v>2.29</v>
      </c>
      <c r="F226" t="s">
        <v>6243</v>
      </c>
      <c r="G226" t="s">
        <v>6228</v>
      </c>
      <c r="H226" t="s">
        <v>3586</v>
      </c>
      <c r="I226" t="s">
        <v>3586</v>
      </c>
      <c r="J226" t="s">
        <v>3587</v>
      </c>
      <c r="K226" s="4">
        <v>2.29</v>
      </c>
      <c r="L226" s="4">
        <v>0.85650000000000004</v>
      </c>
    </row>
    <row r="227" spans="1:12">
      <c r="A227" s="1">
        <v>42606</v>
      </c>
      <c r="B227">
        <v>1</v>
      </c>
      <c r="C227" t="s">
        <v>6245</v>
      </c>
      <c r="D227" s="4">
        <v>0.85650000000000004</v>
      </c>
      <c r="E227" s="4">
        <v>2.29</v>
      </c>
      <c r="F227" t="s">
        <v>6243</v>
      </c>
      <c r="G227" t="s">
        <v>6228</v>
      </c>
      <c r="H227" t="s">
        <v>3588</v>
      </c>
      <c r="I227" t="s">
        <v>3588</v>
      </c>
      <c r="J227" t="s">
        <v>3584</v>
      </c>
      <c r="K227" s="4">
        <v>2.29</v>
      </c>
      <c r="L227" s="4">
        <v>0.85650000000000004</v>
      </c>
    </row>
    <row r="228" spans="1:12">
      <c r="A228" s="1">
        <v>42612</v>
      </c>
      <c r="B228">
        <v>2</v>
      </c>
      <c r="C228" t="s">
        <v>6245</v>
      </c>
      <c r="D228" s="4">
        <v>0.85650000000000004</v>
      </c>
      <c r="E228" s="4">
        <v>2.29</v>
      </c>
      <c r="F228" t="s">
        <v>6243</v>
      </c>
      <c r="G228" t="s">
        <v>6228</v>
      </c>
      <c r="H228" t="s">
        <v>3577</v>
      </c>
      <c r="I228" t="s">
        <v>3578</v>
      </c>
      <c r="J228" t="s">
        <v>3579</v>
      </c>
      <c r="K228" s="4">
        <v>4.58</v>
      </c>
      <c r="L228" s="4">
        <v>1.7130000000000001</v>
      </c>
    </row>
    <row r="229" spans="1:12">
      <c r="A229" s="1">
        <v>42613</v>
      </c>
      <c r="B229">
        <v>1</v>
      </c>
      <c r="C229" t="s">
        <v>6245</v>
      </c>
      <c r="D229" s="4">
        <v>0.85650000000000004</v>
      </c>
      <c r="E229" s="4">
        <v>2.29</v>
      </c>
      <c r="F229" t="s">
        <v>6243</v>
      </c>
      <c r="G229" t="s">
        <v>6228</v>
      </c>
      <c r="H229" t="s">
        <v>3577</v>
      </c>
      <c r="I229" t="s">
        <v>3578</v>
      </c>
      <c r="J229" t="s">
        <v>3579</v>
      </c>
      <c r="K229" s="4">
        <v>2.29</v>
      </c>
      <c r="L229" s="4">
        <v>0.85650000000000004</v>
      </c>
    </row>
    <row r="230" spans="1:12">
      <c r="A230" s="1">
        <v>42559</v>
      </c>
      <c r="B230">
        <v>1</v>
      </c>
      <c r="C230" t="s">
        <v>6246</v>
      </c>
      <c r="D230" s="4">
        <v>20.566299999999998</v>
      </c>
      <c r="E230" s="4">
        <v>54.99</v>
      </c>
      <c r="F230" t="s">
        <v>6247</v>
      </c>
      <c r="G230" t="s">
        <v>6228</v>
      </c>
      <c r="H230" t="s">
        <v>3586</v>
      </c>
      <c r="I230" t="s">
        <v>3586</v>
      </c>
      <c r="J230" t="s">
        <v>3587</v>
      </c>
      <c r="K230" s="4">
        <v>54.99</v>
      </c>
      <c r="L230" s="4">
        <v>20.566299999999998</v>
      </c>
    </row>
    <row r="231" spans="1:12">
      <c r="A231" s="1">
        <v>42577</v>
      </c>
      <c r="B231">
        <v>1</v>
      </c>
      <c r="C231" t="s">
        <v>6246</v>
      </c>
      <c r="D231" s="4">
        <v>20.566299999999998</v>
      </c>
      <c r="E231" s="4">
        <v>54.99</v>
      </c>
      <c r="F231" t="s">
        <v>6247</v>
      </c>
      <c r="G231" t="s">
        <v>6228</v>
      </c>
      <c r="H231" t="s">
        <v>3586</v>
      </c>
      <c r="I231" t="s">
        <v>3586</v>
      </c>
      <c r="J231" t="s">
        <v>3587</v>
      </c>
      <c r="K231" s="4">
        <v>54.99</v>
      </c>
      <c r="L231" s="4">
        <v>20.566299999999998</v>
      </c>
    </row>
    <row r="232" spans="1:12">
      <c r="A232" s="1">
        <v>42580</v>
      </c>
      <c r="B232">
        <v>1</v>
      </c>
      <c r="C232" t="s">
        <v>6246</v>
      </c>
      <c r="D232" s="4">
        <v>20.566299999999998</v>
      </c>
      <c r="E232" s="4">
        <v>54.99</v>
      </c>
      <c r="F232" t="s">
        <v>6247</v>
      </c>
      <c r="G232" t="s">
        <v>6228</v>
      </c>
      <c r="H232" t="s">
        <v>3586</v>
      </c>
      <c r="I232" t="s">
        <v>3586</v>
      </c>
      <c r="J232" t="s">
        <v>3587</v>
      </c>
      <c r="K232" s="4">
        <v>54.99</v>
      </c>
      <c r="L232" s="4">
        <v>20.566299999999998</v>
      </c>
    </row>
    <row r="233" spans="1:12">
      <c r="A233" s="1">
        <v>42583</v>
      </c>
      <c r="B233">
        <v>1</v>
      </c>
      <c r="C233" t="s">
        <v>6246</v>
      </c>
      <c r="D233" s="4">
        <v>20.566299999999998</v>
      </c>
      <c r="E233" s="4">
        <v>54.99</v>
      </c>
      <c r="F233" t="s">
        <v>6247</v>
      </c>
      <c r="G233" t="s">
        <v>6228</v>
      </c>
      <c r="H233" t="s">
        <v>3580</v>
      </c>
      <c r="I233" t="s">
        <v>3578</v>
      </c>
      <c r="J233" t="s">
        <v>3579</v>
      </c>
      <c r="K233" s="4">
        <v>54.99</v>
      </c>
      <c r="L233" s="4">
        <v>20.566299999999998</v>
      </c>
    </row>
    <row r="234" spans="1:12">
      <c r="A234" s="1">
        <v>42595</v>
      </c>
      <c r="B234">
        <v>1</v>
      </c>
      <c r="C234" t="s">
        <v>6246</v>
      </c>
      <c r="D234" s="4">
        <v>20.566299999999998</v>
      </c>
      <c r="E234" s="4">
        <v>54.99</v>
      </c>
      <c r="F234" t="s">
        <v>6247</v>
      </c>
      <c r="G234" t="s">
        <v>6228</v>
      </c>
      <c r="H234" t="s">
        <v>3580</v>
      </c>
      <c r="I234" t="s">
        <v>3578</v>
      </c>
      <c r="J234" t="s">
        <v>3579</v>
      </c>
      <c r="K234" s="4">
        <v>54.99</v>
      </c>
      <c r="L234" s="4">
        <v>20.566299999999998</v>
      </c>
    </row>
    <row r="235" spans="1:12">
      <c r="A235" s="1">
        <v>42607</v>
      </c>
      <c r="B235">
        <v>1</v>
      </c>
      <c r="C235" t="s">
        <v>6246</v>
      </c>
      <c r="D235" s="4">
        <v>20.566299999999998</v>
      </c>
      <c r="E235" s="4">
        <v>54.99</v>
      </c>
      <c r="F235" t="s">
        <v>6247</v>
      </c>
      <c r="G235" t="s">
        <v>6228</v>
      </c>
      <c r="H235" t="s">
        <v>3583</v>
      </c>
      <c r="I235" t="s">
        <v>3583</v>
      </c>
      <c r="J235" t="s">
        <v>3584</v>
      </c>
      <c r="K235" s="4">
        <v>54.99</v>
      </c>
      <c r="L235" s="4">
        <v>20.566299999999998</v>
      </c>
    </row>
    <row r="236" spans="1:12">
      <c r="A236" s="1">
        <v>42564</v>
      </c>
      <c r="B236">
        <v>1</v>
      </c>
      <c r="C236" t="s">
        <v>6248</v>
      </c>
      <c r="D236" s="4">
        <v>8.2204999999999995</v>
      </c>
      <c r="E236" s="4">
        <v>21.98</v>
      </c>
      <c r="F236" t="s">
        <v>6249</v>
      </c>
      <c r="G236" t="s">
        <v>6228</v>
      </c>
      <c r="H236" t="s">
        <v>3586</v>
      </c>
      <c r="I236" t="s">
        <v>3586</v>
      </c>
      <c r="J236" t="s">
        <v>3587</v>
      </c>
      <c r="K236" s="4">
        <v>21.98</v>
      </c>
      <c r="L236" s="4">
        <v>8.2204999999999995</v>
      </c>
    </row>
    <row r="237" spans="1:12">
      <c r="A237" s="1">
        <v>42579</v>
      </c>
      <c r="B237">
        <v>1</v>
      </c>
      <c r="C237" t="s">
        <v>6248</v>
      </c>
      <c r="D237" s="4">
        <v>8.2204999999999995</v>
      </c>
      <c r="E237" s="4">
        <v>21.98</v>
      </c>
      <c r="F237" t="s">
        <v>6249</v>
      </c>
      <c r="G237" t="s">
        <v>6228</v>
      </c>
      <c r="H237" t="s">
        <v>3585</v>
      </c>
      <c r="I237" t="s">
        <v>3585</v>
      </c>
      <c r="J237" t="s">
        <v>3584</v>
      </c>
      <c r="K237" s="4">
        <v>21.98</v>
      </c>
      <c r="L237" s="4">
        <v>8.2204999999999995</v>
      </c>
    </row>
    <row r="238" spans="1:12">
      <c r="A238" s="1">
        <v>42598</v>
      </c>
      <c r="B238">
        <v>1</v>
      </c>
      <c r="C238" t="s">
        <v>6248</v>
      </c>
      <c r="D238" s="4">
        <v>8.2204999999999995</v>
      </c>
      <c r="E238" s="4">
        <v>21.98</v>
      </c>
      <c r="F238" t="s">
        <v>6249</v>
      </c>
      <c r="G238" t="s">
        <v>6228</v>
      </c>
      <c r="H238" t="s">
        <v>3580</v>
      </c>
      <c r="I238" t="s">
        <v>3578</v>
      </c>
      <c r="J238" t="s">
        <v>3579</v>
      </c>
      <c r="K238" s="4">
        <v>21.98</v>
      </c>
      <c r="L238" s="4">
        <v>8.2204999999999995</v>
      </c>
    </row>
    <row r="239" spans="1:12">
      <c r="A239" s="1">
        <v>42580</v>
      </c>
      <c r="B239">
        <v>1</v>
      </c>
      <c r="C239" t="s">
        <v>6250</v>
      </c>
      <c r="D239" s="4">
        <v>9.7135999999999996</v>
      </c>
      <c r="E239" s="4">
        <v>23.548100000000002</v>
      </c>
      <c r="F239" t="s">
        <v>6251</v>
      </c>
      <c r="G239" t="s">
        <v>6233</v>
      </c>
      <c r="H239" t="s">
        <v>3585</v>
      </c>
      <c r="I239" t="s">
        <v>3585</v>
      </c>
      <c r="J239" t="s">
        <v>3584</v>
      </c>
      <c r="K239" s="4">
        <v>23.548100000000002</v>
      </c>
      <c r="L239" s="4">
        <v>9.7135999999999996</v>
      </c>
    </row>
    <row r="240" spans="1:12">
      <c r="A240" s="1">
        <v>42565</v>
      </c>
      <c r="B240">
        <v>1</v>
      </c>
      <c r="C240" t="s">
        <v>6252</v>
      </c>
      <c r="D240" s="4">
        <v>343.64960000000002</v>
      </c>
      <c r="E240" s="4">
        <v>539.99</v>
      </c>
      <c r="F240" t="s">
        <v>3479</v>
      </c>
      <c r="G240" t="s">
        <v>3475</v>
      </c>
      <c r="H240" t="s">
        <v>3580</v>
      </c>
      <c r="I240" t="s">
        <v>3578</v>
      </c>
      <c r="J240" t="s">
        <v>3579</v>
      </c>
      <c r="K240" s="4">
        <v>539.99</v>
      </c>
      <c r="L240" s="4">
        <v>343.64960000000002</v>
      </c>
    </row>
    <row r="241" spans="1:12">
      <c r="A241" s="1">
        <v>42594</v>
      </c>
      <c r="B241">
        <v>1</v>
      </c>
      <c r="C241" t="s">
        <v>6253</v>
      </c>
      <c r="D241" s="4">
        <v>9.7135999999999996</v>
      </c>
      <c r="E241" s="4">
        <v>23.548100000000002</v>
      </c>
      <c r="F241" t="s">
        <v>6251</v>
      </c>
      <c r="G241" t="s">
        <v>6233</v>
      </c>
      <c r="H241" t="s">
        <v>3588</v>
      </c>
      <c r="I241" t="s">
        <v>3588</v>
      </c>
      <c r="J241" t="s">
        <v>3584</v>
      </c>
      <c r="K241" s="4">
        <v>23.548100000000002</v>
      </c>
      <c r="L241" s="4">
        <v>9.7135999999999996</v>
      </c>
    </row>
    <row r="242" spans="1:12">
      <c r="A242" s="1">
        <v>42612</v>
      </c>
      <c r="B242">
        <v>1</v>
      </c>
      <c r="C242" t="s">
        <v>6253</v>
      </c>
      <c r="D242" s="4">
        <v>9.7135999999999996</v>
      </c>
      <c r="E242" s="4">
        <v>23.548100000000002</v>
      </c>
      <c r="F242" t="s">
        <v>6251</v>
      </c>
      <c r="G242" t="s">
        <v>6233</v>
      </c>
      <c r="H242" t="s">
        <v>3580</v>
      </c>
      <c r="I242" t="s">
        <v>3578</v>
      </c>
      <c r="J242" t="s">
        <v>3579</v>
      </c>
      <c r="K242" s="4">
        <v>23.548100000000002</v>
      </c>
      <c r="L242" s="4">
        <v>9.7135999999999996</v>
      </c>
    </row>
    <row r="243" spans="1:12">
      <c r="A243" s="1">
        <v>42566</v>
      </c>
      <c r="B243">
        <v>1</v>
      </c>
      <c r="C243" t="s">
        <v>6254</v>
      </c>
      <c r="D243" s="4">
        <v>12.192399999999999</v>
      </c>
      <c r="E243" s="4">
        <v>32.6</v>
      </c>
      <c r="F243" t="s">
        <v>6243</v>
      </c>
      <c r="G243" t="s">
        <v>6228</v>
      </c>
      <c r="H243" t="s">
        <v>3577</v>
      </c>
      <c r="I243" t="s">
        <v>3578</v>
      </c>
      <c r="J243" t="s">
        <v>3579</v>
      </c>
      <c r="K243" s="4">
        <v>32.6</v>
      </c>
      <c r="L243" s="4">
        <v>12.192399999999999</v>
      </c>
    </row>
    <row r="244" spans="1:12">
      <c r="A244" s="1">
        <v>42566</v>
      </c>
      <c r="B244">
        <v>1</v>
      </c>
      <c r="C244" t="s">
        <v>6254</v>
      </c>
      <c r="D244" s="4">
        <v>12.192399999999999</v>
      </c>
      <c r="E244" s="4">
        <v>32.6</v>
      </c>
      <c r="F244" t="s">
        <v>6243</v>
      </c>
      <c r="G244" t="s">
        <v>6228</v>
      </c>
      <c r="H244" t="s">
        <v>3583</v>
      </c>
      <c r="I244" t="s">
        <v>3583</v>
      </c>
      <c r="J244" t="s">
        <v>3584</v>
      </c>
      <c r="K244" s="4">
        <v>32.6</v>
      </c>
      <c r="L244" s="4">
        <v>12.192399999999999</v>
      </c>
    </row>
    <row r="245" spans="1:12">
      <c r="A245" s="1">
        <v>42582</v>
      </c>
      <c r="B245">
        <v>1</v>
      </c>
      <c r="C245" t="s">
        <v>6254</v>
      </c>
      <c r="D245" s="4">
        <v>12.192399999999999</v>
      </c>
      <c r="E245" s="4">
        <v>32.6</v>
      </c>
      <c r="F245" t="s">
        <v>6243</v>
      </c>
      <c r="G245" t="s">
        <v>6228</v>
      </c>
      <c r="H245" t="s">
        <v>3580</v>
      </c>
      <c r="I245" t="s">
        <v>3578</v>
      </c>
      <c r="J245" t="s">
        <v>3579</v>
      </c>
      <c r="K245" s="4">
        <v>32.6</v>
      </c>
      <c r="L245" s="4">
        <v>12.192399999999999</v>
      </c>
    </row>
    <row r="246" spans="1:12">
      <c r="A246" s="1">
        <v>42585</v>
      </c>
      <c r="B246">
        <v>1</v>
      </c>
      <c r="C246" t="s">
        <v>6254</v>
      </c>
      <c r="D246" s="4">
        <v>12.192399999999999</v>
      </c>
      <c r="E246" s="4">
        <v>32.6</v>
      </c>
      <c r="F246" t="s">
        <v>6243</v>
      </c>
      <c r="G246" t="s">
        <v>6228</v>
      </c>
      <c r="H246" t="s">
        <v>3582</v>
      </c>
      <c r="I246" t="s">
        <v>3582</v>
      </c>
      <c r="J246" t="s">
        <v>3579</v>
      </c>
      <c r="K246" s="4">
        <v>32.6</v>
      </c>
      <c r="L246" s="4">
        <v>12.192399999999999</v>
      </c>
    </row>
    <row r="247" spans="1:12">
      <c r="A247" s="1">
        <v>42591</v>
      </c>
      <c r="B247">
        <v>1</v>
      </c>
      <c r="C247" t="s">
        <v>6254</v>
      </c>
      <c r="D247" s="4">
        <v>12.192399999999999</v>
      </c>
      <c r="E247" s="4">
        <v>32.6</v>
      </c>
      <c r="F247" t="s">
        <v>6243</v>
      </c>
      <c r="G247" t="s">
        <v>6228</v>
      </c>
      <c r="H247" t="s">
        <v>3586</v>
      </c>
      <c r="I247" t="s">
        <v>3586</v>
      </c>
      <c r="J247" t="s">
        <v>3587</v>
      </c>
      <c r="K247" s="4">
        <v>32.6</v>
      </c>
      <c r="L247" s="4">
        <v>12.192399999999999</v>
      </c>
    </row>
    <row r="248" spans="1:12">
      <c r="A248" s="1">
        <v>42601</v>
      </c>
      <c r="B248">
        <v>1</v>
      </c>
      <c r="C248" t="s">
        <v>6254</v>
      </c>
      <c r="D248" s="4">
        <v>12.192399999999999</v>
      </c>
      <c r="E248" s="4">
        <v>32.6</v>
      </c>
      <c r="F248" t="s">
        <v>6243</v>
      </c>
      <c r="G248" t="s">
        <v>6228</v>
      </c>
      <c r="H248" t="s">
        <v>3583</v>
      </c>
      <c r="I248" t="s">
        <v>3583</v>
      </c>
      <c r="J248" t="s">
        <v>3584</v>
      </c>
      <c r="K248" s="4">
        <v>32.6</v>
      </c>
      <c r="L248" s="4">
        <v>12.192399999999999</v>
      </c>
    </row>
    <row r="249" spans="1:12">
      <c r="A249" s="1">
        <v>42607</v>
      </c>
      <c r="B249">
        <v>1</v>
      </c>
      <c r="C249" t="s">
        <v>6254</v>
      </c>
      <c r="D249" s="4">
        <v>12.192399999999999</v>
      </c>
      <c r="E249" s="4">
        <v>32.6</v>
      </c>
      <c r="F249" t="s">
        <v>6243</v>
      </c>
      <c r="G249" t="s">
        <v>6228</v>
      </c>
      <c r="H249" t="s">
        <v>3586</v>
      </c>
      <c r="I249" t="s">
        <v>3586</v>
      </c>
      <c r="J249" t="s">
        <v>3587</v>
      </c>
      <c r="K249" s="4">
        <v>32.6</v>
      </c>
      <c r="L249" s="4">
        <v>12.192399999999999</v>
      </c>
    </row>
    <row r="250" spans="1:12">
      <c r="A250" s="1">
        <v>42610</v>
      </c>
      <c r="B250">
        <v>1</v>
      </c>
      <c r="C250" t="s">
        <v>6254</v>
      </c>
      <c r="D250" s="4">
        <v>12.192399999999999</v>
      </c>
      <c r="E250" s="4">
        <v>32.6</v>
      </c>
      <c r="F250" t="s">
        <v>6243</v>
      </c>
      <c r="G250" t="s">
        <v>6228</v>
      </c>
      <c r="H250" t="s">
        <v>3577</v>
      </c>
      <c r="I250" t="s">
        <v>3578</v>
      </c>
      <c r="J250" t="s">
        <v>3579</v>
      </c>
      <c r="K250" s="4">
        <v>32.6</v>
      </c>
      <c r="L250" s="4">
        <v>12.192399999999999</v>
      </c>
    </row>
    <row r="251" spans="1:12">
      <c r="A251" s="1">
        <v>42608</v>
      </c>
      <c r="B251">
        <v>1</v>
      </c>
      <c r="C251" t="s">
        <v>6255</v>
      </c>
      <c r="D251" s="4">
        <v>9.7135999999999996</v>
      </c>
      <c r="E251" s="4">
        <v>23.548100000000002</v>
      </c>
      <c r="F251" t="s">
        <v>6251</v>
      </c>
      <c r="G251" t="s">
        <v>6233</v>
      </c>
      <c r="H251" t="s">
        <v>3586</v>
      </c>
      <c r="I251" t="s">
        <v>3586</v>
      </c>
      <c r="J251" t="s">
        <v>3587</v>
      </c>
      <c r="K251" s="4">
        <v>23.548100000000002</v>
      </c>
      <c r="L251" s="4">
        <v>9.7135999999999996</v>
      </c>
    </row>
    <row r="252" spans="1:12">
      <c r="A252" s="1">
        <v>42566</v>
      </c>
      <c r="B252">
        <v>1</v>
      </c>
      <c r="C252" t="s">
        <v>6256</v>
      </c>
      <c r="D252" s="4">
        <v>44.88</v>
      </c>
      <c r="E252" s="4">
        <v>120</v>
      </c>
      <c r="F252" t="s">
        <v>6257</v>
      </c>
      <c r="G252" t="s">
        <v>6228</v>
      </c>
      <c r="H252" t="s">
        <v>3583</v>
      </c>
      <c r="I252" t="s">
        <v>3583</v>
      </c>
      <c r="J252" t="s">
        <v>3584</v>
      </c>
      <c r="K252" s="4">
        <v>120</v>
      </c>
      <c r="L252" s="4">
        <v>44.88</v>
      </c>
    </row>
    <row r="253" spans="1:12">
      <c r="A253" s="1">
        <v>42566</v>
      </c>
      <c r="B253">
        <v>1</v>
      </c>
      <c r="C253" t="s">
        <v>6258</v>
      </c>
      <c r="D253" s="4">
        <v>2.9733000000000001</v>
      </c>
      <c r="E253" s="4">
        <v>7.95</v>
      </c>
      <c r="F253" t="s">
        <v>6259</v>
      </c>
      <c r="G253" t="s">
        <v>6228</v>
      </c>
      <c r="H253" t="s">
        <v>3588</v>
      </c>
      <c r="I253" t="s">
        <v>3588</v>
      </c>
      <c r="J253" t="s">
        <v>3584</v>
      </c>
      <c r="K253" s="4">
        <v>7.95</v>
      </c>
      <c r="L253" s="4">
        <v>2.9733000000000001</v>
      </c>
    </row>
    <row r="254" spans="1:12">
      <c r="A254" s="1">
        <v>42587</v>
      </c>
      <c r="B254">
        <v>1</v>
      </c>
      <c r="C254" t="s">
        <v>6258</v>
      </c>
      <c r="D254" s="4">
        <v>2.9733000000000001</v>
      </c>
      <c r="E254" s="4">
        <v>7.95</v>
      </c>
      <c r="F254" t="s">
        <v>6259</v>
      </c>
      <c r="G254" t="s">
        <v>6228</v>
      </c>
      <c r="H254" t="s">
        <v>3580</v>
      </c>
      <c r="I254" t="s">
        <v>3578</v>
      </c>
      <c r="J254" t="s">
        <v>3579</v>
      </c>
      <c r="K254" s="4">
        <v>7.95</v>
      </c>
      <c r="L254" s="4">
        <v>2.9733000000000001</v>
      </c>
    </row>
    <row r="255" spans="1:12">
      <c r="A255" s="1">
        <v>42570</v>
      </c>
      <c r="B255">
        <v>1</v>
      </c>
      <c r="C255" t="s">
        <v>6260</v>
      </c>
      <c r="D255" s="4">
        <v>13.09</v>
      </c>
      <c r="E255" s="4">
        <v>35</v>
      </c>
      <c r="F255" t="s">
        <v>6243</v>
      </c>
      <c r="G255" t="s">
        <v>6228</v>
      </c>
      <c r="H255" t="s">
        <v>3580</v>
      </c>
      <c r="I255" t="s">
        <v>3578</v>
      </c>
      <c r="J255" t="s">
        <v>3579</v>
      </c>
      <c r="K255" s="4">
        <v>35</v>
      </c>
      <c r="L255" s="4">
        <v>13.09</v>
      </c>
    </row>
    <row r="256" spans="1:12">
      <c r="A256" s="1">
        <v>42576</v>
      </c>
      <c r="B256">
        <v>1</v>
      </c>
      <c r="C256" t="s">
        <v>6260</v>
      </c>
      <c r="D256" s="4">
        <v>13.09</v>
      </c>
      <c r="E256" s="4">
        <v>35</v>
      </c>
      <c r="F256" t="s">
        <v>6243</v>
      </c>
      <c r="G256" t="s">
        <v>6228</v>
      </c>
      <c r="H256" t="s">
        <v>3586</v>
      </c>
      <c r="I256" t="s">
        <v>3586</v>
      </c>
      <c r="J256" t="s">
        <v>3587</v>
      </c>
      <c r="K256" s="4">
        <v>35</v>
      </c>
      <c r="L256" s="4">
        <v>13.09</v>
      </c>
    </row>
    <row r="257" spans="1:12">
      <c r="A257" s="1">
        <v>42585</v>
      </c>
      <c r="B257">
        <v>1</v>
      </c>
      <c r="C257" t="s">
        <v>6260</v>
      </c>
      <c r="D257" s="4">
        <v>13.09</v>
      </c>
      <c r="E257" s="4">
        <v>35</v>
      </c>
      <c r="F257" t="s">
        <v>6243</v>
      </c>
      <c r="G257" t="s">
        <v>6228</v>
      </c>
      <c r="H257" t="s">
        <v>3582</v>
      </c>
      <c r="I257" t="s">
        <v>3582</v>
      </c>
      <c r="J257" t="s">
        <v>3579</v>
      </c>
      <c r="K257" s="4">
        <v>35</v>
      </c>
      <c r="L257" s="4">
        <v>13.09</v>
      </c>
    </row>
    <row r="258" spans="1:12">
      <c r="A258" s="1">
        <v>42589</v>
      </c>
      <c r="B258">
        <v>1</v>
      </c>
      <c r="C258" t="s">
        <v>6260</v>
      </c>
      <c r="D258" s="4">
        <v>13.09</v>
      </c>
      <c r="E258" s="4">
        <v>35</v>
      </c>
      <c r="F258" t="s">
        <v>6243</v>
      </c>
      <c r="G258" t="s">
        <v>6228</v>
      </c>
      <c r="H258" t="s">
        <v>3588</v>
      </c>
      <c r="I258" t="s">
        <v>3588</v>
      </c>
      <c r="J258" t="s">
        <v>3584</v>
      </c>
      <c r="K258" s="4">
        <v>35</v>
      </c>
      <c r="L258" s="4">
        <v>13.09</v>
      </c>
    </row>
    <row r="259" spans="1:12">
      <c r="A259" s="1">
        <v>42608</v>
      </c>
      <c r="B259">
        <v>1</v>
      </c>
      <c r="C259" t="s">
        <v>6261</v>
      </c>
      <c r="D259" s="4">
        <v>26.176300000000001</v>
      </c>
      <c r="E259" s="4">
        <v>69.989999999999995</v>
      </c>
      <c r="F259" t="s">
        <v>6262</v>
      </c>
      <c r="G259" t="s">
        <v>6233</v>
      </c>
      <c r="H259" t="s">
        <v>3577</v>
      </c>
      <c r="I259" t="s">
        <v>3578</v>
      </c>
      <c r="J259" t="s">
        <v>3579</v>
      </c>
      <c r="K259" s="4">
        <v>69.989999999999995</v>
      </c>
      <c r="L259" s="4">
        <v>26.176300000000001</v>
      </c>
    </row>
    <row r="260" spans="1:12">
      <c r="A260" s="1">
        <v>42612</v>
      </c>
      <c r="B260">
        <v>1</v>
      </c>
      <c r="C260" t="s">
        <v>6263</v>
      </c>
      <c r="D260" s="4">
        <v>3.3622999999999998</v>
      </c>
      <c r="E260" s="4">
        <v>8.99</v>
      </c>
      <c r="F260" t="s">
        <v>6264</v>
      </c>
      <c r="G260" t="s">
        <v>6233</v>
      </c>
      <c r="H260" t="s">
        <v>3582</v>
      </c>
      <c r="I260" t="s">
        <v>3582</v>
      </c>
      <c r="J260" t="s">
        <v>3579</v>
      </c>
      <c r="K260" s="4">
        <v>8.99</v>
      </c>
      <c r="L260" s="4">
        <v>3.3622999999999998</v>
      </c>
    </row>
    <row r="261" spans="1:12">
      <c r="A261" s="1">
        <v>42583</v>
      </c>
      <c r="B261">
        <v>1</v>
      </c>
      <c r="C261" t="s">
        <v>6265</v>
      </c>
      <c r="D261" s="4">
        <v>59.466000000000001</v>
      </c>
      <c r="E261" s="4">
        <v>159</v>
      </c>
      <c r="F261" t="s">
        <v>6266</v>
      </c>
      <c r="G261" t="s">
        <v>6228</v>
      </c>
      <c r="H261" t="s">
        <v>3586</v>
      </c>
      <c r="I261" t="s">
        <v>3586</v>
      </c>
      <c r="J261" t="s">
        <v>3587</v>
      </c>
      <c r="K261" s="4">
        <v>159</v>
      </c>
      <c r="L261" s="4">
        <v>59.466000000000001</v>
      </c>
    </row>
    <row r="262" spans="1:12">
      <c r="A262" s="1">
        <v>42606</v>
      </c>
      <c r="B262">
        <v>1</v>
      </c>
      <c r="C262" t="s">
        <v>6265</v>
      </c>
      <c r="D262" s="4">
        <v>59.466000000000001</v>
      </c>
      <c r="E262" s="4">
        <v>159</v>
      </c>
      <c r="F262" t="s">
        <v>6266</v>
      </c>
      <c r="G262" t="s">
        <v>6228</v>
      </c>
      <c r="H262" t="s">
        <v>3577</v>
      </c>
      <c r="I262" t="s">
        <v>3578</v>
      </c>
      <c r="J262" t="s">
        <v>3579</v>
      </c>
      <c r="K262" s="4">
        <v>159</v>
      </c>
      <c r="L262" s="4">
        <v>59.466000000000001</v>
      </c>
    </row>
    <row r="263" spans="1:12">
      <c r="A263" s="1">
        <v>42606</v>
      </c>
      <c r="B263">
        <v>1</v>
      </c>
      <c r="C263" t="s">
        <v>6265</v>
      </c>
      <c r="D263" s="4">
        <v>59.466000000000001</v>
      </c>
      <c r="E263" s="4">
        <v>159</v>
      </c>
      <c r="F263" t="s">
        <v>6266</v>
      </c>
      <c r="G263" t="s">
        <v>6228</v>
      </c>
      <c r="H263" t="s">
        <v>3580</v>
      </c>
      <c r="I263" t="s">
        <v>3578</v>
      </c>
      <c r="J263" t="s">
        <v>3579</v>
      </c>
      <c r="K263" s="4">
        <v>159</v>
      </c>
      <c r="L263" s="4">
        <v>59.466000000000001</v>
      </c>
    </row>
    <row r="264" spans="1:12">
      <c r="A264" s="1">
        <v>42581</v>
      </c>
      <c r="B264">
        <v>1</v>
      </c>
      <c r="C264" t="s">
        <v>6267</v>
      </c>
      <c r="D264" s="4">
        <v>343.64960000000002</v>
      </c>
      <c r="E264" s="4">
        <v>539.99</v>
      </c>
      <c r="F264" t="s">
        <v>3479</v>
      </c>
      <c r="G264" t="s">
        <v>3475</v>
      </c>
      <c r="H264" t="s">
        <v>3585</v>
      </c>
      <c r="I264" t="s">
        <v>3585</v>
      </c>
      <c r="J264" t="s">
        <v>3584</v>
      </c>
      <c r="K264" s="4">
        <v>539.99</v>
      </c>
      <c r="L264" s="4">
        <v>343.64960000000002</v>
      </c>
    </row>
    <row r="265" spans="1:12">
      <c r="A265" s="1">
        <v>42582</v>
      </c>
      <c r="B265">
        <v>1</v>
      </c>
      <c r="C265" t="s">
        <v>6268</v>
      </c>
      <c r="D265" s="4">
        <v>41.572299999999998</v>
      </c>
      <c r="E265" s="4">
        <v>53.99</v>
      </c>
      <c r="F265" t="s">
        <v>6235</v>
      </c>
      <c r="G265" t="s">
        <v>6233</v>
      </c>
      <c r="H265" t="s">
        <v>3586</v>
      </c>
      <c r="I265" t="s">
        <v>3586</v>
      </c>
      <c r="J265" t="s">
        <v>3587</v>
      </c>
      <c r="K265" s="4">
        <v>53.99</v>
      </c>
      <c r="L265" s="4">
        <v>41.572299999999998</v>
      </c>
    </row>
    <row r="266" spans="1:12">
      <c r="A266" s="1">
        <v>42611</v>
      </c>
      <c r="B266">
        <v>1</v>
      </c>
      <c r="C266" t="s">
        <v>6268</v>
      </c>
      <c r="D266" s="4">
        <v>41.572299999999998</v>
      </c>
      <c r="E266" s="4">
        <v>53.99</v>
      </c>
      <c r="F266" t="s">
        <v>6235</v>
      </c>
      <c r="G266" t="s">
        <v>6233</v>
      </c>
      <c r="H266" t="s">
        <v>3580</v>
      </c>
      <c r="I266" t="s">
        <v>3578</v>
      </c>
      <c r="J266" t="s">
        <v>3579</v>
      </c>
      <c r="K266" s="4">
        <v>53.99</v>
      </c>
      <c r="L266" s="4">
        <v>41.572299999999998</v>
      </c>
    </row>
    <row r="267" spans="1:12">
      <c r="A267" s="1">
        <v>42584</v>
      </c>
      <c r="B267">
        <v>1</v>
      </c>
      <c r="C267" t="s">
        <v>6269</v>
      </c>
      <c r="D267" s="4">
        <v>9.3462999999999994</v>
      </c>
      <c r="E267" s="4">
        <v>24.99</v>
      </c>
      <c r="F267" t="s">
        <v>6243</v>
      </c>
      <c r="G267" t="s">
        <v>6228</v>
      </c>
      <c r="H267" t="s">
        <v>3586</v>
      </c>
      <c r="I267" t="s">
        <v>3586</v>
      </c>
      <c r="J267" t="s">
        <v>3587</v>
      </c>
      <c r="K267" s="4">
        <v>24.99</v>
      </c>
      <c r="L267" s="4">
        <v>9.3462999999999994</v>
      </c>
    </row>
    <row r="268" spans="1:12">
      <c r="A268" s="1">
        <v>42599</v>
      </c>
      <c r="B268">
        <v>1</v>
      </c>
      <c r="C268" t="s">
        <v>6269</v>
      </c>
      <c r="D268" s="4">
        <v>9.3462999999999994</v>
      </c>
      <c r="E268" s="4">
        <v>24.99</v>
      </c>
      <c r="F268" t="s">
        <v>6243</v>
      </c>
      <c r="G268" t="s">
        <v>6228</v>
      </c>
      <c r="H268" t="s">
        <v>3583</v>
      </c>
      <c r="I268" t="s">
        <v>3583</v>
      </c>
      <c r="J268" t="s">
        <v>3584</v>
      </c>
      <c r="K268" s="4">
        <v>24.99</v>
      </c>
      <c r="L268" s="4">
        <v>9.3462999999999994</v>
      </c>
    </row>
    <row r="269" spans="1:12">
      <c r="A269" s="1">
        <v>42612</v>
      </c>
      <c r="B269">
        <v>1</v>
      </c>
      <c r="C269" t="s">
        <v>6269</v>
      </c>
      <c r="D269" s="4">
        <v>9.3462999999999994</v>
      </c>
      <c r="E269" s="4">
        <v>24.99</v>
      </c>
      <c r="F269" t="s">
        <v>6243</v>
      </c>
      <c r="G269" t="s">
        <v>6228</v>
      </c>
      <c r="H269" t="s">
        <v>3583</v>
      </c>
      <c r="I269" t="s">
        <v>3583</v>
      </c>
      <c r="J269" t="s">
        <v>3584</v>
      </c>
      <c r="K269" s="4">
        <v>24.99</v>
      </c>
      <c r="L269" s="4">
        <v>9.3462999999999994</v>
      </c>
    </row>
    <row r="270" spans="1:12">
      <c r="A270" s="1">
        <v>42588</v>
      </c>
      <c r="B270">
        <v>1</v>
      </c>
      <c r="C270" t="s">
        <v>6270</v>
      </c>
      <c r="D270" s="4">
        <v>1.4923</v>
      </c>
      <c r="E270" s="4">
        <v>3.99</v>
      </c>
      <c r="F270" t="s">
        <v>6243</v>
      </c>
      <c r="G270" t="s">
        <v>6228</v>
      </c>
      <c r="H270" t="s">
        <v>3585</v>
      </c>
      <c r="I270" t="s">
        <v>3585</v>
      </c>
      <c r="J270" t="s">
        <v>3584</v>
      </c>
      <c r="K270" s="4">
        <v>3.99</v>
      </c>
      <c r="L270" s="4">
        <v>1.4923</v>
      </c>
    </row>
    <row r="271" spans="1:12">
      <c r="A271" s="1">
        <v>42594</v>
      </c>
      <c r="B271">
        <v>1</v>
      </c>
      <c r="C271" t="s">
        <v>6270</v>
      </c>
      <c r="D271" s="4">
        <v>1.4923</v>
      </c>
      <c r="E271" s="4">
        <v>3.99</v>
      </c>
      <c r="F271" t="s">
        <v>6243</v>
      </c>
      <c r="G271" t="s">
        <v>6228</v>
      </c>
      <c r="H271" t="s">
        <v>3580</v>
      </c>
      <c r="I271" t="s">
        <v>3578</v>
      </c>
      <c r="J271" t="s">
        <v>3579</v>
      </c>
      <c r="K271" s="4">
        <v>3.99</v>
      </c>
      <c r="L271" s="4">
        <v>1.4923</v>
      </c>
    </row>
    <row r="272" spans="1:12">
      <c r="A272" s="1">
        <v>42595</v>
      </c>
      <c r="B272">
        <v>1</v>
      </c>
      <c r="C272" t="s">
        <v>6270</v>
      </c>
      <c r="D272" s="4">
        <v>1.4923</v>
      </c>
      <c r="E272" s="4">
        <v>3.99</v>
      </c>
      <c r="F272" t="s">
        <v>6243</v>
      </c>
      <c r="G272" t="s">
        <v>6228</v>
      </c>
      <c r="H272" t="s">
        <v>3582</v>
      </c>
      <c r="I272" t="s">
        <v>3582</v>
      </c>
      <c r="J272" t="s">
        <v>3579</v>
      </c>
      <c r="K272" s="4">
        <v>3.99</v>
      </c>
      <c r="L272" s="4">
        <v>1.4923</v>
      </c>
    </row>
    <row r="273" spans="1:12">
      <c r="A273" s="1">
        <v>42597</v>
      </c>
      <c r="B273">
        <v>1</v>
      </c>
      <c r="C273" t="s">
        <v>6270</v>
      </c>
      <c r="D273" s="4">
        <v>1.4923</v>
      </c>
      <c r="E273" s="4">
        <v>3.99</v>
      </c>
      <c r="F273" t="s">
        <v>6243</v>
      </c>
      <c r="G273" t="s">
        <v>6228</v>
      </c>
      <c r="H273" t="s">
        <v>3577</v>
      </c>
      <c r="I273" t="s">
        <v>3578</v>
      </c>
      <c r="J273" t="s">
        <v>3579</v>
      </c>
      <c r="K273" s="4">
        <v>3.99</v>
      </c>
      <c r="L273" s="4">
        <v>1.4923</v>
      </c>
    </row>
    <row r="274" spans="1:12">
      <c r="A274" s="1">
        <v>42599</v>
      </c>
      <c r="B274">
        <v>1</v>
      </c>
      <c r="C274" t="s">
        <v>6270</v>
      </c>
      <c r="D274" s="4">
        <v>1.4923</v>
      </c>
      <c r="E274" s="4">
        <v>3.99</v>
      </c>
      <c r="F274" t="s">
        <v>6243</v>
      </c>
      <c r="G274" t="s">
        <v>6228</v>
      </c>
      <c r="H274" t="s">
        <v>3586</v>
      </c>
      <c r="I274" t="s">
        <v>3586</v>
      </c>
      <c r="J274" t="s">
        <v>3587</v>
      </c>
      <c r="K274" s="4">
        <v>3.99</v>
      </c>
      <c r="L274" s="4">
        <v>1.4923</v>
      </c>
    </row>
    <row r="275" spans="1:12">
      <c r="A275" s="1">
        <v>42602</v>
      </c>
      <c r="B275">
        <v>1</v>
      </c>
      <c r="C275" t="s">
        <v>6270</v>
      </c>
      <c r="D275" s="4">
        <v>1.4923</v>
      </c>
      <c r="E275" s="4">
        <v>3.99</v>
      </c>
      <c r="F275" t="s">
        <v>6243</v>
      </c>
      <c r="G275" t="s">
        <v>6228</v>
      </c>
      <c r="H275" t="s">
        <v>3580</v>
      </c>
      <c r="I275" t="s">
        <v>3578</v>
      </c>
      <c r="J275" t="s">
        <v>3579</v>
      </c>
      <c r="K275" s="4">
        <v>3.99</v>
      </c>
      <c r="L275" s="4">
        <v>1.4923</v>
      </c>
    </row>
    <row r="276" spans="1:12">
      <c r="A276" s="1">
        <v>42602</v>
      </c>
      <c r="B276">
        <v>1</v>
      </c>
      <c r="C276" t="s">
        <v>6270</v>
      </c>
      <c r="D276" s="4">
        <v>1.4923</v>
      </c>
      <c r="E276" s="4">
        <v>3.99</v>
      </c>
      <c r="F276" t="s">
        <v>6243</v>
      </c>
      <c r="G276" t="s">
        <v>6228</v>
      </c>
      <c r="H276" t="s">
        <v>3586</v>
      </c>
      <c r="I276" t="s">
        <v>3586</v>
      </c>
      <c r="J276" t="s">
        <v>3587</v>
      </c>
      <c r="K276" s="4">
        <v>3.99</v>
      </c>
      <c r="L276" s="4">
        <v>1.4923</v>
      </c>
    </row>
    <row r="277" spans="1:12">
      <c r="A277" s="1">
        <v>42607</v>
      </c>
      <c r="B277">
        <v>1</v>
      </c>
      <c r="C277" t="s">
        <v>6270</v>
      </c>
      <c r="D277" s="4">
        <v>1.4923</v>
      </c>
      <c r="E277" s="4">
        <v>3.99</v>
      </c>
      <c r="F277" t="s">
        <v>6243</v>
      </c>
      <c r="G277" t="s">
        <v>6228</v>
      </c>
      <c r="H277" t="s">
        <v>3583</v>
      </c>
      <c r="I277" t="s">
        <v>3583</v>
      </c>
      <c r="J277" t="s">
        <v>3584</v>
      </c>
      <c r="K277" s="4">
        <v>3.99</v>
      </c>
      <c r="L277" s="4">
        <v>1.4923</v>
      </c>
    </row>
    <row r="278" spans="1:12">
      <c r="A278" s="1">
        <v>42611</v>
      </c>
      <c r="B278">
        <v>1</v>
      </c>
      <c r="C278" t="s">
        <v>6270</v>
      </c>
      <c r="D278" s="4">
        <v>1.4923</v>
      </c>
      <c r="E278" s="4">
        <v>3.99</v>
      </c>
      <c r="F278" t="s">
        <v>6243</v>
      </c>
      <c r="G278" t="s">
        <v>6228</v>
      </c>
      <c r="H278" t="s">
        <v>3583</v>
      </c>
      <c r="I278" t="s">
        <v>3583</v>
      </c>
      <c r="J278" t="s">
        <v>3584</v>
      </c>
      <c r="K278" s="4">
        <v>3.99</v>
      </c>
      <c r="L278" s="4">
        <v>1.4923</v>
      </c>
    </row>
    <row r="279" spans="1:12">
      <c r="A279" s="1">
        <v>42612</v>
      </c>
      <c r="B279">
        <v>1</v>
      </c>
      <c r="C279" t="s">
        <v>6270</v>
      </c>
      <c r="D279" s="4">
        <v>1.4923</v>
      </c>
      <c r="E279" s="4">
        <v>3.99</v>
      </c>
      <c r="F279" t="s">
        <v>6243</v>
      </c>
      <c r="G279" t="s">
        <v>6228</v>
      </c>
      <c r="H279" t="s">
        <v>3586</v>
      </c>
      <c r="I279" t="s">
        <v>3586</v>
      </c>
      <c r="J279" t="s">
        <v>3587</v>
      </c>
      <c r="K279" s="4">
        <v>3.99</v>
      </c>
      <c r="L279" s="4">
        <v>1.4923</v>
      </c>
    </row>
    <row r="280" spans="1:12">
      <c r="A280" s="1">
        <v>42590</v>
      </c>
      <c r="B280">
        <v>1</v>
      </c>
      <c r="C280" t="s">
        <v>6271</v>
      </c>
      <c r="D280" s="4">
        <v>11.2163</v>
      </c>
      <c r="E280" s="4">
        <v>29.99</v>
      </c>
      <c r="F280" t="s">
        <v>6243</v>
      </c>
      <c r="G280" t="s">
        <v>6228</v>
      </c>
      <c r="H280" t="s">
        <v>3577</v>
      </c>
      <c r="I280" t="s">
        <v>3578</v>
      </c>
      <c r="J280" t="s">
        <v>3579</v>
      </c>
      <c r="K280" s="4">
        <v>29.99</v>
      </c>
      <c r="L280" s="4">
        <v>11.2163</v>
      </c>
    </row>
    <row r="281" spans="1:12">
      <c r="A281" s="1">
        <v>42597</v>
      </c>
      <c r="B281">
        <v>1</v>
      </c>
      <c r="C281" t="s">
        <v>6271</v>
      </c>
      <c r="D281" s="4">
        <v>11.2163</v>
      </c>
      <c r="E281" s="4">
        <v>29.99</v>
      </c>
      <c r="F281" t="s">
        <v>6243</v>
      </c>
      <c r="G281" t="s">
        <v>6228</v>
      </c>
      <c r="H281" t="s">
        <v>3577</v>
      </c>
      <c r="I281" t="s">
        <v>3578</v>
      </c>
      <c r="J281" t="s">
        <v>3579</v>
      </c>
      <c r="K281" s="4">
        <v>29.99</v>
      </c>
      <c r="L281" s="4">
        <v>11.2163</v>
      </c>
    </row>
    <row r="282" spans="1:12">
      <c r="A282" s="1">
        <v>42591</v>
      </c>
      <c r="B282">
        <v>1</v>
      </c>
      <c r="C282" t="s">
        <v>6272</v>
      </c>
      <c r="D282" s="4">
        <v>9.3462999999999994</v>
      </c>
      <c r="E282" s="4">
        <v>24.99</v>
      </c>
      <c r="F282" t="s">
        <v>6243</v>
      </c>
      <c r="G282" t="s">
        <v>6228</v>
      </c>
      <c r="H282" t="s">
        <v>3586</v>
      </c>
      <c r="I282" t="s">
        <v>3586</v>
      </c>
      <c r="J282" t="s">
        <v>3587</v>
      </c>
      <c r="K282" s="4">
        <v>24.99</v>
      </c>
      <c r="L282" s="4">
        <v>9.3462999999999994</v>
      </c>
    </row>
    <row r="283" spans="1:12">
      <c r="A283" s="1">
        <v>42594</v>
      </c>
      <c r="B283">
        <v>1</v>
      </c>
      <c r="C283" t="s">
        <v>6272</v>
      </c>
      <c r="D283" s="4">
        <v>9.3462999999999994</v>
      </c>
      <c r="E283" s="4">
        <v>24.99</v>
      </c>
      <c r="F283" t="s">
        <v>6243</v>
      </c>
      <c r="G283" t="s">
        <v>6228</v>
      </c>
      <c r="H283" t="s">
        <v>3580</v>
      </c>
      <c r="I283" t="s">
        <v>3578</v>
      </c>
      <c r="J283" t="s">
        <v>3579</v>
      </c>
      <c r="K283" s="4">
        <v>24.99</v>
      </c>
      <c r="L283" s="4">
        <v>9.3462999999999994</v>
      </c>
    </row>
    <row r="284" spans="1:12">
      <c r="A284" s="1">
        <v>42606</v>
      </c>
      <c r="B284">
        <v>1</v>
      </c>
      <c r="C284" t="s">
        <v>6272</v>
      </c>
      <c r="D284" s="4">
        <v>9.3462999999999994</v>
      </c>
      <c r="E284" s="4">
        <v>24.99</v>
      </c>
      <c r="F284" t="s">
        <v>6243</v>
      </c>
      <c r="G284" t="s">
        <v>6228</v>
      </c>
      <c r="H284" t="s">
        <v>3577</v>
      </c>
      <c r="I284" t="s">
        <v>3578</v>
      </c>
      <c r="J284" t="s">
        <v>3579</v>
      </c>
      <c r="K284" s="4">
        <v>24.99</v>
      </c>
      <c r="L284" s="4">
        <v>9.3462999999999994</v>
      </c>
    </row>
    <row r="285" spans="1:12">
      <c r="A285" s="1">
        <v>42594</v>
      </c>
      <c r="B285">
        <v>1</v>
      </c>
      <c r="C285" t="s">
        <v>6273</v>
      </c>
      <c r="D285" s="4">
        <v>461.44479999999999</v>
      </c>
      <c r="E285" s="4">
        <v>742.35</v>
      </c>
      <c r="F285" t="s">
        <v>6274</v>
      </c>
      <c r="G285" t="s">
        <v>3475</v>
      </c>
      <c r="H285" t="s">
        <v>3588</v>
      </c>
      <c r="I285" t="s">
        <v>3588</v>
      </c>
      <c r="J285" t="s">
        <v>3584</v>
      </c>
      <c r="K285" s="4">
        <v>742.35</v>
      </c>
      <c r="L285" s="4">
        <v>461.44479999999999</v>
      </c>
    </row>
    <row r="286" spans="1:12">
      <c r="A286" s="1">
        <v>42607</v>
      </c>
      <c r="B286">
        <v>1</v>
      </c>
      <c r="C286" t="s">
        <v>6273</v>
      </c>
      <c r="D286" s="4">
        <v>461.44479999999999</v>
      </c>
      <c r="E286" s="4">
        <v>742.35</v>
      </c>
      <c r="F286" t="s">
        <v>6274</v>
      </c>
      <c r="G286" t="s">
        <v>3475</v>
      </c>
      <c r="H286" t="s">
        <v>3580</v>
      </c>
      <c r="I286" t="s">
        <v>3578</v>
      </c>
      <c r="J286" t="s">
        <v>3579</v>
      </c>
      <c r="K286" s="4">
        <v>742.35</v>
      </c>
      <c r="L286" s="4">
        <v>461.44479999999999</v>
      </c>
    </row>
    <row r="287" spans="1:12">
      <c r="A287" s="1">
        <v>42595</v>
      </c>
      <c r="B287">
        <v>1</v>
      </c>
      <c r="C287" t="s">
        <v>6275</v>
      </c>
      <c r="D287" s="4">
        <v>419.77839999999998</v>
      </c>
      <c r="E287" s="4">
        <v>769.49</v>
      </c>
      <c r="F287" t="s">
        <v>3478</v>
      </c>
      <c r="G287" t="s">
        <v>3475</v>
      </c>
      <c r="H287" t="s">
        <v>3588</v>
      </c>
      <c r="I287" t="s">
        <v>3588</v>
      </c>
      <c r="J287" t="s">
        <v>3584</v>
      </c>
      <c r="K287" s="4">
        <v>769.49</v>
      </c>
      <c r="L287" s="4">
        <v>419.77839999999998</v>
      </c>
    </row>
    <row r="288" spans="1:12">
      <c r="A288" s="1">
        <v>42596</v>
      </c>
      <c r="B288">
        <v>1</v>
      </c>
      <c r="C288" t="s">
        <v>6276</v>
      </c>
      <c r="D288" s="4">
        <v>1.8663000000000001</v>
      </c>
      <c r="E288" s="4">
        <v>4.99</v>
      </c>
      <c r="F288" t="s">
        <v>6243</v>
      </c>
      <c r="G288" t="s">
        <v>6228</v>
      </c>
      <c r="H288" t="s">
        <v>3585</v>
      </c>
      <c r="I288" t="s">
        <v>3585</v>
      </c>
      <c r="J288" t="s">
        <v>3584</v>
      </c>
      <c r="K288" s="4">
        <v>4.99</v>
      </c>
      <c r="L288" s="4">
        <v>1.8663000000000001</v>
      </c>
    </row>
    <row r="289" spans="1:12">
      <c r="A289" s="1">
        <v>42602</v>
      </c>
      <c r="B289">
        <v>1</v>
      </c>
      <c r="C289" t="s">
        <v>6276</v>
      </c>
      <c r="D289" s="4">
        <v>1.8663000000000001</v>
      </c>
      <c r="E289" s="4">
        <v>4.99</v>
      </c>
      <c r="F289" t="s">
        <v>6243</v>
      </c>
      <c r="G289" t="s">
        <v>6228</v>
      </c>
      <c r="H289" t="s">
        <v>3586</v>
      </c>
      <c r="I289" t="s">
        <v>3586</v>
      </c>
      <c r="J289" t="s">
        <v>3587</v>
      </c>
      <c r="K289" s="4">
        <v>4.99</v>
      </c>
      <c r="L289" s="4">
        <v>1.8663000000000001</v>
      </c>
    </row>
    <row r="290" spans="1:12">
      <c r="A290" s="1">
        <v>42612</v>
      </c>
      <c r="B290">
        <v>1</v>
      </c>
      <c r="C290" t="s">
        <v>6276</v>
      </c>
      <c r="D290" s="4">
        <v>1.8663000000000001</v>
      </c>
      <c r="E290" s="4">
        <v>4.99</v>
      </c>
      <c r="F290" t="s">
        <v>6243</v>
      </c>
      <c r="G290" t="s">
        <v>6228</v>
      </c>
      <c r="H290" t="s">
        <v>3588</v>
      </c>
      <c r="I290" t="s">
        <v>3588</v>
      </c>
      <c r="J290" t="s">
        <v>3584</v>
      </c>
      <c r="K290" s="4">
        <v>4.99</v>
      </c>
      <c r="L290" s="4">
        <v>1.8663000000000001</v>
      </c>
    </row>
    <row r="291" spans="1:12">
      <c r="A291" s="1">
        <v>42613</v>
      </c>
      <c r="B291">
        <v>1</v>
      </c>
      <c r="C291" t="s">
        <v>6276</v>
      </c>
      <c r="D291" s="4">
        <v>1.8663000000000001</v>
      </c>
      <c r="E291" s="4">
        <v>4.99</v>
      </c>
      <c r="F291" t="s">
        <v>6243</v>
      </c>
      <c r="G291" t="s">
        <v>6228</v>
      </c>
      <c r="H291" t="s">
        <v>3583</v>
      </c>
      <c r="I291" t="s">
        <v>3583</v>
      </c>
      <c r="J291" t="s">
        <v>3584</v>
      </c>
      <c r="K291" s="4">
        <v>4.99</v>
      </c>
      <c r="L291" s="4">
        <v>1.8663000000000001</v>
      </c>
    </row>
    <row r="292" spans="1:12">
      <c r="A292" s="1">
        <v>42596</v>
      </c>
      <c r="B292">
        <v>1</v>
      </c>
      <c r="C292" t="s">
        <v>6277</v>
      </c>
      <c r="D292" s="4">
        <v>8.0373000000000001</v>
      </c>
      <c r="E292" s="4">
        <v>21.49</v>
      </c>
      <c r="F292" t="s">
        <v>6243</v>
      </c>
      <c r="G292" t="s">
        <v>6228</v>
      </c>
      <c r="H292" t="s">
        <v>3583</v>
      </c>
      <c r="I292" t="s">
        <v>3583</v>
      </c>
      <c r="J292" t="s">
        <v>3584</v>
      </c>
      <c r="K292" s="4">
        <v>21.49</v>
      </c>
      <c r="L292" s="4">
        <v>8.0373000000000001</v>
      </c>
    </row>
    <row r="293" spans="1:12">
      <c r="A293" s="1">
        <v>42597</v>
      </c>
      <c r="B293">
        <v>1</v>
      </c>
      <c r="C293" t="s">
        <v>6277</v>
      </c>
      <c r="D293" s="4">
        <v>8.0373000000000001</v>
      </c>
      <c r="E293" s="4">
        <v>21.49</v>
      </c>
      <c r="F293" t="s">
        <v>6243</v>
      </c>
      <c r="G293" t="s">
        <v>6228</v>
      </c>
      <c r="H293" t="s">
        <v>3585</v>
      </c>
      <c r="I293" t="s">
        <v>3585</v>
      </c>
      <c r="J293" t="s">
        <v>3584</v>
      </c>
      <c r="K293" s="4">
        <v>21.49</v>
      </c>
      <c r="L293" s="4">
        <v>8.0373000000000001</v>
      </c>
    </row>
    <row r="294" spans="1:12">
      <c r="A294" s="1">
        <v>42613</v>
      </c>
      <c r="B294">
        <v>1</v>
      </c>
      <c r="C294" t="s">
        <v>6278</v>
      </c>
      <c r="D294" s="4">
        <v>461.44479999999999</v>
      </c>
      <c r="E294" s="4">
        <v>742.35</v>
      </c>
      <c r="F294" t="s">
        <v>6274</v>
      </c>
      <c r="G294" t="s">
        <v>3475</v>
      </c>
      <c r="H294" t="s">
        <v>3577</v>
      </c>
      <c r="I294" t="s">
        <v>3578</v>
      </c>
      <c r="J294" t="s">
        <v>3579</v>
      </c>
      <c r="K294" s="4">
        <v>742.35</v>
      </c>
      <c r="L294" s="4">
        <v>461.44479999999999</v>
      </c>
    </row>
    <row r="295" spans="1:12">
      <c r="A295" s="1">
        <v>42610</v>
      </c>
      <c r="B295">
        <v>1</v>
      </c>
      <c r="C295" t="s">
        <v>6279</v>
      </c>
      <c r="D295" s="4">
        <v>1481.9378999999999</v>
      </c>
      <c r="E295" s="4">
        <v>2384.0700000000002</v>
      </c>
      <c r="F295" t="s">
        <v>6274</v>
      </c>
      <c r="G295" t="s">
        <v>3475</v>
      </c>
      <c r="H295" t="s">
        <v>3580</v>
      </c>
      <c r="I295" t="s">
        <v>3578</v>
      </c>
      <c r="J295" t="s">
        <v>3579</v>
      </c>
      <c r="K295" s="4">
        <v>2384.0700000000002</v>
      </c>
      <c r="L295" s="4">
        <v>1481.9378999999999</v>
      </c>
    </row>
    <row r="296" spans="1:12">
      <c r="A296" s="1">
        <v>42613</v>
      </c>
      <c r="B296">
        <v>1</v>
      </c>
      <c r="C296" t="s">
        <v>6245</v>
      </c>
      <c r="D296" s="4">
        <v>0.85650000000000004</v>
      </c>
      <c r="E296" s="4">
        <v>2.29</v>
      </c>
      <c r="F296" t="s">
        <v>6243</v>
      </c>
      <c r="G296" t="s">
        <v>6228</v>
      </c>
      <c r="H296" t="s">
        <v>3586</v>
      </c>
      <c r="I296" t="s">
        <v>3586</v>
      </c>
      <c r="J296" t="s">
        <v>3587</v>
      </c>
      <c r="K296" s="4">
        <v>2.29</v>
      </c>
      <c r="L296" s="4">
        <v>0.85650000000000004</v>
      </c>
    </row>
    <row r="297" spans="1:12">
      <c r="A297" s="1">
        <v>42614</v>
      </c>
      <c r="B297">
        <v>1</v>
      </c>
      <c r="C297" t="s">
        <v>6230</v>
      </c>
      <c r="D297" s="4">
        <v>12.027799999999999</v>
      </c>
      <c r="E297" s="4">
        <v>33.644199999999998</v>
      </c>
      <c r="F297" t="s">
        <v>6227</v>
      </c>
      <c r="G297" t="s">
        <v>6228</v>
      </c>
      <c r="H297" t="s">
        <v>3577</v>
      </c>
      <c r="I297" t="s">
        <v>3578</v>
      </c>
      <c r="J297" t="s">
        <v>3579</v>
      </c>
      <c r="K297" s="4">
        <v>33.644199999999998</v>
      </c>
      <c r="L297" s="4">
        <v>12.027799999999999</v>
      </c>
    </row>
    <row r="298" spans="1:12">
      <c r="A298" s="1">
        <v>42614</v>
      </c>
      <c r="B298">
        <v>1</v>
      </c>
      <c r="C298" t="s">
        <v>6272</v>
      </c>
      <c r="D298" s="4">
        <v>9.3462999999999994</v>
      </c>
      <c r="E298" s="4">
        <v>24.99</v>
      </c>
      <c r="F298" t="s">
        <v>6243</v>
      </c>
      <c r="G298" t="s">
        <v>6228</v>
      </c>
      <c r="H298" t="s">
        <v>3582</v>
      </c>
      <c r="I298" t="s">
        <v>3582</v>
      </c>
      <c r="J298" t="s">
        <v>3579</v>
      </c>
      <c r="K298" s="4">
        <v>24.99</v>
      </c>
      <c r="L298" s="4">
        <v>9.3462999999999994</v>
      </c>
    </row>
    <row r="299" spans="1:12">
      <c r="A299" s="1">
        <v>42615</v>
      </c>
      <c r="B299">
        <v>1</v>
      </c>
      <c r="C299" t="s">
        <v>6244</v>
      </c>
      <c r="D299" s="4">
        <v>3.7363</v>
      </c>
      <c r="E299" s="4">
        <v>9.99</v>
      </c>
      <c r="F299" t="s">
        <v>6240</v>
      </c>
      <c r="G299" t="s">
        <v>6228</v>
      </c>
      <c r="H299" t="s">
        <v>3583</v>
      </c>
      <c r="I299" t="s">
        <v>3583</v>
      </c>
      <c r="J299" t="s">
        <v>3584</v>
      </c>
      <c r="K299" s="4">
        <v>9.99</v>
      </c>
      <c r="L299" s="4">
        <v>3.7363</v>
      </c>
    </row>
    <row r="300" spans="1:12">
      <c r="A300" s="1">
        <v>42615</v>
      </c>
      <c r="B300">
        <v>1</v>
      </c>
      <c r="C300" t="s">
        <v>3568</v>
      </c>
      <c r="D300" s="4">
        <v>605.64919999999995</v>
      </c>
      <c r="E300" s="4">
        <v>1000.4375</v>
      </c>
      <c r="F300" t="s">
        <v>3479</v>
      </c>
      <c r="G300" t="s">
        <v>3475</v>
      </c>
      <c r="H300" t="s">
        <v>3586</v>
      </c>
      <c r="I300" t="s">
        <v>3586</v>
      </c>
      <c r="J300" t="s">
        <v>3587</v>
      </c>
      <c r="K300" s="4">
        <v>1000.4375</v>
      </c>
      <c r="L300" s="4">
        <v>605.64919999999995</v>
      </c>
    </row>
    <row r="301" spans="1:12">
      <c r="A301" s="1">
        <v>42616</v>
      </c>
      <c r="B301">
        <v>1</v>
      </c>
      <c r="C301" t="s">
        <v>6239</v>
      </c>
      <c r="D301" s="4">
        <v>1.8663000000000001</v>
      </c>
      <c r="E301" s="4">
        <v>4.99</v>
      </c>
      <c r="F301" t="s">
        <v>6240</v>
      </c>
      <c r="G301" t="s">
        <v>6228</v>
      </c>
      <c r="H301" t="s">
        <v>3577</v>
      </c>
      <c r="I301" t="s">
        <v>3578</v>
      </c>
      <c r="J301" t="s">
        <v>3579</v>
      </c>
      <c r="K301" s="4">
        <v>4.99</v>
      </c>
      <c r="L301" s="4">
        <v>1.8663000000000001</v>
      </c>
    </row>
    <row r="302" spans="1:12">
      <c r="A302" s="1">
        <v>42616</v>
      </c>
      <c r="B302">
        <v>1</v>
      </c>
      <c r="C302" t="s">
        <v>6277</v>
      </c>
      <c r="D302" s="4">
        <v>8.0373000000000001</v>
      </c>
      <c r="E302" s="4">
        <v>21.49</v>
      </c>
      <c r="F302" t="s">
        <v>6243</v>
      </c>
      <c r="G302" t="s">
        <v>6228</v>
      </c>
      <c r="H302" t="s">
        <v>3577</v>
      </c>
      <c r="I302" t="s">
        <v>3578</v>
      </c>
      <c r="J302" t="s">
        <v>3579</v>
      </c>
      <c r="K302" s="4">
        <v>21.49</v>
      </c>
      <c r="L302" s="4">
        <v>8.0373000000000001</v>
      </c>
    </row>
    <row r="303" spans="1:12">
      <c r="A303" s="1">
        <v>42616</v>
      </c>
      <c r="B303">
        <v>1</v>
      </c>
      <c r="C303" t="s">
        <v>6255</v>
      </c>
      <c r="D303" s="4">
        <v>9.7135999999999996</v>
      </c>
      <c r="E303" s="4">
        <v>23.548100000000002</v>
      </c>
      <c r="F303" t="s">
        <v>6251</v>
      </c>
      <c r="G303" t="s">
        <v>6233</v>
      </c>
      <c r="H303" t="s">
        <v>3580</v>
      </c>
      <c r="I303" t="s">
        <v>3578</v>
      </c>
      <c r="J303" t="s">
        <v>3579</v>
      </c>
      <c r="K303" s="4">
        <v>23.548100000000002</v>
      </c>
      <c r="L303" s="4">
        <v>9.7135999999999996</v>
      </c>
    </row>
    <row r="304" spans="1:12">
      <c r="A304" s="1">
        <v>42616</v>
      </c>
      <c r="B304">
        <v>1</v>
      </c>
      <c r="C304" t="s">
        <v>6280</v>
      </c>
      <c r="D304" s="4">
        <v>1481.9378999999999</v>
      </c>
      <c r="E304" s="4">
        <v>2384.0700000000002</v>
      </c>
      <c r="F304" t="s">
        <v>6274</v>
      </c>
      <c r="G304" t="s">
        <v>3475</v>
      </c>
      <c r="H304" t="s">
        <v>3582</v>
      </c>
      <c r="I304" t="s">
        <v>3582</v>
      </c>
      <c r="J304" t="s">
        <v>3579</v>
      </c>
      <c r="K304" s="4">
        <v>2384.0700000000002</v>
      </c>
      <c r="L304" s="4">
        <v>1481.9378999999999</v>
      </c>
    </row>
    <row r="305" spans="1:12">
      <c r="A305" s="1">
        <v>42616</v>
      </c>
      <c r="B305">
        <v>1</v>
      </c>
      <c r="C305" t="s">
        <v>3546</v>
      </c>
      <c r="D305" s="4">
        <v>1105.81</v>
      </c>
      <c r="E305" s="4">
        <v>2049.0981999999999</v>
      </c>
      <c r="F305" t="s">
        <v>3478</v>
      </c>
      <c r="G305" t="s">
        <v>3475</v>
      </c>
      <c r="H305" t="s">
        <v>3586</v>
      </c>
      <c r="I305" t="s">
        <v>3586</v>
      </c>
      <c r="J305" t="s">
        <v>3587</v>
      </c>
      <c r="K305" s="4">
        <v>2049.0981999999999</v>
      </c>
      <c r="L305" s="4">
        <v>1105.81</v>
      </c>
    </row>
    <row r="306" spans="1:12">
      <c r="A306" s="1">
        <v>42616</v>
      </c>
      <c r="B306">
        <v>1</v>
      </c>
      <c r="C306" t="s">
        <v>6245</v>
      </c>
      <c r="D306" s="4">
        <v>0.85650000000000004</v>
      </c>
      <c r="E306" s="4">
        <v>2.29</v>
      </c>
      <c r="F306" t="s">
        <v>6243</v>
      </c>
      <c r="G306" t="s">
        <v>6228</v>
      </c>
      <c r="H306" t="s">
        <v>3586</v>
      </c>
      <c r="I306" t="s">
        <v>3586</v>
      </c>
      <c r="J306" t="s">
        <v>3587</v>
      </c>
      <c r="K306" s="4">
        <v>2.29</v>
      </c>
      <c r="L306" s="4">
        <v>0.85650000000000004</v>
      </c>
    </row>
    <row r="307" spans="1:12">
      <c r="A307" s="1">
        <v>42616</v>
      </c>
      <c r="B307">
        <v>1</v>
      </c>
      <c r="C307" t="s">
        <v>6242</v>
      </c>
      <c r="D307" s="4">
        <v>1.8663000000000001</v>
      </c>
      <c r="E307" s="4">
        <v>4.99</v>
      </c>
      <c r="F307" t="s">
        <v>6243</v>
      </c>
      <c r="G307" t="s">
        <v>6228</v>
      </c>
      <c r="H307" t="s">
        <v>3586</v>
      </c>
      <c r="I307" t="s">
        <v>3586</v>
      </c>
      <c r="J307" t="s">
        <v>3587</v>
      </c>
      <c r="K307" s="4">
        <v>4.99</v>
      </c>
      <c r="L307" s="4">
        <v>1.8663000000000001</v>
      </c>
    </row>
    <row r="308" spans="1:12">
      <c r="A308" s="1">
        <v>42616</v>
      </c>
      <c r="B308">
        <v>1</v>
      </c>
      <c r="C308" t="s">
        <v>6281</v>
      </c>
      <c r="D308" s="4">
        <v>1481.9378999999999</v>
      </c>
      <c r="E308" s="4">
        <v>2384.0700000000002</v>
      </c>
      <c r="F308" t="s">
        <v>6274</v>
      </c>
      <c r="G308" t="s">
        <v>3475</v>
      </c>
      <c r="H308" t="s">
        <v>3586</v>
      </c>
      <c r="I308" t="s">
        <v>3586</v>
      </c>
      <c r="J308" t="s">
        <v>3587</v>
      </c>
      <c r="K308" s="4">
        <v>2384.0700000000002</v>
      </c>
      <c r="L308" s="4">
        <v>1481.9378999999999</v>
      </c>
    </row>
    <row r="309" spans="1:12">
      <c r="A309" s="1">
        <v>42617</v>
      </c>
      <c r="B309">
        <v>1</v>
      </c>
      <c r="C309" t="s">
        <v>6239</v>
      </c>
      <c r="D309" s="4">
        <v>1.8663000000000001</v>
      </c>
      <c r="E309" s="4">
        <v>4.99</v>
      </c>
      <c r="F309" t="s">
        <v>6240</v>
      </c>
      <c r="G309" t="s">
        <v>6228</v>
      </c>
      <c r="H309" t="s">
        <v>3582</v>
      </c>
      <c r="I309" t="s">
        <v>3582</v>
      </c>
      <c r="J309" t="s">
        <v>3579</v>
      </c>
      <c r="K309" s="4">
        <v>4.99</v>
      </c>
      <c r="L309" s="4">
        <v>1.8663000000000001</v>
      </c>
    </row>
    <row r="310" spans="1:12">
      <c r="A310" s="1">
        <v>42617</v>
      </c>
      <c r="B310">
        <v>1</v>
      </c>
      <c r="C310" t="s">
        <v>6282</v>
      </c>
      <c r="D310" s="4">
        <v>10.8423</v>
      </c>
      <c r="E310" s="4">
        <v>28.99</v>
      </c>
      <c r="F310" t="s">
        <v>6243</v>
      </c>
      <c r="G310" t="s">
        <v>6228</v>
      </c>
      <c r="H310" t="s">
        <v>3582</v>
      </c>
      <c r="I310" t="s">
        <v>3582</v>
      </c>
      <c r="J310" t="s">
        <v>3579</v>
      </c>
      <c r="K310" s="4">
        <v>28.99</v>
      </c>
      <c r="L310" s="4">
        <v>10.8423</v>
      </c>
    </row>
    <row r="311" spans="1:12">
      <c r="A311" s="1">
        <v>42617</v>
      </c>
      <c r="B311">
        <v>1</v>
      </c>
      <c r="C311" t="s">
        <v>6242</v>
      </c>
      <c r="D311" s="4">
        <v>1.8663000000000001</v>
      </c>
      <c r="E311" s="4">
        <v>4.99</v>
      </c>
      <c r="F311" t="s">
        <v>6243</v>
      </c>
      <c r="G311" t="s">
        <v>6228</v>
      </c>
      <c r="H311" t="s">
        <v>3583</v>
      </c>
      <c r="I311" t="s">
        <v>3583</v>
      </c>
      <c r="J311" t="s">
        <v>3584</v>
      </c>
      <c r="K311" s="4">
        <v>4.99</v>
      </c>
      <c r="L311" s="4">
        <v>1.8663000000000001</v>
      </c>
    </row>
    <row r="312" spans="1:12">
      <c r="A312" s="1">
        <v>42617</v>
      </c>
      <c r="B312">
        <v>1</v>
      </c>
      <c r="C312" t="s">
        <v>6258</v>
      </c>
      <c r="D312" s="4">
        <v>2.9733000000000001</v>
      </c>
      <c r="E312" s="4">
        <v>7.95</v>
      </c>
      <c r="F312" t="s">
        <v>6259</v>
      </c>
      <c r="G312" t="s">
        <v>6228</v>
      </c>
      <c r="H312" t="s">
        <v>3588</v>
      </c>
      <c r="I312" t="s">
        <v>3588</v>
      </c>
      <c r="J312" t="s">
        <v>3584</v>
      </c>
      <c r="K312" s="4">
        <v>7.95</v>
      </c>
      <c r="L312" s="4">
        <v>2.9733000000000001</v>
      </c>
    </row>
    <row r="313" spans="1:12">
      <c r="A313" s="1">
        <v>42618</v>
      </c>
      <c r="B313">
        <v>1</v>
      </c>
      <c r="C313" t="s">
        <v>6239</v>
      </c>
      <c r="D313" s="4">
        <v>1.8663000000000001</v>
      </c>
      <c r="E313" s="4">
        <v>4.99</v>
      </c>
      <c r="F313" t="s">
        <v>6240</v>
      </c>
      <c r="G313" t="s">
        <v>6228</v>
      </c>
      <c r="H313" t="s">
        <v>3577</v>
      </c>
      <c r="I313" t="s">
        <v>3578</v>
      </c>
      <c r="J313" t="s">
        <v>3579</v>
      </c>
      <c r="K313" s="4">
        <v>4.99</v>
      </c>
      <c r="L313" s="4">
        <v>1.8663000000000001</v>
      </c>
    </row>
    <row r="314" spans="1:12">
      <c r="A314" s="1">
        <v>42618</v>
      </c>
      <c r="B314">
        <v>1</v>
      </c>
      <c r="C314" t="s">
        <v>3546</v>
      </c>
      <c r="D314" s="4">
        <v>1105.81</v>
      </c>
      <c r="E314" s="4">
        <v>2049.0981999999999</v>
      </c>
      <c r="F314" t="s">
        <v>3478</v>
      </c>
      <c r="G314" t="s">
        <v>3475</v>
      </c>
      <c r="H314" t="s">
        <v>3580</v>
      </c>
      <c r="I314" t="s">
        <v>3578</v>
      </c>
      <c r="J314" t="s">
        <v>3579</v>
      </c>
      <c r="K314" s="4">
        <v>2049.0981999999999</v>
      </c>
      <c r="L314" s="4">
        <v>1105.81</v>
      </c>
    </row>
    <row r="315" spans="1:12">
      <c r="A315" s="1">
        <v>42618</v>
      </c>
      <c r="B315">
        <v>1</v>
      </c>
      <c r="C315" t="s">
        <v>6260</v>
      </c>
      <c r="D315" s="4">
        <v>13.09</v>
      </c>
      <c r="E315" s="4">
        <v>35</v>
      </c>
      <c r="F315" t="s">
        <v>6243</v>
      </c>
      <c r="G315" t="s">
        <v>6228</v>
      </c>
      <c r="H315" t="s">
        <v>3580</v>
      </c>
      <c r="I315" t="s">
        <v>3578</v>
      </c>
      <c r="J315" t="s">
        <v>3579</v>
      </c>
      <c r="K315" s="4">
        <v>35</v>
      </c>
      <c r="L315" s="4">
        <v>13.09</v>
      </c>
    </row>
    <row r="316" spans="1:12">
      <c r="A316" s="1">
        <v>42618</v>
      </c>
      <c r="B316">
        <v>1</v>
      </c>
      <c r="C316" t="s">
        <v>6230</v>
      </c>
      <c r="D316" s="4">
        <v>12.027799999999999</v>
      </c>
      <c r="E316" s="4">
        <v>33.644199999999998</v>
      </c>
      <c r="F316" t="s">
        <v>6227</v>
      </c>
      <c r="G316" t="s">
        <v>6228</v>
      </c>
      <c r="H316" t="s">
        <v>3582</v>
      </c>
      <c r="I316" t="s">
        <v>3582</v>
      </c>
      <c r="J316" t="s">
        <v>3579</v>
      </c>
      <c r="K316" s="4">
        <v>33.644199999999998</v>
      </c>
      <c r="L316" s="4">
        <v>12.027799999999999</v>
      </c>
    </row>
    <row r="317" spans="1:12">
      <c r="A317" s="1">
        <v>42618</v>
      </c>
      <c r="B317">
        <v>1</v>
      </c>
      <c r="C317" t="s">
        <v>6239</v>
      </c>
      <c r="D317" s="4">
        <v>1.8663000000000001</v>
      </c>
      <c r="E317" s="4">
        <v>4.99</v>
      </c>
      <c r="F317" t="s">
        <v>6240</v>
      </c>
      <c r="G317" t="s">
        <v>6228</v>
      </c>
      <c r="H317" t="s">
        <v>3586</v>
      </c>
      <c r="I317" t="s">
        <v>3586</v>
      </c>
      <c r="J317" t="s">
        <v>3587</v>
      </c>
      <c r="K317" s="4">
        <v>4.99</v>
      </c>
      <c r="L317" s="4">
        <v>1.8663000000000001</v>
      </c>
    </row>
    <row r="318" spans="1:12">
      <c r="A318" s="1">
        <v>42618</v>
      </c>
      <c r="B318">
        <v>1</v>
      </c>
      <c r="C318" t="s">
        <v>6248</v>
      </c>
      <c r="D318" s="4">
        <v>8.2204999999999995</v>
      </c>
      <c r="E318" s="4">
        <v>21.98</v>
      </c>
      <c r="F318" t="s">
        <v>6249</v>
      </c>
      <c r="G318" t="s">
        <v>6228</v>
      </c>
      <c r="H318" t="s">
        <v>3586</v>
      </c>
      <c r="I318" t="s">
        <v>3586</v>
      </c>
      <c r="J318" t="s">
        <v>3587</v>
      </c>
      <c r="K318" s="4">
        <v>21.98</v>
      </c>
      <c r="L318" s="4">
        <v>8.2204999999999995</v>
      </c>
    </row>
    <row r="319" spans="1:12">
      <c r="A319" s="1">
        <v>42619</v>
      </c>
      <c r="B319">
        <v>1</v>
      </c>
      <c r="C319" t="s">
        <v>6226</v>
      </c>
      <c r="D319" s="4">
        <v>13.0863</v>
      </c>
      <c r="E319" s="4">
        <v>34.99</v>
      </c>
      <c r="F319" t="s">
        <v>6227</v>
      </c>
      <c r="G319" t="s">
        <v>6228</v>
      </c>
      <c r="H319" t="s">
        <v>3577</v>
      </c>
      <c r="I319" t="s">
        <v>3578</v>
      </c>
      <c r="J319" t="s">
        <v>3579</v>
      </c>
      <c r="K319" s="4">
        <v>34.99</v>
      </c>
      <c r="L319" s="4">
        <v>13.0863</v>
      </c>
    </row>
    <row r="320" spans="1:12">
      <c r="A320" s="1">
        <v>42619</v>
      </c>
      <c r="B320">
        <v>1</v>
      </c>
      <c r="C320" t="s">
        <v>6239</v>
      </c>
      <c r="D320" s="4">
        <v>1.8663000000000001</v>
      </c>
      <c r="E320" s="4">
        <v>4.99</v>
      </c>
      <c r="F320" t="s">
        <v>6240</v>
      </c>
      <c r="G320" t="s">
        <v>6228</v>
      </c>
      <c r="H320" t="s">
        <v>3580</v>
      </c>
      <c r="I320" t="s">
        <v>3578</v>
      </c>
      <c r="J320" t="s">
        <v>3579</v>
      </c>
      <c r="K320" s="4">
        <v>4.99</v>
      </c>
      <c r="L320" s="4">
        <v>1.8663000000000001</v>
      </c>
    </row>
    <row r="321" spans="1:12">
      <c r="A321" s="1">
        <v>42619</v>
      </c>
      <c r="B321">
        <v>1</v>
      </c>
      <c r="C321" t="s">
        <v>6244</v>
      </c>
      <c r="D321" s="4">
        <v>3.7363</v>
      </c>
      <c r="E321" s="4">
        <v>9.99</v>
      </c>
      <c r="F321" t="s">
        <v>6240</v>
      </c>
      <c r="G321" t="s">
        <v>6228</v>
      </c>
      <c r="H321" t="s">
        <v>3580</v>
      </c>
      <c r="I321" t="s">
        <v>3578</v>
      </c>
      <c r="J321" t="s">
        <v>3579</v>
      </c>
      <c r="K321" s="4">
        <v>9.99</v>
      </c>
      <c r="L321" s="4">
        <v>3.7363</v>
      </c>
    </row>
    <row r="322" spans="1:12">
      <c r="A322" s="1">
        <v>42619</v>
      </c>
      <c r="B322">
        <v>1</v>
      </c>
      <c r="C322" t="s">
        <v>6283</v>
      </c>
      <c r="D322" s="4">
        <v>1481.9378999999999</v>
      </c>
      <c r="E322" s="4">
        <v>2384.0700000000002</v>
      </c>
      <c r="F322" t="s">
        <v>6274</v>
      </c>
      <c r="G322" t="s">
        <v>3475</v>
      </c>
      <c r="H322" t="s">
        <v>3585</v>
      </c>
      <c r="I322" t="s">
        <v>3585</v>
      </c>
      <c r="J322" t="s">
        <v>3584</v>
      </c>
      <c r="K322" s="4">
        <v>2384.0700000000002</v>
      </c>
      <c r="L322" s="4">
        <v>1481.9378999999999</v>
      </c>
    </row>
    <row r="323" spans="1:12">
      <c r="A323" s="1">
        <v>42619</v>
      </c>
      <c r="B323">
        <v>1</v>
      </c>
      <c r="C323" t="s">
        <v>6245</v>
      </c>
      <c r="D323" s="4">
        <v>0.85650000000000004</v>
      </c>
      <c r="E323" s="4">
        <v>2.29</v>
      </c>
      <c r="F323" t="s">
        <v>6243</v>
      </c>
      <c r="G323" t="s">
        <v>6228</v>
      </c>
      <c r="H323" t="s">
        <v>3586</v>
      </c>
      <c r="I323" t="s">
        <v>3586</v>
      </c>
      <c r="J323" t="s">
        <v>3587</v>
      </c>
      <c r="K323" s="4">
        <v>2.29</v>
      </c>
      <c r="L323" s="4">
        <v>0.85650000000000004</v>
      </c>
    </row>
    <row r="324" spans="1:12">
      <c r="A324" s="1">
        <v>42619</v>
      </c>
      <c r="B324">
        <v>1</v>
      </c>
      <c r="C324" t="s">
        <v>6231</v>
      </c>
      <c r="D324" s="4">
        <v>5.7051999999999996</v>
      </c>
      <c r="E324" s="4">
        <v>8.6441999999999997</v>
      </c>
      <c r="F324" t="s">
        <v>6232</v>
      </c>
      <c r="G324" t="s">
        <v>6233</v>
      </c>
      <c r="H324" t="s">
        <v>3588</v>
      </c>
      <c r="I324" t="s">
        <v>3588</v>
      </c>
      <c r="J324" t="s">
        <v>3584</v>
      </c>
      <c r="K324" s="4">
        <v>8.6441999999999997</v>
      </c>
      <c r="L324" s="4">
        <v>5.7051999999999996</v>
      </c>
    </row>
    <row r="325" spans="1:12">
      <c r="A325" s="1">
        <v>42620</v>
      </c>
      <c r="B325">
        <v>1</v>
      </c>
      <c r="C325" t="s">
        <v>6230</v>
      </c>
      <c r="D325" s="4">
        <v>12.027799999999999</v>
      </c>
      <c r="E325" s="4">
        <v>33.644199999999998</v>
      </c>
      <c r="F325" t="s">
        <v>6227</v>
      </c>
      <c r="G325" t="s">
        <v>6228</v>
      </c>
      <c r="H325" t="s">
        <v>3580</v>
      </c>
      <c r="I325" t="s">
        <v>3578</v>
      </c>
      <c r="J325" t="s">
        <v>3579</v>
      </c>
      <c r="K325" s="4">
        <v>33.644199999999998</v>
      </c>
      <c r="L325" s="4">
        <v>12.027799999999999</v>
      </c>
    </row>
    <row r="326" spans="1:12">
      <c r="A326" s="1">
        <v>42620</v>
      </c>
      <c r="B326">
        <v>1</v>
      </c>
      <c r="C326" t="s">
        <v>3542</v>
      </c>
      <c r="D326" s="4">
        <v>1105.81</v>
      </c>
      <c r="E326" s="4">
        <v>2049.0981999999999</v>
      </c>
      <c r="F326" t="s">
        <v>3478</v>
      </c>
      <c r="G326" t="s">
        <v>3475</v>
      </c>
      <c r="H326" t="s">
        <v>3586</v>
      </c>
      <c r="I326" t="s">
        <v>3586</v>
      </c>
      <c r="J326" t="s">
        <v>3587</v>
      </c>
      <c r="K326" s="4">
        <v>2049.0981999999999</v>
      </c>
      <c r="L326" s="4">
        <v>1105.81</v>
      </c>
    </row>
    <row r="327" spans="1:12">
      <c r="A327" s="1">
        <v>42621</v>
      </c>
      <c r="B327">
        <v>1</v>
      </c>
      <c r="C327" t="s">
        <v>6284</v>
      </c>
      <c r="D327" s="4">
        <v>26.176300000000001</v>
      </c>
      <c r="E327" s="4">
        <v>69.989999999999995</v>
      </c>
      <c r="F327" t="s">
        <v>6262</v>
      </c>
      <c r="G327" t="s">
        <v>6233</v>
      </c>
      <c r="H327" t="s">
        <v>3582</v>
      </c>
      <c r="I327" t="s">
        <v>3582</v>
      </c>
      <c r="J327" t="s">
        <v>3579</v>
      </c>
      <c r="K327" s="4">
        <v>69.989999999999995</v>
      </c>
      <c r="L327" s="4">
        <v>26.176300000000001</v>
      </c>
    </row>
    <row r="328" spans="1:12">
      <c r="A328" s="1">
        <v>42621</v>
      </c>
      <c r="B328">
        <v>1</v>
      </c>
      <c r="C328" t="s">
        <v>3544</v>
      </c>
      <c r="D328" s="4">
        <v>1105.81</v>
      </c>
      <c r="E328" s="4">
        <v>2049.0981999999999</v>
      </c>
      <c r="F328" t="s">
        <v>3478</v>
      </c>
      <c r="G328" t="s">
        <v>3475</v>
      </c>
      <c r="H328" t="s">
        <v>3586</v>
      </c>
      <c r="I328" t="s">
        <v>3586</v>
      </c>
      <c r="J328" t="s">
        <v>3587</v>
      </c>
      <c r="K328" s="4">
        <v>2049.0981999999999</v>
      </c>
      <c r="L328" s="4">
        <v>1105.81</v>
      </c>
    </row>
    <row r="329" spans="1:12">
      <c r="A329" s="1">
        <v>42621</v>
      </c>
      <c r="B329">
        <v>1</v>
      </c>
      <c r="C329" t="s">
        <v>6277</v>
      </c>
      <c r="D329" s="4">
        <v>8.0373000000000001</v>
      </c>
      <c r="E329" s="4">
        <v>21.49</v>
      </c>
      <c r="F329" t="s">
        <v>6243</v>
      </c>
      <c r="G329" t="s">
        <v>6228</v>
      </c>
      <c r="H329" t="s">
        <v>3586</v>
      </c>
      <c r="I329" t="s">
        <v>3586</v>
      </c>
      <c r="J329" t="s">
        <v>3587</v>
      </c>
      <c r="K329" s="4">
        <v>21.49</v>
      </c>
      <c r="L329" s="4">
        <v>8.0373000000000001</v>
      </c>
    </row>
    <row r="330" spans="1:12">
      <c r="A330" s="1">
        <v>42622</v>
      </c>
      <c r="B330">
        <v>1</v>
      </c>
      <c r="C330" t="s">
        <v>6239</v>
      </c>
      <c r="D330" s="4">
        <v>1.8663000000000001</v>
      </c>
      <c r="E330" s="4">
        <v>4.99</v>
      </c>
      <c r="F330" t="s">
        <v>6240</v>
      </c>
      <c r="G330" t="s">
        <v>6228</v>
      </c>
      <c r="H330" t="s">
        <v>3580</v>
      </c>
      <c r="I330" t="s">
        <v>3578</v>
      </c>
      <c r="J330" t="s">
        <v>3579</v>
      </c>
      <c r="K330" s="4">
        <v>4.99</v>
      </c>
      <c r="L330" s="4">
        <v>1.8663000000000001</v>
      </c>
    </row>
    <row r="331" spans="1:12">
      <c r="A331" s="1">
        <v>42622</v>
      </c>
      <c r="B331">
        <v>1</v>
      </c>
      <c r="C331" t="s">
        <v>6239</v>
      </c>
      <c r="D331" s="4">
        <v>1.8663000000000001</v>
      </c>
      <c r="E331" s="4">
        <v>4.99</v>
      </c>
      <c r="F331" t="s">
        <v>6240</v>
      </c>
      <c r="G331" t="s">
        <v>6228</v>
      </c>
      <c r="H331" t="s">
        <v>3583</v>
      </c>
      <c r="I331" t="s">
        <v>3583</v>
      </c>
      <c r="J331" t="s">
        <v>3584</v>
      </c>
      <c r="K331" s="4">
        <v>4.99</v>
      </c>
      <c r="L331" s="4">
        <v>1.8663000000000001</v>
      </c>
    </row>
    <row r="332" spans="1:12">
      <c r="A332" s="1">
        <v>42622</v>
      </c>
      <c r="B332">
        <v>1</v>
      </c>
      <c r="C332" t="s">
        <v>6244</v>
      </c>
      <c r="D332" s="4">
        <v>3.7363</v>
      </c>
      <c r="E332" s="4">
        <v>9.99</v>
      </c>
      <c r="F332" t="s">
        <v>6240</v>
      </c>
      <c r="G332" t="s">
        <v>6228</v>
      </c>
      <c r="H332" t="s">
        <v>3583</v>
      </c>
      <c r="I332" t="s">
        <v>3583</v>
      </c>
      <c r="J332" t="s">
        <v>3584</v>
      </c>
      <c r="K332" s="4">
        <v>9.99</v>
      </c>
      <c r="L332" s="4">
        <v>3.7363</v>
      </c>
    </row>
    <row r="333" spans="1:12">
      <c r="A333" s="1">
        <v>42622</v>
      </c>
      <c r="B333">
        <v>1</v>
      </c>
      <c r="C333" t="s">
        <v>6245</v>
      </c>
      <c r="D333" s="4">
        <v>0.85650000000000004</v>
      </c>
      <c r="E333" s="4">
        <v>2.29</v>
      </c>
      <c r="F333" t="s">
        <v>6243</v>
      </c>
      <c r="G333" t="s">
        <v>6228</v>
      </c>
      <c r="H333" t="s">
        <v>3585</v>
      </c>
      <c r="I333" t="s">
        <v>3585</v>
      </c>
      <c r="J333" t="s">
        <v>3584</v>
      </c>
      <c r="K333" s="4">
        <v>2.29</v>
      </c>
      <c r="L333" s="4">
        <v>0.85650000000000004</v>
      </c>
    </row>
    <row r="334" spans="1:12">
      <c r="A334" s="1">
        <v>42623</v>
      </c>
      <c r="B334">
        <v>1</v>
      </c>
      <c r="C334" t="s">
        <v>3568</v>
      </c>
      <c r="D334" s="4">
        <v>605.64919999999995</v>
      </c>
      <c r="E334" s="4">
        <v>1000.4375</v>
      </c>
      <c r="F334" t="s">
        <v>3479</v>
      </c>
      <c r="G334" t="s">
        <v>3475</v>
      </c>
      <c r="H334" t="s">
        <v>3586</v>
      </c>
      <c r="I334" t="s">
        <v>3586</v>
      </c>
      <c r="J334" t="s">
        <v>3587</v>
      </c>
      <c r="K334" s="4">
        <v>1000.4375</v>
      </c>
      <c r="L334" s="4">
        <v>605.64919999999995</v>
      </c>
    </row>
    <row r="335" spans="1:12">
      <c r="A335" s="1">
        <v>42623</v>
      </c>
      <c r="B335">
        <v>1</v>
      </c>
      <c r="C335" t="s">
        <v>6242</v>
      </c>
      <c r="D335" s="4">
        <v>1.8663000000000001</v>
      </c>
      <c r="E335" s="4">
        <v>4.99</v>
      </c>
      <c r="F335" t="s">
        <v>6243</v>
      </c>
      <c r="G335" t="s">
        <v>6228</v>
      </c>
      <c r="H335" t="s">
        <v>3586</v>
      </c>
      <c r="I335" t="s">
        <v>3586</v>
      </c>
      <c r="J335" t="s">
        <v>3587</v>
      </c>
      <c r="K335" s="4">
        <v>4.99</v>
      </c>
      <c r="L335" s="4">
        <v>1.8663000000000001</v>
      </c>
    </row>
    <row r="336" spans="1:12">
      <c r="A336" s="1">
        <v>42623</v>
      </c>
      <c r="B336">
        <v>1</v>
      </c>
      <c r="C336" t="s">
        <v>6268</v>
      </c>
      <c r="D336" s="4">
        <v>41.572299999999998</v>
      </c>
      <c r="E336" s="4">
        <v>53.99</v>
      </c>
      <c r="F336" t="s">
        <v>6235</v>
      </c>
      <c r="G336" t="s">
        <v>6233</v>
      </c>
      <c r="H336" t="s">
        <v>3588</v>
      </c>
      <c r="I336" t="s">
        <v>3588</v>
      </c>
      <c r="J336" t="s">
        <v>3584</v>
      </c>
      <c r="K336" s="4">
        <v>53.99</v>
      </c>
      <c r="L336" s="4">
        <v>41.572299999999998</v>
      </c>
    </row>
    <row r="337" spans="1:12">
      <c r="A337" s="1">
        <v>42623</v>
      </c>
      <c r="B337">
        <v>1</v>
      </c>
      <c r="C337" t="s">
        <v>6270</v>
      </c>
      <c r="D337" s="4">
        <v>1.4923</v>
      </c>
      <c r="E337" s="4">
        <v>3.99</v>
      </c>
      <c r="F337" t="s">
        <v>6243</v>
      </c>
      <c r="G337" t="s">
        <v>6228</v>
      </c>
      <c r="H337" t="s">
        <v>3588</v>
      </c>
      <c r="I337" t="s">
        <v>3588</v>
      </c>
      <c r="J337" t="s">
        <v>3584</v>
      </c>
      <c r="K337" s="4">
        <v>3.99</v>
      </c>
      <c r="L337" s="4">
        <v>1.4923</v>
      </c>
    </row>
    <row r="338" spans="1:12">
      <c r="A338" s="1">
        <v>42624</v>
      </c>
      <c r="B338">
        <v>1</v>
      </c>
      <c r="C338" t="s">
        <v>6277</v>
      </c>
      <c r="D338" s="4">
        <v>8.0373000000000001</v>
      </c>
      <c r="E338" s="4">
        <v>21.49</v>
      </c>
      <c r="F338" t="s">
        <v>6243</v>
      </c>
      <c r="G338" t="s">
        <v>6228</v>
      </c>
      <c r="H338" t="s">
        <v>3585</v>
      </c>
      <c r="I338" t="s">
        <v>3585</v>
      </c>
      <c r="J338" t="s">
        <v>3584</v>
      </c>
      <c r="K338" s="4">
        <v>21.49</v>
      </c>
      <c r="L338" s="4">
        <v>8.0373000000000001</v>
      </c>
    </row>
    <row r="339" spans="1:12">
      <c r="A339" s="1">
        <v>42624</v>
      </c>
      <c r="B339">
        <v>1</v>
      </c>
      <c r="C339" t="s">
        <v>6245</v>
      </c>
      <c r="D339" s="4">
        <v>0.85650000000000004</v>
      </c>
      <c r="E339" s="4">
        <v>2.29</v>
      </c>
      <c r="F339" t="s">
        <v>6243</v>
      </c>
      <c r="G339" t="s">
        <v>6228</v>
      </c>
      <c r="H339" t="s">
        <v>3586</v>
      </c>
      <c r="I339" t="s">
        <v>3586</v>
      </c>
      <c r="J339" t="s">
        <v>3587</v>
      </c>
      <c r="K339" s="4">
        <v>2.29</v>
      </c>
      <c r="L339" s="4">
        <v>0.85650000000000004</v>
      </c>
    </row>
    <row r="340" spans="1:12">
      <c r="A340" s="1">
        <v>42624</v>
      </c>
      <c r="B340">
        <v>1</v>
      </c>
      <c r="C340" t="s">
        <v>3572</v>
      </c>
      <c r="D340" s="4">
        <v>605.64919999999995</v>
      </c>
      <c r="E340" s="4">
        <v>1000.4375</v>
      </c>
      <c r="F340" t="s">
        <v>3479</v>
      </c>
      <c r="G340" t="s">
        <v>3475</v>
      </c>
      <c r="H340" t="s">
        <v>3588</v>
      </c>
      <c r="I340" t="s">
        <v>3588</v>
      </c>
      <c r="J340" t="s">
        <v>3584</v>
      </c>
      <c r="K340" s="4">
        <v>1000.4375</v>
      </c>
      <c r="L340" s="4">
        <v>605.64919999999995</v>
      </c>
    </row>
    <row r="341" spans="1:12">
      <c r="A341" s="1">
        <v>42625</v>
      </c>
      <c r="B341">
        <v>1</v>
      </c>
      <c r="C341" t="s">
        <v>6226</v>
      </c>
      <c r="D341" s="4">
        <v>13.0863</v>
      </c>
      <c r="E341" s="4">
        <v>34.99</v>
      </c>
      <c r="F341" t="s">
        <v>6227</v>
      </c>
      <c r="G341" t="s">
        <v>6228</v>
      </c>
      <c r="H341" t="s">
        <v>3580</v>
      </c>
      <c r="I341" t="s">
        <v>3578</v>
      </c>
      <c r="J341" t="s">
        <v>3579</v>
      </c>
      <c r="K341" s="4">
        <v>34.99</v>
      </c>
      <c r="L341" s="4">
        <v>13.0863</v>
      </c>
    </row>
    <row r="342" spans="1:12">
      <c r="A342" s="1">
        <v>42625</v>
      </c>
      <c r="B342">
        <v>1</v>
      </c>
      <c r="C342" t="s">
        <v>6271</v>
      </c>
      <c r="D342" s="4">
        <v>11.2163</v>
      </c>
      <c r="E342" s="4">
        <v>29.99</v>
      </c>
      <c r="F342" t="s">
        <v>6243</v>
      </c>
      <c r="G342" t="s">
        <v>6228</v>
      </c>
      <c r="H342" t="s">
        <v>3582</v>
      </c>
      <c r="I342" t="s">
        <v>3582</v>
      </c>
      <c r="J342" t="s">
        <v>3579</v>
      </c>
      <c r="K342" s="4">
        <v>29.99</v>
      </c>
      <c r="L342" s="4">
        <v>11.2163</v>
      </c>
    </row>
    <row r="343" spans="1:12">
      <c r="A343" s="1">
        <v>42626</v>
      </c>
      <c r="B343">
        <v>1</v>
      </c>
      <c r="C343" t="s">
        <v>3542</v>
      </c>
      <c r="D343" s="4">
        <v>1105.81</v>
      </c>
      <c r="E343" s="4">
        <v>2049.0981999999999</v>
      </c>
      <c r="F343" t="s">
        <v>3478</v>
      </c>
      <c r="G343" t="s">
        <v>3475</v>
      </c>
      <c r="H343" t="s">
        <v>3580</v>
      </c>
      <c r="I343" t="s">
        <v>3578</v>
      </c>
      <c r="J343" t="s">
        <v>3579</v>
      </c>
      <c r="K343" s="4">
        <v>2049.0981999999999</v>
      </c>
      <c r="L343" s="4">
        <v>1105.81</v>
      </c>
    </row>
    <row r="344" spans="1:12">
      <c r="A344" s="1">
        <v>42626</v>
      </c>
      <c r="B344">
        <v>1</v>
      </c>
      <c r="C344" t="s">
        <v>6285</v>
      </c>
      <c r="D344" s="4">
        <v>26.176300000000001</v>
      </c>
      <c r="E344" s="4">
        <v>69.989999999999995</v>
      </c>
      <c r="F344" t="s">
        <v>6262</v>
      </c>
      <c r="G344" t="s">
        <v>6233</v>
      </c>
      <c r="H344" t="s">
        <v>3580</v>
      </c>
      <c r="I344" t="s">
        <v>3578</v>
      </c>
      <c r="J344" t="s">
        <v>3579</v>
      </c>
      <c r="K344" s="4">
        <v>69.989999999999995</v>
      </c>
      <c r="L344" s="4">
        <v>26.176300000000001</v>
      </c>
    </row>
    <row r="345" spans="1:12">
      <c r="A345" s="1">
        <v>42626</v>
      </c>
      <c r="B345">
        <v>1</v>
      </c>
      <c r="C345" t="s">
        <v>6239</v>
      </c>
      <c r="D345" s="4">
        <v>1.8663000000000001</v>
      </c>
      <c r="E345" s="4">
        <v>4.99</v>
      </c>
      <c r="F345" t="s">
        <v>6240</v>
      </c>
      <c r="G345" t="s">
        <v>6228</v>
      </c>
      <c r="H345" t="s">
        <v>3582</v>
      </c>
      <c r="I345" t="s">
        <v>3582</v>
      </c>
      <c r="J345" t="s">
        <v>3579</v>
      </c>
      <c r="K345" s="4">
        <v>4.99</v>
      </c>
      <c r="L345" s="4">
        <v>1.8663000000000001</v>
      </c>
    </row>
    <row r="346" spans="1:12">
      <c r="A346" s="1">
        <v>42626</v>
      </c>
      <c r="B346">
        <v>1</v>
      </c>
      <c r="C346" t="s">
        <v>6239</v>
      </c>
      <c r="D346" s="4">
        <v>1.8663000000000001</v>
      </c>
      <c r="E346" s="4">
        <v>4.99</v>
      </c>
      <c r="F346" t="s">
        <v>6240</v>
      </c>
      <c r="G346" t="s">
        <v>6228</v>
      </c>
      <c r="H346" t="s">
        <v>3583</v>
      </c>
      <c r="I346" t="s">
        <v>3583</v>
      </c>
      <c r="J346" t="s">
        <v>3584</v>
      </c>
      <c r="K346" s="4">
        <v>4.99</v>
      </c>
      <c r="L346" s="4">
        <v>1.8663000000000001</v>
      </c>
    </row>
    <row r="347" spans="1:12">
      <c r="A347" s="1">
        <v>42626</v>
      </c>
      <c r="B347">
        <v>1</v>
      </c>
      <c r="C347" t="s">
        <v>6244</v>
      </c>
      <c r="D347" s="4">
        <v>3.7363</v>
      </c>
      <c r="E347" s="4">
        <v>9.99</v>
      </c>
      <c r="F347" t="s">
        <v>6240</v>
      </c>
      <c r="G347" t="s">
        <v>6228</v>
      </c>
      <c r="H347" t="s">
        <v>3586</v>
      </c>
      <c r="I347" t="s">
        <v>3586</v>
      </c>
      <c r="J347" t="s">
        <v>3587</v>
      </c>
      <c r="K347" s="4">
        <v>9.99</v>
      </c>
      <c r="L347" s="4">
        <v>3.7363</v>
      </c>
    </row>
    <row r="348" spans="1:12">
      <c r="A348" s="1">
        <v>42626</v>
      </c>
      <c r="B348">
        <v>1</v>
      </c>
      <c r="C348" t="s">
        <v>6231</v>
      </c>
      <c r="D348" s="4">
        <v>5.7051999999999996</v>
      </c>
      <c r="E348" s="4">
        <v>8.6441999999999997</v>
      </c>
      <c r="F348" t="s">
        <v>6232</v>
      </c>
      <c r="G348" t="s">
        <v>6233</v>
      </c>
      <c r="H348" t="s">
        <v>3588</v>
      </c>
      <c r="I348" t="s">
        <v>3588</v>
      </c>
      <c r="J348" t="s">
        <v>3584</v>
      </c>
      <c r="K348" s="4">
        <v>8.6441999999999997</v>
      </c>
      <c r="L348" s="4">
        <v>5.7051999999999996</v>
      </c>
    </row>
    <row r="349" spans="1:12">
      <c r="A349" s="1">
        <v>42627</v>
      </c>
      <c r="B349">
        <v>1</v>
      </c>
      <c r="C349" t="s">
        <v>6260</v>
      </c>
      <c r="D349" s="4">
        <v>13.09</v>
      </c>
      <c r="E349" s="4">
        <v>35</v>
      </c>
      <c r="F349" t="s">
        <v>6243</v>
      </c>
      <c r="G349" t="s">
        <v>6228</v>
      </c>
      <c r="H349" t="s">
        <v>3588</v>
      </c>
      <c r="I349" t="s">
        <v>3588</v>
      </c>
      <c r="J349" t="s">
        <v>3584</v>
      </c>
      <c r="K349" s="4">
        <v>35</v>
      </c>
      <c r="L349" s="4">
        <v>13.09</v>
      </c>
    </row>
    <row r="350" spans="1:12">
      <c r="A350" s="1">
        <v>42627</v>
      </c>
      <c r="B350">
        <v>1</v>
      </c>
      <c r="C350" t="s">
        <v>6286</v>
      </c>
      <c r="D350" s="4">
        <v>1481.9378999999999</v>
      </c>
      <c r="E350" s="4">
        <v>2384.0700000000002</v>
      </c>
      <c r="F350" t="s">
        <v>6274</v>
      </c>
      <c r="G350" t="s">
        <v>3475</v>
      </c>
      <c r="H350" t="s">
        <v>3588</v>
      </c>
      <c r="I350" t="s">
        <v>3588</v>
      </c>
      <c r="J350" t="s">
        <v>3584</v>
      </c>
      <c r="K350" s="4">
        <v>2384.0700000000002</v>
      </c>
      <c r="L350" s="4">
        <v>1481.9378999999999</v>
      </c>
    </row>
    <row r="351" spans="1:12">
      <c r="A351" s="1">
        <v>42628</v>
      </c>
      <c r="B351">
        <v>1</v>
      </c>
      <c r="C351" t="s">
        <v>3570</v>
      </c>
      <c r="D351" s="4">
        <v>605.64919999999995</v>
      </c>
      <c r="E351" s="4">
        <v>1000.4375</v>
      </c>
      <c r="F351" t="s">
        <v>3479</v>
      </c>
      <c r="G351" t="s">
        <v>3475</v>
      </c>
      <c r="H351" t="s">
        <v>3577</v>
      </c>
      <c r="I351" t="s">
        <v>3578</v>
      </c>
      <c r="J351" t="s">
        <v>3579</v>
      </c>
      <c r="K351" s="4">
        <v>1000.4375</v>
      </c>
      <c r="L351" s="4">
        <v>605.64919999999995</v>
      </c>
    </row>
    <row r="352" spans="1:12">
      <c r="A352" s="1">
        <v>42628</v>
      </c>
      <c r="B352">
        <v>1</v>
      </c>
      <c r="C352" t="s">
        <v>6229</v>
      </c>
      <c r="D352" s="4">
        <v>12.027799999999999</v>
      </c>
      <c r="E352" s="4">
        <v>33.644199999999998</v>
      </c>
      <c r="F352" t="s">
        <v>6227</v>
      </c>
      <c r="G352" t="s">
        <v>6228</v>
      </c>
      <c r="H352" t="s">
        <v>3582</v>
      </c>
      <c r="I352" t="s">
        <v>3582</v>
      </c>
      <c r="J352" t="s">
        <v>3579</v>
      </c>
      <c r="K352" s="4">
        <v>33.644199999999998</v>
      </c>
      <c r="L352" s="4">
        <v>12.027799999999999</v>
      </c>
    </row>
    <row r="353" spans="1:12">
      <c r="A353" s="1">
        <v>42628</v>
      </c>
      <c r="B353">
        <v>1</v>
      </c>
      <c r="C353" t="s">
        <v>6241</v>
      </c>
      <c r="D353" s="4">
        <v>3.3622999999999998</v>
      </c>
      <c r="E353" s="4">
        <v>8.99</v>
      </c>
      <c r="F353" t="s">
        <v>6240</v>
      </c>
      <c r="G353" t="s">
        <v>6228</v>
      </c>
      <c r="H353" t="s">
        <v>3582</v>
      </c>
      <c r="I353" t="s">
        <v>3582</v>
      </c>
      <c r="J353" t="s">
        <v>3579</v>
      </c>
      <c r="K353" s="4">
        <v>8.99</v>
      </c>
      <c r="L353" s="4">
        <v>3.3622999999999998</v>
      </c>
    </row>
    <row r="354" spans="1:12">
      <c r="A354" s="1">
        <v>42628</v>
      </c>
      <c r="B354">
        <v>1</v>
      </c>
      <c r="C354" t="s">
        <v>6270</v>
      </c>
      <c r="D354" s="4">
        <v>1.4923</v>
      </c>
      <c r="E354" s="4">
        <v>3.99</v>
      </c>
      <c r="F354" t="s">
        <v>6243</v>
      </c>
      <c r="G354" t="s">
        <v>6228</v>
      </c>
      <c r="H354" t="s">
        <v>3582</v>
      </c>
      <c r="I354" t="s">
        <v>3582</v>
      </c>
      <c r="J354" t="s">
        <v>3579</v>
      </c>
      <c r="K354" s="4">
        <v>3.99</v>
      </c>
      <c r="L354" s="4">
        <v>1.4923</v>
      </c>
    </row>
    <row r="355" spans="1:12">
      <c r="A355" s="1">
        <v>42628</v>
      </c>
      <c r="B355">
        <v>1</v>
      </c>
      <c r="C355" t="s">
        <v>6270</v>
      </c>
      <c r="D355" s="4">
        <v>1.4923</v>
      </c>
      <c r="E355" s="4">
        <v>3.99</v>
      </c>
      <c r="F355" t="s">
        <v>6243</v>
      </c>
      <c r="G355" t="s">
        <v>6228</v>
      </c>
      <c r="H355" t="s">
        <v>3588</v>
      </c>
      <c r="I355" t="s">
        <v>3588</v>
      </c>
      <c r="J355" t="s">
        <v>3584</v>
      </c>
      <c r="K355" s="4">
        <v>3.99</v>
      </c>
      <c r="L355" s="4">
        <v>1.4923</v>
      </c>
    </row>
    <row r="356" spans="1:12">
      <c r="A356" s="1">
        <v>42628</v>
      </c>
      <c r="B356">
        <v>1</v>
      </c>
      <c r="C356" t="s">
        <v>6276</v>
      </c>
      <c r="D356" s="4">
        <v>1.8663000000000001</v>
      </c>
      <c r="E356" s="4">
        <v>4.99</v>
      </c>
      <c r="F356" t="s">
        <v>6243</v>
      </c>
      <c r="G356" t="s">
        <v>6228</v>
      </c>
      <c r="H356" t="s">
        <v>3588</v>
      </c>
      <c r="I356" t="s">
        <v>3588</v>
      </c>
      <c r="J356" t="s">
        <v>3584</v>
      </c>
      <c r="K356" s="4">
        <v>4.99</v>
      </c>
      <c r="L356" s="4">
        <v>1.8663000000000001</v>
      </c>
    </row>
    <row r="357" spans="1:12">
      <c r="A357" s="1">
        <v>42629</v>
      </c>
      <c r="B357">
        <v>1</v>
      </c>
      <c r="C357" t="s">
        <v>6244</v>
      </c>
      <c r="D357" s="4">
        <v>3.7363</v>
      </c>
      <c r="E357" s="4">
        <v>9.99</v>
      </c>
      <c r="F357" t="s">
        <v>6240</v>
      </c>
      <c r="G357" t="s">
        <v>6228</v>
      </c>
      <c r="H357" t="s">
        <v>3577</v>
      </c>
      <c r="I357" t="s">
        <v>3578</v>
      </c>
      <c r="J357" t="s">
        <v>3579</v>
      </c>
      <c r="K357" s="4">
        <v>9.99</v>
      </c>
      <c r="L357" s="4">
        <v>3.7363</v>
      </c>
    </row>
    <row r="358" spans="1:12">
      <c r="A358" s="1">
        <v>42629</v>
      </c>
      <c r="B358">
        <v>1</v>
      </c>
      <c r="C358" t="s">
        <v>6260</v>
      </c>
      <c r="D358" s="4">
        <v>13.09</v>
      </c>
      <c r="E358" s="4">
        <v>35</v>
      </c>
      <c r="F358" t="s">
        <v>6243</v>
      </c>
      <c r="G358" t="s">
        <v>6228</v>
      </c>
      <c r="H358" t="s">
        <v>3577</v>
      </c>
      <c r="I358" t="s">
        <v>3578</v>
      </c>
      <c r="J358" t="s">
        <v>3579</v>
      </c>
      <c r="K358" s="4">
        <v>35</v>
      </c>
      <c r="L358" s="4">
        <v>13.09</v>
      </c>
    </row>
    <row r="359" spans="1:12">
      <c r="A359" s="1">
        <v>42629</v>
      </c>
      <c r="B359">
        <v>1</v>
      </c>
      <c r="C359" t="s">
        <v>6239</v>
      </c>
      <c r="D359" s="4">
        <v>1.8663000000000001</v>
      </c>
      <c r="E359" s="4">
        <v>4.99</v>
      </c>
      <c r="F359" t="s">
        <v>6240</v>
      </c>
      <c r="G359" t="s">
        <v>6228</v>
      </c>
      <c r="H359" t="s">
        <v>3580</v>
      </c>
      <c r="I359" t="s">
        <v>3578</v>
      </c>
      <c r="J359" t="s">
        <v>3579</v>
      </c>
      <c r="K359" s="4">
        <v>4.99</v>
      </c>
      <c r="L359" s="4">
        <v>1.8663000000000001</v>
      </c>
    </row>
    <row r="360" spans="1:12">
      <c r="A360" s="1">
        <v>42629</v>
      </c>
      <c r="B360">
        <v>2</v>
      </c>
      <c r="C360" t="s">
        <v>6244</v>
      </c>
      <c r="D360" s="4">
        <v>3.7363</v>
      </c>
      <c r="E360" s="4">
        <v>9.99</v>
      </c>
      <c r="F360" t="s">
        <v>6240</v>
      </c>
      <c r="G360" t="s">
        <v>6228</v>
      </c>
      <c r="H360" t="s">
        <v>3582</v>
      </c>
      <c r="I360" t="s">
        <v>3582</v>
      </c>
      <c r="J360" t="s">
        <v>3579</v>
      </c>
      <c r="K360" s="4">
        <v>19.98</v>
      </c>
      <c r="L360" s="4">
        <v>7.4725999999999999</v>
      </c>
    </row>
    <row r="361" spans="1:12">
      <c r="A361" s="1">
        <v>42629</v>
      </c>
      <c r="B361">
        <v>1</v>
      </c>
      <c r="C361" t="s">
        <v>6270</v>
      </c>
      <c r="D361" s="4">
        <v>1.4923</v>
      </c>
      <c r="E361" s="4">
        <v>3.99</v>
      </c>
      <c r="F361" t="s">
        <v>6243</v>
      </c>
      <c r="G361" t="s">
        <v>6228</v>
      </c>
      <c r="H361" t="s">
        <v>3582</v>
      </c>
      <c r="I361" t="s">
        <v>3582</v>
      </c>
      <c r="J361" t="s">
        <v>3579</v>
      </c>
      <c r="K361" s="4">
        <v>3.99</v>
      </c>
      <c r="L361" s="4">
        <v>1.4923</v>
      </c>
    </row>
    <row r="362" spans="1:12">
      <c r="A362" s="1">
        <v>42630</v>
      </c>
      <c r="B362">
        <v>1</v>
      </c>
      <c r="C362" t="s">
        <v>6253</v>
      </c>
      <c r="D362" s="4">
        <v>9.7135999999999996</v>
      </c>
      <c r="E362" s="4">
        <v>23.548100000000002</v>
      </c>
      <c r="F362" t="s">
        <v>6251</v>
      </c>
      <c r="G362" t="s">
        <v>6233</v>
      </c>
      <c r="H362" t="s">
        <v>3580</v>
      </c>
      <c r="I362" t="s">
        <v>3578</v>
      </c>
      <c r="J362" t="s">
        <v>3579</v>
      </c>
      <c r="K362" s="4">
        <v>23.548100000000002</v>
      </c>
      <c r="L362" s="4">
        <v>9.7135999999999996</v>
      </c>
    </row>
    <row r="363" spans="1:12">
      <c r="A363" s="1">
        <v>42630</v>
      </c>
      <c r="B363">
        <v>1</v>
      </c>
      <c r="C363" t="s">
        <v>6253</v>
      </c>
      <c r="D363" s="4">
        <v>9.7135999999999996</v>
      </c>
      <c r="E363" s="4">
        <v>23.548100000000002</v>
      </c>
      <c r="F363" t="s">
        <v>6251</v>
      </c>
      <c r="G363" t="s">
        <v>6233</v>
      </c>
      <c r="H363" t="s">
        <v>3582</v>
      </c>
      <c r="I363" t="s">
        <v>3582</v>
      </c>
      <c r="J363" t="s">
        <v>3579</v>
      </c>
      <c r="K363" s="4">
        <v>23.548100000000002</v>
      </c>
      <c r="L363" s="4">
        <v>9.7135999999999996</v>
      </c>
    </row>
    <row r="364" spans="1:12">
      <c r="A364" s="1">
        <v>42630</v>
      </c>
      <c r="B364">
        <v>1</v>
      </c>
      <c r="C364" t="s">
        <v>6226</v>
      </c>
      <c r="D364" s="4">
        <v>13.0863</v>
      </c>
      <c r="E364" s="4">
        <v>34.99</v>
      </c>
      <c r="F364" t="s">
        <v>6227</v>
      </c>
      <c r="G364" t="s">
        <v>6228</v>
      </c>
      <c r="H364" t="s">
        <v>3585</v>
      </c>
      <c r="I364" t="s">
        <v>3585</v>
      </c>
      <c r="J364" t="s">
        <v>3584</v>
      </c>
      <c r="K364" s="4">
        <v>34.99</v>
      </c>
      <c r="L364" s="4">
        <v>13.0863</v>
      </c>
    </row>
    <row r="365" spans="1:12">
      <c r="A365" s="1">
        <v>42631</v>
      </c>
      <c r="B365">
        <v>1</v>
      </c>
      <c r="C365" t="s">
        <v>6254</v>
      </c>
      <c r="D365" s="4">
        <v>12.192399999999999</v>
      </c>
      <c r="E365" s="4">
        <v>32.6</v>
      </c>
      <c r="F365" t="s">
        <v>6243</v>
      </c>
      <c r="G365" t="s">
        <v>6228</v>
      </c>
      <c r="H365" t="s">
        <v>3577</v>
      </c>
      <c r="I365" t="s">
        <v>3578</v>
      </c>
      <c r="J365" t="s">
        <v>3579</v>
      </c>
      <c r="K365" s="4">
        <v>32.6</v>
      </c>
      <c r="L365" s="4">
        <v>12.192399999999999</v>
      </c>
    </row>
    <row r="366" spans="1:12">
      <c r="A366" s="1">
        <v>42631</v>
      </c>
      <c r="B366">
        <v>1</v>
      </c>
      <c r="C366" t="s">
        <v>3556</v>
      </c>
      <c r="D366" s="4">
        <v>1320.6838</v>
      </c>
      <c r="E366" s="4">
        <v>2181.5625</v>
      </c>
      <c r="F366" t="s">
        <v>3479</v>
      </c>
      <c r="G366" t="s">
        <v>3475</v>
      </c>
      <c r="H366" t="s">
        <v>3585</v>
      </c>
      <c r="I366" t="s">
        <v>3585</v>
      </c>
      <c r="J366" t="s">
        <v>3584</v>
      </c>
      <c r="K366" s="4">
        <v>2181.5625</v>
      </c>
      <c r="L366" s="4">
        <v>1320.6838</v>
      </c>
    </row>
    <row r="367" spans="1:12">
      <c r="A367" s="1">
        <v>42631</v>
      </c>
      <c r="B367">
        <v>1</v>
      </c>
      <c r="C367" t="s">
        <v>6270</v>
      </c>
      <c r="D367" s="4">
        <v>1.4923</v>
      </c>
      <c r="E367" s="4">
        <v>3.99</v>
      </c>
      <c r="F367" t="s">
        <v>6243</v>
      </c>
      <c r="G367" t="s">
        <v>6228</v>
      </c>
      <c r="H367" t="s">
        <v>3586</v>
      </c>
      <c r="I367" t="s">
        <v>3586</v>
      </c>
      <c r="J367" t="s">
        <v>3587</v>
      </c>
      <c r="K367" s="4">
        <v>3.99</v>
      </c>
      <c r="L367" s="4">
        <v>1.4923</v>
      </c>
    </row>
    <row r="368" spans="1:12">
      <c r="A368" s="1">
        <v>42632</v>
      </c>
      <c r="B368">
        <v>1</v>
      </c>
      <c r="C368" t="s">
        <v>6230</v>
      </c>
      <c r="D368" s="4">
        <v>12.027799999999999</v>
      </c>
      <c r="E368" s="4">
        <v>33.644199999999998</v>
      </c>
      <c r="F368" t="s">
        <v>6227</v>
      </c>
      <c r="G368" t="s">
        <v>6228</v>
      </c>
      <c r="H368" t="s">
        <v>3577</v>
      </c>
      <c r="I368" t="s">
        <v>3578</v>
      </c>
      <c r="J368" t="s">
        <v>3579</v>
      </c>
      <c r="K368" s="4">
        <v>33.644199999999998</v>
      </c>
      <c r="L368" s="4">
        <v>12.027799999999999</v>
      </c>
    </row>
    <row r="369" spans="1:12">
      <c r="A369" s="1">
        <v>42632</v>
      </c>
      <c r="B369">
        <v>1</v>
      </c>
      <c r="C369" t="s">
        <v>3572</v>
      </c>
      <c r="D369" s="4">
        <v>605.64919999999995</v>
      </c>
      <c r="E369" s="4">
        <v>1000.4375</v>
      </c>
      <c r="F369" t="s">
        <v>3479</v>
      </c>
      <c r="G369" t="s">
        <v>3475</v>
      </c>
      <c r="H369" t="s">
        <v>3577</v>
      </c>
      <c r="I369" t="s">
        <v>3578</v>
      </c>
      <c r="J369" t="s">
        <v>3579</v>
      </c>
      <c r="K369" s="4">
        <v>1000.4375</v>
      </c>
      <c r="L369" s="4">
        <v>605.64919999999995</v>
      </c>
    </row>
    <row r="370" spans="1:12">
      <c r="A370" s="1">
        <v>42632</v>
      </c>
      <c r="B370">
        <v>1</v>
      </c>
      <c r="C370" t="s">
        <v>6242</v>
      </c>
      <c r="D370" s="4">
        <v>1.8663000000000001</v>
      </c>
      <c r="E370" s="4">
        <v>4.99</v>
      </c>
      <c r="F370" t="s">
        <v>6243</v>
      </c>
      <c r="G370" t="s">
        <v>6228</v>
      </c>
      <c r="H370" t="s">
        <v>3577</v>
      </c>
      <c r="I370" t="s">
        <v>3578</v>
      </c>
      <c r="J370" t="s">
        <v>3579</v>
      </c>
      <c r="K370" s="4">
        <v>4.99</v>
      </c>
      <c r="L370" s="4">
        <v>1.8663000000000001</v>
      </c>
    </row>
    <row r="371" spans="1:12">
      <c r="A371" s="1">
        <v>42632</v>
      </c>
      <c r="B371">
        <v>1</v>
      </c>
      <c r="C371" t="s">
        <v>6277</v>
      </c>
      <c r="D371" s="4">
        <v>8.0373000000000001</v>
      </c>
      <c r="E371" s="4">
        <v>21.49</v>
      </c>
      <c r="F371" t="s">
        <v>6243</v>
      </c>
      <c r="G371" t="s">
        <v>6228</v>
      </c>
      <c r="H371" t="s">
        <v>3582</v>
      </c>
      <c r="I371" t="s">
        <v>3582</v>
      </c>
      <c r="J371" t="s">
        <v>3579</v>
      </c>
      <c r="K371" s="4">
        <v>21.49</v>
      </c>
      <c r="L371" s="4">
        <v>8.0373000000000001</v>
      </c>
    </row>
    <row r="372" spans="1:12">
      <c r="A372" s="1">
        <v>42632</v>
      </c>
      <c r="B372">
        <v>1</v>
      </c>
      <c r="C372" t="s">
        <v>6287</v>
      </c>
      <c r="D372" s="4">
        <v>1082.51</v>
      </c>
      <c r="E372" s="4">
        <v>1700.99</v>
      </c>
      <c r="F372" t="s">
        <v>3479</v>
      </c>
      <c r="G372" t="s">
        <v>3475</v>
      </c>
      <c r="H372" t="s">
        <v>3588</v>
      </c>
      <c r="I372" t="s">
        <v>3588</v>
      </c>
      <c r="J372" t="s">
        <v>3584</v>
      </c>
      <c r="K372" s="4">
        <v>1700.99</v>
      </c>
      <c r="L372" s="4">
        <v>1082.51</v>
      </c>
    </row>
    <row r="373" spans="1:12">
      <c r="A373" s="1">
        <v>42633</v>
      </c>
      <c r="B373">
        <v>1</v>
      </c>
      <c r="C373" t="s">
        <v>3570</v>
      </c>
      <c r="D373" s="4">
        <v>605.64919999999995</v>
      </c>
      <c r="E373" s="4">
        <v>1000.4375</v>
      </c>
      <c r="F373" t="s">
        <v>3479</v>
      </c>
      <c r="G373" t="s">
        <v>3475</v>
      </c>
      <c r="H373" t="s">
        <v>3582</v>
      </c>
      <c r="I373" t="s">
        <v>3582</v>
      </c>
      <c r="J373" t="s">
        <v>3579</v>
      </c>
      <c r="K373" s="4">
        <v>1000.4375</v>
      </c>
      <c r="L373" s="4">
        <v>605.64919999999995</v>
      </c>
    </row>
    <row r="374" spans="1:12">
      <c r="A374" s="1">
        <v>42633</v>
      </c>
      <c r="B374">
        <v>1</v>
      </c>
      <c r="C374" t="s">
        <v>6241</v>
      </c>
      <c r="D374" s="4">
        <v>3.3622999999999998</v>
      </c>
      <c r="E374" s="4">
        <v>8.99</v>
      </c>
      <c r="F374" t="s">
        <v>6240</v>
      </c>
      <c r="G374" t="s">
        <v>6228</v>
      </c>
      <c r="H374" t="s">
        <v>3582</v>
      </c>
      <c r="I374" t="s">
        <v>3582</v>
      </c>
      <c r="J374" t="s">
        <v>3579</v>
      </c>
      <c r="K374" s="4">
        <v>8.99</v>
      </c>
      <c r="L374" s="4">
        <v>3.3622999999999998</v>
      </c>
    </row>
    <row r="375" spans="1:12">
      <c r="A375" s="1">
        <v>42633</v>
      </c>
      <c r="B375">
        <v>1</v>
      </c>
      <c r="C375" t="s">
        <v>6239</v>
      </c>
      <c r="D375" s="4">
        <v>1.8663000000000001</v>
      </c>
      <c r="E375" s="4">
        <v>4.99</v>
      </c>
      <c r="F375" t="s">
        <v>6240</v>
      </c>
      <c r="G375" t="s">
        <v>6228</v>
      </c>
      <c r="H375" t="s">
        <v>3588</v>
      </c>
      <c r="I375" t="s">
        <v>3588</v>
      </c>
      <c r="J375" t="s">
        <v>3584</v>
      </c>
      <c r="K375" s="4">
        <v>4.99</v>
      </c>
      <c r="L375" s="4">
        <v>1.8663000000000001</v>
      </c>
    </row>
    <row r="376" spans="1:12">
      <c r="A376" s="1">
        <v>42633</v>
      </c>
      <c r="B376">
        <v>1</v>
      </c>
      <c r="C376" t="s">
        <v>6277</v>
      </c>
      <c r="D376" s="4">
        <v>8.0373000000000001</v>
      </c>
      <c r="E376" s="4">
        <v>21.49</v>
      </c>
      <c r="F376" t="s">
        <v>6243</v>
      </c>
      <c r="G376" t="s">
        <v>6228</v>
      </c>
      <c r="H376" t="s">
        <v>3588</v>
      </c>
      <c r="I376" t="s">
        <v>3588</v>
      </c>
      <c r="J376" t="s">
        <v>3584</v>
      </c>
      <c r="K376" s="4">
        <v>21.49</v>
      </c>
      <c r="L376" s="4">
        <v>8.0373000000000001</v>
      </c>
    </row>
    <row r="377" spans="1:12">
      <c r="A377" s="1">
        <v>42634</v>
      </c>
      <c r="B377">
        <v>1</v>
      </c>
      <c r="C377" t="s">
        <v>6277</v>
      </c>
      <c r="D377" s="4">
        <v>8.0373000000000001</v>
      </c>
      <c r="E377" s="4">
        <v>21.49</v>
      </c>
      <c r="F377" t="s">
        <v>6243</v>
      </c>
      <c r="G377" t="s">
        <v>6228</v>
      </c>
      <c r="H377" t="s">
        <v>3577</v>
      </c>
      <c r="I377" t="s">
        <v>3578</v>
      </c>
      <c r="J377" t="s">
        <v>3579</v>
      </c>
      <c r="K377" s="4">
        <v>21.49</v>
      </c>
      <c r="L377" s="4">
        <v>8.0373000000000001</v>
      </c>
    </row>
    <row r="378" spans="1:12">
      <c r="A378" s="1">
        <v>42634</v>
      </c>
      <c r="B378">
        <v>1</v>
      </c>
      <c r="C378" t="s">
        <v>6239</v>
      </c>
      <c r="D378" s="4">
        <v>1.8663000000000001</v>
      </c>
      <c r="E378" s="4">
        <v>4.99</v>
      </c>
      <c r="F378" t="s">
        <v>6240</v>
      </c>
      <c r="G378" t="s">
        <v>6228</v>
      </c>
      <c r="H378" t="s">
        <v>3580</v>
      </c>
      <c r="I378" t="s">
        <v>3578</v>
      </c>
      <c r="J378" t="s">
        <v>3579</v>
      </c>
      <c r="K378" s="4">
        <v>4.99</v>
      </c>
      <c r="L378" s="4">
        <v>1.8663000000000001</v>
      </c>
    </row>
    <row r="379" spans="1:12">
      <c r="A379" s="1">
        <v>42634</v>
      </c>
      <c r="B379">
        <v>1</v>
      </c>
      <c r="C379" t="s">
        <v>6245</v>
      </c>
      <c r="D379" s="4">
        <v>0.85650000000000004</v>
      </c>
      <c r="E379" s="4">
        <v>2.29</v>
      </c>
      <c r="F379" t="s">
        <v>6243</v>
      </c>
      <c r="G379" t="s">
        <v>6228</v>
      </c>
      <c r="H379" t="s">
        <v>3583</v>
      </c>
      <c r="I379" t="s">
        <v>3583</v>
      </c>
      <c r="J379" t="s">
        <v>3584</v>
      </c>
      <c r="K379" s="4">
        <v>2.29</v>
      </c>
      <c r="L379" s="4">
        <v>0.85650000000000004</v>
      </c>
    </row>
    <row r="380" spans="1:12">
      <c r="A380" s="1">
        <v>42634</v>
      </c>
      <c r="B380">
        <v>1</v>
      </c>
      <c r="C380" t="s">
        <v>6270</v>
      </c>
      <c r="D380" s="4">
        <v>1.4923</v>
      </c>
      <c r="E380" s="4">
        <v>3.99</v>
      </c>
      <c r="F380" t="s">
        <v>6243</v>
      </c>
      <c r="G380" t="s">
        <v>6228</v>
      </c>
      <c r="H380" t="s">
        <v>3583</v>
      </c>
      <c r="I380" t="s">
        <v>3583</v>
      </c>
      <c r="J380" t="s">
        <v>3584</v>
      </c>
      <c r="K380" s="4">
        <v>3.99</v>
      </c>
      <c r="L380" s="4">
        <v>1.4923</v>
      </c>
    </row>
    <row r="381" spans="1:12">
      <c r="A381" s="1">
        <v>42635</v>
      </c>
      <c r="B381">
        <v>1</v>
      </c>
      <c r="C381" t="s">
        <v>6272</v>
      </c>
      <c r="D381" s="4">
        <v>9.3462999999999994</v>
      </c>
      <c r="E381" s="4">
        <v>24.99</v>
      </c>
      <c r="F381" t="s">
        <v>6243</v>
      </c>
      <c r="G381" t="s">
        <v>6228</v>
      </c>
      <c r="H381" t="s">
        <v>3580</v>
      </c>
      <c r="I381" t="s">
        <v>3578</v>
      </c>
      <c r="J381" t="s">
        <v>3579</v>
      </c>
      <c r="K381" s="4">
        <v>24.99</v>
      </c>
      <c r="L381" s="4">
        <v>9.3462999999999994</v>
      </c>
    </row>
    <row r="382" spans="1:12">
      <c r="A382" s="1">
        <v>42636</v>
      </c>
      <c r="B382">
        <v>1</v>
      </c>
      <c r="C382" t="s">
        <v>6239</v>
      </c>
      <c r="D382" s="4">
        <v>1.8663000000000001</v>
      </c>
      <c r="E382" s="4">
        <v>4.99</v>
      </c>
      <c r="F382" t="s">
        <v>6240</v>
      </c>
      <c r="G382" t="s">
        <v>6228</v>
      </c>
      <c r="H382" t="s">
        <v>3580</v>
      </c>
      <c r="I382" t="s">
        <v>3578</v>
      </c>
      <c r="J382" t="s">
        <v>3579</v>
      </c>
      <c r="K382" s="4">
        <v>4.99</v>
      </c>
      <c r="L382" s="4">
        <v>1.8663000000000001</v>
      </c>
    </row>
    <row r="383" spans="1:12">
      <c r="A383" s="1">
        <v>42636</v>
      </c>
      <c r="B383">
        <v>1</v>
      </c>
      <c r="C383" t="s">
        <v>6253</v>
      </c>
      <c r="D383" s="4">
        <v>9.7135999999999996</v>
      </c>
      <c r="E383" s="4">
        <v>23.548100000000002</v>
      </c>
      <c r="F383" t="s">
        <v>6251</v>
      </c>
      <c r="G383" t="s">
        <v>6233</v>
      </c>
      <c r="H383" t="s">
        <v>3582</v>
      </c>
      <c r="I383" t="s">
        <v>3582</v>
      </c>
      <c r="J383" t="s">
        <v>3579</v>
      </c>
      <c r="K383" s="4">
        <v>23.548100000000002</v>
      </c>
      <c r="L383" s="4">
        <v>9.7135999999999996</v>
      </c>
    </row>
    <row r="384" spans="1:12">
      <c r="A384" s="1">
        <v>42636</v>
      </c>
      <c r="B384">
        <v>1</v>
      </c>
      <c r="C384" t="s">
        <v>6288</v>
      </c>
      <c r="D384" s="4">
        <v>41.572299999999998</v>
      </c>
      <c r="E384" s="4">
        <v>53.99</v>
      </c>
      <c r="F384" t="s">
        <v>6235</v>
      </c>
      <c r="G384" t="s">
        <v>6233</v>
      </c>
      <c r="H384" t="s">
        <v>3585</v>
      </c>
      <c r="I384" t="s">
        <v>3585</v>
      </c>
      <c r="J384" t="s">
        <v>3584</v>
      </c>
      <c r="K384" s="4">
        <v>53.99</v>
      </c>
      <c r="L384" s="4">
        <v>41.572299999999998</v>
      </c>
    </row>
    <row r="385" spans="1:12">
      <c r="A385" s="1">
        <v>42636</v>
      </c>
      <c r="B385">
        <v>1</v>
      </c>
      <c r="C385" t="s">
        <v>6282</v>
      </c>
      <c r="D385" s="4">
        <v>10.8423</v>
      </c>
      <c r="E385" s="4">
        <v>28.99</v>
      </c>
      <c r="F385" t="s">
        <v>6243</v>
      </c>
      <c r="G385" t="s">
        <v>6228</v>
      </c>
      <c r="H385" t="s">
        <v>3588</v>
      </c>
      <c r="I385" t="s">
        <v>3588</v>
      </c>
      <c r="J385" t="s">
        <v>3584</v>
      </c>
      <c r="K385" s="4">
        <v>28.99</v>
      </c>
      <c r="L385" s="4">
        <v>10.8423</v>
      </c>
    </row>
    <row r="386" spans="1:12">
      <c r="A386" s="1">
        <v>42636</v>
      </c>
      <c r="B386">
        <v>1</v>
      </c>
      <c r="C386" t="s">
        <v>6281</v>
      </c>
      <c r="D386" s="4">
        <v>1481.9378999999999</v>
      </c>
      <c r="E386" s="4">
        <v>2384.0700000000002</v>
      </c>
      <c r="F386" t="s">
        <v>6274</v>
      </c>
      <c r="G386" t="s">
        <v>3475</v>
      </c>
      <c r="H386" t="s">
        <v>3588</v>
      </c>
      <c r="I386" t="s">
        <v>3588</v>
      </c>
      <c r="J386" t="s">
        <v>3584</v>
      </c>
      <c r="K386" s="4">
        <v>2384.0700000000002</v>
      </c>
      <c r="L386" s="4">
        <v>1481.9378999999999</v>
      </c>
    </row>
    <row r="387" spans="1:12">
      <c r="A387" s="1">
        <v>42637</v>
      </c>
      <c r="B387">
        <v>1</v>
      </c>
      <c r="C387" t="s">
        <v>6237</v>
      </c>
      <c r="D387" s="4">
        <v>31.724399999999999</v>
      </c>
      <c r="E387" s="4">
        <v>48.067300000000003</v>
      </c>
      <c r="F387" t="s">
        <v>6235</v>
      </c>
      <c r="G387" t="s">
        <v>6233</v>
      </c>
      <c r="H387" t="s">
        <v>3577</v>
      </c>
      <c r="I387" t="s">
        <v>3578</v>
      </c>
      <c r="J387" t="s">
        <v>3579</v>
      </c>
      <c r="K387" s="4">
        <v>48.067300000000003</v>
      </c>
      <c r="L387" s="4">
        <v>31.724399999999999</v>
      </c>
    </row>
    <row r="388" spans="1:12">
      <c r="A388" s="1">
        <v>42637</v>
      </c>
      <c r="B388">
        <v>1</v>
      </c>
      <c r="C388" t="s">
        <v>6272</v>
      </c>
      <c r="D388" s="4">
        <v>9.3462999999999994</v>
      </c>
      <c r="E388" s="4">
        <v>24.99</v>
      </c>
      <c r="F388" t="s">
        <v>6243</v>
      </c>
      <c r="G388" t="s">
        <v>6228</v>
      </c>
      <c r="H388" t="s">
        <v>3577</v>
      </c>
      <c r="I388" t="s">
        <v>3578</v>
      </c>
      <c r="J388" t="s">
        <v>3579</v>
      </c>
      <c r="K388" s="4">
        <v>24.99</v>
      </c>
      <c r="L388" s="4">
        <v>9.3462999999999994</v>
      </c>
    </row>
    <row r="389" spans="1:12">
      <c r="A389" s="1">
        <v>42637</v>
      </c>
      <c r="B389">
        <v>1</v>
      </c>
      <c r="C389" t="s">
        <v>6285</v>
      </c>
      <c r="D389" s="4">
        <v>26.176300000000001</v>
      </c>
      <c r="E389" s="4">
        <v>69.989999999999995</v>
      </c>
      <c r="F389" t="s">
        <v>6262</v>
      </c>
      <c r="G389" t="s">
        <v>6233</v>
      </c>
      <c r="H389" t="s">
        <v>3582</v>
      </c>
      <c r="I389" t="s">
        <v>3582</v>
      </c>
      <c r="J389" t="s">
        <v>3579</v>
      </c>
      <c r="K389" s="4">
        <v>69.989999999999995</v>
      </c>
      <c r="L389" s="4">
        <v>26.176300000000001</v>
      </c>
    </row>
    <row r="390" spans="1:12">
      <c r="A390" s="1">
        <v>42637</v>
      </c>
      <c r="B390">
        <v>1</v>
      </c>
      <c r="C390" t="s">
        <v>6229</v>
      </c>
      <c r="D390" s="4">
        <v>12.027799999999999</v>
      </c>
      <c r="E390" s="4">
        <v>33.644199999999998</v>
      </c>
      <c r="F390" t="s">
        <v>6227</v>
      </c>
      <c r="G390" t="s">
        <v>6228</v>
      </c>
      <c r="H390" t="s">
        <v>3588</v>
      </c>
      <c r="I390" t="s">
        <v>3588</v>
      </c>
      <c r="J390" t="s">
        <v>3584</v>
      </c>
      <c r="K390" s="4">
        <v>33.644199999999998</v>
      </c>
      <c r="L390" s="4">
        <v>12.027799999999999</v>
      </c>
    </row>
    <row r="391" spans="1:12">
      <c r="A391" s="1">
        <v>42638</v>
      </c>
      <c r="B391">
        <v>1</v>
      </c>
      <c r="C391" t="s">
        <v>6269</v>
      </c>
      <c r="D391" s="4">
        <v>9.3462999999999994</v>
      </c>
      <c r="E391" s="4">
        <v>24.99</v>
      </c>
      <c r="F391" t="s">
        <v>6243</v>
      </c>
      <c r="G391" t="s">
        <v>6228</v>
      </c>
      <c r="H391" t="s">
        <v>3577</v>
      </c>
      <c r="I391" t="s">
        <v>3578</v>
      </c>
      <c r="J391" t="s">
        <v>3579</v>
      </c>
      <c r="K391" s="4">
        <v>24.99</v>
      </c>
      <c r="L391" s="4">
        <v>9.3462999999999994</v>
      </c>
    </row>
    <row r="392" spans="1:12">
      <c r="A392" s="1">
        <v>42638</v>
      </c>
      <c r="B392">
        <v>1</v>
      </c>
      <c r="C392" t="s">
        <v>6242</v>
      </c>
      <c r="D392" s="4">
        <v>1.8663000000000001</v>
      </c>
      <c r="E392" s="4">
        <v>4.99</v>
      </c>
      <c r="F392" t="s">
        <v>6243</v>
      </c>
      <c r="G392" t="s">
        <v>6228</v>
      </c>
      <c r="H392" t="s">
        <v>3583</v>
      </c>
      <c r="I392" t="s">
        <v>3583</v>
      </c>
      <c r="J392" t="s">
        <v>3584</v>
      </c>
      <c r="K392" s="4">
        <v>4.99</v>
      </c>
      <c r="L392" s="4">
        <v>1.8663000000000001</v>
      </c>
    </row>
    <row r="393" spans="1:12">
      <c r="A393" s="1">
        <v>42639</v>
      </c>
      <c r="B393">
        <v>1</v>
      </c>
      <c r="C393" t="s">
        <v>6256</v>
      </c>
      <c r="D393" s="4">
        <v>44.88</v>
      </c>
      <c r="E393" s="4">
        <v>120</v>
      </c>
      <c r="F393" t="s">
        <v>6257</v>
      </c>
      <c r="G393" t="s">
        <v>6228</v>
      </c>
      <c r="H393" t="s">
        <v>3577</v>
      </c>
      <c r="I393" t="s">
        <v>3578</v>
      </c>
      <c r="J393" t="s">
        <v>3579</v>
      </c>
      <c r="K393" s="4">
        <v>120</v>
      </c>
      <c r="L393" s="4">
        <v>44.88</v>
      </c>
    </row>
    <row r="394" spans="1:12">
      <c r="A394" s="1">
        <v>42639</v>
      </c>
      <c r="B394">
        <v>1</v>
      </c>
      <c r="C394" t="s">
        <v>6277</v>
      </c>
      <c r="D394" s="4">
        <v>8.0373000000000001</v>
      </c>
      <c r="E394" s="4">
        <v>21.49</v>
      </c>
      <c r="F394" t="s">
        <v>6243</v>
      </c>
      <c r="G394" t="s">
        <v>6228</v>
      </c>
      <c r="H394" t="s">
        <v>3577</v>
      </c>
      <c r="I394" t="s">
        <v>3578</v>
      </c>
      <c r="J394" t="s">
        <v>3579</v>
      </c>
      <c r="K394" s="4">
        <v>21.49</v>
      </c>
      <c r="L394" s="4">
        <v>8.0373000000000001</v>
      </c>
    </row>
    <row r="395" spans="1:12">
      <c r="A395" s="1">
        <v>42639</v>
      </c>
      <c r="B395">
        <v>1</v>
      </c>
      <c r="C395" t="s">
        <v>6289</v>
      </c>
      <c r="D395" s="4">
        <v>308.21789999999999</v>
      </c>
      <c r="E395" s="4">
        <v>564.99</v>
      </c>
      <c r="F395" t="s">
        <v>3478</v>
      </c>
      <c r="G395" t="s">
        <v>3475</v>
      </c>
      <c r="H395" t="s">
        <v>3577</v>
      </c>
      <c r="I395" t="s">
        <v>3578</v>
      </c>
      <c r="J395" t="s">
        <v>3579</v>
      </c>
      <c r="K395" s="4">
        <v>564.99</v>
      </c>
      <c r="L395" s="4">
        <v>308.21789999999999</v>
      </c>
    </row>
    <row r="396" spans="1:12">
      <c r="A396" s="1">
        <v>42639</v>
      </c>
      <c r="B396">
        <v>1</v>
      </c>
      <c r="C396" t="s">
        <v>6239</v>
      </c>
      <c r="D396" s="4">
        <v>1.8663000000000001</v>
      </c>
      <c r="E396" s="4">
        <v>4.99</v>
      </c>
      <c r="F396" t="s">
        <v>6240</v>
      </c>
      <c r="G396" t="s">
        <v>6228</v>
      </c>
      <c r="H396" t="s">
        <v>3580</v>
      </c>
      <c r="I396" t="s">
        <v>3578</v>
      </c>
      <c r="J396" t="s">
        <v>3579</v>
      </c>
      <c r="K396" s="4">
        <v>4.99</v>
      </c>
      <c r="L396" s="4">
        <v>1.8663000000000001</v>
      </c>
    </row>
    <row r="397" spans="1:12">
      <c r="A397" s="1">
        <v>42639</v>
      </c>
      <c r="B397">
        <v>1</v>
      </c>
      <c r="C397" t="s">
        <v>6248</v>
      </c>
      <c r="D397" s="4">
        <v>8.2204999999999995</v>
      </c>
      <c r="E397" s="4">
        <v>21.98</v>
      </c>
      <c r="F397" t="s">
        <v>6249</v>
      </c>
      <c r="G397" t="s">
        <v>6228</v>
      </c>
      <c r="H397" t="s">
        <v>3580</v>
      </c>
      <c r="I397" t="s">
        <v>3578</v>
      </c>
      <c r="J397" t="s">
        <v>3579</v>
      </c>
      <c r="K397" s="4">
        <v>21.98</v>
      </c>
      <c r="L397" s="4">
        <v>8.2204999999999995</v>
      </c>
    </row>
    <row r="398" spans="1:12">
      <c r="A398" s="1">
        <v>42639</v>
      </c>
      <c r="B398">
        <v>1</v>
      </c>
      <c r="C398" t="s">
        <v>6229</v>
      </c>
      <c r="D398" s="4">
        <v>12.027799999999999</v>
      </c>
      <c r="E398" s="4">
        <v>33.644199999999998</v>
      </c>
      <c r="F398" t="s">
        <v>6227</v>
      </c>
      <c r="G398" t="s">
        <v>6228</v>
      </c>
      <c r="H398" t="s">
        <v>3582</v>
      </c>
      <c r="I398" t="s">
        <v>3582</v>
      </c>
      <c r="J398" t="s">
        <v>3579</v>
      </c>
      <c r="K398" s="4">
        <v>33.644199999999998</v>
      </c>
      <c r="L398" s="4">
        <v>12.027799999999999</v>
      </c>
    </row>
    <row r="399" spans="1:12">
      <c r="A399" s="1">
        <v>42639</v>
      </c>
      <c r="B399">
        <v>1</v>
      </c>
      <c r="C399" t="s">
        <v>6270</v>
      </c>
      <c r="D399" s="4">
        <v>1.4923</v>
      </c>
      <c r="E399" s="4">
        <v>3.99</v>
      </c>
      <c r="F399" t="s">
        <v>6243</v>
      </c>
      <c r="G399" t="s">
        <v>6228</v>
      </c>
      <c r="H399" t="s">
        <v>3585</v>
      </c>
      <c r="I399" t="s">
        <v>3585</v>
      </c>
      <c r="J399" t="s">
        <v>3584</v>
      </c>
      <c r="K399" s="4">
        <v>3.99</v>
      </c>
      <c r="L399" s="4">
        <v>1.4923</v>
      </c>
    </row>
    <row r="400" spans="1:12">
      <c r="A400" s="1">
        <v>42639</v>
      </c>
      <c r="B400">
        <v>1</v>
      </c>
      <c r="C400" t="s">
        <v>6271</v>
      </c>
      <c r="D400" s="4">
        <v>11.2163</v>
      </c>
      <c r="E400" s="4">
        <v>29.99</v>
      </c>
      <c r="F400" t="s">
        <v>6243</v>
      </c>
      <c r="G400" t="s">
        <v>6228</v>
      </c>
      <c r="H400" t="s">
        <v>3585</v>
      </c>
      <c r="I400" t="s">
        <v>3585</v>
      </c>
      <c r="J400" t="s">
        <v>3584</v>
      </c>
      <c r="K400" s="4">
        <v>29.99</v>
      </c>
      <c r="L400" s="4">
        <v>11.2163</v>
      </c>
    </row>
    <row r="401" spans="1:12">
      <c r="A401" s="1">
        <v>42639</v>
      </c>
      <c r="B401">
        <v>1</v>
      </c>
      <c r="C401" t="s">
        <v>6290</v>
      </c>
      <c r="D401" s="4">
        <v>1082.51</v>
      </c>
      <c r="E401" s="4">
        <v>1700.99</v>
      </c>
      <c r="F401" t="s">
        <v>3479</v>
      </c>
      <c r="G401" t="s">
        <v>3475</v>
      </c>
      <c r="H401" t="s">
        <v>3585</v>
      </c>
      <c r="I401" t="s">
        <v>3585</v>
      </c>
      <c r="J401" t="s">
        <v>3584</v>
      </c>
      <c r="K401" s="4">
        <v>1700.99</v>
      </c>
      <c r="L401" s="4">
        <v>1082.51</v>
      </c>
    </row>
    <row r="402" spans="1:12">
      <c r="A402" s="1">
        <v>42639</v>
      </c>
      <c r="B402">
        <v>1</v>
      </c>
      <c r="C402" t="s">
        <v>6291</v>
      </c>
      <c r="D402" s="4">
        <v>41.572299999999998</v>
      </c>
      <c r="E402" s="4">
        <v>53.99</v>
      </c>
      <c r="F402" t="s">
        <v>6235</v>
      </c>
      <c r="G402" t="s">
        <v>6233</v>
      </c>
      <c r="H402" t="s">
        <v>3586</v>
      </c>
      <c r="I402" t="s">
        <v>3586</v>
      </c>
      <c r="J402" t="s">
        <v>3587</v>
      </c>
      <c r="K402" s="4">
        <v>53.99</v>
      </c>
      <c r="L402" s="4">
        <v>41.572299999999998</v>
      </c>
    </row>
    <row r="403" spans="1:12">
      <c r="A403" s="1">
        <v>42640</v>
      </c>
      <c r="B403">
        <v>1</v>
      </c>
      <c r="C403" t="s">
        <v>6242</v>
      </c>
      <c r="D403" s="4">
        <v>1.8663000000000001</v>
      </c>
      <c r="E403" s="4">
        <v>4.99</v>
      </c>
      <c r="F403" t="s">
        <v>6243</v>
      </c>
      <c r="G403" t="s">
        <v>6228</v>
      </c>
      <c r="H403" t="s">
        <v>3585</v>
      </c>
      <c r="I403" t="s">
        <v>3585</v>
      </c>
      <c r="J403" t="s">
        <v>3584</v>
      </c>
      <c r="K403" s="4">
        <v>4.99</v>
      </c>
      <c r="L403" s="4">
        <v>1.8663000000000001</v>
      </c>
    </row>
    <row r="404" spans="1:12">
      <c r="A404" s="1">
        <v>42640</v>
      </c>
      <c r="B404">
        <v>1</v>
      </c>
      <c r="C404" t="s">
        <v>6237</v>
      </c>
      <c r="D404" s="4">
        <v>31.724399999999999</v>
      </c>
      <c r="E404" s="4">
        <v>48.067300000000003</v>
      </c>
      <c r="F404" t="s">
        <v>6235</v>
      </c>
      <c r="G404" t="s">
        <v>6233</v>
      </c>
      <c r="H404" t="s">
        <v>3588</v>
      </c>
      <c r="I404" t="s">
        <v>3588</v>
      </c>
      <c r="J404" t="s">
        <v>3584</v>
      </c>
      <c r="K404" s="4">
        <v>48.067300000000003</v>
      </c>
      <c r="L404" s="4">
        <v>31.724399999999999</v>
      </c>
    </row>
    <row r="405" spans="1:12">
      <c r="A405" s="1">
        <v>42641</v>
      </c>
      <c r="B405">
        <v>1</v>
      </c>
      <c r="C405" t="s">
        <v>6239</v>
      </c>
      <c r="D405" s="4">
        <v>1.8663000000000001</v>
      </c>
      <c r="E405" s="4">
        <v>4.99</v>
      </c>
      <c r="F405" t="s">
        <v>6240</v>
      </c>
      <c r="G405" t="s">
        <v>6228</v>
      </c>
      <c r="H405" t="s">
        <v>3577</v>
      </c>
      <c r="I405" t="s">
        <v>3578</v>
      </c>
      <c r="J405" t="s">
        <v>3579</v>
      </c>
      <c r="K405" s="4">
        <v>4.99</v>
      </c>
      <c r="L405" s="4">
        <v>1.8663000000000001</v>
      </c>
    </row>
    <row r="406" spans="1:12">
      <c r="A406" s="1">
        <v>42641</v>
      </c>
      <c r="B406">
        <v>1</v>
      </c>
      <c r="C406" t="s">
        <v>6242</v>
      </c>
      <c r="D406" s="4">
        <v>1.8663000000000001</v>
      </c>
      <c r="E406" s="4">
        <v>4.99</v>
      </c>
      <c r="F406" t="s">
        <v>6243</v>
      </c>
      <c r="G406" t="s">
        <v>6228</v>
      </c>
      <c r="H406" t="s">
        <v>3582</v>
      </c>
      <c r="I406" t="s">
        <v>3582</v>
      </c>
      <c r="J406" t="s">
        <v>3579</v>
      </c>
      <c r="K406" s="4">
        <v>4.99</v>
      </c>
      <c r="L406" s="4">
        <v>1.8663000000000001</v>
      </c>
    </row>
    <row r="407" spans="1:12">
      <c r="A407" s="1">
        <v>42641</v>
      </c>
      <c r="B407">
        <v>1</v>
      </c>
      <c r="C407" t="s">
        <v>6236</v>
      </c>
      <c r="D407" s="4">
        <v>31.724399999999999</v>
      </c>
      <c r="E407" s="4">
        <v>48.067300000000003</v>
      </c>
      <c r="F407" t="s">
        <v>6235</v>
      </c>
      <c r="G407" t="s">
        <v>6233</v>
      </c>
      <c r="H407" t="s">
        <v>3585</v>
      </c>
      <c r="I407" t="s">
        <v>3585</v>
      </c>
      <c r="J407" t="s">
        <v>3584</v>
      </c>
      <c r="K407" s="4">
        <v>48.067300000000003</v>
      </c>
      <c r="L407" s="4">
        <v>31.724399999999999</v>
      </c>
    </row>
    <row r="408" spans="1:12">
      <c r="A408" s="1">
        <v>42641</v>
      </c>
      <c r="B408">
        <v>1</v>
      </c>
      <c r="C408" t="s">
        <v>6231</v>
      </c>
      <c r="D408" s="4">
        <v>5.7051999999999996</v>
      </c>
      <c r="E408" s="4">
        <v>8.6441999999999997</v>
      </c>
      <c r="F408" t="s">
        <v>6232</v>
      </c>
      <c r="G408" t="s">
        <v>6233</v>
      </c>
      <c r="H408" t="s">
        <v>3586</v>
      </c>
      <c r="I408" t="s">
        <v>3586</v>
      </c>
      <c r="J408" t="s">
        <v>3587</v>
      </c>
      <c r="K408" s="4">
        <v>8.6441999999999997</v>
      </c>
      <c r="L408" s="4">
        <v>5.7051999999999996</v>
      </c>
    </row>
    <row r="409" spans="1:12">
      <c r="A409" s="1">
        <v>42642</v>
      </c>
      <c r="B409">
        <v>1</v>
      </c>
      <c r="C409" t="s">
        <v>6242</v>
      </c>
      <c r="D409" s="4">
        <v>1.8663000000000001</v>
      </c>
      <c r="E409" s="4">
        <v>4.99</v>
      </c>
      <c r="F409" t="s">
        <v>6243</v>
      </c>
      <c r="G409" t="s">
        <v>6228</v>
      </c>
      <c r="H409" t="s">
        <v>3582</v>
      </c>
      <c r="I409" t="s">
        <v>3582</v>
      </c>
      <c r="J409" t="s">
        <v>3579</v>
      </c>
      <c r="K409" s="4">
        <v>4.99</v>
      </c>
      <c r="L409" s="4">
        <v>1.8663000000000001</v>
      </c>
    </row>
    <row r="410" spans="1:12">
      <c r="A410" s="1">
        <v>42642</v>
      </c>
      <c r="B410">
        <v>1</v>
      </c>
      <c r="C410" t="s">
        <v>6254</v>
      </c>
      <c r="D410" s="4">
        <v>12.192399999999999</v>
      </c>
      <c r="E410" s="4">
        <v>32.6</v>
      </c>
      <c r="F410" t="s">
        <v>6243</v>
      </c>
      <c r="G410" t="s">
        <v>6228</v>
      </c>
      <c r="H410" t="s">
        <v>3588</v>
      </c>
      <c r="I410" t="s">
        <v>3588</v>
      </c>
      <c r="J410" t="s">
        <v>3584</v>
      </c>
      <c r="K410" s="4">
        <v>32.6</v>
      </c>
      <c r="L410" s="4">
        <v>12.192399999999999</v>
      </c>
    </row>
    <row r="411" spans="1:12">
      <c r="A411" s="1">
        <v>42643</v>
      </c>
      <c r="B411">
        <v>1</v>
      </c>
      <c r="C411" t="s">
        <v>6292</v>
      </c>
      <c r="D411" s="4">
        <v>23.748999999999999</v>
      </c>
      <c r="E411" s="4">
        <v>63.5</v>
      </c>
      <c r="F411" t="s">
        <v>6293</v>
      </c>
      <c r="G411" t="s">
        <v>6233</v>
      </c>
      <c r="H411" t="s">
        <v>3577</v>
      </c>
      <c r="I411" t="s">
        <v>3578</v>
      </c>
      <c r="J411" t="s">
        <v>3579</v>
      </c>
      <c r="K411" s="4">
        <v>63.5</v>
      </c>
      <c r="L411" s="4">
        <v>23.748999999999999</v>
      </c>
    </row>
    <row r="412" spans="1:12">
      <c r="A412" s="1">
        <v>42643</v>
      </c>
      <c r="B412">
        <v>1</v>
      </c>
      <c r="C412" t="s">
        <v>6252</v>
      </c>
      <c r="D412" s="4">
        <v>343.64960000000002</v>
      </c>
      <c r="E412" s="4">
        <v>539.99</v>
      </c>
      <c r="F412" t="s">
        <v>3479</v>
      </c>
      <c r="G412" t="s">
        <v>3475</v>
      </c>
      <c r="H412" t="s">
        <v>3580</v>
      </c>
      <c r="I412" t="s">
        <v>3578</v>
      </c>
      <c r="J412" t="s">
        <v>3579</v>
      </c>
      <c r="K412" s="4">
        <v>539.99</v>
      </c>
      <c r="L412" s="4">
        <v>343.64960000000002</v>
      </c>
    </row>
    <row r="413" spans="1:12">
      <c r="A413" s="1">
        <v>42643</v>
      </c>
      <c r="B413">
        <v>2</v>
      </c>
      <c r="C413" t="s">
        <v>6242</v>
      </c>
      <c r="D413" s="4">
        <v>1.8663000000000001</v>
      </c>
      <c r="E413" s="4">
        <v>4.99</v>
      </c>
      <c r="F413" t="s">
        <v>6243</v>
      </c>
      <c r="G413" t="s">
        <v>6228</v>
      </c>
      <c r="H413" t="s">
        <v>3582</v>
      </c>
      <c r="I413" t="s">
        <v>3582</v>
      </c>
      <c r="J413" t="s">
        <v>3579</v>
      </c>
      <c r="K413" s="4">
        <v>9.98</v>
      </c>
      <c r="L413" s="4">
        <v>3.7326000000000001</v>
      </c>
    </row>
    <row r="414" spans="1:12">
      <c r="A414" s="1">
        <v>42643</v>
      </c>
      <c r="B414">
        <v>1</v>
      </c>
      <c r="C414" t="s">
        <v>6277</v>
      </c>
      <c r="D414" s="4">
        <v>8.0373000000000001</v>
      </c>
      <c r="E414" s="4">
        <v>21.49</v>
      </c>
      <c r="F414" t="s">
        <v>6243</v>
      </c>
      <c r="G414" t="s">
        <v>6228</v>
      </c>
      <c r="H414" t="s">
        <v>3585</v>
      </c>
      <c r="I414" t="s">
        <v>3585</v>
      </c>
      <c r="J414" t="s">
        <v>3584</v>
      </c>
      <c r="K414" s="4">
        <v>21.49</v>
      </c>
      <c r="L414" s="4">
        <v>8.0373000000000001</v>
      </c>
    </row>
    <row r="415" spans="1:12">
      <c r="A415" s="1">
        <v>42643</v>
      </c>
      <c r="B415">
        <v>1</v>
      </c>
      <c r="C415" t="s">
        <v>6252</v>
      </c>
      <c r="D415" s="4">
        <v>343.64960000000002</v>
      </c>
      <c r="E415" s="4">
        <v>539.99</v>
      </c>
      <c r="F415" t="s">
        <v>3479</v>
      </c>
      <c r="G415" t="s">
        <v>3475</v>
      </c>
      <c r="H415" t="s">
        <v>3586</v>
      </c>
      <c r="I415" t="s">
        <v>3586</v>
      </c>
      <c r="J415" t="s">
        <v>3587</v>
      </c>
      <c r="K415" s="4">
        <v>539.99</v>
      </c>
      <c r="L415" s="4">
        <v>343.64960000000002</v>
      </c>
    </row>
    <row r="416" spans="1:12">
      <c r="A416" s="1">
        <v>42643</v>
      </c>
      <c r="B416">
        <v>1</v>
      </c>
      <c r="C416" t="s">
        <v>6242</v>
      </c>
      <c r="D416" s="4">
        <v>1.8663000000000001</v>
      </c>
      <c r="E416" s="4">
        <v>4.99</v>
      </c>
      <c r="F416" t="s">
        <v>6243</v>
      </c>
      <c r="G416" t="s">
        <v>6228</v>
      </c>
      <c r="H416" t="s">
        <v>3588</v>
      </c>
      <c r="I416" t="s">
        <v>3588</v>
      </c>
      <c r="J416" t="s">
        <v>3584</v>
      </c>
      <c r="K416" s="4">
        <v>4.99</v>
      </c>
      <c r="L416" s="4">
        <v>1.8663000000000001</v>
      </c>
    </row>
    <row r="417" spans="1:12">
      <c r="A417" s="1">
        <v>42644</v>
      </c>
      <c r="B417">
        <v>1</v>
      </c>
      <c r="C417" t="s">
        <v>6244</v>
      </c>
      <c r="D417" s="4">
        <v>3.7363</v>
      </c>
      <c r="E417" s="4">
        <v>9.99</v>
      </c>
      <c r="F417" t="s">
        <v>6240</v>
      </c>
      <c r="G417" t="s">
        <v>6228</v>
      </c>
      <c r="H417" t="s">
        <v>3580</v>
      </c>
      <c r="I417" t="s">
        <v>3578</v>
      </c>
      <c r="J417" t="s">
        <v>3579</v>
      </c>
      <c r="K417" s="4">
        <v>9.99</v>
      </c>
      <c r="L417" s="4">
        <v>3.7363</v>
      </c>
    </row>
    <row r="418" spans="1:12">
      <c r="A418" s="1">
        <v>42644</v>
      </c>
      <c r="B418">
        <v>1</v>
      </c>
      <c r="C418" t="s">
        <v>6237</v>
      </c>
      <c r="D418" s="4">
        <v>31.724399999999999</v>
      </c>
      <c r="E418" s="4">
        <v>48.067300000000003</v>
      </c>
      <c r="F418" t="s">
        <v>6235</v>
      </c>
      <c r="G418" t="s">
        <v>6233</v>
      </c>
      <c r="H418" t="s">
        <v>3582</v>
      </c>
      <c r="I418" t="s">
        <v>3582</v>
      </c>
      <c r="J418" t="s">
        <v>3579</v>
      </c>
      <c r="K418" s="4">
        <v>48.067300000000003</v>
      </c>
      <c r="L418" s="4">
        <v>31.724399999999999</v>
      </c>
    </row>
    <row r="419" spans="1:12">
      <c r="A419" s="1">
        <v>42644</v>
      </c>
      <c r="B419">
        <v>1</v>
      </c>
      <c r="C419" t="s">
        <v>3542</v>
      </c>
      <c r="D419" s="4">
        <v>1105.81</v>
      </c>
      <c r="E419" s="4">
        <v>2049.0981999999999</v>
      </c>
      <c r="F419" t="s">
        <v>3478</v>
      </c>
      <c r="G419" t="s">
        <v>3475</v>
      </c>
      <c r="H419" t="s">
        <v>3588</v>
      </c>
      <c r="I419" t="s">
        <v>3588</v>
      </c>
      <c r="J419" t="s">
        <v>3584</v>
      </c>
      <c r="K419" s="4">
        <v>2049.0981999999999</v>
      </c>
      <c r="L419" s="4">
        <v>1105.81</v>
      </c>
    </row>
    <row r="420" spans="1:12">
      <c r="A420" s="1">
        <v>42644</v>
      </c>
      <c r="B420">
        <v>1</v>
      </c>
      <c r="C420" t="s">
        <v>6239</v>
      </c>
      <c r="D420" s="4">
        <v>1.8663000000000001</v>
      </c>
      <c r="E420" s="4">
        <v>4.99</v>
      </c>
      <c r="F420" t="s">
        <v>6240</v>
      </c>
      <c r="G420" t="s">
        <v>6228</v>
      </c>
      <c r="H420" t="s">
        <v>3588</v>
      </c>
      <c r="I420" t="s">
        <v>3588</v>
      </c>
      <c r="J420" t="s">
        <v>3584</v>
      </c>
      <c r="K420" s="4">
        <v>4.99</v>
      </c>
      <c r="L420" s="4">
        <v>1.8663000000000001</v>
      </c>
    </row>
    <row r="421" spans="1:12">
      <c r="A421" s="1">
        <v>42644</v>
      </c>
      <c r="B421">
        <v>1</v>
      </c>
      <c r="C421" t="s">
        <v>6242</v>
      </c>
      <c r="D421" s="4">
        <v>1.8663000000000001</v>
      </c>
      <c r="E421" s="4">
        <v>4.99</v>
      </c>
      <c r="F421" t="s">
        <v>6243</v>
      </c>
      <c r="G421" t="s">
        <v>6228</v>
      </c>
      <c r="H421" t="s">
        <v>3588</v>
      </c>
      <c r="I421" t="s">
        <v>3588</v>
      </c>
      <c r="J421" t="s">
        <v>3584</v>
      </c>
      <c r="K421" s="4">
        <v>4.99</v>
      </c>
      <c r="L421" s="4">
        <v>1.8663000000000001</v>
      </c>
    </row>
    <row r="422" spans="1:12">
      <c r="A422" s="1">
        <v>42645</v>
      </c>
      <c r="B422">
        <v>1</v>
      </c>
      <c r="C422" t="s">
        <v>6245</v>
      </c>
      <c r="D422" s="4">
        <v>0.85650000000000004</v>
      </c>
      <c r="E422" s="4">
        <v>2.29</v>
      </c>
      <c r="F422" t="s">
        <v>6243</v>
      </c>
      <c r="G422" t="s">
        <v>6228</v>
      </c>
      <c r="H422" t="s">
        <v>3577</v>
      </c>
      <c r="I422" t="s">
        <v>3578</v>
      </c>
      <c r="J422" t="s">
        <v>3579</v>
      </c>
      <c r="K422" s="4">
        <v>2.29</v>
      </c>
      <c r="L422" s="4">
        <v>0.85650000000000004</v>
      </c>
    </row>
    <row r="423" spans="1:12">
      <c r="A423" s="1">
        <v>42645</v>
      </c>
      <c r="B423">
        <v>1</v>
      </c>
      <c r="C423" t="s">
        <v>6272</v>
      </c>
      <c r="D423" s="4">
        <v>9.3462999999999994</v>
      </c>
      <c r="E423" s="4">
        <v>24.99</v>
      </c>
      <c r="F423" t="s">
        <v>6243</v>
      </c>
      <c r="G423" t="s">
        <v>6228</v>
      </c>
      <c r="H423" t="s">
        <v>3577</v>
      </c>
      <c r="I423" t="s">
        <v>3578</v>
      </c>
      <c r="J423" t="s">
        <v>3579</v>
      </c>
      <c r="K423" s="4">
        <v>24.99</v>
      </c>
      <c r="L423" s="4">
        <v>9.3462999999999994</v>
      </c>
    </row>
    <row r="424" spans="1:12">
      <c r="A424" s="1">
        <v>42645</v>
      </c>
      <c r="B424">
        <v>1</v>
      </c>
      <c r="C424" t="s">
        <v>6226</v>
      </c>
      <c r="D424" s="4">
        <v>13.0863</v>
      </c>
      <c r="E424" s="4">
        <v>34.99</v>
      </c>
      <c r="F424" t="s">
        <v>6227</v>
      </c>
      <c r="G424" t="s">
        <v>6228</v>
      </c>
      <c r="H424" t="s">
        <v>3580</v>
      </c>
      <c r="I424" t="s">
        <v>3578</v>
      </c>
      <c r="J424" t="s">
        <v>3579</v>
      </c>
      <c r="K424" s="4">
        <v>34.99</v>
      </c>
      <c r="L424" s="4">
        <v>13.0863</v>
      </c>
    </row>
    <row r="425" spans="1:12">
      <c r="A425" s="1">
        <v>42645</v>
      </c>
      <c r="B425">
        <v>1</v>
      </c>
      <c r="C425" t="s">
        <v>6270</v>
      </c>
      <c r="D425" s="4">
        <v>1.4923</v>
      </c>
      <c r="E425" s="4">
        <v>3.99</v>
      </c>
      <c r="F425" t="s">
        <v>6243</v>
      </c>
      <c r="G425" t="s">
        <v>6228</v>
      </c>
      <c r="H425" t="s">
        <v>3580</v>
      </c>
      <c r="I425" t="s">
        <v>3578</v>
      </c>
      <c r="J425" t="s">
        <v>3579</v>
      </c>
      <c r="K425" s="4">
        <v>3.99</v>
      </c>
      <c r="L425" s="4">
        <v>1.4923</v>
      </c>
    </row>
    <row r="426" spans="1:12">
      <c r="A426" s="1">
        <v>42645</v>
      </c>
      <c r="B426">
        <v>1</v>
      </c>
      <c r="C426" t="s">
        <v>6229</v>
      </c>
      <c r="D426" s="4">
        <v>12.027799999999999</v>
      </c>
      <c r="E426" s="4">
        <v>33.644199999999998</v>
      </c>
      <c r="F426" t="s">
        <v>6227</v>
      </c>
      <c r="G426" t="s">
        <v>6228</v>
      </c>
      <c r="H426" t="s">
        <v>3586</v>
      </c>
      <c r="I426" t="s">
        <v>3586</v>
      </c>
      <c r="J426" t="s">
        <v>3587</v>
      </c>
      <c r="K426" s="4">
        <v>33.644199999999998</v>
      </c>
      <c r="L426" s="4">
        <v>12.027799999999999</v>
      </c>
    </row>
    <row r="427" spans="1:12">
      <c r="A427" s="1">
        <v>42645</v>
      </c>
      <c r="B427">
        <v>1</v>
      </c>
      <c r="C427" t="s">
        <v>6270</v>
      </c>
      <c r="D427" s="4">
        <v>1.4923</v>
      </c>
      <c r="E427" s="4">
        <v>3.99</v>
      </c>
      <c r="F427" t="s">
        <v>6243</v>
      </c>
      <c r="G427" t="s">
        <v>6228</v>
      </c>
      <c r="H427" t="s">
        <v>3588</v>
      </c>
      <c r="I427" t="s">
        <v>3588</v>
      </c>
      <c r="J427" t="s">
        <v>3584</v>
      </c>
      <c r="K427" s="4">
        <v>3.99</v>
      </c>
      <c r="L427" s="4">
        <v>1.4923</v>
      </c>
    </row>
    <row r="428" spans="1:12">
      <c r="A428" s="1">
        <v>42646</v>
      </c>
      <c r="B428">
        <v>1</v>
      </c>
      <c r="C428" t="s">
        <v>3536</v>
      </c>
      <c r="D428" s="4">
        <v>1117.8559</v>
      </c>
      <c r="E428" s="4">
        <v>2071.4196000000002</v>
      </c>
      <c r="F428" t="s">
        <v>3478</v>
      </c>
      <c r="G428" t="s">
        <v>3475</v>
      </c>
      <c r="H428" t="s">
        <v>3585</v>
      </c>
      <c r="I428" t="s">
        <v>3585</v>
      </c>
      <c r="J428" t="s">
        <v>3584</v>
      </c>
      <c r="K428" s="4">
        <v>2071.4196000000002</v>
      </c>
      <c r="L428" s="4">
        <v>1117.8559</v>
      </c>
    </row>
    <row r="429" spans="1:12">
      <c r="A429" s="1">
        <v>42647</v>
      </c>
      <c r="B429">
        <v>1</v>
      </c>
      <c r="C429" t="s">
        <v>6241</v>
      </c>
      <c r="D429" s="4">
        <v>3.3622999999999998</v>
      </c>
      <c r="E429" s="4">
        <v>8.99</v>
      </c>
      <c r="F429" t="s">
        <v>6240</v>
      </c>
      <c r="G429" t="s">
        <v>6228</v>
      </c>
      <c r="H429" t="s">
        <v>3580</v>
      </c>
      <c r="I429" t="s">
        <v>3578</v>
      </c>
      <c r="J429" t="s">
        <v>3579</v>
      </c>
      <c r="K429" s="4">
        <v>8.99</v>
      </c>
      <c r="L429" s="4">
        <v>3.3622999999999998</v>
      </c>
    </row>
    <row r="430" spans="1:12">
      <c r="A430" s="1">
        <v>42647</v>
      </c>
      <c r="B430">
        <v>1</v>
      </c>
      <c r="C430" t="s">
        <v>6246</v>
      </c>
      <c r="D430" s="4">
        <v>20.566299999999998</v>
      </c>
      <c r="E430" s="4">
        <v>54.99</v>
      </c>
      <c r="F430" t="s">
        <v>6247</v>
      </c>
      <c r="G430" t="s">
        <v>6228</v>
      </c>
      <c r="H430" t="s">
        <v>3580</v>
      </c>
      <c r="I430" t="s">
        <v>3578</v>
      </c>
      <c r="J430" t="s">
        <v>3579</v>
      </c>
      <c r="K430" s="4">
        <v>54.99</v>
      </c>
      <c r="L430" s="4">
        <v>20.566299999999998</v>
      </c>
    </row>
    <row r="431" spans="1:12">
      <c r="A431" s="1">
        <v>42647</v>
      </c>
      <c r="B431">
        <v>1</v>
      </c>
      <c r="C431" t="s">
        <v>6245</v>
      </c>
      <c r="D431" s="4">
        <v>0.85650000000000004</v>
      </c>
      <c r="E431" s="4">
        <v>2.29</v>
      </c>
      <c r="F431" t="s">
        <v>6243</v>
      </c>
      <c r="G431" t="s">
        <v>6228</v>
      </c>
      <c r="H431" t="s">
        <v>3582</v>
      </c>
      <c r="I431" t="s">
        <v>3582</v>
      </c>
      <c r="J431" t="s">
        <v>3579</v>
      </c>
      <c r="K431" s="4">
        <v>2.29</v>
      </c>
      <c r="L431" s="4">
        <v>0.85650000000000004</v>
      </c>
    </row>
    <row r="432" spans="1:12">
      <c r="A432" s="1">
        <v>42647</v>
      </c>
      <c r="B432">
        <v>1</v>
      </c>
      <c r="C432" t="s">
        <v>6226</v>
      </c>
      <c r="D432" s="4">
        <v>13.0863</v>
      </c>
      <c r="E432" s="4">
        <v>34.99</v>
      </c>
      <c r="F432" t="s">
        <v>6227</v>
      </c>
      <c r="G432" t="s">
        <v>6228</v>
      </c>
      <c r="H432" t="s">
        <v>3586</v>
      </c>
      <c r="I432" t="s">
        <v>3586</v>
      </c>
      <c r="J432" t="s">
        <v>3587</v>
      </c>
      <c r="K432" s="4">
        <v>34.99</v>
      </c>
      <c r="L432" s="4">
        <v>13.0863</v>
      </c>
    </row>
    <row r="433" spans="1:12">
      <c r="A433" s="1">
        <v>42648</v>
      </c>
      <c r="B433">
        <v>1</v>
      </c>
      <c r="C433" t="s">
        <v>6248</v>
      </c>
      <c r="D433" s="4">
        <v>8.2204999999999995</v>
      </c>
      <c r="E433" s="4">
        <v>21.98</v>
      </c>
      <c r="F433" t="s">
        <v>6249</v>
      </c>
      <c r="G433" t="s">
        <v>6228</v>
      </c>
      <c r="H433" t="s">
        <v>3577</v>
      </c>
      <c r="I433" t="s">
        <v>3578</v>
      </c>
      <c r="J433" t="s">
        <v>3579</v>
      </c>
      <c r="K433" s="4">
        <v>21.98</v>
      </c>
      <c r="L433" s="4">
        <v>8.2204999999999995</v>
      </c>
    </row>
    <row r="434" spans="1:12">
      <c r="A434" s="1">
        <v>42648</v>
      </c>
      <c r="B434">
        <v>1</v>
      </c>
      <c r="C434" t="s">
        <v>6245</v>
      </c>
      <c r="D434" s="4">
        <v>0.85650000000000004</v>
      </c>
      <c r="E434" s="4">
        <v>2.29</v>
      </c>
      <c r="F434" t="s">
        <v>6243</v>
      </c>
      <c r="G434" t="s">
        <v>6228</v>
      </c>
      <c r="H434" t="s">
        <v>3582</v>
      </c>
      <c r="I434" t="s">
        <v>3582</v>
      </c>
      <c r="J434" t="s">
        <v>3579</v>
      </c>
      <c r="K434" s="4">
        <v>2.29</v>
      </c>
      <c r="L434" s="4">
        <v>0.85650000000000004</v>
      </c>
    </row>
    <row r="435" spans="1:12">
      <c r="A435" s="1">
        <v>42648</v>
      </c>
      <c r="B435">
        <v>1</v>
      </c>
      <c r="C435" t="s">
        <v>6255</v>
      </c>
      <c r="D435" s="4">
        <v>9.7135999999999996</v>
      </c>
      <c r="E435" s="4">
        <v>23.548100000000002</v>
      </c>
      <c r="F435" t="s">
        <v>6251</v>
      </c>
      <c r="G435" t="s">
        <v>6233</v>
      </c>
      <c r="H435" t="s">
        <v>3588</v>
      </c>
      <c r="I435" t="s">
        <v>3588</v>
      </c>
      <c r="J435" t="s">
        <v>3584</v>
      </c>
      <c r="K435" s="4">
        <v>23.548100000000002</v>
      </c>
      <c r="L435" s="4">
        <v>9.7135999999999996</v>
      </c>
    </row>
    <row r="436" spans="1:12">
      <c r="A436" s="1">
        <v>42649</v>
      </c>
      <c r="B436">
        <v>1</v>
      </c>
      <c r="C436" t="s">
        <v>6248</v>
      </c>
      <c r="D436" s="4">
        <v>8.2204999999999995</v>
      </c>
      <c r="E436" s="4">
        <v>21.98</v>
      </c>
      <c r="F436" t="s">
        <v>6249</v>
      </c>
      <c r="G436" t="s">
        <v>6228</v>
      </c>
      <c r="H436" t="s">
        <v>3580</v>
      </c>
      <c r="I436" t="s">
        <v>3578</v>
      </c>
      <c r="J436" t="s">
        <v>3579</v>
      </c>
      <c r="K436" s="4">
        <v>21.98</v>
      </c>
      <c r="L436" s="4">
        <v>8.2204999999999995</v>
      </c>
    </row>
    <row r="437" spans="1:12">
      <c r="A437" s="1">
        <v>42649</v>
      </c>
      <c r="B437">
        <v>1</v>
      </c>
      <c r="C437" t="s">
        <v>6231</v>
      </c>
      <c r="D437" s="4">
        <v>5.7051999999999996</v>
      </c>
      <c r="E437" s="4">
        <v>8.6441999999999997</v>
      </c>
      <c r="F437" t="s">
        <v>6232</v>
      </c>
      <c r="G437" t="s">
        <v>6233</v>
      </c>
      <c r="H437" t="s">
        <v>3586</v>
      </c>
      <c r="I437" t="s">
        <v>3586</v>
      </c>
      <c r="J437" t="s">
        <v>3587</v>
      </c>
      <c r="K437" s="4">
        <v>8.6441999999999997</v>
      </c>
      <c r="L437" s="4">
        <v>5.7051999999999996</v>
      </c>
    </row>
    <row r="438" spans="1:12">
      <c r="A438" s="1">
        <v>42649</v>
      </c>
      <c r="B438">
        <v>1</v>
      </c>
      <c r="C438" t="s">
        <v>3544</v>
      </c>
      <c r="D438" s="4">
        <v>1105.81</v>
      </c>
      <c r="E438" s="4">
        <v>2049.0981999999999</v>
      </c>
      <c r="F438" t="s">
        <v>3478</v>
      </c>
      <c r="G438" t="s">
        <v>3475</v>
      </c>
      <c r="H438" t="s">
        <v>3586</v>
      </c>
      <c r="I438" t="s">
        <v>3586</v>
      </c>
      <c r="J438" t="s">
        <v>3587</v>
      </c>
      <c r="K438" s="4">
        <v>2049.0981999999999</v>
      </c>
      <c r="L438" s="4">
        <v>1105.81</v>
      </c>
    </row>
    <row r="439" spans="1:12">
      <c r="A439" s="1">
        <v>42649</v>
      </c>
      <c r="B439">
        <v>1</v>
      </c>
      <c r="C439" t="s">
        <v>6239</v>
      </c>
      <c r="D439" s="4">
        <v>1.8663000000000001</v>
      </c>
      <c r="E439" s="4">
        <v>4.99</v>
      </c>
      <c r="F439" t="s">
        <v>6240</v>
      </c>
      <c r="G439" t="s">
        <v>6228</v>
      </c>
      <c r="H439" t="s">
        <v>3586</v>
      </c>
      <c r="I439" t="s">
        <v>3586</v>
      </c>
      <c r="J439" t="s">
        <v>3587</v>
      </c>
      <c r="K439" s="4">
        <v>4.99</v>
      </c>
      <c r="L439" s="4">
        <v>1.8663000000000001</v>
      </c>
    </row>
    <row r="440" spans="1:12">
      <c r="A440" s="1">
        <v>42649</v>
      </c>
      <c r="B440">
        <v>1</v>
      </c>
      <c r="C440" t="s">
        <v>6244</v>
      </c>
      <c r="D440" s="4">
        <v>3.7363</v>
      </c>
      <c r="E440" s="4">
        <v>9.99</v>
      </c>
      <c r="F440" t="s">
        <v>6240</v>
      </c>
      <c r="G440" t="s">
        <v>6228</v>
      </c>
      <c r="H440" t="s">
        <v>3586</v>
      </c>
      <c r="I440" t="s">
        <v>3586</v>
      </c>
      <c r="J440" t="s">
        <v>3587</v>
      </c>
      <c r="K440" s="4">
        <v>9.99</v>
      </c>
      <c r="L440" s="4">
        <v>3.7363</v>
      </c>
    </row>
    <row r="441" spans="1:12">
      <c r="A441" s="1">
        <v>42649</v>
      </c>
      <c r="B441">
        <v>1</v>
      </c>
      <c r="C441" t="s">
        <v>6291</v>
      </c>
      <c r="D441" s="4">
        <v>41.572299999999998</v>
      </c>
      <c r="E441" s="4">
        <v>53.99</v>
      </c>
      <c r="F441" t="s">
        <v>6235</v>
      </c>
      <c r="G441" t="s">
        <v>6233</v>
      </c>
      <c r="H441" t="s">
        <v>3586</v>
      </c>
      <c r="I441" t="s">
        <v>3586</v>
      </c>
      <c r="J441" t="s">
        <v>3587</v>
      </c>
      <c r="K441" s="4">
        <v>53.99</v>
      </c>
      <c r="L441" s="4">
        <v>41.572299999999998</v>
      </c>
    </row>
    <row r="442" spans="1:12">
      <c r="A442" s="1">
        <v>42650</v>
      </c>
      <c r="B442">
        <v>1</v>
      </c>
      <c r="C442" t="s">
        <v>6277</v>
      </c>
      <c r="D442" s="4">
        <v>8.0373000000000001</v>
      </c>
      <c r="E442" s="4">
        <v>21.49</v>
      </c>
      <c r="F442" t="s">
        <v>6243</v>
      </c>
      <c r="G442" t="s">
        <v>6228</v>
      </c>
      <c r="H442" t="s">
        <v>3582</v>
      </c>
      <c r="I442" t="s">
        <v>3582</v>
      </c>
      <c r="J442" t="s">
        <v>3579</v>
      </c>
      <c r="K442" s="4">
        <v>21.49</v>
      </c>
      <c r="L442" s="4">
        <v>8.0373000000000001</v>
      </c>
    </row>
    <row r="443" spans="1:12">
      <c r="A443" s="1">
        <v>42650</v>
      </c>
      <c r="B443">
        <v>1</v>
      </c>
      <c r="C443" t="s">
        <v>6238</v>
      </c>
      <c r="D443" s="4">
        <v>31.724399999999999</v>
      </c>
      <c r="E443" s="4">
        <v>48.067300000000003</v>
      </c>
      <c r="F443" t="s">
        <v>6235</v>
      </c>
      <c r="G443" t="s">
        <v>6233</v>
      </c>
      <c r="H443" t="s">
        <v>3588</v>
      </c>
      <c r="I443" t="s">
        <v>3588</v>
      </c>
      <c r="J443" t="s">
        <v>3584</v>
      </c>
      <c r="K443" s="4">
        <v>48.067300000000003</v>
      </c>
      <c r="L443" s="4">
        <v>31.724399999999999</v>
      </c>
    </row>
    <row r="444" spans="1:12">
      <c r="A444" s="1">
        <v>42651</v>
      </c>
      <c r="B444">
        <v>1</v>
      </c>
      <c r="C444" t="s">
        <v>6271</v>
      </c>
      <c r="D444" s="4">
        <v>11.2163</v>
      </c>
      <c r="E444" s="4">
        <v>29.99</v>
      </c>
      <c r="F444" t="s">
        <v>6243</v>
      </c>
      <c r="G444" t="s">
        <v>6228</v>
      </c>
      <c r="H444" t="s">
        <v>3577</v>
      </c>
      <c r="I444" t="s">
        <v>3578</v>
      </c>
      <c r="J444" t="s">
        <v>3579</v>
      </c>
      <c r="K444" s="4">
        <v>29.99</v>
      </c>
      <c r="L444" s="4">
        <v>11.2163</v>
      </c>
    </row>
    <row r="445" spans="1:12">
      <c r="A445" s="1">
        <v>42651</v>
      </c>
      <c r="B445">
        <v>1</v>
      </c>
      <c r="C445" t="s">
        <v>6239</v>
      </c>
      <c r="D445" s="4">
        <v>1.8663000000000001</v>
      </c>
      <c r="E445" s="4">
        <v>4.99</v>
      </c>
      <c r="F445" t="s">
        <v>6240</v>
      </c>
      <c r="G445" t="s">
        <v>6228</v>
      </c>
      <c r="H445" t="s">
        <v>3580</v>
      </c>
      <c r="I445" t="s">
        <v>3578</v>
      </c>
      <c r="J445" t="s">
        <v>3579</v>
      </c>
      <c r="K445" s="4">
        <v>4.99</v>
      </c>
      <c r="L445" s="4">
        <v>1.8663000000000001</v>
      </c>
    </row>
    <row r="446" spans="1:12">
      <c r="A446" s="1">
        <v>42651</v>
      </c>
      <c r="B446">
        <v>1</v>
      </c>
      <c r="C446" t="s">
        <v>6245</v>
      </c>
      <c r="D446" s="4">
        <v>0.85650000000000004</v>
      </c>
      <c r="E446" s="4">
        <v>2.29</v>
      </c>
      <c r="F446" t="s">
        <v>6243</v>
      </c>
      <c r="G446" t="s">
        <v>6228</v>
      </c>
      <c r="H446" t="s">
        <v>3586</v>
      </c>
      <c r="I446" t="s">
        <v>3586</v>
      </c>
      <c r="J446" t="s">
        <v>3587</v>
      </c>
      <c r="K446" s="4">
        <v>2.29</v>
      </c>
      <c r="L446" s="4">
        <v>0.85650000000000004</v>
      </c>
    </row>
    <row r="447" spans="1:12">
      <c r="A447" s="1">
        <v>42651</v>
      </c>
      <c r="B447">
        <v>1</v>
      </c>
      <c r="C447" t="s">
        <v>6254</v>
      </c>
      <c r="D447" s="4">
        <v>12.192399999999999</v>
      </c>
      <c r="E447" s="4">
        <v>32.6</v>
      </c>
      <c r="F447" t="s">
        <v>6243</v>
      </c>
      <c r="G447" t="s">
        <v>6228</v>
      </c>
      <c r="H447" t="s">
        <v>3586</v>
      </c>
      <c r="I447" t="s">
        <v>3586</v>
      </c>
      <c r="J447" t="s">
        <v>3587</v>
      </c>
      <c r="K447" s="4">
        <v>32.6</v>
      </c>
      <c r="L447" s="4">
        <v>12.192399999999999</v>
      </c>
    </row>
    <row r="448" spans="1:12">
      <c r="A448" s="1">
        <v>42652</v>
      </c>
      <c r="B448">
        <v>1</v>
      </c>
      <c r="C448" t="s">
        <v>6231</v>
      </c>
      <c r="D448" s="4">
        <v>5.7051999999999996</v>
      </c>
      <c r="E448" s="4">
        <v>8.6441999999999997</v>
      </c>
      <c r="F448" t="s">
        <v>6232</v>
      </c>
      <c r="G448" t="s">
        <v>6233</v>
      </c>
      <c r="H448" t="s">
        <v>3577</v>
      </c>
      <c r="I448" t="s">
        <v>3578</v>
      </c>
      <c r="J448" t="s">
        <v>3579</v>
      </c>
      <c r="K448" s="4">
        <v>8.6441999999999997</v>
      </c>
      <c r="L448" s="4">
        <v>5.7051999999999996</v>
      </c>
    </row>
    <row r="449" spans="1:12">
      <c r="A449" s="1">
        <v>42652</v>
      </c>
      <c r="B449">
        <v>1</v>
      </c>
      <c r="C449" t="s">
        <v>6244</v>
      </c>
      <c r="D449" s="4">
        <v>3.7363</v>
      </c>
      <c r="E449" s="4">
        <v>9.99</v>
      </c>
      <c r="F449" t="s">
        <v>6240</v>
      </c>
      <c r="G449" t="s">
        <v>6228</v>
      </c>
      <c r="H449" t="s">
        <v>3577</v>
      </c>
      <c r="I449" t="s">
        <v>3578</v>
      </c>
      <c r="J449" t="s">
        <v>3579</v>
      </c>
      <c r="K449" s="4">
        <v>9.99</v>
      </c>
      <c r="L449" s="4">
        <v>3.7363</v>
      </c>
    </row>
    <row r="450" spans="1:12">
      <c r="A450" s="1">
        <v>42652</v>
      </c>
      <c r="B450">
        <v>1</v>
      </c>
      <c r="C450" t="s">
        <v>6231</v>
      </c>
      <c r="D450" s="4">
        <v>5.7051999999999996</v>
      </c>
      <c r="E450" s="4">
        <v>8.6441999999999997</v>
      </c>
      <c r="F450" t="s">
        <v>6232</v>
      </c>
      <c r="G450" t="s">
        <v>6233</v>
      </c>
      <c r="H450" t="s">
        <v>3580</v>
      </c>
      <c r="I450" t="s">
        <v>3578</v>
      </c>
      <c r="J450" t="s">
        <v>3579</v>
      </c>
      <c r="K450" s="4">
        <v>8.6441999999999997</v>
      </c>
      <c r="L450" s="4">
        <v>5.7051999999999996</v>
      </c>
    </row>
    <row r="451" spans="1:12">
      <c r="A451" s="1">
        <v>42652</v>
      </c>
      <c r="B451">
        <v>1</v>
      </c>
      <c r="C451" t="s">
        <v>6236</v>
      </c>
      <c r="D451" s="4">
        <v>31.724399999999999</v>
      </c>
      <c r="E451" s="4">
        <v>48.067300000000003</v>
      </c>
      <c r="F451" t="s">
        <v>6235</v>
      </c>
      <c r="G451" t="s">
        <v>6233</v>
      </c>
      <c r="H451" t="s">
        <v>3583</v>
      </c>
      <c r="I451" t="s">
        <v>3583</v>
      </c>
      <c r="J451" t="s">
        <v>3584</v>
      </c>
      <c r="K451" s="4">
        <v>48.067300000000003</v>
      </c>
      <c r="L451" s="4">
        <v>31.724399999999999</v>
      </c>
    </row>
    <row r="452" spans="1:12">
      <c r="A452" s="1">
        <v>42652</v>
      </c>
      <c r="B452">
        <v>1</v>
      </c>
      <c r="C452" t="s">
        <v>6276</v>
      </c>
      <c r="D452" s="4">
        <v>1.8663000000000001</v>
      </c>
      <c r="E452" s="4">
        <v>4.99</v>
      </c>
      <c r="F452" t="s">
        <v>6243</v>
      </c>
      <c r="G452" t="s">
        <v>6228</v>
      </c>
      <c r="H452" t="s">
        <v>3583</v>
      </c>
      <c r="I452" t="s">
        <v>3583</v>
      </c>
      <c r="J452" t="s">
        <v>3584</v>
      </c>
      <c r="K452" s="4">
        <v>4.99</v>
      </c>
      <c r="L452" s="4">
        <v>1.8663000000000001</v>
      </c>
    </row>
    <row r="453" spans="1:12">
      <c r="A453" s="1">
        <v>42652</v>
      </c>
      <c r="B453">
        <v>1</v>
      </c>
      <c r="C453" t="s">
        <v>6238</v>
      </c>
      <c r="D453" s="4">
        <v>31.724399999999999</v>
      </c>
      <c r="E453" s="4">
        <v>48.067300000000003</v>
      </c>
      <c r="F453" t="s">
        <v>6235</v>
      </c>
      <c r="G453" t="s">
        <v>6233</v>
      </c>
      <c r="H453" t="s">
        <v>3585</v>
      </c>
      <c r="I453" t="s">
        <v>3585</v>
      </c>
      <c r="J453" t="s">
        <v>3584</v>
      </c>
      <c r="K453" s="4">
        <v>48.067300000000003</v>
      </c>
      <c r="L453" s="4">
        <v>31.724399999999999</v>
      </c>
    </row>
    <row r="454" spans="1:12">
      <c r="A454" s="1">
        <v>42652</v>
      </c>
      <c r="B454">
        <v>1</v>
      </c>
      <c r="C454" t="s">
        <v>6239</v>
      </c>
      <c r="D454" s="4">
        <v>1.8663000000000001</v>
      </c>
      <c r="E454" s="4">
        <v>4.99</v>
      </c>
      <c r="F454" t="s">
        <v>6240</v>
      </c>
      <c r="G454" t="s">
        <v>6228</v>
      </c>
      <c r="H454" t="s">
        <v>3586</v>
      </c>
      <c r="I454" t="s">
        <v>3586</v>
      </c>
      <c r="J454" t="s">
        <v>3587</v>
      </c>
      <c r="K454" s="4">
        <v>4.99</v>
      </c>
      <c r="L454" s="4">
        <v>1.8663000000000001</v>
      </c>
    </row>
    <row r="455" spans="1:12">
      <c r="A455" s="1">
        <v>42652</v>
      </c>
      <c r="B455">
        <v>1</v>
      </c>
      <c r="C455" t="s">
        <v>6253</v>
      </c>
      <c r="D455" s="4">
        <v>9.7135999999999996</v>
      </c>
      <c r="E455" s="4">
        <v>23.548100000000002</v>
      </c>
      <c r="F455" t="s">
        <v>6251</v>
      </c>
      <c r="G455" t="s">
        <v>6233</v>
      </c>
      <c r="H455" t="s">
        <v>3588</v>
      </c>
      <c r="I455" t="s">
        <v>3588</v>
      </c>
      <c r="J455" t="s">
        <v>3584</v>
      </c>
      <c r="K455" s="4">
        <v>23.548100000000002</v>
      </c>
      <c r="L455" s="4">
        <v>9.7135999999999996</v>
      </c>
    </row>
    <row r="456" spans="1:12">
      <c r="A456" s="1">
        <v>42652</v>
      </c>
      <c r="B456">
        <v>1</v>
      </c>
      <c r="C456" t="s">
        <v>6245</v>
      </c>
      <c r="D456" s="4">
        <v>0.85650000000000004</v>
      </c>
      <c r="E456" s="4">
        <v>2.29</v>
      </c>
      <c r="F456" t="s">
        <v>6243</v>
      </c>
      <c r="G456" t="s">
        <v>6228</v>
      </c>
      <c r="H456" t="s">
        <v>3588</v>
      </c>
      <c r="I456" t="s">
        <v>3588</v>
      </c>
      <c r="J456" t="s">
        <v>3584</v>
      </c>
      <c r="K456" s="4">
        <v>2.29</v>
      </c>
      <c r="L456" s="4">
        <v>0.85650000000000004</v>
      </c>
    </row>
    <row r="457" spans="1:12">
      <c r="A457" s="1">
        <v>42652</v>
      </c>
      <c r="B457">
        <v>1</v>
      </c>
      <c r="C457" t="s">
        <v>6270</v>
      </c>
      <c r="D457" s="4">
        <v>1.4923</v>
      </c>
      <c r="E457" s="4">
        <v>3.99</v>
      </c>
      <c r="F457" t="s">
        <v>6243</v>
      </c>
      <c r="G457" t="s">
        <v>6228</v>
      </c>
      <c r="H457" t="s">
        <v>3588</v>
      </c>
      <c r="I457" t="s">
        <v>3588</v>
      </c>
      <c r="J457" t="s">
        <v>3584</v>
      </c>
      <c r="K457" s="4">
        <v>3.99</v>
      </c>
      <c r="L457" s="4">
        <v>1.4923</v>
      </c>
    </row>
    <row r="458" spans="1:12">
      <c r="A458" s="1">
        <v>42653</v>
      </c>
      <c r="B458">
        <v>1</v>
      </c>
      <c r="C458" t="s">
        <v>6237</v>
      </c>
      <c r="D458" s="4">
        <v>31.724399999999999</v>
      </c>
      <c r="E458" s="4">
        <v>48.067300000000003</v>
      </c>
      <c r="F458" t="s">
        <v>6235</v>
      </c>
      <c r="G458" t="s">
        <v>6233</v>
      </c>
      <c r="H458" t="s">
        <v>3580</v>
      </c>
      <c r="I458" t="s">
        <v>3578</v>
      </c>
      <c r="J458" t="s">
        <v>3579</v>
      </c>
      <c r="K458" s="4">
        <v>48.067300000000003</v>
      </c>
      <c r="L458" s="4">
        <v>31.724399999999999</v>
      </c>
    </row>
    <row r="459" spans="1:12">
      <c r="A459" s="1">
        <v>42653</v>
      </c>
      <c r="B459">
        <v>1</v>
      </c>
      <c r="C459" t="s">
        <v>6253</v>
      </c>
      <c r="D459" s="4">
        <v>9.7135999999999996</v>
      </c>
      <c r="E459" s="4">
        <v>23.548100000000002</v>
      </c>
      <c r="F459" t="s">
        <v>6251</v>
      </c>
      <c r="G459" t="s">
        <v>6233</v>
      </c>
      <c r="H459" t="s">
        <v>3580</v>
      </c>
      <c r="I459" t="s">
        <v>3578</v>
      </c>
      <c r="J459" t="s">
        <v>3579</v>
      </c>
      <c r="K459" s="4">
        <v>23.548100000000002</v>
      </c>
      <c r="L459" s="4">
        <v>9.7135999999999996</v>
      </c>
    </row>
    <row r="460" spans="1:12">
      <c r="A460" s="1">
        <v>42653</v>
      </c>
      <c r="B460">
        <v>1</v>
      </c>
      <c r="C460" t="s">
        <v>6260</v>
      </c>
      <c r="D460" s="4">
        <v>13.09</v>
      </c>
      <c r="E460" s="4">
        <v>35</v>
      </c>
      <c r="F460" t="s">
        <v>6243</v>
      </c>
      <c r="G460" t="s">
        <v>6228</v>
      </c>
      <c r="H460" t="s">
        <v>3580</v>
      </c>
      <c r="I460" t="s">
        <v>3578</v>
      </c>
      <c r="J460" t="s">
        <v>3579</v>
      </c>
      <c r="K460" s="4">
        <v>35</v>
      </c>
      <c r="L460" s="4">
        <v>13.09</v>
      </c>
    </row>
    <row r="461" spans="1:12">
      <c r="A461" s="1">
        <v>42653</v>
      </c>
      <c r="B461">
        <v>1</v>
      </c>
      <c r="C461" t="s">
        <v>6244</v>
      </c>
      <c r="D461" s="4">
        <v>3.7363</v>
      </c>
      <c r="E461" s="4">
        <v>9.99</v>
      </c>
      <c r="F461" t="s">
        <v>6240</v>
      </c>
      <c r="G461" t="s">
        <v>6228</v>
      </c>
      <c r="H461" t="s">
        <v>3586</v>
      </c>
      <c r="I461" t="s">
        <v>3586</v>
      </c>
      <c r="J461" t="s">
        <v>3587</v>
      </c>
      <c r="K461" s="4">
        <v>9.99</v>
      </c>
      <c r="L461" s="4">
        <v>3.7363</v>
      </c>
    </row>
    <row r="462" spans="1:12">
      <c r="A462" s="1">
        <v>42653</v>
      </c>
      <c r="B462">
        <v>1</v>
      </c>
      <c r="C462" t="s">
        <v>6270</v>
      </c>
      <c r="D462" s="4">
        <v>1.4923</v>
      </c>
      <c r="E462" s="4">
        <v>3.99</v>
      </c>
      <c r="F462" t="s">
        <v>6243</v>
      </c>
      <c r="G462" t="s">
        <v>6228</v>
      </c>
      <c r="H462" t="s">
        <v>3586</v>
      </c>
      <c r="I462" t="s">
        <v>3586</v>
      </c>
      <c r="J462" t="s">
        <v>3587</v>
      </c>
      <c r="K462" s="4">
        <v>3.99</v>
      </c>
      <c r="L462" s="4">
        <v>1.4923</v>
      </c>
    </row>
    <row r="463" spans="1:12">
      <c r="A463" s="1">
        <v>42653</v>
      </c>
      <c r="B463">
        <v>1</v>
      </c>
      <c r="C463" t="s">
        <v>6272</v>
      </c>
      <c r="D463" s="4">
        <v>9.3462999999999994</v>
      </c>
      <c r="E463" s="4">
        <v>24.99</v>
      </c>
      <c r="F463" t="s">
        <v>6243</v>
      </c>
      <c r="G463" t="s">
        <v>6228</v>
      </c>
      <c r="H463" t="s">
        <v>3586</v>
      </c>
      <c r="I463" t="s">
        <v>3586</v>
      </c>
      <c r="J463" t="s">
        <v>3587</v>
      </c>
      <c r="K463" s="4">
        <v>24.99</v>
      </c>
      <c r="L463" s="4">
        <v>9.3462999999999994</v>
      </c>
    </row>
    <row r="464" spans="1:12">
      <c r="A464" s="1">
        <v>42653</v>
      </c>
      <c r="B464">
        <v>1</v>
      </c>
      <c r="C464" t="s">
        <v>6241</v>
      </c>
      <c r="D464" s="4">
        <v>3.3622999999999998</v>
      </c>
      <c r="E464" s="4">
        <v>8.99</v>
      </c>
      <c r="F464" t="s">
        <v>6240</v>
      </c>
      <c r="G464" t="s">
        <v>6228</v>
      </c>
      <c r="H464" t="s">
        <v>3588</v>
      </c>
      <c r="I464" t="s">
        <v>3588</v>
      </c>
      <c r="J464" t="s">
        <v>3584</v>
      </c>
      <c r="K464" s="4">
        <v>8.99</v>
      </c>
      <c r="L464" s="4">
        <v>3.3622999999999998</v>
      </c>
    </row>
    <row r="465" spans="1:12">
      <c r="A465" s="1">
        <v>42653</v>
      </c>
      <c r="B465">
        <v>1</v>
      </c>
      <c r="C465" t="s">
        <v>6272</v>
      </c>
      <c r="D465" s="4">
        <v>9.3462999999999994</v>
      </c>
      <c r="E465" s="4">
        <v>24.99</v>
      </c>
      <c r="F465" t="s">
        <v>6243</v>
      </c>
      <c r="G465" t="s">
        <v>6228</v>
      </c>
      <c r="H465" t="s">
        <v>3588</v>
      </c>
      <c r="I465" t="s">
        <v>3588</v>
      </c>
      <c r="J465" t="s">
        <v>3584</v>
      </c>
      <c r="K465" s="4">
        <v>24.99</v>
      </c>
      <c r="L465" s="4">
        <v>9.3462999999999994</v>
      </c>
    </row>
    <row r="466" spans="1:12">
      <c r="A466" s="1">
        <v>42654</v>
      </c>
      <c r="B466">
        <v>1</v>
      </c>
      <c r="C466" t="s">
        <v>6294</v>
      </c>
      <c r="D466" s="4">
        <v>1082.51</v>
      </c>
      <c r="E466" s="4">
        <v>1700.99</v>
      </c>
      <c r="F466" t="s">
        <v>3479</v>
      </c>
      <c r="G466" t="s">
        <v>3475</v>
      </c>
      <c r="H466" t="s">
        <v>3577</v>
      </c>
      <c r="I466" t="s">
        <v>3578</v>
      </c>
      <c r="J466" t="s">
        <v>3579</v>
      </c>
      <c r="K466" s="4">
        <v>1700.99</v>
      </c>
      <c r="L466" s="4">
        <v>1082.51</v>
      </c>
    </row>
    <row r="467" spans="1:12">
      <c r="A467" s="1">
        <v>42654</v>
      </c>
      <c r="B467">
        <v>1</v>
      </c>
      <c r="C467" t="s">
        <v>6242</v>
      </c>
      <c r="D467" s="4">
        <v>1.8663000000000001</v>
      </c>
      <c r="E467" s="4">
        <v>4.99</v>
      </c>
      <c r="F467" t="s">
        <v>6243</v>
      </c>
      <c r="G467" t="s">
        <v>6228</v>
      </c>
      <c r="H467" t="s">
        <v>3580</v>
      </c>
      <c r="I467" t="s">
        <v>3578</v>
      </c>
      <c r="J467" t="s">
        <v>3579</v>
      </c>
      <c r="K467" s="4">
        <v>4.99</v>
      </c>
      <c r="L467" s="4">
        <v>1.8663000000000001</v>
      </c>
    </row>
    <row r="468" spans="1:12">
      <c r="A468" s="1">
        <v>42654</v>
      </c>
      <c r="B468">
        <v>1</v>
      </c>
      <c r="C468" t="s">
        <v>6295</v>
      </c>
      <c r="D468" s="4">
        <v>294.5797</v>
      </c>
      <c r="E468" s="4">
        <v>539.99</v>
      </c>
      <c r="F468" t="s">
        <v>3478</v>
      </c>
      <c r="G468" t="s">
        <v>3475</v>
      </c>
      <c r="H468" t="s">
        <v>3582</v>
      </c>
      <c r="I468" t="s">
        <v>3582</v>
      </c>
      <c r="J468" t="s">
        <v>3579</v>
      </c>
      <c r="K468" s="4">
        <v>539.99</v>
      </c>
      <c r="L468" s="4">
        <v>294.5797</v>
      </c>
    </row>
    <row r="469" spans="1:12">
      <c r="A469" s="1">
        <v>42654</v>
      </c>
      <c r="B469">
        <v>1</v>
      </c>
      <c r="C469" t="s">
        <v>6276</v>
      </c>
      <c r="D469" s="4">
        <v>1.8663000000000001</v>
      </c>
      <c r="E469" s="4">
        <v>4.99</v>
      </c>
      <c r="F469" t="s">
        <v>6243</v>
      </c>
      <c r="G469" t="s">
        <v>6228</v>
      </c>
      <c r="H469" t="s">
        <v>3586</v>
      </c>
      <c r="I469" t="s">
        <v>3586</v>
      </c>
      <c r="J469" t="s">
        <v>3587</v>
      </c>
      <c r="K469" s="4">
        <v>4.99</v>
      </c>
      <c r="L469" s="4">
        <v>1.8663000000000001</v>
      </c>
    </row>
    <row r="470" spans="1:12">
      <c r="A470" s="1">
        <v>42655</v>
      </c>
      <c r="B470">
        <v>1</v>
      </c>
      <c r="C470" t="s">
        <v>6261</v>
      </c>
      <c r="D470" s="4">
        <v>26.176300000000001</v>
      </c>
      <c r="E470" s="4">
        <v>69.989999999999995</v>
      </c>
      <c r="F470" t="s">
        <v>6262</v>
      </c>
      <c r="G470" t="s">
        <v>6233</v>
      </c>
      <c r="H470" t="s">
        <v>3582</v>
      </c>
      <c r="I470" t="s">
        <v>3582</v>
      </c>
      <c r="J470" t="s">
        <v>3579</v>
      </c>
      <c r="K470" s="4">
        <v>69.989999999999995</v>
      </c>
      <c r="L470" s="4">
        <v>26.176300000000001</v>
      </c>
    </row>
    <row r="471" spans="1:12">
      <c r="A471" s="1">
        <v>42655</v>
      </c>
      <c r="B471">
        <v>1</v>
      </c>
      <c r="C471" t="s">
        <v>6260</v>
      </c>
      <c r="D471" s="4">
        <v>13.09</v>
      </c>
      <c r="E471" s="4">
        <v>35</v>
      </c>
      <c r="F471" t="s">
        <v>6243</v>
      </c>
      <c r="G471" t="s">
        <v>6228</v>
      </c>
      <c r="H471" t="s">
        <v>3582</v>
      </c>
      <c r="I471" t="s">
        <v>3582</v>
      </c>
      <c r="J471" t="s">
        <v>3579</v>
      </c>
      <c r="K471" s="4">
        <v>35</v>
      </c>
      <c r="L471" s="4">
        <v>13.09</v>
      </c>
    </row>
    <row r="472" spans="1:12">
      <c r="A472" s="1">
        <v>42655</v>
      </c>
      <c r="B472">
        <v>1</v>
      </c>
      <c r="C472" t="s">
        <v>6269</v>
      </c>
      <c r="D472" s="4">
        <v>9.3462999999999994</v>
      </c>
      <c r="E472" s="4">
        <v>24.99</v>
      </c>
      <c r="F472" t="s">
        <v>6243</v>
      </c>
      <c r="G472" t="s">
        <v>6228</v>
      </c>
      <c r="H472" t="s">
        <v>3582</v>
      </c>
      <c r="I472" t="s">
        <v>3582</v>
      </c>
      <c r="J472" t="s">
        <v>3579</v>
      </c>
      <c r="K472" s="4">
        <v>24.99</v>
      </c>
      <c r="L472" s="4">
        <v>9.3462999999999994</v>
      </c>
    </row>
    <row r="473" spans="1:12">
      <c r="A473" s="1">
        <v>42655</v>
      </c>
      <c r="B473">
        <v>1</v>
      </c>
      <c r="C473" t="s">
        <v>3544</v>
      </c>
      <c r="D473" s="4">
        <v>1105.81</v>
      </c>
      <c r="E473" s="4">
        <v>2049.0981999999999</v>
      </c>
      <c r="F473" t="s">
        <v>3478</v>
      </c>
      <c r="G473" t="s">
        <v>3475</v>
      </c>
      <c r="H473" t="s">
        <v>3586</v>
      </c>
      <c r="I473" t="s">
        <v>3586</v>
      </c>
      <c r="J473" t="s">
        <v>3587</v>
      </c>
      <c r="K473" s="4">
        <v>2049.0981999999999</v>
      </c>
      <c r="L473" s="4">
        <v>1105.81</v>
      </c>
    </row>
    <row r="474" spans="1:12">
      <c r="A474" s="1">
        <v>42655</v>
      </c>
      <c r="B474">
        <v>1</v>
      </c>
      <c r="C474" t="s">
        <v>6226</v>
      </c>
      <c r="D474" s="4">
        <v>13.0863</v>
      </c>
      <c r="E474" s="4">
        <v>34.99</v>
      </c>
      <c r="F474" t="s">
        <v>6227</v>
      </c>
      <c r="G474" t="s">
        <v>6228</v>
      </c>
      <c r="H474" t="s">
        <v>3588</v>
      </c>
      <c r="I474" t="s">
        <v>3588</v>
      </c>
      <c r="J474" t="s">
        <v>3584</v>
      </c>
      <c r="K474" s="4">
        <v>34.99</v>
      </c>
      <c r="L474" s="4">
        <v>13.0863</v>
      </c>
    </row>
    <row r="475" spans="1:12">
      <c r="A475" s="1">
        <v>42655</v>
      </c>
      <c r="B475">
        <v>1</v>
      </c>
      <c r="C475" t="s">
        <v>6229</v>
      </c>
      <c r="D475" s="4">
        <v>12.027799999999999</v>
      </c>
      <c r="E475" s="4">
        <v>33.644199999999998</v>
      </c>
      <c r="F475" t="s">
        <v>6227</v>
      </c>
      <c r="G475" t="s">
        <v>6228</v>
      </c>
      <c r="H475" t="s">
        <v>3588</v>
      </c>
      <c r="I475" t="s">
        <v>3588</v>
      </c>
      <c r="J475" t="s">
        <v>3584</v>
      </c>
      <c r="K475" s="4">
        <v>33.644199999999998</v>
      </c>
      <c r="L475" s="4">
        <v>12.027799999999999</v>
      </c>
    </row>
    <row r="476" spans="1:12">
      <c r="A476" s="1">
        <v>42656</v>
      </c>
      <c r="B476">
        <v>1</v>
      </c>
      <c r="C476" t="s">
        <v>6231</v>
      </c>
      <c r="D476" s="4">
        <v>5.7051999999999996</v>
      </c>
      <c r="E476" s="4">
        <v>8.6441999999999997</v>
      </c>
      <c r="F476" t="s">
        <v>6232</v>
      </c>
      <c r="G476" t="s">
        <v>6233</v>
      </c>
      <c r="H476" t="s">
        <v>3586</v>
      </c>
      <c r="I476" t="s">
        <v>3586</v>
      </c>
      <c r="J476" t="s">
        <v>3587</v>
      </c>
      <c r="K476" s="4">
        <v>8.6441999999999997</v>
      </c>
      <c r="L476" s="4">
        <v>5.7051999999999996</v>
      </c>
    </row>
    <row r="477" spans="1:12">
      <c r="A477" s="1">
        <v>42656</v>
      </c>
      <c r="B477">
        <v>1</v>
      </c>
      <c r="C477" t="s">
        <v>3566</v>
      </c>
      <c r="D477" s="4">
        <v>605.64919999999995</v>
      </c>
      <c r="E477" s="4">
        <v>1000.4375</v>
      </c>
      <c r="F477" t="s">
        <v>3479</v>
      </c>
      <c r="G477" t="s">
        <v>3475</v>
      </c>
      <c r="H477" t="s">
        <v>3586</v>
      </c>
      <c r="I477" t="s">
        <v>3586</v>
      </c>
      <c r="J477" t="s">
        <v>3587</v>
      </c>
      <c r="K477" s="4">
        <v>1000.4375</v>
      </c>
      <c r="L477" s="4">
        <v>605.64919999999995</v>
      </c>
    </row>
    <row r="478" spans="1:12">
      <c r="A478" s="1">
        <v>42656</v>
      </c>
      <c r="B478">
        <v>1</v>
      </c>
      <c r="C478" t="s">
        <v>6254</v>
      </c>
      <c r="D478" s="4">
        <v>12.192399999999999</v>
      </c>
      <c r="E478" s="4">
        <v>32.6</v>
      </c>
      <c r="F478" t="s">
        <v>6243</v>
      </c>
      <c r="G478" t="s">
        <v>6228</v>
      </c>
      <c r="H478" t="s">
        <v>3588</v>
      </c>
      <c r="I478" t="s">
        <v>3588</v>
      </c>
      <c r="J478" t="s">
        <v>3584</v>
      </c>
      <c r="K478" s="4">
        <v>32.6</v>
      </c>
      <c r="L478" s="4">
        <v>12.192399999999999</v>
      </c>
    </row>
    <row r="479" spans="1:12">
      <c r="A479" s="1">
        <v>42657</v>
      </c>
      <c r="B479">
        <v>1</v>
      </c>
      <c r="C479" t="s">
        <v>6287</v>
      </c>
      <c r="D479" s="4">
        <v>1082.51</v>
      </c>
      <c r="E479" s="4">
        <v>1700.99</v>
      </c>
      <c r="F479" t="s">
        <v>3479</v>
      </c>
      <c r="G479" t="s">
        <v>3475</v>
      </c>
      <c r="H479" t="s">
        <v>3577</v>
      </c>
      <c r="I479" t="s">
        <v>3578</v>
      </c>
      <c r="J479" t="s">
        <v>3579</v>
      </c>
      <c r="K479" s="4">
        <v>1700.99</v>
      </c>
      <c r="L479" s="4">
        <v>1082.51</v>
      </c>
    </row>
    <row r="480" spans="1:12">
      <c r="A480" s="1">
        <v>42657</v>
      </c>
      <c r="B480">
        <v>1</v>
      </c>
      <c r="C480" t="s">
        <v>6229</v>
      </c>
      <c r="D480" s="4">
        <v>12.027799999999999</v>
      </c>
      <c r="E480" s="4">
        <v>33.644199999999998</v>
      </c>
      <c r="F480" t="s">
        <v>6227</v>
      </c>
      <c r="G480" t="s">
        <v>6228</v>
      </c>
      <c r="H480" t="s">
        <v>3580</v>
      </c>
      <c r="I480" t="s">
        <v>3578</v>
      </c>
      <c r="J480" t="s">
        <v>3579</v>
      </c>
      <c r="K480" s="4">
        <v>33.644199999999998</v>
      </c>
      <c r="L480" s="4">
        <v>12.027799999999999</v>
      </c>
    </row>
    <row r="481" spans="1:12">
      <c r="A481" s="1">
        <v>42657</v>
      </c>
      <c r="B481">
        <v>1</v>
      </c>
      <c r="C481" t="s">
        <v>6239</v>
      </c>
      <c r="D481" s="4">
        <v>1.8663000000000001</v>
      </c>
      <c r="E481" s="4">
        <v>4.99</v>
      </c>
      <c r="F481" t="s">
        <v>6240</v>
      </c>
      <c r="G481" t="s">
        <v>6228</v>
      </c>
      <c r="H481" t="s">
        <v>3586</v>
      </c>
      <c r="I481" t="s">
        <v>3586</v>
      </c>
      <c r="J481" t="s">
        <v>3587</v>
      </c>
      <c r="K481" s="4">
        <v>4.99</v>
      </c>
      <c r="L481" s="4">
        <v>1.8663000000000001</v>
      </c>
    </row>
    <row r="482" spans="1:12">
      <c r="A482" s="1">
        <v>42658</v>
      </c>
      <c r="B482">
        <v>1</v>
      </c>
      <c r="C482" t="s">
        <v>6267</v>
      </c>
      <c r="D482" s="4">
        <v>343.64960000000002</v>
      </c>
      <c r="E482" s="4">
        <v>539.99</v>
      </c>
      <c r="F482" t="s">
        <v>3479</v>
      </c>
      <c r="G482" t="s">
        <v>3475</v>
      </c>
      <c r="H482" t="s">
        <v>3577</v>
      </c>
      <c r="I482" t="s">
        <v>3578</v>
      </c>
      <c r="J482" t="s">
        <v>3579</v>
      </c>
      <c r="K482" s="4">
        <v>539.99</v>
      </c>
      <c r="L482" s="4">
        <v>343.64960000000002</v>
      </c>
    </row>
    <row r="483" spans="1:12">
      <c r="A483" s="1">
        <v>42658</v>
      </c>
      <c r="B483">
        <v>1</v>
      </c>
      <c r="C483" t="s">
        <v>3536</v>
      </c>
      <c r="D483" s="4">
        <v>1117.8559</v>
      </c>
      <c r="E483" s="4">
        <v>2071.4196000000002</v>
      </c>
      <c r="F483" t="s">
        <v>3478</v>
      </c>
      <c r="G483" t="s">
        <v>3475</v>
      </c>
      <c r="H483" t="s">
        <v>3588</v>
      </c>
      <c r="I483" t="s">
        <v>3588</v>
      </c>
      <c r="J483" t="s">
        <v>3584</v>
      </c>
      <c r="K483" s="4">
        <v>2071.4196000000002</v>
      </c>
      <c r="L483" s="4">
        <v>1117.8559</v>
      </c>
    </row>
    <row r="484" spans="1:12">
      <c r="A484" s="1">
        <v>42659</v>
      </c>
      <c r="B484">
        <v>1</v>
      </c>
      <c r="C484" t="s">
        <v>6241</v>
      </c>
      <c r="D484" s="4">
        <v>3.3622999999999998</v>
      </c>
      <c r="E484" s="4">
        <v>8.99</v>
      </c>
      <c r="F484" t="s">
        <v>6240</v>
      </c>
      <c r="G484" t="s">
        <v>6228</v>
      </c>
      <c r="H484" t="s">
        <v>3580</v>
      </c>
      <c r="I484" t="s">
        <v>3578</v>
      </c>
      <c r="J484" t="s">
        <v>3579</v>
      </c>
      <c r="K484" s="4">
        <v>8.99</v>
      </c>
      <c r="L484" s="4">
        <v>3.3622999999999998</v>
      </c>
    </row>
    <row r="485" spans="1:12">
      <c r="A485" s="1">
        <v>42659</v>
      </c>
      <c r="B485">
        <v>1</v>
      </c>
      <c r="C485" t="s">
        <v>6248</v>
      </c>
      <c r="D485" s="4">
        <v>8.2204999999999995</v>
      </c>
      <c r="E485" s="4">
        <v>21.98</v>
      </c>
      <c r="F485" t="s">
        <v>6249</v>
      </c>
      <c r="G485" t="s">
        <v>6228</v>
      </c>
      <c r="H485" t="s">
        <v>3580</v>
      </c>
      <c r="I485" t="s">
        <v>3578</v>
      </c>
      <c r="J485" t="s">
        <v>3579</v>
      </c>
      <c r="K485" s="4">
        <v>21.98</v>
      </c>
      <c r="L485" s="4">
        <v>8.2204999999999995</v>
      </c>
    </row>
    <row r="486" spans="1:12">
      <c r="A486" s="1">
        <v>42659</v>
      </c>
      <c r="B486">
        <v>1</v>
      </c>
      <c r="C486" t="s">
        <v>6268</v>
      </c>
      <c r="D486" s="4">
        <v>41.572299999999998</v>
      </c>
      <c r="E486" s="4">
        <v>53.99</v>
      </c>
      <c r="F486" t="s">
        <v>6235</v>
      </c>
      <c r="G486" t="s">
        <v>6233</v>
      </c>
      <c r="H486" t="s">
        <v>3586</v>
      </c>
      <c r="I486" t="s">
        <v>3586</v>
      </c>
      <c r="J486" t="s">
        <v>3587</v>
      </c>
      <c r="K486" s="4">
        <v>53.99</v>
      </c>
      <c r="L486" s="4">
        <v>41.572299999999998</v>
      </c>
    </row>
    <row r="487" spans="1:12">
      <c r="A487" s="1">
        <v>42659</v>
      </c>
      <c r="B487">
        <v>1</v>
      </c>
      <c r="C487" t="s">
        <v>3564</v>
      </c>
      <c r="D487" s="4">
        <v>605.64919999999995</v>
      </c>
      <c r="E487" s="4">
        <v>1000.4375</v>
      </c>
      <c r="F487" t="s">
        <v>3479</v>
      </c>
      <c r="G487" t="s">
        <v>3475</v>
      </c>
      <c r="H487" t="s">
        <v>3588</v>
      </c>
      <c r="I487" t="s">
        <v>3588</v>
      </c>
      <c r="J487" t="s">
        <v>3584</v>
      </c>
      <c r="K487" s="4">
        <v>1000.4375</v>
      </c>
      <c r="L487" s="4">
        <v>605.64919999999995</v>
      </c>
    </row>
    <row r="488" spans="1:12">
      <c r="A488" s="1">
        <v>42660</v>
      </c>
      <c r="B488">
        <v>1</v>
      </c>
      <c r="C488" t="s">
        <v>6245</v>
      </c>
      <c r="D488" s="4">
        <v>0.85650000000000004</v>
      </c>
      <c r="E488" s="4">
        <v>2.29</v>
      </c>
      <c r="F488" t="s">
        <v>6243</v>
      </c>
      <c r="G488" t="s">
        <v>6228</v>
      </c>
      <c r="H488" t="s">
        <v>3582</v>
      </c>
      <c r="I488" t="s">
        <v>3582</v>
      </c>
      <c r="J488" t="s">
        <v>3579</v>
      </c>
      <c r="K488" s="4">
        <v>2.29</v>
      </c>
      <c r="L488" s="4">
        <v>0.85650000000000004</v>
      </c>
    </row>
    <row r="489" spans="1:12">
      <c r="A489" s="1">
        <v>42660</v>
      </c>
      <c r="B489">
        <v>1</v>
      </c>
      <c r="C489" t="s">
        <v>6276</v>
      </c>
      <c r="D489" s="4">
        <v>1.8663000000000001</v>
      </c>
      <c r="E489" s="4">
        <v>4.99</v>
      </c>
      <c r="F489" t="s">
        <v>6243</v>
      </c>
      <c r="G489" t="s">
        <v>6228</v>
      </c>
      <c r="H489" t="s">
        <v>3585</v>
      </c>
      <c r="I489" t="s">
        <v>3585</v>
      </c>
      <c r="J489" t="s">
        <v>3584</v>
      </c>
      <c r="K489" s="4">
        <v>4.99</v>
      </c>
      <c r="L489" s="4">
        <v>1.8663000000000001</v>
      </c>
    </row>
    <row r="490" spans="1:12">
      <c r="A490" s="1">
        <v>42660</v>
      </c>
      <c r="B490">
        <v>1</v>
      </c>
      <c r="C490" t="s">
        <v>6248</v>
      </c>
      <c r="D490" s="4">
        <v>8.2204999999999995</v>
      </c>
      <c r="E490" s="4">
        <v>21.98</v>
      </c>
      <c r="F490" t="s">
        <v>6249</v>
      </c>
      <c r="G490" t="s">
        <v>6228</v>
      </c>
      <c r="H490" t="s">
        <v>3586</v>
      </c>
      <c r="I490" t="s">
        <v>3586</v>
      </c>
      <c r="J490" t="s">
        <v>3587</v>
      </c>
      <c r="K490" s="4">
        <v>21.98</v>
      </c>
      <c r="L490" s="4">
        <v>8.2204999999999995</v>
      </c>
    </row>
    <row r="491" spans="1:12">
      <c r="A491" s="1">
        <v>42660</v>
      </c>
      <c r="B491">
        <v>1</v>
      </c>
      <c r="C491" t="s">
        <v>6277</v>
      </c>
      <c r="D491" s="4">
        <v>8.0373000000000001</v>
      </c>
      <c r="E491" s="4">
        <v>21.49</v>
      </c>
      <c r="F491" t="s">
        <v>6243</v>
      </c>
      <c r="G491" t="s">
        <v>6228</v>
      </c>
      <c r="H491" t="s">
        <v>3586</v>
      </c>
      <c r="I491" t="s">
        <v>3586</v>
      </c>
      <c r="J491" t="s">
        <v>3587</v>
      </c>
      <c r="K491" s="4">
        <v>21.49</v>
      </c>
      <c r="L491" s="4">
        <v>8.0373000000000001</v>
      </c>
    </row>
    <row r="492" spans="1:12">
      <c r="A492" s="1">
        <v>42661</v>
      </c>
      <c r="B492">
        <v>1</v>
      </c>
      <c r="C492" t="s">
        <v>6263</v>
      </c>
      <c r="D492" s="4">
        <v>3.3622999999999998</v>
      </c>
      <c r="E492" s="4">
        <v>8.99</v>
      </c>
      <c r="F492" t="s">
        <v>6264</v>
      </c>
      <c r="G492" t="s">
        <v>6233</v>
      </c>
      <c r="H492" t="s">
        <v>3583</v>
      </c>
      <c r="I492" t="s">
        <v>3583</v>
      </c>
      <c r="J492" t="s">
        <v>3584</v>
      </c>
      <c r="K492" s="4">
        <v>8.99</v>
      </c>
      <c r="L492" s="4">
        <v>3.3622999999999998</v>
      </c>
    </row>
    <row r="493" spans="1:12">
      <c r="A493" s="1">
        <v>42662</v>
      </c>
      <c r="B493">
        <v>1</v>
      </c>
      <c r="C493" t="s">
        <v>6296</v>
      </c>
      <c r="D493" s="4">
        <v>419.77839999999998</v>
      </c>
      <c r="E493" s="4">
        <v>769.49</v>
      </c>
      <c r="F493" t="s">
        <v>3478</v>
      </c>
      <c r="G493" t="s">
        <v>3475</v>
      </c>
      <c r="H493" t="s">
        <v>3580</v>
      </c>
      <c r="I493" t="s">
        <v>3578</v>
      </c>
      <c r="J493" t="s">
        <v>3579</v>
      </c>
      <c r="K493" s="4">
        <v>769.49</v>
      </c>
      <c r="L493" s="4">
        <v>419.77839999999998</v>
      </c>
    </row>
    <row r="494" spans="1:12">
      <c r="A494" s="1">
        <v>42662</v>
      </c>
      <c r="B494">
        <v>1</v>
      </c>
      <c r="C494" t="s">
        <v>6230</v>
      </c>
      <c r="D494" s="4">
        <v>12.027799999999999</v>
      </c>
      <c r="E494" s="4">
        <v>33.644199999999998</v>
      </c>
      <c r="F494" t="s">
        <v>6227</v>
      </c>
      <c r="G494" t="s">
        <v>6228</v>
      </c>
      <c r="H494" t="s">
        <v>3586</v>
      </c>
      <c r="I494" t="s">
        <v>3586</v>
      </c>
      <c r="J494" t="s">
        <v>3587</v>
      </c>
      <c r="K494" s="4">
        <v>33.644199999999998</v>
      </c>
      <c r="L494" s="4">
        <v>12.027799999999999</v>
      </c>
    </row>
    <row r="495" spans="1:12">
      <c r="A495" s="1">
        <v>42662</v>
      </c>
      <c r="B495">
        <v>1</v>
      </c>
      <c r="C495" t="s">
        <v>3538</v>
      </c>
      <c r="D495" s="4">
        <v>1117.8559</v>
      </c>
      <c r="E495" s="4">
        <v>2071.4196000000002</v>
      </c>
      <c r="F495" t="s">
        <v>3478</v>
      </c>
      <c r="G495" t="s">
        <v>3475</v>
      </c>
      <c r="H495" t="s">
        <v>3586</v>
      </c>
      <c r="I495" t="s">
        <v>3586</v>
      </c>
      <c r="J495" t="s">
        <v>3587</v>
      </c>
      <c r="K495" s="4">
        <v>2071.4196000000002</v>
      </c>
      <c r="L495" s="4">
        <v>1117.8559</v>
      </c>
    </row>
    <row r="496" spans="1:12">
      <c r="A496" s="1">
        <v>42663</v>
      </c>
      <c r="B496">
        <v>1</v>
      </c>
      <c r="C496" t="s">
        <v>6255</v>
      </c>
      <c r="D496" s="4">
        <v>9.7135999999999996</v>
      </c>
      <c r="E496" s="4">
        <v>23.548100000000002</v>
      </c>
      <c r="F496" t="s">
        <v>6251</v>
      </c>
      <c r="G496" t="s">
        <v>6233</v>
      </c>
      <c r="H496" t="s">
        <v>3577</v>
      </c>
      <c r="I496" t="s">
        <v>3578</v>
      </c>
      <c r="J496" t="s">
        <v>3579</v>
      </c>
      <c r="K496" s="4">
        <v>23.548100000000002</v>
      </c>
      <c r="L496" s="4">
        <v>9.7135999999999996</v>
      </c>
    </row>
    <row r="497" spans="1:12">
      <c r="A497" s="1">
        <v>42663</v>
      </c>
      <c r="B497">
        <v>1</v>
      </c>
      <c r="C497" t="s">
        <v>6245</v>
      </c>
      <c r="D497" s="4">
        <v>0.85650000000000004</v>
      </c>
      <c r="E497" s="4">
        <v>2.29</v>
      </c>
      <c r="F497" t="s">
        <v>6243</v>
      </c>
      <c r="G497" t="s">
        <v>6228</v>
      </c>
      <c r="H497" t="s">
        <v>3577</v>
      </c>
      <c r="I497" t="s">
        <v>3578</v>
      </c>
      <c r="J497" t="s">
        <v>3579</v>
      </c>
      <c r="K497" s="4">
        <v>2.29</v>
      </c>
      <c r="L497" s="4">
        <v>0.85650000000000004</v>
      </c>
    </row>
    <row r="498" spans="1:12">
      <c r="A498" s="1">
        <v>42663</v>
      </c>
      <c r="B498">
        <v>1</v>
      </c>
      <c r="C498" t="s">
        <v>6272</v>
      </c>
      <c r="D498" s="4">
        <v>9.3462999999999994</v>
      </c>
      <c r="E498" s="4">
        <v>24.99</v>
      </c>
      <c r="F498" t="s">
        <v>6243</v>
      </c>
      <c r="G498" t="s">
        <v>6228</v>
      </c>
      <c r="H498" t="s">
        <v>3577</v>
      </c>
      <c r="I498" t="s">
        <v>3578</v>
      </c>
      <c r="J498" t="s">
        <v>3579</v>
      </c>
      <c r="K498" s="4">
        <v>24.99</v>
      </c>
      <c r="L498" s="4">
        <v>9.3462999999999994</v>
      </c>
    </row>
    <row r="499" spans="1:12">
      <c r="A499" s="1">
        <v>42663</v>
      </c>
      <c r="B499">
        <v>1</v>
      </c>
      <c r="C499" t="s">
        <v>6253</v>
      </c>
      <c r="D499" s="4">
        <v>9.7135999999999996</v>
      </c>
      <c r="E499" s="4">
        <v>23.548100000000002</v>
      </c>
      <c r="F499" t="s">
        <v>6251</v>
      </c>
      <c r="G499" t="s">
        <v>6233</v>
      </c>
      <c r="H499" t="s">
        <v>3586</v>
      </c>
      <c r="I499" t="s">
        <v>3586</v>
      </c>
      <c r="J499" t="s">
        <v>3587</v>
      </c>
      <c r="K499" s="4">
        <v>23.548100000000002</v>
      </c>
      <c r="L499" s="4">
        <v>9.7135999999999996</v>
      </c>
    </row>
    <row r="500" spans="1:12">
      <c r="A500" s="1">
        <v>42663</v>
      </c>
      <c r="B500">
        <v>1</v>
      </c>
      <c r="C500" t="s">
        <v>6244</v>
      </c>
      <c r="D500" s="4">
        <v>3.7363</v>
      </c>
      <c r="E500" s="4">
        <v>9.99</v>
      </c>
      <c r="F500" t="s">
        <v>6240</v>
      </c>
      <c r="G500" t="s">
        <v>6228</v>
      </c>
      <c r="H500" t="s">
        <v>3588</v>
      </c>
      <c r="I500" t="s">
        <v>3588</v>
      </c>
      <c r="J500" t="s">
        <v>3584</v>
      </c>
      <c r="K500" s="4">
        <v>9.99</v>
      </c>
      <c r="L500" s="4">
        <v>3.7363</v>
      </c>
    </row>
    <row r="501" spans="1:12">
      <c r="A501" s="1">
        <v>42664</v>
      </c>
      <c r="B501">
        <v>1</v>
      </c>
      <c r="C501" t="s">
        <v>6231</v>
      </c>
      <c r="D501" s="4">
        <v>5.7051999999999996</v>
      </c>
      <c r="E501" s="4">
        <v>8.6441999999999997</v>
      </c>
      <c r="F501" t="s">
        <v>6232</v>
      </c>
      <c r="G501" t="s">
        <v>6233</v>
      </c>
      <c r="H501" t="s">
        <v>3577</v>
      </c>
      <c r="I501" t="s">
        <v>3578</v>
      </c>
      <c r="J501" t="s">
        <v>3579</v>
      </c>
      <c r="K501" s="4">
        <v>8.6441999999999997</v>
      </c>
      <c r="L501" s="4">
        <v>5.7051999999999996</v>
      </c>
    </row>
    <row r="502" spans="1:12">
      <c r="A502" s="1">
        <v>42664</v>
      </c>
      <c r="B502">
        <v>1</v>
      </c>
      <c r="C502" t="s">
        <v>6263</v>
      </c>
      <c r="D502" s="4">
        <v>3.3622999999999998</v>
      </c>
      <c r="E502" s="4">
        <v>8.99</v>
      </c>
      <c r="F502" t="s">
        <v>6264</v>
      </c>
      <c r="G502" t="s">
        <v>6233</v>
      </c>
      <c r="H502" t="s">
        <v>3580</v>
      </c>
      <c r="I502" t="s">
        <v>3578</v>
      </c>
      <c r="J502" t="s">
        <v>3579</v>
      </c>
      <c r="K502" s="4">
        <v>8.99</v>
      </c>
      <c r="L502" s="4">
        <v>3.3622999999999998</v>
      </c>
    </row>
    <row r="503" spans="1:12">
      <c r="A503" s="1">
        <v>42664</v>
      </c>
      <c r="B503">
        <v>1</v>
      </c>
      <c r="C503" t="s">
        <v>6229</v>
      </c>
      <c r="D503" s="4">
        <v>12.027799999999999</v>
      </c>
      <c r="E503" s="4">
        <v>33.644199999999998</v>
      </c>
      <c r="F503" t="s">
        <v>6227</v>
      </c>
      <c r="G503" t="s">
        <v>6228</v>
      </c>
      <c r="H503" t="s">
        <v>3582</v>
      </c>
      <c r="I503" t="s">
        <v>3582</v>
      </c>
      <c r="J503" t="s">
        <v>3579</v>
      </c>
      <c r="K503" s="4">
        <v>33.644199999999998</v>
      </c>
      <c r="L503" s="4">
        <v>12.027799999999999</v>
      </c>
    </row>
    <row r="504" spans="1:12">
      <c r="A504" s="1">
        <v>42664</v>
      </c>
      <c r="B504">
        <v>1</v>
      </c>
      <c r="C504" t="s">
        <v>6260</v>
      </c>
      <c r="D504" s="4">
        <v>13.09</v>
      </c>
      <c r="E504" s="4">
        <v>35</v>
      </c>
      <c r="F504" t="s">
        <v>6243</v>
      </c>
      <c r="G504" t="s">
        <v>6228</v>
      </c>
      <c r="H504" t="s">
        <v>3586</v>
      </c>
      <c r="I504" t="s">
        <v>3586</v>
      </c>
      <c r="J504" t="s">
        <v>3587</v>
      </c>
      <c r="K504" s="4">
        <v>35</v>
      </c>
      <c r="L504" s="4">
        <v>13.09</v>
      </c>
    </row>
    <row r="505" spans="1:12">
      <c r="A505" s="1">
        <v>42664</v>
      </c>
      <c r="B505">
        <v>1</v>
      </c>
      <c r="C505" t="s">
        <v>6269</v>
      </c>
      <c r="D505" s="4">
        <v>9.3462999999999994</v>
      </c>
      <c r="E505" s="4">
        <v>24.99</v>
      </c>
      <c r="F505" t="s">
        <v>6243</v>
      </c>
      <c r="G505" t="s">
        <v>6228</v>
      </c>
      <c r="H505" t="s">
        <v>3586</v>
      </c>
      <c r="I505" t="s">
        <v>3586</v>
      </c>
      <c r="J505" t="s">
        <v>3587</v>
      </c>
      <c r="K505" s="4">
        <v>24.99</v>
      </c>
      <c r="L505" s="4">
        <v>9.3462999999999994</v>
      </c>
    </row>
    <row r="506" spans="1:12">
      <c r="A506" s="1">
        <v>42665</v>
      </c>
      <c r="B506">
        <v>1</v>
      </c>
      <c r="C506" t="s">
        <v>6252</v>
      </c>
      <c r="D506" s="4">
        <v>343.64960000000002</v>
      </c>
      <c r="E506" s="4">
        <v>539.99</v>
      </c>
      <c r="F506" t="s">
        <v>3479</v>
      </c>
      <c r="G506" t="s">
        <v>3475</v>
      </c>
      <c r="H506" t="s">
        <v>3577</v>
      </c>
      <c r="I506" t="s">
        <v>3578</v>
      </c>
      <c r="J506" t="s">
        <v>3579</v>
      </c>
      <c r="K506" s="4">
        <v>539.99</v>
      </c>
      <c r="L506" s="4">
        <v>343.64960000000002</v>
      </c>
    </row>
    <row r="507" spans="1:12">
      <c r="A507" s="1">
        <v>42665</v>
      </c>
      <c r="B507">
        <v>1</v>
      </c>
      <c r="C507" t="s">
        <v>6276</v>
      </c>
      <c r="D507" s="4">
        <v>1.8663000000000001</v>
      </c>
      <c r="E507" s="4">
        <v>4.99</v>
      </c>
      <c r="F507" t="s">
        <v>6243</v>
      </c>
      <c r="G507" t="s">
        <v>6228</v>
      </c>
      <c r="H507" t="s">
        <v>3582</v>
      </c>
      <c r="I507" t="s">
        <v>3582</v>
      </c>
      <c r="J507" t="s">
        <v>3579</v>
      </c>
      <c r="K507" s="4">
        <v>4.99</v>
      </c>
      <c r="L507" s="4">
        <v>1.8663000000000001</v>
      </c>
    </row>
    <row r="508" spans="1:12">
      <c r="A508" s="1">
        <v>42665</v>
      </c>
      <c r="B508">
        <v>1</v>
      </c>
      <c r="C508" t="s">
        <v>6252</v>
      </c>
      <c r="D508" s="4">
        <v>343.64960000000002</v>
      </c>
      <c r="E508" s="4">
        <v>539.99</v>
      </c>
      <c r="F508" t="s">
        <v>3479</v>
      </c>
      <c r="G508" t="s">
        <v>3475</v>
      </c>
      <c r="H508" t="s">
        <v>3583</v>
      </c>
      <c r="I508" t="s">
        <v>3583</v>
      </c>
      <c r="J508" t="s">
        <v>3584</v>
      </c>
      <c r="K508" s="4">
        <v>539.99</v>
      </c>
      <c r="L508" s="4">
        <v>343.64960000000002</v>
      </c>
    </row>
    <row r="509" spans="1:12">
      <c r="A509" s="1">
        <v>42665</v>
      </c>
      <c r="B509">
        <v>1</v>
      </c>
      <c r="C509" t="s">
        <v>6241</v>
      </c>
      <c r="D509" s="4">
        <v>3.3622999999999998</v>
      </c>
      <c r="E509" s="4">
        <v>8.99</v>
      </c>
      <c r="F509" t="s">
        <v>6240</v>
      </c>
      <c r="G509" t="s">
        <v>6228</v>
      </c>
      <c r="H509" t="s">
        <v>3586</v>
      </c>
      <c r="I509" t="s">
        <v>3586</v>
      </c>
      <c r="J509" t="s">
        <v>3587</v>
      </c>
      <c r="K509" s="4">
        <v>8.99</v>
      </c>
      <c r="L509" s="4">
        <v>3.3622999999999998</v>
      </c>
    </row>
    <row r="510" spans="1:12">
      <c r="A510" s="1">
        <v>42665</v>
      </c>
      <c r="B510">
        <v>1</v>
      </c>
      <c r="C510" t="s">
        <v>6260</v>
      </c>
      <c r="D510" s="4">
        <v>13.09</v>
      </c>
      <c r="E510" s="4">
        <v>35</v>
      </c>
      <c r="F510" t="s">
        <v>6243</v>
      </c>
      <c r="G510" t="s">
        <v>6228</v>
      </c>
      <c r="H510" t="s">
        <v>3586</v>
      </c>
      <c r="I510" t="s">
        <v>3586</v>
      </c>
      <c r="J510" t="s">
        <v>3587</v>
      </c>
      <c r="K510" s="4">
        <v>35</v>
      </c>
      <c r="L510" s="4">
        <v>13.09</v>
      </c>
    </row>
    <row r="511" spans="1:12">
      <c r="A511" s="1">
        <v>42666</v>
      </c>
      <c r="B511">
        <v>1</v>
      </c>
      <c r="C511" t="s">
        <v>6231</v>
      </c>
      <c r="D511" s="4">
        <v>5.7051999999999996</v>
      </c>
      <c r="E511" s="4">
        <v>8.6441999999999997</v>
      </c>
      <c r="F511" t="s">
        <v>6232</v>
      </c>
      <c r="G511" t="s">
        <v>6233</v>
      </c>
      <c r="H511" t="s">
        <v>3577</v>
      </c>
      <c r="I511" t="s">
        <v>3578</v>
      </c>
      <c r="J511" t="s">
        <v>3579</v>
      </c>
      <c r="K511" s="4">
        <v>8.6441999999999997</v>
      </c>
      <c r="L511" s="4">
        <v>5.7051999999999996</v>
      </c>
    </row>
    <row r="512" spans="1:12">
      <c r="A512" s="1">
        <v>42666</v>
      </c>
      <c r="B512">
        <v>1</v>
      </c>
      <c r="C512" t="s">
        <v>3544</v>
      </c>
      <c r="D512" s="4">
        <v>1105.81</v>
      </c>
      <c r="E512" s="4">
        <v>2049.0981999999999</v>
      </c>
      <c r="F512" t="s">
        <v>3478</v>
      </c>
      <c r="G512" t="s">
        <v>3475</v>
      </c>
      <c r="H512" t="s">
        <v>3580</v>
      </c>
      <c r="I512" t="s">
        <v>3578</v>
      </c>
      <c r="J512" t="s">
        <v>3579</v>
      </c>
      <c r="K512" s="4">
        <v>2049.0981999999999</v>
      </c>
      <c r="L512" s="4">
        <v>1105.81</v>
      </c>
    </row>
    <row r="513" spans="1:12">
      <c r="A513" s="1">
        <v>42666</v>
      </c>
      <c r="B513">
        <v>1</v>
      </c>
      <c r="C513" t="s">
        <v>6248</v>
      </c>
      <c r="D513" s="4">
        <v>8.2204999999999995</v>
      </c>
      <c r="E513" s="4">
        <v>21.98</v>
      </c>
      <c r="F513" t="s">
        <v>6249</v>
      </c>
      <c r="G513" t="s">
        <v>6228</v>
      </c>
      <c r="H513" t="s">
        <v>3580</v>
      </c>
      <c r="I513" t="s">
        <v>3578</v>
      </c>
      <c r="J513" t="s">
        <v>3579</v>
      </c>
      <c r="K513" s="4">
        <v>21.98</v>
      </c>
      <c r="L513" s="4">
        <v>8.2204999999999995</v>
      </c>
    </row>
    <row r="514" spans="1:12">
      <c r="A514" s="1">
        <v>42667</v>
      </c>
      <c r="B514">
        <v>1</v>
      </c>
      <c r="C514" t="s">
        <v>6226</v>
      </c>
      <c r="D514" s="4">
        <v>13.0863</v>
      </c>
      <c r="E514" s="4">
        <v>34.99</v>
      </c>
      <c r="F514" t="s">
        <v>6227</v>
      </c>
      <c r="G514" t="s">
        <v>6228</v>
      </c>
      <c r="H514" t="s">
        <v>3580</v>
      </c>
      <c r="I514" t="s">
        <v>3578</v>
      </c>
      <c r="J514" t="s">
        <v>3579</v>
      </c>
      <c r="K514" s="4">
        <v>34.99</v>
      </c>
      <c r="L514" s="4">
        <v>13.0863</v>
      </c>
    </row>
    <row r="515" spans="1:12">
      <c r="A515" s="1">
        <v>42667</v>
      </c>
      <c r="B515">
        <v>1</v>
      </c>
      <c r="C515" t="s">
        <v>6255</v>
      </c>
      <c r="D515" s="4">
        <v>9.7135999999999996</v>
      </c>
      <c r="E515" s="4">
        <v>23.548100000000002</v>
      </c>
      <c r="F515" t="s">
        <v>6251</v>
      </c>
      <c r="G515" t="s">
        <v>6233</v>
      </c>
      <c r="H515" t="s">
        <v>3583</v>
      </c>
      <c r="I515" t="s">
        <v>3583</v>
      </c>
      <c r="J515" t="s">
        <v>3584</v>
      </c>
      <c r="K515" s="4">
        <v>23.548100000000002</v>
      </c>
      <c r="L515" s="4">
        <v>9.7135999999999996</v>
      </c>
    </row>
    <row r="516" spans="1:12">
      <c r="A516" s="1">
        <v>42667</v>
      </c>
      <c r="B516">
        <v>1</v>
      </c>
      <c r="C516" t="s">
        <v>6282</v>
      </c>
      <c r="D516" s="4">
        <v>10.8423</v>
      </c>
      <c r="E516" s="4">
        <v>28.99</v>
      </c>
      <c r="F516" t="s">
        <v>6243</v>
      </c>
      <c r="G516" t="s">
        <v>6228</v>
      </c>
      <c r="H516" t="s">
        <v>3585</v>
      </c>
      <c r="I516" t="s">
        <v>3585</v>
      </c>
      <c r="J516" t="s">
        <v>3584</v>
      </c>
      <c r="K516" s="4">
        <v>28.99</v>
      </c>
      <c r="L516" s="4">
        <v>10.8423</v>
      </c>
    </row>
    <row r="517" spans="1:12">
      <c r="A517" s="1">
        <v>42668</v>
      </c>
      <c r="B517">
        <v>1</v>
      </c>
      <c r="C517" t="s">
        <v>6254</v>
      </c>
      <c r="D517" s="4">
        <v>12.192399999999999</v>
      </c>
      <c r="E517" s="4">
        <v>32.6</v>
      </c>
      <c r="F517" t="s">
        <v>6243</v>
      </c>
      <c r="G517" t="s">
        <v>6228</v>
      </c>
      <c r="H517" t="s">
        <v>3580</v>
      </c>
      <c r="I517" t="s">
        <v>3578</v>
      </c>
      <c r="J517" t="s">
        <v>3579</v>
      </c>
      <c r="K517" s="4">
        <v>32.6</v>
      </c>
      <c r="L517" s="4">
        <v>12.192399999999999</v>
      </c>
    </row>
    <row r="518" spans="1:12">
      <c r="A518" s="1">
        <v>42668</v>
      </c>
      <c r="B518">
        <v>1</v>
      </c>
      <c r="C518" t="s">
        <v>6297</v>
      </c>
      <c r="D518" s="4">
        <v>343.64960000000002</v>
      </c>
      <c r="E518" s="4">
        <v>539.99</v>
      </c>
      <c r="F518" t="s">
        <v>3479</v>
      </c>
      <c r="G518" t="s">
        <v>3475</v>
      </c>
      <c r="H518" t="s">
        <v>3580</v>
      </c>
      <c r="I518" t="s">
        <v>3578</v>
      </c>
      <c r="J518" t="s">
        <v>3579</v>
      </c>
      <c r="K518" s="4">
        <v>539.99</v>
      </c>
      <c r="L518" s="4">
        <v>343.64960000000002</v>
      </c>
    </row>
    <row r="519" spans="1:12">
      <c r="A519" s="1">
        <v>42668</v>
      </c>
      <c r="B519">
        <v>1</v>
      </c>
      <c r="C519" t="s">
        <v>6239</v>
      </c>
      <c r="D519" s="4">
        <v>1.8663000000000001</v>
      </c>
      <c r="E519" s="4">
        <v>4.99</v>
      </c>
      <c r="F519" t="s">
        <v>6240</v>
      </c>
      <c r="G519" t="s">
        <v>6228</v>
      </c>
      <c r="H519" t="s">
        <v>3586</v>
      </c>
      <c r="I519" t="s">
        <v>3586</v>
      </c>
      <c r="J519" t="s">
        <v>3587</v>
      </c>
      <c r="K519" s="4">
        <v>4.99</v>
      </c>
      <c r="L519" s="4">
        <v>1.8663000000000001</v>
      </c>
    </row>
    <row r="520" spans="1:12">
      <c r="A520" s="1">
        <v>42668</v>
      </c>
      <c r="B520">
        <v>1</v>
      </c>
      <c r="C520" t="s">
        <v>6298</v>
      </c>
      <c r="D520" s="4">
        <v>3.3622999999999998</v>
      </c>
      <c r="E520" s="4">
        <v>8.99</v>
      </c>
      <c r="F520" t="s">
        <v>6264</v>
      </c>
      <c r="G520" t="s">
        <v>6233</v>
      </c>
      <c r="H520" t="s">
        <v>3586</v>
      </c>
      <c r="I520" t="s">
        <v>3586</v>
      </c>
      <c r="J520" t="s">
        <v>3587</v>
      </c>
      <c r="K520" s="4">
        <v>8.99</v>
      </c>
      <c r="L520" s="4">
        <v>3.3622999999999998</v>
      </c>
    </row>
    <row r="521" spans="1:12">
      <c r="A521" s="1">
        <v>42668</v>
      </c>
      <c r="B521">
        <v>1</v>
      </c>
      <c r="C521" t="s">
        <v>6248</v>
      </c>
      <c r="D521" s="4">
        <v>8.2204999999999995</v>
      </c>
      <c r="E521" s="4">
        <v>21.98</v>
      </c>
      <c r="F521" t="s">
        <v>6249</v>
      </c>
      <c r="G521" t="s">
        <v>6228</v>
      </c>
      <c r="H521" t="s">
        <v>3588</v>
      </c>
      <c r="I521" t="s">
        <v>3588</v>
      </c>
      <c r="J521" t="s">
        <v>3584</v>
      </c>
      <c r="K521" s="4">
        <v>21.98</v>
      </c>
      <c r="L521" s="4">
        <v>8.2204999999999995</v>
      </c>
    </row>
    <row r="522" spans="1:12">
      <c r="A522" s="1">
        <v>42669</v>
      </c>
      <c r="B522">
        <v>1</v>
      </c>
      <c r="C522" t="s">
        <v>3572</v>
      </c>
      <c r="D522" s="4">
        <v>605.64919999999995</v>
      </c>
      <c r="E522" s="4">
        <v>1000.4375</v>
      </c>
      <c r="F522" t="s">
        <v>3479</v>
      </c>
      <c r="G522" t="s">
        <v>3475</v>
      </c>
      <c r="H522" t="s">
        <v>3577</v>
      </c>
      <c r="I522" t="s">
        <v>3578</v>
      </c>
      <c r="J522" t="s">
        <v>3579</v>
      </c>
      <c r="K522" s="4">
        <v>1000.4375</v>
      </c>
      <c r="L522" s="4">
        <v>605.64919999999995</v>
      </c>
    </row>
    <row r="523" spans="1:12">
      <c r="A523" s="1">
        <v>42669</v>
      </c>
      <c r="B523">
        <v>1</v>
      </c>
      <c r="C523" t="s">
        <v>6242</v>
      </c>
      <c r="D523" s="4">
        <v>1.8663000000000001</v>
      </c>
      <c r="E523" s="4">
        <v>4.99</v>
      </c>
      <c r="F523" t="s">
        <v>6243</v>
      </c>
      <c r="G523" t="s">
        <v>6228</v>
      </c>
      <c r="H523" t="s">
        <v>3577</v>
      </c>
      <c r="I523" t="s">
        <v>3578</v>
      </c>
      <c r="J523" t="s">
        <v>3579</v>
      </c>
      <c r="K523" s="4">
        <v>4.99</v>
      </c>
      <c r="L523" s="4">
        <v>1.8663000000000001</v>
      </c>
    </row>
    <row r="524" spans="1:12">
      <c r="A524" s="1">
        <v>42669</v>
      </c>
      <c r="B524">
        <v>1</v>
      </c>
      <c r="C524" t="s">
        <v>6270</v>
      </c>
      <c r="D524" s="4">
        <v>1.4923</v>
      </c>
      <c r="E524" s="4">
        <v>3.99</v>
      </c>
      <c r="F524" t="s">
        <v>6243</v>
      </c>
      <c r="G524" t="s">
        <v>6228</v>
      </c>
      <c r="H524" t="s">
        <v>3577</v>
      </c>
      <c r="I524" t="s">
        <v>3578</v>
      </c>
      <c r="J524" t="s">
        <v>3579</v>
      </c>
      <c r="K524" s="4">
        <v>3.99</v>
      </c>
      <c r="L524" s="4">
        <v>1.4923</v>
      </c>
    </row>
    <row r="525" spans="1:12">
      <c r="A525" s="1">
        <v>42669</v>
      </c>
      <c r="B525">
        <v>1</v>
      </c>
      <c r="C525" t="s">
        <v>6276</v>
      </c>
      <c r="D525" s="4">
        <v>1.8663000000000001</v>
      </c>
      <c r="E525" s="4">
        <v>4.99</v>
      </c>
      <c r="F525" t="s">
        <v>6243</v>
      </c>
      <c r="G525" t="s">
        <v>6228</v>
      </c>
      <c r="H525" t="s">
        <v>3577</v>
      </c>
      <c r="I525" t="s">
        <v>3578</v>
      </c>
      <c r="J525" t="s">
        <v>3579</v>
      </c>
      <c r="K525" s="4">
        <v>4.99</v>
      </c>
      <c r="L525" s="4">
        <v>1.8663000000000001</v>
      </c>
    </row>
    <row r="526" spans="1:12">
      <c r="A526" s="1">
        <v>42669</v>
      </c>
      <c r="B526">
        <v>1</v>
      </c>
      <c r="C526" t="s">
        <v>6291</v>
      </c>
      <c r="D526" s="4">
        <v>41.572299999999998</v>
      </c>
      <c r="E526" s="4">
        <v>53.99</v>
      </c>
      <c r="F526" t="s">
        <v>6235</v>
      </c>
      <c r="G526" t="s">
        <v>6233</v>
      </c>
      <c r="H526" t="s">
        <v>3580</v>
      </c>
      <c r="I526" t="s">
        <v>3578</v>
      </c>
      <c r="J526" t="s">
        <v>3579</v>
      </c>
      <c r="K526" s="4">
        <v>53.99</v>
      </c>
      <c r="L526" s="4">
        <v>41.572299999999998</v>
      </c>
    </row>
    <row r="527" spans="1:12">
      <c r="A527" s="1">
        <v>42669</v>
      </c>
      <c r="B527">
        <v>1</v>
      </c>
      <c r="C527" t="s">
        <v>6244</v>
      </c>
      <c r="D527" s="4">
        <v>3.7363</v>
      </c>
      <c r="E527" s="4">
        <v>9.99</v>
      </c>
      <c r="F527" t="s">
        <v>6240</v>
      </c>
      <c r="G527" t="s">
        <v>6228</v>
      </c>
      <c r="H527" t="s">
        <v>3585</v>
      </c>
      <c r="I527" t="s">
        <v>3585</v>
      </c>
      <c r="J527" t="s">
        <v>3584</v>
      </c>
      <c r="K527" s="4">
        <v>9.99</v>
      </c>
      <c r="L527" s="4">
        <v>3.7363</v>
      </c>
    </row>
    <row r="528" spans="1:12">
      <c r="A528" s="1">
        <v>42669</v>
      </c>
      <c r="B528">
        <v>1</v>
      </c>
      <c r="C528" t="s">
        <v>6282</v>
      </c>
      <c r="D528" s="4">
        <v>10.8423</v>
      </c>
      <c r="E528" s="4">
        <v>28.99</v>
      </c>
      <c r="F528" t="s">
        <v>6243</v>
      </c>
      <c r="G528" t="s">
        <v>6228</v>
      </c>
      <c r="H528" t="s">
        <v>3586</v>
      </c>
      <c r="I528" t="s">
        <v>3586</v>
      </c>
      <c r="J528" t="s">
        <v>3587</v>
      </c>
      <c r="K528" s="4">
        <v>28.99</v>
      </c>
      <c r="L528" s="4">
        <v>10.8423</v>
      </c>
    </row>
    <row r="529" spans="1:12">
      <c r="A529" s="1">
        <v>42670</v>
      </c>
      <c r="B529">
        <v>1</v>
      </c>
      <c r="C529" t="s">
        <v>6230</v>
      </c>
      <c r="D529" s="4">
        <v>12.027799999999999</v>
      </c>
      <c r="E529" s="4">
        <v>33.644199999999998</v>
      </c>
      <c r="F529" t="s">
        <v>6227</v>
      </c>
      <c r="G529" t="s">
        <v>6228</v>
      </c>
      <c r="H529" t="s">
        <v>3582</v>
      </c>
      <c r="I529" t="s">
        <v>3582</v>
      </c>
      <c r="J529" t="s">
        <v>3579</v>
      </c>
      <c r="K529" s="4">
        <v>33.644199999999998</v>
      </c>
      <c r="L529" s="4">
        <v>12.027799999999999</v>
      </c>
    </row>
    <row r="530" spans="1:12">
      <c r="A530" s="1">
        <v>42670</v>
      </c>
      <c r="B530">
        <v>1</v>
      </c>
      <c r="C530" t="s">
        <v>6268</v>
      </c>
      <c r="D530" s="4">
        <v>41.572299999999998</v>
      </c>
      <c r="E530" s="4">
        <v>53.99</v>
      </c>
      <c r="F530" t="s">
        <v>6235</v>
      </c>
      <c r="G530" t="s">
        <v>6233</v>
      </c>
      <c r="H530" t="s">
        <v>3586</v>
      </c>
      <c r="I530" t="s">
        <v>3586</v>
      </c>
      <c r="J530" t="s">
        <v>3587</v>
      </c>
      <c r="K530" s="4">
        <v>53.99</v>
      </c>
      <c r="L530" s="4">
        <v>41.572299999999998</v>
      </c>
    </row>
    <row r="531" spans="1:12">
      <c r="A531" s="1">
        <v>42671</v>
      </c>
      <c r="B531">
        <v>1</v>
      </c>
      <c r="C531" t="s">
        <v>6231</v>
      </c>
      <c r="D531" s="4">
        <v>5.7051999999999996</v>
      </c>
      <c r="E531" s="4">
        <v>8.6441999999999997</v>
      </c>
      <c r="F531" t="s">
        <v>6232</v>
      </c>
      <c r="G531" t="s">
        <v>6233</v>
      </c>
      <c r="H531" t="s">
        <v>3580</v>
      </c>
      <c r="I531" t="s">
        <v>3578</v>
      </c>
      <c r="J531" t="s">
        <v>3579</v>
      </c>
      <c r="K531" s="4">
        <v>8.6441999999999997</v>
      </c>
      <c r="L531" s="4">
        <v>5.7051999999999996</v>
      </c>
    </row>
    <row r="532" spans="1:12">
      <c r="A532" s="1">
        <v>42671</v>
      </c>
      <c r="B532">
        <v>1</v>
      </c>
      <c r="C532" t="s">
        <v>6245</v>
      </c>
      <c r="D532" s="4">
        <v>0.85650000000000004</v>
      </c>
      <c r="E532" s="4">
        <v>2.29</v>
      </c>
      <c r="F532" t="s">
        <v>6243</v>
      </c>
      <c r="G532" t="s">
        <v>6228</v>
      </c>
      <c r="H532" t="s">
        <v>3583</v>
      </c>
      <c r="I532" t="s">
        <v>3583</v>
      </c>
      <c r="J532" t="s">
        <v>3584</v>
      </c>
      <c r="K532" s="4">
        <v>2.29</v>
      </c>
      <c r="L532" s="4">
        <v>0.85650000000000004</v>
      </c>
    </row>
    <row r="533" spans="1:12">
      <c r="A533" s="1">
        <v>42671</v>
      </c>
      <c r="B533">
        <v>1</v>
      </c>
      <c r="C533" t="s">
        <v>6258</v>
      </c>
      <c r="D533" s="4">
        <v>2.9733000000000001</v>
      </c>
      <c r="E533" s="4">
        <v>7.95</v>
      </c>
      <c r="F533" t="s">
        <v>6259</v>
      </c>
      <c r="G533" t="s">
        <v>6228</v>
      </c>
      <c r="H533" t="s">
        <v>3583</v>
      </c>
      <c r="I533" t="s">
        <v>3583</v>
      </c>
      <c r="J533" t="s">
        <v>3584</v>
      </c>
      <c r="K533" s="4">
        <v>7.95</v>
      </c>
      <c r="L533" s="4">
        <v>2.9733000000000001</v>
      </c>
    </row>
    <row r="534" spans="1:12">
      <c r="A534" s="1">
        <v>42671</v>
      </c>
      <c r="B534">
        <v>1</v>
      </c>
      <c r="C534" t="s">
        <v>6299</v>
      </c>
      <c r="D534" s="4">
        <v>755.1508</v>
      </c>
      <c r="E534" s="4">
        <v>1214.8499999999999</v>
      </c>
      <c r="F534" t="s">
        <v>6274</v>
      </c>
      <c r="G534" t="s">
        <v>3475</v>
      </c>
      <c r="H534" t="s">
        <v>3583</v>
      </c>
      <c r="I534" t="s">
        <v>3583</v>
      </c>
      <c r="J534" t="s">
        <v>3584</v>
      </c>
      <c r="K534" s="4">
        <v>1214.8499999999999</v>
      </c>
      <c r="L534" s="4">
        <v>755.1508</v>
      </c>
    </row>
    <row r="535" spans="1:12">
      <c r="A535" s="1">
        <v>42671</v>
      </c>
      <c r="B535">
        <v>1</v>
      </c>
      <c r="C535" t="s">
        <v>6230</v>
      </c>
      <c r="D535" s="4">
        <v>12.027799999999999</v>
      </c>
      <c r="E535" s="4">
        <v>33.644199999999998</v>
      </c>
      <c r="F535" t="s">
        <v>6227</v>
      </c>
      <c r="G535" t="s">
        <v>6228</v>
      </c>
      <c r="H535" t="s">
        <v>3586</v>
      </c>
      <c r="I535" t="s">
        <v>3586</v>
      </c>
      <c r="J535" t="s">
        <v>3587</v>
      </c>
      <c r="K535" s="4">
        <v>33.644199999999998</v>
      </c>
      <c r="L535" s="4">
        <v>12.027799999999999</v>
      </c>
    </row>
    <row r="536" spans="1:12">
      <c r="A536" s="1">
        <v>42671</v>
      </c>
      <c r="B536">
        <v>1</v>
      </c>
      <c r="C536" t="s">
        <v>6239</v>
      </c>
      <c r="D536" s="4">
        <v>1.8663000000000001</v>
      </c>
      <c r="E536" s="4">
        <v>4.99</v>
      </c>
      <c r="F536" t="s">
        <v>6240</v>
      </c>
      <c r="G536" t="s">
        <v>6228</v>
      </c>
      <c r="H536" t="s">
        <v>3586</v>
      </c>
      <c r="I536" t="s">
        <v>3586</v>
      </c>
      <c r="J536" t="s">
        <v>3587</v>
      </c>
      <c r="K536" s="4">
        <v>4.99</v>
      </c>
      <c r="L536" s="4">
        <v>1.8663000000000001</v>
      </c>
    </row>
    <row r="537" spans="1:12">
      <c r="A537" s="1">
        <v>42671</v>
      </c>
      <c r="B537">
        <v>1</v>
      </c>
      <c r="C537" t="s">
        <v>6292</v>
      </c>
      <c r="D537" s="4">
        <v>23.748999999999999</v>
      </c>
      <c r="E537" s="4">
        <v>63.5</v>
      </c>
      <c r="F537" t="s">
        <v>6293</v>
      </c>
      <c r="G537" t="s">
        <v>6233</v>
      </c>
      <c r="H537" t="s">
        <v>3588</v>
      </c>
      <c r="I537" t="s">
        <v>3588</v>
      </c>
      <c r="J537" t="s">
        <v>3584</v>
      </c>
      <c r="K537" s="4">
        <v>63.5</v>
      </c>
      <c r="L537" s="4">
        <v>23.748999999999999</v>
      </c>
    </row>
    <row r="538" spans="1:12">
      <c r="A538" s="1">
        <v>42672</v>
      </c>
      <c r="B538">
        <v>1</v>
      </c>
      <c r="C538" t="s">
        <v>6287</v>
      </c>
      <c r="D538" s="4">
        <v>1082.51</v>
      </c>
      <c r="E538" s="4">
        <v>1700.99</v>
      </c>
      <c r="F538" t="s">
        <v>3479</v>
      </c>
      <c r="G538" t="s">
        <v>3475</v>
      </c>
      <c r="H538" t="s">
        <v>3580</v>
      </c>
      <c r="I538" t="s">
        <v>3578</v>
      </c>
      <c r="J538" t="s">
        <v>3579</v>
      </c>
      <c r="K538" s="4">
        <v>1700.99</v>
      </c>
      <c r="L538" s="4">
        <v>1082.51</v>
      </c>
    </row>
    <row r="539" spans="1:12">
      <c r="A539" s="1">
        <v>42672</v>
      </c>
      <c r="B539">
        <v>1</v>
      </c>
      <c r="C539" t="s">
        <v>6282</v>
      </c>
      <c r="D539" s="4">
        <v>10.8423</v>
      </c>
      <c r="E539" s="4">
        <v>28.99</v>
      </c>
      <c r="F539" t="s">
        <v>6243</v>
      </c>
      <c r="G539" t="s">
        <v>6228</v>
      </c>
      <c r="H539" t="s">
        <v>3582</v>
      </c>
      <c r="I539" t="s">
        <v>3582</v>
      </c>
      <c r="J539" t="s">
        <v>3579</v>
      </c>
      <c r="K539" s="4">
        <v>28.99</v>
      </c>
      <c r="L539" s="4">
        <v>10.8423</v>
      </c>
    </row>
    <row r="540" spans="1:12">
      <c r="A540" s="1">
        <v>42672</v>
      </c>
      <c r="B540">
        <v>1</v>
      </c>
      <c r="C540" t="s">
        <v>6238</v>
      </c>
      <c r="D540" s="4">
        <v>31.724399999999999</v>
      </c>
      <c r="E540" s="4">
        <v>48.067300000000003</v>
      </c>
      <c r="F540" t="s">
        <v>6235</v>
      </c>
      <c r="G540" t="s">
        <v>6233</v>
      </c>
      <c r="H540" t="s">
        <v>3585</v>
      </c>
      <c r="I540" t="s">
        <v>3585</v>
      </c>
      <c r="J540" t="s">
        <v>3584</v>
      </c>
      <c r="K540" s="4">
        <v>48.067300000000003</v>
      </c>
      <c r="L540" s="4">
        <v>31.724399999999999</v>
      </c>
    </row>
    <row r="541" spans="1:12">
      <c r="A541" s="1">
        <v>42672</v>
      </c>
      <c r="B541">
        <v>1</v>
      </c>
      <c r="C541" t="s">
        <v>6277</v>
      </c>
      <c r="D541" s="4">
        <v>8.0373000000000001</v>
      </c>
      <c r="E541" s="4">
        <v>21.49</v>
      </c>
      <c r="F541" t="s">
        <v>6243</v>
      </c>
      <c r="G541" t="s">
        <v>6228</v>
      </c>
      <c r="H541" t="s">
        <v>3586</v>
      </c>
      <c r="I541" t="s">
        <v>3586</v>
      </c>
      <c r="J541" t="s">
        <v>3587</v>
      </c>
      <c r="K541" s="4">
        <v>21.49</v>
      </c>
      <c r="L541" s="4">
        <v>8.0373000000000001</v>
      </c>
    </row>
    <row r="542" spans="1:12">
      <c r="A542" s="1">
        <v>42672</v>
      </c>
      <c r="B542">
        <v>1</v>
      </c>
      <c r="C542" t="s">
        <v>6239</v>
      </c>
      <c r="D542" s="4">
        <v>1.8663000000000001</v>
      </c>
      <c r="E542" s="4">
        <v>4.99</v>
      </c>
      <c r="F542" t="s">
        <v>6240</v>
      </c>
      <c r="G542" t="s">
        <v>6228</v>
      </c>
      <c r="H542" t="s">
        <v>3588</v>
      </c>
      <c r="I542" t="s">
        <v>3588</v>
      </c>
      <c r="J542" t="s">
        <v>3584</v>
      </c>
      <c r="K542" s="4">
        <v>4.99</v>
      </c>
      <c r="L542" s="4">
        <v>1.8663000000000001</v>
      </c>
    </row>
    <row r="543" spans="1:12">
      <c r="A543" s="1">
        <v>42673</v>
      </c>
      <c r="B543">
        <v>1</v>
      </c>
      <c r="C543" t="s">
        <v>6260</v>
      </c>
      <c r="D543" s="4">
        <v>13.09</v>
      </c>
      <c r="E543" s="4">
        <v>35</v>
      </c>
      <c r="F543" t="s">
        <v>6243</v>
      </c>
      <c r="G543" t="s">
        <v>6228</v>
      </c>
      <c r="H543" t="s">
        <v>3580</v>
      </c>
      <c r="I543" t="s">
        <v>3578</v>
      </c>
      <c r="J543" t="s">
        <v>3579</v>
      </c>
      <c r="K543" s="4">
        <v>35</v>
      </c>
      <c r="L543" s="4">
        <v>13.09</v>
      </c>
    </row>
    <row r="544" spans="1:12">
      <c r="A544" s="1">
        <v>42673</v>
      </c>
      <c r="B544">
        <v>1</v>
      </c>
      <c r="C544" t="s">
        <v>6284</v>
      </c>
      <c r="D544" s="4">
        <v>26.176300000000001</v>
      </c>
      <c r="E544" s="4">
        <v>69.989999999999995</v>
      </c>
      <c r="F544" t="s">
        <v>6262</v>
      </c>
      <c r="G544" t="s">
        <v>6233</v>
      </c>
      <c r="H544" t="s">
        <v>3582</v>
      </c>
      <c r="I544" t="s">
        <v>3582</v>
      </c>
      <c r="J544" t="s">
        <v>3579</v>
      </c>
      <c r="K544" s="4">
        <v>69.989999999999995</v>
      </c>
      <c r="L544" s="4">
        <v>26.176300000000001</v>
      </c>
    </row>
    <row r="545" spans="1:12">
      <c r="A545" s="1">
        <v>42673</v>
      </c>
      <c r="B545">
        <v>1</v>
      </c>
      <c r="C545" t="s">
        <v>3542</v>
      </c>
      <c r="D545" s="4">
        <v>1105.81</v>
      </c>
      <c r="E545" s="4">
        <v>2049.0981999999999</v>
      </c>
      <c r="F545" t="s">
        <v>3478</v>
      </c>
      <c r="G545" t="s">
        <v>3475</v>
      </c>
      <c r="H545" t="s">
        <v>3586</v>
      </c>
      <c r="I545" t="s">
        <v>3586</v>
      </c>
      <c r="J545" t="s">
        <v>3587</v>
      </c>
      <c r="K545" s="4">
        <v>2049.0981999999999</v>
      </c>
      <c r="L545" s="4">
        <v>1105.81</v>
      </c>
    </row>
    <row r="546" spans="1:12">
      <c r="A546" s="1">
        <v>42673</v>
      </c>
      <c r="B546">
        <v>1</v>
      </c>
      <c r="C546" t="s">
        <v>3554</v>
      </c>
      <c r="D546" s="4">
        <v>1320.6838</v>
      </c>
      <c r="E546" s="4">
        <v>2181.5625</v>
      </c>
      <c r="F546" t="s">
        <v>3479</v>
      </c>
      <c r="G546" t="s">
        <v>3475</v>
      </c>
      <c r="H546" t="s">
        <v>3588</v>
      </c>
      <c r="I546" t="s">
        <v>3588</v>
      </c>
      <c r="J546" t="s">
        <v>3584</v>
      </c>
      <c r="K546" s="4">
        <v>2181.5625</v>
      </c>
      <c r="L546" s="4">
        <v>1320.6838</v>
      </c>
    </row>
    <row r="547" spans="1:12">
      <c r="A547" s="1">
        <v>42674</v>
      </c>
      <c r="B547">
        <v>1</v>
      </c>
      <c r="C547" t="s">
        <v>6300</v>
      </c>
      <c r="D547" s="4">
        <v>294.5797</v>
      </c>
      <c r="E547" s="4">
        <v>539.99</v>
      </c>
      <c r="F547" t="s">
        <v>3478</v>
      </c>
      <c r="G547" t="s">
        <v>3475</v>
      </c>
      <c r="H547" t="s">
        <v>3577</v>
      </c>
      <c r="I547" t="s">
        <v>3578</v>
      </c>
      <c r="J547" t="s">
        <v>3579</v>
      </c>
      <c r="K547" s="4">
        <v>539.99</v>
      </c>
      <c r="L547" s="4">
        <v>294.5797</v>
      </c>
    </row>
    <row r="548" spans="1:12">
      <c r="A548" s="1">
        <v>42674</v>
      </c>
      <c r="B548">
        <v>1</v>
      </c>
      <c r="C548" t="s">
        <v>6229</v>
      </c>
      <c r="D548" s="4">
        <v>12.027799999999999</v>
      </c>
      <c r="E548" s="4">
        <v>33.644199999999998</v>
      </c>
      <c r="F548" t="s">
        <v>6227</v>
      </c>
      <c r="G548" t="s">
        <v>6228</v>
      </c>
      <c r="H548" t="s">
        <v>3580</v>
      </c>
      <c r="I548" t="s">
        <v>3578</v>
      </c>
      <c r="J548" t="s">
        <v>3579</v>
      </c>
      <c r="K548" s="4">
        <v>33.644199999999998</v>
      </c>
      <c r="L548" s="4">
        <v>12.027799999999999</v>
      </c>
    </row>
    <row r="549" spans="1:12">
      <c r="A549" s="1">
        <v>42674</v>
      </c>
      <c r="B549">
        <v>1</v>
      </c>
      <c r="C549" t="s">
        <v>6276</v>
      </c>
      <c r="D549" s="4">
        <v>1.8663000000000001</v>
      </c>
      <c r="E549" s="4">
        <v>4.99</v>
      </c>
      <c r="F549" t="s">
        <v>6243</v>
      </c>
      <c r="G549" t="s">
        <v>6228</v>
      </c>
      <c r="H549" t="s">
        <v>3583</v>
      </c>
      <c r="I549" t="s">
        <v>3583</v>
      </c>
      <c r="J549" t="s">
        <v>3584</v>
      </c>
      <c r="K549" s="4">
        <v>4.99</v>
      </c>
      <c r="L549" s="4">
        <v>1.8663000000000001</v>
      </c>
    </row>
    <row r="550" spans="1:12">
      <c r="A550" s="1">
        <v>42674</v>
      </c>
      <c r="B550">
        <v>1</v>
      </c>
      <c r="C550" t="s">
        <v>3542</v>
      </c>
      <c r="D550" s="4">
        <v>1105.81</v>
      </c>
      <c r="E550" s="4">
        <v>2049.0981999999999</v>
      </c>
      <c r="F550" t="s">
        <v>3478</v>
      </c>
      <c r="G550" t="s">
        <v>3475</v>
      </c>
      <c r="H550" t="s">
        <v>3585</v>
      </c>
      <c r="I550" t="s">
        <v>3585</v>
      </c>
      <c r="J550" t="s">
        <v>3584</v>
      </c>
      <c r="K550" s="4">
        <v>2049.0981999999999</v>
      </c>
      <c r="L550" s="4">
        <v>1105.81</v>
      </c>
    </row>
    <row r="551" spans="1:12">
      <c r="A551" s="1">
        <v>42674</v>
      </c>
      <c r="B551">
        <v>1</v>
      </c>
      <c r="C551" t="s">
        <v>6242</v>
      </c>
      <c r="D551" s="4">
        <v>1.8663000000000001</v>
      </c>
      <c r="E551" s="4">
        <v>4.99</v>
      </c>
      <c r="F551" t="s">
        <v>6243</v>
      </c>
      <c r="G551" t="s">
        <v>6228</v>
      </c>
      <c r="H551" t="s">
        <v>3585</v>
      </c>
      <c r="I551" t="s">
        <v>3585</v>
      </c>
      <c r="J551" t="s">
        <v>3584</v>
      </c>
      <c r="K551" s="4">
        <v>4.99</v>
      </c>
      <c r="L551" s="4">
        <v>1.8663000000000001</v>
      </c>
    </row>
    <row r="552" spans="1:12">
      <c r="A552" s="1">
        <v>42674</v>
      </c>
      <c r="B552">
        <v>1</v>
      </c>
      <c r="C552" t="s">
        <v>6301</v>
      </c>
      <c r="D552" s="4">
        <v>343.64960000000002</v>
      </c>
      <c r="E552" s="4">
        <v>539.99</v>
      </c>
      <c r="F552" t="s">
        <v>3479</v>
      </c>
      <c r="G552" t="s">
        <v>3475</v>
      </c>
      <c r="H552" t="s">
        <v>3585</v>
      </c>
      <c r="I552" t="s">
        <v>3585</v>
      </c>
      <c r="J552" t="s">
        <v>3584</v>
      </c>
      <c r="K552" s="4">
        <v>539.99</v>
      </c>
      <c r="L552" s="4">
        <v>343.64960000000002</v>
      </c>
    </row>
    <row r="553" spans="1:12">
      <c r="A553" s="1">
        <v>42674</v>
      </c>
      <c r="B553">
        <v>1</v>
      </c>
      <c r="C553" t="s">
        <v>6267</v>
      </c>
      <c r="D553" s="4">
        <v>343.64960000000002</v>
      </c>
      <c r="E553" s="4">
        <v>539.99</v>
      </c>
      <c r="F553" t="s">
        <v>3479</v>
      </c>
      <c r="G553" t="s">
        <v>3475</v>
      </c>
      <c r="H553" t="s">
        <v>3586</v>
      </c>
      <c r="I553" t="s">
        <v>3586</v>
      </c>
      <c r="J553" t="s">
        <v>3587</v>
      </c>
      <c r="K553" s="4">
        <v>539.99</v>
      </c>
      <c r="L553" s="4">
        <v>343.64960000000002</v>
      </c>
    </row>
    <row r="554" spans="1:12">
      <c r="A554" s="1">
        <v>42675</v>
      </c>
      <c r="B554">
        <v>1</v>
      </c>
      <c r="C554" t="s">
        <v>6239</v>
      </c>
      <c r="D554" s="4">
        <v>1.8663000000000001</v>
      </c>
      <c r="E554" s="4">
        <v>4.99</v>
      </c>
      <c r="F554" t="s">
        <v>6240</v>
      </c>
      <c r="G554" t="s">
        <v>6228</v>
      </c>
      <c r="H554" t="s">
        <v>3582</v>
      </c>
      <c r="I554" t="s">
        <v>3582</v>
      </c>
      <c r="J554" t="s">
        <v>3579</v>
      </c>
      <c r="K554" s="4">
        <v>4.99</v>
      </c>
      <c r="L554" s="4">
        <v>1.8663000000000001</v>
      </c>
    </row>
    <row r="555" spans="1:12">
      <c r="A555" s="1">
        <v>42675</v>
      </c>
      <c r="B555">
        <v>1</v>
      </c>
      <c r="C555" t="s">
        <v>6244</v>
      </c>
      <c r="D555" s="4">
        <v>3.7363</v>
      </c>
      <c r="E555" s="4">
        <v>9.99</v>
      </c>
      <c r="F555" t="s">
        <v>6240</v>
      </c>
      <c r="G555" t="s">
        <v>6228</v>
      </c>
      <c r="H555" t="s">
        <v>3582</v>
      </c>
      <c r="I555" t="s">
        <v>3582</v>
      </c>
      <c r="J555" t="s">
        <v>3579</v>
      </c>
      <c r="K555" s="4">
        <v>9.99</v>
      </c>
      <c r="L555" s="4">
        <v>3.7363</v>
      </c>
    </row>
    <row r="556" spans="1:12">
      <c r="A556" s="1">
        <v>42675</v>
      </c>
      <c r="B556">
        <v>1</v>
      </c>
      <c r="C556" t="s">
        <v>6242</v>
      </c>
      <c r="D556" s="4">
        <v>1.8663000000000001</v>
      </c>
      <c r="E556" s="4">
        <v>4.99</v>
      </c>
      <c r="F556" t="s">
        <v>6243</v>
      </c>
      <c r="G556" t="s">
        <v>6228</v>
      </c>
      <c r="H556" t="s">
        <v>3582</v>
      </c>
      <c r="I556" t="s">
        <v>3582</v>
      </c>
      <c r="J556" t="s">
        <v>3579</v>
      </c>
      <c r="K556" s="4">
        <v>4.99</v>
      </c>
      <c r="L556" s="4">
        <v>1.8663000000000001</v>
      </c>
    </row>
    <row r="557" spans="1:12">
      <c r="A557" s="1">
        <v>42675</v>
      </c>
      <c r="B557">
        <v>1</v>
      </c>
      <c r="C557" t="s">
        <v>6270</v>
      </c>
      <c r="D557" s="4">
        <v>1.4923</v>
      </c>
      <c r="E557" s="4">
        <v>3.99</v>
      </c>
      <c r="F557" t="s">
        <v>6243</v>
      </c>
      <c r="G557" t="s">
        <v>6228</v>
      </c>
      <c r="H557" t="s">
        <v>3582</v>
      </c>
      <c r="I557" t="s">
        <v>3582</v>
      </c>
      <c r="J557" t="s">
        <v>3579</v>
      </c>
      <c r="K557" s="4">
        <v>3.99</v>
      </c>
      <c r="L557" s="4">
        <v>1.4923</v>
      </c>
    </row>
    <row r="558" spans="1:12">
      <c r="A558" s="1">
        <v>42676</v>
      </c>
      <c r="B558">
        <v>1</v>
      </c>
      <c r="C558" t="s">
        <v>6229</v>
      </c>
      <c r="D558" s="4">
        <v>12.027799999999999</v>
      </c>
      <c r="E558" s="4">
        <v>33.644199999999998</v>
      </c>
      <c r="F558" t="s">
        <v>6227</v>
      </c>
      <c r="G558" t="s">
        <v>6228</v>
      </c>
      <c r="H558" t="s">
        <v>3580</v>
      </c>
      <c r="I558" t="s">
        <v>3578</v>
      </c>
      <c r="J558" t="s">
        <v>3579</v>
      </c>
      <c r="K558" s="4">
        <v>33.644199999999998</v>
      </c>
      <c r="L558" s="4">
        <v>12.027799999999999</v>
      </c>
    </row>
    <row r="559" spans="1:12">
      <c r="A559" s="1">
        <v>42676</v>
      </c>
      <c r="B559">
        <v>1</v>
      </c>
      <c r="C559" t="s">
        <v>3544</v>
      </c>
      <c r="D559" s="4">
        <v>1105.81</v>
      </c>
      <c r="E559" s="4">
        <v>2049.0981999999999</v>
      </c>
      <c r="F559" t="s">
        <v>3478</v>
      </c>
      <c r="G559" t="s">
        <v>3475</v>
      </c>
      <c r="H559" t="s">
        <v>3582</v>
      </c>
      <c r="I559" t="s">
        <v>3582</v>
      </c>
      <c r="J559" t="s">
        <v>3579</v>
      </c>
      <c r="K559" s="4">
        <v>2049.0981999999999</v>
      </c>
      <c r="L559" s="4">
        <v>1105.81</v>
      </c>
    </row>
    <row r="560" spans="1:12">
      <c r="A560" s="1">
        <v>42676</v>
      </c>
      <c r="B560">
        <v>1</v>
      </c>
      <c r="C560" t="s">
        <v>6239</v>
      </c>
      <c r="D560" s="4">
        <v>1.8663000000000001</v>
      </c>
      <c r="E560" s="4">
        <v>4.99</v>
      </c>
      <c r="F560" t="s">
        <v>6240</v>
      </c>
      <c r="G560" t="s">
        <v>6228</v>
      </c>
      <c r="H560" t="s">
        <v>3583</v>
      </c>
      <c r="I560" t="s">
        <v>3583</v>
      </c>
      <c r="J560" t="s">
        <v>3584</v>
      </c>
      <c r="K560" s="4">
        <v>4.99</v>
      </c>
      <c r="L560" s="4">
        <v>1.8663000000000001</v>
      </c>
    </row>
    <row r="561" spans="1:12">
      <c r="A561" s="1">
        <v>42676</v>
      </c>
      <c r="B561">
        <v>1</v>
      </c>
      <c r="C561" t="s">
        <v>6226</v>
      </c>
      <c r="D561" s="4">
        <v>13.0863</v>
      </c>
      <c r="E561" s="4">
        <v>34.99</v>
      </c>
      <c r="F561" t="s">
        <v>6227</v>
      </c>
      <c r="G561" t="s">
        <v>6228</v>
      </c>
      <c r="H561" t="s">
        <v>3586</v>
      </c>
      <c r="I561" t="s">
        <v>3586</v>
      </c>
      <c r="J561" t="s">
        <v>3587</v>
      </c>
      <c r="K561" s="4">
        <v>34.99</v>
      </c>
      <c r="L561" s="4">
        <v>13.0863</v>
      </c>
    </row>
    <row r="562" spans="1:12">
      <c r="A562" s="1">
        <v>42676</v>
      </c>
      <c r="B562">
        <v>1</v>
      </c>
      <c r="C562" t="s">
        <v>3568</v>
      </c>
      <c r="D562" s="4">
        <v>605.64919999999995</v>
      </c>
      <c r="E562" s="4">
        <v>1000.4375</v>
      </c>
      <c r="F562" t="s">
        <v>3479</v>
      </c>
      <c r="G562" t="s">
        <v>3475</v>
      </c>
      <c r="H562" t="s">
        <v>3588</v>
      </c>
      <c r="I562" t="s">
        <v>3588</v>
      </c>
      <c r="J562" t="s">
        <v>3584</v>
      </c>
      <c r="K562" s="4">
        <v>1000.4375</v>
      </c>
      <c r="L562" s="4">
        <v>605.64919999999995</v>
      </c>
    </row>
    <row r="563" spans="1:12">
      <c r="A563" s="1">
        <v>42677</v>
      </c>
      <c r="B563">
        <v>1</v>
      </c>
      <c r="C563" t="s">
        <v>6285</v>
      </c>
      <c r="D563" s="4">
        <v>26.176300000000001</v>
      </c>
      <c r="E563" s="4">
        <v>69.989999999999995</v>
      </c>
      <c r="F563" t="s">
        <v>6262</v>
      </c>
      <c r="G563" t="s">
        <v>6233</v>
      </c>
      <c r="H563" t="s">
        <v>3580</v>
      </c>
      <c r="I563" t="s">
        <v>3578</v>
      </c>
      <c r="J563" t="s">
        <v>3579</v>
      </c>
      <c r="K563" s="4">
        <v>69.989999999999995</v>
      </c>
      <c r="L563" s="4">
        <v>26.176300000000001</v>
      </c>
    </row>
    <row r="564" spans="1:12">
      <c r="A564" s="1">
        <v>42677</v>
      </c>
      <c r="B564">
        <v>1</v>
      </c>
      <c r="C564" t="s">
        <v>6282</v>
      </c>
      <c r="D564" s="4">
        <v>10.8423</v>
      </c>
      <c r="E564" s="4">
        <v>28.99</v>
      </c>
      <c r="F564" t="s">
        <v>6243</v>
      </c>
      <c r="G564" t="s">
        <v>6228</v>
      </c>
      <c r="H564" t="s">
        <v>3580</v>
      </c>
      <c r="I564" t="s">
        <v>3578</v>
      </c>
      <c r="J564" t="s">
        <v>3579</v>
      </c>
      <c r="K564" s="4">
        <v>28.99</v>
      </c>
      <c r="L564" s="4">
        <v>10.8423</v>
      </c>
    </row>
    <row r="565" spans="1:12">
      <c r="A565" s="1">
        <v>42677</v>
      </c>
      <c r="B565">
        <v>1</v>
      </c>
      <c r="C565" t="s">
        <v>3558</v>
      </c>
      <c r="D565" s="4">
        <v>1320.6838</v>
      </c>
      <c r="E565" s="4">
        <v>2181.5625</v>
      </c>
      <c r="F565" t="s">
        <v>3479</v>
      </c>
      <c r="G565" t="s">
        <v>3475</v>
      </c>
      <c r="H565" t="s">
        <v>3585</v>
      </c>
      <c r="I565" t="s">
        <v>3585</v>
      </c>
      <c r="J565" t="s">
        <v>3584</v>
      </c>
      <c r="K565" s="4">
        <v>2181.5625</v>
      </c>
      <c r="L565" s="4">
        <v>1320.6838</v>
      </c>
    </row>
    <row r="566" spans="1:12">
      <c r="A566" s="1">
        <v>42677</v>
      </c>
      <c r="B566">
        <v>1</v>
      </c>
      <c r="C566" t="s">
        <v>6268</v>
      </c>
      <c r="D566" s="4">
        <v>41.572299999999998</v>
      </c>
      <c r="E566" s="4">
        <v>53.99</v>
      </c>
      <c r="F566" t="s">
        <v>6235</v>
      </c>
      <c r="G566" t="s">
        <v>6233</v>
      </c>
      <c r="H566" t="s">
        <v>3586</v>
      </c>
      <c r="I566" t="s">
        <v>3586</v>
      </c>
      <c r="J566" t="s">
        <v>3587</v>
      </c>
      <c r="K566" s="4">
        <v>53.99</v>
      </c>
      <c r="L566" s="4">
        <v>41.572299999999998</v>
      </c>
    </row>
    <row r="567" spans="1:12">
      <c r="A567" s="1">
        <v>42678</v>
      </c>
      <c r="B567">
        <v>1</v>
      </c>
      <c r="C567" t="s">
        <v>6255</v>
      </c>
      <c r="D567" s="4">
        <v>9.7135999999999996</v>
      </c>
      <c r="E567" s="4">
        <v>23.548100000000002</v>
      </c>
      <c r="F567" t="s">
        <v>6251</v>
      </c>
      <c r="G567" t="s">
        <v>6233</v>
      </c>
      <c r="H567" t="s">
        <v>3580</v>
      </c>
      <c r="I567" t="s">
        <v>3578</v>
      </c>
      <c r="J567" t="s">
        <v>3579</v>
      </c>
      <c r="K567" s="4">
        <v>23.548100000000002</v>
      </c>
      <c r="L567" s="4">
        <v>9.7135999999999996</v>
      </c>
    </row>
    <row r="568" spans="1:12">
      <c r="A568" s="1">
        <v>42678</v>
      </c>
      <c r="B568">
        <v>1</v>
      </c>
      <c r="C568" t="s">
        <v>6242</v>
      </c>
      <c r="D568" s="4">
        <v>1.8663000000000001</v>
      </c>
      <c r="E568" s="4">
        <v>4.99</v>
      </c>
      <c r="F568" t="s">
        <v>6243</v>
      </c>
      <c r="G568" t="s">
        <v>6228</v>
      </c>
      <c r="H568" t="s">
        <v>3588</v>
      </c>
      <c r="I568" t="s">
        <v>3588</v>
      </c>
      <c r="J568" t="s">
        <v>3584</v>
      </c>
      <c r="K568" s="4">
        <v>4.99</v>
      </c>
      <c r="L568" s="4">
        <v>1.8663000000000001</v>
      </c>
    </row>
    <row r="569" spans="1:12">
      <c r="A569" s="1">
        <v>42679</v>
      </c>
      <c r="B569">
        <v>1</v>
      </c>
      <c r="C569" t="s">
        <v>6244</v>
      </c>
      <c r="D569" s="4">
        <v>3.7363</v>
      </c>
      <c r="E569" s="4">
        <v>9.99</v>
      </c>
      <c r="F569" t="s">
        <v>6240</v>
      </c>
      <c r="G569" t="s">
        <v>6228</v>
      </c>
      <c r="H569" t="s">
        <v>3577</v>
      </c>
      <c r="I569" t="s">
        <v>3578</v>
      </c>
      <c r="J569" t="s">
        <v>3579</v>
      </c>
      <c r="K569" s="4">
        <v>9.99</v>
      </c>
      <c r="L569" s="4">
        <v>3.7363</v>
      </c>
    </row>
    <row r="570" spans="1:12">
      <c r="A570" s="1">
        <v>42679</v>
      </c>
      <c r="B570">
        <v>1</v>
      </c>
      <c r="C570" t="s">
        <v>6245</v>
      </c>
      <c r="D570" s="4">
        <v>0.85650000000000004</v>
      </c>
      <c r="E570" s="4">
        <v>2.29</v>
      </c>
      <c r="F570" t="s">
        <v>6243</v>
      </c>
      <c r="G570" t="s">
        <v>6228</v>
      </c>
      <c r="H570" t="s">
        <v>3586</v>
      </c>
      <c r="I570" t="s">
        <v>3586</v>
      </c>
      <c r="J570" t="s">
        <v>3587</v>
      </c>
      <c r="K570" s="4">
        <v>2.29</v>
      </c>
      <c r="L570" s="4">
        <v>0.85650000000000004</v>
      </c>
    </row>
    <row r="571" spans="1:12">
      <c r="A571" s="1">
        <v>42679</v>
      </c>
      <c r="B571">
        <v>1</v>
      </c>
      <c r="C571" t="s">
        <v>6270</v>
      </c>
      <c r="D571" s="4">
        <v>1.4923</v>
      </c>
      <c r="E571" s="4">
        <v>3.99</v>
      </c>
      <c r="F571" t="s">
        <v>6243</v>
      </c>
      <c r="G571" t="s">
        <v>6228</v>
      </c>
      <c r="H571" t="s">
        <v>3588</v>
      </c>
      <c r="I571" t="s">
        <v>3588</v>
      </c>
      <c r="J571" t="s">
        <v>3584</v>
      </c>
      <c r="K571" s="4">
        <v>3.99</v>
      </c>
      <c r="L571" s="4">
        <v>1.4923</v>
      </c>
    </row>
    <row r="572" spans="1:12">
      <c r="A572" s="1">
        <v>42680</v>
      </c>
      <c r="B572">
        <v>1</v>
      </c>
      <c r="C572" t="s">
        <v>6248</v>
      </c>
      <c r="D572" s="4">
        <v>8.2204999999999995</v>
      </c>
      <c r="E572" s="4">
        <v>21.98</v>
      </c>
      <c r="F572" t="s">
        <v>6249</v>
      </c>
      <c r="G572" t="s">
        <v>6228</v>
      </c>
      <c r="H572" t="s">
        <v>3577</v>
      </c>
      <c r="I572" t="s">
        <v>3578</v>
      </c>
      <c r="J572" t="s">
        <v>3579</v>
      </c>
      <c r="K572" s="4">
        <v>21.98</v>
      </c>
      <c r="L572" s="4">
        <v>8.2204999999999995</v>
      </c>
    </row>
    <row r="573" spans="1:12">
      <c r="A573" s="1">
        <v>42680</v>
      </c>
      <c r="B573">
        <v>2</v>
      </c>
      <c r="C573" t="s">
        <v>6239</v>
      </c>
      <c r="D573" s="4">
        <v>1.8663000000000001</v>
      </c>
      <c r="E573" s="4">
        <v>4.99</v>
      </c>
      <c r="F573" t="s">
        <v>6240</v>
      </c>
      <c r="G573" t="s">
        <v>6228</v>
      </c>
      <c r="H573" t="s">
        <v>3580</v>
      </c>
      <c r="I573" t="s">
        <v>3578</v>
      </c>
      <c r="J573" t="s">
        <v>3579</v>
      </c>
      <c r="K573" s="4">
        <v>9.98</v>
      </c>
      <c r="L573" s="4">
        <v>3.7326000000000001</v>
      </c>
    </row>
    <row r="574" spans="1:12">
      <c r="A574" s="1">
        <v>42681</v>
      </c>
      <c r="B574">
        <v>1</v>
      </c>
      <c r="C574" t="s">
        <v>3538</v>
      </c>
      <c r="D574" s="4">
        <v>1117.8559</v>
      </c>
      <c r="E574" s="4">
        <v>2071.4196000000002</v>
      </c>
      <c r="F574" t="s">
        <v>3478</v>
      </c>
      <c r="G574" t="s">
        <v>3475</v>
      </c>
      <c r="H574" t="s">
        <v>3577</v>
      </c>
      <c r="I574" t="s">
        <v>3578</v>
      </c>
      <c r="J574" t="s">
        <v>3579</v>
      </c>
      <c r="K574" s="4">
        <v>2071.4196000000002</v>
      </c>
      <c r="L574" s="4">
        <v>1117.8559</v>
      </c>
    </row>
    <row r="575" spans="1:12">
      <c r="A575" s="1">
        <v>42681</v>
      </c>
      <c r="B575">
        <v>2</v>
      </c>
      <c r="C575" t="s">
        <v>6239</v>
      </c>
      <c r="D575" s="4">
        <v>1.8663000000000001</v>
      </c>
      <c r="E575" s="4">
        <v>4.99</v>
      </c>
      <c r="F575" t="s">
        <v>6240</v>
      </c>
      <c r="G575" t="s">
        <v>6228</v>
      </c>
      <c r="H575" t="s">
        <v>3580</v>
      </c>
      <c r="I575" t="s">
        <v>3578</v>
      </c>
      <c r="J575" t="s">
        <v>3579</v>
      </c>
      <c r="K575" s="4">
        <v>9.98</v>
      </c>
      <c r="L575" s="4">
        <v>3.7326000000000001</v>
      </c>
    </row>
    <row r="576" spans="1:12">
      <c r="A576" s="1">
        <v>42681</v>
      </c>
      <c r="B576">
        <v>1</v>
      </c>
      <c r="C576" t="s">
        <v>6244</v>
      </c>
      <c r="D576" s="4">
        <v>3.7363</v>
      </c>
      <c r="E576" s="4">
        <v>9.99</v>
      </c>
      <c r="F576" t="s">
        <v>6240</v>
      </c>
      <c r="G576" t="s">
        <v>6228</v>
      </c>
      <c r="H576" t="s">
        <v>3582</v>
      </c>
      <c r="I576" t="s">
        <v>3582</v>
      </c>
      <c r="J576" t="s">
        <v>3579</v>
      </c>
      <c r="K576" s="4">
        <v>9.99</v>
      </c>
      <c r="L576" s="4">
        <v>3.7363</v>
      </c>
    </row>
    <row r="577" spans="1:12">
      <c r="A577" s="1">
        <v>42681</v>
      </c>
      <c r="B577">
        <v>1</v>
      </c>
      <c r="C577" t="s">
        <v>6254</v>
      </c>
      <c r="D577" s="4">
        <v>12.192399999999999</v>
      </c>
      <c r="E577" s="4">
        <v>32.6</v>
      </c>
      <c r="F577" t="s">
        <v>6243</v>
      </c>
      <c r="G577" t="s">
        <v>6228</v>
      </c>
      <c r="H577" t="s">
        <v>3582</v>
      </c>
      <c r="I577" t="s">
        <v>3582</v>
      </c>
      <c r="J577" t="s">
        <v>3579</v>
      </c>
      <c r="K577" s="4">
        <v>32.6</v>
      </c>
      <c r="L577" s="4">
        <v>12.192399999999999</v>
      </c>
    </row>
    <row r="578" spans="1:12">
      <c r="A578" s="1">
        <v>42681</v>
      </c>
      <c r="B578">
        <v>1</v>
      </c>
      <c r="C578" t="s">
        <v>6239</v>
      </c>
      <c r="D578" s="4">
        <v>1.8663000000000001</v>
      </c>
      <c r="E578" s="4">
        <v>4.99</v>
      </c>
      <c r="F578" t="s">
        <v>6240</v>
      </c>
      <c r="G578" t="s">
        <v>6228</v>
      </c>
      <c r="H578" t="s">
        <v>3585</v>
      </c>
      <c r="I578" t="s">
        <v>3585</v>
      </c>
      <c r="J578" t="s">
        <v>3584</v>
      </c>
      <c r="K578" s="4">
        <v>4.99</v>
      </c>
      <c r="L578" s="4">
        <v>1.8663000000000001</v>
      </c>
    </row>
    <row r="579" spans="1:12">
      <c r="A579" s="1">
        <v>42681</v>
      </c>
      <c r="B579">
        <v>1</v>
      </c>
      <c r="C579" t="s">
        <v>6239</v>
      </c>
      <c r="D579" s="4">
        <v>1.8663000000000001</v>
      </c>
      <c r="E579" s="4">
        <v>4.99</v>
      </c>
      <c r="F579" t="s">
        <v>6240</v>
      </c>
      <c r="G579" t="s">
        <v>6228</v>
      </c>
      <c r="H579" t="s">
        <v>3586</v>
      </c>
      <c r="I579" t="s">
        <v>3586</v>
      </c>
      <c r="J579" t="s">
        <v>3587</v>
      </c>
      <c r="K579" s="4">
        <v>4.99</v>
      </c>
      <c r="L579" s="4">
        <v>1.8663000000000001</v>
      </c>
    </row>
    <row r="580" spans="1:12">
      <c r="A580" s="1">
        <v>42681</v>
      </c>
      <c r="B580">
        <v>1</v>
      </c>
      <c r="C580" t="s">
        <v>6272</v>
      </c>
      <c r="D580" s="4">
        <v>9.3462999999999994</v>
      </c>
      <c r="E580" s="4">
        <v>24.99</v>
      </c>
      <c r="F580" t="s">
        <v>6243</v>
      </c>
      <c r="G580" t="s">
        <v>6228</v>
      </c>
      <c r="H580" t="s">
        <v>3586</v>
      </c>
      <c r="I580" t="s">
        <v>3586</v>
      </c>
      <c r="J580" t="s">
        <v>3587</v>
      </c>
      <c r="K580" s="4">
        <v>24.99</v>
      </c>
      <c r="L580" s="4">
        <v>9.3462999999999994</v>
      </c>
    </row>
    <row r="581" spans="1:12">
      <c r="A581" s="1">
        <v>42681</v>
      </c>
      <c r="B581">
        <v>1</v>
      </c>
      <c r="C581" t="s">
        <v>6260</v>
      </c>
      <c r="D581" s="4">
        <v>13.09</v>
      </c>
      <c r="E581" s="4">
        <v>35</v>
      </c>
      <c r="F581" t="s">
        <v>6243</v>
      </c>
      <c r="G581" t="s">
        <v>6228</v>
      </c>
      <c r="H581" t="s">
        <v>3586</v>
      </c>
      <c r="I581" t="s">
        <v>3586</v>
      </c>
      <c r="J581" t="s">
        <v>3587</v>
      </c>
      <c r="K581" s="4">
        <v>35</v>
      </c>
      <c r="L581" s="4">
        <v>13.09</v>
      </c>
    </row>
    <row r="582" spans="1:12">
      <c r="A582" s="1">
        <v>42681</v>
      </c>
      <c r="B582">
        <v>1</v>
      </c>
      <c r="C582" t="s">
        <v>6267</v>
      </c>
      <c r="D582" s="4">
        <v>343.64960000000002</v>
      </c>
      <c r="E582" s="4">
        <v>539.99</v>
      </c>
      <c r="F582" t="s">
        <v>3479</v>
      </c>
      <c r="G582" t="s">
        <v>3475</v>
      </c>
      <c r="H582" t="s">
        <v>3586</v>
      </c>
      <c r="I582" t="s">
        <v>3586</v>
      </c>
      <c r="J582" t="s">
        <v>3587</v>
      </c>
      <c r="K582" s="4">
        <v>539.99</v>
      </c>
      <c r="L582" s="4">
        <v>343.64960000000002</v>
      </c>
    </row>
    <row r="583" spans="1:12">
      <c r="A583" s="1">
        <v>42682</v>
      </c>
      <c r="B583">
        <v>1</v>
      </c>
      <c r="C583" t="s">
        <v>6244</v>
      </c>
      <c r="D583" s="4">
        <v>3.7363</v>
      </c>
      <c r="E583" s="4">
        <v>9.99</v>
      </c>
      <c r="F583" t="s">
        <v>6240</v>
      </c>
      <c r="G583" t="s">
        <v>6228</v>
      </c>
      <c r="H583" t="s">
        <v>3577</v>
      </c>
      <c r="I583" t="s">
        <v>3578</v>
      </c>
      <c r="J583" t="s">
        <v>3579</v>
      </c>
      <c r="K583" s="4">
        <v>9.99</v>
      </c>
      <c r="L583" s="4">
        <v>3.7363</v>
      </c>
    </row>
    <row r="584" spans="1:12">
      <c r="A584" s="1">
        <v>42682</v>
      </c>
      <c r="B584">
        <v>1</v>
      </c>
      <c r="C584" t="s">
        <v>6302</v>
      </c>
      <c r="D584" s="4">
        <v>23.748999999999999</v>
      </c>
      <c r="E584" s="4">
        <v>63.5</v>
      </c>
      <c r="F584" t="s">
        <v>6293</v>
      </c>
      <c r="G584" t="s">
        <v>6233</v>
      </c>
      <c r="H584" t="s">
        <v>3580</v>
      </c>
      <c r="I584" t="s">
        <v>3578</v>
      </c>
      <c r="J584" t="s">
        <v>3579</v>
      </c>
      <c r="K584" s="4">
        <v>63.5</v>
      </c>
      <c r="L584" s="4">
        <v>23.748999999999999</v>
      </c>
    </row>
    <row r="585" spans="1:12">
      <c r="A585" s="1">
        <v>42682</v>
      </c>
      <c r="B585">
        <v>1</v>
      </c>
      <c r="C585" t="s">
        <v>6271</v>
      </c>
      <c r="D585" s="4">
        <v>11.2163</v>
      </c>
      <c r="E585" s="4">
        <v>29.99</v>
      </c>
      <c r="F585" t="s">
        <v>6243</v>
      </c>
      <c r="G585" t="s">
        <v>6228</v>
      </c>
      <c r="H585" t="s">
        <v>3588</v>
      </c>
      <c r="I585" t="s">
        <v>3588</v>
      </c>
      <c r="J585" t="s">
        <v>3584</v>
      </c>
      <c r="K585" s="4">
        <v>29.99</v>
      </c>
      <c r="L585" s="4">
        <v>11.2163</v>
      </c>
    </row>
    <row r="586" spans="1:12">
      <c r="A586" s="1">
        <v>42683</v>
      </c>
      <c r="B586">
        <v>1</v>
      </c>
      <c r="C586" t="s">
        <v>6244</v>
      </c>
      <c r="D586" s="4">
        <v>3.7363</v>
      </c>
      <c r="E586" s="4">
        <v>9.99</v>
      </c>
      <c r="F586" t="s">
        <v>6240</v>
      </c>
      <c r="G586" t="s">
        <v>6228</v>
      </c>
      <c r="H586" t="s">
        <v>3577</v>
      </c>
      <c r="I586" t="s">
        <v>3578</v>
      </c>
      <c r="J586" t="s">
        <v>3579</v>
      </c>
      <c r="K586" s="4">
        <v>9.99</v>
      </c>
      <c r="L586" s="4">
        <v>3.7363</v>
      </c>
    </row>
    <row r="587" spans="1:12">
      <c r="A587" s="1">
        <v>42683</v>
      </c>
      <c r="B587">
        <v>1</v>
      </c>
      <c r="C587" t="s">
        <v>6230</v>
      </c>
      <c r="D587" s="4">
        <v>12.027799999999999</v>
      </c>
      <c r="E587" s="4">
        <v>33.644199999999998</v>
      </c>
      <c r="F587" t="s">
        <v>6227</v>
      </c>
      <c r="G587" t="s">
        <v>6228</v>
      </c>
      <c r="H587" t="s">
        <v>3583</v>
      </c>
      <c r="I587" t="s">
        <v>3583</v>
      </c>
      <c r="J587" t="s">
        <v>3584</v>
      </c>
      <c r="K587" s="4">
        <v>33.644199999999998</v>
      </c>
      <c r="L587" s="4">
        <v>12.027799999999999</v>
      </c>
    </row>
    <row r="588" spans="1:12">
      <c r="A588" s="1">
        <v>42683</v>
      </c>
      <c r="B588">
        <v>1</v>
      </c>
      <c r="C588" t="s">
        <v>6239</v>
      </c>
      <c r="D588" s="4">
        <v>1.8663000000000001</v>
      </c>
      <c r="E588" s="4">
        <v>4.99</v>
      </c>
      <c r="F588" t="s">
        <v>6240</v>
      </c>
      <c r="G588" t="s">
        <v>6228</v>
      </c>
      <c r="H588" t="s">
        <v>3586</v>
      </c>
      <c r="I588" t="s">
        <v>3586</v>
      </c>
      <c r="J588" t="s">
        <v>3587</v>
      </c>
      <c r="K588" s="4">
        <v>4.99</v>
      </c>
      <c r="L588" s="4">
        <v>1.8663000000000001</v>
      </c>
    </row>
    <row r="589" spans="1:12">
      <c r="A589" s="1">
        <v>42683</v>
      </c>
      <c r="B589">
        <v>1</v>
      </c>
      <c r="C589" t="s">
        <v>6239</v>
      </c>
      <c r="D589" s="4">
        <v>1.8663000000000001</v>
      </c>
      <c r="E589" s="4">
        <v>4.99</v>
      </c>
      <c r="F589" t="s">
        <v>6240</v>
      </c>
      <c r="G589" t="s">
        <v>6228</v>
      </c>
      <c r="H589" t="s">
        <v>3588</v>
      </c>
      <c r="I589" t="s">
        <v>3588</v>
      </c>
      <c r="J589" t="s">
        <v>3584</v>
      </c>
      <c r="K589" s="4">
        <v>4.99</v>
      </c>
      <c r="L589" s="4">
        <v>1.8663000000000001</v>
      </c>
    </row>
    <row r="590" spans="1:12">
      <c r="A590" s="1">
        <v>42684</v>
      </c>
      <c r="B590">
        <v>1</v>
      </c>
      <c r="C590" t="s">
        <v>3546</v>
      </c>
      <c r="D590" s="4">
        <v>1105.81</v>
      </c>
      <c r="E590" s="4">
        <v>2049.0981999999999</v>
      </c>
      <c r="F590" t="s">
        <v>3478</v>
      </c>
      <c r="G590" t="s">
        <v>3475</v>
      </c>
      <c r="H590" t="s">
        <v>3577</v>
      </c>
      <c r="I590" t="s">
        <v>3578</v>
      </c>
      <c r="J590" t="s">
        <v>3579</v>
      </c>
      <c r="K590" s="4">
        <v>2049.0981999999999</v>
      </c>
      <c r="L590" s="4">
        <v>1105.81</v>
      </c>
    </row>
    <row r="591" spans="1:12">
      <c r="A591" s="1">
        <v>42684</v>
      </c>
      <c r="B591">
        <v>1</v>
      </c>
      <c r="C591" t="s">
        <v>6276</v>
      </c>
      <c r="D591" s="4">
        <v>1.8663000000000001</v>
      </c>
      <c r="E591" s="4">
        <v>4.99</v>
      </c>
      <c r="F591" t="s">
        <v>6243</v>
      </c>
      <c r="G591" t="s">
        <v>6228</v>
      </c>
      <c r="H591" t="s">
        <v>3580</v>
      </c>
      <c r="I591" t="s">
        <v>3578</v>
      </c>
      <c r="J591" t="s">
        <v>3579</v>
      </c>
      <c r="K591" s="4">
        <v>4.99</v>
      </c>
      <c r="L591" s="4">
        <v>1.8663000000000001</v>
      </c>
    </row>
    <row r="592" spans="1:12">
      <c r="A592" s="1">
        <v>42684</v>
      </c>
      <c r="B592">
        <v>1</v>
      </c>
      <c r="C592" t="s">
        <v>6242</v>
      </c>
      <c r="D592" s="4">
        <v>1.8663000000000001</v>
      </c>
      <c r="E592" s="4">
        <v>4.99</v>
      </c>
      <c r="F592" t="s">
        <v>6243</v>
      </c>
      <c r="G592" t="s">
        <v>6228</v>
      </c>
      <c r="H592" t="s">
        <v>3582</v>
      </c>
      <c r="I592" t="s">
        <v>3582</v>
      </c>
      <c r="J592" t="s">
        <v>3579</v>
      </c>
      <c r="K592" s="4">
        <v>4.99</v>
      </c>
      <c r="L592" s="4">
        <v>1.8663000000000001</v>
      </c>
    </row>
    <row r="593" spans="1:12">
      <c r="A593" s="1">
        <v>42684</v>
      </c>
      <c r="B593">
        <v>1</v>
      </c>
      <c r="C593" t="s">
        <v>6241</v>
      </c>
      <c r="D593" s="4">
        <v>3.3622999999999998</v>
      </c>
      <c r="E593" s="4">
        <v>8.99</v>
      </c>
      <c r="F593" t="s">
        <v>6240</v>
      </c>
      <c r="G593" t="s">
        <v>6228</v>
      </c>
      <c r="H593" t="s">
        <v>3583</v>
      </c>
      <c r="I593" t="s">
        <v>3583</v>
      </c>
      <c r="J593" t="s">
        <v>3584</v>
      </c>
      <c r="K593" s="4">
        <v>8.99</v>
      </c>
      <c r="L593" s="4">
        <v>3.3622999999999998</v>
      </c>
    </row>
    <row r="594" spans="1:12">
      <c r="A594" s="1">
        <v>42684</v>
      </c>
      <c r="B594">
        <v>1</v>
      </c>
      <c r="C594" t="s">
        <v>6248</v>
      </c>
      <c r="D594" s="4">
        <v>8.2204999999999995</v>
      </c>
      <c r="E594" s="4">
        <v>21.98</v>
      </c>
      <c r="F594" t="s">
        <v>6249</v>
      </c>
      <c r="G594" t="s">
        <v>6228</v>
      </c>
      <c r="H594" t="s">
        <v>3588</v>
      </c>
      <c r="I594" t="s">
        <v>3588</v>
      </c>
      <c r="J594" t="s">
        <v>3584</v>
      </c>
      <c r="K594" s="4">
        <v>21.98</v>
      </c>
      <c r="L594" s="4">
        <v>8.2204999999999995</v>
      </c>
    </row>
    <row r="595" spans="1:12">
      <c r="A595" s="1">
        <v>42685</v>
      </c>
      <c r="B595">
        <v>1</v>
      </c>
      <c r="C595" t="s">
        <v>6230</v>
      </c>
      <c r="D595" s="4">
        <v>12.027799999999999</v>
      </c>
      <c r="E595" s="4">
        <v>33.644199999999998</v>
      </c>
      <c r="F595" t="s">
        <v>6227</v>
      </c>
      <c r="G595" t="s">
        <v>6228</v>
      </c>
      <c r="H595" t="s">
        <v>3577</v>
      </c>
      <c r="I595" t="s">
        <v>3578</v>
      </c>
      <c r="J595" t="s">
        <v>3579</v>
      </c>
      <c r="K595" s="4">
        <v>33.644199999999998</v>
      </c>
      <c r="L595" s="4">
        <v>12.027799999999999</v>
      </c>
    </row>
    <row r="596" spans="1:12">
      <c r="A596" s="1">
        <v>42686</v>
      </c>
      <c r="B596">
        <v>1</v>
      </c>
      <c r="C596" t="s">
        <v>6245</v>
      </c>
      <c r="D596" s="4">
        <v>0.85650000000000004</v>
      </c>
      <c r="E596" s="4">
        <v>2.29</v>
      </c>
      <c r="F596" t="s">
        <v>6243</v>
      </c>
      <c r="G596" t="s">
        <v>6228</v>
      </c>
      <c r="H596" t="s">
        <v>3580</v>
      </c>
      <c r="I596" t="s">
        <v>3578</v>
      </c>
      <c r="J596" t="s">
        <v>3579</v>
      </c>
      <c r="K596" s="4">
        <v>2.29</v>
      </c>
      <c r="L596" s="4">
        <v>0.85650000000000004</v>
      </c>
    </row>
    <row r="597" spans="1:12">
      <c r="A597" s="1">
        <v>42686</v>
      </c>
      <c r="B597">
        <v>1</v>
      </c>
      <c r="C597" t="s">
        <v>6297</v>
      </c>
      <c r="D597" s="4">
        <v>343.64960000000002</v>
      </c>
      <c r="E597" s="4">
        <v>539.99</v>
      </c>
      <c r="F597" t="s">
        <v>3479</v>
      </c>
      <c r="G597" t="s">
        <v>3475</v>
      </c>
      <c r="H597" t="s">
        <v>3582</v>
      </c>
      <c r="I597" t="s">
        <v>3582</v>
      </c>
      <c r="J597" t="s">
        <v>3579</v>
      </c>
      <c r="K597" s="4">
        <v>539.99</v>
      </c>
      <c r="L597" s="4">
        <v>343.64960000000002</v>
      </c>
    </row>
    <row r="598" spans="1:12">
      <c r="A598" s="1">
        <v>42686</v>
      </c>
      <c r="B598">
        <v>1</v>
      </c>
      <c r="C598" t="s">
        <v>6239</v>
      </c>
      <c r="D598" s="4">
        <v>1.8663000000000001</v>
      </c>
      <c r="E598" s="4">
        <v>4.99</v>
      </c>
      <c r="F598" t="s">
        <v>6240</v>
      </c>
      <c r="G598" t="s">
        <v>6228</v>
      </c>
      <c r="H598" t="s">
        <v>3585</v>
      </c>
      <c r="I598" t="s">
        <v>3585</v>
      </c>
      <c r="J598" t="s">
        <v>3584</v>
      </c>
      <c r="K598" s="4">
        <v>4.99</v>
      </c>
      <c r="L598" s="4">
        <v>1.8663000000000001</v>
      </c>
    </row>
    <row r="599" spans="1:12">
      <c r="A599" s="1">
        <v>42686</v>
      </c>
      <c r="B599">
        <v>1</v>
      </c>
      <c r="C599" t="s">
        <v>6272</v>
      </c>
      <c r="D599" s="4">
        <v>9.3462999999999994</v>
      </c>
      <c r="E599" s="4">
        <v>24.99</v>
      </c>
      <c r="F599" t="s">
        <v>6243</v>
      </c>
      <c r="G599" t="s">
        <v>6228</v>
      </c>
      <c r="H599" t="s">
        <v>3586</v>
      </c>
      <c r="I599" t="s">
        <v>3586</v>
      </c>
      <c r="J599" t="s">
        <v>3587</v>
      </c>
      <c r="K599" s="4">
        <v>24.99</v>
      </c>
      <c r="L599" s="4">
        <v>9.3462999999999994</v>
      </c>
    </row>
    <row r="600" spans="1:12">
      <c r="A600" s="1">
        <v>42686</v>
      </c>
      <c r="B600">
        <v>1</v>
      </c>
      <c r="C600" t="s">
        <v>6282</v>
      </c>
      <c r="D600" s="4">
        <v>10.8423</v>
      </c>
      <c r="E600" s="4">
        <v>28.99</v>
      </c>
      <c r="F600" t="s">
        <v>6243</v>
      </c>
      <c r="G600" t="s">
        <v>6228</v>
      </c>
      <c r="H600" t="s">
        <v>3588</v>
      </c>
      <c r="I600" t="s">
        <v>3588</v>
      </c>
      <c r="J600" t="s">
        <v>3584</v>
      </c>
      <c r="K600" s="4">
        <v>28.99</v>
      </c>
      <c r="L600" s="4">
        <v>10.8423</v>
      </c>
    </row>
    <row r="601" spans="1:12">
      <c r="A601" s="1">
        <v>42687</v>
      </c>
      <c r="B601">
        <v>1</v>
      </c>
      <c r="C601" t="s">
        <v>6241</v>
      </c>
      <c r="D601" s="4">
        <v>3.3622999999999998</v>
      </c>
      <c r="E601" s="4">
        <v>8.99</v>
      </c>
      <c r="F601" t="s">
        <v>6240</v>
      </c>
      <c r="G601" t="s">
        <v>6228</v>
      </c>
      <c r="H601" t="s">
        <v>3577</v>
      </c>
      <c r="I601" t="s">
        <v>3578</v>
      </c>
      <c r="J601" t="s">
        <v>3579</v>
      </c>
      <c r="K601" s="4">
        <v>8.99</v>
      </c>
      <c r="L601" s="4">
        <v>3.3622999999999998</v>
      </c>
    </row>
    <row r="602" spans="1:12">
      <c r="A602" s="1">
        <v>42687</v>
      </c>
      <c r="B602">
        <v>1</v>
      </c>
      <c r="C602" t="s">
        <v>6283</v>
      </c>
      <c r="D602" s="4">
        <v>1481.9378999999999</v>
      </c>
      <c r="E602" s="4">
        <v>2384.0700000000002</v>
      </c>
      <c r="F602" t="s">
        <v>6274</v>
      </c>
      <c r="G602" t="s">
        <v>3475</v>
      </c>
      <c r="H602" t="s">
        <v>3577</v>
      </c>
      <c r="I602" t="s">
        <v>3578</v>
      </c>
      <c r="J602" t="s">
        <v>3579</v>
      </c>
      <c r="K602" s="4">
        <v>2384.0700000000002</v>
      </c>
      <c r="L602" s="4">
        <v>1481.9378999999999</v>
      </c>
    </row>
    <row r="603" spans="1:12">
      <c r="A603" s="1">
        <v>42687</v>
      </c>
      <c r="B603">
        <v>1</v>
      </c>
      <c r="C603" t="s">
        <v>3558</v>
      </c>
      <c r="D603" s="4">
        <v>1320.6838</v>
      </c>
      <c r="E603" s="4">
        <v>2181.5625</v>
      </c>
      <c r="F603" t="s">
        <v>3479</v>
      </c>
      <c r="G603" t="s">
        <v>3475</v>
      </c>
      <c r="H603" t="s">
        <v>3586</v>
      </c>
      <c r="I603" t="s">
        <v>3586</v>
      </c>
      <c r="J603" t="s">
        <v>3587</v>
      </c>
      <c r="K603" s="4">
        <v>2181.5625</v>
      </c>
      <c r="L603" s="4">
        <v>1320.6838</v>
      </c>
    </row>
    <row r="604" spans="1:12">
      <c r="A604" s="1">
        <v>42688</v>
      </c>
      <c r="B604">
        <v>1</v>
      </c>
      <c r="C604" t="s">
        <v>6255</v>
      </c>
      <c r="D604" s="4">
        <v>9.7135999999999996</v>
      </c>
      <c r="E604" s="4">
        <v>23.548100000000002</v>
      </c>
      <c r="F604" t="s">
        <v>6251</v>
      </c>
      <c r="G604" t="s">
        <v>6233</v>
      </c>
      <c r="H604" t="s">
        <v>3577</v>
      </c>
      <c r="I604" t="s">
        <v>3578</v>
      </c>
      <c r="J604" t="s">
        <v>3579</v>
      </c>
      <c r="K604" s="4">
        <v>23.548100000000002</v>
      </c>
      <c r="L604" s="4">
        <v>9.7135999999999996</v>
      </c>
    </row>
    <row r="605" spans="1:12">
      <c r="A605" s="1">
        <v>42688</v>
      </c>
      <c r="B605">
        <v>1</v>
      </c>
      <c r="C605" t="s">
        <v>6296</v>
      </c>
      <c r="D605" s="4">
        <v>419.77839999999998</v>
      </c>
      <c r="E605" s="4">
        <v>769.49</v>
      </c>
      <c r="F605" t="s">
        <v>3478</v>
      </c>
      <c r="G605" t="s">
        <v>3475</v>
      </c>
      <c r="H605" t="s">
        <v>3577</v>
      </c>
      <c r="I605" t="s">
        <v>3578</v>
      </c>
      <c r="J605" t="s">
        <v>3579</v>
      </c>
      <c r="K605" s="4">
        <v>769.49</v>
      </c>
      <c r="L605" s="4">
        <v>419.77839999999998</v>
      </c>
    </row>
    <row r="606" spans="1:12">
      <c r="A606" s="1">
        <v>42688</v>
      </c>
      <c r="B606">
        <v>1</v>
      </c>
      <c r="C606" t="s">
        <v>6244</v>
      </c>
      <c r="D606" s="4">
        <v>3.7363</v>
      </c>
      <c r="E606" s="4">
        <v>9.99</v>
      </c>
      <c r="F606" t="s">
        <v>6240</v>
      </c>
      <c r="G606" t="s">
        <v>6228</v>
      </c>
      <c r="H606" t="s">
        <v>3580</v>
      </c>
      <c r="I606" t="s">
        <v>3578</v>
      </c>
      <c r="J606" t="s">
        <v>3579</v>
      </c>
      <c r="K606" s="4">
        <v>9.99</v>
      </c>
      <c r="L606" s="4">
        <v>3.7363</v>
      </c>
    </row>
    <row r="607" spans="1:12">
      <c r="A607" s="1">
        <v>42688</v>
      </c>
      <c r="B607">
        <v>1</v>
      </c>
      <c r="C607" t="s">
        <v>6229</v>
      </c>
      <c r="D607" s="4">
        <v>12.027799999999999</v>
      </c>
      <c r="E607" s="4">
        <v>33.644199999999998</v>
      </c>
      <c r="F607" t="s">
        <v>6227</v>
      </c>
      <c r="G607" t="s">
        <v>6228</v>
      </c>
      <c r="H607" t="s">
        <v>3583</v>
      </c>
      <c r="I607" t="s">
        <v>3583</v>
      </c>
      <c r="J607" t="s">
        <v>3584</v>
      </c>
      <c r="K607" s="4">
        <v>33.644199999999998</v>
      </c>
      <c r="L607" s="4">
        <v>12.027799999999999</v>
      </c>
    </row>
    <row r="608" spans="1:12">
      <c r="A608" s="1">
        <v>42688</v>
      </c>
      <c r="B608">
        <v>1</v>
      </c>
      <c r="C608" t="s">
        <v>6277</v>
      </c>
      <c r="D608" s="4">
        <v>8.0373000000000001</v>
      </c>
      <c r="E608" s="4">
        <v>21.49</v>
      </c>
      <c r="F608" t="s">
        <v>6243</v>
      </c>
      <c r="G608" t="s">
        <v>6228</v>
      </c>
      <c r="H608" t="s">
        <v>3583</v>
      </c>
      <c r="I608" t="s">
        <v>3583</v>
      </c>
      <c r="J608" t="s">
        <v>3584</v>
      </c>
      <c r="K608" s="4">
        <v>21.49</v>
      </c>
      <c r="L608" s="4">
        <v>8.0373000000000001</v>
      </c>
    </row>
    <row r="609" spans="1:12">
      <c r="A609" s="1">
        <v>42688</v>
      </c>
      <c r="B609">
        <v>1</v>
      </c>
      <c r="C609" t="s">
        <v>6260</v>
      </c>
      <c r="D609" s="4">
        <v>13.09</v>
      </c>
      <c r="E609" s="4">
        <v>35</v>
      </c>
      <c r="F609" t="s">
        <v>6243</v>
      </c>
      <c r="G609" t="s">
        <v>6228</v>
      </c>
      <c r="H609" t="s">
        <v>3586</v>
      </c>
      <c r="I609" t="s">
        <v>3586</v>
      </c>
      <c r="J609" t="s">
        <v>3587</v>
      </c>
      <c r="K609" s="4">
        <v>35</v>
      </c>
      <c r="L609" s="4">
        <v>13.09</v>
      </c>
    </row>
    <row r="610" spans="1:12">
      <c r="A610" s="1">
        <v>42688</v>
      </c>
      <c r="B610">
        <v>1</v>
      </c>
      <c r="C610" t="s">
        <v>6303</v>
      </c>
      <c r="D610" s="4">
        <v>308.21789999999999</v>
      </c>
      <c r="E610" s="4">
        <v>564.99</v>
      </c>
      <c r="F610" t="s">
        <v>3478</v>
      </c>
      <c r="G610" t="s">
        <v>3475</v>
      </c>
      <c r="H610" t="s">
        <v>3586</v>
      </c>
      <c r="I610" t="s">
        <v>3586</v>
      </c>
      <c r="J610" t="s">
        <v>3587</v>
      </c>
      <c r="K610" s="4">
        <v>564.99</v>
      </c>
      <c r="L610" s="4">
        <v>308.21789999999999</v>
      </c>
    </row>
    <row r="611" spans="1:12">
      <c r="A611" s="1">
        <v>42688</v>
      </c>
      <c r="B611">
        <v>1</v>
      </c>
      <c r="C611" t="s">
        <v>6229</v>
      </c>
      <c r="D611" s="4">
        <v>12.027799999999999</v>
      </c>
      <c r="E611" s="4">
        <v>33.644199999999998</v>
      </c>
      <c r="F611" t="s">
        <v>6227</v>
      </c>
      <c r="G611" t="s">
        <v>6228</v>
      </c>
      <c r="H611" t="s">
        <v>3588</v>
      </c>
      <c r="I611" t="s">
        <v>3588</v>
      </c>
      <c r="J611" t="s">
        <v>3584</v>
      </c>
      <c r="K611" s="4">
        <v>33.644199999999998</v>
      </c>
      <c r="L611" s="4">
        <v>12.027799999999999</v>
      </c>
    </row>
    <row r="612" spans="1:12">
      <c r="A612" s="1">
        <v>42688</v>
      </c>
      <c r="B612">
        <v>1</v>
      </c>
      <c r="C612" t="s">
        <v>6239</v>
      </c>
      <c r="D612" s="4">
        <v>1.8663000000000001</v>
      </c>
      <c r="E612" s="4">
        <v>4.99</v>
      </c>
      <c r="F612" t="s">
        <v>6240</v>
      </c>
      <c r="G612" t="s">
        <v>6228</v>
      </c>
      <c r="H612" t="s">
        <v>3588</v>
      </c>
      <c r="I612" t="s">
        <v>3588</v>
      </c>
      <c r="J612" t="s">
        <v>3584</v>
      </c>
      <c r="K612" s="4">
        <v>4.99</v>
      </c>
      <c r="L612" s="4">
        <v>1.8663000000000001</v>
      </c>
    </row>
    <row r="613" spans="1:12">
      <c r="A613" s="1">
        <v>42689</v>
      </c>
      <c r="B613">
        <v>1</v>
      </c>
      <c r="C613" t="s">
        <v>6245</v>
      </c>
      <c r="D613" s="4">
        <v>0.85650000000000004</v>
      </c>
      <c r="E613" s="4">
        <v>2.29</v>
      </c>
      <c r="F613" t="s">
        <v>6243</v>
      </c>
      <c r="G613" t="s">
        <v>6228</v>
      </c>
      <c r="H613" t="s">
        <v>3577</v>
      </c>
      <c r="I613" t="s">
        <v>3578</v>
      </c>
      <c r="J613" t="s">
        <v>3579</v>
      </c>
      <c r="K613" s="4">
        <v>2.29</v>
      </c>
      <c r="L613" s="4">
        <v>0.85650000000000004</v>
      </c>
    </row>
    <row r="614" spans="1:12">
      <c r="A614" s="1">
        <v>42689</v>
      </c>
      <c r="B614">
        <v>1</v>
      </c>
      <c r="C614" t="s">
        <v>6244</v>
      </c>
      <c r="D614" s="4">
        <v>3.7363</v>
      </c>
      <c r="E614" s="4">
        <v>9.99</v>
      </c>
      <c r="F614" t="s">
        <v>6240</v>
      </c>
      <c r="G614" t="s">
        <v>6228</v>
      </c>
      <c r="H614" t="s">
        <v>3580</v>
      </c>
      <c r="I614" t="s">
        <v>3578</v>
      </c>
      <c r="J614" t="s">
        <v>3579</v>
      </c>
      <c r="K614" s="4">
        <v>9.99</v>
      </c>
      <c r="L614" s="4">
        <v>3.7363</v>
      </c>
    </row>
    <row r="615" spans="1:12">
      <c r="A615" s="1">
        <v>42689</v>
      </c>
      <c r="B615">
        <v>1</v>
      </c>
      <c r="C615" t="s">
        <v>6304</v>
      </c>
      <c r="D615" s="4">
        <v>755.1508</v>
      </c>
      <c r="E615" s="4">
        <v>1214.8499999999999</v>
      </c>
      <c r="F615" t="s">
        <v>6274</v>
      </c>
      <c r="G615" t="s">
        <v>3475</v>
      </c>
      <c r="H615" t="s">
        <v>3580</v>
      </c>
      <c r="I615" t="s">
        <v>3578</v>
      </c>
      <c r="J615" t="s">
        <v>3579</v>
      </c>
      <c r="K615" s="4">
        <v>1214.8499999999999</v>
      </c>
      <c r="L615" s="4">
        <v>755.1508</v>
      </c>
    </row>
    <row r="616" spans="1:12">
      <c r="A616" s="1">
        <v>42690</v>
      </c>
      <c r="B616">
        <v>1</v>
      </c>
      <c r="C616" t="s">
        <v>6242</v>
      </c>
      <c r="D616" s="4">
        <v>1.8663000000000001</v>
      </c>
      <c r="E616" s="4">
        <v>4.99</v>
      </c>
      <c r="F616" t="s">
        <v>6243</v>
      </c>
      <c r="G616" t="s">
        <v>6228</v>
      </c>
      <c r="H616" t="s">
        <v>3577</v>
      </c>
      <c r="I616" t="s">
        <v>3578</v>
      </c>
      <c r="J616" t="s">
        <v>3579</v>
      </c>
      <c r="K616" s="4">
        <v>4.99</v>
      </c>
      <c r="L616" s="4">
        <v>1.8663000000000001</v>
      </c>
    </row>
    <row r="617" spans="1:12">
      <c r="A617" s="1">
        <v>42690</v>
      </c>
      <c r="B617">
        <v>1</v>
      </c>
      <c r="C617" t="s">
        <v>6277</v>
      </c>
      <c r="D617" s="4">
        <v>8.0373000000000001</v>
      </c>
      <c r="E617" s="4">
        <v>21.49</v>
      </c>
      <c r="F617" t="s">
        <v>6243</v>
      </c>
      <c r="G617" t="s">
        <v>6228</v>
      </c>
      <c r="H617" t="s">
        <v>3580</v>
      </c>
      <c r="I617" t="s">
        <v>3578</v>
      </c>
      <c r="J617" t="s">
        <v>3579</v>
      </c>
      <c r="K617" s="4">
        <v>21.49</v>
      </c>
      <c r="L617" s="4">
        <v>8.0373000000000001</v>
      </c>
    </row>
    <row r="618" spans="1:12">
      <c r="A618" s="1">
        <v>42691</v>
      </c>
      <c r="B618">
        <v>1</v>
      </c>
      <c r="C618" t="s">
        <v>6245</v>
      </c>
      <c r="D618" s="4">
        <v>0.85650000000000004</v>
      </c>
      <c r="E618" s="4">
        <v>2.29</v>
      </c>
      <c r="F618" t="s">
        <v>6243</v>
      </c>
      <c r="G618" t="s">
        <v>6228</v>
      </c>
      <c r="H618" t="s">
        <v>3577</v>
      </c>
      <c r="I618" t="s">
        <v>3578</v>
      </c>
      <c r="J618" t="s">
        <v>3579</v>
      </c>
      <c r="K618" s="4">
        <v>2.29</v>
      </c>
      <c r="L618" s="4">
        <v>0.85650000000000004</v>
      </c>
    </row>
    <row r="619" spans="1:12">
      <c r="A619" s="1">
        <v>42691</v>
      </c>
      <c r="B619">
        <v>1</v>
      </c>
      <c r="C619" t="s">
        <v>6252</v>
      </c>
      <c r="D619" s="4">
        <v>343.64960000000002</v>
      </c>
      <c r="E619" s="4">
        <v>539.99</v>
      </c>
      <c r="F619" t="s">
        <v>3479</v>
      </c>
      <c r="G619" t="s">
        <v>3475</v>
      </c>
      <c r="H619" t="s">
        <v>3582</v>
      </c>
      <c r="I619" t="s">
        <v>3582</v>
      </c>
      <c r="J619" t="s">
        <v>3579</v>
      </c>
      <c r="K619" s="4">
        <v>539.99</v>
      </c>
      <c r="L619" s="4">
        <v>343.64960000000002</v>
      </c>
    </row>
    <row r="620" spans="1:12">
      <c r="A620" s="1">
        <v>42691</v>
      </c>
      <c r="B620">
        <v>1</v>
      </c>
      <c r="C620" t="s">
        <v>6301</v>
      </c>
      <c r="D620" s="4">
        <v>343.64960000000002</v>
      </c>
      <c r="E620" s="4">
        <v>539.99</v>
      </c>
      <c r="F620" t="s">
        <v>3479</v>
      </c>
      <c r="G620" t="s">
        <v>3475</v>
      </c>
      <c r="H620" t="s">
        <v>3585</v>
      </c>
      <c r="I620" t="s">
        <v>3585</v>
      </c>
      <c r="J620" t="s">
        <v>3584</v>
      </c>
      <c r="K620" s="4">
        <v>539.99</v>
      </c>
      <c r="L620" s="4">
        <v>343.64960000000002</v>
      </c>
    </row>
    <row r="621" spans="1:12">
      <c r="A621" s="1">
        <v>42691</v>
      </c>
      <c r="B621">
        <v>1</v>
      </c>
      <c r="C621" t="s">
        <v>6246</v>
      </c>
      <c r="D621" s="4">
        <v>20.566299999999998</v>
      </c>
      <c r="E621" s="4">
        <v>54.99</v>
      </c>
      <c r="F621" t="s">
        <v>6247</v>
      </c>
      <c r="G621" t="s">
        <v>6228</v>
      </c>
      <c r="H621" t="s">
        <v>3586</v>
      </c>
      <c r="I621" t="s">
        <v>3586</v>
      </c>
      <c r="J621" t="s">
        <v>3587</v>
      </c>
      <c r="K621" s="4">
        <v>54.99</v>
      </c>
      <c r="L621" s="4">
        <v>20.566299999999998</v>
      </c>
    </row>
    <row r="622" spans="1:12">
      <c r="A622" s="1">
        <v>42691</v>
      </c>
      <c r="B622">
        <v>1</v>
      </c>
      <c r="C622" t="s">
        <v>3568</v>
      </c>
      <c r="D622" s="4">
        <v>605.64919999999995</v>
      </c>
      <c r="E622" s="4">
        <v>1000.4375</v>
      </c>
      <c r="F622" t="s">
        <v>3479</v>
      </c>
      <c r="G622" t="s">
        <v>3475</v>
      </c>
      <c r="H622" t="s">
        <v>3588</v>
      </c>
      <c r="I622" t="s">
        <v>3588</v>
      </c>
      <c r="J622" t="s">
        <v>3584</v>
      </c>
      <c r="K622" s="4">
        <v>1000.4375</v>
      </c>
      <c r="L622" s="4">
        <v>605.64919999999995</v>
      </c>
    </row>
    <row r="623" spans="1:12">
      <c r="A623" s="1">
        <v>42692</v>
      </c>
      <c r="B623">
        <v>1</v>
      </c>
      <c r="C623" t="s">
        <v>6241</v>
      </c>
      <c r="D623" s="4">
        <v>3.3622999999999998</v>
      </c>
      <c r="E623" s="4">
        <v>8.99</v>
      </c>
      <c r="F623" t="s">
        <v>6240</v>
      </c>
      <c r="G623" t="s">
        <v>6228</v>
      </c>
      <c r="H623" t="s">
        <v>3577</v>
      </c>
      <c r="I623" t="s">
        <v>3578</v>
      </c>
      <c r="J623" t="s">
        <v>3579</v>
      </c>
      <c r="K623" s="4">
        <v>8.99</v>
      </c>
      <c r="L623" s="4">
        <v>3.3622999999999998</v>
      </c>
    </row>
    <row r="624" spans="1:12">
      <c r="A624" s="1">
        <v>42692</v>
      </c>
      <c r="B624">
        <v>1</v>
      </c>
      <c r="C624" t="s">
        <v>6245</v>
      </c>
      <c r="D624" s="4">
        <v>0.85650000000000004</v>
      </c>
      <c r="E624" s="4">
        <v>2.29</v>
      </c>
      <c r="F624" t="s">
        <v>6243</v>
      </c>
      <c r="G624" t="s">
        <v>6228</v>
      </c>
      <c r="H624" t="s">
        <v>3582</v>
      </c>
      <c r="I624" t="s">
        <v>3582</v>
      </c>
      <c r="J624" t="s">
        <v>3579</v>
      </c>
      <c r="K624" s="4">
        <v>2.29</v>
      </c>
      <c r="L624" s="4">
        <v>0.85650000000000004</v>
      </c>
    </row>
    <row r="625" spans="1:12">
      <c r="A625" s="1">
        <v>42692</v>
      </c>
      <c r="B625">
        <v>1</v>
      </c>
      <c r="C625" t="s">
        <v>6230</v>
      </c>
      <c r="D625" s="4">
        <v>12.027799999999999</v>
      </c>
      <c r="E625" s="4">
        <v>33.644199999999998</v>
      </c>
      <c r="F625" t="s">
        <v>6227</v>
      </c>
      <c r="G625" t="s">
        <v>6228</v>
      </c>
      <c r="H625" t="s">
        <v>3583</v>
      </c>
      <c r="I625" t="s">
        <v>3583</v>
      </c>
      <c r="J625" t="s">
        <v>3584</v>
      </c>
      <c r="K625" s="4">
        <v>33.644199999999998</v>
      </c>
      <c r="L625" s="4">
        <v>12.027799999999999</v>
      </c>
    </row>
    <row r="626" spans="1:12">
      <c r="A626" s="1">
        <v>42692</v>
      </c>
      <c r="B626">
        <v>1</v>
      </c>
      <c r="C626" t="s">
        <v>6246</v>
      </c>
      <c r="D626" s="4">
        <v>20.566299999999998</v>
      </c>
      <c r="E626" s="4">
        <v>54.99</v>
      </c>
      <c r="F626" t="s">
        <v>6247</v>
      </c>
      <c r="G626" t="s">
        <v>6228</v>
      </c>
      <c r="H626" t="s">
        <v>3583</v>
      </c>
      <c r="I626" t="s">
        <v>3583</v>
      </c>
      <c r="J626" t="s">
        <v>3584</v>
      </c>
      <c r="K626" s="4">
        <v>54.99</v>
      </c>
      <c r="L626" s="4">
        <v>20.566299999999998</v>
      </c>
    </row>
    <row r="627" spans="1:12">
      <c r="A627" s="1">
        <v>42692</v>
      </c>
      <c r="B627">
        <v>1</v>
      </c>
      <c r="C627" t="s">
        <v>6282</v>
      </c>
      <c r="D627" s="4">
        <v>10.8423</v>
      </c>
      <c r="E627" s="4">
        <v>28.99</v>
      </c>
      <c r="F627" t="s">
        <v>6243</v>
      </c>
      <c r="G627" t="s">
        <v>6228</v>
      </c>
      <c r="H627" t="s">
        <v>3585</v>
      </c>
      <c r="I627" t="s">
        <v>3585</v>
      </c>
      <c r="J627" t="s">
        <v>3584</v>
      </c>
      <c r="K627" s="4">
        <v>28.99</v>
      </c>
      <c r="L627" s="4">
        <v>10.8423</v>
      </c>
    </row>
    <row r="628" spans="1:12">
      <c r="A628" s="1">
        <v>42692</v>
      </c>
      <c r="B628">
        <v>1</v>
      </c>
      <c r="C628" t="s">
        <v>6230</v>
      </c>
      <c r="D628" s="4">
        <v>12.027799999999999</v>
      </c>
      <c r="E628" s="4">
        <v>33.644199999999998</v>
      </c>
      <c r="F628" t="s">
        <v>6227</v>
      </c>
      <c r="G628" t="s">
        <v>6228</v>
      </c>
      <c r="H628" t="s">
        <v>3586</v>
      </c>
      <c r="I628" t="s">
        <v>3586</v>
      </c>
      <c r="J628" t="s">
        <v>3587</v>
      </c>
      <c r="K628" s="4">
        <v>33.644199999999998</v>
      </c>
      <c r="L628" s="4">
        <v>12.027799999999999</v>
      </c>
    </row>
    <row r="629" spans="1:12">
      <c r="A629" s="1">
        <v>42692</v>
      </c>
      <c r="B629">
        <v>1</v>
      </c>
      <c r="C629" t="s">
        <v>6270</v>
      </c>
      <c r="D629" s="4">
        <v>1.4923</v>
      </c>
      <c r="E629" s="4">
        <v>3.99</v>
      </c>
      <c r="F629" t="s">
        <v>6243</v>
      </c>
      <c r="G629" t="s">
        <v>6228</v>
      </c>
      <c r="H629" t="s">
        <v>3588</v>
      </c>
      <c r="I629" t="s">
        <v>3588</v>
      </c>
      <c r="J629" t="s">
        <v>3584</v>
      </c>
      <c r="K629" s="4">
        <v>3.99</v>
      </c>
      <c r="L629" s="4">
        <v>1.4923</v>
      </c>
    </row>
    <row r="630" spans="1:12">
      <c r="A630" s="1">
        <v>42692</v>
      </c>
      <c r="B630">
        <v>1</v>
      </c>
      <c r="C630" t="s">
        <v>6305</v>
      </c>
      <c r="D630" s="4">
        <v>1082.51</v>
      </c>
      <c r="E630" s="4">
        <v>1700.99</v>
      </c>
      <c r="F630" t="s">
        <v>3479</v>
      </c>
      <c r="G630" t="s">
        <v>3475</v>
      </c>
      <c r="H630" t="s">
        <v>3588</v>
      </c>
      <c r="I630" t="s">
        <v>3588</v>
      </c>
      <c r="J630" t="s">
        <v>3584</v>
      </c>
      <c r="K630" s="4">
        <v>1700.99</v>
      </c>
      <c r="L630" s="4">
        <v>1082.51</v>
      </c>
    </row>
    <row r="631" spans="1:12">
      <c r="A631" s="1">
        <v>42692</v>
      </c>
      <c r="B631">
        <v>1</v>
      </c>
      <c r="C631" t="s">
        <v>6301</v>
      </c>
      <c r="D631" s="4">
        <v>343.64960000000002</v>
      </c>
      <c r="E631" s="4">
        <v>539.99</v>
      </c>
      <c r="F631" t="s">
        <v>3479</v>
      </c>
      <c r="G631" t="s">
        <v>3475</v>
      </c>
      <c r="H631" t="s">
        <v>3588</v>
      </c>
      <c r="I631" t="s">
        <v>3588</v>
      </c>
      <c r="J631" t="s">
        <v>3584</v>
      </c>
      <c r="K631" s="4">
        <v>539.99</v>
      </c>
      <c r="L631" s="4">
        <v>343.64960000000002</v>
      </c>
    </row>
    <row r="632" spans="1:12">
      <c r="A632" s="1">
        <v>42693</v>
      </c>
      <c r="B632">
        <v>1</v>
      </c>
      <c r="C632" t="s">
        <v>6230</v>
      </c>
      <c r="D632" s="4">
        <v>12.027799999999999</v>
      </c>
      <c r="E632" s="4">
        <v>33.644199999999998</v>
      </c>
      <c r="F632" t="s">
        <v>6227</v>
      </c>
      <c r="G632" t="s">
        <v>6228</v>
      </c>
      <c r="H632" t="s">
        <v>3580</v>
      </c>
      <c r="I632" t="s">
        <v>3578</v>
      </c>
      <c r="J632" t="s">
        <v>3579</v>
      </c>
      <c r="K632" s="4">
        <v>33.644199999999998</v>
      </c>
      <c r="L632" s="4">
        <v>12.027799999999999</v>
      </c>
    </row>
    <row r="633" spans="1:12">
      <c r="A633" s="1">
        <v>42693</v>
      </c>
      <c r="B633">
        <v>1</v>
      </c>
      <c r="C633" t="s">
        <v>3560</v>
      </c>
      <c r="D633" s="4">
        <v>1320.6838</v>
      </c>
      <c r="E633" s="4">
        <v>2181.5625</v>
      </c>
      <c r="F633" t="s">
        <v>3479</v>
      </c>
      <c r="G633" t="s">
        <v>3475</v>
      </c>
      <c r="H633" t="s">
        <v>3580</v>
      </c>
      <c r="I633" t="s">
        <v>3578</v>
      </c>
      <c r="J633" t="s">
        <v>3579</v>
      </c>
      <c r="K633" s="4">
        <v>2181.5625</v>
      </c>
      <c r="L633" s="4">
        <v>1320.6838</v>
      </c>
    </row>
    <row r="634" spans="1:12">
      <c r="A634" s="1">
        <v>42693</v>
      </c>
      <c r="B634">
        <v>1</v>
      </c>
      <c r="C634" t="s">
        <v>6265</v>
      </c>
      <c r="D634" s="4">
        <v>59.466000000000001</v>
      </c>
      <c r="E634" s="4">
        <v>159</v>
      </c>
      <c r="F634" t="s">
        <v>6266</v>
      </c>
      <c r="G634" t="s">
        <v>6228</v>
      </c>
      <c r="H634" t="s">
        <v>3580</v>
      </c>
      <c r="I634" t="s">
        <v>3578</v>
      </c>
      <c r="J634" t="s">
        <v>3579</v>
      </c>
      <c r="K634" s="4">
        <v>159</v>
      </c>
      <c r="L634" s="4">
        <v>59.466000000000001</v>
      </c>
    </row>
    <row r="635" spans="1:12">
      <c r="A635" s="1">
        <v>42693</v>
      </c>
      <c r="B635">
        <v>1</v>
      </c>
      <c r="C635" t="s">
        <v>6282</v>
      </c>
      <c r="D635" s="4">
        <v>10.8423</v>
      </c>
      <c r="E635" s="4">
        <v>28.99</v>
      </c>
      <c r="F635" t="s">
        <v>6243</v>
      </c>
      <c r="G635" t="s">
        <v>6228</v>
      </c>
      <c r="H635" t="s">
        <v>3580</v>
      </c>
      <c r="I635" t="s">
        <v>3578</v>
      </c>
      <c r="J635" t="s">
        <v>3579</v>
      </c>
      <c r="K635" s="4">
        <v>28.99</v>
      </c>
      <c r="L635" s="4">
        <v>10.8423</v>
      </c>
    </row>
    <row r="636" spans="1:12">
      <c r="A636" s="1">
        <v>42693</v>
      </c>
      <c r="B636">
        <v>1</v>
      </c>
      <c r="C636" t="s">
        <v>6301</v>
      </c>
      <c r="D636" s="4">
        <v>343.64960000000002</v>
      </c>
      <c r="E636" s="4">
        <v>539.99</v>
      </c>
      <c r="F636" t="s">
        <v>3479</v>
      </c>
      <c r="G636" t="s">
        <v>3475</v>
      </c>
      <c r="H636" t="s">
        <v>3582</v>
      </c>
      <c r="I636" t="s">
        <v>3582</v>
      </c>
      <c r="J636" t="s">
        <v>3579</v>
      </c>
      <c r="K636" s="4">
        <v>539.99</v>
      </c>
      <c r="L636" s="4">
        <v>343.64960000000002</v>
      </c>
    </row>
    <row r="637" spans="1:12">
      <c r="A637" s="1">
        <v>42693</v>
      </c>
      <c r="B637">
        <v>1</v>
      </c>
      <c r="C637" t="s">
        <v>6226</v>
      </c>
      <c r="D637" s="4">
        <v>13.0863</v>
      </c>
      <c r="E637" s="4">
        <v>34.99</v>
      </c>
      <c r="F637" t="s">
        <v>6227</v>
      </c>
      <c r="G637" t="s">
        <v>6228</v>
      </c>
      <c r="H637" t="s">
        <v>3585</v>
      </c>
      <c r="I637" t="s">
        <v>3585</v>
      </c>
      <c r="J637" t="s">
        <v>3584</v>
      </c>
      <c r="K637" s="4">
        <v>34.99</v>
      </c>
      <c r="L637" s="4">
        <v>13.0863</v>
      </c>
    </row>
    <row r="638" spans="1:12">
      <c r="A638" s="1">
        <v>42693</v>
      </c>
      <c r="B638">
        <v>1</v>
      </c>
      <c r="C638" t="s">
        <v>6226</v>
      </c>
      <c r="D638" s="4">
        <v>13.0863</v>
      </c>
      <c r="E638" s="4">
        <v>34.99</v>
      </c>
      <c r="F638" t="s">
        <v>6227</v>
      </c>
      <c r="G638" t="s">
        <v>6228</v>
      </c>
      <c r="H638" t="s">
        <v>3586</v>
      </c>
      <c r="I638" t="s">
        <v>3586</v>
      </c>
      <c r="J638" t="s">
        <v>3587</v>
      </c>
      <c r="K638" s="4">
        <v>34.99</v>
      </c>
      <c r="L638" s="4">
        <v>13.0863</v>
      </c>
    </row>
    <row r="639" spans="1:12">
      <c r="A639" s="1">
        <v>42693</v>
      </c>
      <c r="B639">
        <v>1</v>
      </c>
      <c r="C639" t="s">
        <v>6290</v>
      </c>
      <c r="D639" s="4">
        <v>1082.51</v>
      </c>
      <c r="E639" s="4">
        <v>1700.99</v>
      </c>
      <c r="F639" t="s">
        <v>3479</v>
      </c>
      <c r="G639" t="s">
        <v>3475</v>
      </c>
      <c r="H639" t="s">
        <v>3586</v>
      </c>
      <c r="I639" t="s">
        <v>3586</v>
      </c>
      <c r="J639" t="s">
        <v>3587</v>
      </c>
      <c r="K639" s="4">
        <v>1700.99</v>
      </c>
      <c r="L639" s="4">
        <v>1082.51</v>
      </c>
    </row>
    <row r="640" spans="1:12">
      <c r="A640" s="1">
        <v>42694</v>
      </c>
      <c r="B640">
        <v>1</v>
      </c>
      <c r="C640" t="s">
        <v>6298</v>
      </c>
      <c r="D640" s="4">
        <v>3.3622999999999998</v>
      </c>
      <c r="E640" s="4">
        <v>8.99</v>
      </c>
      <c r="F640" t="s">
        <v>6264</v>
      </c>
      <c r="G640" t="s">
        <v>6233</v>
      </c>
      <c r="H640" t="s">
        <v>3580</v>
      </c>
      <c r="I640" t="s">
        <v>3578</v>
      </c>
      <c r="J640" t="s">
        <v>3579</v>
      </c>
      <c r="K640" s="4">
        <v>8.99</v>
      </c>
      <c r="L640" s="4">
        <v>3.3622999999999998</v>
      </c>
    </row>
    <row r="641" spans="1:12">
      <c r="A641" s="1">
        <v>42694</v>
      </c>
      <c r="B641">
        <v>1</v>
      </c>
      <c r="C641" t="s">
        <v>6250</v>
      </c>
      <c r="D641" s="4">
        <v>9.7135999999999996</v>
      </c>
      <c r="E641" s="4">
        <v>23.548100000000002</v>
      </c>
      <c r="F641" t="s">
        <v>6251</v>
      </c>
      <c r="G641" t="s">
        <v>6233</v>
      </c>
      <c r="H641" t="s">
        <v>3582</v>
      </c>
      <c r="I641" t="s">
        <v>3582</v>
      </c>
      <c r="J641" t="s">
        <v>3579</v>
      </c>
      <c r="K641" s="4">
        <v>23.548100000000002</v>
      </c>
      <c r="L641" s="4">
        <v>9.7135999999999996</v>
      </c>
    </row>
    <row r="642" spans="1:12">
      <c r="A642" s="1">
        <v>42694</v>
      </c>
      <c r="B642">
        <v>1</v>
      </c>
      <c r="C642" t="s">
        <v>6277</v>
      </c>
      <c r="D642" s="4">
        <v>8.0373000000000001</v>
      </c>
      <c r="E642" s="4">
        <v>21.49</v>
      </c>
      <c r="F642" t="s">
        <v>6243</v>
      </c>
      <c r="G642" t="s">
        <v>6228</v>
      </c>
      <c r="H642" t="s">
        <v>3582</v>
      </c>
      <c r="I642" t="s">
        <v>3582</v>
      </c>
      <c r="J642" t="s">
        <v>3579</v>
      </c>
      <c r="K642" s="4">
        <v>21.49</v>
      </c>
      <c r="L642" s="4">
        <v>8.0373000000000001</v>
      </c>
    </row>
    <row r="643" spans="1:12">
      <c r="A643" s="1">
        <v>42694</v>
      </c>
      <c r="B643">
        <v>1</v>
      </c>
      <c r="C643" t="s">
        <v>6270</v>
      </c>
      <c r="D643" s="4">
        <v>1.4923</v>
      </c>
      <c r="E643" s="4">
        <v>3.99</v>
      </c>
      <c r="F643" t="s">
        <v>6243</v>
      </c>
      <c r="G643" t="s">
        <v>6228</v>
      </c>
      <c r="H643" t="s">
        <v>3585</v>
      </c>
      <c r="I643" t="s">
        <v>3585</v>
      </c>
      <c r="J643" t="s">
        <v>3584</v>
      </c>
      <c r="K643" s="4">
        <v>3.99</v>
      </c>
      <c r="L643" s="4">
        <v>1.4923</v>
      </c>
    </row>
    <row r="644" spans="1:12">
      <c r="A644" s="1">
        <v>42694</v>
      </c>
      <c r="B644">
        <v>1</v>
      </c>
      <c r="C644" t="s">
        <v>6246</v>
      </c>
      <c r="D644" s="4">
        <v>20.566299999999998</v>
      </c>
      <c r="E644" s="4">
        <v>54.99</v>
      </c>
      <c r="F644" t="s">
        <v>6247</v>
      </c>
      <c r="G644" t="s">
        <v>6228</v>
      </c>
      <c r="H644" t="s">
        <v>3586</v>
      </c>
      <c r="I644" t="s">
        <v>3586</v>
      </c>
      <c r="J644" t="s">
        <v>3587</v>
      </c>
      <c r="K644" s="4">
        <v>54.99</v>
      </c>
      <c r="L644" s="4">
        <v>20.566299999999998</v>
      </c>
    </row>
    <row r="645" spans="1:12">
      <c r="A645" s="1">
        <v>42695</v>
      </c>
      <c r="B645">
        <v>1</v>
      </c>
      <c r="C645" t="s">
        <v>6230</v>
      </c>
      <c r="D645" s="4">
        <v>12.027799999999999</v>
      </c>
      <c r="E645" s="4">
        <v>33.644199999999998</v>
      </c>
      <c r="F645" t="s">
        <v>6227</v>
      </c>
      <c r="G645" t="s">
        <v>6228</v>
      </c>
      <c r="H645" t="s">
        <v>3577</v>
      </c>
      <c r="I645" t="s">
        <v>3578</v>
      </c>
      <c r="J645" t="s">
        <v>3579</v>
      </c>
      <c r="K645" s="4">
        <v>33.644199999999998</v>
      </c>
      <c r="L645" s="4">
        <v>12.027799999999999</v>
      </c>
    </row>
    <row r="646" spans="1:12">
      <c r="A646" s="1">
        <v>42695</v>
      </c>
      <c r="B646">
        <v>1</v>
      </c>
      <c r="C646" t="s">
        <v>6234</v>
      </c>
      <c r="D646" s="4">
        <v>31.724399999999999</v>
      </c>
      <c r="E646" s="4">
        <v>48.067300000000003</v>
      </c>
      <c r="F646" t="s">
        <v>6235</v>
      </c>
      <c r="G646" t="s">
        <v>6233</v>
      </c>
      <c r="H646" t="s">
        <v>3577</v>
      </c>
      <c r="I646" t="s">
        <v>3578</v>
      </c>
      <c r="J646" t="s">
        <v>3579</v>
      </c>
      <c r="K646" s="4">
        <v>48.067300000000003</v>
      </c>
      <c r="L646" s="4">
        <v>31.724399999999999</v>
      </c>
    </row>
    <row r="647" spans="1:12">
      <c r="A647" s="1">
        <v>42695</v>
      </c>
      <c r="B647">
        <v>1</v>
      </c>
      <c r="C647" t="s">
        <v>3546</v>
      </c>
      <c r="D647" s="4">
        <v>1105.81</v>
      </c>
      <c r="E647" s="4">
        <v>2049.0981999999999</v>
      </c>
      <c r="F647" t="s">
        <v>3478</v>
      </c>
      <c r="G647" t="s">
        <v>3475</v>
      </c>
      <c r="H647" t="s">
        <v>3580</v>
      </c>
      <c r="I647" t="s">
        <v>3578</v>
      </c>
      <c r="J647" t="s">
        <v>3579</v>
      </c>
      <c r="K647" s="4">
        <v>2049.0981999999999</v>
      </c>
      <c r="L647" s="4">
        <v>1105.81</v>
      </c>
    </row>
    <row r="648" spans="1:12">
      <c r="A648" s="1">
        <v>42695</v>
      </c>
      <c r="B648">
        <v>1</v>
      </c>
      <c r="C648" t="s">
        <v>6253</v>
      </c>
      <c r="D648" s="4">
        <v>9.7135999999999996</v>
      </c>
      <c r="E648" s="4">
        <v>23.548100000000002</v>
      </c>
      <c r="F648" t="s">
        <v>6251</v>
      </c>
      <c r="G648" t="s">
        <v>6233</v>
      </c>
      <c r="H648" t="s">
        <v>3580</v>
      </c>
      <c r="I648" t="s">
        <v>3578</v>
      </c>
      <c r="J648" t="s">
        <v>3579</v>
      </c>
      <c r="K648" s="4">
        <v>23.548100000000002</v>
      </c>
      <c r="L648" s="4">
        <v>9.7135999999999996</v>
      </c>
    </row>
    <row r="649" spans="1:12">
      <c r="A649" s="1">
        <v>42696</v>
      </c>
      <c r="B649">
        <v>1</v>
      </c>
      <c r="C649" t="s">
        <v>3540</v>
      </c>
      <c r="D649" s="4">
        <v>1117.8559</v>
      </c>
      <c r="E649" s="4">
        <v>2071.4196000000002</v>
      </c>
      <c r="F649" t="s">
        <v>3478</v>
      </c>
      <c r="G649" t="s">
        <v>3475</v>
      </c>
      <c r="H649" t="s">
        <v>3580</v>
      </c>
      <c r="I649" t="s">
        <v>3578</v>
      </c>
      <c r="J649" t="s">
        <v>3579</v>
      </c>
      <c r="K649" s="4">
        <v>2071.4196000000002</v>
      </c>
      <c r="L649" s="4">
        <v>1117.8559</v>
      </c>
    </row>
    <row r="650" spans="1:12">
      <c r="A650" s="1">
        <v>42696</v>
      </c>
      <c r="B650">
        <v>1</v>
      </c>
      <c r="C650" t="s">
        <v>6248</v>
      </c>
      <c r="D650" s="4">
        <v>8.2204999999999995</v>
      </c>
      <c r="E650" s="4">
        <v>21.98</v>
      </c>
      <c r="F650" t="s">
        <v>6249</v>
      </c>
      <c r="G650" t="s">
        <v>6228</v>
      </c>
      <c r="H650" t="s">
        <v>3580</v>
      </c>
      <c r="I650" t="s">
        <v>3578</v>
      </c>
      <c r="J650" t="s">
        <v>3579</v>
      </c>
      <c r="K650" s="4">
        <v>21.98</v>
      </c>
      <c r="L650" s="4">
        <v>8.2204999999999995</v>
      </c>
    </row>
    <row r="651" spans="1:12">
      <c r="A651" s="1">
        <v>42696</v>
      </c>
      <c r="B651">
        <v>1</v>
      </c>
      <c r="C651" t="s">
        <v>6230</v>
      </c>
      <c r="D651" s="4">
        <v>12.027799999999999</v>
      </c>
      <c r="E651" s="4">
        <v>33.644199999999998</v>
      </c>
      <c r="F651" t="s">
        <v>6227</v>
      </c>
      <c r="G651" t="s">
        <v>6228</v>
      </c>
      <c r="H651" t="s">
        <v>3582</v>
      </c>
      <c r="I651" t="s">
        <v>3582</v>
      </c>
      <c r="J651" t="s">
        <v>3579</v>
      </c>
      <c r="K651" s="4">
        <v>33.644199999999998</v>
      </c>
      <c r="L651" s="4">
        <v>12.027799999999999</v>
      </c>
    </row>
    <row r="652" spans="1:12">
      <c r="A652" s="1">
        <v>42696</v>
      </c>
      <c r="B652">
        <v>1</v>
      </c>
      <c r="C652" t="s">
        <v>6268</v>
      </c>
      <c r="D652" s="4">
        <v>41.572299999999998</v>
      </c>
      <c r="E652" s="4">
        <v>53.99</v>
      </c>
      <c r="F652" t="s">
        <v>6235</v>
      </c>
      <c r="G652" t="s">
        <v>6233</v>
      </c>
      <c r="H652" t="s">
        <v>3586</v>
      </c>
      <c r="I652" t="s">
        <v>3586</v>
      </c>
      <c r="J652" t="s">
        <v>3587</v>
      </c>
      <c r="K652" s="4">
        <v>53.99</v>
      </c>
      <c r="L652" s="4">
        <v>41.572299999999998</v>
      </c>
    </row>
    <row r="653" spans="1:12">
      <c r="A653" s="1">
        <v>42696</v>
      </c>
      <c r="B653">
        <v>1</v>
      </c>
      <c r="C653" t="s">
        <v>6226</v>
      </c>
      <c r="D653" s="4">
        <v>13.0863</v>
      </c>
      <c r="E653" s="4">
        <v>34.99</v>
      </c>
      <c r="F653" t="s">
        <v>6227</v>
      </c>
      <c r="G653" t="s">
        <v>6228</v>
      </c>
      <c r="H653" t="s">
        <v>3588</v>
      </c>
      <c r="I653" t="s">
        <v>3588</v>
      </c>
      <c r="J653" t="s">
        <v>3584</v>
      </c>
      <c r="K653" s="4">
        <v>34.99</v>
      </c>
      <c r="L653" s="4">
        <v>13.0863</v>
      </c>
    </row>
    <row r="654" spans="1:12">
      <c r="A654" s="1">
        <v>42697</v>
      </c>
      <c r="B654">
        <v>1</v>
      </c>
      <c r="C654" t="s">
        <v>6244</v>
      </c>
      <c r="D654" s="4">
        <v>3.7363</v>
      </c>
      <c r="E654" s="4">
        <v>9.99</v>
      </c>
      <c r="F654" t="s">
        <v>6240</v>
      </c>
      <c r="G654" t="s">
        <v>6228</v>
      </c>
      <c r="H654" t="s">
        <v>3577</v>
      </c>
      <c r="I654" t="s">
        <v>3578</v>
      </c>
      <c r="J654" t="s">
        <v>3579</v>
      </c>
      <c r="K654" s="4">
        <v>9.99</v>
      </c>
      <c r="L654" s="4">
        <v>3.7363</v>
      </c>
    </row>
    <row r="655" spans="1:12">
      <c r="A655" s="1">
        <v>42697</v>
      </c>
      <c r="B655">
        <v>1</v>
      </c>
      <c r="C655" t="s">
        <v>6241</v>
      </c>
      <c r="D655" s="4">
        <v>3.3622999999999998</v>
      </c>
      <c r="E655" s="4">
        <v>8.99</v>
      </c>
      <c r="F655" t="s">
        <v>6240</v>
      </c>
      <c r="G655" t="s">
        <v>6228</v>
      </c>
      <c r="H655" t="s">
        <v>3577</v>
      </c>
      <c r="I655" t="s">
        <v>3578</v>
      </c>
      <c r="J655" t="s">
        <v>3579</v>
      </c>
      <c r="K655" s="4">
        <v>8.99</v>
      </c>
      <c r="L655" s="4">
        <v>3.3622999999999998</v>
      </c>
    </row>
    <row r="656" spans="1:12">
      <c r="A656" s="1">
        <v>42697</v>
      </c>
      <c r="B656">
        <v>1</v>
      </c>
      <c r="C656" t="s">
        <v>6229</v>
      </c>
      <c r="D656" s="4">
        <v>12.027799999999999</v>
      </c>
      <c r="E656" s="4">
        <v>33.644199999999998</v>
      </c>
      <c r="F656" t="s">
        <v>6227</v>
      </c>
      <c r="G656" t="s">
        <v>6228</v>
      </c>
      <c r="H656" t="s">
        <v>3580</v>
      </c>
      <c r="I656" t="s">
        <v>3578</v>
      </c>
      <c r="J656" t="s">
        <v>3579</v>
      </c>
      <c r="K656" s="4">
        <v>33.644199999999998</v>
      </c>
      <c r="L656" s="4">
        <v>12.027799999999999</v>
      </c>
    </row>
    <row r="657" spans="1:12">
      <c r="A657" s="1">
        <v>42697</v>
      </c>
      <c r="B657">
        <v>1</v>
      </c>
      <c r="C657" t="s">
        <v>6261</v>
      </c>
      <c r="D657" s="4">
        <v>26.176300000000001</v>
      </c>
      <c r="E657" s="4">
        <v>69.989999999999995</v>
      </c>
      <c r="F657" t="s">
        <v>6262</v>
      </c>
      <c r="G657" t="s">
        <v>6233</v>
      </c>
      <c r="H657" t="s">
        <v>3580</v>
      </c>
      <c r="I657" t="s">
        <v>3578</v>
      </c>
      <c r="J657" t="s">
        <v>3579</v>
      </c>
      <c r="K657" s="4">
        <v>69.989999999999995</v>
      </c>
      <c r="L657" s="4">
        <v>26.176300000000001</v>
      </c>
    </row>
    <row r="658" spans="1:12">
      <c r="A658" s="1">
        <v>42697</v>
      </c>
      <c r="B658">
        <v>1</v>
      </c>
      <c r="C658" t="s">
        <v>6226</v>
      </c>
      <c r="D658" s="4">
        <v>13.0863</v>
      </c>
      <c r="E658" s="4">
        <v>34.99</v>
      </c>
      <c r="F658" t="s">
        <v>6227</v>
      </c>
      <c r="G658" t="s">
        <v>6228</v>
      </c>
      <c r="H658" t="s">
        <v>3586</v>
      </c>
      <c r="I658" t="s">
        <v>3586</v>
      </c>
      <c r="J658" t="s">
        <v>3587</v>
      </c>
      <c r="K658" s="4">
        <v>34.99</v>
      </c>
      <c r="L658" s="4">
        <v>13.0863</v>
      </c>
    </row>
    <row r="659" spans="1:12">
      <c r="A659" s="1">
        <v>42698</v>
      </c>
      <c r="B659">
        <v>1</v>
      </c>
      <c r="C659" t="s">
        <v>6230</v>
      </c>
      <c r="D659" s="4">
        <v>12.027799999999999</v>
      </c>
      <c r="E659" s="4">
        <v>33.644199999999998</v>
      </c>
      <c r="F659" t="s">
        <v>6227</v>
      </c>
      <c r="G659" t="s">
        <v>6228</v>
      </c>
      <c r="H659" t="s">
        <v>3577</v>
      </c>
      <c r="I659" t="s">
        <v>3578</v>
      </c>
      <c r="J659" t="s">
        <v>3579</v>
      </c>
      <c r="K659" s="4">
        <v>33.644199999999998</v>
      </c>
      <c r="L659" s="4">
        <v>12.027799999999999</v>
      </c>
    </row>
    <row r="660" spans="1:12">
      <c r="A660" s="1">
        <v>42698</v>
      </c>
      <c r="B660">
        <v>1</v>
      </c>
      <c r="C660" t="s">
        <v>6242</v>
      </c>
      <c r="D660" s="4">
        <v>1.8663000000000001</v>
      </c>
      <c r="E660" s="4">
        <v>4.99</v>
      </c>
      <c r="F660" t="s">
        <v>6243</v>
      </c>
      <c r="G660" t="s">
        <v>6228</v>
      </c>
      <c r="H660" t="s">
        <v>3577</v>
      </c>
      <c r="I660" t="s">
        <v>3578</v>
      </c>
      <c r="J660" t="s">
        <v>3579</v>
      </c>
      <c r="K660" s="4">
        <v>4.99</v>
      </c>
      <c r="L660" s="4">
        <v>1.8663000000000001</v>
      </c>
    </row>
    <row r="661" spans="1:12">
      <c r="A661" s="1">
        <v>42698</v>
      </c>
      <c r="B661">
        <v>1</v>
      </c>
      <c r="C661" t="s">
        <v>6271</v>
      </c>
      <c r="D661" s="4">
        <v>11.2163</v>
      </c>
      <c r="E661" s="4">
        <v>29.99</v>
      </c>
      <c r="F661" t="s">
        <v>6243</v>
      </c>
      <c r="G661" t="s">
        <v>6228</v>
      </c>
      <c r="H661" t="s">
        <v>3586</v>
      </c>
      <c r="I661" t="s">
        <v>3586</v>
      </c>
      <c r="J661" t="s">
        <v>3587</v>
      </c>
      <c r="K661" s="4">
        <v>29.99</v>
      </c>
      <c r="L661" s="4">
        <v>11.2163</v>
      </c>
    </row>
    <row r="662" spans="1:12">
      <c r="A662" s="1">
        <v>42698</v>
      </c>
      <c r="B662">
        <v>1</v>
      </c>
      <c r="C662" t="s">
        <v>3542</v>
      </c>
      <c r="D662" s="4">
        <v>1105.81</v>
      </c>
      <c r="E662" s="4">
        <v>2049.0981999999999</v>
      </c>
      <c r="F662" t="s">
        <v>3478</v>
      </c>
      <c r="G662" t="s">
        <v>3475</v>
      </c>
      <c r="H662" t="s">
        <v>3588</v>
      </c>
      <c r="I662" t="s">
        <v>3588</v>
      </c>
      <c r="J662" t="s">
        <v>3584</v>
      </c>
      <c r="K662" s="4">
        <v>2049.0981999999999</v>
      </c>
      <c r="L662" s="4">
        <v>1105.81</v>
      </c>
    </row>
    <row r="663" spans="1:12">
      <c r="A663" s="1">
        <v>42698</v>
      </c>
      <c r="B663">
        <v>1</v>
      </c>
      <c r="C663" t="s">
        <v>6244</v>
      </c>
      <c r="D663" s="4">
        <v>3.7363</v>
      </c>
      <c r="E663" s="4">
        <v>9.99</v>
      </c>
      <c r="F663" t="s">
        <v>6240</v>
      </c>
      <c r="G663" t="s">
        <v>6228</v>
      </c>
      <c r="H663" t="s">
        <v>3588</v>
      </c>
      <c r="I663" t="s">
        <v>3588</v>
      </c>
      <c r="J663" t="s">
        <v>3584</v>
      </c>
      <c r="K663" s="4">
        <v>9.99</v>
      </c>
      <c r="L663" s="4">
        <v>3.7363</v>
      </c>
    </row>
    <row r="664" spans="1:12">
      <c r="A664" s="1">
        <v>42699</v>
      </c>
      <c r="B664">
        <v>1</v>
      </c>
      <c r="C664" t="s">
        <v>6248</v>
      </c>
      <c r="D664" s="4">
        <v>8.2204999999999995</v>
      </c>
      <c r="E664" s="4">
        <v>21.98</v>
      </c>
      <c r="F664" t="s">
        <v>6249</v>
      </c>
      <c r="G664" t="s">
        <v>6228</v>
      </c>
      <c r="H664" t="s">
        <v>3580</v>
      </c>
      <c r="I664" t="s">
        <v>3578</v>
      </c>
      <c r="J664" t="s">
        <v>3579</v>
      </c>
      <c r="K664" s="4">
        <v>21.98</v>
      </c>
      <c r="L664" s="4">
        <v>8.2204999999999995</v>
      </c>
    </row>
    <row r="665" spans="1:12">
      <c r="A665" s="1">
        <v>42699</v>
      </c>
      <c r="B665">
        <v>1</v>
      </c>
      <c r="C665" t="s">
        <v>6258</v>
      </c>
      <c r="D665" s="4">
        <v>2.9733000000000001</v>
      </c>
      <c r="E665" s="4">
        <v>7.95</v>
      </c>
      <c r="F665" t="s">
        <v>6259</v>
      </c>
      <c r="G665" t="s">
        <v>6228</v>
      </c>
      <c r="H665" t="s">
        <v>3582</v>
      </c>
      <c r="I665" t="s">
        <v>3582</v>
      </c>
      <c r="J665" t="s">
        <v>3579</v>
      </c>
      <c r="K665" s="4">
        <v>7.95</v>
      </c>
      <c r="L665" s="4">
        <v>2.9733000000000001</v>
      </c>
    </row>
    <row r="666" spans="1:12">
      <c r="A666" s="1">
        <v>42699</v>
      </c>
      <c r="B666">
        <v>1</v>
      </c>
      <c r="C666" t="s">
        <v>6242</v>
      </c>
      <c r="D666" s="4">
        <v>1.8663000000000001</v>
      </c>
      <c r="E666" s="4">
        <v>4.99</v>
      </c>
      <c r="F666" t="s">
        <v>6243</v>
      </c>
      <c r="G666" t="s">
        <v>6228</v>
      </c>
      <c r="H666" t="s">
        <v>3582</v>
      </c>
      <c r="I666" t="s">
        <v>3582</v>
      </c>
      <c r="J666" t="s">
        <v>3579</v>
      </c>
      <c r="K666" s="4">
        <v>4.99</v>
      </c>
      <c r="L666" s="4">
        <v>1.8663000000000001</v>
      </c>
    </row>
    <row r="667" spans="1:12">
      <c r="A667" s="1">
        <v>42700</v>
      </c>
      <c r="B667">
        <v>1</v>
      </c>
      <c r="C667" t="s">
        <v>6270</v>
      </c>
      <c r="D667" s="4">
        <v>1.4923</v>
      </c>
      <c r="E667" s="4">
        <v>3.99</v>
      </c>
      <c r="F667" t="s">
        <v>6243</v>
      </c>
      <c r="G667" t="s">
        <v>6228</v>
      </c>
      <c r="H667" t="s">
        <v>3580</v>
      </c>
      <c r="I667" t="s">
        <v>3578</v>
      </c>
      <c r="J667" t="s">
        <v>3579</v>
      </c>
      <c r="K667" s="4">
        <v>3.99</v>
      </c>
      <c r="L667" s="4">
        <v>1.4923</v>
      </c>
    </row>
    <row r="668" spans="1:12">
      <c r="A668" s="1">
        <v>42700</v>
      </c>
      <c r="B668">
        <v>1</v>
      </c>
      <c r="C668" t="s">
        <v>6241</v>
      </c>
      <c r="D668" s="4">
        <v>3.3622999999999998</v>
      </c>
      <c r="E668" s="4">
        <v>8.99</v>
      </c>
      <c r="F668" t="s">
        <v>6240</v>
      </c>
      <c r="G668" t="s">
        <v>6228</v>
      </c>
      <c r="H668" t="s">
        <v>3583</v>
      </c>
      <c r="I668" t="s">
        <v>3583</v>
      </c>
      <c r="J668" t="s">
        <v>3584</v>
      </c>
      <c r="K668" s="4">
        <v>8.99</v>
      </c>
      <c r="L668" s="4">
        <v>3.3622999999999998</v>
      </c>
    </row>
    <row r="669" spans="1:12">
      <c r="A669" s="1">
        <v>42700</v>
      </c>
      <c r="B669">
        <v>1</v>
      </c>
      <c r="C669" t="s">
        <v>6258</v>
      </c>
      <c r="D669" s="4">
        <v>2.9733000000000001</v>
      </c>
      <c r="E669" s="4">
        <v>7.95</v>
      </c>
      <c r="F669" t="s">
        <v>6259</v>
      </c>
      <c r="G669" t="s">
        <v>6228</v>
      </c>
      <c r="H669" t="s">
        <v>3585</v>
      </c>
      <c r="I669" t="s">
        <v>3585</v>
      </c>
      <c r="J669" t="s">
        <v>3584</v>
      </c>
      <c r="K669" s="4">
        <v>7.95</v>
      </c>
      <c r="L669" s="4">
        <v>2.9733000000000001</v>
      </c>
    </row>
    <row r="670" spans="1:12">
      <c r="A670" s="1">
        <v>42701</v>
      </c>
      <c r="B670">
        <v>1</v>
      </c>
      <c r="C670" t="s">
        <v>6242</v>
      </c>
      <c r="D670" s="4">
        <v>1.8663000000000001</v>
      </c>
      <c r="E670" s="4">
        <v>4.99</v>
      </c>
      <c r="F670" t="s">
        <v>6243</v>
      </c>
      <c r="G670" t="s">
        <v>6228</v>
      </c>
      <c r="H670" t="s">
        <v>3582</v>
      </c>
      <c r="I670" t="s">
        <v>3582</v>
      </c>
      <c r="J670" t="s">
        <v>3579</v>
      </c>
      <c r="K670" s="4">
        <v>4.99</v>
      </c>
      <c r="L670" s="4">
        <v>1.8663000000000001</v>
      </c>
    </row>
    <row r="671" spans="1:12">
      <c r="A671" s="1">
        <v>42701</v>
      </c>
      <c r="B671">
        <v>1</v>
      </c>
      <c r="C671" t="s">
        <v>6250</v>
      </c>
      <c r="D671" s="4">
        <v>9.7135999999999996</v>
      </c>
      <c r="E671" s="4">
        <v>23.548100000000002</v>
      </c>
      <c r="F671" t="s">
        <v>6251</v>
      </c>
      <c r="G671" t="s">
        <v>6233</v>
      </c>
      <c r="H671" t="s">
        <v>3586</v>
      </c>
      <c r="I671" t="s">
        <v>3586</v>
      </c>
      <c r="J671" t="s">
        <v>3587</v>
      </c>
      <c r="K671" s="4">
        <v>23.548100000000002</v>
      </c>
      <c r="L671" s="4">
        <v>9.7135999999999996</v>
      </c>
    </row>
    <row r="672" spans="1:12">
      <c r="A672" s="1">
        <v>42702</v>
      </c>
      <c r="B672">
        <v>1</v>
      </c>
      <c r="C672" t="s">
        <v>6245</v>
      </c>
      <c r="D672" s="4">
        <v>0.85650000000000004</v>
      </c>
      <c r="E672" s="4">
        <v>2.29</v>
      </c>
      <c r="F672" t="s">
        <v>6243</v>
      </c>
      <c r="G672" t="s">
        <v>6228</v>
      </c>
      <c r="H672" t="s">
        <v>3577</v>
      </c>
      <c r="I672" t="s">
        <v>3578</v>
      </c>
      <c r="J672" t="s">
        <v>3579</v>
      </c>
      <c r="K672" s="4">
        <v>2.29</v>
      </c>
      <c r="L672" s="4">
        <v>0.85650000000000004</v>
      </c>
    </row>
    <row r="673" spans="1:12">
      <c r="A673" s="1">
        <v>42702</v>
      </c>
      <c r="B673">
        <v>1</v>
      </c>
      <c r="C673" t="s">
        <v>6256</v>
      </c>
      <c r="D673" s="4">
        <v>44.88</v>
      </c>
      <c r="E673" s="4">
        <v>120</v>
      </c>
      <c r="F673" t="s">
        <v>6257</v>
      </c>
      <c r="G673" t="s">
        <v>6228</v>
      </c>
      <c r="H673" t="s">
        <v>3577</v>
      </c>
      <c r="I673" t="s">
        <v>3578</v>
      </c>
      <c r="J673" t="s">
        <v>3579</v>
      </c>
      <c r="K673" s="4">
        <v>120</v>
      </c>
      <c r="L673" s="4">
        <v>44.88</v>
      </c>
    </row>
    <row r="674" spans="1:12">
      <c r="A674" s="1">
        <v>42702</v>
      </c>
      <c r="B674">
        <v>1</v>
      </c>
      <c r="C674" t="s">
        <v>6276</v>
      </c>
      <c r="D674" s="4">
        <v>1.8663000000000001</v>
      </c>
      <c r="E674" s="4">
        <v>4.99</v>
      </c>
      <c r="F674" t="s">
        <v>6243</v>
      </c>
      <c r="G674" t="s">
        <v>6228</v>
      </c>
      <c r="H674" t="s">
        <v>3577</v>
      </c>
      <c r="I674" t="s">
        <v>3578</v>
      </c>
      <c r="J674" t="s">
        <v>3579</v>
      </c>
      <c r="K674" s="4">
        <v>4.99</v>
      </c>
      <c r="L674" s="4">
        <v>1.8663000000000001</v>
      </c>
    </row>
    <row r="675" spans="1:12">
      <c r="A675" s="1">
        <v>42702</v>
      </c>
      <c r="B675">
        <v>1</v>
      </c>
      <c r="C675" t="s">
        <v>6239</v>
      </c>
      <c r="D675" s="4">
        <v>1.8663000000000001</v>
      </c>
      <c r="E675" s="4">
        <v>4.99</v>
      </c>
      <c r="F675" t="s">
        <v>6240</v>
      </c>
      <c r="G675" t="s">
        <v>6228</v>
      </c>
      <c r="H675" t="s">
        <v>3580</v>
      </c>
      <c r="I675" t="s">
        <v>3578</v>
      </c>
      <c r="J675" t="s">
        <v>3579</v>
      </c>
      <c r="K675" s="4">
        <v>4.99</v>
      </c>
      <c r="L675" s="4">
        <v>1.8663000000000001</v>
      </c>
    </row>
    <row r="676" spans="1:12">
      <c r="A676" s="1">
        <v>42702</v>
      </c>
      <c r="B676">
        <v>1</v>
      </c>
      <c r="C676" t="s">
        <v>6229</v>
      </c>
      <c r="D676" s="4">
        <v>12.027799999999999</v>
      </c>
      <c r="E676" s="4">
        <v>33.644199999999998</v>
      </c>
      <c r="F676" t="s">
        <v>6227</v>
      </c>
      <c r="G676" t="s">
        <v>6228</v>
      </c>
      <c r="H676" t="s">
        <v>3586</v>
      </c>
      <c r="I676" t="s">
        <v>3586</v>
      </c>
      <c r="J676" t="s">
        <v>3587</v>
      </c>
      <c r="K676" s="4">
        <v>33.644199999999998</v>
      </c>
      <c r="L676" s="4">
        <v>12.027799999999999</v>
      </c>
    </row>
    <row r="677" spans="1:12">
      <c r="A677" s="1">
        <v>42702</v>
      </c>
      <c r="B677">
        <v>1</v>
      </c>
      <c r="C677" t="s">
        <v>6296</v>
      </c>
      <c r="D677" s="4">
        <v>419.77839999999998</v>
      </c>
      <c r="E677" s="4">
        <v>769.49</v>
      </c>
      <c r="F677" t="s">
        <v>3478</v>
      </c>
      <c r="G677" t="s">
        <v>3475</v>
      </c>
      <c r="H677" t="s">
        <v>3586</v>
      </c>
      <c r="I677" t="s">
        <v>3586</v>
      </c>
      <c r="J677" t="s">
        <v>3587</v>
      </c>
      <c r="K677" s="4">
        <v>769.49</v>
      </c>
      <c r="L677" s="4">
        <v>419.77839999999998</v>
      </c>
    </row>
    <row r="678" spans="1:12">
      <c r="A678" s="1">
        <v>42702</v>
      </c>
      <c r="B678">
        <v>1</v>
      </c>
      <c r="C678" t="s">
        <v>6239</v>
      </c>
      <c r="D678" s="4">
        <v>1.8663000000000001</v>
      </c>
      <c r="E678" s="4">
        <v>4.99</v>
      </c>
      <c r="F678" t="s">
        <v>6240</v>
      </c>
      <c r="G678" t="s">
        <v>6228</v>
      </c>
      <c r="H678" t="s">
        <v>3588</v>
      </c>
      <c r="I678" t="s">
        <v>3588</v>
      </c>
      <c r="J678" t="s">
        <v>3584</v>
      </c>
      <c r="K678" s="4">
        <v>4.99</v>
      </c>
      <c r="L678" s="4">
        <v>1.8663000000000001</v>
      </c>
    </row>
    <row r="679" spans="1:12">
      <c r="A679" s="1">
        <v>42702</v>
      </c>
      <c r="B679">
        <v>1</v>
      </c>
      <c r="C679" t="s">
        <v>6244</v>
      </c>
      <c r="D679" s="4">
        <v>3.7363</v>
      </c>
      <c r="E679" s="4">
        <v>9.99</v>
      </c>
      <c r="F679" t="s">
        <v>6240</v>
      </c>
      <c r="G679" t="s">
        <v>6228</v>
      </c>
      <c r="H679" t="s">
        <v>3588</v>
      </c>
      <c r="I679" t="s">
        <v>3588</v>
      </c>
      <c r="J679" t="s">
        <v>3584</v>
      </c>
      <c r="K679" s="4">
        <v>9.99</v>
      </c>
      <c r="L679" s="4">
        <v>3.7363</v>
      </c>
    </row>
    <row r="680" spans="1:12">
      <c r="A680" s="1">
        <v>42703</v>
      </c>
      <c r="B680">
        <v>1</v>
      </c>
      <c r="C680" t="s">
        <v>6272</v>
      </c>
      <c r="D680" s="4">
        <v>9.3462999999999994</v>
      </c>
      <c r="E680" s="4">
        <v>24.99</v>
      </c>
      <c r="F680" t="s">
        <v>6243</v>
      </c>
      <c r="G680" t="s">
        <v>6228</v>
      </c>
      <c r="H680" t="s">
        <v>3577</v>
      </c>
      <c r="I680" t="s">
        <v>3578</v>
      </c>
      <c r="J680" t="s">
        <v>3579</v>
      </c>
      <c r="K680" s="4">
        <v>24.99</v>
      </c>
      <c r="L680" s="4">
        <v>9.3462999999999994</v>
      </c>
    </row>
    <row r="681" spans="1:12">
      <c r="A681" s="1">
        <v>42703</v>
      </c>
      <c r="B681">
        <v>1</v>
      </c>
      <c r="C681" t="s">
        <v>6239</v>
      </c>
      <c r="D681" s="4">
        <v>1.8663000000000001</v>
      </c>
      <c r="E681" s="4">
        <v>4.99</v>
      </c>
      <c r="F681" t="s">
        <v>6240</v>
      </c>
      <c r="G681" t="s">
        <v>6228</v>
      </c>
      <c r="H681" t="s">
        <v>3588</v>
      </c>
      <c r="I681" t="s">
        <v>3588</v>
      </c>
      <c r="J681" t="s">
        <v>3584</v>
      </c>
      <c r="K681" s="4">
        <v>4.99</v>
      </c>
      <c r="L681" s="4">
        <v>1.8663000000000001</v>
      </c>
    </row>
    <row r="682" spans="1:12">
      <c r="A682" s="1">
        <v>42703</v>
      </c>
      <c r="B682">
        <v>1</v>
      </c>
      <c r="C682" t="s">
        <v>6241</v>
      </c>
      <c r="D682" s="4">
        <v>3.3622999999999998</v>
      </c>
      <c r="E682" s="4">
        <v>8.99</v>
      </c>
      <c r="F682" t="s">
        <v>6240</v>
      </c>
      <c r="G682" t="s">
        <v>6228</v>
      </c>
      <c r="H682" t="s">
        <v>3588</v>
      </c>
      <c r="I682" t="s">
        <v>3588</v>
      </c>
      <c r="J682" t="s">
        <v>3584</v>
      </c>
      <c r="K682" s="4">
        <v>8.99</v>
      </c>
      <c r="L682" s="4">
        <v>3.3622999999999998</v>
      </c>
    </row>
    <row r="683" spans="1:12">
      <c r="A683" s="1">
        <v>42704</v>
      </c>
      <c r="B683">
        <v>1</v>
      </c>
      <c r="C683" t="s">
        <v>6261</v>
      </c>
      <c r="D683" s="4">
        <v>26.176300000000001</v>
      </c>
      <c r="E683" s="4">
        <v>69.989999999999995</v>
      </c>
      <c r="F683" t="s">
        <v>6262</v>
      </c>
      <c r="G683" t="s">
        <v>6233</v>
      </c>
      <c r="H683" t="s">
        <v>3577</v>
      </c>
      <c r="I683" t="s">
        <v>3578</v>
      </c>
      <c r="J683" t="s">
        <v>3579</v>
      </c>
      <c r="K683" s="4">
        <v>69.989999999999995</v>
      </c>
      <c r="L683" s="4">
        <v>26.176300000000001</v>
      </c>
    </row>
    <row r="684" spans="1:12">
      <c r="A684" s="1">
        <v>42704</v>
      </c>
      <c r="B684">
        <v>1</v>
      </c>
      <c r="C684" t="s">
        <v>6226</v>
      </c>
      <c r="D684" s="4">
        <v>13.0863</v>
      </c>
      <c r="E684" s="4">
        <v>34.99</v>
      </c>
      <c r="F684" t="s">
        <v>6227</v>
      </c>
      <c r="G684" t="s">
        <v>6228</v>
      </c>
      <c r="H684" t="s">
        <v>3580</v>
      </c>
      <c r="I684" t="s">
        <v>3578</v>
      </c>
      <c r="J684" t="s">
        <v>3579</v>
      </c>
      <c r="K684" s="4">
        <v>34.99</v>
      </c>
      <c r="L684" s="4">
        <v>13.0863</v>
      </c>
    </row>
    <row r="685" spans="1:12">
      <c r="A685" s="1">
        <v>42704</v>
      </c>
      <c r="B685">
        <v>1</v>
      </c>
      <c r="C685" t="s">
        <v>6272</v>
      </c>
      <c r="D685" s="4">
        <v>9.3462999999999994</v>
      </c>
      <c r="E685" s="4">
        <v>24.99</v>
      </c>
      <c r="F685" t="s">
        <v>6243</v>
      </c>
      <c r="G685" t="s">
        <v>6228</v>
      </c>
      <c r="H685" t="s">
        <v>3580</v>
      </c>
      <c r="I685" t="s">
        <v>3578</v>
      </c>
      <c r="J685" t="s">
        <v>3579</v>
      </c>
      <c r="K685" s="4">
        <v>24.99</v>
      </c>
      <c r="L685" s="4">
        <v>9.3462999999999994</v>
      </c>
    </row>
    <row r="686" spans="1:12">
      <c r="A686" s="1">
        <v>42704</v>
      </c>
      <c r="B686">
        <v>1</v>
      </c>
      <c r="C686" t="s">
        <v>6261</v>
      </c>
      <c r="D686" s="4">
        <v>26.176300000000001</v>
      </c>
      <c r="E686" s="4">
        <v>69.989999999999995</v>
      </c>
      <c r="F686" t="s">
        <v>6262</v>
      </c>
      <c r="G686" t="s">
        <v>6233</v>
      </c>
      <c r="H686" t="s">
        <v>3583</v>
      </c>
      <c r="I686" t="s">
        <v>3583</v>
      </c>
      <c r="J686" t="s">
        <v>3584</v>
      </c>
      <c r="K686" s="4">
        <v>69.989999999999995</v>
      </c>
      <c r="L686" s="4">
        <v>26.176300000000001</v>
      </c>
    </row>
    <row r="687" spans="1:12">
      <c r="A687" s="1">
        <v>42704</v>
      </c>
      <c r="B687">
        <v>1</v>
      </c>
      <c r="C687" t="s">
        <v>6297</v>
      </c>
      <c r="D687" s="4">
        <v>343.64960000000002</v>
      </c>
      <c r="E687" s="4">
        <v>539.99</v>
      </c>
      <c r="F687" t="s">
        <v>3479</v>
      </c>
      <c r="G687" t="s">
        <v>3475</v>
      </c>
      <c r="H687" t="s">
        <v>3586</v>
      </c>
      <c r="I687" t="s">
        <v>3586</v>
      </c>
      <c r="J687" t="s">
        <v>3587</v>
      </c>
      <c r="K687" s="4">
        <v>539.99</v>
      </c>
      <c r="L687" s="4">
        <v>343.64960000000002</v>
      </c>
    </row>
    <row r="688" spans="1:12">
      <c r="A688" s="1">
        <v>42705</v>
      </c>
      <c r="B688">
        <v>1</v>
      </c>
      <c r="C688" t="s">
        <v>6229</v>
      </c>
      <c r="D688" s="4">
        <v>12.027799999999999</v>
      </c>
      <c r="E688" s="4">
        <v>33.644199999999998</v>
      </c>
      <c r="F688" t="s">
        <v>6227</v>
      </c>
      <c r="G688" t="s">
        <v>6228</v>
      </c>
      <c r="H688" t="s">
        <v>3577</v>
      </c>
      <c r="I688" t="s">
        <v>3578</v>
      </c>
      <c r="J688" t="s">
        <v>3579</v>
      </c>
      <c r="K688" s="4">
        <v>33.644199999999998</v>
      </c>
      <c r="L688" s="4">
        <v>12.027799999999999</v>
      </c>
    </row>
    <row r="689" spans="1:12">
      <c r="A689" s="1">
        <v>42705</v>
      </c>
      <c r="B689">
        <v>1</v>
      </c>
      <c r="C689" t="s">
        <v>6272</v>
      </c>
      <c r="D689" s="4">
        <v>9.3462999999999994</v>
      </c>
      <c r="E689" s="4">
        <v>24.99</v>
      </c>
      <c r="F689" t="s">
        <v>6243</v>
      </c>
      <c r="G689" t="s">
        <v>6228</v>
      </c>
      <c r="H689" t="s">
        <v>3582</v>
      </c>
      <c r="I689" t="s">
        <v>3582</v>
      </c>
      <c r="J689" t="s">
        <v>3579</v>
      </c>
      <c r="K689" s="4">
        <v>24.99</v>
      </c>
      <c r="L689" s="4">
        <v>9.3462999999999994</v>
      </c>
    </row>
    <row r="690" spans="1:12">
      <c r="A690" s="1">
        <v>42705</v>
      </c>
      <c r="B690">
        <v>1</v>
      </c>
      <c r="C690" t="s">
        <v>6230</v>
      </c>
      <c r="D690" s="4">
        <v>12.027799999999999</v>
      </c>
      <c r="E690" s="4">
        <v>33.644199999999998</v>
      </c>
      <c r="F690" t="s">
        <v>6227</v>
      </c>
      <c r="G690" t="s">
        <v>6228</v>
      </c>
      <c r="H690" t="s">
        <v>3583</v>
      </c>
      <c r="I690" t="s">
        <v>3583</v>
      </c>
      <c r="J690" t="s">
        <v>3584</v>
      </c>
      <c r="K690" s="4">
        <v>33.644199999999998</v>
      </c>
      <c r="L690" s="4">
        <v>12.027799999999999</v>
      </c>
    </row>
    <row r="691" spans="1:12">
      <c r="A691" s="1">
        <v>42705</v>
      </c>
      <c r="B691">
        <v>1</v>
      </c>
      <c r="C691" t="s">
        <v>6306</v>
      </c>
      <c r="D691" s="4">
        <v>461.44479999999999</v>
      </c>
      <c r="E691" s="4">
        <v>742.35</v>
      </c>
      <c r="F691" t="s">
        <v>6274</v>
      </c>
      <c r="G691" t="s">
        <v>3475</v>
      </c>
      <c r="H691" t="s">
        <v>3583</v>
      </c>
      <c r="I691" t="s">
        <v>3583</v>
      </c>
      <c r="J691" t="s">
        <v>3584</v>
      </c>
      <c r="K691" s="4">
        <v>742.35</v>
      </c>
      <c r="L691" s="4">
        <v>461.44479999999999</v>
      </c>
    </row>
    <row r="692" spans="1:12">
      <c r="A692" s="1">
        <v>42705</v>
      </c>
      <c r="B692">
        <v>1</v>
      </c>
      <c r="C692" t="s">
        <v>6231</v>
      </c>
      <c r="D692" s="4">
        <v>5.7051999999999996</v>
      </c>
      <c r="E692" s="4">
        <v>8.6441999999999997</v>
      </c>
      <c r="F692" t="s">
        <v>6232</v>
      </c>
      <c r="G692" t="s">
        <v>6233</v>
      </c>
      <c r="H692" t="s">
        <v>3585</v>
      </c>
      <c r="I692" t="s">
        <v>3585</v>
      </c>
      <c r="J692" t="s">
        <v>3584</v>
      </c>
      <c r="K692" s="4">
        <v>8.6441999999999997</v>
      </c>
      <c r="L692" s="4">
        <v>5.7051999999999996</v>
      </c>
    </row>
    <row r="693" spans="1:12">
      <c r="A693" s="1">
        <v>42705</v>
      </c>
      <c r="B693">
        <v>1</v>
      </c>
      <c r="C693" t="s">
        <v>6239</v>
      </c>
      <c r="D693" s="4">
        <v>1.8663000000000001</v>
      </c>
      <c r="E693" s="4">
        <v>4.99</v>
      </c>
      <c r="F693" t="s">
        <v>6240</v>
      </c>
      <c r="G693" t="s">
        <v>6228</v>
      </c>
      <c r="H693" t="s">
        <v>3585</v>
      </c>
      <c r="I693" t="s">
        <v>3585</v>
      </c>
      <c r="J693" t="s">
        <v>3584</v>
      </c>
      <c r="K693" s="4">
        <v>4.99</v>
      </c>
      <c r="L693" s="4">
        <v>1.8663000000000001</v>
      </c>
    </row>
    <row r="694" spans="1:12">
      <c r="A694" s="1">
        <v>42705</v>
      </c>
      <c r="B694">
        <v>1</v>
      </c>
      <c r="C694" t="s">
        <v>6226</v>
      </c>
      <c r="D694" s="4">
        <v>13.0863</v>
      </c>
      <c r="E694" s="4">
        <v>34.99</v>
      </c>
      <c r="F694" t="s">
        <v>6227</v>
      </c>
      <c r="G694" t="s">
        <v>6228</v>
      </c>
      <c r="H694" t="s">
        <v>3586</v>
      </c>
      <c r="I694" t="s">
        <v>3586</v>
      </c>
      <c r="J694" t="s">
        <v>3587</v>
      </c>
      <c r="K694" s="4">
        <v>34.99</v>
      </c>
      <c r="L694" s="4">
        <v>13.0863</v>
      </c>
    </row>
    <row r="695" spans="1:12">
      <c r="A695" s="1">
        <v>42705</v>
      </c>
      <c r="B695">
        <v>1</v>
      </c>
      <c r="C695" t="s">
        <v>6254</v>
      </c>
      <c r="D695" s="4">
        <v>12.192399999999999</v>
      </c>
      <c r="E695" s="4">
        <v>32.6</v>
      </c>
      <c r="F695" t="s">
        <v>6243</v>
      </c>
      <c r="G695" t="s">
        <v>6228</v>
      </c>
      <c r="H695" t="s">
        <v>3586</v>
      </c>
      <c r="I695" t="s">
        <v>3586</v>
      </c>
      <c r="J695" t="s">
        <v>3587</v>
      </c>
      <c r="K695" s="4">
        <v>32.6</v>
      </c>
      <c r="L695" s="4">
        <v>12.192399999999999</v>
      </c>
    </row>
    <row r="696" spans="1:12">
      <c r="A696" s="1">
        <v>42706</v>
      </c>
      <c r="B696">
        <v>1</v>
      </c>
      <c r="C696" t="s">
        <v>6285</v>
      </c>
      <c r="D696" s="4">
        <v>26.176300000000001</v>
      </c>
      <c r="E696" s="4">
        <v>69.989999999999995</v>
      </c>
      <c r="F696" t="s">
        <v>6262</v>
      </c>
      <c r="G696" t="s">
        <v>6233</v>
      </c>
      <c r="H696" t="s">
        <v>3582</v>
      </c>
      <c r="I696" t="s">
        <v>3582</v>
      </c>
      <c r="J696" t="s">
        <v>3579</v>
      </c>
      <c r="K696" s="4">
        <v>69.989999999999995</v>
      </c>
      <c r="L696" s="4">
        <v>26.176300000000001</v>
      </c>
    </row>
    <row r="697" spans="1:12">
      <c r="A697" s="1">
        <v>42707</v>
      </c>
      <c r="B697">
        <v>1</v>
      </c>
      <c r="C697" t="s">
        <v>6242</v>
      </c>
      <c r="D697" s="4">
        <v>1.8663000000000001</v>
      </c>
      <c r="E697" s="4">
        <v>4.99</v>
      </c>
      <c r="F697" t="s">
        <v>6243</v>
      </c>
      <c r="G697" t="s">
        <v>6228</v>
      </c>
      <c r="H697" t="s">
        <v>3577</v>
      </c>
      <c r="I697" t="s">
        <v>3578</v>
      </c>
      <c r="J697" t="s">
        <v>3579</v>
      </c>
      <c r="K697" s="4">
        <v>4.99</v>
      </c>
      <c r="L697" s="4">
        <v>1.8663000000000001</v>
      </c>
    </row>
    <row r="698" spans="1:12">
      <c r="A698" s="1">
        <v>42707</v>
      </c>
      <c r="B698">
        <v>1</v>
      </c>
      <c r="C698" t="s">
        <v>6272</v>
      </c>
      <c r="D698" s="4">
        <v>9.3462999999999994</v>
      </c>
      <c r="E698" s="4">
        <v>24.99</v>
      </c>
      <c r="F698" t="s">
        <v>6243</v>
      </c>
      <c r="G698" t="s">
        <v>6228</v>
      </c>
      <c r="H698" t="s">
        <v>3577</v>
      </c>
      <c r="I698" t="s">
        <v>3578</v>
      </c>
      <c r="J698" t="s">
        <v>3579</v>
      </c>
      <c r="K698" s="4">
        <v>24.99</v>
      </c>
      <c r="L698" s="4">
        <v>9.3462999999999994</v>
      </c>
    </row>
    <row r="699" spans="1:12">
      <c r="A699" s="1">
        <v>42707</v>
      </c>
      <c r="B699">
        <v>1</v>
      </c>
      <c r="C699" t="s">
        <v>6253</v>
      </c>
      <c r="D699" s="4">
        <v>9.7135999999999996</v>
      </c>
      <c r="E699" s="4">
        <v>23.548100000000002</v>
      </c>
      <c r="F699" t="s">
        <v>6251</v>
      </c>
      <c r="G699" t="s">
        <v>6233</v>
      </c>
      <c r="H699" t="s">
        <v>3582</v>
      </c>
      <c r="I699" t="s">
        <v>3582</v>
      </c>
      <c r="J699" t="s">
        <v>3579</v>
      </c>
      <c r="K699" s="4">
        <v>23.548100000000002</v>
      </c>
      <c r="L699" s="4">
        <v>9.7135999999999996</v>
      </c>
    </row>
    <row r="700" spans="1:12">
      <c r="A700" s="1">
        <v>42707</v>
      </c>
      <c r="B700">
        <v>1</v>
      </c>
      <c r="C700" t="s">
        <v>6242</v>
      </c>
      <c r="D700" s="4">
        <v>1.8663000000000001</v>
      </c>
      <c r="E700" s="4">
        <v>4.99</v>
      </c>
      <c r="F700" t="s">
        <v>6243</v>
      </c>
      <c r="G700" t="s">
        <v>6228</v>
      </c>
      <c r="H700" t="s">
        <v>3582</v>
      </c>
      <c r="I700" t="s">
        <v>3582</v>
      </c>
      <c r="J700" t="s">
        <v>3579</v>
      </c>
      <c r="K700" s="4">
        <v>4.99</v>
      </c>
      <c r="L700" s="4">
        <v>1.8663000000000001</v>
      </c>
    </row>
    <row r="701" spans="1:12">
      <c r="A701" s="1">
        <v>42707</v>
      </c>
      <c r="B701">
        <v>1</v>
      </c>
      <c r="C701" t="s">
        <v>6291</v>
      </c>
      <c r="D701" s="4">
        <v>41.572299999999998</v>
      </c>
      <c r="E701" s="4">
        <v>53.99</v>
      </c>
      <c r="F701" t="s">
        <v>6235</v>
      </c>
      <c r="G701" t="s">
        <v>6233</v>
      </c>
      <c r="H701" t="s">
        <v>3586</v>
      </c>
      <c r="I701" t="s">
        <v>3586</v>
      </c>
      <c r="J701" t="s">
        <v>3587</v>
      </c>
      <c r="K701" s="4">
        <v>53.99</v>
      </c>
      <c r="L701" s="4">
        <v>41.572299999999998</v>
      </c>
    </row>
    <row r="702" spans="1:12">
      <c r="A702" s="1">
        <v>42707</v>
      </c>
      <c r="B702">
        <v>1</v>
      </c>
      <c r="C702" t="s">
        <v>6230</v>
      </c>
      <c r="D702" s="4">
        <v>12.027799999999999</v>
      </c>
      <c r="E702" s="4">
        <v>33.644199999999998</v>
      </c>
      <c r="F702" t="s">
        <v>6227</v>
      </c>
      <c r="G702" t="s">
        <v>6228</v>
      </c>
      <c r="H702" t="s">
        <v>3588</v>
      </c>
      <c r="I702" t="s">
        <v>3588</v>
      </c>
      <c r="J702" t="s">
        <v>3584</v>
      </c>
      <c r="K702" s="4">
        <v>33.644199999999998</v>
      </c>
      <c r="L702" s="4">
        <v>12.027799999999999</v>
      </c>
    </row>
    <row r="703" spans="1:12">
      <c r="A703" s="1">
        <v>42708</v>
      </c>
      <c r="B703">
        <v>1</v>
      </c>
      <c r="C703" t="s">
        <v>6244</v>
      </c>
      <c r="D703" s="4">
        <v>3.7363</v>
      </c>
      <c r="E703" s="4">
        <v>9.99</v>
      </c>
      <c r="F703" t="s">
        <v>6240</v>
      </c>
      <c r="G703" t="s">
        <v>6228</v>
      </c>
      <c r="H703" t="s">
        <v>3577</v>
      </c>
      <c r="I703" t="s">
        <v>3578</v>
      </c>
      <c r="J703" t="s">
        <v>3579</v>
      </c>
      <c r="K703" s="4">
        <v>9.99</v>
      </c>
      <c r="L703" s="4">
        <v>3.7363</v>
      </c>
    </row>
    <row r="704" spans="1:12">
      <c r="A704" s="1">
        <v>42708</v>
      </c>
      <c r="B704">
        <v>1</v>
      </c>
      <c r="C704" t="s">
        <v>6269</v>
      </c>
      <c r="D704" s="4">
        <v>9.3462999999999994</v>
      </c>
      <c r="E704" s="4">
        <v>24.99</v>
      </c>
      <c r="F704" t="s">
        <v>6243</v>
      </c>
      <c r="G704" t="s">
        <v>6228</v>
      </c>
      <c r="H704" t="s">
        <v>3577</v>
      </c>
      <c r="I704" t="s">
        <v>3578</v>
      </c>
      <c r="J704" t="s">
        <v>3579</v>
      </c>
      <c r="K704" s="4">
        <v>24.99</v>
      </c>
      <c r="L704" s="4">
        <v>9.3462999999999994</v>
      </c>
    </row>
    <row r="705" spans="1:12">
      <c r="A705" s="1">
        <v>42708</v>
      </c>
      <c r="B705">
        <v>1</v>
      </c>
      <c r="C705" t="s">
        <v>6239</v>
      </c>
      <c r="D705" s="4">
        <v>1.8663000000000001</v>
      </c>
      <c r="E705" s="4">
        <v>4.99</v>
      </c>
      <c r="F705" t="s">
        <v>6240</v>
      </c>
      <c r="G705" t="s">
        <v>6228</v>
      </c>
      <c r="H705" t="s">
        <v>3585</v>
      </c>
      <c r="I705" t="s">
        <v>3585</v>
      </c>
      <c r="J705" t="s">
        <v>3584</v>
      </c>
      <c r="K705" s="4">
        <v>4.99</v>
      </c>
      <c r="L705" s="4">
        <v>1.8663000000000001</v>
      </c>
    </row>
    <row r="706" spans="1:12">
      <c r="A706" s="1">
        <v>42708</v>
      </c>
      <c r="B706">
        <v>1</v>
      </c>
      <c r="C706" t="s">
        <v>6270</v>
      </c>
      <c r="D706" s="4">
        <v>1.4923</v>
      </c>
      <c r="E706" s="4">
        <v>3.99</v>
      </c>
      <c r="F706" t="s">
        <v>6243</v>
      </c>
      <c r="G706" t="s">
        <v>6228</v>
      </c>
      <c r="H706" t="s">
        <v>3586</v>
      </c>
      <c r="I706" t="s">
        <v>3586</v>
      </c>
      <c r="J706" t="s">
        <v>3587</v>
      </c>
      <c r="K706" s="4">
        <v>3.99</v>
      </c>
      <c r="L706" s="4">
        <v>1.4923</v>
      </c>
    </row>
    <row r="707" spans="1:12">
      <c r="A707" s="1">
        <v>42709</v>
      </c>
      <c r="B707">
        <v>1</v>
      </c>
      <c r="C707" t="s">
        <v>6226</v>
      </c>
      <c r="D707" s="4">
        <v>13.0863</v>
      </c>
      <c r="E707" s="4">
        <v>34.99</v>
      </c>
      <c r="F707" t="s">
        <v>6227</v>
      </c>
      <c r="G707" t="s">
        <v>6228</v>
      </c>
      <c r="H707" t="s">
        <v>3580</v>
      </c>
      <c r="I707" t="s">
        <v>3578</v>
      </c>
      <c r="J707" t="s">
        <v>3579</v>
      </c>
      <c r="K707" s="4">
        <v>34.99</v>
      </c>
      <c r="L707" s="4">
        <v>13.0863</v>
      </c>
    </row>
    <row r="708" spans="1:12">
      <c r="A708" s="1">
        <v>42709</v>
      </c>
      <c r="B708">
        <v>1</v>
      </c>
      <c r="C708" t="s">
        <v>6242</v>
      </c>
      <c r="D708" s="4">
        <v>1.8663000000000001</v>
      </c>
      <c r="E708" s="4">
        <v>4.99</v>
      </c>
      <c r="F708" t="s">
        <v>6243</v>
      </c>
      <c r="G708" t="s">
        <v>6228</v>
      </c>
      <c r="H708" t="s">
        <v>3580</v>
      </c>
      <c r="I708" t="s">
        <v>3578</v>
      </c>
      <c r="J708" t="s">
        <v>3579</v>
      </c>
      <c r="K708" s="4">
        <v>4.99</v>
      </c>
      <c r="L708" s="4">
        <v>1.8663000000000001</v>
      </c>
    </row>
    <row r="709" spans="1:12">
      <c r="A709" s="1">
        <v>42709</v>
      </c>
      <c r="B709">
        <v>1</v>
      </c>
      <c r="C709" t="s">
        <v>6244</v>
      </c>
      <c r="D709" s="4">
        <v>3.7363</v>
      </c>
      <c r="E709" s="4">
        <v>9.99</v>
      </c>
      <c r="F709" t="s">
        <v>6240</v>
      </c>
      <c r="G709" t="s">
        <v>6228</v>
      </c>
      <c r="H709" t="s">
        <v>3582</v>
      </c>
      <c r="I709" t="s">
        <v>3582</v>
      </c>
      <c r="J709" t="s">
        <v>3579</v>
      </c>
      <c r="K709" s="4">
        <v>9.99</v>
      </c>
      <c r="L709" s="4">
        <v>3.7363</v>
      </c>
    </row>
    <row r="710" spans="1:12">
      <c r="A710" s="1">
        <v>42709</v>
      </c>
      <c r="B710">
        <v>1</v>
      </c>
      <c r="C710" t="s">
        <v>3568</v>
      </c>
      <c r="D710" s="4">
        <v>605.64919999999995</v>
      </c>
      <c r="E710" s="4">
        <v>1000.4375</v>
      </c>
      <c r="F710" t="s">
        <v>3479</v>
      </c>
      <c r="G710" t="s">
        <v>3475</v>
      </c>
      <c r="H710" t="s">
        <v>3585</v>
      </c>
      <c r="I710" t="s">
        <v>3585</v>
      </c>
      <c r="J710" t="s">
        <v>3584</v>
      </c>
      <c r="K710" s="4">
        <v>1000.4375</v>
      </c>
      <c r="L710" s="4">
        <v>605.64919999999995</v>
      </c>
    </row>
    <row r="711" spans="1:12">
      <c r="A711" s="1">
        <v>42709</v>
      </c>
      <c r="B711">
        <v>1</v>
      </c>
      <c r="C711" t="s">
        <v>6239</v>
      </c>
      <c r="D711" s="4">
        <v>1.8663000000000001</v>
      </c>
      <c r="E711" s="4">
        <v>4.99</v>
      </c>
      <c r="F711" t="s">
        <v>6240</v>
      </c>
      <c r="G711" t="s">
        <v>6228</v>
      </c>
      <c r="H711" t="s">
        <v>3586</v>
      </c>
      <c r="I711" t="s">
        <v>3586</v>
      </c>
      <c r="J711" t="s">
        <v>3587</v>
      </c>
      <c r="K711" s="4">
        <v>4.99</v>
      </c>
      <c r="L711" s="4">
        <v>1.8663000000000001</v>
      </c>
    </row>
    <row r="712" spans="1:12">
      <c r="A712" s="1">
        <v>42709</v>
      </c>
      <c r="B712">
        <v>1</v>
      </c>
      <c r="C712" t="s">
        <v>6226</v>
      </c>
      <c r="D712" s="4">
        <v>13.0863</v>
      </c>
      <c r="E712" s="4">
        <v>34.99</v>
      </c>
      <c r="F712" t="s">
        <v>6227</v>
      </c>
      <c r="G712" t="s">
        <v>6228</v>
      </c>
      <c r="H712" t="s">
        <v>3588</v>
      </c>
      <c r="I712" t="s">
        <v>3588</v>
      </c>
      <c r="J712" t="s">
        <v>3584</v>
      </c>
      <c r="K712" s="4">
        <v>34.99</v>
      </c>
      <c r="L712" s="4">
        <v>13.0863</v>
      </c>
    </row>
    <row r="713" spans="1:12">
      <c r="A713" s="1">
        <v>42709</v>
      </c>
      <c r="B713">
        <v>1</v>
      </c>
      <c r="C713" t="s">
        <v>6229</v>
      </c>
      <c r="D713" s="4">
        <v>12.027799999999999</v>
      </c>
      <c r="E713" s="4">
        <v>33.644199999999998</v>
      </c>
      <c r="F713" t="s">
        <v>6227</v>
      </c>
      <c r="G713" t="s">
        <v>6228</v>
      </c>
      <c r="H713" t="s">
        <v>3588</v>
      </c>
      <c r="I713" t="s">
        <v>3588</v>
      </c>
      <c r="J713" t="s">
        <v>3584</v>
      </c>
      <c r="K713" s="4">
        <v>33.644199999999998</v>
      </c>
      <c r="L713" s="4">
        <v>12.027799999999999</v>
      </c>
    </row>
    <row r="714" spans="1:12">
      <c r="A714" s="1">
        <v>42710</v>
      </c>
      <c r="B714">
        <v>1</v>
      </c>
      <c r="C714" t="s">
        <v>6242</v>
      </c>
      <c r="D714" s="4">
        <v>1.8663000000000001</v>
      </c>
      <c r="E714" s="4">
        <v>4.99</v>
      </c>
      <c r="F714" t="s">
        <v>6243</v>
      </c>
      <c r="G714" t="s">
        <v>6228</v>
      </c>
      <c r="H714" t="s">
        <v>3577</v>
      </c>
      <c r="I714" t="s">
        <v>3578</v>
      </c>
      <c r="J714" t="s">
        <v>3579</v>
      </c>
      <c r="K714" s="4">
        <v>4.99</v>
      </c>
      <c r="L714" s="4">
        <v>1.8663000000000001</v>
      </c>
    </row>
    <row r="715" spans="1:12">
      <c r="A715" s="1">
        <v>42710</v>
      </c>
      <c r="B715">
        <v>1</v>
      </c>
      <c r="C715" t="s">
        <v>6229</v>
      </c>
      <c r="D715" s="4">
        <v>12.027799999999999</v>
      </c>
      <c r="E715" s="4">
        <v>33.644199999999998</v>
      </c>
      <c r="F715" t="s">
        <v>6227</v>
      </c>
      <c r="G715" t="s">
        <v>6228</v>
      </c>
      <c r="H715" t="s">
        <v>3580</v>
      </c>
      <c r="I715" t="s">
        <v>3578</v>
      </c>
      <c r="J715" t="s">
        <v>3579</v>
      </c>
      <c r="K715" s="4">
        <v>33.644199999999998</v>
      </c>
      <c r="L715" s="4">
        <v>12.027799999999999</v>
      </c>
    </row>
    <row r="716" spans="1:12">
      <c r="A716" s="1">
        <v>42710</v>
      </c>
      <c r="B716">
        <v>1</v>
      </c>
      <c r="C716" t="s">
        <v>6248</v>
      </c>
      <c r="D716" s="4">
        <v>8.2204999999999995</v>
      </c>
      <c r="E716" s="4">
        <v>21.98</v>
      </c>
      <c r="F716" t="s">
        <v>6249</v>
      </c>
      <c r="G716" t="s">
        <v>6228</v>
      </c>
      <c r="H716" t="s">
        <v>3582</v>
      </c>
      <c r="I716" t="s">
        <v>3582</v>
      </c>
      <c r="J716" t="s">
        <v>3579</v>
      </c>
      <c r="K716" s="4">
        <v>21.98</v>
      </c>
      <c r="L716" s="4">
        <v>8.2204999999999995</v>
      </c>
    </row>
    <row r="717" spans="1:12">
      <c r="A717" s="1">
        <v>42710</v>
      </c>
      <c r="B717">
        <v>1</v>
      </c>
      <c r="C717" t="s">
        <v>6307</v>
      </c>
      <c r="D717" s="4">
        <v>1481.9378999999999</v>
      </c>
      <c r="E717" s="4">
        <v>2384.0700000000002</v>
      </c>
      <c r="F717" t="s">
        <v>6274</v>
      </c>
      <c r="G717" t="s">
        <v>3475</v>
      </c>
      <c r="H717" t="s">
        <v>3585</v>
      </c>
      <c r="I717" t="s">
        <v>3585</v>
      </c>
      <c r="J717" t="s">
        <v>3584</v>
      </c>
      <c r="K717" s="4">
        <v>2384.0700000000002</v>
      </c>
      <c r="L717" s="4">
        <v>1481.9378999999999</v>
      </c>
    </row>
    <row r="718" spans="1:12">
      <c r="A718" s="1">
        <v>42711</v>
      </c>
      <c r="B718">
        <v>1</v>
      </c>
      <c r="C718" t="s">
        <v>6255</v>
      </c>
      <c r="D718" s="4">
        <v>9.7135999999999996</v>
      </c>
      <c r="E718" s="4">
        <v>23.548100000000002</v>
      </c>
      <c r="F718" t="s">
        <v>6251</v>
      </c>
      <c r="G718" t="s">
        <v>6233</v>
      </c>
      <c r="H718" t="s">
        <v>3580</v>
      </c>
      <c r="I718" t="s">
        <v>3578</v>
      </c>
      <c r="J718" t="s">
        <v>3579</v>
      </c>
      <c r="K718" s="4">
        <v>23.548100000000002</v>
      </c>
      <c r="L718" s="4">
        <v>9.7135999999999996</v>
      </c>
    </row>
    <row r="719" spans="1:12">
      <c r="A719" s="1">
        <v>42711</v>
      </c>
      <c r="B719">
        <v>1</v>
      </c>
      <c r="C719" t="s">
        <v>6242</v>
      </c>
      <c r="D719" s="4">
        <v>1.8663000000000001</v>
      </c>
      <c r="E719" s="4">
        <v>4.99</v>
      </c>
      <c r="F719" t="s">
        <v>6243</v>
      </c>
      <c r="G719" t="s">
        <v>6228</v>
      </c>
      <c r="H719" t="s">
        <v>3580</v>
      </c>
      <c r="I719" t="s">
        <v>3578</v>
      </c>
      <c r="J719" t="s">
        <v>3579</v>
      </c>
      <c r="K719" s="4">
        <v>4.99</v>
      </c>
      <c r="L719" s="4">
        <v>1.8663000000000001</v>
      </c>
    </row>
    <row r="720" spans="1:12">
      <c r="A720" s="1">
        <v>42711</v>
      </c>
      <c r="B720">
        <v>1</v>
      </c>
      <c r="C720" t="s">
        <v>6254</v>
      </c>
      <c r="D720" s="4">
        <v>12.192399999999999</v>
      </c>
      <c r="E720" s="4">
        <v>32.6</v>
      </c>
      <c r="F720" t="s">
        <v>6243</v>
      </c>
      <c r="G720" t="s">
        <v>6228</v>
      </c>
      <c r="H720" t="s">
        <v>3580</v>
      </c>
      <c r="I720" t="s">
        <v>3578</v>
      </c>
      <c r="J720" t="s">
        <v>3579</v>
      </c>
      <c r="K720" s="4">
        <v>32.6</v>
      </c>
      <c r="L720" s="4">
        <v>12.192399999999999</v>
      </c>
    </row>
    <row r="721" spans="1:12">
      <c r="A721" s="1">
        <v>42711</v>
      </c>
      <c r="B721">
        <v>1</v>
      </c>
      <c r="C721" t="s">
        <v>6285</v>
      </c>
      <c r="D721" s="4">
        <v>26.176300000000001</v>
      </c>
      <c r="E721" s="4">
        <v>69.989999999999995</v>
      </c>
      <c r="F721" t="s">
        <v>6262</v>
      </c>
      <c r="G721" t="s">
        <v>6233</v>
      </c>
      <c r="H721" t="s">
        <v>3582</v>
      </c>
      <c r="I721" t="s">
        <v>3582</v>
      </c>
      <c r="J721" t="s">
        <v>3579</v>
      </c>
      <c r="K721" s="4">
        <v>69.989999999999995</v>
      </c>
      <c r="L721" s="4">
        <v>26.176300000000001</v>
      </c>
    </row>
    <row r="722" spans="1:12">
      <c r="A722" s="1">
        <v>42711</v>
      </c>
      <c r="B722">
        <v>1</v>
      </c>
      <c r="C722" t="s">
        <v>6230</v>
      </c>
      <c r="D722" s="4">
        <v>12.027799999999999</v>
      </c>
      <c r="E722" s="4">
        <v>33.644199999999998</v>
      </c>
      <c r="F722" t="s">
        <v>6227</v>
      </c>
      <c r="G722" t="s">
        <v>6228</v>
      </c>
      <c r="H722" t="s">
        <v>3583</v>
      </c>
      <c r="I722" t="s">
        <v>3583</v>
      </c>
      <c r="J722" t="s">
        <v>3584</v>
      </c>
      <c r="K722" s="4">
        <v>33.644199999999998</v>
      </c>
      <c r="L722" s="4">
        <v>12.027799999999999</v>
      </c>
    </row>
    <row r="723" spans="1:12">
      <c r="A723" s="1">
        <v>42711</v>
      </c>
      <c r="B723">
        <v>1</v>
      </c>
      <c r="C723" t="s">
        <v>6308</v>
      </c>
      <c r="D723" s="4">
        <v>308.21789999999999</v>
      </c>
      <c r="E723" s="4">
        <v>564.99</v>
      </c>
      <c r="F723" t="s">
        <v>3478</v>
      </c>
      <c r="G723" t="s">
        <v>3475</v>
      </c>
      <c r="H723" t="s">
        <v>3583</v>
      </c>
      <c r="I723" t="s">
        <v>3583</v>
      </c>
      <c r="J723" t="s">
        <v>3584</v>
      </c>
      <c r="K723" s="4">
        <v>564.99</v>
      </c>
      <c r="L723" s="4">
        <v>308.21789999999999</v>
      </c>
    </row>
    <row r="724" spans="1:12">
      <c r="A724" s="1">
        <v>42711</v>
      </c>
      <c r="B724">
        <v>1</v>
      </c>
      <c r="C724" t="s">
        <v>6309</v>
      </c>
      <c r="D724" s="4">
        <v>1481.9378999999999</v>
      </c>
      <c r="E724" s="4">
        <v>2384.0700000000002</v>
      </c>
      <c r="F724" t="s">
        <v>6274</v>
      </c>
      <c r="G724" t="s">
        <v>3475</v>
      </c>
      <c r="H724" t="s">
        <v>3586</v>
      </c>
      <c r="I724" t="s">
        <v>3586</v>
      </c>
      <c r="J724" t="s">
        <v>3587</v>
      </c>
      <c r="K724" s="4">
        <v>2384.0700000000002</v>
      </c>
      <c r="L724" s="4">
        <v>1481.9378999999999</v>
      </c>
    </row>
    <row r="725" spans="1:12">
      <c r="A725" s="1">
        <v>42711</v>
      </c>
      <c r="B725">
        <v>1</v>
      </c>
      <c r="C725" t="s">
        <v>6310</v>
      </c>
      <c r="D725" s="4">
        <v>294.5797</v>
      </c>
      <c r="E725" s="4">
        <v>539.99</v>
      </c>
      <c r="F725" t="s">
        <v>3478</v>
      </c>
      <c r="G725" t="s">
        <v>3475</v>
      </c>
      <c r="H725" t="s">
        <v>3588</v>
      </c>
      <c r="I725" t="s">
        <v>3588</v>
      </c>
      <c r="J725" t="s">
        <v>3584</v>
      </c>
      <c r="K725" s="4">
        <v>539.99</v>
      </c>
      <c r="L725" s="4">
        <v>294.5797</v>
      </c>
    </row>
    <row r="726" spans="1:12">
      <c r="A726" s="1">
        <v>42712</v>
      </c>
      <c r="B726">
        <v>1</v>
      </c>
      <c r="C726" t="s">
        <v>6226</v>
      </c>
      <c r="D726" s="4">
        <v>13.0863</v>
      </c>
      <c r="E726" s="4">
        <v>34.99</v>
      </c>
      <c r="F726" t="s">
        <v>6227</v>
      </c>
      <c r="G726" t="s">
        <v>6228</v>
      </c>
      <c r="H726" t="s">
        <v>3580</v>
      </c>
      <c r="I726" t="s">
        <v>3578</v>
      </c>
      <c r="J726" t="s">
        <v>3579</v>
      </c>
      <c r="K726" s="4">
        <v>34.99</v>
      </c>
      <c r="L726" s="4">
        <v>13.0863</v>
      </c>
    </row>
    <row r="727" spans="1:12">
      <c r="A727" s="1">
        <v>42712</v>
      </c>
      <c r="B727">
        <v>1</v>
      </c>
      <c r="C727" t="s">
        <v>6311</v>
      </c>
      <c r="D727" s="4">
        <v>41.572299999999998</v>
      </c>
      <c r="E727" s="4">
        <v>53.99</v>
      </c>
      <c r="F727" t="s">
        <v>6235</v>
      </c>
      <c r="G727" t="s">
        <v>6233</v>
      </c>
      <c r="H727" t="s">
        <v>3586</v>
      </c>
      <c r="I727" t="s">
        <v>3586</v>
      </c>
      <c r="J727" t="s">
        <v>3587</v>
      </c>
      <c r="K727" s="4">
        <v>53.99</v>
      </c>
      <c r="L727" s="4">
        <v>41.572299999999998</v>
      </c>
    </row>
    <row r="728" spans="1:12">
      <c r="A728" s="1">
        <v>42712</v>
      </c>
      <c r="B728">
        <v>1</v>
      </c>
      <c r="C728" t="s">
        <v>6299</v>
      </c>
      <c r="D728" s="4">
        <v>755.1508</v>
      </c>
      <c r="E728" s="4">
        <v>1214.8499999999999</v>
      </c>
      <c r="F728" t="s">
        <v>6274</v>
      </c>
      <c r="G728" t="s">
        <v>3475</v>
      </c>
      <c r="H728" t="s">
        <v>3586</v>
      </c>
      <c r="I728" t="s">
        <v>3586</v>
      </c>
      <c r="J728" t="s">
        <v>3587</v>
      </c>
      <c r="K728" s="4">
        <v>1214.8499999999999</v>
      </c>
      <c r="L728" s="4">
        <v>755.1508</v>
      </c>
    </row>
    <row r="729" spans="1:12">
      <c r="A729" s="1">
        <v>42712</v>
      </c>
      <c r="B729">
        <v>1</v>
      </c>
      <c r="C729" t="s">
        <v>6250</v>
      </c>
      <c r="D729" s="4">
        <v>9.7135999999999996</v>
      </c>
      <c r="E729" s="4">
        <v>23.548100000000002</v>
      </c>
      <c r="F729" t="s">
        <v>6251</v>
      </c>
      <c r="G729" t="s">
        <v>6233</v>
      </c>
      <c r="H729" t="s">
        <v>3588</v>
      </c>
      <c r="I729" t="s">
        <v>3588</v>
      </c>
      <c r="J729" t="s">
        <v>3584</v>
      </c>
      <c r="K729" s="4">
        <v>23.548100000000002</v>
      </c>
      <c r="L729" s="4">
        <v>9.7135999999999996</v>
      </c>
    </row>
    <row r="730" spans="1:12">
      <c r="A730" s="1">
        <v>42713</v>
      </c>
      <c r="B730">
        <v>1</v>
      </c>
      <c r="C730" t="s">
        <v>6231</v>
      </c>
      <c r="D730" s="4">
        <v>5.7051999999999996</v>
      </c>
      <c r="E730" s="4">
        <v>8.6441999999999997</v>
      </c>
      <c r="F730" t="s">
        <v>6232</v>
      </c>
      <c r="G730" t="s">
        <v>6233</v>
      </c>
      <c r="H730" t="s">
        <v>3580</v>
      </c>
      <c r="I730" t="s">
        <v>3578</v>
      </c>
      <c r="J730" t="s">
        <v>3579</v>
      </c>
      <c r="K730" s="4">
        <v>8.6441999999999997</v>
      </c>
      <c r="L730" s="4">
        <v>5.7051999999999996</v>
      </c>
    </row>
    <row r="731" spans="1:12">
      <c r="A731" s="1">
        <v>42713</v>
      </c>
      <c r="B731">
        <v>1</v>
      </c>
      <c r="C731" t="s">
        <v>6245</v>
      </c>
      <c r="D731" s="4">
        <v>0.85650000000000004</v>
      </c>
      <c r="E731" s="4">
        <v>2.29</v>
      </c>
      <c r="F731" t="s">
        <v>6243</v>
      </c>
      <c r="G731" t="s">
        <v>6228</v>
      </c>
      <c r="H731" t="s">
        <v>3580</v>
      </c>
      <c r="I731" t="s">
        <v>3578</v>
      </c>
      <c r="J731" t="s">
        <v>3579</v>
      </c>
      <c r="K731" s="4">
        <v>2.29</v>
      </c>
      <c r="L731" s="4">
        <v>0.85650000000000004</v>
      </c>
    </row>
    <row r="732" spans="1:12">
      <c r="A732" s="1">
        <v>42713</v>
      </c>
      <c r="B732">
        <v>1</v>
      </c>
      <c r="C732" t="s">
        <v>6276</v>
      </c>
      <c r="D732" s="4">
        <v>1.8663000000000001</v>
      </c>
      <c r="E732" s="4">
        <v>4.99</v>
      </c>
      <c r="F732" t="s">
        <v>6243</v>
      </c>
      <c r="G732" t="s">
        <v>6228</v>
      </c>
      <c r="H732" t="s">
        <v>3580</v>
      </c>
      <c r="I732" t="s">
        <v>3578</v>
      </c>
      <c r="J732" t="s">
        <v>3579</v>
      </c>
      <c r="K732" s="4">
        <v>4.99</v>
      </c>
      <c r="L732" s="4">
        <v>1.8663000000000001</v>
      </c>
    </row>
    <row r="733" spans="1:12">
      <c r="A733" s="1">
        <v>42713</v>
      </c>
      <c r="B733">
        <v>1</v>
      </c>
      <c r="C733" t="s">
        <v>6260</v>
      </c>
      <c r="D733" s="4">
        <v>13.09</v>
      </c>
      <c r="E733" s="4">
        <v>35</v>
      </c>
      <c r="F733" t="s">
        <v>6243</v>
      </c>
      <c r="G733" t="s">
        <v>6228</v>
      </c>
      <c r="H733" t="s">
        <v>3580</v>
      </c>
      <c r="I733" t="s">
        <v>3578</v>
      </c>
      <c r="J733" t="s">
        <v>3579</v>
      </c>
      <c r="K733" s="4">
        <v>35</v>
      </c>
      <c r="L733" s="4">
        <v>13.09</v>
      </c>
    </row>
    <row r="734" spans="1:12">
      <c r="A734" s="1">
        <v>42713</v>
      </c>
      <c r="B734">
        <v>1</v>
      </c>
      <c r="C734" t="s">
        <v>6292</v>
      </c>
      <c r="D734" s="4">
        <v>23.748999999999999</v>
      </c>
      <c r="E734" s="4">
        <v>63.5</v>
      </c>
      <c r="F734" t="s">
        <v>6293</v>
      </c>
      <c r="G734" t="s">
        <v>6233</v>
      </c>
      <c r="H734" t="s">
        <v>3582</v>
      </c>
      <c r="I734" t="s">
        <v>3582</v>
      </c>
      <c r="J734" t="s">
        <v>3579</v>
      </c>
      <c r="K734" s="4">
        <v>63.5</v>
      </c>
      <c r="L734" s="4">
        <v>23.748999999999999</v>
      </c>
    </row>
    <row r="735" spans="1:12">
      <c r="A735" s="1">
        <v>42713</v>
      </c>
      <c r="B735">
        <v>1</v>
      </c>
      <c r="C735" t="s">
        <v>6284</v>
      </c>
      <c r="D735" s="4">
        <v>26.176300000000001</v>
      </c>
      <c r="E735" s="4">
        <v>69.989999999999995</v>
      </c>
      <c r="F735" t="s">
        <v>6262</v>
      </c>
      <c r="G735" t="s">
        <v>6233</v>
      </c>
      <c r="H735" t="s">
        <v>3582</v>
      </c>
      <c r="I735" t="s">
        <v>3582</v>
      </c>
      <c r="J735" t="s">
        <v>3579</v>
      </c>
      <c r="K735" s="4">
        <v>69.989999999999995</v>
      </c>
      <c r="L735" s="4">
        <v>26.176300000000001</v>
      </c>
    </row>
    <row r="736" spans="1:12">
      <c r="A736" s="1">
        <v>42713</v>
      </c>
      <c r="B736">
        <v>1</v>
      </c>
      <c r="C736" t="s">
        <v>6241</v>
      </c>
      <c r="D736" s="4">
        <v>3.3622999999999998</v>
      </c>
      <c r="E736" s="4">
        <v>8.99</v>
      </c>
      <c r="F736" t="s">
        <v>6240</v>
      </c>
      <c r="G736" t="s">
        <v>6228</v>
      </c>
      <c r="H736" t="s">
        <v>3585</v>
      </c>
      <c r="I736" t="s">
        <v>3585</v>
      </c>
      <c r="J736" t="s">
        <v>3584</v>
      </c>
      <c r="K736" s="4">
        <v>8.99</v>
      </c>
      <c r="L736" s="4">
        <v>3.3622999999999998</v>
      </c>
    </row>
    <row r="737" spans="1:12">
      <c r="A737" s="1">
        <v>42713</v>
      </c>
      <c r="B737">
        <v>1</v>
      </c>
      <c r="C737" t="s">
        <v>6241</v>
      </c>
      <c r="D737" s="4">
        <v>3.3622999999999998</v>
      </c>
      <c r="E737" s="4">
        <v>8.99</v>
      </c>
      <c r="F737" t="s">
        <v>6240</v>
      </c>
      <c r="G737" t="s">
        <v>6228</v>
      </c>
      <c r="H737" t="s">
        <v>3586</v>
      </c>
      <c r="I737" t="s">
        <v>3586</v>
      </c>
      <c r="J737" t="s">
        <v>3587</v>
      </c>
      <c r="K737" s="4">
        <v>8.99</v>
      </c>
      <c r="L737" s="4">
        <v>3.3622999999999998</v>
      </c>
    </row>
    <row r="738" spans="1:12">
      <c r="A738" s="1">
        <v>42713</v>
      </c>
      <c r="B738">
        <v>1</v>
      </c>
      <c r="C738" t="s">
        <v>6276</v>
      </c>
      <c r="D738" s="4">
        <v>1.8663000000000001</v>
      </c>
      <c r="E738" s="4">
        <v>4.99</v>
      </c>
      <c r="F738" t="s">
        <v>6243</v>
      </c>
      <c r="G738" t="s">
        <v>6228</v>
      </c>
      <c r="H738" t="s">
        <v>3586</v>
      </c>
      <c r="I738" t="s">
        <v>3586</v>
      </c>
      <c r="J738" t="s">
        <v>3587</v>
      </c>
      <c r="K738" s="4">
        <v>4.99</v>
      </c>
      <c r="L738" s="4">
        <v>1.8663000000000001</v>
      </c>
    </row>
    <row r="739" spans="1:12">
      <c r="A739" s="1">
        <v>42714</v>
      </c>
      <c r="B739">
        <v>1</v>
      </c>
      <c r="C739" t="s">
        <v>6260</v>
      </c>
      <c r="D739" s="4">
        <v>13.09</v>
      </c>
      <c r="E739" s="4">
        <v>35</v>
      </c>
      <c r="F739" t="s">
        <v>6243</v>
      </c>
      <c r="G739" t="s">
        <v>6228</v>
      </c>
      <c r="H739" t="s">
        <v>3583</v>
      </c>
      <c r="I739" t="s">
        <v>3583</v>
      </c>
      <c r="J739" t="s">
        <v>3584</v>
      </c>
      <c r="K739" s="4">
        <v>35</v>
      </c>
      <c r="L739" s="4">
        <v>13.09</v>
      </c>
    </row>
    <row r="740" spans="1:12">
      <c r="A740" s="1">
        <v>42714</v>
      </c>
      <c r="B740">
        <v>1</v>
      </c>
      <c r="C740" t="s">
        <v>6244</v>
      </c>
      <c r="D740" s="4">
        <v>3.7363</v>
      </c>
      <c r="E740" s="4">
        <v>9.99</v>
      </c>
      <c r="F740" t="s">
        <v>6240</v>
      </c>
      <c r="G740" t="s">
        <v>6228</v>
      </c>
      <c r="H740" t="s">
        <v>3586</v>
      </c>
      <c r="I740" t="s">
        <v>3586</v>
      </c>
      <c r="J740" t="s">
        <v>3587</v>
      </c>
      <c r="K740" s="4">
        <v>9.99</v>
      </c>
      <c r="L740" s="4">
        <v>3.7363</v>
      </c>
    </row>
    <row r="741" spans="1:12">
      <c r="A741" s="1">
        <v>42715</v>
      </c>
      <c r="B741">
        <v>1</v>
      </c>
      <c r="C741" t="s">
        <v>3554</v>
      </c>
      <c r="D741" s="4">
        <v>1320.6838</v>
      </c>
      <c r="E741" s="4">
        <v>2181.5625</v>
      </c>
      <c r="F741" t="s">
        <v>3479</v>
      </c>
      <c r="G741" t="s">
        <v>3475</v>
      </c>
      <c r="H741" t="s">
        <v>3577</v>
      </c>
      <c r="I741" t="s">
        <v>3578</v>
      </c>
      <c r="J741" t="s">
        <v>3579</v>
      </c>
      <c r="K741" s="4">
        <v>2181.5625</v>
      </c>
      <c r="L741" s="4">
        <v>1320.6838</v>
      </c>
    </row>
    <row r="742" spans="1:12">
      <c r="A742" s="1">
        <v>42715</v>
      </c>
      <c r="B742">
        <v>1</v>
      </c>
      <c r="C742" t="s">
        <v>6261</v>
      </c>
      <c r="D742" s="4">
        <v>26.176300000000001</v>
      </c>
      <c r="E742" s="4">
        <v>69.989999999999995</v>
      </c>
      <c r="F742" t="s">
        <v>6262</v>
      </c>
      <c r="G742" t="s">
        <v>6233</v>
      </c>
      <c r="H742" t="s">
        <v>3586</v>
      </c>
      <c r="I742" t="s">
        <v>3586</v>
      </c>
      <c r="J742" t="s">
        <v>3587</v>
      </c>
      <c r="K742" s="4">
        <v>69.989999999999995</v>
      </c>
      <c r="L742" s="4">
        <v>26.176300000000001</v>
      </c>
    </row>
    <row r="743" spans="1:12">
      <c r="A743" s="1">
        <v>42715</v>
      </c>
      <c r="B743">
        <v>1</v>
      </c>
      <c r="C743" t="s">
        <v>6239</v>
      </c>
      <c r="D743" s="4">
        <v>1.8663000000000001</v>
      </c>
      <c r="E743" s="4">
        <v>4.99</v>
      </c>
      <c r="F743" t="s">
        <v>6240</v>
      </c>
      <c r="G743" t="s">
        <v>6228</v>
      </c>
      <c r="H743" t="s">
        <v>3586</v>
      </c>
      <c r="I743" t="s">
        <v>3586</v>
      </c>
      <c r="J743" t="s">
        <v>3587</v>
      </c>
      <c r="K743" s="4">
        <v>4.99</v>
      </c>
      <c r="L743" s="4">
        <v>1.8663000000000001</v>
      </c>
    </row>
    <row r="744" spans="1:12">
      <c r="A744" s="1">
        <v>42716</v>
      </c>
      <c r="B744">
        <v>1</v>
      </c>
      <c r="C744" t="s">
        <v>6230</v>
      </c>
      <c r="D744" s="4">
        <v>12.027799999999999</v>
      </c>
      <c r="E744" s="4">
        <v>33.644199999999998</v>
      </c>
      <c r="F744" t="s">
        <v>6227</v>
      </c>
      <c r="G744" t="s">
        <v>6228</v>
      </c>
      <c r="H744" t="s">
        <v>3580</v>
      </c>
      <c r="I744" t="s">
        <v>3578</v>
      </c>
      <c r="J744" t="s">
        <v>3579</v>
      </c>
      <c r="K744" s="4">
        <v>33.644199999999998</v>
      </c>
      <c r="L744" s="4">
        <v>12.027799999999999</v>
      </c>
    </row>
    <row r="745" spans="1:12">
      <c r="A745" s="1">
        <v>42716</v>
      </c>
      <c r="B745">
        <v>1</v>
      </c>
      <c r="C745" t="s">
        <v>6226</v>
      </c>
      <c r="D745" s="4">
        <v>13.0863</v>
      </c>
      <c r="E745" s="4">
        <v>34.99</v>
      </c>
      <c r="F745" t="s">
        <v>6227</v>
      </c>
      <c r="G745" t="s">
        <v>6228</v>
      </c>
      <c r="H745" t="s">
        <v>3582</v>
      </c>
      <c r="I745" t="s">
        <v>3582</v>
      </c>
      <c r="J745" t="s">
        <v>3579</v>
      </c>
      <c r="K745" s="4">
        <v>34.99</v>
      </c>
      <c r="L745" s="4">
        <v>13.0863</v>
      </c>
    </row>
    <row r="746" spans="1:12">
      <c r="A746" s="1">
        <v>42716</v>
      </c>
      <c r="B746">
        <v>1</v>
      </c>
      <c r="C746" t="s">
        <v>6226</v>
      </c>
      <c r="D746" s="4">
        <v>13.0863</v>
      </c>
      <c r="E746" s="4">
        <v>34.99</v>
      </c>
      <c r="F746" t="s">
        <v>6227</v>
      </c>
      <c r="G746" t="s">
        <v>6228</v>
      </c>
      <c r="H746" t="s">
        <v>3583</v>
      </c>
      <c r="I746" t="s">
        <v>3583</v>
      </c>
      <c r="J746" t="s">
        <v>3584</v>
      </c>
      <c r="K746" s="4">
        <v>34.99</v>
      </c>
      <c r="L746" s="4">
        <v>13.0863</v>
      </c>
    </row>
    <row r="747" spans="1:12">
      <c r="A747" s="1">
        <v>42716</v>
      </c>
      <c r="B747">
        <v>1</v>
      </c>
      <c r="C747" t="s">
        <v>6276</v>
      </c>
      <c r="D747" s="4">
        <v>1.8663000000000001</v>
      </c>
      <c r="E747" s="4">
        <v>4.99</v>
      </c>
      <c r="F747" t="s">
        <v>6243</v>
      </c>
      <c r="G747" t="s">
        <v>6228</v>
      </c>
      <c r="H747" t="s">
        <v>3583</v>
      </c>
      <c r="I747" t="s">
        <v>3583</v>
      </c>
      <c r="J747" t="s">
        <v>3584</v>
      </c>
      <c r="K747" s="4">
        <v>4.99</v>
      </c>
      <c r="L747" s="4">
        <v>1.8663000000000001</v>
      </c>
    </row>
    <row r="748" spans="1:12">
      <c r="A748" s="1">
        <v>42716</v>
      </c>
      <c r="B748">
        <v>1</v>
      </c>
      <c r="C748" t="s">
        <v>6271</v>
      </c>
      <c r="D748" s="4">
        <v>11.2163</v>
      </c>
      <c r="E748" s="4">
        <v>29.99</v>
      </c>
      <c r="F748" t="s">
        <v>6243</v>
      </c>
      <c r="G748" t="s">
        <v>6228</v>
      </c>
      <c r="H748" t="s">
        <v>3583</v>
      </c>
      <c r="I748" t="s">
        <v>3583</v>
      </c>
      <c r="J748" t="s">
        <v>3584</v>
      </c>
      <c r="K748" s="4">
        <v>29.99</v>
      </c>
      <c r="L748" s="4">
        <v>11.2163</v>
      </c>
    </row>
    <row r="749" spans="1:12">
      <c r="A749" s="1">
        <v>42716</v>
      </c>
      <c r="B749">
        <v>1</v>
      </c>
      <c r="C749" t="s">
        <v>6244</v>
      </c>
      <c r="D749" s="4">
        <v>3.7363</v>
      </c>
      <c r="E749" s="4">
        <v>9.99</v>
      </c>
      <c r="F749" t="s">
        <v>6240</v>
      </c>
      <c r="G749" t="s">
        <v>6228</v>
      </c>
      <c r="H749" t="s">
        <v>3585</v>
      </c>
      <c r="I749" t="s">
        <v>3585</v>
      </c>
      <c r="J749" t="s">
        <v>3584</v>
      </c>
      <c r="K749" s="4">
        <v>9.99</v>
      </c>
      <c r="L749" s="4">
        <v>3.7363</v>
      </c>
    </row>
    <row r="750" spans="1:12">
      <c r="A750" s="1">
        <v>42716</v>
      </c>
      <c r="B750">
        <v>1</v>
      </c>
      <c r="C750" t="s">
        <v>6248</v>
      </c>
      <c r="D750" s="4">
        <v>8.2204999999999995</v>
      </c>
      <c r="E750" s="4">
        <v>21.98</v>
      </c>
      <c r="F750" t="s">
        <v>6249</v>
      </c>
      <c r="G750" t="s">
        <v>6228</v>
      </c>
      <c r="H750" t="s">
        <v>3588</v>
      </c>
      <c r="I750" t="s">
        <v>3588</v>
      </c>
      <c r="J750" t="s">
        <v>3584</v>
      </c>
      <c r="K750" s="4">
        <v>21.98</v>
      </c>
      <c r="L750" s="4">
        <v>8.2204999999999995</v>
      </c>
    </row>
    <row r="751" spans="1:12">
      <c r="A751" s="1">
        <v>42717</v>
      </c>
      <c r="B751">
        <v>1</v>
      </c>
      <c r="C751" t="s">
        <v>6245</v>
      </c>
      <c r="D751" s="4">
        <v>0.85650000000000004</v>
      </c>
      <c r="E751" s="4">
        <v>2.29</v>
      </c>
      <c r="F751" t="s">
        <v>6243</v>
      </c>
      <c r="G751" t="s">
        <v>6228</v>
      </c>
      <c r="H751" t="s">
        <v>3577</v>
      </c>
      <c r="I751" t="s">
        <v>3578</v>
      </c>
      <c r="J751" t="s">
        <v>3579</v>
      </c>
      <c r="K751" s="4">
        <v>2.29</v>
      </c>
      <c r="L751" s="4">
        <v>0.85650000000000004</v>
      </c>
    </row>
    <row r="752" spans="1:12">
      <c r="A752" s="1">
        <v>42717</v>
      </c>
      <c r="B752">
        <v>1</v>
      </c>
      <c r="C752" t="s">
        <v>6248</v>
      </c>
      <c r="D752" s="4">
        <v>8.2204999999999995</v>
      </c>
      <c r="E752" s="4">
        <v>21.98</v>
      </c>
      <c r="F752" t="s">
        <v>6249</v>
      </c>
      <c r="G752" t="s">
        <v>6228</v>
      </c>
      <c r="H752" t="s">
        <v>3577</v>
      </c>
      <c r="I752" t="s">
        <v>3578</v>
      </c>
      <c r="J752" t="s">
        <v>3579</v>
      </c>
      <c r="K752" s="4">
        <v>21.98</v>
      </c>
      <c r="L752" s="4">
        <v>8.2204999999999995</v>
      </c>
    </row>
    <row r="753" spans="1:12">
      <c r="A753" s="1">
        <v>42717</v>
      </c>
      <c r="B753">
        <v>1</v>
      </c>
      <c r="C753" t="s">
        <v>6272</v>
      </c>
      <c r="D753" s="4">
        <v>9.3462999999999994</v>
      </c>
      <c r="E753" s="4">
        <v>24.99</v>
      </c>
      <c r="F753" t="s">
        <v>6243</v>
      </c>
      <c r="G753" t="s">
        <v>6228</v>
      </c>
      <c r="H753" t="s">
        <v>3580</v>
      </c>
      <c r="I753" t="s">
        <v>3578</v>
      </c>
      <c r="J753" t="s">
        <v>3579</v>
      </c>
      <c r="K753" s="4">
        <v>24.99</v>
      </c>
      <c r="L753" s="4">
        <v>9.3462999999999994</v>
      </c>
    </row>
    <row r="754" spans="1:12">
      <c r="A754" s="1">
        <v>42717</v>
      </c>
      <c r="B754">
        <v>1</v>
      </c>
      <c r="C754" t="s">
        <v>6270</v>
      </c>
      <c r="D754" s="4">
        <v>1.4923</v>
      </c>
      <c r="E754" s="4">
        <v>3.99</v>
      </c>
      <c r="F754" t="s">
        <v>6243</v>
      </c>
      <c r="G754" t="s">
        <v>6228</v>
      </c>
      <c r="H754" t="s">
        <v>3582</v>
      </c>
      <c r="I754" t="s">
        <v>3582</v>
      </c>
      <c r="J754" t="s">
        <v>3579</v>
      </c>
      <c r="K754" s="4">
        <v>3.99</v>
      </c>
      <c r="L754" s="4">
        <v>1.4923</v>
      </c>
    </row>
    <row r="755" spans="1:12">
      <c r="A755" s="1">
        <v>42717</v>
      </c>
      <c r="B755">
        <v>1</v>
      </c>
      <c r="C755" t="s">
        <v>6231</v>
      </c>
      <c r="D755" s="4">
        <v>5.7051999999999996</v>
      </c>
      <c r="E755" s="4">
        <v>8.6441999999999997</v>
      </c>
      <c r="F755" t="s">
        <v>6232</v>
      </c>
      <c r="G755" t="s">
        <v>6233</v>
      </c>
      <c r="H755" t="s">
        <v>3585</v>
      </c>
      <c r="I755" t="s">
        <v>3585</v>
      </c>
      <c r="J755" t="s">
        <v>3584</v>
      </c>
      <c r="K755" s="4">
        <v>8.6441999999999997</v>
      </c>
      <c r="L755" s="4">
        <v>5.7051999999999996</v>
      </c>
    </row>
    <row r="756" spans="1:12">
      <c r="A756" s="1">
        <v>42717</v>
      </c>
      <c r="B756">
        <v>1</v>
      </c>
      <c r="C756" t="s">
        <v>6265</v>
      </c>
      <c r="D756" s="4">
        <v>59.466000000000001</v>
      </c>
      <c r="E756" s="4">
        <v>159</v>
      </c>
      <c r="F756" t="s">
        <v>6266</v>
      </c>
      <c r="G756" t="s">
        <v>6228</v>
      </c>
      <c r="H756" t="s">
        <v>3586</v>
      </c>
      <c r="I756" t="s">
        <v>3586</v>
      </c>
      <c r="J756" t="s">
        <v>3587</v>
      </c>
      <c r="K756" s="4">
        <v>159</v>
      </c>
      <c r="L756" s="4">
        <v>59.466000000000001</v>
      </c>
    </row>
    <row r="757" spans="1:12">
      <c r="A757" s="1">
        <v>42717</v>
      </c>
      <c r="B757">
        <v>1</v>
      </c>
      <c r="C757" t="s">
        <v>6276</v>
      </c>
      <c r="D757" s="4">
        <v>1.8663000000000001</v>
      </c>
      <c r="E757" s="4">
        <v>4.99</v>
      </c>
      <c r="F757" t="s">
        <v>6243</v>
      </c>
      <c r="G757" t="s">
        <v>6228</v>
      </c>
      <c r="H757" t="s">
        <v>3586</v>
      </c>
      <c r="I757" t="s">
        <v>3586</v>
      </c>
      <c r="J757" t="s">
        <v>3587</v>
      </c>
      <c r="K757" s="4">
        <v>4.99</v>
      </c>
      <c r="L757" s="4">
        <v>1.8663000000000001</v>
      </c>
    </row>
    <row r="758" spans="1:12">
      <c r="A758" s="1">
        <v>42718</v>
      </c>
      <c r="B758">
        <v>1</v>
      </c>
      <c r="C758" t="s">
        <v>6254</v>
      </c>
      <c r="D758" s="4">
        <v>12.192399999999999</v>
      </c>
      <c r="E758" s="4">
        <v>32.6</v>
      </c>
      <c r="F758" t="s">
        <v>6243</v>
      </c>
      <c r="G758" t="s">
        <v>6228</v>
      </c>
      <c r="H758" t="s">
        <v>3577</v>
      </c>
      <c r="I758" t="s">
        <v>3578</v>
      </c>
      <c r="J758" t="s">
        <v>3579</v>
      </c>
      <c r="K758" s="4">
        <v>32.6</v>
      </c>
      <c r="L758" s="4">
        <v>12.192399999999999</v>
      </c>
    </row>
    <row r="759" spans="1:12">
      <c r="A759" s="1">
        <v>42718</v>
      </c>
      <c r="B759">
        <v>1</v>
      </c>
      <c r="C759" t="s">
        <v>6241</v>
      </c>
      <c r="D759" s="4">
        <v>3.3622999999999998</v>
      </c>
      <c r="E759" s="4">
        <v>8.99</v>
      </c>
      <c r="F759" t="s">
        <v>6240</v>
      </c>
      <c r="G759" t="s">
        <v>6228</v>
      </c>
      <c r="H759" t="s">
        <v>3580</v>
      </c>
      <c r="I759" t="s">
        <v>3578</v>
      </c>
      <c r="J759" t="s">
        <v>3579</v>
      </c>
      <c r="K759" s="4">
        <v>8.99</v>
      </c>
      <c r="L759" s="4">
        <v>3.3622999999999998</v>
      </c>
    </row>
    <row r="760" spans="1:12">
      <c r="A760" s="1">
        <v>42718</v>
      </c>
      <c r="B760">
        <v>1</v>
      </c>
      <c r="C760" t="s">
        <v>6230</v>
      </c>
      <c r="D760" s="4">
        <v>12.027799999999999</v>
      </c>
      <c r="E760" s="4">
        <v>33.644199999999998</v>
      </c>
      <c r="F760" t="s">
        <v>6227</v>
      </c>
      <c r="G760" t="s">
        <v>6228</v>
      </c>
      <c r="H760" t="s">
        <v>3582</v>
      </c>
      <c r="I760" t="s">
        <v>3582</v>
      </c>
      <c r="J760" t="s">
        <v>3579</v>
      </c>
      <c r="K760" s="4">
        <v>33.644199999999998</v>
      </c>
      <c r="L760" s="4">
        <v>12.027799999999999</v>
      </c>
    </row>
    <row r="761" spans="1:12">
      <c r="A761" s="1">
        <v>42719</v>
      </c>
      <c r="B761">
        <v>1</v>
      </c>
      <c r="C761" t="s">
        <v>3546</v>
      </c>
      <c r="D761" s="4">
        <v>1105.81</v>
      </c>
      <c r="E761" s="4">
        <v>2049.0981999999999</v>
      </c>
      <c r="F761" t="s">
        <v>3478</v>
      </c>
      <c r="G761" t="s">
        <v>3475</v>
      </c>
      <c r="H761" t="s">
        <v>3577</v>
      </c>
      <c r="I761" t="s">
        <v>3578</v>
      </c>
      <c r="J761" t="s">
        <v>3579</v>
      </c>
      <c r="K761" s="4">
        <v>2049.0981999999999</v>
      </c>
      <c r="L761" s="4">
        <v>1105.81</v>
      </c>
    </row>
    <row r="762" spans="1:12">
      <c r="A762" s="1">
        <v>42719</v>
      </c>
      <c r="B762">
        <v>1</v>
      </c>
      <c r="C762" t="s">
        <v>6244</v>
      </c>
      <c r="D762" s="4">
        <v>3.7363</v>
      </c>
      <c r="E762" s="4">
        <v>9.99</v>
      </c>
      <c r="F762" t="s">
        <v>6240</v>
      </c>
      <c r="G762" t="s">
        <v>6228</v>
      </c>
      <c r="H762" t="s">
        <v>3577</v>
      </c>
      <c r="I762" t="s">
        <v>3578</v>
      </c>
      <c r="J762" t="s">
        <v>3579</v>
      </c>
      <c r="K762" s="4">
        <v>9.99</v>
      </c>
      <c r="L762" s="4">
        <v>3.7363</v>
      </c>
    </row>
    <row r="763" spans="1:12">
      <c r="A763" s="1">
        <v>42719</v>
      </c>
      <c r="B763">
        <v>1</v>
      </c>
      <c r="C763" t="s">
        <v>6299</v>
      </c>
      <c r="D763" s="4">
        <v>755.1508</v>
      </c>
      <c r="E763" s="4">
        <v>1214.8499999999999</v>
      </c>
      <c r="F763" t="s">
        <v>6274</v>
      </c>
      <c r="G763" t="s">
        <v>3475</v>
      </c>
      <c r="H763" t="s">
        <v>3582</v>
      </c>
      <c r="I763" t="s">
        <v>3582</v>
      </c>
      <c r="J763" t="s">
        <v>3579</v>
      </c>
      <c r="K763" s="4">
        <v>1214.8499999999999</v>
      </c>
      <c r="L763" s="4">
        <v>755.1508</v>
      </c>
    </row>
    <row r="764" spans="1:12">
      <c r="A764" s="1">
        <v>42719</v>
      </c>
      <c r="B764">
        <v>1</v>
      </c>
      <c r="C764" t="s">
        <v>6268</v>
      </c>
      <c r="D764" s="4">
        <v>41.572299999999998</v>
      </c>
      <c r="E764" s="4">
        <v>53.99</v>
      </c>
      <c r="F764" t="s">
        <v>6235</v>
      </c>
      <c r="G764" t="s">
        <v>6233</v>
      </c>
      <c r="H764" t="s">
        <v>3583</v>
      </c>
      <c r="I764" t="s">
        <v>3583</v>
      </c>
      <c r="J764" t="s">
        <v>3584</v>
      </c>
      <c r="K764" s="4">
        <v>53.99</v>
      </c>
      <c r="L764" s="4">
        <v>41.572299999999998</v>
      </c>
    </row>
    <row r="765" spans="1:12">
      <c r="A765" s="1">
        <v>42719</v>
      </c>
      <c r="B765">
        <v>1</v>
      </c>
      <c r="C765" t="s">
        <v>6242</v>
      </c>
      <c r="D765" s="4">
        <v>1.8663000000000001</v>
      </c>
      <c r="E765" s="4">
        <v>4.99</v>
      </c>
      <c r="F765" t="s">
        <v>6243</v>
      </c>
      <c r="G765" t="s">
        <v>6228</v>
      </c>
      <c r="H765" t="s">
        <v>3585</v>
      </c>
      <c r="I765" t="s">
        <v>3585</v>
      </c>
      <c r="J765" t="s">
        <v>3584</v>
      </c>
      <c r="K765" s="4">
        <v>4.99</v>
      </c>
      <c r="L765" s="4">
        <v>1.8663000000000001</v>
      </c>
    </row>
    <row r="766" spans="1:12">
      <c r="A766" s="1">
        <v>42719</v>
      </c>
      <c r="B766">
        <v>1</v>
      </c>
      <c r="C766" t="s">
        <v>6277</v>
      </c>
      <c r="D766" s="4">
        <v>8.0373000000000001</v>
      </c>
      <c r="E766" s="4">
        <v>21.49</v>
      </c>
      <c r="F766" t="s">
        <v>6243</v>
      </c>
      <c r="G766" t="s">
        <v>6228</v>
      </c>
      <c r="H766" t="s">
        <v>3585</v>
      </c>
      <c r="I766" t="s">
        <v>3585</v>
      </c>
      <c r="J766" t="s">
        <v>3584</v>
      </c>
      <c r="K766" s="4">
        <v>21.49</v>
      </c>
      <c r="L766" s="4">
        <v>8.0373000000000001</v>
      </c>
    </row>
    <row r="767" spans="1:12">
      <c r="A767" s="1">
        <v>42719</v>
      </c>
      <c r="B767">
        <v>1</v>
      </c>
      <c r="C767" t="s">
        <v>6272</v>
      </c>
      <c r="D767" s="4">
        <v>9.3462999999999994</v>
      </c>
      <c r="E767" s="4">
        <v>24.99</v>
      </c>
      <c r="F767" t="s">
        <v>6243</v>
      </c>
      <c r="G767" t="s">
        <v>6228</v>
      </c>
      <c r="H767" t="s">
        <v>3586</v>
      </c>
      <c r="I767" t="s">
        <v>3586</v>
      </c>
      <c r="J767" t="s">
        <v>3587</v>
      </c>
      <c r="K767" s="4">
        <v>24.99</v>
      </c>
      <c r="L767" s="4">
        <v>9.3462999999999994</v>
      </c>
    </row>
    <row r="768" spans="1:12">
      <c r="A768" s="1">
        <v>42719</v>
      </c>
      <c r="B768">
        <v>1</v>
      </c>
      <c r="C768" t="s">
        <v>6312</v>
      </c>
      <c r="D768" s="4">
        <v>461.44479999999999</v>
      </c>
      <c r="E768" s="4">
        <v>742.35</v>
      </c>
      <c r="F768" t="s">
        <v>6274</v>
      </c>
      <c r="G768" t="s">
        <v>3475</v>
      </c>
      <c r="H768" t="s">
        <v>3586</v>
      </c>
      <c r="I768" t="s">
        <v>3586</v>
      </c>
      <c r="J768" t="s">
        <v>3587</v>
      </c>
      <c r="K768" s="4">
        <v>742.35</v>
      </c>
      <c r="L768" s="4">
        <v>461.44479999999999</v>
      </c>
    </row>
    <row r="769" spans="1:12">
      <c r="A769" s="1">
        <v>42719</v>
      </c>
      <c r="B769">
        <v>1</v>
      </c>
      <c r="C769" t="s">
        <v>6245</v>
      </c>
      <c r="D769" s="4">
        <v>0.85650000000000004</v>
      </c>
      <c r="E769" s="4">
        <v>2.29</v>
      </c>
      <c r="F769" t="s">
        <v>6243</v>
      </c>
      <c r="G769" t="s">
        <v>6228</v>
      </c>
      <c r="H769" t="s">
        <v>3588</v>
      </c>
      <c r="I769" t="s">
        <v>3588</v>
      </c>
      <c r="J769" t="s">
        <v>3584</v>
      </c>
      <c r="K769" s="4">
        <v>2.29</v>
      </c>
      <c r="L769" s="4">
        <v>0.85650000000000004</v>
      </c>
    </row>
    <row r="770" spans="1:12">
      <c r="A770" s="1">
        <v>42720</v>
      </c>
      <c r="B770">
        <v>1</v>
      </c>
      <c r="C770" t="s">
        <v>6245</v>
      </c>
      <c r="D770" s="4">
        <v>0.85650000000000004</v>
      </c>
      <c r="E770" s="4">
        <v>2.29</v>
      </c>
      <c r="F770" t="s">
        <v>6243</v>
      </c>
      <c r="G770" t="s">
        <v>6228</v>
      </c>
      <c r="H770" t="s">
        <v>3577</v>
      </c>
      <c r="I770" t="s">
        <v>3578</v>
      </c>
      <c r="J770" t="s">
        <v>3579</v>
      </c>
      <c r="K770" s="4">
        <v>2.29</v>
      </c>
      <c r="L770" s="4">
        <v>0.85650000000000004</v>
      </c>
    </row>
    <row r="771" spans="1:12">
      <c r="A771" s="1">
        <v>42720</v>
      </c>
      <c r="B771">
        <v>1</v>
      </c>
      <c r="C771" t="s">
        <v>6276</v>
      </c>
      <c r="D771" s="4">
        <v>1.8663000000000001</v>
      </c>
      <c r="E771" s="4">
        <v>4.99</v>
      </c>
      <c r="F771" t="s">
        <v>6243</v>
      </c>
      <c r="G771" t="s">
        <v>6228</v>
      </c>
      <c r="H771" t="s">
        <v>3582</v>
      </c>
      <c r="I771" t="s">
        <v>3582</v>
      </c>
      <c r="J771" t="s">
        <v>3579</v>
      </c>
      <c r="K771" s="4">
        <v>4.99</v>
      </c>
      <c r="L771" s="4">
        <v>1.8663000000000001</v>
      </c>
    </row>
    <row r="772" spans="1:12">
      <c r="A772" s="1">
        <v>42720</v>
      </c>
      <c r="B772">
        <v>1</v>
      </c>
      <c r="C772" t="s">
        <v>3568</v>
      </c>
      <c r="D772" s="4">
        <v>605.64919999999995</v>
      </c>
      <c r="E772" s="4">
        <v>1000.4375</v>
      </c>
      <c r="F772" t="s">
        <v>3479</v>
      </c>
      <c r="G772" t="s">
        <v>3475</v>
      </c>
      <c r="H772" t="s">
        <v>3586</v>
      </c>
      <c r="I772" t="s">
        <v>3586</v>
      </c>
      <c r="J772" t="s">
        <v>3587</v>
      </c>
      <c r="K772" s="4">
        <v>1000.4375</v>
      </c>
      <c r="L772" s="4">
        <v>605.64919999999995</v>
      </c>
    </row>
    <row r="773" spans="1:12">
      <c r="A773" s="1">
        <v>42720</v>
      </c>
      <c r="B773">
        <v>1</v>
      </c>
      <c r="C773" t="s">
        <v>6258</v>
      </c>
      <c r="D773" s="4">
        <v>2.9733000000000001</v>
      </c>
      <c r="E773" s="4">
        <v>7.95</v>
      </c>
      <c r="F773" t="s">
        <v>6259</v>
      </c>
      <c r="G773" t="s">
        <v>6228</v>
      </c>
      <c r="H773" t="s">
        <v>3588</v>
      </c>
      <c r="I773" t="s">
        <v>3588</v>
      </c>
      <c r="J773" t="s">
        <v>3584</v>
      </c>
      <c r="K773" s="4">
        <v>7.95</v>
      </c>
      <c r="L773" s="4">
        <v>2.9733000000000001</v>
      </c>
    </row>
    <row r="774" spans="1:12">
      <c r="A774" s="1">
        <v>42721</v>
      </c>
      <c r="B774">
        <v>1</v>
      </c>
      <c r="C774" t="s">
        <v>6285</v>
      </c>
      <c r="D774" s="4">
        <v>26.176300000000001</v>
      </c>
      <c r="E774" s="4">
        <v>69.989999999999995</v>
      </c>
      <c r="F774" t="s">
        <v>6262</v>
      </c>
      <c r="G774" t="s">
        <v>6233</v>
      </c>
      <c r="H774" t="s">
        <v>3577</v>
      </c>
      <c r="I774" t="s">
        <v>3578</v>
      </c>
      <c r="J774" t="s">
        <v>3579</v>
      </c>
      <c r="K774" s="4">
        <v>69.989999999999995</v>
      </c>
      <c r="L774" s="4">
        <v>26.176300000000001</v>
      </c>
    </row>
    <row r="775" spans="1:12">
      <c r="A775" s="1">
        <v>42721</v>
      </c>
      <c r="B775">
        <v>1</v>
      </c>
      <c r="C775" t="s">
        <v>6269</v>
      </c>
      <c r="D775" s="4">
        <v>9.3462999999999994</v>
      </c>
      <c r="E775" s="4">
        <v>24.99</v>
      </c>
      <c r="F775" t="s">
        <v>6243</v>
      </c>
      <c r="G775" t="s">
        <v>6228</v>
      </c>
      <c r="H775" t="s">
        <v>3577</v>
      </c>
      <c r="I775" t="s">
        <v>3578</v>
      </c>
      <c r="J775" t="s">
        <v>3579</v>
      </c>
      <c r="K775" s="4">
        <v>24.99</v>
      </c>
      <c r="L775" s="4">
        <v>9.3462999999999994</v>
      </c>
    </row>
    <row r="776" spans="1:12">
      <c r="A776" s="1">
        <v>42721</v>
      </c>
      <c r="B776">
        <v>1</v>
      </c>
      <c r="C776" t="s">
        <v>6230</v>
      </c>
      <c r="D776" s="4">
        <v>12.027799999999999</v>
      </c>
      <c r="E776" s="4">
        <v>33.644199999999998</v>
      </c>
      <c r="F776" t="s">
        <v>6227</v>
      </c>
      <c r="G776" t="s">
        <v>6228</v>
      </c>
      <c r="H776" t="s">
        <v>3580</v>
      </c>
      <c r="I776" t="s">
        <v>3578</v>
      </c>
      <c r="J776" t="s">
        <v>3579</v>
      </c>
      <c r="K776" s="4">
        <v>33.644199999999998</v>
      </c>
      <c r="L776" s="4">
        <v>12.027799999999999</v>
      </c>
    </row>
    <row r="777" spans="1:12">
      <c r="A777" s="1">
        <v>42721</v>
      </c>
      <c r="B777">
        <v>1</v>
      </c>
      <c r="C777" t="s">
        <v>6305</v>
      </c>
      <c r="D777" s="4">
        <v>1082.51</v>
      </c>
      <c r="E777" s="4">
        <v>1700.99</v>
      </c>
      <c r="F777" t="s">
        <v>3479</v>
      </c>
      <c r="G777" t="s">
        <v>3475</v>
      </c>
      <c r="H777" t="s">
        <v>3580</v>
      </c>
      <c r="I777" t="s">
        <v>3578</v>
      </c>
      <c r="J777" t="s">
        <v>3579</v>
      </c>
      <c r="K777" s="4">
        <v>1700.99</v>
      </c>
      <c r="L777" s="4">
        <v>1082.51</v>
      </c>
    </row>
    <row r="778" spans="1:12">
      <c r="A778" s="1">
        <v>42721</v>
      </c>
      <c r="B778">
        <v>1</v>
      </c>
      <c r="C778" t="s">
        <v>6242</v>
      </c>
      <c r="D778" s="4">
        <v>1.8663000000000001</v>
      </c>
      <c r="E778" s="4">
        <v>4.99</v>
      </c>
      <c r="F778" t="s">
        <v>6243</v>
      </c>
      <c r="G778" t="s">
        <v>6228</v>
      </c>
      <c r="H778" t="s">
        <v>3582</v>
      </c>
      <c r="I778" t="s">
        <v>3582</v>
      </c>
      <c r="J778" t="s">
        <v>3579</v>
      </c>
      <c r="K778" s="4">
        <v>4.99</v>
      </c>
      <c r="L778" s="4">
        <v>1.8663000000000001</v>
      </c>
    </row>
    <row r="779" spans="1:12">
      <c r="A779" s="1">
        <v>42721</v>
      </c>
      <c r="B779">
        <v>1</v>
      </c>
      <c r="C779" t="s">
        <v>6260</v>
      </c>
      <c r="D779" s="4">
        <v>13.09</v>
      </c>
      <c r="E779" s="4">
        <v>35</v>
      </c>
      <c r="F779" t="s">
        <v>6243</v>
      </c>
      <c r="G779" t="s">
        <v>6228</v>
      </c>
      <c r="H779" t="s">
        <v>3582</v>
      </c>
      <c r="I779" t="s">
        <v>3582</v>
      </c>
      <c r="J779" t="s">
        <v>3579</v>
      </c>
      <c r="K779" s="4">
        <v>35</v>
      </c>
      <c r="L779" s="4">
        <v>13.09</v>
      </c>
    </row>
    <row r="780" spans="1:12">
      <c r="A780" s="1">
        <v>42721</v>
      </c>
      <c r="B780">
        <v>1</v>
      </c>
      <c r="C780" t="s">
        <v>6239</v>
      </c>
      <c r="D780" s="4">
        <v>1.8663000000000001</v>
      </c>
      <c r="E780" s="4">
        <v>4.99</v>
      </c>
      <c r="F780" t="s">
        <v>6240</v>
      </c>
      <c r="G780" t="s">
        <v>6228</v>
      </c>
      <c r="H780" t="s">
        <v>3588</v>
      </c>
      <c r="I780" t="s">
        <v>3588</v>
      </c>
      <c r="J780" t="s">
        <v>3584</v>
      </c>
      <c r="K780" s="4">
        <v>4.99</v>
      </c>
      <c r="L780" s="4">
        <v>1.8663000000000001</v>
      </c>
    </row>
    <row r="781" spans="1:12">
      <c r="A781" s="1">
        <v>42722</v>
      </c>
      <c r="B781">
        <v>1</v>
      </c>
      <c r="C781" t="s">
        <v>3542</v>
      </c>
      <c r="D781" s="4">
        <v>1105.81</v>
      </c>
      <c r="E781" s="4">
        <v>2049.0981999999999</v>
      </c>
      <c r="F781" t="s">
        <v>3478</v>
      </c>
      <c r="G781" t="s">
        <v>3475</v>
      </c>
      <c r="H781" t="s">
        <v>3577</v>
      </c>
      <c r="I781" t="s">
        <v>3578</v>
      </c>
      <c r="J781" t="s">
        <v>3579</v>
      </c>
      <c r="K781" s="4">
        <v>2049.0981999999999</v>
      </c>
      <c r="L781" s="4">
        <v>1105.81</v>
      </c>
    </row>
    <row r="782" spans="1:12">
      <c r="A782" s="1">
        <v>42722</v>
      </c>
      <c r="B782">
        <v>1</v>
      </c>
      <c r="C782" t="s">
        <v>6239</v>
      </c>
      <c r="D782" s="4">
        <v>1.8663000000000001</v>
      </c>
      <c r="E782" s="4">
        <v>4.99</v>
      </c>
      <c r="F782" t="s">
        <v>6240</v>
      </c>
      <c r="G782" t="s">
        <v>6228</v>
      </c>
      <c r="H782" t="s">
        <v>3582</v>
      </c>
      <c r="I782" t="s">
        <v>3582</v>
      </c>
      <c r="J782" t="s">
        <v>3579</v>
      </c>
      <c r="K782" s="4">
        <v>4.99</v>
      </c>
      <c r="L782" s="4">
        <v>1.8663000000000001</v>
      </c>
    </row>
    <row r="783" spans="1:12">
      <c r="A783" s="1">
        <v>42723</v>
      </c>
      <c r="B783">
        <v>1</v>
      </c>
      <c r="C783" t="s">
        <v>6230</v>
      </c>
      <c r="D783" s="4">
        <v>12.027799999999999</v>
      </c>
      <c r="E783" s="4">
        <v>33.644199999999998</v>
      </c>
      <c r="F783" t="s">
        <v>6227</v>
      </c>
      <c r="G783" t="s">
        <v>6228</v>
      </c>
      <c r="H783" t="s">
        <v>3585</v>
      </c>
      <c r="I783" t="s">
        <v>3585</v>
      </c>
      <c r="J783" t="s">
        <v>3584</v>
      </c>
      <c r="K783" s="4">
        <v>33.644199999999998</v>
      </c>
      <c r="L783" s="4">
        <v>12.027799999999999</v>
      </c>
    </row>
    <row r="784" spans="1:12">
      <c r="A784" s="1">
        <v>42723</v>
      </c>
      <c r="B784">
        <v>1</v>
      </c>
      <c r="C784" t="s">
        <v>6286</v>
      </c>
      <c r="D784" s="4">
        <v>1481.9378999999999</v>
      </c>
      <c r="E784" s="4">
        <v>2384.0700000000002</v>
      </c>
      <c r="F784" t="s">
        <v>6274</v>
      </c>
      <c r="G784" t="s">
        <v>3475</v>
      </c>
      <c r="H784" t="s">
        <v>3586</v>
      </c>
      <c r="I784" t="s">
        <v>3586</v>
      </c>
      <c r="J784" t="s">
        <v>3587</v>
      </c>
      <c r="K784" s="4">
        <v>2384.0700000000002</v>
      </c>
      <c r="L784" s="4">
        <v>1481.9378999999999</v>
      </c>
    </row>
    <row r="785" spans="1:12">
      <c r="A785" s="1">
        <v>42723</v>
      </c>
      <c r="B785">
        <v>1</v>
      </c>
      <c r="C785" t="s">
        <v>3540</v>
      </c>
      <c r="D785" s="4">
        <v>1117.8559</v>
      </c>
      <c r="E785" s="4">
        <v>2071.4196000000002</v>
      </c>
      <c r="F785" t="s">
        <v>3478</v>
      </c>
      <c r="G785" t="s">
        <v>3475</v>
      </c>
      <c r="H785" t="s">
        <v>3588</v>
      </c>
      <c r="I785" t="s">
        <v>3588</v>
      </c>
      <c r="J785" t="s">
        <v>3584</v>
      </c>
      <c r="K785" s="4">
        <v>2071.4196000000002</v>
      </c>
      <c r="L785" s="4">
        <v>1117.8559</v>
      </c>
    </row>
    <row r="786" spans="1:12">
      <c r="A786" s="1">
        <v>42724</v>
      </c>
      <c r="B786">
        <v>1</v>
      </c>
      <c r="C786" t="s">
        <v>6270</v>
      </c>
      <c r="D786" s="4">
        <v>1.4923</v>
      </c>
      <c r="E786" s="4">
        <v>3.99</v>
      </c>
      <c r="F786" t="s">
        <v>6243</v>
      </c>
      <c r="G786" t="s">
        <v>6228</v>
      </c>
      <c r="H786" t="s">
        <v>3577</v>
      </c>
      <c r="I786" t="s">
        <v>3578</v>
      </c>
      <c r="J786" t="s">
        <v>3579</v>
      </c>
      <c r="K786" s="4">
        <v>3.99</v>
      </c>
      <c r="L786" s="4">
        <v>1.4923</v>
      </c>
    </row>
    <row r="787" spans="1:12">
      <c r="A787" s="1">
        <v>42724</v>
      </c>
      <c r="B787">
        <v>1</v>
      </c>
      <c r="C787" t="s">
        <v>6244</v>
      </c>
      <c r="D787" s="4">
        <v>3.7363</v>
      </c>
      <c r="E787" s="4">
        <v>9.99</v>
      </c>
      <c r="F787" t="s">
        <v>6240</v>
      </c>
      <c r="G787" t="s">
        <v>6228</v>
      </c>
      <c r="H787" t="s">
        <v>3582</v>
      </c>
      <c r="I787" t="s">
        <v>3582</v>
      </c>
      <c r="J787" t="s">
        <v>3579</v>
      </c>
      <c r="K787" s="4">
        <v>9.99</v>
      </c>
      <c r="L787" s="4">
        <v>3.7363</v>
      </c>
    </row>
    <row r="788" spans="1:12">
      <c r="A788" s="1">
        <v>42724</v>
      </c>
      <c r="B788">
        <v>1</v>
      </c>
      <c r="C788" t="s">
        <v>6231</v>
      </c>
      <c r="D788" s="4">
        <v>5.7051999999999996</v>
      </c>
      <c r="E788" s="4">
        <v>8.6441999999999997</v>
      </c>
      <c r="F788" t="s">
        <v>6232</v>
      </c>
      <c r="G788" t="s">
        <v>6233</v>
      </c>
      <c r="H788" t="s">
        <v>3585</v>
      </c>
      <c r="I788" t="s">
        <v>3585</v>
      </c>
      <c r="J788" t="s">
        <v>3584</v>
      </c>
      <c r="K788" s="4">
        <v>8.6441999999999997</v>
      </c>
      <c r="L788" s="4">
        <v>5.7051999999999996</v>
      </c>
    </row>
    <row r="789" spans="1:12">
      <c r="A789" s="1">
        <v>42724</v>
      </c>
      <c r="B789">
        <v>1</v>
      </c>
      <c r="C789" t="s">
        <v>6272</v>
      </c>
      <c r="D789" s="4">
        <v>9.3462999999999994</v>
      </c>
      <c r="E789" s="4">
        <v>24.99</v>
      </c>
      <c r="F789" t="s">
        <v>6243</v>
      </c>
      <c r="G789" t="s">
        <v>6228</v>
      </c>
      <c r="H789" t="s">
        <v>3586</v>
      </c>
      <c r="I789" t="s">
        <v>3586</v>
      </c>
      <c r="J789" t="s">
        <v>3587</v>
      </c>
      <c r="K789" s="4">
        <v>24.99</v>
      </c>
      <c r="L789" s="4">
        <v>9.3462999999999994</v>
      </c>
    </row>
    <row r="790" spans="1:12">
      <c r="A790" s="1">
        <v>42724</v>
      </c>
      <c r="B790">
        <v>1</v>
      </c>
      <c r="C790" t="s">
        <v>6279</v>
      </c>
      <c r="D790" s="4">
        <v>1481.9378999999999</v>
      </c>
      <c r="E790" s="4">
        <v>2384.0700000000002</v>
      </c>
      <c r="F790" t="s">
        <v>6274</v>
      </c>
      <c r="G790" t="s">
        <v>3475</v>
      </c>
      <c r="H790" t="s">
        <v>3588</v>
      </c>
      <c r="I790" t="s">
        <v>3588</v>
      </c>
      <c r="J790" t="s">
        <v>3584</v>
      </c>
      <c r="K790" s="4">
        <v>2384.0700000000002</v>
      </c>
      <c r="L790" s="4">
        <v>1481.9378999999999</v>
      </c>
    </row>
    <row r="791" spans="1:12">
      <c r="A791" s="1">
        <v>42725</v>
      </c>
      <c r="B791">
        <v>1</v>
      </c>
      <c r="C791" t="s">
        <v>6239</v>
      </c>
      <c r="D791" s="4">
        <v>1.8663000000000001</v>
      </c>
      <c r="E791" s="4">
        <v>4.99</v>
      </c>
      <c r="F791" t="s">
        <v>6240</v>
      </c>
      <c r="G791" t="s">
        <v>6228</v>
      </c>
      <c r="H791" t="s">
        <v>3577</v>
      </c>
      <c r="I791" t="s">
        <v>3578</v>
      </c>
      <c r="J791" t="s">
        <v>3579</v>
      </c>
      <c r="K791" s="4">
        <v>4.99</v>
      </c>
      <c r="L791" s="4">
        <v>1.8663000000000001</v>
      </c>
    </row>
    <row r="792" spans="1:12">
      <c r="A792" s="1">
        <v>42725</v>
      </c>
      <c r="B792">
        <v>1</v>
      </c>
      <c r="C792" t="s">
        <v>3544</v>
      </c>
      <c r="D792" s="4">
        <v>1105.81</v>
      </c>
      <c r="E792" s="4">
        <v>2049.0981999999999</v>
      </c>
      <c r="F792" t="s">
        <v>3478</v>
      </c>
      <c r="G792" t="s">
        <v>3475</v>
      </c>
      <c r="H792" t="s">
        <v>3582</v>
      </c>
      <c r="I792" t="s">
        <v>3582</v>
      </c>
      <c r="J792" t="s">
        <v>3579</v>
      </c>
      <c r="K792" s="4">
        <v>2049.0981999999999</v>
      </c>
      <c r="L792" s="4">
        <v>1105.81</v>
      </c>
    </row>
    <row r="793" spans="1:12">
      <c r="A793" s="1">
        <v>42725</v>
      </c>
      <c r="B793">
        <v>1</v>
      </c>
      <c r="C793" t="s">
        <v>6239</v>
      </c>
      <c r="D793" s="4">
        <v>1.8663000000000001</v>
      </c>
      <c r="E793" s="4">
        <v>4.99</v>
      </c>
      <c r="F793" t="s">
        <v>6240</v>
      </c>
      <c r="G793" t="s">
        <v>6228</v>
      </c>
      <c r="H793" t="s">
        <v>3583</v>
      </c>
      <c r="I793" t="s">
        <v>3583</v>
      </c>
      <c r="J793" t="s">
        <v>3584</v>
      </c>
      <c r="K793" s="4">
        <v>4.99</v>
      </c>
      <c r="L793" s="4">
        <v>1.8663000000000001</v>
      </c>
    </row>
    <row r="794" spans="1:12">
      <c r="A794" s="1">
        <v>42725</v>
      </c>
      <c r="B794">
        <v>1</v>
      </c>
      <c r="C794" t="s">
        <v>6245</v>
      </c>
      <c r="D794" s="4">
        <v>0.85650000000000004</v>
      </c>
      <c r="E794" s="4">
        <v>2.29</v>
      </c>
      <c r="F794" t="s">
        <v>6243</v>
      </c>
      <c r="G794" t="s">
        <v>6228</v>
      </c>
      <c r="H794" t="s">
        <v>3588</v>
      </c>
      <c r="I794" t="s">
        <v>3588</v>
      </c>
      <c r="J794" t="s">
        <v>3584</v>
      </c>
      <c r="K794" s="4">
        <v>2.29</v>
      </c>
      <c r="L794" s="4">
        <v>0.85650000000000004</v>
      </c>
    </row>
    <row r="795" spans="1:12">
      <c r="A795" s="1">
        <v>42726</v>
      </c>
      <c r="B795">
        <v>1</v>
      </c>
      <c r="C795" t="s">
        <v>3568</v>
      </c>
      <c r="D795" s="4">
        <v>605.64919999999995</v>
      </c>
      <c r="E795" s="4">
        <v>1000.4375</v>
      </c>
      <c r="F795" t="s">
        <v>3479</v>
      </c>
      <c r="G795" t="s">
        <v>3475</v>
      </c>
      <c r="H795" t="s">
        <v>3577</v>
      </c>
      <c r="I795" t="s">
        <v>3578</v>
      </c>
      <c r="J795" t="s">
        <v>3579</v>
      </c>
      <c r="K795" s="4">
        <v>1000.4375</v>
      </c>
      <c r="L795" s="4">
        <v>605.64919999999995</v>
      </c>
    </row>
    <row r="796" spans="1:12">
      <c r="A796" s="1">
        <v>42727</v>
      </c>
      <c r="B796">
        <v>1</v>
      </c>
      <c r="C796" t="s">
        <v>6229</v>
      </c>
      <c r="D796" s="4">
        <v>12.027799999999999</v>
      </c>
      <c r="E796" s="4">
        <v>33.644199999999998</v>
      </c>
      <c r="F796" t="s">
        <v>6227</v>
      </c>
      <c r="G796" t="s">
        <v>6228</v>
      </c>
      <c r="H796" t="s">
        <v>3580</v>
      </c>
      <c r="I796" t="s">
        <v>3578</v>
      </c>
      <c r="J796" t="s">
        <v>3579</v>
      </c>
      <c r="K796" s="4">
        <v>33.644199999999998</v>
      </c>
      <c r="L796" s="4">
        <v>12.027799999999999</v>
      </c>
    </row>
    <row r="797" spans="1:12">
      <c r="A797" s="1">
        <v>42727</v>
      </c>
      <c r="B797">
        <v>1</v>
      </c>
      <c r="C797" t="s">
        <v>6239</v>
      </c>
      <c r="D797" s="4">
        <v>1.8663000000000001</v>
      </c>
      <c r="E797" s="4">
        <v>4.99</v>
      </c>
      <c r="F797" t="s">
        <v>6240</v>
      </c>
      <c r="G797" t="s">
        <v>6228</v>
      </c>
      <c r="H797" t="s">
        <v>3580</v>
      </c>
      <c r="I797" t="s">
        <v>3578</v>
      </c>
      <c r="J797" t="s">
        <v>3579</v>
      </c>
      <c r="K797" s="4">
        <v>4.99</v>
      </c>
      <c r="L797" s="4">
        <v>1.8663000000000001</v>
      </c>
    </row>
    <row r="798" spans="1:12">
      <c r="A798" s="1">
        <v>42727</v>
      </c>
      <c r="B798">
        <v>1</v>
      </c>
      <c r="C798" t="s">
        <v>6291</v>
      </c>
      <c r="D798" s="4">
        <v>41.572299999999998</v>
      </c>
      <c r="E798" s="4">
        <v>53.99</v>
      </c>
      <c r="F798" t="s">
        <v>6235</v>
      </c>
      <c r="G798" t="s">
        <v>6233</v>
      </c>
      <c r="H798" t="s">
        <v>3580</v>
      </c>
      <c r="I798" t="s">
        <v>3578</v>
      </c>
      <c r="J798" t="s">
        <v>3579</v>
      </c>
      <c r="K798" s="4">
        <v>53.99</v>
      </c>
      <c r="L798" s="4">
        <v>41.572299999999998</v>
      </c>
    </row>
    <row r="799" spans="1:12">
      <c r="A799" s="1">
        <v>42727</v>
      </c>
      <c r="B799">
        <v>1</v>
      </c>
      <c r="C799" t="s">
        <v>6229</v>
      </c>
      <c r="D799" s="4">
        <v>12.027799999999999</v>
      </c>
      <c r="E799" s="4">
        <v>33.644199999999998</v>
      </c>
      <c r="F799" t="s">
        <v>6227</v>
      </c>
      <c r="G799" t="s">
        <v>6228</v>
      </c>
      <c r="H799" t="s">
        <v>3583</v>
      </c>
      <c r="I799" t="s">
        <v>3583</v>
      </c>
      <c r="J799" t="s">
        <v>3584</v>
      </c>
      <c r="K799" s="4">
        <v>33.644199999999998</v>
      </c>
      <c r="L799" s="4">
        <v>12.027799999999999</v>
      </c>
    </row>
    <row r="800" spans="1:12">
      <c r="A800" s="1">
        <v>42727</v>
      </c>
      <c r="B800">
        <v>1</v>
      </c>
      <c r="C800" t="s">
        <v>6258</v>
      </c>
      <c r="D800" s="4">
        <v>2.9733000000000001</v>
      </c>
      <c r="E800" s="4">
        <v>7.95</v>
      </c>
      <c r="F800" t="s">
        <v>6259</v>
      </c>
      <c r="G800" t="s">
        <v>6228</v>
      </c>
      <c r="H800" t="s">
        <v>3586</v>
      </c>
      <c r="I800" t="s">
        <v>3586</v>
      </c>
      <c r="J800" t="s">
        <v>3587</v>
      </c>
      <c r="K800" s="4">
        <v>7.95</v>
      </c>
      <c r="L800" s="4">
        <v>2.9733000000000001</v>
      </c>
    </row>
    <row r="801" spans="1:12">
      <c r="A801" s="1">
        <v>42728</v>
      </c>
      <c r="B801">
        <v>1</v>
      </c>
      <c r="C801" t="s">
        <v>6245</v>
      </c>
      <c r="D801" s="4">
        <v>0.85650000000000004</v>
      </c>
      <c r="E801" s="4">
        <v>2.29</v>
      </c>
      <c r="F801" t="s">
        <v>6243</v>
      </c>
      <c r="G801" t="s">
        <v>6228</v>
      </c>
      <c r="H801" t="s">
        <v>3577</v>
      </c>
      <c r="I801" t="s">
        <v>3578</v>
      </c>
      <c r="J801" t="s">
        <v>3579</v>
      </c>
      <c r="K801" s="4">
        <v>2.29</v>
      </c>
      <c r="L801" s="4">
        <v>0.85650000000000004</v>
      </c>
    </row>
    <row r="802" spans="1:12">
      <c r="A802" s="1">
        <v>42728</v>
      </c>
      <c r="B802">
        <v>1</v>
      </c>
      <c r="C802" t="s">
        <v>6260</v>
      </c>
      <c r="D802" s="4">
        <v>13.09</v>
      </c>
      <c r="E802" s="4">
        <v>35</v>
      </c>
      <c r="F802" t="s">
        <v>6243</v>
      </c>
      <c r="G802" t="s">
        <v>6228</v>
      </c>
      <c r="H802" t="s">
        <v>3577</v>
      </c>
      <c r="I802" t="s">
        <v>3578</v>
      </c>
      <c r="J802" t="s">
        <v>3579</v>
      </c>
      <c r="K802" s="4">
        <v>35</v>
      </c>
      <c r="L802" s="4">
        <v>13.09</v>
      </c>
    </row>
    <row r="803" spans="1:12">
      <c r="A803" s="1">
        <v>42728</v>
      </c>
      <c r="B803">
        <v>1</v>
      </c>
      <c r="C803" t="s">
        <v>6269</v>
      </c>
      <c r="D803" s="4">
        <v>9.3462999999999994</v>
      </c>
      <c r="E803" s="4">
        <v>24.99</v>
      </c>
      <c r="F803" t="s">
        <v>6243</v>
      </c>
      <c r="G803" t="s">
        <v>6228</v>
      </c>
      <c r="H803" t="s">
        <v>3577</v>
      </c>
      <c r="I803" t="s">
        <v>3578</v>
      </c>
      <c r="J803" t="s">
        <v>3579</v>
      </c>
      <c r="K803" s="4">
        <v>24.99</v>
      </c>
      <c r="L803" s="4">
        <v>9.3462999999999994</v>
      </c>
    </row>
    <row r="804" spans="1:12">
      <c r="A804" s="1">
        <v>42728</v>
      </c>
      <c r="B804">
        <v>1</v>
      </c>
      <c r="C804" t="s">
        <v>6298</v>
      </c>
      <c r="D804" s="4">
        <v>3.3622999999999998</v>
      </c>
      <c r="E804" s="4">
        <v>8.99</v>
      </c>
      <c r="F804" t="s">
        <v>6264</v>
      </c>
      <c r="G804" t="s">
        <v>6233</v>
      </c>
      <c r="H804" t="s">
        <v>3580</v>
      </c>
      <c r="I804" t="s">
        <v>3578</v>
      </c>
      <c r="J804" t="s">
        <v>3579</v>
      </c>
      <c r="K804" s="4">
        <v>8.99</v>
      </c>
      <c r="L804" s="4">
        <v>3.3622999999999998</v>
      </c>
    </row>
    <row r="805" spans="1:12">
      <c r="A805" s="1">
        <v>42728</v>
      </c>
      <c r="B805">
        <v>1</v>
      </c>
      <c r="C805" t="s">
        <v>6250</v>
      </c>
      <c r="D805" s="4">
        <v>9.7135999999999996</v>
      </c>
      <c r="E805" s="4">
        <v>23.548100000000002</v>
      </c>
      <c r="F805" t="s">
        <v>6251</v>
      </c>
      <c r="G805" t="s">
        <v>6233</v>
      </c>
      <c r="H805" t="s">
        <v>3582</v>
      </c>
      <c r="I805" t="s">
        <v>3582</v>
      </c>
      <c r="J805" t="s">
        <v>3579</v>
      </c>
      <c r="K805" s="4">
        <v>23.548100000000002</v>
      </c>
      <c r="L805" s="4">
        <v>9.7135999999999996</v>
      </c>
    </row>
    <row r="806" spans="1:12">
      <c r="A806" s="1">
        <v>42728</v>
      </c>
      <c r="B806">
        <v>1</v>
      </c>
      <c r="C806" t="s">
        <v>6239</v>
      </c>
      <c r="D806" s="4">
        <v>1.8663000000000001</v>
      </c>
      <c r="E806" s="4">
        <v>4.99</v>
      </c>
      <c r="F806" t="s">
        <v>6240</v>
      </c>
      <c r="G806" t="s">
        <v>6228</v>
      </c>
      <c r="H806" t="s">
        <v>3582</v>
      </c>
      <c r="I806" t="s">
        <v>3582</v>
      </c>
      <c r="J806" t="s">
        <v>3579</v>
      </c>
      <c r="K806" s="4">
        <v>4.99</v>
      </c>
      <c r="L806" s="4">
        <v>1.8663000000000001</v>
      </c>
    </row>
    <row r="807" spans="1:12">
      <c r="A807" s="1">
        <v>42728</v>
      </c>
      <c r="B807">
        <v>1</v>
      </c>
      <c r="C807" t="s">
        <v>6270</v>
      </c>
      <c r="D807" s="4">
        <v>1.4923</v>
      </c>
      <c r="E807" s="4">
        <v>3.99</v>
      </c>
      <c r="F807" t="s">
        <v>6243</v>
      </c>
      <c r="G807" t="s">
        <v>6228</v>
      </c>
      <c r="H807" t="s">
        <v>3586</v>
      </c>
      <c r="I807" t="s">
        <v>3586</v>
      </c>
      <c r="J807" t="s">
        <v>3587</v>
      </c>
      <c r="K807" s="4">
        <v>3.99</v>
      </c>
      <c r="L807" s="4">
        <v>1.4923</v>
      </c>
    </row>
    <row r="808" spans="1:12">
      <c r="A808" s="1">
        <v>42728</v>
      </c>
      <c r="B808">
        <v>1</v>
      </c>
      <c r="C808" t="s">
        <v>6276</v>
      </c>
      <c r="D808" s="4">
        <v>1.8663000000000001</v>
      </c>
      <c r="E808" s="4">
        <v>4.99</v>
      </c>
      <c r="F808" t="s">
        <v>6243</v>
      </c>
      <c r="G808" t="s">
        <v>6228</v>
      </c>
      <c r="H808" t="s">
        <v>3586</v>
      </c>
      <c r="I808" t="s">
        <v>3586</v>
      </c>
      <c r="J808" t="s">
        <v>3587</v>
      </c>
      <c r="K808" s="4">
        <v>4.99</v>
      </c>
      <c r="L808" s="4">
        <v>1.8663000000000001</v>
      </c>
    </row>
    <row r="809" spans="1:12">
      <c r="A809" s="1">
        <v>42729</v>
      </c>
      <c r="B809">
        <v>1</v>
      </c>
      <c r="C809" t="s">
        <v>6226</v>
      </c>
      <c r="D809" s="4">
        <v>13.0863</v>
      </c>
      <c r="E809" s="4">
        <v>34.99</v>
      </c>
      <c r="F809" t="s">
        <v>6227</v>
      </c>
      <c r="G809" t="s">
        <v>6228</v>
      </c>
      <c r="H809" t="s">
        <v>3577</v>
      </c>
      <c r="I809" t="s">
        <v>3578</v>
      </c>
      <c r="J809" t="s">
        <v>3579</v>
      </c>
      <c r="K809" s="4">
        <v>34.99</v>
      </c>
      <c r="L809" s="4">
        <v>13.0863</v>
      </c>
    </row>
    <row r="810" spans="1:12">
      <c r="A810" s="1">
        <v>42729</v>
      </c>
      <c r="B810">
        <v>1</v>
      </c>
      <c r="C810" t="s">
        <v>6230</v>
      </c>
      <c r="D810" s="4">
        <v>12.027799999999999</v>
      </c>
      <c r="E810" s="4">
        <v>33.644199999999998</v>
      </c>
      <c r="F810" t="s">
        <v>6227</v>
      </c>
      <c r="G810" t="s">
        <v>6228</v>
      </c>
      <c r="H810" t="s">
        <v>3577</v>
      </c>
      <c r="I810" t="s">
        <v>3578</v>
      </c>
      <c r="J810" t="s">
        <v>3579</v>
      </c>
      <c r="K810" s="4">
        <v>33.644199999999998</v>
      </c>
      <c r="L810" s="4">
        <v>12.027799999999999</v>
      </c>
    </row>
    <row r="811" spans="1:12">
      <c r="A811" s="1">
        <v>42729</v>
      </c>
      <c r="B811">
        <v>1</v>
      </c>
      <c r="C811" t="s">
        <v>6261</v>
      </c>
      <c r="D811" s="4">
        <v>26.176300000000001</v>
      </c>
      <c r="E811" s="4">
        <v>69.989999999999995</v>
      </c>
      <c r="F811" t="s">
        <v>6262</v>
      </c>
      <c r="G811" t="s">
        <v>6233</v>
      </c>
      <c r="H811" t="s">
        <v>3580</v>
      </c>
      <c r="I811" t="s">
        <v>3578</v>
      </c>
      <c r="J811" t="s">
        <v>3579</v>
      </c>
      <c r="K811" s="4">
        <v>69.989999999999995</v>
      </c>
      <c r="L811" s="4">
        <v>26.176300000000001</v>
      </c>
    </row>
    <row r="812" spans="1:12">
      <c r="A812" s="1">
        <v>42729</v>
      </c>
      <c r="B812">
        <v>1</v>
      </c>
      <c r="C812" t="s">
        <v>6313</v>
      </c>
      <c r="D812" s="4">
        <v>419.77839999999998</v>
      </c>
      <c r="E812" s="4">
        <v>769.49</v>
      </c>
      <c r="F812" t="s">
        <v>3478</v>
      </c>
      <c r="G812" t="s">
        <v>3475</v>
      </c>
      <c r="H812" t="s">
        <v>3580</v>
      </c>
      <c r="I812" t="s">
        <v>3578</v>
      </c>
      <c r="J812" t="s">
        <v>3579</v>
      </c>
      <c r="K812" s="4">
        <v>769.49</v>
      </c>
      <c r="L812" s="4">
        <v>419.77839999999998</v>
      </c>
    </row>
    <row r="813" spans="1:12">
      <c r="A813" s="1">
        <v>42729</v>
      </c>
      <c r="B813">
        <v>1</v>
      </c>
      <c r="C813" t="s">
        <v>6229</v>
      </c>
      <c r="D813" s="4">
        <v>12.027799999999999</v>
      </c>
      <c r="E813" s="4">
        <v>33.644199999999998</v>
      </c>
      <c r="F813" t="s">
        <v>6227</v>
      </c>
      <c r="G813" t="s">
        <v>6228</v>
      </c>
      <c r="H813" t="s">
        <v>3583</v>
      </c>
      <c r="I813" t="s">
        <v>3583</v>
      </c>
      <c r="J813" t="s">
        <v>3584</v>
      </c>
      <c r="K813" s="4">
        <v>33.644199999999998</v>
      </c>
      <c r="L813" s="4">
        <v>12.027799999999999</v>
      </c>
    </row>
    <row r="814" spans="1:12">
      <c r="A814" s="1">
        <v>42729</v>
      </c>
      <c r="B814">
        <v>1</v>
      </c>
      <c r="C814" t="s">
        <v>6231</v>
      </c>
      <c r="D814" s="4">
        <v>5.7051999999999996</v>
      </c>
      <c r="E814" s="4">
        <v>8.6441999999999997</v>
      </c>
      <c r="F814" t="s">
        <v>6232</v>
      </c>
      <c r="G814" t="s">
        <v>6233</v>
      </c>
      <c r="H814" t="s">
        <v>3585</v>
      </c>
      <c r="I814" t="s">
        <v>3585</v>
      </c>
      <c r="J814" t="s">
        <v>3584</v>
      </c>
      <c r="K814" s="4">
        <v>8.6441999999999997</v>
      </c>
      <c r="L814" s="4">
        <v>5.7051999999999996</v>
      </c>
    </row>
    <row r="815" spans="1:12">
      <c r="A815" s="1">
        <v>42729</v>
      </c>
      <c r="B815">
        <v>1</v>
      </c>
      <c r="C815" t="s">
        <v>6236</v>
      </c>
      <c r="D815" s="4">
        <v>31.724399999999999</v>
      </c>
      <c r="E815" s="4">
        <v>48.067300000000003</v>
      </c>
      <c r="F815" t="s">
        <v>6235</v>
      </c>
      <c r="G815" t="s">
        <v>6233</v>
      </c>
      <c r="H815" t="s">
        <v>3586</v>
      </c>
      <c r="I815" t="s">
        <v>3586</v>
      </c>
      <c r="J815" t="s">
        <v>3587</v>
      </c>
      <c r="K815" s="4">
        <v>48.067300000000003</v>
      </c>
      <c r="L815" s="4">
        <v>31.724399999999999</v>
      </c>
    </row>
    <row r="816" spans="1:12">
      <c r="A816" s="1">
        <v>42729</v>
      </c>
      <c r="B816">
        <v>1</v>
      </c>
      <c r="C816" t="s">
        <v>6276</v>
      </c>
      <c r="D816" s="4">
        <v>1.8663000000000001</v>
      </c>
      <c r="E816" s="4">
        <v>4.99</v>
      </c>
      <c r="F816" t="s">
        <v>6243</v>
      </c>
      <c r="G816" t="s">
        <v>6228</v>
      </c>
      <c r="H816" t="s">
        <v>3586</v>
      </c>
      <c r="I816" t="s">
        <v>3586</v>
      </c>
      <c r="J816" t="s">
        <v>3587</v>
      </c>
      <c r="K816" s="4">
        <v>4.99</v>
      </c>
      <c r="L816" s="4">
        <v>1.8663000000000001</v>
      </c>
    </row>
    <row r="817" spans="1:12">
      <c r="A817" s="1">
        <v>42729</v>
      </c>
      <c r="B817">
        <v>1</v>
      </c>
      <c r="C817" t="s">
        <v>6237</v>
      </c>
      <c r="D817" s="4">
        <v>31.724399999999999</v>
      </c>
      <c r="E817" s="4">
        <v>48.067300000000003</v>
      </c>
      <c r="F817" t="s">
        <v>6235</v>
      </c>
      <c r="G817" t="s">
        <v>6233</v>
      </c>
      <c r="H817" t="s">
        <v>3588</v>
      </c>
      <c r="I817" t="s">
        <v>3588</v>
      </c>
      <c r="J817" t="s">
        <v>3584</v>
      </c>
      <c r="K817" s="4">
        <v>48.067300000000003</v>
      </c>
      <c r="L817" s="4">
        <v>31.724399999999999</v>
      </c>
    </row>
    <row r="818" spans="1:12">
      <c r="A818" s="1">
        <v>42730</v>
      </c>
      <c r="B818">
        <v>1</v>
      </c>
      <c r="C818" t="s">
        <v>6237</v>
      </c>
      <c r="D818" s="4">
        <v>31.724399999999999</v>
      </c>
      <c r="E818" s="4">
        <v>48.067300000000003</v>
      </c>
      <c r="F818" t="s">
        <v>6235</v>
      </c>
      <c r="G818" t="s">
        <v>6233</v>
      </c>
      <c r="H818" t="s">
        <v>3577</v>
      </c>
      <c r="I818" t="s">
        <v>3578</v>
      </c>
      <c r="J818" t="s">
        <v>3579</v>
      </c>
      <c r="K818" s="4">
        <v>48.067300000000003</v>
      </c>
      <c r="L818" s="4">
        <v>31.724399999999999</v>
      </c>
    </row>
    <row r="819" spans="1:12">
      <c r="A819" s="1">
        <v>42730</v>
      </c>
      <c r="B819">
        <v>1</v>
      </c>
      <c r="C819" t="s">
        <v>6241</v>
      </c>
      <c r="D819" s="4">
        <v>3.3622999999999998</v>
      </c>
      <c r="E819" s="4">
        <v>8.99</v>
      </c>
      <c r="F819" t="s">
        <v>6240</v>
      </c>
      <c r="G819" t="s">
        <v>6228</v>
      </c>
      <c r="H819" t="s">
        <v>3577</v>
      </c>
      <c r="I819" t="s">
        <v>3578</v>
      </c>
      <c r="J819" t="s">
        <v>3579</v>
      </c>
      <c r="K819" s="4">
        <v>8.99</v>
      </c>
      <c r="L819" s="4">
        <v>3.3622999999999998</v>
      </c>
    </row>
    <row r="820" spans="1:12">
      <c r="A820" s="1">
        <v>42730</v>
      </c>
      <c r="B820">
        <v>1</v>
      </c>
      <c r="C820" t="s">
        <v>6226</v>
      </c>
      <c r="D820" s="4">
        <v>13.0863</v>
      </c>
      <c r="E820" s="4">
        <v>34.99</v>
      </c>
      <c r="F820" t="s">
        <v>6227</v>
      </c>
      <c r="G820" t="s">
        <v>6228</v>
      </c>
      <c r="H820" t="s">
        <v>3580</v>
      </c>
      <c r="I820" t="s">
        <v>3578</v>
      </c>
      <c r="J820" t="s">
        <v>3579</v>
      </c>
      <c r="K820" s="4">
        <v>34.99</v>
      </c>
      <c r="L820" s="4">
        <v>13.0863</v>
      </c>
    </row>
    <row r="821" spans="1:12">
      <c r="A821" s="1">
        <v>42730</v>
      </c>
      <c r="B821">
        <v>1</v>
      </c>
      <c r="C821" t="s">
        <v>6242</v>
      </c>
      <c r="D821" s="4">
        <v>1.8663000000000001</v>
      </c>
      <c r="E821" s="4">
        <v>4.99</v>
      </c>
      <c r="F821" t="s">
        <v>6243</v>
      </c>
      <c r="G821" t="s">
        <v>6228</v>
      </c>
      <c r="H821" t="s">
        <v>3582</v>
      </c>
      <c r="I821" t="s">
        <v>3582</v>
      </c>
      <c r="J821" t="s">
        <v>3579</v>
      </c>
      <c r="K821" s="4">
        <v>4.99</v>
      </c>
      <c r="L821" s="4">
        <v>1.8663000000000001</v>
      </c>
    </row>
    <row r="822" spans="1:12">
      <c r="A822" s="1">
        <v>42730</v>
      </c>
      <c r="B822">
        <v>1</v>
      </c>
      <c r="C822" t="s">
        <v>6241</v>
      </c>
      <c r="D822" s="4">
        <v>3.3622999999999998</v>
      </c>
      <c r="E822" s="4">
        <v>8.99</v>
      </c>
      <c r="F822" t="s">
        <v>6240</v>
      </c>
      <c r="G822" t="s">
        <v>6228</v>
      </c>
      <c r="H822" t="s">
        <v>3585</v>
      </c>
      <c r="I822" t="s">
        <v>3585</v>
      </c>
      <c r="J822" t="s">
        <v>3584</v>
      </c>
      <c r="K822" s="4">
        <v>8.99</v>
      </c>
      <c r="L822" s="4">
        <v>3.3622999999999998</v>
      </c>
    </row>
    <row r="823" spans="1:12">
      <c r="A823" s="1">
        <v>42730</v>
      </c>
      <c r="B823">
        <v>1</v>
      </c>
      <c r="C823" t="s">
        <v>3570</v>
      </c>
      <c r="D823" s="4">
        <v>605.64919999999995</v>
      </c>
      <c r="E823" s="4">
        <v>1000.4375</v>
      </c>
      <c r="F823" t="s">
        <v>3479</v>
      </c>
      <c r="G823" t="s">
        <v>3475</v>
      </c>
      <c r="H823" t="s">
        <v>3586</v>
      </c>
      <c r="I823" t="s">
        <v>3586</v>
      </c>
      <c r="J823" t="s">
        <v>3587</v>
      </c>
      <c r="K823" s="4">
        <v>1000.4375</v>
      </c>
      <c r="L823" s="4">
        <v>605.64919999999995</v>
      </c>
    </row>
    <row r="824" spans="1:12">
      <c r="A824" s="1">
        <v>42730</v>
      </c>
      <c r="B824">
        <v>1</v>
      </c>
      <c r="C824" t="s">
        <v>6242</v>
      </c>
      <c r="D824" s="4">
        <v>1.8663000000000001</v>
      </c>
      <c r="E824" s="4">
        <v>4.99</v>
      </c>
      <c r="F824" t="s">
        <v>6243</v>
      </c>
      <c r="G824" t="s">
        <v>6228</v>
      </c>
      <c r="H824" t="s">
        <v>3588</v>
      </c>
      <c r="I824" t="s">
        <v>3588</v>
      </c>
      <c r="J824" t="s">
        <v>3584</v>
      </c>
      <c r="K824" s="4">
        <v>4.99</v>
      </c>
      <c r="L824" s="4">
        <v>1.8663000000000001</v>
      </c>
    </row>
    <row r="825" spans="1:12">
      <c r="A825" s="1">
        <v>42731</v>
      </c>
      <c r="B825">
        <v>1</v>
      </c>
      <c r="C825" t="s">
        <v>6242</v>
      </c>
      <c r="D825" s="4">
        <v>1.8663000000000001</v>
      </c>
      <c r="E825" s="4">
        <v>4.99</v>
      </c>
      <c r="F825" t="s">
        <v>6243</v>
      </c>
      <c r="G825" t="s">
        <v>6228</v>
      </c>
      <c r="H825" t="s">
        <v>3582</v>
      </c>
      <c r="I825" t="s">
        <v>3582</v>
      </c>
      <c r="J825" t="s">
        <v>3579</v>
      </c>
      <c r="K825" s="4">
        <v>4.99</v>
      </c>
      <c r="L825" s="4">
        <v>1.8663000000000001</v>
      </c>
    </row>
    <row r="826" spans="1:12">
      <c r="A826" s="1">
        <v>42731</v>
      </c>
      <c r="B826">
        <v>1</v>
      </c>
      <c r="C826" t="s">
        <v>6241</v>
      </c>
      <c r="D826" s="4">
        <v>3.3622999999999998</v>
      </c>
      <c r="E826" s="4">
        <v>8.99</v>
      </c>
      <c r="F826" t="s">
        <v>6240</v>
      </c>
      <c r="G826" t="s">
        <v>6228</v>
      </c>
      <c r="H826" t="s">
        <v>3586</v>
      </c>
      <c r="I826" t="s">
        <v>3586</v>
      </c>
      <c r="J826" t="s">
        <v>3587</v>
      </c>
      <c r="K826" s="4">
        <v>8.99</v>
      </c>
      <c r="L826" s="4">
        <v>3.3622999999999998</v>
      </c>
    </row>
    <row r="827" spans="1:12">
      <c r="A827" s="1">
        <v>42731</v>
      </c>
      <c r="B827">
        <v>1</v>
      </c>
      <c r="C827" t="s">
        <v>6245</v>
      </c>
      <c r="D827" s="4">
        <v>0.85650000000000004</v>
      </c>
      <c r="E827" s="4">
        <v>2.29</v>
      </c>
      <c r="F827" t="s">
        <v>6243</v>
      </c>
      <c r="G827" t="s">
        <v>6228</v>
      </c>
      <c r="H827" t="s">
        <v>3586</v>
      </c>
      <c r="I827" t="s">
        <v>3586</v>
      </c>
      <c r="J827" t="s">
        <v>3587</v>
      </c>
      <c r="K827" s="4">
        <v>2.29</v>
      </c>
      <c r="L827" s="4">
        <v>0.85650000000000004</v>
      </c>
    </row>
    <row r="828" spans="1:12">
      <c r="A828" s="1">
        <v>42732</v>
      </c>
      <c r="B828">
        <v>1</v>
      </c>
      <c r="C828" t="s">
        <v>6301</v>
      </c>
      <c r="D828" s="4">
        <v>343.64960000000002</v>
      </c>
      <c r="E828" s="4">
        <v>539.99</v>
      </c>
      <c r="F828" t="s">
        <v>3479</v>
      </c>
      <c r="G828" t="s">
        <v>3475</v>
      </c>
      <c r="H828" t="s">
        <v>3577</v>
      </c>
      <c r="I828" t="s">
        <v>3578</v>
      </c>
      <c r="J828" t="s">
        <v>3579</v>
      </c>
      <c r="K828" s="4">
        <v>539.99</v>
      </c>
      <c r="L828" s="4">
        <v>343.64960000000002</v>
      </c>
    </row>
    <row r="829" spans="1:12">
      <c r="A829" s="1">
        <v>42732</v>
      </c>
      <c r="B829">
        <v>1</v>
      </c>
      <c r="C829" t="s">
        <v>6226</v>
      </c>
      <c r="D829" s="4">
        <v>13.0863</v>
      </c>
      <c r="E829" s="4">
        <v>34.99</v>
      </c>
      <c r="F829" t="s">
        <v>6227</v>
      </c>
      <c r="G829" t="s">
        <v>6228</v>
      </c>
      <c r="H829" t="s">
        <v>3580</v>
      </c>
      <c r="I829" t="s">
        <v>3578</v>
      </c>
      <c r="J829" t="s">
        <v>3579</v>
      </c>
      <c r="K829" s="4">
        <v>34.99</v>
      </c>
      <c r="L829" s="4">
        <v>13.0863</v>
      </c>
    </row>
    <row r="830" spans="1:12">
      <c r="A830" s="1">
        <v>42732</v>
      </c>
      <c r="B830">
        <v>1</v>
      </c>
      <c r="C830" t="s">
        <v>6277</v>
      </c>
      <c r="D830" s="4">
        <v>8.0373000000000001</v>
      </c>
      <c r="E830" s="4">
        <v>21.49</v>
      </c>
      <c r="F830" t="s">
        <v>6243</v>
      </c>
      <c r="G830" t="s">
        <v>6228</v>
      </c>
      <c r="H830" t="s">
        <v>3580</v>
      </c>
      <c r="I830" t="s">
        <v>3578</v>
      </c>
      <c r="J830" t="s">
        <v>3579</v>
      </c>
      <c r="K830" s="4">
        <v>21.49</v>
      </c>
      <c r="L830" s="4">
        <v>8.0373000000000001</v>
      </c>
    </row>
    <row r="831" spans="1:12">
      <c r="A831" s="1">
        <v>42732</v>
      </c>
      <c r="B831">
        <v>1</v>
      </c>
      <c r="C831" t="s">
        <v>6260</v>
      </c>
      <c r="D831" s="4">
        <v>13.09</v>
      </c>
      <c r="E831" s="4">
        <v>35</v>
      </c>
      <c r="F831" t="s">
        <v>6243</v>
      </c>
      <c r="G831" t="s">
        <v>6228</v>
      </c>
      <c r="H831" t="s">
        <v>3582</v>
      </c>
      <c r="I831" t="s">
        <v>3582</v>
      </c>
      <c r="J831" t="s">
        <v>3579</v>
      </c>
      <c r="K831" s="4">
        <v>35</v>
      </c>
      <c r="L831" s="4">
        <v>13.09</v>
      </c>
    </row>
    <row r="832" spans="1:12">
      <c r="A832" s="1">
        <v>42732</v>
      </c>
      <c r="B832">
        <v>1</v>
      </c>
      <c r="C832" t="s">
        <v>6239</v>
      </c>
      <c r="D832" s="4">
        <v>1.8663000000000001</v>
      </c>
      <c r="E832" s="4">
        <v>4.99</v>
      </c>
      <c r="F832" t="s">
        <v>6240</v>
      </c>
      <c r="G832" t="s">
        <v>6228</v>
      </c>
      <c r="H832" t="s">
        <v>3583</v>
      </c>
      <c r="I832" t="s">
        <v>3583</v>
      </c>
      <c r="J832" t="s">
        <v>3584</v>
      </c>
      <c r="K832" s="4">
        <v>4.99</v>
      </c>
      <c r="L832" s="4">
        <v>1.8663000000000001</v>
      </c>
    </row>
    <row r="833" spans="1:12">
      <c r="A833" s="1">
        <v>42732</v>
      </c>
      <c r="B833">
        <v>1</v>
      </c>
      <c r="C833" t="s">
        <v>6226</v>
      </c>
      <c r="D833" s="4">
        <v>13.0863</v>
      </c>
      <c r="E833" s="4">
        <v>34.99</v>
      </c>
      <c r="F833" t="s">
        <v>6227</v>
      </c>
      <c r="G833" t="s">
        <v>6228</v>
      </c>
      <c r="H833" t="s">
        <v>3585</v>
      </c>
      <c r="I833" t="s">
        <v>3585</v>
      </c>
      <c r="J833" t="s">
        <v>3584</v>
      </c>
      <c r="K833" s="4">
        <v>34.99</v>
      </c>
      <c r="L833" s="4">
        <v>13.0863</v>
      </c>
    </row>
    <row r="834" spans="1:12">
      <c r="A834" s="1">
        <v>42732</v>
      </c>
      <c r="B834">
        <v>1</v>
      </c>
      <c r="C834" t="s">
        <v>6283</v>
      </c>
      <c r="D834" s="4">
        <v>1481.9378999999999</v>
      </c>
      <c r="E834" s="4">
        <v>2384.0700000000002</v>
      </c>
      <c r="F834" t="s">
        <v>6274</v>
      </c>
      <c r="G834" t="s">
        <v>3475</v>
      </c>
      <c r="H834" t="s">
        <v>3586</v>
      </c>
      <c r="I834" t="s">
        <v>3586</v>
      </c>
      <c r="J834" t="s">
        <v>3587</v>
      </c>
      <c r="K834" s="4">
        <v>2384.0700000000002</v>
      </c>
      <c r="L834" s="4">
        <v>1481.9378999999999</v>
      </c>
    </row>
    <row r="835" spans="1:12">
      <c r="A835" s="1">
        <v>42732</v>
      </c>
      <c r="B835">
        <v>1</v>
      </c>
      <c r="C835" t="s">
        <v>6252</v>
      </c>
      <c r="D835" s="4">
        <v>343.64960000000002</v>
      </c>
      <c r="E835" s="4">
        <v>539.99</v>
      </c>
      <c r="F835" t="s">
        <v>3479</v>
      </c>
      <c r="G835" t="s">
        <v>3475</v>
      </c>
      <c r="H835" t="s">
        <v>3586</v>
      </c>
      <c r="I835" t="s">
        <v>3586</v>
      </c>
      <c r="J835" t="s">
        <v>3587</v>
      </c>
      <c r="K835" s="4">
        <v>539.99</v>
      </c>
      <c r="L835" s="4">
        <v>343.64960000000002</v>
      </c>
    </row>
    <row r="836" spans="1:12">
      <c r="A836" s="1">
        <v>42733</v>
      </c>
      <c r="B836">
        <v>1</v>
      </c>
      <c r="C836" t="s">
        <v>6258</v>
      </c>
      <c r="D836" s="4">
        <v>2.9733000000000001</v>
      </c>
      <c r="E836" s="4">
        <v>7.95</v>
      </c>
      <c r="F836" t="s">
        <v>6259</v>
      </c>
      <c r="G836" t="s">
        <v>6228</v>
      </c>
      <c r="H836" t="s">
        <v>3577</v>
      </c>
      <c r="I836" t="s">
        <v>3578</v>
      </c>
      <c r="J836" t="s">
        <v>3579</v>
      </c>
      <c r="K836" s="4">
        <v>7.95</v>
      </c>
      <c r="L836" s="4">
        <v>2.9733000000000001</v>
      </c>
    </row>
    <row r="837" spans="1:12">
      <c r="A837" s="1">
        <v>42733</v>
      </c>
      <c r="B837">
        <v>1</v>
      </c>
      <c r="C837" t="s">
        <v>6242</v>
      </c>
      <c r="D837" s="4">
        <v>1.8663000000000001</v>
      </c>
      <c r="E837" s="4">
        <v>4.99</v>
      </c>
      <c r="F837" t="s">
        <v>6243</v>
      </c>
      <c r="G837" t="s">
        <v>6228</v>
      </c>
      <c r="H837" t="s">
        <v>3577</v>
      </c>
      <c r="I837" t="s">
        <v>3578</v>
      </c>
      <c r="J837" t="s">
        <v>3579</v>
      </c>
      <c r="K837" s="4">
        <v>4.99</v>
      </c>
      <c r="L837" s="4">
        <v>1.8663000000000001</v>
      </c>
    </row>
    <row r="838" spans="1:12">
      <c r="A838" s="1">
        <v>42734</v>
      </c>
      <c r="B838">
        <v>1</v>
      </c>
      <c r="C838" t="s">
        <v>6229</v>
      </c>
      <c r="D838" s="4">
        <v>12.027799999999999</v>
      </c>
      <c r="E838" s="4">
        <v>33.644199999999998</v>
      </c>
      <c r="F838" t="s">
        <v>6227</v>
      </c>
      <c r="G838" t="s">
        <v>6228</v>
      </c>
      <c r="H838" t="s">
        <v>3577</v>
      </c>
      <c r="I838" t="s">
        <v>3578</v>
      </c>
      <c r="J838" t="s">
        <v>3579</v>
      </c>
      <c r="K838" s="4">
        <v>33.644199999999998</v>
      </c>
      <c r="L838" s="4">
        <v>12.027799999999999</v>
      </c>
    </row>
    <row r="839" spans="1:12">
      <c r="A839" s="1">
        <v>42734</v>
      </c>
      <c r="B839">
        <v>1</v>
      </c>
      <c r="C839" t="s">
        <v>6272</v>
      </c>
      <c r="D839" s="4">
        <v>9.3462999999999994</v>
      </c>
      <c r="E839" s="4">
        <v>24.99</v>
      </c>
      <c r="F839" t="s">
        <v>6243</v>
      </c>
      <c r="G839" t="s">
        <v>6228</v>
      </c>
      <c r="H839" t="s">
        <v>3577</v>
      </c>
      <c r="I839" t="s">
        <v>3578</v>
      </c>
      <c r="J839" t="s">
        <v>3579</v>
      </c>
      <c r="K839" s="4">
        <v>24.99</v>
      </c>
      <c r="L839" s="4">
        <v>9.3462999999999994</v>
      </c>
    </row>
    <row r="840" spans="1:12">
      <c r="A840" s="1">
        <v>42734</v>
      </c>
      <c r="B840">
        <v>1</v>
      </c>
      <c r="C840" t="s">
        <v>6254</v>
      </c>
      <c r="D840" s="4">
        <v>12.192399999999999</v>
      </c>
      <c r="E840" s="4">
        <v>32.6</v>
      </c>
      <c r="F840" t="s">
        <v>6243</v>
      </c>
      <c r="G840" t="s">
        <v>6228</v>
      </c>
      <c r="H840" t="s">
        <v>3577</v>
      </c>
      <c r="I840" t="s">
        <v>3578</v>
      </c>
      <c r="J840" t="s">
        <v>3579</v>
      </c>
      <c r="K840" s="4">
        <v>32.6</v>
      </c>
      <c r="L840" s="4">
        <v>12.192399999999999</v>
      </c>
    </row>
    <row r="841" spans="1:12">
      <c r="A841" s="1">
        <v>42734</v>
      </c>
      <c r="B841">
        <v>1</v>
      </c>
      <c r="C841" t="s">
        <v>3564</v>
      </c>
      <c r="D841" s="4">
        <v>605.64919999999995</v>
      </c>
      <c r="E841" s="4">
        <v>1000.4375</v>
      </c>
      <c r="F841" t="s">
        <v>3479</v>
      </c>
      <c r="G841" t="s">
        <v>3475</v>
      </c>
      <c r="H841" t="s">
        <v>3580</v>
      </c>
      <c r="I841" t="s">
        <v>3578</v>
      </c>
      <c r="J841" t="s">
        <v>3579</v>
      </c>
      <c r="K841" s="4">
        <v>1000.4375</v>
      </c>
      <c r="L841" s="4">
        <v>605.64919999999995</v>
      </c>
    </row>
    <row r="842" spans="1:12">
      <c r="A842" s="1">
        <v>42734</v>
      </c>
      <c r="B842">
        <v>1</v>
      </c>
      <c r="C842" t="s">
        <v>6258</v>
      </c>
      <c r="D842" s="4">
        <v>2.9733000000000001</v>
      </c>
      <c r="E842" s="4">
        <v>7.95</v>
      </c>
      <c r="F842" t="s">
        <v>6259</v>
      </c>
      <c r="G842" t="s">
        <v>6228</v>
      </c>
      <c r="H842" t="s">
        <v>3580</v>
      </c>
      <c r="I842" t="s">
        <v>3578</v>
      </c>
      <c r="J842" t="s">
        <v>3579</v>
      </c>
      <c r="K842" s="4">
        <v>7.95</v>
      </c>
      <c r="L842" s="4">
        <v>2.9733000000000001</v>
      </c>
    </row>
    <row r="843" spans="1:12">
      <c r="A843" s="1">
        <v>42734</v>
      </c>
      <c r="B843">
        <v>1</v>
      </c>
      <c r="C843" t="s">
        <v>6263</v>
      </c>
      <c r="D843" s="4">
        <v>3.3622999999999998</v>
      </c>
      <c r="E843" s="4">
        <v>8.99</v>
      </c>
      <c r="F843" t="s">
        <v>6264</v>
      </c>
      <c r="G843" t="s">
        <v>6233</v>
      </c>
      <c r="H843" t="s">
        <v>3582</v>
      </c>
      <c r="I843" t="s">
        <v>3582</v>
      </c>
      <c r="J843" t="s">
        <v>3579</v>
      </c>
      <c r="K843" s="4">
        <v>8.99</v>
      </c>
      <c r="L843" s="4">
        <v>3.3622999999999998</v>
      </c>
    </row>
    <row r="844" spans="1:12">
      <c r="A844" s="1">
        <v>42734</v>
      </c>
      <c r="B844">
        <v>1</v>
      </c>
      <c r="C844" t="s">
        <v>6236</v>
      </c>
      <c r="D844" s="4">
        <v>31.724399999999999</v>
      </c>
      <c r="E844" s="4">
        <v>48.067300000000003</v>
      </c>
      <c r="F844" t="s">
        <v>6235</v>
      </c>
      <c r="G844" t="s">
        <v>6233</v>
      </c>
      <c r="H844" t="s">
        <v>3583</v>
      </c>
      <c r="I844" t="s">
        <v>3583</v>
      </c>
      <c r="J844" t="s">
        <v>3584</v>
      </c>
      <c r="K844" s="4">
        <v>48.067300000000003</v>
      </c>
      <c r="L844" s="4">
        <v>31.724399999999999</v>
      </c>
    </row>
    <row r="845" spans="1:12">
      <c r="A845" s="1">
        <v>42735</v>
      </c>
      <c r="B845">
        <v>1</v>
      </c>
      <c r="C845" t="s">
        <v>6231</v>
      </c>
      <c r="D845" s="4">
        <v>5.7051999999999996</v>
      </c>
      <c r="E845" s="4">
        <v>8.6441999999999997</v>
      </c>
      <c r="F845" t="s">
        <v>6232</v>
      </c>
      <c r="G845" t="s">
        <v>6233</v>
      </c>
      <c r="H845" t="s">
        <v>3580</v>
      </c>
      <c r="I845" t="s">
        <v>3578</v>
      </c>
      <c r="J845" t="s">
        <v>3579</v>
      </c>
      <c r="K845" s="4">
        <v>8.6441999999999997</v>
      </c>
      <c r="L845" s="4">
        <v>5.7051999999999996</v>
      </c>
    </row>
    <row r="846" spans="1:12">
      <c r="A846" s="1">
        <v>42735</v>
      </c>
      <c r="B846">
        <v>1</v>
      </c>
      <c r="C846" t="s">
        <v>6260</v>
      </c>
      <c r="D846" s="4">
        <v>13.09</v>
      </c>
      <c r="E846" s="4">
        <v>35</v>
      </c>
      <c r="F846" t="s">
        <v>6243</v>
      </c>
      <c r="G846" t="s">
        <v>6228</v>
      </c>
      <c r="H846" t="s">
        <v>3580</v>
      </c>
      <c r="I846" t="s">
        <v>3578</v>
      </c>
      <c r="J846" t="s">
        <v>3579</v>
      </c>
      <c r="K846" s="4">
        <v>35</v>
      </c>
      <c r="L846" s="4">
        <v>13.09</v>
      </c>
    </row>
    <row r="847" spans="1:12">
      <c r="A847" s="1">
        <v>42735</v>
      </c>
      <c r="B847">
        <v>1</v>
      </c>
      <c r="C847" t="s">
        <v>6269</v>
      </c>
      <c r="D847" s="4">
        <v>9.3462999999999994</v>
      </c>
      <c r="E847" s="4">
        <v>24.99</v>
      </c>
      <c r="F847" t="s">
        <v>6243</v>
      </c>
      <c r="G847" t="s">
        <v>6228</v>
      </c>
      <c r="H847" t="s">
        <v>3582</v>
      </c>
      <c r="I847" t="s">
        <v>3582</v>
      </c>
      <c r="J847" t="s">
        <v>3579</v>
      </c>
      <c r="K847" s="4">
        <v>24.99</v>
      </c>
      <c r="L847" s="4">
        <v>9.3462999999999994</v>
      </c>
    </row>
    <row r="848" spans="1:12">
      <c r="A848" s="1">
        <v>42735</v>
      </c>
      <c r="B848">
        <v>1</v>
      </c>
      <c r="C848" t="s">
        <v>6239</v>
      </c>
      <c r="D848" s="4">
        <v>1.8663000000000001</v>
      </c>
      <c r="E848" s="4">
        <v>4.99</v>
      </c>
      <c r="F848" t="s">
        <v>6240</v>
      </c>
      <c r="G848" t="s">
        <v>6228</v>
      </c>
      <c r="H848" t="s">
        <v>3583</v>
      </c>
      <c r="I848" t="s">
        <v>3583</v>
      </c>
      <c r="J848" t="s">
        <v>3584</v>
      </c>
      <c r="K848" s="4">
        <v>4.99</v>
      </c>
      <c r="L848" s="4">
        <v>1.8663000000000001</v>
      </c>
    </row>
    <row r="849" spans="1:12">
      <c r="A849" s="1">
        <v>42735</v>
      </c>
      <c r="B849">
        <v>1</v>
      </c>
      <c r="C849" t="s">
        <v>6294</v>
      </c>
      <c r="D849" s="4">
        <v>1082.51</v>
      </c>
      <c r="E849" s="4">
        <v>1700.99</v>
      </c>
      <c r="F849" t="s">
        <v>3479</v>
      </c>
      <c r="G849" t="s">
        <v>3475</v>
      </c>
      <c r="H849" t="s">
        <v>3585</v>
      </c>
      <c r="I849" t="s">
        <v>3585</v>
      </c>
      <c r="J849" t="s">
        <v>3584</v>
      </c>
      <c r="K849" s="4">
        <v>1700.99</v>
      </c>
      <c r="L849" s="4">
        <v>1082.51</v>
      </c>
    </row>
    <row r="850" spans="1:12">
      <c r="A850" s="1">
        <v>42735</v>
      </c>
      <c r="B850">
        <v>1</v>
      </c>
      <c r="C850" t="s">
        <v>6241</v>
      </c>
      <c r="D850" s="4">
        <v>3.3622999999999998</v>
      </c>
      <c r="E850" s="4">
        <v>8.99</v>
      </c>
      <c r="F850" t="s">
        <v>6240</v>
      </c>
      <c r="G850" t="s">
        <v>6228</v>
      </c>
      <c r="H850" t="s">
        <v>3588</v>
      </c>
      <c r="I850" t="s">
        <v>3588</v>
      </c>
      <c r="J850" t="s">
        <v>3584</v>
      </c>
      <c r="K850" s="4">
        <v>8.99</v>
      </c>
      <c r="L850" s="4">
        <v>3.3622999999999998</v>
      </c>
    </row>
    <row r="851" spans="1:12">
      <c r="A851" s="1">
        <v>42736</v>
      </c>
      <c r="B851">
        <v>1</v>
      </c>
      <c r="C851" t="s">
        <v>6242</v>
      </c>
      <c r="D851" s="4">
        <v>1.8663000000000001</v>
      </c>
      <c r="E851" s="4">
        <v>4.99</v>
      </c>
      <c r="F851" t="s">
        <v>6243</v>
      </c>
      <c r="G851" t="s">
        <v>6228</v>
      </c>
      <c r="H851" t="s">
        <v>3582</v>
      </c>
      <c r="I851" t="s">
        <v>3582</v>
      </c>
      <c r="J851" t="s">
        <v>3579</v>
      </c>
      <c r="K851" s="4">
        <v>4.99</v>
      </c>
      <c r="L851" s="4">
        <v>1.8663000000000001</v>
      </c>
    </row>
    <row r="852" spans="1:12">
      <c r="A852" s="1">
        <v>42736</v>
      </c>
      <c r="B852">
        <v>1</v>
      </c>
      <c r="C852" t="s">
        <v>6239</v>
      </c>
      <c r="D852" s="4">
        <v>1.8663000000000001</v>
      </c>
      <c r="E852" s="4">
        <v>4.99</v>
      </c>
      <c r="F852" t="s">
        <v>6240</v>
      </c>
      <c r="G852" t="s">
        <v>6228</v>
      </c>
      <c r="H852" t="s">
        <v>3586</v>
      </c>
      <c r="I852" t="s">
        <v>3586</v>
      </c>
      <c r="J852" t="s">
        <v>3587</v>
      </c>
      <c r="K852" s="4">
        <v>4.99</v>
      </c>
      <c r="L852" s="4">
        <v>1.8663000000000001</v>
      </c>
    </row>
    <row r="853" spans="1:12">
      <c r="A853" s="1">
        <v>42736</v>
      </c>
      <c r="B853">
        <v>2</v>
      </c>
      <c r="C853" t="s">
        <v>6241</v>
      </c>
      <c r="D853" s="4">
        <v>3.3622999999999998</v>
      </c>
      <c r="E853" s="4">
        <v>8.99</v>
      </c>
      <c r="F853" t="s">
        <v>6240</v>
      </c>
      <c r="G853" t="s">
        <v>6228</v>
      </c>
      <c r="H853" t="s">
        <v>3586</v>
      </c>
      <c r="I853" t="s">
        <v>3586</v>
      </c>
      <c r="J853" t="s">
        <v>3587</v>
      </c>
      <c r="K853" s="4">
        <v>17.98</v>
      </c>
      <c r="L853" s="4">
        <v>6.7245999999999997</v>
      </c>
    </row>
    <row r="854" spans="1:12">
      <c r="A854" s="1">
        <v>42736</v>
      </c>
      <c r="B854">
        <v>1</v>
      </c>
      <c r="C854" t="s">
        <v>6242</v>
      </c>
      <c r="D854" s="4">
        <v>1.8663000000000001</v>
      </c>
      <c r="E854" s="4">
        <v>4.99</v>
      </c>
      <c r="F854" t="s">
        <v>6243</v>
      </c>
      <c r="G854" t="s">
        <v>6228</v>
      </c>
      <c r="H854" t="s">
        <v>3586</v>
      </c>
      <c r="I854" t="s">
        <v>3586</v>
      </c>
      <c r="J854" t="s">
        <v>3587</v>
      </c>
      <c r="K854" s="4">
        <v>4.99</v>
      </c>
      <c r="L854" s="4">
        <v>1.8663000000000001</v>
      </c>
    </row>
    <row r="855" spans="1:12">
      <c r="A855" s="1">
        <v>42736</v>
      </c>
      <c r="B855">
        <v>1</v>
      </c>
      <c r="C855" t="s">
        <v>6248</v>
      </c>
      <c r="D855" s="4">
        <v>8.2204999999999995</v>
      </c>
      <c r="E855" s="4">
        <v>21.98</v>
      </c>
      <c r="F855" t="s">
        <v>6249</v>
      </c>
      <c r="G855" t="s">
        <v>6228</v>
      </c>
      <c r="H855" t="s">
        <v>3588</v>
      </c>
      <c r="I855" t="s">
        <v>3588</v>
      </c>
      <c r="J855" t="s">
        <v>3584</v>
      </c>
      <c r="K855" s="4">
        <v>21.98</v>
      </c>
      <c r="L855" s="4">
        <v>8.2204999999999995</v>
      </c>
    </row>
    <row r="856" spans="1:12">
      <c r="A856" s="1">
        <v>42737</v>
      </c>
      <c r="B856">
        <v>1</v>
      </c>
      <c r="C856" t="s">
        <v>6260</v>
      </c>
      <c r="D856" s="4">
        <v>13.09</v>
      </c>
      <c r="E856" s="4">
        <v>35</v>
      </c>
      <c r="F856" t="s">
        <v>6243</v>
      </c>
      <c r="G856" t="s">
        <v>6228</v>
      </c>
      <c r="H856" t="s">
        <v>3577</v>
      </c>
      <c r="I856" t="s">
        <v>3578</v>
      </c>
      <c r="J856" t="s">
        <v>3579</v>
      </c>
      <c r="K856" s="4">
        <v>35</v>
      </c>
      <c r="L856" s="4">
        <v>13.09</v>
      </c>
    </row>
    <row r="857" spans="1:12">
      <c r="A857" s="1">
        <v>42737</v>
      </c>
      <c r="B857">
        <v>1</v>
      </c>
      <c r="C857" t="s">
        <v>6229</v>
      </c>
      <c r="D857" s="4">
        <v>12.027799999999999</v>
      </c>
      <c r="E857" s="4">
        <v>33.644199999999998</v>
      </c>
      <c r="F857" t="s">
        <v>6227</v>
      </c>
      <c r="G857" t="s">
        <v>6228</v>
      </c>
      <c r="H857" t="s">
        <v>3580</v>
      </c>
      <c r="I857" t="s">
        <v>3578</v>
      </c>
      <c r="J857" t="s">
        <v>3579</v>
      </c>
      <c r="K857" s="4">
        <v>33.644199999999998</v>
      </c>
      <c r="L857" s="4">
        <v>12.027799999999999</v>
      </c>
    </row>
    <row r="858" spans="1:12">
      <c r="A858" s="1">
        <v>42737</v>
      </c>
      <c r="B858">
        <v>1</v>
      </c>
      <c r="C858" t="s">
        <v>6241</v>
      </c>
      <c r="D858" s="4">
        <v>3.3622999999999998</v>
      </c>
      <c r="E858" s="4">
        <v>8.99</v>
      </c>
      <c r="F858" t="s">
        <v>6240</v>
      </c>
      <c r="G858" t="s">
        <v>6228</v>
      </c>
      <c r="H858" t="s">
        <v>3580</v>
      </c>
      <c r="I858" t="s">
        <v>3578</v>
      </c>
      <c r="J858" t="s">
        <v>3579</v>
      </c>
      <c r="K858" s="4">
        <v>8.99</v>
      </c>
      <c r="L858" s="4">
        <v>3.3622999999999998</v>
      </c>
    </row>
    <row r="859" spans="1:12">
      <c r="A859" s="1">
        <v>42737</v>
      </c>
      <c r="B859">
        <v>1</v>
      </c>
      <c r="C859" t="s">
        <v>6226</v>
      </c>
      <c r="D859" s="4">
        <v>13.0863</v>
      </c>
      <c r="E859" s="4">
        <v>34.99</v>
      </c>
      <c r="F859" t="s">
        <v>6227</v>
      </c>
      <c r="G859" t="s">
        <v>6228</v>
      </c>
      <c r="H859" t="s">
        <v>3585</v>
      </c>
      <c r="I859" t="s">
        <v>3585</v>
      </c>
      <c r="J859" t="s">
        <v>3584</v>
      </c>
      <c r="K859" s="4">
        <v>34.99</v>
      </c>
      <c r="L859" s="4">
        <v>13.0863</v>
      </c>
    </row>
    <row r="860" spans="1:12">
      <c r="A860" s="1">
        <v>42737</v>
      </c>
      <c r="B860">
        <v>1</v>
      </c>
      <c r="C860" t="s">
        <v>6242</v>
      </c>
      <c r="D860" s="4">
        <v>1.8663000000000001</v>
      </c>
      <c r="E860" s="4">
        <v>4.99</v>
      </c>
      <c r="F860" t="s">
        <v>6243</v>
      </c>
      <c r="G860" t="s">
        <v>6228</v>
      </c>
      <c r="H860" t="s">
        <v>3585</v>
      </c>
      <c r="I860" t="s">
        <v>3585</v>
      </c>
      <c r="J860" t="s">
        <v>3584</v>
      </c>
      <c r="K860" s="4">
        <v>4.99</v>
      </c>
      <c r="L860" s="4">
        <v>1.8663000000000001</v>
      </c>
    </row>
    <row r="861" spans="1:12">
      <c r="A861" s="1">
        <v>42737</v>
      </c>
      <c r="B861">
        <v>1</v>
      </c>
      <c r="C861" t="s">
        <v>6226</v>
      </c>
      <c r="D861" s="4">
        <v>13.0863</v>
      </c>
      <c r="E861" s="4">
        <v>34.99</v>
      </c>
      <c r="F861" t="s">
        <v>6227</v>
      </c>
      <c r="G861" t="s">
        <v>6228</v>
      </c>
      <c r="H861" t="s">
        <v>3586</v>
      </c>
      <c r="I861" t="s">
        <v>3586</v>
      </c>
      <c r="J861" t="s">
        <v>3587</v>
      </c>
      <c r="K861" s="4">
        <v>34.99</v>
      </c>
      <c r="L861" s="4">
        <v>13.0863</v>
      </c>
    </row>
    <row r="862" spans="1:12">
      <c r="A862" s="1">
        <v>42737</v>
      </c>
      <c r="B862">
        <v>1</v>
      </c>
      <c r="C862" t="s">
        <v>6281</v>
      </c>
      <c r="D862" s="4">
        <v>1481.9378999999999</v>
      </c>
      <c r="E862" s="4">
        <v>2384.0700000000002</v>
      </c>
      <c r="F862" t="s">
        <v>6274</v>
      </c>
      <c r="G862" t="s">
        <v>3475</v>
      </c>
      <c r="H862" t="s">
        <v>3586</v>
      </c>
      <c r="I862" t="s">
        <v>3586</v>
      </c>
      <c r="J862" t="s">
        <v>3587</v>
      </c>
      <c r="K862" s="4">
        <v>2384.0700000000002</v>
      </c>
      <c r="L862" s="4">
        <v>1481.9378999999999</v>
      </c>
    </row>
    <row r="863" spans="1:12">
      <c r="A863" s="1">
        <v>42738</v>
      </c>
      <c r="B863">
        <v>1</v>
      </c>
      <c r="C863" t="s">
        <v>6246</v>
      </c>
      <c r="D863" s="4">
        <v>20.566299999999998</v>
      </c>
      <c r="E863" s="4">
        <v>54.99</v>
      </c>
      <c r="F863" t="s">
        <v>6247</v>
      </c>
      <c r="G863" t="s">
        <v>6228</v>
      </c>
      <c r="H863" t="s">
        <v>3577</v>
      </c>
      <c r="I863" t="s">
        <v>3578</v>
      </c>
      <c r="J863" t="s">
        <v>3579</v>
      </c>
      <c r="K863" s="4">
        <v>54.99</v>
      </c>
      <c r="L863" s="4">
        <v>20.566299999999998</v>
      </c>
    </row>
    <row r="864" spans="1:12">
      <c r="A864" s="1">
        <v>42738</v>
      </c>
      <c r="B864">
        <v>1</v>
      </c>
      <c r="C864" t="s">
        <v>6248</v>
      </c>
      <c r="D864" s="4">
        <v>8.2204999999999995</v>
      </c>
      <c r="E864" s="4">
        <v>21.98</v>
      </c>
      <c r="F864" t="s">
        <v>6249</v>
      </c>
      <c r="G864" t="s">
        <v>6228</v>
      </c>
      <c r="H864" t="s">
        <v>3580</v>
      </c>
      <c r="I864" t="s">
        <v>3578</v>
      </c>
      <c r="J864" t="s">
        <v>3579</v>
      </c>
      <c r="K864" s="4">
        <v>21.98</v>
      </c>
      <c r="L864" s="4">
        <v>8.2204999999999995</v>
      </c>
    </row>
    <row r="865" spans="1:12">
      <c r="A865" s="1">
        <v>42738</v>
      </c>
      <c r="B865">
        <v>1</v>
      </c>
      <c r="C865" t="s">
        <v>6239</v>
      </c>
      <c r="D865" s="4">
        <v>1.8663000000000001</v>
      </c>
      <c r="E865" s="4">
        <v>4.99</v>
      </c>
      <c r="F865" t="s">
        <v>6240</v>
      </c>
      <c r="G865" t="s">
        <v>6228</v>
      </c>
      <c r="H865" t="s">
        <v>3582</v>
      </c>
      <c r="I865" t="s">
        <v>3582</v>
      </c>
      <c r="J865" t="s">
        <v>3579</v>
      </c>
      <c r="K865" s="4">
        <v>4.99</v>
      </c>
      <c r="L865" s="4">
        <v>1.8663000000000001</v>
      </c>
    </row>
    <row r="866" spans="1:12">
      <c r="A866" s="1">
        <v>42738</v>
      </c>
      <c r="B866">
        <v>1</v>
      </c>
      <c r="C866" t="s">
        <v>6254</v>
      </c>
      <c r="D866" s="4">
        <v>12.192399999999999</v>
      </c>
      <c r="E866" s="4">
        <v>32.6</v>
      </c>
      <c r="F866" t="s">
        <v>6243</v>
      </c>
      <c r="G866" t="s">
        <v>6228</v>
      </c>
      <c r="H866" t="s">
        <v>3583</v>
      </c>
      <c r="I866" t="s">
        <v>3583</v>
      </c>
      <c r="J866" t="s">
        <v>3584</v>
      </c>
      <c r="K866" s="4">
        <v>32.6</v>
      </c>
      <c r="L866" s="4">
        <v>12.192399999999999</v>
      </c>
    </row>
    <row r="867" spans="1:12">
      <c r="A867" s="1">
        <v>42738</v>
      </c>
      <c r="B867">
        <v>1</v>
      </c>
      <c r="C867" t="s">
        <v>6245</v>
      </c>
      <c r="D867" s="4">
        <v>0.85650000000000004</v>
      </c>
      <c r="E867" s="4">
        <v>2.29</v>
      </c>
      <c r="F867" t="s">
        <v>6243</v>
      </c>
      <c r="G867" t="s">
        <v>6228</v>
      </c>
      <c r="H867" t="s">
        <v>3585</v>
      </c>
      <c r="I867" t="s">
        <v>3585</v>
      </c>
      <c r="J867" t="s">
        <v>3584</v>
      </c>
      <c r="K867" s="4">
        <v>2.29</v>
      </c>
      <c r="L867" s="4">
        <v>0.85650000000000004</v>
      </c>
    </row>
    <row r="868" spans="1:12">
      <c r="A868" s="1">
        <v>42738</v>
      </c>
      <c r="B868">
        <v>1</v>
      </c>
      <c r="C868" t="s">
        <v>6239</v>
      </c>
      <c r="D868" s="4">
        <v>1.8663000000000001</v>
      </c>
      <c r="E868" s="4">
        <v>4.99</v>
      </c>
      <c r="F868" t="s">
        <v>6240</v>
      </c>
      <c r="G868" t="s">
        <v>6228</v>
      </c>
      <c r="H868" t="s">
        <v>3586</v>
      </c>
      <c r="I868" t="s">
        <v>3586</v>
      </c>
      <c r="J868" t="s">
        <v>3587</v>
      </c>
      <c r="K868" s="4">
        <v>4.99</v>
      </c>
      <c r="L868" s="4">
        <v>1.8663000000000001</v>
      </c>
    </row>
    <row r="869" spans="1:12">
      <c r="A869" s="1">
        <v>42739</v>
      </c>
      <c r="B869">
        <v>1</v>
      </c>
      <c r="C869" t="s">
        <v>6271</v>
      </c>
      <c r="D869" s="4">
        <v>11.2163</v>
      </c>
      <c r="E869" s="4">
        <v>29.99</v>
      </c>
      <c r="F869" t="s">
        <v>6243</v>
      </c>
      <c r="G869" t="s">
        <v>6228</v>
      </c>
      <c r="H869" t="s">
        <v>3580</v>
      </c>
      <c r="I869" t="s">
        <v>3578</v>
      </c>
      <c r="J869" t="s">
        <v>3579</v>
      </c>
      <c r="K869" s="4">
        <v>29.99</v>
      </c>
      <c r="L869" s="4">
        <v>11.2163</v>
      </c>
    </row>
    <row r="870" spans="1:12">
      <c r="A870" s="1">
        <v>42739</v>
      </c>
      <c r="B870">
        <v>1</v>
      </c>
      <c r="C870" t="s">
        <v>6258</v>
      </c>
      <c r="D870" s="4">
        <v>2.9733000000000001</v>
      </c>
      <c r="E870" s="4">
        <v>7.95</v>
      </c>
      <c r="F870" t="s">
        <v>6259</v>
      </c>
      <c r="G870" t="s">
        <v>6228</v>
      </c>
      <c r="H870" t="s">
        <v>3586</v>
      </c>
      <c r="I870" t="s">
        <v>3586</v>
      </c>
      <c r="J870" t="s">
        <v>3587</v>
      </c>
      <c r="K870" s="4">
        <v>7.95</v>
      </c>
      <c r="L870" s="4">
        <v>2.9733000000000001</v>
      </c>
    </row>
    <row r="871" spans="1:12">
      <c r="A871" s="1">
        <v>42740</v>
      </c>
      <c r="B871">
        <v>1</v>
      </c>
      <c r="C871" t="s">
        <v>6241</v>
      </c>
      <c r="D871" s="4">
        <v>3.3622999999999998</v>
      </c>
      <c r="E871" s="4">
        <v>8.99</v>
      </c>
      <c r="F871" t="s">
        <v>6240</v>
      </c>
      <c r="G871" t="s">
        <v>6228</v>
      </c>
      <c r="H871" t="s">
        <v>3577</v>
      </c>
      <c r="I871" t="s">
        <v>3578</v>
      </c>
      <c r="J871" t="s">
        <v>3579</v>
      </c>
      <c r="K871" s="4">
        <v>8.99</v>
      </c>
      <c r="L871" s="4">
        <v>3.3622999999999998</v>
      </c>
    </row>
    <row r="872" spans="1:12">
      <c r="A872" s="1">
        <v>42740</v>
      </c>
      <c r="B872">
        <v>1</v>
      </c>
      <c r="C872" t="s">
        <v>6271</v>
      </c>
      <c r="D872" s="4">
        <v>11.2163</v>
      </c>
      <c r="E872" s="4">
        <v>29.99</v>
      </c>
      <c r="F872" t="s">
        <v>6243</v>
      </c>
      <c r="G872" t="s">
        <v>6228</v>
      </c>
      <c r="H872" t="s">
        <v>3582</v>
      </c>
      <c r="I872" t="s">
        <v>3582</v>
      </c>
      <c r="J872" t="s">
        <v>3579</v>
      </c>
      <c r="K872" s="4">
        <v>29.99</v>
      </c>
      <c r="L872" s="4">
        <v>11.2163</v>
      </c>
    </row>
    <row r="873" spans="1:12">
      <c r="A873" s="1">
        <v>42740</v>
      </c>
      <c r="B873">
        <v>1</v>
      </c>
      <c r="C873" t="s">
        <v>6226</v>
      </c>
      <c r="D873" s="4">
        <v>13.0863</v>
      </c>
      <c r="E873" s="4">
        <v>34.99</v>
      </c>
      <c r="F873" t="s">
        <v>6227</v>
      </c>
      <c r="G873" t="s">
        <v>6228</v>
      </c>
      <c r="H873" t="s">
        <v>3583</v>
      </c>
      <c r="I873" t="s">
        <v>3583</v>
      </c>
      <c r="J873" t="s">
        <v>3584</v>
      </c>
      <c r="K873" s="4">
        <v>34.99</v>
      </c>
      <c r="L873" s="4">
        <v>13.0863</v>
      </c>
    </row>
    <row r="874" spans="1:12">
      <c r="A874" s="1">
        <v>42740</v>
      </c>
      <c r="B874">
        <v>1</v>
      </c>
      <c r="C874" t="s">
        <v>6245</v>
      </c>
      <c r="D874" s="4">
        <v>0.85650000000000004</v>
      </c>
      <c r="E874" s="4">
        <v>2.29</v>
      </c>
      <c r="F874" t="s">
        <v>6243</v>
      </c>
      <c r="G874" t="s">
        <v>6228</v>
      </c>
      <c r="H874" t="s">
        <v>3588</v>
      </c>
      <c r="I874" t="s">
        <v>3588</v>
      </c>
      <c r="J874" t="s">
        <v>3584</v>
      </c>
      <c r="K874" s="4">
        <v>2.29</v>
      </c>
      <c r="L874" s="4">
        <v>0.85650000000000004</v>
      </c>
    </row>
    <row r="875" spans="1:12">
      <c r="A875" s="1">
        <v>42741</v>
      </c>
      <c r="B875">
        <v>1</v>
      </c>
      <c r="C875" t="s">
        <v>6241</v>
      </c>
      <c r="D875" s="4">
        <v>3.3622999999999998</v>
      </c>
      <c r="E875" s="4">
        <v>8.99</v>
      </c>
      <c r="F875" t="s">
        <v>6240</v>
      </c>
      <c r="G875" t="s">
        <v>6228</v>
      </c>
      <c r="H875" t="s">
        <v>3583</v>
      </c>
      <c r="I875" t="s">
        <v>3583</v>
      </c>
      <c r="J875" t="s">
        <v>3584</v>
      </c>
      <c r="K875" s="4">
        <v>8.99</v>
      </c>
      <c r="L875" s="4">
        <v>3.3622999999999998</v>
      </c>
    </row>
    <row r="876" spans="1:12">
      <c r="A876" s="1">
        <v>42741</v>
      </c>
      <c r="B876">
        <v>1</v>
      </c>
      <c r="C876" t="s">
        <v>6265</v>
      </c>
      <c r="D876" s="4">
        <v>59.466000000000001</v>
      </c>
      <c r="E876" s="4">
        <v>159</v>
      </c>
      <c r="F876" t="s">
        <v>6266</v>
      </c>
      <c r="G876" t="s">
        <v>6228</v>
      </c>
      <c r="H876" t="s">
        <v>3583</v>
      </c>
      <c r="I876" t="s">
        <v>3583</v>
      </c>
      <c r="J876" t="s">
        <v>3584</v>
      </c>
      <c r="K876" s="4">
        <v>159</v>
      </c>
      <c r="L876" s="4">
        <v>59.466000000000001</v>
      </c>
    </row>
    <row r="877" spans="1:12">
      <c r="A877" s="1">
        <v>42741</v>
      </c>
      <c r="B877">
        <v>1</v>
      </c>
      <c r="C877" t="s">
        <v>6231</v>
      </c>
      <c r="D877" s="4">
        <v>5.7051999999999996</v>
      </c>
      <c r="E877" s="4">
        <v>8.6441999999999997</v>
      </c>
      <c r="F877" t="s">
        <v>6232</v>
      </c>
      <c r="G877" t="s">
        <v>6233</v>
      </c>
      <c r="H877" t="s">
        <v>3586</v>
      </c>
      <c r="I877" t="s">
        <v>3586</v>
      </c>
      <c r="J877" t="s">
        <v>3587</v>
      </c>
      <c r="K877" s="4">
        <v>8.6441999999999997</v>
      </c>
      <c r="L877" s="4">
        <v>5.7051999999999996</v>
      </c>
    </row>
    <row r="878" spans="1:12">
      <c r="A878" s="1">
        <v>42741</v>
      </c>
      <c r="B878">
        <v>1</v>
      </c>
      <c r="C878" t="s">
        <v>3568</v>
      </c>
      <c r="D878" s="4">
        <v>605.64919999999995</v>
      </c>
      <c r="E878" s="4">
        <v>1000.4375</v>
      </c>
      <c r="F878" t="s">
        <v>3479</v>
      </c>
      <c r="G878" t="s">
        <v>3475</v>
      </c>
      <c r="H878" t="s">
        <v>3586</v>
      </c>
      <c r="I878" t="s">
        <v>3586</v>
      </c>
      <c r="J878" t="s">
        <v>3587</v>
      </c>
      <c r="K878" s="4">
        <v>1000.4375</v>
      </c>
      <c r="L878" s="4">
        <v>605.64919999999995</v>
      </c>
    </row>
    <row r="879" spans="1:12">
      <c r="A879" s="1">
        <v>42742</v>
      </c>
      <c r="B879">
        <v>1</v>
      </c>
      <c r="C879" t="s">
        <v>6230</v>
      </c>
      <c r="D879" s="4">
        <v>12.027799999999999</v>
      </c>
      <c r="E879" s="4">
        <v>33.644199999999998</v>
      </c>
      <c r="F879" t="s">
        <v>6227</v>
      </c>
      <c r="G879" t="s">
        <v>6228</v>
      </c>
      <c r="H879" t="s">
        <v>3577</v>
      </c>
      <c r="I879" t="s">
        <v>3578</v>
      </c>
      <c r="J879" t="s">
        <v>3579</v>
      </c>
      <c r="K879" s="4">
        <v>33.644199999999998</v>
      </c>
      <c r="L879" s="4">
        <v>12.027799999999999</v>
      </c>
    </row>
    <row r="880" spans="1:12">
      <c r="A880" s="1">
        <v>42742</v>
      </c>
      <c r="B880">
        <v>1</v>
      </c>
      <c r="C880" t="s">
        <v>6311</v>
      </c>
      <c r="D880" s="4">
        <v>41.572299999999998</v>
      </c>
      <c r="E880" s="4">
        <v>53.99</v>
      </c>
      <c r="F880" t="s">
        <v>6235</v>
      </c>
      <c r="G880" t="s">
        <v>6233</v>
      </c>
      <c r="H880" t="s">
        <v>3577</v>
      </c>
      <c r="I880" t="s">
        <v>3578</v>
      </c>
      <c r="J880" t="s">
        <v>3579</v>
      </c>
      <c r="K880" s="4">
        <v>53.99</v>
      </c>
      <c r="L880" s="4">
        <v>41.572299999999998</v>
      </c>
    </row>
    <row r="881" spans="1:12">
      <c r="A881" s="1">
        <v>42742</v>
      </c>
      <c r="B881">
        <v>1</v>
      </c>
      <c r="C881" t="s">
        <v>3556</v>
      </c>
      <c r="D881" s="4">
        <v>1320.6838</v>
      </c>
      <c r="E881" s="4">
        <v>2181.5625</v>
      </c>
      <c r="F881" t="s">
        <v>3479</v>
      </c>
      <c r="G881" t="s">
        <v>3475</v>
      </c>
      <c r="H881" t="s">
        <v>3583</v>
      </c>
      <c r="I881" t="s">
        <v>3583</v>
      </c>
      <c r="J881" t="s">
        <v>3584</v>
      </c>
      <c r="K881" s="4">
        <v>2181.5625</v>
      </c>
      <c r="L881" s="4">
        <v>1320.6838</v>
      </c>
    </row>
    <row r="882" spans="1:12">
      <c r="A882" s="1">
        <v>42743</v>
      </c>
      <c r="B882">
        <v>1</v>
      </c>
      <c r="C882" t="s">
        <v>6245</v>
      </c>
      <c r="D882" s="4">
        <v>0.85650000000000004</v>
      </c>
      <c r="E882" s="4">
        <v>2.29</v>
      </c>
      <c r="F882" t="s">
        <v>6243</v>
      </c>
      <c r="G882" t="s">
        <v>6228</v>
      </c>
      <c r="H882" t="s">
        <v>3577</v>
      </c>
      <c r="I882" t="s">
        <v>3578</v>
      </c>
      <c r="J882" t="s">
        <v>3579</v>
      </c>
      <c r="K882" s="4">
        <v>2.29</v>
      </c>
      <c r="L882" s="4">
        <v>0.85650000000000004</v>
      </c>
    </row>
    <row r="883" spans="1:12">
      <c r="A883" s="1">
        <v>42743</v>
      </c>
      <c r="B883">
        <v>1</v>
      </c>
      <c r="C883" t="s">
        <v>6268</v>
      </c>
      <c r="D883" s="4">
        <v>41.572299999999998</v>
      </c>
      <c r="E883" s="4">
        <v>53.99</v>
      </c>
      <c r="F883" t="s">
        <v>6235</v>
      </c>
      <c r="G883" t="s">
        <v>6233</v>
      </c>
      <c r="H883" t="s">
        <v>3577</v>
      </c>
      <c r="I883" t="s">
        <v>3578</v>
      </c>
      <c r="J883" t="s">
        <v>3579</v>
      </c>
      <c r="K883" s="4">
        <v>53.99</v>
      </c>
      <c r="L883" s="4">
        <v>41.572299999999998</v>
      </c>
    </row>
    <row r="884" spans="1:12">
      <c r="A884" s="1">
        <v>42743</v>
      </c>
      <c r="B884">
        <v>1</v>
      </c>
      <c r="C884" t="s">
        <v>6248</v>
      </c>
      <c r="D884" s="4">
        <v>8.2204999999999995</v>
      </c>
      <c r="E884" s="4">
        <v>21.98</v>
      </c>
      <c r="F884" t="s">
        <v>6249</v>
      </c>
      <c r="G884" t="s">
        <v>6228</v>
      </c>
      <c r="H884" t="s">
        <v>3585</v>
      </c>
      <c r="I884" t="s">
        <v>3585</v>
      </c>
      <c r="J884" t="s">
        <v>3584</v>
      </c>
      <c r="K884" s="4">
        <v>21.98</v>
      </c>
      <c r="L884" s="4">
        <v>8.2204999999999995</v>
      </c>
    </row>
    <row r="885" spans="1:12">
      <c r="A885" s="1">
        <v>42743</v>
      </c>
      <c r="B885">
        <v>1</v>
      </c>
      <c r="C885" t="s">
        <v>6272</v>
      </c>
      <c r="D885" s="4">
        <v>9.3462999999999994</v>
      </c>
      <c r="E885" s="4">
        <v>24.99</v>
      </c>
      <c r="F885" t="s">
        <v>6243</v>
      </c>
      <c r="G885" t="s">
        <v>6228</v>
      </c>
      <c r="H885" t="s">
        <v>3588</v>
      </c>
      <c r="I885" t="s">
        <v>3588</v>
      </c>
      <c r="J885" t="s">
        <v>3584</v>
      </c>
      <c r="K885" s="4">
        <v>24.99</v>
      </c>
      <c r="L885" s="4">
        <v>9.3462999999999994</v>
      </c>
    </row>
    <row r="886" spans="1:12">
      <c r="A886" s="1">
        <v>42744</v>
      </c>
      <c r="B886">
        <v>1</v>
      </c>
      <c r="C886" t="s">
        <v>6244</v>
      </c>
      <c r="D886" s="4">
        <v>3.7363</v>
      </c>
      <c r="E886" s="4">
        <v>9.99</v>
      </c>
      <c r="F886" t="s">
        <v>6240</v>
      </c>
      <c r="G886" t="s">
        <v>6228</v>
      </c>
      <c r="H886" t="s">
        <v>3580</v>
      </c>
      <c r="I886" t="s">
        <v>3578</v>
      </c>
      <c r="J886" t="s">
        <v>3579</v>
      </c>
      <c r="K886" s="4">
        <v>9.99</v>
      </c>
      <c r="L886" s="4">
        <v>3.7363</v>
      </c>
    </row>
    <row r="887" spans="1:12">
      <c r="A887" s="1">
        <v>42744</v>
      </c>
      <c r="B887">
        <v>1</v>
      </c>
      <c r="C887" t="s">
        <v>6241</v>
      </c>
      <c r="D887" s="4">
        <v>3.3622999999999998</v>
      </c>
      <c r="E887" s="4">
        <v>8.99</v>
      </c>
      <c r="F887" t="s">
        <v>6240</v>
      </c>
      <c r="G887" t="s">
        <v>6228</v>
      </c>
      <c r="H887" t="s">
        <v>3580</v>
      </c>
      <c r="I887" t="s">
        <v>3578</v>
      </c>
      <c r="J887" t="s">
        <v>3579</v>
      </c>
      <c r="K887" s="4">
        <v>8.99</v>
      </c>
      <c r="L887" s="4">
        <v>3.3622999999999998</v>
      </c>
    </row>
    <row r="888" spans="1:12">
      <c r="A888" s="1">
        <v>42744</v>
      </c>
      <c r="B888">
        <v>1</v>
      </c>
      <c r="C888" t="s">
        <v>6285</v>
      </c>
      <c r="D888" s="4">
        <v>26.176300000000001</v>
      </c>
      <c r="E888" s="4">
        <v>69.989999999999995</v>
      </c>
      <c r="F888" t="s">
        <v>6262</v>
      </c>
      <c r="G888" t="s">
        <v>6233</v>
      </c>
      <c r="H888" t="s">
        <v>3582</v>
      </c>
      <c r="I888" t="s">
        <v>3582</v>
      </c>
      <c r="J888" t="s">
        <v>3579</v>
      </c>
      <c r="K888" s="4">
        <v>69.989999999999995</v>
      </c>
      <c r="L888" s="4">
        <v>26.176300000000001</v>
      </c>
    </row>
    <row r="889" spans="1:12">
      <c r="A889" s="1">
        <v>42744</v>
      </c>
      <c r="B889">
        <v>1</v>
      </c>
      <c r="C889" t="s">
        <v>6226</v>
      </c>
      <c r="D889" s="4">
        <v>13.0863</v>
      </c>
      <c r="E889" s="4">
        <v>34.99</v>
      </c>
      <c r="F889" t="s">
        <v>6227</v>
      </c>
      <c r="G889" t="s">
        <v>6228</v>
      </c>
      <c r="H889" t="s">
        <v>3586</v>
      </c>
      <c r="I889" t="s">
        <v>3586</v>
      </c>
      <c r="J889" t="s">
        <v>3587</v>
      </c>
      <c r="K889" s="4">
        <v>34.99</v>
      </c>
      <c r="L889" s="4">
        <v>13.0863</v>
      </c>
    </row>
    <row r="890" spans="1:12">
      <c r="A890" s="1">
        <v>42745</v>
      </c>
      <c r="B890">
        <v>1</v>
      </c>
      <c r="C890" t="s">
        <v>6230</v>
      </c>
      <c r="D890" s="4">
        <v>12.027799999999999</v>
      </c>
      <c r="E890" s="4">
        <v>33.644199999999998</v>
      </c>
      <c r="F890" t="s">
        <v>6227</v>
      </c>
      <c r="G890" t="s">
        <v>6228</v>
      </c>
      <c r="H890" t="s">
        <v>3577</v>
      </c>
      <c r="I890" t="s">
        <v>3578</v>
      </c>
      <c r="J890" t="s">
        <v>3579</v>
      </c>
      <c r="K890" s="4">
        <v>33.644199999999998</v>
      </c>
      <c r="L890" s="4">
        <v>12.027799999999999</v>
      </c>
    </row>
    <row r="891" spans="1:12">
      <c r="A891" s="1">
        <v>42745</v>
      </c>
      <c r="B891">
        <v>1</v>
      </c>
      <c r="C891" t="s">
        <v>6299</v>
      </c>
      <c r="D891" s="4">
        <v>755.1508</v>
      </c>
      <c r="E891" s="4">
        <v>1214.8499999999999</v>
      </c>
      <c r="F891" t="s">
        <v>6274</v>
      </c>
      <c r="G891" t="s">
        <v>3475</v>
      </c>
      <c r="H891" t="s">
        <v>3580</v>
      </c>
      <c r="I891" t="s">
        <v>3578</v>
      </c>
      <c r="J891" t="s">
        <v>3579</v>
      </c>
      <c r="K891" s="4">
        <v>1214.8499999999999</v>
      </c>
      <c r="L891" s="4">
        <v>755.1508</v>
      </c>
    </row>
    <row r="892" spans="1:12">
      <c r="A892" s="1">
        <v>42745</v>
      </c>
      <c r="B892">
        <v>1</v>
      </c>
      <c r="C892" t="s">
        <v>6250</v>
      </c>
      <c r="D892" s="4">
        <v>9.7135999999999996</v>
      </c>
      <c r="E892" s="4">
        <v>23.548100000000002</v>
      </c>
      <c r="F892" t="s">
        <v>6251</v>
      </c>
      <c r="G892" t="s">
        <v>6233</v>
      </c>
      <c r="H892" t="s">
        <v>3582</v>
      </c>
      <c r="I892" t="s">
        <v>3582</v>
      </c>
      <c r="J892" t="s">
        <v>3579</v>
      </c>
      <c r="K892" s="4">
        <v>23.548100000000002</v>
      </c>
      <c r="L892" s="4">
        <v>9.7135999999999996</v>
      </c>
    </row>
    <row r="893" spans="1:12">
      <c r="A893" s="1">
        <v>42745</v>
      </c>
      <c r="B893">
        <v>1</v>
      </c>
      <c r="C893" t="s">
        <v>6271</v>
      </c>
      <c r="D893" s="4">
        <v>11.2163</v>
      </c>
      <c r="E893" s="4">
        <v>29.99</v>
      </c>
      <c r="F893" t="s">
        <v>6243</v>
      </c>
      <c r="G893" t="s">
        <v>6228</v>
      </c>
      <c r="H893" t="s">
        <v>3582</v>
      </c>
      <c r="I893" t="s">
        <v>3582</v>
      </c>
      <c r="J893" t="s">
        <v>3579</v>
      </c>
      <c r="K893" s="4">
        <v>29.99</v>
      </c>
      <c r="L893" s="4">
        <v>11.2163</v>
      </c>
    </row>
    <row r="894" spans="1:12">
      <c r="A894" s="1">
        <v>42745</v>
      </c>
      <c r="B894">
        <v>1</v>
      </c>
      <c r="C894" t="s">
        <v>6277</v>
      </c>
      <c r="D894" s="4">
        <v>8.0373000000000001</v>
      </c>
      <c r="E894" s="4">
        <v>21.49</v>
      </c>
      <c r="F894" t="s">
        <v>6243</v>
      </c>
      <c r="G894" t="s">
        <v>6228</v>
      </c>
      <c r="H894" t="s">
        <v>3582</v>
      </c>
      <c r="I894" t="s">
        <v>3582</v>
      </c>
      <c r="J894" t="s">
        <v>3579</v>
      </c>
      <c r="K894" s="4">
        <v>21.49</v>
      </c>
      <c r="L894" s="4">
        <v>8.0373000000000001</v>
      </c>
    </row>
    <row r="895" spans="1:12">
      <c r="A895" s="1">
        <v>42745</v>
      </c>
      <c r="B895">
        <v>1</v>
      </c>
      <c r="C895" t="s">
        <v>6229</v>
      </c>
      <c r="D895" s="4">
        <v>12.027799999999999</v>
      </c>
      <c r="E895" s="4">
        <v>33.644199999999998</v>
      </c>
      <c r="F895" t="s">
        <v>6227</v>
      </c>
      <c r="G895" t="s">
        <v>6228</v>
      </c>
      <c r="H895" t="s">
        <v>3585</v>
      </c>
      <c r="I895" t="s">
        <v>3585</v>
      </c>
      <c r="J895" t="s">
        <v>3584</v>
      </c>
      <c r="K895" s="4">
        <v>33.644199999999998</v>
      </c>
      <c r="L895" s="4">
        <v>12.027799999999999</v>
      </c>
    </row>
    <row r="896" spans="1:12">
      <c r="A896" s="1">
        <v>42745</v>
      </c>
      <c r="B896">
        <v>1</v>
      </c>
      <c r="C896" t="s">
        <v>6272</v>
      </c>
      <c r="D896" s="4">
        <v>9.3462999999999994</v>
      </c>
      <c r="E896" s="4">
        <v>24.99</v>
      </c>
      <c r="F896" t="s">
        <v>6243</v>
      </c>
      <c r="G896" t="s">
        <v>6228</v>
      </c>
      <c r="H896" t="s">
        <v>3588</v>
      </c>
      <c r="I896" t="s">
        <v>3588</v>
      </c>
      <c r="J896" t="s">
        <v>3584</v>
      </c>
      <c r="K896" s="4">
        <v>24.99</v>
      </c>
      <c r="L896" s="4">
        <v>9.3462999999999994</v>
      </c>
    </row>
    <row r="897" spans="1:12">
      <c r="A897" s="1">
        <v>42746</v>
      </c>
      <c r="B897">
        <v>1</v>
      </c>
      <c r="C897" t="s">
        <v>6258</v>
      </c>
      <c r="D897" s="4">
        <v>2.9733000000000001</v>
      </c>
      <c r="E897" s="4">
        <v>7.95</v>
      </c>
      <c r="F897" t="s">
        <v>6259</v>
      </c>
      <c r="G897" t="s">
        <v>6228</v>
      </c>
      <c r="H897" t="s">
        <v>3577</v>
      </c>
      <c r="I897" t="s">
        <v>3578</v>
      </c>
      <c r="J897" t="s">
        <v>3579</v>
      </c>
      <c r="K897" s="4">
        <v>7.95</v>
      </c>
      <c r="L897" s="4">
        <v>2.9733000000000001</v>
      </c>
    </row>
    <row r="898" spans="1:12">
      <c r="A898" s="1">
        <v>42746</v>
      </c>
      <c r="B898">
        <v>1</v>
      </c>
      <c r="C898" t="s">
        <v>6313</v>
      </c>
      <c r="D898" s="4">
        <v>419.77839999999998</v>
      </c>
      <c r="E898" s="4">
        <v>769.49</v>
      </c>
      <c r="F898" t="s">
        <v>3478</v>
      </c>
      <c r="G898" t="s">
        <v>3475</v>
      </c>
      <c r="H898" t="s">
        <v>3577</v>
      </c>
      <c r="I898" t="s">
        <v>3578</v>
      </c>
      <c r="J898" t="s">
        <v>3579</v>
      </c>
      <c r="K898" s="4">
        <v>769.49</v>
      </c>
      <c r="L898" s="4">
        <v>419.77839999999998</v>
      </c>
    </row>
    <row r="899" spans="1:12">
      <c r="A899" s="1">
        <v>42746</v>
      </c>
      <c r="B899">
        <v>1</v>
      </c>
      <c r="C899" t="s">
        <v>6270</v>
      </c>
      <c r="D899" s="4">
        <v>1.4923</v>
      </c>
      <c r="E899" s="4">
        <v>3.99</v>
      </c>
      <c r="F899" t="s">
        <v>6243</v>
      </c>
      <c r="G899" t="s">
        <v>6228</v>
      </c>
      <c r="H899" t="s">
        <v>3580</v>
      </c>
      <c r="I899" t="s">
        <v>3578</v>
      </c>
      <c r="J899" t="s">
        <v>3579</v>
      </c>
      <c r="K899" s="4">
        <v>3.99</v>
      </c>
      <c r="L899" s="4">
        <v>1.4923</v>
      </c>
    </row>
    <row r="900" spans="1:12">
      <c r="A900" s="1">
        <v>42746</v>
      </c>
      <c r="B900">
        <v>1</v>
      </c>
      <c r="C900" t="s">
        <v>6260</v>
      </c>
      <c r="D900" s="4">
        <v>13.09</v>
      </c>
      <c r="E900" s="4">
        <v>35</v>
      </c>
      <c r="F900" t="s">
        <v>6243</v>
      </c>
      <c r="G900" t="s">
        <v>6228</v>
      </c>
      <c r="H900" t="s">
        <v>3580</v>
      </c>
      <c r="I900" t="s">
        <v>3578</v>
      </c>
      <c r="J900" t="s">
        <v>3579</v>
      </c>
      <c r="K900" s="4">
        <v>35</v>
      </c>
      <c r="L900" s="4">
        <v>13.09</v>
      </c>
    </row>
    <row r="901" spans="1:12">
      <c r="A901" s="1">
        <v>42746</v>
      </c>
      <c r="B901">
        <v>1</v>
      </c>
      <c r="C901" t="s">
        <v>6230</v>
      </c>
      <c r="D901" s="4">
        <v>12.027799999999999</v>
      </c>
      <c r="E901" s="4">
        <v>33.644199999999998</v>
      </c>
      <c r="F901" t="s">
        <v>6227</v>
      </c>
      <c r="G901" t="s">
        <v>6228</v>
      </c>
      <c r="H901" t="s">
        <v>3583</v>
      </c>
      <c r="I901" t="s">
        <v>3583</v>
      </c>
      <c r="J901" t="s">
        <v>3584</v>
      </c>
      <c r="K901" s="4">
        <v>33.644199999999998</v>
      </c>
      <c r="L901" s="4">
        <v>12.027799999999999</v>
      </c>
    </row>
    <row r="902" spans="1:12">
      <c r="A902" s="1">
        <v>42746</v>
      </c>
      <c r="B902">
        <v>1</v>
      </c>
      <c r="C902" t="s">
        <v>6244</v>
      </c>
      <c r="D902" s="4">
        <v>3.7363</v>
      </c>
      <c r="E902" s="4">
        <v>9.99</v>
      </c>
      <c r="F902" t="s">
        <v>6240</v>
      </c>
      <c r="G902" t="s">
        <v>6228</v>
      </c>
      <c r="H902" t="s">
        <v>3583</v>
      </c>
      <c r="I902" t="s">
        <v>3583</v>
      </c>
      <c r="J902" t="s">
        <v>3584</v>
      </c>
      <c r="K902" s="4">
        <v>9.99</v>
      </c>
      <c r="L902" s="4">
        <v>3.7363</v>
      </c>
    </row>
    <row r="903" spans="1:12">
      <c r="A903" s="1">
        <v>42746</v>
      </c>
      <c r="B903">
        <v>1</v>
      </c>
      <c r="C903" t="s">
        <v>6229</v>
      </c>
      <c r="D903" s="4">
        <v>12.027799999999999</v>
      </c>
      <c r="E903" s="4">
        <v>33.644199999999998</v>
      </c>
      <c r="F903" t="s">
        <v>6227</v>
      </c>
      <c r="G903" t="s">
        <v>6228</v>
      </c>
      <c r="H903" t="s">
        <v>3586</v>
      </c>
      <c r="I903" t="s">
        <v>3586</v>
      </c>
      <c r="J903" t="s">
        <v>3587</v>
      </c>
      <c r="K903" s="4">
        <v>33.644199999999998</v>
      </c>
      <c r="L903" s="4">
        <v>12.027799999999999</v>
      </c>
    </row>
    <row r="904" spans="1:12">
      <c r="A904" s="1">
        <v>42746</v>
      </c>
      <c r="B904">
        <v>1</v>
      </c>
      <c r="C904" t="s">
        <v>6239</v>
      </c>
      <c r="D904" s="4">
        <v>1.8663000000000001</v>
      </c>
      <c r="E904" s="4">
        <v>4.99</v>
      </c>
      <c r="F904" t="s">
        <v>6240</v>
      </c>
      <c r="G904" t="s">
        <v>6228</v>
      </c>
      <c r="H904" t="s">
        <v>3586</v>
      </c>
      <c r="I904" t="s">
        <v>3586</v>
      </c>
      <c r="J904" t="s">
        <v>3587</v>
      </c>
      <c r="K904" s="4">
        <v>4.99</v>
      </c>
      <c r="L904" s="4">
        <v>1.8663000000000001</v>
      </c>
    </row>
    <row r="905" spans="1:12">
      <c r="A905" s="1">
        <v>42746</v>
      </c>
      <c r="B905">
        <v>1</v>
      </c>
      <c r="C905" t="s">
        <v>6258</v>
      </c>
      <c r="D905" s="4">
        <v>2.9733000000000001</v>
      </c>
      <c r="E905" s="4">
        <v>7.95</v>
      </c>
      <c r="F905" t="s">
        <v>6259</v>
      </c>
      <c r="G905" t="s">
        <v>6228</v>
      </c>
      <c r="H905" t="s">
        <v>3586</v>
      </c>
      <c r="I905" t="s">
        <v>3586</v>
      </c>
      <c r="J905" t="s">
        <v>3587</v>
      </c>
      <c r="K905" s="4">
        <v>7.95</v>
      </c>
      <c r="L905" s="4">
        <v>2.9733000000000001</v>
      </c>
    </row>
    <row r="906" spans="1:12">
      <c r="A906" s="1">
        <v>42746</v>
      </c>
      <c r="B906">
        <v>1</v>
      </c>
      <c r="C906" t="s">
        <v>6286</v>
      </c>
      <c r="D906" s="4">
        <v>1481.9378999999999</v>
      </c>
      <c r="E906" s="4">
        <v>2384.0700000000002</v>
      </c>
      <c r="F906" t="s">
        <v>6274</v>
      </c>
      <c r="G906" t="s">
        <v>3475</v>
      </c>
      <c r="H906" t="s">
        <v>3586</v>
      </c>
      <c r="I906" t="s">
        <v>3586</v>
      </c>
      <c r="J906" t="s">
        <v>3587</v>
      </c>
      <c r="K906" s="4">
        <v>2384.0700000000002</v>
      </c>
      <c r="L906" s="4">
        <v>1481.9378999999999</v>
      </c>
    </row>
    <row r="907" spans="1:12">
      <c r="A907" s="1">
        <v>42746</v>
      </c>
      <c r="B907">
        <v>1</v>
      </c>
      <c r="C907" t="s">
        <v>6253</v>
      </c>
      <c r="D907" s="4">
        <v>9.7135999999999996</v>
      </c>
      <c r="E907" s="4">
        <v>23.548100000000002</v>
      </c>
      <c r="F907" t="s">
        <v>6251</v>
      </c>
      <c r="G907" t="s">
        <v>6233</v>
      </c>
      <c r="H907" t="s">
        <v>3588</v>
      </c>
      <c r="I907" t="s">
        <v>3588</v>
      </c>
      <c r="J907" t="s">
        <v>3584</v>
      </c>
      <c r="K907" s="4">
        <v>23.548100000000002</v>
      </c>
      <c r="L907" s="4">
        <v>9.7135999999999996</v>
      </c>
    </row>
    <row r="908" spans="1:12">
      <c r="A908" s="1">
        <v>42747</v>
      </c>
      <c r="B908">
        <v>1</v>
      </c>
      <c r="C908" t="s">
        <v>6258</v>
      </c>
      <c r="D908" s="4">
        <v>2.9733000000000001</v>
      </c>
      <c r="E908" s="4">
        <v>7.95</v>
      </c>
      <c r="F908" t="s">
        <v>6259</v>
      </c>
      <c r="G908" t="s">
        <v>6228</v>
      </c>
      <c r="H908" t="s">
        <v>3580</v>
      </c>
      <c r="I908" t="s">
        <v>3578</v>
      </c>
      <c r="J908" t="s">
        <v>3579</v>
      </c>
      <c r="K908" s="4">
        <v>7.95</v>
      </c>
      <c r="L908" s="4">
        <v>2.9733000000000001</v>
      </c>
    </row>
    <row r="909" spans="1:12">
      <c r="A909" s="1">
        <v>42747</v>
      </c>
      <c r="B909">
        <v>1</v>
      </c>
      <c r="C909" t="s">
        <v>6260</v>
      </c>
      <c r="D909" s="4">
        <v>13.09</v>
      </c>
      <c r="E909" s="4">
        <v>35</v>
      </c>
      <c r="F909" t="s">
        <v>6243</v>
      </c>
      <c r="G909" t="s">
        <v>6228</v>
      </c>
      <c r="H909" t="s">
        <v>3582</v>
      </c>
      <c r="I909" t="s">
        <v>3582</v>
      </c>
      <c r="J909" t="s">
        <v>3579</v>
      </c>
      <c r="K909" s="4">
        <v>35</v>
      </c>
      <c r="L909" s="4">
        <v>13.09</v>
      </c>
    </row>
    <row r="910" spans="1:12">
      <c r="A910" s="1">
        <v>42747</v>
      </c>
      <c r="B910">
        <v>1</v>
      </c>
      <c r="C910" t="s">
        <v>6314</v>
      </c>
      <c r="D910" s="4">
        <v>23.748999999999999</v>
      </c>
      <c r="E910" s="4">
        <v>63.5</v>
      </c>
      <c r="F910" t="s">
        <v>6293</v>
      </c>
      <c r="G910" t="s">
        <v>6233</v>
      </c>
      <c r="H910" t="s">
        <v>3586</v>
      </c>
      <c r="I910" t="s">
        <v>3586</v>
      </c>
      <c r="J910" t="s">
        <v>3587</v>
      </c>
      <c r="K910" s="4">
        <v>63.5</v>
      </c>
      <c r="L910" s="4">
        <v>23.748999999999999</v>
      </c>
    </row>
    <row r="911" spans="1:12">
      <c r="A911" s="1">
        <v>42747</v>
      </c>
      <c r="B911">
        <v>1</v>
      </c>
      <c r="C911" t="s">
        <v>6241</v>
      </c>
      <c r="D911" s="4">
        <v>3.3622999999999998</v>
      </c>
      <c r="E911" s="4">
        <v>8.99</v>
      </c>
      <c r="F911" t="s">
        <v>6240</v>
      </c>
      <c r="G911" t="s">
        <v>6228</v>
      </c>
      <c r="H911" t="s">
        <v>3586</v>
      </c>
      <c r="I911" t="s">
        <v>3586</v>
      </c>
      <c r="J911" t="s">
        <v>3587</v>
      </c>
      <c r="K911" s="4">
        <v>8.99</v>
      </c>
      <c r="L911" s="4">
        <v>3.3622999999999998</v>
      </c>
    </row>
    <row r="912" spans="1:12">
      <c r="A912" s="1">
        <v>42748</v>
      </c>
      <c r="B912">
        <v>1</v>
      </c>
      <c r="C912" t="s">
        <v>6270</v>
      </c>
      <c r="D912" s="4">
        <v>1.4923</v>
      </c>
      <c r="E912" s="4">
        <v>3.99</v>
      </c>
      <c r="F912" t="s">
        <v>6243</v>
      </c>
      <c r="G912" t="s">
        <v>6228</v>
      </c>
      <c r="H912" t="s">
        <v>3580</v>
      </c>
      <c r="I912" t="s">
        <v>3578</v>
      </c>
      <c r="J912" t="s">
        <v>3579</v>
      </c>
      <c r="K912" s="4">
        <v>3.99</v>
      </c>
      <c r="L912" s="4">
        <v>1.4923</v>
      </c>
    </row>
    <row r="913" spans="1:12">
      <c r="A913" s="1">
        <v>42748</v>
      </c>
      <c r="B913">
        <v>1</v>
      </c>
      <c r="C913" t="s">
        <v>6314</v>
      </c>
      <c r="D913" s="4">
        <v>23.748999999999999</v>
      </c>
      <c r="E913" s="4">
        <v>63.5</v>
      </c>
      <c r="F913" t="s">
        <v>6293</v>
      </c>
      <c r="G913" t="s">
        <v>6233</v>
      </c>
      <c r="H913" t="s">
        <v>3586</v>
      </c>
      <c r="I913" t="s">
        <v>3586</v>
      </c>
      <c r="J913" t="s">
        <v>3587</v>
      </c>
      <c r="K913" s="4">
        <v>63.5</v>
      </c>
      <c r="L913" s="4">
        <v>23.748999999999999</v>
      </c>
    </row>
    <row r="914" spans="1:12">
      <c r="A914" s="1">
        <v>42749</v>
      </c>
      <c r="B914">
        <v>1</v>
      </c>
      <c r="C914" t="s">
        <v>3542</v>
      </c>
      <c r="D914" s="4">
        <v>1105.81</v>
      </c>
      <c r="E914" s="4">
        <v>2049.0981999999999</v>
      </c>
      <c r="F914" t="s">
        <v>3478</v>
      </c>
      <c r="G914" t="s">
        <v>3475</v>
      </c>
      <c r="H914" t="s">
        <v>3577</v>
      </c>
      <c r="I914" t="s">
        <v>3578</v>
      </c>
      <c r="J914" t="s">
        <v>3579</v>
      </c>
      <c r="K914" s="4">
        <v>2049.0981999999999</v>
      </c>
      <c r="L914" s="4">
        <v>1105.81</v>
      </c>
    </row>
    <row r="915" spans="1:12">
      <c r="A915" s="1">
        <v>42749</v>
      </c>
      <c r="B915">
        <v>1</v>
      </c>
      <c r="C915" t="s">
        <v>6248</v>
      </c>
      <c r="D915" s="4">
        <v>8.2204999999999995</v>
      </c>
      <c r="E915" s="4">
        <v>21.98</v>
      </c>
      <c r="F915" t="s">
        <v>6249</v>
      </c>
      <c r="G915" t="s">
        <v>6228</v>
      </c>
      <c r="H915" t="s">
        <v>3582</v>
      </c>
      <c r="I915" t="s">
        <v>3582</v>
      </c>
      <c r="J915" t="s">
        <v>3579</v>
      </c>
      <c r="K915" s="4">
        <v>21.98</v>
      </c>
      <c r="L915" s="4">
        <v>8.2204999999999995</v>
      </c>
    </row>
    <row r="916" spans="1:12">
      <c r="A916" s="1">
        <v>42749</v>
      </c>
      <c r="B916">
        <v>1</v>
      </c>
      <c r="C916" t="s">
        <v>3554</v>
      </c>
      <c r="D916" s="4">
        <v>1320.6838</v>
      </c>
      <c r="E916" s="4">
        <v>2181.5625</v>
      </c>
      <c r="F916" t="s">
        <v>3479</v>
      </c>
      <c r="G916" t="s">
        <v>3475</v>
      </c>
      <c r="H916" t="s">
        <v>3586</v>
      </c>
      <c r="I916" t="s">
        <v>3586</v>
      </c>
      <c r="J916" t="s">
        <v>3587</v>
      </c>
      <c r="K916" s="4">
        <v>2181.5625</v>
      </c>
      <c r="L916" s="4">
        <v>1320.6838</v>
      </c>
    </row>
    <row r="917" spans="1:12">
      <c r="A917" s="1">
        <v>42749</v>
      </c>
      <c r="B917">
        <v>1</v>
      </c>
      <c r="C917" t="s">
        <v>6236</v>
      </c>
      <c r="D917" s="4">
        <v>31.724399999999999</v>
      </c>
      <c r="E917" s="4">
        <v>48.067300000000003</v>
      </c>
      <c r="F917" t="s">
        <v>6235</v>
      </c>
      <c r="G917" t="s">
        <v>6233</v>
      </c>
      <c r="H917" t="s">
        <v>3588</v>
      </c>
      <c r="I917" t="s">
        <v>3588</v>
      </c>
      <c r="J917" t="s">
        <v>3584</v>
      </c>
      <c r="K917" s="4">
        <v>48.067300000000003</v>
      </c>
      <c r="L917" s="4">
        <v>31.724399999999999</v>
      </c>
    </row>
    <row r="918" spans="1:12">
      <c r="A918" s="1">
        <v>42749</v>
      </c>
      <c r="B918">
        <v>1</v>
      </c>
      <c r="C918" t="s">
        <v>6270</v>
      </c>
      <c r="D918" s="4">
        <v>1.4923</v>
      </c>
      <c r="E918" s="4">
        <v>3.99</v>
      </c>
      <c r="F918" t="s">
        <v>6243</v>
      </c>
      <c r="G918" t="s">
        <v>6228</v>
      </c>
      <c r="H918" t="s">
        <v>3588</v>
      </c>
      <c r="I918" t="s">
        <v>3588</v>
      </c>
      <c r="J918" t="s">
        <v>3584</v>
      </c>
      <c r="K918" s="4">
        <v>3.99</v>
      </c>
      <c r="L918" s="4">
        <v>1.4923</v>
      </c>
    </row>
    <row r="919" spans="1:12">
      <c r="A919" s="1">
        <v>42750</v>
      </c>
      <c r="B919">
        <v>1</v>
      </c>
      <c r="C919" t="s">
        <v>6237</v>
      </c>
      <c r="D919" s="4">
        <v>31.724399999999999</v>
      </c>
      <c r="E919" s="4">
        <v>48.067300000000003</v>
      </c>
      <c r="F919" t="s">
        <v>6235</v>
      </c>
      <c r="G919" t="s">
        <v>6233</v>
      </c>
      <c r="H919" t="s">
        <v>3577</v>
      </c>
      <c r="I919" t="s">
        <v>3578</v>
      </c>
      <c r="J919" t="s">
        <v>3579</v>
      </c>
      <c r="K919" s="4">
        <v>48.067300000000003</v>
      </c>
      <c r="L919" s="4">
        <v>31.724399999999999</v>
      </c>
    </row>
    <row r="920" spans="1:12">
      <c r="A920" s="1">
        <v>42750</v>
      </c>
      <c r="B920">
        <v>1</v>
      </c>
      <c r="C920" t="s">
        <v>6282</v>
      </c>
      <c r="D920" s="4">
        <v>10.8423</v>
      </c>
      <c r="E920" s="4">
        <v>28.99</v>
      </c>
      <c r="F920" t="s">
        <v>6243</v>
      </c>
      <c r="G920" t="s">
        <v>6228</v>
      </c>
      <c r="H920" t="s">
        <v>3577</v>
      </c>
      <c r="I920" t="s">
        <v>3578</v>
      </c>
      <c r="J920" t="s">
        <v>3579</v>
      </c>
      <c r="K920" s="4">
        <v>28.99</v>
      </c>
      <c r="L920" s="4">
        <v>10.8423</v>
      </c>
    </row>
    <row r="921" spans="1:12">
      <c r="A921" s="1">
        <v>42750</v>
      </c>
      <c r="B921">
        <v>1</v>
      </c>
      <c r="C921" t="s">
        <v>6239</v>
      </c>
      <c r="D921" s="4">
        <v>1.8663000000000001</v>
      </c>
      <c r="E921" s="4">
        <v>4.99</v>
      </c>
      <c r="F921" t="s">
        <v>6240</v>
      </c>
      <c r="G921" t="s">
        <v>6228</v>
      </c>
      <c r="H921" t="s">
        <v>3582</v>
      </c>
      <c r="I921" t="s">
        <v>3582</v>
      </c>
      <c r="J921" t="s">
        <v>3579</v>
      </c>
      <c r="K921" s="4">
        <v>4.99</v>
      </c>
      <c r="L921" s="4">
        <v>1.8663000000000001</v>
      </c>
    </row>
    <row r="922" spans="1:12">
      <c r="A922" s="1">
        <v>42750</v>
      </c>
      <c r="B922">
        <v>1</v>
      </c>
      <c r="C922" t="s">
        <v>6277</v>
      </c>
      <c r="D922" s="4">
        <v>8.0373000000000001</v>
      </c>
      <c r="E922" s="4">
        <v>21.49</v>
      </c>
      <c r="F922" t="s">
        <v>6243</v>
      </c>
      <c r="G922" t="s">
        <v>6228</v>
      </c>
      <c r="H922" t="s">
        <v>3583</v>
      </c>
      <c r="I922" t="s">
        <v>3583</v>
      </c>
      <c r="J922" t="s">
        <v>3584</v>
      </c>
      <c r="K922" s="4">
        <v>21.49</v>
      </c>
      <c r="L922" s="4">
        <v>8.0373000000000001</v>
      </c>
    </row>
    <row r="923" spans="1:12">
      <c r="A923" s="1">
        <v>42750</v>
      </c>
      <c r="B923">
        <v>1</v>
      </c>
      <c r="C923" t="s">
        <v>6276</v>
      </c>
      <c r="D923" s="4">
        <v>1.8663000000000001</v>
      </c>
      <c r="E923" s="4">
        <v>4.99</v>
      </c>
      <c r="F923" t="s">
        <v>6243</v>
      </c>
      <c r="G923" t="s">
        <v>6228</v>
      </c>
      <c r="H923" t="s">
        <v>3585</v>
      </c>
      <c r="I923" t="s">
        <v>3585</v>
      </c>
      <c r="J923" t="s">
        <v>3584</v>
      </c>
      <c r="K923" s="4">
        <v>4.99</v>
      </c>
      <c r="L923" s="4">
        <v>1.8663000000000001</v>
      </c>
    </row>
    <row r="924" spans="1:12">
      <c r="A924" s="1">
        <v>42750</v>
      </c>
      <c r="B924">
        <v>1</v>
      </c>
      <c r="C924" t="s">
        <v>3544</v>
      </c>
      <c r="D924" s="4">
        <v>1105.81</v>
      </c>
      <c r="E924" s="4">
        <v>2049.0981999999999</v>
      </c>
      <c r="F924" t="s">
        <v>3478</v>
      </c>
      <c r="G924" t="s">
        <v>3475</v>
      </c>
      <c r="H924" t="s">
        <v>3586</v>
      </c>
      <c r="I924" t="s">
        <v>3586</v>
      </c>
      <c r="J924" t="s">
        <v>3587</v>
      </c>
      <c r="K924" s="4">
        <v>2049.0981999999999</v>
      </c>
      <c r="L924" s="4">
        <v>1105.81</v>
      </c>
    </row>
    <row r="925" spans="1:12">
      <c r="A925" s="1">
        <v>42750</v>
      </c>
      <c r="B925">
        <v>1</v>
      </c>
      <c r="C925" t="s">
        <v>6291</v>
      </c>
      <c r="D925" s="4">
        <v>41.572299999999998</v>
      </c>
      <c r="E925" s="4">
        <v>53.99</v>
      </c>
      <c r="F925" t="s">
        <v>6235</v>
      </c>
      <c r="G925" t="s">
        <v>6233</v>
      </c>
      <c r="H925" t="s">
        <v>3586</v>
      </c>
      <c r="I925" t="s">
        <v>3586</v>
      </c>
      <c r="J925" t="s">
        <v>3587</v>
      </c>
      <c r="K925" s="4">
        <v>53.99</v>
      </c>
      <c r="L925" s="4">
        <v>41.572299999999998</v>
      </c>
    </row>
    <row r="926" spans="1:12">
      <c r="A926" s="1">
        <v>42750</v>
      </c>
      <c r="B926">
        <v>1</v>
      </c>
      <c r="C926" t="s">
        <v>6270</v>
      </c>
      <c r="D926" s="4">
        <v>1.4923</v>
      </c>
      <c r="E926" s="4">
        <v>3.99</v>
      </c>
      <c r="F926" t="s">
        <v>6243</v>
      </c>
      <c r="G926" t="s">
        <v>6228</v>
      </c>
      <c r="H926" t="s">
        <v>3586</v>
      </c>
      <c r="I926" t="s">
        <v>3586</v>
      </c>
      <c r="J926" t="s">
        <v>3587</v>
      </c>
      <c r="K926" s="4">
        <v>3.99</v>
      </c>
      <c r="L926" s="4">
        <v>1.4923</v>
      </c>
    </row>
    <row r="927" spans="1:12">
      <c r="A927" s="1">
        <v>42750</v>
      </c>
      <c r="B927">
        <v>1</v>
      </c>
      <c r="C927" t="s">
        <v>6244</v>
      </c>
      <c r="D927" s="4">
        <v>3.7363</v>
      </c>
      <c r="E927" s="4">
        <v>9.99</v>
      </c>
      <c r="F927" t="s">
        <v>6240</v>
      </c>
      <c r="G927" t="s">
        <v>6228</v>
      </c>
      <c r="H927" t="s">
        <v>3588</v>
      </c>
      <c r="I927" t="s">
        <v>3588</v>
      </c>
      <c r="J927" t="s">
        <v>3584</v>
      </c>
      <c r="K927" s="4">
        <v>9.99</v>
      </c>
      <c r="L927" s="4">
        <v>3.7363</v>
      </c>
    </row>
    <row r="928" spans="1:12">
      <c r="A928" s="1">
        <v>42751</v>
      </c>
      <c r="B928">
        <v>1</v>
      </c>
      <c r="C928" t="s">
        <v>6254</v>
      </c>
      <c r="D928" s="4">
        <v>12.192399999999999</v>
      </c>
      <c r="E928" s="4">
        <v>32.6</v>
      </c>
      <c r="F928" t="s">
        <v>6243</v>
      </c>
      <c r="G928" t="s">
        <v>6228</v>
      </c>
      <c r="H928" t="s">
        <v>3586</v>
      </c>
      <c r="I928" t="s">
        <v>3586</v>
      </c>
      <c r="J928" t="s">
        <v>3587</v>
      </c>
      <c r="K928" s="4">
        <v>32.6</v>
      </c>
      <c r="L928" s="4">
        <v>12.192399999999999</v>
      </c>
    </row>
    <row r="929" spans="1:12">
      <c r="A929" s="1">
        <v>42751</v>
      </c>
      <c r="B929">
        <v>1</v>
      </c>
      <c r="C929" t="s">
        <v>6313</v>
      </c>
      <c r="D929" s="4">
        <v>419.77839999999998</v>
      </c>
      <c r="E929" s="4">
        <v>769.49</v>
      </c>
      <c r="F929" t="s">
        <v>3478</v>
      </c>
      <c r="G929" t="s">
        <v>3475</v>
      </c>
      <c r="H929" t="s">
        <v>3588</v>
      </c>
      <c r="I929" t="s">
        <v>3588</v>
      </c>
      <c r="J929" t="s">
        <v>3584</v>
      </c>
      <c r="K929" s="4">
        <v>769.49</v>
      </c>
      <c r="L929" s="4">
        <v>419.77839999999998</v>
      </c>
    </row>
    <row r="930" spans="1:12">
      <c r="A930" s="1">
        <v>42752</v>
      </c>
      <c r="B930">
        <v>1</v>
      </c>
      <c r="C930" t="s">
        <v>6226</v>
      </c>
      <c r="D930" s="4">
        <v>13.0863</v>
      </c>
      <c r="E930" s="4">
        <v>34.99</v>
      </c>
      <c r="F930" t="s">
        <v>6227</v>
      </c>
      <c r="G930" t="s">
        <v>6228</v>
      </c>
      <c r="H930" t="s">
        <v>3580</v>
      </c>
      <c r="I930" t="s">
        <v>3578</v>
      </c>
      <c r="J930" t="s">
        <v>3579</v>
      </c>
      <c r="K930" s="4">
        <v>34.99</v>
      </c>
      <c r="L930" s="4">
        <v>13.0863</v>
      </c>
    </row>
    <row r="931" spans="1:12">
      <c r="A931" s="1">
        <v>42752</v>
      </c>
      <c r="B931">
        <v>1</v>
      </c>
      <c r="C931" t="s">
        <v>6230</v>
      </c>
      <c r="D931" s="4">
        <v>12.027799999999999</v>
      </c>
      <c r="E931" s="4">
        <v>33.644199999999998</v>
      </c>
      <c r="F931" t="s">
        <v>6227</v>
      </c>
      <c r="G931" t="s">
        <v>6228</v>
      </c>
      <c r="H931" t="s">
        <v>3580</v>
      </c>
      <c r="I931" t="s">
        <v>3578</v>
      </c>
      <c r="J931" t="s">
        <v>3579</v>
      </c>
      <c r="K931" s="4">
        <v>33.644199999999998</v>
      </c>
      <c r="L931" s="4">
        <v>12.027799999999999</v>
      </c>
    </row>
    <row r="932" spans="1:12">
      <c r="A932" s="1">
        <v>42752</v>
      </c>
      <c r="B932">
        <v>1</v>
      </c>
      <c r="C932" t="s">
        <v>6242</v>
      </c>
      <c r="D932" s="4">
        <v>1.8663000000000001</v>
      </c>
      <c r="E932" s="4">
        <v>4.99</v>
      </c>
      <c r="F932" t="s">
        <v>6243</v>
      </c>
      <c r="G932" t="s">
        <v>6228</v>
      </c>
      <c r="H932" t="s">
        <v>3580</v>
      </c>
      <c r="I932" t="s">
        <v>3578</v>
      </c>
      <c r="J932" t="s">
        <v>3579</v>
      </c>
      <c r="K932" s="4">
        <v>4.99</v>
      </c>
      <c r="L932" s="4">
        <v>1.8663000000000001</v>
      </c>
    </row>
    <row r="933" spans="1:12">
      <c r="A933" s="1">
        <v>42752</v>
      </c>
      <c r="B933">
        <v>1</v>
      </c>
      <c r="C933" t="s">
        <v>6239</v>
      </c>
      <c r="D933" s="4">
        <v>1.8663000000000001</v>
      </c>
      <c r="E933" s="4">
        <v>4.99</v>
      </c>
      <c r="F933" t="s">
        <v>6240</v>
      </c>
      <c r="G933" t="s">
        <v>6228</v>
      </c>
      <c r="H933" t="s">
        <v>3582</v>
      </c>
      <c r="I933" t="s">
        <v>3582</v>
      </c>
      <c r="J933" t="s">
        <v>3579</v>
      </c>
      <c r="K933" s="4">
        <v>4.99</v>
      </c>
      <c r="L933" s="4">
        <v>1.8663000000000001</v>
      </c>
    </row>
    <row r="934" spans="1:12">
      <c r="A934" s="1">
        <v>42752</v>
      </c>
      <c r="B934">
        <v>1</v>
      </c>
      <c r="C934" t="s">
        <v>6270</v>
      </c>
      <c r="D934" s="4">
        <v>1.4923</v>
      </c>
      <c r="E934" s="4">
        <v>3.99</v>
      </c>
      <c r="F934" t="s">
        <v>6243</v>
      </c>
      <c r="G934" t="s">
        <v>6228</v>
      </c>
      <c r="H934" t="s">
        <v>3582</v>
      </c>
      <c r="I934" t="s">
        <v>3582</v>
      </c>
      <c r="J934" t="s">
        <v>3579</v>
      </c>
      <c r="K934" s="4">
        <v>3.99</v>
      </c>
      <c r="L934" s="4">
        <v>1.4923</v>
      </c>
    </row>
    <row r="935" spans="1:12">
      <c r="A935" s="1">
        <v>42752</v>
      </c>
      <c r="B935">
        <v>1</v>
      </c>
      <c r="C935" t="s">
        <v>6258</v>
      </c>
      <c r="D935" s="4">
        <v>2.9733000000000001</v>
      </c>
      <c r="E935" s="4">
        <v>7.95</v>
      </c>
      <c r="F935" t="s">
        <v>6259</v>
      </c>
      <c r="G935" t="s">
        <v>6228</v>
      </c>
      <c r="H935" t="s">
        <v>3585</v>
      </c>
      <c r="I935" t="s">
        <v>3585</v>
      </c>
      <c r="J935" t="s">
        <v>3584</v>
      </c>
      <c r="K935" s="4">
        <v>7.95</v>
      </c>
      <c r="L935" s="4">
        <v>2.9733000000000001</v>
      </c>
    </row>
    <row r="936" spans="1:12">
      <c r="A936" s="1">
        <v>42752</v>
      </c>
      <c r="B936">
        <v>1</v>
      </c>
      <c r="C936" t="s">
        <v>6239</v>
      </c>
      <c r="D936" s="4">
        <v>1.8663000000000001</v>
      </c>
      <c r="E936" s="4">
        <v>4.99</v>
      </c>
      <c r="F936" t="s">
        <v>6240</v>
      </c>
      <c r="G936" t="s">
        <v>6228</v>
      </c>
      <c r="H936" t="s">
        <v>3586</v>
      </c>
      <c r="I936" t="s">
        <v>3586</v>
      </c>
      <c r="J936" t="s">
        <v>3587</v>
      </c>
      <c r="K936" s="4">
        <v>4.99</v>
      </c>
      <c r="L936" s="4">
        <v>1.8663000000000001</v>
      </c>
    </row>
    <row r="937" spans="1:12">
      <c r="A937" s="1">
        <v>42752</v>
      </c>
      <c r="B937">
        <v>1</v>
      </c>
      <c r="C937" t="s">
        <v>6248</v>
      </c>
      <c r="D937" s="4">
        <v>8.2204999999999995</v>
      </c>
      <c r="E937" s="4">
        <v>21.98</v>
      </c>
      <c r="F937" t="s">
        <v>6249</v>
      </c>
      <c r="G937" t="s">
        <v>6228</v>
      </c>
      <c r="H937" t="s">
        <v>3586</v>
      </c>
      <c r="I937" t="s">
        <v>3586</v>
      </c>
      <c r="J937" t="s">
        <v>3587</v>
      </c>
      <c r="K937" s="4">
        <v>21.98</v>
      </c>
      <c r="L937" s="4">
        <v>8.2204999999999995</v>
      </c>
    </row>
    <row r="938" spans="1:12">
      <c r="A938" s="1">
        <v>42753</v>
      </c>
      <c r="B938">
        <v>1</v>
      </c>
      <c r="C938" t="s">
        <v>6242</v>
      </c>
      <c r="D938" s="4">
        <v>1.8663000000000001</v>
      </c>
      <c r="E938" s="4">
        <v>4.99</v>
      </c>
      <c r="F938" t="s">
        <v>6243</v>
      </c>
      <c r="G938" t="s">
        <v>6228</v>
      </c>
      <c r="H938" t="s">
        <v>3577</v>
      </c>
      <c r="I938" t="s">
        <v>3578</v>
      </c>
      <c r="J938" t="s">
        <v>3579</v>
      </c>
      <c r="K938" s="4">
        <v>4.99</v>
      </c>
      <c r="L938" s="4">
        <v>1.8663000000000001</v>
      </c>
    </row>
    <row r="939" spans="1:12">
      <c r="A939" s="1">
        <v>42753</v>
      </c>
      <c r="B939">
        <v>1</v>
      </c>
      <c r="C939" t="s">
        <v>6246</v>
      </c>
      <c r="D939" s="4">
        <v>20.566299999999998</v>
      </c>
      <c r="E939" s="4">
        <v>54.99</v>
      </c>
      <c r="F939" t="s">
        <v>6247</v>
      </c>
      <c r="G939" t="s">
        <v>6228</v>
      </c>
      <c r="H939" t="s">
        <v>3580</v>
      </c>
      <c r="I939" t="s">
        <v>3578</v>
      </c>
      <c r="J939" t="s">
        <v>3579</v>
      </c>
      <c r="K939" s="4">
        <v>54.99</v>
      </c>
      <c r="L939" s="4">
        <v>20.566299999999998</v>
      </c>
    </row>
    <row r="940" spans="1:12">
      <c r="A940" s="1">
        <v>42753</v>
      </c>
      <c r="B940">
        <v>1</v>
      </c>
      <c r="C940" t="s">
        <v>6242</v>
      </c>
      <c r="D940" s="4">
        <v>1.8663000000000001</v>
      </c>
      <c r="E940" s="4">
        <v>4.99</v>
      </c>
      <c r="F940" t="s">
        <v>6243</v>
      </c>
      <c r="G940" t="s">
        <v>6228</v>
      </c>
      <c r="H940" t="s">
        <v>3580</v>
      </c>
      <c r="I940" t="s">
        <v>3578</v>
      </c>
      <c r="J940" t="s">
        <v>3579</v>
      </c>
      <c r="K940" s="4">
        <v>4.99</v>
      </c>
      <c r="L940" s="4">
        <v>1.8663000000000001</v>
      </c>
    </row>
    <row r="941" spans="1:12">
      <c r="A941" s="1">
        <v>42753</v>
      </c>
      <c r="B941">
        <v>2</v>
      </c>
      <c r="C941" t="s">
        <v>6298</v>
      </c>
      <c r="D941" s="4">
        <v>3.3622999999999998</v>
      </c>
      <c r="E941" s="4">
        <v>8.99</v>
      </c>
      <c r="F941" t="s">
        <v>6264</v>
      </c>
      <c r="G941" t="s">
        <v>6233</v>
      </c>
      <c r="H941" t="s">
        <v>3582</v>
      </c>
      <c r="I941" t="s">
        <v>3582</v>
      </c>
      <c r="J941" t="s">
        <v>3579</v>
      </c>
      <c r="K941" s="4">
        <v>17.98</v>
      </c>
      <c r="L941" s="4">
        <v>6.7245999999999997</v>
      </c>
    </row>
    <row r="942" spans="1:12">
      <c r="A942" s="1">
        <v>42753</v>
      </c>
      <c r="B942">
        <v>1</v>
      </c>
      <c r="C942" t="s">
        <v>6230</v>
      </c>
      <c r="D942" s="4">
        <v>12.027799999999999</v>
      </c>
      <c r="E942" s="4">
        <v>33.644199999999998</v>
      </c>
      <c r="F942" t="s">
        <v>6227</v>
      </c>
      <c r="G942" t="s">
        <v>6228</v>
      </c>
      <c r="H942" t="s">
        <v>3585</v>
      </c>
      <c r="I942" t="s">
        <v>3585</v>
      </c>
      <c r="J942" t="s">
        <v>3584</v>
      </c>
      <c r="K942" s="4">
        <v>33.644199999999998</v>
      </c>
      <c r="L942" s="4">
        <v>12.027799999999999</v>
      </c>
    </row>
    <row r="943" spans="1:12">
      <c r="A943" s="1">
        <v>42753</v>
      </c>
      <c r="B943">
        <v>1</v>
      </c>
      <c r="C943" t="s">
        <v>6292</v>
      </c>
      <c r="D943" s="4">
        <v>23.748999999999999</v>
      </c>
      <c r="E943" s="4">
        <v>63.5</v>
      </c>
      <c r="F943" t="s">
        <v>6293</v>
      </c>
      <c r="G943" t="s">
        <v>6233</v>
      </c>
      <c r="H943" t="s">
        <v>3586</v>
      </c>
      <c r="I943" t="s">
        <v>3586</v>
      </c>
      <c r="J943" t="s">
        <v>3587</v>
      </c>
      <c r="K943" s="4">
        <v>63.5</v>
      </c>
      <c r="L943" s="4">
        <v>23.748999999999999</v>
      </c>
    </row>
    <row r="944" spans="1:12">
      <c r="A944" s="1">
        <v>42753</v>
      </c>
      <c r="B944">
        <v>1</v>
      </c>
      <c r="C944" t="s">
        <v>6285</v>
      </c>
      <c r="D944" s="4">
        <v>26.176300000000001</v>
      </c>
      <c r="E944" s="4">
        <v>69.989999999999995</v>
      </c>
      <c r="F944" t="s">
        <v>6262</v>
      </c>
      <c r="G944" t="s">
        <v>6233</v>
      </c>
      <c r="H944" t="s">
        <v>3586</v>
      </c>
      <c r="I944" t="s">
        <v>3586</v>
      </c>
      <c r="J944" t="s">
        <v>3587</v>
      </c>
      <c r="K944" s="4">
        <v>69.989999999999995</v>
      </c>
      <c r="L944" s="4">
        <v>26.176300000000001</v>
      </c>
    </row>
    <row r="945" spans="1:12">
      <c r="A945" s="1">
        <v>42753</v>
      </c>
      <c r="B945">
        <v>1</v>
      </c>
      <c r="C945" t="s">
        <v>6239</v>
      </c>
      <c r="D945" s="4">
        <v>1.8663000000000001</v>
      </c>
      <c r="E945" s="4">
        <v>4.99</v>
      </c>
      <c r="F945" t="s">
        <v>6240</v>
      </c>
      <c r="G945" t="s">
        <v>6228</v>
      </c>
      <c r="H945" t="s">
        <v>3586</v>
      </c>
      <c r="I945" t="s">
        <v>3586</v>
      </c>
      <c r="J945" t="s">
        <v>3587</v>
      </c>
      <c r="K945" s="4">
        <v>4.99</v>
      </c>
      <c r="L945" s="4">
        <v>1.8663000000000001</v>
      </c>
    </row>
    <row r="946" spans="1:12">
      <c r="A946" s="1">
        <v>42753</v>
      </c>
      <c r="B946">
        <v>1</v>
      </c>
      <c r="C946" t="s">
        <v>6270</v>
      </c>
      <c r="D946" s="4">
        <v>1.4923</v>
      </c>
      <c r="E946" s="4">
        <v>3.99</v>
      </c>
      <c r="F946" t="s">
        <v>6243</v>
      </c>
      <c r="G946" t="s">
        <v>6228</v>
      </c>
      <c r="H946" t="s">
        <v>3588</v>
      </c>
      <c r="I946" t="s">
        <v>3588</v>
      </c>
      <c r="J946" t="s">
        <v>3584</v>
      </c>
      <c r="K946" s="4">
        <v>3.99</v>
      </c>
      <c r="L946" s="4">
        <v>1.4923</v>
      </c>
    </row>
    <row r="947" spans="1:12">
      <c r="A947" s="1">
        <v>42754</v>
      </c>
      <c r="B947">
        <v>1</v>
      </c>
      <c r="C947" t="s">
        <v>6244</v>
      </c>
      <c r="D947" s="4">
        <v>3.7363</v>
      </c>
      <c r="E947" s="4">
        <v>9.99</v>
      </c>
      <c r="F947" t="s">
        <v>6240</v>
      </c>
      <c r="G947" t="s">
        <v>6228</v>
      </c>
      <c r="H947" t="s">
        <v>3577</v>
      </c>
      <c r="I947" t="s">
        <v>3578</v>
      </c>
      <c r="J947" t="s">
        <v>3579</v>
      </c>
      <c r="K947" s="4">
        <v>9.99</v>
      </c>
      <c r="L947" s="4">
        <v>3.7363</v>
      </c>
    </row>
    <row r="948" spans="1:12">
      <c r="A948" s="1">
        <v>42754</v>
      </c>
      <c r="B948">
        <v>1</v>
      </c>
      <c r="C948" t="s">
        <v>6226</v>
      </c>
      <c r="D948" s="4">
        <v>13.0863</v>
      </c>
      <c r="E948" s="4">
        <v>34.99</v>
      </c>
      <c r="F948" t="s">
        <v>6227</v>
      </c>
      <c r="G948" t="s">
        <v>6228</v>
      </c>
      <c r="H948" t="s">
        <v>3586</v>
      </c>
      <c r="I948" t="s">
        <v>3586</v>
      </c>
      <c r="J948" t="s">
        <v>3587</v>
      </c>
      <c r="K948" s="4">
        <v>34.99</v>
      </c>
      <c r="L948" s="4">
        <v>13.0863</v>
      </c>
    </row>
    <row r="949" spans="1:12">
      <c r="A949" s="1">
        <v>42754</v>
      </c>
      <c r="B949">
        <v>1</v>
      </c>
      <c r="C949" t="s">
        <v>6282</v>
      </c>
      <c r="D949" s="4">
        <v>10.8423</v>
      </c>
      <c r="E949" s="4">
        <v>28.99</v>
      </c>
      <c r="F949" t="s">
        <v>6243</v>
      </c>
      <c r="G949" t="s">
        <v>6228</v>
      </c>
      <c r="H949" t="s">
        <v>3586</v>
      </c>
      <c r="I949" t="s">
        <v>3586</v>
      </c>
      <c r="J949" t="s">
        <v>3587</v>
      </c>
      <c r="K949" s="4">
        <v>28.99</v>
      </c>
      <c r="L949" s="4">
        <v>10.8423</v>
      </c>
    </row>
    <row r="950" spans="1:12">
      <c r="A950" s="1">
        <v>42754</v>
      </c>
      <c r="B950">
        <v>1</v>
      </c>
      <c r="C950" t="s">
        <v>6284</v>
      </c>
      <c r="D950" s="4">
        <v>26.176300000000001</v>
      </c>
      <c r="E950" s="4">
        <v>69.989999999999995</v>
      </c>
      <c r="F950" t="s">
        <v>6262</v>
      </c>
      <c r="G950" t="s">
        <v>6233</v>
      </c>
      <c r="H950" t="s">
        <v>3588</v>
      </c>
      <c r="I950" t="s">
        <v>3588</v>
      </c>
      <c r="J950" t="s">
        <v>3584</v>
      </c>
      <c r="K950" s="4">
        <v>69.989999999999995</v>
      </c>
      <c r="L950" s="4">
        <v>26.176300000000001</v>
      </c>
    </row>
    <row r="951" spans="1:12">
      <c r="A951" s="1">
        <v>42754</v>
      </c>
      <c r="B951">
        <v>1</v>
      </c>
      <c r="C951" t="s">
        <v>6269</v>
      </c>
      <c r="D951" s="4">
        <v>9.3462999999999994</v>
      </c>
      <c r="E951" s="4">
        <v>24.99</v>
      </c>
      <c r="F951" t="s">
        <v>6243</v>
      </c>
      <c r="G951" t="s">
        <v>6228</v>
      </c>
      <c r="H951" t="s">
        <v>3588</v>
      </c>
      <c r="I951" t="s">
        <v>3588</v>
      </c>
      <c r="J951" t="s">
        <v>3584</v>
      </c>
      <c r="K951" s="4">
        <v>24.99</v>
      </c>
      <c r="L951" s="4">
        <v>9.3462999999999994</v>
      </c>
    </row>
    <row r="952" spans="1:12">
      <c r="A952" s="1">
        <v>42755</v>
      </c>
      <c r="B952">
        <v>1</v>
      </c>
      <c r="C952" t="s">
        <v>6236</v>
      </c>
      <c r="D952" s="4">
        <v>31.724399999999999</v>
      </c>
      <c r="E952" s="4">
        <v>48.067300000000003</v>
      </c>
      <c r="F952" t="s">
        <v>6235</v>
      </c>
      <c r="G952" t="s">
        <v>6233</v>
      </c>
      <c r="H952" t="s">
        <v>3583</v>
      </c>
      <c r="I952" t="s">
        <v>3583</v>
      </c>
      <c r="J952" t="s">
        <v>3584</v>
      </c>
      <c r="K952" s="4">
        <v>48.067300000000003</v>
      </c>
      <c r="L952" s="4">
        <v>31.724399999999999</v>
      </c>
    </row>
    <row r="953" spans="1:12">
      <c r="A953" s="1">
        <v>42755</v>
      </c>
      <c r="B953">
        <v>1</v>
      </c>
      <c r="C953" t="s">
        <v>6258</v>
      </c>
      <c r="D953" s="4">
        <v>2.9733000000000001</v>
      </c>
      <c r="E953" s="4">
        <v>7.95</v>
      </c>
      <c r="F953" t="s">
        <v>6259</v>
      </c>
      <c r="G953" t="s">
        <v>6228</v>
      </c>
      <c r="H953" t="s">
        <v>3585</v>
      </c>
      <c r="I953" t="s">
        <v>3585</v>
      </c>
      <c r="J953" t="s">
        <v>3584</v>
      </c>
      <c r="K953" s="4">
        <v>7.95</v>
      </c>
      <c r="L953" s="4">
        <v>2.9733000000000001</v>
      </c>
    </row>
    <row r="954" spans="1:12">
      <c r="A954" s="1">
        <v>42755</v>
      </c>
      <c r="B954">
        <v>1</v>
      </c>
      <c r="C954" t="s">
        <v>6277</v>
      </c>
      <c r="D954" s="4">
        <v>8.0373000000000001</v>
      </c>
      <c r="E954" s="4">
        <v>21.49</v>
      </c>
      <c r="F954" t="s">
        <v>6243</v>
      </c>
      <c r="G954" t="s">
        <v>6228</v>
      </c>
      <c r="H954" t="s">
        <v>3585</v>
      </c>
      <c r="I954" t="s">
        <v>3585</v>
      </c>
      <c r="J954" t="s">
        <v>3584</v>
      </c>
      <c r="K954" s="4">
        <v>21.49</v>
      </c>
      <c r="L954" s="4">
        <v>8.0373000000000001</v>
      </c>
    </row>
    <row r="955" spans="1:12">
      <c r="A955" s="1">
        <v>42755</v>
      </c>
      <c r="B955">
        <v>1</v>
      </c>
      <c r="C955" t="s">
        <v>6248</v>
      </c>
      <c r="D955" s="4">
        <v>8.2204999999999995</v>
      </c>
      <c r="E955" s="4">
        <v>21.98</v>
      </c>
      <c r="F955" t="s">
        <v>6249</v>
      </c>
      <c r="G955" t="s">
        <v>6228</v>
      </c>
      <c r="H955" t="s">
        <v>3586</v>
      </c>
      <c r="I955" t="s">
        <v>3586</v>
      </c>
      <c r="J955" t="s">
        <v>3587</v>
      </c>
      <c r="K955" s="4">
        <v>21.98</v>
      </c>
      <c r="L955" s="4">
        <v>8.2204999999999995</v>
      </c>
    </row>
    <row r="956" spans="1:12">
      <c r="A956" s="1">
        <v>42755</v>
      </c>
      <c r="B956">
        <v>1</v>
      </c>
      <c r="C956" t="s">
        <v>6229</v>
      </c>
      <c r="D956" s="4">
        <v>12.027799999999999</v>
      </c>
      <c r="E956" s="4">
        <v>33.644199999999998</v>
      </c>
      <c r="F956" t="s">
        <v>6227</v>
      </c>
      <c r="G956" t="s">
        <v>6228</v>
      </c>
      <c r="H956" t="s">
        <v>3588</v>
      </c>
      <c r="I956" t="s">
        <v>3588</v>
      </c>
      <c r="J956" t="s">
        <v>3584</v>
      </c>
      <c r="K956" s="4">
        <v>33.644199999999998</v>
      </c>
      <c r="L956" s="4">
        <v>12.027799999999999</v>
      </c>
    </row>
    <row r="957" spans="1:12">
      <c r="A957" s="1">
        <v>42755</v>
      </c>
      <c r="B957">
        <v>1</v>
      </c>
      <c r="C957" t="s">
        <v>6315</v>
      </c>
      <c r="D957" s="4">
        <v>1481.9378999999999</v>
      </c>
      <c r="E957" s="4">
        <v>2384.0700000000002</v>
      </c>
      <c r="F957" t="s">
        <v>6274</v>
      </c>
      <c r="G957" t="s">
        <v>3475</v>
      </c>
      <c r="H957" t="s">
        <v>3588</v>
      </c>
      <c r="I957" t="s">
        <v>3588</v>
      </c>
      <c r="J957" t="s">
        <v>3584</v>
      </c>
      <c r="K957" s="4">
        <v>2384.0700000000002</v>
      </c>
      <c r="L957" s="4">
        <v>1481.9378999999999</v>
      </c>
    </row>
    <row r="958" spans="1:12">
      <c r="A958" s="1">
        <v>42756</v>
      </c>
      <c r="B958">
        <v>1</v>
      </c>
      <c r="C958" t="s">
        <v>6239</v>
      </c>
      <c r="D958" s="4">
        <v>1.8663000000000001</v>
      </c>
      <c r="E958" s="4">
        <v>4.99</v>
      </c>
      <c r="F958" t="s">
        <v>6240</v>
      </c>
      <c r="G958" t="s">
        <v>6228</v>
      </c>
      <c r="H958" t="s">
        <v>3580</v>
      </c>
      <c r="I958" t="s">
        <v>3578</v>
      </c>
      <c r="J958" t="s">
        <v>3579</v>
      </c>
      <c r="K958" s="4">
        <v>4.99</v>
      </c>
      <c r="L958" s="4">
        <v>1.8663000000000001</v>
      </c>
    </row>
    <row r="959" spans="1:12">
      <c r="A959" s="1">
        <v>42756</v>
      </c>
      <c r="B959">
        <v>1</v>
      </c>
      <c r="C959" t="s">
        <v>6226</v>
      </c>
      <c r="D959" s="4">
        <v>13.0863</v>
      </c>
      <c r="E959" s="4">
        <v>34.99</v>
      </c>
      <c r="F959" t="s">
        <v>6227</v>
      </c>
      <c r="G959" t="s">
        <v>6228</v>
      </c>
      <c r="H959" t="s">
        <v>3583</v>
      </c>
      <c r="I959" t="s">
        <v>3583</v>
      </c>
      <c r="J959" t="s">
        <v>3584</v>
      </c>
      <c r="K959" s="4">
        <v>34.99</v>
      </c>
      <c r="L959" s="4">
        <v>13.0863</v>
      </c>
    </row>
    <row r="960" spans="1:12">
      <c r="A960" s="1">
        <v>42756</v>
      </c>
      <c r="B960">
        <v>1</v>
      </c>
      <c r="C960" t="s">
        <v>6270</v>
      </c>
      <c r="D960" s="4">
        <v>1.4923</v>
      </c>
      <c r="E960" s="4">
        <v>3.99</v>
      </c>
      <c r="F960" t="s">
        <v>6243</v>
      </c>
      <c r="G960" t="s">
        <v>6228</v>
      </c>
      <c r="H960" t="s">
        <v>3585</v>
      </c>
      <c r="I960" t="s">
        <v>3585</v>
      </c>
      <c r="J960" t="s">
        <v>3584</v>
      </c>
      <c r="K960" s="4">
        <v>3.99</v>
      </c>
      <c r="L960" s="4">
        <v>1.4923</v>
      </c>
    </row>
    <row r="961" spans="1:12">
      <c r="A961" s="1">
        <v>42756</v>
      </c>
      <c r="B961">
        <v>1</v>
      </c>
      <c r="C961" t="s">
        <v>6268</v>
      </c>
      <c r="D961" s="4">
        <v>41.572299999999998</v>
      </c>
      <c r="E961" s="4">
        <v>53.99</v>
      </c>
      <c r="F961" t="s">
        <v>6235</v>
      </c>
      <c r="G961" t="s">
        <v>6233</v>
      </c>
      <c r="H961" t="s">
        <v>3586</v>
      </c>
      <c r="I961" t="s">
        <v>3586</v>
      </c>
      <c r="J961" t="s">
        <v>3587</v>
      </c>
      <c r="K961" s="4">
        <v>53.99</v>
      </c>
      <c r="L961" s="4">
        <v>41.572299999999998</v>
      </c>
    </row>
    <row r="962" spans="1:12">
      <c r="A962" s="1">
        <v>42756</v>
      </c>
      <c r="B962">
        <v>1</v>
      </c>
      <c r="C962" t="s">
        <v>6241</v>
      </c>
      <c r="D962" s="4">
        <v>3.3622999999999998</v>
      </c>
      <c r="E962" s="4">
        <v>8.99</v>
      </c>
      <c r="F962" t="s">
        <v>6240</v>
      </c>
      <c r="G962" t="s">
        <v>6228</v>
      </c>
      <c r="H962" t="s">
        <v>3588</v>
      </c>
      <c r="I962" t="s">
        <v>3588</v>
      </c>
      <c r="J962" t="s">
        <v>3584</v>
      </c>
      <c r="K962" s="4">
        <v>8.99</v>
      </c>
      <c r="L962" s="4">
        <v>3.3622999999999998</v>
      </c>
    </row>
    <row r="963" spans="1:12">
      <c r="A963" s="1">
        <v>42757</v>
      </c>
      <c r="B963">
        <v>1</v>
      </c>
      <c r="C963" t="s">
        <v>6270</v>
      </c>
      <c r="D963" s="4">
        <v>1.4923</v>
      </c>
      <c r="E963" s="4">
        <v>3.99</v>
      </c>
      <c r="F963" t="s">
        <v>6243</v>
      </c>
      <c r="G963" t="s">
        <v>6228</v>
      </c>
      <c r="H963" t="s">
        <v>3580</v>
      </c>
      <c r="I963" t="s">
        <v>3578</v>
      </c>
      <c r="J963" t="s">
        <v>3579</v>
      </c>
      <c r="K963" s="4">
        <v>3.99</v>
      </c>
      <c r="L963" s="4">
        <v>1.4923</v>
      </c>
    </row>
    <row r="964" spans="1:12">
      <c r="A964" s="1">
        <v>42757</v>
      </c>
      <c r="B964">
        <v>1</v>
      </c>
      <c r="C964" t="s">
        <v>6272</v>
      </c>
      <c r="D964" s="4">
        <v>9.3462999999999994</v>
      </c>
      <c r="E964" s="4">
        <v>24.99</v>
      </c>
      <c r="F964" t="s">
        <v>6243</v>
      </c>
      <c r="G964" t="s">
        <v>6228</v>
      </c>
      <c r="H964" t="s">
        <v>3582</v>
      </c>
      <c r="I964" t="s">
        <v>3582</v>
      </c>
      <c r="J964" t="s">
        <v>3579</v>
      </c>
      <c r="K964" s="4">
        <v>24.99</v>
      </c>
      <c r="L964" s="4">
        <v>9.3462999999999994</v>
      </c>
    </row>
    <row r="965" spans="1:12">
      <c r="A965" s="1">
        <v>42757</v>
      </c>
      <c r="B965">
        <v>1</v>
      </c>
      <c r="C965" t="s">
        <v>6254</v>
      </c>
      <c r="D965" s="4">
        <v>12.192399999999999</v>
      </c>
      <c r="E965" s="4">
        <v>32.6</v>
      </c>
      <c r="F965" t="s">
        <v>6243</v>
      </c>
      <c r="G965" t="s">
        <v>6228</v>
      </c>
      <c r="H965" t="s">
        <v>3582</v>
      </c>
      <c r="I965" t="s">
        <v>3582</v>
      </c>
      <c r="J965" t="s">
        <v>3579</v>
      </c>
      <c r="K965" s="4">
        <v>32.6</v>
      </c>
      <c r="L965" s="4">
        <v>12.192399999999999</v>
      </c>
    </row>
    <row r="966" spans="1:12">
      <c r="A966" s="1">
        <v>42757</v>
      </c>
      <c r="B966">
        <v>1</v>
      </c>
      <c r="C966" t="s">
        <v>6270</v>
      </c>
      <c r="D966" s="4">
        <v>1.4923</v>
      </c>
      <c r="E966" s="4">
        <v>3.99</v>
      </c>
      <c r="F966" t="s">
        <v>6243</v>
      </c>
      <c r="G966" t="s">
        <v>6228</v>
      </c>
      <c r="H966" t="s">
        <v>3585</v>
      </c>
      <c r="I966" t="s">
        <v>3585</v>
      </c>
      <c r="J966" t="s">
        <v>3584</v>
      </c>
      <c r="K966" s="4">
        <v>3.99</v>
      </c>
      <c r="L966" s="4">
        <v>1.4923</v>
      </c>
    </row>
    <row r="967" spans="1:12">
      <c r="A967" s="1">
        <v>42757</v>
      </c>
      <c r="B967">
        <v>1</v>
      </c>
      <c r="C967" t="s">
        <v>6229</v>
      </c>
      <c r="D967" s="4">
        <v>12.027799999999999</v>
      </c>
      <c r="E967" s="4">
        <v>33.644199999999998</v>
      </c>
      <c r="F967" t="s">
        <v>6227</v>
      </c>
      <c r="G967" t="s">
        <v>6228</v>
      </c>
      <c r="H967" t="s">
        <v>3586</v>
      </c>
      <c r="I967" t="s">
        <v>3586</v>
      </c>
      <c r="J967" t="s">
        <v>3587</v>
      </c>
      <c r="K967" s="4">
        <v>33.644199999999998</v>
      </c>
      <c r="L967" s="4">
        <v>12.027799999999999</v>
      </c>
    </row>
    <row r="968" spans="1:12">
      <c r="A968" s="1">
        <v>42757</v>
      </c>
      <c r="B968">
        <v>1</v>
      </c>
      <c r="C968" t="s">
        <v>6239</v>
      </c>
      <c r="D968" s="4">
        <v>1.8663000000000001</v>
      </c>
      <c r="E968" s="4">
        <v>4.99</v>
      </c>
      <c r="F968" t="s">
        <v>6240</v>
      </c>
      <c r="G968" t="s">
        <v>6228</v>
      </c>
      <c r="H968" t="s">
        <v>3586</v>
      </c>
      <c r="I968" t="s">
        <v>3586</v>
      </c>
      <c r="J968" t="s">
        <v>3587</v>
      </c>
      <c r="K968" s="4">
        <v>4.99</v>
      </c>
      <c r="L968" s="4">
        <v>1.8663000000000001</v>
      </c>
    </row>
    <row r="969" spans="1:12">
      <c r="A969" s="1">
        <v>42757</v>
      </c>
      <c r="B969">
        <v>1</v>
      </c>
      <c r="C969" t="s">
        <v>6229</v>
      </c>
      <c r="D969" s="4">
        <v>12.027799999999999</v>
      </c>
      <c r="E969" s="4">
        <v>33.644199999999998</v>
      </c>
      <c r="F969" t="s">
        <v>6227</v>
      </c>
      <c r="G969" t="s">
        <v>6228</v>
      </c>
      <c r="H969" t="s">
        <v>3588</v>
      </c>
      <c r="I969" t="s">
        <v>3588</v>
      </c>
      <c r="J969" t="s">
        <v>3584</v>
      </c>
      <c r="K969" s="4">
        <v>33.644199999999998</v>
      </c>
      <c r="L969" s="4">
        <v>12.027799999999999</v>
      </c>
    </row>
    <row r="970" spans="1:12">
      <c r="A970" s="1">
        <v>42758</v>
      </c>
      <c r="B970">
        <v>1</v>
      </c>
      <c r="C970" t="s">
        <v>6231</v>
      </c>
      <c r="D970" s="4">
        <v>5.7051999999999996</v>
      </c>
      <c r="E970" s="4">
        <v>8.6441999999999997</v>
      </c>
      <c r="F970" t="s">
        <v>6232</v>
      </c>
      <c r="G970" t="s">
        <v>6233</v>
      </c>
      <c r="H970" t="s">
        <v>3582</v>
      </c>
      <c r="I970" t="s">
        <v>3582</v>
      </c>
      <c r="J970" t="s">
        <v>3579</v>
      </c>
      <c r="K970" s="4">
        <v>8.6441999999999997</v>
      </c>
      <c r="L970" s="4">
        <v>5.7051999999999996</v>
      </c>
    </row>
    <row r="971" spans="1:12">
      <c r="A971" s="1">
        <v>42758</v>
      </c>
      <c r="B971">
        <v>1</v>
      </c>
      <c r="C971" t="s">
        <v>6276</v>
      </c>
      <c r="D971" s="4">
        <v>1.8663000000000001</v>
      </c>
      <c r="E971" s="4">
        <v>4.99</v>
      </c>
      <c r="F971" t="s">
        <v>6243</v>
      </c>
      <c r="G971" t="s">
        <v>6228</v>
      </c>
      <c r="H971" t="s">
        <v>3583</v>
      </c>
      <c r="I971" t="s">
        <v>3583</v>
      </c>
      <c r="J971" t="s">
        <v>3584</v>
      </c>
      <c r="K971" s="4">
        <v>4.99</v>
      </c>
      <c r="L971" s="4">
        <v>1.8663000000000001</v>
      </c>
    </row>
    <row r="972" spans="1:12">
      <c r="A972" s="1">
        <v>42759</v>
      </c>
      <c r="B972">
        <v>1</v>
      </c>
      <c r="C972" t="s">
        <v>6226</v>
      </c>
      <c r="D972" s="4">
        <v>13.0863</v>
      </c>
      <c r="E972" s="4">
        <v>34.99</v>
      </c>
      <c r="F972" t="s">
        <v>6227</v>
      </c>
      <c r="G972" t="s">
        <v>6228</v>
      </c>
      <c r="H972" t="s">
        <v>3582</v>
      </c>
      <c r="I972" t="s">
        <v>3582</v>
      </c>
      <c r="J972" t="s">
        <v>3579</v>
      </c>
      <c r="K972" s="4">
        <v>34.99</v>
      </c>
      <c r="L972" s="4">
        <v>13.0863</v>
      </c>
    </row>
    <row r="973" spans="1:12">
      <c r="A973" s="1">
        <v>42759</v>
      </c>
      <c r="B973">
        <v>2</v>
      </c>
      <c r="C973" t="s">
        <v>6239</v>
      </c>
      <c r="D973" s="4">
        <v>1.8663000000000001</v>
      </c>
      <c r="E973" s="4">
        <v>4.99</v>
      </c>
      <c r="F973" t="s">
        <v>6240</v>
      </c>
      <c r="G973" t="s">
        <v>6228</v>
      </c>
      <c r="H973" t="s">
        <v>3586</v>
      </c>
      <c r="I973" t="s">
        <v>3586</v>
      </c>
      <c r="J973" t="s">
        <v>3587</v>
      </c>
      <c r="K973" s="4">
        <v>9.98</v>
      </c>
      <c r="L973" s="4">
        <v>3.7326000000000001</v>
      </c>
    </row>
    <row r="974" spans="1:12">
      <c r="A974" s="1">
        <v>42760</v>
      </c>
      <c r="B974">
        <v>1</v>
      </c>
      <c r="C974" t="s">
        <v>6270</v>
      </c>
      <c r="D974" s="4">
        <v>1.4923</v>
      </c>
      <c r="E974" s="4">
        <v>3.99</v>
      </c>
      <c r="F974" t="s">
        <v>6243</v>
      </c>
      <c r="G974" t="s">
        <v>6228</v>
      </c>
      <c r="H974" t="s">
        <v>3577</v>
      </c>
      <c r="I974" t="s">
        <v>3578</v>
      </c>
      <c r="J974" t="s">
        <v>3579</v>
      </c>
      <c r="K974" s="4">
        <v>3.99</v>
      </c>
      <c r="L974" s="4">
        <v>1.4923</v>
      </c>
    </row>
    <row r="975" spans="1:12">
      <c r="A975" s="1">
        <v>42760</v>
      </c>
      <c r="B975">
        <v>1</v>
      </c>
      <c r="C975" t="s">
        <v>6241</v>
      </c>
      <c r="D975" s="4">
        <v>3.3622999999999998</v>
      </c>
      <c r="E975" s="4">
        <v>8.99</v>
      </c>
      <c r="F975" t="s">
        <v>6240</v>
      </c>
      <c r="G975" t="s">
        <v>6228</v>
      </c>
      <c r="H975" t="s">
        <v>3582</v>
      </c>
      <c r="I975" t="s">
        <v>3582</v>
      </c>
      <c r="J975" t="s">
        <v>3579</v>
      </c>
      <c r="K975" s="4">
        <v>8.99</v>
      </c>
      <c r="L975" s="4">
        <v>3.3622999999999998</v>
      </c>
    </row>
    <row r="976" spans="1:12">
      <c r="A976" s="1">
        <v>42761</v>
      </c>
      <c r="B976">
        <v>1</v>
      </c>
      <c r="C976" t="s">
        <v>6245</v>
      </c>
      <c r="D976" s="4">
        <v>0.85650000000000004</v>
      </c>
      <c r="E976" s="4">
        <v>2.29</v>
      </c>
      <c r="F976" t="s">
        <v>6243</v>
      </c>
      <c r="G976" t="s">
        <v>6228</v>
      </c>
      <c r="H976" t="s">
        <v>3580</v>
      </c>
      <c r="I976" t="s">
        <v>3578</v>
      </c>
      <c r="J976" t="s">
        <v>3579</v>
      </c>
      <c r="K976" s="4">
        <v>2.29</v>
      </c>
      <c r="L976" s="4">
        <v>0.85650000000000004</v>
      </c>
    </row>
    <row r="977" spans="1:12">
      <c r="A977" s="1">
        <v>42761</v>
      </c>
      <c r="B977">
        <v>1</v>
      </c>
      <c r="C977" t="s">
        <v>6276</v>
      </c>
      <c r="D977" s="4">
        <v>1.8663000000000001</v>
      </c>
      <c r="E977" s="4">
        <v>4.99</v>
      </c>
      <c r="F977" t="s">
        <v>6243</v>
      </c>
      <c r="G977" t="s">
        <v>6228</v>
      </c>
      <c r="H977" t="s">
        <v>3580</v>
      </c>
      <c r="I977" t="s">
        <v>3578</v>
      </c>
      <c r="J977" t="s">
        <v>3579</v>
      </c>
      <c r="K977" s="4">
        <v>4.99</v>
      </c>
      <c r="L977" s="4">
        <v>1.8663000000000001</v>
      </c>
    </row>
    <row r="978" spans="1:12">
      <c r="A978" s="1">
        <v>42761</v>
      </c>
      <c r="B978">
        <v>1</v>
      </c>
      <c r="C978" t="s">
        <v>6234</v>
      </c>
      <c r="D978" s="4">
        <v>31.724399999999999</v>
      </c>
      <c r="E978" s="4">
        <v>48.067300000000003</v>
      </c>
      <c r="F978" t="s">
        <v>6235</v>
      </c>
      <c r="G978" t="s">
        <v>6233</v>
      </c>
      <c r="H978" t="s">
        <v>3582</v>
      </c>
      <c r="I978" t="s">
        <v>3582</v>
      </c>
      <c r="J978" t="s">
        <v>3579</v>
      </c>
      <c r="K978" s="4">
        <v>48.067300000000003</v>
      </c>
      <c r="L978" s="4">
        <v>31.724399999999999</v>
      </c>
    </row>
    <row r="979" spans="1:12">
      <c r="A979" s="1">
        <v>42761</v>
      </c>
      <c r="B979">
        <v>1</v>
      </c>
      <c r="C979" t="s">
        <v>6239</v>
      </c>
      <c r="D979" s="4">
        <v>1.8663000000000001</v>
      </c>
      <c r="E979" s="4">
        <v>4.99</v>
      </c>
      <c r="F979" t="s">
        <v>6240</v>
      </c>
      <c r="G979" t="s">
        <v>6228</v>
      </c>
      <c r="H979" t="s">
        <v>3582</v>
      </c>
      <c r="I979" t="s">
        <v>3582</v>
      </c>
      <c r="J979" t="s">
        <v>3579</v>
      </c>
      <c r="K979" s="4">
        <v>4.99</v>
      </c>
      <c r="L979" s="4">
        <v>1.8663000000000001</v>
      </c>
    </row>
    <row r="980" spans="1:12">
      <c r="A980" s="1">
        <v>42761</v>
      </c>
      <c r="B980">
        <v>1</v>
      </c>
      <c r="C980" t="s">
        <v>6260</v>
      </c>
      <c r="D980" s="4">
        <v>13.09</v>
      </c>
      <c r="E980" s="4">
        <v>35</v>
      </c>
      <c r="F980" t="s">
        <v>6243</v>
      </c>
      <c r="G980" t="s">
        <v>6228</v>
      </c>
      <c r="H980" t="s">
        <v>3582</v>
      </c>
      <c r="I980" t="s">
        <v>3582</v>
      </c>
      <c r="J980" t="s">
        <v>3579</v>
      </c>
      <c r="K980" s="4">
        <v>35</v>
      </c>
      <c r="L980" s="4">
        <v>13.09</v>
      </c>
    </row>
    <row r="981" spans="1:12">
      <c r="A981" s="1">
        <v>42761</v>
      </c>
      <c r="B981">
        <v>1</v>
      </c>
      <c r="C981" t="s">
        <v>6260</v>
      </c>
      <c r="D981" s="4">
        <v>13.09</v>
      </c>
      <c r="E981" s="4">
        <v>35</v>
      </c>
      <c r="F981" t="s">
        <v>6243</v>
      </c>
      <c r="G981" t="s">
        <v>6228</v>
      </c>
      <c r="H981" t="s">
        <v>3583</v>
      </c>
      <c r="I981" t="s">
        <v>3583</v>
      </c>
      <c r="J981" t="s">
        <v>3584</v>
      </c>
      <c r="K981" s="4">
        <v>35</v>
      </c>
      <c r="L981" s="4">
        <v>13.09</v>
      </c>
    </row>
    <row r="982" spans="1:12">
      <c r="A982" s="1">
        <v>42762</v>
      </c>
      <c r="B982">
        <v>1</v>
      </c>
      <c r="C982" t="s">
        <v>6302</v>
      </c>
      <c r="D982" s="4">
        <v>23.748999999999999</v>
      </c>
      <c r="E982" s="4">
        <v>63.5</v>
      </c>
      <c r="F982" t="s">
        <v>6293</v>
      </c>
      <c r="G982" t="s">
        <v>6233</v>
      </c>
      <c r="H982" t="s">
        <v>3577</v>
      </c>
      <c r="I982" t="s">
        <v>3578</v>
      </c>
      <c r="J982" t="s">
        <v>3579</v>
      </c>
      <c r="K982" s="4">
        <v>63.5</v>
      </c>
      <c r="L982" s="4">
        <v>23.748999999999999</v>
      </c>
    </row>
    <row r="983" spans="1:12">
      <c r="A983" s="1">
        <v>42762</v>
      </c>
      <c r="B983">
        <v>1</v>
      </c>
      <c r="C983" t="s">
        <v>6242</v>
      </c>
      <c r="D983" s="4">
        <v>1.8663000000000001</v>
      </c>
      <c r="E983" s="4">
        <v>4.99</v>
      </c>
      <c r="F983" t="s">
        <v>6243</v>
      </c>
      <c r="G983" t="s">
        <v>6228</v>
      </c>
      <c r="H983" t="s">
        <v>3577</v>
      </c>
      <c r="I983" t="s">
        <v>3578</v>
      </c>
      <c r="J983" t="s">
        <v>3579</v>
      </c>
      <c r="K983" s="4">
        <v>4.99</v>
      </c>
      <c r="L983" s="4">
        <v>1.8663000000000001</v>
      </c>
    </row>
    <row r="984" spans="1:12">
      <c r="A984" s="1">
        <v>42762</v>
      </c>
      <c r="B984">
        <v>1</v>
      </c>
      <c r="C984" t="s">
        <v>6248</v>
      </c>
      <c r="D984" s="4">
        <v>8.2204999999999995</v>
      </c>
      <c r="E984" s="4">
        <v>21.98</v>
      </c>
      <c r="F984" t="s">
        <v>6249</v>
      </c>
      <c r="G984" t="s">
        <v>6228</v>
      </c>
      <c r="H984" t="s">
        <v>3582</v>
      </c>
      <c r="I984" t="s">
        <v>3582</v>
      </c>
      <c r="J984" t="s">
        <v>3579</v>
      </c>
      <c r="K984" s="4">
        <v>21.98</v>
      </c>
      <c r="L984" s="4">
        <v>8.2204999999999995</v>
      </c>
    </row>
    <row r="985" spans="1:12">
      <c r="A985" s="1">
        <v>42763</v>
      </c>
      <c r="B985">
        <v>1</v>
      </c>
      <c r="C985" t="s">
        <v>6260</v>
      </c>
      <c r="D985" s="4">
        <v>13.09</v>
      </c>
      <c r="E985" s="4">
        <v>35</v>
      </c>
      <c r="F985" t="s">
        <v>6243</v>
      </c>
      <c r="G985" t="s">
        <v>6228</v>
      </c>
      <c r="H985" t="s">
        <v>3577</v>
      </c>
      <c r="I985" t="s">
        <v>3578</v>
      </c>
      <c r="J985" t="s">
        <v>3579</v>
      </c>
      <c r="K985" s="4">
        <v>35</v>
      </c>
      <c r="L985" s="4">
        <v>13.09</v>
      </c>
    </row>
    <row r="986" spans="1:12">
      <c r="A986" s="1">
        <v>42763</v>
      </c>
      <c r="B986">
        <v>1</v>
      </c>
      <c r="C986" t="s">
        <v>6248</v>
      </c>
      <c r="D986" s="4">
        <v>8.2204999999999995</v>
      </c>
      <c r="E986" s="4">
        <v>21.98</v>
      </c>
      <c r="F986" t="s">
        <v>6249</v>
      </c>
      <c r="G986" t="s">
        <v>6228</v>
      </c>
      <c r="H986" t="s">
        <v>3580</v>
      </c>
      <c r="I986" t="s">
        <v>3578</v>
      </c>
      <c r="J986" t="s">
        <v>3579</v>
      </c>
      <c r="K986" s="4">
        <v>21.98</v>
      </c>
      <c r="L986" s="4">
        <v>8.2204999999999995</v>
      </c>
    </row>
    <row r="987" spans="1:12">
      <c r="A987" s="1">
        <v>42763</v>
      </c>
      <c r="B987">
        <v>1</v>
      </c>
      <c r="C987" t="s">
        <v>6271</v>
      </c>
      <c r="D987" s="4">
        <v>11.2163</v>
      </c>
      <c r="E987" s="4">
        <v>29.99</v>
      </c>
      <c r="F987" t="s">
        <v>6243</v>
      </c>
      <c r="G987" t="s">
        <v>6228</v>
      </c>
      <c r="H987" t="s">
        <v>3582</v>
      </c>
      <c r="I987" t="s">
        <v>3582</v>
      </c>
      <c r="J987" t="s">
        <v>3579</v>
      </c>
      <c r="K987" s="4">
        <v>29.99</v>
      </c>
      <c r="L987" s="4">
        <v>11.2163</v>
      </c>
    </row>
    <row r="988" spans="1:12">
      <c r="A988" s="1">
        <v>42763</v>
      </c>
      <c r="B988">
        <v>1</v>
      </c>
      <c r="C988" t="s">
        <v>6239</v>
      </c>
      <c r="D988" s="4">
        <v>1.8663000000000001</v>
      </c>
      <c r="E988" s="4">
        <v>4.99</v>
      </c>
      <c r="F988" t="s">
        <v>6240</v>
      </c>
      <c r="G988" t="s">
        <v>6228</v>
      </c>
      <c r="H988" t="s">
        <v>3585</v>
      </c>
      <c r="I988" t="s">
        <v>3585</v>
      </c>
      <c r="J988" t="s">
        <v>3584</v>
      </c>
      <c r="K988" s="4">
        <v>4.99</v>
      </c>
      <c r="L988" s="4">
        <v>1.8663000000000001</v>
      </c>
    </row>
    <row r="989" spans="1:12">
      <c r="A989" s="1">
        <v>42763</v>
      </c>
      <c r="B989">
        <v>1</v>
      </c>
      <c r="C989" t="s">
        <v>3542</v>
      </c>
      <c r="D989" s="4">
        <v>1105.81</v>
      </c>
      <c r="E989" s="4">
        <v>2049.0981999999999</v>
      </c>
      <c r="F989" t="s">
        <v>3478</v>
      </c>
      <c r="G989" t="s">
        <v>3475</v>
      </c>
      <c r="H989" t="s">
        <v>3586</v>
      </c>
      <c r="I989" t="s">
        <v>3586</v>
      </c>
      <c r="J989" t="s">
        <v>3587</v>
      </c>
      <c r="K989" s="4">
        <v>2049.0981999999999</v>
      </c>
      <c r="L989" s="4">
        <v>1105.81</v>
      </c>
    </row>
    <row r="990" spans="1:12">
      <c r="A990" s="1">
        <v>42763</v>
      </c>
      <c r="B990">
        <v>1</v>
      </c>
      <c r="C990" t="s">
        <v>3554</v>
      </c>
      <c r="D990" s="4">
        <v>1320.6838</v>
      </c>
      <c r="E990" s="4">
        <v>2181.5625</v>
      </c>
      <c r="F990" t="s">
        <v>3479</v>
      </c>
      <c r="G990" t="s">
        <v>3475</v>
      </c>
      <c r="H990" t="s">
        <v>3586</v>
      </c>
      <c r="I990" t="s">
        <v>3586</v>
      </c>
      <c r="J990" t="s">
        <v>3587</v>
      </c>
      <c r="K990" s="4">
        <v>2181.5625</v>
      </c>
      <c r="L990" s="4">
        <v>1320.6838</v>
      </c>
    </row>
    <row r="991" spans="1:12">
      <c r="A991" s="1">
        <v>42763</v>
      </c>
      <c r="B991">
        <v>1</v>
      </c>
      <c r="C991" t="s">
        <v>6246</v>
      </c>
      <c r="D991" s="4">
        <v>20.566299999999998</v>
      </c>
      <c r="E991" s="4">
        <v>54.99</v>
      </c>
      <c r="F991" t="s">
        <v>6247</v>
      </c>
      <c r="G991" t="s">
        <v>6228</v>
      </c>
      <c r="H991" t="s">
        <v>3586</v>
      </c>
      <c r="I991" t="s">
        <v>3586</v>
      </c>
      <c r="J991" t="s">
        <v>3587</v>
      </c>
      <c r="K991" s="4">
        <v>54.99</v>
      </c>
      <c r="L991" s="4">
        <v>20.566299999999998</v>
      </c>
    </row>
    <row r="992" spans="1:12">
      <c r="A992" s="1">
        <v>42763</v>
      </c>
      <c r="B992">
        <v>1</v>
      </c>
      <c r="C992" t="s">
        <v>6298</v>
      </c>
      <c r="D992" s="4">
        <v>3.3622999999999998</v>
      </c>
      <c r="E992" s="4">
        <v>8.99</v>
      </c>
      <c r="F992" t="s">
        <v>6264</v>
      </c>
      <c r="G992" t="s">
        <v>6233</v>
      </c>
      <c r="H992" t="s">
        <v>3588</v>
      </c>
      <c r="I992" t="s">
        <v>3588</v>
      </c>
      <c r="J992" t="s">
        <v>3584</v>
      </c>
      <c r="K992" s="4">
        <v>8.99</v>
      </c>
      <c r="L992" s="4">
        <v>3.3622999999999998</v>
      </c>
    </row>
    <row r="993" spans="1:12">
      <c r="A993" s="1">
        <v>42763</v>
      </c>
      <c r="B993">
        <v>1</v>
      </c>
      <c r="C993" t="s">
        <v>6276</v>
      </c>
      <c r="D993" s="4">
        <v>1.8663000000000001</v>
      </c>
      <c r="E993" s="4">
        <v>4.99</v>
      </c>
      <c r="F993" t="s">
        <v>6243</v>
      </c>
      <c r="G993" t="s">
        <v>6228</v>
      </c>
      <c r="H993" t="s">
        <v>3588</v>
      </c>
      <c r="I993" t="s">
        <v>3588</v>
      </c>
      <c r="J993" t="s">
        <v>3584</v>
      </c>
      <c r="K993" s="4">
        <v>4.99</v>
      </c>
      <c r="L993" s="4">
        <v>1.8663000000000001</v>
      </c>
    </row>
    <row r="994" spans="1:12">
      <c r="A994" s="1">
        <v>42764</v>
      </c>
      <c r="B994">
        <v>1</v>
      </c>
      <c r="C994" t="s">
        <v>6297</v>
      </c>
      <c r="D994" s="4">
        <v>343.64960000000002</v>
      </c>
      <c r="E994" s="4">
        <v>539.99</v>
      </c>
      <c r="F994" t="s">
        <v>3479</v>
      </c>
      <c r="G994" t="s">
        <v>3475</v>
      </c>
      <c r="H994" t="s">
        <v>3580</v>
      </c>
      <c r="I994" t="s">
        <v>3578</v>
      </c>
      <c r="J994" t="s">
        <v>3579</v>
      </c>
      <c r="K994" s="4">
        <v>539.99</v>
      </c>
      <c r="L994" s="4">
        <v>343.64960000000002</v>
      </c>
    </row>
    <row r="995" spans="1:12">
      <c r="A995" s="1">
        <v>42764</v>
      </c>
      <c r="B995">
        <v>1</v>
      </c>
      <c r="C995" t="s">
        <v>6242</v>
      </c>
      <c r="D995" s="4">
        <v>1.8663000000000001</v>
      </c>
      <c r="E995" s="4">
        <v>4.99</v>
      </c>
      <c r="F995" t="s">
        <v>6243</v>
      </c>
      <c r="G995" t="s">
        <v>6228</v>
      </c>
      <c r="H995" t="s">
        <v>3582</v>
      </c>
      <c r="I995" t="s">
        <v>3582</v>
      </c>
      <c r="J995" t="s">
        <v>3579</v>
      </c>
      <c r="K995" s="4">
        <v>4.99</v>
      </c>
      <c r="L995" s="4">
        <v>1.8663000000000001</v>
      </c>
    </row>
    <row r="996" spans="1:12">
      <c r="A996" s="1">
        <v>42764</v>
      </c>
      <c r="B996">
        <v>1</v>
      </c>
      <c r="C996" t="s">
        <v>6260</v>
      </c>
      <c r="D996" s="4">
        <v>13.09</v>
      </c>
      <c r="E996" s="4">
        <v>35</v>
      </c>
      <c r="F996" t="s">
        <v>6243</v>
      </c>
      <c r="G996" t="s">
        <v>6228</v>
      </c>
      <c r="H996" t="s">
        <v>3582</v>
      </c>
      <c r="I996" t="s">
        <v>3582</v>
      </c>
      <c r="J996" t="s">
        <v>3579</v>
      </c>
      <c r="K996" s="4">
        <v>35</v>
      </c>
      <c r="L996" s="4">
        <v>13.09</v>
      </c>
    </row>
    <row r="997" spans="1:12">
      <c r="A997" s="1">
        <v>42764</v>
      </c>
      <c r="B997">
        <v>1</v>
      </c>
      <c r="C997" t="s">
        <v>6271</v>
      </c>
      <c r="D997" s="4">
        <v>11.2163</v>
      </c>
      <c r="E997" s="4">
        <v>29.99</v>
      </c>
      <c r="F997" t="s">
        <v>6243</v>
      </c>
      <c r="G997" t="s">
        <v>6228</v>
      </c>
      <c r="H997" t="s">
        <v>3583</v>
      </c>
      <c r="I997" t="s">
        <v>3583</v>
      </c>
      <c r="J997" t="s">
        <v>3584</v>
      </c>
      <c r="K997" s="4">
        <v>29.99</v>
      </c>
      <c r="L997" s="4">
        <v>11.2163</v>
      </c>
    </row>
    <row r="998" spans="1:12">
      <c r="A998" s="1">
        <v>42764</v>
      </c>
      <c r="B998">
        <v>1</v>
      </c>
      <c r="C998" t="s">
        <v>6255</v>
      </c>
      <c r="D998" s="4">
        <v>9.7135999999999996</v>
      </c>
      <c r="E998" s="4">
        <v>23.548100000000002</v>
      </c>
      <c r="F998" t="s">
        <v>6251</v>
      </c>
      <c r="G998" t="s">
        <v>6233</v>
      </c>
      <c r="H998" t="s">
        <v>3586</v>
      </c>
      <c r="I998" t="s">
        <v>3586</v>
      </c>
      <c r="J998" t="s">
        <v>3587</v>
      </c>
      <c r="K998" s="4">
        <v>23.548100000000002</v>
      </c>
      <c r="L998" s="4">
        <v>9.7135999999999996</v>
      </c>
    </row>
    <row r="999" spans="1:12">
      <c r="A999" s="1">
        <v>42764</v>
      </c>
      <c r="B999">
        <v>1</v>
      </c>
      <c r="C999" t="s">
        <v>6276</v>
      </c>
      <c r="D999" s="4">
        <v>1.8663000000000001</v>
      </c>
      <c r="E999" s="4">
        <v>4.99</v>
      </c>
      <c r="F999" t="s">
        <v>6243</v>
      </c>
      <c r="G999" t="s">
        <v>6228</v>
      </c>
      <c r="H999" t="s">
        <v>3588</v>
      </c>
      <c r="I999" t="s">
        <v>3588</v>
      </c>
      <c r="J999" t="s">
        <v>3584</v>
      </c>
      <c r="K999" s="4">
        <v>4.99</v>
      </c>
      <c r="L999" s="4">
        <v>1.8663000000000001</v>
      </c>
    </row>
    <row r="1000" spans="1:12">
      <c r="A1000" s="1">
        <v>42765</v>
      </c>
      <c r="B1000">
        <v>1</v>
      </c>
      <c r="C1000" t="s">
        <v>6242</v>
      </c>
      <c r="D1000" s="4">
        <v>1.8663000000000001</v>
      </c>
      <c r="E1000" s="4">
        <v>4.99</v>
      </c>
      <c r="F1000" t="s">
        <v>6243</v>
      </c>
      <c r="G1000" t="s">
        <v>6228</v>
      </c>
      <c r="H1000" t="s">
        <v>3580</v>
      </c>
      <c r="I1000" t="s">
        <v>3578</v>
      </c>
      <c r="J1000" t="s">
        <v>3579</v>
      </c>
      <c r="K1000" s="4">
        <v>4.99</v>
      </c>
      <c r="L1000" s="4">
        <v>1.8663000000000001</v>
      </c>
    </row>
    <row r="1001" spans="1:12">
      <c r="A1001" s="1">
        <v>42765</v>
      </c>
      <c r="B1001">
        <v>1</v>
      </c>
      <c r="C1001" t="s">
        <v>6250</v>
      </c>
      <c r="D1001" s="4">
        <v>9.7135999999999996</v>
      </c>
      <c r="E1001" s="4">
        <v>23.548100000000002</v>
      </c>
      <c r="F1001" t="s">
        <v>6251</v>
      </c>
      <c r="G1001" t="s">
        <v>6233</v>
      </c>
      <c r="H1001" t="s">
        <v>3586</v>
      </c>
      <c r="I1001" t="s">
        <v>3586</v>
      </c>
      <c r="J1001" t="s">
        <v>3587</v>
      </c>
      <c r="K1001" s="4">
        <v>23.548100000000002</v>
      </c>
      <c r="L1001" s="4">
        <v>9.7135999999999996</v>
      </c>
    </row>
    <row r="1002" spans="1:12">
      <c r="A1002" s="1">
        <v>42766</v>
      </c>
      <c r="B1002">
        <v>1</v>
      </c>
      <c r="C1002" t="s">
        <v>6239</v>
      </c>
      <c r="D1002" s="4">
        <v>1.8663000000000001</v>
      </c>
      <c r="E1002" s="4">
        <v>4.99</v>
      </c>
      <c r="F1002" t="s">
        <v>6240</v>
      </c>
      <c r="G1002" t="s">
        <v>6228</v>
      </c>
      <c r="H1002" t="s">
        <v>3580</v>
      </c>
      <c r="I1002" t="s">
        <v>3578</v>
      </c>
      <c r="J1002" t="s">
        <v>3579</v>
      </c>
      <c r="K1002" s="4">
        <v>4.99</v>
      </c>
      <c r="L1002" s="4">
        <v>1.8663000000000001</v>
      </c>
    </row>
    <row r="1003" spans="1:12">
      <c r="A1003" s="1">
        <v>42766</v>
      </c>
      <c r="B1003">
        <v>1</v>
      </c>
      <c r="C1003" t="s">
        <v>6260</v>
      </c>
      <c r="D1003" s="4">
        <v>13.09</v>
      </c>
      <c r="E1003" s="4">
        <v>35</v>
      </c>
      <c r="F1003" t="s">
        <v>6243</v>
      </c>
      <c r="G1003" t="s">
        <v>6228</v>
      </c>
      <c r="H1003" t="s">
        <v>3582</v>
      </c>
      <c r="I1003" t="s">
        <v>3582</v>
      </c>
      <c r="J1003" t="s">
        <v>3579</v>
      </c>
      <c r="K1003" s="4">
        <v>35</v>
      </c>
      <c r="L1003" s="4">
        <v>13.09</v>
      </c>
    </row>
    <row r="1004" spans="1:12">
      <c r="A1004" s="1">
        <v>42766</v>
      </c>
      <c r="B1004">
        <v>1</v>
      </c>
      <c r="C1004" t="s">
        <v>6241</v>
      </c>
      <c r="D1004" s="4">
        <v>3.3622999999999998</v>
      </c>
      <c r="E1004" s="4">
        <v>8.99</v>
      </c>
      <c r="F1004" t="s">
        <v>6240</v>
      </c>
      <c r="G1004" t="s">
        <v>6228</v>
      </c>
      <c r="H1004" t="s">
        <v>3585</v>
      </c>
      <c r="I1004" t="s">
        <v>3585</v>
      </c>
      <c r="J1004" t="s">
        <v>3584</v>
      </c>
      <c r="K1004" s="4">
        <v>8.99</v>
      </c>
      <c r="L1004" s="4">
        <v>3.3622999999999998</v>
      </c>
    </row>
    <row r="1005" spans="1:12">
      <c r="A1005" s="1">
        <v>42766</v>
      </c>
      <c r="B1005">
        <v>1</v>
      </c>
      <c r="C1005" t="s">
        <v>6272</v>
      </c>
      <c r="D1005" s="4">
        <v>9.3462999999999994</v>
      </c>
      <c r="E1005" s="4">
        <v>24.99</v>
      </c>
      <c r="F1005" t="s">
        <v>6243</v>
      </c>
      <c r="G1005" t="s">
        <v>6228</v>
      </c>
      <c r="H1005" t="s">
        <v>3585</v>
      </c>
      <c r="I1005" t="s">
        <v>3585</v>
      </c>
      <c r="J1005" t="s">
        <v>3584</v>
      </c>
      <c r="K1005" s="4">
        <v>24.99</v>
      </c>
      <c r="L1005" s="4">
        <v>9.3462999999999994</v>
      </c>
    </row>
    <row r="1006" spans="1:12">
      <c r="A1006" s="1">
        <v>42767</v>
      </c>
      <c r="B1006">
        <v>1</v>
      </c>
      <c r="C1006" t="s">
        <v>6239</v>
      </c>
      <c r="D1006" s="4">
        <v>1.8663000000000001</v>
      </c>
      <c r="E1006" s="4">
        <v>4.99</v>
      </c>
      <c r="F1006" t="s">
        <v>6240</v>
      </c>
      <c r="G1006" t="s">
        <v>6228</v>
      </c>
      <c r="H1006" t="s">
        <v>3577</v>
      </c>
      <c r="I1006" t="s">
        <v>3578</v>
      </c>
      <c r="J1006" t="s">
        <v>3579</v>
      </c>
      <c r="K1006" s="4">
        <v>4.99</v>
      </c>
      <c r="L1006" s="4">
        <v>1.8663000000000001</v>
      </c>
    </row>
    <row r="1007" spans="1:12">
      <c r="A1007" s="1">
        <v>42767</v>
      </c>
      <c r="B1007">
        <v>1</v>
      </c>
      <c r="C1007" t="s">
        <v>6245</v>
      </c>
      <c r="D1007" s="4">
        <v>0.85650000000000004</v>
      </c>
      <c r="E1007" s="4">
        <v>2.29</v>
      </c>
      <c r="F1007" t="s">
        <v>6243</v>
      </c>
      <c r="G1007" t="s">
        <v>6228</v>
      </c>
      <c r="H1007" t="s">
        <v>3577</v>
      </c>
      <c r="I1007" t="s">
        <v>3578</v>
      </c>
      <c r="J1007" t="s">
        <v>3579</v>
      </c>
      <c r="K1007" s="4">
        <v>2.29</v>
      </c>
      <c r="L1007" s="4">
        <v>0.85650000000000004</v>
      </c>
    </row>
    <row r="1008" spans="1:12">
      <c r="A1008" s="1">
        <v>42767</v>
      </c>
      <c r="B1008">
        <v>1</v>
      </c>
      <c r="C1008" t="s">
        <v>6295</v>
      </c>
      <c r="D1008" s="4">
        <v>294.5797</v>
      </c>
      <c r="E1008" s="4">
        <v>539.99</v>
      </c>
      <c r="F1008" t="s">
        <v>3478</v>
      </c>
      <c r="G1008" t="s">
        <v>3475</v>
      </c>
      <c r="H1008" t="s">
        <v>3577</v>
      </c>
      <c r="I1008" t="s">
        <v>3578</v>
      </c>
      <c r="J1008" t="s">
        <v>3579</v>
      </c>
      <c r="K1008" s="4">
        <v>539.99</v>
      </c>
      <c r="L1008" s="4">
        <v>294.5797</v>
      </c>
    </row>
    <row r="1009" spans="1:12">
      <c r="A1009" s="1">
        <v>42767</v>
      </c>
      <c r="B1009">
        <v>1</v>
      </c>
      <c r="C1009" t="s">
        <v>6239</v>
      </c>
      <c r="D1009" s="4">
        <v>1.8663000000000001</v>
      </c>
      <c r="E1009" s="4">
        <v>4.99</v>
      </c>
      <c r="F1009" t="s">
        <v>6240</v>
      </c>
      <c r="G1009" t="s">
        <v>6228</v>
      </c>
      <c r="H1009" t="s">
        <v>3580</v>
      </c>
      <c r="I1009" t="s">
        <v>3578</v>
      </c>
      <c r="J1009" t="s">
        <v>3579</v>
      </c>
      <c r="K1009" s="4">
        <v>4.99</v>
      </c>
      <c r="L1009" s="4">
        <v>1.8663000000000001</v>
      </c>
    </row>
    <row r="1010" spans="1:12">
      <c r="A1010" s="1">
        <v>42767</v>
      </c>
      <c r="B1010">
        <v>1</v>
      </c>
      <c r="C1010" t="s">
        <v>6248</v>
      </c>
      <c r="D1010" s="4">
        <v>8.2204999999999995</v>
      </c>
      <c r="E1010" s="4">
        <v>21.98</v>
      </c>
      <c r="F1010" t="s">
        <v>6249</v>
      </c>
      <c r="G1010" t="s">
        <v>6228</v>
      </c>
      <c r="H1010" t="s">
        <v>3580</v>
      </c>
      <c r="I1010" t="s">
        <v>3578</v>
      </c>
      <c r="J1010" t="s">
        <v>3579</v>
      </c>
      <c r="K1010" s="4">
        <v>21.98</v>
      </c>
      <c r="L1010" s="4">
        <v>8.2204999999999995</v>
      </c>
    </row>
    <row r="1011" spans="1:12">
      <c r="A1011" s="1">
        <v>42767</v>
      </c>
      <c r="B1011">
        <v>1</v>
      </c>
      <c r="C1011" t="s">
        <v>6231</v>
      </c>
      <c r="D1011" s="4">
        <v>5.7051999999999996</v>
      </c>
      <c r="E1011" s="4">
        <v>8.6441999999999997</v>
      </c>
      <c r="F1011" t="s">
        <v>6232</v>
      </c>
      <c r="G1011" t="s">
        <v>6233</v>
      </c>
      <c r="H1011" t="s">
        <v>3583</v>
      </c>
      <c r="I1011" t="s">
        <v>3583</v>
      </c>
      <c r="J1011" t="s">
        <v>3584</v>
      </c>
      <c r="K1011" s="4">
        <v>8.6441999999999997</v>
      </c>
      <c r="L1011" s="4">
        <v>5.7051999999999996</v>
      </c>
    </row>
    <row r="1012" spans="1:12">
      <c r="A1012" s="1">
        <v>42767</v>
      </c>
      <c r="B1012">
        <v>1</v>
      </c>
      <c r="C1012" t="s">
        <v>6242</v>
      </c>
      <c r="D1012" s="4">
        <v>1.8663000000000001</v>
      </c>
      <c r="E1012" s="4">
        <v>4.99</v>
      </c>
      <c r="F1012" t="s">
        <v>6243</v>
      </c>
      <c r="G1012" t="s">
        <v>6228</v>
      </c>
      <c r="H1012" t="s">
        <v>3586</v>
      </c>
      <c r="I1012" t="s">
        <v>3586</v>
      </c>
      <c r="J1012" t="s">
        <v>3587</v>
      </c>
      <c r="K1012" s="4">
        <v>4.99</v>
      </c>
      <c r="L1012" s="4">
        <v>1.8663000000000001</v>
      </c>
    </row>
    <row r="1013" spans="1:12">
      <c r="A1013" s="1">
        <v>42768</v>
      </c>
      <c r="B1013">
        <v>1</v>
      </c>
      <c r="C1013" t="s">
        <v>6239</v>
      </c>
      <c r="D1013" s="4">
        <v>1.8663000000000001</v>
      </c>
      <c r="E1013" s="4">
        <v>4.99</v>
      </c>
      <c r="F1013" t="s">
        <v>6240</v>
      </c>
      <c r="G1013" t="s">
        <v>6228</v>
      </c>
      <c r="H1013" t="s">
        <v>3583</v>
      </c>
      <c r="I1013" t="s">
        <v>3583</v>
      </c>
      <c r="J1013" t="s">
        <v>3584</v>
      </c>
      <c r="K1013" s="4">
        <v>4.99</v>
      </c>
      <c r="L1013" s="4">
        <v>1.8663000000000001</v>
      </c>
    </row>
    <row r="1014" spans="1:12">
      <c r="A1014" s="1">
        <v>42768</v>
      </c>
      <c r="B1014">
        <v>1</v>
      </c>
      <c r="C1014" t="s">
        <v>6237</v>
      </c>
      <c r="D1014" s="4">
        <v>31.724399999999999</v>
      </c>
      <c r="E1014" s="4">
        <v>48.067300000000003</v>
      </c>
      <c r="F1014" t="s">
        <v>6235</v>
      </c>
      <c r="G1014" t="s">
        <v>6233</v>
      </c>
      <c r="H1014" t="s">
        <v>3585</v>
      </c>
      <c r="I1014" t="s">
        <v>3585</v>
      </c>
      <c r="J1014" t="s">
        <v>3584</v>
      </c>
      <c r="K1014" s="4">
        <v>48.067300000000003</v>
      </c>
      <c r="L1014" s="4">
        <v>31.724399999999999</v>
      </c>
    </row>
    <row r="1015" spans="1:12">
      <c r="A1015" s="1">
        <v>42768</v>
      </c>
      <c r="B1015">
        <v>1</v>
      </c>
      <c r="C1015" t="s">
        <v>6270</v>
      </c>
      <c r="D1015" s="4">
        <v>1.4923</v>
      </c>
      <c r="E1015" s="4">
        <v>3.99</v>
      </c>
      <c r="F1015" t="s">
        <v>6243</v>
      </c>
      <c r="G1015" t="s">
        <v>6228</v>
      </c>
      <c r="H1015" t="s">
        <v>3588</v>
      </c>
      <c r="I1015" t="s">
        <v>3588</v>
      </c>
      <c r="J1015" t="s">
        <v>3584</v>
      </c>
      <c r="K1015" s="4">
        <v>3.99</v>
      </c>
      <c r="L1015" s="4">
        <v>1.4923</v>
      </c>
    </row>
    <row r="1016" spans="1:12">
      <c r="A1016" s="1">
        <v>42768</v>
      </c>
      <c r="B1016">
        <v>1</v>
      </c>
      <c r="C1016" t="s">
        <v>6277</v>
      </c>
      <c r="D1016" s="4">
        <v>8.0373000000000001</v>
      </c>
      <c r="E1016" s="4">
        <v>21.49</v>
      </c>
      <c r="F1016" t="s">
        <v>6243</v>
      </c>
      <c r="G1016" t="s">
        <v>6228</v>
      </c>
      <c r="H1016" t="s">
        <v>3588</v>
      </c>
      <c r="I1016" t="s">
        <v>3588</v>
      </c>
      <c r="J1016" t="s">
        <v>3584</v>
      </c>
      <c r="K1016" s="4">
        <v>21.49</v>
      </c>
      <c r="L1016" s="4">
        <v>8.0373000000000001</v>
      </c>
    </row>
    <row r="1017" spans="1:12">
      <c r="A1017" s="1">
        <v>42769</v>
      </c>
      <c r="B1017">
        <v>1</v>
      </c>
      <c r="C1017" t="s">
        <v>6245</v>
      </c>
      <c r="D1017" s="4">
        <v>0.85650000000000004</v>
      </c>
      <c r="E1017" s="4">
        <v>2.29</v>
      </c>
      <c r="F1017" t="s">
        <v>6243</v>
      </c>
      <c r="G1017" t="s">
        <v>6228</v>
      </c>
      <c r="H1017" t="s">
        <v>3588</v>
      </c>
      <c r="I1017" t="s">
        <v>3588</v>
      </c>
      <c r="J1017" t="s">
        <v>3584</v>
      </c>
      <c r="K1017" s="4">
        <v>2.29</v>
      </c>
      <c r="L1017" s="4">
        <v>0.85650000000000004</v>
      </c>
    </row>
    <row r="1018" spans="1:12">
      <c r="A1018" s="1">
        <v>42770</v>
      </c>
      <c r="B1018">
        <v>1</v>
      </c>
      <c r="C1018" t="s">
        <v>6270</v>
      </c>
      <c r="D1018" s="4">
        <v>1.4923</v>
      </c>
      <c r="E1018" s="4">
        <v>3.99</v>
      </c>
      <c r="F1018" t="s">
        <v>6243</v>
      </c>
      <c r="G1018" t="s">
        <v>6228</v>
      </c>
      <c r="H1018" t="s">
        <v>3580</v>
      </c>
      <c r="I1018" t="s">
        <v>3578</v>
      </c>
      <c r="J1018" t="s">
        <v>3579</v>
      </c>
      <c r="K1018" s="4">
        <v>3.99</v>
      </c>
      <c r="L1018" s="4">
        <v>1.4923</v>
      </c>
    </row>
    <row r="1019" spans="1:12">
      <c r="A1019" s="1">
        <v>42770</v>
      </c>
      <c r="B1019">
        <v>2</v>
      </c>
      <c r="C1019" t="s">
        <v>6245</v>
      </c>
      <c r="D1019" s="4">
        <v>0.85650000000000004</v>
      </c>
      <c r="E1019" s="4">
        <v>2.29</v>
      </c>
      <c r="F1019" t="s">
        <v>6243</v>
      </c>
      <c r="G1019" t="s">
        <v>6228</v>
      </c>
      <c r="H1019" t="s">
        <v>3585</v>
      </c>
      <c r="I1019" t="s">
        <v>3585</v>
      </c>
      <c r="J1019" t="s">
        <v>3584</v>
      </c>
      <c r="K1019" s="4">
        <v>4.58</v>
      </c>
      <c r="L1019" s="4">
        <v>1.7130000000000001</v>
      </c>
    </row>
    <row r="1020" spans="1:12">
      <c r="A1020" s="1">
        <v>42770</v>
      </c>
      <c r="B1020">
        <v>1</v>
      </c>
      <c r="C1020" t="s">
        <v>6304</v>
      </c>
      <c r="D1020" s="4">
        <v>755.1508</v>
      </c>
      <c r="E1020" s="4">
        <v>1214.8499999999999</v>
      </c>
      <c r="F1020" t="s">
        <v>6274</v>
      </c>
      <c r="G1020" t="s">
        <v>3475</v>
      </c>
      <c r="H1020" t="s">
        <v>3586</v>
      </c>
      <c r="I1020" t="s">
        <v>3586</v>
      </c>
      <c r="J1020" t="s">
        <v>3587</v>
      </c>
      <c r="K1020" s="4">
        <v>1214.8499999999999</v>
      </c>
      <c r="L1020" s="4">
        <v>755.1508</v>
      </c>
    </row>
    <row r="1021" spans="1:12">
      <c r="A1021" s="1">
        <v>42771</v>
      </c>
      <c r="B1021">
        <v>1</v>
      </c>
      <c r="C1021" t="s">
        <v>6239</v>
      </c>
      <c r="D1021" s="4">
        <v>1.8663000000000001</v>
      </c>
      <c r="E1021" s="4">
        <v>4.99</v>
      </c>
      <c r="F1021" t="s">
        <v>6240</v>
      </c>
      <c r="G1021" t="s">
        <v>6228</v>
      </c>
      <c r="H1021" t="s">
        <v>3580</v>
      </c>
      <c r="I1021" t="s">
        <v>3578</v>
      </c>
      <c r="J1021" t="s">
        <v>3579</v>
      </c>
      <c r="K1021" s="4">
        <v>4.99</v>
      </c>
      <c r="L1021" s="4">
        <v>1.8663000000000001</v>
      </c>
    </row>
    <row r="1022" spans="1:12">
      <c r="A1022" s="1">
        <v>42771</v>
      </c>
      <c r="B1022">
        <v>1</v>
      </c>
      <c r="C1022" t="s">
        <v>6282</v>
      </c>
      <c r="D1022" s="4">
        <v>10.8423</v>
      </c>
      <c r="E1022" s="4">
        <v>28.99</v>
      </c>
      <c r="F1022" t="s">
        <v>6243</v>
      </c>
      <c r="G1022" t="s">
        <v>6228</v>
      </c>
      <c r="H1022" t="s">
        <v>3580</v>
      </c>
      <c r="I1022" t="s">
        <v>3578</v>
      </c>
      <c r="J1022" t="s">
        <v>3579</v>
      </c>
      <c r="K1022" s="4">
        <v>28.99</v>
      </c>
      <c r="L1022" s="4">
        <v>10.8423</v>
      </c>
    </row>
    <row r="1023" spans="1:12">
      <c r="A1023" s="1">
        <v>42771</v>
      </c>
      <c r="B1023">
        <v>1</v>
      </c>
      <c r="C1023" t="s">
        <v>6226</v>
      </c>
      <c r="D1023" s="4">
        <v>13.0863</v>
      </c>
      <c r="E1023" s="4">
        <v>34.99</v>
      </c>
      <c r="F1023" t="s">
        <v>6227</v>
      </c>
      <c r="G1023" t="s">
        <v>6228</v>
      </c>
      <c r="H1023" t="s">
        <v>3582</v>
      </c>
      <c r="I1023" t="s">
        <v>3582</v>
      </c>
      <c r="J1023" t="s">
        <v>3579</v>
      </c>
      <c r="K1023" s="4">
        <v>34.99</v>
      </c>
      <c r="L1023" s="4">
        <v>13.0863</v>
      </c>
    </row>
    <row r="1024" spans="1:12">
      <c r="A1024" s="1">
        <v>42771</v>
      </c>
      <c r="B1024">
        <v>1</v>
      </c>
      <c r="C1024" t="s">
        <v>6244</v>
      </c>
      <c r="D1024" s="4">
        <v>3.7363</v>
      </c>
      <c r="E1024" s="4">
        <v>9.99</v>
      </c>
      <c r="F1024" t="s">
        <v>6240</v>
      </c>
      <c r="G1024" t="s">
        <v>6228</v>
      </c>
      <c r="H1024" t="s">
        <v>3582</v>
      </c>
      <c r="I1024" t="s">
        <v>3582</v>
      </c>
      <c r="J1024" t="s">
        <v>3579</v>
      </c>
      <c r="K1024" s="4">
        <v>9.99</v>
      </c>
      <c r="L1024" s="4">
        <v>3.7363</v>
      </c>
    </row>
    <row r="1025" spans="1:12">
      <c r="A1025" s="1">
        <v>42771</v>
      </c>
      <c r="B1025">
        <v>1</v>
      </c>
      <c r="C1025" t="s">
        <v>6298</v>
      </c>
      <c r="D1025" s="4">
        <v>3.3622999999999998</v>
      </c>
      <c r="E1025" s="4">
        <v>8.99</v>
      </c>
      <c r="F1025" t="s">
        <v>6264</v>
      </c>
      <c r="G1025" t="s">
        <v>6233</v>
      </c>
      <c r="H1025" t="s">
        <v>3582</v>
      </c>
      <c r="I1025" t="s">
        <v>3582</v>
      </c>
      <c r="J1025" t="s">
        <v>3579</v>
      </c>
      <c r="K1025" s="4">
        <v>8.99</v>
      </c>
      <c r="L1025" s="4">
        <v>3.3622999999999998</v>
      </c>
    </row>
    <row r="1026" spans="1:12">
      <c r="A1026" s="1">
        <v>42771</v>
      </c>
      <c r="B1026">
        <v>1</v>
      </c>
      <c r="C1026" t="s">
        <v>6272</v>
      </c>
      <c r="D1026" s="4">
        <v>9.3462999999999994</v>
      </c>
      <c r="E1026" s="4">
        <v>24.99</v>
      </c>
      <c r="F1026" t="s">
        <v>6243</v>
      </c>
      <c r="G1026" t="s">
        <v>6228</v>
      </c>
      <c r="H1026" t="s">
        <v>3582</v>
      </c>
      <c r="I1026" t="s">
        <v>3582</v>
      </c>
      <c r="J1026" t="s">
        <v>3579</v>
      </c>
      <c r="K1026" s="4">
        <v>24.99</v>
      </c>
      <c r="L1026" s="4">
        <v>9.3462999999999994</v>
      </c>
    </row>
    <row r="1027" spans="1:12">
      <c r="A1027" s="1">
        <v>42771</v>
      </c>
      <c r="B1027">
        <v>1</v>
      </c>
      <c r="C1027" t="s">
        <v>6244</v>
      </c>
      <c r="D1027" s="4">
        <v>3.7363</v>
      </c>
      <c r="E1027" s="4">
        <v>9.99</v>
      </c>
      <c r="F1027" t="s">
        <v>6240</v>
      </c>
      <c r="G1027" t="s">
        <v>6228</v>
      </c>
      <c r="H1027" t="s">
        <v>3586</v>
      </c>
      <c r="I1027" t="s">
        <v>3586</v>
      </c>
      <c r="J1027" t="s">
        <v>3587</v>
      </c>
      <c r="K1027" s="4">
        <v>9.99</v>
      </c>
      <c r="L1027" s="4">
        <v>3.7363</v>
      </c>
    </row>
    <row r="1028" spans="1:12">
      <c r="A1028" s="1">
        <v>42771</v>
      </c>
      <c r="B1028">
        <v>1</v>
      </c>
      <c r="C1028" t="s">
        <v>6267</v>
      </c>
      <c r="D1028" s="4">
        <v>343.64960000000002</v>
      </c>
      <c r="E1028" s="4">
        <v>539.99</v>
      </c>
      <c r="F1028" t="s">
        <v>3479</v>
      </c>
      <c r="G1028" t="s">
        <v>3475</v>
      </c>
      <c r="H1028" t="s">
        <v>3586</v>
      </c>
      <c r="I1028" t="s">
        <v>3586</v>
      </c>
      <c r="J1028" t="s">
        <v>3587</v>
      </c>
      <c r="K1028" s="4">
        <v>539.99</v>
      </c>
      <c r="L1028" s="4">
        <v>343.64960000000002</v>
      </c>
    </row>
    <row r="1029" spans="1:12">
      <c r="A1029" s="1">
        <v>42772</v>
      </c>
      <c r="B1029">
        <v>1</v>
      </c>
      <c r="C1029" t="s">
        <v>6231</v>
      </c>
      <c r="D1029" s="4">
        <v>5.7051999999999996</v>
      </c>
      <c r="E1029" s="4">
        <v>8.6441999999999997</v>
      </c>
      <c r="F1029" t="s">
        <v>6232</v>
      </c>
      <c r="G1029" t="s">
        <v>6233</v>
      </c>
      <c r="H1029" t="s">
        <v>3577</v>
      </c>
      <c r="I1029" t="s">
        <v>3578</v>
      </c>
      <c r="J1029" t="s">
        <v>3579</v>
      </c>
      <c r="K1029" s="4">
        <v>8.6441999999999997</v>
      </c>
      <c r="L1029" s="4">
        <v>5.7051999999999996</v>
      </c>
    </row>
    <row r="1030" spans="1:12">
      <c r="A1030" s="1">
        <v>42772</v>
      </c>
      <c r="B1030">
        <v>1</v>
      </c>
      <c r="C1030" t="s">
        <v>6248</v>
      </c>
      <c r="D1030" s="4">
        <v>8.2204999999999995</v>
      </c>
      <c r="E1030" s="4">
        <v>21.98</v>
      </c>
      <c r="F1030" t="s">
        <v>6249</v>
      </c>
      <c r="G1030" t="s">
        <v>6228</v>
      </c>
      <c r="H1030" t="s">
        <v>3577</v>
      </c>
      <c r="I1030" t="s">
        <v>3578</v>
      </c>
      <c r="J1030" t="s">
        <v>3579</v>
      </c>
      <c r="K1030" s="4">
        <v>21.98</v>
      </c>
      <c r="L1030" s="4">
        <v>8.2204999999999995</v>
      </c>
    </row>
    <row r="1031" spans="1:12">
      <c r="A1031" s="1">
        <v>42772</v>
      </c>
      <c r="B1031">
        <v>1</v>
      </c>
      <c r="C1031" t="s">
        <v>6241</v>
      </c>
      <c r="D1031" s="4">
        <v>3.3622999999999998</v>
      </c>
      <c r="E1031" s="4">
        <v>8.99</v>
      </c>
      <c r="F1031" t="s">
        <v>6240</v>
      </c>
      <c r="G1031" t="s">
        <v>6228</v>
      </c>
      <c r="H1031" t="s">
        <v>3580</v>
      </c>
      <c r="I1031" t="s">
        <v>3578</v>
      </c>
      <c r="J1031" t="s">
        <v>3579</v>
      </c>
      <c r="K1031" s="4">
        <v>8.99</v>
      </c>
      <c r="L1031" s="4">
        <v>3.3622999999999998</v>
      </c>
    </row>
    <row r="1032" spans="1:12">
      <c r="A1032" s="1">
        <v>42772</v>
      </c>
      <c r="B1032">
        <v>1</v>
      </c>
      <c r="C1032" t="s">
        <v>6242</v>
      </c>
      <c r="D1032" s="4">
        <v>1.8663000000000001</v>
      </c>
      <c r="E1032" s="4">
        <v>4.99</v>
      </c>
      <c r="F1032" t="s">
        <v>6243</v>
      </c>
      <c r="G1032" t="s">
        <v>6228</v>
      </c>
      <c r="H1032" t="s">
        <v>3580</v>
      </c>
      <c r="I1032" t="s">
        <v>3578</v>
      </c>
      <c r="J1032" t="s">
        <v>3579</v>
      </c>
      <c r="K1032" s="4">
        <v>4.99</v>
      </c>
      <c r="L1032" s="4">
        <v>1.8663000000000001</v>
      </c>
    </row>
    <row r="1033" spans="1:12">
      <c r="A1033" s="1">
        <v>42772</v>
      </c>
      <c r="B1033">
        <v>1</v>
      </c>
      <c r="C1033" t="s">
        <v>6276</v>
      </c>
      <c r="D1033" s="4">
        <v>1.8663000000000001</v>
      </c>
      <c r="E1033" s="4">
        <v>4.99</v>
      </c>
      <c r="F1033" t="s">
        <v>6243</v>
      </c>
      <c r="G1033" t="s">
        <v>6228</v>
      </c>
      <c r="H1033" t="s">
        <v>3580</v>
      </c>
      <c r="I1033" t="s">
        <v>3578</v>
      </c>
      <c r="J1033" t="s">
        <v>3579</v>
      </c>
      <c r="K1033" s="4">
        <v>4.99</v>
      </c>
      <c r="L1033" s="4">
        <v>1.8663000000000001</v>
      </c>
    </row>
    <row r="1034" spans="1:12">
      <c r="A1034" s="1">
        <v>42772</v>
      </c>
      <c r="B1034">
        <v>1</v>
      </c>
      <c r="C1034" t="s">
        <v>6269</v>
      </c>
      <c r="D1034" s="4">
        <v>9.3462999999999994</v>
      </c>
      <c r="E1034" s="4">
        <v>24.99</v>
      </c>
      <c r="F1034" t="s">
        <v>6243</v>
      </c>
      <c r="G1034" t="s">
        <v>6228</v>
      </c>
      <c r="H1034" t="s">
        <v>3580</v>
      </c>
      <c r="I1034" t="s">
        <v>3578</v>
      </c>
      <c r="J1034" t="s">
        <v>3579</v>
      </c>
      <c r="K1034" s="4">
        <v>24.99</v>
      </c>
      <c r="L1034" s="4">
        <v>9.3462999999999994</v>
      </c>
    </row>
    <row r="1035" spans="1:12">
      <c r="A1035" s="1">
        <v>42772</v>
      </c>
      <c r="B1035">
        <v>1</v>
      </c>
      <c r="C1035" t="s">
        <v>6272</v>
      </c>
      <c r="D1035" s="4">
        <v>9.3462999999999994</v>
      </c>
      <c r="E1035" s="4">
        <v>24.99</v>
      </c>
      <c r="F1035" t="s">
        <v>6243</v>
      </c>
      <c r="G1035" t="s">
        <v>6228</v>
      </c>
      <c r="H1035" t="s">
        <v>3585</v>
      </c>
      <c r="I1035" t="s">
        <v>3585</v>
      </c>
      <c r="J1035" t="s">
        <v>3584</v>
      </c>
      <c r="K1035" s="4">
        <v>24.99</v>
      </c>
      <c r="L1035" s="4">
        <v>9.3462999999999994</v>
      </c>
    </row>
    <row r="1036" spans="1:12">
      <c r="A1036" s="1">
        <v>42772</v>
      </c>
      <c r="B1036">
        <v>1</v>
      </c>
      <c r="C1036" t="s">
        <v>6246</v>
      </c>
      <c r="D1036" s="4">
        <v>20.566299999999998</v>
      </c>
      <c r="E1036" s="4">
        <v>54.99</v>
      </c>
      <c r="F1036" t="s">
        <v>6247</v>
      </c>
      <c r="G1036" t="s">
        <v>6228</v>
      </c>
      <c r="H1036" t="s">
        <v>3588</v>
      </c>
      <c r="I1036" t="s">
        <v>3588</v>
      </c>
      <c r="J1036" t="s">
        <v>3584</v>
      </c>
      <c r="K1036" s="4">
        <v>54.99</v>
      </c>
      <c r="L1036" s="4">
        <v>20.566299999999998</v>
      </c>
    </row>
    <row r="1037" spans="1:12">
      <c r="A1037" s="1">
        <v>42772</v>
      </c>
      <c r="B1037">
        <v>1</v>
      </c>
      <c r="C1037" t="s">
        <v>6295</v>
      </c>
      <c r="D1037" s="4">
        <v>294.5797</v>
      </c>
      <c r="E1037" s="4">
        <v>539.99</v>
      </c>
      <c r="F1037" t="s">
        <v>3478</v>
      </c>
      <c r="G1037" t="s">
        <v>3475</v>
      </c>
      <c r="H1037" t="s">
        <v>3588</v>
      </c>
      <c r="I1037" t="s">
        <v>3588</v>
      </c>
      <c r="J1037" t="s">
        <v>3584</v>
      </c>
      <c r="K1037" s="4">
        <v>539.99</v>
      </c>
      <c r="L1037" s="4">
        <v>294.5797</v>
      </c>
    </row>
    <row r="1038" spans="1:12">
      <c r="A1038" s="1">
        <v>42773</v>
      </c>
      <c r="B1038">
        <v>1</v>
      </c>
      <c r="C1038" t="s">
        <v>6290</v>
      </c>
      <c r="D1038" s="4">
        <v>1082.51</v>
      </c>
      <c r="E1038" s="4">
        <v>1700.99</v>
      </c>
      <c r="F1038" t="s">
        <v>3479</v>
      </c>
      <c r="G1038" t="s">
        <v>3475</v>
      </c>
      <c r="H1038" t="s">
        <v>3577</v>
      </c>
      <c r="I1038" t="s">
        <v>3578</v>
      </c>
      <c r="J1038" t="s">
        <v>3579</v>
      </c>
      <c r="K1038" s="4">
        <v>1700.99</v>
      </c>
      <c r="L1038" s="4">
        <v>1082.51</v>
      </c>
    </row>
    <row r="1039" spans="1:12">
      <c r="A1039" s="1">
        <v>42773</v>
      </c>
      <c r="B1039">
        <v>1</v>
      </c>
      <c r="C1039" t="s">
        <v>6261</v>
      </c>
      <c r="D1039" s="4">
        <v>26.176300000000001</v>
      </c>
      <c r="E1039" s="4">
        <v>69.989999999999995</v>
      </c>
      <c r="F1039" t="s">
        <v>6262</v>
      </c>
      <c r="G1039" t="s">
        <v>6233</v>
      </c>
      <c r="H1039" t="s">
        <v>3580</v>
      </c>
      <c r="I1039" t="s">
        <v>3578</v>
      </c>
      <c r="J1039" t="s">
        <v>3579</v>
      </c>
      <c r="K1039" s="4">
        <v>69.989999999999995</v>
      </c>
      <c r="L1039" s="4">
        <v>26.176300000000001</v>
      </c>
    </row>
    <row r="1040" spans="1:12">
      <c r="A1040" s="1">
        <v>42773</v>
      </c>
      <c r="B1040">
        <v>1</v>
      </c>
      <c r="C1040" t="s">
        <v>6246</v>
      </c>
      <c r="D1040" s="4">
        <v>20.566299999999998</v>
      </c>
      <c r="E1040" s="4">
        <v>54.99</v>
      </c>
      <c r="F1040" t="s">
        <v>6247</v>
      </c>
      <c r="G1040" t="s">
        <v>6228</v>
      </c>
      <c r="H1040" t="s">
        <v>3580</v>
      </c>
      <c r="I1040" t="s">
        <v>3578</v>
      </c>
      <c r="J1040" t="s">
        <v>3579</v>
      </c>
      <c r="K1040" s="4">
        <v>54.99</v>
      </c>
      <c r="L1040" s="4">
        <v>20.566299999999998</v>
      </c>
    </row>
    <row r="1041" spans="1:12">
      <c r="A1041" s="1">
        <v>42773</v>
      </c>
      <c r="B1041">
        <v>1</v>
      </c>
      <c r="C1041" t="s">
        <v>6269</v>
      </c>
      <c r="D1041" s="4">
        <v>9.3462999999999994</v>
      </c>
      <c r="E1041" s="4">
        <v>24.99</v>
      </c>
      <c r="F1041" t="s">
        <v>6243</v>
      </c>
      <c r="G1041" t="s">
        <v>6228</v>
      </c>
      <c r="H1041" t="s">
        <v>3585</v>
      </c>
      <c r="I1041" t="s">
        <v>3585</v>
      </c>
      <c r="J1041" t="s">
        <v>3584</v>
      </c>
      <c r="K1041" s="4">
        <v>24.99</v>
      </c>
      <c r="L1041" s="4">
        <v>9.3462999999999994</v>
      </c>
    </row>
    <row r="1042" spans="1:12">
      <c r="A1042" s="1">
        <v>42773</v>
      </c>
      <c r="B1042">
        <v>1</v>
      </c>
      <c r="C1042" t="s">
        <v>6283</v>
      </c>
      <c r="D1042" s="4">
        <v>1481.9378999999999</v>
      </c>
      <c r="E1042" s="4">
        <v>2384.0700000000002</v>
      </c>
      <c r="F1042" t="s">
        <v>6274</v>
      </c>
      <c r="G1042" t="s">
        <v>3475</v>
      </c>
      <c r="H1042" t="s">
        <v>3585</v>
      </c>
      <c r="I1042" t="s">
        <v>3585</v>
      </c>
      <c r="J1042" t="s">
        <v>3584</v>
      </c>
      <c r="K1042" s="4">
        <v>2384.0700000000002</v>
      </c>
      <c r="L1042" s="4">
        <v>1481.9378999999999</v>
      </c>
    </row>
    <row r="1043" spans="1:12">
      <c r="A1043" s="1">
        <v>42773</v>
      </c>
      <c r="B1043">
        <v>1</v>
      </c>
      <c r="C1043" t="s">
        <v>6302</v>
      </c>
      <c r="D1043" s="4">
        <v>23.748999999999999</v>
      </c>
      <c r="E1043" s="4">
        <v>63.5</v>
      </c>
      <c r="F1043" t="s">
        <v>6293</v>
      </c>
      <c r="G1043" t="s">
        <v>6233</v>
      </c>
      <c r="H1043" t="s">
        <v>3586</v>
      </c>
      <c r="I1043" t="s">
        <v>3586</v>
      </c>
      <c r="J1043" t="s">
        <v>3587</v>
      </c>
      <c r="K1043" s="4">
        <v>63.5</v>
      </c>
      <c r="L1043" s="4">
        <v>23.748999999999999</v>
      </c>
    </row>
    <row r="1044" spans="1:12">
      <c r="A1044" s="1">
        <v>42773</v>
      </c>
      <c r="B1044">
        <v>1</v>
      </c>
      <c r="C1044" t="s">
        <v>6242</v>
      </c>
      <c r="D1044" s="4">
        <v>1.8663000000000001</v>
      </c>
      <c r="E1044" s="4">
        <v>4.99</v>
      </c>
      <c r="F1044" t="s">
        <v>6243</v>
      </c>
      <c r="G1044" t="s">
        <v>6228</v>
      </c>
      <c r="H1044" t="s">
        <v>3586</v>
      </c>
      <c r="I1044" t="s">
        <v>3586</v>
      </c>
      <c r="J1044" t="s">
        <v>3587</v>
      </c>
      <c r="K1044" s="4">
        <v>4.99</v>
      </c>
      <c r="L1044" s="4">
        <v>1.8663000000000001</v>
      </c>
    </row>
    <row r="1045" spans="1:12">
      <c r="A1045" s="1">
        <v>42773</v>
      </c>
      <c r="B1045">
        <v>1</v>
      </c>
      <c r="C1045" t="s">
        <v>6244</v>
      </c>
      <c r="D1045" s="4">
        <v>3.7363</v>
      </c>
      <c r="E1045" s="4">
        <v>9.99</v>
      </c>
      <c r="F1045" t="s">
        <v>6240</v>
      </c>
      <c r="G1045" t="s">
        <v>6228</v>
      </c>
      <c r="H1045" t="s">
        <v>3588</v>
      </c>
      <c r="I1045" t="s">
        <v>3588</v>
      </c>
      <c r="J1045" t="s">
        <v>3584</v>
      </c>
      <c r="K1045" s="4">
        <v>9.99</v>
      </c>
      <c r="L1045" s="4">
        <v>3.7363</v>
      </c>
    </row>
    <row r="1046" spans="1:12">
      <c r="A1046" s="1">
        <v>42773</v>
      </c>
      <c r="B1046">
        <v>1</v>
      </c>
      <c r="C1046" t="s">
        <v>6269</v>
      </c>
      <c r="D1046" s="4">
        <v>9.3462999999999994</v>
      </c>
      <c r="E1046" s="4">
        <v>24.99</v>
      </c>
      <c r="F1046" t="s">
        <v>6243</v>
      </c>
      <c r="G1046" t="s">
        <v>6228</v>
      </c>
      <c r="H1046" t="s">
        <v>3588</v>
      </c>
      <c r="I1046" t="s">
        <v>3588</v>
      </c>
      <c r="J1046" t="s">
        <v>3584</v>
      </c>
      <c r="K1046" s="4">
        <v>24.99</v>
      </c>
      <c r="L1046" s="4">
        <v>9.3462999999999994</v>
      </c>
    </row>
    <row r="1047" spans="1:12">
      <c r="A1047" s="1">
        <v>42774</v>
      </c>
      <c r="B1047">
        <v>1</v>
      </c>
      <c r="C1047" t="s">
        <v>6229</v>
      </c>
      <c r="D1047" s="4">
        <v>12.027799999999999</v>
      </c>
      <c r="E1047" s="4">
        <v>33.644199999999998</v>
      </c>
      <c r="F1047" t="s">
        <v>6227</v>
      </c>
      <c r="G1047" t="s">
        <v>6228</v>
      </c>
      <c r="H1047" t="s">
        <v>3580</v>
      </c>
      <c r="I1047" t="s">
        <v>3578</v>
      </c>
      <c r="J1047" t="s">
        <v>3579</v>
      </c>
      <c r="K1047" s="4">
        <v>33.644199999999998</v>
      </c>
      <c r="L1047" s="4">
        <v>12.027799999999999</v>
      </c>
    </row>
    <row r="1048" spans="1:12">
      <c r="A1048" s="1">
        <v>42774</v>
      </c>
      <c r="B1048">
        <v>1</v>
      </c>
      <c r="C1048" t="s">
        <v>6244</v>
      </c>
      <c r="D1048" s="4">
        <v>3.7363</v>
      </c>
      <c r="E1048" s="4">
        <v>9.99</v>
      </c>
      <c r="F1048" t="s">
        <v>6240</v>
      </c>
      <c r="G1048" t="s">
        <v>6228</v>
      </c>
      <c r="H1048" t="s">
        <v>3580</v>
      </c>
      <c r="I1048" t="s">
        <v>3578</v>
      </c>
      <c r="J1048" t="s">
        <v>3579</v>
      </c>
      <c r="K1048" s="4">
        <v>9.99</v>
      </c>
      <c r="L1048" s="4">
        <v>3.7363</v>
      </c>
    </row>
    <row r="1049" spans="1:12">
      <c r="A1049" s="1">
        <v>42774</v>
      </c>
      <c r="B1049">
        <v>1</v>
      </c>
      <c r="C1049" t="s">
        <v>6244</v>
      </c>
      <c r="D1049" s="4">
        <v>3.7363</v>
      </c>
      <c r="E1049" s="4">
        <v>9.99</v>
      </c>
      <c r="F1049" t="s">
        <v>6240</v>
      </c>
      <c r="G1049" t="s">
        <v>6228</v>
      </c>
      <c r="H1049" t="s">
        <v>3582</v>
      </c>
      <c r="I1049" t="s">
        <v>3582</v>
      </c>
      <c r="J1049" t="s">
        <v>3579</v>
      </c>
      <c r="K1049" s="4">
        <v>9.99</v>
      </c>
      <c r="L1049" s="4">
        <v>3.7363</v>
      </c>
    </row>
    <row r="1050" spans="1:12">
      <c r="A1050" s="1">
        <v>42774</v>
      </c>
      <c r="B1050">
        <v>1</v>
      </c>
      <c r="C1050" t="s">
        <v>6229</v>
      </c>
      <c r="D1050" s="4">
        <v>12.027799999999999</v>
      </c>
      <c r="E1050" s="4">
        <v>33.644199999999998</v>
      </c>
      <c r="F1050" t="s">
        <v>6227</v>
      </c>
      <c r="G1050" t="s">
        <v>6228</v>
      </c>
      <c r="H1050" t="s">
        <v>3583</v>
      </c>
      <c r="I1050" t="s">
        <v>3583</v>
      </c>
      <c r="J1050" t="s">
        <v>3584</v>
      </c>
      <c r="K1050" s="4">
        <v>33.644199999999998</v>
      </c>
      <c r="L1050" s="4">
        <v>12.027799999999999</v>
      </c>
    </row>
    <row r="1051" spans="1:12">
      <c r="A1051" s="1">
        <v>42774</v>
      </c>
      <c r="B1051">
        <v>1</v>
      </c>
      <c r="C1051" t="s">
        <v>6239</v>
      </c>
      <c r="D1051" s="4">
        <v>1.8663000000000001</v>
      </c>
      <c r="E1051" s="4">
        <v>4.99</v>
      </c>
      <c r="F1051" t="s">
        <v>6240</v>
      </c>
      <c r="G1051" t="s">
        <v>6228</v>
      </c>
      <c r="H1051" t="s">
        <v>3586</v>
      </c>
      <c r="I1051" t="s">
        <v>3586</v>
      </c>
      <c r="J1051" t="s">
        <v>3587</v>
      </c>
      <c r="K1051" s="4">
        <v>4.99</v>
      </c>
      <c r="L1051" s="4">
        <v>1.8663000000000001</v>
      </c>
    </row>
    <row r="1052" spans="1:12">
      <c r="A1052" s="1">
        <v>42775</v>
      </c>
      <c r="B1052">
        <v>1</v>
      </c>
      <c r="C1052" t="s">
        <v>3560</v>
      </c>
      <c r="D1052" s="4">
        <v>1320.6838</v>
      </c>
      <c r="E1052" s="4">
        <v>2181.5625</v>
      </c>
      <c r="F1052" t="s">
        <v>3479</v>
      </c>
      <c r="G1052" t="s">
        <v>3475</v>
      </c>
      <c r="H1052" t="s">
        <v>3583</v>
      </c>
      <c r="I1052" t="s">
        <v>3583</v>
      </c>
      <c r="J1052" t="s">
        <v>3584</v>
      </c>
      <c r="K1052" s="4">
        <v>2181.5625</v>
      </c>
      <c r="L1052" s="4">
        <v>1320.6838</v>
      </c>
    </row>
    <row r="1053" spans="1:12">
      <c r="A1053" s="1">
        <v>42775</v>
      </c>
      <c r="B1053">
        <v>1</v>
      </c>
      <c r="C1053" t="s">
        <v>6239</v>
      </c>
      <c r="D1053" s="4">
        <v>1.8663000000000001</v>
      </c>
      <c r="E1053" s="4">
        <v>4.99</v>
      </c>
      <c r="F1053" t="s">
        <v>6240</v>
      </c>
      <c r="G1053" t="s">
        <v>6228</v>
      </c>
      <c r="H1053" t="s">
        <v>3583</v>
      </c>
      <c r="I1053" t="s">
        <v>3583</v>
      </c>
      <c r="J1053" t="s">
        <v>3584</v>
      </c>
      <c r="K1053" s="4">
        <v>4.99</v>
      </c>
      <c r="L1053" s="4">
        <v>1.8663000000000001</v>
      </c>
    </row>
    <row r="1054" spans="1:12">
      <c r="A1054" s="1">
        <v>42775</v>
      </c>
      <c r="B1054">
        <v>1</v>
      </c>
      <c r="C1054" t="s">
        <v>6234</v>
      </c>
      <c r="D1054" s="4">
        <v>31.724399999999999</v>
      </c>
      <c r="E1054" s="4">
        <v>48.067300000000003</v>
      </c>
      <c r="F1054" t="s">
        <v>6235</v>
      </c>
      <c r="G1054" t="s">
        <v>6233</v>
      </c>
      <c r="H1054" t="s">
        <v>3585</v>
      </c>
      <c r="I1054" t="s">
        <v>3585</v>
      </c>
      <c r="J1054" t="s">
        <v>3584</v>
      </c>
      <c r="K1054" s="4">
        <v>48.067300000000003</v>
      </c>
      <c r="L1054" s="4">
        <v>31.724399999999999</v>
      </c>
    </row>
    <row r="1055" spans="1:12">
      <c r="A1055" s="1">
        <v>42776</v>
      </c>
      <c r="B1055">
        <v>1</v>
      </c>
      <c r="C1055" t="s">
        <v>6231</v>
      </c>
      <c r="D1055" s="4">
        <v>5.7051999999999996</v>
      </c>
      <c r="E1055" s="4">
        <v>8.6441999999999997</v>
      </c>
      <c r="F1055" t="s">
        <v>6232</v>
      </c>
      <c r="G1055" t="s">
        <v>6233</v>
      </c>
      <c r="H1055" t="s">
        <v>3577</v>
      </c>
      <c r="I1055" t="s">
        <v>3578</v>
      </c>
      <c r="J1055" t="s">
        <v>3579</v>
      </c>
      <c r="K1055" s="4">
        <v>8.6441999999999997</v>
      </c>
      <c r="L1055" s="4">
        <v>5.7051999999999996</v>
      </c>
    </row>
    <row r="1056" spans="1:12">
      <c r="A1056" s="1">
        <v>42776</v>
      </c>
      <c r="B1056">
        <v>1</v>
      </c>
      <c r="C1056" t="s">
        <v>6298</v>
      </c>
      <c r="D1056" s="4">
        <v>3.3622999999999998</v>
      </c>
      <c r="E1056" s="4">
        <v>8.99</v>
      </c>
      <c r="F1056" t="s">
        <v>6264</v>
      </c>
      <c r="G1056" t="s">
        <v>6233</v>
      </c>
      <c r="H1056" t="s">
        <v>3583</v>
      </c>
      <c r="I1056" t="s">
        <v>3583</v>
      </c>
      <c r="J1056" t="s">
        <v>3584</v>
      </c>
      <c r="K1056" s="4">
        <v>8.99</v>
      </c>
      <c r="L1056" s="4">
        <v>3.3622999999999998</v>
      </c>
    </row>
    <row r="1057" spans="1:12">
      <c r="A1057" s="1">
        <v>42777</v>
      </c>
      <c r="B1057">
        <v>1</v>
      </c>
      <c r="C1057" t="s">
        <v>6261</v>
      </c>
      <c r="D1057" s="4">
        <v>26.176300000000001</v>
      </c>
      <c r="E1057" s="4">
        <v>69.989999999999995</v>
      </c>
      <c r="F1057" t="s">
        <v>6262</v>
      </c>
      <c r="G1057" t="s">
        <v>6233</v>
      </c>
      <c r="H1057" t="s">
        <v>3577</v>
      </c>
      <c r="I1057" t="s">
        <v>3578</v>
      </c>
      <c r="J1057" t="s">
        <v>3579</v>
      </c>
      <c r="K1057" s="4">
        <v>69.989999999999995</v>
      </c>
      <c r="L1057" s="4">
        <v>26.176300000000001</v>
      </c>
    </row>
    <row r="1058" spans="1:12">
      <c r="A1058" s="1">
        <v>42777</v>
      </c>
      <c r="B1058">
        <v>1</v>
      </c>
      <c r="C1058" t="s">
        <v>6239</v>
      </c>
      <c r="D1058" s="4">
        <v>1.8663000000000001</v>
      </c>
      <c r="E1058" s="4">
        <v>4.99</v>
      </c>
      <c r="F1058" t="s">
        <v>6240</v>
      </c>
      <c r="G1058" t="s">
        <v>6228</v>
      </c>
      <c r="H1058" t="s">
        <v>3582</v>
      </c>
      <c r="I1058" t="s">
        <v>3582</v>
      </c>
      <c r="J1058" t="s">
        <v>3579</v>
      </c>
      <c r="K1058" s="4">
        <v>4.99</v>
      </c>
      <c r="L1058" s="4">
        <v>1.8663000000000001</v>
      </c>
    </row>
    <row r="1059" spans="1:12">
      <c r="A1059" s="1">
        <v>42777</v>
      </c>
      <c r="B1059">
        <v>2</v>
      </c>
      <c r="C1059" t="s">
        <v>6244</v>
      </c>
      <c r="D1059" s="4">
        <v>3.7363</v>
      </c>
      <c r="E1059" s="4">
        <v>9.99</v>
      </c>
      <c r="F1059" t="s">
        <v>6240</v>
      </c>
      <c r="G1059" t="s">
        <v>6228</v>
      </c>
      <c r="H1059" t="s">
        <v>3582</v>
      </c>
      <c r="I1059" t="s">
        <v>3582</v>
      </c>
      <c r="J1059" t="s">
        <v>3579</v>
      </c>
      <c r="K1059" s="4">
        <v>19.98</v>
      </c>
      <c r="L1059" s="4">
        <v>7.4725999999999999</v>
      </c>
    </row>
    <row r="1060" spans="1:12">
      <c r="A1060" s="1">
        <v>42777</v>
      </c>
      <c r="B1060">
        <v>1</v>
      </c>
      <c r="C1060" t="s">
        <v>6270</v>
      </c>
      <c r="D1060" s="4">
        <v>1.4923</v>
      </c>
      <c r="E1060" s="4">
        <v>3.99</v>
      </c>
      <c r="F1060" t="s">
        <v>6243</v>
      </c>
      <c r="G1060" t="s">
        <v>6228</v>
      </c>
      <c r="H1060" t="s">
        <v>3582</v>
      </c>
      <c r="I1060" t="s">
        <v>3582</v>
      </c>
      <c r="J1060" t="s">
        <v>3579</v>
      </c>
      <c r="K1060" s="4">
        <v>3.99</v>
      </c>
      <c r="L1060" s="4">
        <v>1.4923</v>
      </c>
    </row>
    <row r="1061" spans="1:12">
      <c r="A1061" s="1">
        <v>42777</v>
      </c>
      <c r="B1061">
        <v>1</v>
      </c>
      <c r="C1061" t="s">
        <v>3540</v>
      </c>
      <c r="D1061" s="4">
        <v>1117.8559</v>
      </c>
      <c r="E1061" s="4">
        <v>2071.4196000000002</v>
      </c>
      <c r="F1061" t="s">
        <v>3478</v>
      </c>
      <c r="G1061" t="s">
        <v>3475</v>
      </c>
      <c r="H1061" t="s">
        <v>3583</v>
      </c>
      <c r="I1061" t="s">
        <v>3583</v>
      </c>
      <c r="J1061" t="s">
        <v>3584</v>
      </c>
      <c r="K1061" s="4">
        <v>2071.4196000000002</v>
      </c>
      <c r="L1061" s="4">
        <v>1117.8559</v>
      </c>
    </row>
    <row r="1062" spans="1:12">
      <c r="A1062" s="1">
        <v>42777</v>
      </c>
      <c r="B1062">
        <v>1</v>
      </c>
      <c r="C1062" t="s">
        <v>6269</v>
      </c>
      <c r="D1062" s="4">
        <v>9.3462999999999994</v>
      </c>
      <c r="E1062" s="4">
        <v>24.99</v>
      </c>
      <c r="F1062" t="s">
        <v>6243</v>
      </c>
      <c r="G1062" t="s">
        <v>6228</v>
      </c>
      <c r="H1062" t="s">
        <v>3588</v>
      </c>
      <c r="I1062" t="s">
        <v>3588</v>
      </c>
      <c r="J1062" t="s">
        <v>3584</v>
      </c>
      <c r="K1062" s="4">
        <v>24.99</v>
      </c>
      <c r="L1062" s="4">
        <v>9.3462999999999994</v>
      </c>
    </row>
    <row r="1063" spans="1:12">
      <c r="A1063" s="1">
        <v>42778</v>
      </c>
      <c r="B1063">
        <v>1</v>
      </c>
      <c r="C1063" t="s">
        <v>6239</v>
      </c>
      <c r="D1063" s="4">
        <v>1.8663000000000001</v>
      </c>
      <c r="E1063" s="4">
        <v>4.99</v>
      </c>
      <c r="F1063" t="s">
        <v>6240</v>
      </c>
      <c r="G1063" t="s">
        <v>6228</v>
      </c>
      <c r="H1063" t="s">
        <v>3577</v>
      </c>
      <c r="I1063" t="s">
        <v>3578</v>
      </c>
      <c r="J1063" t="s">
        <v>3579</v>
      </c>
      <c r="K1063" s="4">
        <v>4.99</v>
      </c>
      <c r="L1063" s="4">
        <v>1.8663000000000001</v>
      </c>
    </row>
    <row r="1064" spans="1:12">
      <c r="A1064" s="1">
        <v>42778</v>
      </c>
      <c r="B1064">
        <v>1</v>
      </c>
      <c r="C1064" t="s">
        <v>6239</v>
      </c>
      <c r="D1064" s="4">
        <v>1.8663000000000001</v>
      </c>
      <c r="E1064" s="4">
        <v>4.99</v>
      </c>
      <c r="F1064" t="s">
        <v>6240</v>
      </c>
      <c r="G1064" t="s">
        <v>6228</v>
      </c>
      <c r="H1064" t="s">
        <v>3580</v>
      </c>
      <c r="I1064" t="s">
        <v>3578</v>
      </c>
      <c r="J1064" t="s">
        <v>3579</v>
      </c>
      <c r="K1064" s="4">
        <v>4.99</v>
      </c>
      <c r="L1064" s="4">
        <v>1.8663000000000001</v>
      </c>
    </row>
    <row r="1065" spans="1:12">
      <c r="A1065" s="1">
        <v>42778</v>
      </c>
      <c r="B1065">
        <v>1</v>
      </c>
      <c r="C1065" t="s">
        <v>6245</v>
      </c>
      <c r="D1065" s="4">
        <v>0.85650000000000004</v>
      </c>
      <c r="E1065" s="4">
        <v>2.29</v>
      </c>
      <c r="F1065" t="s">
        <v>6243</v>
      </c>
      <c r="G1065" t="s">
        <v>6228</v>
      </c>
      <c r="H1065" t="s">
        <v>3580</v>
      </c>
      <c r="I1065" t="s">
        <v>3578</v>
      </c>
      <c r="J1065" t="s">
        <v>3579</v>
      </c>
      <c r="K1065" s="4">
        <v>2.29</v>
      </c>
      <c r="L1065" s="4">
        <v>0.85650000000000004</v>
      </c>
    </row>
    <row r="1066" spans="1:12">
      <c r="A1066" s="1">
        <v>42778</v>
      </c>
      <c r="B1066">
        <v>1</v>
      </c>
      <c r="C1066" t="s">
        <v>6248</v>
      </c>
      <c r="D1066" s="4">
        <v>8.2204999999999995</v>
      </c>
      <c r="E1066" s="4">
        <v>21.98</v>
      </c>
      <c r="F1066" t="s">
        <v>6249</v>
      </c>
      <c r="G1066" t="s">
        <v>6228</v>
      </c>
      <c r="H1066" t="s">
        <v>3582</v>
      </c>
      <c r="I1066" t="s">
        <v>3582</v>
      </c>
      <c r="J1066" t="s">
        <v>3579</v>
      </c>
      <c r="K1066" s="4">
        <v>21.98</v>
      </c>
      <c r="L1066" s="4">
        <v>8.2204999999999995</v>
      </c>
    </row>
    <row r="1067" spans="1:12">
      <c r="A1067" s="1">
        <v>42778</v>
      </c>
      <c r="B1067">
        <v>1</v>
      </c>
      <c r="C1067" t="s">
        <v>6270</v>
      </c>
      <c r="D1067" s="4">
        <v>1.4923</v>
      </c>
      <c r="E1067" s="4">
        <v>3.99</v>
      </c>
      <c r="F1067" t="s">
        <v>6243</v>
      </c>
      <c r="G1067" t="s">
        <v>6228</v>
      </c>
      <c r="H1067" t="s">
        <v>3583</v>
      </c>
      <c r="I1067" t="s">
        <v>3583</v>
      </c>
      <c r="J1067" t="s">
        <v>3584</v>
      </c>
      <c r="K1067" s="4">
        <v>3.99</v>
      </c>
      <c r="L1067" s="4">
        <v>1.4923</v>
      </c>
    </row>
    <row r="1068" spans="1:12">
      <c r="A1068" s="1">
        <v>42778</v>
      </c>
      <c r="B1068">
        <v>1</v>
      </c>
      <c r="C1068" t="s">
        <v>6245</v>
      </c>
      <c r="D1068" s="4">
        <v>0.85650000000000004</v>
      </c>
      <c r="E1068" s="4">
        <v>2.29</v>
      </c>
      <c r="F1068" t="s">
        <v>6243</v>
      </c>
      <c r="G1068" t="s">
        <v>6228</v>
      </c>
      <c r="H1068" t="s">
        <v>3586</v>
      </c>
      <c r="I1068" t="s">
        <v>3586</v>
      </c>
      <c r="J1068" t="s">
        <v>3587</v>
      </c>
      <c r="K1068" s="4">
        <v>2.29</v>
      </c>
      <c r="L1068" s="4">
        <v>0.85650000000000004</v>
      </c>
    </row>
    <row r="1069" spans="1:12">
      <c r="A1069" s="1">
        <v>42778</v>
      </c>
      <c r="B1069">
        <v>1</v>
      </c>
      <c r="C1069" t="s">
        <v>6248</v>
      </c>
      <c r="D1069" s="4">
        <v>8.2204999999999995</v>
      </c>
      <c r="E1069" s="4">
        <v>21.98</v>
      </c>
      <c r="F1069" t="s">
        <v>6249</v>
      </c>
      <c r="G1069" t="s">
        <v>6228</v>
      </c>
      <c r="H1069" t="s">
        <v>3586</v>
      </c>
      <c r="I1069" t="s">
        <v>3586</v>
      </c>
      <c r="J1069" t="s">
        <v>3587</v>
      </c>
      <c r="K1069" s="4">
        <v>21.98</v>
      </c>
      <c r="L1069" s="4">
        <v>8.2204999999999995</v>
      </c>
    </row>
    <row r="1070" spans="1:12">
      <c r="A1070" s="1">
        <v>42778</v>
      </c>
      <c r="B1070">
        <v>1</v>
      </c>
      <c r="C1070" t="s">
        <v>6241</v>
      </c>
      <c r="D1070" s="4">
        <v>3.3622999999999998</v>
      </c>
      <c r="E1070" s="4">
        <v>8.99</v>
      </c>
      <c r="F1070" t="s">
        <v>6240</v>
      </c>
      <c r="G1070" t="s">
        <v>6228</v>
      </c>
      <c r="H1070" t="s">
        <v>3588</v>
      </c>
      <c r="I1070" t="s">
        <v>3588</v>
      </c>
      <c r="J1070" t="s">
        <v>3584</v>
      </c>
      <c r="K1070" s="4">
        <v>8.99</v>
      </c>
      <c r="L1070" s="4">
        <v>3.3622999999999998</v>
      </c>
    </row>
    <row r="1071" spans="1:12">
      <c r="A1071" s="1">
        <v>42779</v>
      </c>
      <c r="B1071">
        <v>1</v>
      </c>
      <c r="C1071" t="s">
        <v>6270</v>
      </c>
      <c r="D1071" s="4">
        <v>1.4923</v>
      </c>
      <c r="E1071" s="4">
        <v>3.99</v>
      </c>
      <c r="F1071" t="s">
        <v>6243</v>
      </c>
      <c r="G1071" t="s">
        <v>6228</v>
      </c>
      <c r="H1071" t="s">
        <v>3583</v>
      </c>
      <c r="I1071" t="s">
        <v>3583</v>
      </c>
      <c r="J1071" t="s">
        <v>3584</v>
      </c>
      <c r="K1071" s="4">
        <v>3.99</v>
      </c>
      <c r="L1071" s="4">
        <v>1.4923</v>
      </c>
    </row>
    <row r="1072" spans="1:12">
      <c r="A1072" s="1">
        <v>42779</v>
      </c>
      <c r="B1072">
        <v>1</v>
      </c>
      <c r="C1072" t="s">
        <v>6226</v>
      </c>
      <c r="D1072" s="4">
        <v>13.0863</v>
      </c>
      <c r="E1072" s="4">
        <v>34.99</v>
      </c>
      <c r="F1072" t="s">
        <v>6227</v>
      </c>
      <c r="G1072" t="s">
        <v>6228</v>
      </c>
      <c r="H1072" t="s">
        <v>3586</v>
      </c>
      <c r="I1072" t="s">
        <v>3586</v>
      </c>
      <c r="J1072" t="s">
        <v>3587</v>
      </c>
      <c r="K1072" s="4">
        <v>34.99</v>
      </c>
      <c r="L1072" s="4">
        <v>13.0863</v>
      </c>
    </row>
    <row r="1073" spans="1:12">
      <c r="A1073" s="1">
        <v>42779</v>
      </c>
      <c r="B1073">
        <v>1</v>
      </c>
      <c r="C1073" t="s">
        <v>6242</v>
      </c>
      <c r="D1073" s="4">
        <v>1.8663000000000001</v>
      </c>
      <c r="E1073" s="4">
        <v>4.99</v>
      </c>
      <c r="F1073" t="s">
        <v>6243</v>
      </c>
      <c r="G1073" t="s">
        <v>6228</v>
      </c>
      <c r="H1073" t="s">
        <v>3586</v>
      </c>
      <c r="I1073" t="s">
        <v>3586</v>
      </c>
      <c r="J1073" t="s">
        <v>3587</v>
      </c>
      <c r="K1073" s="4">
        <v>4.99</v>
      </c>
      <c r="L1073" s="4">
        <v>1.8663000000000001</v>
      </c>
    </row>
    <row r="1074" spans="1:12">
      <c r="A1074" s="1">
        <v>42780</v>
      </c>
      <c r="B1074">
        <v>1</v>
      </c>
      <c r="C1074" t="s">
        <v>6236</v>
      </c>
      <c r="D1074" s="4">
        <v>31.724399999999999</v>
      </c>
      <c r="E1074" s="4">
        <v>48.067300000000003</v>
      </c>
      <c r="F1074" t="s">
        <v>6235</v>
      </c>
      <c r="G1074" t="s">
        <v>6233</v>
      </c>
      <c r="H1074" t="s">
        <v>3577</v>
      </c>
      <c r="I1074" t="s">
        <v>3578</v>
      </c>
      <c r="J1074" t="s">
        <v>3579</v>
      </c>
      <c r="K1074" s="4">
        <v>48.067300000000003</v>
      </c>
      <c r="L1074" s="4">
        <v>31.724399999999999</v>
      </c>
    </row>
    <row r="1075" spans="1:12">
      <c r="A1075" s="1">
        <v>42780</v>
      </c>
      <c r="B1075">
        <v>1</v>
      </c>
      <c r="C1075" t="s">
        <v>6276</v>
      </c>
      <c r="D1075" s="4">
        <v>1.8663000000000001</v>
      </c>
      <c r="E1075" s="4">
        <v>4.99</v>
      </c>
      <c r="F1075" t="s">
        <v>6243</v>
      </c>
      <c r="G1075" t="s">
        <v>6228</v>
      </c>
      <c r="H1075" t="s">
        <v>3580</v>
      </c>
      <c r="I1075" t="s">
        <v>3578</v>
      </c>
      <c r="J1075" t="s">
        <v>3579</v>
      </c>
      <c r="K1075" s="4">
        <v>4.99</v>
      </c>
      <c r="L1075" s="4">
        <v>1.8663000000000001</v>
      </c>
    </row>
    <row r="1076" spans="1:12">
      <c r="A1076" s="1">
        <v>42780</v>
      </c>
      <c r="B1076">
        <v>1</v>
      </c>
      <c r="C1076" t="s">
        <v>6272</v>
      </c>
      <c r="D1076" s="4">
        <v>9.3462999999999994</v>
      </c>
      <c r="E1076" s="4">
        <v>24.99</v>
      </c>
      <c r="F1076" t="s">
        <v>6243</v>
      </c>
      <c r="G1076" t="s">
        <v>6228</v>
      </c>
      <c r="H1076" t="s">
        <v>3582</v>
      </c>
      <c r="I1076" t="s">
        <v>3582</v>
      </c>
      <c r="J1076" t="s">
        <v>3579</v>
      </c>
      <c r="K1076" s="4">
        <v>24.99</v>
      </c>
      <c r="L1076" s="4">
        <v>9.3462999999999994</v>
      </c>
    </row>
    <row r="1077" spans="1:12">
      <c r="A1077" s="1">
        <v>42780</v>
      </c>
      <c r="B1077">
        <v>1</v>
      </c>
      <c r="C1077" t="s">
        <v>3546</v>
      </c>
      <c r="D1077" s="4">
        <v>1105.81</v>
      </c>
      <c r="E1077" s="4">
        <v>2049.0981999999999</v>
      </c>
      <c r="F1077" t="s">
        <v>3478</v>
      </c>
      <c r="G1077" t="s">
        <v>3475</v>
      </c>
      <c r="H1077" t="s">
        <v>3583</v>
      </c>
      <c r="I1077" t="s">
        <v>3583</v>
      </c>
      <c r="J1077" t="s">
        <v>3584</v>
      </c>
      <c r="K1077" s="4">
        <v>2049.0981999999999</v>
      </c>
      <c r="L1077" s="4">
        <v>1105.81</v>
      </c>
    </row>
    <row r="1078" spans="1:12">
      <c r="A1078" s="1">
        <v>42780</v>
      </c>
      <c r="B1078">
        <v>1</v>
      </c>
      <c r="C1078" t="s">
        <v>6239</v>
      </c>
      <c r="D1078" s="4">
        <v>1.8663000000000001</v>
      </c>
      <c r="E1078" s="4">
        <v>4.99</v>
      </c>
      <c r="F1078" t="s">
        <v>6240</v>
      </c>
      <c r="G1078" t="s">
        <v>6228</v>
      </c>
      <c r="H1078" t="s">
        <v>3586</v>
      </c>
      <c r="I1078" t="s">
        <v>3586</v>
      </c>
      <c r="J1078" t="s">
        <v>3587</v>
      </c>
      <c r="K1078" s="4">
        <v>4.99</v>
      </c>
      <c r="L1078" s="4">
        <v>1.8663000000000001</v>
      </c>
    </row>
    <row r="1079" spans="1:12">
      <c r="A1079" s="1">
        <v>42780</v>
      </c>
      <c r="B1079">
        <v>1</v>
      </c>
      <c r="C1079" t="s">
        <v>6245</v>
      </c>
      <c r="D1079" s="4">
        <v>0.85650000000000004</v>
      </c>
      <c r="E1079" s="4">
        <v>2.29</v>
      </c>
      <c r="F1079" t="s">
        <v>6243</v>
      </c>
      <c r="G1079" t="s">
        <v>6228</v>
      </c>
      <c r="H1079" t="s">
        <v>3588</v>
      </c>
      <c r="I1079" t="s">
        <v>3588</v>
      </c>
      <c r="J1079" t="s">
        <v>3584</v>
      </c>
      <c r="K1079" s="4">
        <v>2.29</v>
      </c>
      <c r="L1079" s="4">
        <v>0.85650000000000004</v>
      </c>
    </row>
    <row r="1080" spans="1:12">
      <c r="A1080" s="1">
        <v>42781</v>
      </c>
      <c r="B1080">
        <v>1</v>
      </c>
      <c r="C1080" t="s">
        <v>6231</v>
      </c>
      <c r="D1080" s="4">
        <v>5.7051999999999996</v>
      </c>
      <c r="E1080" s="4">
        <v>8.6441999999999997</v>
      </c>
      <c r="F1080" t="s">
        <v>6232</v>
      </c>
      <c r="G1080" t="s">
        <v>6233</v>
      </c>
      <c r="H1080" t="s">
        <v>3580</v>
      </c>
      <c r="I1080" t="s">
        <v>3578</v>
      </c>
      <c r="J1080" t="s">
        <v>3579</v>
      </c>
      <c r="K1080" s="4">
        <v>8.6441999999999997</v>
      </c>
      <c r="L1080" s="4">
        <v>5.7051999999999996</v>
      </c>
    </row>
    <row r="1081" spans="1:12">
      <c r="A1081" s="1">
        <v>42781</v>
      </c>
      <c r="B1081">
        <v>1</v>
      </c>
      <c r="C1081" t="s">
        <v>6271</v>
      </c>
      <c r="D1081" s="4">
        <v>11.2163</v>
      </c>
      <c r="E1081" s="4">
        <v>29.99</v>
      </c>
      <c r="F1081" t="s">
        <v>6243</v>
      </c>
      <c r="G1081" t="s">
        <v>6228</v>
      </c>
      <c r="H1081" t="s">
        <v>3580</v>
      </c>
      <c r="I1081" t="s">
        <v>3578</v>
      </c>
      <c r="J1081" t="s">
        <v>3579</v>
      </c>
      <c r="K1081" s="4">
        <v>29.99</v>
      </c>
      <c r="L1081" s="4">
        <v>11.2163</v>
      </c>
    </row>
    <row r="1082" spans="1:12">
      <c r="A1082" s="1">
        <v>42781</v>
      </c>
      <c r="B1082">
        <v>1</v>
      </c>
      <c r="C1082" t="s">
        <v>6282</v>
      </c>
      <c r="D1082" s="4">
        <v>10.8423</v>
      </c>
      <c r="E1082" s="4">
        <v>28.99</v>
      </c>
      <c r="F1082" t="s">
        <v>6243</v>
      </c>
      <c r="G1082" t="s">
        <v>6228</v>
      </c>
      <c r="H1082" t="s">
        <v>3580</v>
      </c>
      <c r="I1082" t="s">
        <v>3578</v>
      </c>
      <c r="J1082" t="s">
        <v>3579</v>
      </c>
      <c r="K1082" s="4">
        <v>28.99</v>
      </c>
      <c r="L1082" s="4">
        <v>10.8423</v>
      </c>
    </row>
    <row r="1083" spans="1:12">
      <c r="A1083" s="1">
        <v>42781</v>
      </c>
      <c r="B1083">
        <v>1</v>
      </c>
      <c r="C1083" t="s">
        <v>6239</v>
      </c>
      <c r="D1083" s="4">
        <v>1.8663000000000001</v>
      </c>
      <c r="E1083" s="4">
        <v>4.99</v>
      </c>
      <c r="F1083" t="s">
        <v>6240</v>
      </c>
      <c r="G1083" t="s">
        <v>6228</v>
      </c>
      <c r="H1083" t="s">
        <v>3582</v>
      </c>
      <c r="I1083" t="s">
        <v>3582</v>
      </c>
      <c r="J1083" t="s">
        <v>3579</v>
      </c>
      <c r="K1083" s="4">
        <v>4.99</v>
      </c>
      <c r="L1083" s="4">
        <v>1.8663000000000001</v>
      </c>
    </row>
    <row r="1084" spans="1:12">
      <c r="A1084" s="1">
        <v>42781</v>
      </c>
      <c r="B1084">
        <v>1</v>
      </c>
      <c r="C1084" t="s">
        <v>6297</v>
      </c>
      <c r="D1084" s="4">
        <v>343.64960000000002</v>
      </c>
      <c r="E1084" s="4">
        <v>539.99</v>
      </c>
      <c r="F1084" t="s">
        <v>3479</v>
      </c>
      <c r="G1084" t="s">
        <v>3475</v>
      </c>
      <c r="H1084" t="s">
        <v>3586</v>
      </c>
      <c r="I1084" t="s">
        <v>3586</v>
      </c>
      <c r="J1084" t="s">
        <v>3587</v>
      </c>
      <c r="K1084" s="4">
        <v>539.99</v>
      </c>
      <c r="L1084" s="4">
        <v>343.64960000000002</v>
      </c>
    </row>
    <row r="1085" spans="1:12">
      <c r="A1085" s="1">
        <v>42782</v>
      </c>
      <c r="B1085">
        <v>1</v>
      </c>
      <c r="C1085" t="s">
        <v>6277</v>
      </c>
      <c r="D1085" s="4">
        <v>8.0373000000000001</v>
      </c>
      <c r="E1085" s="4">
        <v>21.49</v>
      </c>
      <c r="F1085" t="s">
        <v>6243</v>
      </c>
      <c r="G1085" t="s">
        <v>6228</v>
      </c>
      <c r="H1085" t="s">
        <v>3585</v>
      </c>
      <c r="I1085" t="s">
        <v>3585</v>
      </c>
      <c r="J1085" t="s">
        <v>3584</v>
      </c>
      <c r="K1085" s="4">
        <v>21.49</v>
      </c>
      <c r="L1085" s="4">
        <v>8.0373000000000001</v>
      </c>
    </row>
    <row r="1086" spans="1:12">
      <c r="A1086" s="1">
        <v>42783</v>
      </c>
      <c r="B1086">
        <v>1</v>
      </c>
      <c r="C1086" t="s">
        <v>6226</v>
      </c>
      <c r="D1086" s="4">
        <v>13.0863</v>
      </c>
      <c r="E1086" s="4">
        <v>34.99</v>
      </c>
      <c r="F1086" t="s">
        <v>6227</v>
      </c>
      <c r="G1086" t="s">
        <v>6228</v>
      </c>
      <c r="H1086" t="s">
        <v>3577</v>
      </c>
      <c r="I1086" t="s">
        <v>3578</v>
      </c>
      <c r="J1086" t="s">
        <v>3579</v>
      </c>
      <c r="K1086" s="4">
        <v>34.99</v>
      </c>
      <c r="L1086" s="4">
        <v>13.0863</v>
      </c>
    </row>
    <row r="1087" spans="1:12">
      <c r="A1087" s="1">
        <v>42783</v>
      </c>
      <c r="B1087">
        <v>1</v>
      </c>
      <c r="C1087" t="s">
        <v>6276</v>
      </c>
      <c r="D1087" s="4">
        <v>1.8663000000000001</v>
      </c>
      <c r="E1087" s="4">
        <v>4.99</v>
      </c>
      <c r="F1087" t="s">
        <v>6243</v>
      </c>
      <c r="G1087" t="s">
        <v>6228</v>
      </c>
      <c r="H1087" t="s">
        <v>3577</v>
      </c>
      <c r="I1087" t="s">
        <v>3578</v>
      </c>
      <c r="J1087" t="s">
        <v>3579</v>
      </c>
      <c r="K1087" s="4">
        <v>4.99</v>
      </c>
      <c r="L1087" s="4">
        <v>1.8663000000000001</v>
      </c>
    </row>
    <row r="1088" spans="1:12">
      <c r="A1088" s="1">
        <v>42783</v>
      </c>
      <c r="B1088">
        <v>1</v>
      </c>
      <c r="C1088" t="s">
        <v>6271</v>
      </c>
      <c r="D1088" s="4">
        <v>11.2163</v>
      </c>
      <c r="E1088" s="4">
        <v>29.99</v>
      </c>
      <c r="F1088" t="s">
        <v>6243</v>
      </c>
      <c r="G1088" t="s">
        <v>6228</v>
      </c>
      <c r="H1088" t="s">
        <v>3577</v>
      </c>
      <c r="I1088" t="s">
        <v>3578</v>
      </c>
      <c r="J1088" t="s">
        <v>3579</v>
      </c>
      <c r="K1088" s="4">
        <v>29.99</v>
      </c>
      <c r="L1088" s="4">
        <v>11.2163</v>
      </c>
    </row>
    <row r="1089" spans="1:12">
      <c r="A1089" s="1">
        <v>42783</v>
      </c>
      <c r="B1089">
        <v>1</v>
      </c>
      <c r="C1089" t="s">
        <v>6226</v>
      </c>
      <c r="D1089" s="4">
        <v>13.0863</v>
      </c>
      <c r="E1089" s="4">
        <v>34.99</v>
      </c>
      <c r="F1089" t="s">
        <v>6227</v>
      </c>
      <c r="G1089" t="s">
        <v>6228</v>
      </c>
      <c r="H1089" t="s">
        <v>3580</v>
      </c>
      <c r="I1089" t="s">
        <v>3578</v>
      </c>
      <c r="J1089" t="s">
        <v>3579</v>
      </c>
      <c r="K1089" s="4">
        <v>34.99</v>
      </c>
      <c r="L1089" s="4">
        <v>13.0863</v>
      </c>
    </row>
    <row r="1090" spans="1:12">
      <c r="A1090" s="1">
        <v>42783</v>
      </c>
      <c r="B1090">
        <v>2</v>
      </c>
      <c r="C1090" t="s">
        <v>6252</v>
      </c>
      <c r="D1090" s="4">
        <v>343.64960000000002</v>
      </c>
      <c r="E1090" s="4">
        <v>539.99</v>
      </c>
      <c r="F1090" t="s">
        <v>3479</v>
      </c>
      <c r="G1090" t="s">
        <v>3475</v>
      </c>
      <c r="H1090" t="s">
        <v>3580</v>
      </c>
      <c r="I1090" t="s">
        <v>3578</v>
      </c>
      <c r="J1090" t="s">
        <v>3579</v>
      </c>
      <c r="K1090" s="4">
        <v>1079.98</v>
      </c>
      <c r="L1090" s="4">
        <v>687.29920000000004</v>
      </c>
    </row>
    <row r="1091" spans="1:12">
      <c r="A1091" s="1">
        <v>42783</v>
      </c>
      <c r="B1091">
        <v>1</v>
      </c>
      <c r="C1091" t="s">
        <v>6248</v>
      </c>
      <c r="D1091" s="4">
        <v>8.2204999999999995</v>
      </c>
      <c r="E1091" s="4">
        <v>21.98</v>
      </c>
      <c r="F1091" t="s">
        <v>6249</v>
      </c>
      <c r="G1091" t="s">
        <v>6228</v>
      </c>
      <c r="H1091" t="s">
        <v>3582</v>
      </c>
      <c r="I1091" t="s">
        <v>3582</v>
      </c>
      <c r="J1091" t="s">
        <v>3579</v>
      </c>
      <c r="K1091" s="4">
        <v>21.98</v>
      </c>
      <c r="L1091" s="4">
        <v>8.2204999999999995</v>
      </c>
    </row>
    <row r="1092" spans="1:12">
      <c r="A1092" s="1">
        <v>42783</v>
      </c>
      <c r="B1092">
        <v>1</v>
      </c>
      <c r="C1092" t="s">
        <v>6311</v>
      </c>
      <c r="D1092" s="4">
        <v>41.572299999999998</v>
      </c>
      <c r="E1092" s="4">
        <v>53.99</v>
      </c>
      <c r="F1092" t="s">
        <v>6235</v>
      </c>
      <c r="G1092" t="s">
        <v>6233</v>
      </c>
      <c r="H1092" t="s">
        <v>3582</v>
      </c>
      <c r="I1092" t="s">
        <v>3582</v>
      </c>
      <c r="J1092" t="s">
        <v>3579</v>
      </c>
      <c r="K1092" s="4">
        <v>53.99</v>
      </c>
      <c r="L1092" s="4">
        <v>41.572299999999998</v>
      </c>
    </row>
    <row r="1093" spans="1:12">
      <c r="A1093" s="1">
        <v>42783</v>
      </c>
      <c r="B1093">
        <v>1</v>
      </c>
      <c r="C1093" t="s">
        <v>3568</v>
      </c>
      <c r="D1093" s="4">
        <v>605.64919999999995</v>
      </c>
      <c r="E1093" s="4">
        <v>1000.4375</v>
      </c>
      <c r="F1093" t="s">
        <v>3479</v>
      </c>
      <c r="G1093" t="s">
        <v>3475</v>
      </c>
      <c r="H1093" t="s">
        <v>3586</v>
      </c>
      <c r="I1093" t="s">
        <v>3586</v>
      </c>
      <c r="J1093" t="s">
        <v>3587</v>
      </c>
      <c r="K1093" s="4">
        <v>1000.4375</v>
      </c>
      <c r="L1093" s="4">
        <v>605.64919999999995</v>
      </c>
    </row>
    <row r="1094" spans="1:12">
      <c r="A1094" s="1">
        <v>42783</v>
      </c>
      <c r="B1094">
        <v>1</v>
      </c>
      <c r="C1094" t="s">
        <v>6239</v>
      </c>
      <c r="D1094" s="4">
        <v>1.8663000000000001</v>
      </c>
      <c r="E1094" s="4">
        <v>4.99</v>
      </c>
      <c r="F1094" t="s">
        <v>6240</v>
      </c>
      <c r="G1094" t="s">
        <v>6228</v>
      </c>
      <c r="H1094" t="s">
        <v>3586</v>
      </c>
      <c r="I1094" t="s">
        <v>3586</v>
      </c>
      <c r="J1094" t="s">
        <v>3587</v>
      </c>
      <c r="K1094" s="4">
        <v>4.99</v>
      </c>
      <c r="L1094" s="4">
        <v>1.8663000000000001</v>
      </c>
    </row>
    <row r="1095" spans="1:12">
      <c r="A1095" s="1">
        <v>42784</v>
      </c>
      <c r="B1095">
        <v>1</v>
      </c>
      <c r="C1095" t="s">
        <v>6230</v>
      </c>
      <c r="D1095" s="4">
        <v>12.027799999999999</v>
      </c>
      <c r="E1095" s="4">
        <v>33.644199999999998</v>
      </c>
      <c r="F1095" t="s">
        <v>6227</v>
      </c>
      <c r="G1095" t="s">
        <v>6228</v>
      </c>
      <c r="H1095" t="s">
        <v>3580</v>
      </c>
      <c r="I1095" t="s">
        <v>3578</v>
      </c>
      <c r="J1095" t="s">
        <v>3579</v>
      </c>
      <c r="K1095" s="4">
        <v>33.644199999999998</v>
      </c>
      <c r="L1095" s="4">
        <v>12.027799999999999</v>
      </c>
    </row>
    <row r="1096" spans="1:12">
      <c r="A1096" s="1">
        <v>42784</v>
      </c>
      <c r="B1096">
        <v>1</v>
      </c>
      <c r="C1096" t="s">
        <v>6276</v>
      </c>
      <c r="D1096" s="4">
        <v>1.8663000000000001</v>
      </c>
      <c r="E1096" s="4">
        <v>4.99</v>
      </c>
      <c r="F1096" t="s">
        <v>6243</v>
      </c>
      <c r="G1096" t="s">
        <v>6228</v>
      </c>
      <c r="H1096" t="s">
        <v>3582</v>
      </c>
      <c r="I1096" t="s">
        <v>3582</v>
      </c>
      <c r="J1096" t="s">
        <v>3579</v>
      </c>
      <c r="K1096" s="4">
        <v>4.99</v>
      </c>
      <c r="L1096" s="4">
        <v>1.8663000000000001</v>
      </c>
    </row>
    <row r="1097" spans="1:12">
      <c r="A1097" s="1">
        <v>42785</v>
      </c>
      <c r="B1097">
        <v>1</v>
      </c>
      <c r="C1097" t="s">
        <v>6242</v>
      </c>
      <c r="D1097" s="4">
        <v>1.8663000000000001</v>
      </c>
      <c r="E1097" s="4">
        <v>4.99</v>
      </c>
      <c r="F1097" t="s">
        <v>6243</v>
      </c>
      <c r="G1097" t="s">
        <v>6228</v>
      </c>
      <c r="H1097" t="s">
        <v>3580</v>
      </c>
      <c r="I1097" t="s">
        <v>3578</v>
      </c>
      <c r="J1097" t="s">
        <v>3579</v>
      </c>
      <c r="K1097" s="4">
        <v>4.99</v>
      </c>
      <c r="L1097" s="4">
        <v>1.8663000000000001</v>
      </c>
    </row>
    <row r="1098" spans="1:12">
      <c r="A1098" s="1">
        <v>42785</v>
      </c>
      <c r="B1098">
        <v>1</v>
      </c>
      <c r="C1098" t="s">
        <v>6270</v>
      </c>
      <c r="D1098" s="4">
        <v>1.4923</v>
      </c>
      <c r="E1098" s="4">
        <v>3.99</v>
      </c>
      <c r="F1098" t="s">
        <v>6243</v>
      </c>
      <c r="G1098" t="s">
        <v>6228</v>
      </c>
      <c r="H1098" t="s">
        <v>3580</v>
      </c>
      <c r="I1098" t="s">
        <v>3578</v>
      </c>
      <c r="J1098" t="s">
        <v>3579</v>
      </c>
      <c r="K1098" s="4">
        <v>3.99</v>
      </c>
      <c r="L1098" s="4">
        <v>1.4923</v>
      </c>
    </row>
    <row r="1099" spans="1:12">
      <c r="A1099" s="1">
        <v>42785</v>
      </c>
      <c r="B1099">
        <v>1</v>
      </c>
      <c r="C1099" t="s">
        <v>6260</v>
      </c>
      <c r="D1099" s="4">
        <v>13.09</v>
      </c>
      <c r="E1099" s="4">
        <v>35</v>
      </c>
      <c r="F1099" t="s">
        <v>6243</v>
      </c>
      <c r="G1099" t="s">
        <v>6228</v>
      </c>
      <c r="H1099" t="s">
        <v>3580</v>
      </c>
      <c r="I1099" t="s">
        <v>3578</v>
      </c>
      <c r="J1099" t="s">
        <v>3579</v>
      </c>
      <c r="K1099" s="4">
        <v>35</v>
      </c>
      <c r="L1099" s="4">
        <v>13.09</v>
      </c>
    </row>
    <row r="1100" spans="1:12">
      <c r="A1100" s="1">
        <v>42785</v>
      </c>
      <c r="B1100">
        <v>1</v>
      </c>
      <c r="C1100" t="s">
        <v>3538</v>
      </c>
      <c r="D1100" s="4">
        <v>1117.8559</v>
      </c>
      <c r="E1100" s="4">
        <v>2071.4196000000002</v>
      </c>
      <c r="F1100" t="s">
        <v>3478</v>
      </c>
      <c r="G1100" t="s">
        <v>3475</v>
      </c>
      <c r="H1100" t="s">
        <v>3583</v>
      </c>
      <c r="I1100" t="s">
        <v>3583</v>
      </c>
      <c r="J1100" t="s">
        <v>3584</v>
      </c>
      <c r="K1100" s="4">
        <v>2071.4196000000002</v>
      </c>
      <c r="L1100" s="4">
        <v>1117.8559</v>
      </c>
    </row>
    <row r="1101" spans="1:12">
      <c r="A1101" s="1">
        <v>42785</v>
      </c>
      <c r="B1101">
        <v>1</v>
      </c>
      <c r="C1101" t="s">
        <v>6305</v>
      </c>
      <c r="D1101" s="4">
        <v>1082.51</v>
      </c>
      <c r="E1101" s="4">
        <v>1700.99</v>
      </c>
      <c r="F1101" t="s">
        <v>3479</v>
      </c>
      <c r="G1101" t="s">
        <v>3475</v>
      </c>
      <c r="H1101" t="s">
        <v>3586</v>
      </c>
      <c r="I1101" t="s">
        <v>3586</v>
      </c>
      <c r="J1101" t="s">
        <v>3587</v>
      </c>
      <c r="K1101" s="4">
        <v>1700.99</v>
      </c>
      <c r="L1101" s="4">
        <v>1082.51</v>
      </c>
    </row>
    <row r="1102" spans="1:12">
      <c r="A1102" s="1">
        <v>42786</v>
      </c>
      <c r="B1102">
        <v>1</v>
      </c>
      <c r="C1102" t="s">
        <v>6226</v>
      </c>
      <c r="D1102" s="4">
        <v>13.0863</v>
      </c>
      <c r="E1102" s="4">
        <v>34.99</v>
      </c>
      <c r="F1102" t="s">
        <v>6227</v>
      </c>
      <c r="G1102" t="s">
        <v>6228</v>
      </c>
      <c r="H1102" t="s">
        <v>3577</v>
      </c>
      <c r="I1102" t="s">
        <v>3578</v>
      </c>
      <c r="J1102" t="s">
        <v>3579</v>
      </c>
      <c r="K1102" s="4">
        <v>34.99</v>
      </c>
      <c r="L1102" s="4">
        <v>13.0863</v>
      </c>
    </row>
    <row r="1103" spans="1:12">
      <c r="A1103" s="1">
        <v>42786</v>
      </c>
      <c r="B1103">
        <v>1</v>
      </c>
      <c r="C1103" t="s">
        <v>3554</v>
      </c>
      <c r="D1103" s="4">
        <v>1320.6838</v>
      </c>
      <c r="E1103" s="4">
        <v>2181.5625</v>
      </c>
      <c r="F1103" t="s">
        <v>3479</v>
      </c>
      <c r="G1103" t="s">
        <v>3475</v>
      </c>
      <c r="H1103" t="s">
        <v>3577</v>
      </c>
      <c r="I1103" t="s">
        <v>3578</v>
      </c>
      <c r="J1103" t="s">
        <v>3579</v>
      </c>
      <c r="K1103" s="4">
        <v>2181.5625</v>
      </c>
      <c r="L1103" s="4">
        <v>1320.6838</v>
      </c>
    </row>
    <row r="1104" spans="1:12">
      <c r="A1104" s="1">
        <v>42786</v>
      </c>
      <c r="B1104">
        <v>1</v>
      </c>
      <c r="C1104" t="s">
        <v>6315</v>
      </c>
      <c r="D1104" s="4">
        <v>1481.9378999999999</v>
      </c>
      <c r="E1104" s="4">
        <v>2384.0700000000002</v>
      </c>
      <c r="F1104" t="s">
        <v>6274</v>
      </c>
      <c r="G1104" t="s">
        <v>3475</v>
      </c>
      <c r="H1104" t="s">
        <v>3580</v>
      </c>
      <c r="I1104" t="s">
        <v>3578</v>
      </c>
      <c r="J1104" t="s">
        <v>3579</v>
      </c>
      <c r="K1104" s="4">
        <v>2384.0700000000002</v>
      </c>
      <c r="L1104" s="4">
        <v>1481.9378999999999</v>
      </c>
    </row>
    <row r="1105" spans="1:12">
      <c r="A1105" s="1">
        <v>42786</v>
      </c>
      <c r="B1105">
        <v>1</v>
      </c>
      <c r="C1105" t="s">
        <v>6242</v>
      </c>
      <c r="D1105" s="4">
        <v>1.8663000000000001</v>
      </c>
      <c r="E1105" s="4">
        <v>4.99</v>
      </c>
      <c r="F1105" t="s">
        <v>6243</v>
      </c>
      <c r="G1105" t="s">
        <v>6228</v>
      </c>
      <c r="H1105" t="s">
        <v>3583</v>
      </c>
      <c r="I1105" t="s">
        <v>3583</v>
      </c>
      <c r="J1105" t="s">
        <v>3584</v>
      </c>
      <c r="K1105" s="4">
        <v>4.99</v>
      </c>
      <c r="L1105" s="4">
        <v>1.8663000000000001</v>
      </c>
    </row>
    <row r="1106" spans="1:12">
      <c r="A1106" s="1">
        <v>42786</v>
      </c>
      <c r="B1106">
        <v>1</v>
      </c>
      <c r="C1106" t="s">
        <v>6236</v>
      </c>
      <c r="D1106" s="4">
        <v>31.724399999999999</v>
      </c>
      <c r="E1106" s="4">
        <v>48.067300000000003</v>
      </c>
      <c r="F1106" t="s">
        <v>6235</v>
      </c>
      <c r="G1106" t="s">
        <v>6233</v>
      </c>
      <c r="H1106" t="s">
        <v>3585</v>
      </c>
      <c r="I1106" t="s">
        <v>3585</v>
      </c>
      <c r="J1106" t="s">
        <v>3584</v>
      </c>
      <c r="K1106" s="4">
        <v>48.067300000000003</v>
      </c>
      <c r="L1106" s="4">
        <v>31.724399999999999</v>
      </c>
    </row>
    <row r="1107" spans="1:12">
      <c r="A1107" s="1">
        <v>42786</v>
      </c>
      <c r="B1107">
        <v>1</v>
      </c>
      <c r="C1107" t="s">
        <v>6239</v>
      </c>
      <c r="D1107" s="4">
        <v>1.8663000000000001</v>
      </c>
      <c r="E1107" s="4">
        <v>4.99</v>
      </c>
      <c r="F1107" t="s">
        <v>6240</v>
      </c>
      <c r="G1107" t="s">
        <v>6228</v>
      </c>
      <c r="H1107" t="s">
        <v>3586</v>
      </c>
      <c r="I1107" t="s">
        <v>3586</v>
      </c>
      <c r="J1107" t="s">
        <v>3587</v>
      </c>
      <c r="K1107" s="4">
        <v>4.99</v>
      </c>
      <c r="L1107" s="4">
        <v>1.8663000000000001</v>
      </c>
    </row>
    <row r="1108" spans="1:12">
      <c r="A1108" s="1">
        <v>42786</v>
      </c>
      <c r="B1108">
        <v>1</v>
      </c>
      <c r="C1108" t="s">
        <v>6276</v>
      </c>
      <c r="D1108" s="4">
        <v>1.8663000000000001</v>
      </c>
      <c r="E1108" s="4">
        <v>4.99</v>
      </c>
      <c r="F1108" t="s">
        <v>6243</v>
      </c>
      <c r="G1108" t="s">
        <v>6228</v>
      </c>
      <c r="H1108" t="s">
        <v>3586</v>
      </c>
      <c r="I1108" t="s">
        <v>3586</v>
      </c>
      <c r="J1108" t="s">
        <v>3587</v>
      </c>
      <c r="K1108" s="4">
        <v>4.99</v>
      </c>
      <c r="L1108" s="4">
        <v>1.8663000000000001</v>
      </c>
    </row>
    <row r="1109" spans="1:12">
      <c r="A1109" s="1">
        <v>42786</v>
      </c>
      <c r="B1109">
        <v>1</v>
      </c>
      <c r="C1109" t="s">
        <v>6248</v>
      </c>
      <c r="D1109" s="4">
        <v>8.2204999999999995</v>
      </c>
      <c r="E1109" s="4">
        <v>21.98</v>
      </c>
      <c r="F1109" t="s">
        <v>6249</v>
      </c>
      <c r="G1109" t="s">
        <v>6228</v>
      </c>
      <c r="H1109" t="s">
        <v>3588</v>
      </c>
      <c r="I1109" t="s">
        <v>3588</v>
      </c>
      <c r="J1109" t="s">
        <v>3584</v>
      </c>
      <c r="K1109" s="4">
        <v>21.98</v>
      </c>
      <c r="L1109" s="4">
        <v>8.2204999999999995</v>
      </c>
    </row>
    <row r="1110" spans="1:12">
      <c r="A1110" s="1">
        <v>42787</v>
      </c>
      <c r="B1110">
        <v>1</v>
      </c>
      <c r="C1110" t="s">
        <v>6239</v>
      </c>
      <c r="D1110" s="4">
        <v>1.8663000000000001</v>
      </c>
      <c r="E1110" s="4">
        <v>4.99</v>
      </c>
      <c r="F1110" t="s">
        <v>6240</v>
      </c>
      <c r="G1110" t="s">
        <v>6228</v>
      </c>
      <c r="H1110" t="s">
        <v>3582</v>
      </c>
      <c r="I1110" t="s">
        <v>3582</v>
      </c>
      <c r="J1110" t="s">
        <v>3579</v>
      </c>
      <c r="K1110" s="4">
        <v>4.99</v>
      </c>
      <c r="L1110" s="4">
        <v>1.8663000000000001</v>
      </c>
    </row>
    <row r="1111" spans="1:12">
      <c r="A1111" s="1">
        <v>42787</v>
      </c>
      <c r="B1111">
        <v>1</v>
      </c>
      <c r="C1111" t="s">
        <v>6239</v>
      </c>
      <c r="D1111" s="4">
        <v>1.8663000000000001</v>
      </c>
      <c r="E1111" s="4">
        <v>4.99</v>
      </c>
      <c r="F1111" t="s">
        <v>6240</v>
      </c>
      <c r="G1111" t="s">
        <v>6228</v>
      </c>
      <c r="H1111" t="s">
        <v>3586</v>
      </c>
      <c r="I1111" t="s">
        <v>3586</v>
      </c>
      <c r="J1111" t="s">
        <v>3587</v>
      </c>
      <c r="K1111" s="4">
        <v>4.99</v>
      </c>
      <c r="L1111" s="4">
        <v>1.8663000000000001</v>
      </c>
    </row>
    <row r="1112" spans="1:12">
      <c r="A1112" s="1">
        <v>42787</v>
      </c>
      <c r="B1112">
        <v>1</v>
      </c>
      <c r="C1112" t="s">
        <v>6294</v>
      </c>
      <c r="D1112" s="4">
        <v>1082.51</v>
      </c>
      <c r="E1112" s="4">
        <v>1700.99</v>
      </c>
      <c r="F1112" t="s">
        <v>3479</v>
      </c>
      <c r="G1112" t="s">
        <v>3475</v>
      </c>
      <c r="H1112" t="s">
        <v>3586</v>
      </c>
      <c r="I1112" t="s">
        <v>3586</v>
      </c>
      <c r="J1112" t="s">
        <v>3587</v>
      </c>
      <c r="K1112" s="4">
        <v>1700.99</v>
      </c>
      <c r="L1112" s="4">
        <v>1082.51</v>
      </c>
    </row>
    <row r="1113" spans="1:12">
      <c r="A1113" s="1">
        <v>42788</v>
      </c>
      <c r="B1113">
        <v>1</v>
      </c>
      <c r="C1113" t="s">
        <v>6231</v>
      </c>
      <c r="D1113" s="4">
        <v>5.7051999999999996</v>
      </c>
      <c r="E1113" s="4">
        <v>8.6441999999999997</v>
      </c>
      <c r="F1113" t="s">
        <v>6232</v>
      </c>
      <c r="G1113" t="s">
        <v>6233</v>
      </c>
      <c r="H1113" t="s">
        <v>3580</v>
      </c>
      <c r="I1113" t="s">
        <v>3578</v>
      </c>
      <c r="J1113" t="s">
        <v>3579</v>
      </c>
      <c r="K1113" s="4">
        <v>8.6441999999999997</v>
      </c>
      <c r="L1113" s="4">
        <v>5.7051999999999996</v>
      </c>
    </row>
    <row r="1114" spans="1:12">
      <c r="A1114" s="1">
        <v>42788</v>
      </c>
      <c r="B1114">
        <v>1</v>
      </c>
      <c r="C1114" t="s">
        <v>6237</v>
      </c>
      <c r="D1114" s="4">
        <v>31.724399999999999</v>
      </c>
      <c r="E1114" s="4">
        <v>48.067300000000003</v>
      </c>
      <c r="F1114" t="s">
        <v>6235</v>
      </c>
      <c r="G1114" t="s">
        <v>6233</v>
      </c>
      <c r="H1114" t="s">
        <v>3580</v>
      </c>
      <c r="I1114" t="s">
        <v>3578</v>
      </c>
      <c r="J1114" t="s">
        <v>3579</v>
      </c>
      <c r="K1114" s="4">
        <v>48.067300000000003</v>
      </c>
      <c r="L1114" s="4">
        <v>31.724399999999999</v>
      </c>
    </row>
    <row r="1115" spans="1:12">
      <c r="A1115" s="1">
        <v>42788</v>
      </c>
      <c r="B1115">
        <v>1</v>
      </c>
      <c r="C1115" t="s">
        <v>6248</v>
      </c>
      <c r="D1115" s="4">
        <v>8.2204999999999995</v>
      </c>
      <c r="E1115" s="4">
        <v>21.98</v>
      </c>
      <c r="F1115" t="s">
        <v>6249</v>
      </c>
      <c r="G1115" t="s">
        <v>6228</v>
      </c>
      <c r="H1115" t="s">
        <v>3585</v>
      </c>
      <c r="I1115" t="s">
        <v>3585</v>
      </c>
      <c r="J1115" t="s">
        <v>3584</v>
      </c>
      <c r="K1115" s="4">
        <v>21.98</v>
      </c>
      <c r="L1115" s="4">
        <v>8.2204999999999995</v>
      </c>
    </row>
    <row r="1116" spans="1:12">
      <c r="A1116" s="1">
        <v>42788</v>
      </c>
      <c r="B1116">
        <v>1</v>
      </c>
      <c r="C1116" t="s">
        <v>6241</v>
      </c>
      <c r="D1116" s="4">
        <v>3.3622999999999998</v>
      </c>
      <c r="E1116" s="4">
        <v>8.99</v>
      </c>
      <c r="F1116" t="s">
        <v>6240</v>
      </c>
      <c r="G1116" t="s">
        <v>6228</v>
      </c>
      <c r="H1116" t="s">
        <v>3586</v>
      </c>
      <c r="I1116" t="s">
        <v>3586</v>
      </c>
      <c r="J1116" t="s">
        <v>3587</v>
      </c>
      <c r="K1116" s="4">
        <v>8.99</v>
      </c>
      <c r="L1116" s="4">
        <v>3.3622999999999998</v>
      </c>
    </row>
    <row r="1117" spans="1:12">
      <c r="A1117" s="1">
        <v>42788</v>
      </c>
      <c r="B1117">
        <v>1</v>
      </c>
      <c r="C1117" t="s">
        <v>6258</v>
      </c>
      <c r="D1117" s="4">
        <v>2.9733000000000001</v>
      </c>
      <c r="E1117" s="4">
        <v>7.95</v>
      </c>
      <c r="F1117" t="s">
        <v>6259</v>
      </c>
      <c r="G1117" t="s">
        <v>6228</v>
      </c>
      <c r="H1117" t="s">
        <v>3586</v>
      </c>
      <c r="I1117" t="s">
        <v>3586</v>
      </c>
      <c r="J1117" t="s">
        <v>3587</v>
      </c>
      <c r="K1117" s="4">
        <v>7.95</v>
      </c>
      <c r="L1117" s="4">
        <v>2.9733000000000001</v>
      </c>
    </row>
    <row r="1118" spans="1:12">
      <c r="A1118" s="1">
        <v>42789</v>
      </c>
      <c r="B1118">
        <v>1</v>
      </c>
      <c r="C1118" t="s">
        <v>6234</v>
      </c>
      <c r="D1118" s="4">
        <v>31.724399999999999</v>
      </c>
      <c r="E1118" s="4">
        <v>48.067300000000003</v>
      </c>
      <c r="F1118" t="s">
        <v>6235</v>
      </c>
      <c r="G1118" t="s">
        <v>6233</v>
      </c>
      <c r="H1118" t="s">
        <v>3580</v>
      </c>
      <c r="I1118" t="s">
        <v>3578</v>
      </c>
      <c r="J1118" t="s">
        <v>3579</v>
      </c>
      <c r="K1118" s="4">
        <v>48.067300000000003</v>
      </c>
      <c r="L1118" s="4">
        <v>31.724399999999999</v>
      </c>
    </row>
    <row r="1119" spans="1:12">
      <c r="A1119" s="1">
        <v>42789</v>
      </c>
      <c r="B1119">
        <v>1</v>
      </c>
      <c r="C1119" t="s">
        <v>6250</v>
      </c>
      <c r="D1119" s="4">
        <v>9.7135999999999996</v>
      </c>
      <c r="E1119" s="4">
        <v>23.548100000000002</v>
      </c>
      <c r="F1119" t="s">
        <v>6251</v>
      </c>
      <c r="G1119" t="s">
        <v>6233</v>
      </c>
      <c r="H1119" t="s">
        <v>3580</v>
      </c>
      <c r="I1119" t="s">
        <v>3578</v>
      </c>
      <c r="J1119" t="s">
        <v>3579</v>
      </c>
      <c r="K1119" s="4">
        <v>23.548100000000002</v>
      </c>
      <c r="L1119" s="4">
        <v>9.7135999999999996</v>
      </c>
    </row>
    <row r="1120" spans="1:12">
      <c r="A1120" s="1">
        <v>42789</v>
      </c>
      <c r="B1120">
        <v>1</v>
      </c>
      <c r="C1120" t="s">
        <v>6284</v>
      </c>
      <c r="D1120" s="4">
        <v>26.176300000000001</v>
      </c>
      <c r="E1120" s="4">
        <v>69.989999999999995</v>
      </c>
      <c r="F1120" t="s">
        <v>6262</v>
      </c>
      <c r="G1120" t="s">
        <v>6233</v>
      </c>
      <c r="H1120" t="s">
        <v>3580</v>
      </c>
      <c r="I1120" t="s">
        <v>3578</v>
      </c>
      <c r="J1120" t="s">
        <v>3579</v>
      </c>
      <c r="K1120" s="4">
        <v>69.989999999999995</v>
      </c>
      <c r="L1120" s="4">
        <v>26.176300000000001</v>
      </c>
    </row>
    <row r="1121" spans="1:12">
      <c r="A1121" s="1">
        <v>42789</v>
      </c>
      <c r="B1121">
        <v>1</v>
      </c>
      <c r="C1121" t="s">
        <v>6269</v>
      </c>
      <c r="D1121" s="4">
        <v>9.3462999999999994</v>
      </c>
      <c r="E1121" s="4">
        <v>24.99</v>
      </c>
      <c r="F1121" t="s">
        <v>6243</v>
      </c>
      <c r="G1121" t="s">
        <v>6228</v>
      </c>
      <c r="H1121" t="s">
        <v>3586</v>
      </c>
      <c r="I1121" t="s">
        <v>3586</v>
      </c>
      <c r="J1121" t="s">
        <v>3587</v>
      </c>
      <c r="K1121" s="4">
        <v>24.99</v>
      </c>
      <c r="L1121" s="4">
        <v>9.3462999999999994</v>
      </c>
    </row>
    <row r="1122" spans="1:12">
      <c r="A1122" s="1">
        <v>42789</v>
      </c>
      <c r="B1122">
        <v>1</v>
      </c>
      <c r="C1122" t="s">
        <v>6284</v>
      </c>
      <c r="D1122" s="4">
        <v>26.176300000000001</v>
      </c>
      <c r="E1122" s="4">
        <v>69.989999999999995</v>
      </c>
      <c r="F1122" t="s">
        <v>6262</v>
      </c>
      <c r="G1122" t="s">
        <v>6233</v>
      </c>
      <c r="H1122" t="s">
        <v>3588</v>
      </c>
      <c r="I1122" t="s">
        <v>3588</v>
      </c>
      <c r="J1122" t="s">
        <v>3584</v>
      </c>
      <c r="K1122" s="4">
        <v>69.989999999999995</v>
      </c>
      <c r="L1122" s="4">
        <v>26.176300000000001</v>
      </c>
    </row>
    <row r="1123" spans="1:12">
      <c r="A1123" s="1">
        <v>42789</v>
      </c>
      <c r="B1123">
        <v>1</v>
      </c>
      <c r="C1123" t="s">
        <v>6239</v>
      </c>
      <c r="D1123" s="4">
        <v>1.8663000000000001</v>
      </c>
      <c r="E1123" s="4">
        <v>4.99</v>
      </c>
      <c r="F1123" t="s">
        <v>6240</v>
      </c>
      <c r="G1123" t="s">
        <v>6228</v>
      </c>
      <c r="H1123" t="s">
        <v>3588</v>
      </c>
      <c r="I1123" t="s">
        <v>3588</v>
      </c>
      <c r="J1123" t="s">
        <v>3584</v>
      </c>
      <c r="K1123" s="4">
        <v>4.99</v>
      </c>
      <c r="L1123" s="4">
        <v>1.8663000000000001</v>
      </c>
    </row>
    <row r="1124" spans="1:12">
      <c r="A1124" s="1">
        <v>42790</v>
      </c>
      <c r="B1124">
        <v>1</v>
      </c>
      <c r="C1124" t="s">
        <v>6276</v>
      </c>
      <c r="D1124" s="4">
        <v>1.8663000000000001</v>
      </c>
      <c r="E1124" s="4">
        <v>4.99</v>
      </c>
      <c r="F1124" t="s">
        <v>6243</v>
      </c>
      <c r="G1124" t="s">
        <v>6228</v>
      </c>
      <c r="H1124" t="s">
        <v>3577</v>
      </c>
      <c r="I1124" t="s">
        <v>3578</v>
      </c>
      <c r="J1124" t="s">
        <v>3579</v>
      </c>
      <c r="K1124" s="4">
        <v>4.99</v>
      </c>
      <c r="L1124" s="4">
        <v>1.8663000000000001</v>
      </c>
    </row>
    <row r="1125" spans="1:12">
      <c r="A1125" s="1">
        <v>42790</v>
      </c>
      <c r="B1125">
        <v>1</v>
      </c>
      <c r="C1125" t="s">
        <v>6230</v>
      </c>
      <c r="D1125" s="4">
        <v>12.027799999999999</v>
      </c>
      <c r="E1125" s="4">
        <v>33.644199999999998</v>
      </c>
      <c r="F1125" t="s">
        <v>6227</v>
      </c>
      <c r="G1125" t="s">
        <v>6228</v>
      </c>
      <c r="H1125" t="s">
        <v>3580</v>
      </c>
      <c r="I1125" t="s">
        <v>3578</v>
      </c>
      <c r="J1125" t="s">
        <v>3579</v>
      </c>
      <c r="K1125" s="4">
        <v>33.644199999999998</v>
      </c>
      <c r="L1125" s="4">
        <v>12.027799999999999</v>
      </c>
    </row>
    <row r="1126" spans="1:12">
      <c r="A1126" s="1">
        <v>42790</v>
      </c>
      <c r="B1126">
        <v>1</v>
      </c>
      <c r="C1126" t="s">
        <v>6284</v>
      </c>
      <c r="D1126" s="4">
        <v>26.176300000000001</v>
      </c>
      <c r="E1126" s="4">
        <v>69.989999999999995</v>
      </c>
      <c r="F1126" t="s">
        <v>6262</v>
      </c>
      <c r="G1126" t="s">
        <v>6233</v>
      </c>
      <c r="H1126" t="s">
        <v>3582</v>
      </c>
      <c r="I1126" t="s">
        <v>3582</v>
      </c>
      <c r="J1126" t="s">
        <v>3579</v>
      </c>
      <c r="K1126" s="4">
        <v>69.989999999999995</v>
      </c>
      <c r="L1126" s="4">
        <v>26.176300000000001</v>
      </c>
    </row>
    <row r="1127" spans="1:12">
      <c r="A1127" s="1">
        <v>42790</v>
      </c>
      <c r="B1127">
        <v>1</v>
      </c>
      <c r="C1127" t="s">
        <v>6254</v>
      </c>
      <c r="D1127" s="4">
        <v>12.192399999999999</v>
      </c>
      <c r="E1127" s="4">
        <v>32.6</v>
      </c>
      <c r="F1127" t="s">
        <v>6243</v>
      </c>
      <c r="G1127" t="s">
        <v>6228</v>
      </c>
      <c r="H1127" t="s">
        <v>3583</v>
      </c>
      <c r="I1127" t="s">
        <v>3583</v>
      </c>
      <c r="J1127" t="s">
        <v>3584</v>
      </c>
      <c r="K1127" s="4">
        <v>32.6</v>
      </c>
      <c r="L1127" s="4">
        <v>12.192399999999999</v>
      </c>
    </row>
    <row r="1128" spans="1:12">
      <c r="A1128" s="1">
        <v>42790</v>
      </c>
      <c r="B1128">
        <v>1</v>
      </c>
      <c r="C1128" t="s">
        <v>6244</v>
      </c>
      <c r="D1128" s="4">
        <v>3.7363</v>
      </c>
      <c r="E1128" s="4">
        <v>9.99</v>
      </c>
      <c r="F1128" t="s">
        <v>6240</v>
      </c>
      <c r="G1128" t="s">
        <v>6228</v>
      </c>
      <c r="H1128" t="s">
        <v>3585</v>
      </c>
      <c r="I1128" t="s">
        <v>3585</v>
      </c>
      <c r="J1128" t="s">
        <v>3584</v>
      </c>
      <c r="K1128" s="4">
        <v>9.99</v>
      </c>
      <c r="L1128" s="4">
        <v>3.7363</v>
      </c>
    </row>
    <row r="1129" spans="1:12">
      <c r="A1129" s="1">
        <v>42790</v>
      </c>
      <c r="B1129">
        <v>1</v>
      </c>
      <c r="C1129" t="s">
        <v>6258</v>
      </c>
      <c r="D1129" s="4">
        <v>2.9733000000000001</v>
      </c>
      <c r="E1129" s="4">
        <v>7.95</v>
      </c>
      <c r="F1129" t="s">
        <v>6259</v>
      </c>
      <c r="G1129" t="s">
        <v>6228</v>
      </c>
      <c r="H1129" t="s">
        <v>3585</v>
      </c>
      <c r="I1129" t="s">
        <v>3585</v>
      </c>
      <c r="J1129" t="s">
        <v>3584</v>
      </c>
      <c r="K1129" s="4">
        <v>7.95</v>
      </c>
      <c r="L1129" s="4">
        <v>2.9733000000000001</v>
      </c>
    </row>
    <row r="1130" spans="1:12">
      <c r="A1130" s="1">
        <v>42790</v>
      </c>
      <c r="B1130">
        <v>1</v>
      </c>
      <c r="C1130" t="s">
        <v>6313</v>
      </c>
      <c r="D1130" s="4">
        <v>419.77839999999998</v>
      </c>
      <c r="E1130" s="4">
        <v>769.49</v>
      </c>
      <c r="F1130" t="s">
        <v>3478</v>
      </c>
      <c r="G1130" t="s">
        <v>3475</v>
      </c>
      <c r="H1130" t="s">
        <v>3585</v>
      </c>
      <c r="I1130" t="s">
        <v>3585</v>
      </c>
      <c r="J1130" t="s">
        <v>3584</v>
      </c>
      <c r="K1130" s="4">
        <v>769.49</v>
      </c>
      <c r="L1130" s="4">
        <v>419.77839999999998</v>
      </c>
    </row>
    <row r="1131" spans="1:12">
      <c r="A1131" s="1">
        <v>42790</v>
      </c>
      <c r="B1131">
        <v>1</v>
      </c>
      <c r="C1131" t="s">
        <v>6316</v>
      </c>
      <c r="D1131" s="4">
        <v>294.5797</v>
      </c>
      <c r="E1131" s="4">
        <v>539.99</v>
      </c>
      <c r="F1131" t="s">
        <v>3478</v>
      </c>
      <c r="G1131" t="s">
        <v>3475</v>
      </c>
      <c r="H1131" t="s">
        <v>3585</v>
      </c>
      <c r="I1131" t="s">
        <v>3585</v>
      </c>
      <c r="J1131" t="s">
        <v>3584</v>
      </c>
      <c r="K1131" s="4">
        <v>539.99</v>
      </c>
      <c r="L1131" s="4">
        <v>294.5797</v>
      </c>
    </row>
    <row r="1132" spans="1:12">
      <c r="A1132" s="1">
        <v>42790</v>
      </c>
      <c r="B1132">
        <v>2</v>
      </c>
      <c r="C1132" t="s">
        <v>6239</v>
      </c>
      <c r="D1132" s="4">
        <v>1.8663000000000001</v>
      </c>
      <c r="E1132" s="4">
        <v>4.99</v>
      </c>
      <c r="F1132" t="s">
        <v>6240</v>
      </c>
      <c r="G1132" t="s">
        <v>6228</v>
      </c>
      <c r="H1132" t="s">
        <v>3586</v>
      </c>
      <c r="I1132" t="s">
        <v>3586</v>
      </c>
      <c r="J1132" t="s">
        <v>3587</v>
      </c>
      <c r="K1132" s="4">
        <v>9.98</v>
      </c>
      <c r="L1132" s="4">
        <v>3.7326000000000001</v>
      </c>
    </row>
    <row r="1133" spans="1:12">
      <c r="A1133" s="1">
        <v>42790</v>
      </c>
      <c r="B1133">
        <v>1</v>
      </c>
      <c r="C1133" t="s">
        <v>6283</v>
      </c>
      <c r="D1133" s="4">
        <v>1481.9378999999999</v>
      </c>
      <c r="E1133" s="4">
        <v>2384.0700000000002</v>
      </c>
      <c r="F1133" t="s">
        <v>6274</v>
      </c>
      <c r="G1133" t="s">
        <v>3475</v>
      </c>
      <c r="H1133" t="s">
        <v>3586</v>
      </c>
      <c r="I1133" t="s">
        <v>3586</v>
      </c>
      <c r="J1133" t="s">
        <v>3587</v>
      </c>
      <c r="K1133" s="4">
        <v>2384.0700000000002</v>
      </c>
      <c r="L1133" s="4">
        <v>1481.9378999999999</v>
      </c>
    </row>
    <row r="1134" spans="1:12">
      <c r="A1134" s="1">
        <v>42791</v>
      </c>
      <c r="B1134">
        <v>1</v>
      </c>
      <c r="C1134" t="s">
        <v>6255</v>
      </c>
      <c r="D1134" s="4">
        <v>9.7135999999999996</v>
      </c>
      <c r="E1134" s="4">
        <v>23.548100000000002</v>
      </c>
      <c r="F1134" t="s">
        <v>6251</v>
      </c>
      <c r="G1134" t="s">
        <v>6233</v>
      </c>
      <c r="H1134" t="s">
        <v>3577</v>
      </c>
      <c r="I1134" t="s">
        <v>3578</v>
      </c>
      <c r="J1134" t="s">
        <v>3579</v>
      </c>
      <c r="K1134" s="4">
        <v>23.548100000000002</v>
      </c>
      <c r="L1134" s="4">
        <v>9.7135999999999996</v>
      </c>
    </row>
    <row r="1135" spans="1:12">
      <c r="A1135" s="1">
        <v>42791</v>
      </c>
      <c r="B1135">
        <v>1</v>
      </c>
      <c r="C1135" t="s">
        <v>6239</v>
      </c>
      <c r="D1135" s="4">
        <v>1.8663000000000001</v>
      </c>
      <c r="E1135" s="4">
        <v>4.99</v>
      </c>
      <c r="F1135" t="s">
        <v>6240</v>
      </c>
      <c r="G1135" t="s">
        <v>6228</v>
      </c>
      <c r="H1135" t="s">
        <v>3577</v>
      </c>
      <c r="I1135" t="s">
        <v>3578</v>
      </c>
      <c r="J1135" t="s">
        <v>3579</v>
      </c>
      <c r="K1135" s="4">
        <v>4.99</v>
      </c>
      <c r="L1135" s="4">
        <v>1.8663000000000001</v>
      </c>
    </row>
    <row r="1136" spans="1:12">
      <c r="A1136" s="1">
        <v>42791</v>
      </c>
      <c r="B1136">
        <v>1</v>
      </c>
      <c r="C1136" t="s">
        <v>6245</v>
      </c>
      <c r="D1136" s="4">
        <v>0.85650000000000004</v>
      </c>
      <c r="E1136" s="4">
        <v>2.29</v>
      </c>
      <c r="F1136" t="s">
        <v>6243</v>
      </c>
      <c r="G1136" t="s">
        <v>6228</v>
      </c>
      <c r="H1136" t="s">
        <v>3577</v>
      </c>
      <c r="I1136" t="s">
        <v>3578</v>
      </c>
      <c r="J1136" t="s">
        <v>3579</v>
      </c>
      <c r="K1136" s="4">
        <v>2.29</v>
      </c>
      <c r="L1136" s="4">
        <v>0.85650000000000004</v>
      </c>
    </row>
    <row r="1137" spans="1:12">
      <c r="A1137" s="1">
        <v>42792</v>
      </c>
      <c r="B1137">
        <v>1</v>
      </c>
      <c r="C1137" t="s">
        <v>6260</v>
      </c>
      <c r="D1137" s="4">
        <v>13.09</v>
      </c>
      <c r="E1137" s="4">
        <v>35</v>
      </c>
      <c r="F1137" t="s">
        <v>6243</v>
      </c>
      <c r="G1137" t="s">
        <v>6228</v>
      </c>
      <c r="H1137" t="s">
        <v>3577</v>
      </c>
      <c r="I1137" t="s">
        <v>3578</v>
      </c>
      <c r="J1137" t="s">
        <v>3579</v>
      </c>
      <c r="K1137" s="4">
        <v>35</v>
      </c>
      <c r="L1137" s="4">
        <v>13.09</v>
      </c>
    </row>
    <row r="1138" spans="1:12">
      <c r="A1138" s="1">
        <v>42792</v>
      </c>
      <c r="B1138">
        <v>1</v>
      </c>
      <c r="C1138" t="s">
        <v>6254</v>
      </c>
      <c r="D1138" s="4">
        <v>12.192399999999999</v>
      </c>
      <c r="E1138" s="4">
        <v>32.6</v>
      </c>
      <c r="F1138" t="s">
        <v>6243</v>
      </c>
      <c r="G1138" t="s">
        <v>6228</v>
      </c>
      <c r="H1138" t="s">
        <v>3581</v>
      </c>
      <c r="I1138" t="s">
        <v>3578</v>
      </c>
      <c r="J1138" t="s">
        <v>3579</v>
      </c>
      <c r="K1138" s="4">
        <v>32.6</v>
      </c>
      <c r="L1138" s="4">
        <v>12.192399999999999</v>
      </c>
    </row>
    <row r="1139" spans="1:12">
      <c r="A1139" s="1">
        <v>42792</v>
      </c>
      <c r="B1139">
        <v>1</v>
      </c>
      <c r="C1139" t="s">
        <v>6239</v>
      </c>
      <c r="D1139" s="4">
        <v>1.8663000000000001</v>
      </c>
      <c r="E1139" s="4">
        <v>4.99</v>
      </c>
      <c r="F1139" t="s">
        <v>6240</v>
      </c>
      <c r="G1139" t="s">
        <v>6228</v>
      </c>
      <c r="H1139" t="s">
        <v>3582</v>
      </c>
      <c r="I1139" t="s">
        <v>3582</v>
      </c>
      <c r="J1139" t="s">
        <v>3579</v>
      </c>
      <c r="K1139" s="4">
        <v>4.99</v>
      </c>
      <c r="L1139" s="4">
        <v>1.8663000000000001</v>
      </c>
    </row>
    <row r="1140" spans="1:12">
      <c r="A1140" s="1">
        <v>42792</v>
      </c>
      <c r="B1140">
        <v>1</v>
      </c>
      <c r="C1140" t="s">
        <v>6245</v>
      </c>
      <c r="D1140" s="4">
        <v>0.85650000000000004</v>
      </c>
      <c r="E1140" s="4">
        <v>2.29</v>
      </c>
      <c r="F1140" t="s">
        <v>6243</v>
      </c>
      <c r="G1140" t="s">
        <v>6228</v>
      </c>
      <c r="H1140" t="s">
        <v>3583</v>
      </c>
      <c r="I1140" t="s">
        <v>3583</v>
      </c>
      <c r="J1140" t="s">
        <v>3584</v>
      </c>
      <c r="K1140" s="4">
        <v>2.29</v>
      </c>
      <c r="L1140" s="4">
        <v>0.85650000000000004</v>
      </c>
    </row>
    <row r="1141" spans="1:12">
      <c r="A1141" s="1">
        <v>42793</v>
      </c>
      <c r="B1141">
        <v>1</v>
      </c>
      <c r="C1141" t="s">
        <v>6238</v>
      </c>
      <c r="D1141" s="4">
        <v>31.724399999999999</v>
      </c>
      <c r="E1141" s="4">
        <v>48.067300000000003</v>
      </c>
      <c r="F1141" t="s">
        <v>6235</v>
      </c>
      <c r="G1141" t="s">
        <v>6233</v>
      </c>
      <c r="H1141" t="s">
        <v>3577</v>
      </c>
      <c r="I1141" t="s">
        <v>3578</v>
      </c>
      <c r="J1141" t="s">
        <v>3579</v>
      </c>
      <c r="K1141" s="4">
        <v>48.067300000000003</v>
      </c>
      <c r="L1141" s="4">
        <v>31.724399999999999</v>
      </c>
    </row>
    <row r="1142" spans="1:12">
      <c r="A1142" s="1">
        <v>42793</v>
      </c>
      <c r="B1142">
        <v>1</v>
      </c>
      <c r="C1142" t="s">
        <v>6242</v>
      </c>
      <c r="D1142" s="4">
        <v>1.8663000000000001</v>
      </c>
      <c r="E1142" s="4">
        <v>4.99</v>
      </c>
      <c r="F1142" t="s">
        <v>6243</v>
      </c>
      <c r="G1142" t="s">
        <v>6228</v>
      </c>
      <c r="H1142" t="s">
        <v>3577</v>
      </c>
      <c r="I1142" t="s">
        <v>3578</v>
      </c>
      <c r="J1142" t="s">
        <v>3579</v>
      </c>
      <c r="K1142" s="4">
        <v>4.99</v>
      </c>
      <c r="L1142" s="4">
        <v>1.8663000000000001</v>
      </c>
    </row>
    <row r="1143" spans="1:12">
      <c r="A1143" s="1">
        <v>42793</v>
      </c>
      <c r="B1143">
        <v>1</v>
      </c>
      <c r="C1143" t="s">
        <v>6277</v>
      </c>
      <c r="D1143" s="4">
        <v>8.0373000000000001</v>
      </c>
      <c r="E1143" s="4">
        <v>21.49</v>
      </c>
      <c r="F1143" t="s">
        <v>6243</v>
      </c>
      <c r="G1143" t="s">
        <v>6228</v>
      </c>
      <c r="H1143" t="s">
        <v>3577</v>
      </c>
      <c r="I1143" t="s">
        <v>3578</v>
      </c>
      <c r="J1143" t="s">
        <v>3579</v>
      </c>
      <c r="K1143" s="4">
        <v>21.49</v>
      </c>
      <c r="L1143" s="4">
        <v>8.0373000000000001</v>
      </c>
    </row>
    <row r="1144" spans="1:12">
      <c r="A1144" s="1">
        <v>42793</v>
      </c>
      <c r="B1144">
        <v>1</v>
      </c>
      <c r="C1144" t="s">
        <v>6270</v>
      </c>
      <c r="D1144" s="4">
        <v>1.4923</v>
      </c>
      <c r="E1144" s="4">
        <v>3.99</v>
      </c>
      <c r="F1144" t="s">
        <v>6243</v>
      </c>
      <c r="G1144" t="s">
        <v>6228</v>
      </c>
      <c r="H1144" t="s">
        <v>3580</v>
      </c>
      <c r="I1144" t="s">
        <v>3578</v>
      </c>
      <c r="J1144" t="s">
        <v>3579</v>
      </c>
      <c r="K1144" s="4">
        <v>3.99</v>
      </c>
      <c r="L1144" s="4">
        <v>1.4923</v>
      </c>
    </row>
    <row r="1145" spans="1:12">
      <c r="A1145" s="1">
        <v>42793</v>
      </c>
      <c r="B1145">
        <v>1</v>
      </c>
      <c r="C1145" t="s">
        <v>6239</v>
      </c>
      <c r="D1145" s="4">
        <v>1.8663000000000001</v>
      </c>
      <c r="E1145" s="4">
        <v>4.99</v>
      </c>
      <c r="F1145" t="s">
        <v>6240</v>
      </c>
      <c r="G1145" t="s">
        <v>6228</v>
      </c>
      <c r="H1145" t="s">
        <v>3582</v>
      </c>
      <c r="I1145" t="s">
        <v>3582</v>
      </c>
      <c r="J1145" t="s">
        <v>3579</v>
      </c>
      <c r="K1145" s="4">
        <v>4.99</v>
      </c>
      <c r="L1145" s="4">
        <v>1.8663000000000001</v>
      </c>
    </row>
    <row r="1146" spans="1:12">
      <c r="A1146" s="1">
        <v>42793</v>
      </c>
      <c r="B1146">
        <v>1</v>
      </c>
      <c r="C1146" t="s">
        <v>6242</v>
      </c>
      <c r="D1146" s="4">
        <v>1.8663000000000001</v>
      </c>
      <c r="E1146" s="4">
        <v>4.99</v>
      </c>
      <c r="F1146" t="s">
        <v>6243</v>
      </c>
      <c r="G1146" t="s">
        <v>6228</v>
      </c>
      <c r="H1146" t="s">
        <v>3582</v>
      </c>
      <c r="I1146" t="s">
        <v>3582</v>
      </c>
      <c r="J1146" t="s">
        <v>3579</v>
      </c>
      <c r="K1146" s="4">
        <v>4.99</v>
      </c>
      <c r="L1146" s="4">
        <v>1.8663000000000001</v>
      </c>
    </row>
    <row r="1147" spans="1:12">
      <c r="A1147" s="1">
        <v>42793</v>
      </c>
      <c r="B1147">
        <v>1</v>
      </c>
      <c r="C1147" t="s">
        <v>6305</v>
      </c>
      <c r="D1147" s="4">
        <v>1082.51</v>
      </c>
      <c r="E1147" s="4">
        <v>1700.99</v>
      </c>
      <c r="F1147" t="s">
        <v>3479</v>
      </c>
      <c r="G1147" t="s">
        <v>3475</v>
      </c>
      <c r="H1147" t="s">
        <v>3582</v>
      </c>
      <c r="I1147" t="s">
        <v>3582</v>
      </c>
      <c r="J1147" t="s">
        <v>3579</v>
      </c>
      <c r="K1147" s="4">
        <v>1700.99</v>
      </c>
      <c r="L1147" s="4">
        <v>1082.51</v>
      </c>
    </row>
    <row r="1148" spans="1:12">
      <c r="A1148" s="1">
        <v>42793</v>
      </c>
      <c r="B1148">
        <v>1</v>
      </c>
      <c r="C1148" t="s">
        <v>6234</v>
      </c>
      <c r="D1148" s="4">
        <v>31.724399999999999</v>
      </c>
      <c r="E1148" s="4">
        <v>48.067300000000003</v>
      </c>
      <c r="F1148" t="s">
        <v>6235</v>
      </c>
      <c r="G1148" t="s">
        <v>6233</v>
      </c>
      <c r="H1148" t="s">
        <v>3586</v>
      </c>
      <c r="I1148" t="s">
        <v>3586</v>
      </c>
      <c r="J1148" t="s">
        <v>3587</v>
      </c>
      <c r="K1148" s="4">
        <v>48.067300000000003</v>
      </c>
      <c r="L1148" s="4">
        <v>31.724399999999999</v>
      </c>
    </row>
    <row r="1149" spans="1:12">
      <c r="A1149" s="1">
        <v>42793</v>
      </c>
      <c r="B1149">
        <v>1</v>
      </c>
      <c r="C1149" t="s">
        <v>6244</v>
      </c>
      <c r="D1149" s="4">
        <v>3.7363</v>
      </c>
      <c r="E1149" s="4">
        <v>9.99</v>
      </c>
      <c r="F1149" t="s">
        <v>6240</v>
      </c>
      <c r="G1149" t="s">
        <v>6228</v>
      </c>
      <c r="H1149" t="s">
        <v>3586</v>
      </c>
      <c r="I1149" t="s">
        <v>3586</v>
      </c>
      <c r="J1149" t="s">
        <v>3587</v>
      </c>
      <c r="K1149" s="4">
        <v>9.99</v>
      </c>
      <c r="L1149" s="4">
        <v>3.7363</v>
      </c>
    </row>
    <row r="1150" spans="1:12">
      <c r="A1150" s="1">
        <v>42794</v>
      </c>
      <c r="B1150">
        <v>1</v>
      </c>
      <c r="C1150" t="s">
        <v>6244</v>
      </c>
      <c r="D1150" s="4">
        <v>3.7363</v>
      </c>
      <c r="E1150" s="4">
        <v>9.99</v>
      </c>
      <c r="F1150" t="s">
        <v>6240</v>
      </c>
      <c r="G1150" t="s">
        <v>6228</v>
      </c>
      <c r="H1150" t="s">
        <v>3580</v>
      </c>
      <c r="I1150" t="s">
        <v>3578</v>
      </c>
      <c r="J1150" t="s">
        <v>3579</v>
      </c>
      <c r="K1150" s="4">
        <v>9.99</v>
      </c>
      <c r="L1150" s="4">
        <v>3.7363</v>
      </c>
    </row>
    <row r="1151" spans="1:12">
      <c r="A1151" s="1">
        <v>42794</v>
      </c>
      <c r="B1151">
        <v>1</v>
      </c>
      <c r="C1151" t="s">
        <v>6244</v>
      </c>
      <c r="D1151" s="4">
        <v>3.7363</v>
      </c>
      <c r="E1151" s="4">
        <v>9.99</v>
      </c>
      <c r="F1151" t="s">
        <v>6240</v>
      </c>
      <c r="G1151" t="s">
        <v>6228</v>
      </c>
      <c r="H1151" t="s">
        <v>3582</v>
      </c>
      <c r="I1151" t="s">
        <v>3582</v>
      </c>
      <c r="J1151" t="s">
        <v>3579</v>
      </c>
      <c r="K1151" s="4">
        <v>9.99</v>
      </c>
      <c r="L1151" s="4">
        <v>3.7363</v>
      </c>
    </row>
    <row r="1152" spans="1:12">
      <c r="A1152" s="1">
        <v>42794</v>
      </c>
      <c r="B1152">
        <v>1</v>
      </c>
      <c r="C1152" t="s">
        <v>6271</v>
      </c>
      <c r="D1152" s="4">
        <v>11.2163</v>
      </c>
      <c r="E1152" s="4">
        <v>29.99</v>
      </c>
      <c r="F1152" t="s">
        <v>6243</v>
      </c>
      <c r="G1152" t="s">
        <v>6228</v>
      </c>
      <c r="H1152" t="s">
        <v>3583</v>
      </c>
      <c r="I1152" t="s">
        <v>3583</v>
      </c>
      <c r="J1152" t="s">
        <v>3584</v>
      </c>
      <c r="K1152" s="4">
        <v>29.99</v>
      </c>
      <c r="L1152" s="4">
        <v>11.2163</v>
      </c>
    </row>
    <row r="1153" spans="1:12">
      <c r="A1153" s="1">
        <v>42794</v>
      </c>
      <c r="B1153">
        <v>1</v>
      </c>
      <c r="C1153" t="s">
        <v>6241</v>
      </c>
      <c r="D1153" s="4">
        <v>3.3622999999999998</v>
      </c>
      <c r="E1153" s="4">
        <v>8.99</v>
      </c>
      <c r="F1153" t="s">
        <v>6240</v>
      </c>
      <c r="G1153" t="s">
        <v>6228</v>
      </c>
      <c r="H1153" t="s">
        <v>3586</v>
      </c>
      <c r="I1153" t="s">
        <v>3586</v>
      </c>
      <c r="J1153" t="s">
        <v>3587</v>
      </c>
      <c r="K1153" s="4">
        <v>8.99</v>
      </c>
      <c r="L1153" s="4">
        <v>3.3622999999999998</v>
      </c>
    </row>
    <row r="1154" spans="1:12">
      <c r="A1154" s="1">
        <v>42794</v>
      </c>
      <c r="B1154">
        <v>1</v>
      </c>
      <c r="C1154" t="s">
        <v>6263</v>
      </c>
      <c r="D1154" s="4">
        <v>3.3622999999999998</v>
      </c>
      <c r="E1154" s="4">
        <v>8.99</v>
      </c>
      <c r="F1154" t="s">
        <v>6264</v>
      </c>
      <c r="G1154" t="s">
        <v>6233</v>
      </c>
      <c r="H1154" t="s">
        <v>3586</v>
      </c>
      <c r="I1154" t="s">
        <v>3586</v>
      </c>
      <c r="J1154" t="s">
        <v>3587</v>
      </c>
      <c r="K1154" s="4">
        <v>8.99</v>
      </c>
      <c r="L1154" s="4">
        <v>3.3622999999999998</v>
      </c>
    </row>
    <row r="1155" spans="1:12">
      <c r="A1155" s="1">
        <v>42794</v>
      </c>
      <c r="B1155">
        <v>1</v>
      </c>
      <c r="C1155" t="s">
        <v>6269</v>
      </c>
      <c r="D1155" s="4">
        <v>9.3462999999999994</v>
      </c>
      <c r="E1155" s="4">
        <v>24.99</v>
      </c>
      <c r="F1155" t="s">
        <v>6243</v>
      </c>
      <c r="G1155" t="s">
        <v>6228</v>
      </c>
      <c r="H1155" t="s">
        <v>3586</v>
      </c>
      <c r="I1155" t="s">
        <v>3586</v>
      </c>
      <c r="J1155" t="s">
        <v>3587</v>
      </c>
      <c r="K1155" s="4">
        <v>24.99</v>
      </c>
      <c r="L1155" s="4">
        <v>9.3462999999999994</v>
      </c>
    </row>
    <row r="1156" spans="1:12">
      <c r="A1156" s="1">
        <v>42795</v>
      </c>
      <c r="B1156">
        <v>2</v>
      </c>
      <c r="C1156" t="s">
        <v>6239</v>
      </c>
      <c r="D1156" s="4">
        <v>1.8663000000000001</v>
      </c>
      <c r="E1156" s="4">
        <v>4.99</v>
      </c>
      <c r="F1156" t="s">
        <v>6240</v>
      </c>
      <c r="G1156" t="s">
        <v>6228</v>
      </c>
      <c r="H1156" t="s">
        <v>3580</v>
      </c>
      <c r="I1156" t="s">
        <v>3578</v>
      </c>
      <c r="J1156" t="s">
        <v>3579</v>
      </c>
      <c r="K1156" s="4">
        <v>9.98</v>
      </c>
      <c r="L1156" s="4">
        <v>3.7326000000000001</v>
      </c>
    </row>
    <row r="1157" spans="1:12">
      <c r="A1157" s="1">
        <v>42795</v>
      </c>
      <c r="B1157">
        <v>1</v>
      </c>
      <c r="C1157" t="s">
        <v>6272</v>
      </c>
      <c r="D1157" s="4">
        <v>9.3462999999999994</v>
      </c>
      <c r="E1157" s="4">
        <v>24.99</v>
      </c>
      <c r="F1157" t="s">
        <v>6243</v>
      </c>
      <c r="G1157" t="s">
        <v>6228</v>
      </c>
      <c r="H1157" t="s">
        <v>3580</v>
      </c>
      <c r="I1157" t="s">
        <v>3578</v>
      </c>
      <c r="J1157" t="s">
        <v>3579</v>
      </c>
      <c r="K1157" s="4">
        <v>24.99</v>
      </c>
      <c r="L1157" s="4">
        <v>9.3462999999999994</v>
      </c>
    </row>
    <row r="1158" spans="1:12">
      <c r="A1158" s="1">
        <v>42795</v>
      </c>
      <c r="B1158">
        <v>1</v>
      </c>
      <c r="C1158" t="s">
        <v>6308</v>
      </c>
      <c r="D1158" s="4">
        <v>308.21789999999999</v>
      </c>
      <c r="E1158" s="4">
        <v>564.99</v>
      </c>
      <c r="F1158" t="s">
        <v>3478</v>
      </c>
      <c r="G1158" t="s">
        <v>3475</v>
      </c>
      <c r="H1158" t="s">
        <v>3580</v>
      </c>
      <c r="I1158" t="s">
        <v>3578</v>
      </c>
      <c r="J1158" t="s">
        <v>3579</v>
      </c>
      <c r="K1158" s="4">
        <v>564.99</v>
      </c>
      <c r="L1158" s="4">
        <v>308.21789999999999</v>
      </c>
    </row>
    <row r="1159" spans="1:12">
      <c r="A1159" s="1">
        <v>42795</v>
      </c>
      <c r="B1159">
        <v>1</v>
      </c>
      <c r="C1159" t="s">
        <v>6229</v>
      </c>
      <c r="D1159" s="4">
        <v>12.027799999999999</v>
      </c>
      <c r="E1159" s="4">
        <v>33.644199999999998</v>
      </c>
      <c r="F1159" t="s">
        <v>6227</v>
      </c>
      <c r="G1159" t="s">
        <v>6228</v>
      </c>
      <c r="H1159" t="s">
        <v>3585</v>
      </c>
      <c r="I1159" t="s">
        <v>3585</v>
      </c>
      <c r="J1159" t="s">
        <v>3584</v>
      </c>
      <c r="K1159" s="4">
        <v>33.644199999999998</v>
      </c>
      <c r="L1159" s="4">
        <v>12.027799999999999</v>
      </c>
    </row>
    <row r="1160" spans="1:12">
      <c r="A1160" s="1">
        <v>42795</v>
      </c>
      <c r="B1160">
        <v>1</v>
      </c>
      <c r="C1160" t="s">
        <v>6270</v>
      </c>
      <c r="D1160" s="4">
        <v>1.4923</v>
      </c>
      <c r="E1160" s="4">
        <v>3.99</v>
      </c>
      <c r="F1160" t="s">
        <v>6243</v>
      </c>
      <c r="G1160" t="s">
        <v>6228</v>
      </c>
      <c r="H1160" t="s">
        <v>3585</v>
      </c>
      <c r="I1160" t="s">
        <v>3585</v>
      </c>
      <c r="J1160" t="s">
        <v>3584</v>
      </c>
      <c r="K1160" s="4">
        <v>3.99</v>
      </c>
      <c r="L1160" s="4">
        <v>1.4923</v>
      </c>
    </row>
    <row r="1161" spans="1:12">
      <c r="A1161" s="1">
        <v>42795</v>
      </c>
      <c r="B1161">
        <v>1</v>
      </c>
      <c r="C1161" t="s">
        <v>6230</v>
      </c>
      <c r="D1161" s="4">
        <v>12.027799999999999</v>
      </c>
      <c r="E1161" s="4">
        <v>33.644199999999998</v>
      </c>
      <c r="F1161" t="s">
        <v>6227</v>
      </c>
      <c r="G1161" t="s">
        <v>6228</v>
      </c>
      <c r="H1161" t="s">
        <v>3586</v>
      </c>
      <c r="I1161" t="s">
        <v>3586</v>
      </c>
      <c r="J1161" t="s">
        <v>3587</v>
      </c>
      <c r="K1161" s="4">
        <v>33.644199999999998</v>
      </c>
      <c r="L1161" s="4">
        <v>12.027799999999999</v>
      </c>
    </row>
    <row r="1162" spans="1:12">
      <c r="A1162" s="1">
        <v>42795</v>
      </c>
      <c r="B1162">
        <v>1</v>
      </c>
      <c r="C1162" t="s">
        <v>6245</v>
      </c>
      <c r="D1162" s="4">
        <v>0.85650000000000004</v>
      </c>
      <c r="E1162" s="4">
        <v>2.29</v>
      </c>
      <c r="F1162" t="s">
        <v>6243</v>
      </c>
      <c r="G1162" t="s">
        <v>6228</v>
      </c>
      <c r="H1162" t="s">
        <v>3577</v>
      </c>
      <c r="I1162" t="s">
        <v>3578</v>
      </c>
      <c r="J1162" t="s">
        <v>3579</v>
      </c>
      <c r="K1162" s="4">
        <v>2.29</v>
      </c>
      <c r="L1162" s="4">
        <v>0.85650000000000004</v>
      </c>
    </row>
    <row r="1163" spans="1:12">
      <c r="A1163" s="1">
        <v>42795</v>
      </c>
      <c r="B1163">
        <v>1</v>
      </c>
      <c r="C1163" t="s">
        <v>6276</v>
      </c>
      <c r="D1163" s="4">
        <v>1.8663000000000001</v>
      </c>
      <c r="E1163" s="4">
        <v>4.99</v>
      </c>
      <c r="F1163" t="s">
        <v>6243</v>
      </c>
      <c r="G1163" t="s">
        <v>6228</v>
      </c>
      <c r="H1163" t="s">
        <v>3582</v>
      </c>
      <c r="I1163" t="s">
        <v>3582</v>
      </c>
      <c r="J1163" t="s">
        <v>3579</v>
      </c>
      <c r="K1163" s="4">
        <v>4.99</v>
      </c>
      <c r="L1163" s="4">
        <v>1.8663000000000001</v>
      </c>
    </row>
    <row r="1164" spans="1:12">
      <c r="A1164" s="1">
        <v>42795</v>
      </c>
      <c r="B1164">
        <v>1</v>
      </c>
      <c r="C1164" t="s">
        <v>6290</v>
      </c>
      <c r="D1164" s="4">
        <v>1082.51</v>
      </c>
      <c r="E1164" s="4">
        <v>1700.99</v>
      </c>
      <c r="F1164" t="s">
        <v>3479</v>
      </c>
      <c r="G1164" t="s">
        <v>3475</v>
      </c>
      <c r="H1164" t="s">
        <v>3585</v>
      </c>
      <c r="I1164" t="s">
        <v>3585</v>
      </c>
      <c r="J1164" t="s">
        <v>3584</v>
      </c>
      <c r="K1164" s="4">
        <v>1700.99</v>
      </c>
      <c r="L1164" s="4">
        <v>1082.51</v>
      </c>
    </row>
    <row r="1165" spans="1:12">
      <c r="A1165" s="1">
        <v>42795</v>
      </c>
      <c r="B1165">
        <v>1</v>
      </c>
      <c r="C1165" t="s">
        <v>6248</v>
      </c>
      <c r="D1165" s="4">
        <v>8.2204999999999995</v>
      </c>
      <c r="E1165" s="4">
        <v>21.98</v>
      </c>
      <c r="F1165" t="s">
        <v>6249</v>
      </c>
      <c r="G1165" t="s">
        <v>6228</v>
      </c>
      <c r="H1165" t="s">
        <v>3588</v>
      </c>
      <c r="I1165" t="s">
        <v>3588</v>
      </c>
      <c r="J1165" t="s">
        <v>3584</v>
      </c>
      <c r="K1165" s="4">
        <v>21.98</v>
      </c>
      <c r="L1165" s="4">
        <v>8.2204999999999995</v>
      </c>
    </row>
    <row r="1166" spans="1:12">
      <c r="A1166" s="1">
        <v>42796</v>
      </c>
      <c r="B1166">
        <v>1</v>
      </c>
      <c r="C1166" t="s">
        <v>6248</v>
      </c>
      <c r="D1166" s="4">
        <v>8.2204999999999995</v>
      </c>
      <c r="E1166" s="4">
        <v>21.98</v>
      </c>
      <c r="F1166" t="s">
        <v>6249</v>
      </c>
      <c r="G1166" t="s">
        <v>6228</v>
      </c>
      <c r="H1166" t="s">
        <v>3577</v>
      </c>
      <c r="I1166" t="s">
        <v>3578</v>
      </c>
      <c r="J1166" t="s">
        <v>3579</v>
      </c>
      <c r="K1166" s="4">
        <v>21.98</v>
      </c>
      <c r="L1166" s="4">
        <v>8.2204999999999995</v>
      </c>
    </row>
    <row r="1167" spans="1:12">
      <c r="A1167" s="1">
        <v>42796</v>
      </c>
      <c r="B1167">
        <v>1</v>
      </c>
      <c r="C1167" t="s">
        <v>6242</v>
      </c>
      <c r="D1167" s="4">
        <v>1.8663000000000001</v>
      </c>
      <c r="E1167" s="4">
        <v>4.99</v>
      </c>
      <c r="F1167" t="s">
        <v>6243</v>
      </c>
      <c r="G1167" t="s">
        <v>6228</v>
      </c>
      <c r="H1167" t="s">
        <v>3580</v>
      </c>
      <c r="I1167" t="s">
        <v>3578</v>
      </c>
      <c r="J1167" t="s">
        <v>3579</v>
      </c>
      <c r="K1167" s="4">
        <v>4.99</v>
      </c>
      <c r="L1167" s="4">
        <v>1.8663000000000001</v>
      </c>
    </row>
    <row r="1168" spans="1:12">
      <c r="A1168" s="1">
        <v>42796</v>
      </c>
      <c r="B1168">
        <v>1</v>
      </c>
      <c r="C1168" t="s">
        <v>6276</v>
      </c>
      <c r="D1168" s="4">
        <v>1.8663000000000001</v>
      </c>
      <c r="E1168" s="4">
        <v>4.99</v>
      </c>
      <c r="F1168" t="s">
        <v>6243</v>
      </c>
      <c r="G1168" t="s">
        <v>6228</v>
      </c>
      <c r="H1168" t="s">
        <v>3582</v>
      </c>
      <c r="I1168" t="s">
        <v>3582</v>
      </c>
      <c r="J1168" t="s">
        <v>3579</v>
      </c>
      <c r="K1168" s="4">
        <v>4.99</v>
      </c>
      <c r="L1168" s="4">
        <v>1.8663000000000001</v>
      </c>
    </row>
    <row r="1169" spans="1:12">
      <c r="A1169" s="1">
        <v>42796</v>
      </c>
      <c r="B1169">
        <v>1</v>
      </c>
      <c r="C1169" t="s">
        <v>6285</v>
      </c>
      <c r="D1169" s="4">
        <v>26.176300000000001</v>
      </c>
      <c r="E1169" s="4">
        <v>69.989999999999995</v>
      </c>
      <c r="F1169" t="s">
        <v>6262</v>
      </c>
      <c r="G1169" t="s">
        <v>6233</v>
      </c>
      <c r="H1169" t="s">
        <v>3586</v>
      </c>
      <c r="I1169" t="s">
        <v>3586</v>
      </c>
      <c r="J1169" t="s">
        <v>3587</v>
      </c>
      <c r="K1169" s="4">
        <v>69.989999999999995</v>
      </c>
      <c r="L1169" s="4">
        <v>26.176300000000001</v>
      </c>
    </row>
    <row r="1170" spans="1:12">
      <c r="A1170" s="1">
        <v>42797</v>
      </c>
      <c r="B1170">
        <v>1</v>
      </c>
      <c r="C1170" t="s">
        <v>6229</v>
      </c>
      <c r="D1170" s="4">
        <v>12.027799999999999</v>
      </c>
      <c r="E1170" s="4">
        <v>33.644199999999998</v>
      </c>
      <c r="F1170" t="s">
        <v>6227</v>
      </c>
      <c r="G1170" t="s">
        <v>6228</v>
      </c>
      <c r="H1170" t="s">
        <v>3577</v>
      </c>
      <c r="I1170" t="s">
        <v>3578</v>
      </c>
      <c r="J1170" t="s">
        <v>3579</v>
      </c>
      <c r="K1170" s="4">
        <v>33.644199999999998</v>
      </c>
      <c r="L1170" s="4">
        <v>12.027799999999999</v>
      </c>
    </row>
    <row r="1171" spans="1:12">
      <c r="A1171" s="1">
        <v>42797</v>
      </c>
      <c r="B1171">
        <v>1</v>
      </c>
      <c r="C1171" t="s">
        <v>6254</v>
      </c>
      <c r="D1171" s="4">
        <v>12.192399999999999</v>
      </c>
      <c r="E1171" s="4">
        <v>32.6</v>
      </c>
      <c r="F1171" t="s">
        <v>6243</v>
      </c>
      <c r="G1171" t="s">
        <v>6228</v>
      </c>
      <c r="H1171" t="s">
        <v>3577</v>
      </c>
      <c r="I1171" t="s">
        <v>3578</v>
      </c>
      <c r="J1171" t="s">
        <v>3579</v>
      </c>
      <c r="K1171" s="4">
        <v>32.6</v>
      </c>
      <c r="L1171" s="4">
        <v>12.192399999999999</v>
      </c>
    </row>
    <row r="1172" spans="1:12">
      <c r="A1172" s="1">
        <v>42797</v>
      </c>
      <c r="B1172">
        <v>1</v>
      </c>
      <c r="C1172" t="s">
        <v>6242</v>
      </c>
      <c r="D1172" s="4">
        <v>1.8663000000000001</v>
      </c>
      <c r="E1172" s="4">
        <v>4.99</v>
      </c>
      <c r="F1172" t="s">
        <v>6243</v>
      </c>
      <c r="G1172" t="s">
        <v>6228</v>
      </c>
      <c r="H1172" t="s">
        <v>3580</v>
      </c>
      <c r="I1172" t="s">
        <v>3578</v>
      </c>
      <c r="J1172" t="s">
        <v>3579</v>
      </c>
      <c r="K1172" s="4">
        <v>4.99</v>
      </c>
      <c r="L1172" s="4">
        <v>1.8663000000000001</v>
      </c>
    </row>
    <row r="1173" spans="1:12">
      <c r="A1173" s="1">
        <v>42797</v>
      </c>
      <c r="B1173">
        <v>1</v>
      </c>
      <c r="C1173" t="s">
        <v>6250</v>
      </c>
      <c r="D1173" s="4">
        <v>9.7135999999999996</v>
      </c>
      <c r="E1173" s="4">
        <v>23.548100000000002</v>
      </c>
      <c r="F1173" t="s">
        <v>6251</v>
      </c>
      <c r="G1173" t="s">
        <v>6233</v>
      </c>
      <c r="H1173" t="s">
        <v>3582</v>
      </c>
      <c r="I1173" t="s">
        <v>3582</v>
      </c>
      <c r="J1173" t="s">
        <v>3579</v>
      </c>
      <c r="K1173" s="4">
        <v>23.548100000000002</v>
      </c>
      <c r="L1173" s="4">
        <v>9.7135999999999996</v>
      </c>
    </row>
    <row r="1174" spans="1:12">
      <c r="A1174" s="1">
        <v>42797</v>
      </c>
      <c r="B1174">
        <v>1</v>
      </c>
      <c r="C1174" t="s">
        <v>3558</v>
      </c>
      <c r="D1174" s="4">
        <v>1320.6838</v>
      </c>
      <c r="E1174" s="4">
        <v>2181.5625</v>
      </c>
      <c r="F1174" t="s">
        <v>3479</v>
      </c>
      <c r="G1174" t="s">
        <v>3475</v>
      </c>
      <c r="H1174" t="s">
        <v>3583</v>
      </c>
      <c r="I1174" t="s">
        <v>3583</v>
      </c>
      <c r="J1174" t="s">
        <v>3584</v>
      </c>
      <c r="K1174" s="4">
        <v>2181.5625</v>
      </c>
      <c r="L1174" s="4">
        <v>1320.6838</v>
      </c>
    </row>
    <row r="1175" spans="1:12">
      <c r="A1175" s="1">
        <v>42797</v>
      </c>
      <c r="B1175">
        <v>1</v>
      </c>
      <c r="C1175" t="s">
        <v>6231</v>
      </c>
      <c r="D1175" s="4">
        <v>5.7051999999999996</v>
      </c>
      <c r="E1175" s="4">
        <v>8.6441999999999997</v>
      </c>
      <c r="F1175" t="s">
        <v>6232</v>
      </c>
      <c r="G1175" t="s">
        <v>6233</v>
      </c>
      <c r="H1175" t="s">
        <v>3588</v>
      </c>
      <c r="I1175" t="s">
        <v>3588</v>
      </c>
      <c r="J1175" t="s">
        <v>3584</v>
      </c>
      <c r="K1175" s="4">
        <v>8.6441999999999997</v>
      </c>
      <c r="L1175" s="4">
        <v>5.7051999999999996</v>
      </c>
    </row>
    <row r="1176" spans="1:12">
      <c r="A1176" s="1">
        <v>42798</v>
      </c>
      <c r="B1176">
        <v>1</v>
      </c>
      <c r="C1176" t="s">
        <v>6241</v>
      </c>
      <c r="D1176" s="4">
        <v>3.3622999999999998</v>
      </c>
      <c r="E1176" s="4">
        <v>8.99</v>
      </c>
      <c r="F1176" t="s">
        <v>6240</v>
      </c>
      <c r="G1176" t="s">
        <v>6228</v>
      </c>
      <c r="H1176" t="s">
        <v>3580</v>
      </c>
      <c r="I1176" t="s">
        <v>3578</v>
      </c>
      <c r="J1176" t="s">
        <v>3579</v>
      </c>
      <c r="K1176" s="4">
        <v>8.99</v>
      </c>
      <c r="L1176" s="4">
        <v>3.3622999999999998</v>
      </c>
    </row>
    <row r="1177" spans="1:12">
      <c r="A1177" s="1">
        <v>42798</v>
      </c>
      <c r="B1177">
        <v>1</v>
      </c>
      <c r="C1177" t="s">
        <v>6237</v>
      </c>
      <c r="D1177" s="4">
        <v>31.724399999999999</v>
      </c>
      <c r="E1177" s="4">
        <v>48.067300000000003</v>
      </c>
      <c r="F1177" t="s">
        <v>6235</v>
      </c>
      <c r="G1177" t="s">
        <v>6233</v>
      </c>
      <c r="H1177" t="s">
        <v>3582</v>
      </c>
      <c r="I1177" t="s">
        <v>3582</v>
      </c>
      <c r="J1177" t="s">
        <v>3579</v>
      </c>
      <c r="K1177" s="4">
        <v>48.067300000000003</v>
      </c>
      <c r="L1177" s="4">
        <v>31.724399999999999</v>
      </c>
    </row>
    <row r="1178" spans="1:12">
      <c r="A1178" s="1">
        <v>42798</v>
      </c>
      <c r="B1178">
        <v>1</v>
      </c>
      <c r="C1178" t="s">
        <v>6242</v>
      </c>
      <c r="D1178" s="4">
        <v>1.8663000000000001</v>
      </c>
      <c r="E1178" s="4">
        <v>4.99</v>
      </c>
      <c r="F1178" t="s">
        <v>6243</v>
      </c>
      <c r="G1178" t="s">
        <v>6228</v>
      </c>
      <c r="H1178" t="s">
        <v>3582</v>
      </c>
      <c r="I1178" t="s">
        <v>3582</v>
      </c>
      <c r="J1178" t="s">
        <v>3579</v>
      </c>
      <c r="K1178" s="4">
        <v>4.99</v>
      </c>
      <c r="L1178" s="4">
        <v>1.8663000000000001</v>
      </c>
    </row>
    <row r="1179" spans="1:12">
      <c r="A1179" s="1">
        <v>42798</v>
      </c>
      <c r="B1179">
        <v>1</v>
      </c>
      <c r="C1179" t="s">
        <v>6242</v>
      </c>
      <c r="D1179" s="4">
        <v>1.8663000000000001</v>
      </c>
      <c r="E1179" s="4">
        <v>4.99</v>
      </c>
      <c r="F1179" t="s">
        <v>6243</v>
      </c>
      <c r="G1179" t="s">
        <v>6228</v>
      </c>
      <c r="H1179" t="s">
        <v>3586</v>
      </c>
      <c r="I1179" t="s">
        <v>3586</v>
      </c>
      <c r="J1179" t="s">
        <v>3587</v>
      </c>
      <c r="K1179" s="4">
        <v>4.99</v>
      </c>
      <c r="L1179" s="4">
        <v>1.8663000000000001</v>
      </c>
    </row>
    <row r="1180" spans="1:12">
      <c r="A1180" s="1">
        <v>42798</v>
      </c>
      <c r="B1180">
        <v>1</v>
      </c>
      <c r="C1180" t="s">
        <v>6246</v>
      </c>
      <c r="D1180" s="4">
        <v>20.566299999999998</v>
      </c>
      <c r="E1180" s="4">
        <v>54.99</v>
      </c>
      <c r="F1180" t="s">
        <v>6247</v>
      </c>
      <c r="G1180" t="s">
        <v>6228</v>
      </c>
      <c r="H1180" t="s">
        <v>3588</v>
      </c>
      <c r="I1180" t="s">
        <v>3588</v>
      </c>
      <c r="J1180" t="s">
        <v>3584</v>
      </c>
      <c r="K1180" s="4">
        <v>54.99</v>
      </c>
      <c r="L1180" s="4">
        <v>20.566299999999998</v>
      </c>
    </row>
    <row r="1181" spans="1:12">
      <c r="A1181" s="1">
        <v>42799</v>
      </c>
      <c r="B1181">
        <v>1</v>
      </c>
      <c r="C1181" t="s">
        <v>3538</v>
      </c>
      <c r="D1181" s="4">
        <v>1117.8559</v>
      </c>
      <c r="E1181" s="4">
        <v>2071.4196000000002</v>
      </c>
      <c r="F1181" t="s">
        <v>3478</v>
      </c>
      <c r="G1181" t="s">
        <v>3475</v>
      </c>
      <c r="H1181" t="s">
        <v>3580</v>
      </c>
      <c r="I1181" t="s">
        <v>3578</v>
      </c>
      <c r="J1181" t="s">
        <v>3579</v>
      </c>
      <c r="K1181" s="4">
        <v>2071.4196000000002</v>
      </c>
      <c r="L1181" s="4">
        <v>1117.8559</v>
      </c>
    </row>
    <row r="1182" spans="1:12">
      <c r="A1182" s="1">
        <v>42799</v>
      </c>
      <c r="B1182">
        <v>1</v>
      </c>
      <c r="C1182" t="s">
        <v>6239</v>
      </c>
      <c r="D1182" s="4">
        <v>1.8663000000000001</v>
      </c>
      <c r="E1182" s="4">
        <v>4.99</v>
      </c>
      <c r="F1182" t="s">
        <v>6240</v>
      </c>
      <c r="G1182" t="s">
        <v>6228</v>
      </c>
      <c r="H1182" t="s">
        <v>3580</v>
      </c>
      <c r="I1182" t="s">
        <v>3578</v>
      </c>
      <c r="J1182" t="s">
        <v>3579</v>
      </c>
      <c r="K1182" s="4">
        <v>4.99</v>
      </c>
      <c r="L1182" s="4">
        <v>1.8663000000000001</v>
      </c>
    </row>
    <row r="1183" spans="1:12">
      <c r="A1183" s="1">
        <v>42799</v>
      </c>
      <c r="B1183">
        <v>1</v>
      </c>
      <c r="C1183" t="s">
        <v>6294</v>
      </c>
      <c r="D1183" s="4">
        <v>1082.51</v>
      </c>
      <c r="E1183" s="4">
        <v>1700.99</v>
      </c>
      <c r="F1183" t="s">
        <v>3479</v>
      </c>
      <c r="G1183" t="s">
        <v>3475</v>
      </c>
      <c r="H1183" t="s">
        <v>3582</v>
      </c>
      <c r="I1183" t="s">
        <v>3582</v>
      </c>
      <c r="J1183" t="s">
        <v>3579</v>
      </c>
      <c r="K1183" s="4">
        <v>1700.99</v>
      </c>
      <c r="L1183" s="4">
        <v>1082.51</v>
      </c>
    </row>
    <row r="1184" spans="1:12">
      <c r="A1184" s="1">
        <v>42799</v>
      </c>
      <c r="B1184">
        <v>1</v>
      </c>
      <c r="C1184" t="s">
        <v>6231</v>
      </c>
      <c r="D1184" s="4">
        <v>5.7051999999999996</v>
      </c>
      <c r="E1184" s="4">
        <v>8.6441999999999997</v>
      </c>
      <c r="F1184" t="s">
        <v>6232</v>
      </c>
      <c r="G1184" t="s">
        <v>6233</v>
      </c>
      <c r="H1184" t="s">
        <v>3586</v>
      </c>
      <c r="I1184" t="s">
        <v>3586</v>
      </c>
      <c r="J1184" t="s">
        <v>3587</v>
      </c>
      <c r="K1184" s="4">
        <v>8.6441999999999997</v>
      </c>
      <c r="L1184" s="4">
        <v>5.7051999999999996</v>
      </c>
    </row>
    <row r="1185" spans="1:12">
      <c r="A1185" s="1">
        <v>42800</v>
      </c>
      <c r="B1185">
        <v>1</v>
      </c>
      <c r="C1185" t="s">
        <v>6230</v>
      </c>
      <c r="D1185" s="4">
        <v>12.027799999999999</v>
      </c>
      <c r="E1185" s="4">
        <v>33.644199999999998</v>
      </c>
      <c r="F1185" t="s">
        <v>6227</v>
      </c>
      <c r="G1185" t="s">
        <v>6228</v>
      </c>
      <c r="H1185" t="s">
        <v>3582</v>
      </c>
      <c r="I1185" t="s">
        <v>3582</v>
      </c>
      <c r="J1185" t="s">
        <v>3579</v>
      </c>
      <c r="K1185" s="4">
        <v>33.644199999999998</v>
      </c>
      <c r="L1185" s="4">
        <v>12.027799999999999</v>
      </c>
    </row>
    <row r="1186" spans="1:12">
      <c r="A1186" s="1">
        <v>42800</v>
      </c>
      <c r="B1186">
        <v>1</v>
      </c>
      <c r="C1186" t="s">
        <v>6271</v>
      </c>
      <c r="D1186" s="4">
        <v>11.2163</v>
      </c>
      <c r="E1186" s="4">
        <v>29.99</v>
      </c>
      <c r="F1186" t="s">
        <v>6243</v>
      </c>
      <c r="G1186" t="s">
        <v>6228</v>
      </c>
      <c r="H1186" t="s">
        <v>3583</v>
      </c>
      <c r="I1186" t="s">
        <v>3583</v>
      </c>
      <c r="J1186" t="s">
        <v>3584</v>
      </c>
      <c r="K1186" s="4">
        <v>29.99</v>
      </c>
      <c r="L1186" s="4">
        <v>11.2163</v>
      </c>
    </row>
    <row r="1187" spans="1:12">
      <c r="A1187" s="1">
        <v>42801</v>
      </c>
      <c r="B1187">
        <v>1</v>
      </c>
      <c r="C1187" t="s">
        <v>6231</v>
      </c>
      <c r="D1187" s="4">
        <v>5.7051999999999996</v>
      </c>
      <c r="E1187" s="4">
        <v>8.6441999999999997</v>
      </c>
      <c r="F1187" t="s">
        <v>6232</v>
      </c>
      <c r="G1187" t="s">
        <v>6233</v>
      </c>
      <c r="H1187" t="s">
        <v>3577</v>
      </c>
      <c r="I1187" t="s">
        <v>3578</v>
      </c>
      <c r="J1187" t="s">
        <v>3579</v>
      </c>
      <c r="K1187" s="4">
        <v>8.6441999999999997</v>
      </c>
      <c r="L1187" s="4">
        <v>5.7051999999999996</v>
      </c>
    </row>
    <row r="1188" spans="1:12">
      <c r="A1188" s="1">
        <v>42801</v>
      </c>
      <c r="B1188">
        <v>1</v>
      </c>
      <c r="C1188" t="s">
        <v>6288</v>
      </c>
      <c r="D1188" s="4">
        <v>41.572299999999998</v>
      </c>
      <c r="E1188" s="4">
        <v>53.99</v>
      </c>
      <c r="F1188" t="s">
        <v>6235</v>
      </c>
      <c r="G1188" t="s">
        <v>6233</v>
      </c>
      <c r="H1188" t="s">
        <v>3580</v>
      </c>
      <c r="I1188" t="s">
        <v>3578</v>
      </c>
      <c r="J1188" t="s">
        <v>3579</v>
      </c>
      <c r="K1188" s="4">
        <v>53.99</v>
      </c>
      <c r="L1188" s="4">
        <v>41.572299999999998</v>
      </c>
    </row>
    <row r="1189" spans="1:12">
      <c r="A1189" s="1">
        <v>42801</v>
      </c>
      <c r="B1189">
        <v>1</v>
      </c>
      <c r="C1189" t="s">
        <v>6272</v>
      </c>
      <c r="D1189" s="4">
        <v>9.3462999999999994</v>
      </c>
      <c r="E1189" s="4">
        <v>24.99</v>
      </c>
      <c r="F1189" t="s">
        <v>6243</v>
      </c>
      <c r="G1189" t="s">
        <v>6228</v>
      </c>
      <c r="H1189" t="s">
        <v>3580</v>
      </c>
      <c r="I1189" t="s">
        <v>3578</v>
      </c>
      <c r="J1189" t="s">
        <v>3579</v>
      </c>
      <c r="K1189" s="4">
        <v>24.99</v>
      </c>
      <c r="L1189" s="4">
        <v>9.3462999999999994</v>
      </c>
    </row>
    <row r="1190" spans="1:12">
      <c r="A1190" s="1">
        <v>42801</v>
      </c>
      <c r="B1190">
        <v>1</v>
      </c>
      <c r="C1190" t="s">
        <v>6279</v>
      </c>
      <c r="D1190" s="4">
        <v>1481.9378999999999</v>
      </c>
      <c r="E1190" s="4">
        <v>2384.0700000000002</v>
      </c>
      <c r="F1190" t="s">
        <v>6274</v>
      </c>
      <c r="G1190" t="s">
        <v>3475</v>
      </c>
      <c r="H1190" t="s">
        <v>3580</v>
      </c>
      <c r="I1190" t="s">
        <v>3578</v>
      </c>
      <c r="J1190" t="s">
        <v>3579</v>
      </c>
      <c r="K1190" s="4">
        <v>2384.0700000000002</v>
      </c>
      <c r="L1190" s="4">
        <v>1481.9378999999999</v>
      </c>
    </row>
    <row r="1191" spans="1:12">
      <c r="A1191" s="1">
        <v>42801</v>
      </c>
      <c r="B1191">
        <v>1</v>
      </c>
      <c r="C1191" t="s">
        <v>6261</v>
      </c>
      <c r="D1191" s="4">
        <v>26.176300000000001</v>
      </c>
      <c r="E1191" s="4">
        <v>69.989999999999995</v>
      </c>
      <c r="F1191" t="s">
        <v>6262</v>
      </c>
      <c r="G1191" t="s">
        <v>6233</v>
      </c>
      <c r="H1191" t="s">
        <v>3582</v>
      </c>
      <c r="I1191" t="s">
        <v>3582</v>
      </c>
      <c r="J1191" t="s">
        <v>3579</v>
      </c>
      <c r="K1191" s="4">
        <v>69.989999999999995</v>
      </c>
      <c r="L1191" s="4">
        <v>26.176300000000001</v>
      </c>
    </row>
    <row r="1192" spans="1:12">
      <c r="A1192" s="1">
        <v>42801</v>
      </c>
      <c r="B1192">
        <v>1</v>
      </c>
      <c r="C1192" t="s">
        <v>6226</v>
      </c>
      <c r="D1192" s="4">
        <v>13.0863</v>
      </c>
      <c r="E1192" s="4">
        <v>34.99</v>
      </c>
      <c r="F1192" t="s">
        <v>6227</v>
      </c>
      <c r="G1192" t="s">
        <v>6228</v>
      </c>
      <c r="H1192" t="s">
        <v>3586</v>
      </c>
      <c r="I1192" t="s">
        <v>3586</v>
      </c>
      <c r="J1192" t="s">
        <v>3587</v>
      </c>
      <c r="K1192" s="4">
        <v>34.99</v>
      </c>
      <c r="L1192" s="4">
        <v>13.0863</v>
      </c>
    </row>
    <row r="1193" spans="1:12">
      <c r="A1193" s="1">
        <v>42802</v>
      </c>
      <c r="B1193">
        <v>1</v>
      </c>
      <c r="C1193" t="s">
        <v>6311</v>
      </c>
      <c r="D1193" s="4">
        <v>41.572299999999998</v>
      </c>
      <c r="E1193" s="4">
        <v>53.99</v>
      </c>
      <c r="F1193" t="s">
        <v>6235</v>
      </c>
      <c r="G1193" t="s">
        <v>6233</v>
      </c>
      <c r="H1193" t="s">
        <v>3577</v>
      </c>
      <c r="I1193" t="s">
        <v>3578</v>
      </c>
      <c r="J1193" t="s">
        <v>3579</v>
      </c>
      <c r="K1193" s="4">
        <v>53.99</v>
      </c>
      <c r="L1193" s="4">
        <v>41.572299999999998</v>
      </c>
    </row>
    <row r="1194" spans="1:12">
      <c r="A1194" s="1">
        <v>42802</v>
      </c>
      <c r="B1194">
        <v>1</v>
      </c>
      <c r="C1194" t="s">
        <v>6277</v>
      </c>
      <c r="D1194" s="4">
        <v>8.0373000000000001</v>
      </c>
      <c r="E1194" s="4">
        <v>21.49</v>
      </c>
      <c r="F1194" t="s">
        <v>6243</v>
      </c>
      <c r="G1194" t="s">
        <v>6228</v>
      </c>
      <c r="H1194" t="s">
        <v>3580</v>
      </c>
      <c r="I1194" t="s">
        <v>3578</v>
      </c>
      <c r="J1194" t="s">
        <v>3579</v>
      </c>
      <c r="K1194" s="4">
        <v>21.49</v>
      </c>
      <c r="L1194" s="4">
        <v>8.0373000000000001</v>
      </c>
    </row>
    <row r="1195" spans="1:12">
      <c r="A1195" s="1">
        <v>42802</v>
      </c>
      <c r="B1195">
        <v>1</v>
      </c>
      <c r="C1195" t="s">
        <v>6229</v>
      </c>
      <c r="D1195" s="4">
        <v>12.027799999999999</v>
      </c>
      <c r="E1195" s="4">
        <v>33.644199999999998</v>
      </c>
      <c r="F1195" t="s">
        <v>6227</v>
      </c>
      <c r="G1195" t="s">
        <v>6228</v>
      </c>
      <c r="H1195" t="s">
        <v>3585</v>
      </c>
      <c r="I1195" t="s">
        <v>3585</v>
      </c>
      <c r="J1195" t="s">
        <v>3584</v>
      </c>
      <c r="K1195" s="4">
        <v>33.644199999999998</v>
      </c>
      <c r="L1195" s="4">
        <v>12.027799999999999</v>
      </c>
    </row>
    <row r="1196" spans="1:12">
      <c r="A1196" s="1">
        <v>42802</v>
      </c>
      <c r="B1196">
        <v>1</v>
      </c>
      <c r="C1196" t="s">
        <v>3538</v>
      </c>
      <c r="D1196" s="4">
        <v>1117.8559</v>
      </c>
      <c r="E1196" s="4">
        <v>2071.4196000000002</v>
      </c>
      <c r="F1196" t="s">
        <v>3478</v>
      </c>
      <c r="G1196" t="s">
        <v>3475</v>
      </c>
      <c r="H1196" t="s">
        <v>3586</v>
      </c>
      <c r="I1196" t="s">
        <v>3586</v>
      </c>
      <c r="J1196" t="s">
        <v>3587</v>
      </c>
      <c r="K1196" s="4">
        <v>2071.4196000000002</v>
      </c>
      <c r="L1196" s="4">
        <v>1117.8559</v>
      </c>
    </row>
    <row r="1197" spans="1:12">
      <c r="A1197" s="1">
        <v>42802</v>
      </c>
      <c r="B1197">
        <v>1</v>
      </c>
      <c r="C1197" t="s">
        <v>6252</v>
      </c>
      <c r="D1197" s="4">
        <v>343.64960000000002</v>
      </c>
      <c r="E1197" s="4">
        <v>539.99</v>
      </c>
      <c r="F1197" t="s">
        <v>3479</v>
      </c>
      <c r="G1197" t="s">
        <v>3475</v>
      </c>
      <c r="H1197" t="s">
        <v>3586</v>
      </c>
      <c r="I1197" t="s">
        <v>3586</v>
      </c>
      <c r="J1197" t="s">
        <v>3587</v>
      </c>
      <c r="K1197" s="4">
        <v>539.99</v>
      </c>
      <c r="L1197" s="4">
        <v>343.64960000000002</v>
      </c>
    </row>
    <row r="1198" spans="1:12">
      <c r="A1198" s="1">
        <v>42802</v>
      </c>
      <c r="B1198">
        <v>1</v>
      </c>
      <c r="C1198" t="s">
        <v>6297</v>
      </c>
      <c r="D1198" s="4">
        <v>343.64960000000002</v>
      </c>
      <c r="E1198" s="4">
        <v>539.99</v>
      </c>
      <c r="F1198" t="s">
        <v>3479</v>
      </c>
      <c r="G1198" t="s">
        <v>3475</v>
      </c>
      <c r="H1198" t="s">
        <v>3588</v>
      </c>
      <c r="I1198" t="s">
        <v>3588</v>
      </c>
      <c r="J1198" t="s">
        <v>3584</v>
      </c>
      <c r="K1198" s="4">
        <v>539.99</v>
      </c>
      <c r="L1198" s="4">
        <v>343.64960000000002</v>
      </c>
    </row>
    <row r="1199" spans="1:12">
      <c r="A1199" s="1">
        <v>42803</v>
      </c>
      <c r="B1199">
        <v>1</v>
      </c>
      <c r="C1199" t="s">
        <v>3536</v>
      </c>
      <c r="D1199" s="4">
        <v>1117.8559</v>
      </c>
      <c r="E1199" s="4">
        <v>2071.4196000000002</v>
      </c>
      <c r="F1199" t="s">
        <v>3478</v>
      </c>
      <c r="G1199" t="s">
        <v>3475</v>
      </c>
      <c r="H1199" t="s">
        <v>3577</v>
      </c>
      <c r="I1199" t="s">
        <v>3578</v>
      </c>
      <c r="J1199" t="s">
        <v>3579</v>
      </c>
      <c r="K1199" s="4">
        <v>2071.4196000000002</v>
      </c>
      <c r="L1199" s="4">
        <v>1117.8559</v>
      </c>
    </row>
    <row r="1200" spans="1:12">
      <c r="A1200" s="1">
        <v>42803</v>
      </c>
      <c r="B1200">
        <v>1</v>
      </c>
      <c r="C1200" t="s">
        <v>6302</v>
      </c>
      <c r="D1200" s="4">
        <v>23.748999999999999</v>
      </c>
      <c r="E1200" s="4">
        <v>63.5</v>
      </c>
      <c r="F1200" t="s">
        <v>6293</v>
      </c>
      <c r="G1200" t="s">
        <v>6233</v>
      </c>
      <c r="H1200" t="s">
        <v>3582</v>
      </c>
      <c r="I1200" t="s">
        <v>3582</v>
      </c>
      <c r="J1200" t="s">
        <v>3579</v>
      </c>
      <c r="K1200" s="4">
        <v>63.5</v>
      </c>
      <c r="L1200" s="4">
        <v>23.748999999999999</v>
      </c>
    </row>
    <row r="1201" spans="1:12">
      <c r="A1201" s="1">
        <v>42803</v>
      </c>
      <c r="B1201">
        <v>1</v>
      </c>
      <c r="C1201" t="s">
        <v>6226</v>
      </c>
      <c r="D1201" s="4">
        <v>13.0863</v>
      </c>
      <c r="E1201" s="4">
        <v>34.99</v>
      </c>
      <c r="F1201" t="s">
        <v>6227</v>
      </c>
      <c r="G1201" t="s">
        <v>6228</v>
      </c>
      <c r="H1201" t="s">
        <v>3583</v>
      </c>
      <c r="I1201" t="s">
        <v>3583</v>
      </c>
      <c r="J1201" t="s">
        <v>3584</v>
      </c>
      <c r="K1201" s="4">
        <v>34.99</v>
      </c>
      <c r="L1201" s="4">
        <v>13.0863</v>
      </c>
    </row>
    <row r="1202" spans="1:12">
      <c r="A1202" s="1">
        <v>42803</v>
      </c>
      <c r="B1202">
        <v>1</v>
      </c>
      <c r="C1202" t="s">
        <v>6242</v>
      </c>
      <c r="D1202" s="4">
        <v>1.8663000000000001</v>
      </c>
      <c r="E1202" s="4">
        <v>4.99</v>
      </c>
      <c r="F1202" t="s">
        <v>6243</v>
      </c>
      <c r="G1202" t="s">
        <v>6228</v>
      </c>
      <c r="H1202" t="s">
        <v>3583</v>
      </c>
      <c r="I1202" t="s">
        <v>3583</v>
      </c>
      <c r="J1202" t="s">
        <v>3584</v>
      </c>
      <c r="K1202" s="4">
        <v>4.99</v>
      </c>
      <c r="L1202" s="4">
        <v>1.8663000000000001</v>
      </c>
    </row>
    <row r="1203" spans="1:12">
      <c r="A1203" s="1">
        <v>42803</v>
      </c>
      <c r="B1203">
        <v>1</v>
      </c>
      <c r="C1203" t="s">
        <v>6260</v>
      </c>
      <c r="D1203" s="4">
        <v>13.09</v>
      </c>
      <c r="E1203" s="4">
        <v>35</v>
      </c>
      <c r="F1203" t="s">
        <v>6243</v>
      </c>
      <c r="G1203" t="s">
        <v>6228</v>
      </c>
      <c r="H1203" t="s">
        <v>3583</v>
      </c>
      <c r="I1203" t="s">
        <v>3583</v>
      </c>
      <c r="J1203" t="s">
        <v>3584</v>
      </c>
      <c r="K1203" s="4">
        <v>35</v>
      </c>
      <c r="L1203" s="4">
        <v>13.09</v>
      </c>
    </row>
    <row r="1204" spans="1:12">
      <c r="A1204" s="1">
        <v>42803</v>
      </c>
      <c r="B1204">
        <v>1</v>
      </c>
      <c r="C1204" t="s">
        <v>6271</v>
      </c>
      <c r="D1204" s="4">
        <v>11.2163</v>
      </c>
      <c r="E1204" s="4">
        <v>29.99</v>
      </c>
      <c r="F1204" t="s">
        <v>6243</v>
      </c>
      <c r="G1204" t="s">
        <v>6228</v>
      </c>
      <c r="H1204" t="s">
        <v>3586</v>
      </c>
      <c r="I1204" t="s">
        <v>3586</v>
      </c>
      <c r="J1204" t="s">
        <v>3587</v>
      </c>
      <c r="K1204" s="4">
        <v>29.99</v>
      </c>
      <c r="L1204" s="4">
        <v>11.2163</v>
      </c>
    </row>
    <row r="1205" spans="1:12">
      <c r="A1205" s="1">
        <v>42804</v>
      </c>
      <c r="B1205">
        <v>1</v>
      </c>
      <c r="C1205" t="s">
        <v>6244</v>
      </c>
      <c r="D1205" s="4">
        <v>3.7363</v>
      </c>
      <c r="E1205" s="4">
        <v>9.99</v>
      </c>
      <c r="F1205" t="s">
        <v>6240</v>
      </c>
      <c r="G1205" t="s">
        <v>6228</v>
      </c>
      <c r="H1205" t="s">
        <v>3582</v>
      </c>
      <c r="I1205" t="s">
        <v>3582</v>
      </c>
      <c r="J1205" t="s">
        <v>3579</v>
      </c>
      <c r="K1205" s="4">
        <v>9.99</v>
      </c>
      <c r="L1205" s="4">
        <v>3.7363</v>
      </c>
    </row>
    <row r="1206" spans="1:12">
      <c r="A1206" s="1">
        <v>42804</v>
      </c>
      <c r="B1206">
        <v>1</v>
      </c>
      <c r="C1206" t="s">
        <v>6242</v>
      </c>
      <c r="D1206" s="4">
        <v>1.8663000000000001</v>
      </c>
      <c r="E1206" s="4">
        <v>4.99</v>
      </c>
      <c r="F1206" t="s">
        <v>6243</v>
      </c>
      <c r="G1206" t="s">
        <v>6228</v>
      </c>
      <c r="H1206" t="s">
        <v>3588</v>
      </c>
      <c r="I1206" t="s">
        <v>3588</v>
      </c>
      <c r="J1206" t="s">
        <v>3584</v>
      </c>
      <c r="K1206" s="4">
        <v>4.99</v>
      </c>
      <c r="L1206" s="4">
        <v>1.8663000000000001</v>
      </c>
    </row>
    <row r="1207" spans="1:12">
      <c r="A1207" s="1">
        <v>42805</v>
      </c>
      <c r="B1207">
        <v>1</v>
      </c>
      <c r="C1207" t="s">
        <v>6244</v>
      </c>
      <c r="D1207" s="4">
        <v>3.7363</v>
      </c>
      <c r="E1207" s="4">
        <v>9.99</v>
      </c>
      <c r="F1207" t="s">
        <v>6240</v>
      </c>
      <c r="G1207" t="s">
        <v>6228</v>
      </c>
      <c r="H1207" t="s">
        <v>3580</v>
      </c>
      <c r="I1207" t="s">
        <v>3578</v>
      </c>
      <c r="J1207" t="s">
        <v>3579</v>
      </c>
      <c r="K1207" s="4">
        <v>9.99</v>
      </c>
      <c r="L1207" s="4">
        <v>3.7363</v>
      </c>
    </row>
    <row r="1208" spans="1:12">
      <c r="A1208" s="1">
        <v>42805</v>
      </c>
      <c r="B1208">
        <v>1</v>
      </c>
      <c r="C1208" t="s">
        <v>6248</v>
      </c>
      <c r="D1208" s="4">
        <v>8.2204999999999995</v>
      </c>
      <c r="E1208" s="4">
        <v>21.98</v>
      </c>
      <c r="F1208" t="s">
        <v>6249</v>
      </c>
      <c r="G1208" t="s">
        <v>6228</v>
      </c>
      <c r="H1208" t="s">
        <v>3580</v>
      </c>
      <c r="I1208" t="s">
        <v>3578</v>
      </c>
      <c r="J1208" t="s">
        <v>3579</v>
      </c>
      <c r="K1208" s="4">
        <v>21.98</v>
      </c>
      <c r="L1208" s="4">
        <v>8.2204999999999995</v>
      </c>
    </row>
    <row r="1209" spans="1:12">
      <c r="A1209" s="1">
        <v>42805</v>
      </c>
      <c r="B1209">
        <v>1</v>
      </c>
      <c r="C1209" t="s">
        <v>6226</v>
      </c>
      <c r="D1209" s="4">
        <v>13.0863</v>
      </c>
      <c r="E1209" s="4">
        <v>34.99</v>
      </c>
      <c r="F1209" t="s">
        <v>6227</v>
      </c>
      <c r="G1209" t="s">
        <v>6228</v>
      </c>
      <c r="H1209" t="s">
        <v>3582</v>
      </c>
      <c r="I1209" t="s">
        <v>3582</v>
      </c>
      <c r="J1209" t="s">
        <v>3579</v>
      </c>
      <c r="K1209" s="4">
        <v>34.99</v>
      </c>
      <c r="L1209" s="4">
        <v>13.0863</v>
      </c>
    </row>
    <row r="1210" spans="1:12">
      <c r="A1210" s="1">
        <v>42805</v>
      </c>
      <c r="B1210">
        <v>1</v>
      </c>
      <c r="C1210" t="s">
        <v>6282</v>
      </c>
      <c r="D1210" s="4">
        <v>10.8423</v>
      </c>
      <c r="E1210" s="4">
        <v>28.99</v>
      </c>
      <c r="F1210" t="s">
        <v>6243</v>
      </c>
      <c r="G1210" t="s">
        <v>6228</v>
      </c>
      <c r="H1210" t="s">
        <v>3583</v>
      </c>
      <c r="I1210" t="s">
        <v>3583</v>
      </c>
      <c r="J1210" t="s">
        <v>3584</v>
      </c>
      <c r="K1210" s="4">
        <v>28.99</v>
      </c>
      <c r="L1210" s="4">
        <v>10.8423</v>
      </c>
    </row>
    <row r="1211" spans="1:12">
      <c r="A1211" s="1">
        <v>42806</v>
      </c>
      <c r="B1211">
        <v>1</v>
      </c>
      <c r="C1211" t="s">
        <v>6239</v>
      </c>
      <c r="D1211" s="4">
        <v>1.8663000000000001</v>
      </c>
      <c r="E1211" s="4">
        <v>4.99</v>
      </c>
      <c r="F1211" t="s">
        <v>6240</v>
      </c>
      <c r="G1211" t="s">
        <v>6228</v>
      </c>
      <c r="H1211" t="s">
        <v>3577</v>
      </c>
      <c r="I1211" t="s">
        <v>3578</v>
      </c>
      <c r="J1211" t="s">
        <v>3579</v>
      </c>
      <c r="K1211" s="4">
        <v>4.99</v>
      </c>
      <c r="L1211" s="4">
        <v>1.8663000000000001</v>
      </c>
    </row>
    <row r="1212" spans="1:12">
      <c r="A1212" s="1">
        <v>42806</v>
      </c>
      <c r="B1212">
        <v>1</v>
      </c>
      <c r="C1212" t="s">
        <v>6237</v>
      </c>
      <c r="D1212" s="4">
        <v>31.724399999999999</v>
      </c>
      <c r="E1212" s="4">
        <v>48.067300000000003</v>
      </c>
      <c r="F1212" t="s">
        <v>6235</v>
      </c>
      <c r="G1212" t="s">
        <v>6233</v>
      </c>
      <c r="H1212" t="s">
        <v>3580</v>
      </c>
      <c r="I1212" t="s">
        <v>3578</v>
      </c>
      <c r="J1212" t="s">
        <v>3579</v>
      </c>
      <c r="K1212" s="4">
        <v>48.067300000000003</v>
      </c>
      <c r="L1212" s="4">
        <v>31.724399999999999</v>
      </c>
    </row>
    <row r="1213" spans="1:12">
      <c r="A1213" s="1">
        <v>42806</v>
      </c>
      <c r="B1213">
        <v>1</v>
      </c>
      <c r="C1213" t="s">
        <v>6299</v>
      </c>
      <c r="D1213" s="4">
        <v>755.1508</v>
      </c>
      <c r="E1213" s="4">
        <v>1214.8499999999999</v>
      </c>
      <c r="F1213" t="s">
        <v>6274</v>
      </c>
      <c r="G1213" t="s">
        <v>3475</v>
      </c>
      <c r="H1213" t="s">
        <v>3580</v>
      </c>
      <c r="I1213" t="s">
        <v>3578</v>
      </c>
      <c r="J1213" t="s">
        <v>3579</v>
      </c>
      <c r="K1213" s="4">
        <v>1214.8499999999999</v>
      </c>
      <c r="L1213" s="4">
        <v>755.1508</v>
      </c>
    </row>
    <row r="1214" spans="1:12">
      <c r="A1214" s="1">
        <v>42806</v>
      </c>
      <c r="B1214">
        <v>1</v>
      </c>
      <c r="C1214" t="s">
        <v>6241</v>
      </c>
      <c r="D1214" s="4">
        <v>3.3622999999999998</v>
      </c>
      <c r="E1214" s="4">
        <v>8.99</v>
      </c>
      <c r="F1214" t="s">
        <v>6240</v>
      </c>
      <c r="G1214" t="s">
        <v>6228</v>
      </c>
      <c r="H1214" t="s">
        <v>3585</v>
      </c>
      <c r="I1214" t="s">
        <v>3585</v>
      </c>
      <c r="J1214" t="s">
        <v>3584</v>
      </c>
      <c r="K1214" s="4">
        <v>8.99</v>
      </c>
      <c r="L1214" s="4">
        <v>3.3622999999999998</v>
      </c>
    </row>
    <row r="1215" spans="1:12">
      <c r="A1215" s="1">
        <v>42806</v>
      </c>
      <c r="B1215">
        <v>1</v>
      </c>
      <c r="C1215" t="s">
        <v>3544</v>
      </c>
      <c r="D1215" s="4">
        <v>1105.81</v>
      </c>
      <c r="E1215" s="4">
        <v>2049.0981999999999</v>
      </c>
      <c r="F1215" t="s">
        <v>3478</v>
      </c>
      <c r="G1215" t="s">
        <v>3475</v>
      </c>
      <c r="H1215" t="s">
        <v>3588</v>
      </c>
      <c r="I1215" t="s">
        <v>3588</v>
      </c>
      <c r="J1215" t="s">
        <v>3584</v>
      </c>
      <c r="K1215" s="4">
        <v>2049.0981999999999</v>
      </c>
      <c r="L1215" s="4">
        <v>1105.81</v>
      </c>
    </row>
    <row r="1216" spans="1:12">
      <c r="A1216" s="1">
        <v>42807</v>
      </c>
      <c r="B1216">
        <v>1</v>
      </c>
      <c r="C1216" t="s">
        <v>6263</v>
      </c>
      <c r="D1216" s="4">
        <v>3.3622999999999998</v>
      </c>
      <c r="E1216" s="4">
        <v>8.99</v>
      </c>
      <c r="F1216" t="s">
        <v>6264</v>
      </c>
      <c r="G1216" t="s">
        <v>6233</v>
      </c>
      <c r="H1216" t="s">
        <v>3580</v>
      </c>
      <c r="I1216" t="s">
        <v>3578</v>
      </c>
      <c r="J1216" t="s">
        <v>3579</v>
      </c>
      <c r="K1216" s="4">
        <v>8.99</v>
      </c>
      <c r="L1216" s="4">
        <v>3.3622999999999998</v>
      </c>
    </row>
    <row r="1217" spans="1:12">
      <c r="A1217" s="1">
        <v>42807</v>
      </c>
      <c r="B1217">
        <v>1</v>
      </c>
      <c r="C1217" t="s">
        <v>6282</v>
      </c>
      <c r="D1217" s="4">
        <v>10.8423</v>
      </c>
      <c r="E1217" s="4">
        <v>28.99</v>
      </c>
      <c r="F1217" t="s">
        <v>6243</v>
      </c>
      <c r="G1217" t="s">
        <v>6228</v>
      </c>
      <c r="H1217" t="s">
        <v>3583</v>
      </c>
      <c r="I1217" t="s">
        <v>3583</v>
      </c>
      <c r="J1217" t="s">
        <v>3584</v>
      </c>
      <c r="K1217" s="4">
        <v>28.99</v>
      </c>
      <c r="L1217" s="4">
        <v>10.8423</v>
      </c>
    </row>
    <row r="1218" spans="1:12">
      <c r="A1218" s="1">
        <v>42807</v>
      </c>
      <c r="B1218">
        <v>2</v>
      </c>
      <c r="C1218" t="s">
        <v>6245</v>
      </c>
      <c r="D1218" s="4">
        <v>0.85650000000000004</v>
      </c>
      <c r="E1218" s="4">
        <v>2.29</v>
      </c>
      <c r="F1218" t="s">
        <v>6243</v>
      </c>
      <c r="G1218" t="s">
        <v>6228</v>
      </c>
      <c r="H1218" t="s">
        <v>3585</v>
      </c>
      <c r="I1218" t="s">
        <v>3585</v>
      </c>
      <c r="J1218" t="s">
        <v>3584</v>
      </c>
      <c r="K1218" s="4">
        <v>4.58</v>
      </c>
      <c r="L1218" s="4">
        <v>1.7130000000000001</v>
      </c>
    </row>
    <row r="1219" spans="1:12">
      <c r="A1219" s="1">
        <v>42807</v>
      </c>
      <c r="B1219">
        <v>1</v>
      </c>
      <c r="C1219" t="s">
        <v>3536</v>
      </c>
      <c r="D1219" s="4">
        <v>1117.8559</v>
      </c>
      <c r="E1219" s="4">
        <v>2071.4196000000002</v>
      </c>
      <c r="F1219" t="s">
        <v>3478</v>
      </c>
      <c r="G1219" t="s">
        <v>3475</v>
      </c>
      <c r="H1219" t="s">
        <v>3586</v>
      </c>
      <c r="I1219" t="s">
        <v>3586</v>
      </c>
      <c r="J1219" t="s">
        <v>3587</v>
      </c>
      <c r="K1219" s="4">
        <v>2071.4196000000002</v>
      </c>
      <c r="L1219" s="4">
        <v>1117.8559</v>
      </c>
    </row>
    <row r="1220" spans="1:12">
      <c r="A1220" s="1">
        <v>42807</v>
      </c>
      <c r="B1220">
        <v>1</v>
      </c>
      <c r="C1220" t="s">
        <v>3542</v>
      </c>
      <c r="D1220" s="4">
        <v>1105.81</v>
      </c>
      <c r="E1220" s="4">
        <v>2049.0981999999999</v>
      </c>
      <c r="F1220" t="s">
        <v>3478</v>
      </c>
      <c r="G1220" t="s">
        <v>3475</v>
      </c>
      <c r="H1220" t="s">
        <v>3586</v>
      </c>
      <c r="I1220" t="s">
        <v>3586</v>
      </c>
      <c r="J1220" t="s">
        <v>3587</v>
      </c>
      <c r="K1220" s="4">
        <v>2049.0981999999999</v>
      </c>
      <c r="L1220" s="4">
        <v>1105.81</v>
      </c>
    </row>
    <row r="1221" spans="1:12">
      <c r="A1221" s="1">
        <v>42808</v>
      </c>
      <c r="B1221">
        <v>1</v>
      </c>
      <c r="C1221" t="s">
        <v>6237</v>
      </c>
      <c r="D1221" s="4">
        <v>31.724399999999999</v>
      </c>
      <c r="E1221" s="4">
        <v>48.067300000000003</v>
      </c>
      <c r="F1221" t="s">
        <v>6235</v>
      </c>
      <c r="G1221" t="s">
        <v>6233</v>
      </c>
      <c r="H1221" t="s">
        <v>3580</v>
      </c>
      <c r="I1221" t="s">
        <v>3578</v>
      </c>
      <c r="J1221" t="s">
        <v>3579</v>
      </c>
      <c r="K1221" s="4">
        <v>48.067300000000003</v>
      </c>
      <c r="L1221" s="4">
        <v>31.724399999999999</v>
      </c>
    </row>
    <row r="1222" spans="1:12">
      <c r="A1222" s="1">
        <v>42808</v>
      </c>
      <c r="B1222">
        <v>1</v>
      </c>
      <c r="C1222" t="s">
        <v>6239</v>
      </c>
      <c r="D1222" s="4">
        <v>1.8663000000000001</v>
      </c>
      <c r="E1222" s="4">
        <v>4.99</v>
      </c>
      <c r="F1222" t="s">
        <v>6240</v>
      </c>
      <c r="G1222" t="s">
        <v>6228</v>
      </c>
      <c r="H1222" t="s">
        <v>3580</v>
      </c>
      <c r="I1222" t="s">
        <v>3578</v>
      </c>
      <c r="J1222" t="s">
        <v>3579</v>
      </c>
      <c r="K1222" s="4">
        <v>4.99</v>
      </c>
      <c r="L1222" s="4">
        <v>1.8663000000000001</v>
      </c>
    </row>
    <row r="1223" spans="1:12">
      <c r="A1223" s="1">
        <v>42808</v>
      </c>
      <c r="B1223">
        <v>1</v>
      </c>
      <c r="C1223" t="s">
        <v>6270</v>
      </c>
      <c r="D1223" s="4">
        <v>1.4923</v>
      </c>
      <c r="E1223" s="4">
        <v>3.99</v>
      </c>
      <c r="F1223" t="s">
        <v>6243</v>
      </c>
      <c r="G1223" t="s">
        <v>6228</v>
      </c>
      <c r="H1223" t="s">
        <v>3582</v>
      </c>
      <c r="I1223" t="s">
        <v>3582</v>
      </c>
      <c r="J1223" t="s">
        <v>3579</v>
      </c>
      <c r="K1223" s="4">
        <v>3.99</v>
      </c>
      <c r="L1223" s="4">
        <v>1.4923</v>
      </c>
    </row>
    <row r="1224" spans="1:12">
      <c r="A1224" s="1">
        <v>42808</v>
      </c>
      <c r="B1224">
        <v>1</v>
      </c>
      <c r="C1224" t="s">
        <v>6276</v>
      </c>
      <c r="D1224" s="4">
        <v>1.8663000000000001</v>
      </c>
      <c r="E1224" s="4">
        <v>4.99</v>
      </c>
      <c r="F1224" t="s">
        <v>6243</v>
      </c>
      <c r="G1224" t="s">
        <v>6228</v>
      </c>
      <c r="H1224" t="s">
        <v>3586</v>
      </c>
      <c r="I1224" t="s">
        <v>3586</v>
      </c>
      <c r="J1224" t="s">
        <v>3587</v>
      </c>
      <c r="K1224" s="4">
        <v>4.99</v>
      </c>
      <c r="L1224" s="4">
        <v>1.8663000000000001</v>
      </c>
    </row>
    <row r="1225" spans="1:12">
      <c r="A1225" s="1">
        <v>42808</v>
      </c>
      <c r="B1225">
        <v>1</v>
      </c>
      <c r="C1225" t="s">
        <v>6297</v>
      </c>
      <c r="D1225" s="4">
        <v>343.64960000000002</v>
      </c>
      <c r="E1225" s="4">
        <v>539.99</v>
      </c>
      <c r="F1225" t="s">
        <v>3479</v>
      </c>
      <c r="G1225" t="s">
        <v>3475</v>
      </c>
      <c r="H1225" t="s">
        <v>3586</v>
      </c>
      <c r="I1225" t="s">
        <v>3586</v>
      </c>
      <c r="J1225" t="s">
        <v>3587</v>
      </c>
      <c r="K1225" s="4">
        <v>539.99</v>
      </c>
      <c r="L1225" s="4">
        <v>343.64960000000002</v>
      </c>
    </row>
    <row r="1226" spans="1:12">
      <c r="A1226" s="1">
        <v>42809</v>
      </c>
      <c r="B1226">
        <v>1</v>
      </c>
      <c r="C1226" t="s">
        <v>6229</v>
      </c>
      <c r="D1226" s="4">
        <v>12.027799999999999</v>
      </c>
      <c r="E1226" s="4">
        <v>33.644199999999998</v>
      </c>
      <c r="F1226" t="s">
        <v>6227</v>
      </c>
      <c r="G1226" t="s">
        <v>6228</v>
      </c>
      <c r="H1226" t="s">
        <v>3582</v>
      </c>
      <c r="I1226" t="s">
        <v>3582</v>
      </c>
      <c r="J1226" t="s">
        <v>3579</v>
      </c>
      <c r="K1226" s="4">
        <v>33.644199999999998</v>
      </c>
      <c r="L1226" s="4">
        <v>12.027799999999999</v>
      </c>
    </row>
    <row r="1227" spans="1:12">
      <c r="A1227" s="1">
        <v>42809</v>
      </c>
      <c r="B1227">
        <v>1</v>
      </c>
      <c r="C1227" t="s">
        <v>6245</v>
      </c>
      <c r="D1227" s="4">
        <v>0.85650000000000004</v>
      </c>
      <c r="E1227" s="4">
        <v>2.29</v>
      </c>
      <c r="F1227" t="s">
        <v>6243</v>
      </c>
      <c r="G1227" t="s">
        <v>6228</v>
      </c>
      <c r="H1227" t="s">
        <v>3582</v>
      </c>
      <c r="I1227" t="s">
        <v>3582</v>
      </c>
      <c r="J1227" t="s">
        <v>3579</v>
      </c>
      <c r="K1227" s="4">
        <v>2.29</v>
      </c>
      <c r="L1227" s="4">
        <v>0.85650000000000004</v>
      </c>
    </row>
    <row r="1228" spans="1:12">
      <c r="A1228" s="1">
        <v>42810</v>
      </c>
      <c r="B1228">
        <v>1</v>
      </c>
      <c r="C1228" t="s">
        <v>6292</v>
      </c>
      <c r="D1228" s="4">
        <v>23.748999999999999</v>
      </c>
      <c r="E1228" s="4">
        <v>63.5</v>
      </c>
      <c r="F1228" t="s">
        <v>6293</v>
      </c>
      <c r="G1228" t="s">
        <v>6233</v>
      </c>
      <c r="H1228" t="s">
        <v>3577</v>
      </c>
      <c r="I1228" t="s">
        <v>3578</v>
      </c>
      <c r="J1228" t="s">
        <v>3579</v>
      </c>
      <c r="K1228" s="4">
        <v>63.5</v>
      </c>
      <c r="L1228" s="4">
        <v>23.748999999999999</v>
      </c>
    </row>
    <row r="1229" spans="1:12">
      <c r="A1229" s="1">
        <v>42810</v>
      </c>
      <c r="B1229">
        <v>1</v>
      </c>
      <c r="C1229" t="s">
        <v>6277</v>
      </c>
      <c r="D1229" s="4">
        <v>8.0373000000000001</v>
      </c>
      <c r="E1229" s="4">
        <v>21.49</v>
      </c>
      <c r="F1229" t="s">
        <v>6243</v>
      </c>
      <c r="G1229" t="s">
        <v>6228</v>
      </c>
      <c r="H1229" t="s">
        <v>3580</v>
      </c>
      <c r="I1229" t="s">
        <v>3578</v>
      </c>
      <c r="J1229" t="s">
        <v>3579</v>
      </c>
      <c r="K1229" s="4">
        <v>21.49</v>
      </c>
      <c r="L1229" s="4">
        <v>8.0373000000000001</v>
      </c>
    </row>
    <row r="1230" spans="1:12">
      <c r="A1230" s="1">
        <v>42810</v>
      </c>
      <c r="B1230">
        <v>1</v>
      </c>
      <c r="C1230" t="s">
        <v>6317</v>
      </c>
      <c r="D1230" s="4">
        <v>461.44479999999999</v>
      </c>
      <c r="E1230" s="4">
        <v>742.35</v>
      </c>
      <c r="F1230" t="s">
        <v>6274</v>
      </c>
      <c r="G1230" t="s">
        <v>3475</v>
      </c>
      <c r="H1230" t="s">
        <v>3580</v>
      </c>
      <c r="I1230" t="s">
        <v>3578</v>
      </c>
      <c r="J1230" t="s">
        <v>3579</v>
      </c>
      <c r="K1230" s="4">
        <v>742.35</v>
      </c>
      <c r="L1230" s="4">
        <v>461.44479999999999</v>
      </c>
    </row>
    <row r="1231" spans="1:12">
      <c r="A1231" s="1">
        <v>42810</v>
      </c>
      <c r="B1231">
        <v>1</v>
      </c>
      <c r="C1231" t="s">
        <v>6318</v>
      </c>
      <c r="D1231" s="4">
        <v>419.77839999999998</v>
      </c>
      <c r="E1231" s="4">
        <v>769.49</v>
      </c>
      <c r="F1231" t="s">
        <v>3478</v>
      </c>
      <c r="G1231" t="s">
        <v>3475</v>
      </c>
      <c r="H1231" t="s">
        <v>3580</v>
      </c>
      <c r="I1231" t="s">
        <v>3578</v>
      </c>
      <c r="J1231" t="s">
        <v>3579</v>
      </c>
      <c r="K1231" s="4">
        <v>769.49</v>
      </c>
      <c r="L1231" s="4">
        <v>419.77839999999998</v>
      </c>
    </row>
    <row r="1232" spans="1:12">
      <c r="A1232" s="1">
        <v>42810</v>
      </c>
      <c r="B1232">
        <v>1</v>
      </c>
      <c r="C1232" t="s">
        <v>6268</v>
      </c>
      <c r="D1232" s="4">
        <v>41.572299999999998</v>
      </c>
      <c r="E1232" s="4">
        <v>53.99</v>
      </c>
      <c r="F1232" t="s">
        <v>6235</v>
      </c>
      <c r="G1232" t="s">
        <v>6233</v>
      </c>
      <c r="H1232" t="s">
        <v>3586</v>
      </c>
      <c r="I1232" t="s">
        <v>3586</v>
      </c>
      <c r="J1232" t="s">
        <v>3587</v>
      </c>
      <c r="K1232" s="4">
        <v>53.99</v>
      </c>
      <c r="L1232" s="4">
        <v>41.572299999999998</v>
      </c>
    </row>
    <row r="1233" spans="1:12">
      <c r="A1233" s="1">
        <v>42810</v>
      </c>
      <c r="B1233">
        <v>1</v>
      </c>
      <c r="C1233" t="s">
        <v>6260</v>
      </c>
      <c r="D1233" s="4">
        <v>13.09</v>
      </c>
      <c r="E1233" s="4">
        <v>35</v>
      </c>
      <c r="F1233" t="s">
        <v>6243</v>
      </c>
      <c r="G1233" t="s">
        <v>6228</v>
      </c>
      <c r="H1233" t="s">
        <v>3586</v>
      </c>
      <c r="I1233" t="s">
        <v>3586</v>
      </c>
      <c r="J1233" t="s">
        <v>3587</v>
      </c>
      <c r="K1233" s="4">
        <v>35</v>
      </c>
      <c r="L1233" s="4">
        <v>13.09</v>
      </c>
    </row>
    <row r="1234" spans="1:12">
      <c r="A1234" s="1">
        <v>42811</v>
      </c>
      <c r="B1234">
        <v>1</v>
      </c>
      <c r="C1234" t="s">
        <v>6245</v>
      </c>
      <c r="D1234" s="4">
        <v>0.85650000000000004</v>
      </c>
      <c r="E1234" s="4">
        <v>2.29</v>
      </c>
      <c r="F1234" t="s">
        <v>6243</v>
      </c>
      <c r="G1234" t="s">
        <v>6228</v>
      </c>
      <c r="H1234" t="s">
        <v>3580</v>
      </c>
      <c r="I1234" t="s">
        <v>3578</v>
      </c>
      <c r="J1234" t="s">
        <v>3579</v>
      </c>
      <c r="K1234" s="4">
        <v>2.29</v>
      </c>
      <c r="L1234" s="4">
        <v>0.85650000000000004</v>
      </c>
    </row>
    <row r="1235" spans="1:12">
      <c r="A1235" s="1">
        <v>42811</v>
      </c>
      <c r="B1235">
        <v>1</v>
      </c>
      <c r="C1235" t="s">
        <v>6272</v>
      </c>
      <c r="D1235" s="4">
        <v>9.3462999999999994</v>
      </c>
      <c r="E1235" s="4">
        <v>24.99</v>
      </c>
      <c r="F1235" t="s">
        <v>6243</v>
      </c>
      <c r="G1235" t="s">
        <v>6228</v>
      </c>
      <c r="H1235" t="s">
        <v>3580</v>
      </c>
      <c r="I1235" t="s">
        <v>3578</v>
      </c>
      <c r="J1235" t="s">
        <v>3579</v>
      </c>
      <c r="K1235" s="4">
        <v>24.99</v>
      </c>
      <c r="L1235" s="4">
        <v>9.3462999999999994</v>
      </c>
    </row>
    <row r="1236" spans="1:12">
      <c r="A1236" s="1">
        <v>42811</v>
      </c>
      <c r="B1236">
        <v>1</v>
      </c>
      <c r="C1236" t="s">
        <v>6226</v>
      </c>
      <c r="D1236" s="4">
        <v>13.0863</v>
      </c>
      <c r="E1236" s="4">
        <v>34.99</v>
      </c>
      <c r="F1236" t="s">
        <v>6227</v>
      </c>
      <c r="G1236" t="s">
        <v>6228</v>
      </c>
      <c r="H1236" t="s">
        <v>3582</v>
      </c>
      <c r="I1236" t="s">
        <v>3582</v>
      </c>
      <c r="J1236" t="s">
        <v>3579</v>
      </c>
      <c r="K1236" s="4">
        <v>34.99</v>
      </c>
      <c r="L1236" s="4">
        <v>13.0863</v>
      </c>
    </row>
    <row r="1237" spans="1:12">
      <c r="A1237" s="1">
        <v>42811</v>
      </c>
      <c r="B1237">
        <v>1</v>
      </c>
      <c r="C1237" t="s">
        <v>6282</v>
      </c>
      <c r="D1237" s="4">
        <v>10.8423</v>
      </c>
      <c r="E1237" s="4">
        <v>28.99</v>
      </c>
      <c r="F1237" t="s">
        <v>6243</v>
      </c>
      <c r="G1237" t="s">
        <v>6228</v>
      </c>
      <c r="H1237" t="s">
        <v>3586</v>
      </c>
      <c r="I1237" t="s">
        <v>3586</v>
      </c>
      <c r="J1237" t="s">
        <v>3587</v>
      </c>
      <c r="K1237" s="4">
        <v>28.99</v>
      </c>
      <c r="L1237" s="4">
        <v>10.8423</v>
      </c>
    </row>
    <row r="1238" spans="1:12">
      <c r="A1238" s="1">
        <v>42812</v>
      </c>
      <c r="B1238">
        <v>1</v>
      </c>
      <c r="C1238" t="s">
        <v>3540</v>
      </c>
      <c r="D1238" s="4">
        <v>1117.8559</v>
      </c>
      <c r="E1238" s="4">
        <v>2071.4196000000002</v>
      </c>
      <c r="F1238" t="s">
        <v>3478</v>
      </c>
      <c r="G1238" t="s">
        <v>3475</v>
      </c>
      <c r="H1238" t="s">
        <v>3577</v>
      </c>
      <c r="I1238" t="s">
        <v>3578</v>
      </c>
      <c r="J1238" t="s">
        <v>3579</v>
      </c>
      <c r="K1238" s="4">
        <v>2071.4196000000002</v>
      </c>
      <c r="L1238" s="4">
        <v>1117.8559</v>
      </c>
    </row>
    <row r="1239" spans="1:12">
      <c r="A1239" s="1">
        <v>42812</v>
      </c>
      <c r="B1239">
        <v>1</v>
      </c>
      <c r="C1239" t="s">
        <v>6270</v>
      </c>
      <c r="D1239" s="4">
        <v>1.4923</v>
      </c>
      <c r="E1239" s="4">
        <v>3.99</v>
      </c>
      <c r="F1239" t="s">
        <v>6243</v>
      </c>
      <c r="G1239" t="s">
        <v>6228</v>
      </c>
      <c r="H1239" t="s">
        <v>3580</v>
      </c>
      <c r="I1239" t="s">
        <v>3578</v>
      </c>
      <c r="J1239" t="s">
        <v>3579</v>
      </c>
      <c r="K1239" s="4">
        <v>3.99</v>
      </c>
      <c r="L1239" s="4">
        <v>1.4923</v>
      </c>
    </row>
    <row r="1240" spans="1:12">
      <c r="A1240" s="1">
        <v>42812</v>
      </c>
      <c r="B1240">
        <v>1</v>
      </c>
      <c r="C1240" t="s">
        <v>6253</v>
      </c>
      <c r="D1240" s="4">
        <v>9.7135999999999996</v>
      </c>
      <c r="E1240" s="4">
        <v>23.548100000000002</v>
      </c>
      <c r="F1240" t="s">
        <v>6251</v>
      </c>
      <c r="G1240" t="s">
        <v>6233</v>
      </c>
      <c r="H1240" t="s">
        <v>3582</v>
      </c>
      <c r="I1240" t="s">
        <v>3582</v>
      </c>
      <c r="J1240" t="s">
        <v>3579</v>
      </c>
      <c r="K1240" s="4">
        <v>23.548100000000002</v>
      </c>
      <c r="L1240" s="4">
        <v>9.7135999999999996</v>
      </c>
    </row>
    <row r="1241" spans="1:12">
      <c r="A1241" s="1">
        <v>42812</v>
      </c>
      <c r="B1241">
        <v>1</v>
      </c>
      <c r="C1241" t="s">
        <v>6314</v>
      </c>
      <c r="D1241" s="4">
        <v>23.748999999999999</v>
      </c>
      <c r="E1241" s="4">
        <v>63.5</v>
      </c>
      <c r="F1241" t="s">
        <v>6293</v>
      </c>
      <c r="G1241" t="s">
        <v>6233</v>
      </c>
      <c r="H1241" t="s">
        <v>3583</v>
      </c>
      <c r="I1241" t="s">
        <v>3583</v>
      </c>
      <c r="J1241" t="s">
        <v>3584</v>
      </c>
      <c r="K1241" s="4">
        <v>63.5</v>
      </c>
      <c r="L1241" s="4">
        <v>23.748999999999999</v>
      </c>
    </row>
    <row r="1242" spans="1:12">
      <c r="A1242" s="1">
        <v>42812</v>
      </c>
      <c r="B1242">
        <v>1</v>
      </c>
      <c r="C1242" t="s">
        <v>6239</v>
      </c>
      <c r="D1242" s="4">
        <v>1.8663000000000001</v>
      </c>
      <c r="E1242" s="4">
        <v>4.99</v>
      </c>
      <c r="F1242" t="s">
        <v>6240</v>
      </c>
      <c r="G1242" t="s">
        <v>6228</v>
      </c>
      <c r="H1242" t="s">
        <v>3583</v>
      </c>
      <c r="I1242" t="s">
        <v>3583</v>
      </c>
      <c r="J1242" t="s">
        <v>3584</v>
      </c>
      <c r="K1242" s="4">
        <v>4.99</v>
      </c>
      <c r="L1242" s="4">
        <v>1.8663000000000001</v>
      </c>
    </row>
    <row r="1243" spans="1:12">
      <c r="A1243" s="1">
        <v>42812</v>
      </c>
      <c r="B1243">
        <v>1</v>
      </c>
      <c r="C1243" t="s">
        <v>6277</v>
      </c>
      <c r="D1243" s="4">
        <v>8.0373000000000001</v>
      </c>
      <c r="E1243" s="4">
        <v>21.49</v>
      </c>
      <c r="F1243" t="s">
        <v>6243</v>
      </c>
      <c r="G1243" t="s">
        <v>6228</v>
      </c>
      <c r="H1243" t="s">
        <v>3583</v>
      </c>
      <c r="I1243" t="s">
        <v>3583</v>
      </c>
      <c r="J1243" t="s">
        <v>3584</v>
      </c>
      <c r="K1243" s="4">
        <v>21.49</v>
      </c>
      <c r="L1243" s="4">
        <v>8.0373000000000001</v>
      </c>
    </row>
    <row r="1244" spans="1:12">
      <c r="A1244" s="1">
        <v>42812</v>
      </c>
      <c r="B1244">
        <v>1</v>
      </c>
      <c r="C1244" t="s">
        <v>6277</v>
      </c>
      <c r="D1244" s="4">
        <v>8.0373000000000001</v>
      </c>
      <c r="E1244" s="4">
        <v>21.49</v>
      </c>
      <c r="F1244" t="s">
        <v>6243</v>
      </c>
      <c r="G1244" t="s">
        <v>6228</v>
      </c>
      <c r="H1244" t="s">
        <v>3586</v>
      </c>
      <c r="I1244" t="s">
        <v>3586</v>
      </c>
      <c r="J1244" t="s">
        <v>3587</v>
      </c>
      <c r="K1244" s="4">
        <v>21.49</v>
      </c>
      <c r="L1244" s="4">
        <v>8.0373000000000001</v>
      </c>
    </row>
    <row r="1245" spans="1:12">
      <c r="A1245" s="1">
        <v>42812</v>
      </c>
      <c r="B1245">
        <v>1</v>
      </c>
      <c r="C1245" t="s">
        <v>6241</v>
      </c>
      <c r="D1245" s="4">
        <v>3.3622999999999998</v>
      </c>
      <c r="E1245" s="4">
        <v>8.99</v>
      </c>
      <c r="F1245" t="s">
        <v>6240</v>
      </c>
      <c r="G1245" t="s">
        <v>6228</v>
      </c>
      <c r="H1245" t="s">
        <v>3588</v>
      </c>
      <c r="I1245" t="s">
        <v>3588</v>
      </c>
      <c r="J1245" t="s">
        <v>3584</v>
      </c>
      <c r="K1245" s="4">
        <v>8.99</v>
      </c>
      <c r="L1245" s="4">
        <v>3.3622999999999998</v>
      </c>
    </row>
    <row r="1246" spans="1:12">
      <c r="A1246" s="1">
        <v>42813</v>
      </c>
      <c r="B1246">
        <v>1</v>
      </c>
      <c r="C1246" t="s">
        <v>6242</v>
      </c>
      <c r="D1246" s="4">
        <v>1.8663000000000001</v>
      </c>
      <c r="E1246" s="4">
        <v>4.99</v>
      </c>
      <c r="F1246" t="s">
        <v>6243</v>
      </c>
      <c r="G1246" t="s">
        <v>6228</v>
      </c>
      <c r="H1246" t="s">
        <v>3577</v>
      </c>
      <c r="I1246" t="s">
        <v>3578</v>
      </c>
      <c r="J1246" t="s">
        <v>3579</v>
      </c>
      <c r="K1246" s="4">
        <v>4.99</v>
      </c>
      <c r="L1246" s="4">
        <v>1.8663000000000001</v>
      </c>
    </row>
    <row r="1247" spans="1:12">
      <c r="A1247" s="1">
        <v>42813</v>
      </c>
      <c r="B1247">
        <v>1</v>
      </c>
      <c r="C1247" t="s">
        <v>6239</v>
      </c>
      <c r="D1247" s="4">
        <v>1.8663000000000001</v>
      </c>
      <c r="E1247" s="4">
        <v>4.99</v>
      </c>
      <c r="F1247" t="s">
        <v>6240</v>
      </c>
      <c r="G1247" t="s">
        <v>6228</v>
      </c>
      <c r="H1247" t="s">
        <v>3580</v>
      </c>
      <c r="I1247" t="s">
        <v>3578</v>
      </c>
      <c r="J1247" t="s">
        <v>3579</v>
      </c>
      <c r="K1247" s="4">
        <v>4.99</v>
      </c>
      <c r="L1247" s="4">
        <v>1.8663000000000001</v>
      </c>
    </row>
    <row r="1248" spans="1:12">
      <c r="A1248" s="1">
        <v>42813</v>
      </c>
      <c r="B1248">
        <v>1</v>
      </c>
      <c r="C1248" t="s">
        <v>6244</v>
      </c>
      <c r="D1248" s="4">
        <v>3.7363</v>
      </c>
      <c r="E1248" s="4">
        <v>9.99</v>
      </c>
      <c r="F1248" t="s">
        <v>6240</v>
      </c>
      <c r="G1248" t="s">
        <v>6228</v>
      </c>
      <c r="H1248" t="s">
        <v>3580</v>
      </c>
      <c r="I1248" t="s">
        <v>3578</v>
      </c>
      <c r="J1248" t="s">
        <v>3579</v>
      </c>
      <c r="K1248" s="4">
        <v>9.99</v>
      </c>
      <c r="L1248" s="4">
        <v>3.7363</v>
      </c>
    </row>
    <row r="1249" spans="1:12">
      <c r="A1249" s="1">
        <v>42813</v>
      </c>
      <c r="B1249">
        <v>1</v>
      </c>
      <c r="C1249" t="s">
        <v>6284</v>
      </c>
      <c r="D1249" s="4">
        <v>26.176300000000001</v>
      </c>
      <c r="E1249" s="4">
        <v>69.989999999999995</v>
      </c>
      <c r="F1249" t="s">
        <v>6262</v>
      </c>
      <c r="G1249" t="s">
        <v>6233</v>
      </c>
      <c r="H1249" t="s">
        <v>3586</v>
      </c>
      <c r="I1249" t="s">
        <v>3586</v>
      </c>
      <c r="J1249" t="s">
        <v>3587</v>
      </c>
      <c r="K1249" s="4">
        <v>69.989999999999995</v>
      </c>
      <c r="L1249" s="4">
        <v>26.176300000000001</v>
      </c>
    </row>
    <row r="1250" spans="1:12">
      <c r="A1250" s="1">
        <v>42814</v>
      </c>
      <c r="B1250">
        <v>1</v>
      </c>
      <c r="C1250" t="s">
        <v>6245</v>
      </c>
      <c r="D1250" s="4">
        <v>0.85650000000000004</v>
      </c>
      <c r="E1250" s="4">
        <v>2.29</v>
      </c>
      <c r="F1250" t="s">
        <v>6243</v>
      </c>
      <c r="G1250" t="s">
        <v>6228</v>
      </c>
      <c r="H1250" t="s">
        <v>3577</v>
      </c>
      <c r="I1250" t="s">
        <v>3578</v>
      </c>
      <c r="J1250" t="s">
        <v>3579</v>
      </c>
      <c r="K1250" s="4">
        <v>2.29</v>
      </c>
      <c r="L1250" s="4">
        <v>0.85650000000000004</v>
      </c>
    </row>
    <row r="1251" spans="1:12">
      <c r="A1251" s="1">
        <v>42814</v>
      </c>
      <c r="B1251">
        <v>1</v>
      </c>
      <c r="C1251" t="s">
        <v>6311</v>
      </c>
      <c r="D1251" s="4">
        <v>41.572299999999998</v>
      </c>
      <c r="E1251" s="4">
        <v>53.99</v>
      </c>
      <c r="F1251" t="s">
        <v>6235</v>
      </c>
      <c r="G1251" t="s">
        <v>6233</v>
      </c>
      <c r="H1251" t="s">
        <v>3580</v>
      </c>
      <c r="I1251" t="s">
        <v>3578</v>
      </c>
      <c r="J1251" t="s">
        <v>3579</v>
      </c>
      <c r="K1251" s="4">
        <v>53.99</v>
      </c>
      <c r="L1251" s="4">
        <v>41.572299999999998</v>
      </c>
    </row>
    <row r="1252" spans="1:12">
      <c r="A1252" s="1">
        <v>42814</v>
      </c>
      <c r="B1252">
        <v>1</v>
      </c>
      <c r="C1252" t="s">
        <v>6252</v>
      </c>
      <c r="D1252" s="4">
        <v>343.64960000000002</v>
      </c>
      <c r="E1252" s="4">
        <v>539.99</v>
      </c>
      <c r="F1252" t="s">
        <v>3479</v>
      </c>
      <c r="G1252" t="s">
        <v>3475</v>
      </c>
      <c r="H1252" t="s">
        <v>3580</v>
      </c>
      <c r="I1252" t="s">
        <v>3578</v>
      </c>
      <c r="J1252" t="s">
        <v>3579</v>
      </c>
      <c r="K1252" s="4">
        <v>539.99</v>
      </c>
      <c r="L1252" s="4">
        <v>343.64960000000002</v>
      </c>
    </row>
    <row r="1253" spans="1:12">
      <c r="A1253" s="1">
        <v>42814</v>
      </c>
      <c r="B1253">
        <v>1</v>
      </c>
      <c r="C1253" t="s">
        <v>3544</v>
      </c>
      <c r="D1253" s="4">
        <v>1105.81</v>
      </c>
      <c r="E1253" s="4">
        <v>2049.0981999999999</v>
      </c>
      <c r="F1253" t="s">
        <v>3478</v>
      </c>
      <c r="G1253" t="s">
        <v>3475</v>
      </c>
      <c r="H1253" t="s">
        <v>3583</v>
      </c>
      <c r="I1253" t="s">
        <v>3583</v>
      </c>
      <c r="J1253" t="s">
        <v>3584</v>
      </c>
      <c r="K1253" s="4">
        <v>2049.0981999999999</v>
      </c>
      <c r="L1253" s="4">
        <v>1105.81</v>
      </c>
    </row>
    <row r="1254" spans="1:12">
      <c r="A1254" s="1">
        <v>42814</v>
      </c>
      <c r="B1254">
        <v>1</v>
      </c>
      <c r="C1254" t="s">
        <v>6255</v>
      </c>
      <c r="D1254" s="4">
        <v>9.7135999999999996</v>
      </c>
      <c r="E1254" s="4">
        <v>23.548100000000002</v>
      </c>
      <c r="F1254" t="s">
        <v>6251</v>
      </c>
      <c r="G1254" t="s">
        <v>6233</v>
      </c>
      <c r="H1254" t="s">
        <v>3586</v>
      </c>
      <c r="I1254" t="s">
        <v>3586</v>
      </c>
      <c r="J1254" t="s">
        <v>3587</v>
      </c>
      <c r="K1254" s="4">
        <v>23.548100000000002</v>
      </c>
      <c r="L1254" s="4">
        <v>9.7135999999999996</v>
      </c>
    </row>
    <row r="1255" spans="1:12">
      <c r="A1255" s="1">
        <v>42814</v>
      </c>
      <c r="B1255">
        <v>1</v>
      </c>
      <c r="C1255" t="s">
        <v>6277</v>
      </c>
      <c r="D1255" s="4">
        <v>8.0373000000000001</v>
      </c>
      <c r="E1255" s="4">
        <v>21.49</v>
      </c>
      <c r="F1255" t="s">
        <v>6243</v>
      </c>
      <c r="G1255" t="s">
        <v>6228</v>
      </c>
      <c r="H1255" t="s">
        <v>3588</v>
      </c>
      <c r="I1255" t="s">
        <v>3588</v>
      </c>
      <c r="J1255" t="s">
        <v>3584</v>
      </c>
      <c r="K1255" s="4">
        <v>21.49</v>
      </c>
      <c r="L1255" s="4">
        <v>8.0373000000000001</v>
      </c>
    </row>
    <row r="1256" spans="1:12">
      <c r="A1256" s="1">
        <v>42815</v>
      </c>
      <c r="B1256">
        <v>1</v>
      </c>
      <c r="C1256" t="s">
        <v>6254</v>
      </c>
      <c r="D1256" s="4">
        <v>12.192399999999999</v>
      </c>
      <c r="E1256" s="4">
        <v>32.6</v>
      </c>
      <c r="F1256" t="s">
        <v>6243</v>
      </c>
      <c r="G1256" t="s">
        <v>6228</v>
      </c>
      <c r="H1256" t="s">
        <v>3577</v>
      </c>
      <c r="I1256" t="s">
        <v>3578</v>
      </c>
      <c r="J1256" t="s">
        <v>3579</v>
      </c>
      <c r="K1256" s="4">
        <v>32.6</v>
      </c>
      <c r="L1256" s="4">
        <v>12.192399999999999</v>
      </c>
    </row>
    <row r="1257" spans="1:12">
      <c r="A1257" s="1">
        <v>42815</v>
      </c>
      <c r="B1257">
        <v>1</v>
      </c>
      <c r="C1257" t="s">
        <v>6267</v>
      </c>
      <c r="D1257" s="4">
        <v>343.64960000000002</v>
      </c>
      <c r="E1257" s="4">
        <v>539.99</v>
      </c>
      <c r="F1257" t="s">
        <v>3479</v>
      </c>
      <c r="G1257" t="s">
        <v>3475</v>
      </c>
      <c r="H1257" t="s">
        <v>3577</v>
      </c>
      <c r="I1257" t="s">
        <v>3578</v>
      </c>
      <c r="J1257" t="s">
        <v>3579</v>
      </c>
      <c r="K1257" s="4">
        <v>539.99</v>
      </c>
      <c r="L1257" s="4">
        <v>343.64960000000002</v>
      </c>
    </row>
    <row r="1258" spans="1:12">
      <c r="A1258" s="1">
        <v>42815</v>
      </c>
      <c r="B1258">
        <v>1</v>
      </c>
      <c r="C1258" t="s">
        <v>6277</v>
      </c>
      <c r="D1258" s="4">
        <v>8.0373000000000001</v>
      </c>
      <c r="E1258" s="4">
        <v>21.49</v>
      </c>
      <c r="F1258" t="s">
        <v>6243</v>
      </c>
      <c r="G1258" t="s">
        <v>6228</v>
      </c>
      <c r="H1258" t="s">
        <v>3582</v>
      </c>
      <c r="I1258" t="s">
        <v>3582</v>
      </c>
      <c r="J1258" t="s">
        <v>3579</v>
      </c>
      <c r="K1258" s="4">
        <v>21.49</v>
      </c>
      <c r="L1258" s="4">
        <v>8.0373000000000001</v>
      </c>
    </row>
    <row r="1259" spans="1:12">
      <c r="A1259" s="1">
        <v>42815</v>
      </c>
      <c r="B1259">
        <v>1</v>
      </c>
      <c r="C1259" t="s">
        <v>6242</v>
      </c>
      <c r="D1259" s="4">
        <v>1.8663000000000001</v>
      </c>
      <c r="E1259" s="4">
        <v>4.99</v>
      </c>
      <c r="F1259" t="s">
        <v>6243</v>
      </c>
      <c r="G1259" t="s">
        <v>6228</v>
      </c>
      <c r="H1259" t="s">
        <v>3583</v>
      </c>
      <c r="I1259" t="s">
        <v>3583</v>
      </c>
      <c r="J1259" t="s">
        <v>3584</v>
      </c>
      <c r="K1259" s="4">
        <v>4.99</v>
      </c>
      <c r="L1259" s="4">
        <v>1.8663000000000001</v>
      </c>
    </row>
    <row r="1260" spans="1:12">
      <c r="A1260" s="1">
        <v>42815</v>
      </c>
      <c r="B1260">
        <v>1</v>
      </c>
      <c r="C1260" t="s">
        <v>6230</v>
      </c>
      <c r="D1260" s="4">
        <v>12.027799999999999</v>
      </c>
      <c r="E1260" s="4">
        <v>33.644199999999998</v>
      </c>
      <c r="F1260" t="s">
        <v>6227</v>
      </c>
      <c r="G1260" t="s">
        <v>6228</v>
      </c>
      <c r="H1260" t="s">
        <v>3586</v>
      </c>
      <c r="I1260" t="s">
        <v>3586</v>
      </c>
      <c r="J1260" t="s">
        <v>3587</v>
      </c>
      <c r="K1260" s="4">
        <v>33.644199999999998</v>
      </c>
      <c r="L1260" s="4">
        <v>12.027799999999999</v>
      </c>
    </row>
    <row r="1261" spans="1:12">
      <c r="A1261" s="1">
        <v>42815</v>
      </c>
      <c r="B1261">
        <v>1</v>
      </c>
      <c r="C1261" t="s">
        <v>6315</v>
      </c>
      <c r="D1261" s="4">
        <v>1481.9378999999999</v>
      </c>
      <c r="E1261" s="4">
        <v>2384.0700000000002</v>
      </c>
      <c r="F1261" t="s">
        <v>6274</v>
      </c>
      <c r="G1261" t="s">
        <v>3475</v>
      </c>
      <c r="H1261" t="s">
        <v>3586</v>
      </c>
      <c r="I1261" t="s">
        <v>3586</v>
      </c>
      <c r="J1261" t="s">
        <v>3587</v>
      </c>
      <c r="K1261" s="4">
        <v>2384.0700000000002</v>
      </c>
      <c r="L1261" s="4">
        <v>1481.9378999999999</v>
      </c>
    </row>
    <row r="1262" spans="1:12">
      <c r="A1262" s="1">
        <v>42815</v>
      </c>
      <c r="B1262">
        <v>1</v>
      </c>
      <c r="C1262" t="s">
        <v>6287</v>
      </c>
      <c r="D1262" s="4">
        <v>1082.51</v>
      </c>
      <c r="E1262" s="4">
        <v>1700.99</v>
      </c>
      <c r="F1262" t="s">
        <v>3479</v>
      </c>
      <c r="G1262" t="s">
        <v>3475</v>
      </c>
      <c r="H1262" t="s">
        <v>3588</v>
      </c>
      <c r="I1262" t="s">
        <v>3588</v>
      </c>
      <c r="J1262" t="s">
        <v>3584</v>
      </c>
      <c r="K1262" s="4">
        <v>1700.99</v>
      </c>
      <c r="L1262" s="4">
        <v>1082.51</v>
      </c>
    </row>
    <row r="1263" spans="1:12">
      <c r="A1263" s="1">
        <v>42816</v>
      </c>
      <c r="B1263">
        <v>1</v>
      </c>
      <c r="C1263" t="s">
        <v>6244</v>
      </c>
      <c r="D1263" s="4">
        <v>3.7363</v>
      </c>
      <c r="E1263" s="4">
        <v>9.99</v>
      </c>
      <c r="F1263" t="s">
        <v>6240</v>
      </c>
      <c r="G1263" t="s">
        <v>6228</v>
      </c>
      <c r="H1263" t="s">
        <v>3577</v>
      </c>
      <c r="I1263" t="s">
        <v>3578</v>
      </c>
      <c r="J1263" t="s">
        <v>3579</v>
      </c>
      <c r="K1263" s="4">
        <v>9.99</v>
      </c>
      <c r="L1263" s="4">
        <v>3.7363</v>
      </c>
    </row>
    <row r="1264" spans="1:12">
      <c r="A1264" s="1">
        <v>42816</v>
      </c>
      <c r="B1264">
        <v>1</v>
      </c>
      <c r="C1264" t="s">
        <v>6277</v>
      </c>
      <c r="D1264" s="4">
        <v>8.0373000000000001</v>
      </c>
      <c r="E1264" s="4">
        <v>21.49</v>
      </c>
      <c r="F1264" t="s">
        <v>6243</v>
      </c>
      <c r="G1264" t="s">
        <v>6228</v>
      </c>
      <c r="H1264" t="s">
        <v>3582</v>
      </c>
      <c r="I1264" t="s">
        <v>3582</v>
      </c>
      <c r="J1264" t="s">
        <v>3579</v>
      </c>
      <c r="K1264" s="4">
        <v>21.49</v>
      </c>
      <c r="L1264" s="4">
        <v>8.0373000000000001</v>
      </c>
    </row>
    <row r="1265" spans="1:12">
      <c r="A1265" s="1">
        <v>42816</v>
      </c>
      <c r="B1265">
        <v>1</v>
      </c>
      <c r="C1265" t="s">
        <v>6230</v>
      </c>
      <c r="D1265" s="4">
        <v>12.027799999999999</v>
      </c>
      <c r="E1265" s="4">
        <v>33.644199999999998</v>
      </c>
      <c r="F1265" t="s">
        <v>6227</v>
      </c>
      <c r="G1265" t="s">
        <v>6228</v>
      </c>
      <c r="H1265" t="s">
        <v>3586</v>
      </c>
      <c r="I1265" t="s">
        <v>3586</v>
      </c>
      <c r="J1265" t="s">
        <v>3587</v>
      </c>
      <c r="K1265" s="4">
        <v>33.644199999999998</v>
      </c>
      <c r="L1265" s="4">
        <v>12.027799999999999</v>
      </c>
    </row>
    <row r="1266" spans="1:12">
      <c r="A1266" s="1">
        <v>42816</v>
      </c>
      <c r="B1266">
        <v>1</v>
      </c>
      <c r="C1266" t="s">
        <v>6245</v>
      </c>
      <c r="D1266" s="4">
        <v>0.85650000000000004</v>
      </c>
      <c r="E1266" s="4">
        <v>2.29</v>
      </c>
      <c r="F1266" t="s">
        <v>6243</v>
      </c>
      <c r="G1266" t="s">
        <v>6228</v>
      </c>
      <c r="H1266" t="s">
        <v>3586</v>
      </c>
      <c r="I1266" t="s">
        <v>3586</v>
      </c>
      <c r="J1266" t="s">
        <v>3587</v>
      </c>
      <c r="K1266" s="4">
        <v>2.29</v>
      </c>
      <c r="L1266" s="4">
        <v>0.85650000000000004</v>
      </c>
    </row>
    <row r="1267" spans="1:12">
      <c r="A1267" s="1">
        <v>42816</v>
      </c>
      <c r="B1267">
        <v>1</v>
      </c>
      <c r="C1267" t="s">
        <v>6248</v>
      </c>
      <c r="D1267" s="4">
        <v>8.2204999999999995</v>
      </c>
      <c r="E1267" s="4">
        <v>21.98</v>
      </c>
      <c r="F1267" t="s">
        <v>6249</v>
      </c>
      <c r="G1267" t="s">
        <v>6228</v>
      </c>
      <c r="H1267" t="s">
        <v>3588</v>
      </c>
      <c r="I1267" t="s">
        <v>3588</v>
      </c>
      <c r="J1267" t="s">
        <v>3584</v>
      </c>
      <c r="K1267" s="4">
        <v>21.98</v>
      </c>
      <c r="L1267" s="4">
        <v>8.2204999999999995</v>
      </c>
    </row>
    <row r="1268" spans="1:12">
      <c r="A1268" s="1">
        <v>42817</v>
      </c>
      <c r="B1268">
        <v>1</v>
      </c>
      <c r="C1268" t="s">
        <v>6239</v>
      </c>
      <c r="D1268" s="4">
        <v>1.8663000000000001</v>
      </c>
      <c r="E1268" s="4">
        <v>4.99</v>
      </c>
      <c r="F1268" t="s">
        <v>6240</v>
      </c>
      <c r="G1268" t="s">
        <v>6228</v>
      </c>
      <c r="H1268" t="s">
        <v>3580</v>
      </c>
      <c r="I1268" t="s">
        <v>3578</v>
      </c>
      <c r="J1268" t="s">
        <v>3579</v>
      </c>
      <c r="K1268" s="4">
        <v>4.99</v>
      </c>
      <c r="L1268" s="4">
        <v>1.8663000000000001</v>
      </c>
    </row>
    <row r="1269" spans="1:12">
      <c r="A1269" s="1">
        <v>42817</v>
      </c>
      <c r="B1269">
        <v>1</v>
      </c>
      <c r="C1269" t="s">
        <v>6246</v>
      </c>
      <c r="D1269" s="4">
        <v>20.566299999999998</v>
      </c>
      <c r="E1269" s="4">
        <v>54.99</v>
      </c>
      <c r="F1269" t="s">
        <v>6247</v>
      </c>
      <c r="G1269" t="s">
        <v>6228</v>
      </c>
      <c r="H1269" t="s">
        <v>3582</v>
      </c>
      <c r="I1269" t="s">
        <v>3582</v>
      </c>
      <c r="J1269" t="s">
        <v>3579</v>
      </c>
      <c r="K1269" s="4">
        <v>54.99</v>
      </c>
      <c r="L1269" s="4">
        <v>20.566299999999998</v>
      </c>
    </row>
    <row r="1270" spans="1:12">
      <c r="A1270" s="1">
        <v>42817</v>
      </c>
      <c r="B1270">
        <v>1</v>
      </c>
      <c r="C1270" t="s">
        <v>6271</v>
      </c>
      <c r="D1270" s="4">
        <v>11.2163</v>
      </c>
      <c r="E1270" s="4">
        <v>29.99</v>
      </c>
      <c r="F1270" t="s">
        <v>6243</v>
      </c>
      <c r="G1270" t="s">
        <v>6228</v>
      </c>
      <c r="H1270" t="s">
        <v>3585</v>
      </c>
      <c r="I1270" t="s">
        <v>3585</v>
      </c>
      <c r="J1270" t="s">
        <v>3584</v>
      </c>
      <c r="K1270" s="4">
        <v>29.99</v>
      </c>
      <c r="L1270" s="4">
        <v>11.2163</v>
      </c>
    </row>
    <row r="1271" spans="1:12">
      <c r="A1271" s="1">
        <v>42818</v>
      </c>
      <c r="B1271">
        <v>1</v>
      </c>
      <c r="C1271" t="s">
        <v>6239</v>
      </c>
      <c r="D1271" s="4">
        <v>1.8663000000000001</v>
      </c>
      <c r="E1271" s="4">
        <v>4.99</v>
      </c>
      <c r="F1271" t="s">
        <v>6240</v>
      </c>
      <c r="G1271" t="s">
        <v>6228</v>
      </c>
      <c r="H1271" t="s">
        <v>3586</v>
      </c>
      <c r="I1271" t="s">
        <v>3586</v>
      </c>
      <c r="J1271" t="s">
        <v>3587</v>
      </c>
      <c r="K1271" s="4">
        <v>4.99</v>
      </c>
      <c r="L1271" s="4">
        <v>1.8663000000000001</v>
      </c>
    </row>
    <row r="1272" spans="1:12">
      <c r="A1272" s="1">
        <v>42819</v>
      </c>
      <c r="B1272">
        <v>1</v>
      </c>
      <c r="C1272" t="s">
        <v>6276</v>
      </c>
      <c r="D1272" s="4">
        <v>1.8663000000000001</v>
      </c>
      <c r="E1272" s="4">
        <v>4.99</v>
      </c>
      <c r="F1272" t="s">
        <v>6243</v>
      </c>
      <c r="G1272" t="s">
        <v>6228</v>
      </c>
      <c r="H1272" t="s">
        <v>3580</v>
      </c>
      <c r="I1272" t="s">
        <v>3578</v>
      </c>
      <c r="J1272" t="s">
        <v>3579</v>
      </c>
      <c r="K1272" s="4">
        <v>4.99</v>
      </c>
      <c r="L1272" s="4">
        <v>1.8663000000000001</v>
      </c>
    </row>
    <row r="1273" spans="1:12">
      <c r="A1273" s="1">
        <v>42819</v>
      </c>
      <c r="B1273">
        <v>1</v>
      </c>
      <c r="C1273" t="s">
        <v>6226</v>
      </c>
      <c r="D1273" s="4">
        <v>13.0863</v>
      </c>
      <c r="E1273" s="4">
        <v>34.99</v>
      </c>
      <c r="F1273" t="s">
        <v>6227</v>
      </c>
      <c r="G1273" t="s">
        <v>6228</v>
      </c>
      <c r="H1273" t="s">
        <v>3582</v>
      </c>
      <c r="I1273" t="s">
        <v>3582</v>
      </c>
      <c r="J1273" t="s">
        <v>3579</v>
      </c>
      <c r="K1273" s="4">
        <v>34.99</v>
      </c>
      <c r="L1273" s="4">
        <v>13.0863</v>
      </c>
    </row>
    <row r="1274" spans="1:12">
      <c r="A1274" s="1">
        <v>42819</v>
      </c>
      <c r="B1274">
        <v>1</v>
      </c>
      <c r="C1274" t="s">
        <v>6276</v>
      </c>
      <c r="D1274" s="4">
        <v>1.8663000000000001</v>
      </c>
      <c r="E1274" s="4">
        <v>4.99</v>
      </c>
      <c r="F1274" t="s">
        <v>6243</v>
      </c>
      <c r="G1274" t="s">
        <v>6228</v>
      </c>
      <c r="H1274" t="s">
        <v>3582</v>
      </c>
      <c r="I1274" t="s">
        <v>3582</v>
      </c>
      <c r="J1274" t="s">
        <v>3579</v>
      </c>
      <c r="K1274" s="4">
        <v>4.99</v>
      </c>
      <c r="L1274" s="4">
        <v>1.8663000000000001</v>
      </c>
    </row>
    <row r="1275" spans="1:12">
      <c r="A1275" s="1">
        <v>42819</v>
      </c>
      <c r="B1275">
        <v>1</v>
      </c>
      <c r="C1275" t="s">
        <v>6239</v>
      </c>
      <c r="D1275" s="4">
        <v>1.8663000000000001</v>
      </c>
      <c r="E1275" s="4">
        <v>4.99</v>
      </c>
      <c r="F1275" t="s">
        <v>6240</v>
      </c>
      <c r="G1275" t="s">
        <v>6228</v>
      </c>
      <c r="H1275" t="s">
        <v>3586</v>
      </c>
      <c r="I1275" t="s">
        <v>3586</v>
      </c>
      <c r="J1275" t="s">
        <v>3587</v>
      </c>
      <c r="K1275" s="4">
        <v>4.99</v>
      </c>
      <c r="L1275" s="4">
        <v>1.8663000000000001</v>
      </c>
    </row>
    <row r="1276" spans="1:12">
      <c r="A1276" s="1">
        <v>42819</v>
      </c>
      <c r="B1276">
        <v>1</v>
      </c>
      <c r="C1276" t="s">
        <v>6277</v>
      </c>
      <c r="D1276" s="4">
        <v>8.0373000000000001</v>
      </c>
      <c r="E1276" s="4">
        <v>21.49</v>
      </c>
      <c r="F1276" t="s">
        <v>6243</v>
      </c>
      <c r="G1276" t="s">
        <v>6228</v>
      </c>
      <c r="H1276" t="s">
        <v>3586</v>
      </c>
      <c r="I1276" t="s">
        <v>3586</v>
      </c>
      <c r="J1276" t="s">
        <v>3587</v>
      </c>
      <c r="K1276" s="4">
        <v>21.49</v>
      </c>
      <c r="L1276" s="4">
        <v>8.0373000000000001</v>
      </c>
    </row>
    <row r="1277" spans="1:12">
      <c r="A1277" s="1">
        <v>42820</v>
      </c>
      <c r="B1277">
        <v>1</v>
      </c>
      <c r="C1277" t="s">
        <v>6230</v>
      </c>
      <c r="D1277" s="4">
        <v>12.027799999999999</v>
      </c>
      <c r="E1277" s="4">
        <v>33.644199999999998</v>
      </c>
      <c r="F1277" t="s">
        <v>6227</v>
      </c>
      <c r="G1277" t="s">
        <v>6228</v>
      </c>
      <c r="H1277" t="s">
        <v>3577</v>
      </c>
      <c r="I1277" t="s">
        <v>3578</v>
      </c>
      <c r="J1277" t="s">
        <v>3579</v>
      </c>
      <c r="K1277" s="4">
        <v>33.644199999999998</v>
      </c>
      <c r="L1277" s="4">
        <v>12.027799999999999</v>
      </c>
    </row>
    <row r="1278" spans="1:12">
      <c r="A1278" s="1">
        <v>42820</v>
      </c>
      <c r="B1278">
        <v>1</v>
      </c>
      <c r="C1278" t="s">
        <v>6256</v>
      </c>
      <c r="D1278" s="4">
        <v>44.88</v>
      </c>
      <c r="E1278" s="4">
        <v>120</v>
      </c>
      <c r="F1278" t="s">
        <v>6257</v>
      </c>
      <c r="G1278" t="s">
        <v>6228</v>
      </c>
      <c r="H1278" t="s">
        <v>3580</v>
      </c>
      <c r="I1278" t="s">
        <v>3578</v>
      </c>
      <c r="J1278" t="s">
        <v>3579</v>
      </c>
      <c r="K1278" s="4">
        <v>120</v>
      </c>
      <c r="L1278" s="4">
        <v>44.88</v>
      </c>
    </row>
    <row r="1279" spans="1:12">
      <c r="A1279" s="1">
        <v>42820</v>
      </c>
      <c r="B1279">
        <v>1</v>
      </c>
      <c r="C1279" t="s">
        <v>6231</v>
      </c>
      <c r="D1279" s="4">
        <v>5.7051999999999996</v>
      </c>
      <c r="E1279" s="4">
        <v>8.6441999999999997</v>
      </c>
      <c r="F1279" t="s">
        <v>6232</v>
      </c>
      <c r="G1279" t="s">
        <v>6233</v>
      </c>
      <c r="H1279" t="s">
        <v>3583</v>
      </c>
      <c r="I1279" t="s">
        <v>3583</v>
      </c>
      <c r="J1279" t="s">
        <v>3584</v>
      </c>
      <c r="K1279" s="4">
        <v>8.6441999999999997</v>
      </c>
      <c r="L1279" s="4">
        <v>5.7051999999999996</v>
      </c>
    </row>
    <row r="1280" spans="1:12">
      <c r="A1280" s="1">
        <v>42820</v>
      </c>
      <c r="B1280">
        <v>1</v>
      </c>
      <c r="C1280" t="s">
        <v>6248</v>
      </c>
      <c r="D1280" s="4">
        <v>8.2204999999999995</v>
      </c>
      <c r="E1280" s="4">
        <v>21.98</v>
      </c>
      <c r="F1280" t="s">
        <v>6249</v>
      </c>
      <c r="G1280" t="s">
        <v>6228</v>
      </c>
      <c r="H1280" t="s">
        <v>3585</v>
      </c>
      <c r="I1280" t="s">
        <v>3585</v>
      </c>
      <c r="J1280" t="s">
        <v>3584</v>
      </c>
      <c r="K1280" s="4">
        <v>21.98</v>
      </c>
      <c r="L1280" s="4">
        <v>8.2204999999999995</v>
      </c>
    </row>
    <row r="1281" spans="1:12">
      <c r="A1281" s="1">
        <v>42821</v>
      </c>
      <c r="B1281">
        <v>1</v>
      </c>
      <c r="C1281" t="s">
        <v>6241</v>
      </c>
      <c r="D1281" s="4">
        <v>3.3622999999999998</v>
      </c>
      <c r="E1281" s="4">
        <v>8.99</v>
      </c>
      <c r="F1281" t="s">
        <v>6240</v>
      </c>
      <c r="G1281" t="s">
        <v>6228</v>
      </c>
      <c r="H1281" t="s">
        <v>3580</v>
      </c>
      <c r="I1281" t="s">
        <v>3578</v>
      </c>
      <c r="J1281" t="s">
        <v>3579</v>
      </c>
      <c r="K1281" s="4">
        <v>8.99</v>
      </c>
      <c r="L1281" s="4">
        <v>3.3622999999999998</v>
      </c>
    </row>
    <row r="1282" spans="1:12">
      <c r="A1282" s="1">
        <v>42821</v>
      </c>
      <c r="B1282">
        <v>1</v>
      </c>
      <c r="C1282" t="s">
        <v>6231</v>
      </c>
      <c r="D1282" s="4">
        <v>5.7051999999999996</v>
      </c>
      <c r="E1282" s="4">
        <v>8.6441999999999997</v>
      </c>
      <c r="F1282" t="s">
        <v>6232</v>
      </c>
      <c r="G1282" t="s">
        <v>6233</v>
      </c>
      <c r="H1282" t="s">
        <v>3582</v>
      </c>
      <c r="I1282" t="s">
        <v>3582</v>
      </c>
      <c r="J1282" t="s">
        <v>3579</v>
      </c>
      <c r="K1282" s="4">
        <v>8.6441999999999997</v>
      </c>
      <c r="L1282" s="4">
        <v>5.7051999999999996</v>
      </c>
    </row>
    <row r="1283" spans="1:12">
      <c r="A1283" s="1">
        <v>42821</v>
      </c>
      <c r="B1283">
        <v>1</v>
      </c>
      <c r="C1283" t="s">
        <v>6239</v>
      </c>
      <c r="D1283" s="4">
        <v>1.8663000000000001</v>
      </c>
      <c r="E1283" s="4">
        <v>4.99</v>
      </c>
      <c r="F1283" t="s">
        <v>6240</v>
      </c>
      <c r="G1283" t="s">
        <v>6228</v>
      </c>
      <c r="H1283" t="s">
        <v>3582</v>
      </c>
      <c r="I1283" t="s">
        <v>3582</v>
      </c>
      <c r="J1283" t="s">
        <v>3579</v>
      </c>
      <c r="K1283" s="4">
        <v>4.99</v>
      </c>
      <c r="L1283" s="4">
        <v>1.8663000000000001</v>
      </c>
    </row>
    <row r="1284" spans="1:12">
      <c r="A1284" s="1">
        <v>42821</v>
      </c>
      <c r="B1284">
        <v>1</v>
      </c>
      <c r="C1284" t="s">
        <v>6302</v>
      </c>
      <c r="D1284" s="4">
        <v>23.748999999999999</v>
      </c>
      <c r="E1284" s="4">
        <v>63.5</v>
      </c>
      <c r="F1284" t="s">
        <v>6293</v>
      </c>
      <c r="G1284" t="s">
        <v>6233</v>
      </c>
      <c r="H1284" t="s">
        <v>3583</v>
      </c>
      <c r="I1284" t="s">
        <v>3583</v>
      </c>
      <c r="J1284" t="s">
        <v>3584</v>
      </c>
      <c r="K1284" s="4">
        <v>63.5</v>
      </c>
      <c r="L1284" s="4">
        <v>23.748999999999999</v>
      </c>
    </row>
    <row r="1285" spans="1:12">
      <c r="A1285" s="1">
        <v>42821</v>
      </c>
      <c r="B1285">
        <v>1</v>
      </c>
      <c r="C1285" t="s">
        <v>6239</v>
      </c>
      <c r="D1285" s="4">
        <v>1.8663000000000001</v>
      </c>
      <c r="E1285" s="4">
        <v>4.99</v>
      </c>
      <c r="F1285" t="s">
        <v>6240</v>
      </c>
      <c r="G1285" t="s">
        <v>6228</v>
      </c>
      <c r="H1285" t="s">
        <v>3583</v>
      </c>
      <c r="I1285" t="s">
        <v>3583</v>
      </c>
      <c r="J1285" t="s">
        <v>3584</v>
      </c>
      <c r="K1285" s="4">
        <v>4.99</v>
      </c>
      <c r="L1285" s="4">
        <v>1.8663000000000001</v>
      </c>
    </row>
    <row r="1286" spans="1:12">
      <c r="A1286" s="1">
        <v>42821</v>
      </c>
      <c r="B1286">
        <v>1</v>
      </c>
      <c r="C1286" t="s">
        <v>6260</v>
      </c>
      <c r="D1286" s="4">
        <v>13.09</v>
      </c>
      <c r="E1286" s="4">
        <v>35</v>
      </c>
      <c r="F1286" t="s">
        <v>6243</v>
      </c>
      <c r="G1286" t="s">
        <v>6228</v>
      </c>
      <c r="H1286" t="s">
        <v>3583</v>
      </c>
      <c r="I1286" t="s">
        <v>3583</v>
      </c>
      <c r="J1286" t="s">
        <v>3584</v>
      </c>
      <c r="K1286" s="4">
        <v>35</v>
      </c>
      <c r="L1286" s="4">
        <v>13.09</v>
      </c>
    </row>
    <row r="1287" spans="1:12">
      <c r="A1287" s="1">
        <v>42821</v>
      </c>
      <c r="B1287">
        <v>1</v>
      </c>
      <c r="C1287" t="s">
        <v>6226</v>
      </c>
      <c r="D1287" s="4">
        <v>13.0863</v>
      </c>
      <c r="E1287" s="4">
        <v>34.99</v>
      </c>
      <c r="F1287" t="s">
        <v>6227</v>
      </c>
      <c r="G1287" t="s">
        <v>6228</v>
      </c>
      <c r="H1287" t="s">
        <v>3588</v>
      </c>
      <c r="I1287" t="s">
        <v>3588</v>
      </c>
      <c r="J1287" t="s">
        <v>3584</v>
      </c>
      <c r="K1287" s="4">
        <v>34.99</v>
      </c>
      <c r="L1287" s="4">
        <v>13.0863</v>
      </c>
    </row>
    <row r="1288" spans="1:12">
      <c r="A1288" s="1">
        <v>42822</v>
      </c>
      <c r="B1288">
        <v>1</v>
      </c>
      <c r="C1288" t="s">
        <v>6229</v>
      </c>
      <c r="D1288" s="4">
        <v>12.027799999999999</v>
      </c>
      <c r="E1288" s="4">
        <v>33.644199999999998</v>
      </c>
      <c r="F1288" t="s">
        <v>6227</v>
      </c>
      <c r="G1288" t="s">
        <v>6228</v>
      </c>
      <c r="H1288" t="s">
        <v>3577</v>
      </c>
      <c r="I1288" t="s">
        <v>3578</v>
      </c>
      <c r="J1288" t="s">
        <v>3579</v>
      </c>
      <c r="K1288" s="4">
        <v>33.644199999999998</v>
      </c>
      <c r="L1288" s="4">
        <v>12.027799999999999</v>
      </c>
    </row>
    <row r="1289" spans="1:12">
      <c r="A1289" s="1">
        <v>42822</v>
      </c>
      <c r="B1289">
        <v>1</v>
      </c>
      <c r="C1289" t="s">
        <v>6226</v>
      </c>
      <c r="D1289" s="4">
        <v>13.0863</v>
      </c>
      <c r="E1289" s="4">
        <v>34.99</v>
      </c>
      <c r="F1289" t="s">
        <v>6227</v>
      </c>
      <c r="G1289" t="s">
        <v>6228</v>
      </c>
      <c r="H1289" t="s">
        <v>3580</v>
      </c>
      <c r="I1289" t="s">
        <v>3578</v>
      </c>
      <c r="J1289" t="s">
        <v>3579</v>
      </c>
      <c r="K1289" s="4">
        <v>34.99</v>
      </c>
      <c r="L1289" s="4">
        <v>13.0863</v>
      </c>
    </row>
    <row r="1290" spans="1:12">
      <c r="A1290" s="1">
        <v>42822</v>
      </c>
      <c r="B1290">
        <v>1</v>
      </c>
      <c r="C1290" t="s">
        <v>6260</v>
      </c>
      <c r="D1290" s="4">
        <v>13.09</v>
      </c>
      <c r="E1290" s="4">
        <v>35</v>
      </c>
      <c r="F1290" t="s">
        <v>6243</v>
      </c>
      <c r="G1290" t="s">
        <v>6228</v>
      </c>
      <c r="H1290" t="s">
        <v>3580</v>
      </c>
      <c r="I1290" t="s">
        <v>3578</v>
      </c>
      <c r="J1290" t="s">
        <v>3579</v>
      </c>
      <c r="K1290" s="4">
        <v>35</v>
      </c>
      <c r="L1290" s="4">
        <v>13.09</v>
      </c>
    </row>
    <row r="1291" spans="1:12">
      <c r="A1291" s="1">
        <v>42822</v>
      </c>
      <c r="B1291">
        <v>1</v>
      </c>
      <c r="C1291" t="s">
        <v>3546</v>
      </c>
      <c r="D1291" s="4">
        <v>1105.81</v>
      </c>
      <c r="E1291" s="4">
        <v>2049.0981999999999</v>
      </c>
      <c r="F1291" t="s">
        <v>3478</v>
      </c>
      <c r="G1291" t="s">
        <v>3475</v>
      </c>
      <c r="H1291" t="s">
        <v>3583</v>
      </c>
      <c r="I1291" t="s">
        <v>3583</v>
      </c>
      <c r="J1291" t="s">
        <v>3584</v>
      </c>
      <c r="K1291" s="4">
        <v>2049.0981999999999</v>
      </c>
      <c r="L1291" s="4">
        <v>1105.81</v>
      </c>
    </row>
    <row r="1292" spans="1:12">
      <c r="A1292" s="1">
        <v>42822</v>
      </c>
      <c r="B1292">
        <v>1</v>
      </c>
      <c r="C1292" t="s">
        <v>6231</v>
      </c>
      <c r="D1292" s="4">
        <v>5.7051999999999996</v>
      </c>
      <c r="E1292" s="4">
        <v>8.6441999999999997</v>
      </c>
      <c r="F1292" t="s">
        <v>6232</v>
      </c>
      <c r="G1292" t="s">
        <v>6233</v>
      </c>
      <c r="H1292" t="s">
        <v>3586</v>
      </c>
      <c r="I1292" t="s">
        <v>3586</v>
      </c>
      <c r="J1292" t="s">
        <v>3587</v>
      </c>
      <c r="K1292" s="4">
        <v>8.6441999999999997</v>
      </c>
      <c r="L1292" s="4">
        <v>5.7051999999999996</v>
      </c>
    </row>
    <row r="1293" spans="1:12">
      <c r="A1293" s="1">
        <v>42822</v>
      </c>
      <c r="B1293">
        <v>1</v>
      </c>
      <c r="C1293" t="s">
        <v>6314</v>
      </c>
      <c r="D1293" s="4">
        <v>23.748999999999999</v>
      </c>
      <c r="E1293" s="4">
        <v>63.5</v>
      </c>
      <c r="F1293" t="s">
        <v>6293</v>
      </c>
      <c r="G1293" t="s">
        <v>6233</v>
      </c>
      <c r="H1293" t="s">
        <v>3586</v>
      </c>
      <c r="I1293" t="s">
        <v>3586</v>
      </c>
      <c r="J1293" t="s">
        <v>3587</v>
      </c>
      <c r="K1293" s="4">
        <v>63.5</v>
      </c>
      <c r="L1293" s="4">
        <v>23.748999999999999</v>
      </c>
    </row>
    <row r="1294" spans="1:12">
      <c r="A1294" s="1">
        <v>42822</v>
      </c>
      <c r="B1294">
        <v>1</v>
      </c>
      <c r="C1294" t="s">
        <v>6261</v>
      </c>
      <c r="D1294" s="4">
        <v>26.176300000000001</v>
      </c>
      <c r="E1294" s="4">
        <v>69.989999999999995</v>
      </c>
      <c r="F1294" t="s">
        <v>6262</v>
      </c>
      <c r="G1294" t="s">
        <v>6233</v>
      </c>
      <c r="H1294" t="s">
        <v>3586</v>
      </c>
      <c r="I1294" t="s">
        <v>3586</v>
      </c>
      <c r="J1294" t="s">
        <v>3587</v>
      </c>
      <c r="K1294" s="4">
        <v>69.989999999999995</v>
      </c>
      <c r="L1294" s="4">
        <v>26.176300000000001</v>
      </c>
    </row>
    <row r="1295" spans="1:12">
      <c r="A1295" s="1">
        <v>42822</v>
      </c>
      <c r="B1295">
        <v>1</v>
      </c>
      <c r="C1295" t="s">
        <v>6231</v>
      </c>
      <c r="D1295" s="4">
        <v>5.7051999999999996</v>
      </c>
      <c r="E1295" s="4">
        <v>8.6441999999999997</v>
      </c>
      <c r="F1295" t="s">
        <v>6232</v>
      </c>
      <c r="G1295" t="s">
        <v>6233</v>
      </c>
      <c r="H1295" t="s">
        <v>3588</v>
      </c>
      <c r="I1295" t="s">
        <v>3588</v>
      </c>
      <c r="J1295" t="s">
        <v>3584</v>
      </c>
      <c r="K1295" s="4">
        <v>8.6441999999999997</v>
      </c>
      <c r="L1295" s="4">
        <v>5.7051999999999996</v>
      </c>
    </row>
    <row r="1296" spans="1:12">
      <c r="A1296" s="1">
        <v>42823</v>
      </c>
      <c r="B1296">
        <v>1</v>
      </c>
      <c r="C1296" t="s">
        <v>6230</v>
      </c>
      <c r="D1296" s="4">
        <v>12.027799999999999</v>
      </c>
      <c r="E1296" s="4">
        <v>33.644199999999998</v>
      </c>
      <c r="F1296" t="s">
        <v>6227</v>
      </c>
      <c r="G1296" t="s">
        <v>6228</v>
      </c>
      <c r="H1296" t="s">
        <v>3577</v>
      </c>
      <c r="I1296" t="s">
        <v>3578</v>
      </c>
      <c r="J1296" t="s">
        <v>3579</v>
      </c>
      <c r="K1296" s="4">
        <v>33.644199999999998</v>
      </c>
      <c r="L1296" s="4">
        <v>12.027799999999999</v>
      </c>
    </row>
    <row r="1297" spans="1:12">
      <c r="A1297" s="1">
        <v>42823</v>
      </c>
      <c r="B1297">
        <v>1</v>
      </c>
      <c r="C1297" t="s">
        <v>6284</v>
      </c>
      <c r="D1297" s="4">
        <v>26.176300000000001</v>
      </c>
      <c r="E1297" s="4">
        <v>69.989999999999995</v>
      </c>
      <c r="F1297" t="s">
        <v>6262</v>
      </c>
      <c r="G1297" t="s">
        <v>6233</v>
      </c>
      <c r="H1297" t="s">
        <v>3577</v>
      </c>
      <c r="I1297" t="s">
        <v>3578</v>
      </c>
      <c r="J1297" t="s">
        <v>3579</v>
      </c>
      <c r="K1297" s="4">
        <v>69.989999999999995</v>
      </c>
      <c r="L1297" s="4">
        <v>26.176300000000001</v>
      </c>
    </row>
    <row r="1298" spans="1:12">
      <c r="A1298" s="1">
        <v>42823</v>
      </c>
      <c r="B1298">
        <v>1</v>
      </c>
      <c r="C1298" t="s">
        <v>6242</v>
      </c>
      <c r="D1298" s="4">
        <v>1.8663000000000001</v>
      </c>
      <c r="E1298" s="4">
        <v>4.99</v>
      </c>
      <c r="F1298" t="s">
        <v>6243</v>
      </c>
      <c r="G1298" t="s">
        <v>6228</v>
      </c>
      <c r="H1298" t="s">
        <v>3577</v>
      </c>
      <c r="I1298" t="s">
        <v>3578</v>
      </c>
      <c r="J1298" t="s">
        <v>3579</v>
      </c>
      <c r="K1298" s="4">
        <v>4.99</v>
      </c>
      <c r="L1298" s="4">
        <v>1.8663000000000001</v>
      </c>
    </row>
    <row r="1299" spans="1:12">
      <c r="A1299" s="1">
        <v>42823</v>
      </c>
      <c r="B1299">
        <v>1</v>
      </c>
      <c r="C1299" t="s">
        <v>6284</v>
      </c>
      <c r="D1299" s="4">
        <v>26.176300000000001</v>
      </c>
      <c r="E1299" s="4">
        <v>69.989999999999995</v>
      </c>
      <c r="F1299" t="s">
        <v>6262</v>
      </c>
      <c r="G1299" t="s">
        <v>6233</v>
      </c>
      <c r="H1299" t="s">
        <v>3580</v>
      </c>
      <c r="I1299" t="s">
        <v>3578</v>
      </c>
      <c r="J1299" t="s">
        <v>3579</v>
      </c>
      <c r="K1299" s="4">
        <v>69.989999999999995</v>
      </c>
      <c r="L1299" s="4">
        <v>26.176300000000001</v>
      </c>
    </row>
    <row r="1300" spans="1:12">
      <c r="A1300" s="1">
        <v>42823</v>
      </c>
      <c r="B1300">
        <v>1</v>
      </c>
      <c r="C1300" t="s">
        <v>6245</v>
      </c>
      <c r="D1300" s="4">
        <v>0.85650000000000004</v>
      </c>
      <c r="E1300" s="4">
        <v>2.29</v>
      </c>
      <c r="F1300" t="s">
        <v>6243</v>
      </c>
      <c r="G1300" t="s">
        <v>6228</v>
      </c>
      <c r="H1300" t="s">
        <v>3582</v>
      </c>
      <c r="I1300" t="s">
        <v>3582</v>
      </c>
      <c r="J1300" t="s">
        <v>3579</v>
      </c>
      <c r="K1300" s="4">
        <v>2.29</v>
      </c>
      <c r="L1300" s="4">
        <v>0.85650000000000004</v>
      </c>
    </row>
    <row r="1301" spans="1:12">
      <c r="A1301" s="1">
        <v>42823</v>
      </c>
      <c r="B1301">
        <v>1</v>
      </c>
      <c r="C1301" t="s">
        <v>6230</v>
      </c>
      <c r="D1301" s="4">
        <v>12.027799999999999</v>
      </c>
      <c r="E1301" s="4">
        <v>33.644199999999998</v>
      </c>
      <c r="F1301" t="s">
        <v>6227</v>
      </c>
      <c r="G1301" t="s">
        <v>6228</v>
      </c>
      <c r="H1301" t="s">
        <v>3583</v>
      </c>
      <c r="I1301" t="s">
        <v>3583</v>
      </c>
      <c r="J1301" t="s">
        <v>3584</v>
      </c>
      <c r="K1301" s="4">
        <v>33.644199999999998</v>
      </c>
      <c r="L1301" s="4">
        <v>12.027799999999999</v>
      </c>
    </row>
    <row r="1302" spans="1:12">
      <c r="A1302" s="1">
        <v>42823</v>
      </c>
      <c r="B1302">
        <v>1</v>
      </c>
      <c r="C1302" t="s">
        <v>6226</v>
      </c>
      <c r="D1302" s="4">
        <v>13.0863</v>
      </c>
      <c r="E1302" s="4">
        <v>34.99</v>
      </c>
      <c r="F1302" t="s">
        <v>6227</v>
      </c>
      <c r="G1302" t="s">
        <v>6228</v>
      </c>
      <c r="H1302" t="s">
        <v>3588</v>
      </c>
      <c r="I1302" t="s">
        <v>3588</v>
      </c>
      <c r="J1302" t="s">
        <v>3584</v>
      </c>
      <c r="K1302" s="4">
        <v>34.99</v>
      </c>
      <c r="L1302" s="4">
        <v>13.0863</v>
      </c>
    </row>
    <row r="1303" spans="1:12">
      <c r="A1303" s="1">
        <v>42823</v>
      </c>
      <c r="B1303">
        <v>1</v>
      </c>
      <c r="C1303" t="s">
        <v>6300</v>
      </c>
      <c r="D1303" s="4">
        <v>294.5797</v>
      </c>
      <c r="E1303" s="4">
        <v>539.99</v>
      </c>
      <c r="F1303" t="s">
        <v>3478</v>
      </c>
      <c r="G1303" t="s">
        <v>3475</v>
      </c>
      <c r="H1303" t="s">
        <v>3588</v>
      </c>
      <c r="I1303" t="s">
        <v>3588</v>
      </c>
      <c r="J1303" t="s">
        <v>3584</v>
      </c>
      <c r="K1303" s="4">
        <v>539.99</v>
      </c>
      <c r="L1303" s="4">
        <v>294.5797</v>
      </c>
    </row>
    <row r="1304" spans="1:12">
      <c r="A1304" s="1">
        <v>42824</v>
      </c>
      <c r="B1304">
        <v>1</v>
      </c>
      <c r="C1304" t="s">
        <v>6241</v>
      </c>
      <c r="D1304" s="4">
        <v>3.3622999999999998</v>
      </c>
      <c r="E1304" s="4">
        <v>8.99</v>
      </c>
      <c r="F1304" t="s">
        <v>6240</v>
      </c>
      <c r="G1304" t="s">
        <v>6228</v>
      </c>
      <c r="H1304" t="s">
        <v>3577</v>
      </c>
      <c r="I1304" t="s">
        <v>3578</v>
      </c>
      <c r="J1304" t="s">
        <v>3579</v>
      </c>
      <c r="K1304" s="4">
        <v>8.99</v>
      </c>
      <c r="L1304" s="4">
        <v>3.3622999999999998</v>
      </c>
    </row>
    <row r="1305" spans="1:12">
      <c r="A1305" s="1">
        <v>42824</v>
      </c>
      <c r="B1305">
        <v>1</v>
      </c>
      <c r="C1305" t="s">
        <v>6319</v>
      </c>
      <c r="D1305" s="4">
        <v>461.44479999999999</v>
      </c>
      <c r="E1305" s="4">
        <v>742.35</v>
      </c>
      <c r="F1305" t="s">
        <v>6274</v>
      </c>
      <c r="G1305" t="s">
        <v>3475</v>
      </c>
      <c r="H1305" t="s">
        <v>3577</v>
      </c>
      <c r="I1305" t="s">
        <v>3578</v>
      </c>
      <c r="J1305" t="s">
        <v>3579</v>
      </c>
      <c r="K1305" s="4">
        <v>742.35</v>
      </c>
      <c r="L1305" s="4">
        <v>461.44479999999999</v>
      </c>
    </row>
    <row r="1306" spans="1:12">
      <c r="A1306" s="1">
        <v>42824</v>
      </c>
      <c r="B1306">
        <v>1</v>
      </c>
      <c r="C1306" t="s">
        <v>6248</v>
      </c>
      <c r="D1306" s="4">
        <v>8.2204999999999995</v>
      </c>
      <c r="E1306" s="4">
        <v>21.98</v>
      </c>
      <c r="F1306" t="s">
        <v>6249</v>
      </c>
      <c r="G1306" t="s">
        <v>6228</v>
      </c>
      <c r="H1306" t="s">
        <v>3582</v>
      </c>
      <c r="I1306" t="s">
        <v>3582</v>
      </c>
      <c r="J1306" t="s">
        <v>3579</v>
      </c>
      <c r="K1306" s="4">
        <v>21.98</v>
      </c>
      <c r="L1306" s="4">
        <v>8.2204999999999995</v>
      </c>
    </row>
    <row r="1307" spans="1:12">
      <c r="A1307" s="1">
        <v>42824</v>
      </c>
      <c r="B1307">
        <v>1</v>
      </c>
      <c r="C1307" t="s">
        <v>6260</v>
      </c>
      <c r="D1307" s="4">
        <v>13.09</v>
      </c>
      <c r="E1307" s="4">
        <v>35</v>
      </c>
      <c r="F1307" t="s">
        <v>6243</v>
      </c>
      <c r="G1307" t="s">
        <v>6228</v>
      </c>
      <c r="H1307" t="s">
        <v>3582</v>
      </c>
      <c r="I1307" t="s">
        <v>3582</v>
      </c>
      <c r="J1307" t="s">
        <v>3579</v>
      </c>
      <c r="K1307" s="4">
        <v>35</v>
      </c>
      <c r="L1307" s="4">
        <v>13.09</v>
      </c>
    </row>
    <row r="1308" spans="1:12">
      <c r="A1308" s="1">
        <v>42824</v>
      </c>
      <c r="B1308">
        <v>1</v>
      </c>
      <c r="C1308" t="s">
        <v>6270</v>
      </c>
      <c r="D1308" s="4">
        <v>1.4923</v>
      </c>
      <c r="E1308" s="4">
        <v>3.99</v>
      </c>
      <c r="F1308" t="s">
        <v>6243</v>
      </c>
      <c r="G1308" t="s">
        <v>6228</v>
      </c>
      <c r="H1308" t="s">
        <v>3583</v>
      </c>
      <c r="I1308" t="s">
        <v>3583</v>
      </c>
      <c r="J1308" t="s">
        <v>3584</v>
      </c>
      <c r="K1308" s="4">
        <v>3.99</v>
      </c>
      <c r="L1308" s="4">
        <v>1.4923</v>
      </c>
    </row>
    <row r="1309" spans="1:12">
      <c r="A1309" s="1">
        <v>42825</v>
      </c>
      <c r="B1309">
        <v>1</v>
      </c>
      <c r="C1309" t="s">
        <v>3570</v>
      </c>
      <c r="D1309" s="4">
        <v>605.64919999999995</v>
      </c>
      <c r="E1309" s="4">
        <v>1000.4375</v>
      </c>
      <c r="F1309" t="s">
        <v>3479</v>
      </c>
      <c r="G1309" t="s">
        <v>3475</v>
      </c>
      <c r="H1309" t="s">
        <v>3577</v>
      </c>
      <c r="I1309" t="s">
        <v>3578</v>
      </c>
      <c r="J1309" t="s">
        <v>3579</v>
      </c>
      <c r="K1309" s="4">
        <v>1000.4375</v>
      </c>
      <c r="L1309" s="4">
        <v>605.64919999999995</v>
      </c>
    </row>
    <row r="1310" spans="1:12">
      <c r="A1310" s="1">
        <v>42825</v>
      </c>
      <c r="B1310">
        <v>1</v>
      </c>
      <c r="C1310" t="s">
        <v>6263</v>
      </c>
      <c r="D1310" s="4">
        <v>3.3622999999999998</v>
      </c>
      <c r="E1310" s="4">
        <v>8.99</v>
      </c>
      <c r="F1310" t="s">
        <v>6264</v>
      </c>
      <c r="G1310" t="s">
        <v>6233</v>
      </c>
      <c r="H1310" t="s">
        <v>3580</v>
      </c>
      <c r="I1310" t="s">
        <v>3578</v>
      </c>
      <c r="J1310" t="s">
        <v>3579</v>
      </c>
      <c r="K1310" s="4">
        <v>8.99</v>
      </c>
      <c r="L1310" s="4">
        <v>3.3622999999999998</v>
      </c>
    </row>
    <row r="1311" spans="1:12">
      <c r="A1311" s="1">
        <v>42825</v>
      </c>
      <c r="B1311">
        <v>1</v>
      </c>
      <c r="C1311" t="s">
        <v>6242</v>
      </c>
      <c r="D1311" s="4">
        <v>1.8663000000000001</v>
      </c>
      <c r="E1311" s="4">
        <v>4.99</v>
      </c>
      <c r="F1311" t="s">
        <v>6243</v>
      </c>
      <c r="G1311" t="s">
        <v>6228</v>
      </c>
      <c r="H1311" t="s">
        <v>3580</v>
      </c>
      <c r="I1311" t="s">
        <v>3578</v>
      </c>
      <c r="J1311" t="s">
        <v>3579</v>
      </c>
      <c r="K1311" s="4">
        <v>4.99</v>
      </c>
      <c r="L1311" s="4">
        <v>1.8663000000000001</v>
      </c>
    </row>
    <row r="1312" spans="1:12">
      <c r="A1312" s="1">
        <v>42825</v>
      </c>
      <c r="B1312">
        <v>1</v>
      </c>
      <c r="C1312" t="s">
        <v>6245</v>
      </c>
      <c r="D1312" s="4">
        <v>0.85650000000000004</v>
      </c>
      <c r="E1312" s="4">
        <v>2.29</v>
      </c>
      <c r="F1312" t="s">
        <v>6243</v>
      </c>
      <c r="G1312" t="s">
        <v>6228</v>
      </c>
      <c r="H1312" t="s">
        <v>3582</v>
      </c>
      <c r="I1312" t="s">
        <v>3582</v>
      </c>
      <c r="J1312" t="s">
        <v>3579</v>
      </c>
      <c r="K1312" s="4">
        <v>2.29</v>
      </c>
      <c r="L1312" s="4">
        <v>0.85650000000000004</v>
      </c>
    </row>
    <row r="1313" spans="1:12">
      <c r="A1313" s="1">
        <v>42825</v>
      </c>
      <c r="B1313">
        <v>1</v>
      </c>
      <c r="C1313" t="s">
        <v>6263</v>
      </c>
      <c r="D1313" s="4">
        <v>3.3622999999999998</v>
      </c>
      <c r="E1313" s="4">
        <v>8.99</v>
      </c>
      <c r="F1313" t="s">
        <v>6264</v>
      </c>
      <c r="G1313" t="s">
        <v>6233</v>
      </c>
      <c r="H1313" t="s">
        <v>3583</v>
      </c>
      <c r="I1313" t="s">
        <v>3583</v>
      </c>
      <c r="J1313" t="s">
        <v>3584</v>
      </c>
      <c r="K1313" s="4">
        <v>8.99</v>
      </c>
      <c r="L1313" s="4">
        <v>3.3622999999999998</v>
      </c>
    </row>
    <row r="1314" spans="1:12">
      <c r="A1314" s="1">
        <v>42826</v>
      </c>
      <c r="B1314">
        <v>1</v>
      </c>
      <c r="C1314" t="s">
        <v>6229</v>
      </c>
      <c r="D1314" s="4">
        <v>12.027799999999999</v>
      </c>
      <c r="E1314" s="4">
        <v>33.644199999999998</v>
      </c>
      <c r="F1314" t="s">
        <v>6227</v>
      </c>
      <c r="G1314" t="s">
        <v>6228</v>
      </c>
      <c r="H1314" t="s">
        <v>3580</v>
      </c>
      <c r="I1314" t="s">
        <v>3578</v>
      </c>
      <c r="J1314" t="s">
        <v>3579</v>
      </c>
      <c r="K1314" s="4">
        <v>33.644199999999998</v>
      </c>
      <c r="L1314" s="4">
        <v>12.027799999999999</v>
      </c>
    </row>
    <row r="1315" spans="1:12">
      <c r="A1315" s="1">
        <v>42826</v>
      </c>
      <c r="B1315">
        <v>1</v>
      </c>
      <c r="C1315" t="s">
        <v>3538</v>
      </c>
      <c r="D1315" s="4">
        <v>1117.8559</v>
      </c>
      <c r="E1315" s="4">
        <v>2071.4196000000002</v>
      </c>
      <c r="F1315" t="s">
        <v>3478</v>
      </c>
      <c r="G1315" t="s">
        <v>3475</v>
      </c>
      <c r="H1315" t="s">
        <v>3580</v>
      </c>
      <c r="I1315" t="s">
        <v>3578</v>
      </c>
      <c r="J1315" t="s">
        <v>3579</v>
      </c>
      <c r="K1315" s="4">
        <v>2071.4196000000002</v>
      </c>
      <c r="L1315" s="4">
        <v>1117.8559</v>
      </c>
    </row>
    <row r="1316" spans="1:12">
      <c r="A1316" s="1">
        <v>42826</v>
      </c>
      <c r="B1316">
        <v>1</v>
      </c>
      <c r="C1316" t="s">
        <v>6294</v>
      </c>
      <c r="D1316" s="4">
        <v>1082.51</v>
      </c>
      <c r="E1316" s="4">
        <v>1700.99</v>
      </c>
      <c r="F1316" t="s">
        <v>3479</v>
      </c>
      <c r="G1316" t="s">
        <v>3475</v>
      </c>
      <c r="H1316" t="s">
        <v>3580</v>
      </c>
      <c r="I1316" t="s">
        <v>3578</v>
      </c>
      <c r="J1316" t="s">
        <v>3579</v>
      </c>
      <c r="K1316" s="4">
        <v>1700.99</v>
      </c>
      <c r="L1316" s="4">
        <v>1082.51</v>
      </c>
    </row>
    <row r="1317" spans="1:12">
      <c r="A1317" s="1">
        <v>42826</v>
      </c>
      <c r="B1317">
        <v>1</v>
      </c>
      <c r="C1317" t="s">
        <v>6236</v>
      </c>
      <c r="D1317" s="4">
        <v>31.724399999999999</v>
      </c>
      <c r="E1317" s="4">
        <v>48.067300000000003</v>
      </c>
      <c r="F1317" t="s">
        <v>6235</v>
      </c>
      <c r="G1317" t="s">
        <v>6233</v>
      </c>
      <c r="H1317" t="s">
        <v>3582</v>
      </c>
      <c r="I1317" t="s">
        <v>3582</v>
      </c>
      <c r="J1317" t="s">
        <v>3579</v>
      </c>
      <c r="K1317" s="4">
        <v>48.067300000000003</v>
      </c>
      <c r="L1317" s="4">
        <v>31.724399999999999</v>
      </c>
    </row>
    <row r="1318" spans="1:12">
      <c r="A1318" s="1">
        <v>42826</v>
      </c>
      <c r="B1318">
        <v>1</v>
      </c>
      <c r="C1318" t="s">
        <v>6242</v>
      </c>
      <c r="D1318" s="4">
        <v>1.8663000000000001</v>
      </c>
      <c r="E1318" s="4">
        <v>4.99</v>
      </c>
      <c r="F1318" t="s">
        <v>6243</v>
      </c>
      <c r="G1318" t="s">
        <v>6228</v>
      </c>
      <c r="H1318" t="s">
        <v>3582</v>
      </c>
      <c r="I1318" t="s">
        <v>3582</v>
      </c>
      <c r="J1318" t="s">
        <v>3579</v>
      </c>
      <c r="K1318" s="4">
        <v>4.99</v>
      </c>
      <c r="L1318" s="4">
        <v>1.8663000000000001</v>
      </c>
    </row>
    <row r="1319" spans="1:12">
      <c r="A1319" s="1">
        <v>42826</v>
      </c>
      <c r="B1319">
        <v>1</v>
      </c>
      <c r="C1319" t="s">
        <v>3566</v>
      </c>
      <c r="D1319" s="4">
        <v>605.64919999999995</v>
      </c>
      <c r="E1319" s="4">
        <v>1000.4375</v>
      </c>
      <c r="F1319" t="s">
        <v>3479</v>
      </c>
      <c r="G1319" t="s">
        <v>3475</v>
      </c>
      <c r="H1319" t="s">
        <v>3585</v>
      </c>
      <c r="I1319" t="s">
        <v>3585</v>
      </c>
      <c r="J1319" t="s">
        <v>3584</v>
      </c>
      <c r="K1319" s="4">
        <v>1000.4375</v>
      </c>
      <c r="L1319" s="4">
        <v>605.64919999999995</v>
      </c>
    </row>
    <row r="1320" spans="1:12">
      <c r="A1320" s="1">
        <v>42827</v>
      </c>
      <c r="B1320">
        <v>1</v>
      </c>
      <c r="C1320" t="s">
        <v>6230</v>
      </c>
      <c r="D1320" s="4">
        <v>12.027799999999999</v>
      </c>
      <c r="E1320" s="4">
        <v>33.644199999999998</v>
      </c>
      <c r="F1320" t="s">
        <v>6227</v>
      </c>
      <c r="G1320" t="s">
        <v>6228</v>
      </c>
      <c r="H1320" t="s">
        <v>3585</v>
      </c>
      <c r="I1320" t="s">
        <v>3585</v>
      </c>
      <c r="J1320" t="s">
        <v>3584</v>
      </c>
      <c r="K1320" s="4">
        <v>33.644199999999998</v>
      </c>
      <c r="L1320" s="4">
        <v>12.027799999999999</v>
      </c>
    </row>
    <row r="1321" spans="1:12">
      <c r="A1321" s="1">
        <v>42827</v>
      </c>
      <c r="B1321">
        <v>1</v>
      </c>
      <c r="C1321" t="s">
        <v>6245</v>
      </c>
      <c r="D1321" s="4">
        <v>0.85650000000000004</v>
      </c>
      <c r="E1321" s="4">
        <v>2.29</v>
      </c>
      <c r="F1321" t="s">
        <v>6243</v>
      </c>
      <c r="G1321" t="s">
        <v>6228</v>
      </c>
      <c r="H1321" t="s">
        <v>3588</v>
      </c>
      <c r="I1321" t="s">
        <v>3588</v>
      </c>
      <c r="J1321" t="s">
        <v>3584</v>
      </c>
      <c r="K1321" s="4">
        <v>2.29</v>
      </c>
      <c r="L1321" s="4">
        <v>0.85650000000000004</v>
      </c>
    </row>
    <row r="1322" spans="1:12">
      <c r="A1322" s="1">
        <v>42828</v>
      </c>
      <c r="B1322">
        <v>1</v>
      </c>
      <c r="C1322" t="s">
        <v>6239</v>
      </c>
      <c r="D1322" s="4">
        <v>1.8663000000000001</v>
      </c>
      <c r="E1322" s="4">
        <v>4.99</v>
      </c>
      <c r="F1322" t="s">
        <v>6240</v>
      </c>
      <c r="G1322" t="s">
        <v>6228</v>
      </c>
      <c r="H1322" t="s">
        <v>3580</v>
      </c>
      <c r="I1322" t="s">
        <v>3578</v>
      </c>
      <c r="J1322" t="s">
        <v>3579</v>
      </c>
      <c r="K1322" s="4">
        <v>4.99</v>
      </c>
      <c r="L1322" s="4">
        <v>1.8663000000000001</v>
      </c>
    </row>
    <row r="1323" spans="1:12">
      <c r="A1323" s="1">
        <v>42828</v>
      </c>
      <c r="B1323">
        <v>1</v>
      </c>
      <c r="C1323" t="s">
        <v>6288</v>
      </c>
      <c r="D1323" s="4">
        <v>41.572299999999998</v>
      </c>
      <c r="E1323" s="4">
        <v>53.99</v>
      </c>
      <c r="F1323" t="s">
        <v>6235</v>
      </c>
      <c r="G1323" t="s">
        <v>6233</v>
      </c>
      <c r="H1323" t="s">
        <v>3580</v>
      </c>
      <c r="I1323" t="s">
        <v>3578</v>
      </c>
      <c r="J1323" t="s">
        <v>3579</v>
      </c>
      <c r="K1323" s="4">
        <v>53.99</v>
      </c>
      <c r="L1323" s="4">
        <v>41.572299999999998</v>
      </c>
    </row>
    <row r="1324" spans="1:12">
      <c r="A1324" s="1">
        <v>42828</v>
      </c>
      <c r="B1324">
        <v>1</v>
      </c>
      <c r="C1324" t="s">
        <v>6265</v>
      </c>
      <c r="D1324" s="4">
        <v>59.466000000000001</v>
      </c>
      <c r="E1324" s="4">
        <v>159</v>
      </c>
      <c r="F1324" t="s">
        <v>6266</v>
      </c>
      <c r="G1324" t="s">
        <v>6228</v>
      </c>
      <c r="H1324" t="s">
        <v>3582</v>
      </c>
      <c r="I1324" t="s">
        <v>3582</v>
      </c>
      <c r="J1324" t="s">
        <v>3579</v>
      </c>
      <c r="K1324" s="4">
        <v>159</v>
      </c>
      <c r="L1324" s="4">
        <v>59.466000000000001</v>
      </c>
    </row>
    <row r="1325" spans="1:12">
      <c r="A1325" s="1">
        <v>42828</v>
      </c>
      <c r="B1325">
        <v>1</v>
      </c>
      <c r="C1325" t="s">
        <v>6238</v>
      </c>
      <c r="D1325" s="4">
        <v>31.724399999999999</v>
      </c>
      <c r="E1325" s="4">
        <v>48.067300000000003</v>
      </c>
      <c r="F1325" t="s">
        <v>6235</v>
      </c>
      <c r="G1325" t="s">
        <v>6233</v>
      </c>
      <c r="H1325" t="s">
        <v>3586</v>
      </c>
      <c r="I1325" t="s">
        <v>3586</v>
      </c>
      <c r="J1325" t="s">
        <v>3587</v>
      </c>
      <c r="K1325" s="4">
        <v>48.067300000000003</v>
      </c>
      <c r="L1325" s="4">
        <v>31.724399999999999</v>
      </c>
    </row>
    <row r="1326" spans="1:12">
      <c r="A1326" s="1">
        <v>42828</v>
      </c>
      <c r="B1326">
        <v>1</v>
      </c>
      <c r="C1326" t="s">
        <v>6271</v>
      </c>
      <c r="D1326" s="4">
        <v>11.2163</v>
      </c>
      <c r="E1326" s="4">
        <v>29.99</v>
      </c>
      <c r="F1326" t="s">
        <v>6243</v>
      </c>
      <c r="G1326" t="s">
        <v>6228</v>
      </c>
      <c r="H1326" t="s">
        <v>3586</v>
      </c>
      <c r="I1326" t="s">
        <v>3586</v>
      </c>
      <c r="J1326" t="s">
        <v>3587</v>
      </c>
      <c r="K1326" s="4">
        <v>29.99</v>
      </c>
      <c r="L1326" s="4">
        <v>11.2163</v>
      </c>
    </row>
    <row r="1327" spans="1:12">
      <c r="A1327" s="1">
        <v>42828</v>
      </c>
      <c r="B1327">
        <v>1</v>
      </c>
      <c r="C1327" t="s">
        <v>6309</v>
      </c>
      <c r="D1327" s="4">
        <v>1481.9378999999999</v>
      </c>
      <c r="E1327" s="4">
        <v>2384.0700000000002</v>
      </c>
      <c r="F1327" t="s">
        <v>6274</v>
      </c>
      <c r="G1327" t="s">
        <v>3475</v>
      </c>
      <c r="H1327" t="s">
        <v>3586</v>
      </c>
      <c r="I1327" t="s">
        <v>3586</v>
      </c>
      <c r="J1327" t="s">
        <v>3587</v>
      </c>
      <c r="K1327" s="4">
        <v>2384.0700000000002</v>
      </c>
      <c r="L1327" s="4">
        <v>1481.9378999999999</v>
      </c>
    </row>
    <row r="1328" spans="1:12">
      <c r="A1328" s="1">
        <v>42828</v>
      </c>
      <c r="B1328">
        <v>1</v>
      </c>
      <c r="C1328" t="s">
        <v>6245</v>
      </c>
      <c r="D1328" s="4">
        <v>0.85650000000000004</v>
      </c>
      <c r="E1328" s="4">
        <v>2.29</v>
      </c>
      <c r="F1328" t="s">
        <v>6243</v>
      </c>
      <c r="G1328" t="s">
        <v>6228</v>
      </c>
      <c r="H1328" t="s">
        <v>3588</v>
      </c>
      <c r="I1328" t="s">
        <v>3588</v>
      </c>
      <c r="J1328" t="s">
        <v>3584</v>
      </c>
      <c r="K1328" s="4">
        <v>2.29</v>
      </c>
      <c r="L1328" s="4">
        <v>0.85650000000000004</v>
      </c>
    </row>
    <row r="1329" spans="1:12">
      <c r="A1329" s="1">
        <v>42828</v>
      </c>
      <c r="B1329">
        <v>1</v>
      </c>
      <c r="C1329" t="s">
        <v>6272</v>
      </c>
      <c r="D1329" s="4">
        <v>9.3462999999999994</v>
      </c>
      <c r="E1329" s="4">
        <v>24.99</v>
      </c>
      <c r="F1329" t="s">
        <v>6243</v>
      </c>
      <c r="G1329" t="s">
        <v>6228</v>
      </c>
      <c r="H1329" t="s">
        <v>3588</v>
      </c>
      <c r="I1329" t="s">
        <v>3588</v>
      </c>
      <c r="J1329" t="s">
        <v>3584</v>
      </c>
      <c r="K1329" s="4">
        <v>24.99</v>
      </c>
      <c r="L1329" s="4">
        <v>9.3462999999999994</v>
      </c>
    </row>
    <row r="1330" spans="1:12">
      <c r="A1330" s="1">
        <v>42829</v>
      </c>
      <c r="B1330">
        <v>1</v>
      </c>
      <c r="C1330" t="s">
        <v>6245</v>
      </c>
      <c r="D1330" s="4">
        <v>0.85650000000000004</v>
      </c>
      <c r="E1330" s="4">
        <v>2.29</v>
      </c>
      <c r="F1330" t="s">
        <v>6243</v>
      </c>
      <c r="G1330" t="s">
        <v>6228</v>
      </c>
      <c r="H1330" t="s">
        <v>3580</v>
      </c>
      <c r="I1330" t="s">
        <v>3578</v>
      </c>
      <c r="J1330" t="s">
        <v>3579</v>
      </c>
      <c r="K1330" s="4">
        <v>2.29</v>
      </c>
      <c r="L1330" s="4">
        <v>0.85650000000000004</v>
      </c>
    </row>
    <row r="1331" spans="1:12">
      <c r="A1331" s="1">
        <v>42829</v>
      </c>
      <c r="B1331">
        <v>1</v>
      </c>
      <c r="C1331" t="s">
        <v>6277</v>
      </c>
      <c r="D1331" s="4">
        <v>8.0373000000000001</v>
      </c>
      <c r="E1331" s="4">
        <v>21.49</v>
      </c>
      <c r="F1331" t="s">
        <v>6243</v>
      </c>
      <c r="G1331" t="s">
        <v>6228</v>
      </c>
      <c r="H1331" t="s">
        <v>3580</v>
      </c>
      <c r="I1331" t="s">
        <v>3578</v>
      </c>
      <c r="J1331" t="s">
        <v>3579</v>
      </c>
      <c r="K1331" s="4">
        <v>21.49</v>
      </c>
      <c r="L1331" s="4">
        <v>8.0373000000000001</v>
      </c>
    </row>
    <row r="1332" spans="1:12">
      <c r="A1332" s="1">
        <v>42829</v>
      </c>
      <c r="B1332">
        <v>1</v>
      </c>
      <c r="C1332" t="s">
        <v>6281</v>
      </c>
      <c r="D1332" s="4">
        <v>1481.9378999999999</v>
      </c>
      <c r="E1332" s="4">
        <v>2384.0700000000002</v>
      </c>
      <c r="F1332" t="s">
        <v>6274</v>
      </c>
      <c r="G1332" t="s">
        <v>3475</v>
      </c>
      <c r="H1332" t="s">
        <v>3583</v>
      </c>
      <c r="I1332" t="s">
        <v>3583</v>
      </c>
      <c r="J1332" t="s">
        <v>3584</v>
      </c>
      <c r="K1332" s="4">
        <v>2384.0700000000002</v>
      </c>
      <c r="L1332" s="4">
        <v>1481.9378999999999</v>
      </c>
    </row>
    <row r="1333" spans="1:12">
      <c r="A1333" s="1">
        <v>42829</v>
      </c>
      <c r="B1333">
        <v>1</v>
      </c>
      <c r="C1333" t="s">
        <v>3544</v>
      </c>
      <c r="D1333" s="4">
        <v>1105.81</v>
      </c>
      <c r="E1333" s="4">
        <v>2049.0981999999999</v>
      </c>
      <c r="F1333" t="s">
        <v>3478</v>
      </c>
      <c r="G1333" t="s">
        <v>3475</v>
      </c>
      <c r="H1333" t="s">
        <v>3585</v>
      </c>
      <c r="I1333" t="s">
        <v>3585</v>
      </c>
      <c r="J1333" t="s">
        <v>3584</v>
      </c>
      <c r="K1333" s="4">
        <v>2049.0981999999999</v>
      </c>
      <c r="L1333" s="4">
        <v>1105.81</v>
      </c>
    </row>
    <row r="1334" spans="1:12">
      <c r="A1334" s="1">
        <v>42829</v>
      </c>
      <c r="B1334">
        <v>1</v>
      </c>
      <c r="C1334" t="s">
        <v>6239</v>
      </c>
      <c r="D1334" s="4">
        <v>1.8663000000000001</v>
      </c>
      <c r="E1334" s="4">
        <v>4.99</v>
      </c>
      <c r="F1334" t="s">
        <v>6240</v>
      </c>
      <c r="G1334" t="s">
        <v>6228</v>
      </c>
      <c r="H1334" t="s">
        <v>3585</v>
      </c>
      <c r="I1334" t="s">
        <v>3585</v>
      </c>
      <c r="J1334" t="s">
        <v>3584</v>
      </c>
      <c r="K1334" s="4">
        <v>4.99</v>
      </c>
      <c r="L1334" s="4">
        <v>1.8663000000000001</v>
      </c>
    </row>
    <row r="1335" spans="1:12">
      <c r="A1335" s="1">
        <v>42829</v>
      </c>
      <c r="B1335">
        <v>1</v>
      </c>
      <c r="C1335" t="s">
        <v>6239</v>
      </c>
      <c r="D1335" s="4">
        <v>1.8663000000000001</v>
      </c>
      <c r="E1335" s="4">
        <v>4.99</v>
      </c>
      <c r="F1335" t="s">
        <v>6240</v>
      </c>
      <c r="G1335" t="s">
        <v>6228</v>
      </c>
      <c r="H1335" t="s">
        <v>3586</v>
      </c>
      <c r="I1335" t="s">
        <v>3586</v>
      </c>
      <c r="J1335" t="s">
        <v>3587</v>
      </c>
      <c r="K1335" s="4">
        <v>4.99</v>
      </c>
      <c r="L1335" s="4">
        <v>1.8663000000000001</v>
      </c>
    </row>
    <row r="1336" spans="1:12">
      <c r="A1336" s="1">
        <v>42830</v>
      </c>
      <c r="B1336">
        <v>1</v>
      </c>
      <c r="C1336" t="s">
        <v>6245</v>
      </c>
      <c r="D1336" s="4">
        <v>0.85650000000000004</v>
      </c>
      <c r="E1336" s="4">
        <v>2.29</v>
      </c>
      <c r="F1336" t="s">
        <v>6243</v>
      </c>
      <c r="G1336" t="s">
        <v>6228</v>
      </c>
      <c r="H1336" t="s">
        <v>3582</v>
      </c>
      <c r="I1336" t="s">
        <v>3582</v>
      </c>
      <c r="J1336" t="s">
        <v>3579</v>
      </c>
      <c r="K1336" s="4">
        <v>2.29</v>
      </c>
      <c r="L1336" s="4">
        <v>0.85650000000000004</v>
      </c>
    </row>
    <row r="1337" spans="1:12">
      <c r="A1337" s="1">
        <v>42830</v>
      </c>
      <c r="B1337">
        <v>1</v>
      </c>
      <c r="C1337" t="s">
        <v>6269</v>
      </c>
      <c r="D1337" s="4">
        <v>9.3462999999999994</v>
      </c>
      <c r="E1337" s="4">
        <v>24.99</v>
      </c>
      <c r="F1337" t="s">
        <v>6243</v>
      </c>
      <c r="G1337" t="s">
        <v>6228</v>
      </c>
      <c r="H1337" t="s">
        <v>3583</v>
      </c>
      <c r="I1337" t="s">
        <v>3583</v>
      </c>
      <c r="J1337" t="s">
        <v>3584</v>
      </c>
      <c r="K1337" s="4">
        <v>24.99</v>
      </c>
      <c r="L1337" s="4">
        <v>9.3462999999999994</v>
      </c>
    </row>
    <row r="1338" spans="1:12">
      <c r="A1338" s="1">
        <v>42830</v>
      </c>
      <c r="B1338">
        <v>1</v>
      </c>
      <c r="C1338" t="s">
        <v>6269</v>
      </c>
      <c r="D1338" s="4">
        <v>9.3462999999999994</v>
      </c>
      <c r="E1338" s="4">
        <v>24.99</v>
      </c>
      <c r="F1338" t="s">
        <v>6243</v>
      </c>
      <c r="G1338" t="s">
        <v>6228</v>
      </c>
      <c r="H1338" t="s">
        <v>3585</v>
      </c>
      <c r="I1338" t="s">
        <v>3585</v>
      </c>
      <c r="J1338" t="s">
        <v>3584</v>
      </c>
      <c r="K1338" s="4">
        <v>24.99</v>
      </c>
      <c r="L1338" s="4">
        <v>9.3462999999999994</v>
      </c>
    </row>
    <row r="1339" spans="1:12">
      <c r="A1339" s="1">
        <v>42831</v>
      </c>
      <c r="B1339">
        <v>1</v>
      </c>
      <c r="C1339" t="s">
        <v>6230</v>
      </c>
      <c r="D1339" s="4">
        <v>12.027799999999999</v>
      </c>
      <c r="E1339" s="4">
        <v>33.644199999999998</v>
      </c>
      <c r="F1339" t="s">
        <v>6227</v>
      </c>
      <c r="G1339" t="s">
        <v>6228</v>
      </c>
      <c r="H1339" t="s">
        <v>3577</v>
      </c>
      <c r="I1339" t="s">
        <v>3578</v>
      </c>
      <c r="J1339" t="s">
        <v>3579</v>
      </c>
      <c r="K1339" s="4">
        <v>33.644199999999998</v>
      </c>
      <c r="L1339" s="4">
        <v>12.027799999999999</v>
      </c>
    </row>
    <row r="1340" spans="1:12">
      <c r="A1340" s="1">
        <v>42831</v>
      </c>
      <c r="B1340">
        <v>1</v>
      </c>
      <c r="C1340" t="s">
        <v>3540</v>
      </c>
      <c r="D1340" s="4">
        <v>1117.8559</v>
      </c>
      <c r="E1340" s="4">
        <v>2071.4196000000002</v>
      </c>
      <c r="F1340" t="s">
        <v>3478</v>
      </c>
      <c r="G1340" t="s">
        <v>3475</v>
      </c>
      <c r="H1340" t="s">
        <v>3577</v>
      </c>
      <c r="I1340" t="s">
        <v>3578</v>
      </c>
      <c r="J1340" t="s">
        <v>3579</v>
      </c>
      <c r="K1340" s="4">
        <v>2071.4196000000002</v>
      </c>
      <c r="L1340" s="4">
        <v>1117.8559</v>
      </c>
    </row>
    <row r="1341" spans="1:12">
      <c r="A1341" s="1">
        <v>42831</v>
      </c>
      <c r="B1341">
        <v>1</v>
      </c>
      <c r="C1341" t="s">
        <v>6239</v>
      </c>
      <c r="D1341" s="4">
        <v>1.8663000000000001</v>
      </c>
      <c r="E1341" s="4">
        <v>4.99</v>
      </c>
      <c r="F1341" t="s">
        <v>6240</v>
      </c>
      <c r="G1341" t="s">
        <v>6228</v>
      </c>
      <c r="H1341" t="s">
        <v>3577</v>
      </c>
      <c r="I1341" t="s">
        <v>3578</v>
      </c>
      <c r="J1341" t="s">
        <v>3579</v>
      </c>
      <c r="K1341" s="4">
        <v>4.99</v>
      </c>
      <c r="L1341" s="4">
        <v>1.8663000000000001</v>
      </c>
    </row>
    <row r="1342" spans="1:12">
      <c r="A1342" s="1">
        <v>42831</v>
      </c>
      <c r="B1342">
        <v>1</v>
      </c>
      <c r="C1342" t="s">
        <v>6226</v>
      </c>
      <c r="D1342" s="4">
        <v>13.0863</v>
      </c>
      <c r="E1342" s="4">
        <v>34.99</v>
      </c>
      <c r="F1342" t="s">
        <v>6227</v>
      </c>
      <c r="G1342" t="s">
        <v>6228</v>
      </c>
      <c r="H1342" t="s">
        <v>3580</v>
      </c>
      <c r="I1342" t="s">
        <v>3578</v>
      </c>
      <c r="J1342" t="s">
        <v>3579</v>
      </c>
      <c r="K1342" s="4">
        <v>34.99</v>
      </c>
      <c r="L1342" s="4">
        <v>13.0863</v>
      </c>
    </row>
    <row r="1343" spans="1:12">
      <c r="A1343" s="1">
        <v>42831</v>
      </c>
      <c r="B1343">
        <v>2</v>
      </c>
      <c r="C1343" t="s">
        <v>6231</v>
      </c>
      <c r="D1343" s="4">
        <v>5.7051999999999996</v>
      </c>
      <c r="E1343" s="4">
        <v>8.6441999999999997</v>
      </c>
      <c r="F1343" t="s">
        <v>6232</v>
      </c>
      <c r="G1343" t="s">
        <v>6233</v>
      </c>
      <c r="H1343" t="s">
        <v>3580</v>
      </c>
      <c r="I1343" t="s">
        <v>3578</v>
      </c>
      <c r="J1343" t="s">
        <v>3579</v>
      </c>
      <c r="K1343" s="4">
        <v>17.288399999999999</v>
      </c>
      <c r="L1343" s="4">
        <v>11.410399999999999</v>
      </c>
    </row>
    <row r="1344" spans="1:12">
      <c r="A1344" s="1">
        <v>42831</v>
      </c>
      <c r="B1344">
        <v>1</v>
      </c>
      <c r="C1344" t="s">
        <v>6280</v>
      </c>
      <c r="D1344" s="4">
        <v>1481.9378999999999</v>
      </c>
      <c r="E1344" s="4">
        <v>2384.0700000000002</v>
      </c>
      <c r="F1344" t="s">
        <v>6274</v>
      </c>
      <c r="G1344" t="s">
        <v>3475</v>
      </c>
      <c r="H1344" t="s">
        <v>3580</v>
      </c>
      <c r="I1344" t="s">
        <v>3578</v>
      </c>
      <c r="J1344" t="s">
        <v>3579</v>
      </c>
      <c r="K1344" s="4">
        <v>2384.0700000000002</v>
      </c>
      <c r="L1344" s="4">
        <v>1481.9378999999999</v>
      </c>
    </row>
    <row r="1345" spans="1:12">
      <c r="A1345" s="1">
        <v>42831</v>
      </c>
      <c r="B1345">
        <v>1</v>
      </c>
      <c r="C1345" t="s">
        <v>6252</v>
      </c>
      <c r="D1345" s="4">
        <v>343.64960000000002</v>
      </c>
      <c r="E1345" s="4">
        <v>539.99</v>
      </c>
      <c r="F1345" t="s">
        <v>3479</v>
      </c>
      <c r="G1345" t="s">
        <v>3475</v>
      </c>
      <c r="H1345" t="s">
        <v>3585</v>
      </c>
      <c r="I1345" t="s">
        <v>3585</v>
      </c>
      <c r="J1345" t="s">
        <v>3584</v>
      </c>
      <c r="K1345" s="4">
        <v>539.99</v>
      </c>
      <c r="L1345" s="4">
        <v>343.64960000000002</v>
      </c>
    </row>
    <row r="1346" spans="1:12">
      <c r="A1346" s="1">
        <v>42832</v>
      </c>
      <c r="B1346">
        <v>1</v>
      </c>
      <c r="C1346" t="s">
        <v>6226</v>
      </c>
      <c r="D1346" s="4">
        <v>13.0863</v>
      </c>
      <c r="E1346" s="4">
        <v>34.99</v>
      </c>
      <c r="F1346" t="s">
        <v>6227</v>
      </c>
      <c r="G1346" t="s">
        <v>6228</v>
      </c>
      <c r="H1346" t="s">
        <v>3585</v>
      </c>
      <c r="I1346" t="s">
        <v>3585</v>
      </c>
      <c r="J1346" t="s">
        <v>3584</v>
      </c>
      <c r="K1346" s="4">
        <v>34.99</v>
      </c>
      <c r="L1346" s="4">
        <v>13.0863</v>
      </c>
    </row>
    <row r="1347" spans="1:12">
      <c r="A1347" s="1">
        <v>42832</v>
      </c>
      <c r="B1347">
        <v>1</v>
      </c>
      <c r="C1347" t="s">
        <v>6245</v>
      </c>
      <c r="D1347" s="4">
        <v>0.85650000000000004</v>
      </c>
      <c r="E1347" s="4">
        <v>2.29</v>
      </c>
      <c r="F1347" t="s">
        <v>6243</v>
      </c>
      <c r="G1347" t="s">
        <v>6228</v>
      </c>
      <c r="H1347" t="s">
        <v>3585</v>
      </c>
      <c r="I1347" t="s">
        <v>3585</v>
      </c>
      <c r="J1347" t="s">
        <v>3584</v>
      </c>
      <c r="K1347" s="4">
        <v>2.29</v>
      </c>
      <c r="L1347" s="4">
        <v>0.85650000000000004</v>
      </c>
    </row>
    <row r="1348" spans="1:12">
      <c r="A1348" s="1">
        <v>42832</v>
      </c>
      <c r="B1348">
        <v>1</v>
      </c>
      <c r="C1348" t="s">
        <v>6242</v>
      </c>
      <c r="D1348" s="4">
        <v>1.8663000000000001</v>
      </c>
      <c r="E1348" s="4">
        <v>4.99</v>
      </c>
      <c r="F1348" t="s">
        <v>6243</v>
      </c>
      <c r="G1348" t="s">
        <v>6228</v>
      </c>
      <c r="H1348" t="s">
        <v>3588</v>
      </c>
      <c r="I1348" t="s">
        <v>3588</v>
      </c>
      <c r="J1348" t="s">
        <v>3584</v>
      </c>
      <c r="K1348" s="4">
        <v>4.99</v>
      </c>
      <c r="L1348" s="4">
        <v>1.8663000000000001</v>
      </c>
    </row>
    <row r="1349" spans="1:12">
      <c r="A1349" s="1">
        <v>42832</v>
      </c>
      <c r="B1349">
        <v>1</v>
      </c>
      <c r="C1349" t="s">
        <v>6276</v>
      </c>
      <c r="D1349" s="4">
        <v>1.8663000000000001</v>
      </c>
      <c r="E1349" s="4">
        <v>4.99</v>
      </c>
      <c r="F1349" t="s">
        <v>6243</v>
      </c>
      <c r="G1349" t="s">
        <v>6228</v>
      </c>
      <c r="H1349" t="s">
        <v>3588</v>
      </c>
      <c r="I1349" t="s">
        <v>3588</v>
      </c>
      <c r="J1349" t="s">
        <v>3584</v>
      </c>
      <c r="K1349" s="4">
        <v>4.99</v>
      </c>
      <c r="L1349" s="4">
        <v>1.8663000000000001</v>
      </c>
    </row>
    <row r="1350" spans="1:12">
      <c r="A1350" s="1">
        <v>42832</v>
      </c>
      <c r="B1350">
        <v>1</v>
      </c>
      <c r="C1350" t="s">
        <v>6299</v>
      </c>
      <c r="D1350" s="4">
        <v>755.1508</v>
      </c>
      <c r="E1350" s="4">
        <v>1214.8499999999999</v>
      </c>
      <c r="F1350" t="s">
        <v>6274</v>
      </c>
      <c r="G1350" t="s">
        <v>3475</v>
      </c>
      <c r="H1350" t="s">
        <v>3588</v>
      </c>
      <c r="I1350" t="s">
        <v>3588</v>
      </c>
      <c r="J1350" t="s">
        <v>3584</v>
      </c>
      <c r="K1350" s="4">
        <v>1214.8499999999999</v>
      </c>
      <c r="L1350" s="4">
        <v>755.1508</v>
      </c>
    </row>
    <row r="1351" spans="1:12">
      <c r="A1351" s="1">
        <v>42833</v>
      </c>
      <c r="B1351">
        <v>1</v>
      </c>
      <c r="C1351" t="s">
        <v>6261</v>
      </c>
      <c r="D1351" s="4">
        <v>26.176300000000001</v>
      </c>
      <c r="E1351" s="4">
        <v>69.989999999999995</v>
      </c>
      <c r="F1351" t="s">
        <v>6262</v>
      </c>
      <c r="G1351" t="s">
        <v>6233</v>
      </c>
      <c r="H1351" t="s">
        <v>3580</v>
      </c>
      <c r="I1351" t="s">
        <v>3578</v>
      </c>
      <c r="J1351" t="s">
        <v>3579</v>
      </c>
      <c r="K1351" s="4">
        <v>69.989999999999995</v>
      </c>
      <c r="L1351" s="4">
        <v>26.176300000000001</v>
      </c>
    </row>
    <row r="1352" spans="1:12">
      <c r="A1352" s="1">
        <v>42833</v>
      </c>
      <c r="B1352">
        <v>1</v>
      </c>
      <c r="C1352" t="s">
        <v>6254</v>
      </c>
      <c r="D1352" s="4">
        <v>12.192399999999999</v>
      </c>
      <c r="E1352" s="4">
        <v>32.6</v>
      </c>
      <c r="F1352" t="s">
        <v>6243</v>
      </c>
      <c r="G1352" t="s">
        <v>6228</v>
      </c>
      <c r="H1352" t="s">
        <v>3580</v>
      </c>
      <c r="I1352" t="s">
        <v>3578</v>
      </c>
      <c r="J1352" t="s">
        <v>3579</v>
      </c>
      <c r="K1352" s="4">
        <v>32.6</v>
      </c>
      <c r="L1352" s="4">
        <v>12.192399999999999</v>
      </c>
    </row>
    <row r="1353" spans="1:12">
      <c r="A1353" s="1">
        <v>42833</v>
      </c>
      <c r="B1353">
        <v>1</v>
      </c>
      <c r="C1353" t="s">
        <v>6229</v>
      </c>
      <c r="D1353" s="4">
        <v>12.027799999999999</v>
      </c>
      <c r="E1353" s="4">
        <v>33.644199999999998</v>
      </c>
      <c r="F1353" t="s">
        <v>6227</v>
      </c>
      <c r="G1353" t="s">
        <v>6228</v>
      </c>
      <c r="H1353" t="s">
        <v>3583</v>
      </c>
      <c r="I1353" t="s">
        <v>3583</v>
      </c>
      <c r="J1353" t="s">
        <v>3584</v>
      </c>
      <c r="K1353" s="4">
        <v>33.644199999999998</v>
      </c>
      <c r="L1353" s="4">
        <v>12.027799999999999</v>
      </c>
    </row>
    <row r="1354" spans="1:12">
      <c r="A1354" s="1">
        <v>42833</v>
      </c>
      <c r="B1354">
        <v>1</v>
      </c>
      <c r="C1354" t="s">
        <v>6291</v>
      </c>
      <c r="D1354" s="4">
        <v>41.572299999999998</v>
      </c>
      <c r="E1354" s="4">
        <v>53.99</v>
      </c>
      <c r="F1354" t="s">
        <v>6235</v>
      </c>
      <c r="G1354" t="s">
        <v>6233</v>
      </c>
      <c r="H1354" t="s">
        <v>3586</v>
      </c>
      <c r="I1354" t="s">
        <v>3586</v>
      </c>
      <c r="J1354" t="s">
        <v>3587</v>
      </c>
      <c r="K1354" s="4">
        <v>53.99</v>
      </c>
      <c r="L1354" s="4">
        <v>41.572299999999998</v>
      </c>
    </row>
    <row r="1355" spans="1:12">
      <c r="A1355" s="1">
        <v>42833</v>
      </c>
      <c r="B1355">
        <v>1</v>
      </c>
      <c r="C1355" t="s">
        <v>6229</v>
      </c>
      <c r="D1355" s="4">
        <v>12.027799999999999</v>
      </c>
      <c r="E1355" s="4">
        <v>33.644199999999998</v>
      </c>
      <c r="F1355" t="s">
        <v>6227</v>
      </c>
      <c r="G1355" t="s">
        <v>6228</v>
      </c>
      <c r="H1355" t="s">
        <v>3588</v>
      </c>
      <c r="I1355" t="s">
        <v>3588</v>
      </c>
      <c r="J1355" t="s">
        <v>3584</v>
      </c>
      <c r="K1355" s="4">
        <v>33.644199999999998</v>
      </c>
      <c r="L1355" s="4">
        <v>12.027799999999999</v>
      </c>
    </row>
    <row r="1356" spans="1:12">
      <c r="A1356" s="1">
        <v>42834</v>
      </c>
      <c r="B1356">
        <v>1</v>
      </c>
      <c r="C1356" t="s">
        <v>6230</v>
      </c>
      <c r="D1356" s="4">
        <v>12.027799999999999</v>
      </c>
      <c r="E1356" s="4">
        <v>33.644199999999998</v>
      </c>
      <c r="F1356" t="s">
        <v>6227</v>
      </c>
      <c r="G1356" t="s">
        <v>6228</v>
      </c>
      <c r="H1356" t="s">
        <v>3583</v>
      </c>
      <c r="I1356" t="s">
        <v>3583</v>
      </c>
      <c r="J1356" t="s">
        <v>3584</v>
      </c>
      <c r="K1356" s="4">
        <v>33.644199999999998</v>
      </c>
      <c r="L1356" s="4">
        <v>12.027799999999999</v>
      </c>
    </row>
    <row r="1357" spans="1:12">
      <c r="A1357" s="1">
        <v>42834</v>
      </c>
      <c r="B1357">
        <v>1</v>
      </c>
      <c r="C1357" t="s">
        <v>6269</v>
      </c>
      <c r="D1357" s="4">
        <v>9.3462999999999994</v>
      </c>
      <c r="E1357" s="4">
        <v>24.99</v>
      </c>
      <c r="F1357" t="s">
        <v>6243</v>
      </c>
      <c r="G1357" t="s">
        <v>6228</v>
      </c>
      <c r="H1357" t="s">
        <v>3586</v>
      </c>
      <c r="I1357" t="s">
        <v>3586</v>
      </c>
      <c r="J1357" t="s">
        <v>3587</v>
      </c>
      <c r="K1357" s="4">
        <v>24.99</v>
      </c>
      <c r="L1357" s="4">
        <v>9.3462999999999994</v>
      </c>
    </row>
    <row r="1358" spans="1:12">
      <c r="A1358" s="1">
        <v>42835</v>
      </c>
      <c r="B1358">
        <v>1</v>
      </c>
      <c r="C1358" t="s">
        <v>6242</v>
      </c>
      <c r="D1358" s="4">
        <v>1.8663000000000001</v>
      </c>
      <c r="E1358" s="4">
        <v>4.99</v>
      </c>
      <c r="F1358" t="s">
        <v>6243</v>
      </c>
      <c r="G1358" t="s">
        <v>6228</v>
      </c>
      <c r="H1358" t="s">
        <v>3580</v>
      </c>
      <c r="I1358" t="s">
        <v>3578</v>
      </c>
      <c r="J1358" t="s">
        <v>3579</v>
      </c>
      <c r="K1358" s="4">
        <v>4.99</v>
      </c>
      <c r="L1358" s="4">
        <v>1.8663000000000001</v>
      </c>
    </row>
    <row r="1359" spans="1:12">
      <c r="A1359" s="1">
        <v>42835</v>
      </c>
      <c r="B1359">
        <v>1</v>
      </c>
      <c r="C1359" t="s">
        <v>6230</v>
      </c>
      <c r="D1359" s="4">
        <v>12.027799999999999</v>
      </c>
      <c r="E1359" s="4">
        <v>33.644199999999998</v>
      </c>
      <c r="F1359" t="s">
        <v>6227</v>
      </c>
      <c r="G1359" t="s">
        <v>6228</v>
      </c>
      <c r="H1359" t="s">
        <v>3582</v>
      </c>
      <c r="I1359" t="s">
        <v>3582</v>
      </c>
      <c r="J1359" t="s">
        <v>3579</v>
      </c>
      <c r="K1359" s="4">
        <v>33.644199999999998</v>
      </c>
      <c r="L1359" s="4">
        <v>12.027799999999999</v>
      </c>
    </row>
    <row r="1360" spans="1:12">
      <c r="A1360" s="1">
        <v>42835</v>
      </c>
      <c r="B1360">
        <v>1</v>
      </c>
      <c r="C1360" t="s">
        <v>6292</v>
      </c>
      <c r="D1360" s="4">
        <v>23.748999999999999</v>
      </c>
      <c r="E1360" s="4">
        <v>63.5</v>
      </c>
      <c r="F1360" t="s">
        <v>6293</v>
      </c>
      <c r="G1360" t="s">
        <v>6233</v>
      </c>
      <c r="H1360" t="s">
        <v>3585</v>
      </c>
      <c r="I1360" t="s">
        <v>3585</v>
      </c>
      <c r="J1360" t="s">
        <v>3584</v>
      </c>
      <c r="K1360" s="4">
        <v>63.5</v>
      </c>
      <c r="L1360" s="4">
        <v>23.748999999999999</v>
      </c>
    </row>
    <row r="1361" spans="1:12">
      <c r="A1361" s="1">
        <v>42835</v>
      </c>
      <c r="B1361">
        <v>1</v>
      </c>
      <c r="C1361" t="s">
        <v>6304</v>
      </c>
      <c r="D1361" s="4">
        <v>755.1508</v>
      </c>
      <c r="E1361" s="4">
        <v>1214.8499999999999</v>
      </c>
      <c r="F1361" t="s">
        <v>6274</v>
      </c>
      <c r="G1361" t="s">
        <v>3475</v>
      </c>
      <c r="H1361" t="s">
        <v>3585</v>
      </c>
      <c r="I1361" t="s">
        <v>3585</v>
      </c>
      <c r="J1361" t="s">
        <v>3584</v>
      </c>
      <c r="K1361" s="4">
        <v>1214.8499999999999</v>
      </c>
      <c r="L1361" s="4">
        <v>755.1508</v>
      </c>
    </row>
    <row r="1362" spans="1:12">
      <c r="A1362" s="1">
        <v>42835</v>
      </c>
      <c r="B1362">
        <v>1</v>
      </c>
      <c r="C1362" t="s">
        <v>6258</v>
      </c>
      <c r="D1362" s="4">
        <v>2.9733000000000001</v>
      </c>
      <c r="E1362" s="4">
        <v>7.95</v>
      </c>
      <c r="F1362" t="s">
        <v>6259</v>
      </c>
      <c r="G1362" t="s">
        <v>6228</v>
      </c>
      <c r="H1362" t="s">
        <v>3586</v>
      </c>
      <c r="I1362" t="s">
        <v>3586</v>
      </c>
      <c r="J1362" t="s">
        <v>3587</v>
      </c>
      <c r="K1362" s="4">
        <v>7.95</v>
      </c>
      <c r="L1362" s="4">
        <v>2.9733000000000001</v>
      </c>
    </row>
    <row r="1363" spans="1:12">
      <c r="A1363" s="1">
        <v>42835</v>
      </c>
      <c r="B1363">
        <v>1</v>
      </c>
      <c r="C1363" t="s">
        <v>3566</v>
      </c>
      <c r="D1363" s="4">
        <v>605.64919999999995</v>
      </c>
      <c r="E1363" s="4">
        <v>1000.4375</v>
      </c>
      <c r="F1363" t="s">
        <v>3479</v>
      </c>
      <c r="G1363" t="s">
        <v>3475</v>
      </c>
      <c r="H1363" t="s">
        <v>3588</v>
      </c>
      <c r="I1363" t="s">
        <v>3588</v>
      </c>
      <c r="J1363" t="s">
        <v>3584</v>
      </c>
      <c r="K1363" s="4">
        <v>1000.4375</v>
      </c>
      <c r="L1363" s="4">
        <v>605.64919999999995</v>
      </c>
    </row>
    <row r="1364" spans="1:12">
      <c r="A1364" s="1">
        <v>42835</v>
      </c>
      <c r="B1364">
        <v>1</v>
      </c>
      <c r="C1364" t="s">
        <v>6319</v>
      </c>
      <c r="D1364" s="4">
        <v>461.44479999999999</v>
      </c>
      <c r="E1364" s="4">
        <v>742.35</v>
      </c>
      <c r="F1364" t="s">
        <v>6274</v>
      </c>
      <c r="G1364" t="s">
        <v>3475</v>
      </c>
      <c r="H1364" t="s">
        <v>3588</v>
      </c>
      <c r="I1364" t="s">
        <v>3588</v>
      </c>
      <c r="J1364" t="s">
        <v>3584</v>
      </c>
      <c r="K1364" s="4">
        <v>742.35</v>
      </c>
      <c r="L1364" s="4">
        <v>461.44479999999999</v>
      </c>
    </row>
    <row r="1365" spans="1:12">
      <c r="A1365" s="1">
        <v>42836</v>
      </c>
      <c r="B1365">
        <v>1</v>
      </c>
      <c r="C1365" t="s">
        <v>6260</v>
      </c>
      <c r="D1365" s="4">
        <v>13.09</v>
      </c>
      <c r="E1365" s="4">
        <v>35</v>
      </c>
      <c r="F1365" t="s">
        <v>6243</v>
      </c>
      <c r="G1365" t="s">
        <v>6228</v>
      </c>
      <c r="H1365" t="s">
        <v>3577</v>
      </c>
      <c r="I1365" t="s">
        <v>3578</v>
      </c>
      <c r="J1365" t="s">
        <v>3579</v>
      </c>
      <c r="K1365" s="4">
        <v>35</v>
      </c>
      <c r="L1365" s="4">
        <v>13.09</v>
      </c>
    </row>
    <row r="1366" spans="1:12">
      <c r="A1366" s="1">
        <v>42836</v>
      </c>
      <c r="B1366">
        <v>1</v>
      </c>
      <c r="C1366" t="s">
        <v>6271</v>
      </c>
      <c r="D1366" s="4">
        <v>11.2163</v>
      </c>
      <c r="E1366" s="4">
        <v>29.99</v>
      </c>
      <c r="F1366" t="s">
        <v>6243</v>
      </c>
      <c r="G1366" t="s">
        <v>6228</v>
      </c>
      <c r="H1366" t="s">
        <v>3580</v>
      </c>
      <c r="I1366" t="s">
        <v>3578</v>
      </c>
      <c r="J1366" t="s">
        <v>3579</v>
      </c>
      <c r="K1366" s="4">
        <v>29.99</v>
      </c>
      <c r="L1366" s="4">
        <v>11.2163</v>
      </c>
    </row>
    <row r="1367" spans="1:12">
      <c r="A1367" s="1">
        <v>42836</v>
      </c>
      <c r="B1367">
        <v>1</v>
      </c>
      <c r="C1367" t="s">
        <v>6313</v>
      </c>
      <c r="D1367" s="4">
        <v>419.77839999999998</v>
      </c>
      <c r="E1367" s="4">
        <v>769.49</v>
      </c>
      <c r="F1367" t="s">
        <v>3478</v>
      </c>
      <c r="G1367" t="s">
        <v>3475</v>
      </c>
      <c r="H1367" t="s">
        <v>3580</v>
      </c>
      <c r="I1367" t="s">
        <v>3578</v>
      </c>
      <c r="J1367" t="s">
        <v>3579</v>
      </c>
      <c r="K1367" s="4">
        <v>769.49</v>
      </c>
      <c r="L1367" s="4">
        <v>419.77839999999998</v>
      </c>
    </row>
    <row r="1368" spans="1:12">
      <c r="A1368" s="1">
        <v>42836</v>
      </c>
      <c r="B1368">
        <v>1</v>
      </c>
      <c r="C1368" t="s">
        <v>6241</v>
      </c>
      <c r="D1368" s="4">
        <v>3.3622999999999998</v>
      </c>
      <c r="E1368" s="4">
        <v>8.99</v>
      </c>
      <c r="F1368" t="s">
        <v>6240</v>
      </c>
      <c r="G1368" t="s">
        <v>6228</v>
      </c>
      <c r="H1368" t="s">
        <v>3583</v>
      </c>
      <c r="I1368" t="s">
        <v>3583</v>
      </c>
      <c r="J1368" t="s">
        <v>3584</v>
      </c>
      <c r="K1368" s="4">
        <v>8.99</v>
      </c>
      <c r="L1368" s="4">
        <v>3.3622999999999998</v>
      </c>
    </row>
    <row r="1369" spans="1:12">
      <c r="A1369" s="1">
        <v>42836</v>
      </c>
      <c r="B1369">
        <v>1</v>
      </c>
      <c r="C1369" t="s">
        <v>6245</v>
      </c>
      <c r="D1369" s="4">
        <v>0.85650000000000004</v>
      </c>
      <c r="E1369" s="4">
        <v>2.29</v>
      </c>
      <c r="F1369" t="s">
        <v>6243</v>
      </c>
      <c r="G1369" t="s">
        <v>6228</v>
      </c>
      <c r="H1369" t="s">
        <v>3583</v>
      </c>
      <c r="I1369" t="s">
        <v>3583</v>
      </c>
      <c r="J1369" t="s">
        <v>3584</v>
      </c>
      <c r="K1369" s="4">
        <v>2.29</v>
      </c>
      <c r="L1369" s="4">
        <v>0.85650000000000004</v>
      </c>
    </row>
    <row r="1370" spans="1:12">
      <c r="A1370" s="1">
        <v>42836</v>
      </c>
      <c r="B1370">
        <v>1</v>
      </c>
      <c r="C1370" t="s">
        <v>3558</v>
      </c>
      <c r="D1370" s="4">
        <v>1320.6838</v>
      </c>
      <c r="E1370" s="4">
        <v>2181.5625</v>
      </c>
      <c r="F1370" t="s">
        <v>3479</v>
      </c>
      <c r="G1370" t="s">
        <v>3475</v>
      </c>
      <c r="H1370" t="s">
        <v>3586</v>
      </c>
      <c r="I1370" t="s">
        <v>3586</v>
      </c>
      <c r="J1370" t="s">
        <v>3587</v>
      </c>
      <c r="K1370" s="4">
        <v>2181.5625</v>
      </c>
      <c r="L1370" s="4">
        <v>1320.6838</v>
      </c>
    </row>
    <row r="1371" spans="1:12">
      <c r="A1371" s="1">
        <v>42836</v>
      </c>
      <c r="B1371">
        <v>1</v>
      </c>
      <c r="C1371" t="s">
        <v>6258</v>
      </c>
      <c r="D1371" s="4">
        <v>2.9733000000000001</v>
      </c>
      <c r="E1371" s="4">
        <v>7.95</v>
      </c>
      <c r="F1371" t="s">
        <v>6259</v>
      </c>
      <c r="G1371" t="s">
        <v>6228</v>
      </c>
      <c r="H1371" t="s">
        <v>3586</v>
      </c>
      <c r="I1371" t="s">
        <v>3586</v>
      </c>
      <c r="J1371" t="s">
        <v>3587</v>
      </c>
      <c r="K1371" s="4">
        <v>7.95</v>
      </c>
      <c r="L1371" s="4">
        <v>2.9733000000000001</v>
      </c>
    </row>
    <row r="1372" spans="1:12">
      <c r="A1372" s="1">
        <v>42836</v>
      </c>
      <c r="B1372">
        <v>1</v>
      </c>
      <c r="C1372" t="s">
        <v>6307</v>
      </c>
      <c r="D1372" s="4">
        <v>1481.9378999999999</v>
      </c>
      <c r="E1372" s="4">
        <v>2384.0700000000002</v>
      </c>
      <c r="F1372" t="s">
        <v>6274</v>
      </c>
      <c r="G1372" t="s">
        <v>3475</v>
      </c>
      <c r="H1372" t="s">
        <v>3586</v>
      </c>
      <c r="I1372" t="s">
        <v>3586</v>
      </c>
      <c r="J1372" t="s">
        <v>3587</v>
      </c>
      <c r="K1372" s="4">
        <v>2384.0700000000002</v>
      </c>
      <c r="L1372" s="4">
        <v>1481.9378999999999</v>
      </c>
    </row>
    <row r="1373" spans="1:12">
      <c r="A1373" s="1">
        <v>42837</v>
      </c>
      <c r="B1373">
        <v>1</v>
      </c>
      <c r="C1373" t="s">
        <v>6276</v>
      </c>
      <c r="D1373" s="4">
        <v>1.8663000000000001</v>
      </c>
      <c r="E1373" s="4">
        <v>4.99</v>
      </c>
      <c r="F1373" t="s">
        <v>6243</v>
      </c>
      <c r="G1373" t="s">
        <v>6228</v>
      </c>
      <c r="H1373" t="s">
        <v>3580</v>
      </c>
      <c r="I1373" t="s">
        <v>3578</v>
      </c>
      <c r="J1373" t="s">
        <v>3579</v>
      </c>
      <c r="K1373" s="4">
        <v>4.99</v>
      </c>
      <c r="L1373" s="4">
        <v>1.8663000000000001</v>
      </c>
    </row>
    <row r="1374" spans="1:12">
      <c r="A1374" s="1">
        <v>42837</v>
      </c>
      <c r="B1374">
        <v>1</v>
      </c>
      <c r="C1374" t="s">
        <v>6286</v>
      </c>
      <c r="D1374" s="4">
        <v>1481.9378999999999</v>
      </c>
      <c r="E1374" s="4">
        <v>2384.0700000000002</v>
      </c>
      <c r="F1374" t="s">
        <v>6274</v>
      </c>
      <c r="G1374" t="s">
        <v>3475</v>
      </c>
      <c r="H1374" t="s">
        <v>3582</v>
      </c>
      <c r="I1374" t="s">
        <v>3582</v>
      </c>
      <c r="J1374" t="s">
        <v>3579</v>
      </c>
      <c r="K1374" s="4">
        <v>2384.0700000000002</v>
      </c>
      <c r="L1374" s="4">
        <v>1481.9378999999999</v>
      </c>
    </row>
    <row r="1375" spans="1:12">
      <c r="A1375" s="1">
        <v>42837</v>
      </c>
      <c r="B1375">
        <v>1</v>
      </c>
      <c r="C1375" t="s">
        <v>6279</v>
      </c>
      <c r="D1375" s="4">
        <v>1481.9378999999999</v>
      </c>
      <c r="E1375" s="4">
        <v>2384.0700000000002</v>
      </c>
      <c r="F1375" t="s">
        <v>6274</v>
      </c>
      <c r="G1375" t="s">
        <v>3475</v>
      </c>
      <c r="H1375" t="s">
        <v>3583</v>
      </c>
      <c r="I1375" t="s">
        <v>3583</v>
      </c>
      <c r="J1375" t="s">
        <v>3584</v>
      </c>
      <c r="K1375" s="4">
        <v>2384.0700000000002</v>
      </c>
      <c r="L1375" s="4">
        <v>1481.9378999999999</v>
      </c>
    </row>
    <row r="1376" spans="1:12">
      <c r="A1376" s="1">
        <v>42837</v>
      </c>
      <c r="B1376">
        <v>1</v>
      </c>
      <c r="C1376" t="s">
        <v>6239</v>
      </c>
      <c r="D1376" s="4">
        <v>1.8663000000000001</v>
      </c>
      <c r="E1376" s="4">
        <v>4.99</v>
      </c>
      <c r="F1376" t="s">
        <v>6240</v>
      </c>
      <c r="G1376" t="s">
        <v>6228</v>
      </c>
      <c r="H1376" t="s">
        <v>3586</v>
      </c>
      <c r="I1376" t="s">
        <v>3586</v>
      </c>
      <c r="J1376" t="s">
        <v>3587</v>
      </c>
      <c r="K1376" s="4">
        <v>4.99</v>
      </c>
      <c r="L1376" s="4">
        <v>1.8663000000000001</v>
      </c>
    </row>
    <row r="1377" spans="1:12">
      <c r="A1377" s="1">
        <v>42837</v>
      </c>
      <c r="B1377">
        <v>1</v>
      </c>
      <c r="C1377" t="s">
        <v>6244</v>
      </c>
      <c r="D1377" s="4">
        <v>3.7363</v>
      </c>
      <c r="E1377" s="4">
        <v>9.99</v>
      </c>
      <c r="F1377" t="s">
        <v>6240</v>
      </c>
      <c r="G1377" t="s">
        <v>6228</v>
      </c>
      <c r="H1377" t="s">
        <v>3588</v>
      </c>
      <c r="I1377" t="s">
        <v>3588</v>
      </c>
      <c r="J1377" t="s">
        <v>3584</v>
      </c>
      <c r="K1377" s="4">
        <v>9.99</v>
      </c>
      <c r="L1377" s="4">
        <v>3.7363</v>
      </c>
    </row>
    <row r="1378" spans="1:12">
      <c r="A1378" s="1">
        <v>42837</v>
      </c>
      <c r="B1378">
        <v>1</v>
      </c>
      <c r="C1378" t="s">
        <v>6297</v>
      </c>
      <c r="D1378" s="4">
        <v>343.64960000000002</v>
      </c>
      <c r="E1378" s="4">
        <v>539.99</v>
      </c>
      <c r="F1378" t="s">
        <v>3479</v>
      </c>
      <c r="G1378" t="s">
        <v>3475</v>
      </c>
      <c r="H1378" t="s">
        <v>3588</v>
      </c>
      <c r="I1378" t="s">
        <v>3588</v>
      </c>
      <c r="J1378" t="s">
        <v>3584</v>
      </c>
      <c r="K1378" s="4">
        <v>539.99</v>
      </c>
      <c r="L1378" s="4">
        <v>343.64960000000002</v>
      </c>
    </row>
    <row r="1379" spans="1:12">
      <c r="A1379" s="1">
        <v>42838</v>
      </c>
      <c r="B1379">
        <v>1</v>
      </c>
      <c r="C1379" t="s">
        <v>6239</v>
      </c>
      <c r="D1379" s="4">
        <v>1.8663000000000001</v>
      </c>
      <c r="E1379" s="4">
        <v>4.99</v>
      </c>
      <c r="F1379" t="s">
        <v>6240</v>
      </c>
      <c r="G1379" t="s">
        <v>6228</v>
      </c>
      <c r="H1379" t="s">
        <v>3577</v>
      </c>
      <c r="I1379" t="s">
        <v>3578</v>
      </c>
      <c r="J1379" t="s">
        <v>3579</v>
      </c>
      <c r="K1379" s="4">
        <v>4.99</v>
      </c>
      <c r="L1379" s="4">
        <v>1.8663000000000001</v>
      </c>
    </row>
    <row r="1380" spans="1:12">
      <c r="A1380" s="1">
        <v>42838</v>
      </c>
      <c r="B1380">
        <v>2</v>
      </c>
      <c r="C1380" t="s">
        <v>6244</v>
      </c>
      <c r="D1380" s="4">
        <v>3.7363</v>
      </c>
      <c r="E1380" s="4">
        <v>9.99</v>
      </c>
      <c r="F1380" t="s">
        <v>6240</v>
      </c>
      <c r="G1380" t="s">
        <v>6228</v>
      </c>
      <c r="H1380" t="s">
        <v>3580</v>
      </c>
      <c r="I1380" t="s">
        <v>3578</v>
      </c>
      <c r="J1380" t="s">
        <v>3579</v>
      </c>
      <c r="K1380" s="4">
        <v>19.98</v>
      </c>
      <c r="L1380" s="4">
        <v>7.4725999999999999</v>
      </c>
    </row>
    <row r="1381" spans="1:12">
      <c r="A1381" s="1">
        <v>42838</v>
      </c>
      <c r="B1381">
        <v>1</v>
      </c>
      <c r="C1381" t="s">
        <v>6256</v>
      </c>
      <c r="D1381" s="4">
        <v>44.88</v>
      </c>
      <c r="E1381" s="4">
        <v>120</v>
      </c>
      <c r="F1381" t="s">
        <v>6257</v>
      </c>
      <c r="G1381" t="s">
        <v>6228</v>
      </c>
      <c r="H1381" t="s">
        <v>3586</v>
      </c>
      <c r="I1381" t="s">
        <v>3586</v>
      </c>
      <c r="J1381" t="s">
        <v>3587</v>
      </c>
      <c r="K1381" s="4">
        <v>120</v>
      </c>
      <c r="L1381" s="4">
        <v>44.88</v>
      </c>
    </row>
    <row r="1382" spans="1:12">
      <c r="A1382" s="1">
        <v>42839</v>
      </c>
      <c r="B1382">
        <v>1</v>
      </c>
      <c r="C1382" t="s">
        <v>6275</v>
      </c>
      <c r="D1382" s="4">
        <v>419.77839999999998</v>
      </c>
      <c r="E1382" s="4">
        <v>769.49</v>
      </c>
      <c r="F1382" t="s">
        <v>3478</v>
      </c>
      <c r="G1382" t="s">
        <v>3475</v>
      </c>
      <c r="H1382" t="s">
        <v>3580</v>
      </c>
      <c r="I1382" t="s">
        <v>3578</v>
      </c>
      <c r="J1382" t="s">
        <v>3579</v>
      </c>
      <c r="K1382" s="4">
        <v>769.49</v>
      </c>
      <c r="L1382" s="4">
        <v>419.77839999999998</v>
      </c>
    </row>
    <row r="1383" spans="1:12">
      <c r="A1383" s="1">
        <v>42839</v>
      </c>
      <c r="B1383">
        <v>1</v>
      </c>
      <c r="C1383" t="s">
        <v>6245</v>
      </c>
      <c r="D1383" s="4">
        <v>0.85650000000000004</v>
      </c>
      <c r="E1383" s="4">
        <v>2.29</v>
      </c>
      <c r="F1383" t="s">
        <v>6243</v>
      </c>
      <c r="G1383" t="s">
        <v>6228</v>
      </c>
      <c r="H1383" t="s">
        <v>3582</v>
      </c>
      <c r="I1383" t="s">
        <v>3582</v>
      </c>
      <c r="J1383" t="s">
        <v>3579</v>
      </c>
      <c r="K1383" s="4">
        <v>2.29</v>
      </c>
      <c r="L1383" s="4">
        <v>0.85650000000000004</v>
      </c>
    </row>
    <row r="1384" spans="1:12">
      <c r="A1384" s="1">
        <v>42839</v>
      </c>
      <c r="B1384">
        <v>1</v>
      </c>
      <c r="C1384" t="s">
        <v>6229</v>
      </c>
      <c r="D1384" s="4">
        <v>12.027799999999999</v>
      </c>
      <c r="E1384" s="4">
        <v>33.644199999999998</v>
      </c>
      <c r="F1384" t="s">
        <v>6227</v>
      </c>
      <c r="G1384" t="s">
        <v>6228</v>
      </c>
      <c r="H1384" t="s">
        <v>3588</v>
      </c>
      <c r="I1384" t="s">
        <v>3588</v>
      </c>
      <c r="J1384" t="s">
        <v>3584</v>
      </c>
      <c r="K1384" s="4">
        <v>33.644199999999998</v>
      </c>
      <c r="L1384" s="4">
        <v>12.027799999999999</v>
      </c>
    </row>
    <row r="1385" spans="1:12">
      <c r="A1385" s="1">
        <v>42839</v>
      </c>
      <c r="B1385">
        <v>1</v>
      </c>
      <c r="C1385" t="s">
        <v>6270</v>
      </c>
      <c r="D1385" s="4">
        <v>1.4923</v>
      </c>
      <c r="E1385" s="4">
        <v>3.99</v>
      </c>
      <c r="F1385" t="s">
        <v>6243</v>
      </c>
      <c r="G1385" t="s">
        <v>6228</v>
      </c>
      <c r="H1385" t="s">
        <v>3588</v>
      </c>
      <c r="I1385" t="s">
        <v>3588</v>
      </c>
      <c r="J1385" t="s">
        <v>3584</v>
      </c>
      <c r="K1385" s="4">
        <v>3.99</v>
      </c>
      <c r="L1385" s="4">
        <v>1.4923</v>
      </c>
    </row>
    <row r="1386" spans="1:12">
      <c r="A1386" s="1">
        <v>42839</v>
      </c>
      <c r="B1386">
        <v>1</v>
      </c>
      <c r="C1386" t="s">
        <v>6275</v>
      </c>
      <c r="D1386" s="4">
        <v>419.77839999999998</v>
      </c>
      <c r="E1386" s="4">
        <v>769.49</v>
      </c>
      <c r="F1386" t="s">
        <v>3478</v>
      </c>
      <c r="G1386" t="s">
        <v>3475</v>
      </c>
      <c r="H1386" t="s">
        <v>3588</v>
      </c>
      <c r="I1386" t="s">
        <v>3588</v>
      </c>
      <c r="J1386" t="s">
        <v>3584</v>
      </c>
      <c r="K1386" s="4">
        <v>769.49</v>
      </c>
      <c r="L1386" s="4">
        <v>419.77839999999998</v>
      </c>
    </row>
    <row r="1387" spans="1:12">
      <c r="A1387" s="1">
        <v>42840</v>
      </c>
      <c r="B1387">
        <v>1</v>
      </c>
      <c r="C1387" t="s">
        <v>6311</v>
      </c>
      <c r="D1387" s="4">
        <v>41.572299999999998</v>
      </c>
      <c r="E1387" s="4">
        <v>53.99</v>
      </c>
      <c r="F1387" t="s">
        <v>6235</v>
      </c>
      <c r="G1387" t="s">
        <v>6233</v>
      </c>
      <c r="H1387" t="s">
        <v>3577</v>
      </c>
      <c r="I1387" t="s">
        <v>3578</v>
      </c>
      <c r="J1387" t="s">
        <v>3579</v>
      </c>
      <c r="K1387" s="4">
        <v>53.99</v>
      </c>
      <c r="L1387" s="4">
        <v>41.572299999999998</v>
      </c>
    </row>
    <row r="1388" spans="1:12">
      <c r="A1388" s="1">
        <v>42840</v>
      </c>
      <c r="B1388">
        <v>1</v>
      </c>
      <c r="C1388" t="s">
        <v>6239</v>
      </c>
      <c r="D1388" s="4">
        <v>1.8663000000000001</v>
      </c>
      <c r="E1388" s="4">
        <v>4.99</v>
      </c>
      <c r="F1388" t="s">
        <v>6240</v>
      </c>
      <c r="G1388" t="s">
        <v>6228</v>
      </c>
      <c r="H1388" t="s">
        <v>3583</v>
      </c>
      <c r="I1388" t="s">
        <v>3583</v>
      </c>
      <c r="J1388" t="s">
        <v>3584</v>
      </c>
      <c r="K1388" s="4">
        <v>4.99</v>
      </c>
      <c r="L1388" s="4">
        <v>1.8663000000000001</v>
      </c>
    </row>
    <row r="1389" spans="1:12">
      <c r="A1389" s="1">
        <v>42840</v>
      </c>
      <c r="B1389">
        <v>1</v>
      </c>
      <c r="C1389" t="s">
        <v>6291</v>
      </c>
      <c r="D1389" s="4">
        <v>41.572299999999998</v>
      </c>
      <c r="E1389" s="4">
        <v>53.99</v>
      </c>
      <c r="F1389" t="s">
        <v>6235</v>
      </c>
      <c r="G1389" t="s">
        <v>6233</v>
      </c>
      <c r="H1389" t="s">
        <v>3583</v>
      </c>
      <c r="I1389" t="s">
        <v>3583</v>
      </c>
      <c r="J1389" t="s">
        <v>3584</v>
      </c>
      <c r="K1389" s="4">
        <v>53.99</v>
      </c>
      <c r="L1389" s="4">
        <v>41.572299999999998</v>
      </c>
    </row>
    <row r="1390" spans="1:12">
      <c r="A1390" s="1">
        <v>42840</v>
      </c>
      <c r="B1390">
        <v>1</v>
      </c>
      <c r="C1390" t="s">
        <v>6268</v>
      </c>
      <c r="D1390" s="4">
        <v>41.572299999999998</v>
      </c>
      <c r="E1390" s="4">
        <v>53.99</v>
      </c>
      <c r="F1390" t="s">
        <v>6235</v>
      </c>
      <c r="G1390" t="s">
        <v>6233</v>
      </c>
      <c r="H1390" t="s">
        <v>3583</v>
      </c>
      <c r="I1390" t="s">
        <v>3583</v>
      </c>
      <c r="J1390" t="s">
        <v>3584</v>
      </c>
      <c r="K1390" s="4">
        <v>53.99</v>
      </c>
      <c r="L1390" s="4">
        <v>41.572299999999998</v>
      </c>
    </row>
    <row r="1391" spans="1:12">
      <c r="A1391" s="1">
        <v>42840</v>
      </c>
      <c r="B1391">
        <v>1</v>
      </c>
      <c r="C1391" t="s">
        <v>6245</v>
      </c>
      <c r="D1391" s="4">
        <v>0.85650000000000004</v>
      </c>
      <c r="E1391" s="4">
        <v>2.29</v>
      </c>
      <c r="F1391" t="s">
        <v>6243</v>
      </c>
      <c r="G1391" t="s">
        <v>6228</v>
      </c>
      <c r="H1391" t="s">
        <v>3586</v>
      </c>
      <c r="I1391" t="s">
        <v>3586</v>
      </c>
      <c r="J1391" t="s">
        <v>3587</v>
      </c>
      <c r="K1391" s="4">
        <v>2.29</v>
      </c>
      <c r="L1391" s="4">
        <v>0.85650000000000004</v>
      </c>
    </row>
    <row r="1392" spans="1:12">
      <c r="A1392" s="1">
        <v>42841</v>
      </c>
      <c r="B1392">
        <v>1</v>
      </c>
      <c r="C1392" t="s">
        <v>6241</v>
      </c>
      <c r="D1392" s="4">
        <v>3.3622999999999998</v>
      </c>
      <c r="E1392" s="4">
        <v>8.99</v>
      </c>
      <c r="F1392" t="s">
        <v>6240</v>
      </c>
      <c r="G1392" t="s">
        <v>6228</v>
      </c>
      <c r="H1392" t="s">
        <v>3580</v>
      </c>
      <c r="I1392" t="s">
        <v>3578</v>
      </c>
      <c r="J1392" t="s">
        <v>3579</v>
      </c>
      <c r="K1392" s="4">
        <v>8.99</v>
      </c>
      <c r="L1392" s="4">
        <v>3.3622999999999998</v>
      </c>
    </row>
    <row r="1393" spans="1:12">
      <c r="A1393" s="1">
        <v>42841</v>
      </c>
      <c r="B1393">
        <v>1</v>
      </c>
      <c r="C1393" t="s">
        <v>6260</v>
      </c>
      <c r="D1393" s="4">
        <v>13.09</v>
      </c>
      <c r="E1393" s="4">
        <v>35</v>
      </c>
      <c r="F1393" t="s">
        <v>6243</v>
      </c>
      <c r="G1393" t="s">
        <v>6228</v>
      </c>
      <c r="H1393" t="s">
        <v>3580</v>
      </c>
      <c r="I1393" t="s">
        <v>3578</v>
      </c>
      <c r="J1393" t="s">
        <v>3579</v>
      </c>
      <c r="K1393" s="4">
        <v>35</v>
      </c>
      <c r="L1393" s="4">
        <v>13.09</v>
      </c>
    </row>
    <row r="1394" spans="1:12">
      <c r="A1394" s="1">
        <v>42841</v>
      </c>
      <c r="B1394">
        <v>1</v>
      </c>
      <c r="C1394" t="s">
        <v>6287</v>
      </c>
      <c r="D1394" s="4">
        <v>1082.51</v>
      </c>
      <c r="E1394" s="4">
        <v>1700.99</v>
      </c>
      <c r="F1394" t="s">
        <v>3479</v>
      </c>
      <c r="G1394" t="s">
        <v>3475</v>
      </c>
      <c r="H1394" t="s">
        <v>3580</v>
      </c>
      <c r="I1394" t="s">
        <v>3578</v>
      </c>
      <c r="J1394" t="s">
        <v>3579</v>
      </c>
      <c r="K1394" s="4">
        <v>1700.99</v>
      </c>
      <c r="L1394" s="4">
        <v>1082.51</v>
      </c>
    </row>
    <row r="1395" spans="1:12">
      <c r="A1395" s="1">
        <v>42841</v>
      </c>
      <c r="B1395">
        <v>1</v>
      </c>
      <c r="C1395" t="s">
        <v>6270</v>
      </c>
      <c r="D1395" s="4">
        <v>1.4923</v>
      </c>
      <c r="E1395" s="4">
        <v>3.99</v>
      </c>
      <c r="F1395" t="s">
        <v>6243</v>
      </c>
      <c r="G1395" t="s">
        <v>6228</v>
      </c>
      <c r="H1395" t="s">
        <v>3585</v>
      </c>
      <c r="I1395" t="s">
        <v>3585</v>
      </c>
      <c r="J1395" t="s">
        <v>3584</v>
      </c>
      <c r="K1395" s="4">
        <v>3.99</v>
      </c>
      <c r="L1395" s="4">
        <v>1.4923</v>
      </c>
    </row>
    <row r="1396" spans="1:12">
      <c r="A1396" s="1">
        <v>42842</v>
      </c>
      <c r="B1396">
        <v>1</v>
      </c>
      <c r="C1396" t="s">
        <v>6269</v>
      </c>
      <c r="D1396" s="4">
        <v>9.3462999999999994</v>
      </c>
      <c r="E1396" s="4">
        <v>24.99</v>
      </c>
      <c r="F1396" t="s">
        <v>6243</v>
      </c>
      <c r="G1396" t="s">
        <v>6228</v>
      </c>
      <c r="H1396" t="s">
        <v>3577</v>
      </c>
      <c r="I1396" t="s">
        <v>3578</v>
      </c>
      <c r="J1396" t="s">
        <v>3579</v>
      </c>
      <c r="K1396" s="4">
        <v>24.99</v>
      </c>
      <c r="L1396" s="4">
        <v>9.3462999999999994</v>
      </c>
    </row>
    <row r="1397" spans="1:12">
      <c r="A1397" s="1">
        <v>42842</v>
      </c>
      <c r="B1397">
        <v>1</v>
      </c>
      <c r="C1397" t="s">
        <v>6302</v>
      </c>
      <c r="D1397" s="4">
        <v>23.748999999999999</v>
      </c>
      <c r="E1397" s="4">
        <v>63.5</v>
      </c>
      <c r="F1397" t="s">
        <v>6293</v>
      </c>
      <c r="G1397" t="s">
        <v>6233</v>
      </c>
      <c r="H1397" t="s">
        <v>3585</v>
      </c>
      <c r="I1397" t="s">
        <v>3585</v>
      </c>
      <c r="J1397" t="s">
        <v>3584</v>
      </c>
      <c r="K1397" s="4">
        <v>63.5</v>
      </c>
      <c r="L1397" s="4">
        <v>23.748999999999999</v>
      </c>
    </row>
    <row r="1398" spans="1:12">
      <c r="A1398" s="1">
        <v>42842</v>
      </c>
      <c r="B1398">
        <v>1</v>
      </c>
      <c r="C1398" t="s">
        <v>6252</v>
      </c>
      <c r="D1398" s="4">
        <v>343.64960000000002</v>
      </c>
      <c r="E1398" s="4">
        <v>539.99</v>
      </c>
      <c r="F1398" t="s">
        <v>3479</v>
      </c>
      <c r="G1398" t="s">
        <v>3475</v>
      </c>
      <c r="H1398" t="s">
        <v>3585</v>
      </c>
      <c r="I1398" t="s">
        <v>3585</v>
      </c>
      <c r="J1398" t="s">
        <v>3584</v>
      </c>
      <c r="K1398" s="4">
        <v>539.99</v>
      </c>
      <c r="L1398" s="4">
        <v>343.64960000000002</v>
      </c>
    </row>
    <row r="1399" spans="1:12">
      <c r="A1399" s="1">
        <v>42842</v>
      </c>
      <c r="B1399">
        <v>1</v>
      </c>
      <c r="C1399" t="s">
        <v>6273</v>
      </c>
      <c r="D1399" s="4">
        <v>461.44479999999999</v>
      </c>
      <c r="E1399" s="4">
        <v>742.35</v>
      </c>
      <c r="F1399" t="s">
        <v>6274</v>
      </c>
      <c r="G1399" t="s">
        <v>3475</v>
      </c>
      <c r="H1399" t="s">
        <v>3586</v>
      </c>
      <c r="I1399" t="s">
        <v>3586</v>
      </c>
      <c r="J1399" t="s">
        <v>3587</v>
      </c>
      <c r="K1399" s="4">
        <v>742.35</v>
      </c>
      <c r="L1399" s="4">
        <v>461.44479999999999</v>
      </c>
    </row>
    <row r="1400" spans="1:12">
      <c r="A1400" s="1">
        <v>42842</v>
      </c>
      <c r="B1400">
        <v>1</v>
      </c>
      <c r="C1400" t="s">
        <v>6320</v>
      </c>
      <c r="D1400" s="4">
        <v>461.44479999999999</v>
      </c>
      <c r="E1400" s="4">
        <v>742.35</v>
      </c>
      <c r="F1400" t="s">
        <v>6274</v>
      </c>
      <c r="G1400" t="s">
        <v>3475</v>
      </c>
      <c r="H1400" t="s">
        <v>3586</v>
      </c>
      <c r="I1400" t="s">
        <v>3586</v>
      </c>
      <c r="J1400" t="s">
        <v>3587</v>
      </c>
      <c r="K1400" s="4">
        <v>742.35</v>
      </c>
      <c r="L1400" s="4">
        <v>461.44479999999999</v>
      </c>
    </row>
    <row r="1401" spans="1:12">
      <c r="A1401" s="1">
        <v>42843</v>
      </c>
      <c r="B1401">
        <v>1</v>
      </c>
      <c r="C1401" t="s">
        <v>3566</v>
      </c>
      <c r="D1401" s="4">
        <v>605.64919999999995</v>
      </c>
      <c r="E1401" s="4">
        <v>1000.4375</v>
      </c>
      <c r="F1401" t="s">
        <v>3479</v>
      </c>
      <c r="G1401" t="s">
        <v>3475</v>
      </c>
      <c r="H1401" t="s">
        <v>3577</v>
      </c>
      <c r="I1401" t="s">
        <v>3578</v>
      </c>
      <c r="J1401" t="s">
        <v>3579</v>
      </c>
      <c r="K1401" s="4">
        <v>1000.4375</v>
      </c>
      <c r="L1401" s="4">
        <v>605.64919999999995</v>
      </c>
    </row>
    <row r="1402" spans="1:12">
      <c r="A1402" s="1">
        <v>42843</v>
      </c>
      <c r="B1402">
        <v>1</v>
      </c>
      <c r="C1402" t="s">
        <v>6281</v>
      </c>
      <c r="D1402" s="4">
        <v>1481.9378999999999</v>
      </c>
      <c r="E1402" s="4">
        <v>2384.0700000000002</v>
      </c>
      <c r="F1402" t="s">
        <v>6274</v>
      </c>
      <c r="G1402" t="s">
        <v>3475</v>
      </c>
      <c r="H1402" t="s">
        <v>3580</v>
      </c>
      <c r="I1402" t="s">
        <v>3578</v>
      </c>
      <c r="J1402" t="s">
        <v>3579</v>
      </c>
      <c r="K1402" s="4">
        <v>2384.0700000000002</v>
      </c>
      <c r="L1402" s="4">
        <v>1481.9378999999999</v>
      </c>
    </row>
    <row r="1403" spans="1:12">
      <c r="A1403" s="1">
        <v>42843</v>
      </c>
      <c r="B1403">
        <v>1</v>
      </c>
      <c r="C1403" t="s">
        <v>6253</v>
      </c>
      <c r="D1403" s="4">
        <v>9.7135999999999996</v>
      </c>
      <c r="E1403" s="4">
        <v>23.548100000000002</v>
      </c>
      <c r="F1403" t="s">
        <v>6251</v>
      </c>
      <c r="G1403" t="s">
        <v>6233</v>
      </c>
      <c r="H1403" t="s">
        <v>3583</v>
      </c>
      <c r="I1403" t="s">
        <v>3583</v>
      </c>
      <c r="J1403" t="s">
        <v>3584</v>
      </c>
      <c r="K1403" s="4">
        <v>23.548100000000002</v>
      </c>
      <c r="L1403" s="4">
        <v>9.7135999999999996</v>
      </c>
    </row>
    <row r="1404" spans="1:12">
      <c r="A1404" s="1">
        <v>42843</v>
      </c>
      <c r="B1404">
        <v>1</v>
      </c>
      <c r="C1404" t="s">
        <v>6241</v>
      </c>
      <c r="D1404" s="4">
        <v>3.3622999999999998</v>
      </c>
      <c r="E1404" s="4">
        <v>8.99</v>
      </c>
      <c r="F1404" t="s">
        <v>6240</v>
      </c>
      <c r="G1404" t="s">
        <v>6228</v>
      </c>
      <c r="H1404" t="s">
        <v>3586</v>
      </c>
      <c r="I1404" t="s">
        <v>3586</v>
      </c>
      <c r="J1404" t="s">
        <v>3587</v>
      </c>
      <c r="K1404" s="4">
        <v>8.99</v>
      </c>
      <c r="L1404" s="4">
        <v>3.3622999999999998</v>
      </c>
    </row>
    <row r="1405" spans="1:12">
      <c r="A1405" s="1">
        <v>42843</v>
      </c>
      <c r="B1405">
        <v>1</v>
      </c>
      <c r="C1405" t="s">
        <v>6241</v>
      </c>
      <c r="D1405" s="4">
        <v>3.3622999999999998</v>
      </c>
      <c r="E1405" s="4">
        <v>8.99</v>
      </c>
      <c r="F1405" t="s">
        <v>6240</v>
      </c>
      <c r="G1405" t="s">
        <v>6228</v>
      </c>
      <c r="H1405" t="s">
        <v>3588</v>
      </c>
      <c r="I1405" t="s">
        <v>3588</v>
      </c>
      <c r="J1405" t="s">
        <v>3584</v>
      </c>
      <c r="K1405" s="4">
        <v>8.99</v>
      </c>
      <c r="L1405" s="4">
        <v>3.3622999999999998</v>
      </c>
    </row>
    <row r="1406" spans="1:12">
      <c r="A1406" s="1">
        <v>42843</v>
      </c>
      <c r="B1406">
        <v>1</v>
      </c>
      <c r="C1406" t="s">
        <v>6299</v>
      </c>
      <c r="D1406" s="4">
        <v>755.1508</v>
      </c>
      <c r="E1406" s="4">
        <v>1214.8499999999999</v>
      </c>
      <c r="F1406" t="s">
        <v>6274</v>
      </c>
      <c r="G1406" t="s">
        <v>3475</v>
      </c>
      <c r="H1406" t="s">
        <v>3588</v>
      </c>
      <c r="I1406" t="s">
        <v>3588</v>
      </c>
      <c r="J1406" t="s">
        <v>3584</v>
      </c>
      <c r="K1406" s="4">
        <v>1214.8499999999999</v>
      </c>
      <c r="L1406" s="4">
        <v>755.1508</v>
      </c>
    </row>
    <row r="1407" spans="1:12">
      <c r="A1407" s="1">
        <v>42844</v>
      </c>
      <c r="B1407">
        <v>1</v>
      </c>
      <c r="C1407" t="s">
        <v>6226</v>
      </c>
      <c r="D1407" s="4">
        <v>13.0863</v>
      </c>
      <c r="E1407" s="4">
        <v>34.99</v>
      </c>
      <c r="F1407" t="s">
        <v>6227</v>
      </c>
      <c r="G1407" t="s">
        <v>6228</v>
      </c>
      <c r="H1407" t="s">
        <v>3580</v>
      </c>
      <c r="I1407" t="s">
        <v>3578</v>
      </c>
      <c r="J1407" t="s">
        <v>3579</v>
      </c>
      <c r="K1407" s="4">
        <v>34.99</v>
      </c>
      <c r="L1407" s="4">
        <v>13.0863</v>
      </c>
    </row>
    <row r="1408" spans="1:12">
      <c r="A1408" s="1">
        <v>42844</v>
      </c>
      <c r="B1408">
        <v>1</v>
      </c>
      <c r="C1408" t="s">
        <v>6244</v>
      </c>
      <c r="D1408" s="4">
        <v>3.7363</v>
      </c>
      <c r="E1408" s="4">
        <v>9.99</v>
      </c>
      <c r="F1408" t="s">
        <v>6240</v>
      </c>
      <c r="G1408" t="s">
        <v>6228</v>
      </c>
      <c r="H1408" t="s">
        <v>3580</v>
      </c>
      <c r="I1408" t="s">
        <v>3578</v>
      </c>
      <c r="J1408" t="s">
        <v>3579</v>
      </c>
      <c r="K1408" s="4">
        <v>9.99</v>
      </c>
      <c r="L1408" s="4">
        <v>3.7363</v>
      </c>
    </row>
    <row r="1409" spans="1:12">
      <c r="A1409" s="1">
        <v>42844</v>
      </c>
      <c r="B1409">
        <v>1</v>
      </c>
      <c r="C1409" t="s">
        <v>6242</v>
      </c>
      <c r="D1409" s="4">
        <v>1.8663000000000001</v>
      </c>
      <c r="E1409" s="4">
        <v>4.99</v>
      </c>
      <c r="F1409" t="s">
        <v>6243</v>
      </c>
      <c r="G1409" t="s">
        <v>6228</v>
      </c>
      <c r="H1409" t="s">
        <v>3582</v>
      </c>
      <c r="I1409" t="s">
        <v>3582</v>
      </c>
      <c r="J1409" t="s">
        <v>3579</v>
      </c>
      <c r="K1409" s="4">
        <v>4.99</v>
      </c>
      <c r="L1409" s="4">
        <v>1.8663000000000001</v>
      </c>
    </row>
    <row r="1410" spans="1:12">
      <c r="A1410" s="1">
        <v>42844</v>
      </c>
      <c r="B1410">
        <v>1</v>
      </c>
      <c r="C1410" t="s">
        <v>6265</v>
      </c>
      <c r="D1410" s="4">
        <v>59.466000000000001</v>
      </c>
      <c r="E1410" s="4">
        <v>159</v>
      </c>
      <c r="F1410" t="s">
        <v>6266</v>
      </c>
      <c r="G1410" t="s">
        <v>6228</v>
      </c>
      <c r="H1410" t="s">
        <v>3583</v>
      </c>
      <c r="I1410" t="s">
        <v>3583</v>
      </c>
      <c r="J1410" t="s">
        <v>3584</v>
      </c>
      <c r="K1410" s="4">
        <v>159</v>
      </c>
      <c r="L1410" s="4">
        <v>59.466000000000001</v>
      </c>
    </row>
    <row r="1411" spans="1:12">
      <c r="A1411" s="1">
        <v>42844</v>
      </c>
      <c r="B1411">
        <v>1</v>
      </c>
      <c r="C1411" t="s">
        <v>6276</v>
      </c>
      <c r="D1411" s="4">
        <v>1.8663000000000001</v>
      </c>
      <c r="E1411" s="4">
        <v>4.99</v>
      </c>
      <c r="F1411" t="s">
        <v>6243</v>
      </c>
      <c r="G1411" t="s">
        <v>6228</v>
      </c>
      <c r="H1411" t="s">
        <v>3583</v>
      </c>
      <c r="I1411" t="s">
        <v>3583</v>
      </c>
      <c r="J1411" t="s">
        <v>3584</v>
      </c>
      <c r="K1411" s="4">
        <v>4.99</v>
      </c>
      <c r="L1411" s="4">
        <v>1.8663000000000001</v>
      </c>
    </row>
    <row r="1412" spans="1:12">
      <c r="A1412" s="1">
        <v>42844</v>
      </c>
      <c r="B1412">
        <v>1</v>
      </c>
      <c r="C1412" t="s">
        <v>6246</v>
      </c>
      <c r="D1412" s="4">
        <v>20.566299999999998</v>
      </c>
      <c r="E1412" s="4">
        <v>54.99</v>
      </c>
      <c r="F1412" t="s">
        <v>6247</v>
      </c>
      <c r="G1412" t="s">
        <v>6228</v>
      </c>
      <c r="H1412" t="s">
        <v>3588</v>
      </c>
      <c r="I1412" t="s">
        <v>3588</v>
      </c>
      <c r="J1412" t="s">
        <v>3584</v>
      </c>
      <c r="K1412" s="4">
        <v>54.99</v>
      </c>
      <c r="L1412" s="4">
        <v>20.566299999999998</v>
      </c>
    </row>
    <row r="1413" spans="1:12">
      <c r="A1413" s="1">
        <v>42845</v>
      </c>
      <c r="B1413">
        <v>1</v>
      </c>
      <c r="C1413" t="s">
        <v>6305</v>
      </c>
      <c r="D1413" s="4">
        <v>1082.51</v>
      </c>
      <c r="E1413" s="4">
        <v>1700.99</v>
      </c>
      <c r="F1413" t="s">
        <v>3479</v>
      </c>
      <c r="G1413" t="s">
        <v>3475</v>
      </c>
      <c r="H1413" t="s">
        <v>3585</v>
      </c>
      <c r="I1413" t="s">
        <v>3585</v>
      </c>
      <c r="J1413" t="s">
        <v>3584</v>
      </c>
      <c r="K1413" s="4">
        <v>1700.99</v>
      </c>
      <c r="L1413" s="4">
        <v>1082.51</v>
      </c>
    </row>
    <row r="1414" spans="1:12">
      <c r="A1414" s="1">
        <v>42845</v>
      </c>
      <c r="B1414">
        <v>1</v>
      </c>
      <c r="C1414" t="s">
        <v>6263</v>
      </c>
      <c r="D1414" s="4">
        <v>3.3622999999999998</v>
      </c>
      <c r="E1414" s="4">
        <v>8.99</v>
      </c>
      <c r="F1414" t="s">
        <v>6264</v>
      </c>
      <c r="G1414" t="s">
        <v>6233</v>
      </c>
      <c r="H1414" t="s">
        <v>3588</v>
      </c>
      <c r="I1414" t="s">
        <v>3588</v>
      </c>
      <c r="J1414" t="s">
        <v>3584</v>
      </c>
      <c r="K1414" s="4">
        <v>8.99</v>
      </c>
      <c r="L1414" s="4">
        <v>3.3622999999999998</v>
      </c>
    </row>
    <row r="1415" spans="1:12">
      <c r="A1415" s="1">
        <v>42846</v>
      </c>
      <c r="B1415">
        <v>1</v>
      </c>
      <c r="C1415" t="s">
        <v>6238</v>
      </c>
      <c r="D1415" s="4">
        <v>31.724399999999999</v>
      </c>
      <c r="E1415" s="4">
        <v>48.067300000000003</v>
      </c>
      <c r="F1415" t="s">
        <v>6235</v>
      </c>
      <c r="G1415" t="s">
        <v>6233</v>
      </c>
      <c r="H1415" t="s">
        <v>3580</v>
      </c>
      <c r="I1415" t="s">
        <v>3578</v>
      </c>
      <c r="J1415" t="s">
        <v>3579</v>
      </c>
      <c r="K1415" s="4">
        <v>48.067300000000003</v>
      </c>
      <c r="L1415" s="4">
        <v>31.724399999999999</v>
      </c>
    </row>
    <row r="1416" spans="1:12">
      <c r="A1416" s="1">
        <v>42846</v>
      </c>
      <c r="B1416">
        <v>1</v>
      </c>
      <c r="C1416" t="s">
        <v>6239</v>
      </c>
      <c r="D1416" s="4">
        <v>1.8663000000000001</v>
      </c>
      <c r="E1416" s="4">
        <v>4.99</v>
      </c>
      <c r="F1416" t="s">
        <v>6240</v>
      </c>
      <c r="G1416" t="s">
        <v>6228</v>
      </c>
      <c r="H1416" t="s">
        <v>3580</v>
      </c>
      <c r="I1416" t="s">
        <v>3578</v>
      </c>
      <c r="J1416" t="s">
        <v>3579</v>
      </c>
      <c r="K1416" s="4">
        <v>4.99</v>
      </c>
      <c r="L1416" s="4">
        <v>1.8663000000000001</v>
      </c>
    </row>
    <row r="1417" spans="1:12">
      <c r="A1417" s="1">
        <v>42846</v>
      </c>
      <c r="B1417">
        <v>1</v>
      </c>
      <c r="C1417" t="s">
        <v>3566</v>
      </c>
      <c r="D1417" s="4">
        <v>605.64919999999995</v>
      </c>
      <c r="E1417" s="4">
        <v>1000.4375</v>
      </c>
      <c r="F1417" t="s">
        <v>3479</v>
      </c>
      <c r="G1417" t="s">
        <v>3475</v>
      </c>
      <c r="H1417" t="s">
        <v>3586</v>
      </c>
      <c r="I1417" t="s">
        <v>3586</v>
      </c>
      <c r="J1417" t="s">
        <v>3587</v>
      </c>
      <c r="K1417" s="4">
        <v>1000.4375</v>
      </c>
      <c r="L1417" s="4">
        <v>605.64919999999995</v>
      </c>
    </row>
    <row r="1418" spans="1:12">
      <c r="A1418" s="1">
        <v>42847</v>
      </c>
      <c r="B1418">
        <v>1</v>
      </c>
      <c r="C1418" t="s">
        <v>6242</v>
      </c>
      <c r="D1418" s="4">
        <v>1.8663000000000001</v>
      </c>
      <c r="E1418" s="4">
        <v>4.99</v>
      </c>
      <c r="F1418" t="s">
        <v>6243</v>
      </c>
      <c r="G1418" t="s">
        <v>6228</v>
      </c>
      <c r="H1418" t="s">
        <v>3580</v>
      </c>
      <c r="I1418" t="s">
        <v>3578</v>
      </c>
      <c r="J1418" t="s">
        <v>3579</v>
      </c>
      <c r="K1418" s="4">
        <v>4.99</v>
      </c>
      <c r="L1418" s="4">
        <v>1.8663000000000001</v>
      </c>
    </row>
    <row r="1419" spans="1:12">
      <c r="A1419" s="1">
        <v>42847</v>
      </c>
      <c r="B1419">
        <v>1</v>
      </c>
      <c r="C1419" t="s">
        <v>6282</v>
      </c>
      <c r="D1419" s="4">
        <v>10.8423</v>
      </c>
      <c r="E1419" s="4">
        <v>28.99</v>
      </c>
      <c r="F1419" t="s">
        <v>6243</v>
      </c>
      <c r="G1419" t="s">
        <v>6228</v>
      </c>
      <c r="H1419" t="s">
        <v>3583</v>
      </c>
      <c r="I1419" t="s">
        <v>3583</v>
      </c>
      <c r="J1419" t="s">
        <v>3584</v>
      </c>
      <c r="K1419" s="4">
        <v>28.99</v>
      </c>
      <c r="L1419" s="4">
        <v>10.8423</v>
      </c>
    </row>
    <row r="1420" spans="1:12">
      <c r="A1420" s="1">
        <v>42847</v>
      </c>
      <c r="B1420">
        <v>1</v>
      </c>
      <c r="C1420" t="s">
        <v>6276</v>
      </c>
      <c r="D1420" s="4">
        <v>1.8663000000000001</v>
      </c>
      <c r="E1420" s="4">
        <v>4.99</v>
      </c>
      <c r="F1420" t="s">
        <v>6243</v>
      </c>
      <c r="G1420" t="s">
        <v>6228</v>
      </c>
      <c r="H1420" t="s">
        <v>3585</v>
      </c>
      <c r="I1420" t="s">
        <v>3585</v>
      </c>
      <c r="J1420" t="s">
        <v>3584</v>
      </c>
      <c r="K1420" s="4">
        <v>4.99</v>
      </c>
      <c r="L1420" s="4">
        <v>1.8663000000000001</v>
      </c>
    </row>
    <row r="1421" spans="1:12">
      <c r="A1421" s="1">
        <v>42847</v>
      </c>
      <c r="B1421">
        <v>1</v>
      </c>
      <c r="C1421" t="s">
        <v>6301</v>
      </c>
      <c r="D1421" s="4">
        <v>343.64960000000002</v>
      </c>
      <c r="E1421" s="4">
        <v>539.99</v>
      </c>
      <c r="F1421" t="s">
        <v>3479</v>
      </c>
      <c r="G1421" t="s">
        <v>3475</v>
      </c>
      <c r="H1421" t="s">
        <v>3585</v>
      </c>
      <c r="I1421" t="s">
        <v>3585</v>
      </c>
      <c r="J1421" t="s">
        <v>3584</v>
      </c>
      <c r="K1421" s="4">
        <v>539.99</v>
      </c>
      <c r="L1421" s="4">
        <v>343.64960000000002</v>
      </c>
    </row>
    <row r="1422" spans="1:12">
      <c r="A1422" s="1">
        <v>42848</v>
      </c>
      <c r="B1422">
        <v>1</v>
      </c>
      <c r="C1422" t="s">
        <v>6258</v>
      </c>
      <c r="D1422" s="4">
        <v>2.9733000000000001</v>
      </c>
      <c r="E1422" s="4">
        <v>7.95</v>
      </c>
      <c r="F1422" t="s">
        <v>6259</v>
      </c>
      <c r="G1422" t="s">
        <v>6228</v>
      </c>
      <c r="H1422" t="s">
        <v>3577</v>
      </c>
      <c r="I1422" t="s">
        <v>3578</v>
      </c>
      <c r="J1422" t="s">
        <v>3579</v>
      </c>
      <c r="K1422" s="4">
        <v>7.95</v>
      </c>
      <c r="L1422" s="4">
        <v>2.9733000000000001</v>
      </c>
    </row>
    <row r="1423" spans="1:12">
      <c r="A1423" s="1">
        <v>42848</v>
      </c>
      <c r="B1423">
        <v>1</v>
      </c>
      <c r="C1423" t="s">
        <v>6229</v>
      </c>
      <c r="D1423" s="4">
        <v>12.027799999999999</v>
      </c>
      <c r="E1423" s="4">
        <v>33.644199999999998</v>
      </c>
      <c r="F1423" t="s">
        <v>6227</v>
      </c>
      <c r="G1423" t="s">
        <v>6228</v>
      </c>
      <c r="H1423" t="s">
        <v>3580</v>
      </c>
      <c r="I1423" t="s">
        <v>3578</v>
      </c>
      <c r="J1423" t="s">
        <v>3579</v>
      </c>
      <c r="K1423" s="4">
        <v>33.644199999999998</v>
      </c>
      <c r="L1423" s="4">
        <v>12.027799999999999</v>
      </c>
    </row>
    <row r="1424" spans="1:12">
      <c r="A1424" s="1">
        <v>42848</v>
      </c>
      <c r="B1424">
        <v>1</v>
      </c>
      <c r="C1424" t="s">
        <v>6234</v>
      </c>
      <c r="D1424" s="4">
        <v>31.724399999999999</v>
      </c>
      <c r="E1424" s="4">
        <v>48.067300000000003</v>
      </c>
      <c r="F1424" t="s">
        <v>6235</v>
      </c>
      <c r="G1424" t="s">
        <v>6233</v>
      </c>
      <c r="H1424" t="s">
        <v>3580</v>
      </c>
      <c r="I1424" t="s">
        <v>3578</v>
      </c>
      <c r="J1424" t="s">
        <v>3579</v>
      </c>
      <c r="K1424" s="4">
        <v>48.067300000000003</v>
      </c>
      <c r="L1424" s="4">
        <v>31.724399999999999</v>
      </c>
    </row>
    <row r="1425" spans="1:12">
      <c r="A1425" s="1">
        <v>42848</v>
      </c>
      <c r="B1425">
        <v>1</v>
      </c>
      <c r="C1425" t="s">
        <v>6245</v>
      </c>
      <c r="D1425" s="4">
        <v>0.85650000000000004</v>
      </c>
      <c r="E1425" s="4">
        <v>2.29</v>
      </c>
      <c r="F1425" t="s">
        <v>6243</v>
      </c>
      <c r="G1425" t="s">
        <v>6228</v>
      </c>
      <c r="H1425" t="s">
        <v>3580</v>
      </c>
      <c r="I1425" t="s">
        <v>3578</v>
      </c>
      <c r="J1425" t="s">
        <v>3579</v>
      </c>
      <c r="K1425" s="4">
        <v>2.29</v>
      </c>
      <c r="L1425" s="4">
        <v>0.85650000000000004</v>
      </c>
    </row>
    <row r="1426" spans="1:12">
      <c r="A1426" s="1">
        <v>42848</v>
      </c>
      <c r="B1426">
        <v>1</v>
      </c>
      <c r="C1426" t="s">
        <v>6230</v>
      </c>
      <c r="D1426" s="4">
        <v>12.027799999999999</v>
      </c>
      <c r="E1426" s="4">
        <v>33.644199999999998</v>
      </c>
      <c r="F1426" t="s">
        <v>6227</v>
      </c>
      <c r="G1426" t="s">
        <v>6228</v>
      </c>
      <c r="H1426" t="s">
        <v>3582</v>
      </c>
      <c r="I1426" t="s">
        <v>3582</v>
      </c>
      <c r="J1426" t="s">
        <v>3579</v>
      </c>
      <c r="K1426" s="4">
        <v>33.644199999999998</v>
      </c>
      <c r="L1426" s="4">
        <v>12.027799999999999</v>
      </c>
    </row>
    <row r="1427" spans="1:12">
      <c r="A1427" s="1">
        <v>42848</v>
      </c>
      <c r="B1427">
        <v>1</v>
      </c>
      <c r="C1427" t="s">
        <v>6255</v>
      </c>
      <c r="D1427" s="4">
        <v>9.7135999999999996</v>
      </c>
      <c r="E1427" s="4">
        <v>23.548100000000002</v>
      </c>
      <c r="F1427" t="s">
        <v>6251</v>
      </c>
      <c r="G1427" t="s">
        <v>6233</v>
      </c>
      <c r="H1427" t="s">
        <v>3582</v>
      </c>
      <c r="I1427" t="s">
        <v>3582</v>
      </c>
      <c r="J1427" t="s">
        <v>3579</v>
      </c>
      <c r="K1427" s="4">
        <v>23.548100000000002</v>
      </c>
      <c r="L1427" s="4">
        <v>9.7135999999999996</v>
      </c>
    </row>
    <row r="1428" spans="1:12">
      <c r="A1428" s="1">
        <v>42848</v>
      </c>
      <c r="B1428">
        <v>1</v>
      </c>
      <c r="C1428" t="s">
        <v>6270</v>
      </c>
      <c r="D1428" s="4">
        <v>1.4923</v>
      </c>
      <c r="E1428" s="4">
        <v>3.99</v>
      </c>
      <c r="F1428" t="s">
        <v>6243</v>
      </c>
      <c r="G1428" t="s">
        <v>6228</v>
      </c>
      <c r="H1428" t="s">
        <v>3583</v>
      </c>
      <c r="I1428" t="s">
        <v>3583</v>
      </c>
      <c r="J1428" t="s">
        <v>3584</v>
      </c>
      <c r="K1428" s="4">
        <v>3.99</v>
      </c>
      <c r="L1428" s="4">
        <v>1.4923</v>
      </c>
    </row>
    <row r="1429" spans="1:12">
      <c r="A1429" s="1">
        <v>42848</v>
      </c>
      <c r="B1429">
        <v>1</v>
      </c>
      <c r="C1429" t="s">
        <v>6277</v>
      </c>
      <c r="D1429" s="4">
        <v>8.0373000000000001</v>
      </c>
      <c r="E1429" s="4">
        <v>21.49</v>
      </c>
      <c r="F1429" t="s">
        <v>6243</v>
      </c>
      <c r="G1429" t="s">
        <v>6228</v>
      </c>
      <c r="H1429" t="s">
        <v>3585</v>
      </c>
      <c r="I1429" t="s">
        <v>3585</v>
      </c>
      <c r="J1429" t="s">
        <v>3584</v>
      </c>
      <c r="K1429" s="4">
        <v>21.49</v>
      </c>
      <c r="L1429" s="4">
        <v>8.0373000000000001</v>
      </c>
    </row>
    <row r="1430" spans="1:12">
      <c r="A1430" s="1">
        <v>42848</v>
      </c>
      <c r="B1430">
        <v>1</v>
      </c>
      <c r="C1430" t="s">
        <v>6245</v>
      </c>
      <c r="D1430" s="4">
        <v>0.85650000000000004</v>
      </c>
      <c r="E1430" s="4">
        <v>2.29</v>
      </c>
      <c r="F1430" t="s">
        <v>6243</v>
      </c>
      <c r="G1430" t="s">
        <v>6228</v>
      </c>
      <c r="H1430" t="s">
        <v>3586</v>
      </c>
      <c r="I1430" t="s">
        <v>3586</v>
      </c>
      <c r="J1430" t="s">
        <v>3587</v>
      </c>
      <c r="K1430" s="4">
        <v>2.29</v>
      </c>
      <c r="L1430" s="4">
        <v>0.85650000000000004</v>
      </c>
    </row>
    <row r="1431" spans="1:12">
      <c r="A1431" s="1">
        <v>42849</v>
      </c>
      <c r="B1431">
        <v>1</v>
      </c>
      <c r="C1431" t="s">
        <v>6230</v>
      </c>
      <c r="D1431" s="4">
        <v>12.027799999999999</v>
      </c>
      <c r="E1431" s="4">
        <v>33.644199999999998</v>
      </c>
      <c r="F1431" t="s">
        <v>6227</v>
      </c>
      <c r="G1431" t="s">
        <v>6228</v>
      </c>
      <c r="H1431" t="s">
        <v>3580</v>
      </c>
      <c r="I1431" t="s">
        <v>3578</v>
      </c>
      <c r="J1431" t="s">
        <v>3579</v>
      </c>
      <c r="K1431" s="4">
        <v>33.644199999999998</v>
      </c>
      <c r="L1431" s="4">
        <v>12.027799999999999</v>
      </c>
    </row>
    <row r="1432" spans="1:12">
      <c r="A1432" s="1">
        <v>42849</v>
      </c>
      <c r="B1432">
        <v>1</v>
      </c>
      <c r="C1432" t="s">
        <v>6239</v>
      </c>
      <c r="D1432" s="4">
        <v>1.8663000000000001</v>
      </c>
      <c r="E1432" s="4">
        <v>4.99</v>
      </c>
      <c r="F1432" t="s">
        <v>6240</v>
      </c>
      <c r="G1432" t="s">
        <v>6228</v>
      </c>
      <c r="H1432" t="s">
        <v>3580</v>
      </c>
      <c r="I1432" t="s">
        <v>3578</v>
      </c>
      <c r="J1432" t="s">
        <v>3579</v>
      </c>
      <c r="K1432" s="4">
        <v>4.99</v>
      </c>
      <c r="L1432" s="4">
        <v>1.8663000000000001</v>
      </c>
    </row>
    <row r="1433" spans="1:12">
      <c r="A1433" s="1">
        <v>42849</v>
      </c>
      <c r="B1433">
        <v>1</v>
      </c>
      <c r="C1433" t="s">
        <v>6229</v>
      </c>
      <c r="D1433" s="4">
        <v>12.027799999999999</v>
      </c>
      <c r="E1433" s="4">
        <v>33.644199999999998</v>
      </c>
      <c r="F1433" t="s">
        <v>6227</v>
      </c>
      <c r="G1433" t="s">
        <v>6228</v>
      </c>
      <c r="H1433" t="s">
        <v>3583</v>
      </c>
      <c r="I1433" t="s">
        <v>3583</v>
      </c>
      <c r="J1433" t="s">
        <v>3584</v>
      </c>
      <c r="K1433" s="4">
        <v>33.644199999999998</v>
      </c>
      <c r="L1433" s="4">
        <v>12.027799999999999</v>
      </c>
    </row>
    <row r="1434" spans="1:12">
      <c r="A1434" s="1">
        <v>42849</v>
      </c>
      <c r="B1434">
        <v>1</v>
      </c>
      <c r="C1434" t="s">
        <v>3536</v>
      </c>
      <c r="D1434" s="4">
        <v>1117.8559</v>
      </c>
      <c r="E1434" s="4">
        <v>2071.4196000000002</v>
      </c>
      <c r="F1434" t="s">
        <v>3478</v>
      </c>
      <c r="G1434" t="s">
        <v>3475</v>
      </c>
      <c r="H1434" t="s">
        <v>3583</v>
      </c>
      <c r="I1434" t="s">
        <v>3583</v>
      </c>
      <c r="J1434" t="s">
        <v>3584</v>
      </c>
      <c r="K1434" s="4">
        <v>2071.4196000000002</v>
      </c>
      <c r="L1434" s="4">
        <v>1117.8559</v>
      </c>
    </row>
    <row r="1435" spans="1:12">
      <c r="A1435" s="1">
        <v>42849</v>
      </c>
      <c r="B1435">
        <v>1</v>
      </c>
      <c r="C1435" t="s">
        <v>6239</v>
      </c>
      <c r="D1435" s="4">
        <v>1.8663000000000001</v>
      </c>
      <c r="E1435" s="4">
        <v>4.99</v>
      </c>
      <c r="F1435" t="s">
        <v>6240</v>
      </c>
      <c r="G1435" t="s">
        <v>6228</v>
      </c>
      <c r="H1435" t="s">
        <v>3583</v>
      </c>
      <c r="I1435" t="s">
        <v>3583</v>
      </c>
      <c r="J1435" t="s">
        <v>3584</v>
      </c>
      <c r="K1435" s="4">
        <v>4.99</v>
      </c>
      <c r="L1435" s="4">
        <v>1.8663000000000001</v>
      </c>
    </row>
    <row r="1436" spans="1:12">
      <c r="A1436" s="1">
        <v>42849</v>
      </c>
      <c r="B1436">
        <v>1</v>
      </c>
      <c r="C1436" t="s">
        <v>6296</v>
      </c>
      <c r="D1436" s="4">
        <v>419.77839999999998</v>
      </c>
      <c r="E1436" s="4">
        <v>769.49</v>
      </c>
      <c r="F1436" t="s">
        <v>3478</v>
      </c>
      <c r="G1436" t="s">
        <v>3475</v>
      </c>
      <c r="H1436" t="s">
        <v>3586</v>
      </c>
      <c r="I1436" t="s">
        <v>3586</v>
      </c>
      <c r="J1436" t="s">
        <v>3587</v>
      </c>
      <c r="K1436" s="4">
        <v>769.49</v>
      </c>
      <c r="L1436" s="4">
        <v>419.77839999999998</v>
      </c>
    </row>
    <row r="1437" spans="1:12">
      <c r="A1437" s="1">
        <v>42850</v>
      </c>
      <c r="B1437">
        <v>1</v>
      </c>
      <c r="C1437" t="s">
        <v>6248</v>
      </c>
      <c r="D1437" s="4">
        <v>8.2204999999999995</v>
      </c>
      <c r="E1437" s="4">
        <v>21.98</v>
      </c>
      <c r="F1437" t="s">
        <v>6249</v>
      </c>
      <c r="G1437" t="s">
        <v>6228</v>
      </c>
      <c r="H1437" t="s">
        <v>3577</v>
      </c>
      <c r="I1437" t="s">
        <v>3578</v>
      </c>
      <c r="J1437" t="s">
        <v>3579</v>
      </c>
      <c r="K1437" s="4">
        <v>21.98</v>
      </c>
      <c r="L1437" s="4">
        <v>8.2204999999999995</v>
      </c>
    </row>
    <row r="1438" spans="1:12">
      <c r="A1438" s="1">
        <v>42850</v>
      </c>
      <c r="B1438">
        <v>1</v>
      </c>
      <c r="C1438" t="s">
        <v>6253</v>
      </c>
      <c r="D1438" s="4">
        <v>9.7135999999999996</v>
      </c>
      <c r="E1438" s="4">
        <v>23.548100000000002</v>
      </c>
      <c r="F1438" t="s">
        <v>6251</v>
      </c>
      <c r="G1438" t="s">
        <v>6233</v>
      </c>
      <c r="H1438" t="s">
        <v>3582</v>
      </c>
      <c r="I1438" t="s">
        <v>3582</v>
      </c>
      <c r="J1438" t="s">
        <v>3579</v>
      </c>
      <c r="K1438" s="4">
        <v>23.548100000000002</v>
      </c>
      <c r="L1438" s="4">
        <v>9.7135999999999996</v>
      </c>
    </row>
    <row r="1439" spans="1:12">
      <c r="A1439" s="1">
        <v>42850</v>
      </c>
      <c r="B1439">
        <v>1</v>
      </c>
      <c r="C1439" t="s">
        <v>6239</v>
      </c>
      <c r="D1439" s="4">
        <v>1.8663000000000001</v>
      </c>
      <c r="E1439" s="4">
        <v>4.99</v>
      </c>
      <c r="F1439" t="s">
        <v>6240</v>
      </c>
      <c r="G1439" t="s">
        <v>6228</v>
      </c>
      <c r="H1439" t="s">
        <v>3583</v>
      </c>
      <c r="I1439" t="s">
        <v>3583</v>
      </c>
      <c r="J1439" t="s">
        <v>3584</v>
      </c>
      <c r="K1439" s="4">
        <v>4.99</v>
      </c>
      <c r="L1439" s="4">
        <v>1.8663000000000001</v>
      </c>
    </row>
    <row r="1440" spans="1:12">
      <c r="A1440" s="1">
        <v>42850</v>
      </c>
      <c r="B1440">
        <v>1</v>
      </c>
      <c r="C1440" t="s">
        <v>6258</v>
      </c>
      <c r="D1440" s="4">
        <v>2.9733000000000001</v>
      </c>
      <c r="E1440" s="4">
        <v>7.95</v>
      </c>
      <c r="F1440" t="s">
        <v>6259</v>
      </c>
      <c r="G1440" t="s">
        <v>6228</v>
      </c>
      <c r="H1440" t="s">
        <v>3583</v>
      </c>
      <c r="I1440" t="s">
        <v>3583</v>
      </c>
      <c r="J1440" t="s">
        <v>3584</v>
      </c>
      <c r="K1440" s="4">
        <v>7.95</v>
      </c>
      <c r="L1440" s="4">
        <v>2.9733000000000001</v>
      </c>
    </row>
    <row r="1441" spans="1:12">
      <c r="A1441" s="1">
        <v>42850</v>
      </c>
      <c r="B1441">
        <v>1</v>
      </c>
      <c r="C1441" t="s">
        <v>6276</v>
      </c>
      <c r="D1441" s="4">
        <v>1.8663000000000001</v>
      </c>
      <c r="E1441" s="4">
        <v>4.99</v>
      </c>
      <c r="F1441" t="s">
        <v>6243</v>
      </c>
      <c r="G1441" t="s">
        <v>6228</v>
      </c>
      <c r="H1441" t="s">
        <v>3583</v>
      </c>
      <c r="I1441" t="s">
        <v>3583</v>
      </c>
      <c r="J1441" t="s">
        <v>3584</v>
      </c>
      <c r="K1441" s="4">
        <v>4.99</v>
      </c>
      <c r="L1441" s="4">
        <v>1.8663000000000001</v>
      </c>
    </row>
    <row r="1442" spans="1:12">
      <c r="A1442" s="1">
        <v>42850</v>
      </c>
      <c r="B1442">
        <v>1</v>
      </c>
      <c r="C1442" t="s">
        <v>6241</v>
      </c>
      <c r="D1442" s="4">
        <v>3.3622999999999998</v>
      </c>
      <c r="E1442" s="4">
        <v>8.99</v>
      </c>
      <c r="F1442" t="s">
        <v>6240</v>
      </c>
      <c r="G1442" t="s">
        <v>6228</v>
      </c>
      <c r="H1442" t="s">
        <v>3586</v>
      </c>
      <c r="I1442" t="s">
        <v>3586</v>
      </c>
      <c r="J1442" t="s">
        <v>3587</v>
      </c>
      <c r="K1442" s="4">
        <v>8.99</v>
      </c>
      <c r="L1442" s="4">
        <v>3.3622999999999998</v>
      </c>
    </row>
    <row r="1443" spans="1:12">
      <c r="A1443" s="1">
        <v>42850</v>
      </c>
      <c r="B1443">
        <v>1</v>
      </c>
      <c r="C1443" t="s">
        <v>6277</v>
      </c>
      <c r="D1443" s="4">
        <v>8.0373000000000001</v>
      </c>
      <c r="E1443" s="4">
        <v>21.49</v>
      </c>
      <c r="F1443" t="s">
        <v>6243</v>
      </c>
      <c r="G1443" t="s">
        <v>6228</v>
      </c>
      <c r="H1443" t="s">
        <v>3586</v>
      </c>
      <c r="I1443" t="s">
        <v>3586</v>
      </c>
      <c r="J1443" t="s">
        <v>3587</v>
      </c>
      <c r="K1443" s="4">
        <v>21.49</v>
      </c>
      <c r="L1443" s="4">
        <v>8.0373000000000001</v>
      </c>
    </row>
    <row r="1444" spans="1:12">
      <c r="A1444" s="1">
        <v>42850</v>
      </c>
      <c r="B1444">
        <v>1</v>
      </c>
      <c r="C1444" t="s">
        <v>6298</v>
      </c>
      <c r="D1444" s="4">
        <v>3.3622999999999998</v>
      </c>
      <c r="E1444" s="4">
        <v>8.99</v>
      </c>
      <c r="F1444" t="s">
        <v>6264</v>
      </c>
      <c r="G1444" t="s">
        <v>6233</v>
      </c>
      <c r="H1444" t="s">
        <v>3588</v>
      </c>
      <c r="I1444" t="s">
        <v>3588</v>
      </c>
      <c r="J1444" t="s">
        <v>3584</v>
      </c>
      <c r="K1444" s="4">
        <v>8.99</v>
      </c>
      <c r="L1444" s="4">
        <v>3.3622999999999998</v>
      </c>
    </row>
    <row r="1445" spans="1:12">
      <c r="A1445" s="1">
        <v>42851</v>
      </c>
      <c r="B1445">
        <v>1</v>
      </c>
      <c r="C1445" t="s">
        <v>6230</v>
      </c>
      <c r="D1445" s="4">
        <v>12.027799999999999</v>
      </c>
      <c r="E1445" s="4">
        <v>33.644199999999998</v>
      </c>
      <c r="F1445" t="s">
        <v>6227</v>
      </c>
      <c r="G1445" t="s">
        <v>6228</v>
      </c>
      <c r="H1445" t="s">
        <v>3577</v>
      </c>
      <c r="I1445" t="s">
        <v>3578</v>
      </c>
      <c r="J1445" t="s">
        <v>3579</v>
      </c>
      <c r="K1445" s="4">
        <v>33.644199999999998</v>
      </c>
      <c r="L1445" s="4">
        <v>12.027799999999999</v>
      </c>
    </row>
    <row r="1446" spans="1:12">
      <c r="A1446" s="1">
        <v>42851</v>
      </c>
      <c r="B1446">
        <v>1</v>
      </c>
      <c r="C1446" t="s">
        <v>6245</v>
      </c>
      <c r="D1446" s="4">
        <v>0.85650000000000004</v>
      </c>
      <c r="E1446" s="4">
        <v>2.29</v>
      </c>
      <c r="F1446" t="s">
        <v>6243</v>
      </c>
      <c r="G1446" t="s">
        <v>6228</v>
      </c>
      <c r="H1446" t="s">
        <v>3577</v>
      </c>
      <c r="I1446" t="s">
        <v>3578</v>
      </c>
      <c r="J1446" t="s">
        <v>3579</v>
      </c>
      <c r="K1446" s="4">
        <v>2.29</v>
      </c>
      <c r="L1446" s="4">
        <v>0.85650000000000004</v>
      </c>
    </row>
    <row r="1447" spans="1:12">
      <c r="A1447" s="1">
        <v>42851</v>
      </c>
      <c r="B1447">
        <v>1</v>
      </c>
      <c r="C1447" t="s">
        <v>6244</v>
      </c>
      <c r="D1447" s="4">
        <v>3.7363</v>
      </c>
      <c r="E1447" s="4">
        <v>9.99</v>
      </c>
      <c r="F1447" t="s">
        <v>6240</v>
      </c>
      <c r="G1447" t="s">
        <v>6228</v>
      </c>
      <c r="H1447" t="s">
        <v>3580</v>
      </c>
      <c r="I1447" t="s">
        <v>3578</v>
      </c>
      <c r="J1447" t="s">
        <v>3579</v>
      </c>
      <c r="K1447" s="4">
        <v>9.99</v>
      </c>
      <c r="L1447" s="4">
        <v>3.7363</v>
      </c>
    </row>
    <row r="1448" spans="1:12">
      <c r="A1448" s="1">
        <v>42851</v>
      </c>
      <c r="B1448">
        <v>1</v>
      </c>
      <c r="C1448" t="s">
        <v>6245</v>
      </c>
      <c r="D1448" s="4">
        <v>0.85650000000000004</v>
      </c>
      <c r="E1448" s="4">
        <v>2.29</v>
      </c>
      <c r="F1448" t="s">
        <v>6243</v>
      </c>
      <c r="G1448" t="s">
        <v>6228</v>
      </c>
      <c r="H1448" t="s">
        <v>3580</v>
      </c>
      <c r="I1448" t="s">
        <v>3578</v>
      </c>
      <c r="J1448" t="s">
        <v>3579</v>
      </c>
      <c r="K1448" s="4">
        <v>2.29</v>
      </c>
      <c r="L1448" s="4">
        <v>0.85650000000000004</v>
      </c>
    </row>
    <row r="1449" spans="1:12">
      <c r="A1449" s="1">
        <v>42851</v>
      </c>
      <c r="B1449">
        <v>1</v>
      </c>
      <c r="C1449" t="s">
        <v>6245</v>
      </c>
      <c r="D1449" s="4">
        <v>0.85650000000000004</v>
      </c>
      <c r="E1449" s="4">
        <v>2.29</v>
      </c>
      <c r="F1449" t="s">
        <v>6243</v>
      </c>
      <c r="G1449" t="s">
        <v>6228</v>
      </c>
      <c r="H1449" t="s">
        <v>3583</v>
      </c>
      <c r="I1449" t="s">
        <v>3583</v>
      </c>
      <c r="J1449" t="s">
        <v>3584</v>
      </c>
      <c r="K1449" s="4">
        <v>2.29</v>
      </c>
      <c r="L1449" s="4">
        <v>0.85650000000000004</v>
      </c>
    </row>
    <row r="1450" spans="1:12">
      <c r="A1450" s="1">
        <v>42851</v>
      </c>
      <c r="B1450">
        <v>1</v>
      </c>
      <c r="C1450" t="s">
        <v>6291</v>
      </c>
      <c r="D1450" s="4">
        <v>41.572299999999998</v>
      </c>
      <c r="E1450" s="4">
        <v>53.99</v>
      </c>
      <c r="F1450" t="s">
        <v>6235</v>
      </c>
      <c r="G1450" t="s">
        <v>6233</v>
      </c>
      <c r="H1450" t="s">
        <v>3586</v>
      </c>
      <c r="I1450" t="s">
        <v>3586</v>
      </c>
      <c r="J1450" t="s">
        <v>3587</v>
      </c>
      <c r="K1450" s="4">
        <v>53.99</v>
      </c>
      <c r="L1450" s="4">
        <v>41.572299999999998</v>
      </c>
    </row>
    <row r="1451" spans="1:12">
      <c r="A1451" s="1">
        <v>42852</v>
      </c>
      <c r="B1451">
        <v>1</v>
      </c>
      <c r="C1451" t="s">
        <v>6245</v>
      </c>
      <c r="D1451" s="4">
        <v>0.85650000000000004</v>
      </c>
      <c r="E1451" s="4">
        <v>2.29</v>
      </c>
      <c r="F1451" t="s">
        <v>6243</v>
      </c>
      <c r="G1451" t="s">
        <v>6228</v>
      </c>
      <c r="H1451" t="s">
        <v>3577</v>
      </c>
      <c r="I1451" t="s">
        <v>3578</v>
      </c>
      <c r="J1451" t="s">
        <v>3579</v>
      </c>
      <c r="K1451" s="4">
        <v>2.29</v>
      </c>
      <c r="L1451" s="4">
        <v>0.85650000000000004</v>
      </c>
    </row>
    <row r="1452" spans="1:12">
      <c r="A1452" s="1">
        <v>42852</v>
      </c>
      <c r="B1452">
        <v>1</v>
      </c>
      <c r="C1452" t="s">
        <v>6270</v>
      </c>
      <c r="D1452" s="4">
        <v>1.4923</v>
      </c>
      <c r="E1452" s="4">
        <v>3.99</v>
      </c>
      <c r="F1452" t="s">
        <v>6243</v>
      </c>
      <c r="G1452" t="s">
        <v>6228</v>
      </c>
      <c r="H1452" t="s">
        <v>3577</v>
      </c>
      <c r="I1452" t="s">
        <v>3578</v>
      </c>
      <c r="J1452" t="s">
        <v>3579</v>
      </c>
      <c r="K1452" s="4">
        <v>3.99</v>
      </c>
      <c r="L1452" s="4">
        <v>1.4923</v>
      </c>
    </row>
    <row r="1453" spans="1:12">
      <c r="A1453" s="1">
        <v>42852</v>
      </c>
      <c r="B1453">
        <v>1</v>
      </c>
      <c r="C1453" t="s">
        <v>6229</v>
      </c>
      <c r="D1453" s="4">
        <v>12.027799999999999</v>
      </c>
      <c r="E1453" s="4">
        <v>33.644199999999998</v>
      </c>
      <c r="F1453" t="s">
        <v>6227</v>
      </c>
      <c r="G1453" t="s">
        <v>6228</v>
      </c>
      <c r="H1453" t="s">
        <v>3580</v>
      </c>
      <c r="I1453" t="s">
        <v>3578</v>
      </c>
      <c r="J1453" t="s">
        <v>3579</v>
      </c>
      <c r="K1453" s="4">
        <v>33.644199999999998</v>
      </c>
      <c r="L1453" s="4">
        <v>12.027799999999999</v>
      </c>
    </row>
    <row r="1454" spans="1:12">
      <c r="A1454" s="1">
        <v>42852</v>
      </c>
      <c r="B1454">
        <v>1</v>
      </c>
      <c r="C1454" t="s">
        <v>6270</v>
      </c>
      <c r="D1454" s="4">
        <v>1.4923</v>
      </c>
      <c r="E1454" s="4">
        <v>3.99</v>
      </c>
      <c r="F1454" t="s">
        <v>6243</v>
      </c>
      <c r="G1454" t="s">
        <v>6228</v>
      </c>
      <c r="H1454" t="s">
        <v>3580</v>
      </c>
      <c r="I1454" t="s">
        <v>3578</v>
      </c>
      <c r="J1454" t="s">
        <v>3579</v>
      </c>
      <c r="K1454" s="4">
        <v>3.99</v>
      </c>
      <c r="L1454" s="4">
        <v>1.4923</v>
      </c>
    </row>
    <row r="1455" spans="1:12">
      <c r="A1455" s="1">
        <v>42852</v>
      </c>
      <c r="B1455">
        <v>1</v>
      </c>
      <c r="C1455" t="s">
        <v>6229</v>
      </c>
      <c r="D1455" s="4">
        <v>12.027799999999999</v>
      </c>
      <c r="E1455" s="4">
        <v>33.644199999999998</v>
      </c>
      <c r="F1455" t="s">
        <v>6227</v>
      </c>
      <c r="G1455" t="s">
        <v>6228</v>
      </c>
      <c r="H1455" t="s">
        <v>3583</v>
      </c>
      <c r="I1455" t="s">
        <v>3583</v>
      </c>
      <c r="J1455" t="s">
        <v>3584</v>
      </c>
      <c r="K1455" s="4">
        <v>33.644199999999998</v>
      </c>
      <c r="L1455" s="4">
        <v>12.027799999999999</v>
      </c>
    </row>
    <row r="1456" spans="1:12">
      <c r="A1456" s="1">
        <v>42852</v>
      </c>
      <c r="B1456">
        <v>1</v>
      </c>
      <c r="C1456" t="s">
        <v>6226</v>
      </c>
      <c r="D1456" s="4">
        <v>13.0863</v>
      </c>
      <c r="E1456" s="4">
        <v>34.99</v>
      </c>
      <c r="F1456" t="s">
        <v>6227</v>
      </c>
      <c r="G1456" t="s">
        <v>6228</v>
      </c>
      <c r="H1456" t="s">
        <v>3586</v>
      </c>
      <c r="I1456" t="s">
        <v>3586</v>
      </c>
      <c r="J1456" t="s">
        <v>3587</v>
      </c>
      <c r="K1456" s="4">
        <v>34.99</v>
      </c>
      <c r="L1456" s="4">
        <v>13.0863</v>
      </c>
    </row>
    <row r="1457" spans="1:12">
      <c r="A1457" s="1">
        <v>42852</v>
      </c>
      <c r="B1457">
        <v>1</v>
      </c>
      <c r="C1457" t="s">
        <v>6294</v>
      </c>
      <c r="D1457" s="4">
        <v>1082.51</v>
      </c>
      <c r="E1457" s="4">
        <v>1700.99</v>
      </c>
      <c r="F1457" t="s">
        <v>3479</v>
      </c>
      <c r="G1457" t="s">
        <v>3475</v>
      </c>
      <c r="H1457" t="s">
        <v>3586</v>
      </c>
      <c r="I1457" t="s">
        <v>3586</v>
      </c>
      <c r="J1457" t="s">
        <v>3587</v>
      </c>
      <c r="K1457" s="4">
        <v>1700.99</v>
      </c>
      <c r="L1457" s="4">
        <v>1082.51</v>
      </c>
    </row>
    <row r="1458" spans="1:12">
      <c r="A1458" s="1">
        <v>42853</v>
      </c>
      <c r="B1458">
        <v>1</v>
      </c>
      <c r="C1458" t="s">
        <v>3542</v>
      </c>
      <c r="D1458" s="4">
        <v>1105.81</v>
      </c>
      <c r="E1458" s="4">
        <v>2049.0981999999999</v>
      </c>
      <c r="F1458" t="s">
        <v>3478</v>
      </c>
      <c r="G1458" t="s">
        <v>3475</v>
      </c>
      <c r="H1458" t="s">
        <v>3580</v>
      </c>
      <c r="I1458" t="s">
        <v>3578</v>
      </c>
      <c r="J1458" t="s">
        <v>3579</v>
      </c>
      <c r="K1458" s="4">
        <v>2049.0981999999999</v>
      </c>
      <c r="L1458" s="4">
        <v>1105.81</v>
      </c>
    </row>
    <row r="1459" spans="1:12">
      <c r="A1459" s="1">
        <v>42853</v>
      </c>
      <c r="B1459">
        <v>1</v>
      </c>
      <c r="C1459" t="s">
        <v>6242</v>
      </c>
      <c r="D1459" s="4">
        <v>1.8663000000000001</v>
      </c>
      <c r="E1459" s="4">
        <v>4.99</v>
      </c>
      <c r="F1459" t="s">
        <v>6243</v>
      </c>
      <c r="G1459" t="s">
        <v>6228</v>
      </c>
      <c r="H1459" t="s">
        <v>3585</v>
      </c>
      <c r="I1459" t="s">
        <v>3585</v>
      </c>
      <c r="J1459" t="s">
        <v>3584</v>
      </c>
      <c r="K1459" s="4">
        <v>4.99</v>
      </c>
      <c r="L1459" s="4">
        <v>1.8663000000000001</v>
      </c>
    </row>
    <row r="1460" spans="1:12">
      <c r="A1460" s="1">
        <v>42853</v>
      </c>
      <c r="B1460">
        <v>1</v>
      </c>
      <c r="C1460" t="s">
        <v>3560</v>
      </c>
      <c r="D1460" s="4">
        <v>1320.6838</v>
      </c>
      <c r="E1460" s="4">
        <v>2181.5625</v>
      </c>
      <c r="F1460" t="s">
        <v>3479</v>
      </c>
      <c r="G1460" t="s">
        <v>3475</v>
      </c>
      <c r="H1460" t="s">
        <v>3586</v>
      </c>
      <c r="I1460" t="s">
        <v>3586</v>
      </c>
      <c r="J1460" t="s">
        <v>3587</v>
      </c>
      <c r="K1460" s="4">
        <v>2181.5625</v>
      </c>
      <c r="L1460" s="4">
        <v>1320.6838</v>
      </c>
    </row>
    <row r="1461" spans="1:12">
      <c r="A1461" s="1">
        <v>42853</v>
      </c>
      <c r="B1461">
        <v>1</v>
      </c>
      <c r="C1461" t="s">
        <v>6272</v>
      </c>
      <c r="D1461" s="4">
        <v>9.3462999999999994</v>
      </c>
      <c r="E1461" s="4">
        <v>24.99</v>
      </c>
      <c r="F1461" t="s">
        <v>6243</v>
      </c>
      <c r="G1461" t="s">
        <v>6228</v>
      </c>
      <c r="H1461" t="s">
        <v>3586</v>
      </c>
      <c r="I1461" t="s">
        <v>3586</v>
      </c>
      <c r="J1461" t="s">
        <v>3587</v>
      </c>
      <c r="K1461" s="4">
        <v>24.99</v>
      </c>
      <c r="L1461" s="4">
        <v>9.3462999999999994</v>
      </c>
    </row>
    <row r="1462" spans="1:12">
      <c r="A1462" s="1">
        <v>42853</v>
      </c>
      <c r="B1462">
        <v>1</v>
      </c>
      <c r="C1462" t="s">
        <v>6229</v>
      </c>
      <c r="D1462" s="4">
        <v>12.027799999999999</v>
      </c>
      <c r="E1462" s="4">
        <v>33.644199999999998</v>
      </c>
      <c r="F1462" t="s">
        <v>6227</v>
      </c>
      <c r="G1462" t="s">
        <v>6228</v>
      </c>
      <c r="H1462" t="s">
        <v>3588</v>
      </c>
      <c r="I1462" t="s">
        <v>3588</v>
      </c>
      <c r="J1462" t="s">
        <v>3584</v>
      </c>
      <c r="K1462" s="4">
        <v>33.644199999999998</v>
      </c>
      <c r="L1462" s="4">
        <v>12.027799999999999</v>
      </c>
    </row>
    <row r="1463" spans="1:12">
      <c r="A1463" s="1">
        <v>42853</v>
      </c>
      <c r="B1463">
        <v>1</v>
      </c>
      <c r="C1463" t="s">
        <v>6245</v>
      </c>
      <c r="D1463" s="4">
        <v>0.85650000000000004</v>
      </c>
      <c r="E1463" s="4">
        <v>2.29</v>
      </c>
      <c r="F1463" t="s">
        <v>6243</v>
      </c>
      <c r="G1463" t="s">
        <v>6228</v>
      </c>
      <c r="H1463" t="s">
        <v>3588</v>
      </c>
      <c r="I1463" t="s">
        <v>3588</v>
      </c>
      <c r="J1463" t="s">
        <v>3584</v>
      </c>
      <c r="K1463" s="4">
        <v>2.29</v>
      </c>
      <c r="L1463" s="4">
        <v>0.85650000000000004</v>
      </c>
    </row>
    <row r="1464" spans="1:12">
      <c r="A1464" s="1">
        <v>42853</v>
      </c>
      <c r="B1464">
        <v>1</v>
      </c>
      <c r="C1464" t="s">
        <v>6242</v>
      </c>
      <c r="D1464" s="4">
        <v>1.8663000000000001</v>
      </c>
      <c r="E1464" s="4">
        <v>4.99</v>
      </c>
      <c r="F1464" t="s">
        <v>6243</v>
      </c>
      <c r="G1464" t="s">
        <v>6228</v>
      </c>
      <c r="H1464" t="s">
        <v>3588</v>
      </c>
      <c r="I1464" t="s">
        <v>3588</v>
      </c>
      <c r="J1464" t="s">
        <v>3584</v>
      </c>
      <c r="K1464" s="4">
        <v>4.99</v>
      </c>
      <c r="L1464" s="4">
        <v>1.8663000000000001</v>
      </c>
    </row>
    <row r="1465" spans="1:12">
      <c r="A1465" s="1">
        <v>42854</v>
      </c>
      <c r="B1465">
        <v>1</v>
      </c>
      <c r="C1465" t="s">
        <v>6282</v>
      </c>
      <c r="D1465" s="4">
        <v>10.8423</v>
      </c>
      <c r="E1465" s="4">
        <v>28.99</v>
      </c>
      <c r="F1465" t="s">
        <v>6243</v>
      </c>
      <c r="G1465" t="s">
        <v>6228</v>
      </c>
      <c r="H1465" t="s">
        <v>3577</v>
      </c>
      <c r="I1465" t="s">
        <v>3578</v>
      </c>
      <c r="J1465" t="s">
        <v>3579</v>
      </c>
      <c r="K1465" s="4">
        <v>28.99</v>
      </c>
      <c r="L1465" s="4">
        <v>10.8423</v>
      </c>
    </row>
    <row r="1466" spans="1:12">
      <c r="A1466" s="1">
        <v>42854</v>
      </c>
      <c r="B1466">
        <v>1</v>
      </c>
      <c r="C1466" t="s">
        <v>6285</v>
      </c>
      <c r="D1466" s="4">
        <v>26.176300000000001</v>
      </c>
      <c r="E1466" s="4">
        <v>69.989999999999995</v>
      </c>
      <c r="F1466" t="s">
        <v>6262</v>
      </c>
      <c r="G1466" t="s">
        <v>6233</v>
      </c>
      <c r="H1466" t="s">
        <v>3580</v>
      </c>
      <c r="I1466" t="s">
        <v>3578</v>
      </c>
      <c r="J1466" t="s">
        <v>3579</v>
      </c>
      <c r="K1466" s="4">
        <v>69.989999999999995</v>
      </c>
      <c r="L1466" s="4">
        <v>26.176300000000001</v>
      </c>
    </row>
    <row r="1467" spans="1:12">
      <c r="A1467" s="1">
        <v>42854</v>
      </c>
      <c r="B1467">
        <v>1</v>
      </c>
      <c r="C1467" t="s">
        <v>6311</v>
      </c>
      <c r="D1467" s="4">
        <v>41.572299999999998</v>
      </c>
      <c r="E1467" s="4">
        <v>53.99</v>
      </c>
      <c r="F1467" t="s">
        <v>6235</v>
      </c>
      <c r="G1467" t="s">
        <v>6233</v>
      </c>
      <c r="H1467" t="s">
        <v>3580</v>
      </c>
      <c r="I1467" t="s">
        <v>3578</v>
      </c>
      <c r="J1467" t="s">
        <v>3579</v>
      </c>
      <c r="K1467" s="4">
        <v>53.99</v>
      </c>
      <c r="L1467" s="4">
        <v>41.572299999999998</v>
      </c>
    </row>
    <row r="1468" spans="1:12">
      <c r="A1468" s="1">
        <v>42854</v>
      </c>
      <c r="B1468">
        <v>1</v>
      </c>
      <c r="C1468" t="s">
        <v>6242</v>
      </c>
      <c r="D1468" s="4">
        <v>1.8663000000000001</v>
      </c>
      <c r="E1468" s="4">
        <v>4.99</v>
      </c>
      <c r="F1468" t="s">
        <v>6243</v>
      </c>
      <c r="G1468" t="s">
        <v>6228</v>
      </c>
      <c r="H1468" t="s">
        <v>3580</v>
      </c>
      <c r="I1468" t="s">
        <v>3578</v>
      </c>
      <c r="J1468" t="s">
        <v>3579</v>
      </c>
      <c r="K1468" s="4">
        <v>4.99</v>
      </c>
      <c r="L1468" s="4">
        <v>1.8663000000000001</v>
      </c>
    </row>
    <row r="1469" spans="1:12">
      <c r="A1469" s="1">
        <v>42854</v>
      </c>
      <c r="B1469">
        <v>1</v>
      </c>
      <c r="C1469" t="s">
        <v>3542</v>
      </c>
      <c r="D1469" s="4">
        <v>1105.81</v>
      </c>
      <c r="E1469" s="4">
        <v>2049.0981999999999</v>
      </c>
      <c r="F1469" t="s">
        <v>3478</v>
      </c>
      <c r="G1469" t="s">
        <v>3475</v>
      </c>
      <c r="H1469" t="s">
        <v>3588</v>
      </c>
      <c r="I1469" t="s">
        <v>3588</v>
      </c>
      <c r="J1469" t="s">
        <v>3584</v>
      </c>
      <c r="K1469" s="4">
        <v>2049.0981999999999</v>
      </c>
      <c r="L1469" s="4">
        <v>1105.81</v>
      </c>
    </row>
    <row r="1470" spans="1:12">
      <c r="A1470" s="1">
        <v>42855</v>
      </c>
      <c r="B1470">
        <v>1</v>
      </c>
      <c r="C1470" t="s">
        <v>6245</v>
      </c>
      <c r="D1470" s="4">
        <v>0.85650000000000004</v>
      </c>
      <c r="E1470" s="4">
        <v>2.29</v>
      </c>
      <c r="F1470" t="s">
        <v>6243</v>
      </c>
      <c r="G1470" t="s">
        <v>6228</v>
      </c>
      <c r="H1470" t="s">
        <v>3577</v>
      </c>
      <c r="I1470" t="s">
        <v>3578</v>
      </c>
      <c r="J1470" t="s">
        <v>3579</v>
      </c>
      <c r="K1470" s="4">
        <v>2.29</v>
      </c>
      <c r="L1470" s="4">
        <v>0.85650000000000004</v>
      </c>
    </row>
    <row r="1471" spans="1:12">
      <c r="A1471" s="1">
        <v>42855</v>
      </c>
      <c r="B1471">
        <v>1</v>
      </c>
      <c r="C1471" t="s">
        <v>6229</v>
      </c>
      <c r="D1471" s="4">
        <v>12.027799999999999</v>
      </c>
      <c r="E1471" s="4">
        <v>33.644199999999998</v>
      </c>
      <c r="F1471" t="s">
        <v>6227</v>
      </c>
      <c r="G1471" t="s">
        <v>6228</v>
      </c>
      <c r="H1471" t="s">
        <v>3580</v>
      </c>
      <c r="I1471" t="s">
        <v>3578</v>
      </c>
      <c r="J1471" t="s">
        <v>3579</v>
      </c>
      <c r="K1471" s="4">
        <v>33.644199999999998</v>
      </c>
      <c r="L1471" s="4">
        <v>12.027799999999999</v>
      </c>
    </row>
    <row r="1472" spans="1:12">
      <c r="A1472" s="1">
        <v>42855</v>
      </c>
      <c r="B1472">
        <v>1</v>
      </c>
      <c r="C1472" t="s">
        <v>6244</v>
      </c>
      <c r="D1472" s="4">
        <v>3.7363</v>
      </c>
      <c r="E1472" s="4">
        <v>9.99</v>
      </c>
      <c r="F1472" t="s">
        <v>6240</v>
      </c>
      <c r="G1472" t="s">
        <v>6228</v>
      </c>
      <c r="H1472" t="s">
        <v>3580</v>
      </c>
      <c r="I1472" t="s">
        <v>3578</v>
      </c>
      <c r="J1472" t="s">
        <v>3579</v>
      </c>
      <c r="K1472" s="4">
        <v>9.99</v>
      </c>
      <c r="L1472" s="4">
        <v>3.7363</v>
      </c>
    </row>
    <row r="1473" spans="1:12">
      <c r="A1473" s="1">
        <v>42855</v>
      </c>
      <c r="B1473">
        <v>1</v>
      </c>
      <c r="C1473" t="s">
        <v>6268</v>
      </c>
      <c r="D1473" s="4">
        <v>41.572299999999998</v>
      </c>
      <c r="E1473" s="4">
        <v>53.99</v>
      </c>
      <c r="F1473" t="s">
        <v>6235</v>
      </c>
      <c r="G1473" t="s">
        <v>6233</v>
      </c>
      <c r="H1473" t="s">
        <v>3583</v>
      </c>
      <c r="I1473" t="s">
        <v>3583</v>
      </c>
      <c r="J1473" t="s">
        <v>3584</v>
      </c>
      <c r="K1473" s="4">
        <v>53.99</v>
      </c>
      <c r="L1473" s="4">
        <v>41.572299999999998</v>
      </c>
    </row>
    <row r="1474" spans="1:12">
      <c r="A1474" s="1">
        <v>42855</v>
      </c>
      <c r="B1474">
        <v>1</v>
      </c>
      <c r="C1474" t="s">
        <v>6287</v>
      </c>
      <c r="D1474" s="4">
        <v>1082.51</v>
      </c>
      <c r="E1474" s="4">
        <v>1700.99</v>
      </c>
      <c r="F1474" t="s">
        <v>3479</v>
      </c>
      <c r="G1474" t="s">
        <v>3475</v>
      </c>
      <c r="H1474" t="s">
        <v>3585</v>
      </c>
      <c r="I1474" t="s">
        <v>3585</v>
      </c>
      <c r="J1474" t="s">
        <v>3584</v>
      </c>
      <c r="K1474" s="4">
        <v>1700.99</v>
      </c>
      <c r="L1474" s="4">
        <v>1082.51</v>
      </c>
    </row>
    <row r="1475" spans="1:12">
      <c r="A1475" s="1">
        <v>42855</v>
      </c>
      <c r="B1475">
        <v>1</v>
      </c>
      <c r="C1475" t="s">
        <v>6245</v>
      </c>
      <c r="D1475" s="4">
        <v>0.85650000000000004</v>
      </c>
      <c r="E1475" s="4">
        <v>2.29</v>
      </c>
      <c r="F1475" t="s">
        <v>6243</v>
      </c>
      <c r="G1475" t="s">
        <v>6228</v>
      </c>
      <c r="H1475" t="s">
        <v>3586</v>
      </c>
      <c r="I1475" t="s">
        <v>3586</v>
      </c>
      <c r="J1475" t="s">
        <v>3587</v>
      </c>
      <c r="K1475" s="4">
        <v>2.29</v>
      </c>
      <c r="L1475" s="4">
        <v>0.85650000000000004</v>
      </c>
    </row>
    <row r="1476" spans="1:12">
      <c r="A1476" s="1">
        <v>42856</v>
      </c>
      <c r="B1476">
        <v>1</v>
      </c>
      <c r="C1476" t="s">
        <v>6248</v>
      </c>
      <c r="D1476" s="4">
        <v>8.2204999999999995</v>
      </c>
      <c r="E1476" s="4">
        <v>21.98</v>
      </c>
      <c r="F1476" t="s">
        <v>6249</v>
      </c>
      <c r="G1476" t="s">
        <v>6228</v>
      </c>
      <c r="H1476" t="s">
        <v>3577</v>
      </c>
      <c r="I1476" t="s">
        <v>3578</v>
      </c>
      <c r="J1476" t="s">
        <v>3579</v>
      </c>
      <c r="K1476" s="4">
        <v>21.98</v>
      </c>
      <c r="L1476" s="4">
        <v>8.2204999999999995</v>
      </c>
    </row>
    <row r="1477" spans="1:12">
      <c r="A1477" s="1">
        <v>42856</v>
      </c>
      <c r="B1477">
        <v>1</v>
      </c>
      <c r="C1477" t="s">
        <v>6229</v>
      </c>
      <c r="D1477" s="4">
        <v>12.027799999999999</v>
      </c>
      <c r="E1477" s="4">
        <v>33.644199999999998</v>
      </c>
      <c r="F1477" t="s">
        <v>6227</v>
      </c>
      <c r="G1477" t="s">
        <v>6228</v>
      </c>
      <c r="H1477" t="s">
        <v>3580</v>
      </c>
      <c r="I1477" t="s">
        <v>3578</v>
      </c>
      <c r="J1477" t="s">
        <v>3579</v>
      </c>
      <c r="K1477" s="4">
        <v>33.644199999999998</v>
      </c>
      <c r="L1477" s="4">
        <v>12.027799999999999</v>
      </c>
    </row>
    <row r="1478" spans="1:12">
      <c r="A1478" s="1">
        <v>42856</v>
      </c>
      <c r="B1478">
        <v>1</v>
      </c>
      <c r="C1478" t="s">
        <v>3544</v>
      </c>
      <c r="D1478" s="4">
        <v>1105.81</v>
      </c>
      <c r="E1478" s="4">
        <v>2049.0981999999999</v>
      </c>
      <c r="F1478" t="s">
        <v>3478</v>
      </c>
      <c r="G1478" t="s">
        <v>3475</v>
      </c>
      <c r="H1478" t="s">
        <v>3580</v>
      </c>
      <c r="I1478" t="s">
        <v>3578</v>
      </c>
      <c r="J1478" t="s">
        <v>3579</v>
      </c>
      <c r="K1478" s="4">
        <v>2049.0981999999999</v>
      </c>
      <c r="L1478" s="4">
        <v>1105.81</v>
      </c>
    </row>
    <row r="1479" spans="1:12">
      <c r="A1479" s="1">
        <v>42856</v>
      </c>
      <c r="B1479">
        <v>1</v>
      </c>
      <c r="C1479" t="s">
        <v>6241</v>
      </c>
      <c r="D1479" s="4">
        <v>3.3622999999999998</v>
      </c>
      <c r="E1479" s="4">
        <v>8.99</v>
      </c>
      <c r="F1479" t="s">
        <v>6240</v>
      </c>
      <c r="G1479" t="s">
        <v>6228</v>
      </c>
      <c r="H1479" t="s">
        <v>3588</v>
      </c>
      <c r="I1479" t="s">
        <v>3588</v>
      </c>
      <c r="J1479" t="s">
        <v>3584</v>
      </c>
      <c r="K1479" s="4">
        <v>8.99</v>
      </c>
      <c r="L1479" s="4">
        <v>3.3622999999999998</v>
      </c>
    </row>
    <row r="1480" spans="1:12">
      <c r="A1480" s="1">
        <v>42857</v>
      </c>
      <c r="B1480">
        <v>1</v>
      </c>
      <c r="C1480" t="s">
        <v>6226</v>
      </c>
      <c r="D1480" s="4">
        <v>13.0863</v>
      </c>
      <c r="E1480" s="4">
        <v>34.99</v>
      </c>
      <c r="F1480" t="s">
        <v>6227</v>
      </c>
      <c r="G1480" t="s">
        <v>6228</v>
      </c>
      <c r="H1480" t="s">
        <v>3580</v>
      </c>
      <c r="I1480" t="s">
        <v>3578</v>
      </c>
      <c r="J1480" t="s">
        <v>3579</v>
      </c>
      <c r="K1480" s="4">
        <v>34.99</v>
      </c>
      <c r="L1480" s="4">
        <v>13.0863</v>
      </c>
    </row>
    <row r="1481" spans="1:12">
      <c r="A1481" s="1">
        <v>42857</v>
      </c>
      <c r="B1481">
        <v>1</v>
      </c>
      <c r="C1481" t="s">
        <v>6239</v>
      </c>
      <c r="D1481" s="4">
        <v>1.8663000000000001</v>
      </c>
      <c r="E1481" s="4">
        <v>4.99</v>
      </c>
      <c r="F1481" t="s">
        <v>6240</v>
      </c>
      <c r="G1481" t="s">
        <v>6228</v>
      </c>
      <c r="H1481" t="s">
        <v>3580</v>
      </c>
      <c r="I1481" t="s">
        <v>3578</v>
      </c>
      <c r="J1481" t="s">
        <v>3579</v>
      </c>
      <c r="K1481" s="4">
        <v>4.99</v>
      </c>
      <c r="L1481" s="4">
        <v>1.8663000000000001</v>
      </c>
    </row>
    <row r="1482" spans="1:12">
      <c r="A1482" s="1">
        <v>42857</v>
      </c>
      <c r="B1482">
        <v>1</v>
      </c>
      <c r="C1482" t="s">
        <v>6242</v>
      </c>
      <c r="D1482" s="4">
        <v>1.8663000000000001</v>
      </c>
      <c r="E1482" s="4">
        <v>4.99</v>
      </c>
      <c r="F1482" t="s">
        <v>6243</v>
      </c>
      <c r="G1482" t="s">
        <v>6228</v>
      </c>
      <c r="H1482" t="s">
        <v>3580</v>
      </c>
      <c r="I1482" t="s">
        <v>3578</v>
      </c>
      <c r="J1482" t="s">
        <v>3579</v>
      </c>
      <c r="K1482" s="4">
        <v>4.99</v>
      </c>
      <c r="L1482" s="4">
        <v>1.8663000000000001</v>
      </c>
    </row>
    <row r="1483" spans="1:12">
      <c r="A1483" s="1">
        <v>42857</v>
      </c>
      <c r="B1483">
        <v>1</v>
      </c>
      <c r="C1483" t="s">
        <v>6245</v>
      </c>
      <c r="D1483" s="4">
        <v>0.85650000000000004</v>
      </c>
      <c r="E1483" s="4">
        <v>2.29</v>
      </c>
      <c r="F1483" t="s">
        <v>6243</v>
      </c>
      <c r="G1483" t="s">
        <v>6228</v>
      </c>
      <c r="H1483" t="s">
        <v>3586</v>
      </c>
      <c r="I1483" t="s">
        <v>3586</v>
      </c>
      <c r="J1483" t="s">
        <v>3587</v>
      </c>
      <c r="K1483" s="4">
        <v>2.29</v>
      </c>
      <c r="L1483" s="4">
        <v>0.85650000000000004</v>
      </c>
    </row>
    <row r="1484" spans="1:12">
      <c r="A1484" s="1">
        <v>42858</v>
      </c>
      <c r="B1484">
        <v>1</v>
      </c>
      <c r="C1484" t="s">
        <v>6270</v>
      </c>
      <c r="D1484" s="4">
        <v>1.4923</v>
      </c>
      <c r="E1484" s="4">
        <v>3.99</v>
      </c>
      <c r="F1484" t="s">
        <v>6243</v>
      </c>
      <c r="G1484" t="s">
        <v>6228</v>
      </c>
      <c r="H1484" t="s">
        <v>3586</v>
      </c>
      <c r="I1484" t="s">
        <v>3586</v>
      </c>
      <c r="J1484" t="s">
        <v>3587</v>
      </c>
      <c r="K1484" s="4">
        <v>3.99</v>
      </c>
      <c r="L1484" s="4">
        <v>1.4923</v>
      </c>
    </row>
    <row r="1485" spans="1:12">
      <c r="A1485" s="1">
        <v>42859</v>
      </c>
      <c r="B1485">
        <v>1</v>
      </c>
      <c r="C1485" t="s">
        <v>6297</v>
      </c>
      <c r="D1485" s="4">
        <v>343.64960000000002</v>
      </c>
      <c r="E1485" s="4">
        <v>539.99</v>
      </c>
      <c r="F1485" t="s">
        <v>3479</v>
      </c>
      <c r="G1485" t="s">
        <v>3475</v>
      </c>
      <c r="H1485" t="s">
        <v>3580</v>
      </c>
      <c r="I1485" t="s">
        <v>3578</v>
      </c>
      <c r="J1485" t="s">
        <v>3579</v>
      </c>
      <c r="K1485" s="4">
        <v>539.99</v>
      </c>
      <c r="L1485" s="4">
        <v>343.64960000000002</v>
      </c>
    </row>
    <row r="1486" spans="1:12">
      <c r="A1486" s="1">
        <v>42859</v>
      </c>
      <c r="B1486">
        <v>1</v>
      </c>
      <c r="C1486" t="s">
        <v>6261</v>
      </c>
      <c r="D1486" s="4">
        <v>26.176300000000001</v>
      </c>
      <c r="E1486" s="4">
        <v>69.989999999999995</v>
      </c>
      <c r="F1486" t="s">
        <v>6262</v>
      </c>
      <c r="G1486" t="s">
        <v>6233</v>
      </c>
      <c r="H1486" t="s">
        <v>3582</v>
      </c>
      <c r="I1486" t="s">
        <v>3582</v>
      </c>
      <c r="J1486" t="s">
        <v>3579</v>
      </c>
      <c r="K1486" s="4">
        <v>69.989999999999995</v>
      </c>
      <c r="L1486" s="4">
        <v>26.176300000000001</v>
      </c>
    </row>
    <row r="1487" spans="1:12">
      <c r="A1487" s="1">
        <v>42859</v>
      </c>
      <c r="B1487">
        <v>1</v>
      </c>
      <c r="C1487" t="s">
        <v>6269</v>
      </c>
      <c r="D1487" s="4">
        <v>9.3462999999999994</v>
      </c>
      <c r="E1487" s="4">
        <v>24.99</v>
      </c>
      <c r="F1487" t="s">
        <v>6243</v>
      </c>
      <c r="G1487" t="s">
        <v>6228</v>
      </c>
      <c r="H1487" t="s">
        <v>3583</v>
      </c>
      <c r="I1487" t="s">
        <v>3583</v>
      </c>
      <c r="J1487" t="s">
        <v>3584</v>
      </c>
      <c r="K1487" s="4">
        <v>24.99</v>
      </c>
      <c r="L1487" s="4">
        <v>9.3462999999999994</v>
      </c>
    </row>
    <row r="1488" spans="1:12">
      <c r="A1488" s="1">
        <v>42859</v>
      </c>
      <c r="B1488">
        <v>1</v>
      </c>
      <c r="C1488" t="s">
        <v>6277</v>
      </c>
      <c r="D1488" s="4">
        <v>8.0373000000000001</v>
      </c>
      <c r="E1488" s="4">
        <v>21.49</v>
      </c>
      <c r="F1488" t="s">
        <v>6243</v>
      </c>
      <c r="G1488" t="s">
        <v>6228</v>
      </c>
      <c r="H1488" t="s">
        <v>3585</v>
      </c>
      <c r="I1488" t="s">
        <v>3585</v>
      </c>
      <c r="J1488" t="s">
        <v>3584</v>
      </c>
      <c r="K1488" s="4">
        <v>21.49</v>
      </c>
      <c r="L1488" s="4">
        <v>8.0373000000000001</v>
      </c>
    </row>
    <row r="1489" spans="1:12">
      <c r="A1489" s="1">
        <v>42859</v>
      </c>
      <c r="B1489">
        <v>1</v>
      </c>
      <c r="C1489" t="s">
        <v>6317</v>
      </c>
      <c r="D1489" s="4">
        <v>461.44479999999999</v>
      </c>
      <c r="E1489" s="4">
        <v>742.35</v>
      </c>
      <c r="F1489" t="s">
        <v>6274</v>
      </c>
      <c r="G1489" t="s">
        <v>3475</v>
      </c>
      <c r="H1489" t="s">
        <v>3585</v>
      </c>
      <c r="I1489" t="s">
        <v>3585</v>
      </c>
      <c r="J1489" t="s">
        <v>3584</v>
      </c>
      <c r="K1489" s="4">
        <v>742.35</v>
      </c>
      <c r="L1489" s="4">
        <v>461.44479999999999</v>
      </c>
    </row>
    <row r="1490" spans="1:12">
      <c r="A1490" s="1">
        <v>42860</v>
      </c>
      <c r="B1490">
        <v>1</v>
      </c>
      <c r="C1490" t="s">
        <v>6256</v>
      </c>
      <c r="D1490" s="4">
        <v>44.88</v>
      </c>
      <c r="E1490" s="4">
        <v>120</v>
      </c>
      <c r="F1490" t="s">
        <v>6257</v>
      </c>
      <c r="G1490" t="s">
        <v>6228</v>
      </c>
      <c r="H1490" t="s">
        <v>3577</v>
      </c>
      <c r="I1490" t="s">
        <v>3578</v>
      </c>
      <c r="J1490" t="s">
        <v>3579</v>
      </c>
      <c r="K1490" s="4">
        <v>120</v>
      </c>
      <c r="L1490" s="4">
        <v>44.88</v>
      </c>
    </row>
    <row r="1491" spans="1:12">
      <c r="A1491" s="1">
        <v>42860</v>
      </c>
      <c r="B1491">
        <v>1</v>
      </c>
      <c r="C1491" t="s">
        <v>6245</v>
      </c>
      <c r="D1491" s="4">
        <v>0.85650000000000004</v>
      </c>
      <c r="E1491" s="4">
        <v>2.29</v>
      </c>
      <c r="F1491" t="s">
        <v>6243</v>
      </c>
      <c r="G1491" t="s">
        <v>6228</v>
      </c>
      <c r="H1491" t="s">
        <v>3580</v>
      </c>
      <c r="I1491" t="s">
        <v>3578</v>
      </c>
      <c r="J1491" t="s">
        <v>3579</v>
      </c>
      <c r="K1491" s="4">
        <v>2.29</v>
      </c>
      <c r="L1491" s="4">
        <v>0.85650000000000004</v>
      </c>
    </row>
    <row r="1492" spans="1:12">
      <c r="A1492" s="1">
        <v>42860</v>
      </c>
      <c r="B1492">
        <v>1</v>
      </c>
      <c r="C1492" t="s">
        <v>6256</v>
      </c>
      <c r="D1492" s="4">
        <v>44.88</v>
      </c>
      <c r="E1492" s="4">
        <v>120</v>
      </c>
      <c r="F1492" t="s">
        <v>6257</v>
      </c>
      <c r="G1492" t="s">
        <v>6228</v>
      </c>
      <c r="H1492" t="s">
        <v>3580</v>
      </c>
      <c r="I1492" t="s">
        <v>3578</v>
      </c>
      <c r="J1492" t="s">
        <v>3579</v>
      </c>
      <c r="K1492" s="4">
        <v>120</v>
      </c>
      <c r="L1492" s="4">
        <v>44.88</v>
      </c>
    </row>
    <row r="1493" spans="1:12">
      <c r="A1493" s="1">
        <v>42860</v>
      </c>
      <c r="B1493">
        <v>1</v>
      </c>
      <c r="C1493" t="s">
        <v>6231</v>
      </c>
      <c r="D1493" s="4">
        <v>5.7051999999999996</v>
      </c>
      <c r="E1493" s="4">
        <v>8.6441999999999997</v>
      </c>
      <c r="F1493" t="s">
        <v>6232</v>
      </c>
      <c r="G1493" t="s">
        <v>6233</v>
      </c>
      <c r="H1493" t="s">
        <v>3585</v>
      </c>
      <c r="I1493" t="s">
        <v>3585</v>
      </c>
      <c r="J1493" t="s">
        <v>3584</v>
      </c>
      <c r="K1493" s="4">
        <v>8.6441999999999997</v>
      </c>
      <c r="L1493" s="4">
        <v>5.7051999999999996</v>
      </c>
    </row>
    <row r="1494" spans="1:12">
      <c r="A1494" s="1">
        <v>42860</v>
      </c>
      <c r="B1494">
        <v>1</v>
      </c>
      <c r="C1494" t="s">
        <v>6282</v>
      </c>
      <c r="D1494" s="4">
        <v>10.8423</v>
      </c>
      <c r="E1494" s="4">
        <v>28.99</v>
      </c>
      <c r="F1494" t="s">
        <v>6243</v>
      </c>
      <c r="G1494" t="s">
        <v>6228</v>
      </c>
      <c r="H1494" t="s">
        <v>3585</v>
      </c>
      <c r="I1494" t="s">
        <v>3585</v>
      </c>
      <c r="J1494" t="s">
        <v>3584</v>
      </c>
      <c r="K1494" s="4">
        <v>28.99</v>
      </c>
      <c r="L1494" s="4">
        <v>10.8423</v>
      </c>
    </row>
    <row r="1495" spans="1:12">
      <c r="A1495" s="1">
        <v>42860</v>
      </c>
      <c r="B1495">
        <v>1</v>
      </c>
      <c r="C1495" t="s">
        <v>6245</v>
      </c>
      <c r="D1495" s="4">
        <v>0.85650000000000004</v>
      </c>
      <c r="E1495" s="4">
        <v>2.29</v>
      </c>
      <c r="F1495" t="s">
        <v>6243</v>
      </c>
      <c r="G1495" t="s">
        <v>6228</v>
      </c>
      <c r="H1495" t="s">
        <v>3586</v>
      </c>
      <c r="I1495" t="s">
        <v>3586</v>
      </c>
      <c r="J1495" t="s">
        <v>3587</v>
      </c>
      <c r="K1495" s="4">
        <v>2.29</v>
      </c>
      <c r="L1495" s="4">
        <v>0.85650000000000004</v>
      </c>
    </row>
    <row r="1496" spans="1:12">
      <c r="A1496" s="1">
        <v>42860</v>
      </c>
      <c r="B1496">
        <v>1</v>
      </c>
      <c r="C1496" t="s">
        <v>6246</v>
      </c>
      <c r="D1496" s="4">
        <v>20.566299999999998</v>
      </c>
      <c r="E1496" s="4">
        <v>54.99</v>
      </c>
      <c r="F1496" t="s">
        <v>6247</v>
      </c>
      <c r="G1496" t="s">
        <v>6228</v>
      </c>
      <c r="H1496" t="s">
        <v>3586</v>
      </c>
      <c r="I1496" t="s">
        <v>3586</v>
      </c>
      <c r="J1496" t="s">
        <v>3587</v>
      </c>
      <c r="K1496" s="4">
        <v>54.99</v>
      </c>
      <c r="L1496" s="4">
        <v>20.566299999999998</v>
      </c>
    </row>
    <row r="1497" spans="1:12">
      <c r="A1497" s="1">
        <v>42861</v>
      </c>
      <c r="B1497">
        <v>1</v>
      </c>
      <c r="C1497" t="s">
        <v>6229</v>
      </c>
      <c r="D1497" s="4">
        <v>12.027799999999999</v>
      </c>
      <c r="E1497" s="4">
        <v>33.644199999999998</v>
      </c>
      <c r="F1497" t="s">
        <v>6227</v>
      </c>
      <c r="G1497" t="s">
        <v>6228</v>
      </c>
      <c r="H1497" t="s">
        <v>3580</v>
      </c>
      <c r="I1497" t="s">
        <v>3578</v>
      </c>
      <c r="J1497" t="s">
        <v>3579</v>
      </c>
      <c r="K1497" s="4">
        <v>33.644199999999998</v>
      </c>
      <c r="L1497" s="4">
        <v>12.027799999999999</v>
      </c>
    </row>
    <row r="1498" spans="1:12">
      <c r="A1498" s="1">
        <v>42861</v>
      </c>
      <c r="B1498">
        <v>1</v>
      </c>
      <c r="C1498" t="s">
        <v>6239</v>
      </c>
      <c r="D1498" s="4">
        <v>1.8663000000000001</v>
      </c>
      <c r="E1498" s="4">
        <v>4.99</v>
      </c>
      <c r="F1498" t="s">
        <v>6240</v>
      </c>
      <c r="G1498" t="s">
        <v>6228</v>
      </c>
      <c r="H1498" t="s">
        <v>3580</v>
      </c>
      <c r="I1498" t="s">
        <v>3578</v>
      </c>
      <c r="J1498" t="s">
        <v>3579</v>
      </c>
      <c r="K1498" s="4">
        <v>4.99</v>
      </c>
      <c r="L1498" s="4">
        <v>1.8663000000000001</v>
      </c>
    </row>
    <row r="1499" spans="1:12">
      <c r="A1499" s="1">
        <v>42861</v>
      </c>
      <c r="B1499">
        <v>1</v>
      </c>
      <c r="C1499" t="s">
        <v>6255</v>
      </c>
      <c r="D1499" s="4">
        <v>9.7135999999999996</v>
      </c>
      <c r="E1499" s="4">
        <v>23.548100000000002</v>
      </c>
      <c r="F1499" t="s">
        <v>6251</v>
      </c>
      <c r="G1499" t="s">
        <v>6233</v>
      </c>
      <c r="H1499" t="s">
        <v>3582</v>
      </c>
      <c r="I1499" t="s">
        <v>3582</v>
      </c>
      <c r="J1499" t="s">
        <v>3579</v>
      </c>
      <c r="K1499" s="4">
        <v>23.548100000000002</v>
      </c>
      <c r="L1499" s="4">
        <v>9.7135999999999996</v>
      </c>
    </row>
    <row r="1500" spans="1:12">
      <c r="A1500" s="1">
        <v>42861</v>
      </c>
      <c r="B1500">
        <v>1</v>
      </c>
      <c r="C1500" t="s">
        <v>6248</v>
      </c>
      <c r="D1500" s="4">
        <v>8.2204999999999995</v>
      </c>
      <c r="E1500" s="4">
        <v>21.98</v>
      </c>
      <c r="F1500" t="s">
        <v>6249</v>
      </c>
      <c r="G1500" t="s">
        <v>6228</v>
      </c>
      <c r="H1500" t="s">
        <v>3582</v>
      </c>
      <c r="I1500" t="s">
        <v>3582</v>
      </c>
      <c r="J1500" t="s">
        <v>3579</v>
      </c>
      <c r="K1500" s="4">
        <v>21.98</v>
      </c>
      <c r="L1500" s="4">
        <v>8.2204999999999995</v>
      </c>
    </row>
    <row r="1501" spans="1:12">
      <c r="A1501" s="1">
        <v>42861</v>
      </c>
      <c r="B1501">
        <v>1</v>
      </c>
      <c r="C1501" t="s">
        <v>6230</v>
      </c>
      <c r="D1501" s="4">
        <v>12.027799999999999</v>
      </c>
      <c r="E1501" s="4">
        <v>33.644199999999998</v>
      </c>
      <c r="F1501" t="s">
        <v>6227</v>
      </c>
      <c r="G1501" t="s">
        <v>6228</v>
      </c>
      <c r="H1501" t="s">
        <v>3583</v>
      </c>
      <c r="I1501" t="s">
        <v>3583</v>
      </c>
      <c r="J1501" t="s">
        <v>3584</v>
      </c>
      <c r="K1501" s="4">
        <v>33.644199999999998</v>
      </c>
      <c r="L1501" s="4">
        <v>12.027799999999999</v>
      </c>
    </row>
    <row r="1502" spans="1:12">
      <c r="A1502" s="1">
        <v>42861</v>
      </c>
      <c r="B1502">
        <v>1</v>
      </c>
      <c r="C1502" t="s">
        <v>6242</v>
      </c>
      <c r="D1502" s="4">
        <v>1.8663000000000001</v>
      </c>
      <c r="E1502" s="4">
        <v>4.99</v>
      </c>
      <c r="F1502" t="s">
        <v>6243</v>
      </c>
      <c r="G1502" t="s">
        <v>6228</v>
      </c>
      <c r="H1502" t="s">
        <v>3583</v>
      </c>
      <c r="I1502" t="s">
        <v>3583</v>
      </c>
      <c r="J1502" t="s">
        <v>3584</v>
      </c>
      <c r="K1502" s="4">
        <v>4.99</v>
      </c>
      <c r="L1502" s="4">
        <v>1.8663000000000001</v>
      </c>
    </row>
    <row r="1503" spans="1:12">
      <c r="A1503" s="1">
        <v>42861</v>
      </c>
      <c r="B1503">
        <v>1</v>
      </c>
      <c r="C1503" t="s">
        <v>6242</v>
      </c>
      <c r="D1503" s="4">
        <v>1.8663000000000001</v>
      </c>
      <c r="E1503" s="4">
        <v>4.99</v>
      </c>
      <c r="F1503" t="s">
        <v>6243</v>
      </c>
      <c r="G1503" t="s">
        <v>6228</v>
      </c>
      <c r="H1503" t="s">
        <v>3585</v>
      </c>
      <c r="I1503" t="s">
        <v>3585</v>
      </c>
      <c r="J1503" t="s">
        <v>3584</v>
      </c>
      <c r="K1503" s="4">
        <v>4.99</v>
      </c>
      <c r="L1503" s="4">
        <v>1.8663000000000001</v>
      </c>
    </row>
    <row r="1504" spans="1:12">
      <c r="A1504" s="1">
        <v>42861</v>
      </c>
      <c r="B1504">
        <v>1</v>
      </c>
      <c r="C1504" t="s">
        <v>6245</v>
      </c>
      <c r="D1504" s="4">
        <v>0.85650000000000004</v>
      </c>
      <c r="E1504" s="4">
        <v>2.29</v>
      </c>
      <c r="F1504" t="s">
        <v>6243</v>
      </c>
      <c r="G1504" t="s">
        <v>6228</v>
      </c>
      <c r="H1504" t="s">
        <v>3586</v>
      </c>
      <c r="I1504" t="s">
        <v>3586</v>
      </c>
      <c r="J1504" t="s">
        <v>3587</v>
      </c>
      <c r="K1504" s="4">
        <v>2.29</v>
      </c>
      <c r="L1504" s="4">
        <v>0.85650000000000004</v>
      </c>
    </row>
    <row r="1505" spans="1:12">
      <c r="A1505" s="1">
        <v>42862</v>
      </c>
      <c r="B1505">
        <v>1</v>
      </c>
      <c r="C1505" t="s">
        <v>6321</v>
      </c>
      <c r="D1505" s="4">
        <v>755.1508</v>
      </c>
      <c r="E1505" s="4">
        <v>1214.8499999999999</v>
      </c>
      <c r="F1505" t="s">
        <v>6274</v>
      </c>
      <c r="G1505" t="s">
        <v>3475</v>
      </c>
      <c r="H1505" t="s">
        <v>3580</v>
      </c>
      <c r="I1505" t="s">
        <v>3578</v>
      </c>
      <c r="J1505" t="s">
        <v>3579</v>
      </c>
      <c r="K1505" s="4">
        <v>1214.8499999999999</v>
      </c>
      <c r="L1505" s="4">
        <v>755.1508</v>
      </c>
    </row>
    <row r="1506" spans="1:12">
      <c r="A1506" s="1">
        <v>42862</v>
      </c>
      <c r="B1506">
        <v>1</v>
      </c>
      <c r="C1506" t="s">
        <v>6277</v>
      </c>
      <c r="D1506" s="4">
        <v>8.0373000000000001</v>
      </c>
      <c r="E1506" s="4">
        <v>21.49</v>
      </c>
      <c r="F1506" t="s">
        <v>6243</v>
      </c>
      <c r="G1506" t="s">
        <v>6228</v>
      </c>
      <c r="H1506" t="s">
        <v>3583</v>
      </c>
      <c r="I1506" t="s">
        <v>3583</v>
      </c>
      <c r="J1506" t="s">
        <v>3584</v>
      </c>
      <c r="K1506" s="4">
        <v>21.49</v>
      </c>
      <c r="L1506" s="4">
        <v>8.0373000000000001</v>
      </c>
    </row>
    <row r="1507" spans="1:12">
      <c r="A1507" s="1">
        <v>42862</v>
      </c>
      <c r="B1507">
        <v>1</v>
      </c>
      <c r="C1507" t="s">
        <v>6226</v>
      </c>
      <c r="D1507" s="4">
        <v>13.0863</v>
      </c>
      <c r="E1507" s="4">
        <v>34.99</v>
      </c>
      <c r="F1507" t="s">
        <v>6227</v>
      </c>
      <c r="G1507" t="s">
        <v>6228</v>
      </c>
      <c r="H1507" t="s">
        <v>3588</v>
      </c>
      <c r="I1507" t="s">
        <v>3588</v>
      </c>
      <c r="J1507" t="s">
        <v>3584</v>
      </c>
      <c r="K1507" s="4">
        <v>34.99</v>
      </c>
      <c r="L1507" s="4">
        <v>13.0863</v>
      </c>
    </row>
    <row r="1508" spans="1:12">
      <c r="A1508" s="1">
        <v>42863</v>
      </c>
      <c r="B1508">
        <v>1</v>
      </c>
      <c r="C1508" t="s">
        <v>6261</v>
      </c>
      <c r="D1508" s="4">
        <v>26.176300000000001</v>
      </c>
      <c r="E1508" s="4">
        <v>69.989999999999995</v>
      </c>
      <c r="F1508" t="s">
        <v>6262</v>
      </c>
      <c r="G1508" t="s">
        <v>6233</v>
      </c>
      <c r="H1508" t="s">
        <v>3580</v>
      </c>
      <c r="I1508" t="s">
        <v>3578</v>
      </c>
      <c r="J1508" t="s">
        <v>3579</v>
      </c>
      <c r="K1508" s="4">
        <v>69.989999999999995</v>
      </c>
      <c r="L1508" s="4">
        <v>26.176300000000001</v>
      </c>
    </row>
    <row r="1509" spans="1:12">
      <c r="A1509" s="1">
        <v>42863</v>
      </c>
      <c r="B1509">
        <v>1</v>
      </c>
      <c r="C1509" t="s">
        <v>6260</v>
      </c>
      <c r="D1509" s="4">
        <v>13.09</v>
      </c>
      <c r="E1509" s="4">
        <v>35</v>
      </c>
      <c r="F1509" t="s">
        <v>6243</v>
      </c>
      <c r="G1509" t="s">
        <v>6228</v>
      </c>
      <c r="H1509" t="s">
        <v>3580</v>
      </c>
      <c r="I1509" t="s">
        <v>3578</v>
      </c>
      <c r="J1509" t="s">
        <v>3579</v>
      </c>
      <c r="K1509" s="4">
        <v>35</v>
      </c>
      <c r="L1509" s="4">
        <v>13.09</v>
      </c>
    </row>
    <row r="1510" spans="1:12">
      <c r="A1510" s="1">
        <v>42863</v>
      </c>
      <c r="B1510">
        <v>1</v>
      </c>
      <c r="C1510" t="s">
        <v>6231</v>
      </c>
      <c r="D1510" s="4">
        <v>5.7051999999999996</v>
      </c>
      <c r="E1510" s="4">
        <v>8.6441999999999997</v>
      </c>
      <c r="F1510" t="s">
        <v>6232</v>
      </c>
      <c r="G1510" t="s">
        <v>6233</v>
      </c>
      <c r="H1510" t="s">
        <v>3586</v>
      </c>
      <c r="I1510" t="s">
        <v>3586</v>
      </c>
      <c r="J1510" t="s">
        <v>3587</v>
      </c>
      <c r="K1510" s="4">
        <v>8.6441999999999997</v>
      </c>
      <c r="L1510" s="4">
        <v>5.7051999999999996</v>
      </c>
    </row>
    <row r="1511" spans="1:12">
      <c r="A1511" s="1">
        <v>42863</v>
      </c>
      <c r="B1511">
        <v>1</v>
      </c>
      <c r="C1511" t="s">
        <v>6272</v>
      </c>
      <c r="D1511" s="4">
        <v>9.3462999999999994</v>
      </c>
      <c r="E1511" s="4">
        <v>24.99</v>
      </c>
      <c r="F1511" t="s">
        <v>6243</v>
      </c>
      <c r="G1511" t="s">
        <v>6228</v>
      </c>
      <c r="H1511" t="s">
        <v>3586</v>
      </c>
      <c r="I1511" t="s">
        <v>3586</v>
      </c>
      <c r="J1511" t="s">
        <v>3587</v>
      </c>
      <c r="K1511" s="4">
        <v>24.99</v>
      </c>
      <c r="L1511" s="4">
        <v>9.3462999999999994</v>
      </c>
    </row>
    <row r="1512" spans="1:12">
      <c r="A1512" s="1">
        <v>42864</v>
      </c>
      <c r="B1512">
        <v>1</v>
      </c>
      <c r="C1512" t="s">
        <v>6258</v>
      </c>
      <c r="D1512" s="4">
        <v>2.9733000000000001</v>
      </c>
      <c r="E1512" s="4">
        <v>7.95</v>
      </c>
      <c r="F1512" t="s">
        <v>6259</v>
      </c>
      <c r="G1512" t="s">
        <v>6228</v>
      </c>
      <c r="H1512" t="s">
        <v>3577</v>
      </c>
      <c r="I1512" t="s">
        <v>3578</v>
      </c>
      <c r="J1512" t="s">
        <v>3579</v>
      </c>
      <c r="K1512" s="4">
        <v>7.95</v>
      </c>
      <c r="L1512" s="4">
        <v>2.9733000000000001</v>
      </c>
    </row>
    <row r="1513" spans="1:12">
      <c r="A1513" s="1">
        <v>42864</v>
      </c>
      <c r="B1513">
        <v>1</v>
      </c>
      <c r="C1513" t="s">
        <v>6230</v>
      </c>
      <c r="D1513" s="4">
        <v>12.027799999999999</v>
      </c>
      <c r="E1513" s="4">
        <v>33.644199999999998</v>
      </c>
      <c r="F1513" t="s">
        <v>6227</v>
      </c>
      <c r="G1513" t="s">
        <v>6228</v>
      </c>
      <c r="H1513" t="s">
        <v>3580</v>
      </c>
      <c r="I1513" t="s">
        <v>3578</v>
      </c>
      <c r="J1513" t="s">
        <v>3579</v>
      </c>
      <c r="K1513" s="4">
        <v>33.644199999999998</v>
      </c>
      <c r="L1513" s="4">
        <v>12.027799999999999</v>
      </c>
    </row>
    <row r="1514" spans="1:12">
      <c r="A1514" s="1">
        <v>42864</v>
      </c>
      <c r="B1514">
        <v>1</v>
      </c>
      <c r="C1514" t="s">
        <v>6276</v>
      </c>
      <c r="D1514" s="4">
        <v>1.8663000000000001</v>
      </c>
      <c r="E1514" s="4">
        <v>4.99</v>
      </c>
      <c r="F1514" t="s">
        <v>6243</v>
      </c>
      <c r="G1514" t="s">
        <v>6228</v>
      </c>
      <c r="H1514" t="s">
        <v>3582</v>
      </c>
      <c r="I1514" t="s">
        <v>3582</v>
      </c>
      <c r="J1514" t="s">
        <v>3579</v>
      </c>
      <c r="K1514" s="4">
        <v>4.99</v>
      </c>
      <c r="L1514" s="4">
        <v>1.8663000000000001</v>
      </c>
    </row>
    <row r="1515" spans="1:12">
      <c r="A1515" s="1">
        <v>42864</v>
      </c>
      <c r="B1515">
        <v>1</v>
      </c>
      <c r="C1515" t="s">
        <v>3546</v>
      </c>
      <c r="D1515" s="4">
        <v>1105.81</v>
      </c>
      <c r="E1515" s="4">
        <v>2049.0981999999999</v>
      </c>
      <c r="F1515" t="s">
        <v>3478</v>
      </c>
      <c r="G1515" t="s">
        <v>3475</v>
      </c>
      <c r="H1515" t="s">
        <v>3583</v>
      </c>
      <c r="I1515" t="s">
        <v>3583</v>
      </c>
      <c r="J1515" t="s">
        <v>3584</v>
      </c>
      <c r="K1515" s="4">
        <v>2049.0981999999999</v>
      </c>
      <c r="L1515" s="4">
        <v>1105.81</v>
      </c>
    </row>
    <row r="1516" spans="1:12">
      <c r="A1516" s="1">
        <v>42864</v>
      </c>
      <c r="B1516">
        <v>1</v>
      </c>
      <c r="C1516" t="s">
        <v>6245</v>
      </c>
      <c r="D1516" s="4">
        <v>0.85650000000000004</v>
      </c>
      <c r="E1516" s="4">
        <v>2.29</v>
      </c>
      <c r="F1516" t="s">
        <v>6243</v>
      </c>
      <c r="G1516" t="s">
        <v>6228</v>
      </c>
      <c r="H1516" t="s">
        <v>3586</v>
      </c>
      <c r="I1516" t="s">
        <v>3586</v>
      </c>
      <c r="J1516" t="s">
        <v>3587</v>
      </c>
      <c r="K1516" s="4">
        <v>2.29</v>
      </c>
      <c r="L1516" s="4">
        <v>0.85650000000000004</v>
      </c>
    </row>
    <row r="1517" spans="1:12">
      <c r="A1517" s="1">
        <v>42864</v>
      </c>
      <c r="B1517">
        <v>1</v>
      </c>
      <c r="C1517" t="s">
        <v>6242</v>
      </c>
      <c r="D1517" s="4">
        <v>1.8663000000000001</v>
      </c>
      <c r="E1517" s="4">
        <v>4.99</v>
      </c>
      <c r="F1517" t="s">
        <v>6243</v>
      </c>
      <c r="G1517" t="s">
        <v>6228</v>
      </c>
      <c r="H1517" t="s">
        <v>3586</v>
      </c>
      <c r="I1517" t="s">
        <v>3586</v>
      </c>
      <c r="J1517" t="s">
        <v>3587</v>
      </c>
      <c r="K1517" s="4">
        <v>4.99</v>
      </c>
      <c r="L1517" s="4">
        <v>1.8663000000000001</v>
      </c>
    </row>
    <row r="1518" spans="1:12">
      <c r="A1518" s="1">
        <v>42864</v>
      </c>
      <c r="B1518">
        <v>1</v>
      </c>
      <c r="C1518" t="s">
        <v>6260</v>
      </c>
      <c r="D1518" s="4">
        <v>13.09</v>
      </c>
      <c r="E1518" s="4">
        <v>35</v>
      </c>
      <c r="F1518" t="s">
        <v>6243</v>
      </c>
      <c r="G1518" t="s">
        <v>6228</v>
      </c>
      <c r="H1518" t="s">
        <v>3586</v>
      </c>
      <c r="I1518" t="s">
        <v>3586</v>
      </c>
      <c r="J1518" t="s">
        <v>3587</v>
      </c>
      <c r="K1518" s="4">
        <v>35</v>
      </c>
      <c r="L1518" s="4">
        <v>13.09</v>
      </c>
    </row>
    <row r="1519" spans="1:12">
      <c r="A1519" s="1">
        <v>42865</v>
      </c>
      <c r="B1519">
        <v>1</v>
      </c>
      <c r="C1519" t="s">
        <v>6321</v>
      </c>
      <c r="D1519" s="4">
        <v>755.1508</v>
      </c>
      <c r="E1519" s="4">
        <v>1214.8499999999999</v>
      </c>
      <c r="F1519" t="s">
        <v>6274</v>
      </c>
      <c r="G1519" t="s">
        <v>3475</v>
      </c>
      <c r="H1519" t="s">
        <v>3577</v>
      </c>
      <c r="I1519" t="s">
        <v>3578</v>
      </c>
      <c r="J1519" t="s">
        <v>3579</v>
      </c>
      <c r="K1519" s="4">
        <v>1214.8499999999999</v>
      </c>
      <c r="L1519" s="4">
        <v>755.1508</v>
      </c>
    </row>
    <row r="1520" spans="1:12">
      <c r="A1520" s="1">
        <v>42865</v>
      </c>
      <c r="B1520">
        <v>1</v>
      </c>
      <c r="C1520" t="s">
        <v>3568</v>
      </c>
      <c r="D1520" s="4">
        <v>605.64919999999995</v>
      </c>
      <c r="E1520" s="4">
        <v>1000.4375</v>
      </c>
      <c r="F1520" t="s">
        <v>3479</v>
      </c>
      <c r="G1520" t="s">
        <v>3475</v>
      </c>
      <c r="H1520" t="s">
        <v>3580</v>
      </c>
      <c r="I1520" t="s">
        <v>3578</v>
      </c>
      <c r="J1520" t="s">
        <v>3579</v>
      </c>
      <c r="K1520" s="4">
        <v>1000.4375</v>
      </c>
      <c r="L1520" s="4">
        <v>605.64919999999995</v>
      </c>
    </row>
    <row r="1521" spans="1:12">
      <c r="A1521" s="1">
        <v>42865</v>
      </c>
      <c r="B1521">
        <v>1</v>
      </c>
      <c r="C1521" t="s">
        <v>6245</v>
      </c>
      <c r="D1521" s="4">
        <v>0.85650000000000004</v>
      </c>
      <c r="E1521" s="4">
        <v>2.29</v>
      </c>
      <c r="F1521" t="s">
        <v>6243</v>
      </c>
      <c r="G1521" t="s">
        <v>6228</v>
      </c>
      <c r="H1521" t="s">
        <v>3580</v>
      </c>
      <c r="I1521" t="s">
        <v>3578</v>
      </c>
      <c r="J1521" t="s">
        <v>3579</v>
      </c>
      <c r="K1521" s="4">
        <v>2.29</v>
      </c>
      <c r="L1521" s="4">
        <v>0.85650000000000004</v>
      </c>
    </row>
    <row r="1522" spans="1:12">
      <c r="A1522" s="1">
        <v>42865</v>
      </c>
      <c r="B1522">
        <v>1</v>
      </c>
      <c r="C1522" t="s">
        <v>6244</v>
      </c>
      <c r="D1522" s="4">
        <v>3.7363</v>
      </c>
      <c r="E1522" s="4">
        <v>9.99</v>
      </c>
      <c r="F1522" t="s">
        <v>6240</v>
      </c>
      <c r="G1522" t="s">
        <v>6228</v>
      </c>
      <c r="H1522" t="s">
        <v>3582</v>
      </c>
      <c r="I1522" t="s">
        <v>3582</v>
      </c>
      <c r="J1522" t="s">
        <v>3579</v>
      </c>
      <c r="K1522" s="4">
        <v>9.99</v>
      </c>
      <c r="L1522" s="4">
        <v>3.7363</v>
      </c>
    </row>
    <row r="1523" spans="1:12">
      <c r="A1523" s="1">
        <v>42865</v>
      </c>
      <c r="B1523">
        <v>1</v>
      </c>
      <c r="C1523" t="s">
        <v>6260</v>
      </c>
      <c r="D1523" s="4">
        <v>13.09</v>
      </c>
      <c r="E1523" s="4">
        <v>35</v>
      </c>
      <c r="F1523" t="s">
        <v>6243</v>
      </c>
      <c r="G1523" t="s">
        <v>6228</v>
      </c>
      <c r="H1523" t="s">
        <v>3582</v>
      </c>
      <c r="I1523" t="s">
        <v>3582</v>
      </c>
      <c r="J1523" t="s">
        <v>3579</v>
      </c>
      <c r="K1523" s="4">
        <v>35</v>
      </c>
      <c r="L1523" s="4">
        <v>13.09</v>
      </c>
    </row>
    <row r="1524" spans="1:12">
      <c r="A1524" s="1">
        <v>42865</v>
      </c>
      <c r="B1524">
        <v>1</v>
      </c>
      <c r="C1524" t="s">
        <v>6229</v>
      </c>
      <c r="D1524" s="4">
        <v>12.027799999999999</v>
      </c>
      <c r="E1524" s="4">
        <v>33.644199999999998</v>
      </c>
      <c r="F1524" t="s">
        <v>6227</v>
      </c>
      <c r="G1524" t="s">
        <v>6228</v>
      </c>
      <c r="H1524" t="s">
        <v>3583</v>
      </c>
      <c r="I1524" t="s">
        <v>3583</v>
      </c>
      <c r="J1524" t="s">
        <v>3584</v>
      </c>
      <c r="K1524" s="4">
        <v>33.644199999999998</v>
      </c>
      <c r="L1524" s="4">
        <v>12.027799999999999</v>
      </c>
    </row>
    <row r="1525" spans="1:12">
      <c r="A1525" s="1">
        <v>42866</v>
      </c>
      <c r="B1525">
        <v>1</v>
      </c>
      <c r="C1525" t="s">
        <v>6231</v>
      </c>
      <c r="D1525" s="4">
        <v>5.7051999999999996</v>
      </c>
      <c r="E1525" s="4">
        <v>8.6441999999999997</v>
      </c>
      <c r="F1525" t="s">
        <v>6232</v>
      </c>
      <c r="G1525" t="s">
        <v>6233</v>
      </c>
      <c r="H1525" t="s">
        <v>3577</v>
      </c>
      <c r="I1525" t="s">
        <v>3578</v>
      </c>
      <c r="J1525" t="s">
        <v>3579</v>
      </c>
      <c r="K1525" s="4">
        <v>8.6441999999999997</v>
      </c>
      <c r="L1525" s="4">
        <v>5.7051999999999996</v>
      </c>
    </row>
    <row r="1526" spans="1:12">
      <c r="A1526" s="1">
        <v>42866</v>
      </c>
      <c r="B1526">
        <v>1</v>
      </c>
      <c r="C1526" t="s">
        <v>6245</v>
      </c>
      <c r="D1526" s="4">
        <v>0.85650000000000004</v>
      </c>
      <c r="E1526" s="4">
        <v>2.29</v>
      </c>
      <c r="F1526" t="s">
        <v>6243</v>
      </c>
      <c r="G1526" t="s">
        <v>6228</v>
      </c>
      <c r="H1526" t="s">
        <v>3577</v>
      </c>
      <c r="I1526" t="s">
        <v>3578</v>
      </c>
      <c r="J1526" t="s">
        <v>3579</v>
      </c>
      <c r="K1526" s="4">
        <v>2.29</v>
      </c>
      <c r="L1526" s="4">
        <v>0.85650000000000004</v>
      </c>
    </row>
    <row r="1527" spans="1:12">
      <c r="A1527" s="1">
        <v>42866</v>
      </c>
      <c r="B1527">
        <v>1</v>
      </c>
      <c r="C1527" t="s">
        <v>6271</v>
      </c>
      <c r="D1527" s="4">
        <v>11.2163</v>
      </c>
      <c r="E1527" s="4">
        <v>29.99</v>
      </c>
      <c r="F1527" t="s">
        <v>6243</v>
      </c>
      <c r="G1527" t="s">
        <v>6228</v>
      </c>
      <c r="H1527" t="s">
        <v>3582</v>
      </c>
      <c r="I1527" t="s">
        <v>3582</v>
      </c>
      <c r="J1527" t="s">
        <v>3579</v>
      </c>
      <c r="K1527" s="4">
        <v>29.99</v>
      </c>
      <c r="L1527" s="4">
        <v>11.2163</v>
      </c>
    </row>
    <row r="1528" spans="1:12">
      <c r="A1528" s="1">
        <v>42866</v>
      </c>
      <c r="B1528">
        <v>1</v>
      </c>
      <c r="C1528" t="s">
        <v>6282</v>
      </c>
      <c r="D1528" s="4">
        <v>10.8423</v>
      </c>
      <c r="E1528" s="4">
        <v>28.99</v>
      </c>
      <c r="F1528" t="s">
        <v>6243</v>
      </c>
      <c r="G1528" t="s">
        <v>6228</v>
      </c>
      <c r="H1528" t="s">
        <v>3588</v>
      </c>
      <c r="I1528" t="s">
        <v>3588</v>
      </c>
      <c r="J1528" t="s">
        <v>3584</v>
      </c>
      <c r="K1528" s="4">
        <v>28.99</v>
      </c>
      <c r="L1528" s="4">
        <v>10.8423</v>
      </c>
    </row>
    <row r="1529" spans="1:12">
      <c r="A1529" s="1">
        <v>42867</v>
      </c>
      <c r="B1529">
        <v>1</v>
      </c>
      <c r="C1529" t="s">
        <v>6226</v>
      </c>
      <c r="D1529" s="4">
        <v>13.0863</v>
      </c>
      <c r="E1529" s="4">
        <v>34.99</v>
      </c>
      <c r="F1529" t="s">
        <v>6227</v>
      </c>
      <c r="G1529" t="s">
        <v>6228</v>
      </c>
      <c r="H1529" t="s">
        <v>3580</v>
      </c>
      <c r="I1529" t="s">
        <v>3578</v>
      </c>
      <c r="J1529" t="s">
        <v>3579</v>
      </c>
      <c r="K1529" s="4">
        <v>34.99</v>
      </c>
      <c r="L1529" s="4">
        <v>13.0863</v>
      </c>
    </row>
    <row r="1530" spans="1:12">
      <c r="A1530" s="1">
        <v>42867</v>
      </c>
      <c r="B1530">
        <v>1</v>
      </c>
      <c r="C1530" t="s">
        <v>6236</v>
      </c>
      <c r="D1530" s="4">
        <v>31.724399999999999</v>
      </c>
      <c r="E1530" s="4">
        <v>48.067300000000003</v>
      </c>
      <c r="F1530" t="s">
        <v>6235</v>
      </c>
      <c r="G1530" t="s">
        <v>6233</v>
      </c>
      <c r="H1530" t="s">
        <v>3580</v>
      </c>
      <c r="I1530" t="s">
        <v>3578</v>
      </c>
      <c r="J1530" t="s">
        <v>3579</v>
      </c>
      <c r="K1530" s="4">
        <v>48.067300000000003</v>
      </c>
      <c r="L1530" s="4">
        <v>31.724399999999999</v>
      </c>
    </row>
    <row r="1531" spans="1:12">
      <c r="A1531" s="1">
        <v>42867</v>
      </c>
      <c r="B1531">
        <v>1</v>
      </c>
      <c r="C1531" t="s">
        <v>6241</v>
      </c>
      <c r="D1531" s="4">
        <v>3.3622999999999998</v>
      </c>
      <c r="E1531" s="4">
        <v>8.99</v>
      </c>
      <c r="F1531" t="s">
        <v>6240</v>
      </c>
      <c r="G1531" t="s">
        <v>6228</v>
      </c>
      <c r="H1531" t="s">
        <v>3580</v>
      </c>
      <c r="I1531" t="s">
        <v>3578</v>
      </c>
      <c r="J1531" t="s">
        <v>3579</v>
      </c>
      <c r="K1531" s="4">
        <v>8.99</v>
      </c>
      <c r="L1531" s="4">
        <v>3.3622999999999998</v>
      </c>
    </row>
    <row r="1532" spans="1:12">
      <c r="A1532" s="1">
        <v>42867</v>
      </c>
      <c r="B1532">
        <v>1</v>
      </c>
      <c r="C1532" t="s">
        <v>6297</v>
      </c>
      <c r="D1532" s="4">
        <v>343.64960000000002</v>
      </c>
      <c r="E1532" s="4">
        <v>539.99</v>
      </c>
      <c r="F1532" t="s">
        <v>3479</v>
      </c>
      <c r="G1532" t="s">
        <v>3475</v>
      </c>
      <c r="H1532" t="s">
        <v>3580</v>
      </c>
      <c r="I1532" t="s">
        <v>3578</v>
      </c>
      <c r="J1532" t="s">
        <v>3579</v>
      </c>
      <c r="K1532" s="4">
        <v>539.99</v>
      </c>
      <c r="L1532" s="4">
        <v>343.64960000000002</v>
      </c>
    </row>
    <row r="1533" spans="1:12">
      <c r="A1533" s="1">
        <v>42867</v>
      </c>
      <c r="B1533">
        <v>1</v>
      </c>
      <c r="C1533" t="s">
        <v>3544</v>
      </c>
      <c r="D1533" s="4">
        <v>1105.81</v>
      </c>
      <c r="E1533" s="4">
        <v>2049.0981999999999</v>
      </c>
      <c r="F1533" t="s">
        <v>3478</v>
      </c>
      <c r="G1533" t="s">
        <v>3475</v>
      </c>
      <c r="H1533" t="s">
        <v>3588</v>
      </c>
      <c r="I1533" t="s">
        <v>3588</v>
      </c>
      <c r="J1533" t="s">
        <v>3584</v>
      </c>
      <c r="K1533" s="4">
        <v>2049.0981999999999</v>
      </c>
      <c r="L1533" s="4">
        <v>1105.81</v>
      </c>
    </row>
    <row r="1534" spans="1:12">
      <c r="A1534" s="1">
        <v>42867</v>
      </c>
      <c r="B1534">
        <v>1</v>
      </c>
      <c r="C1534" t="s">
        <v>6267</v>
      </c>
      <c r="D1534" s="4">
        <v>343.64960000000002</v>
      </c>
      <c r="E1534" s="4">
        <v>539.99</v>
      </c>
      <c r="F1534" t="s">
        <v>3479</v>
      </c>
      <c r="G1534" t="s">
        <v>3475</v>
      </c>
      <c r="H1534" t="s">
        <v>3588</v>
      </c>
      <c r="I1534" t="s">
        <v>3588</v>
      </c>
      <c r="J1534" t="s">
        <v>3584</v>
      </c>
      <c r="K1534" s="4">
        <v>539.99</v>
      </c>
      <c r="L1534" s="4">
        <v>343.64960000000002</v>
      </c>
    </row>
    <row r="1535" spans="1:12">
      <c r="A1535" s="1">
        <v>42868</v>
      </c>
      <c r="B1535">
        <v>1</v>
      </c>
      <c r="C1535" t="s">
        <v>6230</v>
      </c>
      <c r="D1535" s="4">
        <v>12.027799999999999</v>
      </c>
      <c r="E1535" s="4">
        <v>33.644199999999998</v>
      </c>
      <c r="F1535" t="s">
        <v>6227</v>
      </c>
      <c r="G1535" t="s">
        <v>6228</v>
      </c>
      <c r="H1535" t="s">
        <v>3583</v>
      </c>
      <c r="I1535" t="s">
        <v>3583</v>
      </c>
      <c r="J1535" t="s">
        <v>3584</v>
      </c>
      <c r="K1535" s="4">
        <v>33.644199999999998</v>
      </c>
      <c r="L1535" s="4">
        <v>12.027799999999999</v>
      </c>
    </row>
    <row r="1536" spans="1:12">
      <c r="A1536" s="1">
        <v>42869</v>
      </c>
      <c r="B1536">
        <v>1</v>
      </c>
      <c r="C1536" t="s">
        <v>6248</v>
      </c>
      <c r="D1536" s="4">
        <v>8.2204999999999995</v>
      </c>
      <c r="E1536" s="4">
        <v>21.98</v>
      </c>
      <c r="F1536" t="s">
        <v>6249</v>
      </c>
      <c r="G1536" t="s">
        <v>6228</v>
      </c>
      <c r="H1536" t="s">
        <v>3580</v>
      </c>
      <c r="I1536" t="s">
        <v>3578</v>
      </c>
      <c r="J1536" t="s">
        <v>3579</v>
      </c>
      <c r="K1536" s="4">
        <v>21.98</v>
      </c>
      <c r="L1536" s="4">
        <v>8.2204999999999995</v>
      </c>
    </row>
    <row r="1537" spans="1:12">
      <c r="A1537" s="1">
        <v>42869</v>
      </c>
      <c r="B1537">
        <v>1</v>
      </c>
      <c r="C1537" t="s">
        <v>6270</v>
      </c>
      <c r="D1537" s="4">
        <v>1.4923</v>
      </c>
      <c r="E1537" s="4">
        <v>3.99</v>
      </c>
      <c r="F1537" t="s">
        <v>6243</v>
      </c>
      <c r="G1537" t="s">
        <v>6228</v>
      </c>
      <c r="H1537" t="s">
        <v>3580</v>
      </c>
      <c r="I1537" t="s">
        <v>3578</v>
      </c>
      <c r="J1537" t="s">
        <v>3579</v>
      </c>
      <c r="K1537" s="4">
        <v>3.99</v>
      </c>
      <c r="L1537" s="4">
        <v>1.4923</v>
      </c>
    </row>
    <row r="1538" spans="1:12">
      <c r="A1538" s="1">
        <v>42869</v>
      </c>
      <c r="B1538">
        <v>1</v>
      </c>
      <c r="C1538" t="s">
        <v>6256</v>
      </c>
      <c r="D1538" s="4">
        <v>44.88</v>
      </c>
      <c r="E1538" s="4">
        <v>120</v>
      </c>
      <c r="F1538" t="s">
        <v>6257</v>
      </c>
      <c r="G1538" t="s">
        <v>6228</v>
      </c>
      <c r="H1538" t="s">
        <v>3582</v>
      </c>
      <c r="I1538" t="s">
        <v>3582</v>
      </c>
      <c r="J1538" t="s">
        <v>3579</v>
      </c>
      <c r="K1538" s="4">
        <v>120</v>
      </c>
      <c r="L1538" s="4">
        <v>44.88</v>
      </c>
    </row>
    <row r="1539" spans="1:12">
      <c r="A1539" s="1">
        <v>42869</v>
      </c>
      <c r="B1539">
        <v>1</v>
      </c>
      <c r="C1539" t="s">
        <v>6248</v>
      </c>
      <c r="D1539" s="4">
        <v>8.2204999999999995</v>
      </c>
      <c r="E1539" s="4">
        <v>21.98</v>
      </c>
      <c r="F1539" t="s">
        <v>6249</v>
      </c>
      <c r="G1539" t="s">
        <v>6228</v>
      </c>
      <c r="H1539" t="s">
        <v>3582</v>
      </c>
      <c r="I1539" t="s">
        <v>3582</v>
      </c>
      <c r="J1539" t="s">
        <v>3579</v>
      </c>
      <c r="K1539" s="4">
        <v>21.98</v>
      </c>
      <c r="L1539" s="4">
        <v>8.2204999999999995</v>
      </c>
    </row>
    <row r="1540" spans="1:12">
      <c r="A1540" s="1">
        <v>42869</v>
      </c>
      <c r="B1540">
        <v>1</v>
      </c>
      <c r="C1540" t="s">
        <v>6271</v>
      </c>
      <c r="D1540" s="4">
        <v>11.2163</v>
      </c>
      <c r="E1540" s="4">
        <v>29.99</v>
      </c>
      <c r="F1540" t="s">
        <v>6243</v>
      </c>
      <c r="G1540" t="s">
        <v>6228</v>
      </c>
      <c r="H1540" t="s">
        <v>3582</v>
      </c>
      <c r="I1540" t="s">
        <v>3582</v>
      </c>
      <c r="J1540" t="s">
        <v>3579</v>
      </c>
      <c r="K1540" s="4">
        <v>29.99</v>
      </c>
      <c r="L1540" s="4">
        <v>11.2163</v>
      </c>
    </row>
    <row r="1541" spans="1:12">
      <c r="A1541" s="1">
        <v>42869</v>
      </c>
      <c r="B1541">
        <v>1</v>
      </c>
      <c r="C1541" t="s">
        <v>6294</v>
      </c>
      <c r="D1541" s="4">
        <v>1082.51</v>
      </c>
      <c r="E1541" s="4">
        <v>1700.99</v>
      </c>
      <c r="F1541" t="s">
        <v>3479</v>
      </c>
      <c r="G1541" t="s">
        <v>3475</v>
      </c>
      <c r="H1541" t="s">
        <v>3583</v>
      </c>
      <c r="I1541" t="s">
        <v>3583</v>
      </c>
      <c r="J1541" t="s">
        <v>3584</v>
      </c>
      <c r="K1541" s="4">
        <v>1700.99</v>
      </c>
      <c r="L1541" s="4">
        <v>1082.51</v>
      </c>
    </row>
    <row r="1542" spans="1:12">
      <c r="A1542" s="1">
        <v>42869</v>
      </c>
      <c r="B1542">
        <v>1</v>
      </c>
      <c r="C1542" t="s">
        <v>6239</v>
      </c>
      <c r="D1542" s="4">
        <v>1.8663000000000001</v>
      </c>
      <c r="E1542" s="4">
        <v>4.99</v>
      </c>
      <c r="F1542" t="s">
        <v>6240</v>
      </c>
      <c r="G1542" t="s">
        <v>6228</v>
      </c>
      <c r="H1542" t="s">
        <v>3586</v>
      </c>
      <c r="I1542" t="s">
        <v>3586</v>
      </c>
      <c r="J1542" t="s">
        <v>3587</v>
      </c>
      <c r="K1542" s="4">
        <v>4.99</v>
      </c>
      <c r="L1542" s="4">
        <v>1.8663000000000001</v>
      </c>
    </row>
    <row r="1543" spans="1:12">
      <c r="A1543" s="1">
        <v>42870</v>
      </c>
      <c r="B1543">
        <v>1</v>
      </c>
      <c r="C1543" t="s">
        <v>6245</v>
      </c>
      <c r="D1543" s="4">
        <v>0.85650000000000004</v>
      </c>
      <c r="E1543" s="4">
        <v>2.29</v>
      </c>
      <c r="F1543" t="s">
        <v>6243</v>
      </c>
      <c r="G1543" t="s">
        <v>6228</v>
      </c>
      <c r="H1543" t="s">
        <v>3577</v>
      </c>
      <c r="I1543" t="s">
        <v>3578</v>
      </c>
      <c r="J1543" t="s">
        <v>3579</v>
      </c>
      <c r="K1543" s="4">
        <v>2.29</v>
      </c>
      <c r="L1543" s="4">
        <v>0.85650000000000004</v>
      </c>
    </row>
    <row r="1544" spans="1:12">
      <c r="A1544" s="1">
        <v>42870</v>
      </c>
      <c r="B1544">
        <v>1</v>
      </c>
      <c r="C1544" t="s">
        <v>6268</v>
      </c>
      <c r="D1544" s="4">
        <v>41.572299999999998</v>
      </c>
      <c r="E1544" s="4">
        <v>53.99</v>
      </c>
      <c r="F1544" t="s">
        <v>6235</v>
      </c>
      <c r="G1544" t="s">
        <v>6233</v>
      </c>
      <c r="H1544" t="s">
        <v>3577</v>
      </c>
      <c r="I1544" t="s">
        <v>3578</v>
      </c>
      <c r="J1544" t="s">
        <v>3579</v>
      </c>
      <c r="K1544" s="4">
        <v>53.99</v>
      </c>
      <c r="L1544" s="4">
        <v>41.572299999999998</v>
      </c>
    </row>
    <row r="1545" spans="1:12">
      <c r="A1545" s="1">
        <v>42870</v>
      </c>
      <c r="B1545">
        <v>1</v>
      </c>
      <c r="C1545" t="s">
        <v>6226</v>
      </c>
      <c r="D1545" s="4">
        <v>13.0863</v>
      </c>
      <c r="E1545" s="4">
        <v>34.99</v>
      </c>
      <c r="F1545" t="s">
        <v>6227</v>
      </c>
      <c r="G1545" t="s">
        <v>6228</v>
      </c>
      <c r="H1545" t="s">
        <v>3582</v>
      </c>
      <c r="I1545" t="s">
        <v>3582</v>
      </c>
      <c r="J1545" t="s">
        <v>3579</v>
      </c>
      <c r="K1545" s="4">
        <v>34.99</v>
      </c>
      <c r="L1545" s="4">
        <v>13.0863</v>
      </c>
    </row>
    <row r="1546" spans="1:12">
      <c r="A1546" s="1">
        <v>42870</v>
      </c>
      <c r="B1546">
        <v>1</v>
      </c>
      <c r="C1546" t="s">
        <v>6238</v>
      </c>
      <c r="D1546" s="4">
        <v>31.724399999999999</v>
      </c>
      <c r="E1546" s="4">
        <v>48.067300000000003</v>
      </c>
      <c r="F1546" t="s">
        <v>6235</v>
      </c>
      <c r="G1546" t="s">
        <v>6233</v>
      </c>
      <c r="H1546" t="s">
        <v>3582</v>
      </c>
      <c r="I1546" t="s">
        <v>3582</v>
      </c>
      <c r="J1546" t="s">
        <v>3579</v>
      </c>
      <c r="K1546" s="4">
        <v>48.067300000000003</v>
      </c>
      <c r="L1546" s="4">
        <v>31.724399999999999</v>
      </c>
    </row>
    <row r="1547" spans="1:12">
      <c r="A1547" s="1">
        <v>42870</v>
      </c>
      <c r="B1547">
        <v>1</v>
      </c>
      <c r="C1547" t="s">
        <v>6248</v>
      </c>
      <c r="D1547" s="4">
        <v>8.2204999999999995</v>
      </c>
      <c r="E1547" s="4">
        <v>21.98</v>
      </c>
      <c r="F1547" t="s">
        <v>6249</v>
      </c>
      <c r="G1547" t="s">
        <v>6228</v>
      </c>
      <c r="H1547" t="s">
        <v>3582</v>
      </c>
      <c r="I1547" t="s">
        <v>3582</v>
      </c>
      <c r="J1547" t="s">
        <v>3579</v>
      </c>
      <c r="K1547" s="4">
        <v>21.98</v>
      </c>
      <c r="L1547" s="4">
        <v>8.2204999999999995</v>
      </c>
    </row>
    <row r="1548" spans="1:12">
      <c r="A1548" s="1">
        <v>42870</v>
      </c>
      <c r="B1548">
        <v>1</v>
      </c>
      <c r="C1548" t="s">
        <v>6226</v>
      </c>
      <c r="D1548" s="4">
        <v>13.0863</v>
      </c>
      <c r="E1548" s="4">
        <v>34.99</v>
      </c>
      <c r="F1548" t="s">
        <v>6227</v>
      </c>
      <c r="G1548" t="s">
        <v>6228</v>
      </c>
      <c r="H1548" t="s">
        <v>3586</v>
      </c>
      <c r="I1548" t="s">
        <v>3586</v>
      </c>
      <c r="J1548" t="s">
        <v>3587</v>
      </c>
      <c r="K1548" s="4">
        <v>34.99</v>
      </c>
      <c r="L1548" s="4">
        <v>13.0863</v>
      </c>
    </row>
    <row r="1549" spans="1:12">
      <c r="A1549" s="1">
        <v>42871</v>
      </c>
      <c r="B1549">
        <v>1</v>
      </c>
      <c r="C1549" t="s">
        <v>6322</v>
      </c>
      <c r="D1549" s="4">
        <v>461.44479999999999</v>
      </c>
      <c r="E1549" s="4">
        <v>742.35</v>
      </c>
      <c r="F1549" t="s">
        <v>6274</v>
      </c>
      <c r="G1549" t="s">
        <v>3475</v>
      </c>
      <c r="H1549" t="s">
        <v>3577</v>
      </c>
      <c r="I1549" t="s">
        <v>3578</v>
      </c>
      <c r="J1549" t="s">
        <v>3579</v>
      </c>
      <c r="K1549" s="4">
        <v>742.35</v>
      </c>
      <c r="L1549" s="4">
        <v>461.44479999999999</v>
      </c>
    </row>
    <row r="1550" spans="1:12">
      <c r="A1550" s="1">
        <v>42871</v>
      </c>
      <c r="B1550">
        <v>1</v>
      </c>
      <c r="C1550" t="s">
        <v>6245</v>
      </c>
      <c r="D1550" s="4">
        <v>0.85650000000000004</v>
      </c>
      <c r="E1550" s="4">
        <v>2.29</v>
      </c>
      <c r="F1550" t="s">
        <v>6243</v>
      </c>
      <c r="G1550" t="s">
        <v>6228</v>
      </c>
      <c r="H1550" t="s">
        <v>3582</v>
      </c>
      <c r="I1550" t="s">
        <v>3582</v>
      </c>
      <c r="J1550" t="s">
        <v>3579</v>
      </c>
      <c r="K1550" s="4">
        <v>2.29</v>
      </c>
      <c r="L1550" s="4">
        <v>0.85650000000000004</v>
      </c>
    </row>
    <row r="1551" spans="1:12">
      <c r="A1551" s="1">
        <v>42871</v>
      </c>
      <c r="B1551">
        <v>1</v>
      </c>
      <c r="C1551" t="s">
        <v>6260</v>
      </c>
      <c r="D1551" s="4">
        <v>13.09</v>
      </c>
      <c r="E1551" s="4">
        <v>35</v>
      </c>
      <c r="F1551" t="s">
        <v>6243</v>
      </c>
      <c r="G1551" t="s">
        <v>6228</v>
      </c>
      <c r="H1551" t="s">
        <v>3582</v>
      </c>
      <c r="I1551" t="s">
        <v>3582</v>
      </c>
      <c r="J1551" t="s">
        <v>3579</v>
      </c>
      <c r="K1551" s="4">
        <v>35</v>
      </c>
      <c r="L1551" s="4">
        <v>13.09</v>
      </c>
    </row>
    <row r="1552" spans="1:12">
      <c r="A1552" s="1">
        <v>42871</v>
      </c>
      <c r="B1552">
        <v>1</v>
      </c>
      <c r="C1552" t="s">
        <v>6255</v>
      </c>
      <c r="D1552" s="4">
        <v>9.7135999999999996</v>
      </c>
      <c r="E1552" s="4">
        <v>23.548100000000002</v>
      </c>
      <c r="F1552" t="s">
        <v>6251</v>
      </c>
      <c r="G1552" t="s">
        <v>6233</v>
      </c>
      <c r="H1552" t="s">
        <v>3585</v>
      </c>
      <c r="I1552" t="s">
        <v>3585</v>
      </c>
      <c r="J1552" t="s">
        <v>3584</v>
      </c>
      <c r="K1552" s="4">
        <v>23.548100000000002</v>
      </c>
      <c r="L1552" s="4">
        <v>9.7135999999999996</v>
      </c>
    </row>
    <row r="1553" spans="1:12">
      <c r="A1553" s="1">
        <v>42871</v>
      </c>
      <c r="B1553">
        <v>1</v>
      </c>
      <c r="C1553" t="s">
        <v>6226</v>
      </c>
      <c r="D1553" s="4">
        <v>13.0863</v>
      </c>
      <c r="E1553" s="4">
        <v>34.99</v>
      </c>
      <c r="F1553" t="s">
        <v>6227</v>
      </c>
      <c r="G1553" t="s">
        <v>6228</v>
      </c>
      <c r="H1553" t="s">
        <v>3586</v>
      </c>
      <c r="I1553" t="s">
        <v>3586</v>
      </c>
      <c r="J1553" t="s">
        <v>3587</v>
      </c>
      <c r="K1553" s="4">
        <v>34.99</v>
      </c>
      <c r="L1553" s="4">
        <v>13.0863</v>
      </c>
    </row>
    <row r="1554" spans="1:12">
      <c r="A1554" s="1">
        <v>42871</v>
      </c>
      <c r="B1554">
        <v>1</v>
      </c>
      <c r="C1554" t="s">
        <v>6246</v>
      </c>
      <c r="D1554" s="4">
        <v>20.566299999999998</v>
      </c>
      <c r="E1554" s="4">
        <v>54.99</v>
      </c>
      <c r="F1554" t="s">
        <v>6247</v>
      </c>
      <c r="G1554" t="s">
        <v>6228</v>
      </c>
      <c r="H1554" t="s">
        <v>3586</v>
      </c>
      <c r="I1554" t="s">
        <v>3586</v>
      </c>
      <c r="J1554" t="s">
        <v>3587</v>
      </c>
      <c r="K1554" s="4">
        <v>54.99</v>
      </c>
      <c r="L1554" s="4">
        <v>20.566299999999998</v>
      </c>
    </row>
    <row r="1555" spans="1:12">
      <c r="A1555" s="1">
        <v>42871</v>
      </c>
      <c r="B1555">
        <v>1</v>
      </c>
      <c r="C1555" t="s">
        <v>6291</v>
      </c>
      <c r="D1555" s="4">
        <v>41.572299999999998</v>
      </c>
      <c r="E1555" s="4">
        <v>53.99</v>
      </c>
      <c r="F1555" t="s">
        <v>6235</v>
      </c>
      <c r="G1555" t="s">
        <v>6233</v>
      </c>
      <c r="H1555" t="s">
        <v>3586</v>
      </c>
      <c r="I1555" t="s">
        <v>3586</v>
      </c>
      <c r="J1555" t="s">
        <v>3587</v>
      </c>
      <c r="K1555" s="4">
        <v>53.99</v>
      </c>
      <c r="L1555" s="4">
        <v>41.572299999999998</v>
      </c>
    </row>
    <row r="1556" spans="1:12">
      <c r="A1556" s="1">
        <v>42872</v>
      </c>
      <c r="B1556">
        <v>1</v>
      </c>
      <c r="C1556" t="s">
        <v>6244</v>
      </c>
      <c r="D1556" s="4">
        <v>3.7363</v>
      </c>
      <c r="E1556" s="4">
        <v>9.99</v>
      </c>
      <c r="F1556" t="s">
        <v>6240</v>
      </c>
      <c r="G1556" t="s">
        <v>6228</v>
      </c>
      <c r="H1556" t="s">
        <v>3577</v>
      </c>
      <c r="I1556" t="s">
        <v>3578</v>
      </c>
      <c r="J1556" t="s">
        <v>3579</v>
      </c>
      <c r="K1556" s="4">
        <v>9.99</v>
      </c>
      <c r="L1556" s="4">
        <v>3.7363</v>
      </c>
    </row>
    <row r="1557" spans="1:12">
      <c r="A1557" s="1">
        <v>42872</v>
      </c>
      <c r="B1557">
        <v>1</v>
      </c>
      <c r="C1557" t="s">
        <v>6239</v>
      </c>
      <c r="D1557" s="4">
        <v>1.8663000000000001</v>
      </c>
      <c r="E1557" s="4">
        <v>4.99</v>
      </c>
      <c r="F1557" t="s">
        <v>6240</v>
      </c>
      <c r="G1557" t="s">
        <v>6228</v>
      </c>
      <c r="H1557" t="s">
        <v>3582</v>
      </c>
      <c r="I1557" t="s">
        <v>3582</v>
      </c>
      <c r="J1557" t="s">
        <v>3579</v>
      </c>
      <c r="K1557" s="4">
        <v>4.99</v>
      </c>
      <c r="L1557" s="4">
        <v>1.8663000000000001</v>
      </c>
    </row>
    <row r="1558" spans="1:12">
      <c r="A1558" s="1">
        <v>42872</v>
      </c>
      <c r="B1558">
        <v>1</v>
      </c>
      <c r="C1558" t="s">
        <v>6230</v>
      </c>
      <c r="D1558" s="4">
        <v>12.027799999999999</v>
      </c>
      <c r="E1558" s="4">
        <v>33.644199999999998</v>
      </c>
      <c r="F1558" t="s">
        <v>6227</v>
      </c>
      <c r="G1558" t="s">
        <v>6228</v>
      </c>
      <c r="H1558" t="s">
        <v>3583</v>
      </c>
      <c r="I1558" t="s">
        <v>3583</v>
      </c>
      <c r="J1558" t="s">
        <v>3584</v>
      </c>
      <c r="K1558" s="4">
        <v>33.644199999999998</v>
      </c>
      <c r="L1558" s="4">
        <v>12.027799999999999</v>
      </c>
    </row>
    <row r="1559" spans="1:12">
      <c r="A1559" s="1">
        <v>42872</v>
      </c>
      <c r="B1559">
        <v>1</v>
      </c>
      <c r="C1559" t="s">
        <v>6278</v>
      </c>
      <c r="D1559" s="4">
        <v>461.44479999999999</v>
      </c>
      <c r="E1559" s="4">
        <v>742.35</v>
      </c>
      <c r="F1559" t="s">
        <v>6274</v>
      </c>
      <c r="G1559" t="s">
        <v>3475</v>
      </c>
      <c r="H1559" t="s">
        <v>3583</v>
      </c>
      <c r="I1559" t="s">
        <v>3583</v>
      </c>
      <c r="J1559" t="s">
        <v>3584</v>
      </c>
      <c r="K1559" s="4">
        <v>742.35</v>
      </c>
      <c r="L1559" s="4">
        <v>461.44479999999999</v>
      </c>
    </row>
    <row r="1560" spans="1:12">
      <c r="A1560" s="1">
        <v>42872</v>
      </c>
      <c r="B1560">
        <v>1</v>
      </c>
      <c r="C1560" t="s">
        <v>6226</v>
      </c>
      <c r="D1560" s="4">
        <v>13.0863</v>
      </c>
      <c r="E1560" s="4">
        <v>34.99</v>
      </c>
      <c r="F1560" t="s">
        <v>6227</v>
      </c>
      <c r="G1560" t="s">
        <v>6228</v>
      </c>
      <c r="H1560" t="s">
        <v>3588</v>
      </c>
      <c r="I1560" t="s">
        <v>3588</v>
      </c>
      <c r="J1560" t="s">
        <v>3584</v>
      </c>
      <c r="K1560" s="4">
        <v>34.99</v>
      </c>
      <c r="L1560" s="4">
        <v>13.0863</v>
      </c>
    </row>
    <row r="1561" spans="1:12">
      <c r="A1561" s="1">
        <v>42873</v>
      </c>
      <c r="B1561">
        <v>1</v>
      </c>
      <c r="C1561" t="s">
        <v>6271</v>
      </c>
      <c r="D1561" s="4">
        <v>11.2163</v>
      </c>
      <c r="E1561" s="4">
        <v>29.99</v>
      </c>
      <c r="F1561" t="s">
        <v>6243</v>
      </c>
      <c r="G1561" t="s">
        <v>6228</v>
      </c>
      <c r="H1561" t="s">
        <v>3586</v>
      </c>
      <c r="I1561" t="s">
        <v>3586</v>
      </c>
      <c r="J1561" t="s">
        <v>3587</v>
      </c>
      <c r="K1561" s="4">
        <v>29.99</v>
      </c>
      <c r="L1561" s="4">
        <v>11.2163</v>
      </c>
    </row>
    <row r="1562" spans="1:12">
      <c r="A1562" s="1">
        <v>42874</v>
      </c>
      <c r="B1562">
        <v>1</v>
      </c>
      <c r="C1562" t="s">
        <v>6245</v>
      </c>
      <c r="D1562" s="4">
        <v>0.85650000000000004</v>
      </c>
      <c r="E1562" s="4">
        <v>2.29</v>
      </c>
      <c r="F1562" t="s">
        <v>6243</v>
      </c>
      <c r="G1562" t="s">
        <v>6228</v>
      </c>
      <c r="H1562" t="s">
        <v>3577</v>
      </c>
      <c r="I1562" t="s">
        <v>3578</v>
      </c>
      <c r="J1562" t="s">
        <v>3579</v>
      </c>
      <c r="K1562" s="4">
        <v>2.29</v>
      </c>
      <c r="L1562" s="4">
        <v>0.85650000000000004</v>
      </c>
    </row>
    <row r="1563" spans="1:12">
      <c r="A1563" s="1">
        <v>42874</v>
      </c>
      <c r="B1563">
        <v>1</v>
      </c>
      <c r="C1563" t="s">
        <v>6231</v>
      </c>
      <c r="D1563" s="4">
        <v>5.7051999999999996</v>
      </c>
      <c r="E1563" s="4">
        <v>8.6441999999999997</v>
      </c>
      <c r="F1563" t="s">
        <v>6232</v>
      </c>
      <c r="G1563" t="s">
        <v>6233</v>
      </c>
      <c r="H1563" t="s">
        <v>3580</v>
      </c>
      <c r="I1563" t="s">
        <v>3578</v>
      </c>
      <c r="J1563" t="s">
        <v>3579</v>
      </c>
      <c r="K1563" s="4">
        <v>8.6441999999999997</v>
      </c>
      <c r="L1563" s="4">
        <v>5.7051999999999996</v>
      </c>
    </row>
    <row r="1564" spans="1:12">
      <c r="A1564" s="1">
        <v>42874</v>
      </c>
      <c r="B1564">
        <v>1</v>
      </c>
      <c r="C1564" t="s">
        <v>6226</v>
      </c>
      <c r="D1564" s="4">
        <v>13.0863</v>
      </c>
      <c r="E1564" s="4">
        <v>34.99</v>
      </c>
      <c r="F1564" t="s">
        <v>6227</v>
      </c>
      <c r="G1564" t="s">
        <v>6228</v>
      </c>
      <c r="H1564" t="s">
        <v>3586</v>
      </c>
      <c r="I1564" t="s">
        <v>3586</v>
      </c>
      <c r="J1564" t="s">
        <v>3587</v>
      </c>
      <c r="K1564" s="4">
        <v>34.99</v>
      </c>
      <c r="L1564" s="4">
        <v>13.0863</v>
      </c>
    </row>
    <row r="1565" spans="1:12">
      <c r="A1565" s="1">
        <v>42874</v>
      </c>
      <c r="B1565">
        <v>1</v>
      </c>
      <c r="C1565" t="s">
        <v>3572</v>
      </c>
      <c r="D1565" s="4">
        <v>605.64919999999995</v>
      </c>
      <c r="E1565" s="4">
        <v>1000.4375</v>
      </c>
      <c r="F1565" t="s">
        <v>3479</v>
      </c>
      <c r="G1565" t="s">
        <v>3475</v>
      </c>
      <c r="H1565" t="s">
        <v>3586</v>
      </c>
      <c r="I1565" t="s">
        <v>3586</v>
      </c>
      <c r="J1565" t="s">
        <v>3587</v>
      </c>
      <c r="K1565" s="4">
        <v>1000.4375</v>
      </c>
      <c r="L1565" s="4">
        <v>605.64919999999995</v>
      </c>
    </row>
    <row r="1566" spans="1:12">
      <c r="A1566" s="1">
        <v>42875</v>
      </c>
      <c r="B1566">
        <v>1</v>
      </c>
      <c r="C1566" t="s">
        <v>6292</v>
      </c>
      <c r="D1566" s="4">
        <v>23.748999999999999</v>
      </c>
      <c r="E1566" s="4">
        <v>63.5</v>
      </c>
      <c r="F1566" t="s">
        <v>6293</v>
      </c>
      <c r="G1566" t="s">
        <v>6233</v>
      </c>
      <c r="H1566" t="s">
        <v>3577</v>
      </c>
      <c r="I1566" t="s">
        <v>3578</v>
      </c>
      <c r="J1566" t="s">
        <v>3579</v>
      </c>
      <c r="K1566" s="4">
        <v>63.5</v>
      </c>
      <c r="L1566" s="4">
        <v>23.748999999999999</v>
      </c>
    </row>
    <row r="1567" spans="1:12">
      <c r="A1567" s="1">
        <v>42875</v>
      </c>
      <c r="B1567">
        <v>1</v>
      </c>
      <c r="C1567" t="s">
        <v>6315</v>
      </c>
      <c r="D1567" s="4">
        <v>1481.9378999999999</v>
      </c>
      <c r="E1567" s="4">
        <v>2384.0700000000002</v>
      </c>
      <c r="F1567" t="s">
        <v>6274</v>
      </c>
      <c r="G1567" t="s">
        <v>3475</v>
      </c>
      <c r="H1567" t="s">
        <v>3580</v>
      </c>
      <c r="I1567" t="s">
        <v>3578</v>
      </c>
      <c r="J1567" t="s">
        <v>3579</v>
      </c>
      <c r="K1567" s="4">
        <v>2384.0700000000002</v>
      </c>
      <c r="L1567" s="4">
        <v>1481.9378999999999</v>
      </c>
    </row>
    <row r="1568" spans="1:12">
      <c r="A1568" s="1">
        <v>42875</v>
      </c>
      <c r="B1568">
        <v>1</v>
      </c>
      <c r="C1568" t="s">
        <v>6290</v>
      </c>
      <c r="D1568" s="4">
        <v>1082.51</v>
      </c>
      <c r="E1568" s="4">
        <v>1700.99</v>
      </c>
      <c r="F1568" t="s">
        <v>3479</v>
      </c>
      <c r="G1568" t="s">
        <v>3475</v>
      </c>
      <c r="H1568" t="s">
        <v>3580</v>
      </c>
      <c r="I1568" t="s">
        <v>3578</v>
      </c>
      <c r="J1568" t="s">
        <v>3579</v>
      </c>
      <c r="K1568" s="4">
        <v>1700.99</v>
      </c>
      <c r="L1568" s="4">
        <v>1082.51</v>
      </c>
    </row>
    <row r="1569" spans="1:12">
      <c r="A1569" s="1">
        <v>42875</v>
      </c>
      <c r="B1569">
        <v>1</v>
      </c>
      <c r="C1569" t="s">
        <v>6234</v>
      </c>
      <c r="D1569" s="4">
        <v>31.724399999999999</v>
      </c>
      <c r="E1569" s="4">
        <v>48.067300000000003</v>
      </c>
      <c r="F1569" t="s">
        <v>6235</v>
      </c>
      <c r="G1569" t="s">
        <v>6233</v>
      </c>
      <c r="H1569" t="s">
        <v>3582</v>
      </c>
      <c r="I1569" t="s">
        <v>3582</v>
      </c>
      <c r="J1569" t="s">
        <v>3579</v>
      </c>
      <c r="K1569" s="4">
        <v>48.067300000000003</v>
      </c>
      <c r="L1569" s="4">
        <v>31.724399999999999</v>
      </c>
    </row>
    <row r="1570" spans="1:12">
      <c r="A1570" s="1">
        <v>42875</v>
      </c>
      <c r="B1570">
        <v>1</v>
      </c>
      <c r="C1570" t="s">
        <v>6286</v>
      </c>
      <c r="D1570" s="4">
        <v>1481.9378999999999</v>
      </c>
      <c r="E1570" s="4">
        <v>2384.0700000000002</v>
      </c>
      <c r="F1570" t="s">
        <v>6274</v>
      </c>
      <c r="G1570" t="s">
        <v>3475</v>
      </c>
      <c r="H1570" t="s">
        <v>3583</v>
      </c>
      <c r="I1570" t="s">
        <v>3583</v>
      </c>
      <c r="J1570" t="s">
        <v>3584</v>
      </c>
      <c r="K1570" s="4">
        <v>2384.0700000000002</v>
      </c>
      <c r="L1570" s="4">
        <v>1481.9378999999999</v>
      </c>
    </row>
    <row r="1571" spans="1:12">
      <c r="A1571" s="1">
        <v>42876</v>
      </c>
      <c r="B1571">
        <v>1</v>
      </c>
      <c r="C1571" t="s">
        <v>3542</v>
      </c>
      <c r="D1571" s="4">
        <v>1105.81</v>
      </c>
      <c r="E1571" s="4">
        <v>2049.0981999999999</v>
      </c>
      <c r="F1571" t="s">
        <v>3478</v>
      </c>
      <c r="G1571" t="s">
        <v>3475</v>
      </c>
      <c r="H1571" t="s">
        <v>3577</v>
      </c>
      <c r="I1571" t="s">
        <v>3578</v>
      </c>
      <c r="J1571" t="s">
        <v>3579</v>
      </c>
      <c r="K1571" s="4">
        <v>2049.0981999999999</v>
      </c>
      <c r="L1571" s="4">
        <v>1105.81</v>
      </c>
    </row>
    <row r="1572" spans="1:12">
      <c r="A1572" s="1">
        <v>42876</v>
      </c>
      <c r="B1572">
        <v>1</v>
      </c>
      <c r="C1572" t="s">
        <v>6272</v>
      </c>
      <c r="D1572" s="4">
        <v>9.3462999999999994</v>
      </c>
      <c r="E1572" s="4">
        <v>24.99</v>
      </c>
      <c r="F1572" t="s">
        <v>6243</v>
      </c>
      <c r="G1572" t="s">
        <v>6228</v>
      </c>
      <c r="H1572" t="s">
        <v>3577</v>
      </c>
      <c r="I1572" t="s">
        <v>3578</v>
      </c>
      <c r="J1572" t="s">
        <v>3579</v>
      </c>
      <c r="K1572" s="4">
        <v>24.99</v>
      </c>
      <c r="L1572" s="4">
        <v>9.3462999999999994</v>
      </c>
    </row>
    <row r="1573" spans="1:12">
      <c r="A1573" s="1">
        <v>42876</v>
      </c>
      <c r="B1573">
        <v>1</v>
      </c>
      <c r="C1573" t="s">
        <v>6234</v>
      </c>
      <c r="D1573" s="4">
        <v>31.724399999999999</v>
      </c>
      <c r="E1573" s="4">
        <v>48.067300000000003</v>
      </c>
      <c r="F1573" t="s">
        <v>6235</v>
      </c>
      <c r="G1573" t="s">
        <v>6233</v>
      </c>
      <c r="H1573" t="s">
        <v>3580</v>
      </c>
      <c r="I1573" t="s">
        <v>3578</v>
      </c>
      <c r="J1573" t="s">
        <v>3579</v>
      </c>
      <c r="K1573" s="4">
        <v>48.067300000000003</v>
      </c>
      <c r="L1573" s="4">
        <v>31.724399999999999</v>
      </c>
    </row>
    <row r="1574" spans="1:12">
      <c r="A1574" s="1">
        <v>42876</v>
      </c>
      <c r="B1574">
        <v>1</v>
      </c>
      <c r="C1574" t="s">
        <v>6260</v>
      </c>
      <c r="D1574" s="4">
        <v>13.09</v>
      </c>
      <c r="E1574" s="4">
        <v>35</v>
      </c>
      <c r="F1574" t="s">
        <v>6243</v>
      </c>
      <c r="G1574" t="s">
        <v>6228</v>
      </c>
      <c r="H1574" t="s">
        <v>3580</v>
      </c>
      <c r="I1574" t="s">
        <v>3578</v>
      </c>
      <c r="J1574" t="s">
        <v>3579</v>
      </c>
      <c r="K1574" s="4">
        <v>35</v>
      </c>
      <c r="L1574" s="4">
        <v>13.09</v>
      </c>
    </row>
    <row r="1575" spans="1:12">
      <c r="A1575" s="1">
        <v>42876</v>
      </c>
      <c r="B1575">
        <v>1</v>
      </c>
      <c r="C1575" t="s">
        <v>6226</v>
      </c>
      <c r="D1575" s="4">
        <v>13.0863</v>
      </c>
      <c r="E1575" s="4">
        <v>34.99</v>
      </c>
      <c r="F1575" t="s">
        <v>6227</v>
      </c>
      <c r="G1575" t="s">
        <v>6228</v>
      </c>
      <c r="H1575" t="s">
        <v>3582</v>
      </c>
      <c r="I1575" t="s">
        <v>3582</v>
      </c>
      <c r="J1575" t="s">
        <v>3579</v>
      </c>
      <c r="K1575" s="4">
        <v>34.99</v>
      </c>
      <c r="L1575" s="4">
        <v>13.0863</v>
      </c>
    </row>
    <row r="1576" spans="1:12">
      <c r="A1576" s="1">
        <v>42876</v>
      </c>
      <c r="B1576">
        <v>1</v>
      </c>
      <c r="C1576" t="s">
        <v>6246</v>
      </c>
      <c r="D1576" s="4">
        <v>20.566299999999998</v>
      </c>
      <c r="E1576" s="4">
        <v>54.99</v>
      </c>
      <c r="F1576" t="s">
        <v>6247</v>
      </c>
      <c r="G1576" t="s">
        <v>6228</v>
      </c>
      <c r="H1576" t="s">
        <v>3586</v>
      </c>
      <c r="I1576" t="s">
        <v>3586</v>
      </c>
      <c r="J1576" t="s">
        <v>3587</v>
      </c>
      <c r="K1576" s="4">
        <v>54.99</v>
      </c>
      <c r="L1576" s="4">
        <v>20.566299999999998</v>
      </c>
    </row>
    <row r="1577" spans="1:12">
      <c r="A1577" s="1">
        <v>42877</v>
      </c>
      <c r="B1577">
        <v>1</v>
      </c>
      <c r="C1577" t="s">
        <v>6226</v>
      </c>
      <c r="D1577" s="4">
        <v>13.0863</v>
      </c>
      <c r="E1577" s="4">
        <v>34.99</v>
      </c>
      <c r="F1577" t="s">
        <v>6227</v>
      </c>
      <c r="G1577" t="s">
        <v>6228</v>
      </c>
      <c r="H1577" t="s">
        <v>3580</v>
      </c>
      <c r="I1577" t="s">
        <v>3578</v>
      </c>
      <c r="J1577" t="s">
        <v>3579</v>
      </c>
      <c r="K1577" s="4">
        <v>34.99</v>
      </c>
      <c r="L1577" s="4">
        <v>13.0863</v>
      </c>
    </row>
    <row r="1578" spans="1:12">
      <c r="A1578" s="1">
        <v>42877</v>
      </c>
      <c r="B1578">
        <v>1</v>
      </c>
      <c r="C1578" t="s">
        <v>6244</v>
      </c>
      <c r="D1578" s="4">
        <v>3.7363</v>
      </c>
      <c r="E1578" s="4">
        <v>9.99</v>
      </c>
      <c r="F1578" t="s">
        <v>6240</v>
      </c>
      <c r="G1578" t="s">
        <v>6228</v>
      </c>
      <c r="H1578" t="s">
        <v>3580</v>
      </c>
      <c r="I1578" t="s">
        <v>3578</v>
      </c>
      <c r="J1578" t="s">
        <v>3579</v>
      </c>
      <c r="K1578" s="4">
        <v>9.99</v>
      </c>
      <c r="L1578" s="4">
        <v>3.7363</v>
      </c>
    </row>
    <row r="1579" spans="1:12">
      <c r="A1579" s="1">
        <v>42877</v>
      </c>
      <c r="B1579">
        <v>1</v>
      </c>
      <c r="C1579" t="s">
        <v>6246</v>
      </c>
      <c r="D1579" s="4">
        <v>20.566299999999998</v>
      </c>
      <c r="E1579" s="4">
        <v>54.99</v>
      </c>
      <c r="F1579" t="s">
        <v>6247</v>
      </c>
      <c r="G1579" t="s">
        <v>6228</v>
      </c>
      <c r="H1579" t="s">
        <v>3580</v>
      </c>
      <c r="I1579" t="s">
        <v>3578</v>
      </c>
      <c r="J1579" t="s">
        <v>3579</v>
      </c>
      <c r="K1579" s="4">
        <v>54.99</v>
      </c>
      <c r="L1579" s="4">
        <v>20.566299999999998</v>
      </c>
    </row>
    <row r="1580" spans="1:12">
      <c r="A1580" s="1">
        <v>42877</v>
      </c>
      <c r="B1580">
        <v>1</v>
      </c>
      <c r="C1580" t="s">
        <v>6229</v>
      </c>
      <c r="D1580" s="4">
        <v>12.027799999999999</v>
      </c>
      <c r="E1580" s="4">
        <v>33.644199999999998</v>
      </c>
      <c r="F1580" t="s">
        <v>6227</v>
      </c>
      <c r="G1580" t="s">
        <v>6228</v>
      </c>
      <c r="H1580" t="s">
        <v>3586</v>
      </c>
      <c r="I1580" t="s">
        <v>3586</v>
      </c>
      <c r="J1580" t="s">
        <v>3587</v>
      </c>
      <c r="K1580" s="4">
        <v>33.644199999999998</v>
      </c>
      <c r="L1580" s="4">
        <v>12.027799999999999</v>
      </c>
    </row>
    <row r="1581" spans="1:12">
      <c r="A1581" s="1">
        <v>42878</v>
      </c>
      <c r="B1581">
        <v>1</v>
      </c>
      <c r="C1581" t="s">
        <v>3538</v>
      </c>
      <c r="D1581" s="4">
        <v>1117.8559</v>
      </c>
      <c r="E1581" s="4">
        <v>2071.4196000000002</v>
      </c>
      <c r="F1581" t="s">
        <v>3478</v>
      </c>
      <c r="G1581" t="s">
        <v>3475</v>
      </c>
      <c r="H1581" t="s">
        <v>3577</v>
      </c>
      <c r="I1581" t="s">
        <v>3578</v>
      </c>
      <c r="J1581" t="s">
        <v>3579</v>
      </c>
      <c r="K1581" s="4">
        <v>2071.4196000000002</v>
      </c>
      <c r="L1581" s="4">
        <v>1117.8559</v>
      </c>
    </row>
    <row r="1582" spans="1:12">
      <c r="A1582" s="1">
        <v>42878</v>
      </c>
      <c r="B1582">
        <v>1</v>
      </c>
      <c r="C1582" t="s">
        <v>6297</v>
      </c>
      <c r="D1582" s="4">
        <v>343.64960000000002</v>
      </c>
      <c r="E1582" s="4">
        <v>539.99</v>
      </c>
      <c r="F1582" t="s">
        <v>3479</v>
      </c>
      <c r="G1582" t="s">
        <v>3475</v>
      </c>
      <c r="H1582" t="s">
        <v>3577</v>
      </c>
      <c r="I1582" t="s">
        <v>3578</v>
      </c>
      <c r="J1582" t="s">
        <v>3579</v>
      </c>
      <c r="K1582" s="4">
        <v>539.99</v>
      </c>
      <c r="L1582" s="4">
        <v>343.64960000000002</v>
      </c>
    </row>
    <row r="1583" spans="1:12">
      <c r="A1583" s="1">
        <v>42878</v>
      </c>
      <c r="B1583">
        <v>1</v>
      </c>
      <c r="C1583" t="s">
        <v>6280</v>
      </c>
      <c r="D1583" s="4">
        <v>1481.9378999999999</v>
      </c>
      <c r="E1583" s="4">
        <v>2384.0700000000002</v>
      </c>
      <c r="F1583" t="s">
        <v>6274</v>
      </c>
      <c r="G1583" t="s">
        <v>3475</v>
      </c>
      <c r="H1583" t="s">
        <v>3580</v>
      </c>
      <c r="I1583" t="s">
        <v>3578</v>
      </c>
      <c r="J1583" t="s">
        <v>3579</v>
      </c>
      <c r="K1583" s="4">
        <v>2384.0700000000002</v>
      </c>
      <c r="L1583" s="4">
        <v>1481.9378999999999</v>
      </c>
    </row>
    <row r="1584" spans="1:12">
      <c r="A1584" s="1">
        <v>42878</v>
      </c>
      <c r="B1584">
        <v>1</v>
      </c>
      <c r="C1584" t="s">
        <v>6299</v>
      </c>
      <c r="D1584" s="4">
        <v>755.1508</v>
      </c>
      <c r="E1584" s="4">
        <v>1214.8499999999999</v>
      </c>
      <c r="F1584" t="s">
        <v>6274</v>
      </c>
      <c r="G1584" t="s">
        <v>3475</v>
      </c>
      <c r="H1584" t="s">
        <v>3580</v>
      </c>
      <c r="I1584" t="s">
        <v>3578</v>
      </c>
      <c r="J1584" t="s">
        <v>3579</v>
      </c>
      <c r="K1584" s="4">
        <v>1214.8499999999999</v>
      </c>
      <c r="L1584" s="4">
        <v>755.1508</v>
      </c>
    </row>
    <row r="1585" spans="1:12">
      <c r="A1585" s="1">
        <v>42878</v>
      </c>
      <c r="B1585">
        <v>1</v>
      </c>
      <c r="C1585" t="s">
        <v>6312</v>
      </c>
      <c r="D1585" s="4">
        <v>461.44479999999999</v>
      </c>
      <c r="E1585" s="4">
        <v>742.35</v>
      </c>
      <c r="F1585" t="s">
        <v>6274</v>
      </c>
      <c r="G1585" t="s">
        <v>3475</v>
      </c>
      <c r="H1585" t="s">
        <v>3583</v>
      </c>
      <c r="I1585" t="s">
        <v>3583</v>
      </c>
      <c r="J1585" t="s">
        <v>3584</v>
      </c>
      <c r="K1585" s="4">
        <v>742.35</v>
      </c>
      <c r="L1585" s="4">
        <v>461.44479999999999</v>
      </c>
    </row>
    <row r="1586" spans="1:12">
      <c r="A1586" s="1">
        <v>42879</v>
      </c>
      <c r="B1586">
        <v>1</v>
      </c>
      <c r="C1586" t="s">
        <v>6250</v>
      </c>
      <c r="D1586" s="4">
        <v>9.7135999999999996</v>
      </c>
      <c r="E1586" s="4">
        <v>23.548100000000002</v>
      </c>
      <c r="F1586" t="s">
        <v>6251</v>
      </c>
      <c r="G1586" t="s">
        <v>6233</v>
      </c>
      <c r="H1586" t="s">
        <v>3577</v>
      </c>
      <c r="I1586" t="s">
        <v>3578</v>
      </c>
      <c r="J1586" t="s">
        <v>3579</v>
      </c>
      <c r="K1586" s="4">
        <v>23.548100000000002</v>
      </c>
      <c r="L1586" s="4">
        <v>9.7135999999999996</v>
      </c>
    </row>
    <row r="1587" spans="1:12">
      <c r="A1587" s="1">
        <v>42879</v>
      </c>
      <c r="B1587">
        <v>1</v>
      </c>
      <c r="C1587" t="s">
        <v>3546</v>
      </c>
      <c r="D1587" s="4">
        <v>1105.81</v>
      </c>
      <c r="E1587" s="4">
        <v>2049.0981999999999</v>
      </c>
      <c r="F1587" t="s">
        <v>3478</v>
      </c>
      <c r="G1587" t="s">
        <v>3475</v>
      </c>
      <c r="H1587" t="s">
        <v>3582</v>
      </c>
      <c r="I1587" t="s">
        <v>3582</v>
      </c>
      <c r="J1587" t="s">
        <v>3579</v>
      </c>
      <c r="K1587" s="4">
        <v>2049.0981999999999</v>
      </c>
      <c r="L1587" s="4">
        <v>1105.81</v>
      </c>
    </row>
    <row r="1588" spans="1:12">
      <c r="A1588" s="1">
        <v>42879</v>
      </c>
      <c r="B1588">
        <v>1</v>
      </c>
      <c r="C1588" t="s">
        <v>6242</v>
      </c>
      <c r="D1588" s="4">
        <v>1.8663000000000001</v>
      </c>
      <c r="E1588" s="4">
        <v>4.99</v>
      </c>
      <c r="F1588" t="s">
        <v>6243</v>
      </c>
      <c r="G1588" t="s">
        <v>6228</v>
      </c>
      <c r="H1588" t="s">
        <v>3582</v>
      </c>
      <c r="I1588" t="s">
        <v>3582</v>
      </c>
      <c r="J1588" t="s">
        <v>3579</v>
      </c>
      <c r="K1588" s="4">
        <v>4.99</v>
      </c>
      <c r="L1588" s="4">
        <v>1.8663000000000001</v>
      </c>
    </row>
    <row r="1589" spans="1:12">
      <c r="A1589" s="1">
        <v>42879</v>
      </c>
      <c r="B1589">
        <v>1</v>
      </c>
      <c r="C1589" t="s">
        <v>6315</v>
      </c>
      <c r="D1589" s="4">
        <v>1481.9378999999999</v>
      </c>
      <c r="E1589" s="4">
        <v>2384.0700000000002</v>
      </c>
      <c r="F1589" t="s">
        <v>6274</v>
      </c>
      <c r="G1589" t="s">
        <v>3475</v>
      </c>
      <c r="H1589" t="s">
        <v>3583</v>
      </c>
      <c r="I1589" t="s">
        <v>3583</v>
      </c>
      <c r="J1589" t="s">
        <v>3584</v>
      </c>
      <c r="K1589" s="4">
        <v>2384.0700000000002</v>
      </c>
      <c r="L1589" s="4">
        <v>1481.9378999999999</v>
      </c>
    </row>
    <row r="1590" spans="1:12">
      <c r="A1590" s="1">
        <v>42879</v>
      </c>
      <c r="B1590">
        <v>1</v>
      </c>
      <c r="C1590" t="s">
        <v>6271</v>
      </c>
      <c r="D1590" s="4">
        <v>11.2163</v>
      </c>
      <c r="E1590" s="4">
        <v>29.99</v>
      </c>
      <c r="F1590" t="s">
        <v>6243</v>
      </c>
      <c r="G1590" t="s">
        <v>6228</v>
      </c>
      <c r="H1590" t="s">
        <v>3585</v>
      </c>
      <c r="I1590" t="s">
        <v>3585</v>
      </c>
      <c r="J1590" t="s">
        <v>3584</v>
      </c>
      <c r="K1590" s="4">
        <v>29.99</v>
      </c>
      <c r="L1590" s="4">
        <v>11.2163</v>
      </c>
    </row>
    <row r="1591" spans="1:12">
      <c r="A1591" s="1">
        <v>42879</v>
      </c>
      <c r="B1591">
        <v>1</v>
      </c>
      <c r="C1591" t="s">
        <v>6283</v>
      </c>
      <c r="D1591" s="4">
        <v>1481.9378999999999</v>
      </c>
      <c r="E1591" s="4">
        <v>2384.0700000000002</v>
      </c>
      <c r="F1591" t="s">
        <v>6274</v>
      </c>
      <c r="G1591" t="s">
        <v>3475</v>
      </c>
      <c r="H1591" t="s">
        <v>3586</v>
      </c>
      <c r="I1591" t="s">
        <v>3586</v>
      </c>
      <c r="J1591" t="s">
        <v>3587</v>
      </c>
      <c r="K1591" s="4">
        <v>2384.0700000000002</v>
      </c>
      <c r="L1591" s="4">
        <v>1481.9378999999999</v>
      </c>
    </row>
    <row r="1592" spans="1:12">
      <c r="A1592" s="1">
        <v>42879</v>
      </c>
      <c r="B1592">
        <v>1</v>
      </c>
      <c r="C1592" t="s">
        <v>6323</v>
      </c>
      <c r="D1592" s="4">
        <v>755.1508</v>
      </c>
      <c r="E1592" s="4">
        <v>1214.8499999999999</v>
      </c>
      <c r="F1592" t="s">
        <v>6274</v>
      </c>
      <c r="G1592" t="s">
        <v>3475</v>
      </c>
      <c r="H1592" t="s">
        <v>3586</v>
      </c>
      <c r="I1592" t="s">
        <v>3586</v>
      </c>
      <c r="J1592" t="s">
        <v>3587</v>
      </c>
      <c r="K1592" s="4">
        <v>1214.8499999999999</v>
      </c>
      <c r="L1592" s="4">
        <v>755.1508</v>
      </c>
    </row>
    <row r="1593" spans="1:12">
      <c r="A1593" s="1">
        <v>42880</v>
      </c>
      <c r="B1593">
        <v>1</v>
      </c>
      <c r="C1593" t="s">
        <v>6285</v>
      </c>
      <c r="D1593" s="4">
        <v>26.176300000000001</v>
      </c>
      <c r="E1593" s="4">
        <v>69.989999999999995</v>
      </c>
      <c r="F1593" t="s">
        <v>6262</v>
      </c>
      <c r="G1593" t="s">
        <v>6233</v>
      </c>
      <c r="H1593" t="s">
        <v>3577</v>
      </c>
      <c r="I1593" t="s">
        <v>3578</v>
      </c>
      <c r="J1593" t="s">
        <v>3579</v>
      </c>
      <c r="K1593" s="4">
        <v>69.989999999999995</v>
      </c>
      <c r="L1593" s="4">
        <v>26.176300000000001</v>
      </c>
    </row>
    <row r="1594" spans="1:12">
      <c r="A1594" s="1">
        <v>42880</v>
      </c>
      <c r="B1594">
        <v>1</v>
      </c>
      <c r="C1594" t="s">
        <v>6255</v>
      </c>
      <c r="D1594" s="4">
        <v>9.7135999999999996</v>
      </c>
      <c r="E1594" s="4">
        <v>23.548100000000002</v>
      </c>
      <c r="F1594" t="s">
        <v>6251</v>
      </c>
      <c r="G1594" t="s">
        <v>6233</v>
      </c>
      <c r="H1594" t="s">
        <v>3583</v>
      </c>
      <c r="I1594" t="s">
        <v>3583</v>
      </c>
      <c r="J1594" t="s">
        <v>3584</v>
      </c>
      <c r="K1594" s="4">
        <v>23.548100000000002</v>
      </c>
      <c r="L1594" s="4">
        <v>9.7135999999999996</v>
      </c>
    </row>
    <row r="1595" spans="1:12">
      <c r="A1595" s="1">
        <v>42880</v>
      </c>
      <c r="B1595">
        <v>1</v>
      </c>
      <c r="C1595" t="s">
        <v>6229</v>
      </c>
      <c r="D1595" s="4">
        <v>12.027799999999999</v>
      </c>
      <c r="E1595" s="4">
        <v>33.644199999999998</v>
      </c>
      <c r="F1595" t="s">
        <v>6227</v>
      </c>
      <c r="G1595" t="s">
        <v>6228</v>
      </c>
      <c r="H1595" t="s">
        <v>3585</v>
      </c>
      <c r="I1595" t="s">
        <v>3585</v>
      </c>
      <c r="J1595" t="s">
        <v>3584</v>
      </c>
      <c r="K1595" s="4">
        <v>33.644199999999998</v>
      </c>
      <c r="L1595" s="4">
        <v>12.027799999999999</v>
      </c>
    </row>
    <row r="1596" spans="1:12">
      <c r="A1596" s="1">
        <v>42880</v>
      </c>
      <c r="B1596">
        <v>1</v>
      </c>
      <c r="C1596" t="s">
        <v>6231</v>
      </c>
      <c r="D1596" s="4">
        <v>5.7051999999999996</v>
      </c>
      <c r="E1596" s="4">
        <v>8.6441999999999997</v>
      </c>
      <c r="F1596" t="s">
        <v>6232</v>
      </c>
      <c r="G1596" t="s">
        <v>6233</v>
      </c>
      <c r="H1596" t="s">
        <v>3586</v>
      </c>
      <c r="I1596" t="s">
        <v>3586</v>
      </c>
      <c r="J1596" t="s">
        <v>3587</v>
      </c>
      <c r="K1596" s="4">
        <v>8.6441999999999997</v>
      </c>
      <c r="L1596" s="4">
        <v>5.7051999999999996</v>
      </c>
    </row>
    <row r="1597" spans="1:12">
      <c r="A1597" s="1">
        <v>42880</v>
      </c>
      <c r="B1597">
        <v>1</v>
      </c>
      <c r="C1597" t="s">
        <v>6291</v>
      </c>
      <c r="D1597" s="4">
        <v>41.572299999999998</v>
      </c>
      <c r="E1597" s="4">
        <v>53.99</v>
      </c>
      <c r="F1597" t="s">
        <v>6235</v>
      </c>
      <c r="G1597" t="s">
        <v>6233</v>
      </c>
      <c r="H1597" t="s">
        <v>3586</v>
      </c>
      <c r="I1597" t="s">
        <v>3586</v>
      </c>
      <c r="J1597" t="s">
        <v>3587</v>
      </c>
      <c r="K1597" s="4">
        <v>53.99</v>
      </c>
      <c r="L1597" s="4">
        <v>41.572299999999998</v>
      </c>
    </row>
    <row r="1598" spans="1:12">
      <c r="A1598" s="1">
        <v>42880</v>
      </c>
      <c r="B1598">
        <v>1</v>
      </c>
      <c r="C1598" t="s">
        <v>6309</v>
      </c>
      <c r="D1598" s="4">
        <v>1481.9378999999999</v>
      </c>
      <c r="E1598" s="4">
        <v>2384.0700000000002</v>
      </c>
      <c r="F1598" t="s">
        <v>6274</v>
      </c>
      <c r="G1598" t="s">
        <v>3475</v>
      </c>
      <c r="H1598" t="s">
        <v>3588</v>
      </c>
      <c r="I1598" t="s">
        <v>3588</v>
      </c>
      <c r="J1598" t="s">
        <v>3584</v>
      </c>
      <c r="K1598" s="4">
        <v>2384.0700000000002</v>
      </c>
      <c r="L1598" s="4">
        <v>1481.9378999999999</v>
      </c>
    </row>
    <row r="1599" spans="1:12">
      <c r="A1599" s="1">
        <v>42881</v>
      </c>
      <c r="B1599">
        <v>1</v>
      </c>
      <c r="C1599" t="s">
        <v>6242</v>
      </c>
      <c r="D1599" s="4">
        <v>1.8663000000000001</v>
      </c>
      <c r="E1599" s="4">
        <v>4.99</v>
      </c>
      <c r="F1599" t="s">
        <v>6243</v>
      </c>
      <c r="G1599" t="s">
        <v>6228</v>
      </c>
      <c r="H1599" t="s">
        <v>3577</v>
      </c>
      <c r="I1599" t="s">
        <v>3578</v>
      </c>
      <c r="J1599" t="s">
        <v>3579</v>
      </c>
      <c r="K1599" s="4">
        <v>4.99</v>
      </c>
      <c r="L1599" s="4">
        <v>1.8663000000000001</v>
      </c>
    </row>
    <row r="1600" spans="1:12">
      <c r="A1600" s="1">
        <v>42881</v>
      </c>
      <c r="B1600">
        <v>1</v>
      </c>
      <c r="C1600" t="s">
        <v>6242</v>
      </c>
      <c r="D1600" s="4">
        <v>1.8663000000000001</v>
      </c>
      <c r="E1600" s="4">
        <v>4.99</v>
      </c>
      <c r="F1600" t="s">
        <v>6243</v>
      </c>
      <c r="G1600" t="s">
        <v>6228</v>
      </c>
      <c r="H1600" t="s">
        <v>3582</v>
      </c>
      <c r="I1600" t="s">
        <v>3582</v>
      </c>
      <c r="J1600" t="s">
        <v>3579</v>
      </c>
      <c r="K1600" s="4">
        <v>4.99</v>
      </c>
      <c r="L1600" s="4">
        <v>1.8663000000000001</v>
      </c>
    </row>
    <row r="1601" spans="1:12">
      <c r="A1601" s="1">
        <v>42881</v>
      </c>
      <c r="B1601">
        <v>1</v>
      </c>
      <c r="C1601" t="s">
        <v>6244</v>
      </c>
      <c r="D1601" s="4">
        <v>3.7363</v>
      </c>
      <c r="E1601" s="4">
        <v>9.99</v>
      </c>
      <c r="F1601" t="s">
        <v>6240</v>
      </c>
      <c r="G1601" t="s">
        <v>6228</v>
      </c>
      <c r="H1601" t="s">
        <v>3583</v>
      </c>
      <c r="I1601" t="s">
        <v>3583</v>
      </c>
      <c r="J1601" t="s">
        <v>3584</v>
      </c>
      <c r="K1601" s="4">
        <v>9.99</v>
      </c>
      <c r="L1601" s="4">
        <v>3.7363</v>
      </c>
    </row>
    <row r="1602" spans="1:12">
      <c r="A1602" s="1">
        <v>42881</v>
      </c>
      <c r="B1602">
        <v>1</v>
      </c>
      <c r="C1602" t="s">
        <v>6269</v>
      </c>
      <c r="D1602" s="4">
        <v>9.3462999999999994</v>
      </c>
      <c r="E1602" s="4">
        <v>24.99</v>
      </c>
      <c r="F1602" t="s">
        <v>6243</v>
      </c>
      <c r="G1602" t="s">
        <v>6228</v>
      </c>
      <c r="H1602" t="s">
        <v>3585</v>
      </c>
      <c r="I1602" t="s">
        <v>3585</v>
      </c>
      <c r="J1602" t="s">
        <v>3584</v>
      </c>
      <c r="K1602" s="4">
        <v>24.99</v>
      </c>
      <c r="L1602" s="4">
        <v>9.3462999999999994</v>
      </c>
    </row>
    <row r="1603" spans="1:12">
      <c r="A1603" s="1">
        <v>42881</v>
      </c>
      <c r="B1603">
        <v>1</v>
      </c>
      <c r="C1603" t="s">
        <v>6241</v>
      </c>
      <c r="D1603" s="4">
        <v>3.3622999999999998</v>
      </c>
      <c r="E1603" s="4">
        <v>8.99</v>
      </c>
      <c r="F1603" t="s">
        <v>6240</v>
      </c>
      <c r="G1603" t="s">
        <v>6228</v>
      </c>
      <c r="H1603" t="s">
        <v>3586</v>
      </c>
      <c r="I1603" t="s">
        <v>3586</v>
      </c>
      <c r="J1603" t="s">
        <v>3587</v>
      </c>
      <c r="K1603" s="4">
        <v>8.99</v>
      </c>
      <c r="L1603" s="4">
        <v>3.3622999999999998</v>
      </c>
    </row>
    <row r="1604" spans="1:12">
      <c r="A1604" s="1">
        <v>42881</v>
      </c>
      <c r="B1604">
        <v>1</v>
      </c>
      <c r="C1604" t="s">
        <v>6230</v>
      </c>
      <c r="D1604" s="4">
        <v>12.027799999999999</v>
      </c>
      <c r="E1604" s="4">
        <v>33.644199999999998</v>
      </c>
      <c r="F1604" t="s">
        <v>6227</v>
      </c>
      <c r="G1604" t="s">
        <v>6228</v>
      </c>
      <c r="H1604" t="s">
        <v>3588</v>
      </c>
      <c r="I1604" t="s">
        <v>3588</v>
      </c>
      <c r="J1604" t="s">
        <v>3584</v>
      </c>
      <c r="K1604" s="4">
        <v>33.644199999999998</v>
      </c>
      <c r="L1604" s="4">
        <v>12.027799999999999</v>
      </c>
    </row>
    <row r="1605" spans="1:12">
      <c r="A1605" s="1">
        <v>42881</v>
      </c>
      <c r="B1605">
        <v>1</v>
      </c>
      <c r="C1605" t="s">
        <v>6238</v>
      </c>
      <c r="D1605" s="4">
        <v>31.724399999999999</v>
      </c>
      <c r="E1605" s="4">
        <v>48.067300000000003</v>
      </c>
      <c r="F1605" t="s">
        <v>6235</v>
      </c>
      <c r="G1605" t="s">
        <v>6233</v>
      </c>
      <c r="H1605" t="s">
        <v>3588</v>
      </c>
      <c r="I1605" t="s">
        <v>3588</v>
      </c>
      <c r="J1605" t="s">
        <v>3584</v>
      </c>
      <c r="K1605" s="4">
        <v>48.067300000000003</v>
      </c>
      <c r="L1605" s="4">
        <v>31.724399999999999</v>
      </c>
    </row>
    <row r="1606" spans="1:12">
      <c r="A1606" s="1">
        <v>42881</v>
      </c>
      <c r="B1606">
        <v>1</v>
      </c>
      <c r="C1606" t="s">
        <v>6276</v>
      </c>
      <c r="D1606" s="4">
        <v>1.8663000000000001</v>
      </c>
      <c r="E1606" s="4">
        <v>4.99</v>
      </c>
      <c r="F1606" t="s">
        <v>6243</v>
      </c>
      <c r="G1606" t="s">
        <v>6228</v>
      </c>
      <c r="H1606" t="s">
        <v>3588</v>
      </c>
      <c r="I1606" t="s">
        <v>3588</v>
      </c>
      <c r="J1606" t="s">
        <v>3584</v>
      </c>
      <c r="K1606" s="4">
        <v>4.99</v>
      </c>
      <c r="L1606" s="4">
        <v>1.8663000000000001</v>
      </c>
    </row>
    <row r="1607" spans="1:12">
      <c r="A1607" s="1">
        <v>42882</v>
      </c>
      <c r="B1607">
        <v>1</v>
      </c>
      <c r="C1607" t="s">
        <v>6226</v>
      </c>
      <c r="D1607" s="4">
        <v>13.0863</v>
      </c>
      <c r="E1607" s="4">
        <v>34.99</v>
      </c>
      <c r="F1607" t="s">
        <v>6227</v>
      </c>
      <c r="G1607" t="s">
        <v>6228</v>
      </c>
      <c r="H1607" t="s">
        <v>3577</v>
      </c>
      <c r="I1607" t="s">
        <v>3578</v>
      </c>
      <c r="J1607" t="s">
        <v>3579</v>
      </c>
      <c r="K1607" s="4">
        <v>34.99</v>
      </c>
      <c r="L1607" s="4">
        <v>13.0863</v>
      </c>
    </row>
    <row r="1608" spans="1:12">
      <c r="A1608" s="1">
        <v>42882</v>
      </c>
      <c r="B1608">
        <v>1</v>
      </c>
      <c r="C1608" t="s">
        <v>6242</v>
      </c>
      <c r="D1608" s="4">
        <v>1.8663000000000001</v>
      </c>
      <c r="E1608" s="4">
        <v>4.99</v>
      </c>
      <c r="F1608" t="s">
        <v>6243</v>
      </c>
      <c r="G1608" t="s">
        <v>6228</v>
      </c>
      <c r="H1608" t="s">
        <v>3577</v>
      </c>
      <c r="I1608" t="s">
        <v>3578</v>
      </c>
      <c r="J1608" t="s">
        <v>3579</v>
      </c>
      <c r="K1608" s="4">
        <v>4.99</v>
      </c>
      <c r="L1608" s="4">
        <v>1.8663000000000001</v>
      </c>
    </row>
    <row r="1609" spans="1:12">
      <c r="A1609" s="1">
        <v>42882</v>
      </c>
      <c r="B1609">
        <v>1</v>
      </c>
      <c r="C1609" t="s">
        <v>6277</v>
      </c>
      <c r="D1609" s="4">
        <v>8.0373000000000001</v>
      </c>
      <c r="E1609" s="4">
        <v>21.49</v>
      </c>
      <c r="F1609" t="s">
        <v>6243</v>
      </c>
      <c r="G1609" t="s">
        <v>6228</v>
      </c>
      <c r="H1609" t="s">
        <v>3580</v>
      </c>
      <c r="I1609" t="s">
        <v>3578</v>
      </c>
      <c r="J1609" t="s">
        <v>3579</v>
      </c>
      <c r="K1609" s="4">
        <v>21.49</v>
      </c>
      <c r="L1609" s="4">
        <v>8.0373000000000001</v>
      </c>
    </row>
    <row r="1610" spans="1:12">
      <c r="A1610" s="1">
        <v>42882</v>
      </c>
      <c r="B1610">
        <v>1</v>
      </c>
      <c r="C1610" t="s">
        <v>6236</v>
      </c>
      <c r="D1610" s="4">
        <v>31.724399999999999</v>
      </c>
      <c r="E1610" s="4">
        <v>48.067300000000003</v>
      </c>
      <c r="F1610" t="s">
        <v>6235</v>
      </c>
      <c r="G1610" t="s">
        <v>6233</v>
      </c>
      <c r="H1610" t="s">
        <v>3585</v>
      </c>
      <c r="I1610" t="s">
        <v>3585</v>
      </c>
      <c r="J1610" t="s">
        <v>3584</v>
      </c>
      <c r="K1610" s="4">
        <v>48.067300000000003</v>
      </c>
      <c r="L1610" s="4">
        <v>31.724399999999999</v>
      </c>
    </row>
    <row r="1611" spans="1:12">
      <c r="A1611" s="1">
        <v>42883</v>
      </c>
      <c r="B1611">
        <v>1</v>
      </c>
      <c r="C1611" t="s">
        <v>6234</v>
      </c>
      <c r="D1611" s="4">
        <v>31.724399999999999</v>
      </c>
      <c r="E1611" s="4">
        <v>48.067300000000003</v>
      </c>
      <c r="F1611" t="s">
        <v>6235</v>
      </c>
      <c r="G1611" t="s">
        <v>6233</v>
      </c>
      <c r="H1611" t="s">
        <v>3580</v>
      </c>
      <c r="I1611" t="s">
        <v>3578</v>
      </c>
      <c r="J1611" t="s">
        <v>3579</v>
      </c>
      <c r="K1611" s="4">
        <v>48.067300000000003</v>
      </c>
      <c r="L1611" s="4">
        <v>31.724399999999999</v>
      </c>
    </row>
    <row r="1612" spans="1:12">
      <c r="A1612" s="1">
        <v>42883</v>
      </c>
      <c r="B1612">
        <v>1</v>
      </c>
      <c r="C1612" t="s">
        <v>6239</v>
      </c>
      <c r="D1612" s="4">
        <v>1.8663000000000001</v>
      </c>
      <c r="E1612" s="4">
        <v>4.99</v>
      </c>
      <c r="F1612" t="s">
        <v>6240</v>
      </c>
      <c r="G1612" t="s">
        <v>6228</v>
      </c>
      <c r="H1612" t="s">
        <v>3580</v>
      </c>
      <c r="I1612" t="s">
        <v>3578</v>
      </c>
      <c r="J1612" t="s">
        <v>3579</v>
      </c>
      <c r="K1612" s="4">
        <v>4.99</v>
      </c>
      <c r="L1612" s="4">
        <v>1.8663000000000001</v>
      </c>
    </row>
    <row r="1613" spans="1:12">
      <c r="A1613" s="1">
        <v>42883</v>
      </c>
      <c r="B1613">
        <v>1</v>
      </c>
      <c r="C1613" t="s">
        <v>3554</v>
      </c>
      <c r="D1613" s="4">
        <v>1320.6838</v>
      </c>
      <c r="E1613" s="4">
        <v>2181.5625</v>
      </c>
      <c r="F1613" t="s">
        <v>3479</v>
      </c>
      <c r="G1613" t="s">
        <v>3475</v>
      </c>
      <c r="H1613" t="s">
        <v>3583</v>
      </c>
      <c r="I1613" t="s">
        <v>3583</v>
      </c>
      <c r="J1613" t="s">
        <v>3584</v>
      </c>
      <c r="K1613" s="4">
        <v>2181.5625</v>
      </c>
      <c r="L1613" s="4">
        <v>1320.6838</v>
      </c>
    </row>
    <row r="1614" spans="1:12">
      <c r="A1614" s="1">
        <v>42883</v>
      </c>
      <c r="B1614">
        <v>1</v>
      </c>
      <c r="C1614" t="s">
        <v>6254</v>
      </c>
      <c r="D1614" s="4">
        <v>12.192399999999999</v>
      </c>
      <c r="E1614" s="4">
        <v>32.6</v>
      </c>
      <c r="F1614" t="s">
        <v>6243</v>
      </c>
      <c r="G1614" t="s">
        <v>6228</v>
      </c>
      <c r="H1614" t="s">
        <v>3583</v>
      </c>
      <c r="I1614" t="s">
        <v>3583</v>
      </c>
      <c r="J1614" t="s">
        <v>3584</v>
      </c>
      <c r="K1614" s="4">
        <v>32.6</v>
      </c>
      <c r="L1614" s="4">
        <v>12.192399999999999</v>
      </c>
    </row>
    <row r="1615" spans="1:12">
      <c r="A1615" s="1">
        <v>42883</v>
      </c>
      <c r="B1615">
        <v>1</v>
      </c>
      <c r="C1615" t="s">
        <v>6230</v>
      </c>
      <c r="D1615" s="4">
        <v>12.027799999999999</v>
      </c>
      <c r="E1615" s="4">
        <v>33.644199999999998</v>
      </c>
      <c r="F1615" t="s">
        <v>6227</v>
      </c>
      <c r="G1615" t="s">
        <v>6228</v>
      </c>
      <c r="H1615" t="s">
        <v>3586</v>
      </c>
      <c r="I1615" t="s">
        <v>3586</v>
      </c>
      <c r="J1615" t="s">
        <v>3587</v>
      </c>
      <c r="K1615" s="4">
        <v>33.644199999999998</v>
      </c>
      <c r="L1615" s="4">
        <v>12.027799999999999</v>
      </c>
    </row>
    <row r="1616" spans="1:12">
      <c r="A1616" s="1">
        <v>42883</v>
      </c>
      <c r="B1616">
        <v>1</v>
      </c>
      <c r="C1616" t="s">
        <v>6263</v>
      </c>
      <c r="D1616" s="4">
        <v>3.3622999999999998</v>
      </c>
      <c r="E1616" s="4">
        <v>8.99</v>
      </c>
      <c r="F1616" t="s">
        <v>6264</v>
      </c>
      <c r="G1616" t="s">
        <v>6233</v>
      </c>
      <c r="H1616" t="s">
        <v>3586</v>
      </c>
      <c r="I1616" t="s">
        <v>3586</v>
      </c>
      <c r="J1616" t="s">
        <v>3587</v>
      </c>
      <c r="K1616" s="4">
        <v>8.99</v>
      </c>
      <c r="L1616" s="4">
        <v>3.3622999999999998</v>
      </c>
    </row>
    <row r="1617" spans="1:12">
      <c r="A1617" s="1">
        <v>42883</v>
      </c>
      <c r="B1617">
        <v>1</v>
      </c>
      <c r="C1617" t="s">
        <v>6270</v>
      </c>
      <c r="D1617" s="4">
        <v>1.4923</v>
      </c>
      <c r="E1617" s="4">
        <v>3.99</v>
      </c>
      <c r="F1617" t="s">
        <v>6243</v>
      </c>
      <c r="G1617" t="s">
        <v>6228</v>
      </c>
      <c r="H1617" t="s">
        <v>3588</v>
      </c>
      <c r="I1617" t="s">
        <v>3588</v>
      </c>
      <c r="J1617" t="s">
        <v>3584</v>
      </c>
      <c r="K1617" s="4">
        <v>3.99</v>
      </c>
      <c r="L1617" s="4">
        <v>1.4923</v>
      </c>
    </row>
    <row r="1618" spans="1:12">
      <c r="A1618" s="1">
        <v>42884</v>
      </c>
      <c r="B1618">
        <v>1</v>
      </c>
      <c r="C1618" t="s">
        <v>3546</v>
      </c>
      <c r="D1618" s="4">
        <v>1105.81</v>
      </c>
      <c r="E1618" s="4">
        <v>2049.0981999999999</v>
      </c>
      <c r="F1618" t="s">
        <v>3478</v>
      </c>
      <c r="G1618" t="s">
        <v>3475</v>
      </c>
      <c r="H1618" t="s">
        <v>3577</v>
      </c>
      <c r="I1618" t="s">
        <v>3578</v>
      </c>
      <c r="J1618" t="s">
        <v>3579</v>
      </c>
      <c r="K1618" s="4">
        <v>2049.0981999999999</v>
      </c>
      <c r="L1618" s="4">
        <v>1105.81</v>
      </c>
    </row>
    <row r="1619" spans="1:12">
      <c r="A1619" s="1">
        <v>42884</v>
      </c>
      <c r="B1619">
        <v>1</v>
      </c>
      <c r="C1619" t="s">
        <v>6226</v>
      </c>
      <c r="D1619" s="4">
        <v>13.0863</v>
      </c>
      <c r="E1619" s="4">
        <v>34.99</v>
      </c>
      <c r="F1619" t="s">
        <v>6227</v>
      </c>
      <c r="G1619" t="s">
        <v>6228</v>
      </c>
      <c r="H1619" t="s">
        <v>3585</v>
      </c>
      <c r="I1619" t="s">
        <v>3585</v>
      </c>
      <c r="J1619" t="s">
        <v>3584</v>
      </c>
      <c r="K1619" s="4">
        <v>34.99</v>
      </c>
      <c r="L1619" s="4">
        <v>13.0863</v>
      </c>
    </row>
    <row r="1620" spans="1:12">
      <c r="A1620" s="1">
        <v>42884</v>
      </c>
      <c r="B1620">
        <v>1</v>
      </c>
      <c r="C1620" t="s">
        <v>6226</v>
      </c>
      <c r="D1620" s="4">
        <v>13.0863</v>
      </c>
      <c r="E1620" s="4">
        <v>34.99</v>
      </c>
      <c r="F1620" t="s">
        <v>6227</v>
      </c>
      <c r="G1620" t="s">
        <v>6228</v>
      </c>
      <c r="H1620" t="s">
        <v>3586</v>
      </c>
      <c r="I1620" t="s">
        <v>3586</v>
      </c>
      <c r="J1620" t="s">
        <v>3587</v>
      </c>
      <c r="K1620" s="4">
        <v>34.99</v>
      </c>
      <c r="L1620" s="4">
        <v>13.0863</v>
      </c>
    </row>
    <row r="1621" spans="1:12">
      <c r="A1621" s="1">
        <v>42884</v>
      </c>
      <c r="B1621">
        <v>1</v>
      </c>
      <c r="C1621" t="s">
        <v>6230</v>
      </c>
      <c r="D1621" s="4">
        <v>12.027799999999999</v>
      </c>
      <c r="E1621" s="4">
        <v>33.644199999999998</v>
      </c>
      <c r="F1621" t="s">
        <v>6227</v>
      </c>
      <c r="G1621" t="s">
        <v>6228</v>
      </c>
      <c r="H1621" t="s">
        <v>3586</v>
      </c>
      <c r="I1621" t="s">
        <v>3586</v>
      </c>
      <c r="J1621" t="s">
        <v>3587</v>
      </c>
      <c r="K1621" s="4">
        <v>33.644199999999998</v>
      </c>
      <c r="L1621" s="4">
        <v>12.027799999999999</v>
      </c>
    </row>
    <row r="1622" spans="1:12">
      <c r="A1622" s="1">
        <v>42884</v>
      </c>
      <c r="B1622">
        <v>1</v>
      </c>
      <c r="C1622" t="s">
        <v>3562</v>
      </c>
      <c r="D1622" s="4">
        <v>1320.6838</v>
      </c>
      <c r="E1622" s="4">
        <v>2181.5625</v>
      </c>
      <c r="F1622" t="s">
        <v>3479</v>
      </c>
      <c r="G1622" t="s">
        <v>3475</v>
      </c>
      <c r="H1622" t="s">
        <v>3586</v>
      </c>
      <c r="I1622" t="s">
        <v>3586</v>
      </c>
      <c r="J1622" t="s">
        <v>3587</v>
      </c>
      <c r="K1622" s="4">
        <v>2181.5625</v>
      </c>
      <c r="L1622" s="4">
        <v>1320.6838</v>
      </c>
    </row>
    <row r="1623" spans="1:12">
      <c r="A1623" s="1">
        <v>42884</v>
      </c>
      <c r="B1623">
        <v>1</v>
      </c>
      <c r="C1623" t="s">
        <v>6250</v>
      </c>
      <c r="D1623" s="4">
        <v>9.7135999999999996</v>
      </c>
      <c r="E1623" s="4">
        <v>23.548100000000002</v>
      </c>
      <c r="F1623" t="s">
        <v>6251</v>
      </c>
      <c r="G1623" t="s">
        <v>6233</v>
      </c>
      <c r="H1623" t="s">
        <v>3586</v>
      </c>
      <c r="I1623" t="s">
        <v>3586</v>
      </c>
      <c r="J1623" t="s">
        <v>3587</v>
      </c>
      <c r="K1623" s="4">
        <v>23.548100000000002</v>
      </c>
      <c r="L1623" s="4">
        <v>9.7135999999999996</v>
      </c>
    </row>
    <row r="1624" spans="1:12">
      <c r="A1624" s="1">
        <v>42884</v>
      </c>
      <c r="B1624">
        <v>1</v>
      </c>
      <c r="C1624" t="s">
        <v>6244</v>
      </c>
      <c r="D1624" s="4">
        <v>3.7363</v>
      </c>
      <c r="E1624" s="4">
        <v>9.99</v>
      </c>
      <c r="F1624" t="s">
        <v>6240</v>
      </c>
      <c r="G1624" t="s">
        <v>6228</v>
      </c>
      <c r="H1624" t="s">
        <v>3586</v>
      </c>
      <c r="I1624" t="s">
        <v>3586</v>
      </c>
      <c r="J1624" t="s">
        <v>3587</v>
      </c>
      <c r="K1624" s="4">
        <v>9.99</v>
      </c>
      <c r="L1624" s="4">
        <v>3.7363</v>
      </c>
    </row>
    <row r="1625" spans="1:12">
      <c r="A1625" s="1">
        <v>42884</v>
      </c>
      <c r="B1625">
        <v>1</v>
      </c>
      <c r="C1625" t="s">
        <v>6248</v>
      </c>
      <c r="D1625" s="4">
        <v>8.2204999999999995</v>
      </c>
      <c r="E1625" s="4">
        <v>21.98</v>
      </c>
      <c r="F1625" t="s">
        <v>6249</v>
      </c>
      <c r="G1625" t="s">
        <v>6228</v>
      </c>
      <c r="H1625" t="s">
        <v>3588</v>
      </c>
      <c r="I1625" t="s">
        <v>3588</v>
      </c>
      <c r="J1625" t="s">
        <v>3584</v>
      </c>
      <c r="K1625" s="4">
        <v>21.98</v>
      </c>
      <c r="L1625" s="4">
        <v>8.2204999999999995</v>
      </c>
    </row>
    <row r="1626" spans="1:12">
      <c r="A1626" s="1">
        <v>42885</v>
      </c>
      <c r="B1626">
        <v>1</v>
      </c>
      <c r="C1626" t="s">
        <v>6241</v>
      </c>
      <c r="D1626" s="4">
        <v>3.3622999999999998</v>
      </c>
      <c r="E1626" s="4">
        <v>8.99</v>
      </c>
      <c r="F1626" t="s">
        <v>6240</v>
      </c>
      <c r="G1626" t="s">
        <v>6228</v>
      </c>
      <c r="H1626" t="s">
        <v>3577</v>
      </c>
      <c r="I1626" t="s">
        <v>3578</v>
      </c>
      <c r="J1626" t="s">
        <v>3579</v>
      </c>
      <c r="K1626" s="4">
        <v>8.99</v>
      </c>
      <c r="L1626" s="4">
        <v>3.3622999999999998</v>
      </c>
    </row>
    <row r="1627" spans="1:12">
      <c r="A1627" s="1">
        <v>42885</v>
      </c>
      <c r="B1627">
        <v>1</v>
      </c>
      <c r="C1627" t="s">
        <v>6270</v>
      </c>
      <c r="D1627" s="4">
        <v>1.4923</v>
      </c>
      <c r="E1627" s="4">
        <v>3.99</v>
      </c>
      <c r="F1627" t="s">
        <v>6243</v>
      </c>
      <c r="G1627" t="s">
        <v>6228</v>
      </c>
      <c r="H1627" t="s">
        <v>3577</v>
      </c>
      <c r="I1627" t="s">
        <v>3578</v>
      </c>
      <c r="J1627" t="s">
        <v>3579</v>
      </c>
      <c r="K1627" s="4">
        <v>3.99</v>
      </c>
      <c r="L1627" s="4">
        <v>1.4923</v>
      </c>
    </row>
    <row r="1628" spans="1:12">
      <c r="A1628" s="1">
        <v>42885</v>
      </c>
      <c r="B1628">
        <v>1</v>
      </c>
      <c r="C1628" t="s">
        <v>6277</v>
      </c>
      <c r="D1628" s="4">
        <v>8.0373000000000001</v>
      </c>
      <c r="E1628" s="4">
        <v>21.49</v>
      </c>
      <c r="F1628" t="s">
        <v>6243</v>
      </c>
      <c r="G1628" t="s">
        <v>6228</v>
      </c>
      <c r="H1628" t="s">
        <v>3577</v>
      </c>
      <c r="I1628" t="s">
        <v>3578</v>
      </c>
      <c r="J1628" t="s">
        <v>3579</v>
      </c>
      <c r="K1628" s="4">
        <v>21.49</v>
      </c>
      <c r="L1628" s="4">
        <v>8.0373000000000001</v>
      </c>
    </row>
    <row r="1629" spans="1:12">
      <c r="A1629" s="1">
        <v>42885</v>
      </c>
      <c r="B1629">
        <v>1</v>
      </c>
      <c r="C1629" t="s">
        <v>6244</v>
      </c>
      <c r="D1629" s="4">
        <v>3.7363</v>
      </c>
      <c r="E1629" s="4">
        <v>9.99</v>
      </c>
      <c r="F1629" t="s">
        <v>6240</v>
      </c>
      <c r="G1629" t="s">
        <v>6228</v>
      </c>
      <c r="H1629" t="s">
        <v>3580</v>
      </c>
      <c r="I1629" t="s">
        <v>3578</v>
      </c>
      <c r="J1629" t="s">
        <v>3579</v>
      </c>
      <c r="K1629" s="4">
        <v>9.99</v>
      </c>
      <c r="L1629" s="4">
        <v>3.7363</v>
      </c>
    </row>
    <row r="1630" spans="1:12">
      <c r="A1630" s="1">
        <v>42885</v>
      </c>
      <c r="B1630">
        <v>1</v>
      </c>
      <c r="C1630" t="s">
        <v>6245</v>
      </c>
      <c r="D1630" s="4">
        <v>0.85650000000000004</v>
      </c>
      <c r="E1630" s="4">
        <v>2.29</v>
      </c>
      <c r="F1630" t="s">
        <v>6243</v>
      </c>
      <c r="G1630" t="s">
        <v>6228</v>
      </c>
      <c r="H1630" t="s">
        <v>3580</v>
      </c>
      <c r="I1630" t="s">
        <v>3578</v>
      </c>
      <c r="J1630" t="s">
        <v>3579</v>
      </c>
      <c r="K1630" s="4">
        <v>2.29</v>
      </c>
      <c r="L1630" s="4">
        <v>0.85650000000000004</v>
      </c>
    </row>
    <row r="1631" spans="1:12">
      <c r="A1631" s="1">
        <v>42885</v>
      </c>
      <c r="B1631">
        <v>1</v>
      </c>
      <c r="C1631" t="s">
        <v>6252</v>
      </c>
      <c r="D1631" s="4">
        <v>343.64960000000002</v>
      </c>
      <c r="E1631" s="4">
        <v>539.99</v>
      </c>
      <c r="F1631" t="s">
        <v>3479</v>
      </c>
      <c r="G1631" t="s">
        <v>3475</v>
      </c>
      <c r="H1631" t="s">
        <v>3580</v>
      </c>
      <c r="I1631" t="s">
        <v>3578</v>
      </c>
      <c r="J1631" t="s">
        <v>3579</v>
      </c>
      <c r="K1631" s="4">
        <v>539.99</v>
      </c>
      <c r="L1631" s="4">
        <v>343.64960000000002</v>
      </c>
    </row>
    <row r="1632" spans="1:12">
      <c r="A1632" s="1">
        <v>42885</v>
      </c>
      <c r="B1632">
        <v>1</v>
      </c>
      <c r="C1632" t="s">
        <v>6230</v>
      </c>
      <c r="D1632" s="4">
        <v>12.027799999999999</v>
      </c>
      <c r="E1632" s="4">
        <v>33.644199999999998</v>
      </c>
      <c r="F1632" t="s">
        <v>6227</v>
      </c>
      <c r="G1632" t="s">
        <v>6228</v>
      </c>
      <c r="H1632" t="s">
        <v>3586</v>
      </c>
      <c r="I1632" t="s">
        <v>3586</v>
      </c>
      <c r="J1632" t="s">
        <v>3587</v>
      </c>
      <c r="K1632" s="4">
        <v>33.644199999999998</v>
      </c>
      <c r="L1632" s="4">
        <v>12.027799999999999</v>
      </c>
    </row>
    <row r="1633" spans="1:12">
      <c r="A1633" s="1">
        <v>42885</v>
      </c>
      <c r="B1633">
        <v>1</v>
      </c>
      <c r="C1633" t="s">
        <v>6245</v>
      </c>
      <c r="D1633" s="4">
        <v>0.85650000000000004</v>
      </c>
      <c r="E1633" s="4">
        <v>2.29</v>
      </c>
      <c r="F1633" t="s">
        <v>6243</v>
      </c>
      <c r="G1633" t="s">
        <v>6228</v>
      </c>
      <c r="H1633" t="s">
        <v>3586</v>
      </c>
      <c r="I1633" t="s">
        <v>3586</v>
      </c>
      <c r="J1633" t="s">
        <v>3587</v>
      </c>
      <c r="K1633" s="4">
        <v>2.29</v>
      </c>
      <c r="L1633" s="4">
        <v>0.85650000000000004</v>
      </c>
    </row>
    <row r="1634" spans="1:12">
      <c r="A1634" s="1">
        <v>42885</v>
      </c>
      <c r="B1634">
        <v>1</v>
      </c>
      <c r="C1634" t="s">
        <v>6260</v>
      </c>
      <c r="D1634" s="4">
        <v>13.09</v>
      </c>
      <c r="E1634" s="4">
        <v>35</v>
      </c>
      <c r="F1634" t="s">
        <v>6243</v>
      </c>
      <c r="G1634" t="s">
        <v>6228</v>
      </c>
      <c r="H1634" t="s">
        <v>3586</v>
      </c>
      <c r="I1634" t="s">
        <v>3586</v>
      </c>
      <c r="J1634" t="s">
        <v>3587</v>
      </c>
      <c r="K1634" s="4">
        <v>35</v>
      </c>
      <c r="L1634" s="4">
        <v>13.09</v>
      </c>
    </row>
    <row r="1635" spans="1:12">
      <c r="A1635" s="1">
        <v>42885</v>
      </c>
      <c r="B1635">
        <v>1</v>
      </c>
      <c r="C1635" t="s">
        <v>6290</v>
      </c>
      <c r="D1635" s="4">
        <v>1082.51</v>
      </c>
      <c r="E1635" s="4">
        <v>1700.99</v>
      </c>
      <c r="F1635" t="s">
        <v>3479</v>
      </c>
      <c r="G1635" t="s">
        <v>3475</v>
      </c>
      <c r="H1635" t="s">
        <v>3586</v>
      </c>
      <c r="I1635" t="s">
        <v>3586</v>
      </c>
      <c r="J1635" t="s">
        <v>3587</v>
      </c>
      <c r="K1635" s="4">
        <v>1700.99</v>
      </c>
      <c r="L1635" s="4">
        <v>1082.51</v>
      </c>
    </row>
    <row r="1636" spans="1:12">
      <c r="A1636" s="1">
        <v>42885</v>
      </c>
      <c r="B1636">
        <v>1</v>
      </c>
      <c r="C1636" t="s">
        <v>6276</v>
      </c>
      <c r="D1636" s="4">
        <v>1.8663000000000001</v>
      </c>
      <c r="E1636" s="4">
        <v>4.99</v>
      </c>
      <c r="F1636" t="s">
        <v>6243</v>
      </c>
      <c r="G1636" t="s">
        <v>6228</v>
      </c>
      <c r="H1636" t="s">
        <v>3588</v>
      </c>
      <c r="I1636" t="s">
        <v>3588</v>
      </c>
      <c r="J1636" t="s">
        <v>3584</v>
      </c>
      <c r="K1636" s="4">
        <v>4.99</v>
      </c>
      <c r="L1636" s="4">
        <v>1.8663000000000001</v>
      </c>
    </row>
    <row r="1637" spans="1:12">
      <c r="A1637" s="1">
        <v>42886</v>
      </c>
      <c r="B1637">
        <v>1</v>
      </c>
      <c r="C1637" t="s">
        <v>6242</v>
      </c>
      <c r="D1637" s="4">
        <v>1.8663000000000001</v>
      </c>
      <c r="E1637" s="4">
        <v>4.99</v>
      </c>
      <c r="F1637" t="s">
        <v>6243</v>
      </c>
      <c r="G1637" t="s">
        <v>6228</v>
      </c>
      <c r="H1637" t="s">
        <v>3577</v>
      </c>
      <c r="I1637" t="s">
        <v>3578</v>
      </c>
      <c r="J1637" t="s">
        <v>3579</v>
      </c>
      <c r="K1637" s="4">
        <v>4.99</v>
      </c>
      <c r="L1637" s="4">
        <v>1.8663000000000001</v>
      </c>
    </row>
    <row r="1638" spans="1:12">
      <c r="A1638" s="1">
        <v>42886</v>
      </c>
      <c r="B1638">
        <v>1</v>
      </c>
      <c r="C1638" t="s">
        <v>3544</v>
      </c>
      <c r="D1638" s="4">
        <v>1105.81</v>
      </c>
      <c r="E1638" s="4">
        <v>2049.0981999999999</v>
      </c>
      <c r="F1638" t="s">
        <v>3478</v>
      </c>
      <c r="G1638" t="s">
        <v>3475</v>
      </c>
      <c r="H1638" t="s">
        <v>3582</v>
      </c>
      <c r="I1638" t="s">
        <v>3582</v>
      </c>
      <c r="J1638" t="s">
        <v>3579</v>
      </c>
      <c r="K1638" s="4">
        <v>2049.0981999999999</v>
      </c>
      <c r="L1638" s="4">
        <v>1105.81</v>
      </c>
    </row>
    <row r="1639" spans="1:12">
      <c r="A1639" s="1">
        <v>42886</v>
      </c>
      <c r="B1639">
        <v>1</v>
      </c>
      <c r="C1639" t="s">
        <v>6272</v>
      </c>
      <c r="D1639" s="4">
        <v>9.3462999999999994</v>
      </c>
      <c r="E1639" s="4">
        <v>24.99</v>
      </c>
      <c r="F1639" t="s">
        <v>6243</v>
      </c>
      <c r="G1639" t="s">
        <v>6228</v>
      </c>
      <c r="H1639" t="s">
        <v>3582</v>
      </c>
      <c r="I1639" t="s">
        <v>3582</v>
      </c>
      <c r="J1639" t="s">
        <v>3579</v>
      </c>
      <c r="K1639" s="4">
        <v>24.99</v>
      </c>
      <c r="L1639" s="4">
        <v>9.3462999999999994</v>
      </c>
    </row>
    <row r="1640" spans="1:12">
      <c r="A1640" s="1">
        <v>42886</v>
      </c>
      <c r="B1640">
        <v>1</v>
      </c>
      <c r="C1640" t="s">
        <v>6271</v>
      </c>
      <c r="D1640" s="4">
        <v>11.2163</v>
      </c>
      <c r="E1640" s="4">
        <v>29.99</v>
      </c>
      <c r="F1640" t="s">
        <v>6243</v>
      </c>
      <c r="G1640" t="s">
        <v>6228</v>
      </c>
      <c r="H1640" t="s">
        <v>3582</v>
      </c>
      <c r="I1640" t="s">
        <v>3582</v>
      </c>
      <c r="J1640" t="s">
        <v>3579</v>
      </c>
      <c r="K1640" s="4">
        <v>29.99</v>
      </c>
      <c r="L1640" s="4">
        <v>11.2163</v>
      </c>
    </row>
    <row r="1641" spans="1:12">
      <c r="A1641" s="1">
        <v>42886</v>
      </c>
      <c r="B1641">
        <v>1</v>
      </c>
      <c r="C1641" t="s">
        <v>6278</v>
      </c>
      <c r="D1641" s="4">
        <v>461.44479999999999</v>
      </c>
      <c r="E1641" s="4">
        <v>742.35</v>
      </c>
      <c r="F1641" t="s">
        <v>6274</v>
      </c>
      <c r="G1641" t="s">
        <v>3475</v>
      </c>
      <c r="H1641" t="s">
        <v>3583</v>
      </c>
      <c r="I1641" t="s">
        <v>3583</v>
      </c>
      <c r="J1641" t="s">
        <v>3584</v>
      </c>
      <c r="K1641" s="4">
        <v>742.35</v>
      </c>
      <c r="L1641" s="4">
        <v>461.44479999999999</v>
      </c>
    </row>
    <row r="1642" spans="1:12">
      <c r="A1642" s="1">
        <v>42886</v>
      </c>
      <c r="B1642">
        <v>1</v>
      </c>
      <c r="C1642" t="s">
        <v>6258</v>
      </c>
      <c r="D1642" s="4">
        <v>2.9733000000000001</v>
      </c>
      <c r="E1642" s="4">
        <v>7.95</v>
      </c>
      <c r="F1642" t="s">
        <v>6259</v>
      </c>
      <c r="G1642" t="s">
        <v>6228</v>
      </c>
      <c r="H1642" t="s">
        <v>3586</v>
      </c>
      <c r="I1642" t="s">
        <v>3586</v>
      </c>
      <c r="J1642" t="s">
        <v>3587</v>
      </c>
      <c r="K1642" s="4">
        <v>7.95</v>
      </c>
      <c r="L1642" s="4">
        <v>2.9733000000000001</v>
      </c>
    </row>
    <row r="1643" spans="1:12">
      <c r="A1643" s="1">
        <v>42886</v>
      </c>
      <c r="B1643">
        <v>1</v>
      </c>
      <c r="C1643" t="s">
        <v>6301</v>
      </c>
      <c r="D1643" s="4">
        <v>343.64960000000002</v>
      </c>
      <c r="E1643" s="4">
        <v>539.99</v>
      </c>
      <c r="F1643" t="s">
        <v>3479</v>
      </c>
      <c r="G1643" t="s">
        <v>3475</v>
      </c>
      <c r="H1643" t="s">
        <v>3586</v>
      </c>
      <c r="I1643" t="s">
        <v>3586</v>
      </c>
      <c r="J1643" t="s">
        <v>3587</v>
      </c>
      <c r="K1643" s="4">
        <v>539.99</v>
      </c>
      <c r="L1643" s="4">
        <v>343.64960000000002</v>
      </c>
    </row>
    <row r="1644" spans="1:12">
      <c r="A1644" s="1">
        <v>42886</v>
      </c>
      <c r="B1644">
        <v>1</v>
      </c>
      <c r="C1644" t="s">
        <v>6239</v>
      </c>
      <c r="D1644" s="4">
        <v>1.8663000000000001</v>
      </c>
      <c r="E1644" s="4">
        <v>4.99</v>
      </c>
      <c r="F1644" t="s">
        <v>6240</v>
      </c>
      <c r="G1644" t="s">
        <v>6228</v>
      </c>
      <c r="H1644" t="s">
        <v>3588</v>
      </c>
      <c r="I1644" t="s">
        <v>3588</v>
      </c>
      <c r="J1644" t="s">
        <v>3584</v>
      </c>
      <c r="K1644" s="4">
        <v>4.99</v>
      </c>
      <c r="L1644" s="4">
        <v>1.8663000000000001</v>
      </c>
    </row>
    <row r="1645" spans="1:12">
      <c r="A1645" s="1">
        <v>42887</v>
      </c>
      <c r="B1645">
        <v>1</v>
      </c>
      <c r="C1645" t="s">
        <v>6290</v>
      </c>
      <c r="D1645" s="4">
        <v>1082.51</v>
      </c>
      <c r="E1645" s="4">
        <v>1700.99</v>
      </c>
      <c r="F1645" t="s">
        <v>3479</v>
      </c>
      <c r="G1645" t="s">
        <v>3475</v>
      </c>
      <c r="H1645" t="s">
        <v>3582</v>
      </c>
      <c r="I1645" t="s">
        <v>3582</v>
      </c>
      <c r="J1645" t="s">
        <v>3579</v>
      </c>
      <c r="K1645" s="4">
        <v>1700.99</v>
      </c>
      <c r="L1645" s="4">
        <v>1082.51</v>
      </c>
    </row>
    <row r="1646" spans="1:12">
      <c r="A1646" s="1">
        <v>42887</v>
      </c>
      <c r="B1646">
        <v>1</v>
      </c>
      <c r="C1646" t="s">
        <v>3542</v>
      </c>
      <c r="D1646" s="4">
        <v>1105.81</v>
      </c>
      <c r="E1646" s="4">
        <v>2049.0981999999999</v>
      </c>
      <c r="F1646" t="s">
        <v>3478</v>
      </c>
      <c r="G1646" t="s">
        <v>3475</v>
      </c>
      <c r="H1646" t="s">
        <v>3585</v>
      </c>
      <c r="I1646" t="s">
        <v>3585</v>
      </c>
      <c r="J1646" t="s">
        <v>3584</v>
      </c>
      <c r="K1646" s="4">
        <v>2049.0981999999999</v>
      </c>
      <c r="L1646" s="4">
        <v>1105.81</v>
      </c>
    </row>
    <row r="1647" spans="1:12">
      <c r="A1647" s="1">
        <v>42887</v>
      </c>
      <c r="B1647">
        <v>1</v>
      </c>
      <c r="C1647" t="s">
        <v>6321</v>
      </c>
      <c r="D1647" s="4">
        <v>755.1508</v>
      </c>
      <c r="E1647" s="4">
        <v>1214.8499999999999</v>
      </c>
      <c r="F1647" t="s">
        <v>6274</v>
      </c>
      <c r="G1647" t="s">
        <v>3475</v>
      </c>
      <c r="H1647" t="s">
        <v>3585</v>
      </c>
      <c r="I1647" t="s">
        <v>3585</v>
      </c>
      <c r="J1647" t="s">
        <v>3584</v>
      </c>
      <c r="K1647" s="4">
        <v>1214.8499999999999</v>
      </c>
      <c r="L1647" s="4">
        <v>755.1508</v>
      </c>
    </row>
    <row r="1648" spans="1:12">
      <c r="A1648" s="1">
        <v>42888</v>
      </c>
      <c r="B1648">
        <v>1</v>
      </c>
      <c r="C1648" t="s">
        <v>6298</v>
      </c>
      <c r="D1648" s="4">
        <v>3.3622999999999998</v>
      </c>
      <c r="E1648" s="4">
        <v>8.99</v>
      </c>
      <c r="F1648" t="s">
        <v>6264</v>
      </c>
      <c r="G1648" t="s">
        <v>6233</v>
      </c>
      <c r="H1648" t="s">
        <v>3577</v>
      </c>
      <c r="I1648" t="s">
        <v>3578</v>
      </c>
      <c r="J1648" t="s">
        <v>3579</v>
      </c>
      <c r="K1648" s="4">
        <v>8.99</v>
      </c>
      <c r="L1648" s="4">
        <v>3.3622999999999998</v>
      </c>
    </row>
    <row r="1649" spans="1:12">
      <c r="A1649" s="1">
        <v>42888</v>
      </c>
      <c r="B1649">
        <v>1</v>
      </c>
      <c r="C1649" t="s">
        <v>6239</v>
      </c>
      <c r="D1649" s="4">
        <v>1.8663000000000001</v>
      </c>
      <c r="E1649" s="4">
        <v>4.99</v>
      </c>
      <c r="F1649" t="s">
        <v>6240</v>
      </c>
      <c r="G1649" t="s">
        <v>6228</v>
      </c>
      <c r="H1649" t="s">
        <v>3582</v>
      </c>
      <c r="I1649" t="s">
        <v>3582</v>
      </c>
      <c r="J1649" t="s">
        <v>3579</v>
      </c>
      <c r="K1649" s="4">
        <v>4.99</v>
      </c>
      <c r="L1649" s="4">
        <v>1.8663000000000001</v>
      </c>
    </row>
    <row r="1650" spans="1:12">
      <c r="A1650" s="1">
        <v>42889</v>
      </c>
      <c r="B1650">
        <v>1</v>
      </c>
      <c r="C1650" t="s">
        <v>6277</v>
      </c>
      <c r="D1650" s="4">
        <v>8.0373000000000001</v>
      </c>
      <c r="E1650" s="4">
        <v>21.49</v>
      </c>
      <c r="F1650" t="s">
        <v>6243</v>
      </c>
      <c r="G1650" t="s">
        <v>6228</v>
      </c>
      <c r="H1650" t="s">
        <v>3577</v>
      </c>
      <c r="I1650" t="s">
        <v>3578</v>
      </c>
      <c r="J1650" t="s">
        <v>3579</v>
      </c>
      <c r="K1650" s="4">
        <v>21.49</v>
      </c>
      <c r="L1650" s="4">
        <v>8.0373000000000001</v>
      </c>
    </row>
    <row r="1651" spans="1:12">
      <c r="A1651" s="1">
        <v>42889</v>
      </c>
      <c r="B1651">
        <v>1</v>
      </c>
      <c r="C1651" t="s">
        <v>6239</v>
      </c>
      <c r="D1651" s="4">
        <v>1.8663000000000001</v>
      </c>
      <c r="E1651" s="4">
        <v>4.99</v>
      </c>
      <c r="F1651" t="s">
        <v>6240</v>
      </c>
      <c r="G1651" t="s">
        <v>6228</v>
      </c>
      <c r="H1651" t="s">
        <v>3583</v>
      </c>
      <c r="I1651" t="s">
        <v>3583</v>
      </c>
      <c r="J1651" t="s">
        <v>3584</v>
      </c>
      <c r="K1651" s="4">
        <v>4.99</v>
      </c>
      <c r="L1651" s="4">
        <v>1.8663000000000001</v>
      </c>
    </row>
    <row r="1652" spans="1:12">
      <c r="A1652" s="1">
        <v>42889</v>
      </c>
      <c r="B1652">
        <v>1</v>
      </c>
      <c r="C1652" t="s">
        <v>6277</v>
      </c>
      <c r="D1652" s="4">
        <v>8.0373000000000001</v>
      </c>
      <c r="E1652" s="4">
        <v>21.49</v>
      </c>
      <c r="F1652" t="s">
        <v>6243</v>
      </c>
      <c r="G1652" t="s">
        <v>6228</v>
      </c>
      <c r="H1652" t="s">
        <v>3583</v>
      </c>
      <c r="I1652" t="s">
        <v>3583</v>
      </c>
      <c r="J1652" t="s">
        <v>3584</v>
      </c>
      <c r="K1652" s="4">
        <v>21.49</v>
      </c>
      <c r="L1652" s="4">
        <v>8.0373000000000001</v>
      </c>
    </row>
    <row r="1653" spans="1:12">
      <c r="A1653" s="1">
        <v>42889</v>
      </c>
      <c r="B1653">
        <v>1</v>
      </c>
      <c r="C1653" t="s">
        <v>6244</v>
      </c>
      <c r="D1653" s="4">
        <v>3.7363</v>
      </c>
      <c r="E1653" s="4">
        <v>9.99</v>
      </c>
      <c r="F1653" t="s">
        <v>6240</v>
      </c>
      <c r="G1653" t="s">
        <v>6228</v>
      </c>
      <c r="H1653" t="s">
        <v>3586</v>
      </c>
      <c r="I1653" t="s">
        <v>3586</v>
      </c>
      <c r="J1653" t="s">
        <v>3587</v>
      </c>
      <c r="K1653" s="4">
        <v>9.99</v>
      </c>
      <c r="L1653" s="4">
        <v>3.7363</v>
      </c>
    </row>
    <row r="1654" spans="1:12">
      <c r="A1654" s="1">
        <v>42889</v>
      </c>
      <c r="B1654">
        <v>1</v>
      </c>
      <c r="C1654" t="s">
        <v>6241</v>
      </c>
      <c r="D1654" s="4">
        <v>3.3622999999999998</v>
      </c>
      <c r="E1654" s="4">
        <v>8.99</v>
      </c>
      <c r="F1654" t="s">
        <v>6240</v>
      </c>
      <c r="G1654" t="s">
        <v>6228</v>
      </c>
      <c r="H1654" t="s">
        <v>3586</v>
      </c>
      <c r="I1654" t="s">
        <v>3586</v>
      </c>
      <c r="J1654" t="s">
        <v>3587</v>
      </c>
      <c r="K1654" s="4">
        <v>8.99</v>
      </c>
      <c r="L1654" s="4">
        <v>3.3622999999999998</v>
      </c>
    </row>
    <row r="1655" spans="1:12">
      <c r="A1655" s="1">
        <v>42889</v>
      </c>
      <c r="B1655">
        <v>1</v>
      </c>
      <c r="C1655" t="s">
        <v>6291</v>
      </c>
      <c r="D1655" s="4">
        <v>41.572299999999998</v>
      </c>
      <c r="E1655" s="4">
        <v>53.99</v>
      </c>
      <c r="F1655" t="s">
        <v>6235</v>
      </c>
      <c r="G1655" t="s">
        <v>6233</v>
      </c>
      <c r="H1655" t="s">
        <v>3586</v>
      </c>
      <c r="I1655" t="s">
        <v>3586</v>
      </c>
      <c r="J1655" t="s">
        <v>3587</v>
      </c>
      <c r="K1655" s="4">
        <v>53.99</v>
      </c>
      <c r="L1655" s="4">
        <v>41.572299999999998</v>
      </c>
    </row>
    <row r="1656" spans="1:12">
      <c r="A1656" s="1">
        <v>42889</v>
      </c>
      <c r="B1656">
        <v>1</v>
      </c>
      <c r="C1656" t="s">
        <v>6260</v>
      </c>
      <c r="D1656" s="4">
        <v>13.09</v>
      </c>
      <c r="E1656" s="4">
        <v>35</v>
      </c>
      <c r="F1656" t="s">
        <v>6243</v>
      </c>
      <c r="G1656" t="s">
        <v>6228</v>
      </c>
      <c r="H1656" t="s">
        <v>3588</v>
      </c>
      <c r="I1656" t="s">
        <v>3588</v>
      </c>
      <c r="J1656" t="s">
        <v>3584</v>
      </c>
      <c r="K1656" s="4">
        <v>35</v>
      </c>
      <c r="L1656" s="4">
        <v>13.09</v>
      </c>
    </row>
    <row r="1657" spans="1:12">
      <c r="A1657" s="1">
        <v>42890</v>
      </c>
      <c r="B1657">
        <v>1</v>
      </c>
      <c r="C1657" t="s">
        <v>6255</v>
      </c>
      <c r="D1657" s="4">
        <v>9.7135999999999996</v>
      </c>
      <c r="E1657" s="4">
        <v>23.548100000000002</v>
      </c>
      <c r="F1657" t="s">
        <v>6251</v>
      </c>
      <c r="G1657" t="s">
        <v>6233</v>
      </c>
      <c r="H1657" t="s">
        <v>3582</v>
      </c>
      <c r="I1657" t="s">
        <v>3582</v>
      </c>
      <c r="J1657" t="s">
        <v>3579</v>
      </c>
      <c r="K1657" s="4">
        <v>23.548100000000002</v>
      </c>
      <c r="L1657" s="4">
        <v>9.7135999999999996</v>
      </c>
    </row>
    <row r="1658" spans="1:12">
      <c r="A1658" s="1">
        <v>42891</v>
      </c>
      <c r="B1658">
        <v>1</v>
      </c>
      <c r="C1658" t="s">
        <v>6230</v>
      </c>
      <c r="D1658" s="4">
        <v>12.027799999999999</v>
      </c>
      <c r="E1658" s="4">
        <v>33.644199999999998</v>
      </c>
      <c r="F1658" t="s">
        <v>6227</v>
      </c>
      <c r="G1658" t="s">
        <v>6228</v>
      </c>
      <c r="H1658" t="s">
        <v>3577</v>
      </c>
      <c r="I1658" t="s">
        <v>3578</v>
      </c>
      <c r="J1658" t="s">
        <v>3579</v>
      </c>
      <c r="K1658" s="4">
        <v>33.644199999999998</v>
      </c>
      <c r="L1658" s="4">
        <v>12.027799999999999</v>
      </c>
    </row>
    <row r="1659" spans="1:12">
      <c r="A1659" s="1">
        <v>42891</v>
      </c>
      <c r="B1659">
        <v>1</v>
      </c>
      <c r="C1659" t="s">
        <v>6239</v>
      </c>
      <c r="D1659" s="4">
        <v>1.8663000000000001</v>
      </c>
      <c r="E1659" s="4">
        <v>4.99</v>
      </c>
      <c r="F1659" t="s">
        <v>6240</v>
      </c>
      <c r="G1659" t="s">
        <v>6228</v>
      </c>
      <c r="H1659" t="s">
        <v>3577</v>
      </c>
      <c r="I1659" t="s">
        <v>3578</v>
      </c>
      <c r="J1659" t="s">
        <v>3579</v>
      </c>
      <c r="K1659" s="4">
        <v>4.99</v>
      </c>
      <c r="L1659" s="4">
        <v>1.8663000000000001</v>
      </c>
    </row>
    <row r="1660" spans="1:12">
      <c r="A1660" s="1">
        <v>42891</v>
      </c>
      <c r="B1660">
        <v>1</v>
      </c>
      <c r="C1660" t="s">
        <v>6226</v>
      </c>
      <c r="D1660" s="4">
        <v>13.0863</v>
      </c>
      <c r="E1660" s="4">
        <v>34.99</v>
      </c>
      <c r="F1660" t="s">
        <v>6227</v>
      </c>
      <c r="G1660" t="s">
        <v>6228</v>
      </c>
      <c r="H1660" t="s">
        <v>3583</v>
      </c>
      <c r="I1660" t="s">
        <v>3583</v>
      </c>
      <c r="J1660" t="s">
        <v>3584</v>
      </c>
      <c r="K1660" s="4">
        <v>34.99</v>
      </c>
      <c r="L1660" s="4">
        <v>13.0863</v>
      </c>
    </row>
    <row r="1661" spans="1:12">
      <c r="A1661" s="1">
        <v>42892</v>
      </c>
      <c r="B1661">
        <v>1</v>
      </c>
      <c r="C1661" t="s">
        <v>6261</v>
      </c>
      <c r="D1661" s="4">
        <v>26.176300000000001</v>
      </c>
      <c r="E1661" s="4">
        <v>69.989999999999995</v>
      </c>
      <c r="F1661" t="s">
        <v>6262</v>
      </c>
      <c r="G1661" t="s">
        <v>6233</v>
      </c>
      <c r="H1661" t="s">
        <v>3582</v>
      </c>
      <c r="I1661" t="s">
        <v>3582</v>
      </c>
      <c r="J1661" t="s">
        <v>3579</v>
      </c>
      <c r="K1661" s="4">
        <v>69.989999999999995</v>
      </c>
      <c r="L1661" s="4">
        <v>26.176300000000001</v>
      </c>
    </row>
    <row r="1662" spans="1:12">
      <c r="A1662" s="1">
        <v>42892</v>
      </c>
      <c r="B1662">
        <v>1</v>
      </c>
      <c r="C1662" t="s">
        <v>6248</v>
      </c>
      <c r="D1662" s="4">
        <v>8.2204999999999995</v>
      </c>
      <c r="E1662" s="4">
        <v>21.98</v>
      </c>
      <c r="F1662" t="s">
        <v>6249</v>
      </c>
      <c r="G1662" t="s">
        <v>6228</v>
      </c>
      <c r="H1662" t="s">
        <v>3582</v>
      </c>
      <c r="I1662" t="s">
        <v>3582</v>
      </c>
      <c r="J1662" t="s">
        <v>3579</v>
      </c>
      <c r="K1662" s="4">
        <v>21.98</v>
      </c>
      <c r="L1662" s="4">
        <v>8.2204999999999995</v>
      </c>
    </row>
    <row r="1663" spans="1:12">
      <c r="A1663" s="1">
        <v>42892</v>
      </c>
      <c r="B1663">
        <v>1</v>
      </c>
      <c r="C1663" t="s">
        <v>6231</v>
      </c>
      <c r="D1663" s="4">
        <v>5.7051999999999996</v>
      </c>
      <c r="E1663" s="4">
        <v>8.6441999999999997</v>
      </c>
      <c r="F1663" t="s">
        <v>6232</v>
      </c>
      <c r="G1663" t="s">
        <v>6233</v>
      </c>
      <c r="H1663" t="s">
        <v>3583</v>
      </c>
      <c r="I1663" t="s">
        <v>3583</v>
      </c>
      <c r="J1663" t="s">
        <v>3584</v>
      </c>
      <c r="K1663" s="4">
        <v>8.6441999999999997</v>
      </c>
      <c r="L1663" s="4">
        <v>5.7051999999999996</v>
      </c>
    </row>
    <row r="1664" spans="1:12">
      <c r="A1664" s="1">
        <v>42892</v>
      </c>
      <c r="B1664">
        <v>1</v>
      </c>
      <c r="C1664" t="s">
        <v>6276</v>
      </c>
      <c r="D1664" s="4">
        <v>1.8663000000000001</v>
      </c>
      <c r="E1664" s="4">
        <v>4.99</v>
      </c>
      <c r="F1664" t="s">
        <v>6243</v>
      </c>
      <c r="G1664" t="s">
        <v>6228</v>
      </c>
      <c r="H1664" t="s">
        <v>3585</v>
      </c>
      <c r="I1664" t="s">
        <v>3585</v>
      </c>
      <c r="J1664" t="s">
        <v>3584</v>
      </c>
      <c r="K1664" s="4">
        <v>4.99</v>
      </c>
      <c r="L1664" s="4">
        <v>1.8663000000000001</v>
      </c>
    </row>
    <row r="1665" spans="1:12">
      <c r="A1665" s="1">
        <v>42892</v>
      </c>
      <c r="B1665">
        <v>1</v>
      </c>
      <c r="C1665" t="s">
        <v>3544</v>
      </c>
      <c r="D1665" s="4">
        <v>1105.81</v>
      </c>
      <c r="E1665" s="4">
        <v>2049.0981999999999</v>
      </c>
      <c r="F1665" t="s">
        <v>3478</v>
      </c>
      <c r="G1665" t="s">
        <v>3475</v>
      </c>
      <c r="H1665" t="s">
        <v>3586</v>
      </c>
      <c r="I1665" t="s">
        <v>3586</v>
      </c>
      <c r="J1665" t="s">
        <v>3587</v>
      </c>
      <c r="K1665" s="4">
        <v>2049.0981999999999</v>
      </c>
      <c r="L1665" s="4">
        <v>1105.81</v>
      </c>
    </row>
    <row r="1666" spans="1:12">
      <c r="A1666" s="1">
        <v>42892</v>
      </c>
      <c r="B1666">
        <v>1</v>
      </c>
      <c r="C1666" t="s">
        <v>6271</v>
      </c>
      <c r="D1666" s="4">
        <v>11.2163</v>
      </c>
      <c r="E1666" s="4">
        <v>29.99</v>
      </c>
      <c r="F1666" t="s">
        <v>6243</v>
      </c>
      <c r="G1666" t="s">
        <v>6228</v>
      </c>
      <c r="H1666" t="s">
        <v>3588</v>
      </c>
      <c r="I1666" t="s">
        <v>3588</v>
      </c>
      <c r="J1666" t="s">
        <v>3584</v>
      </c>
      <c r="K1666" s="4">
        <v>29.99</v>
      </c>
      <c r="L1666" s="4">
        <v>11.2163</v>
      </c>
    </row>
    <row r="1667" spans="1:12">
      <c r="A1667" s="1">
        <v>42893</v>
      </c>
      <c r="B1667">
        <v>1</v>
      </c>
      <c r="C1667" t="s">
        <v>6250</v>
      </c>
      <c r="D1667" s="4">
        <v>9.7135999999999996</v>
      </c>
      <c r="E1667" s="4">
        <v>23.548100000000002</v>
      </c>
      <c r="F1667" t="s">
        <v>6251</v>
      </c>
      <c r="G1667" t="s">
        <v>6233</v>
      </c>
      <c r="H1667" t="s">
        <v>3577</v>
      </c>
      <c r="I1667" t="s">
        <v>3578</v>
      </c>
      <c r="J1667" t="s">
        <v>3579</v>
      </c>
      <c r="K1667" s="4">
        <v>23.548100000000002</v>
      </c>
      <c r="L1667" s="4">
        <v>9.7135999999999996</v>
      </c>
    </row>
    <row r="1668" spans="1:12">
      <c r="A1668" s="1">
        <v>42893</v>
      </c>
      <c r="B1668">
        <v>1</v>
      </c>
      <c r="C1668" t="s">
        <v>6269</v>
      </c>
      <c r="D1668" s="4">
        <v>9.3462999999999994</v>
      </c>
      <c r="E1668" s="4">
        <v>24.99</v>
      </c>
      <c r="F1668" t="s">
        <v>6243</v>
      </c>
      <c r="G1668" t="s">
        <v>6228</v>
      </c>
      <c r="H1668" t="s">
        <v>3577</v>
      </c>
      <c r="I1668" t="s">
        <v>3578</v>
      </c>
      <c r="J1668" t="s">
        <v>3579</v>
      </c>
      <c r="K1668" s="4">
        <v>24.99</v>
      </c>
      <c r="L1668" s="4">
        <v>9.3462999999999994</v>
      </c>
    </row>
    <row r="1669" spans="1:12">
      <c r="A1669" s="1">
        <v>42893</v>
      </c>
      <c r="B1669">
        <v>1</v>
      </c>
      <c r="C1669" t="s">
        <v>6280</v>
      </c>
      <c r="D1669" s="4">
        <v>1481.9378999999999</v>
      </c>
      <c r="E1669" s="4">
        <v>2384.0700000000002</v>
      </c>
      <c r="F1669" t="s">
        <v>6274</v>
      </c>
      <c r="G1669" t="s">
        <v>3475</v>
      </c>
      <c r="H1669" t="s">
        <v>3577</v>
      </c>
      <c r="I1669" t="s">
        <v>3578</v>
      </c>
      <c r="J1669" t="s">
        <v>3579</v>
      </c>
      <c r="K1669" s="4">
        <v>2384.0700000000002</v>
      </c>
      <c r="L1669" s="4">
        <v>1481.9378999999999</v>
      </c>
    </row>
    <row r="1670" spans="1:12">
      <c r="A1670" s="1">
        <v>42893</v>
      </c>
      <c r="B1670">
        <v>1</v>
      </c>
      <c r="C1670" t="s">
        <v>3536</v>
      </c>
      <c r="D1670" s="4">
        <v>1117.8559</v>
      </c>
      <c r="E1670" s="4">
        <v>2071.4196000000002</v>
      </c>
      <c r="F1670" t="s">
        <v>3478</v>
      </c>
      <c r="G1670" t="s">
        <v>3475</v>
      </c>
      <c r="H1670" t="s">
        <v>3580</v>
      </c>
      <c r="I1670" t="s">
        <v>3578</v>
      </c>
      <c r="J1670" t="s">
        <v>3579</v>
      </c>
      <c r="K1670" s="4">
        <v>2071.4196000000002</v>
      </c>
      <c r="L1670" s="4">
        <v>1117.8559</v>
      </c>
    </row>
    <row r="1671" spans="1:12">
      <c r="A1671" s="1">
        <v>42893</v>
      </c>
      <c r="B1671">
        <v>1</v>
      </c>
      <c r="C1671" t="s">
        <v>6253</v>
      </c>
      <c r="D1671" s="4">
        <v>9.7135999999999996</v>
      </c>
      <c r="E1671" s="4">
        <v>23.548100000000002</v>
      </c>
      <c r="F1671" t="s">
        <v>6251</v>
      </c>
      <c r="G1671" t="s">
        <v>6233</v>
      </c>
      <c r="H1671" t="s">
        <v>3580</v>
      </c>
      <c r="I1671" t="s">
        <v>3578</v>
      </c>
      <c r="J1671" t="s">
        <v>3579</v>
      </c>
      <c r="K1671" s="4">
        <v>23.548100000000002</v>
      </c>
      <c r="L1671" s="4">
        <v>9.7135999999999996</v>
      </c>
    </row>
    <row r="1672" spans="1:12">
      <c r="A1672" s="1">
        <v>42893</v>
      </c>
      <c r="B1672">
        <v>1</v>
      </c>
      <c r="C1672" t="s">
        <v>6244</v>
      </c>
      <c r="D1672" s="4">
        <v>3.7363</v>
      </c>
      <c r="E1672" s="4">
        <v>9.99</v>
      </c>
      <c r="F1672" t="s">
        <v>6240</v>
      </c>
      <c r="G1672" t="s">
        <v>6228</v>
      </c>
      <c r="H1672" t="s">
        <v>3580</v>
      </c>
      <c r="I1672" t="s">
        <v>3578</v>
      </c>
      <c r="J1672" t="s">
        <v>3579</v>
      </c>
      <c r="K1672" s="4">
        <v>9.99</v>
      </c>
      <c r="L1672" s="4">
        <v>3.7363</v>
      </c>
    </row>
    <row r="1673" spans="1:12">
      <c r="A1673" s="1">
        <v>42893</v>
      </c>
      <c r="B1673">
        <v>1</v>
      </c>
      <c r="C1673" t="s">
        <v>6248</v>
      </c>
      <c r="D1673" s="4">
        <v>8.2204999999999995</v>
      </c>
      <c r="E1673" s="4">
        <v>21.98</v>
      </c>
      <c r="F1673" t="s">
        <v>6249</v>
      </c>
      <c r="G1673" t="s">
        <v>6228</v>
      </c>
      <c r="H1673" t="s">
        <v>3580</v>
      </c>
      <c r="I1673" t="s">
        <v>3578</v>
      </c>
      <c r="J1673" t="s">
        <v>3579</v>
      </c>
      <c r="K1673" s="4">
        <v>21.98</v>
      </c>
      <c r="L1673" s="4">
        <v>8.2204999999999995</v>
      </c>
    </row>
    <row r="1674" spans="1:12">
      <c r="A1674" s="1">
        <v>42893</v>
      </c>
      <c r="B1674">
        <v>1</v>
      </c>
      <c r="C1674" t="s">
        <v>6238</v>
      </c>
      <c r="D1674" s="4">
        <v>31.724399999999999</v>
      </c>
      <c r="E1674" s="4">
        <v>48.067300000000003</v>
      </c>
      <c r="F1674" t="s">
        <v>6235</v>
      </c>
      <c r="G1674" t="s">
        <v>6233</v>
      </c>
      <c r="H1674" t="s">
        <v>3582</v>
      </c>
      <c r="I1674" t="s">
        <v>3582</v>
      </c>
      <c r="J1674" t="s">
        <v>3579</v>
      </c>
      <c r="K1674" s="4">
        <v>48.067300000000003</v>
      </c>
      <c r="L1674" s="4">
        <v>31.724399999999999</v>
      </c>
    </row>
    <row r="1675" spans="1:12">
      <c r="A1675" s="1">
        <v>42893</v>
      </c>
      <c r="B1675">
        <v>1</v>
      </c>
      <c r="C1675" t="s">
        <v>3536</v>
      </c>
      <c r="D1675" s="4">
        <v>1117.8559</v>
      </c>
      <c r="E1675" s="4">
        <v>2071.4196000000002</v>
      </c>
      <c r="F1675" t="s">
        <v>3478</v>
      </c>
      <c r="G1675" t="s">
        <v>3475</v>
      </c>
      <c r="H1675" t="s">
        <v>3586</v>
      </c>
      <c r="I1675" t="s">
        <v>3586</v>
      </c>
      <c r="J1675" t="s">
        <v>3587</v>
      </c>
      <c r="K1675" s="4">
        <v>2071.4196000000002</v>
      </c>
      <c r="L1675" s="4">
        <v>1117.8559</v>
      </c>
    </row>
    <row r="1676" spans="1:12">
      <c r="A1676" s="1">
        <v>42893</v>
      </c>
      <c r="B1676">
        <v>1</v>
      </c>
      <c r="C1676" t="s">
        <v>6253</v>
      </c>
      <c r="D1676" s="4">
        <v>9.7135999999999996</v>
      </c>
      <c r="E1676" s="4">
        <v>23.548100000000002</v>
      </c>
      <c r="F1676" t="s">
        <v>6251</v>
      </c>
      <c r="G1676" t="s">
        <v>6233</v>
      </c>
      <c r="H1676" t="s">
        <v>3586</v>
      </c>
      <c r="I1676" t="s">
        <v>3586</v>
      </c>
      <c r="J1676" t="s">
        <v>3587</v>
      </c>
      <c r="K1676" s="4">
        <v>23.548100000000002</v>
      </c>
      <c r="L1676" s="4">
        <v>9.7135999999999996</v>
      </c>
    </row>
    <row r="1677" spans="1:12">
      <c r="A1677" s="1">
        <v>42893</v>
      </c>
      <c r="B1677">
        <v>1</v>
      </c>
      <c r="C1677" t="s">
        <v>6260</v>
      </c>
      <c r="D1677" s="4">
        <v>13.09</v>
      </c>
      <c r="E1677" s="4">
        <v>35</v>
      </c>
      <c r="F1677" t="s">
        <v>6243</v>
      </c>
      <c r="G1677" t="s">
        <v>6228</v>
      </c>
      <c r="H1677" t="s">
        <v>3586</v>
      </c>
      <c r="I1677" t="s">
        <v>3586</v>
      </c>
      <c r="J1677" t="s">
        <v>3587</v>
      </c>
      <c r="K1677" s="4">
        <v>35</v>
      </c>
      <c r="L1677" s="4">
        <v>13.09</v>
      </c>
    </row>
    <row r="1678" spans="1:12">
      <c r="A1678" s="1">
        <v>42893</v>
      </c>
      <c r="B1678">
        <v>1</v>
      </c>
      <c r="C1678" t="s">
        <v>6277</v>
      </c>
      <c r="D1678" s="4">
        <v>8.0373000000000001</v>
      </c>
      <c r="E1678" s="4">
        <v>21.49</v>
      </c>
      <c r="F1678" t="s">
        <v>6243</v>
      </c>
      <c r="G1678" t="s">
        <v>6228</v>
      </c>
      <c r="H1678" t="s">
        <v>3586</v>
      </c>
      <c r="I1678" t="s">
        <v>3586</v>
      </c>
      <c r="J1678" t="s">
        <v>3587</v>
      </c>
      <c r="K1678" s="4">
        <v>21.49</v>
      </c>
      <c r="L1678" s="4">
        <v>8.0373000000000001</v>
      </c>
    </row>
    <row r="1679" spans="1:12">
      <c r="A1679" s="1">
        <v>42894</v>
      </c>
      <c r="B1679">
        <v>1</v>
      </c>
      <c r="C1679" t="s">
        <v>3540</v>
      </c>
      <c r="D1679" s="4">
        <v>1117.8559</v>
      </c>
      <c r="E1679" s="4">
        <v>2071.4196000000002</v>
      </c>
      <c r="F1679" t="s">
        <v>3478</v>
      </c>
      <c r="G1679" t="s">
        <v>3475</v>
      </c>
      <c r="H1679" t="s">
        <v>3577</v>
      </c>
      <c r="I1679" t="s">
        <v>3578</v>
      </c>
      <c r="J1679" t="s">
        <v>3579</v>
      </c>
      <c r="K1679" s="4">
        <v>2071.4196000000002</v>
      </c>
      <c r="L1679" s="4">
        <v>1117.8559</v>
      </c>
    </row>
    <row r="1680" spans="1:12">
      <c r="A1680" s="1">
        <v>42894</v>
      </c>
      <c r="B1680">
        <v>1</v>
      </c>
      <c r="C1680" t="s">
        <v>6260</v>
      </c>
      <c r="D1680" s="4">
        <v>13.09</v>
      </c>
      <c r="E1680" s="4">
        <v>35</v>
      </c>
      <c r="F1680" t="s">
        <v>6243</v>
      </c>
      <c r="G1680" t="s">
        <v>6228</v>
      </c>
      <c r="H1680" t="s">
        <v>3577</v>
      </c>
      <c r="I1680" t="s">
        <v>3578</v>
      </c>
      <c r="J1680" t="s">
        <v>3579</v>
      </c>
      <c r="K1680" s="4">
        <v>35</v>
      </c>
      <c r="L1680" s="4">
        <v>13.09</v>
      </c>
    </row>
    <row r="1681" spans="1:12">
      <c r="A1681" s="1">
        <v>42894</v>
      </c>
      <c r="B1681">
        <v>1</v>
      </c>
      <c r="C1681" t="s">
        <v>3544</v>
      </c>
      <c r="D1681" s="4">
        <v>1105.81</v>
      </c>
      <c r="E1681" s="4">
        <v>2049.0981999999999</v>
      </c>
      <c r="F1681" t="s">
        <v>3478</v>
      </c>
      <c r="G1681" t="s">
        <v>3475</v>
      </c>
      <c r="H1681" t="s">
        <v>3580</v>
      </c>
      <c r="I1681" t="s">
        <v>3578</v>
      </c>
      <c r="J1681" t="s">
        <v>3579</v>
      </c>
      <c r="K1681" s="4">
        <v>2049.0981999999999</v>
      </c>
      <c r="L1681" s="4">
        <v>1105.81</v>
      </c>
    </row>
    <row r="1682" spans="1:12">
      <c r="A1682" s="1">
        <v>42894</v>
      </c>
      <c r="B1682">
        <v>1</v>
      </c>
      <c r="C1682" t="s">
        <v>6307</v>
      </c>
      <c r="D1682" s="4">
        <v>1481.9378999999999</v>
      </c>
      <c r="E1682" s="4">
        <v>2384.0700000000002</v>
      </c>
      <c r="F1682" t="s">
        <v>6274</v>
      </c>
      <c r="G1682" t="s">
        <v>3475</v>
      </c>
      <c r="H1682" t="s">
        <v>3585</v>
      </c>
      <c r="I1682" t="s">
        <v>3585</v>
      </c>
      <c r="J1682" t="s">
        <v>3584</v>
      </c>
      <c r="K1682" s="4">
        <v>2384.0700000000002</v>
      </c>
      <c r="L1682" s="4">
        <v>1481.9378999999999</v>
      </c>
    </row>
    <row r="1683" spans="1:12">
      <c r="A1683" s="1">
        <v>42894</v>
      </c>
      <c r="B1683">
        <v>1</v>
      </c>
      <c r="C1683" t="s">
        <v>6252</v>
      </c>
      <c r="D1683" s="4">
        <v>343.64960000000002</v>
      </c>
      <c r="E1683" s="4">
        <v>539.99</v>
      </c>
      <c r="F1683" t="s">
        <v>3479</v>
      </c>
      <c r="G1683" t="s">
        <v>3475</v>
      </c>
      <c r="H1683" t="s">
        <v>3585</v>
      </c>
      <c r="I1683" t="s">
        <v>3585</v>
      </c>
      <c r="J1683" t="s">
        <v>3584</v>
      </c>
      <c r="K1683" s="4">
        <v>539.99</v>
      </c>
      <c r="L1683" s="4">
        <v>343.64960000000002</v>
      </c>
    </row>
    <row r="1684" spans="1:12">
      <c r="A1684" s="1">
        <v>42894</v>
      </c>
      <c r="B1684">
        <v>1</v>
      </c>
      <c r="C1684" t="s">
        <v>6239</v>
      </c>
      <c r="D1684" s="4">
        <v>1.8663000000000001</v>
      </c>
      <c r="E1684" s="4">
        <v>4.99</v>
      </c>
      <c r="F1684" t="s">
        <v>6240</v>
      </c>
      <c r="G1684" t="s">
        <v>6228</v>
      </c>
      <c r="H1684" t="s">
        <v>3586</v>
      </c>
      <c r="I1684" t="s">
        <v>3586</v>
      </c>
      <c r="J1684" t="s">
        <v>3587</v>
      </c>
      <c r="K1684" s="4">
        <v>4.99</v>
      </c>
      <c r="L1684" s="4">
        <v>1.8663000000000001</v>
      </c>
    </row>
    <row r="1685" spans="1:12">
      <c r="A1685" s="1">
        <v>42894</v>
      </c>
      <c r="B1685">
        <v>1</v>
      </c>
      <c r="C1685" t="s">
        <v>6248</v>
      </c>
      <c r="D1685" s="4">
        <v>8.2204999999999995</v>
      </c>
      <c r="E1685" s="4">
        <v>21.98</v>
      </c>
      <c r="F1685" t="s">
        <v>6249</v>
      </c>
      <c r="G1685" t="s">
        <v>6228</v>
      </c>
      <c r="H1685" t="s">
        <v>3586</v>
      </c>
      <c r="I1685" t="s">
        <v>3586</v>
      </c>
      <c r="J1685" t="s">
        <v>3587</v>
      </c>
      <c r="K1685" s="4">
        <v>21.98</v>
      </c>
      <c r="L1685" s="4">
        <v>8.2204999999999995</v>
      </c>
    </row>
    <row r="1686" spans="1:12">
      <c r="A1686" s="1">
        <v>42895</v>
      </c>
      <c r="B1686">
        <v>1</v>
      </c>
      <c r="C1686" t="s">
        <v>6244</v>
      </c>
      <c r="D1686" s="4">
        <v>3.7363</v>
      </c>
      <c r="E1686" s="4">
        <v>9.99</v>
      </c>
      <c r="F1686" t="s">
        <v>6240</v>
      </c>
      <c r="G1686" t="s">
        <v>6228</v>
      </c>
      <c r="H1686" t="s">
        <v>3577</v>
      </c>
      <c r="I1686" t="s">
        <v>3578</v>
      </c>
      <c r="J1686" t="s">
        <v>3579</v>
      </c>
      <c r="K1686" s="4">
        <v>9.99</v>
      </c>
      <c r="L1686" s="4">
        <v>3.7363</v>
      </c>
    </row>
    <row r="1687" spans="1:12">
      <c r="A1687" s="1">
        <v>42895</v>
      </c>
      <c r="B1687">
        <v>1</v>
      </c>
      <c r="C1687" t="s">
        <v>6272</v>
      </c>
      <c r="D1687" s="4">
        <v>9.3462999999999994</v>
      </c>
      <c r="E1687" s="4">
        <v>24.99</v>
      </c>
      <c r="F1687" t="s">
        <v>6243</v>
      </c>
      <c r="G1687" t="s">
        <v>6228</v>
      </c>
      <c r="H1687" t="s">
        <v>3577</v>
      </c>
      <c r="I1687" t="s">
        <v>3578</v>
      </c>
      <c r="J1687" t="s">
        <v>3579</v>
      </c>
      <c r="K1687" s="4">
        <v>24.99</v>
      </c>
      <c r="L1687" s="4">
        <v>9.3462999999999994</v>
      </c>
    </row>
    <row r="1688" spans="1:12">
      <c r="A1688" s="1">
        <v>42895</v>
      </c>
      <c r="B1688">
        <v>1</v>
      </c>
      <c r="C1688" t="s">
        <v>6242</v>
      </c>
      <c r="D1688" s="4">
        <v>1.8663000000000001</v>
      </c>
      <c r="E1688" s="4">
        <v>4.99</v>
      </c>
      <c r="F1688" t="s">
        <v>6243</v>
      </c>
      <c r="G1688" t="s">
        <v>6228</v>
      </c>
      <c r="H1688" t="s">
        <v>3582</v>
      </c>
      <c r="I1688" t="s">
        <v>3582</v>
      </c>
      <c r="J1688" t="s">
        <v>3579</v>
      </c>
      <c r="K1688" s="4">
        <v>4.99</v>
      </c>
      <c r="L1688" s="4">
        <v>1.8663000000000001</v>
      </c>
    </row>
    <row r="1689" spans="1:12">
      <c r="A1689" s="1">
        <v>42895</v>
      </c>
      <c r="B1689">
        <v>1</v>
      </c>
      <c r="C1689" t="s">
        <v>6242</v>
      </c>
      <c r="D1689" s="4">
        <v>1.8663000000000001</v>
      </c>
      <c r="E1689" s="4">
        <v>4.99</v>
      </c>
      <c r="F1689" t="s">
        <v>6243</v>
      </c>
      <c r="G1689" t="s">
        <v>6228</v>
      </c>
      <c r="H1689" t="s">
        <v>3583</v>
      </c>
      <c r="I1689" t="s">
        <v>3583</v>
      </c>
      <c r="J1689" t="s">
        <v>3584</v>
      </c>
      <c r="K1689" s="4">
        <v>4.99</v>
      </c>
      <c r="L1689" s="4">
        <v>1.8663000000000001</v>
      </c>
    </row>
    <row r="1690" spans="1:12">
      <c r="A1690" s="1">
        <v>42895</v>
      </c>
      <c r="B1690">
        <v>1</v>
      </c>
      <c r="C1690" t="s">
        <v>3570</v>
      </c>
      <c r="D1690" s="4">
        <v>605.64919999999995</v>
      </c>
      <c r="E1690" s="4">
        <v>1000.4375</v>
      </c>
      <c r="F1690" t="s">
        <v>3479</v>
      </c>
      <c r="G1690" t="s">
        <v>3475</v>
      </c>
      <c r="H1690" t="s">
        <v>3586</v>
      </c>
      <c r="I1690" t="s">
        <v>3586</v>
      </c>
      <c r="J1690" t="s">
        <v>3587</v>
      </c>
      <c r="K1690" s="4">
        <v>1000.4375</v>
      </c>
      <c r="L1690" s="4">
        <v>605.64919999999995</v>
      </c>
    </row>
    <row r="1691" spans="1:12">
      <c r="A1691" s="1">
        <v>42895</v>
      </c>
      <c r="B1691">
        <v>1</v>
      </c>
      <c r="C1691" t="s">
        <v>6292</v>
      </c>
      <c r="D1691" s="4">
        <v>23.748999999999999</v>
      </c>
      <c r="E1691" s="4">
        <v>63.5</v>
      </c>
      <c r="F1691" t="s">
        <v>6293</v>
      </c>
      <c r="G1691" t="s">
        <v>6233</v>
      </c>
      <c r="H1691" t="s">
        <v>3586</v>
      </c>
      <c r="I1691" t="s">
        <v>3586</v>
      </c>
      <c r="J1691" t="s">
        <v>3587</v>
      </c>
      <c r="K1691" s="4">
        <v>63.5</v>
      </c>
      <c r="L1691" s="4">
        <v>23.748999999999999</v>
      </c>
    </row>
    <row r="1692" spans="1:12">
      <c r="A1692" s="1">
        <v>42896</v>
      </c>
      <c r="B1692">
        <v>1</v>
      </c>
      <c r="C1692" t="s">
        <v>6255</v>
      </c>
      <c r="D1692" s="4">
        <v>9.7135999999999996</v>
      </c>
      <c r="E1692" s="4">
        <v>23.548100000000002</v>
      </c>
      <c r="F1692" t="s">
        <v>6251</v>
      </c>
      <c r="G1692" t="s">
        <v>6233</v>
      </c>
      <c r="H1692" t="s">
        <v>3577</v>
      </c>
      <c r="I1692" t="s">
        <v>3578</v>
      </c>
      <c r="J1692" t="s">
        <v>3579</v>
      </c>
      <c r="K1692" s="4">
        <v>23.548100000000002</v>
      </c>
      <c r="L1692" s="4">
        <v>9.7135999999999996</v>
      </c>
    </row>
    <row r="1693" spans="1:12">
      <c r="A1693" s="1">
        <v>42896</v>
      </c>
      <c r="B1693">
        <v>1</v>
      </c>
      <c r="C1693" t="s">
        <v>6239</v>
      </c>
      <c r="D1693" s="4">
        <v>1.8663000000000001</v>
      </c>
      <c r="E1693" s="4">
        <v>4.99</v>
      </c>
      <c r="F1693" t="s">
        <v>6240</v>
      </c>
      <c r="G1693" t="s">
        <v>6228</v>
      </c>
      <c r="H1693" t="s">
        <v>3577</v>
      </c>
      <c r="I1693" t="s">
        <v>3578</v>
      </c>
      <c r="J1693" t="s">
        <v>3579</v>
      </c>
      <c r="K1693" s="4">
        <v>4.99</v>
      </c>
      <c r="L1693" s="4">
        <v>1.8663000000000001</v>
      </c>
    </row>
    <row r="1694" spans="1:12">
      <c r="A1694" s="1">
        <v>42896</v>
      </c>
      <c r="B1694">
        <v>1</v>
      </c>
      <c r="C1694" t="s">
        <v>6287</v>
      </c>
      <c r="D1694" s="4">
        <v>1082.51</v>
      </c>
      <c r="E1694" s="4">
        <v>1700.99</v>
      </c>
      <c r="F1694" t="s">
        <v>3479</v>
      </c>
      <c r="G1694" t="s">
        <v>3475</v>
      </c>
      <c r="H1694" t="s">
        <v>3577</v>
      </c>
      <c r="I1694" t="s">
        <v>3578</v>
      </c>
      <c r="J1694" t="s">
        <v>3579</v>
      </c>
      <c r="K1694" s="4">
        <v>1700.99</v>
      </c>
      <c r="L1694" s="4">
        <v>1082.51</v>
      </c>
    </row>
    <row r="1695" spans="1:12">
      <c r="A1695" s="1">
        <v>42896</v>
      </c>
      <c r="B1695">
        <v>1</v>
      </c>
      <c r="C1695" t="s">
        <v>6239</v>
      </c>
      <c r="D1695" s="4">
        <v>1.8663000000000001</v>
      </c>
      <c r="E1695" s="4">
        <v>4.99</v>
      </c>
      <c r="F1695" t="s">
        <v>6240</v>
      </c>
      <c r="G1695" t="s">
        <v>6228</v>
      </c>
      <c r="H1695" t="s">
        <v>3580</v>
      </c>
      <c r="I1695" t="s">
        <v>3578</v>
      </c>
      <c r="J1695" t="s">
        <v>3579</v>
      </c>
      <c r="K1695" s="4">
        <v>4.99</v>
      </c>
      <c r="L1695" s="4">
        <v>1.8663000000000001</v>
      </c>
    </row>
    <row r="1696" spans="1:12">
      <c r="A1696" s="1">
        <v>42897</v>
      </c>
      <c r="B1696">
        <v>1</v>
      </c>
      <c r="C1696" t="s">
        <v>6241</v>
      </c>
      <c r="D1696" s="4">
        <v>3.3622999999999998</v>
      </c>
      <c r="E1696" s="4">
        <v>8.99</v>
      </c>
      <c r="F1696" t="s">
        <v>6240</v>
      </c>
      <c r="G1696" t="s">
        <v>6228</v>
      </c>
      <c r="H1696" t="s">
        <v>3580</v>
      </c>
      <c r="I1696" t="s">
        <v>3578</v>
      </c>
      <c r="J1696" t="s">
        <v>3579</v>
      </c>
      <c r="K1696" s="4">
        <v>8.99</v>
      </c>
      <c r="L1696" s="4">
        <v>3.3622999999999998</v>
      </c>
    </row>
    <row r="1697" spans="1:12">
      <c r="A1697" s="1">
        <v>42897</v>
      </c>
      <c r="B1697">
        <v>1</v>
      </c>
      <c r="C1697" t="s">
        <v>6231</v>
      </c>
      <c r="D1697" s="4">
        <v>5.7051999999999996</v>
      </c>
      <c r="E1697" s="4">
        <v>8.6441999999999997</v>
      </c>
      <c r="F1697" t="s">
        <v>6232</v>
      </c>
      <c r="G1697" t="s">
        <v>6233</v>
      </c>
      <c r="H1697" t="s">
        <v>3582</v>
      </c>
      <c r="I1697" t="s">
        <v>3582</v>
      </c>
      <c r="J1697" t="s">
        <v>3579</v>
      </c>
      <c r="K1697" s="4">
        <v>8.6441999999999997</v>
      </c>
      <c r="L1697" s="4">
        <v>5.7051999999999996</v>
      </c>
    </row>
    <row r="1698" spans="1:12">
      <c r="A1698" s="1">
        <v>42897</v>
      </c>
      <c r="B1698">
        <v>1</v>
      </c>
      <c r="C1698" t="s">
        <v>6248</v>
      </c>
      <c r="D1698" s="4">
        <v>8.2204999999999995</v>
      </c>
      <c r="E1698" s="4">
        <v>21.98</v>
      </c>
      <c r="F1698" t="s">
        <v>6249</v>
      </c>
      <c r="G1698" t="s">
        <v>6228</v>
      </c>
      <c r="H1698" t="s">
        <v>3583</v>
      </c>
      <c r="I1698" t="s">
        <v>3583</v>
      </c>
      <c r="J1698" t="s">
        <v>3584</v>
      </c>
      <c r="K1698" s="4">
        <v>21.98</v>
      </c>
      <c r="L1698" s="4">
        <v>8.2204999999999995</v>
      </c>
    </row>
    <row r="1699" spans="1:12">
      <c r="A1699" s="1">
        <v>42897</v>
      </c>
      <c r="B1699">
        <v>1</v>
      </c>
      <c r="C1699" t="s">
        <v>6248</v>
      </c>
      <c r="D1699" s="4">
        <v>8.2204999999999995</v>
      </c>
      <c r="E1699" s="4">
        <v>21.98</v>
      </c>
      <c r="F1699" t="s">
        <v>6249</v>
      </c>
      <c r="G1699" t="s">
        <v>6228</v>
      </c>
      <c r="H1699" t="s">
        <v>3586</v>
      </c>
      <c r="I1699" t="s">
        <v>3586</v>
      </c>
      <c r="J1699" t="s">
        <v>3587</v>
      </c>
      <c r="K1699" s="4">
        <v>21.98</v>
      </c>
      <c r="L1699" s="4">
        <v>8.2204999999999995</v>
      </c>
    </row>
    <row r="1700" spans="1:12">
      <c r="A1700" s="1">
        <v>42897</v>
      </c>
      <c r="B1700">
        <v>1</v>
      </c>
      <c r="C1700" t="s">
        <v>6270</v>
      </c>
      <c r="D1700" s="4">
        <v>1.4923</v>
      </c>
      <c r="E1700" s="4">
        <v>3.99</v>
      </c>
      <c r="F1700" t="s">
        <v>6243</v>
      </c>
      <c r="G1700" t="s">
        <v>6228</v>
      </c>
      <c r="H1700" t="s">
        <v>3586</v>
      </c>
      <c r="I1700" t="s">
        <v>3586</v>
      </c>
      <c r="J1700" t="s">
        <v>3587</v>
      </c>
      <c r="K1700" s="4">
        <v>3.99</v>
      </c>
      <c r="L1700" s="4">
        <v>1.4923</v>
      </c>
    </row>
    <row r="1701" spans="1:12">
      <c r="A1701" s="1">
        <v>42897</v>
      </c>
      <c r="B1701">
        <v>1</v>
      </c>
      <c r="C1701" t="s">
        <v>6301</v>
      </c>
      <c r="D1701" s="4">
        <v>343.64960000000002</v>
      </c>
      <c r="E1701" s="4">
        <v>539.99</v>
      </c>
      <c r="F1701" t="s">
        <v>3479</v>
      </c>
      <c r="G1701" t="s">
        <v>3475</v>
      </c>
      <c r="H1701" t="s">
        <v>3586</v>
      </c>
      <c r="I1701" t="s">
        <v>3586</v>
      </c>
      <c r="J1701" t="s">
        <v>3587</v>
      </c>
      <c r="K1701" s="4">
        <v>539.99</v>
      </c>
      <c r="L1701" s="4">
        <v>343.64960000000002</v>
      </c>
    </row>
    <row r="1702" spans="1:12">
      <c r="A1702" s="1">
        <v>42898</v>
      </c>
      <c r="B1702">
        <v>1</v>
      </c>
      <c r="C1702" t="s">
        <v>6244</v>
      </c>
      <c r="D1702" s="4">
        <v>3.7363</v>
      </c>
      <c r="E1702" s="4">
        <v>9.99</v>
      </c>
      <c r="F1702" t="s">
        <v>6240</v>
      </c>
      <c r="G1702" t="s">
        <v>6228</v>
      </c>
      <c r="H1702" t="s">
        <v>3580</v>
      </c>
      <c r="I1702" t="s">
        <v>3578</v>
      </c>
      <c r="J1702" t="s">
        <v>3579</v>
      </c>
      <c r="K1702" s="4">
        <v>9.99</v>
      </c>
      <c r="L1702" s="4">
        <v>3.7363</v>
      </c>
    </row>
    <row r="1703" spans="1:12">
      <c r="A1703" s="1">
        <v>42898</v>
      </c>
      <c r="B1703">
        <v>1</v>
      </c>
      <c r="C1703" t="s">
        <v>6226</v>
      </c>
      <c r="D1703" s="4">
        <v>13.0863</v>
      </c>
      <c r="E1703" s="4">
        <v>34.99</v>
      </c>
      <c r="F1703" t="s">
        <v>6227</v>
      </c>
      <c r="G1703" t="s">
        <v>6228</v>
      </c>
      <c r="H1703" t="s">
        <v>3586</v>
      </c>
      <c r="I1703" t="s">
        <v>3586</v>
      </c>
      <c r="J1703" t="s">
        <v>3587</v>
      </c>
      <c r="K1703" s="4">
        <v>34.99</v>
      </c>
      <c r="L1703" s="4">
        <v>13.0863</v>
      </c>
    </row>
    <row r="1704" spans="1:12">
      <c r="A1704" s="1">
        <v>42898</v>
      </c>
      <c r="B1704">
        <v>1</v>
      </c>
      <c r="C1704" t="s">
        <v>6270</v>
      </c>
      <c r="D1704" s="4">
        <v>1.4923</v>
      </c>
      <c r="E1704" s="4">
        <v>3.99</v>
      </c>
      <c r="F1704" t="s">
        <v>6243</v>
      </c>
      <c r="G1704" t="s">
        <v>6228</v>
      </c>
      <c r="H1704" t="s">
        <v>3586</v>
      </c>
      <c r="I1704" t="s">
        <v>3586</v>
      </c>
      <c r="J1704" t="s">
        <v>3587</v>
      </c>
      <c r="K1704" s="4">
        <v>3.99</v>
      </c>
      <c r="L1704" s="4">
        <v>1.4923</v>
      </c>
    </row>
    <row r="1705" spans="1:12">
      <c r="A1705" s="1">
        <v>42898</v>
      </c>
      <c r="B1705">
        <v>1</v>
      </c>
      <c r="C1705" t="s">
        <v>6260</v>
      </c>
      <c r="D1705" s="4">
        <v>13.09</v>
      </c>
      <c r="E1705" s="4">
        <v>35</v>
      </c>
      <c r="F1705" t="s">
        <v>6243</v>
      </c>
      <c r="G1705" t="s">
        <v>6228</v>
      </c>
      <c r="H1705" t="s">
        <v>3586</v>
      </c>
      <c r="I1705" t="s">
        <v>3586</v>
      </c>
      <c r="J1705" t="s">
        <v>3587</v>
      </c>
      <c r="K1705" s="4">
        <v>35</v>
      </c>
      <c r="L1705" s="4">
        <v>13.09</v>
      </c>
    </row>
    <row r="1706" spans="1:12">
      <c r="A1706" s="1">
        <v>42898</v>
      </c>
      <c r="B1706">
        <v>1</v>
      </c>
      <c r="C1706" t="s">
        <v>6239</v>
      </c>
      <c r="D1706" s="4">
        <v>1.8663000000000001</v>
      </c>
      <c r="E1706" s="4">
        <v>4.99</v>
      </c>
      <c r="F1706" t="s">
        <v>6240</v>
      </c>
      <c r="G1706" t="s">
        <v>6228</v>
      </c>
      <c r="H1706" t="s">
        <v>3588</v>
      </c>
      <c r="I1706" t="s">
        <v>3588</v>
      </c>
      <c r="J1706" t="s">
        <v>3584</v>
      </c>
      <c r="K1706" s="4">
        <v>4.99</v>
      </c>
      <c r="L1706" s="4">
        <v>1.8663000000000001</v>
      </c>
    </row>
    <row r="1707" spans="1:12">
      <c r="A1707" s="1">
        <v>42899</v>
      </c>
      <c r="B1707">
        <v>1</v>
      </c>
      <c r="C1707" t="s">
        <v>6230</v>
      </c>
      <c r="D1707" s="4">
        <v>12.027799999999999</v>
      </c>
      <c r="E1707" s="4">
        <v>33.644199999999998</v>
      </c>
      <c r="F1707" t="s">
        <v>6227</v>
      </c>
      <c r="G1707" t="s">
        <v>6228</v>
      </c>
      <c r="H1707" t="s">
        <v>3580</v>
      </c>
      <c r="I1707" t="s">
        <v>3578</v>
      </c>
      <c r="J1707" t="s">
        <v>3579</v>
      </c>
      <c r="K1707" s="4">
        <v>33.644199999999998</v>
      </c>
      <c r="L1707" s="4">
        <v>12.027799999999999</v>
      </c>
    </row>
    <row r="1708" spans="1:12">
      <c r="A1708" s="1">
        <v>42899</v>
      </c>
      <c r="B1708">
        <v>1</v>
      </c>
      <c r="C1708" t="s">
        <v>6261</v>
      </c>
      <c r="D1708" s="4">
        <v>26.176300000000001</v>
      </c>
      <c r="E1708" s="4">
        <v>69.989999999999995</v>
      </c>
      <c r="F1708" t="s">
        <v>6262</v>
      </c>
      <c r="G1708" t="s">
        <v>6233</v>
      </c>
      <c r="H1708" t="s">
        <v>3585</v>
      </c>
      <c r="I1708" t="s">
        <v>3585</v>
      </c>
      <c r="J1708" t="s">
        <v>3584</v>
      </c>
      <c r="K1708" s="4">
        <v>69.989999999999995</v>
      </c>
      <c r="L1708" s="4">
        <v>26.176300000000001</v>
      </c>
    </row>
    <row r="1709" spans="1:12">
      <c r="A1709" s="1">
        <v>42899</v>
      </c>
      <c r="B1709">
        <v>1</v>
      </c>
      <c r="C1709" t="s">
        <v>6287</v>
      </c>
      <c r="D1709" s="4">
        <v>1082.51</v>
      </c>
      <c r="E1709" s="4">
        <v>1700.99</v>
      </c>
      <c r="F1709" t="s">
        <v>3479</v>
      </c>
      <c r="G1709" t="s">
        <v>3475</v>
      </c>
      <c r="H1709" t="s">
        <v>3585</v>
      </c>
      <c r="I1709" t="s">
        <v>3585</v>
      </c>
      <c r="J1709" t="s">
        <v>3584</v>
      </c>
      <c r="K1709" s="4">
        <v>1700.99</v>
      </c>
      <c r="L1709" s="4">
        <v>1082.51</v>
      </c>
    </row>
    <row r="1710" spans="1:12">
      <c r="A1710" s="1">
        <v>42899</v>
      </c>
      <c r="B1710">
        <v>1</v>
      </c>
      <c r="C1710" t="s">
        <v>6226</v>
      </c>
      <c r="D1710" s="4">
        <v>13.0863</v>
      </c>
      <c r="E1710" s="4">
        <v>34.99</v>
      </c>
      <c r="F1710" t="s">
        <v>6227</v>
      </c>
      <c r="G1710" t="s">
        <v>6228</v>
      </c>
      <c r="H1710" t="s">
        <v>3586</v>
      </c>
      <c r="I1710" t="s">
        <v>3586</v>
      </c>
      <c r="J1710" t="s">
        <v>3587</v>
      </c>
      <c r="K1710" s="4">
        <v>34.99</v>
      </c>
      <c r="L1710" s="4">
        <v>13.0863</v>
      </c>
    </row>
    <row r="1711" spans="1:12">
      <c r="A1711" s="1">
        <v>42899</v>
      </c>
      <c r="B1711">
        <v>1</v>
      </c>
      <c r="C1711" t="s">
        <v>6229</v>
      </c>
      <c r="D1711" s="4">
        <v>12.027799999999999</v>
      </c>
      <c r="E1711" s="4">
        <v>33.644199999999998</v>
      </c>
      <c r="F1711" t="s">
        <v>6227</v>
      </c>
      <c r="G1711" t="s">
        <v>6228</v>
      </c>
      <c r="H1711" t="s">
        <v>3586</v>
      </c>
      <c r="I1711" t="s">
        <v>3586</v>
      </c>
      <c r="J1711" t="s">
        <v>3587</v>
      </c>
      <c r="K1711" s="4">
        <v>33.644199999999998</v>
      </c>
      <c r="L1711" s="4">
        <v>12.027799999999999</v>
      </c>
    </row>
    <row r="1712" spans="1:12">
      <c r="A1712" s="1">
        <v>42900</v>
      </c>
      <c r="B1712">
        <v>1</v>
      </c>
      <c r="C1712" t="s">
        <v>6260</v>
      </c>
      <c r="D1712" s="4">
        <v>13.09</v>
      </c>
      <c r="E1712" s="4">
        <v>35</v>
      </c>
      <c r="F1712" t="s">
        <v>6243</v>
      </c>
      <c r="G1712" t="s">
        <v>6228</v>
      </c>
      <c r="H1712" t="s">
        <v>3577</v>
      </c>
      <c r="I1712" t="s">
        <v>3578</v>
      </c>
      <c r="J1712" t="s">
        <v>3579</v>
      </c>
      <c r="K1712" s="4">
        <v>35</v>
      </c>
      <c r="L1712" s="4">
        <v>13.09</v>
      </c>
    </row>
    <row r="1713" spans="1:12">
      <c r="A1713" s="1">
        <v>42900</v>
      </c>
      <c r="B1713">
        <v>1</v>
      </c>
      <c r="C1713" t="s">
        <v>6250</v>
      </c>
      <c r="D1713" s="4">
        <v>9.7135999999999996</v>
      </c>
      <c r="E1713" s="4">
        <v>23.548100000000002</v>
      </c>
      <c r="F1713" t="s">
        <v>6251</v>
      </c>
      <c r="G1713" t="s">
        <v>6233</v>
      </c>
      <c r="H1713" t="s">
        <v>3580</v>
      </c>
      <c r="I1713" t="s">
        <v>3578</v>
      </c>
      <c r="J1713" t="s">
        <v>3579</v>
      </c>
      <c r="K1713" s="4">
        <v>23.548100000000002</v>
      </c>
      <c r="L1713" s="4">
        <v>9.7135999999999996</v>
      </c>
    </row>
    <row r="1714" spans="1:12">
      <c r="A1714" s="1">
        <v>42900</v>
      </c>
      <c r="B1714">
        <v>1</v>
      </c>
      <c r="C1714" t="s">
        <v>6236</v>
      </c>
      <c r="D1714" s="4">
        <v>31.724399999999999</v>
      </c>
      <c r="E1714" s="4">
        <v>48.067300000000003</v>
      </c>
      <c r="F1714" t="s">
        <v>6235</v>
      </c>
      <c r="G1714" t="s">
        <v>6233</v>
      </c>
      <c r="H1714" t="s">
        <v>3582</v>
      </c>
      <c r="I1714" t="s">
        <v>3582</v>
      </c>
      <c r="J1714" t="s">
        <v>3579</v>
      </c>
      <c r="K1714" s="4">
        <v>48.067300000000003</v>
      </c>
      <c r="L1714" s="4">
        <v>31.724399999999999</v>
      </c>
    </row>
    <row r="1715" spans="1:12">
      <c r="A1715" s="1">
        <v>42900</v>
      </c>
      <c r="B1715">
        <v>1</v>
      </c>
      <c r="C1715" t="s">
        <v>6242</v>
      </c>
      <c r="D1715" s="4">
        <v>1.8663000000000001</v>
      </c>
      <c r="E1715" s="4">
        <v>4.99</v>
      </c>
      <c r="F1715" t="s">
        <v>6243</v>
      </c>
      <c r="G1715" t="s">
        <v>6228</v>
      </c>
      <c r="H1715" t="s">
        <v>3583</v>
      </c>
      <c r="I1715" t="s">
        <v>3583</v>
      </c>
      <c r="J1715" t="s">
        <v>3584</v>
      </c>
      <c r="K1715" s="4">
        <v>4.99</v>
      </c>
      <c r="L1715" s="4">
        <v>1.8663000000000001</v>
      </c>
    </row>
    <row r="1716" spans="1:12">
      <c r="A1716" s="1">
        <v>42900</v>
      </c>
      <c r="B1716">
        <v>1</v>
      </c>
      <c r="C1716" t="s">
        <v>6288</v>
      </c>
      <c r="D1716" s="4">
        <v>41.572299999999998</v>
      </c>
      <c r="E1716" s="4">
        <v>53.99</v>
      </c>
      <c r="F1716" t="s">
        <v>6235</v>
      </c>
      <c r="G1716" t="s">
        <v>6233</v>
      </c>
      <c r="H1716" t="s">
        <v>3586</v>
      </c>
      <c r="I1716" t="s">
        <v>3586</v>
      </c>
      <c r="J1716" t="s">
        <v>3587</v>
      </c>
      <c r="K1716" s="4">
        <v>53.99</v>
      </c>
      <c r="L1716" s="4">
        <v>41.572299999999998</v>
      </c>
    </row>
    <row r="1717" spans="1:12">
      <c r="A1717" s="1">
        <v>42900</v>
      </c>
      <c r="B1717">
        <v>1</v>
      </c>
      <c r="C1717" t="s">
        <v>6226</v>
      </c>
      <c r="D1717" s="4">
        <v>13.0863</v>
      </c>
      <c r="E1717" s="4">
        <v>34.99</v>
      </c>
      <c r="F1717" t="s">
        <v>6227</v>
      </c>
      <c r="G1717" t="s">
        <v>6228</v>
      </c>
      <c r="H1717" t="s">
        <v>3588</v>
      </c>
      <c r="I1717" t="s">
        <v>3588</v>
      </c>
      <c r="J1717" t="s">
        <v>3584</v>
      </c>
      <c r="K1717" s="4">
        <v>34.99</v>
      </c>
      <c r="L1717" s="4">
        <v>13.0863</v>
      </c>
    </row>
    <row r="1718" spans="1:12">
      <c r="A1718" s="1">
        <v>42900</v>
      </c>
      <c r="B1718">
        <v>1</v>
      </c>
      <c r="C1718" t="s">
        <v>6239</v>
      </c>
      <c r="D1718" s="4">
        <v>1.8663000000000001</v>
      </c>
      <c r="E1718" s="4">
        <v>4.99</v>
      </c>
      <c r="F1718" t="s">
        <v>6240</v>
      </c>
      <c r="G1718" t="s">
        <v>6228</v>
      </c>
      <c r="H1718" t="s">
        <v>3588</v>
      </c>
      <c r="I1718" t="s">
        <v>3588</v>
      </c>
      <c r="J1718" t="s">
        <v>3584</v>
      </c>
      <c r="K1718" s="4">
        <v>4.99</v>
      </c>
      <c r="L1718" s="4">
        <v>1.8663000000000001</v>
      </c>
    </row>
    <row r="1719" spans="1:12">
      <c r="A1719" s="1">
        <v>42901</v>
      </c>
      <c r="B1719">
        <v>1</v>
      </c>
      <c r="C1719" t="s">
        <v>6231</v>
      </c>
      <c r="D1719" s="4">
        <v>5.7051999999999996</v>
      </c>
      <c r="E1719" s="4">
        <v>8.6441999999999997</v>
      </c>
      <c r="F1719" t="s">
        <v>6232</v>
      </c>
      <c r="G1719" t="s">
        <v>6233</v>
      </c>
      <c r="H1719" t="s">
        <v>3577</v>
      </c>
      <c r="I1719" t="s">
        <v>3578</v>
      </c>
      <c r="J1719" t="s">
        <v>3579</v>
      </c>
      <c r="K1719" s="4">
        <v>8.6441999999999997</v>
      </c>
      <c r="L1719" s="4">
        <v>5.7051999999999996</v>
      </c>
    </row>
    <row r="1720" spans="1:12">
      <c r="A1720" s="1">
        <v>42901</v>
      </c>
      <c r="B1720">
        <v>1</v>
      </c>
      <c r="C1720" t="s">
        <v>6230</v>
      </c>
      <c r="D1720" s="4">
        <v>12.027799999999999</v>
      </c>
      <c r="E1720" s="4">
        <v>33.644199999999998</v>
      </c>
      <c r="F1720" t="s">
        <v>6227</v>
      </c>
      <c r="G1720" t="s">
        <v>6228</v>
      </c>
      <c r="H1720" t="s">
        <v>3582</v>
      </c>
      <c r="I1720" t="s">
        <v>3582</v>
      </c>
      <c r="J1720" t="s">
        <v>3579</v>
      </c>
      <c r="K1720" s="4">
        <v>33.644199999999998</v>
      </c>
      <c r="L1720" s="4">
        <v>12.027799999999999</v>
      </c>
    </row>
    <row r="1721" spans="1:12">
      <c r="A1721" s="1">
        <v>42901</v>
      </c>
      <c r="B1721">
        <v>1</v>
      </c>
      <c r="C1721" t="s">
        <v>6270</v>
      </c>
      <c r="D1721" s="4">
        <v>1.4923</v>
      </c>
      <c r="E1721" s="4">
        <v>3.99</v>
      </c>
      <c r="F1721" t="s">
        <v>6243</v>
      </c>
      <c r="G1721" t="s">
        <v>6228</v>
      </c>
      <c r="H1721" t="s">
        <v>3582</v>
      </c>
      <c r="I1721" t="s">
        <v>3582</v>
      </c>
      <c r="J1721" t="s">
        <v>3579</v>
      </c>
      <c r="K1721" s="4">
        <v>3.99</v>
      </c>
      <c r="L1721" s="4">
        <v>1.4923</v>
      </c>
    </row>
    <row r="1722" spans="1:12">
      <c r="A1722" s="1">
        <v>42901</v>
      </c>
      <c r="B1722">
        <v>1</v>
      </c>
      <c r="C1722" t="s">
        <v>6284</v>
      </c>
      <c r="D1722" s="4">
        <v>26.176300000000001</v>
      </c>
      <c r="E1722" s="4">
        <v>69.989999999999995</v>
      </c>
      <c r="F1722" t="s">
        <v>6262</v>
      </c>
      <c r="G1722" t="s">
        <v>6233</v>
      </c>
      <c r="H1722" t="s">
        <v>3583</v>
      </c>
      <c r="I1722" t="s">
        <v>3583</v>
      </c>
      <c r="J1722" t="s">
        <v>3584</v>
      </c>
      <c r="K1722" s="4">
        <v>69.989999999999995</v>
      </c>
      <c r="L1722" s="4">
        <v>26.176300000000001</v>
      </c>
    </row>
    <row r="1723" spans="1:12">
      <c r="A1723" s="1">
        <v>42901</v>
      </c>
      <c r="B1723">
        <v>1</v>
      </c>
      <c r="C1723" t="s">
        <v>6239</v>
      </c>
      <c r="D1723" s="4">
        <v>1.8663000000000001</v>
      </c>
      <c r="E1723" s="4">
        <v>4.99</v>
      </c>
      <c r="F1723" t="s">
        <v>6240</v>
      </c>
      <c r="G1723" t="s">
        <v>6228</v>
      </c>
      <c r="H1723" t="s">
        <v>3583</v>
      </c>
      <c r="I1723" t="s">
        <v>3583</v>
      </c>
      <c r="J1723" t="s">
        <v>3584</v>
      </c>
      <c r="K1723" s="4">
        <v>4.99</v>
      </c>
      <c r="L1723" s="4">
        <v>1.8663000000000001</v>
      </c>
    </row>
    <row r="1724" spans="1:12">
      <c r="A1724" s="1">
        <v>42901</v>
      </c>
      <c r="B1724">
        <v>1</v>
      </c>
      <c r="C1724" t="s">
        <v>6248</v>
      </c>
      <c r="D1724" s="4">
        <v>8.2204999999999995</v>
      </c>
      <c r="E1724" s="4">
        <v>21.98</v>
      </c>
      <c r="F1724" t="s">
        <v>6249</v>
      </c>
      <c r="G1724" t="s">
        <v>6228</v>
      </c>
      <c r="H1724" t="s">
        <v>3585</v>
      </c>
      <c r="I1724" t="s">
        <v>3585</v>
      </c>
      <c r="J1724" t="s">
        <v>3584</v>
      </c>
      <c r="K1724" s="4">
        <v>21.98</v>
      </c>
      <c r="L1724" s="4">
        <v>8.2204999999999995</v>
      </c>
    </row>
    <row r="1725" spans="1:12">
      <c r="A1725" s="1">
        <v>42901</v>
      </c>
      <c r="B1725">
        <v>1</v>
      </c>
      <c r="C1725" t="s">
        <v>6245</v>
      </c>
      <c r="D1725" s="4">
        <v>0.85650000000000004</v>
      </c>
      <c r="E1725" s="4">
        <v>2.29</v>
      </c>
      <c r="F1725" t="s">
        <v>6243</v>
      </c>
      <c r="G1725" t="s">
        <v>6228</v>
      </c>
      <c r="H1725" t="s">
        <v>3586</v>
      </c>
      <c r="I1725" t="s">
        <v>3586</v>
      </c>
      <c r="J1725" t="s">
        <v>3587</v>
      </c>
      <c r="K1725" s="4">
        <v>2.29</v>
      </c>
      <c r="L1725" s="4">
        <v>0.85650000000000004</v>
      </c>
    </row>
    <row r="1726" spans="1:12">
      <c r="A1726" s="1">
        <v>42901</v>
      </c>
      <c r="B1726">
        <v>1</v>
      </c>
      <c r="C1726" t="s">
        <v>6244</v>
      </c>
      <c r="D1726" s="4">
        <v>3.7363</v>
      </c>
      <c r="E1726" s="4">
        <v>9.99</v>
      </c>
      <c r="F1726" t="s">
        <v>6240</v>
      </c>
      <c r="G1726" t="s">
        <v>6228</v>
      </c>
      <c r="H1726" t="s">
        <v>3588</v>
      </c>
      <c r="I1726" t="s">
        <v>3588</v>
      </c>
      <c r="J1726" t="s">
        <v>3584</v>
      </c>
      <c r="K1726" s="4">
        <v>9.99</v>
      </c>
      <c r="L1726" s="4">
        <v>3.7363</v>
      </c>
    </row>
    <row r="1727" spans="1:12">
      <c r="A1727" s="1">
        <v>42902</v>
      </c>
      <c r="B1727">
        <v>1</v>
      </c>
      <c r="C1727" t="s">
        <v>6311</v>
      </c>
      <c r="D1727" s="4">
        <v>41.572299999999998</v>
      </c>
      <c r="E1727" s="4">
        <v>53.99</v>
      </c>
      <c r="F1727" t="s">
        <v>6235</v>
      </c>
      <c r="G1727" t="s">
        <v>6233</v>
      </c>
      <c r="H1727" t="s">
        <v>3583</v>
      </c>
      <c r="I1727" t="s">
        <v>3583</v>
      </c>
      <c r="J1727" t="s">
        <v>3584</v>
      </c>
      <c r="K1727" s="4">
        <v>53.99</v>
      </c>
      <c r="L1727" s="4">
        <v>41.572299999999998</v>
      </c>
    </row>
    <row r="1728" spans="1:12">
      <c r="A1728" s="1">
        <v>42902</v>
      </c>
      <c r="B1728">
        <v>1</v>
      </c>
      <c r="C1728" t="s">
        <v>6272</v>
      </c>
      <c r="D1728" s="4">
        <v>9.3462999999999994</v>
      </c>
      <c r="E1728" s="4">
        <v>24.99</v>
      </c>
      <c r="F1728" t="s">
        <v>6243</v>
      </c>
      <c r="G1728" t="s">
        <v>6228</v>
      </c>
      <c r="H1728" t="s">
        <v>3583</v>
      </c>
      <c r="I1728" t="s">
        <v>3583</v>
      </c>
      <c r="J1728" t="s">
        <v>3584</v>
      </c>
      <c r="K1728" s="4">
        <v>24.99</v>
      </c>
      <c r="L1728" s="4">
        <v>9.3462999999999994</v>
      </c>
    </row>
    <row r="1729" spans="1:12">
      <c r="A1729" s="1">
        <v>42902</v>
      </c>
      <c r="B1729">
        <v>1</v>
      </c>
      <c r="C1729" t="s">
        <v>6245</v>
      </c>
      <c r="D1729" s="4">
        <v>0.85650000000000004</v>
      </c>
      <c r="E1729" s="4">
        <v>2.29</v>
      </c>
      <c r="F1729" t="s">
        <v>6243</v>
      </c>
      <c r="G1729" t="s">
        <v>6228</v>
      </c>
      <c r="H1729" t="s">
        <v>3585</v>
      </c>
      <c r="I1729" t="s">
        <v>3585</v>
      </c>
      <c r="J1729" t="s">
        <v>3584</v>
      </c>
      <c r="K1729" s="4">
        <v>2.29</v>
      </c>
      <c r="L1729" s="4">
        <v>0.85650000000000004</v>
      </c>
    </row>
    <row r="1730" spans="1:12">
      <c r="A1730" s="1">
        <v>42902</v>
      </c>
      <c r="B1730">
        <v>1</v>
      </c>
      <c r="C1730" t="s">
        <v>6241</v>
      </c>
      <c r="D1730" s="4">
        <v>3.3622999999999998</v>
      </c>
      <c r="E1730" s="4">
        <v>8.99</v>
      </c>
      <c r="F1730" t="s">
        <v>6240</v>
      </c>
      <c r="G1730" t="s">
        <v>6228</v>
      </c>
      <c r="H1730" t="s">
        <v>3586</v>
      </c>
      <c r="I1730" t="s">
        <v>3586</v>
      </c>
      <c r="J1730" t="s">
        <v>3587</v>
      </c>
      <c r="K1730" s="4">
        <v>8.99</v>
      </c>
      <c r="L1730" s="4">
        <v>3.3622999999999998</v>
      </c>
    </row>
    <row r="1731" spans="1:12">
      <c r="A1731" s="1">
        <v>42902</v>
      </c>
      <c r="B1731">
        <v>1</v>
      </c>
      <c r="C1731" t="s">
        <v>6255</v>
      </c>
      <c r="D1731" s="4">
        <v>9.7135999999999996</v>
      </c>
      <c r="E1731" s="4">
        <v>23.548100000000002</v>
      </c>
      <c r="F1731" t="s">
        <v>6251</v>
      </c>
      <c r="G1731" t="s">
        <v>6233</v>
      </c>
      <c r="H1731" t="s">
        <v>3588</v>
      </c>
      <c r="I1731" t="s">
        <v>3588</v>
      </c>
      <c r="J1731" t="s">
        <v>3584</v>
      </c>
      <c r="K1731" s="4">
        <v>23.548100000000002</v>
      </c>
      <c r="L1731" s="4">
        <v>9.7135999999999996</v>
      </c>
    </row>
    <row r="1732" spans="1:12">
      <c r="A1732" s="1">
        <v>42903</v>
      </c>
      <c r="B1732">
        <v>1</v>
      </c>
      <c r="C1732" t="s">
        <v>3538</v>
      </c>
      <c r="D1732" s="4">
        <v>1117.8559</v>
      </c>
      <c r="E1732" s="4">
        <v>2071.4196000000002</v>
      </c>
      <c r="F1732" t="s">
        <v>3478</v>
      </c>
      <c r="G1732" t="s">
        <v>3475</v>
      </c>
      <c r="H1732" t="s">
        <v>3577</v>
      </c>
      <c r="I1732" t="s">
        <v>3578</v>
      </c>
      <c r="J1732" t="s">
        <v>3579</v>
      </c>
      <c r="K1732" s="4">
        <v>2071.4196000000002</v>
      </c>
      <c r="L1732" s="4">
        <v>1117.8559</v>
      </c>
    </row>
    <row r="1733" spans="1:12">
      <c r="A1733" s="1">
        <v>42903</v>
      </c>
      <c r="B1733">
        <v>1</v>
      </c>
      <c r="C1733" t="s">
        <v>6298</v>
      </c>
      <c r="D1733" s="4">
        <v>3.3622999999999998</v>
      </c>
      <c r="E1733" s="4">
        <v>8.99</v>
      </c>
      <c r="F1733" t="s">
        <v>6264</v>
      </c>
      <c r="G1733" t="s">
        <v>6233</v>
      </c>
      <c r="H1733" t="s">
        <v>3577</v>
      </c>
      <c r="I1733" t="s">
        <v>3578</v>
      </c>
      <c r="J1733" t="s">
        <v>3579</v>
      </c>
      <c r="K1733" s="4">
        <v>8.99</v>
      </c>
      <c r="L1733" s="4">
        <v>3.3622999999999998</v>
      </c>
    </row>
    <row r="1734" spans="1:12">
      <c r="A1734" s="1">
        <v>42903</v>
      </c>
      <c r="B1734">
        <v>1</v>
      </c>
      <c r="C1734" t="s">
        <v>6268</v>
      </c>
      <c r="D1734" s="4">
        <v>41.572299999999998</v>
      </c>
      <c r="E1734" s="4">
        <v>53.99</v>
      </c>
      <c r="F1734" t="s">
        <v>6235</v>
      </c>
      <c r="G1734" t="s">
        <v>6233</v>
      </c>
      <c r="H1734" t="s">
        <v>3586</v>
      </c>
      <c r="I1734" t="s">
        <v>3586</v>
      </c>
      <c r="J1734" t="s">
        <v>3587</v>
      </c>
      <c r="K1734" s="4">
        <v>53.99</v>
      </c>
      <c r="L1734" s="4">
        <v>41.572299999999998</v>
      </c>
    </row>
    <row r="1735" spans="1:12">
      <c r="A1735" s="1">
        <v>42903</v>
      </c>
      <c r="B1735">
        <v>1</v>
      </c>
      <c r="C1735" t="s">
        <v>6242</v>
      </c>
      <c r="D1735" s="4">
        <v>1.8663000000000001</v>
      </c>
      <c r="E1735" s="4">
        <v>4.99</v>
      </c>
      <c r="F1735" t="s">
        <v>6243</v>
      </c>
      <c r="G1735" t="s">
        <v>6228</v>
      </c>
      <c r="H1735" t="s">
        <v>3586</v>
      </c>
      <c r="I1735" t="s">
        <v>3586</v>
      </c>
      <c r="J1735" t="s">
        <v>3587</v>
      </c>
      <c r="K1735" s="4">
        <v>4.99</v>
      </c>
      <c r="L1735" s="4">
        <v>1.8663000000000001</v>
      </c>
    </row>
    <row r="1736" spans="1:12">
      <c r="A1736" s="1">
        <v>42903</v>
      </c>
      <c r="B1736">
        <v>1</v>
      </c>
      <c r="C1736" t="s">
        <v>6272</v>
      </c>
      <c r="D1736" s="4">
        <v>9.3462999999999994</v>
      </c>
      <c r="E1736" s="4">
        <v>24.99</v>
      </c>
      <c r="F1736" t="s">
        <v>6243</v>
      </c>
      <c r="G1736" t="s">
        <v>6228</v>
      </c>
      <c r="H1736" t="s">
        <v>3586</v>
      </c>
      <c r="I1736" t="s">
        <v>3586</v>
      </c>
      <c r="J1736" t="s">
        <v>3587</v>
      </c>
      <c r="K1736" s="4">
        <v>24.99</v>
      </c>
      <c r="L1736" s="4">
        <v>9.3462999999999994</v>
      </c>
    </row>
    <row r="1737" spans="1:12">
      <c r="A1737" s="1">
        <v>42903</v>
      </c>
      <c r="B1737">
        <v>1</v>
      </c>
      <c r="C1737" t="s">
        <v>3536</v>
      </c>
      <c r="D1737" s="4">
        <v>1117.8559</v>
      </c>
      <c r="E1737" s="4">
        <v>2071.4196000000002</v>
      </c>
      <c r="F1737" t="s">
        <v>3478</v>
      </c>
      <c r="G1737" t="s">
        <v>3475</v>
      </c>
      <c r="H1737" t="s">
        <v>3588</v>
      </c>
      <c r="I1737" t="s">
        <v>3588</v>
      </c>
      <c r="J1737" t="s">
        <v>3584</v>
      </c>
      <c r="K1737" s="4">
        <v>2071.4196000000002</v>
      </c>
      <c r="L1737" s="4">
        <v>1117.8559</v>
      </c>
    </row>
    <row r="1738" spans="1:12">
      <c r="A1738" s="1">
        <v>42903</v>
      </c>
      <c r="B1738">
        <v>1</v>
      </c>
      <c r="C1738" t="s">
        <v>6324</v>
      </c>
      <c r="D1738" s="4">
        <v>294.5797</v>
      </c>
      <c r="E1738" s="4">
        <v>539.99</v>
      </c>
      <c r="F1738" t="s">
        <v>3478</v>
      </c>
      <c r="G1738" t="s">
        <v>3475</v>
      </c>
      <c r="H1738" t="s">
        <v>3588</v>
      </c>
      <c r="I1738" t="s">
        <v>3588</v>
      </c>
      <c r="J1738" t="s">
        <v>3584</v>
      </c>
      <c r="K1738" s="4">
        <v>539.99</v>
      </c>
      <c r="L1738" s="4">
        <v>294.5797</v>
      </c>
    </row>
    <row r="1739" spans="1:12">
      <c r="A1739" s="1">
        <v>42904</v>
      </c>
      <c r="B1739">
        <v>1</v>
      </c>
      <c r="C1739" t="s">
        <v>6272</v>
      </c>
      <c r="D1739" s="4">
        <v>9.3462999999999994</v>
      </c>
      <c r="E1739" s="4">
        <v>24.99</v>
      </c>
      <c r="F1739" t="s">
        <v>6243</v>
      </c>
      <c r="G1739" t="s">
        <v>6228</v>
      </c>
      <c r="H1739" t="s">
        <v>3588</v>
      </c>
      <c r="I1739" t="s">
        <v>3588</v>
      </c>
      <c r="J1739" t="s">
        <v>3584</v>
      </c>
      <c r="K1739" s="4">
        <v>24.99</v>
      </c>
      <c r="L1739" s="4">
        <v>9.3462999999999994</v>
      </c>
    </row>
    <row r="1740" spans="1:12">
      <c r="A1740" s="1">
        <v>42905</v>
      </c>
      <c r="B1740">
        <v>1</v>
      </c>
      <c r="C1740" t="s">
        <v>3540</v>
      </c>
      <c r="D1740" s="4">
        <v>1117.8559</v>
      </c>
      <c r="E1740" s="4">
        <v>2071.4196000000002</v>
      </c>
      <c r="F1740" t="s">
        <v>3478</v>
      </c>
      <c r="G1740" t="s">
        <v>3475</v>
      </c>
      <c r="H1740" t="s">
        <v>3577</v>
      </c>
      <c r="I1740" t="s">
        <v>3578</v>
      </c>
      <c r="J1740" t="s">
        <v>3579</v>
      </c>
      <c r="K1740" s="4">
        <v>2071.4196000000002</v>
      </c>
      <c r="L1740" s="4">
        <v>1117.8559</v>
      </c>
    </row>
    <row r="1741" spans="1:12">
      <c r="A1741" s="1">
        <v>42905</v>
      </c>
      <c r="B1741">
        <v>1</v>
      </c>
      <c r="C1741" t="s">
        <v>6250</v>
      </c>
      <c r="D1741" s="4">
        <v>9.7135999999999996</v>
      </c>
      <c r="E1741" s="4">
        <v>23.548100000000002</v>
      </c>
      <c r="F1741" t="s">
        <v>6251</v>
      </c>
      <c r="G1741" t="s">
        <v>6233</v>
      </c>
      <c r="H1741" t="s">
        <v>3583</v>
      </c>
      <c r="I1741" t="s">
        <v>3583</v>
      </c>
      <c r="J1741" t="s">
        <v>3584</v>
      </c>
      <c r="K1741" s="4">
        <v>23.548100000000002</v>
      </c>
      <c r="L1741" s="4">
        <v>9.7135999999999996</v>
      </c>
    </row>
    <row r="1742" spans="1:12">
      <c r="A1742" s="1">
        <v>42905</v>
      </c>
      <c r="B1742">
        <v>1</v>
      </c>
      <c r="C1742" t="s">
        <v>6246</v>
      </c>
      <c r="D1742" s="4">
        <v>20.566299999999998</v>
      </c>
      <c r="E1742" s="4">
        <v>54.99</v>
      </c>
      <c r="F1742" t="s">
        <v>6247</v>
      </c>
      <c r="G1742" t="s">
        <v>6228</v>
      </c>
      <c r="H1742" t="s">
        <v>3586</v>
      </c>
      <c r="I1742" t="s">
        <v>3586</v>
      </c>
      <c r="J1742" t="s">
        <v>3587</v>
      </c>
      <c r="K1742" s="4">
        <v>54.99</v>
      </c>
      <c r="L1742" s="4">
        <v>20.566299999999998</v>
      </c>
    </row>
    <row r="1743" spans="1:12">
      <c r="A1743" s="1">
        <v>42905</v>
      </c>
      <c r="B1743">
        <v>1</v>
      </c>
      <c r="C1743" t="s">
        <v>6307</v>
      </c>
      <c r="D1743" s="4">
        <v>1481.9378999999999</v>
      </c>
      <c r="E1743" s="4">
        <v>2384.0700000000002</v>
      </c>
      <c r="F1743" t="s">
        <v>6274</v>
      </c>
      <c r="G1743" t="s">
        <v>3475</v>
      </c>
      <c r="H1743" t="s">
        <v>3588</v>
      </c>
      <c r="I1743" t="s">
        <v>3588</v>
      </c>
      <c r="J1743" t="s">
        <v>3584</v>
      </c>
      <c r="K1743" s="4">
        <v>2384.0700000000002</v>
      </c>
      <c r="L1743" s="4">
        <v>1481.9378999999999</v>
      </c>
    </row>
    <row r="1744" spans="1:12">
      <c r="A1744" s="1">
        <v>42906</v>
      </c>
      <c r="B1744">
        <v>1</v>
      </c>
      <c r="C1744" t="s">
        <v>6242</v>
      </c>
      <c r="D1744" s="4">
        <v>1.8663000000000001</v>
      </c>
      <c r="E1744" s="4">
        <v>4.99</v>
      </c>
      <c r="F1744" t="s">
        <v>6243</v>
      </c>
      <c r="G1744" t="s">
        <v>6228</v>
      </c>
      <c r="H1744" t="s">
        <v>3577</v>
      </c>
      <c r="I1744" t="s">
        <v>3578</v>
      </c>
      <c r="J1744" t="s">
        <v>3579</v>
      </c>
      <c r="K1744" s="4">
        <v>4.99</v>
      </c>
      <c r="L1744" s="4">
        <v>1.8663000000000001</v>
      </c>
    </row>
    <row r="1745" spans="1:12">
      <c r="A1745" s="1">
        <v>42906</v>
      </c>
      <c r="B1745">
        <v>1</v>
      </c>
      <c r="C1745" t="s">
        <v>6241</v>
      </c>
      <c r="D1745" s="4">
        <v>3.3622999999999998</v>
      </c>
      <c r="E1745" s="4">
        <v>8.99</v>
      </c>
      <c r="F1745" t="s">
        <v>6240</v>
      </c>
      <c r="G1745" t="s">
        <v>6228</v>
      </c>
      <c r="H1745" t="s">
        <v>3580</v>
      </c>
      <c r="I1745" t="s">
        <v>3578</v>
      </c>
      <c r="J1745" t="s">
        <v>3579</v>
      </c>
      <c r="K1745" s="4">
        <v>8.99</v>
      </c>
      <c r="L1745" s="4">
        <v>3.3622999999999998</v>
      </c>
    </row>
    <row r="1746" spans="1:12">
      <c r="A1746" s="1">
        <v>42906</v>
      </c>
      <c r="B1746">
        <v>1</v>
      </c>
      <c r="C1746" t="s">
        <v>6306</v>
      </c>
      <c r="D1746" s="4">
        <v>461.44479999999999</v>
      </c>
      <c r="E1746" s="4">
        <v>742.35</v>
      </c>
      <c r="F1746" t="s">
        <v>6274</v>
      </c>
      <c r="G1746" t="s">
        <v>3475</v>
      </c>
      <c r="H1746" t="s">
        <v>3585</v>
      </c>
      <c r="I1746" t="s">
        <v>3585</v>
      </c>
      <c r="J1746" t="s">
        <v>3584</v>
      </c>
      <c r="K1746" s="4">
        <v>742.35</v>
      </c>
      <c r="L1746" s="4">
        <v>461.44479999999999</v>
      </c>
    </row>
    <row r="1747" spans="1:12">
      <c r="A1747" s="1">
        <v>42906</v>
      </c>
      <c r="B1747">
        <v>1</v>
      </c>
      <c r="C1747" t="s">
        <v>3546</v>
      </c>
      <c r="D1747" s="4">
        <v>1105.81</v>
      </c>
      <c r="E1747" s="4">
        <v>2049.0981999999999</v>
      </c>
      <c r="F1747" t="s">
        <v>3478</v>
      </c>
      <c r="G1747" t="s">
        <v>3475</v>
      </c>
      <c r="H1747" t="s">
        <v>3586</v>
      </c>
      <c r="I1747" t="s">
        <v>3586</v>
      </c>
      <c r="J1747" t="s">
        <v>3587</v>
      </c>
      <c r="K1747" s="4">
        <v>2049.0981999999999</v>
      </c>
      <c r="L1747" s="4">
        <v>1105.81</v>
      </c>
    </row>
    <row r="1748" spans="1:12">
      <c r="A1748" s="1">
        <v>42907</v>
      </c>
      <c r="B1748">
        <v>1</v>
      </c>
      <c r="C1748" t="s">
        <v>6230</v>
      </c>
      <c r="D1748" s="4">
        <v>12.027799999999999</v>
      </c>
      <c r="E1748" s="4">
        <v>33.644199999999998</v>
      </c>
      <c r="F1748" t="s">
        <v>6227</v>
      </c>
      <c r="G1748" t="s">
        <v>6228</v>
      </c>
      <c r="H1748" t="s">
        <v>3583</v>
      </c>
      <c r="I1748" t="s">
        <v>3583</v>
      </c>
      <c r="J1748" t="s">
        <v>3584</v>
      </c>
      <c r="K1748" s="4">
        <v>33.644199999999998</v>
      </c>
      <c r="L1748" s="4">
        <v>12.027799999999999</v>
      </c>
    </row>
    <row r="1749" spans="1:12">
      <c r="A1749" s="1">
        <v>42907</v>
      </c>
      <c r="B1749">
        <v>1</v>
      </c>
      <c r="C1749" t="s">
        <v>6289</v>
      </c>
      <c r="D1749" s="4">
        <v>308.21789999999999</v>
      </c>
      <c r="E1749" s="4">
        <v>564.99</v>
      </c>
      <c r="F1749" t="s">
        <v>3478</v>
      </c>
      <c r="G1749" t="s">
        <v>3475</v>
      </c>
      <c r="H1749" t="s">
        <v>3583</v>
      </c>
      <c r="I1749" t="s">
        <v>3583</v>
      </c>
      <c r="J1749" t="s">
        <v>3584</v>
      </c>
      <c r="K1749" s="4">
        <v>564.99</v>
      </c>
      <c r="L1749" s="4">
        <v>308.21789999999999</v>
      </c>
    </row>
    <row r="1750" spans="1:12">
      <c r="A1750" s="1">
        <v>42907</v>
      </c>
      <c r="B1750">
        <v>1</v>
      </c>
      <c r="C1750" t="s">
        <v>6263</v>
      </c>
      <c r="D1750" s="4">
        <v>3.3622999999999998</v>
      </c>
      <c r="E1750" s="4">
        <v>8.99</v>
      </c>
      <c r="F1750" t="s">
        <v>6264</v>
      </c>
      <c r="G1750" t="s">
        <v>6233</v>
      </c>
      <c r="H1750" t="s">
        <v>3585</v>
      </c>
      <c r="I1750" t="s">
        <v>3585</v>
      </c>
      <c r="J1750" t="s">
        <v>3584</v>
      </c>
      <c r="K1750" s="4">
        <v>8.99</v>
      </c>
      <c r="L1750" s="4">
        <v>3.3622999999999998</v>
      </c>
    </row>
    <row r="1751" spans="1:12">
      <c r="A1751" s="1">
        <v>42907</v>
      </c>
      <c r="B1751">
        <v>1</v>
      </c>
      <c r="C1751" t="s">
        <v>6271</v>
      </c>
      <c r="D1751" s="4">
        <v>11.2163</v>
      </c>
      <c r="E1751" s="4">
        <v>29.99</v>
      </c>
      <c r="F1751" t="s">
        <v>6243</v>
      </c>
      <c r="G1751" t="s">
        <v>6228</v>
      </c>
      <c r="H1751" t="s">
        <v>3585</v>
      </c>
      <c r="I1751" t="s">
        <v>3585</v>
      </c>
      <c r="J1751" t="s">
        <v>3584</v>
      </c>
      <c r="K1751" s="4">
        <v>29.99</v>
      </c>
      <c r="L1751" s="4">
        <v>11.2163</v>
      </c>
    </row>
    <row r="1752" spans="1:12">
      <c r="A1752" s="1">
        <v>42907</v>
      </c>
      <c r="B1752">
        <v>1</v>
      </c>
      <c r="C1752" t="s">
        <v>6250</v>
      </c>
      <c r="D1752" s="4">
        <v>9.7135999999999996</v>
      </c>
      <c r="E1752" s="4">
        <v>23.548100000000002</v>
      </c>
      <c r="F1752" t="s">
        <v>6251</v>
      </c>
      <c r="G1752" t="s">
        <v>6233</v>
      </c>
      <c r="H1752" t="s">
        <v>3586</v>
      </c>
      <c r="I1752" t="s">
        <v>3586</v>
      </c>
      <c r="J1752" t="s">
        <v>3587</v>
      </c>
      <c r="K1752" s="4">
        <v>23.548100000000002</v>
      </c>
      <c r="L1752" s="4">
        <v>9.7135999999999996</v>
      </c>
    </row>
    <row r="1753" spans="1:12">
      <c r="A1753" s="1">
        <v>42907</v>
      </c>
      <c r="B1753">
        <v>1</v>
      </c>
      <c r="C1753" t="s">
        <v>6239</v>
      </c>
      <c r="D1753" s="4">
        <v>1.8663000000000001</v>
      </c>
      <c r="E1753" s="4">
        <v>4.99</v>
      </c>
      <c r="F1753" t="s">
        <v>6240</v>
      </c>
      <c r="G1753" t="s">
        <v>6228</v>
      </c>
      <c r="H1753" t="s">
        <v>3586</v>
      </c>
      <c r="I1753" t="s">
        <v>3586</v>
      </c>
      <c r="J1753" t="s">
        <v>3587</v>
      </c>
      <c r="K1753" s="4">
        <v>4.99</v>
      </c>
      <c r="L1753" s="4">
        <v>1.8663000000000001</v>
      </c>
    </row>
    <row r="1754" spans="1:12">
      <c r="A1754" s="1">
        <v>42907</v>
      </c>
      <c r="B1754">
        <v>1</v>
      </c>
      <c r="C1754" t="s">
        <v>6230</v>
      </c>
      <c r="D1754" s="4">
        <v>12.027799999999999</v>
      </c>
      <c r="E1754" s="4">
        <v>33.644199999999998</v>
      </c>
      <c r="F1754" t="s">
        <v>6227</v>
      </c>
      <c r="G1754" t="s">
        <v>6228</v>
      </c>
      <c r="H1754" t="s">
        <v>3588</v>
      </c>
      <c r="I1754" t="s">
        <v>3588</v>
      </c>
      <c r="J1754" t="s">
        <v>3584</v>
      </c>
      <c r="K1754" s="4">
        <v>33.644199999999998</v>
      </c>
      <c r="L1754" s="4">
        <v>12.027799999999999</v>
      </c>
    </row>
    <row r="1755" spans="1:12">
      <c r="A1755" s="1">
        <v>42907</v>
      </c>
      <c r="B1755">
        <v>1</v>
      </c>
      <c r="C1755" t="s">
        <v>6239</v>
      </c>
      <c r="D1755" s="4">
        <v>1.8663000000000001</v>
      </c>
      <c r="E1755" s="4">
        <v>4.99</v>
      </c>
      <c r="F1755" t="s">
        <v>6240</v>
      </c>
      <c r="G1755" t="s">
        <v>6228</v>
      </c>
      <c r="H1755" t="s">
        <v>3588</v>
      </c>
      <c r="I1755" t="s">
        <v>3588</v>
      </c>
      <c r="J1755" t="s">
        <v>3584</v>
      </c>
      <c r="K1755" s="4">
        <v>4.99</v>
      </c>
      <c r="L1755" s="4">
        <v>1.8663000000000001</v>
      </c>
    </row>
    <row r="1756" spans="1:12">
      <c r="A1756" s="1">
        <v>42908</v>
      </c>
      <c r="B1756">
        <v>1</v>
      </c>
      <c r="C1756" t="s">
        <v>6237</v>
      </c>
      <c r="D1756" s="4">
        <v>31.724399999999999</v>
      </c>
      <c r="E1756" s="4">
        <v>48.067300000000003</v>
      </c>
      <c r="F1756" t="s">
        <v>6235</v>
      </c>
      <c r="G1756" t="s">
        <v>6233</v>
      </c>
      <c r="H1756" t="s">
        <v>3577</v>
      </c>
      <c r="I1756" t="s">
        <v>3578</v>
      </c>
      <c r="J1756" t="s">
        <v>3579</v>
      </c>
      <c r="K1756" s="4">
        <v>48.067300000000003</v>
      </c>
      <c r="L1756" s="4">
        <v>31.724399999999999</v>
      </c>
    </row>
    <row r="1757" spans="1:12">
      <c r="A1757" s="1">
        <v>42908</v>
      </c>
      <c r="B1757">
        <v>1</v>
      </c>
      <c r="C1757" t="s">
        <v>6248</v>
      </c>
      <c r="D1757" s="4">
        <v>8.2204999999999995</v>
      </c>
      <c r="E1757" s="4">
        <v>21.98</v>
      </c>
      <c r="F1757" t="s">
        <v>6249</v>
      </c>
      <c r="G1757" t="s">
        <v>6228</v>
      </c>
      <c r="H1757" t="s">
        <v>3577</v>
      </c>
      <c r="I1757" t="s">
        <v>3578</v>
      </c>
      <c r="J1757" t="s">
        <v>3579</v>
      </c>
      <c r="K1757" s="4">
        <v>21.98</v>
      </c>
      <c r="L1757" s="4">
        <v>8.2204999999999995</v>
      </c>
    </row>
    <row r="1758" spans="1:12">
      <c r="A1758" s="1">
        <v>42908</v>
      </c>
      <c r="B1758">
        <v>1</v>
      </c>
      <c r="C1758" t="s">
        <v>6270</v>
      </c>
      <c r="D1758" s="4">
        <v>1.4923</v>
      </c>
      <c r="E1758" s="4">
        <v>3.99</v>
      </c>
      <c r="F1758" t="s">
        <v>6243</v>
      </c>
      <c r="G1758" t="s">
        <v>6228</v>
      </c>
      <c r="H1758" t="s">
        <v>3580</v>
      </c>
      <c r="I1758" t="s">
        <v>3578</v>
      </c>
      <c r="J1758" t="s">
        <v>3579</v>
      </c>
      <c r="K1758" s="4">
        <v>3.99</v>
      </c>
      <c r="L1758" s="4">
        <v>1.4923</v>
      </c>
    </row>
    <row r="1759" spans="1:12">
      <c r="A1759" s="1">
        <v>42908</v>
      </c>
      <c r="B1759">
        <v>1</v>
      </c>
      <c r="C1759" t="s">
        <v>6230</v>
      </c>
      <c r="D1759" s="4">
        <v>12.027799999999999</v>
      </c>
      <c r="E1759" s="4">
        <v>33.644199999999998</v>
      </c>
      <c r="F1759" t="s">
        <v>6227</v>
      </c>
      <c r="G1759" t="s">
        <v>6228</v>
      </c>
      <c r="H1759" t="s">
        <v>3582</v>
      </c>
      <c r="I1759" t="s">
        <v>3582</v>
      </c>
      <c r="J1759" t="s">
        <v>3579</v>
      </c>
      <c r="K1759" s="4">
        <v>33.644199999999998</v>
      </c>
      <c r="L1759" s="4">
        <v>12.027799999999999</v>
      </c>
    </row>
    <row r="1760" spans="1:12">
      <c r="A1760" s="1">
        <v>42908</v>
      </c>
      <c r="B1760">
        <v>1</v>
      </c>
      <c r="C1760" t="s">
        <v>6261</v>
      </c>
      <c r="D1760" s="4">
        <v>26.176300000000001</v>
      </c>
      <c r="E1760" s="4">
        <v>69.989999999999995</v>
      </c>
      <c r="F1760" t="s">
        <v>6262</v>
      </c>
      <c r="G1760" t="s">
        <v>6233</v>
      </c>
      <c r="H1760" t="s">
        <v>3582</v>
      </c>
      <c r="I1760" t="s">
        <v>3582</v>
      </c>
      <c r="J1760" t="s">
        <v>3579</v>
      </c>
      <c r="K1760" s="4">
        <v>69.989999999999995</v>
      </c>
      <c r="L1760" s="4">
        <v>26.176300000000001</v>
      </c>
    </row>
    <row r="1761" spans="1:12">
      <c r="A1761" s="1">
        <v>42908</v>
      </c>
      <c r="B1761">
        <v>1</v>
      </c>
      <c r="C1761" t="s">
        <v>6291</v>
      </c>
      <c r="D1761" s="4">
        <v>41.572299999999998</v>
      </c>
      <c r="E1761" s="4">
        <v>53.99</v>
      </c>
      <c r="F1761" t="s">
        <v>6235</v>
      </c>
      <c r="G1761" t="s">
        <v>6233</v>
      </c>
      <c r="H1761" t="s">
        <v>3582</v>
      </c>
      <c r="I1761" t="s">
        <v>3582</v>
      </c>
      <c r="J1761" t="s">
        <v>3579</v>
      </c>
      <c r="K1761" s="4">
        <v>53.99</v>
      </c>
      <c r="L1761" s="4">
        <v>41.572299999999998</v>
      </c>
    </row>
    <row r="1762" spans="1:12">
      <c r="A1762" s="1">
        <v>42908</v>
      </c>
      <c r="B1762">
        <v>1</v>
      </c>
      <c r="C1762" t="s">
        <v>6254</v>
      </c>
      <c r="D1762" s="4">
        <v>12.192399999999999</v>
      </c>
      <c r="E1762" s="4">
        <v>32.6</v>
      </c>
      <c r="F1762" t="s">
        <v>6243</v>
      </c>
      <c r="G1762" t="s">
        <v>6228</v>
      </c>
      <c r="H1762" t="s">
        <v>3583</v>
      </c>
      <c r="I1762" t="s">
        <v>3583</v>
      </c>
      <c r="J1762" t="s">
        <v>3584</v>
      </c>
      <c r="K1762" s="4">
        <v>32.6</v>
      </c>
      <c r="L1762" s="4">
        <v>12.192399999999999</v>
      </c>
    </row>
    <row r="1763" spans="1:12">
      <c r="A1763" s="1">
        <v>42908</v>
      </c>
      <c r="B1763">
        <v>1</v>
      </c>
      <c r="C1763" t="s">
        <v>6239</v>
      </c>
      <c r="D1763" s="4">
        <v>1.8663000000000001</v>
      </c>
      <c r="E1763" s="4">
        <v>4.99</v>
      </c>
      <c r="F1763" t="s">
        <v>6240</v>
      </c>
      <c r="G1763" t="s">
        <v>6228</v>
      </c>
      <c r="H1763" t="s">
        <v>3586</v>
      </c>
      <c r="I1763" t="s">
        <v>3586</v>
      </c>
      <c r="J1763" t="s">
        <v>3587</v>
      </c>
      <c r="K1763" s="4">
        <v>4.99</v>
      </c>
      <c r="L1763" s="4">
        <v>1.8663000000000001</v>
      </c>
    </row>
    <row r="1764" spans="1:12">
      <c r="A1764" s="1">
        <v>42908</v>
      </c>
      <c r="B1764">
        <v>1</v>
      </c>
      <c r="C1764" t="s">
        <v>6301</v>
      </c>
      <c r="D1764" s="4">
        <v>343.64960000000002</v>
      </c>
      <c r="E1764" s="4">
        <v>539.99</v>
      </c>
      <c r="F1764" t="s">
        <v>3479</v>
      </c>
      <c r="G1764" t="s">
        <v>3475</v>
      </c>
      <c r="H1764" t="s">
        <v>3586</v>
      </c>
      <c r="I1764" t="s">
        <v>3586</v>
      </c>
      <c r="J1764" t="s">
        <v>3587</v>
      </c>
      <c r="K1764" s="4">
        <v>539.99</v>
      </c>
      <c r="L1764" s="4">
        <v>343.64960000000002</v>
      </c>
    </row>
    <row r="1765" spans="1:12">
      <c r="A1765" s="1">
        <v>42909</v>
      </c>
      <c r="B1765">
        <v>1</v>
      </c>
      <c r="C1765" t="s">
        <v>6242</v>
      </c>
      <c r="D1765" s="4">
        <v>1.8663000000000001</v>
      </c>
      <c r="E1765" s="4">
        <v>4.99</v>
      </c>
      <c r="F1765" t="s">
        <v>6243</v>
      </c>
      <c r="G1765" t="s">
        <v>6228</v>
      </c>
      <c r="H1765" t="s">
        <v>3582</v>
      </c>
      <c r="I1765" t="s">
        <v>3582</v>
      </c>
      <c r="J1765" t="s">
        <v>3579</v>
      </c>
      <c r="K1765" s="4">
        <v>4.99</v>
      </c>
      <c r="L1765" s="4">
        <v>1.8663000000000001</v>
      </c>
    </row>
    <row r="1766" spans="1:12">
      <c r="A1766" s="1">
        <v>42909</v>
      </c>
      <c r="B1766">
        <v>1</v>
      </c>
      <c r="C1766" t="s">
        <v>6269</v>
      </c>
      <c r="D1766" s="4">
        <v>9.3462999999999994</v>
      </c>
      <c r="E1766" s="4">
        <v>24.99</v>
      </c>
      <c r="F1766" t="s">
        <v>6243</v>
      </c>
      <c r="G1766" t="s">
        <v>6228</v>
      </c>
      <c r="H1766" t="s">
        <v>3586</v>
      </c>
      <c r="I1766" t="s">
        <v>3586</v>
      </c>
      <c r="J1766" t="s">
        <v>3587</v>
      </c>
      <c r="K1766" s="4">
        <v>24.99</v>
      </c>
      <c r="L1766" s="4">
        <v>9.3462999999999994</v>
      </c>
    </row>
    <row r="1767" spans="1:12">
      <c r="A1767" s="1">
        <v>42909</v>
      </c>
      <c r="B1767">
        <v>1</v>
      </c>
      <c r="C1767" t="s">
        <v>6283</v>
      </c>
      <c r="D1767" s="4">
        <v>1481.9378999999999</v>
      </c>
      <c r="E1767" s="4">
        <v>2384.0700000000002</v>
      </c>
      <c r="F1767" t="s">
        <v>6274</v>
      </c>
      <c r="G1767" t="s">
        <v>3475</v>
      </c>
      <c r="H1767" t="s">
        <v>3586</v>
      </c>
      <c r="I1767" t="s">
        <v>3586</v>
      </c>
      <c r="J1767" t="s">
        <v>3587</v>
      </c>
      <c r="K1767" s="4">
        <v>2384.0700000000002</v>
      </c>
      <c r="L1767" s="4">
        <v>1481.9378999999999</v>
      </c>
    </row>
    <row r="1768" spans="1:12">
      <c r="A1768" s="1">
        <v>42909</v>
      </c>
      <c r="B1768">
        <v>1</v>
      </c>
      <c r="C1768" t="s">
        <v>6307</v>
      </c>
      <c r="D1768" s="4">
        <v>1481.9378999999999</v>
      </c>
      <c r="E1768" s="4">
        <v>2384.0700000000002</v>
      </c>
      <c r="F1768" t="s">
        <v>6274</v>
      </c>
      <c r="G1768" t="s">
        <v>3475</v>
      </c>
      <c r="H1768" t="s">
        <v>3586</v>
      </c>
      <c r="I1768" t="s">
        <v>3586</v>
      </c>
      <c r="J1768" t="s">
        <v>3587</v>
      </c>
      <c r="K1768" s="4">
        <v>2384.0700000000002</v>
      </c>
      <c r="L1768" s="4">
        <v>1481.9378999999999</v>
      </c>
    </row>
    <row r="1769" spans="1:12">
      <c r="A1769" s="1">
        <v>42910</v>
      </c>
      <c r="B1769">
        <v>1</v>
      </c>
      <c r="C1769" t="s">
        <v>6241</v>
      </c>
      <c r="D1769" s="4">
        <v>3.3622999999999998</v>
      </c>
      <c r="E1769" s="4">
        <v>8.99</v>
      </c>
      <c r="F1769" t="s">
        <v>6240</v>
      </c>
      <c r="G1769" t="s">
        <v>6228</v>
      </c>
      <c r="H1769" t="s">
        <v>3577</v>
      </c>
      <c r="I1769" t="s">
        <v>3578</v>
      </c>
      <c r="J1769" t="s">
        <v>3579</v>
      </c>
      <c r="K1769" s="4">
        <v>8.99</v>
      </c>
      <c r="L1769" s="4">
        <v>3.3622999999999998</v>
      </c>
    </row>
    <row r="1770" spans="1:12">
      <c r="A1770" s="1">
        <v>42910</v>
      </c>
      <c r="B1770">
        <v>1</v>
      </c>
      <c r="C1770" t="s">
        <v>6245</v>
      </c>
      <c r="D1770" s="4">
        <v>0.85650000000000004</v>
      </c>
      <c r="E1770" s="4">
        <v>2.29</v>
      </c>
      <c r="F1770" t="s">
        <v>6243</v>
      </c>
      <c r="G1770" t="s">
        <v>6228</v>
      </c>
      <c r="H1770" t="s">
        <v>3577</v>
      </c>
      <c r="I1770" t="s">
        <v>3578</v>
      </c>
      <c r="J1770" t="s">
        <v>3579</v>
      </c>
      <c r="K1770" s="4">
        <v>2.29</v>
      </c>
      <c r="L1770" s="4">
        <v>0.85650000000000004</v>
      </c>
    </row>
    <row r="1771" spans="1:12">
      <c r="A1771" s="1">
        <v>42910</v>
      </c>
      <c r="B1771">
        <v>1</v>
      </c>
      <c r="C1771" t="s">
        <v>6248</v>
      </c>
      <c r="D1771" s="4">
        <v>8.2204999999999995</v>
      </c>
      <c r="E1771" s="4">
        <v>21.98</v>
      </c>
      <c r="F1771" t="s">
        <v>6249</v>
      </c>
      <c r="G1771" t="s">
        <v>6228</v>
      </c>
      <c r="H1771" t="s">
        <v>3577</v>
      </c>
      <c r="I1771" t="s">
        <v>3578</v>
      </c>
      <c r="J1771" t="s">
        <v>3579</v>
      </c>
      <c r="K1771" s="4">
        <v>21.98</v>
      </c>
      <c r="L1771" s="4">
        <v>8.2204999999999995</v>
      </c>
    </row>
    <row r="1772" spans="1:12">
      <c r="A1772" s="1">
        <v>42910</v>
      </c>
      <c r="B1772">
        <v>1</v>
      </c>
      <c r="C1772" t="s">
        <v>6246</v>
      </c>
      <c r="D1772" s="4">
        <v>20.566299999999998</v>
      </c>
      <c r="E1772" s="4">
        <v>54.99</v>
      </c>
      <c r="F1772" t="s">
        <v>6247</v>
      </c>
      <c r="G1772" t="s">
        <v>6228</v>
      </c>
      <c r="H1772" t="s">
        <v>3577</v>
      </c>
      <c r="I1772" t="s">
        <v>3578</v>
      </c>
      <c r="J1772" t="s">
        <v>3579</v>
      </c>
      <c r="K1772" s="4">
        <v>54.99</v>
      </c>
      <c r="L1772" s="4">
        <v>20.566299999999998</v>
      </c>
    </row>
    <row r="1773" spans="1:12">
      <c r="A1773" s="1">
        <v>42910</v>
      </c>
      <c r="B1773">
        <v>1</v>
      </c>
      <c r="C1773" t="s">
        <v>6285</v>
      </c>
      <c r="D1773" s="4">
        <v>26.176300000000001</v>
      </c>
      <c r="E1773" s="4">
        <v>69.989999999999995</v>
      </c>
      <c r="F1773" t="s">
        <v>6262</v>
      </c>
      <c r="G1773" t="s">
        <v>6233</v>
      </c>
      <c r="H1773" t="s">
        <v>3586</v>
      </c>
      <c r="I1773" t="s">
        <v>3586</v>
      </c>
      <c r="J1773" t="s">
        <v>3587</v>
      </c>
      <c r="K1773" s="4">
        <v>69.989999999999995</v>
      </c>
      <c r="L1773" s="4">
        <v>26.176300000000001</v>
      </c>
    </row>
    <row r="1774" spans="1:12">
      <c r="A1774" s="1">
        <v>42910</v>
      </c>
      <c r="B1774">
        <v>1</v>
      </c>
      <c r="C1774" t="s">
        <v>6287</v>
      </c>
      <c r="D1774" s="4">
        <v>1082.51</v>
      </c>
      <c r="E1774" s="4">
        <v>1700.99</v>
      </c>
      <c r="F1774" t="s">
        <v>3479</v>
      </c>
      <c r="G1774" t="s">
        <v>3475</v>
      </c>
      <c r="H1774" t="s">
        <v>3588</v>
      </c>
      <c r="I1774" t="s">
        <v>3588</v>
      </c>
      <c r="J1774" t="s">
        <v>3584</v>
      </c>
      <c r="K1774" s="4">
        <v>1700.99</v>
      </c>
      <c r="L1774" s="4">
        <v>1082.51</v>
      </c>
    </row>
    <row r="1775" spans="1:12">
      <c r="A1775" s="1">
        <v>42911</v>
      </c>
      <c r="B1775">
        <v>1</v>
      </c>
      <c r="C1775" t="s">
        <v>6231</v>
      </c>
      <c r="D1775" s="4">
        <v>5.7051999999999996</v>
      </c>
      <c r="E1775" s="4">
        <v>8.6441999999999997</v>
      </c>
      <c r="F1775" t="s">
        <v>6232</v>
      </c>
      <c r="G1775" t="s">
        <v>6233</v>
      </c>
      <c r="H1775" t="s">
        <v>3582</v>
      </c>
      <c r="I1775" t="s">
        <v>3582</v>
      </c>
      <c r="J1775" t="s">
        <v>3579</v>
      </c>
      <c r="K1775" s="4">
        <v>8.6441999999999997</v>
      </c>
      <c r="L1775" s="4">
        <v>5.7051999999999996</v>
      </c>
    </row>
    <row r="1776" spans="1:12">
      <c r="A1776" s="1">
        <v>42911</v>
      </c>
      <c r="B1776">
        <v>1</v>
      </c>
      <c r="C1776" t="s">
        <v>6231</v>
      </c>
      <c r="D1776" s="4">
        <v>5.7051999999999996</v>
      </c>
      <c r="E1776" s="4">
        <v>8.6441999999999997</v>
      </c>
      <c r="F1776" t="s">
        <v>6232</v>
      </c>
      <c r="G1776" t="s">
        <v>6233</v>
      </c>
      <c r="H1776" t="s">
        <v>3583</v>
      </c>
      <c r="I1776" t="s">
        <v>3583</v>
      </c>
      <c r="J1776" t="s">
        <v>3584</v>
      </c>
      <c r="K1776" s="4">
        <v>8.6441999999999997</v>
      </c>
      <c r="L1776" s="4">
        <v>5.7051999999999996</v>
      </c>
    </row>
    <row r="1777" spans="1:12">
      <c r="A1777" s="1">
        <v>42911</v>
      </c>
      <c r="B1777">
        <v>1</v>
      </c>
      <c r="C1777" t="s">
        <v>6239</v>
      </c>
      <c r="D1777" s="4">
        <v>1.8663000000000001</v>
      </c>
      <c r="E1777" s="4">
        <v>4.99</v>
      </c>
      <c r="F1777" t="s">
        <v>6240</v>
      </c>
      <c r="G1777" t="s">
        <v>6228</v>
      </c>
      <c r="H1777" t="s">
        <v>3583</v>
      </c>
      <c r="I1777" t="s">
        <v>3583</v>
      </c>
      <c r="J1777" t="s">
        <v>3584</v>
      </c>
      <c r="K1777" s="4">
        <v>4.99</v>
      </c>
      <c r="L1777" s="4">
        <v>1.8663000000000001</v>
      </c>
    </row>
    <row r="1778" spans="1:12">
      <c r="A1778" s="1">
        <v>42911</v>
      </c>
      <c r="B1778">
        <v>1</v>
      </c>
      <c r="C1778" t="s">
        <v>6270</v>
      </c>
      <c r="D1778" s="4">
        <v>1.4923</v>
      </c>
      <c r="E1778" s="4">
        <v>3.99</v>
      </c>
      <c r="F1778" t="s">
        <v>6243</v>
      </c>
      <c r="G1778" t="s">
        <v>6228</v>
      </c>
      <c r="H1778" t="s">
        <v>3583</v>
      </c>
      <c r="I1778" t="s">
        <v>3583</v>
      </c>
      <c r="J1778" t="s">
        <v>3584</v>
      </c>
      <c r="K1778" s="4">
        <v>3.99</v>
      </c>
      <c r="L1778" s="4">
        <v>1.4923</v>
      </c>
    </row>
    <row r="1779" spans="1:12">
      <c r="A1779" s="1">
        <v>42911</v>
      </c>
      <c r="B1779">
        <v>1</v>
      </c>
      <c r="C1779" t="s">
        <v>6239</v>
      </c>
      <c r="D1779" s="4">
        <v>1.8663000000000001</v>
      </c>
      <c r="E1779" s="4">
        <v>4.99</v>
      </c>
      <c r="F1779" t="s">
        <v>6240</v>
      </c>
      <c r="G1779" t="s">
        <v>6228</v>
      </c>
      <c r="H1779" t="s">
        <v>3586</v>
      </c>
      <c r="I1779" t="s">
        <v>3586</v>
      </c>
      <c r="J1779" t="s">
        <v>3587</v>
      </c>
      <c r="K1779" s="4">
        <v>4.99</v>
      </c>
      <c r="L1779" s="4">
        <v>1.8663000000000001</v>
      </c>
    </row>
    <row r="1780" spans="1:12">
      <c r="A1780" s="1">
        <v>42911</v>
      </c>
      <c r="B1780">
        <v>1</v>
      </c>
      <c r="C1780" t="s">
        <v>6244</v>
      </c>
      <c r="D1780" s="4">
        <v>3.7363</v>
      </c>
      <c r="E1780" s="4">
        <v>9.99</v>
      </c>
      <c r="F1780" t="s">
        <v>6240</v>
      </c>
      <c r="G1780" t="s">
        <v>6228</v>
      </c>
      <c r="H1780" t="s">
        <v>3586</v>
      </c>
      <c r="I1780" t="s">
        <v>3586</v>
      </c>
      <c r="J1780" t="s">
        <v>3587</v>
      </c>
      <c r="K1780" s="4">
        <v>9.99</v>
      </c>
      <c r="L1780" s="4">
        <v>3.7363</v>
      </c>
    </row>
    <row r="1781" spans="1:12">
      <c r="A1781" s="1">
        <v>42911</v>
      </c>
      <c r="B1781">
        <v>1</v>
      </c>
      <c r="C1781" t="s">
        <v>6258</v>
      </c>
      <c r="D1781" s="4">
        <v>2.9733000000000001</v>
      </c>
      <c r="E1781" s="4">
        <v>7.95</v>
      </c>
      <c r="F1781" t="s">
        <v>6259</v>
      </c>
      <c r="G1781" t="s">
        <v>6228</v>
      </c>
      <c r="H1781" t="s">
        <v>3586</v>
      </c>
      <c r="I1781" t="s">
        <v>3586</v>
      </c>
      <c r="J1781" t="s">
        <v>3587</v>
      </c>
      <c r="K1781" s="4">
        <v>7.95</v>
      </c>
      <c r="L1781" s="4">
        <v>2.9733000000000001</v>
      </c>
    </row>
    <row r="1782" spans="1:12">
      <c r="A1782" s="1">
        <v>42911</v>
      </c>
      <c r="B1782">
        <v>1</v>
      </c>
      <c r="C1782" t="s">
        <v>6269</v>
      </c>
      <c r="D1782" s="4">
        <v>9.3462999999999994</v>
      </c>
      <c r="E1782" s="4">
        <v>24.99</v>
      </c>
      <c r="F1782" t="s">
        <v>6243</v>
      </c>
      <c r="G1782" t="s">
        <v>6228</v>
      </c>
      <c r="H1782" t="s">
        <v>3586</v>
      </c>
      <c r="I1782" t="s">
        <v>3586</v>
      </c>
      <c r="J1782" t="s">
        <v>3587</v>
      </c>
      <c r="K1782" s="4">
        <v>24.99</v>
      </c>
      <c r="L1782" s="4">
        <v>9.3462999999999994</v>
      </c>
    </row>
    <row r="1783" spans="1:12">
      <c r="A1783" s="1">
        <v>42912</v>
      </c>
      <c r="B1783">
        <v>1</v>
      </c>
      <c r="C1783" t="s">
        <v>6302</v>
      </c>
      <c r="D1783" s="4">
        <v>23.748999999999999</v>
      </c>
      <c r="E1783" s="4">
        <v>63.5</v>
      </c>
      <c r="F1783" t="s">
        <v>6293</v>
      </c>
      <c r="G1783" t="s">
        <v>6233</v>
      </c>
      <c r="H1783" t="s">
        <v>3577</v>
      </c>
      <c r="I1783" t="s">
        <v>3578</v>
      </c>
      <c r="J1783" t="s">
        <v>3579</v>
      </c>
      <c r="K1783" s="4">
        <v>63.5</v>
      </c>
      <c r="L1783" s="4">
        <v>23.748999999999999</v>
      </c>
    </row>
    <row r="1784" spans="1:12">
      <c r="A1784" s="1">
        <v>42912</v>
      </c>
      <c r="B1784">
        <v>1</v>
      </c>
      <c r="C1784" t="s">
        <v>6239</v>
      </c>
      <c r="D1784" s="4">
        <v>1.8663000000000001</v>
      </c>
      <c r="E1784" s="4">
        <v>4.99</v>
      </c>
      <c r="F1784" t="s">
        <v>6240</v>
      </c>
      <c r="G1784" t="s">
        <v>6228</v>
      </c>
      <c r="H1784" t="s">
        <v>3582</v>
      </c>
      <c r="I1784" t="s">
        <v>3582</v>
      </c>
      <c r="J1784" t="s">
        <v>3579</v>
      </c>
      <c r="K1784" s="4">
        <v>4.99</v>
      </c>
      <c r="L1784" s="4">
        <v>1.8663000000000001</v>
      </c>
    </row>
    <row r="1785" spans="1:12">
      <c r="A1785" s="1">
        <v>42912</v>
      </c>
      <c r="B1785">
        <v>1</v>
      </c>
      <c r="C1785" t="s">
        <v>6270</v>
      </c>
      <c r="D1785" s="4">
        <v>1.4923</v>
      </c>
      <c r="E1785" s="4">
        <v>3.99</v>
      </c>
      <c r="F1785" t="s">
        <v>6243</v>
      </c>
      <c r="G1785" t="s">
        <v>6228</v>
      </c>
      <c r="H1785" t="s">
        <v>3583</v>
      </c>
      <c r="I1785" t="s">
        <v>3583</v>
      </c>
      <c r="J1785" t="s">
        <v>3584</v>
      </c>
      <c r="K1785" s="4">
        <v>3.99</v>
      </c>
      <c r="L1785" s="4">
        <v>1.4923</v>
      </c>
    </row>
    <row r="1786" spans="1:12">
      <c r="A1786" s="1">
        <v>42912</v>
      </c>
      <c r="B1786">
        <v>1</v>
      </c>
      <c r="C1786" t="s">
        <v>6277</v>
      </c>
      <c r="D1786" s="4">
        <v>8.0373000000000001</v>
      </c>
      <c r="E1786" s="4">
        <v>21.49</v>
      </c>
      <c r="F1786" t="s">
        <v>6243</v>
      </c>
      <c r="G1786" t="s">
        <v>6228</v>
      </c>
      <c r="H1786" t="s">
        <v>3586</v>
      </c>
      <c r="I1786" t="s">
        <v>3586</v>
      </c>
      <c r="J1786" t="s">
        <v>3587</v>
      </c>
      <c r="K1786" s="4">
        <v>21.49</v>
      </c>
      <c r="L1786" s="4">
        <v>8.0373000000000001</v>
      </c>
    </row>
    <row r="1787" spans="1:12">
      <c r="A1787" s="1">
        <v>42913</v>
      </c>
      <c r="B1787">
        <v>1</v>
      </c>
      <c r="C1787" t="s">
        <v>6244</v>
      </c>
      <c r="D1787" s="4">
        <v>3.7363</v>
      </c>
      <c r="E1787" s="4">
        <v>9.99</v>
      </c>
      <c r="F1787" t="s">
        <v>6240</v>
      </c>
      <c r="G1787" t="s">
        <v>6228</v>
      </c>
      <c r="H1787" t="s">
        <v>3580</v>
      </c>
      <c r="I1787" t="s">
        <v>3578</v>
      </c>
      <c r="J1787" t="s">
        <v>3579</v>
      </c>
      <c r="K1787" s="4">
        <v>9.99</v>
      </c>
      <c r="L1787" s="4">
        <v>3.7363</v>
      </c>
    </row>
    <row r="1788" spans="1:12">
      <c r="A1788" s="1">
        <v>42913</v>
      </c>
      <c r="B1788">
        <v>1</v>
      </c>
      <c r="C1788" t="s">
        <v>6260</v>
      </c>
      <c r="D1788" s="4">
        <v>13.09</v>
      </c>
      <c r="E1788" s="4">
        <v>35</v>
      </c>
      <c r="F1788" t="s">
        <v>6243</v>
      </c>
      <c r="G1788" t="s">
        <v>6228</v>
      </c>
      <c r="H1788" t="s">
        <v>3580</v>
      </c>
      <c r="I1788" t="s">
        <v>3578</v>
      </c>
      <c r="J1788" t="s">
        <v>3579</v>
      </c>
      <c r="K1788" s="4">
        <v>35</v>
      </c>
      <c r="L1788" s="4">
        <v>13.09</v>
      </c>
    </row>
    <row r="1789" spans="1:12">
      <c r="A1789" s="1">
        <v>42913</v>
      </c>
      <c r="B1789">
        <v>1</v>
      </c>
      <c r="C1789" t="s">
        <v>6230</v>
      </c>
      <c r="D1789" s="4">
        <v>12.027799999999999</v>
      </c>
      <c r="E1789" s="4">
        <v>33.644199999999998</v>
      </c>
      <c r="F1789" t="s">
        <v>6227</v>
      </c>
      <c r="G1789" t="s">
        <v>6228</v>
      </c>
      <c r="H1789" t="s">
        <v>3588</v>
      </c>
      <c r="I1789" t="s">
        <v>3588</v>
      </c>
      <c r="J1789" t="s">
        <v>3584</v>
      </c>
      <c r="K1789" s="4">
        <v>33.644199999999998</v>
      </c>
      <c r="L1789" s="4">
        <v>12.027799999999999</v>
      </c>
    </row>
    <row r="1790" spans="1:12">
      <c r="A1790" s="1">
        <v>42914</v>
      </c>
      <c r="B1790">
        <v>1</v>
      </c>
      <c r="C1790" t="s">
        <v>6226</v>
      </c>
      <c r="D1790" s="4">
        <v>13.0863</v>
      </c>
      <c r="E1790" s="4">
        <v>34.99</v>
      </c>
      <c r="F1790" t="s">
        <v>6227</v>
      </c>
      <c r="G1790" t="s">
        <v>6228</v>
      </c>
      <c r="H1790" t="s">
        <v>3577</v>
      </c>
      <c r="I1790" t="s">
        <v>3578</v>
      </c>
      <c r="J1790" t="s">
        <v>3579</v>
      </c>
      <c r="K1790" s="4">
        <v>34.99</v>
      </c>
      <c r="L1790" s="4">
        <v>13.0863</v>
      </c>
    </row>
    <row r="1791" spans="1:12">
      <c r="A1791" s="1">
        <v>42914</v>
      </c>
      <c r="B1791">
        <v>1</v>
      </c>
      <c r="C1791" t="s">
        <v>6245</v>
      </c>
      <c r="D1791" s="4">
        <v>0.85650000000000004</v>
      </c>
      <c r="E1791" s="4">
        <v>2.29</v>
      </c>
      <c r="F1791" t="s">
        <v>6243</v>
      </c>
      <c r="G1791" t="s">
        <v>6228</v>
      </c>
      <c r="H1791" t="s">
        <v>3577</v>
      </c>
      <c r="I1791" t="s">
        <v>3578</v>
      </c>
      <c r="J1791" t="s">
        <v>3579</v>
      </c>
      <c r="K1791" s="4">
        <v>2.29</v>
      </c>
      <c r="L1791" s="4">
        <v>0.85650000000000004</v>
      </c>
    </row>
    <row r="1792" spans="1:12">
      <c r="A1792" s="1">
        <v>42914</v>
      </c>
      <c r="B1792">
        <v>1</v>
      </c>
      <c r="C1792" t="s">
        <v>6318</v>
      </c>
      <c r="D1792" s="4">
        <v>419.77839999999998</v>
      </c>
      <c r="E1792" s="4">
        <v>769.49</v>
      </c>
      <c r="F1792" t="s">
        <v>3478</v>
      </c>
      <c r="G1792" t="s">
        <v>3475</v>
      </c>
      <c r="H1792" t="s">
        <v>3577</v>
      </c>
      <c r="I1792" t="s">
        <v>3578</v>
      </c>
      <c r="J1792" t="s">
        <v>3579</v>
      </c>
      <c r="K1792" s="4">
        <v>769.49</v>
      </c>
      <c r="L1792" s="4">
        <v>419.77839999999998</v>
      </c>
    </row>
    <row r="1793" spans="1:12">
      <c r="A1793" s="1">
        <v>42914</v>
      </c>
      <c r="B1793">
        <v>1</v>
      </c>
      <c r="C1793" t="s">
        <v>3570</v>
      </c>
      <c r="D1793" s="4">
        <v>605.64919999999995</v>
      </c>
      <c r="E1793" s="4">
        <v>1000.4375</v>
      </c>
      <c r="F1793" t="s">
        <v>3479</v>
      </c>
      <c r="G1793" t="s">
        <v>3475</v>
      </c>
      <c r="H1793" t="s">
        <v>3580</v>
      </c>
      <c r="I1793" t="s">
        <v>3578</v>
      </c>
      <c r="J1793" t="s">
        <v>3579</v>
      </c>
      <c r="K1793" s="4">
        <v>1000.4375</v>
      </c>
      <c r="L1793" s="4">
        <v>605.64919999999995</v>
      </c>
    </row>
    <row r="1794" spans="1:12">
      <c r="A1794" s="1">
        <v>42914</v>
      </c>
      <c r="B1794">
        <v>2</v>
      </c>
      <c r="C1794" t="s">
        <v>6242</v>
      </c>
      <c r="D1794" s="4">
        <v>1.8663000000000001</v>
      </c>
      <c r="E1794" s="4">
        <v>4.99</v>
      </c>
      <c r="F1794" t="s">
        <v>6243</v>
      </c>
      <c r="G1794" t="s">
        <v>6228</v>
      </c>
      <c r="H1794" t="s">
        <v>3580</v>
      </c>
      <c r="I1794" t="s">
        <v>3578</v>
      </c>
      <c r="J1794" t="s">
        <v>3579</v>
      </c>
      <c r="K1794" s="4">
        <v>9.98</v>
      </c>
      <c r="L1794" s="4">
        <v>3.7326000000000001</v>
      </c>
    </row>
    <row r="1795" spans="1:12">
      <c r="A1795" s="1">
        <v>42914</v>
      </c>
      <c r="B1795">
        <v>1</v>
      </c>
      <c r="C1795" t="s">
        <v>6279</v>
      </c>
      <c r="D1795" s="4">
        <v>1481.9378999999999</v>
      </c>
      <c r="E1795" s="4">
        <v>2384.0700000000002</v>
      </c>
      <c r="F1795" t="s">
        <v>6274</v>
      </c>
      <c r="G1795" t="s">
        <v>3475</v>
      </c>
      <c r="H1795" t="s">
        <v>3583</v>
      </c>
      <c r="I1795" t="s">
        <v>3583</v>
      </c>
      <c r="J1795" t="s">
        <v>3584</v>
      </c>
      <c r="K1795" s="4">
        <v>2384.0700000000002</v>
      </c>
      <c r="L1795" s="4">
        <v>1481.9378999999999</v>
      </c>
    </row>
    <row r="1796" spans="1:12">
      <c r="A1796" s="1">
        <v>42914</v>
      </c>
      <c r="B1796">
        <v>1</v>
      </c>
      <c r="C1796" t="s">
        <v>6325</v>
      </c>
      <c r="D1796" s="4">
        <v>308.21789999999999</v>
      </c>
      <c r="E1796" s="4">
        <v>564.99</v>
      </c>
      <c r="F1796" t="s">
        <v>3478</v>
      </c>
      <c r="G1796" t="s">
        <v>3475</v>
      </c>
      <c r="H1796" t="s">
        <v>3583</v>
      </c>
      <c r="I1796" t="s">
        <v>3583</v>
      </c>
      <c r="J1796" t="s">
        <v>3584</v>
      </c>
      <c r="K1796" s="4">
        <v>564.99</v>
      </c>
      <c r="L1796" s="4">
        <v>308.21789999999999</v>
      </c>
    </row>
    <row r="1797" spans="1:12">
      <c r="A1797" s="1">
        <v>42914</v>
      </c>
      <c r="B1797">
        <v>1</v>
      </c>
      <c r="C1797" t="s">
        <v>3564</v>
      </c>
      <c r="D1797" s="4">
        <v>605.64919999999995</v>
      </c>
      <c r="E1797" s="4">
        <v>1000.4375</v>
      </c>
      <c r="F1797" t="s">
        <v>3479</v>
      </c>
      <c r="G1797" t="s">
        <v>3475</v>
      </c>
      <c r="H1797" t="s">
        <v>3585</v>
      </c>
      <c r="I1797" t="s">
        <v>3585</v>
      </c>
      <c r="J1797" t="s">
        <v>3584</v>
      </c>
      <c r="K1797" s="4">
        <v>1000.4375</v>
      </c>
      <c r="L1797" s="4">
        <v>605.64919999999995</v>
      </c>
    </row>
    <row r="1798" spans="1:12">
      <c r="A1798" s="1">
        <v>42914</v>
      </c>
      <c r="B1798">
        <v>1</v>
      </c>
      <c r="C1798" t="s">
        <v>6239</v>
      </c>
      <c r="D1798" s="4">
        <v>1.8663000000000001</v>
      </c>
      <c r="E1798" s="4">
        <v>4.99</v>
      </c>
      <c r="F1798" t="s">
        <v>6240</v>
      </c>
      <c r="G1798" t="s">
        <v>6228</v>
      </c>
      <c r="H1798" t="s">
        <v>3588</v>
      </c>
      <c r="I1798" t="s">
        <v>3588</v>
      </c>
      <c r="J1798" t="s">
        <v>3584</v>
      </c>
      <c r="K1798" s="4">
        <v>4.99</v>
      </c>
      <c r="L1798" s="4">
        <v>1.8663000000000001</v>
      </c>
    </row>
    <row r="1799" spans="1:12">
      <c r="A1799" s="1">
        <v>42914</v>
      </c>
      <c r="B1799">
        <v>1</v>
      </c>
      <c r="C1799" t="s">
        <v>6246</v>
      </c>
      <c r="D1799" s="4">
        <v>20.566299999999998</v>
      </c>
      <c r="E1799" s="4">
        <v>54.99</v>
      </c>
      <c r="F1799" t="s">
        <v>6247</v>
      </c>
      <c r="G1799" t="s">
        <v>6228</v>
      </c>
      <c r="H1799" t="s">
        <v>3588</v>
      </c>
      <c r="I1799" t="s">
        <v>3588</v>
      </c>
      <c r="J1799" t="s">
        <v>3584</v>
      </c>
      <c r="K1799" s="4">
        <v>54.99</v>
      </c>
      <c r="L1799" s="4">
        <v>20.566299999999998</v>
      </c>
    </row>
    <row r="1800" spans="1:12">
      <c r="A1800" s="1">
        <v>42915</v>
      </c>
      <c r="B1800">
        <v>1</v>
      </c>
      <c r="C1800" t="s">
        <v>3540</v>
      </c>
      <c r="D1800" s="4">
        <v>1117.8559</v>
      </c>
      <c r="E1800" s="4">
        <v>2071.4196000000002</v>
      </c>
      <c r="F1800" t="s">
        <v>3478</v>
      </c>
      <c r="G1800" t="s">
        <v>3475</v>
      </c>
      <c r="H1800" t="s">
        <v>3580</v>
      </c>
      <c r="I1800" t="s">
        <v>3578</v>
      </c>
      <c r="J1800" t="s">
        <v>3579</v>
      </c>
      <c r="K1800" s="4">
        <v>2071.4196000000002</v>
      </c>
      <c r="L1800" s="4">
        <v>1117.8559</v>
      </c>
    </row>
    <row r="1801" spans="1:12">
      <c r="A1801" s="1">
        <v>42915</v>
      </c>
      <c r="B1801">
        <v>1</v>
      </c>
      <c r="C1801" t="s">
        <v>6318</v>
      </c>
      <c r="D1801" s="4">
        <v>419.77839999999998</v>
      </c>
      <c r="E1801" s="4">
        <v>769.49</v>
      </c>
      <c r="F1801" t="s">
        <v>3478</v>
      </c>
      <c r="G1801" t="s">
        <v>3475</v>
      </c>
      <c r="H1801" t="s">
        <v>3580</v>
      </c>
      <c r="I1801" t="s">
        <v>3578</v>
      </c>
      <c r="J1801" t="s">
        <v>3579</v>
      </c>
      <c r="K1801" s="4">
        <v>769.49</v>
      </c>
      <c r="L1801" s="4">
        <v>419.77839999999998</v>
      </c>
    </row>
    <row r="1802" spans="1:12">
      <c r="A1802" s="1">
        <v>42915</v>
      </c>
      <c r="B1802">
        <v>1</v>
      </c>
      <c r="C1802" t="s">
        <v>6239</v>
      </c>
      <c r="D1802" s="4">
        <v>1.8663000000000001</v>
      </c>
      <c r="E1802" s="4">
        <v>4.99</v>
      </c>
      <c r="F1802" t="s">
        <v>6240</v>
      </c>
      <c r="G1802" t="s">
        <v>6228</v>
      </c>
      <c r="H1802" t="s">
        <v>3583</v>
      </c>
      <c r="I1802" t="s">
        <v>3583</v>
      </c>
      <c r="J1802" t="s">
        <v>3584</v>
      </c>
      <c r="K1802" s="4">
        <v>4.99</v>
      </c>
      <c r="L1802" s="4">
        <v>1.8663000000000001</v>
      </c>
    </row>
    <row r="1803" spans="1:12">
      <c r="A1803" s="1">
        <v>42915</v>
      </c>
      <c r="B1803">
        <v>1</v>
      </c>
      <c r="C1803" t="s">
        <v>6241</v>
      </c>
      <c r="D1803" s="4">
        <v>3.3622999999999998</v>
      </c>
      <c r="E1803" s="4">
        <v>8.99</v>
      </c>
      <c r="F1803" t="s">
        <v>6240</v>
      </c>
      <c r="G1803" t="s">
        <v>6228</v>
      </c>
      <c r="H1803" t="s">
        <v>3583</v>
      </c>
      <c r="I1803" t="s">
        <v>3583</v>
      </c>
      <c r="J1803" t="s">
        <v>3584</v>
      </c>
      <c r="K1803" s="4">
        <v>8.99</v>
      </c>
      <c r="L1803" s="4">
        <v>3.3622999999999998</v>
      </c>
    </row>
    <row r="1804" spans="1:12">
      <c r="A1804" s="1">
        <v>42915</v>
      </c>
      <c r="B1804">
        <v>1</v>
      </c>
      <c r="C1804" t="s">
        <v>6282</v>
      </c>
      <c r="D1804" s="4">
        <v>10.8423</v>
      </c>
      <c r="E1804" s="4">
        <v>28.99</v>
      </c>
      <c r="F1804" t="s">
        <v>6243</v>
      </c>
      <c r="G1804" t="s">
        <v>6228</v>
      </c>
      <c r="H1804" t="s">
        <v>3585</v>
      </c>
      <c r="I1804" t="s">
        <v>3585</v>
      </c>
      <c r="J1804" t="s">
        <v>3584</v>
      </c>
      <c r="K1804" s="4">
        <v>28.99</v>
      </c>
      <c r="L1804" s="4">
        <v>10.8423</v>
      </c>
    </row>
    <row r="1805" spans="1:12">
      <c r="A1805" s="1">
        <v>42915</v>
      </c>
      <c r="B1805">
        <v>1</v>
      </c>
      <c r="C1805" t="s">
        <v>6239</v>
      </c>
      <c r="D1805" s="4">
        <v>1.8663000000000001</v>
      </c>
      <c r="E1805" s="4">
        <v>4.99</v>
      </c>
      <c r="F1805" t="s">
        <v>6240</v>
      </c>
      <c r="G1805" t="s">
        <v>6228</v>
      </c>
      <c r="H1805" t="s">
        <v>3586</v>
      </c>
      <c r="I1805" t="s">
        <v>3586</v>
      </c>
      <c r="J1805" t="s">
        <v>3587</v>
      </c>
      <c r="K1805" s="4">
        <v>4.99</v>
      </c>
      <c r="L1805" s="4">
        <v>1.8663000000000001</v>
      </c>
    </row>
    <row r="1806" spans="1:12">
      <c r="A1806" s="1">
        <v>42916</v>
      </c>
      <c r="B1806">
        <v>1</v>
      </c>
      <c r="C1806" t="s">
        <v>6288</v>
      </c>
      <c r="D1806" s="4">
        <v>41.572299999999998</v>
      </c>
      <c r="E1806" s="4">
        <v>53.99</v>
      </c>
      <c r="F1806" t="s">
        <v>6235</v>
      </c>
      <c r="G1806" t="s">
        <v>6233</v>
      </c>
      <c r="H1806" t="s">
        <v>3582</v>
      </c>
      <c r="I1806" t="s">
        <v>3582</v>
      </c>
      <c r="J1806" t="s">
        <v>3579</v>
      </c>
      <c r="K1806" s="4">
        <v>53.99</v>
      </c>
      <c r="L1806" s="4">
        <v>41.572299999999998</v>
      </c>
    </row>
    <row r="1807" spans="1:12">
      <c r="A1807" s="1">
        <v>42916</v>
      </c>
      <c r="B1807">
        <v>1</v>
      </c>
      <c r="C1807" t="s">
        <v>6239</v>
      </c>
      <c r="D1807" s="4">
        <v>1.8663000000000001</v>
      </c>
      <c r="E1807" s="4">
        <v>4.99</v>
      </c>
      <c r="F1807" t="s">
        <v>6240</v>
      </c>
      <c r="G1807" t="s">
        <v>6228</v>
      </c>
      <c r="H1807" t="s">
        <v>3585</v>
      </c>
      <c r="I1807" t="s">
        <v>3585</v>
      </c>
      <c r="J1807" t="s">
        <v>3584</v>
      </c>
      <c r="K1807" s="4">
        <v>4.99</v>
      </c>
      <c r="L1807" s="4">
        <v>1.8663000000000001</v>
      </c>
    </row>
    <row r="1808" spans="1:12">
      <c r="A1808" s="1">
        <v>42916</v>
      </c>
      <c r="B1808">
        <v>1</v>
      </c>
      <c r="C1808" t="s">
        <v>6239</v>
      </c>
      <c r="D1808" s="4">
        <v>1.8663000000000001</v>
      </c>
      <c r="E1808" s="4">
        <v>4.99</v>
      </c>
      <c r="F1808" t="s">
        <v>6240</v>
      </c>
      <c r="G1808" t="s">
        <v>6228</v>
      </c>
      <c r="H1808" t="s">
        <v>3586</v>
      </c>
      <c r="I1808" t="s">
        <v>3586</v>
      </c>
      <c r="J1808" t="s">
        <v>3587</v>
      </c>
      <c r="K1808" s="4">
        <v>4.99</v>
      </c>
      <c r="L1808" s="4">
        <v>1.8663000000000001</v>
      </c>
    </row>
    <row r="1809" spans="1:12">
      <c r="A1809" s="1">
        <v>42916</v>
      </c>
      <c r="B1809">
        <v>1</v>
      </c>
      <c r="C1809" t="s">
        <v>6231</v>
      </c>
      <c r="D1809" s="4">
        <v>5.7051999999999996</v>
      </c>
      <c r="E1809" s="4">
        <v>8.6441999999999997</v>
      </c>
      <c r="F1809" t="s">
        <v>6232</v>
      </c>
      <c r="G1809" t="s">
        <v>6233</v>
      </c>
      <c r="H1809" t="s">
        <v>3588</v>
      </c>
      <c r="I1809" t="s">
        <v>3588</v>
      </c>
      <c r="J1809" t="s">
        <v>3584</v>
      </c>
      <c r="K1809" s="4">
        <v>8.6441999999999997</v>
      </c>
      <c r="L1809" s="4">
        <v>5.7051999999999996</v>
      </c>
    </row>
    <row r="1810" spans="1:12">
      <c r="A1810" s="1">
        <v>42916</v>
      </c>
      <c r="B1810">
        <v>1</v>
      </c>
      <c r="C1810" t="s">
        <v>6239</v>
      </c>
      <c r="D1810" s="4">
        <v>1.8663000000000001</v>
      </c>
      <c r="E1810" s="4">
        <v>4.99</v>
      </c>
      <c r="F1810" t="s">
        <v>6240</v>
      </c>
      <c r="G1810" t="s">
        <v>6228</v>
      </c>
      <c r="H1810" t="s">
        <v>3588</v>
      </c>
      <c r="I1810" t="s">
        <v>3588</v>
      </c>
      <c r="J1810" t="s">
        <v>3584</v>
      </c>
      <c r="K1810" s="4">
        <v>4.99</v>
      </c>
      <c r="L1810" s="4">
        <v>1.8663000000000001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71E4-0249-8D43-A9E2-C6857173003C}">
  <dimension ref="A1:AI8"/>
  <sheetViews>
    <sheetView topLeftCell="X1" zoomScale="137" workbookViewId="0">
      <selection activeCell="Y10" sqref="Y10"/>
    </sheetView>
  </sheetViews>
  <sheetFormatPr baseColWidth="10" defaultRowHeight="18"/>
  <cols>
    <col min="1" max="1" width="12.6640625" bestFit="1" customWidth="1"/>
    <col min="2" max="2" width="12.5" bestFit="1" customWidth="1"/>
    <col min="3" max="3" width="15.83203125" bestFit="1" customWidth="1"/>
    <col min="4" max="4" width="13.83203125" bestFit="1" customWidth="1"/>
    <col min="5" max="5" width="15.1640625" bestFit="1" customWidth="1"/>
    <col min="6" max="6" width="14.1640625" bestFit="1" customWidth="1"/>
    <col min="7" max="7" width="16.1640625" bestFit="1" customWidth="1"/>
    <col min="8" max="8" width="16.33203125" bestFit="1" customWidth="1"/>
    <col min="9" max="9" width="25.1640625" bestFit="1" customWidth="1"/>
    <col min="10" max="10" width="14.1640625" bestFit="1" customWidth="1"/>
    <col min="11" max="11" width="22.1640625" bestFit="1" customWidth="1"/>
    <col min="12" max="12" width="14.5" bestFit="1" customWidth="1"/>
    <col min="13" max="13" width="15" bestFit="1" customWidth="1"/>
    <col min="14" max="14" width="8.6640625" bestFit="1" customWidth="1"/>
    <col min="15" max="15" width="12.5" bestFit="1" customWidth="1"/>
    <col min="16" max="16" width="12.33203125" bestFit="1" customWidth="1"/>
    <col min="17" max="17" width="19.83203125" bestFit="1" customWidth="1"/>
    <col min="18" max="18" width="11.83203125" bestFit="1" customWidth="1"/>
    <col min="19" max="19" width="15.1640625" bestFit="1" customWidth="1"/>
    <col min="20" max="20" width="10" bestFit="1" customWidth="1"/>
    <col min="21" max="21" width="32" bestFit="1" customWidth="1"/>
    <col min="22" max="22" width="16.5" bestFit="1" customWidth="1"/>
    <col min="23" max="23" width="15.33203125" bestFit="1" customWidth="1"/>
    <col min="24" max="24" width="18.1640625" bestFit="1" customWidth="1"/>
    <col min="25" max="25" width="14" bestFit="1" customWidth="1"/>
    <col min="26" max="26" width="14.83203125" bestFit="1" customWidth="1"/>
    <col min="27" max="28" width="15.5" bestFit="1" customWidth="1"/>
    <col min="29" max="29" width="12.33203125" bestFit="1" customWidth="1"/>
    <col min="30" max="30" width="20" bestFit="1" customWidth="1"/>
    <col min="31" max="31" width="16.6640625" bestFit="1" customWidth="1"/>
    <col min="32" max="32" width="11.1640625" bestFit="1" customWidth="1"/>
    <col min="33" max="33" width="10.1640625" bestFit="1" customWidth="1"/>
    <col min="34" max="34" width="9.1640625" bestFit="1" customWidth="1"/>
    <col min="35" max="35" width="12.1640625" bestFit="1" customWidth="1"/>
  </cols>
  <sheetData>
    <row r="1" spans="1:35">
      <c r="A1" t="s">
        <v>3589</v>
      </c>
      <c r="B1" t="s">
        <v>3590</v>
      </c>
      <c r="C1" t="s">
        <v>3591</v>
      </c>
      <c r="D1" t="s">
        <v>3480</v>
      </c>
      <c r="E1" t="s">
        <v>0</v>
      </c>
      <c r="F1" t="s">
        <v>3573</v>
      </c>
      <c r="G1" t="s">
        <v>3592</v>
      </c>
      <c r="H1" t="s">
        <v>3593</v>
      </c>
      <c r="I1" t="s">
        <v>3476</v>
      </c>
      <c r="J1" t="s">
        <v>3481</v>
      </c>
      <c r="K1" t="s">
        <v>3482</v>
      </c>
      <c r="L1" t="s">
        <v>3483</v>
      </c>
      <c r="M1" t="s">
        <v>3484</v>
      </c>
      <c r="N1" t="s">
        <v>1</v>
      </c>
      <c r="O1" t="s">
        <v>2</v>
      </c>
      <c r="P1" t="s">
        <v>3</v>
      </c>
      <c r="Q1" t="s">
        <v>6326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3574</v>
      </c>
      <c r="AB1" t="s">
        <v>3575</v>
      </c>
      <c r="AC1" t="s">
        <v>3576</v>
      </c>
      <c r="AD1" t="s">
        <v>3477</v>
      </c>
      <c r="AE1" t="s">
        <v>3474</v>
      </c>
      <c r="AF1" t="s">
        <v>6327</v>
      </c>
      <c r="AG1" t="s">
        <v>6328</v>
      </c>
      <c r="AH1" t="s">
        <v>6329</v>
      </c>
      <c r="AI1" t="s">
        <v>6330</v>
      </c>
    </row>
    <row r="2" spans="1:35">
      <c r="A2" s="1">
        <v>42369</v>
      </c>
      <c r="B2" s="1">
        <v>37538</v>
      </c>
      <c r="C2" t="s">
        <v>6222</v>
      </c>
      <c r="D2">
        <v>369</v>
      </c>
      <c r="E2">
        <v>14944</v>
      </c>
      <c r="F2">
        <v>7</v>
      </c>
      <c r="G2">
        <v>1</v>
      </c>
      <c r="H2">
        <v>1</v>
      </c>
      <c r="I2">
        <v>2</v>
      </c>
      <c r="J2" t="s">
        <v>3549</v>
      </c>
      <c r="K2" t="s">
        <v>3550</v>
      </c>
      <c r="L2">
        <v>1518.7864</v>
      </c>
      <c r="M2">
        <v>2443.35</v>
      </c>
      <c r="N2" t="s">
        <v>13</v>
      </c>
      <c r="O2" t="s">
        <v>651</v>
      </c>
      <c r="P2" t="s">
        <v>1169</v>
      </c>
      <c r="Q2" t="s">
        <v>7350</v>
      </c>
      <c r="R2" s="1">
        <v>23964</v>
      </c>
      <c r="S2" t="s">
        <v>22</v>
      </c>
      <c r="T2" t="s">
        <v>16</v>
      </c>
      <c r="U2" t="s">
        <v>1825</v>
      </c>
      <c r="V2">
        <v>10000</v>
      </c>
      <c r="W2">
        <v>5</v>
      </c>
      <c r="X2" t="s">
        <v>77</v>
      </c>
      <c r="Y2" t="s">
        <v>444</v>
      </c>
      <c r="Z2" t="s">
        <v>19</v>
      </c>
      <c r="AA2" t="s">
        <v>3583</v>
      </c>
      <c r="AB2" t="s">
        <v>3583</v>
      </c>
      <c r="AC2" t="s">
        <v>3584</v>
      </c>
      <c r="AD2" t="s">
        <v>3479</v>
      </c>
      <c r="AE2" t="s">
        <v>3475</v>
      </c>
      <c r="AF2">
        <v>2443.35</v>
      </c>
      <c r="AG2">
        <v>1518.7864</v>
      </c>
      <c r="AH2">
        <v>924.56359999999995</v>
      </c>
      <c r="AI2">
        <v>0.37839998362903399</v>
      </c>
    </row>
    <row r="3" spans="1:35">
      <c r="A3" s="1">
        <v>42369</v>
      </c>
      <c r="B3" s="1">
        <v>37592</v>
      </c>
      <c r="C3" t="s">
        <v>6221</v>
      </c>
      <c r="D3">
        <v>340</v>
      </c>
      <c r="E3">
        <v>20722</v>
      </c>
      <c r="F3">
        <v>8</v>
      </c>
      <c r="G3">
        <v>1</v>
      </c>
      <c r="H3">
        <v>1</v>
      </c>
      <c r="I3">
        <v>2</v>
      </c>
      <c r="J3" t="s">
        <v>3515</v>
      </c>
      <c r="K3" t="s">
        <v>3516</v>
      </c>
      <c r="L3">
        <v>413.1463</v>
      </c>
      <c r="M3">
        <v>699.09820000000002</v>
      </c>
      <c r="N3" t="s">
        <v>30</v>
      </c>
      <c r="O3" t="s">
        <v>1202</v>
      </c>
      <c r="P3" t="s">
        <v>157</v>
      </c>
      <c r="Q3" t="s">
        <v>8065</v>
      </c>
      <c r="R3" s="1">
        <v>26413</v>
      </c>
      <c r="S3" t="s">
        <v>22</v>
      </c>
      <c r="T3" t="s">
        <v>29</v>
      </c>
      <c r="U3" t="s">
        <v>2559</v>
      </c>
      <c r="V3">
        <v>40000</v>
      </c>
      <c r="W3">
        <v>2</v>
      </c>
      <c r="X3" t="s">
        <v>52</v>
      </c>
      <c r="Y3" t="s">
        <v>60</v>
      </c>
      <c r="Z3" t="s">
        <v>19</v>
      </c>
      <c r="AA3" t="s">
        <v>3585</v>
      </c>
      <c r="AB3" t="s">
        <v>3585</v>
      </c>
      <c r="AC3" t="s">
        <v>3584</v>
      </c>
      <c r="AD3" t="s">
        <v>3479</v>
      </c>
      <c r="AE3" t="s">
        <v>3475</v>
      </c>
      <c r="AF3">
        <v>699.09820000000002</v>
      </c>
      <c r="AG3">
        <v>413.1463</v>
      </c>
      <c r="AH3">
        <v>285.95190000000002</v>
      </c>
      <c r="AI3">
        <v>0.409029661355157</v>
      </c>
    </row>
    <row r="4" spans="1:35">
      <c r="A4" s="1">
        <v>42369</v>
      </c>
      <c r="B4" s="1">
        <v>37582</v>
      </c>
      <c r="C4" t="s">
        <v>6223</v>
      </c>
      <c r="D4">
        <v>383</v>
      </c>
      <c r="E4">
        <v>24915</v>
      </c>
      <c r="F4">
        <v>9</v>
      </c>
      <c r="G4">
        <v>1</v>
      </c>
      <c r="H4">
        <v>1</v>
      </c>
      <c r="I4">
        <v>2</v>
      </c>
      <c r="J4" t="s">
        <v>3565</v>
      </c>
      <c r="K4" t="s">
        <v>3566</v>
      </c>
      <c r="L4">
        <v>605.64919999999995</v>
      </c>
      <c r="M4">
        <v>1000.4375</v>
      </c>
      <c r="N4" t="s">
        <v>13</v>
      </c>
      <c r="O4" t="s">
        <v>535</v>
      </c>
      <c r="P4" t="s">
        <v>363</v>
      </c>
      <c r="Q4" t="s">
        <v>8452</v>
      </c>
      <c r="R4" s="1">
        <v>26015</v>
      </c>
      <c r="S4" t="s">
        <v>22</v>
      </c>
      <c r="T4" t="s">
        <v>16</v>
      </c>
      <c r="U4" t="s">
        <v>2952</v>
      </c>
      <c r="V4">
        <v>100000</v>
      </c>
      <c r="W4">
        <v>0</v>
      </c>
      <c r="X4" t="s">
        <v>57</v>
      </c>
      <c r="Y4" t="s">
        <v>45</v>
      </c>
      <c r="Z4" t="s">
        <v>19</v>
      </c>
      <c r="AA4" t="s">
        <v>3586</v>
      </c>
      <c r="AB4" t="s">
        <v>3586</v>
      </c>
      <c r="AC4" t="s">
        <v>3587</v>
      </c>
      <c r="AD4" t="s">
        <v>3479</v>
      </c>
      <c r="AE4" t="s">
        <v>3475</v>
      </c>
      <c r="AF4">
        <v>1000.4375</v>
      </c>
      <c r="AG4">
        <v>605.64919999999995</v>
      </c>
      <c r="AH4">
        <v>394.78829999999999</v>
      </c>
      <c r="AI4">
        <v>0.39461565565065299</v>
      </c>
    </row>
    <row r="5" spans="1:35">
      <c r="A5" s="1">
        <v>42369</v>
      </c>
      <c r="B5" s="1">
        <v>37574</v>
      </c>
      <c r="C5" t="s">
        <v>6220</v>
      </c>
      <c r="D5">
        <v>324</v>
      </c>
      <c r="E5">
        <v>26563</v>
      </c>
      <c r="F5">
        <v>9</v>
      </c>
      <c r="G5">
        <v>1</v>
      </c>
      <c r="H5">
        <v>1</v>
      </c>
      <c r="I5">
        <v>2</v>
      </c>
      <c r="J5" t="s">
        <v>3499</v>
      </c>
      <c r="K5" t="s">
        <v>3500</v>
      </c>
      <c r="L5">
        <v>413.1463</v>
      </c>
      <c r="M5">
        <v>699.09820000000002</v>
      </c>
      <c r="N5" t="s">
        <v>13</v>
      </c>
      <c r="O5" t="s">
        <v>661</v>
      </c>
      <c r="P5" t="s">
        <v>450</v>
      </c>
      <c r="Q5" t="s">
        <v>8732</v>
      </c>
      <c r="R5" s="1">
        <v>19383</v>
      </c>
      <c r="S5" t="s">
        <v>16</v>
      </c>
      <c r="T5" t="s">
        <v>16</v>
      </c>
      <c r="U5" t="s">
        <v>3242</v>
      </c>
      <c r="V5">
        <v>40000</v>
      </c>
      <c r="W5">
        <v>2</v>
      </c>
      <c r="X5" t="s">
        <v>52</v>
      </c>
      <c r="Y5" t="s">
        <v>53</v>
      </c>
      <c r="Z5" t="s">
        <v>19</v>
      </c>
      <c r="AA5" t="s">
        <v>3586</v>
      </c>
      <c r="AB5" t="s">
        <v>3586</v>
      </c>
      <c r="AC5" t="s">
        <v>3587</v>
      </c>
      <c r="AD5" t="s">
        <v>3479</v>
      </c>
      <c r="AE5" t="s">
        <v>3475</v>
      </c>
      <c r="AF5">
        <v>699.09820000000002</v>
      </c>
      <c r="AG5">
        <v>413.1463</v>
      </c>
      <c r="AH5">
        <v>285.95190000000002</v>
      </c>
      <c r="AI5">
        <v>0.409029661355157</v>
      </c>
    </row>
    <row r="6" spans="1:35">
      <c r="A6" s="1">
        <v>42369</v>
      </c>
      <c r="B6" s="1">
        <v>37569</v>
      </c>
      <c r="C6" t="s">
        <v>6218</v>
      </c>
      <c r="D6">
        <v>377</v>
      </c>
      <c r="E6">
        <v>17202</v>
      </c>
      <c r="F6">
        <v>10</v>
      </c>
      <c r="G6">
        <v>1</v>
      </c>
      <c r="H6">
        <v>1</v>
      </c>
      <c r="I6">
        <v>2</v>
      </c>
      <c r="J6" t="s">
        <v>3559</v>
      </c>
      <c r="K6" t="s">
        <v>3560</v>
      </c>
      <c r="L6">
        <v>1320.6838</v>
      </c>
      <c r="M6">
        <v>2181.5625</v>
      </c>
      <c r="N6" t="s">
        <v>30</v>
      </c>
      <c r="O6" t="s">
        <v>128</v>
      </c>
      <c r="P6" t="s">
        <v>290</v>
      </c>
      <c r="Q6" t="s">
        <v>7668</v>
      </c>
      <c r="R6" s="1">
        <v>16544</v>
      </c>
      <c r="S6" t="s">
        <v>16</v>
      </c>
      <c r="T6" t="s">
        <v>29</v>
      </c>
      <c r="U6" t="s">
        <v>2153</v>
      </c>
      <c r="V6">
        <v>110000</v>
      </c>
      <c r="W6">
        <v>3</v>
      </c>
      <c r="X6" t="s">
        <v>17</v>
      </c>
      <c r="Y6" t="s">
        <v>45</v>
      </c>
      <c r="Z6" t="s">
        <v>19</v>
      </c>
      <c r="AA6" t="s">
        <v>3588</v>
      </c>
      <c r="AB6" t="s">
        <v>3588</v>
      </c>
      <c r="AC6" t="s">
        <v>3584</v>
      </c>
      <c r="AD6" t="s">
        <v>3479</v>
      </c>
      <c r="AE6" t="s">
        <v>3475</v>
      </c>
      <c r="AF6">
        <v>2181.5625</v>
      </c>
      <c r="AG6">
        <v>1320.6838</v>
      </c>
      <c r="AH6">
        <v>860.87869999999998</v>
      </c>
      <c r="AI6">
        <v>0.39461564818793898</v>
      </c>
    </row>
    <row r="7" spans="1:35">
      <c r="A7" s="1">
        <v>42369</v>
      </c>
      <c r="B7" s="1">
        <v>37589</v>
      </c>
      <c r="C7" t="s">
        <v>6219</v>
      </c>
      <c r="D7">
        <v>354</v>
      </c>
      <c r="E7">
        <v>13111</v>
      </c>
      <c r="F7">
        <v>9</v>
      </c>
      <c r="G7">
        <v>1</v>
      </c>
      <c r="H7">
        <v>1</v>
      </c>
      <c r="I7">
        <v>1</v>
      </c>
      <c r="J7" t="s">
        <v>3537</v>
      </c>
      <c r="K7" t="s">
        <v>3538</v>
      </c>
      <c r="L7">
        <v>1117.8559</v>
      </c>
      <c r="M7">
        <v>2071.4196000000002</v>
      </c>
      <c r="N7" t="s">
        <v>30</v>
      </c>
      <c r="O7" t="s">
        <v>278</v>
      </c>
      <c r="P7" t="s">
        <v>148</v>
      </c>
      <c r="Q7" t="s">
        <v>7102</v>
      </c>
      <c r="R7" s="1">
        <v>22509</v>
      </c>
      <c r="S7" t="s">
        <v>22</v>
      </c>
      <c r="T7" t="s">
        <v>29</v>
      </c>
      <c r="U7" t="s">
        <v>1416</v>
      </c>
      <c r="V7">
        <v>60000</v>
      </c>
      <c r="W7">
        <v>1</v>
      </c>
      <c r="X7" t="s">
        <v>52</v>
      </c>
      <c r="Y7" t="s">
        <v>53</v>
      </c>
      <c r="Z7" t="s">
        <v>19</v>
      </c>
      <c r="AA7" t="s">
        <v>3586</v>
      </c>
      <c r="AB7" t="s">
        <v>3586</v>
      </c>
      <c r="AC7" t="s">
        <v>3587</v>
      </c>
      <c r="AD7" t="s">
        <v>3478</v>
      </c>
      <c r="AE7" t="s">
        <v>3475</v>
      </c>
      <c r="AF7">
        <v>2071.4196000000002</v>
      </c>
      <c r="AG7">
        <v>1117.8559</v>
      </c>
      <c r="AH7">
        <v>953.56370000000004</v>
      </c>
      <c r="AI7">
        <v>0.460343090313522</v>
      </c>
    </row>
    <row r="8" spans="1:35">
      <c r="A8" s="1">
        <v>42369</v>
      </c>
      <c r="B8" s="1">
        <v>37604</v>
      </c>
      <c r="C8" t="s">
        <v>6217</v>
      </c>
      <c r="D8">
        <v>360</v>
      </c>
      <c r="E8">
        <v>13128</v>
      </c>
      <c r="F8">
        <v>9</v>
      </c>
      <c r="G8">
        <v>1</v>
      </c>
      <c r="H8">
        <v>1</v>
      </c>
      <c r="I8">
        <v>1</v>
      </c>
      <c r="J8" t="s">
        <v>3543</v>
      </c>
      <c r="K8" t="s">
        <v>3544</v>
      </c>
      <c r="L8">
        <v>1105.81</v>
      </c>
      <c r="M8">
        <v>2049.0981999999999</v>
      </c>
      <c r="N8" t="s">
        <v>26</v>
      </c>
      <c r="O8" t="s">
        <v>564</v>
      </c>
      <c r="P8" t="s">
        <v>1427</v>
      </c>
      <c r="Q8" t="s">
        <v>7114</v>
      </c>
      <c r="R8" s="1">
        <v>23490</v>
      </c>
      <c r="S8" t="s">
        <v>22</v>
      </c>
      <c r="T8" t="s">
        <v>29</v>
      </c>
      <c r="U8" t="s">
        <v>1428</v>
      </c>
      <c r="V8">
        <v>70000</v>
      </c>
      <c r="W8">
        <v>0</v>
      </c>
      <c r="X8" t="s">
        <v>17</v>
      </c>
      <c r="Y8" t="s">
        <v>18</v>
      </c>
      <c r="Z8" t="s">
        <v>23</v>
      </c>
      <c r="AA8" t="s">
        <v>3586</v>
      </c>
      <c r="AB8" t="s">
        <v>3586</v>
      </c>
      <c r="AC8" t="s">
        <v>3587</v>
      </c>
      <c r="AD8" t="s">
        <v>3478</v>
      </c>
      <c r="AE8" t="s">
        <v>3475</v>
      </c>
      <c r="AF8">
        <v>2049.0981999999999</v>
      </c>
      <c r="AG8">
        <v>1105.81</v>
      </c>
      <c r="AH8">
        <v>943.28819999999996</v>
      </c>
      <c r="AI8">
        <v>0.46034309141455498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C971-ED08-6141-BCC3-D8954ECC5B99}">
  <dimension ref="A1:AK39"/>
  <sheetViews>
    <sheetView workbookViewId="0"/>
  </sheetViews>
  <sheetFormatPr baseColWidth="10" defaultRowHeight="18"/>
  <cols>
    <col min="1" max="1" width="12.6640625" bestFit="1" customWidth="1"/>
    <col min="2" max="2" width="8.5" bestFit="1" customWidth="1"/>
    <col min="3" max="3" width="7.5" bestFit="1" customWidth="1"/>
    <col min="4" max="4" width="12.5" bestFit="1" customWidth="1"/>
    <col min="5" max="5" width="15.83203125" bestFit="1" customWidth="1"/>
    <col min="6" max="6" width="13.83203125" bestFit="1" customWidth="1"/>
    <col min="7" max="7" width="15.1640625" bestFit="1" customWidth="1"/>
    <col min="8" max="8" width="14.1640625" bestFit="1" customWidth="1"/>
    <col min="9" max="9" width="16.1640625" bestFit="1" customWidth="1"/>
    <col min="10" max="10" width="16.33203125" bestFit="1" customWidth="1"/>
    <col min="11" max="11" width="25.1640625" bestFit="1" customWidth="1"/>
    <col min="12" max="12" width="14.1640625" bestFit="1" customWidth="1"/>
    <col min="13" max="13" width="22.1640625" bestFit="1" customWidth="1"/>
    <col min="14" max="14" width="14.5" bestFit="1" customWidth="1"/>
    <col min="15" max="15" width="15" bestFit="1" customWidth="1"/>
    <col min="16" max="16" width="8.6640625" bestFit="1" customWidth="1"/>
    <col min="17" max="17" width="12.5" bestFit="1" customWidth="1"/>
    <col min="18" max="18" width="12.33203125" bestFit="1" customWidth="1"/>
    <col min="19" max="19" width="21" bestFit="1" customWidth="1"/>
    <col min="20" max="20" width="11.83203125" bestFit="1" customWidth="1"/>
    <col min="21" max="21" width="15.1640625" bestFit="1" customWidth="1"/>
    <col min="22" max="22" width="10" bestFit="1" customWidth="1"/>
    <col min="23" max="23" width="33" bestFit="1" customWidth="1"/>
    <col min="24" max="24" width="16.5" bestFit="1" customWidth="1"/>
    <col min="25" max="25" width="15.33203125" bestFit="1" customWidth="1"/>
    <col min="26" max="26" width="18.1640625" bestFit="1" customWidth="1"/>
    <col min="27" max="27" width="14" bestFit="1" customWidth="1"/>
    <col min="28" max="28" width="14.83203125" bestFit="1" customWidth="1"/>
    <col min="29" max="30" width="15.5" bestFit="1" customWidth="1"/>
    <col min="31" max="31" width="14" bestFit="1" customWidth="1"/>
    <col min="32" max="32" width="20" bestFit="1" customWidth="1"/>
    <col min="33" max="33" width="16.6640625" bestFit="1" customWidth="1"/>
    <col min="34" max="34" width="11.1640625" bestFit="1" customWidth="1"/>
    <col min="35" max="35" width="10.1640625" bestFit="1" customWidth="1"/>
    <col min="36" max="36" width="9.1640625" bestFit="1" customWidth="1"/>
    <col min="37" max="37" width="12.1640625" bestFit="1" customWidth="1"/>
  </cols>
  <sheetData>
    <row r="1" spans="1:37">
      <c r="A1" t="s">
        <v>3589</v>
      </c>
      <c r="B1" t="s">
        <v>8990</v>
      </c>
      <c r="C1" t="s">
        <v>8991</v>
      </c>
      <c r="D1" t="s">
        <v>3590</v>
      </c>
      <c r="E1" t="s">
        <v>3591</v>
      </c>
      <c r="F1" t="s">
        <v>3480</v>
      </c>
      <c r="G1" t="s">
        <v>0</v>
      </c>
      <c r="H1" t="s">
        <v>3573</v>
      </c>
      <c r="I1" t="s">
        <v>3592</v>
      </c>
      <c r="J1" t="s">
        <v>3593</v>
      </c>
      <c r="K1" t="s">
        <v>3476</v>
      </c>
      <c r="L1" t="s">
        <v>3481</v>
      </c>
      <c r="M1" t="s">
        <v>3482</v>
      </c>
      <c r="N1" t="s">
        <v>3483</v>
      </c>
      <c r="O1" t="s">
        <v>3484</v>
      </c>
      <c r="P1" t="s">
        <v>1</v>
      </c>
      <c r="Q1" t="s">
        <v>2</v>
      </c>
      <c r="R1" t="s">
        <v>3</v>
      </c>
      <c r="S1" t="s">
        <v>6326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3574</v>
      </c>
      <c r="AD1" t="s">
        <v>3575</v>
      </c>
      <c r="AE1" t="s">
        <v>3576</v>
      </c>
      <c r="AF1" t="s">
        <v>3477</v>
      </c>
      <c r="AG1" t="s">
        <v>3474</v>
      </c>
      <c r="AH1" t="s">
        <v>6327</v>
      </c>
      <c r="AI1" t="s">
        <v>6328</v>
      </c>
      <c r="AJ1" t="s">
        <v>6329</v>
      </c>
      <c r="AK1" t="s">
        <v>6330</v>
      </c>
    </row>
    <row r="2" spans="1:37">
      <c r="A2" s="1">
        <v>42367</v>
      </c>
      <c r="B2">
        <v>53</v>
      </c>
      <c r="C2">
        <v>2015</v>
      </c>
      <c r="D2" s="1">
        <v>37519</v>
      </c>
      <c r="E2" t="s">
        <v>6209</v>
      </c>
      <c r="F2">
        <v>354</v>
      </c>
      <c r="G2">
        <v>12305</v>
      </c>
      <c r="H2">
        <v>10</v>
      </c>
      <c r="I2">
        <v>1</v>
      </c>
      <c r="J2">
        <v>1</v>
      </c>
      <c r="K2">
        <v>1</v>
      </c>
      <c r="L2" t="s">
        <v>3537</v>
      </c>
      <c r="M2" t="s">
        <v>3538</v>
      </c>
      <c r="N2">
        <v>1117.8559</v>
      </c>
      <c r="O2">
        <v>2071.4196000000002</v>
      </c>
      <c r="P2" t="s">
        <v>13</v>
      </c>
      <c r="Q2" t="s">
        <v>365</v>
      </c>
      <c r="R2" t="s">
        <v>428</v>
      </c>
      <c r="S2" t="s">
        <v>6877</v>
      </c>
      <c r="T2" s="1">
        <v>19911</v>
      </c>
      <c r="U2" t="s">
        <v>16</v>
      </c>
      <c r="V2" t="s">
        <v>16</v>
      </c>
      <c r="W2" t="s">
        <v>1086</v>
      </c>
      <c r="X2">
        <v>80000</v>
      </c>
      <c r="Y2">
        <v>4</v>
      </c>
      <c r="Z2" t="s">
        <v>52</v>
      </c>
      <c r="AA2" t="s">
        <v>18</v>
      </c>
      <c r="AB2" t="s">
        <v>23</v>
      </c>
      <c r="AC2" t="s">
        <v>3588</v>
      </c>
      <c r="AD2" t="s">
        <v>3588</v>
      </c>
      <c r="AE2" t="s">
        <v>3584</v>
      </c>
      <c r="AF2" t="s">
        <v>3478</v>
      </c>
      <c r="AG2" t="s">
        <v>3475</v>
      </c>
      <c r="AH2">
        <v>2071.4196000000002</v>
      </c>
      <c r="AI2">
        <v>1117.8559</v>
      </c>
      <c r="AJ2">
        <v>953.56370000000004</v>
      </c>
      <c r="AK2">
        <v>0.460343090313522</v>
      </c>
    </row>
    <row r="3" spans="1:37">
      <c r="A3" s="1">
        <v>42366</v>
      </c>
      <c r="B3">
        <v>53</v>
      </c>
      <c r="C3">
        <v>2015</v>
      </c>
      <c r="D3" s="1">
        <v>37507</v>
      </c>
      <c r="E3" t="s">
        <v>6187</v>
      </c>
      <c r="F3">
        <v>362</v>
      </c>
      <c r="G3">
        <v>12315</v>
      </c>
      <c r="H3">
        <v>10</v>
      </c>
      <c r="I3">
        <v>1</v>
      </c>
      <c r="J3">
        <v>1</v>
      </c>
      <c r="K3">
        <v>1</v>
      </c>
      <c r="L3" t="s">
        <v>3545</v>
      </c>
      <c r="M3" t="s">
        <v>3546</v>
      </c>
      <c r="N3">
        <v>1105.81</v>
      </c>
      <c r="O3">
        <v>2049.0981999999999</v>
      </c>
      <c r="P3" t="s">
        <v>30</v>
      </c>
      <c r="Q3" t="s">
        <v>805</v>
      </c>
      <c r="R3" t="s">
        <v>293</v>
      </c>
      <c r="S3" t="s">
        <v>6883</v>
      </c>
      <c r="T3" s="1">
        <v>19621</v>
      </c>
      <c r="U3" t="s">
        <v>16</v>
      </c>
      <c r="V3" t="s">
        <v>29</v>
      </c>
      <c r="W3" t="s">
        <v>1090</v>
      </c>
      <c r="X3">
        <v>130000</v>
      </c>
      <c r="Y3">
        <v>4</v>
      </c>
      <c r="Z3" t="s">
        <v>52</v>
      </c>
      <c r="AA3" t="s">
        <v>18</v>
      </c>
      <c r="AB3" t="s">
        <v>19</v>
      </c>
      <c r="AC3" t="s">
        <v>3588</v>
      </c>
      <c r="AD3" t="s">
        <v>3588</v>
      </c>
      <c r="AE3" t="s">
        <v>3584</v>
      </c>
      <c r="AF3" t="s">
        <v>3478</v>
      </c>
      <c r="AG3" t="s">
        <v>3475</v>
      </c>
      <c r="AH3">
        <v>2049.0981999999999</v>
      </c>
      <c r="AI3">
        <v>1105.81</v>
      </c>
      <c r="AJ3">
        <v>943.28819999999996</v>
      </c>
      <c r="AK3">
        <v>0.46034309141455498</v>
      </c>
    </row>
    <row r="4" spans="1:37">
      <c r="A4" s="1">
        <v>42368</v>
      </c>
      <c r="B4">
        <v>53</v>
      </c>
      <c r="C4">
        <v>2015</v>
      </c>
      <c r="D4" s="1">
        <v>37541</v>
      </c>
      <c r="E4" t="s">
        <v>6216</v>
      </c>
      <c r="F4">
        <v>356</v>
      </c>
      <c r="G4">
        <v>12382</v>
      </c>
      <c r="H4">
        <v>10</v>
      </c>
      <c r="I4">
        <v>1</v>
      </c>
      <c r="J4">
        <v>1</v>
      </c>
      <c r="K4">
        <v>1</v>
      </c>
      <c r="L4" t="s">
        <v>3539</v>
      </c>
      <c r="M4" t="s">
        <v>3540</v>
      </c>
      <c r="N4">
        <v>1117.8559</v>
      </c>
      <c r="O4">
        <v>2071.4196000000002</v>
      </c>
      <c r="P4" t="s">
        <v>26</v>
      </c>
      <c r="Q4" t="s">
        <v>181</v>
      </c>
      <c r="R4" t="s">
        <v>686</v>
      </c>
      <c r="S4" t="s">
        <v>6920</v>
      </c>
      <c r="T4" s="1">
        <v>26614</v>
      </c>
      <c r="U4" t="s">
        <v>22</v>
      </c>
      <c r="V4" t="s">
        <v>29</v>
      </c>
      <c r="W4" t="s">
        <v>1131</v>
      </c>
      <c r="X4">
        <v>20000</v>
      </c>
      <c r="Y4">
        <v>0</v>
      </c>
      <c r="Z4" t="s">
        <v>77</v>
      </c>
      <c r="AA4" t="s">
        <v>444</v>
      </c>
      <c r="AB4" t="s">
        <v>23</v>
      </c>
      <c r="AC4" t="s">
        <v>3588</v>
      </c>
      <c r="AD4" t="s">
        <v>3588</v>
      </c>
      <c r="AE4" t="s">
        <v>3584</v>
      </c>
      <c r="AF4" t="s">
        <v>3478</v>
      </c>
      <c r="AG4" t="s">
        <v>3475</v>
      </c>
      <c r="AH4">
        <v>2071.4196000000002</v>
      </c>
      <c r="AI4">
        <v>1117.8559</v>
      </c>
      <c r="AJ4">
        <v>953.56370000000004</v>
      </c>
      <c r="AK4">
        <v>0.460343090313522</v>
      </c>
    </row>
    <row r="5" spans="1:37">
      <c r="A5" s="1">
        <v>42366</v>
      </c>
      <c r="B5">
        <v>53</v>
      </c>
      <c r="C5">
        <v>2015</v>
      </c>
      <c r="D5" s="1">
        <v>37511</v>
      </c>
      <c r="E5" t="s">
        <v>6188</v>
      </c>
      <c r="F5">
        <v>360</v>
      </c>
      <c r="G5">
        <v>13103</v>
      </c>
      <c r="H5">
        <v>9</v>
      </c>
      <c r="I5">
        <v>1</v>
      </c>
      <c r="J5">
        <v>1</v>
      </c>
      <c r="K5">
        <v>1</v>
      </c>
      <c r="L5" t="s">
        <v>3543</v>
      </c>
      <c r="M5" t="s">
        <v>3544</v>
      </c>
      <c r="N5">
        <v>1105.81</v>
      </c>
      <c r="O5">
        <v>2049.0981999999999</v>
      </c>
      <c r="P5" t="s">
        <v>13</v>
      </c>
      <c r="Q5" t="s">
        <v>761</v>
      </c>
      <c r="R5" t="s">
        <v>155</v>
      </c>
      <c r="S5" t="s">
        <v>7095</v>
      </c>
      <c r="T5" s="1">
        <v>23225</v>
      </c>
      <c r="U5" t="s">
        <v>22</v>
      </c>
      <c r="V5" t="s">
        <v>16</v>
      </c>
      <c r="W5" t="s">
        <v>1407</v>
      </c>
      <c r="X5">
        <v>70000</v>
      </c>
      <c r="Y5">
        <v>0</v>
      </c>
      <c r="Z5" t="s">
        <v>17</v>
      </c>
      <c r="AA5" t="s">
        <v>18</v>
      </c>
      <c r="AB5" t="s">
        <v>23</v>
      </c>
      <c r="AC5" t="s">
        <v>3586</v>
      </c>
      <c r="AD5" t="s">
        <v>3586</v>
      </c>
      <c r="AE5" t="s">
        <v>3587</v>
      </c>
      <c r="AF5" t="s">
        <v>3478</v>
      </c>
      <c r="AG5" t="s">
        <v>3475</v>
      </c>
      <c r="AH5">
        <v>2049.0981999999999</v>
      </c>
      <c r="AI5">
        <v>1105.81</v>
      </c>
      <c r="AJ5">
        <v>943.28819999999996</v>
      </c>
      <c r="AK5">
        <v>0.46034309141455498</v>
      </c>
    </row>
    <row r="6" spans="1:37">
      <c r="A6" s="1">
        <v>42369</v>
      </c>
      <c r="B6">
        <v>53</v>
      </c>
      <c r="C6">
        <v>2015</v>
      </c>
      <c r="D6" s="1">
        <v>37589</v>
      </c>
      <c r="E6" t="s">
        <v>6219</v>
      </c>
      <c r="F6">
        <v>354</v>
      </c>
      <c r="G6">
        <v>13111</v>
      </c>
      <c r="H6">
        <v>9</v>
      </c>
      <c r="I6">
        <v>1</v>
      </c>
      <c r="J6">
        <v>1</v>
      </c>
      <c r="K6">
        <v>1</v>
      </c>
      <c r="L6" t="s">
        <v>3537</v>
      </c>
      <c r="M6" t="s">
        <v>3538</v>
      </c>
      <c r="N6">
        <v>1117.8559</v>
      </c>
      <c r="O6">
        <v>2071.4196000000002</v>
      </c>
      <c r="P6" t="s">
        <v>30</v>
      </c>
      <c r="Q6" t="s">
        <v>278</v>
      </c>
      <c r="R6" t="s">
        <v>148</v>
      </c>
      <c r="S6" t="s">
        <v>7102</v>
      </c>
      <c r="T6" s="1">
        <v>22509</v>
      </c>
      <c r="U6" t="s">
        <v>22</v>
      </c>
      <c r="V6" t="s">
        <v>29</v>
      </c>
      <c r="W6" t="s">
        <v>1416</v>
      </c>
      <c r="X6">
        <v>60000</v>
      </c>
      <c r="Y6">
        <v>1</v>
      </c>
      <c r="Z6" t="s">
        <v>52</v>
      </c>
      <c r="AA6" t="s">
        <v>53</v>
      </c>
      <c r="AB6" t="s">
        <v>19</v>
      </c>
      <c r="AC6" t="s">
        <v>3586</v>
      </c>
      <c r="AD6" t="s">
        <v>3586</v>
      </c>
      <c r="AE6" t="s">
        <v>3587</v>
      </c>
      <c r="AF6" t="s">
        <v>3478</v>
      </c>
      <c r="AG6" t="s">
        <v>3475</v>
      </c>
      <c r="AH6">
        <v>2071.4196000000002</v>
      </c>
      <c r="AI6">
        <v>1117.8559</v>
      </c>
      <c r="AJ6">
        <v>953.56370000000004</v>
      </c>
      <c r="AK6">
        <v>0.460343090313522</v>
      </c>
    </row>
    <row r="7" spans="1:37">
      <c r="A7" s="1">
        <v>42366</v>
      </c>
      <c r="B7">
        <v>53</v>
      </c>
      <c r="C7">
        <v>2015</v>
      </c>
      <c r="D7" s="1">
        <v>37586</v>
      </c>
      <c r="E7" t="s">
        <v>6190</v>
      </c>
      <c r="F7">
        <v>362</v>
      </c>
      <c r="G7">
        <v>13115</v>
      </c>
      <c r="H7">
        <v>9</v>
      </c>
      <c r="I7">
        <v>1</v>
      </c>
      <c r="J7">
        <v>1</v>
      </c>
      <c r="K7">
        <v>1</v>
      </c>
      <c r="L7" t="s">
        <v>3545</v>
      </c>
      <c r="M7" t="s">
        <v>3546</v>
      </c>
      <c r="N7">
        <v>1105.81</v>
      </c>
      <c r="O7">
        <v>2049.0981999999999</v>
      </c>
      <c r="P7" t="s">
        <v>13</v>
      </c>
      <c r="Q7" t="s">
        <v>58</v>
      </c>
      <c r="R7" t="s">
        <v>268</v>
      </c>
      <c r="S7" t="s">
        <v>7107</v>
      </c>
      <c r="T7" s="1">
        <v>24377</v>
      </c>
      <c r="U7" t="s">
        <v>22</v>
      </c>
      <c r="V7" t="s">
        <v>16</v>
      </c>
      <c r="W7" t="s">
        <v>1420</v>
      </c>
      <c r="X7">
        <v>110000</v>
      </c>
      <c r="Y7">
        <v>0</v>
      </c>
      <c r="Z7" t="s">
        <v>135</v>
      </c>
      <c r="AA7" t="s">
        <v>45</v>
      </c>
      <c r="AB7" t="s">
        <v>19</v>
      </c>
      <c r="AC7" t="s">
        <v>3586</v>
      </c>
      <c r="AD7" t="s">
        <v>3586</v>
      </c>
      <c r="AE7" t="s">
        <v>3587</v>
      </c>
      <c r="AF7" t="s">
        <v>3478</v>
      </c>
      <c r="AG7" t="s">
        <v>3475</v>
      </c>
      <c r="AH7">
        <v>2049.0981999999999</v>
      </c>
      <c r="AI7">
        <v>1105.81</v>
      </c>
      <c r="AJ7">
        <v>943.28819999999996</v>
      </c>
      <c r="AK7">
        <v>0.46034309141455498</v>
      </c>
    </row>
    <row r="8" spans="1:37">
      <c r="A8" s="1">
        <v>42369</v>
      </c>
      <c r="B8">
        <v>53</v>
      </c>
      <c r="C8">
        <v>2015</v>
      </c>
      <c r="D8" s="1">
        <v>37604</v>
      </c>
      <c r="E8" t="s">
        <v>6217</v>
      </c>
      <c r="F8">
        <v>360</v>
      </c>
      <c r="G8">
        <v>13128</v>
      </c>
      <c r="H8">
        <v>9</v>
      </c>
      <c r="I8">
        <v>1</v>
      </c>
      <c r="J8">
        <v>1</v>
      </c>
      <c r="K8">
        <v>1</v>
      </c>
      <c r="L8" t="s">
        <v>3543</v>
      </c>
      <c r="M8" t="s">
        <v>3544</v>
      </c>
      <c r="N8">
        <v>1105.81</v>
      </c>
      <c r="O8">
        <v>2049.0981999999999</v>
      </c>
      <c r="P8" t="s">
        <v>26</v>
      </c>
      <c r="Q8" t="s">
        <v>564</v>
      </c>
      <c r="R8" t="s">
        <v>1427</v>
      </c>
      <c r="S8" t="s">
        <v>7114</v>
      </c>
      <c r="T8" s="1">
        <v>23490</v>
      </c>
      <c r="U8" t="s">
        <v>22</v>
      </c>
      <c r="V8" t="s">
        <v>29</v>
      </c>
      <c r="W8" t="s">
        <v>1428</v>
      </c>
      <c r="X8">
        <v>70000</v>
      </c>
      <c r="Y8">
        <v>0</v>
      </c>
      <c r="Z8" t="s">
        <v>17</v>
      </c>
      <c r="AA8" t="s">
        <v>18</v>
      </c>
      <c r="AB8" t="s">
        <v>23</v>
      </c>
      <c r="AC8" t="s">
        <v>3586</v>
      </c>
      <c r="AD8" t="s">
        <v>3586</v>
      </c>
      <c r="AE8" t="s">
        <v>3587</v>
      </c>
      <c r="AF8" t="s">
        <v>3478</v>
      </c>
      <c r="AG8" t="s">
        <v>3475</v>
      </c>
      <c r="AH8">
        <v>2049.0981999999999</v>
      </c>
      <c r="AI8">
        <v>1105.81</v>
      </c>
      <c r="AJ8">
        <v>943.28819999999996</v>
      </c>
      <c r="AK8">
        <v>0.46034309141455498</v>
      </c>
    </row>
    <row r="9" spans="1:37">
      <c r="A9" s="1">
        <v>42366</v>
      </c>
      <c r="B9">
        <v>53</v>
      </c>
      <c r="C9">
        <v>2015</v>
      </c>
      <c r="D9" s="1">
        <v>37565</v>
      </c>
      <c r="E9" t="s">
        <v>6195</v>
      </c>
      <c r="F9">
        <v>360</v>
      </c>
      <c r="G9">
        <v>13519</v>
      </c>
      <c r="H9">
        <v>9</v>
      </c>
      <c r="I9">
        <v>1</v>
      </c>
      <c r="J9">
        <v>1</v>
      </c>
      <c r="K9">
        <v>1</v>
      </c>
      <c r="L9" t="s">
        <v>3543</v>
      </c>
      <c r="M9" t="s">
        <v>3544</v>
      </c>
      <c r="N9">
        <v>1105.81</v>
      </c>
      <c r="O9">
        <v>2049.0981999999999</v>
      </c>
      <c r="P9" t="s">
        <v>13</v>
      </c>
      <c r="Q9" t="s">
        <v>176</v>
      </c>
      <c r="R9" t="s">
        <v>321</v>
      </c>
      <c r="S9" t="s">
        <v>7136</v>
      </c>
      <c r="T9" s="1">
        <v>28766</v>
      </c>
      <c r="U9" t="s">
        <v>22</v>
      </c>
      <c r="V9" t="s">
        <v>16</v>
      </c>
      <c r="W9" t="s">
        <v>1566</v>
      </c>
      <c r="X9">
        <v>10000</v>
      </c>
      <c r="Y9">
        <v>0</v>
      </c>
      <c r="Z9" t="s">
        <v>52</v>
      </c>
      <c r="AA9" t="s">
        <v>444</v>
      </c>
      <c r="AB9" t="s">
        <v>19</v>
      </c>
      <c r="AC9" t="s">
        <v>3586</v>
      </c>
      <c r="AD9" t="s">
        <v>3586</v>
      </c>
      <c r="AE9" t="s">
        <v>3587</v>
      </c>
      <c r="AF9" t="s">
        <v>3478</v>
      </c>
      <c r="AG9" t="s">
        <v>3475</v>
      </c>
      <c r="AH9">
        <v>2049.0981999999999</v>
      </c>
      <c r="AI9">
        <v>1105.81</v>
      </c>
      <c r="AJ9">
        <v>943.28819999999996</v>
      </c>
      <c r="AK9">
        <v>0.46034309141455498</v>
      </c>
    </row>
    <row r="10" spans="1:37">
      <c r="A10" s="1">
        <v>42367</v>
      </c>
      <c r="B10">
        <v>53</v>
      </c>
      <c r="C10">
        <v>2015</v>
      </c>
      <c r="D10" s="1">
        <v>37557</v>
      </c>
      <c r="E10" t="s">
        <v>6200</v>
      </c>
      <c r="F10">
        <v>381</v>
      </c>
      <c r="G10">
        <v>14268</v>
      </c>
      <c r="H10">
        <v>4</v>
      </c>
      <c r="I10">
        <v>1</v>
      </c>
      <c r="J10">
        <v>1</v>
      </c>
      <c r="K10">
        <v>2</v>
      </c>
      <c r="L10" t="s">
        <v>3563</v>
      </c>
      <c r="M10" t="s">
        <v>3564</v>
      </c>
      <c r="N10">
        <v>605.64919999999995</v>
      </c>
      <c r="O10">
        <v>1000.4375</v>
      </c>
      <c r="P10" t="s">
        <v>26</v>
      </c>
      <c r="Q10" t="s">
        <v>588</v>
      </c>
      <c r="R10" t="s">
        <v>277</v>
      </c>
      <c r="S10" t="s">
        <v>7239</v>
      </c>
      <c r="T10" s="1">
        <v>27442</v>
      </c>
      <c r="U10" t="s">
        <v>22</v>
      </c>
      <c r="V10" t="s">
        <v>29</v>
      </c>
      <c r="W10" t="s">
        <v>1707</v>
      </c>
      <c r="X10">
        <v>30000</v>
      </c>
      <c r="Y10">
        <v>0</v>
      </c>
      <c r="Z10" t="s">
        <v>57</v>
      </c>
      <c r="AA10" t="s">
        <v>53</v>
      </c>
      <c r="AB10" t="s">
        <v>19</v>
      </c>
      <c r="AC10" t="s">
        <v>3580</v>
      </c>
      <c r="AD10" t="s">
        <v>3578</v>
      </c>
      <c r="AE10" t="s">
        <v>3579</v>
      </c>
      <c r="AF10" t="s">
        <v>3479</v>
      </c>
      <c r="AG10" t="s">
        <v>3475</v>
      </c>
      <c r="AH10">
        <v>1000.4375</v>
      </c>
      <c r="AI10">
        <v>605.64919999999995</v>
      </c>
      <c r="AJ10">
        <v>394.78829999999999</v>
      </c>
      <c r="AK10">
        <v>0.39461565565065299</v>
      </c>
    </row>
    <row r="11" spans="1:37">
      <c r="A11" s="1">
        <v>42369</v>
      </c>
      <c r="B11">
        <v>53</v>
      </c>
      <c r="C11">
        <v>2015</v>
      </c>
      <c r="D11" s="1">
        <v>37538</v>
      </c>
      <c r="E11" t="s">
        <v>6222</v>
      </c>
      <c r="F11">
        <v>369</v>
      </c>
      <c r="G11">
        <v>14944</v>
      </c>
      <c r="H11">
        <v>7</v>
      </c>
      <c r="I11">
        <v>1</v>
      </c>
      <c r="J11">
        <v>1</v>
      </c>
      <c r="K11">
        <v>2</v>
      </c>
      <c r="L11" t="s">
        <v>3549</v>
      </c>
      <c r="M11" t="s">
        <v>3550</v>
      </c>
      <c r="N11">
        <v>1518.7864</v>
      </c>
      <c r="O11">
        <v>2443.35</v>
      </c>
      <c r="P11" t="s">
        <v>13</v>
      </c>
      <c r="Q11" t="s">
        <v>651</v>
      </c>
      <c r="R11" t="s">
        <v>1169</v>
      </c>
      <c r="S11" t="s">
        <v>7350</v>
      </c>
      <c r="T11" s="1">
        <v>23964</v>
      </c>
      <c r="U11" t="s">
        <v>22</v>
      </c>
      <c r="V11" t="s">
        <v>16</v>
      </c>
      <c r="W11" t="s">
        <v>1825</v>
      </c>
      <c r="X11">
        <v>10000</v>
      </c>
      <c r="Y11">
        <v>5</v>
      </c>
      <c r="Z11" t="s">
        <v>77</v>
      </c>
      <c r="AA11" t="s">
        <v>444</v>
      </c>
      <c r="AB11" t="s">
        <v>19</v>
      </c>
      <c r="AC11" t="s">
        <v>3583</v>
      </c>
      <c r="AD11" t="s">
        <v>3583</v>
      </c>
      <c r="AE11" t="s">
        <v>3584</v>
      </c>
      <c r="AF11" t="s">
        <v>3479</v>
      </c>
      <c r="AG11" t="s">
        <v>3475</v>
      </c>
      <c r="AH11">
        <v>2443.35</v>
      </c>
      <c r="AI11">
        <v>1518.7864</v>
      </c>
      <c r="AJ11">
        <v>924.56359999999995</v>
      </c>
      <c r="AK11">
        <v>0.37839998362903399</v>
      </c>
    </row>
    <row r="12" spans="1:37">
      <c r="A12" s="1">
        <v>42367</v>
      </c>
      <c r="B12">
        <v>53</v>
      </c>
      <c r="C12">
        <v>2015</v>
      </c>
      <c r="D12" s="1">
        <v>37547</v>
      </c>
      <c r="E12" t="s">
        <v>6207</v>
      </c>
      <c r="F12">
        <v>373</v>
      </c>
      <c r="G12">
        <v>14995</v>
      </c>
      <c r="H12">
        <v>7</v>
      </c>
      <c r="I12">
        <v>1</v>
      </c>
      <c r="J12">
        <v>1</v>
      </c>
      <c r="K12">
        <v>2</v>
      </c>
      <c r="L12" t="s">
        <v>3555</v>
      </c>
      <c r="M12" t="s">
        <v>3556</v>
      </c>
      <c r="N12">
        <v>1320.6838</v>
      </c>
      <c r="O12">
        <v>2181.5625</v>
      </c>
      <c r="P12" t="s">
        <v>26</v>
      </c>
      <c r="Q12" t="s">
        <v>1126</v>
      </c>
      <c r="R12" t="s">
        <v>465</v>
      </c>
      <c r="S12" t="s">
        <v>7373</v>
      </c>
      <c r="T12" s="1">
        <v>27158</v>
      </c>
      <c r="U12" t="s">
        <v>22</v>
      </c>
      <c r="V12" t="s">
        <v>29</v>
      </c>
      <c r="W12" t="s">
        <v>1849</v>
      </c>
      <c r="X12">
        <v>20000</v>
      </c>
      <c r="Y12">
        <v>0</v>
      </c>
      <c r="Z12" t="s">
        <v>77</v>
      </c>
      <c r="AA12" t="s">
        <v>444</v>
      </c>
      <c r="AB12" t="s">
        <v>23</v>
      </c>
      <c r="AC12" t="s">
        <v>3583</v>
      </c>
      <c r="AD12" t="s">
        <v>3583</v>
      </c>
      <c r="AE12" t="s">
        <v>3584</v>
      </c>
      <c r="AF12" t="s">
        <v>3479</v>
      </c>
      <c r="AG12" t="s">
        <v>3475</v>
      </c>
      <c r="AH12">
        <v>2181.5625</v>
      </c>
      <c r="AI12">
        <v>1320.6838</v>
      </c>
      <c r="AJ12">
        <v>860.87869999999998</v>
      </c>
      <c r="AK12">
        <v>0.39461564818793898</v>
      </c>
    </row>
    <row r="13" spans="1:37">
      <c r="A13" s="1">
        <v>42367</v>
      </c>
      <c r="B13">
        <v>53</v>
      </c>
      <c r="C13">
        <v>2015</v>
      </c>
      <c r="D13" s="1">
        <v>37554</v>
      </c>
      <c r="E13" t="s">
        <v>6208</v>
      </c>
      <c r="F13">
        <v>369</v>
      </c>
      <c r="G13">
        <v>15004</v>
      </c>
      <c r="H13">
        <v>7</v>
      </c>
      <c r="I13">
        <v>1</v>
      </c>
      <c r="J13">
        <v>1</v>
      </c>
      <c r="K13">
        <v>2</v>
      </c>
      <c r="L13" t="s">
        <v>3549</v>
      </c>
      <c r="M13" t="s">
        <v>3550</v>
      </c>
      <c r="N13">
        <v>1518.7864</v>
      </c>
      <c r="O13">
        <v>2443.35</v>
      </c>
      <c r="P13" t="s">
        <v>26</v>
      </c>
      <c r="Q13" t="s">
        <v>981</v>
      </c>
      <c r="R13" t="s">
        <v>511</v>
      </c>
      <c r="S13" t="s">
        <v>7378</v>
      </c>
      <c r="T13" s="1">
        <v>27003</v>
      </c>
      <c r="U13" t="s">
        <v>22</v>
      </c>
      <c r="V13" t="s">
        <v>29</v>
      </c>
      <c r="W13" t="s">
        <v>1854</v>
      </c>
      <c r="X13">
        <v>20000</v>
      </c>
      <c r="Y13">
        <v>0</v>
      </c>
      <c r="Z13" t="s">
        <v>77</v>
      </c>
      <c r="AA13" t="s">
        <v>444</v>
      </c>
      <c r="AB13" t="s">
        <v>19</v>
      </c>
      <c r="AC13" t="s">
        <v>3583</v>
      </c>
      <c r="AD13" t="s">
        <v>3583</v>
      </c>
      <c r="AE13" t="s">
        <v>3584</v>
      </c>
      <c r="AF13" t="s">
        <v>3479</v>
      </c>
      <c r="AG13" t="s">
        <v>3475</v>
      </c>
      <c r="AH13">
        <v>2443.35</v>
      </c>
      <c r="AI13">
        <v>1518.7864</v>
      </c>
      <c r="AJ13">
        <v>924.56359999999995</v>
      </c>
      <c r="AK13">
        <v>0.37839998362903399</v>
      </c>
    </row>
    <row r="14" spans="1:37">
      <c r="A14" s="1">
        <v>42367</v>
      </c>
      <c r="B14">
        <v>53</v>
      </c>
      <c r="C14">
        <v>2015</v>
      </c>
      <c r="D14" s="1">
        <v>37586</v>
      </c>
      <c r="E14" t="s">
        <v>6204</v>
      </c>
      <c r="F14">
        <v>326</v>
      </c>
      <c r="G14">
        <v>15410</v>
      </c>
      <c r="H14">
        <v>4</v>
      </c>
      <c r="I14">
        <v>1</v>
      </c>
      <c r="J14">
        <v>1</v>
      </c>
      <c r="K14">
        <v>2</v>
      </c>
      <c r="L14" t="s">
        <v>3501</v>
      </c>
      <c r="M14" t="s">
        <v>3502</v>
      </c>
      <c r="N14">
        <v>413.1463</v>
      </c>
      <c r="O14">
        <v>699.09820000000002</v>
      </c>
      <c r="P14" t="s">
        <v>30</v>
      </c>
      <c r="Q14" t="s">
        <v>593</v>
      </c>
      <c r="R14" t="s">
        <v>250</v>
      </c>
      <c r="S14" t="s">
        <v>7491</v>
      </c>
      <c r="T14" s="1">
        <v>19167</v>
      </c>
      <c r="U14" t="s">
        <v>16</v>
      </c>
      <c r="V14" t="s">
        <v>29</v>
      </c>
      <c r="W14" t="s">
        <v>1968</v>
      </c>
      <c r="X14">
        <v>40000</v>
      </c>
      <c r="Y14">
        <v>3</v>
      </c>
      <c r="Z14" t="s">
        <v>52</v>
      </c>
      <c r="AA14" t="s">
        <v>18</v>
      </c>
      <c r="AB14" t="s">
        <v>23</v>
      </c>
      <c r="AC14" t="s">
        <v>3580</v>
      </c>
      <c r="AD14" t="s">
        <v>3578</v>
      </c>
      <c r="AE14" t="s">
        <v>3579</v>
      </c>
      <c r="AF14" t="s">
        <v>3479</v>
      </c>
      <c r="AG14" t="s">
        <v>3475</v>
      </c>
      <c r="AH14">
        <v>699.09820000000002</v>
      </c>
      <c r="AI14">
        <v>413.1463</v>
      </c>
      <c r="AJ14">
        <v>285.95190000000002</v>
      </c>
      <c r="AK14">
        <v>0.409029661355157</v>
      </c>
    </row>
    <row r="15" spans="1:37">
      <c r="A15" s="1">
        <v>42367</v>
      </c>
      <c r="B15">
        <v>53</v>
      </c>
      <c r="C15">
        <v>2015</v>
      </c>
      <c r="D15" s="1">
        <v>37534</v>
      </c>
      <c r="E15" t="s">
        <v>6202</v>
      </c>
      <c r="F15">
        <v>369</v>
      </c>
      <c r="G15">
        <v>16429</v>
      </c>
      <c r="H15">
        <v>8</v>
      </c>
      <c r="I15">
        <v>1</v>
      </c>
      <c r="J15">
        <v>1</v>
      </c>
      <c r="K15">
        <v>2</v>
      </c>
      <c r="L15" t="s">
        <v>3549</v>
      </c>
      <c r="M15" t="s">
        <v>3550</v>
      </c>
      <c r="N15">
        <v>1518.7864</v>
      </c>
      <c r="O15">
        <v>2443.35</v>
      </c>
      <c r="P15" t="s">
        <v>30</v>
      </c>
      <c r="Q15" t="s">
        <v>117</v>
      </c>
      <c r="R15" t="s">
        <v>159</v>
      </c>
      <c r="S15" t="s">
        <v>7610</v>
      </c>
      <c r="T15" s="1">
        <v>22935</v>
      </c>
      <c r="U15" t="s">
        <v>16</v>
      </c>
      <c r="V15" t="s">
        <v>29</v>
      </c>
      <c r="W15" t="s">
        <v>2092</v>
      </c>
      <c r="X15">
        <v>30000</v>
      </c>
      <c r="Y15">
        <v>1</v>
      </c>
      <c r="Z15" t="s">
        <v>52</v>
      </c>
      <c r="AA15" t="s">
        <v>60</v>
      </c>
      <c r="AB15" t="s">
        <v>19</v>
      </c>
      <c r="AC15" t="s">
        <v>3585</v>
      </c>
      <c r="AD15" t="s">
        <v>3585</v>
      </c>
      <c r="AE15" t="s">
        <v>3584</v>
      </c>
      <c r="AF15" t="s">
        <v>3479</v>
      </c>
      <c r="AG15" t="s">
        <v>3475</v>
      </c>
      <c r="AH15">
        <v>2443.35</v>
      </c>
      <c r="AI15">
        <v>1518.7864</v>
      </c>
      <c r="AJ15">
        <v>924.56359999999995</v>
      </c>
      <c r="AK15">
        <v>0.37839998362903399</v>
      </c>
    </row>
    <row r="16" spans="1:37">
      <c r="A16" s="1">
        <v>42367</v>
      </c>
      <c r="B16">
        <v>53</v>
      </c>
      <c r="C16">
        <v>2015</v>
      </c>
      <c r="D16" s="1">
        <v>37552</v>
      </c>
      <c r="E16" t="s">
        <v>6196</v>
      </c>
      <c r="F16">
        <v>377</v>
      </c>
      <c r="G16">
        <v>16466</v>
      </c>
      <c r="H16">
        <v>8</v>
      </c>
      <c r="I16">
        <v>1</v>
      </c>
      <c r="J16">
        <v>1</v>
      </c>
      <c r="K16">
        <v>2</v>
      </c>
      <c r="L16" t="s">
        <v>3559</v>
      </c>
      <c r="M16" t="s">
        <v>3560</v>
      </c>
      <c r="N16">
        <v>1320.6838</v>
      </c>
      <c r="O16">
        <v>2181.5625</v>
      </c>
      <c r="P16" t="s">
        <v>26</v>
      </c>
      <c r="Q16" t="s">
        <v>550</v>
      </c>
      <c r="R16" t="s">
        <v>194</v>
      </c>
      <c r="S16" t="s">
        <v>7620</v>
      </c>
      <c r="T16" s="1">
        <v>27195</v>
      </c>
      <c r="U16" t="s">
        <v>22</v>
      </c>
      <c r="V16" t="s">
        <v>29</v>
      </c>
      <c r="W16" t="s">
        <v>2102</v>
      </c>
      <c r="X16">
        <v>20000</v>
      </c>
      <c r="Y16">
        <v>0</v>
      </c>
      <c r="Z16" t="s">
        <v>77</v>
      </c>
      <c r="AA16" t="s">
        <v>444</v>
      </c>
      <c r="AB16" t="s">
        <v>23</v>
      </c>
      <c r="AC16" t="s">
        <v>3585</v>
      </c>
      <c r="AD16" t="s">
        <v>3585</v>
      </c>
      <c r="AE16" t="s">
        <v>3584</v>
      </c>
      <c r="AF16" t="s">
        <v>3479</v>
      </c>
      <c r="AG16" t="s">
        <v>3475</v>
      </c>
      <c r="AH16">
        <v>2181.5625</v>
      </c>
      <c r="AI16">
        <v>1320.6838</v>
      </c>
      <c r="AJ16">
        <v>860.87869999999998</v>
      </c>
      <c r="AK16">
        <v>0.39461564818793898</v>
      </c>
    </row>
    <row r="17" spans="1:37">
      <c r="A17" s="1">
        <v>42367</v>
      </c>
      <c r="B17">
        <v>53</v>
      </c>
      <c r="C17">
        <v>2015</v>
      </c>
      <c r="D17" s="1">
        <v>37581</v>
      </c>
      <c r="E17" t="s">
        <v>6203</v>
      </c>
      <c r="F17">
        <v>377</v>
      </c>
      <c r="G17">
        <v>17115</v>
      </c>
      <c r="H17">
        <v>10</v>
      </c>
      <c r="I17">
        <v>1</v>
      </c>
      <c r="J17">
        <v>1</v>
      </c>
      <c r="K17">
        <v>2</v>
      </c>
      <c r="L17" t="s">
        <v>3559</v>
      </c>
      <c r="M17" t="s">
        <v>3560</v>
      </c>
      <c r="N17">
        <v>1320.6838</v>
      </c>
      <c r="O17">
        <v>2181.5625</v>
      </c>
      <c r="P17" t="s">
        <v>30</v>
      </c>
      <c r="Q17" t="s">
        <v>1576</v>
      </c>
      <c r="R17" t="s">
        <v>474</v>
      </c>
      <c r="S17" t="s">
        <v>7660</v>
      </c>
      <c r="T17" s="1">
        <v>25976</v>
      </c>
      <c r="U17" t="s">
        <v>16</v>
      </c>
      <c r="V17" t="s">
        <v>29</v>
      </c>
      <c r="W17" t="s">
        <v>2145</v>
      </c>
      <c r="X17">
        <v>40000</v>
      </c>
      <c r="Y17">
        <v>2</v>
      </c>
      <c r="Z17" t="s">
        <v>52</v>
      </c>
      <c r="AA17" t="s">
        <v>60</v>
      </c>
      <c r="AB17" t="s">
        <v>23</v>
      </c>
      <c r="AC17" t="s">
        <v>3588</v>
      </c>
      <c r="AD17" t="s">
        <v>3588</v>
      </c>
      <c r="AE17" t="s">
        <v>3584</v>
      </c>
      <c r="AF17" t="s">
        <v>3479</v>
      </c>
      <c r="AG17" t="s">
        <v>3475</v>
      </c>
      <c r="AH17">
        <v>2181.5625</v>
      </c>
      <c r="AI17">
        <v>1320.6838</v>
      </c>
      <c r="AJ17">
        <v>860.87869999999998</v>
      </c>
      <c r="AK17">
        <v>0.39461564818793898</v>
      </c>
    </row>
    <row r="18" spans="1:37">
      <c r="A18" s="1">
        <v>42369</v>
      </c>
      <c r="B18">
        <v>53</v>
      </c>
      <c r="C18">
        <v>2015</v>
      </c>
      <c r="D18" s="1">
        <v>37569</v>
      </c>
      <c r="E18" t="s">
        <v>6218</v>
      </c>
      <c r="F18">
        <v>377</v>
      </c>
      <c r="G18">
        <v>17202</v>
      </c>
      <c r="H18">
        <v>10</v>
      </c>
      <c r="I18">
        <v>1</v>
      </c>
      <c r="J18">
        <v>1</v>
      </c>
      <c r="K18">
        <v>2</v>
      </c>
      <c r="L18" t="s">
        <v>3559</v>
      </c>
      <c r="M18" t="s">
        <v>3560</v>
      </c>
      <c r="N18">
        <v>1320.6838</v>
      </c>
      <c r="O18">
        <v>2181.5625</v>
      </c>
      <c r="P18" t="s">
        <v>30</v>
      </c>
      <c r="Q18" t="s">
        <v>128</v>
      </c>
      <c r="R18" t="s">
        <v>290</v>
      </c>
      <c r="S18" t="s">
        <v>7668</v>
      </c>
      <c r="T18" s="1">
        <v>16544</v>
      </c>
      <c r="U18" t="s">
        <v>16</v>
      </c>
      <c r="V18" t="s">
        <v>29</v>
      </c>
      <c r="W18" t="s">
        <v>2153</v>
      </c>
      <c r="X18">
        <v>110000</v>
      </c>
      <c r="Y18">
        <v>3</v>
      </c>
      <c r="Z18" t="s">
        <v>17</v>
      </c>
      <c r="AA18" t="s">
        <v>45</v>
      </c>
      <c r="AB18" t="s">
        <v>19</v>
      </c>
      <c r="AC18" t="s">
        <v>3588</v>
      </c>
      <c r="AD18" t="s">
        <v>3588</v>
      </c>
      <c r="AE18" t="s">
        <v>3584</v>
      </c>
      <c r="AF18" t="s">
        <v>3479</v>
      </c>
      <c r="AG18" t="s">
        <v>3475</v>
      </c>
      <c r="AH18">
        <v>2181.5625</v>
      </c>
      <c r="AI18">
        <v>1320.6838</v>
      </c>
      <c r="AJ18">
        <v>860.87869999999998</v>
      </c>
      <c r="AK18">
        <v>0.39461564818793898</v>
      </c>
    </row>
    <row r="19" spans="1:37">
      <c r="A19" s="1">
        <v>42368</v>
      </c>
      <c r="B19">
        <v>53</v>
      </c>
      <c r="C19">
        <v>2015</v>
      </c>
      <c r="D19" s="1">
        <v>37535</v>
      </c>
      <c r="E19" t="s">
        <v>6210</v>
      </c>
      <c r="F19">
        <v>377</v>
      </c>
      <c r="G19">
        <v>17626</v>
      </c>
      <c r="H19">
        <v>10</v>
      </c>
      <c r="I19">
        <v>1</v>
      </c>
      <c r="J19">
        <v>1</v>
      </c>
      <c r="K19">
        <v>2</v>
      </c>
      <c r="L19" t="s">
        <v>3559</v>
      </c>
      <c r="M19" t="s">
        <v>3560</v>
      </c>
      <c r="N19">
        <v>1320.6838</v>
      </c>
      <c r="O19">
        <v>2181.5625</v>
      </c>
      <c r="P19" t="s">
        <v>13</v>
      </c>
      <c r="Q19" t="s">
        <v>316</v>
      </c>
      <c r="R19" t="s">
        <v>220</v>
      </c>
      <c r="S19" t="s">
        <v>7676</v>
      </c>
      <c r="T19" s="1">
        <v>27207</v>
      </c>
      <c r="U19" t="s">
        <v>16</v>
      </c>
      <c r="V19" t="s">
        <v>16</v>
      </c>
      <c r="W19" t="s">
        <v>2161</v>
      </c>
      <c r="X19">
        <v>40000</v>
      </c>
      <c r="Y19">
        <v>1</v>
      </c>
      <c r="Z19" t="s">
        <v>17</v>
      </c>
      <c r="AA19" t="s">
        <v>53</v>
      </c>
      <c r="AB19" t="s">
        <v>19</v>
      </c>
      <c r="AC19" t="s">
        <v>3588</v>
      </c>
      <c r="AD19" t="s">
        <v>3588</v>
      </c>
      <c r="AE19" t="s">
        <v>3584</v>
      </c>
      <c r="AF19" t="s">
        <v>3479</v>
      </c>
      <c r="AG19" t="s">
        <v>3475</v>
      </c>
      <c r="AH19">
        <v>2181.5625</v>
      </c>
      <c r="AI19">
        <v>1320.6838</v>
      </c>
      <c r="AJ19">
        <v>860.87869999999998</v>
      </c>
      <c r="AK19">
        <v>0.39461564818793898</v>
      </c>
    </row>
    <row r="20" spans="1:37">
      <c r="A20" s="1">
        <v>42366</v>
      </c>
      <c r="B20">
        <v>53</v>
      </c>
      <c r="C20">
        <v>2015</v>
      </c>
      <c r="D20" s="1">
        <v>37531</v>
      </c>
      <c r="E20" t="s">
        <v>6186</v>
      </c>
      <c r="F20">
        <v>381</v>
      </c>
      <c r="G20">
        <v>18171</v>
      </c>
      <c r="H20">
        <v>8</v>
      </c>
      <c r="I20">
        <v>1</v>
      </c>
      <c r="J20">
        <v>1</v>
      </c>
      <c r="K20">
        <v>2</v>
      </c>
      <c r="L20" t="s">
        <v>3563</v>
      </c>
      <c r="M20" t="s">
        <v>3564</v>
      </c>
      <c r="N20">
        <v>605.64919999999995</v>
      </c>
      <c r="O20">
        <v>1000.4375</v>
      </c>
      <c r="P20" t="s">
        <v>13</v>
      </c>
      <c r="Q20" t="s">
        <v>74</v>
      </c>
      <c r="R20" t="s">
        <v>227</v>
      </c>
      <c r="S20" t="s">
        <v>7708</v>
      </c>
      <c r="T20" s="1">
        <v>18721</v>
      </c>
      <c r="U20" t="s">
        <v>16</v>
      </c>
      <c r="V20" t="s">
        <v>16</v>
      </c>
      <c r="W20" t="s">
        <v>2195</v>
      </c>
      <c r="X20">
        <v>110000</v>
      </c>
      <c r="Y20">
        <v>4</v>
      </c>
      <c r="Z20" t="s">
        <v>52</v>
      </c>
      <c r="AA20" t="s">
        <v>18</v>
      </c>
      <c r="AB20" t="s">
        <v>19</v>
      </c>
      <c r="AC20" t="s">
        <v>3585</v>
      </c>
      <c r="AD20" t="s">
        <v>3585</v>
      </c>
      <c r="AE20" t="s">
        <v>3584</v>
      </c>
      <c r="AF20" t="s">
        <v>3479</v>
      </c>
      <c r="AG20" t="s">
        <v>3475</v>
      </c>
      <c r="AH20">
        <v>1000.4375</v>
      </c>
      <c r="AI20">
        <v>605.64919999999995</v>
      </c>
      <c r="AJ20">
        <v>394.78829999999999</v>
      </c>
      <c r="AK20">
        <v>0.39461565565065299</v>
      </c>
    </row>
    <row r="21" spans="1:37">
      <c r="A21" s="1">
        <v>42367</v>
      </c>
      <c r="B21">
        <v>53</v>
      </c>
      <c r="C21">
        <v>2015</v>
      </c>
      <c r="D21" s="1">
        <v>37600</v>
      </c>
      <c r="E21" t="s">
        <v>6198</v>
      </c>
      <c r="F21">
        <v>326</v>
      </c>
      <c r="G21">
        <v>19313</v>
      </c>
      <c r="H21">
        <v>7</v>
      </c>
      <c r="I21">
        <v>1</v>
      </c>
      <c r="J21">
        <v>1</v>
      </c>
      <c r="K21">
        <v>2</v>
      </c>
      <c r="L21" t="s">
        <v>3501</v>
      </c>
      <c r="M21" t="s">
        <v>3502</v>
      </c>
      <c r="N21">
        <v>413.1463</v>
      </c>
      <c r="O21">
        <v>699.09820000000002</v>
      </c>
      <c r="P21" t="s">
        <v>13</v>
      </c>
      <c r="Q21" t="s">
        <v>327</v>
      </c>
      <c r="R21" t="s">
        <v>173</v>
      </c>
      <c r="S21" t="s">
        <v>7808</v>
      </c>
      <c r="T21" s="1">
        <v>24542</v>
      </c>
      <c r="U21" t="s">
        <v>22</v>
      </c>
      <c r="V21" t="s">
        <v>16</v>
      </c>
      <c r="W21" t="s">
        <v>2295</v>
      </c>
      <c r="X21">
        <v>10000</v>
      </c>
      <c r="Y21">
        <v>3</v>
      </c>
      <c r="Z21" t="s">
        <v>57</v>
      </c>
      <c r="AA21" t="s">
        <v>444</v>
      </c>
      <c r="AB21" t="s">
        <v>19</v>
      </c>
      <c r="AC21" t="s">
        <v>3583</v>
      </c>
      <c r="AD21" t="s">
        <v>3583</v>
      </c>
      <c r="AE21" t="s">
        <v>3584</v>
      </c>
      <c r="AF21" t="s">
        <v>3479</v>
      </c>
      <c r="AG21" t="s">
        <v>3475</v>
      </c>
      <c r="AH21">
        <v>699.09820000000002</v>
      </c>
      <c r="AI21">
        <v>413.1463</v>
      </c>
      <c r="AJ21">
        <v>285.95190000000002</v>
      </c>
      <c r="AK21">
        <v>0.409029661355157</v>
      </c>
    </row>
    <row r="22" spans="1:37">
      <c r="A22" s="1">
        <v>42367</v>
      </c>
      <c r="B22">
        <v>53</v>
      </c>
      <c r="C22">
        <v>2015</v>
      </c>
      <c r="D22" s="1">
        <v>37565</v>
      </c>
      <c r="E22" t="s">
        <v>6206</v>
      </c>
      <c r="F22">
        <v>387</v>
      </c>
      <c r="G22">
        <v>19359</v>
      </c>
      <c r="H22">
        <v>10</v>
      </c>
      <c r="I22">
        <v>1</v>
      </c>
      <c r="J22">
        <v>1</v>
      </c>
      <c r="K22">
        <v>2</v>
      </c>
      <c r="L22" t="s">
        <v>3569</v>
      </c>
      <c r="M22" t="s">
        <v>3570</v>
      </c>
      <c r="N22">
        <v>605.64919999999995</v>
      </c>
      <c r="O22">
        <v>1000.4375</v>
      </c>
      <c r="P22" t="s">
        <v>13</v>
      </c>
      <c r="Q22" t="s">
        <v>461</v>
      </c>
      <c r="R22" t="s">
        <v>248</v>
      </c>
      <c r="S22" t="s">
        <v>7813</v>
      </c>
      <c r="T22" s="1">
        <v>23243</v>
      </c>
      <c r="U22" t="s">
        <v>16</v>
      </c>
      <c r="V22" t="s">
        <v>16</v>
      </c>
      <c r="W22" t="s">
        <v>2300</v>
      </c>
      <c r="X22">
        <v>40000</v>
      </c>
      <c r="Y22">
        <v>1</v>
      </c>
      <c r="Z22" t="s">
        <v>17</v>
      </c>
      <c r="AA22" t="s">
        <v>53</v>
      </c>
      <c r="AB22" t="s">
        <v>19</v>
      </c>
      <c r="AC22" t="s">
        <v>3588</v>
      </c>
      <c r="AD22" t="s">
        <v>3588</v>
      </c>
      <c r="AE22" t="s">
        <v>3584</v>
      </c>
      <c r="AF22" t="s">
        <v>3479</v>
      </c>
      <c r="AG22" t="s">
        <v>3475</v>
      </c>
      <c r="AH22">
        <v>1000.4375</v>
      </c>
      <c r="AI22">
        <v>605.64919999999995</v>
      </c>
      <c r="AJ22">
        <v>394.78829999999999</v>
      </c>
      <c r="AK22">
        <v>0.39461565565065299</v>
      </c>
    </row>
    <row r="23" spans="1:37">
      <c r="A23" s="1">
        <v>42369</v>
      </c>
      <c r="B23">
        <v>53</v>
      </c>
      <c r="C23">
        <v>2015</v>
      </c>
      <c r="D23" s="1">
        <v>37592</v>
      </c>
      <c r="E23" t="s">
        <v>6221</v>
      </c>
      <c r="F23">
        <v>340</v>
      </c>
      <c r="G23">
        <v>20722</v>
      </c>
      <c r="H23">
        <v>8</v>
      </c>
      <c r="I23">
        <v>1</v>
      </c>
      <c r="J23">
        <v>1</v>
      </c>
      <c r="K23">
        <v>2</v>
      </c>
      <c r="L23" t="s">
        <v>3515</v>
      </c>
      <c r="M23" t="s">
        <v>3516</v>
      </c>
      <c r="N23">
        <v>413.1463</v>
      </c>
      <c r="O23">
        <v>699.09820000000002</v>
      </c>
      <c r="P23" t="s">
        <v>30</v>
      </c>
      <c r="Q23" t="s">
        <v>1202</v>
      </c>
      <c r="R23" t="s">
        <v>157</v>
      </c>
      <c r="S23" t="s">
        <v>8065</v>
      </c>
      <c r="T23" s="1">
        <v>26413</v>
      </c>
      <c r="U23" t="s">
        <v>22</v>
      </c>
      <c r="V23" t="s">
        <v>29</v>
      </c>
      <c r="W23" t="s">
        <v>2559</v>
      </c>
      <c r="X23">
        <v>40000</v>
      </c>
      <c r="Y23">
        <v>2</v>
      </c>
      <c r="Z23" t="s">
        <v>52</v>
      </c>
      <c r="AA23" t="s">
        <v>60</v>
      </c>
      <c r="AB23" t="s">
        <v>19</v>
      </c>
      <c r="AC23" t="s">
        <v>3585</v>
      </c>
      <c r="AD23" t="s">
        <v>3585</v>
      </c>
      <c r="AE23" t="s">
        <v>3584</v>
      </c>
      <c r="AF23" t="s">
        <v>3479</v>
      </c>
      <c r="AG23" t="s">
        <v>3475</v>
      </c>
      <c r="AH23">
        <v>699.09820000000002</v>
      </c>
      <c r="AI23">
        <v>413.1463</v>
      </c>
      <c r="AJ23">
        <v>285.95190000000002</v>
      </c>
      <c r="AK23">
        <v>0.409029661355157</v>
      </c>
    </row>
    <row r="24" spans="1:37">
      <c r="A24" s="1">
        <v>42368</v>
      </c>
      <c r="B24">
        <v>53</v>
      </c>
      <c r="C24">
        <v>2015</v>
      </c>
      <c r="D24" s="1">
        <v>37596</v>
      </c>
      <c r="E24" t="s">
        <v>6214</v>
      </c>
      <c r="F24">
        <v>371</v>
      </c>
      <c r="G24">
        <v>22910</v>
      </c>
      <c r="H24">
        <v>9</v>
      </c>
      <c r="I24">
        <v>1</v>
      </c>
      <c r="J24">
        <v>1</v>
      </c>
      <c r="K24">
        <v>2</v>
      </c>
      <c r="L24" t="s">
        <v>3553</v>
      </c>
      <c r="M24" t="s">
        <v>3554</v>
      </c>
      <c r="N24">
        <v>1320.6838</v>
      </c>
      <c r="O24">
        <v>2181.5625</v>
      </c>
      <c r="P24" t="s">
        <v>30</v>
      </c>
      <c r="Q24" t="s">
        <v>354</v>
      </c>
      <c r="R24" t="s">
        <v>282</v>
      </c>
      <c r="S24" t="s">
        <v>8316</v>
      </c>
      <c r="T24" s="1">
        <v>24945</v>
      </c>
      <c r="U24" t="s">
        <v>16</v>
      </c>
      <c r="V24" t="s">
        <v>29</v>
      </c>
      <c r="W24" t="s">
        <v>2815</v>
      </c>
      <c r="X24">
        <v>60000</v>
      </c>
      <c r="Y24">
        <v>2</v>
      </c>
      <c r="Z24" t="s">
        <v>17</v>
      </c>
      <c r="AA24" t="s">
        <v>18</v>
      </c>
      <c r="AB24" t="s">
        <v>19</v>
      </c>
      <c r="AC24" t="s">
        <v>3586</v>
      </c>
      <c r="AD24" t="s">
        <v>3586</v>
      </c>
      <c r="AE24" t="s">
        <v>3587</v>
      </c>
      <c r="AF24" t="s">
        <v>3479</v>
      </c>
      <c r="AG24" t="s">
        <v>3475</v>
      </c>
      <c r="AH24">
        <v>2181.5625</v>
      </c>
      <c r="AI24">
        <v>1320.6838</v>
      </c>
      <c r="AJ24">
        <v>860.87869999999998</v>
      </c>
      <c r="AK24">
        <v>0.39461564818793898</v>
      </c>
    </row>
    <row r="25" spans="1:37">
      <c r="A25" s="1">
        <v>42368</v>
      </c>
      <c r="B25">
        <v>53</v>
      </c>
      <c r="C25">
        <v>2015</v>
      </c>
      <c r="D25" s="1">
        <v>37508</v>
      </c>
      <c r="E25" t="s">
        <v>6211</v>
      </c>
      <c r="F25">
        <v>368</v>
      </c>
      <c r="G25">
        <v>22930</v>
      </c>
      <c r="H25">
        <v>9</v>
      </c>
      <c r="I25">
        <v>1</v>
      </c>
      <c r="J25">
        <v>1</v>
      </c>
      <c r="K25">
        <v>2</v>
      </c>
      <c r="L25" t="s">
        <v>3547</v>
      </c>
      <c r="M25" t="s">
        <v>3548</v>
      </c>
      <c r="N25">
        <v>1518.7864</v>
      </c>
      <c r="O25">
        <v>2443.35</v>
      </c>
      <c r="P25" t="s">
        <v>13</v>
      </c>
      <c r="Q25" t="s">
        <v>531</v>
      </c>
      <c r="R25" t="s">
        <v>431</v>
      </c>
      <c r="S25" t="s">
        <v>8323</v>
      </c>
      <c r="T25" s="1">
        <v>24798</v>
      </c>
      <c r="U25" t="s">
        <v>16</v>
      </c>
      <c r="V25" t="s">
        <v>16</v>
      </c>
      <c r="W25" t="s">
        <v>2822</v>
      </c>
      <c r="X25">
        <v>90000</v>
      </c>
      <c r="Y25">
        <v>4</v>
      </c>
      <c r="Z25" t="s">
        <v>17</v>
      </c>
      <c r="AA25" t="s">
        <v>18</v>
      </c>
      <c r="AB25" t="s">
        <v>19</v>
      </c>
      <c r="AC25" t="s">
        <v>3586</v>
      </c>
      <c r="AD25" t="s">
        <v>3586</v>
      </c>
      <c r="AE25" t="s">
        <v>3587</v>
      </c>
      <c r="AF25" t="s">
        <v>3479</v>
      </c>
      <c r="AG25" t="s">
        <v>3475</v>
      </c>
      <c r="AH25">
        <v>2443.35</v>
      </c>
      <c r="AI25">
        <v>1518.7864</v>
      </c>
      <c r="AJ25">
        <v>924.56359999999995</v>
      </c>
      <c r="AK25">
        <v>0.37839998362903399</v>
      </c>
    </row>
    <row r="26" spans="1:37">
      <c r="A26" s="1">
        <v>42366</v>
      </c>
      <c r="B26">
        <v>53</v>
      </c>
      <c r="C26">
        <v>2015</v>
      </c>
      <c r="D26" s="1">
        <v>37522</v>
      </c>
      <c r="E26" t="s">
        <v>6194</v>
      </c>
      <c r="F26">
        <v>371</v>
      </c>
      <c r="G26">
        <v>22933</v>
      </c>
      <c r="H26">
        <v>9</v>
      </c>
      <c r="I26">
        <v>1</v>
      </c>
      <c r="J26">
        <v>1</v>
      </c>
      <c r="K26">
        <v>2</v>
      </c>
      <c r="L26" t="s">
        <v>3553</v>
      </c>
      <c r="M26" t="s">
        <v>3554</v>
      </c>
      <c r="N26">
        <v>1320.6838</v>
      </c>
      <c r="O26">
        <v>2181.5625</v>
      </c>
      <c r="P26" t="s">
        <v>30</v>
      </c>
      <c r="Q26" t="s">
        <v>500</v>
      </c>
      <c r="R26" t="s">
        <v>205</v>
      </c>
      <c r="S26" t="s">
        <v>8326</v>
      </c>
      <c r="T26" s="1">
        <v>22903</v>
      </c>
      <c r="U26" t="s">
        <v>22</v>
      </c>
      <c r="V26" t="s">
        <v>29</v>
      </c>
      <c r="W26" t="s">
        <v>2825</v>
      </c>
      <c r="X26">
        <v>60000</v>
      </c>
      <c r="Y26">
        <v>1</v>
      </c>
      <c r="Z26" t="s">
        <v>17</v>
      </c>
      <c r="AA26" t="s">
        <v>18</v>
      </c>
      <c r="AB26" t="s">
        <v>23</v>
      </c>
      <c r="AC26" t="s">
        <v>3586</v>
      </c>
      <c r="AD26" t="s">
        <v>3586</v>
      </c>
      <c r="AE26" t="s">
        <v>3587</v>
      </c>
      <c r="AF26" t="s">
        <v>3479</v>
      </c>
      <c r="AG26" t="s">
        <v>3475</v>
      </c>
      <c r="AH26">
        <v>2181.5625</v>
      </c>
      <c r="AI26">
        <v>1320.6838</v>
      </c>
      <c r="AJ26">
        <v>860.87869999999998</v>
      </c>
      <c r="AK26">
        <v>0.39461564818793898</v>
      </c>
    </row>
    <row r="27" spans="1:37">
      <c r="A27" s="1">
        <v>42368</v>
      </c>
      <c r="B27">
        <v>53</v>
      </c>
      <c r="C27">
        <v>2015</v>
      </c>
      <c r="D27" s="1">
        <v>37588</v>
      </c>
      <c r="E27" t="s">
        <v>6212</v>
      </c>
      <c r="F27">
        <v>369</v>
      </c>
      <c r="G27">
        <v>22937</v>
      </c>
      <c r="H27">
        <v>9</v>
      </c>
      <c r="I27">
        <v>1</v>
      </c>
      <c r="J27">
        <v>1</v>
      </c>
      <c r="K27">
        <v>2</v>
      </c>
      <c r="L27" t="s">
        <v>3549</v>
      </c>
      <c r="M27" t="s">
        <v>3550</v>
      </c>
      <c r="N27">
        <v>1518.7864</v>
      </c>
      <c r="O27">
        <v>2443.35</v>
      </c>
      <c r="P27" t="s">
        <v>13</v>
      </c>
      <c r="Q27" t="s">
        <v>304</v>
      </c>
      <c r="R27" t="s">
        <v>173</v>
      </c>
      <c r="S27" t="s">
        <v>8330</v>
      </c>
      <c r="T27" s="1">
        <v>22446</v>
      </c>
      <c r="U27" t="s">
        <v>22</v>
      </c>
      <c r="V27" t="s">
        <v>16</v>
      </c>
      <c r="W27" t="s">
        <v>2829</v>
      </c>
      <c r="X27">
        <v>60000</v>
      </c>
      <c r="Y27">
        <v>1</v>
      </c>
      <c r="Z27" t="s">
        <v>17</v>
      </c>
      <c r="AA27" t="s">
        <v>18</v>
      </c>
      <c r="AB27" t="s">
        <v>23</v>
      </c>
      <c r="AC27" t="s">
        <v>3586</v>
      </c>
      <c r="AD27" t="s">
        <v>3586</v>
      </c>
      <c r="AE27" t="s">
        <v>3587</v>
      </c>
      <c r="AF27" t="s">
        <v>3479</v>
      </c>
      <c r="AG27" t="s">
        <v>3475</v>
      </c>
      <c r="AH27">
        <v>2443.35</v>
      </c>
      <c r="AI27">
        <v>1518.7864</v>
      </c>
      <c r="AJ27">
        <v>924.56359999999995</v>
      </c>
      <c r="AK27">
        <v>0.37839998362903399</v>
      </c>
    </row>
    <row r="28" spans="1:37">
      <c r="A28" s="1">
        <v>42368</v>
      </c>
      <c r="B28">
        <v>53</v>
      </c>
      <c r="C28">
        <v>2015</v>
      </c>
      <c r="D28" s="1">
        <v>37502</v>
      </c>
      <c r="E28" t="s">
        <v>6213</v>
      </c>
      <c r="F28">
        <v>368</v>
      </c>
      <c r="G28">
        <v>23099</v>
      </c>
      <c r="H28">
        <v>9</v>
      </c>
      <c r="I28">
        <v>1</v>
      </c>
      <c r="J28">
        <v>1</v>
      </c>
      <c r="K28">
        <v>2</v>
      </c>
      <c r="L28" t="s">
        <v>3547</v>
      </c>
      <c r="M28" t="s">
        <v>3548</v>
      </c>
      <c r="N28">
        <v>1518.7864</v>
      </c>
      <c r="O28">
        <v>2443.35</v>
      </c>
      <c r="P28" t="s">
        <v>30</v>
      </c>
      <c r="Q28" t="s">
        <v>312</v>
      </c>
      <c r="R28" t="s">
        <v>40</v>
      </c>
      <c r="S28" t="s">
        <v>8357</v>
      </c>
      <c r="T28" s="1">
        <v>18937</v>
      </c>
      <c r="U28" t="s">
        <v>22</v>
      </c>
      <c r="V28" t="s">
        <v>29</v>
      </c>
      <c r="W28" t="s">
        <v>2857</v>
      </c>
      <c r="X28">
        <v>30000</v>
      </c>
      <c r="Y28">
        <v>3</v>
      </c>
      <c r="Z28" t="s">
        <v>57</v>
      </c>
      <c r="AA28" t="s">
        <v>53</v>
      </c>
      <c r="AB28" t="s">
        <v>23</v>
      </c>
      <c r="AC28" t="s">
        <v>3586</v>
      </c>
      <c r="AD28" t="s">
        <v>3586</v>
      </c>
      <c r="AE28" t="s">
        <v>3587</v>
      </c>
      <c r="AF28" t="s">
        <v>3479</v>
      </c>
      <c r="AG28" t="s">
        <v>3475</v>
      </c>
      <c r="AH28">
        <v>2443.35</v>
      </c>
      <c r="AI28">
        <v>1518.7864</v>
      </c>
      <c r="AJ28">
        <v>924.56359999999995</v>
      </c>
      <c r="AK28">
        <v>0.37839998362903399</v>
      </c>
    </row>
    <row r="29" spans="1:37">
      <c r="A29" s="1">
        <v>42366</v>
      </c>
      <c r="B29">
        <v>53</v>
      </c>
      <c r="C29">
        <v>2015</v>
      </c>
      <c r="D29" s="1">
        <v>37569</v>
      </c>
      <c r="E29" t="s">
        <v>6189</v>
      </c>
      <c r="F29">
        <v>368</v>
      </c>
      <c r="G29">
        <v>23100</v>
      </c>
      <c r="H29">
        <v>9</v>
      </c>
      <c r="I29">
        <v>1</v>
      </c>
      <c r="J29">
        <v>1</v>
      </c>
      <c r="K29">
        <v>2</v>
      </c>
      <c r="L29" t="s">
        <v>3547</v>
      </c>
      <c r="M29" t="s">
        <v>3548</v>
      </c>
      <c r="N29">
        <v>1518.7864</v>
      </c>
      <c r="O29">
        <v>2443.35</v>
      </c>
      <c r="P29" t="s">
        <v>30</v>
      </c>
      <c r="Q29" t="s">
        <v>27</v>
      </c>
      <c r="R29" t="s">
        <v>131</v>
      </c>
      <c r="S29" t="s">
        <v>8358</v>
      </c>
      <c r="T29" s="1">
        <v>19132</v>
      </c>
      <c r="U29" t="s">
        <v>16</v>
      </c>
      <c r="V29" t="s">
        <v>29</v>
      </c>
      <c r="W29" t="s">
        <v>2858</v>
      </c>
      <c r="X29">
        <v>30000</v>
      </c>
      <c r="Y29">
        <v>3</v>
      </c>
      <c r="Z29" t="s">
        <v>57</v>
      </c>
      <c r="AA29" t="s">
        <v>53</v>
      </c>
      <c r="AB29" t="s">
        <v>19</v>
      </c>
      <c r="AC29" t="s">
        <v>3586</v>
      </c>
      <c r="AD29" t="s">
        <v>3586</v>
      </c>
      <c r="AE29" t="s">
        <v>3587</v>
      </c>
      <c r="AF29" t="s">
        <v>3479</v>
      </c>
      <c r="AG29" t="s">
        <v>3475</v>
      </c>
      <c r="AH29">
        <v>2443.35</v>
      </c>
      <c r="AI29">
        <v>1518.7864</v>
      </c>
      <c r="AJ29">
        <v>924.56359999999995</v>
      </c>
      <c r="AK29">
        <v>0.37839998362903399</v>
      </c>
    </row>
    <row r="30" spans="1:37">
      <c r="A30" s="1">
        <v>42367</v>
      </c>
      <c r="B30">
        <v>53</v>
      </c>
      <c r="C30">
        <v>2015</v>
      </c>
      <c r="D30" s="1">
        <v>37593</v>
      </c>
      <c r="E30" t="s">
        <v>6201</v>
      </c>
      <c r="F30">
        <v>377</v>
      </c>
      <c r="G30">
        <v>23104</v>
      </c>
      <c r="H30">
        <v>9</v>
      </c>
      <c r="I30">
        <v>1</v>
      </c>
      <c r="J30">
        <v>1</v>
      </c>
      <c r="K30">
        <v>2</v>
      </c>
      <c r="L30" t="s">
        <v>3559</v>
      </c>
      <c r="M30" t="s">
        <v>3560</v>
      </c>
      <c r="N30">
        <v>1320.6838</v>
      </c>
      <c r="O30">
        <v>2181.5625</v>
      </c>
      <c r="P30" t="s">
        <v>30</v>
      </c>
      <c r="Q30" t="s">
        <v>1040</v>
      </c>
      <c r="R30" t="s">
        <v>239</v>
      </c>
      <c r="S30" t="s">
        <v>8361</v>
      </c>
      <c r="T30" s="1">
        <v>19700</v>
      </c>
      <c r="U30" t="s">
        <v>16</v>
      </c>
      <c r="V30" t="s">
        <v>29</v>
      </c>
      <c r="W30" t="s">
        <v>2861</v>
      </c>
      <c r="X30">
        <v>40000</v>
      </c>
      <c r="Y30">
        <v>3</v>
      </c>
      <c r="Z30" t="s">
        <v>52</v>
      </c>
      <c r="AA30" t="s">
        <v>53</v>
      </c>
      <c r="AB30" t="s">
        <v>19</v>
      </c>
      <c r="AC30" t="s">
        <v>3586</v>
      </c>
      <c r="AD30" t="s">
        <v>3586</v>
      </c>
      <c r="AE30" t="s">
        <v>3587</v>
      </c>
      <c r="AF30" t="s">
        <v>3479</v>
      </c>
      <c r="AG30" t="s">
        <v>3475</v>
      </c>
      <c r="AH30">
        <v>2181.5625</v>
      </c>
      <c r="AI30">
        <v>1320.6838</v>
      </c>
      <c r="AJ30">
        <v>860.87869999999998</v>
      </c>
      <c r="AK30">
        <v>0.39461564818793898</v>
      </c>
    </row>
    <row r="31" spans="1:37">
      <c r="A31" s="1">
        <v>42367</v>
      </c>
      <c r="B31">
        <v>53</v>
      </c>
      <c r="C31">
        <v>2015</v>
      </c>
      <c r="D31" s="1">
        <v>37577</v>
      </c>
      <c r="E31" t="s">
        <v>6205</v>
      </c>
      <c r="F31">
        <v>375</v>
      </c>
      <c r="G31">
        <v>23107</v>
      </c>
      <c r="H31">
        <v>9</v>
      </c>
      <c r="I31">
        <v>1</v>
      </c>
      <c r="J31">
        <v>1</v>
      </c>
      <c r="K31">
        <v>2</v>
      </c>
      <c r="L31" t="s">
        <v>3557</v>
      </c>
      <c r="M31" t="s">
        <v>3558</v>
      </c>
      <c r="N31">
        <v>1320.6838</v>
      </c>
      <c r="O31">
        <v>2181.5625</v>
      </c>
      <c r="P31" t="s">
        <v>30</v>
      </c>
      <c r="Q31" t="s">
        <v>132</v>
      </c>
      <c r="R31" t="s">
        <v>194</v>
      </c>
      <c r="S31" t="s">
        <v>8364</v>
      </c>
      <c r="T31" s="1">
        <v>20037</v>
      </c>
      <c r="U31" t="s">
        <v>16</v>
      </c>
      <c r="V31" t="s">
        <v>29</v>
      </c>
      <c r="W31" t="s">
        <v>2864</v>
      </c>
      <c r="X31">
        <v>70000</v>
      </c>
      <c r="Y31">
        <v>2</v>
      </c>
      <c r="Z31" t="s">
        <v>52</v>
      </c>
      <c r="AA31" t="s">
        <v>53</v>
      </c>
      <c r="AB31" t="s">
        <v>19</v>
      </c>
      <c r="AC31" t="s">
        <v>3586</v>
      </c>
      <c r="AD31" t="s">
        <v>3586</v>
      </c>
      <c r="AE31" t="s">
        <v>3587</v>
      </c>
      <c r="AF31" t="s">
        <v>3479</v>
      </c>
      <c r="AG31" t="s">
        <v>3475</v>
      </c>
      <c r="AH31">
        <v>2181.5625</v>
      </c>
      <c r="AI31">
        <v>1320.6838</v>
      </c>
      <c r="AJ31">
        <v>860.87869999999998</v>
      </c>
      <c r="AK31">
        <v>0.39461564818793898</v>
      </c>
    </row>
    <row r="32" spans="1:37">
      <c r="A32" s="1">
        <v>42369</v>
      </c>
      <c r="B32">
        <v>53</v>
      </c>
      <c r="C32">
        <v>2015</v>
      </c>
      <c r="D32" s="1">
        <v>37582</v>
      </c>
      <c r="E32" t="s">
        <v>6223</v>
      </c>
      <c r="F32">
        <v>383</v>
      </c>
      <c r="G32">
        <v>24915</v>
      </c>
      <c r="H32">
        <v>9</v>
      </c>
      <c r="I32">
        <v>1</v>
      </c>
      <c r="J32">
        <v>1</v>
      </c>
      <c r="K32">
        <v>2</v>
      </c>
      <c r="L32" t="s">
        <v>3565</v>
      </c>
      <c r="M32" t="s">
        <v>3566</v>
      </c>
      <c r="N32">
        <v>605.64919999999995</v>
      </c>
      <c r="O32">
        <v>1000.4375</v>
      </c>
      <c r="P32" t="s">
        <v>13</v>
      </c>
      <c r="Q32" t="s">
        <v>535</v>
      </c>
      <c r="R32" t="s">
        <v>363</v>
      </c>
      <c r="S32" t="s">
        <v>8452</v>
      </c>
      <c r="T32" s="1">
        <v>26015</v>
      </c>
      <c r="U32" t="s">
        <v>22</v>
      </c>
      <c r="V32" t="s">
        <v>16</v>
      </c>
      <c r="W32" t="s">
        <v>2952</v>
      </c>
      <c r="X32">
        <v>100000</v>
      </c>
      <c r="Y32">
        <v>0</v>
      </c>
      <c r="Z32" t="s">
        <v>57</v>
      </c>
      <c r="AA32" t="s">
        <v>45</v>
      </c>
      <c r="AB32" t="s">
        <v>19</v>
      </c>
      <c r="AC32" t="s">
        <v>3586</v>
      </c>
      <c r="AD32" t="s">
        <v>3586</v>
      </c>
      <c r="AE32" t="s">
        <v>3587</v>
      </c>
      <c r="AF32" t="s">
        <v>3479</v>
      </c>
      <c r="AG32" t="s">
        <v>3475</v>
      </c>
      <c r="AH32">
        <v>1000.4375</v>
      </c>
      <c r="AI32">
        <v>605.64919999999995</v>
      </c>
      <c r="AJ32">
        <v>394.78829999999999</v>
      </c>
      <c r="AK32">
        <v>0.39461565565065299</v>
      </c>
    </row>
    <row r="33" spans="1:37">
      <c r="A33" s="1">
        <v>42366</v>
      </c>
      <c r="B33">
        <v>53</v>
      </c>
      <c r="C33">
        <v>2015</v>
      </c>
      <c r="D33" s="1">
        <v>37533</v>
      </c>
      <c r="E33" t="s">
        <v>6192</v>
      </c>
      <c r="F33">
        <v>370</v>
      </c>
      <c r="G33">
        <v>25995</v>
      </c>
      <c r="H33">
        <v>6</v>
      </c>
      <c r="I33">
        <v>1</v>
      </c>
      <c r="J33">
        <v>1</v>
      </c>
      <c r="K33">
        <v>2</v>
      </c>
      <c r="L33" t="s">
        <v>3551</v>
      </c>
      <c r="M33" t="s">
        <v>3552</v>
      </c>
      <c r="N33">
        <v>1518.7864</v>
      </c>
      <c r="O33">
        <v>2443.35</v>
      </c>
      <c r="P33" t="s">
        <v>13</v>
      </c>
      <c r="Q33" t="s">
        <v>985</v>
      </c>
      <c r="R33" t="s">
        <v>177</v>
      </c>
      <c r="S33" t="s">
        <v>8540</v>
      </c>
      <c r="T33" s="1">
        <v>22373</v>
      </c>
      <c r="U33" t="s">
        <v>16</v>
      </c>
      <c r="V33" t="s">
        <v>16</v>
      </c>
      <c r="W33" t="s">
        <v>3043</v>
      </c>
      <c r="X33">
        <v>40000</v>
      </c>
      <c r="Y33">
        <v>4</v>
      </c>
      <c r="Z33" t="s">
        <v>57</v>
      </c>
      <c r="AA33" t="s">
        <v>53</v>
      </c>
      <c r="AB33" t="s">
        <v>19</v>
      </c>
      <c r="AC33" t="s">
        <v>3582</v>
      </c>
      <c r="AD33" t="s">
        <v>3582</v>
      </c>
      <c r="AE33" t="s">
        <v>3579</v>
      </c>
      <c r="AF33" t="s">
        <v>3479</v>
      </c>
      <c r="AG33" t="s">
        <v>3475</v>
      </c>
      <c r="AH33">
        <v>2443.35</v>
      </c>
      <c r="AI33">
        <v>1518.7864</v>
      </c>
      <c r="AJ33">
        <v>924.56359999999995</v>
      </c>
      <c r="AK33">
        <v>0.37839998362903399</v>
      </c>
    </row>
    <row r="34" spans="1:37">
      <c r="A34" s="1">
        <v>42369</v>
      </c>
      <c r="B34">
        <v>53</v>
      </c>
      <c r="C34">
        <v>2015</v>
      </c>
      <c r="D34" s="1">
        <v>37574</v>
      </c>
      <c r="E34" t="s">
        <v>6220</v>
      </c>
      <c r="F34">
        <v>324</v>
      </c>
      <c r="G34">
        <v>26563</v>
      </c>
      <c r="H34">
        <v>9</v>
      </c>
      <c r="I34">
        <v>1</v>
      </c>
      <c r="J34">
        <v>1</v>
      </c>
      <c r="K34">
        <v>2</v>
      </c>
      <c r="L34" t="s">
        <v>3499</v>
      </c>
      <c r="M34" t="s">
        <v>3500</v>
      </c>
      <c r="N34">
        <v>413.1463</v>
      </c>
      <c r="O34">
        <v>699.09820000000002</v>
      </c>
      <c r="P34" t="s">
        <v>13</v>
      </c>
      <c r="Q34" t="s">
        <v>661</v>
      </c>
      <c r="R34" t="s">
        <v>450</v>
      </c>
      <c r="S34" t="s">
        <v>8732</v>
      </c>
      <c r="T34" s="1">
        <v>19383</v>
      </c>
      <c r="U34" t="s">
        <v>16</v>
      </c>
      <c r="V34" t="s">
        <v>16</v>
      </c>
      <c r="W34" t="s">
        <v>3242</v>
      </c>
      <c r="X34">
        <v>40000</v>
      </c>
      <c r="Y34">
        <v>2</v>
      </c>
      <c r="Z34" t="s">
        <v>52</v>
      </c>
      <c r="AA34" t="s">
        <v>53</v>
      </c>
      <c r="AB34" t="s">
        <v>19</v>
      </c>
      <c r="AC34" t="s">
        <v>3586</v>
      </c>
      <c r="AD34" t="s">
        <v>3586</v>
      </c>
      <c r="AE34" t="s">
        <v>3587</v>
      </c>
      <c r="AF34" t="s">
        <v>3479</v>
      </c>
      <c r="AG34" t="s">
        <v>3475</v>
      </c>
      <c r="AH34">
        <v>699.09820000000002</v>
      </c>
      <c r="AI34">
        <v>413.1463</v>
      </c>
      <c r="AJ34">
        <v>285.95190000000002</v>
      </c>
      <c r="AK34">
        <v>0.409029661355157</v>
      </c>
    </row>
    <row r="35" spans="1:37">
      <c r="A35" s="1">
        <v>42366</v>
      </c>
      <c r="B35">
        <v>53</v>
      </c>
      <c r="C35">
        <v>2015</v>
      </c>
      <c r="D35" s="1">
        <v>37514</v>
      </c>
      <c r="E35" t="s">
        <v>6191</v>
      </c>
      <c r="F35">
        <v>362</v>
      </c>
      <c r="G35">
        <v>26624</v>
      </c>
      <c r="H35">
        <v>1</v>
      </c>
      <c r="I35">
        <v>1</v>
      </c>
      <c r="J35">
        <v>1</v>
      </c>
      <c r="K35">
        <v>1</v>
      </c>
      <c r="L35" t="s">
        <v>3545</v>
      </c>
      <c r="M35" t="s">
        <v>3546</v>
      </c>
      <c r="N35">
        <v>1105.81</v>
      </c>
      <c r="O35">
        <v>2049.0981999999999</v>
      </c>
      <c r="P35" t="s">
        <v>26</v>
      </c>
      <c r="Q35" t="s">
        <v>31</v>
      </c>
      <c r="R35" t="s">
        <v>71</v>
      </c>
      <c r="S35" t="s">
        <v>8762</v>
      </c>
      <c r="T35" s="1">
        <v>24598</v>
      </c>
      <c r="U35" t="s">
        <v>22</v>
      </c>
      <c r="V35" t="s">
        <v>29</v>
      </c>
      <c r="W35" t="s">
        <v>3272</v>
      </c>
      <c r="X35">
        <v>50000</v>
      </c>
      <c r="Y35">
        <v>0</v>
      </c>
      <c r="Z35" t="s">
        <v>52</v>
      </c>
      <c r="AA35" t="s">
        <v>53</v>
      </c>
      <c r="AB35" t="s">
        <v>23</v>
      </c>
      <c r="AC35" t="s">
        <v>3577</v>
      </c>
      <c r="AD35" t="s">
        <v>3578</v>
      </c>
      <c r="AE35" t="s">
        <v>3579</v>
      </c>
      <c r="AF35" t="s">
        <v>3478</v>
      </c>
      <c r="AG35" t="s">
        <v>3475</v>
      </c>
      <c r="AH35">
        <v>2049.0981999999999</v>
      </c>
      <c r="AI35">
        <v>1105.81</v>
      </c>
      <c r="AJ35">
        <v>943.28819999999996</v>
      </c>
      <c r="AK35">
        <v>0.46034309141455498</v>
      </c>
    </row>
    <row r="36" spans="1:37">
      <c r="A36" s="1">
        <v>42366</v>
      </c>
      <c r="B36">
        <v>53</v>
      </c>
      <c r="C36">
        <v>2015</v>
      </c>
      <c r="D36" s="1">
        <v>37594</v>
      </c>
      <c r="E36" t="s">
        <v>6193</v>
      </c>
      <c r="F36">
        <v>362</v>
      </c>
      <c r="G36">
        <v>26647</v>
      </c>
      <c r="H36">
        <v>4</v>
      </c>
      <c r="I36">
        <v>1</v>
      </c>
      <c r="J36">
        <v>1</v>
      </c>
      <c r="K36">
        <v>1</v>
      </c>
      <c r="L36" t="s">
        <v>3545</v>
      </c>
      <c r="M36" t="s">
        <v>3546</v>
      </c>
      <c r="N36">
        <v>1105.81</v>
      </c>
      <c r="O36">
        <v>2049.0981999999999</v>
      </c>
      <c r="P36" t="s">
        <v>30</v>
      </c>
      <c r="Q36" t="s">
        <v>253</v>
      </c>
      <c r="R36" t="s">
        <v>111</v>
      </c>
      <c r="S36" t="s">
        <v>8777</v>
      </c>
      <c r="T36" s="1">
        <v>21272</v>
      </c>
      <c r="U36" t="s">
        <v>22</v>
      </c>
      <c r="V36" t="s">
        <v>29</v>
      </c>
      <c r="W36" t="s">
        <v>3287</v>
      </c>
      <c r="X36">
        <v>60000</v>
      </c>
      <c r="Y36">
        <v>1</v>
      </c>
      <c r="Z36" t="s">
        <v>17</v>
      </c>
      <c r="AA36" t="s">
        <v>18</v>
      </c>
      <c r="AB36" t="s">
        <v>19</v>
      </c>
      <c r="AC36" t="s">
        <v>3580</v>
      </c>
      <c r="AD36" t="s">
        <v>3578</v>
      </c>
      <c r="AE36" t="s">
        <v>3579</v>
      </c>
      <c r="AF36" t="s">
        <v>3478</v>
      </c>
      <c r="AG36" t="s">
        <v>3475</v>
      </c>
      <c r="AH36">
        <v>2049.0981999999999</v>
      </c>
      <c r="AI36">
        <v>1105.81</v>
      </c>
      <c r="AJ36">
        <v>943.28819999999996</v>
      </c>
      <c r="AK36">
        <v>0.46034309141455498</v>
      </c>
    </row>
    <row r="37" spans="1:37">
      <c r="A37" s="1">
        <v>42367</v>
      </c>
      <c r="B37">
        <v>53</v>
      </c>
      <c r="C37">
        <v>2015</v>
      </c>
      <c r="D37" s="1">
        <v>37521</v>
      </c>
      <c r="E37" t="s">
        <v>6197</v>
      </c>
      <c r="F37">
        <v>338</v>
      </c>
      <c r="G37">
        <v>27252</v>
      </c>
      <c r="H37">
        <v>6</v>
      </c>
      <c r="I37">
        <v>1</v>
      </c>
      <c r="J37">
        <v>1</v>
      </c>
      <c r="K37">
        <v>2</v>
      </c>
      <c r="L37" t="s">
        <v>3513</v>
      </c>
      <c r="M37" t="s">
        <v>3514</v>
      </c>
      <c r="N37">
        <v>413.1463</v>
      </c>
      <c r="O37">
        <v>699.09820000000002</v>
      </c>
      <c r="P37" t="s">
        <v>30</v>
      </c>
      <c r="Q37" t="s">
        <v>318</v>
      </c>
      <c r="R37" t="s">
        <v>345</v>
      </c>
      <c r="S37" t="s">
        <v>8801</v>
      </c>
      <c r="T37" s="1">
        <v>26131</v>
      </c>
      <c r="U37" t="s">
        <v>16</v>
      </c>
      <c r="V37" t="s">
        <v>29</v>
      </c>
      <c r="W37" t="s">
        <v>3311</v>
      </c>
      <c r="X37">
        <v>50000</v>
      </c>
      <c r="Y37">
        <v>1</v>
      </c>
      <c r="Z37" t="s">
        <v>135</v>
      </c>
      <c r="AA37" t="s">
        <v>53</v>
      </c>
      <c r="AB37" t="s">
        <v>19</v>
      </c>
      <c r="AC37" t="s">
        <v>3582</v>
      </c>
      <c r="AD37" t="s">
        <v>3582</v>
      </c>
      <c r="AE37" t="s">
        <v>3579</v>
      </c>
      <c r="AF37" t="s">
        <v>3479</v>
      </c>
      <c r="AG37" t="s">
        <v>3475</v>
      </c>
      <c r="AH37">
        <v>699.09820000000002</v>
      </c>
      <c r="AI37">
        <v>413.1463</v>
      </c>
      <c r="AJ37">
        <v>285.95190000000002</v>
      </c>
      <c r="AK37">
        <v>0.409029661355157</v>
      </c>
    </row>
    <row r="38" spans="1:37">
      <c r="A38" s="1">
        <v>42367</v>
      </c>
      <c r="B38">
        <v>53</v>
      </c>
      <c r="C38">
        <v>2015</v>
      </c>
      <c r="D38" s="1">
        <v>37563</v>
      </c>
      <c r="E38" t="s">
        <v>6199</v>
      </c>
      <c r="F38">
        <v>334</v>
      </c>
      <c r="G38">
        <v>27253</v>
      </c>
      <c r="H38">
        <v>6</v>
      </c>
      <c r="I38">
        <v>1</v>
      </c>
      <c r="J38">
        <v>1</v>
      </c>
      <c r="K38">
        <v>2</v>
      </c>
      <c r="L38" t="s">
        <v>3509</v>
      </c>
      <c r="M38" t="s">
        <v>3510</v>
      </c>
      <c r="N38">
        <v>413.1463</v>
      </c>
      <c r="O38">
        <v>699.09820000000002</v>
      </c>
      <c r="P38" t="s">
        <v>13</v>
      </c>
      <c r="Q38" t="s">
        <v>1281</v>
      </c>
      <c r="R38" t="s">
        <v>476</v>
      </c>
      <c r="S38" t="s">
        <v>8802</v>
      </c>
      <c r="T38" s="1">
        <v>26404</v>
      </c>
      <c r="U38" t="s">
        <v>16</v>
      </c>
      <c r="V38" t="s">
        <v>16</v>
      </c>
      <c r="W38" t="s">
        <v>3312</v>
      </c>
      <c r="X38">
        <v>50000</v>
      </c>
      <c r="Y38">
        <v>1</v>
      </c>
      <c r="Z38" t="s">
        <v>135</v>
      </c>
      <c r="AA38" t="s">
        <v>53</v>
      </c>
      <c r="AB38" t="s">
        <v>19</v>
      </c>
      <c r="AC38" t="s">
        <v>3582</v>
      </c>
      <c r="AD38" t="s">
        <v>3582</v>
      </c>
      <c r="AE38" t="s">
        <v>3579</v>
      </c>
      <c r="AF38" t="s">
        <v>3479</v>
      </c>
      <c r="AG38" t="s">
        <v>3475</v>
      </c>
      <c r="AH38">
        <v>699.09820000000002</v>
      </c>
      <c r="AI38">
        <v>413.1463</v>
      </c>
      <c r="AJ38">
        <v>285.95190000000002</v>
      </c>
      <c r="AK38">
        <v>0.409029661355157</v>
      </c>
    </row>
    <row r="39" spans="1:37">
      <c r="A39" s="1">
        <v>42368</v>
      </c>
      <c r="B39">
        <v>53</v>
      </c>
      <c r="C39">
        <v>2015</v>
      </c>
      <c r="D39" s="1">
        <v>37549</v>
      </c>
      <c r="E39" t="s">
        <v>6215</v>
      </c>
      <c r="F39">
        <v>352</v>
      </c>
      <c r="G39">
        <v>28736</v>
      </c>
      <c r="H39">
        <v>7</v>
      </c>
      <c r="I39">
        <v>1</v>
      </c>
      <c r="J39">
        <v>1</v>
      </c>
      <c r="K39">
        <v>1</v>
      </c>
      <c r="L39" t="s">
        <v>3535</v>
      </c>
      <c r="M39" t="s">
        <v>3536</v>
      </c>
      <c r="N39">
        <v>1117.8559</v>
      </c>
      <c r="O39">
        <v>2071.4196000000002</v>
      </c>
      <c r="P39" t="s">
        <v>26</v>
      </c>
      <c r="Q39" t="s">
        <v>1176</v>
      </c>
      <c r="R39" t="s">
        <v>153</v>
      </c>
      <c r="S39" t="s">
        <v>8870</v>
      </c>
      <c r="T39" s="1">
        <v>26777</v>
      </c>
      <c r="U39" t="s">
        <v>22</v>
      </c>
      <c r="V39" t="s">
        <v>29</v>
      </c>
      <c r="W39" t="s">
        <v>3382</v>
      </c>
      <c r="X39">
        <v>30000</v>
      </c>
      <c r="Y39">
        <v>0</v>
      </c>
      <c r="Z39" t="s">
        <v>57</v>
      </c>
      <c r="AA39" t="s">
        <v>444</v>
      </c>
      <c r="AB39" t="s">
        <v>23</v>
      </c>
      <c r="AC39" t="s">
        <v>3583</v>
      </c>
      <c r="AD39" t="s">
        <v>3583</v>
      </c>
      <c r="AE39" t="s">
        <v>3584</v>
      </c>
      <c r="AF39" t="s">
        <v>3478</v>
      </c>
      <c r="AG39" t="s">
        <v>3475</v>
      </c>
      <c r="AH39">
        <v>2071.4196000000002</v>
      </c>
      <c r="AI39">
        <v>1117.8559</v>
      </c>
      <c r="AJ39">
        <v>953.56370000000004</v>
      </c>
      <c r="AK39">
        <v>0.460343090313522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9FBE-2DDA-D040-9A09-146AACB43051}">
  <dimension ref="A1:AL327"/>
  <sheetViews>
    <sheetView workbookViewId="0"/>
  </sheetViews>
  <sheetFormatPr baseColWidth="10" defaultRowHeight="18"/>
  <cols>
    <col min="1" max="1" width="12.6640625" bestFit="1" customWidth="1"/>
    <col min="2" max="2" width="7.5" bestFit="1" customWidth="1"/>
    <col min="3" max="3" width="12.33203125" bestFit="1" customWidth="1"/>
    <col min="4" max="4" width="10" bestFit="1" customWidth="1"/>
    <col min="5" max="5" width="12.5" bestFit="1" customWidth="1"/>
    <col min="6" max="6" width="15.83203125" bestFit="1" customWidth="1"/>
    <col min="7" max="7" width="13.83203125" bestFit="1" customWidth="1"/>
    <col min="8" max="8" width="15.1640625" bestFit="1" customWidth="1"/>
    <col min="9" max="9" width="14.1640625" bestFit="1" customWidth="1"/>
    <col min="10" max="10" width="16.1640625" bestFit="1" customWidth="1"/>
    <col min="11" max="11" width="16.33203125" bestFit="1" customWidth="1"/>
    <col min="12" max="12" width="25.1640625" bestFit="1" customWidth="1"/>
    <col min="13" max="13" width="14.1640625" bestFit="1" customWidth="1"/>
    <col min="14" max="14" width="22.1640625" bestFit="1" customWidth="1"/>
    <col min="15" max="15" width="14.5" bestFit="1" customWidth="1"/>
    <col min="16" max="16" width="15" bestFit="1" customWidth="1"/>
    <col min="17" max="17" width="8.6640625" bestFit="1" customWidth="1"/>
    <col min="18" max="18" width="12.5" bestFit="1" customWidth="1"/>
    <col min="19" max="19" width="14.1640625" bestFit="1" customWidth="1"/>
    <col min="20" max="20" width="23.5" bestFit="1" customWidth="1"/>
    <col min="21" max="21" width="11.83203125" bestFit="1" customWidth="1"/>
    <col min="22" max="22" width="15.1640625" bestFit="1" customWidth="1"/>
    <col min="23" max="23" width="10" bestFit="1" customWidth="1"/>
    <col min="24" max="24" width="34" bestFit="1" customWidth="1"/>
    <col min="25" max="25" width="16.5" bestFit="1" customWidth="1"/>
    <col min="26" max="26" width="15.33203125" bestFit="1" customWidth="1"/>
    <col min="27" max="27" width="18.1640625" bestFit="1" customWidth="1"/>
    <col min="28" max="28" width="14" bestFit="1" customWidth="1"/>
    <col min="29" max="29" width="14.83203125" bestFit="1" customWidth="1"/>
    <col min="30" max="31" width="15.5" bestFit="1" customWidth="1"/>
    <col min="32" max="32" width="14" bestFit="1" customWidth="1"/>
    <col min="33" max="33" width="20" bestFit="1" customWidth="1"/>
    <col min="34" max="34" width="16.6640625" bestFit="1" customWidth="1"/>
    <col min="35" max="35" width="11.1640625" bestFit="1" customWidth="1"/>
    <col min="36" max="36" width="10.1640625" bestFit="1" customWidth="1"/>
    <col min="37" max="37" width="9.1640625" bestFit="1" customWidth="1"/>
    <col min="38" max="38" width="12.1640625" bestFit="1" customWidth="1"/>
  </cols>
  <sheetData>
    <row r="1" spans="1:38">
      <c r="A1" t="s">
        <v>3589</v>
      </c>
      <c r="B1" t="s">
        <v>8991</v>
      </c>
      <c r="C1" t="s">
        <v>8992</v>
      </c>
      <c r="D1" t="s">
        <v>8993</v>
      </c>
      <c r="E1" t="s">
        <v>3590</v>
      </c>
      <c r="F1" t="s">
        <v>3591</v>
      </c>
      <c r="G1" t="s">
        <v>3480</v>
      </c>
      <c r="H1" t="s">
        <v>0</v>
      </c>
      <c r="I1" t="s">
        <v>3573</v>
      </c>
      <c r="J1" t="s">
        <v>3592</v>
      </c>
      <c r="K1" t="s">
        <v>3593</v>
      </c>
      <c r="L1" t="s">
        <v>3476</v>
      </c>
      <c r="M1" t="s">
        <v>3481</v>
      </c>
      <c r="N1" t="s">
        <v>3482</v>
      </c>
      <c r="O1" t="s">
        <v>3483</v>
      </c>
      <c r="P1" t="s">
        <v>3484</v>
      </c>
      <c r="Q1" t="s">
        <v>1</v>
      </c>
      <c r="R1" t="s">
        <v>2</v>
      </c>
      <c r="S1" t="s">
        <v>3</v>
      </c>
      <c r="T1" t="s">
        <v>6326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3574</v>
      </c>
      <c r="AE1" t="s">
        <v>3575</v>
      </c>
      <c r="AF1" t="s">
        <v>3576</v>
      </c>
      <c r="AG1" t="s">
        <v>3477</v>
      </c>
      <c r="AH1" t="s">
        <v>3474</v>
      </c>
      <c r="AI1" t="s">
        <v>6327</v>
      </c>
      <c r="AJ1" t="s">
        <v>6328</v>
      </c>
      <c r="AK1" t="s">
        <v>6329</v>
      </c>
      <c r="AL1" t="s">
        <v>6330</v>
      </c>
    </row>
    <row r="2" spans="1:38">
      <c r="A2" s="1">
        <v>42339</v>
      </c>
      <c r="B2">
        <v>2015</v>
      </c>
      <c r="C2">
        <v>12</v>
      </c>
      <c r="D2" t="s">
        <v>8994</v>
      </c>
      <c r="E2" s="1">
        <v>37513</v>
      </c>
      <c r="F2" t="s">
        <v>5906</v>
      </c>
      <c r="G2">
        <v>375</v>
      </c>
      <c r="H2">
        <v>22913</v>
      </c>
      <c r="I2">
        <v>9</v>
      </c>
      <c r="J2">
        <v>1</v>
      </c>
      <c r="K2">
        <v>1</v>
      </c>
      <c r="L2">
        <v>2</v>
      </c>
      <c r="M2" t="s">
        <v>3557</v>
      </c>
      <c r="N2" t="s">
        <v>3558</v>
      </c>
      <c r="O2">
        <v>1320.6838</v>
      </c>
      <c r="P2">
        <v>2181.5625</v>
      </c>
      <c r="Q2" t="s">
        <v>30</v>
      </c>
      <c r="R2" t="s">
        <v>1585</v>
      </c>
      <c r="S2" t="s">
        <v>42</v>
      </c>
      <c r="T2" t="s">
        <v>8318</v>
      </c>
      <c r="U2" s="1">
        <v>25562</v>
      </c>
      <c r="V2" t="s">
        <v>22</v>
      </c>
      <c r="W2" t="s">
        <v>29</v>
      </c>
      <c r="X2" t="s">
        <v>2817</v>
      </c>
      <c r="Y2">
        <v>120000</v>
      </c>
      <c r="Z2">
        <v>1</v>
      </c>
      <c r="AA2" t="s">
        <v>135</v>
      </c>
      <c r="AB2" t="s">
        <v>45</v>
      </c>
      <c r="AC2" t="s">
        <v>19</v>
      </c>
      <c r="AD2" t="s">
        <v>3586</v>
      </c>
      <c r="AE2" t="s">
        <v>3586</v>
      </c>
      <c r="AF2" t="s">
        <v>3587</v>
      </c>
      <c r="AG2" t="s">
        <v>3479</v>
      </c>
      <c r="AH2" t="s">
        <v>3475</v>
      </c>
      <c r="AI2">
        <v>2181.5625</v>
      </c>
      <c r="AJ2">
        <v>1320.6838</v>
      </c>
      <c r="AK2">
        <v>860.87869999999998</v>
      </c>
      <c r="AL2">
        <v>0.39461564818793898</v>
      </c>
    </row>
    <row r="3" spans="1:38">
      <c r="A3" s="1">
        <v>42339</v>
      </c>
      <c r="B3">
        <v>2015</v>
      </c>
      <c r="C3">
        <v>12</v>
      </c>
      <c r="D3" t="s">
        <v>8994</v>
      </c>
      <c r="E3" s="1">
        <v>37568</v>
      </c>
      <c r="F3" t="s">
        <v>5903</v>
      </c>
      <c r="G3">
        <v>379</v>
      </c>
      <c r="H3">
        <v>22927</v>
      </c>
      <c r="I3">
        <v>9</v>
      </c>
      <c r="J3">
        <v>1</v>
      </c>
      <c r="K3">
        <v>1</v>
      </c>
      <c r="L3">
        <v>2</v>
      </c>
      <c r="M3" t="s">
        <v>3561</v>
      </c>
      <c r="N3" t="s">
        <v>3562</v>
      </c>
      <c r="O3">
        <v>1320.6838</v>
      </c>
      <c r="P3">
        <v>2181.5625</v>
      </c>
      <c r="Q3" t="s">
        <v>13</v>
      </c>
      <c r="R3" t="s">
        <v>14</v>
      </c>
      <c r="S3" t="s">
        <v>929</v>
      </c>
      <c r="T3" t="s">
        <v>8321</v>
      </c>
      <c r="U3" s="1">
        <v>23045</v>
      </c>
      <c r="V3" t="s">
        <v>22</v>
      </c>
      <c r="W3" t="s">
        <v>16</v>
      </c>
      <c r="X3" t="s">
        <v>2820</v>
      </c>
      <c r="Y3">
        <v>60000</v>
      </c>
      <c r="Z3">
        <v>3</v>
      </c>
      <c r="AA3" t="s">
        <v>17</v>
      </c>
      <c r="AB3" t="s">
        <v>18</v>
      </c>
      <c r="AC3" t="s">
        <v>23</v>
      </c>
      <c r="AD3" t="s">
        <v>3586</v>
      </c>
      <c r="AE3" t="s">
        <v>3586</v>
      </c>
      <c r="AF3" t="s">
        <v>3587</v>
      </c>
      <c r="AG3" t="s">
        <v>3479</v>
      </c>
      <c r="AH3" t="s">
        <v>3475</v>
      </c>
      <c r="AI3">
        <v>2181.5625</v>
      </c>
      <c r="AJ3">
        <v>1320.6838</v>
      </c>
      <c r="AK3">
        <v>860.87869999999998</v>
      </c>
      <c r="AL3">
        <v>0.39461564818793898</v>
      </c>
    </row>
    <row r="4" spans="1:38">
      <c r="A4" s="1">
        <v>42339</v>
      </c>
      <c r="B4">
        <v>2015</v>
      </c>
      <c r="C4">
        <v>12</v>
      </c>
      <c r="D4" t="s">
        <v>8994</v>
      </c>
      <c r="E4" s="1">
        <v>37529</v>
      </c>
      <c r="F4" t="s">
        <v>5905</v>
      </c>
      <c r="G4">
        <v>383</v>
      </c>
      <c r="H4">
        <v>14285</v>
      </c>
      <c r="I4">
        <v>4</v>
      </c>
      <c r="J4">
        <v>1</v>
      </c>
      <c r="K4">
        <v>1</v>
      </c>
      <c r="L4">
        <v>2</v>
      </c>
      <c r="M4" t="s">
        <v>3565</v>
      </c>
      <c r="N4" t="s">
        <v>3566</v>
      </c>
      <c r="O4">
        <v>605.64919999999995</v>
      </c>
      <c r="P4">
        <v>1000.4375</v>
      </c>
      <c r="Q4" t="s">
        <v>26</v>
      </c>
      <c r="R4" t="s">
        <v>254</v>
      </c>
      <c r="S4" t="s">
        <v>280</v>
      </c>
      <c r="T4" t="s">
        <v>7244</v>
      </c>
      <c r="U4" s="1">
        <v>27367</v>
      </c>
      <c r="V4" t="s">
        <v>22</v>
      </c>
      <c r="W4" t="s">
        <v>29</v>
      </c>
      <c r="X4" t="s">
        <v>1712</v>
      </c>
      <c r="Y4">
        <v>60000</v>
      </c>
      <c r="Z4">
        <v>0</v>
      </c>
      <c r="AA4" t="s">
        <v>52</v>
      </c>
      <c r="AB4" t="s">
        <v>18</v>
      </c>
      <c r="AC4" t="s">
        <v>23</v>
      </c>
      <c r="AD4" t="s">
        <v>3580</v>
      </c>
      <c r="AE4" t="s">
        <v>3578</v>
      </c>
      <c r="AF4" t="s">
        <v>3579</v>
      </c>
      <c r="AG4" t="s">
        <v>3479</v>
      </c>
      <c r="AH4" t="s">
        <v>3475</v>
      </c>
      <c r="AI4">
        <v>1000.4375</v>
      </c>
      <c r="AJ4">
        <v>605.64919999999995</v>
      </c>
      <c r="AK4">
        <v>394.78829999999999</v>
      </c>
      <c r="AL4">
        <v>0.39461565565065299</v>
      </c>
    </row>
    <row r="5" spans="1:38">
      <c r="A5" s="1">
        <v>42339</v>
      </c>
      <c r="B5">
        <v>2015</v>
      </c>
      <c r="C5">
        <v>12</v>
      </c>
      <c r="D5" t="s">
        <v>8994</v>
      </c>
      <c r="E5" s="1">
        <v>37508</v>
      </c>
      <c r="F5" t="s">
        <v>5908</v>
      </c>
      <c r="G5">
        <v>326</v>
      </c>
      <c r="H5">
        <v>20830</v>
      </c>
      <c r="I5">
        <v>8</v>
      </c>
      <c r="J5">
        <v>1</v>
      </c>
      <c r="K5">
        <v>1</v>
      </c>
      <c r="L5">
        <v>2</v>
      </c>
      <c r="M5" t="s">
        <v>3501</v>
      </c>
      <c r="N5" t="s">
        <v>3502</v>
      </c>
      <c r="O5">
        <v>413.1463</v>
      </c>
      <c r="P5">
        <v>699.09820000000002</v>
      </c>
      <c r="Q5" t="s">
        <v>30</v>
      </c>
      <c r="R5" t="s">
        <v>631</v>
      </c>
      <c r="S5" t="s">
        <v>290</v>
      </c>
      <c r="T5" t="s">
        <v>8085</v>
      </c>
      <c r="U5" s="1">
        <v>22300</v>
      </c>
      <c r="V5" t="s">
        <v>16</v>
      </c>
      <c r="W5" t="s">
        <v>29</v>
      </c>
      <c r="X5" t="s">
        <v>2581</v>
      </c>
      <c r="Y5">
        <v>30000</v>
      </c>
      <c r="Z5">
        <v>4</v>
      </c>
      <c r="AA5" t="s">
        <v>135</v>
      </c>
      <c r="AB5" t="s">
        <v>60</v>
      </c>
      <c r="AC5" t="s">
        <v>19</v>
      </c>
      <c r="AD5" t="s">
        <v>3585</v>
      </c>
      <c r="AE5" t="s">
        <v>3585</v>
      </c>
      <c r="AF5" t="s">
        <v>3584</v>
      </c>
      <c r="AG5" t="s">
        <v>3479</v>
      </c>
      <c r="AH5" t="s">
        <v>3475</v>
      </c>
      <c r="AI5">
        <v>699.09820000000002</v>
      </c>
      <c r="AJ5">
        <v>413.1463</v>
      </c>
      <c r="AK5">
        <v>285.95190000000002</v>
      </c>
      <c r="AL5">
        <v>0.409029661355157</v>
      </c>
    </row>
    <row r="6" spans="1:38">
      <c r="A6" s="1">
        <v>42339</v>
      </c>
      <c r="B6">
        <v>2015</v>
      </c>
      <c r="C6">
        <v>12</v>
      </c>
      <c r="D6" t="s">
        <v>8994</v>
      </c>
      <c r="E6" s="1">
        <v>37492</v>
      </c>
      <c r="F6" t="s">
        <v>5900</v>
      </c>
      <c r="G6">
        <v>370</v>
      </c>
      <c r="H6">
        <v>22940</v>
      </c>
      <c r="I6">
        <v>9</v>
      </c>
      <c r="J6">
        <v>1</v>
      </c>
      <c r="K6">
        <v>1</v>
      </c>
      <c r="L6">
        <v>2</v>
      </c>
      <c r="M6" t="s">
        <v>3551</v>
      </c>
      <c r="N6" t="s">
        <v>3552</v>
      </c>
      <c r="O6">
        <v>1518.7864</v>
      </c>
      <c r="P6">
        <v>2443.35</v>
      </c>
      <c r="Q6" t="s">
        <v>26</v>
      </c>
      <c r="R6" t="s">
        <v>633</v>
      </c>
      <c r="S6" t="s">
        <v>809</v>
      </c>
      <c r="T6" t="s">
        <v>8333</v>
      </c>
      <c r="U6" s="1">
        <v>24428</v>
      </c>
      <c r="V6" t="s">
        <v>22</v>
      </c>
      <c r="W6" t="s">
        <v>29</v>
      </c>
      <c r="X6" t="s">
        <v>2832</v>
      </c>
      <c r="Y6">
        <v>100000</v>
      </c>
      <c r="Z6">
        <v>0</v>
      </c>
      <c r="AA6" t="s">
        <v>135</v>
      </c>
      <c r="AB6" t="s">
        <v>45</v>
      </c>
      <c r="AC6" t="s">
        <v>23</v>
      </c>
      <c r="AD6" t="s">
        <v>3586</v>
      </c>
      <c r="AE6" t="s">
        <v>3586</v>
      </c>
      <c r="AF6" t="s">
        <v>3587</v>
      </c>
      <c r="AG6" t="s">
        <v>3479</v>
      </c>
      <c r="AH6" t="s">
        <v>3475</v>
      </c>
      <c r="AI6">
        <v>2443.35</v>
      </c>
      <c r="AJ6">
        <v>1518.7864</v>
      </c>
      <c r="AK6">
        <v>924.56359999999995</v>
      </c>
      <c r="AL6">
        <v>0.37839998362903399</v>
      </c>
    </row>
    <row r="7" spans="1:38">
      <c r="A7" s="1">
        <v>42339</v>
      </c>
      <c r="B7">
        <v>2015</v>
      </c>
      <c r="C7">
        <v>12</v>
      </c>
      <c r="D7" t="s">
        <v>8994</v>
      </c>
      <c r="E7" s="1">
        <v>37514</v>
      </c>
      <c r="F7" t="s">
        <v>5899</v>
      </c>
      <c r="G7">
        <v>356</v>
      </c>
      <c r="H7">
        <v>12316</v>
      </c>
      <c r="I7">
        <v>10</v>
      </c>
      <c r="J7">
        <v>1</v>
      </c>
      <c r="K7">
        <v>1</v>
      </c>
      <c r="L7">
        <v>1</v>
      </c>
      <c r="M7" t="s">
        <v>3539</v>
      </c>
      <c r="N7" t="s">
        <v>3540</v>
      </c>
      <c r="O7">
        <v>1117.8559</v>
      </c>
      <c r="P7">
        <v>2071.4196000000002</v>
      </c>
      <c r="Q7" t="s">
        <v>13</v>
      </c>
      <c r="R7" t="s">
        <v>74</v>
      </c>
      <c r="S7" t="s">
        <v>159</v>
      </c>
      <c r="T7" t="s">
        <v>6885</v>
      </c>
      <c r="U7" s="1">
        <v>19688</v>
      </c>
      <c r="V7" t="s">
        <v>16</v>
      </c>
      <c r="W7" t="s">
        <v>16</v>
      </c>
      <c r="X7" t="s">
        <v>1091</v>
      </c>
      <c r="Y7">
        <v>130000</v>
      </c>
      <c r="Z7">
        <v>5</v>
      </c>
      <c r="AA7" t="s">
        <v>52</v>
      </c>
      <c r="AB7" t="s">
        <v>18</v>
      </c>
      <c r="AC7" t="s">
        <v>23</v>
      </c>
      <c r="AD7" t="s">
        <v>3588</v>
      </c>
      <c r="AE7" t="s">
        <v>3588</v>
      </c>
      <c r="AF7" t="s">
        <v>3584</v>
      </c>
      <c r="AG7" t="s">
        <v>3478</v>
      </c>
      <c r="AH7" t="s">
        <v>3475</v>
      </c>
      <c r="AI7">
        <v>2071.4196000000002</v>
      </c>
      <c r="AJ7">
        <v>1117.8559</v>
      </c>
      <c r="AK7">
        <v>953.56370000000004</v>
      </c>
      <c r="AL7">
        <v>0.460343090313522</v>
      </c>
    </row>
    <row r="8" spans="1:38">
      <c r="A8" s="1">
        <v>42339</v>
      </c>
      <c r="B8">
        <v>2015</v>
      </c>
      <c r="C8">
        <v>12</v>
      </c>
      <c r="D8" t="s">
        <v>8994</v>
      </c>
      <c r="E8" s="1">
        <v>37538</v>
      </c>
      <c r="F8" t="s">
        <v>5902</v>
      </c>
      <c r="G8">
        <v>358</v>
      </c>
      <c r="H8">
        <v>26649</v>
      </c>
      <c r="I8">
        <v>4</v>
      </c>
      <c r="J8">
        <v>1</v>
      </c>
      <c r="K8">
        <v>1</v>
      </c>
      <c r="L8">
        <v>1</v>
      </c>
      <c r="M8" t="s">
        <v>3541</v>
      </c>
      <c r="N8" t="s">
        <v>3542</v>
      </c>
      <c r="O8">
        <v>1105.81</v>
      </c>
      <c r="P8">
        <v>2049.0981999999999</v>
      </c>
      <c r="Q8" t="s">
        <v>30</v>
      </c>
      <c r="R8" t="s">
        <v>178</v>
      </c>
      <c r="S8" t="s">
        <v>329</v>
      </c>
      <c r="T8" t="s">
        <v>8778</v>
      </c>
      <c r="U8" s="1">
        <v>21466</v>
      </c>
      <c r="V8" t="s">
        <v>22</v>
      </c>
      <c r="W8" t="s">
        <v>29</v>
      </c>
      <c r="X8" t="s">
        <v>3288</v>
      </c>
      <c r="Y8">
        <v>80000</v>
      </c>
      <c r="Z8">
        <v>5</v>
      </c>
      <c r="AA8" t="s">
        <v>135</v>
      </c>
      <c r="AB8" t="s">
        <v>18</v>
      </c>
      <c r="AC8" t="s">
        <v>23</v>
      </c>
      <c r="AD8" t="s">
        <v>3580</v>
      </c>
      <c r="AE8" t="s">
        <v>3578</v>
      </c>
      <c r="AF8" t="s">
        <v>3579</v>
      </c>
      <c r="AG8" t="s">
        <v>3478</v>
      </c>
      <c r="AH8" t="s">
        <v>3475</v>
      </c>
      <c r="AI8">
        <v>2049.0981999999999</v>
      </c>
      <c r="AJ8">
        <v>1105.81</v>
      </c>
      <c r="AK8">
        <v>943.28819999999996</v>
      </c>
      <c r="AL8">
        <v>0.46034309141455498</v>
      </c>
    </row>
    <row r="9" spans="1:38">
      <c r="A9" s="1">
        <v>42339</v>
      </c>
      <c r="B9">
        <v>2015</v>
      </c>
      <c r="C9">
        <v>12</v>
      </c>
      <c r="D9" t="s">
        <v>8994</v>
      </c>
      <c r="E9" s="1">
        <v>37488</v>
      </c>
      <c r="F9" t="s">
        <v>5904</v>
      </c>
      <c r="G9">
        <v>375</v>
      </c>
      <c r="H9">
        <v>16451</v>
      </c>
      <c r="I9">
        <v>8</v>
      </c>
      <c r="J9">
        <v>1</v>
      </c>
      <c r="K9">
        <v>1</v>
      </c>
      <c r="L9">
        <v>2</v>
      </c>
      <c r="M9" t="s">
        <v>3557</v>
      </c>
      <c r="N9" t="s">
        <v>3558</v>
      </c>
      <c r="O9">
        <v>1320.6838</v>
      </c>
      <c r="P9">
        <v>2181.5625</v>
      </c>
      <c r="Q9" t="s">
        <v>13</v>
      </c>
      <c r="R9" t="s">
        <v>487</v>
      </c>
      <c r="S9" t="s">
        <v>91</v>
      </c>
      <c r="T9" t="s">
        <v>7617</v>
      </c>
      <c r="U9" s="1">
        <v>28373</v>
      </c>
      <c r="V9" t="s">
        <v>22</v>
      </c>
      <c r="W9" t="s">
        <v>16</v>
      </c>
      <c r="X9" t="s">
        <v>2099</v>
      </c>
      <c r="Y9">
        <v>30000</v>
      </c>
      <c r="Z9">
        <v>0</v>
      </c>
      <c r="AA9" t="s">
        <v>52</v>
      </c>
      <c r="AB9" t="s">
        <v>60</v>
      </c>
      <c r="AC9" t="s">
        <v>23</v>
      </c>
      <c r="AD9" t="s">
        <v>3585</v>
      </c>
      <c r="AE9" t="s">
        <v>3585</v>
      </c>
      <c r="AF9" t="s">
        <v>3584</v>
      </c>
      <c r="AG9" t="s">
        <v>3479</v>
      </c>
      <c r="AH9" t="s">
        <v>3475</v>
      </c>
      <c r="AI9">
        <v>2181.5625</v>
      </c>
      <c r="AJ9">
        <v>1320.6838</v>
      </c>
      <c r="AK9">
        <v>860.87869999999998</v>
      </c>
      <c r="AL9">
        <v>0.39461564818793898</v>
      </c>
    </row>
    <row r="10" spans="1:38">
      <c r="A10" s="1">
        <v>42339</v>
      </c>
      <c r="B10">
        <v>2015</v>
      </c>
      <c r="C10">
        <v>12</v>
      </c>
      <c r="D10" t="s">
        <v>8994</v>
      </c>
      <c r="E10" s="1">
        <v>37569</v>
      </c>
      <c r="F10" t="s">
        <v>5907</v>
      </c>
      <c r="G10">
        <v>377</v>
      </c>
      <c r="H10">
        <v>13730</v>
      </c>
      <c r="I10">
        <v>1</v>
      </c>
      <c r="J10">
        <v>1</v>
      </c>
      <c r="K10">
        <v>1</v>
      </c>
      <c r="L10">
        <v>2</v>
      </c>
      <c r="M10" t="s">
        <v>3559</v>
      </c>
      <c r="N10" t="s">
        <v>3560</v>
      </c>
      <c r="O10">
        <v>1320.6838</v>
      </c>
      <c r="P10">
        <v>2181.5625</v>
      </c>
      <c r="Q10" t="s">
        <v>13</v>
      </c>
      <c r="R10" t="s">
        <v>1084</v>
      </c>
      <c r="S10" t="s">
        <v>40</v>
      </c>
      <c r="T10" t="s">
        <v>7157</v>
      </c>
      <c r="U10" s="1">
        <v>20448</v>
      </c>
      <c r="V10" t="s">
        <v>16</v>
      </c>
      <c r="W10" t="s">
        <v>16</v>
      </c>
      <c r="X10" t="s">
        <v>1616</v>
      </c>
      <c r="Y10">
        <v>40000</v>
      </c>
      <c r="Z10">
        <v>1</v>
      </c>
      <c r="AA10" t="s">
        <v>52</v>
      </c>
      <c r="AB10" t="s">
        <v>60</v>
      </c>
      <c r="AC10" t="s">
        <v>19</v>
      </c>
      <c r="AD10" t="s">
        <v>3577</v>
      </c>
      <c r="AE10" t="s">
        <v>3578</v>
      </c>
      <c r="AF10" t="s">
        <v>3579</v>
      </c>
      <c r="AG10" t="s">
        <v>3479</v>
      </c>
      <c r="AH10" t="s">
        <v>3475</v>
      </c>
      <c r="AI10">
        <v>2181.5625</v>
      </c>
      <c r="AJ10">
        <v>1320.6838</v>
      </c>
      <c r="AK10">
        <v>860.87869999999998</v>
      </c>
      <c r="AL10">
        <v>0.39461564818793898</v>
      </c>
    </row>
    <row r="11" spans="1:38">
      <c r="A11" s="1">
        <v>42339</v>
      </c>
      <c r="B11">
        <v>2015</v>
      </c>
      <c r="C11">
        <v>12</v>
      </c>
      <c r="D11" t="s">
        <v>8994</v>
      </c>
      <c r="E11" s="1">
        <v>37525</v>
      </c>
      <c r="F11" t="s">
        <v>5901</v>
      </c>
      <c r="G11">
        <v>379</v>
      </c>
      <c r="H11">
        <v>17627</v>
      </c>
      <c r="I11">
        <v>10</v>
      </c>
      <c r="J11">
        <v>1</v>
      </c>
      <c r="K11">
        <v>1</v>
      </c>
      <c r="L11">
        <v>2</v>
      </c>
      <c r="M11" t="s">
        <v>3561</v>
      </c>
      <c r="N11" t="s">
        <v>3562</v>
      </c>
      <c r="O11">
        <v>1320.6838</v>
      </c>
      <c r="P11">
        <v>2181.5625</v>
      </c>
      <c r="Q11" t="s">
        <v>13</v>
      </c>
      <c r="R11" t="s">
        <v>348</v>
      </c>
      <c r="S11" t="s">
        <v>686</v>
      </c>
      <c r="T11" t="s">
        <v>7677</v>
      </c>
      <c r="U11" s="1">
        <v>27281</v>
      </c>
      <c r="V11" t="s">
        <v>16</v>
      </c>
      <c r="W11" t="s">
        <v>16</v>
      </c>
      <c r="X11" t="s">
        <v>2162</v>
      </c>
      <c r="Y11">
        <v>40000</v>
      </c>
      <c r="Z11">
        <v>1</v>
      </c>
      <c r="AA11" t="s">
        <v>17</v>
      </c>
      <c r="AB11" t="s">
        <v>53</v>
      </c>
      <c r="AC11" t="s">
        <v>19</v>
      </c>
      <c r="AD11" t="s">
        <v>3588</v>
      </c>
      <c r="AE11" t="s">
        <v>3588</v>
      </c>
      <c r="AF11" t="s">
        <v>3584</v>
      </c>
      <c r="AG11" t="s">
        <v>3479</v>
      </c>
      <c r="AH11" t="s">
        <v>3475</v>
      </c>
      <c r="AI11">
        <v>2181.5625</v>
      </c>
      <c r="AJ11">
        <v>1320.6838</v>
      </c>
      <c r="AK11">
        <v>860.87869999999998</v>
      </c>
      <c r="AL11">
        <v>0.39461564818793898</v>
      </c>
    </row>
    <row r="12" spans="1:38">
      <c r="A12" s="1">
        <v>42339</v>
      </c>
      <c r="B12">
        <v>2015</v>
      </c>
      <c r="C12">
        <v>12</v>
      </c>
      <c r="D12" t="s">
        <v>8994</v>
      </c>
      <c r="E12" s="1">
        <v>37569</v>
      </c>
      <c r="F12" t="s">
        <v>5898</v>
      </c>
      <c r="G12">
        <v>326</v>
      </c>
      <c r="H12">
        <v>15473</v>
      </c>
      <c r="I12">
        <v>4</v>
      </c>
      <c r="J12">
        <v>1</v>
      </c>
      <c r="K12">
        <v>1</v>
      </c>
      <c r="L12">
        <v>2</v>
      </c>
      <c r="M12" t="s">
        <v>3501</v>
      </c>
      <c r="N12" t="s">
        <v>3502</v>
      </c>
      <c r="O12">
        <v>413.1463</v>
      </c>
      <c r="P12">
        <v>699.09820000000002</v>
      </c>
      <c r="Q12" t="s">
        <v>30</v>
      </c>
      <c r="R12" t="s">
        <v>182</v>
      </c>
      <c r="S12" t="s">
        <v>47</v>
      </c>
      <c r="T12" t="s">
        <v>7511</v>
      </c>
      <c r="U12" s="1">
        <v>25308</v>
      </c>
      <c r="V12" t="s">
        <v>22</v>
      </c>
      <c r="W12" t="s">
        <v>29</v>
      </c>
      <c r="X12" t="s">
        <v>1988</v>
      </c>
      <c r="Y12">
        <v>50000</v>
      </c>
      <c r="Z12">
        <v>2</v>
      </c>
      <c r="AA12" t="s">
        <v>17</v>
      </c>
      <c r="AB12" t="s">
        <v>53</v>
      </c>
      <c r="AC12" t="s">
        <v>23</v>
      </c>
      <c r="AD12" t="s">
        <v>3580</v>
      </c>
      <c r="AE12" t="s">
        <v>3578</v>
      </c>
      <c r="AF12" t="s">
        <v>3579</v>
      </c>
      <c r="AG12" t="s">
        <v>3479</v>
      </c>
      <c r="AH12" t="s">
        <v>3475</v>
      </c>
      <c r="AI12">
        <v>699.09820000000002</v>
      </c>
      <c r="AJ12">
        <v>413.1463</v>
      </c>
      <c r="AK12">
        <v>285.95190000000002</v>
      </c>
      <c r="AL12">
        <v>0.409029661355157</v>
      </c>
    </row>
    <row r="13" spans="1:38">
      <c r="A13" s="1">
        <v>42340</v>
      </c>
      <c r="B13">
        <v>2015</v>
      </c>
      <c r="C13">
        <v>12</v>
      </c>
      <c r="D13" t="s">
        <v>8994</v>
      </c>
      <c r="E13" s="1">
        <v>37492</v>
      </c>
      <c r="F13" t="s">
        <v>5914</v>
      </c>
      <c r="G13">
        <v>320</v>
      </c>
      <c r="H13">
        <v>15472</v>
      </c>
      <c r="I13">
        <v>1</v>
      </c>
      <c r="J13">
        <v>1</v>
      </c>
      <c r="K13">
        <v>1</v>
      </c>
      <c r="L13">
        <v>2</v>
      </c>
      <c r="M13" t="s">
        <v>3495</v>
      </c>
      <c r="N13" t="s">
        <v>3496</v>
      </c>
      <c r="O13">
        <v>413.1463</v>
      </c>
      <c r="P13">
        <v>699.09820000000002</v>
      </c>
      <c r="Q13" t="s">
        <v>30</v>
      </c>
      <c r="R13" t="s">
        <v>98</v>
      </c>
      <c r="S13" t="s">
        <v>25</v>
      </c>
      <c r="T13" t="s">
        <v>7510</v>
      </c>
      <c r="U13" s="1">
        <v>25494</v>
      </c>
      <c r="V13" t="s">
        <v>22</v>
      </c>
      <c r="W13" t="s">
        <v>29</v>
      </c>
      <c r="X13" t="s">
        <v>1987</v>
      </c>
      <c r="Y13">
        <v>50000</v>
      </c>
      <c r="Z13">
        <v>2</v>
      </c>
      <c r="AA13" t="s">
        <v>17</v>
      </c>
      <c r="AB13" t="s">
        <v>53</v>
      </c>
      <c r="AC13" t="s">
        <v>19</v>
      </c>
      <c r="AD13" t="s">
        <v>3577</v>
      </c>
      <c r="AE13" t="s">
        <v>3578</v>
      </c>
      <c r="AF13" t="s">
        <v>3579</v>
      </c>
      <c r="AG13" t="s">
        <v>3479</v>
      </c>
      <c r="AH13" t="s">
        <v>3475</v>
      </c>
      <c r="AI13">
        <v>699.09820000000002</v>
      </c>
      <c r="AJ13">
        <v>413.1463</v>
      </c>
      <c r="AK13">
        <v>285.95190000000002</v>
      </c>
      <c r="AL13">
        <v>0.409029661355157</v>
      </c>
    </row>
    <row r="14" spans="1:38">
      <c r="A14" s="1">
        <v>42340</v>
      </c>
      <c r="B14">
        <v>2015</v>
      </c>
      <c r="C14">
        <v>12</v>
      </c>
      <c r="D14" t="s">
        <v>8994</v>
      </c>
      <c r="E14" s="1">
        <v>37509</v>
      </c>
      <c r="F14" t="s">
        <v>5912</v>
      </c>
      <c r="G14">
        <v>356</v>
      </c>
      <c r="H14">
        <v>26634</v>
      </c>
      <c r="I14">
        <v>4</v>
      </c>
      <c r="J14">
        <v>1</v>
      </c>
      <c r="K14">
        <v>1</v>
      </c>
      <c r="L14">
        <v>1</v>
      </c>
      <c r="M14" t="s">
        <v>3539</v>
      </c>
      <c r="N14" t="s">
        <v>3540</v>
      </c>
      <c r="O14">
        <v>1117.8559</v>
      </c>
      <c r="P14">
        <v>2071.4196000000002</v>
      </c>
      <c r="Q14" t="s">
        <v>13</v>
      </c>
      <c r="R14" t="s">
        <v>285</v>
      </c>
      <c r="S14" t="s">
        <v>44</v>
      </c>
      <c r="T14" t="s">
        <v>8769</v>
      </c>
      <c r="U14" s="1">
        <v>22048</v>
      </c>
      <c r="V14" t="s">
        <v>16</v>
      </c>
      <c r="W14" t="s">
        <v>16</v>
      </c>
      <c r="X14" t="s">
        <v>3279</v>
      </c>
      <c r="Y14">
        <v>60000</v>
      </c>
      <c r="Z14">
        <v>1</v>
      </c>
      <c r="AA14" t="s">
        <v>52</v>
      </c>
      <c r="AB14" t="s">
        <v>53</v>
      </c>
      <c r="AC14" t="s">
        <v>23</v>
      </c>
      <c r="AD14" t="s">
        <v>3580</v>
      </c>
      <c r="AE14" t="s">
        <v>3578</v>
      </c>
      <c r="AF14" t="s">
        <v>3579</v>
      </c>
      <c r="AG14" t="s">
        <v>3478</v>
      </c>
      <c r="AH14" t="s">
        <v>3475</v>
      </c>
      <c r="AI14">
        <v>2071.4196000000002</v>
      </c>
      <c r="AJ14">
        <v>1117.8559</v>
      </c>
      <c r="AK14">
        <v>953.56370000000004</v>
      </c>
      <c r="AL14">
        <v>0.460343090313522</v>
      </c>
    </row>
    <row r="15" spans="1:38">
      <c r="A15" s="1">
        <v>42340</v>
      </c>
      <c r="B15">
        <v>2015</v>
      </c>
      <c r="C15">
        <v>12</v>
      </c>
      <c r="D15" t="s">
        <v>8994</v>
      </c>
      <c r="E15" s="1">
        <v>37524</v>
      </c>
      <c r="F15" t="s">
        <v>5915</v>
      </c>
      <c r="G15">
        <v>371</v>
      </c>
      <c r="H15">
        <v>17182</v>
      </c>
      <c r="I15">
        <v>10</v>
      </c>
      <c r="J15">
        <v>1</v>
      </c>
      <c r="K15">
        <v>1</v>
      </c>
      <c r="L15">
        <v>2</v>
      </c>
      <c r="M15" t="s">
        <v>3553</v>
      </c>
      <c r="N15" t="s">
        <v>3554</v>
      </c>
      <c r="O15">
        <v>1320.6838</v>
      </c>
      <c r="P15">
        <v>2181.5625</v>
      </c>
      <c r="Q15" t="s">
        <v>30</v>
      </c>
      <c r="R15" t="s">
        <v>145</v>
      </c>
      <c r="S15" t="s">
        <v>261</v>
      </c>
      <c r="T15" t="s">
        <v>7661</v>
      </c>
      <c r="U15" s="1">
        <v>21315</v>
      </c>
      <c r="V15" t="s">
        <v>22</v>
      </c>
      <c r="W15" t="s">
        <v>29</v>
      </c>
      <c r="X15" t="s">
        <v>2146</v>
      </c>
      <c r="Y15">
        <v>170000</v>
      </c>
      <c r="Z15">
        <v>2</v>
      </c>
      <c r="AA15" t="s">
        <v>17</v>
      </c>
      <c r="AB15" t="s">
        <v>45</v>
      </c>
      <c r="AC15" t="s">
        <v>23</v>
      </c>
      <c r="AD15" t="s">
        <v>3588</v>
      </c>
      <c r="AE15" t="s">
        <v>3588</v>
      </c>
      <c r="AF15" t="s">
        <v>3584</v>
      </c>
      <c r="AG15" t="s">
        <v>3479</v>
      </c>
      <c r="AH15" t="s">
        <v>3475</v>
      </c>
      <c r="AI15">
        <v>2181.5625</v>
      </c>
      <c r="AJ15">
        <v>1320.6838</v>
      </c>
      <c r="AK15">
        <v>860.87869999999998</v>
      </c>
      <c r="AL15">
        <v>0.39461564818793898</v>
      </c>
    </row>
    <row r="16" spans="1:38">
      <c r="A16" s="1">
        <v>42340</v>
      </c>
      <c r="B16">
        <v>2015</v>
      </c>
      <c r="C16">
        <v>12</v>
      </c>
      <c r="D16" t="s">
        <v>8994</v>
      </c>
      <c r="E16" s="1">
        <v>37507</v>
      </c>
      <c r="F16" t="s">
        <v>5913</v>
      </c>
      <c r="G16">
        <v>342</v>
      </c>
      <c r="H16">
        <v>19310</v>
      </c>
      <c r="I16">
        <v>7</v>
      </c>
      <c r="J16">
        <v>1</v>
      </c>
      <c r="K16">
        <v>1</v>
      </c>
      <c r="L16">
        <v>2</v>
      </c>
      <c r="M16" t="s">
        <v>3517</v>
      </c>
      <c r="N16" t="s">
        <v>3518</v>
      </c>
      <c r="O16">
        <v>413.1463</v>
      </c>
      <c r="P16">
        <v>699.09820000000002</v>
      </c>
      <c r="Q16" t="s">
        <v>26</v>
      </c>
      <c r="R16" t="s">
        <v>1300</v>
      </c>
      <c r="S16" t="s">
        <v>431</v>
      </c>
      <c r="T16" t="s">
        <v>7806</v>
      </c>
      <c r="U16" s="1">
        <v>24944</v>
      </c>
      <c r="V16" t="s">
        <v>16</v>
      </c>
      <c r="W16" t="s">
        <v>29</v>
      </c>
      <c r="X16" t="s">
        <v>2293</v>
      </c>
      <c r="Y16">
        <v>40000</v>
      </c>
      <c r="Z16">
        <v>0</v>
      </c>
      <c r="AA16" t="s">
        <v>135</v>
      </c>
      <c r="AB16" t="s">
        <v>60</v>
      </c>
      <c r="AC16" t="s">
        <v>19</v>
      </c>
      <c r="AD16" t="s">
        <v>3583</v>
      </c>
      <c r="AE16" t="s">
        <v>3583</v>
      </c>
      <c r="AF16" t="s">
        <v>3584</v>
      </c>
      <c r="AG16" t="s">
        <v>3479</v>
      </c>
      <c r="AH16" t="s">
        <v>3475</v>
      </c>
      <c r="AI16">
        <v>699.09820000000002</v>
      </c>
      <c r="AJ16">
        <v>413.1463</v>
      </c>
      <c r="AK16">
        <v>285.95190000000002</v>
      </c>
      <c r="AL16">
        <v>0.409029661355157</v>
      </c>
    </row>
    <row r="17" spans="1:38">
      <c r="A17" s="1">
        <v>42340</v>
      </c>
      <c r="B17">
        <v>2015</v>
      </c>
      <c r="C17">
        <v>12</v>
      </c>
      <c r="D17" t="s">
        <v>8994</v>
      </c>
      <c r="E17" s="1">
        <v>37558</v>
      </c>
      <c r="F17" t="s">
        <v>5916</v>
      </c>
      <c r="G17">
        <v>369</v>
      </c>
      <c r="H17">
        <v>13718</v>
      </c>
      <c r="I17">
        <v>1</v>
      </c>
      <c r="J17">
        <v>1</v>
      </c>
      <c r="K17">
        <v>1</v>
      </c>
      <c r="L17">
        <v>2</v>
      </c>
      <c r="M17" t="s">
        <v>3549</v>
      </c>
      <c r="N17" t="s">
        <v>3550</v>
      </c>
      <c r="O17">
        <v>1518.7864</v>
      </c>
      <c r="P17">
        <v>2443.35</v>
      </c>
      <c r="Q17" t="s">
        <v>13</v>
      </c>
      <c r="R17" t="s">
        <v>249</v>
      </c>
      <c r="S17" t="s">
        <v>291</v>
      </c>
      <c r="T17" t="s">
        <v>7149</v>
      </c>
      <c r="U17" s="1">
        <v>19595</v>
      </c>
      <c r="V17" t="s">
        <v>16</v>
      </c>
      <c r="W17" t="s">
        <v>16</v>
      </c>
      <c r="X17" t="s">
        <v>1608</v>
      </c>
      <c r="Y17">
        <v>30000</v>
      </c>
      <c r="Z17">
        <v>1</v>
      </c>
      <c r="AA17" t="s">
        <v>17</v>
      </c>
      <c r="AB17" t="s">
        <v>53</v>
      </c>
      <c r="AC17" t="s">
        <v>19</v>
      </c>
      <c r="AD17" t="s">
        <v>3577</v>
      </c>
      <c r="AE17" t="s">
        <v>3578</v>
      </c>
      <c r="AF17" t="s">
        <v>3579</v>
      </c>
      <c r="AG17" t="s">
        <v>3479</v>
      </c>
      <c r="AH17" t="s">
        <v>3475</v>
      </c>
      <c r="AI17">
        <v>2443.35</v>
      </c>
      <c r="AJ17">
        <v>1518.7864</v>
      </c>
      <c r="AK17">
        <v>924.56359999999995</v>
      </c>
      <c r="AL17">
        <v>0.37839998362903399</v>
      </c>
    </row>
    <row r="18" spans="1:38">
      <c r="A18" s="1">
        <v>42340</v>
      </c>
      <c r="B18">
        <v>2015</v>
      </c>
      <c r="C18">
        <v>12</v>
      </c>
      <c r="D18" t="s">
        <v>8994</v>
      </c>
      <c r="E18" s="1">
        <v>37562</v>
      </c>
      <c r="F18" t="s">
        <v>5911</v>
      </c>
      <c r="G18">
        <v>352</v>
      </c>
      <c r="H18">
        <v>13114</v>
      </c>
      <c r="I18">
        <v>9</v>
      </c>
      <c r="J18">
        <v>1</v>
      </c>
      <c r="K18">
        <v>1</v>
      </c>
      <c r="L18">
        <v>1</v>
      </c>
      <c r="M18" t="s">
        <v>3535</v>
      </c>
      <c r="N18" t="s">
        <v>3536</v>
      </c>
      <c r="O18">
        <v>1117.8559</v>
      </c>
      <c r="P18">
        <v>2071.4196000000002</v>
      </c>
      <c r="Q18" t="s">
        <v>26</v>
      </c>
      <c r="R18" t="s">
        <v>360</v>
      </c>
      <c r="S18" t="s">
        <v>68</v>
      </c>
      <c r="T18" t="s">
        <v>7105</v>
      </c>
      <c r="U18" s="1">
        <v>24228</v>
      </c>
      <c r="V18" t="s">
        <v>22</v>
      </c>
      <c r="W18" t="s">
        <v>29</v>
      </c>
      <c r="X18" t="s">
        <v>1419</v>
      </c>
      <c r="Y18">
        <v>100000</v>
      </c>
      <c r="Z18">
        <v>0</v>
      </c>
      <c r="AA18" t="s">
        <v>17</v>
      </c>
      <c r="AB18" t="s">
        <v>18</v>
      </c>
      <c r="AC18" t="s">
        <v>23</v>
      </c>
      <c r="AD18" t="s">
        <v>3586</v>
      </c>
      <c r="AE18" t="s">
        <v>3586</v>
      </c>
      <c r="AF18" t="s">
        <v>3587</v>
      </c>
      <c r="AG18" t="s">
        <v>3478</v>
      </c>
      <c r="AH18" t="s">
        <v>3475</v>
      </c>
      <c r="AI18">
        <v>2071.4196000000002</v>
      </c>
      <c r="AJ18">
        <v>1117.8559</v>
      </c>
      <c r="AK18">
        <v>953.56370000000004</v>
      </c>
      <c r="AL18">
        <v>0.460343090313522</v>
      </c>
    </row>
    <row r="19" spans="1:38">
      <c r="A19" s="1">
        <v>42340</v>
      </c>
      <c r="B19">
        <v>2015</v>
      </c>
      <c r="C19">
        <v>12</v>
      </c>
      <c r="D19" t="s">
        <v>8994</v>
      </c>
      <c r="E19" s="1">
        <v>37480</v>
      </c>
      <c r="F19" t="s">
        <v>5909</v>
      </c>
      <c r="G19">
        <v>338</v>
      </c>
      <c r="H19">
        <v>26585</v>
      </c>
      <c r="I19">
        <v>9</v>
      </c>
      <c r="J19">
        <v>1</v>
      </c>
      <c r="K19">
        <v>1</v>
      </c>
      <c r="L19">
        <v>2</v>
      </c>
      <c r="M19" t="s">
        <v>3513</v>
      </c>
      <c r="N19" t="s">
        <v>3514</v>
      </c>
      <c r="O19">
        <v>413.1463</v>
      </c>
      <c r="P19">
        <v>699.09820000000002</v>
      </c>
      <c r="Q19" t="s">
        <v>13</v>
      </c>
      <c r="R19" t="s">
        <v>74</v>
      </c>
      <c r="S19" t="s">
        <v>474</v>
      </c>
      <c r="T19" t="s">
        <v>8742</v>
      </c>
      <c r="U19" s="1">
        <v>20651</v>
      </c>
      <c r="V19" t="s">
        <v>22</v>
      </c>
      <c r="W19" t="s">
        <v>16</v>
      </c>
      <c r="X19" t="s">
        <v>3252</v>
      </c>
      <c r="Y19">
        <v>80000</v>
      </c>
      <c r="Z19">
        <v>2</v>
      </c>
      <c r="AA19" t="s">
        <v>57</v>
      </c>
      <c r="AB19" t="s">
        <v>53</v>
      </c>
      <c r="AC19" t="s">
        <v>19</v>
      </c>
      <c r="AD19" t="s">
        <v>3586</v>
      </c>
      <c r="AE19" t="s">
        <v>3586</v>
      </c>
      <c r="AF19" t="s">
        <v>3587</v>
      </c>
      <c r="AG19" t="s">
        <v>3479</v>
      </c>
      <c r="AH19" t="s">
        <v>3475</v>
      </c>
      <c r="AI19">
        <v>699.09820000000002</v>
      </c>
      <c r="AJ19">
        <v>413.1463</v>
      </c>
      <c r="AK19">
        <v>285.95190000000002</v>
      </c>
      <c r="AL19">
        <v>0.409029661355157</v>
      </c>
    </row>
    <row r="20" spans="1:38">
      <c r="A20" s="1">
        <v>42340</v>
      </c>
      <c r="B20">
        <v>2015</v>
      </c>
      <c r="C20">
        <v>12</v>
      </c>
      <c r="D20" t="s">
        <v>8994</v>
      </c>
      <c r="E20" s="1">
        <v>37490</v>
      </c>
      <c r="F20" t="s">
        <v>5910</v>
      </c>
      <c r="G20">
        <v>383</v>
      </c>
      <c r="H20">
        <v>14288</v>
      </c>
      <c r="I20">
        <v>4</v>
      </c>
      <c r="J20">
        <v>1</v>
      </c>
      <c r="K20">
        <v>1</v>
      </c>
      <c r="L20">
        <v>2</v>
      </c>
      <c r="M20" t="s">
        <v>3565</v>
      </c>
      <c r="N20" t="s">
        <v>3566</v>
      </c>
      <c r="O20">
        <v>605.64919999999995</v>
      </c>
      <c r="P20">
        <v>1000.4375</v>
      </c>
      <c r="Q20" t="s">
        <v>26</v>
      </c>
      <c r="R20" t="s">
        <v>1019</v>
      </c>
      <c r="S20" t="s">
        <v>259</v>
      </c>
      <c r="T20" t="s">
        <v>7245</v>
      </c>
      <c r="U20" s="1">
        <v>24175</v>
      </c>
      <c r="V20" t="s">
        <v>22</v>
      </c>
      <c r="W20" t="s">
        <v>29</v>
      </c>
      <c r="X20" t="s">
        <v>1713</v>
      </c>
      <c r="Y20">
        <v>130000</v>
      </c>
      <c r="Z20">
        <v>0</v>
      </c>
      <c r="AA20" t="s">
        <v>135</v>
      </c>
      <c r="AB20" t="s">
        <v>45</v>
      </c>
      <c r="AC20" t="s">
        <v>23</v>
      </c>
      <c r="AD20" t="s">
        <v>3580</v>
      </c>
      <c r="AE20" t="s">
        <v>3578</v>
      </c>
      <c r="AF20" t="s">
        <v>3579</v>
      </c>
      <c r="AG20" t="s">
        <v>3479</v>
      </c>
      <c r="AH20" t="s">
        <v>3475</v>
      </c>
      <c r="AI20">
        <v>1000.4375</v>
      </c>
      <c r="AJ20">
        <v>605.64919999999995</v>
      </c>
      <c r="AK20">
        <v>394.78829999999999</v>
      </c>
      <c r="AL20">
        <v>0.39461565565065299</v>
      </c>
    </row>
    <row r="21" spans="1:38">
      <c r="A21" s="1">
        <v>42340</v>
      </c>
      <c r="B21">
        <v>2015</v>
      </c>
      <c r="C21">
        <v>12</v>
      </c>
      <c r="D21" t="s">
        <v>8994</v>
      </c>
      <c r="E21" s="1">
        <v>37491</v>
      </c>
      <c r="F21" t="s">
        <v>5917</v>
      </c>
      <c r="G21">
        <v>368</v>
      </c>
      <c r="H21">
        <v>22932</v>
      </c>
      <c r="I21">
        <v>9</v>
      </c>
      <c r="J21">
        <v>1</v>
      </c>
      <c r="K21">
        <v>1</v>
      </c>
      <c r="L21">
        <v>2</v>
      </c>
      <c r="M21" t="s">
        <v>3547</v>
      </c>
      <c r="N21" t="s">
        <v>3548</v>
      </c>
      <c r="O21">
        <v>1518.7864</v>
      </c>
      <c r="P21">
        <v>2443.35</v>
      </c>
      <c r="Q21" t="s">
        <v>13</v>
      </c>
      <c r="R21" t="s">
        <v>281</v>
      </c>
      <c r="S21" t="s">
        <v>476</v>
      </c>
      <c r="T21" t="s">
        <v>8325</v>
      </c>
      <c r="U21" s="1">
        <v>22777</v>
      </c>
      <c r="V21" t="s">
        <v>22</v>
      </c>
      <c r="W21" t="s">
        <v>16</v>
      </c>
      <c r="X21" t="s">
        <v>2824</v>
      </c>
      <c r="Y21">
        <v>70000</v>
      </c>
      <c r="Z21">
        <v>1</v>
      </c>
      <c r="AA21" t="s">
        <v>52</v>
      </c>
      <c r="AB21" t="s">
        <v>53</v>
      </c>
      <c r="AC21" t="s">
        <v>23</v>
      </c>
      <c r="AD21" t="s">
        <v>3586</v>
      </c>
      <c r="AE21" t="s">
        <v>3586</v>
      </c>
      <c r="AF21" t="s">
        <v>3587</v>
      </c>
      <c r="AG21" t="s">
        <v>3479</v>
      </c>
      <c r="AH21" t="s">
        <v>3475</v>
      </c>
      <c r="AI21">
        <v>2443.35</v>
      </c>
      <c r="AJ21">
        <v>1518.7864</v>
      </c>
      <c r="AK21">
        <v>924.56359999999995</v>
      </c>
      <c r="AL21">
        <v>0.37839998362903399</v>
      </c>
    </row>
    <row r="22" spans="1:38">
      <c r="A22" s="1">
        <v>42341</v>
      </c>
      <c r="B22">
        <v>2015</v>
      </c>
      <c r="C22">
        <v>12</v>
      </c>
      <c r="D22" t="s">
        <v>8994</v>
      </c>
      <c r="E22" s="1">
        <v>37519</v>
      </c>
      <c r="F22" t="s">
        <v>5930</v>
      </c>
      <c r="G22">
        <v>371</v>
      </c>
      <c r="H22">
        <v>13733</v>
      </c>
      <c r="I22">
        <v>1</v>
      </c>
      <c r="J22">
        <v>1</v>
      </c>
      <c r="K22">
        <v>1</v>
      </c>
      <c r="L22">
        <v>2</v>
      </c>
      <c r="M22" t="s">
        <v>3553</v>
      </c>
      <c r="N22" t="s">
        <v>3554</v>
      </c>
      <c r="O22">
        <v>1320.6838</v>
      </c>
      <c r="P22">
        <v>2181.5625</v>
      </c>
      <c r="Q22" t="s">
        <v>30</v>
      </c>
      <c r="R22" t="s">
        <v>48</v>
      </c>
      <c r="S22" t="s">
        <v>377</v>
      </c>
      <c r="T22" t="s">
        <v>7158</v>
      </c>
      <c r="U22" s="1">
        <v>20719</v>
      </c>
      <c r="V22" t="s">
        <v>16</v>
      </c>
      <c r="W22" t="s">
        <v>29</v>
      </c>
      <c r="X22" t="s">
        <v>1617</v>
      </c>
      <c r="Y22">
        <v>40000</v>
      </c>
      <c r="Z22">
        <v>1</v>
      </c>
      <c r="AA22" t="s">
        <v>52</v>
      </c>
      <c r="AB22" t="s">
        <v>60</v>
      </c>
      <c r="AC22" t="s">
        <v>19</v>
      </c>
      <c r="AD22" t="s">
        <v>3577</v>
      </c>
      <c r="AE22" t="s">
        <v>3578</v>
      </c>
      <c r="AF22" t="s">
        <v>3579</v>
      </c>
      <c r="AG22" t="s">
        <v>3479</v>
      </c>
      <c r="AH22" t="s">
        <v>3475</v>
      </c>
      <c r="AI22">
        <v>2181.5625</v>
      </c>
      <c r="AJ22">
        <v>1320.6838</v>
      </c>
      <c r="AK22">
        <v>860.87869999999998</v>
      </c>
      <c r="AL22">
        <v>0.39461564818793898</v>
      </c>
    </row>
    <row r="23" spans="1:38">
      <c r="A23" s="1">
        <v>42341</v>
      </c>
      <c r="B23">
        <v>2015</v>
      </c>
      <c r="C23">
        <v>12</v>
      </c>
      <c r="D23" t="s">
        <v>8994</v>
      </c>
      <c r="E23" s="1">
        <v>37531</v>
      </c>
      <c r="F23" t="s">
        <v>5925</v>
      </c>
      <c r="G23">
        <v>379</v>
      </c>
      <c r="H23">
        <v>16475</v>
      </c>
      <c r="I23">
        <v>8</v>
      </c>
      <c r="J23">
        <v>1</v>
      </c>
      <c r="K23">
        <v>1</v>
      </c>
      <c r="L23">
        <v>2</v>
      </c>
      <c r="M23" t="s">
        <v>3561</v>
      </c>
      <c r="N23" t="s">
        <v>3562</v>
      </c>
      <c r="O23">
        <v>1320.6838</v>
      </c>
      <c r="P23">
        <v>2181.5625</v>
      </c>
      <c r="Q23" t="s">
        <v>13</v>
      </c>
      <c r="R23" t="s">
        <v>489</v>
      </c>
      <c r="S23" t="s">
        <v>195</v>
      </c>
      <c r="T23" t="s">
        <v>7622</v>
      </c>
      <c r="U23" s="1">
        <v>27011</v>
      </c>
      <c r="V23" t="s">
        <v>22</v>
      </c>
      <c r="W23" t="s">
        <v>16</v>
      </c>
      <c r="X23" t="s">
        <v>2104</v>
      </c>
      <c r="Y23">
        <v>20000</v>
      </c>
      <c r="Z23">
        <v>0</v>
      </c>
      <c r="AA23" t="s">
        <v>77</v>
      </c>
      <c r="AB23" t="s">
        <v>444</v>
      </c>
      <c r="AC23" t="s">
        <v>23</v>
      </c>
      <c r="AD23" t="s">
        <v>3585</v>
      </c>
      <c r="AE23" t="s">
        <v>3585</v>
      </c>
      <c r="AF23" t="s">
        <v>3584</v>
      </c>
      <c r="AG23" t="s">
        <v>3479</v>
      </c>
      <c r="AH23" t="s">
        <v>3475</v>
      </c>
      <c r="AI23">
        <v>2181.5625</v>
      </c>
      <c r="AJ23">
        <v>1320.6838</v>
      </c>
      <c r="AK23">
        <v>860.87869999999998</v>
      </c>
      <c r="AL23">
        <v>0.39461564818793898</v>
      </c>
    </row>
    <row r="24" spans="1:38">
      <c r="A24" s="1">
        <v>42341</v>
      </c>
      <c r="B24">
        <v>2015</v>
      </c>
      <c r="C24">
        <v>12</v>
      </c>
      <c r="D24" t="s">
        <v>8994</v>
      </c>
      <c r="E24" s="1">
        <v>37511</v>
      </c>
      <c r="F24" t="s">
        <v>5932</v>
      </c>
      <c r="G24">
        <v>379</v>
      </c>
      <c r="H24">
        <v>16946</v>
      </c>
      <c r="I24">
        <v>10</v>
      </c>
      <c r="J24">
        <v>1</v>
      </c>
      <c r="K24">
        <v>1</v>
      </c>
      <c r="L24">
        <v>2</v>
      </c>
      <c r="M24" t="s">
        <v>3561</v>
      </c>
      <c r="N24" t="s">
        <v>3562</v>
      </c>
      <c r="O24">
        <v>1320.6838</v>
      </c>
      <c r="P24">
        <v>2181.5625</v>
      </c>
      <c r="Q24" t="s">
        <v>30</v>
      </c>
      <c r="R24" t="s">
        <v>1263</v>
      </c>
      <c r="S24" t="s">
        <v>136</v>
      </c>
      <c r="T24" t="s">
        <v>7651</v>
      </c>
      <c r="U24" s="1">
        <v>14087</v>
      </c>
      <c r="V24" t="s">
        <v>16</v>
      </c>
      <c r="W24" t="s">
        <v>29</v>
      </c>
      <c r="X24" t="s">
        <v>2136</v>
      </c>
      <c r="Y24">
        <v>30000</v>
      </c>
      <c r="Z24">
        <v>1</v>
      </c>
      <c r="AA24" t="s">
        <v>135</v>
      </c>
      <c r="AB24" t="s">
        <v>60</v>
      </c>
      <c r="AC24" t="s">
        <v>19</v>
      </c>
      <c r="AD24" t="s">
        <v>3588</v>
      </c>
      <c r="AE24" t="s">
        <v>3588</v>
      </c>
      <c r="AF24" t="s">
        <v>3584</v>
      </c>
      <c r="AG24" t="s">
        <v>3479</v>
      </c>
      <c r="AH24" t="s">
        <v>3475</v>
      </c>
      <c r="AI24">
        <v>2181.5625</v>
      </c>
      <c r="AJ24">
        <v>1320.6838</v>
      </c>
      <c r="AK24">
        <v>860.87869999999998</v>
      </c>
      <c r="AL24">
        <v>0.39461564818793898</v>
      </c>
    </row>
    <row r="25" spans="1:38">
      <c r="A25" s="1">
        <v>42341</v>
      </c>
      <c r="B25">
        <v>2015</v>
      </c>
      <c r="C25">
        <v>12</v>
      </c>
      <c r="D25" t="s">
        <v>8994</v>
      </c>
      <c r="E25" s="1">
        <v>37475</v>
      </c>
      <c r="F25" t="s">
        <v>5922</v>
      </c>
      <c r="G25">
        <v>383</v>
      </c>
      <c r="H25">
        <v>14253</v>
      </c>
      <c r="I25">
        <v>4</v>
      </c>
      <c r="J25">
        <v>1</v>
      </c>
      <c r="K25">
        <v>1</v>
      </c>
      <c r="L25">
        <v>2</v>
      </c>
      <c r="M25" t="s">
        <v>3565</v>
      </c>
      <c r="N25" t="s">
        <v>3566</v>
      </c>
      <c r="O25">
        <v>605.64919999999995</v>
      </c>
      <c r="P25">
        <v>1000.4375</v>
      </c>
      <c r="Q25" t="s">
        <v>13</v>
      </c>
      <c r="R25" t="s">
        <v>260</v>
      </c>
      <c r="S25" t="s">
        <v>512</v>
      </c>
      <c r="T25" t="s">
        <v>7235</v>
      </c>
      <c r="U25" s="1">
        <v>15999</v>
      </c>
      <c r="V25" t="s">
        <v>22</v>
      </c>
      <c r="W25" t="s">
        <v>16</v>
      </c>
      <c r="X25" t="s">
        <v>1702</v>
      </c>
      <c r="Y25">
        <v>110000</v>
      </c>
      <c r="Z25">
        <v>2</v>
      </c>
      <c r="AA25" t="s">
        <v>17</v>
      </c>
      <c r="AB25" t="s">
        <v>45</v>
      </c>
      <c r="AC25" t="s">
        <v>19</v>
      </c>
      <c r="AD25" t="s">
        <v>3580</v>
      </c>
      <c r="AE25" t="s">
        <v>3578</v>
      </c>
      <c r="AF25" t="s">
        <v>3579</v>
      </c>
      <c r="AG25" t="s">
        <v>3479</v>
      </c>
      <c r="AH25" t="s">
        <v>3475</v>
      </c>
      <c r="AI25">
        <v>1000.4375</v>
      </c>
      <c r="AJ25">
        <v>605.64919999999995</v>
      </c>
      <c r="AK25">
        <v>394.78829999999999</v>
      </c>
      <c r="AL25">
        <v>0.39461565565065299</v>
      </c>
    </row>
    <row r="26" spans="1:38">
      <c r="A26" s="1">
        <v>42341</v>
      </c>
      <c r="B26">
        <v>2015</v>
      </c>
      <c r="C26">
        <v>12</v>
      </c>
      <c r="D26" t="s">
        <v>8994</v>
      </c>
      <c r="E26" s="1">
        <v>37539</v>
      </c>
      <c r="F26" t="s">
        <v>5933</v>
      </c>
      <c r="G26">
        <v>354</v>
      </c>
      <c r="H26">
        <v>26619</v>
      </c>
      <c r="I26">
        <v>1</v>
      </c>
      <c r="J26">
        <v>1</v>
      </c>
      <c r="K26">
        <v>1</v>
      </c>
      <c r="L26">
        <v>1</v>
      </c>
      <c r="M26" t="s">
        <v>3537</v>
      </c>
      <c r="N26" t="s">
        <v>3538</v>
      </c>
      <c r="O26">
        <v>1117.8559</v>
      </c>
      <c r="P26">
        <v>2071.4196000000002</v>
      </c>
      <c r="Q26" t="s">
        <v>13</v>
      </c>
      <c r="R26" t="s">
        <v>299</v>
      </c>
      <c r="S26" t="s">
        <v>55</v>
      </c>
      <c r="T26" t="s">
        <v>8759</v>
      </c>
      <c r="U26" s="1">
        <v>22001</v>
      </c>
      <c r="V26" t="s">
        <v>16</v>
      </c>
      <c r="W26" t="s">
        <v>16</v>
      </c>
      <c r="X26" t="s">
        <v>3269</v>
      </c>
      <c r="Y26">
        <v>60000</v>
      </c>
      <c r="Z26">
        <v>1</v>
      </c>
      <c r="AA26" t="s">
        <v>52</v>
      </c>
      <c r="AB26" t="s">
        <v>53</v>
      </c>
      <c r="AC26" t="s">
        <v>19</v>
      </c>
      <c r="AD26" t="s">
        <v>3577</v>
      </c>
      <c r="AE26" t="s">
        <v>3578</v>
      </c>
      <c r="AF26" t="s">
        <v>3579</v>
      </c>
      <c r="AG26" t="s">
        <v>3478</v>
      </c>
      <c r="AH26" t="s">
        <v>3475</v>
      </c>
      <c r="AI26">
        <v>2071.4196000000002</v>
      </c>
      <c r="AJ26">
        <v>1117.8559</v>
      </c>
      <c r="AK26">
        <v>953.56370000000004</v>
      </c>
      <c r="AL26">
        <v>0.460343090313522</v>
      </c>
    </row>
    <row r="27" spans="1:38">
      <c r="A27" s="1">
        <v>42341</v>
      </c>
      <c r="B27">
        <v>2015</v>
      </c>
      <c r="C27">
        <v>12</v>
      </c>
      <c r="D27" t="s">
        <v>8994</v>
      </c>
      <c r="E27" s="1">
        <v>37573</v>
      </c>
      <c r="F27" t="s">
        <v>5919</v>
      </c>
      <c r="G27">
        <v>379</v>
      </c>
      <c r="H27">
        <v>23102</v>
      </c>
      <c r="I27">
        <v>9</v>
      </c>
      <c r="J27">
        <v>1</v>
      </c>
      <c r="K27">
        <v>1</v>
      </c>
      <c r="L27">
        <v>2</v>
      </c>
      <c r="M27" t="s">
        <v>3561</v>
      </c>
      <c r="N27" t="s">
        <v>3562</v>
      </c>
      <c r="O27">
        <v>1320.6838</v>
      </c>
      <c r="P27">
        <v>2181.5625</v>
      </c>
      <c r="Q27" t="s">
        <v>30</v>
      </c>
      <c r="R27" t="s">
        <v>755</v>
      </c>
      <c r="S27" t="s">
        <v>227</v>
      </c>
      <c r="T27" t="s">
        <v>8360</v>
      </c>
      <c r="U27" s="1">
        <v>19181</v>
      </c>
      <c r="V27" t="s">
        <v>16</v>
      </c>
      <c r="W27" t="s">
        <v>29</v>
      </c>
      <c r="X27" t="s">
        <v>2860</v>
      </c>
      <c r="Y27">
        <v>30000</v>
      </c>
      <c r="Z27">
        <v>3</v>
      </c>
      <c r="AA27" t="s">
        <v>57</v>
      </c>
      <c r="AB27" t="s">
        <v>53</v>
      </c>
      <c r="AC27" t="s">
        <v>19</v>
      </c>
      <c r="AD27" t="s">
        <v>3586</v>
      </c>
      <c r="AE27" t="s">
        <v>3586</v>
      </c>
      <c r="AF27" t="s">
        <v>3587</v>
      </c>
      <c r="AG27" t="s">
        <v>3479</v>
      </c>
      <c r="AH27" t="s">
        <v>3475</v>
      </c>
      <c r="AI27">
        <v>2181.5625</v>
      </c>
      <c r="AJ27">
        <v>1320.6838</v>
      </c>
      <c r="AK27">
        <v>860.87869999999998</v>
      </c>
      <c r="AL27">
        <v>0.39461564818793898</v>
      </c>
    </row>
    <row r="28" spans="1:38">
      <c r="A28" s="1">
        <v>42341</v>
      </c>
      <c r="B28">
        <v>2015</v>
      </c>
      <c r="C28">
        <v>12</v>
      </c>
      <c r="D28" t="s">
        <v>8994</v>
      </c>
      <c r="E28" s="1">
        <v>37543</v>
      </c>
      <c r="F28" t="s">
        <v>5918</v>
      </c>
      <c r="G28">
        <v>377</v>
      </c>
      <c r="H28">
        <v>15070</v>
      </c>
      <c r="I28">
        <v>7</v>
      </c>
      <c r="J28">
        <v>1</v>
      </c>
      <c r="K28">
        <v>1</v>
      </c>
      <c r="L28">
        <v>2</v>
      </c>
      <c r="M28" t="s">
        <v>3559</v>
      </c>
      <c r="N28" t="s">
        <v>3560</v>
      </c>
      <c r="O28">
        <v>1320.6838</v>
      </c>
      <c r="P28">
        <v>2181.5625</v>
      </c>
      <c r="Q28" t="s">
        <v>13</v>
      </c>
      <c r="R28" t="s">
        <v>316</v>
      </c>
      <c r="S28" t="s">
        <v>153</v>
      </c>
      <c r="T28" t="s">
        <v>7399</v>
      </c>
      <c r="U28" s="1">
        <v>25302</v>
      </c>
      <c r="V28" t="s">
        <v>22</v>
      </c>
      <c r="W28" t="s">
        <v>16</v>
      </c>
      <c r="X28" t="s">
        <v>1875</v>
      </c>
      <c r="Y28">
        <v>10000</v>
      </c>
      <c r="Z28">
        <v>2</v>
      </c>
      <c r="AA28" t="s">
        <v>57</v>
      </c>
      <c r="AB28" t="s">
        <v>444</v>
      </c>
      <c r="AC28" t="s">
        <v>19</v>
      </c>
      <c r="AD28" t="s">
        <v>3583</v>
      </c>
      <c r="AE28" t="s">
        <v>3583</v>
      </c>
      <c r="AF28" t="s">
        <v>3584</v>
      </c>
      <c r="AG28" t="s">
        <v>3479</v>
      </c>
      <c r="AH28" t="s">
        <v>3475</v>
      </c>
      <c r="AI28">
        <v>2181.5625</v>
      </c>
      <c r="AJ28">
        <v>1320.6838</v>
      </c>
      <c r="AK28">
        <v>860.87869999999998</v>
      </c>
      <c r="AL28">
        <v>0.39461564818793898</v>
      </c>
    </row>
    <row r="29" spans="1:38">
      <c r="A29" s="1">
        <v>42341</v>
      </c>
      <c r="B29">
        <v>2015</v>
      </c>
      <c r="C29">
        <v>12</v>
      </c>
      <c r="D29" t="s">
        <v>8994</v>
      </c>
      <c r="E29" s="1">
        <v>37526</v>
      </c>
      <c r="F29" t="s">
        <v>5923</v>
      </c>
      <c r="G29">
        <v>360</v>
      </c>
      <c r="H29">
        <v>26633</v>
      </c>
      <c r="I29">
        <v>4</v>
      </c>
      <c r="J29">
        <v>1</v>
      </c>
      <c r="K29">
        <v>1</v>
      </c>
      <c r="L29">
        <v>1</v>
      </c>
      <c r="M29" t="s">
        <v>3543</v>
      </c>
      <c r="N29" t="s">
        <v>3544</v>
      </c>
      <c r="O29">
        <v>1105.81</v>
      </c>
      <c r="P29">
        <v>2049.0981999999999</v>
      </c>
      <c r="Q29" t="s">
        <v>30</v>
      </c>
      <c r="R29" t="s">
        <v>296</v>
      </c>
      <c r="S29" t="s">
        <v>424</v>
      </c>
      <c r="T29" t="s">
        <v>8768</v>
      </c>
      <c r="U29" s="1">
        <v>22228</v>
      </c>
      <c r="V29" t="s">
        <v>16</v>
      </c>
      <c r="W29" t="s">
        <v>29</v>
      </c>
      <c r="X29" t="s">
        <v>3278</v>
      </c>
      <c r="Y29">
        <v>60000</v>
      </c>
      <c r="Z29">
        <v>1</v>
      </c>
      <c r="AA29" t="s">
        <v>52</v>
      </c>
      <c r="AB29" t="s">
        <v>53</v>
      </c>
      <c r="AC29" t="s">
        <v>19</v>
      </c>
      <c r="AD29" t="s">
        <v>3580</v>
      </c>
      <c r="AE29" t="s">
        <v>3578</v>
      </c>
      <c r="AF29" t="s">
        <v>3579</v>
      </c>
      <c r="AG29" t="s">
        <v>3478</v>
      </c>
      <c r="AH29" t="s">
        <v>3475</v>
      </c>
      <c r="AI29">
        <v>2049.0981999999999</v>
      </c>
      <c r="AJ29">
        <v>1105.81</v>
      </c>
      <c r="AK29">
        <v>943.28819999999996</v>
      </c>
      <c r="AL29">
        <v>0.46034309141455498</v>
      </c>
    </row>
    <row r="30" spans="1:38">
      <c r="A30" s="1">
        <v>42341</v>
      </c>
      <c r="B30">
        <v>2015</v>
      </c>
      <c r="C30">
        <v>12</v>
      </c>
      <c r="D30" t="s">
        <v>8994</v>
      </c>
      <c r="E30" s="1">
        <v>37577</v>
      </c>
      <c r="F30" t="s">
        <v>5924</v>
      </c>
      <c r="G30">
        <v>389</v>
      </c>
      <c r="H30">
        <v>14289</v>
      </c>
      <c r="I30">
        <v>4</v>
      </c>
      <c r="J30">
        <v>1</v>
      </c>
      <c r="K30">
        <v>1</v>
      </c>
      <c r="L30">
        <v>2</v>
      </c>
      <c r="M30" t="s">
        <v>3571</v>
      </c>
      <c r="N30" t="s">
        <v>3572</v>
      </c>
      <c r="O30">
        <v>605.64919999999995</v>
      </c>
      <c r="P30">
        <v>1000.4375</v>
      </c>
      <c r="Q30" t="s">
        <v>26</v>
      </c>
      <c r="R30" t="s">
        <v>145</v>
      </c>
      <c r="S30" t="s">
        <v>290</v>
      </c>
      <c r="T30" t="s">
        <v>7246</v>
      </c>
      <c r="U30" s="1">
        <v>24341</v>
      </c>
      <c r="V30" t="s">
        <v>22</v>
      </c>
      <c r="W30" t="s">
        <v>29</v>
      </c>
      <c r="X30" t="s">
        <v>1714</v>
      </c>
      <c r="Y30">
        <v>150000</v>
      </c>
      <c r="Z30">
        <v>0</v>
      </c>
      <c r="AA30" t="s">
        <v>17</v>
      </c>
      <c r="AB30" t="s">
        <v>45</v>
      </c>
      <c r="AC30" t="s">
        <v>23</v>
      </c>
      <c r="AD30" t="s">
        <v>3580</v>
      </c>
      <c r="AE30" t="s">
        <v>3578</v>
      </c>
      <c r="AF30" t="s">
        <v>3579</v>
      </c>
      <c r="AG30" t="s">
        <v>3479</v>
      </c>
      <c r="AH30" t="s">
        <v>3475</v>
      </c>
      <c r="AI30">
        <v>1000.4375</v>
      </c>
      <c r="AJ30">
        <v>605.64919999999995</v>
      </c>
      <c r="AK30">
        <v>394.78829999999999</v>
      </c>
      <c r="AL30">
        <v>0.39461565565065299</v>
      </c>
    </row>
    <row r="31" spans="1:38">
      <c r="A31" s="1">
        <v>42341</v>
      </c>
      <c r="B31">
        <v>2015</v>
      </c>
      <c r="C31">
        <v>12</v>
      </c>
      <c r="D31" t="s">
        <v>8994</v>
      </c>
      <c r="E31" s="1">
        <v>37540</v>
      </c>
      <c r="F31" t="s">
        <v>5927</v>
      </c>
      <c r="G31">
        <v>377</v>
      </c>
      <c r="H31">
        <v>22912</v>
      </c>
      <c r="I31">
        <v>9</v>
      </c>
      <c r="J31">
        <v>1</v>
      </c>
      <c r="K31">
        <v>1</v>
      </c>
      <c r="L31">
        <v>2</v>
      </c>
      <c r="M31" t="s">
        <v>3559</v>
      </c>
      <c r="N31" t="s">
        <v>3560</v>
      </c>
      <c r="O31">
        <v>1320.6838</v>
      </c>
      <c r="P31">
        <v>2181.5625</v>
      </c>
      <c r="Q31" t="s">
        <v>30</v>
      </c>
      <c r="R31" t="s">
        <v>197</v>
      </c>
      <c r="S31" t="s">
        <v>85</v>
      </c>
      <c r="T31" t="s">
        <v>8317</v>
      </c>
      <c r="U31" s="1">
        <v>25544</v>
      </c>
      <c r="V31" t="s">
        <v>22</v>
      </c>
      <c r="W31" t="s">
        <v>29</v>
      </c>
      <c r="X31" t="s">
        <v>2816</v>
      </c>
      <c r="Y31">
        <v>110000</v>
      </c>
      <c r="Z31">
        <v>1</v>
      </c>
      <c r="AA31" t="s">
        <v>135</v>
      </c>
      <c r="AB31" t="s">
        <v>45</v>
      </c>
      <c r="AC31" t="s">
        <v>19</v>
      </c>
      <c r="AD31" t="s">
        <v>3586</v>
      </c>
      <c r="AE31" t="s">
        <v>3586</v>
      </c>
      <c r="AF31" t="s">
        <v>3587</v>
      </c>
      <c r="AG31" t="s">
        <v>3479</v>
      </c>
      <c r="AH31" t="s">
        <v>3475</v>
      </c>
      <c r="AI31">
        <v>2181.5625</v>
      </c>
      <c r="AJ31">
        <v>1320.6838</v>
      </c>
      <c r="AK31">
        <v>860.87869999999998</v>
      </c>
      <c r="AL31">
        <v>0.39461564818793898</v>
      </c>
    </row>
    <row r="32" spans="1:38">
      <c r="A32" s="1">
        <v>42341</v>
      </c>
      <c r="B32">
        <v>2015</v>
      </c>
      <c r="C32">
        <v>12</v>
      </c>
      <c r="D32" t="s">
        <v>8994</v>
      </c>
      <c r="E32" s="1">
        <v>37511</v>
      </c>
      <c r="F32" t="s">
        <v>5928</v>
      </c>
      <c r="G32">
        <v>377</v>
      </c>
      <c r="H32">
        <v>23098</v>
      </c>
      <c r="I32">
        <v>9</v>
      </c>
      <c r="J32">
        <v>1</v>
      </c>
      <c r="K32">
        <v>1</v>
      </c>
      <c r="L32">
        <v>2</v>
      </c>
      <c r="M32" t="s">
        <v>3559</v>
      </c>
      <c r="N32" t="s">
        <v>3560</v>
      </c>
      <c r="O32">
        <v>1320.6838</v>
      </c>
      <c r="P32">
        <v>2181.5625</v>
      </c>
      <c r="Q32" t="s">
        <v>13</v>
      </c>
      <c r="R32" t="s">
        <v>584</v>
      </c>
      <c r="S32" t="s">
        <v>198</v>
      </c>
      <c r="T32" t="s">
        <v>8356</v>
      </c>
      <c r="U32" s="1">
        <v>18279</v>
      </c>
      <c r="V32" t="s">
        <v>22</v>
      </c>
      <c r="W32" t="s">
        <v>16</v>
      </c>
      <c r="X32" t="s">
        <v>2856</v>
      </c>
      <c r="Y32">
        <v>30000</v>
      </c>
      <c r="Z32">
        <v>3</v>
      </c>
      <c r="AA32" t="s">
        <v>52</v>
      </c>
      <c r="AB32" t="s">
        <v>60</v>
      </c>
      <c r="AC32" t="s">
        <v>23</v>
      </c>
      <c r="AD32" t="s">
        <v>3586</v>
      </c>
      <c r="AE32" t="s">
        <v>3586</v>
      </c>
      <c r="AF32" t="s">
        <v>3587</v>
      </c>
      <c r="AG32" t="s">
        <v>3479</v>
      </c>
      <c r="AH32" t="s">
        <v>3475</v>
      </c>
      <c r="AI32">
        <v>2181.5625</v>
      </c>
      <c r="AJ32">
        <v>1320.6838</v>
      </c>
      <c r="AK32">
        <v>860.87869999999998</v>
      </c>
      <c r="AL32">
        <v>0.39461564818793898</v>
      </c>
    </row>
    <row r="33" spans="1:38">
      <c r="A33" s="1">
        <v>42341</v>
      </c>
      <c r="B33">
        <v>2015</v>
      </c>
      <c r="C33">
        <v>12</v>
      </c>
      <c r="D33" t="s">
        <v>8994</v>
      </c>
      <c r="E33" s="1">
        <v>37551</v>
      </c>
      <c r="F33" t="s">
        <v>5926</v>
      </c>
      <c r="G33">
        <v>377</v>
      </c>
      <c r="H33">
        <v>14957</v>
      </c>
      <c r="I33">
        <v>7</v>
      </c>
      <c r="J33">
        <v>1</v>
      </c>
      <c r="K33">
        <v>1</v>
      </c>
      <c r="L33">
        <v>2</v>
      </c>
      <c r="M33" t="s">
        <v>3559</v>
      </c>
      <c r="N33" t="s">
        <v>3560</v>
      </c>
      <c r="O33">
        <v>1320.6838</v>
      </c>
      <c r="P33">
        <v>2181.5625</v>
      </c>
      <c r="Q33" t="s">
        <v>30</v>
      </c>
      <c r="R33" t="s">
        <v>475</v>
      </c>
      <c r="S33" t="s">
        <v>468</v>
      </c>
      <c r="T33" t="s">
        <v>7360</v>
      </c>
      <c r="U33" s="1">
        <v>23163</v>
      </c>
      <c r="V33" t="s">
        <v>22</v>
      </c>
      <c r="W33" t="s">
        <v>29</v>
      </c>
      <c r="X33" t="s">
        <v>1835</v>
      </c>
      <c r="Y33">
        <v>20000</v>
      </c>
      <c r="Z33">
        <v>4</v>
      </c>
      <c r="AA33" t="s">
        <v>57</v>
      </c>
      <c r="AB33" t="s">
        <v>444</v>
      </c>
      <c r="AC33" t="s">
        <v>19</v>
      </c>
      <c r="AD33" t="s">
        <v>3583</v>
      </c>
      <c r="AE33" t="s">
        <v>3583</v>
      </c>
      <c r="AF33" t="s">
        <v>3584</v>
      </c>
      <c r="AG33" t="s">
        <v>3479</v>
      </c>
      <c r="AH33" t="s">
        <v>3475</v>
      </c>
      <c r="AI33">
        <v>2181.5625</v>
      </c>
      <c r="AJ33">
        <v>1320.6838</v>
      </c>
      <c r="AK33">
        <v>860.87869999999998</v>
      </c>
      <c r="AL33">
        <v>0.39461564818793898</v>
      </c>
    </row>
    <row r="34" spans="1:38">
      <c r="A34" s="1">
        <v>42341</v>
      </c>
      <c r="B34">
        <v>2015</v>
      </c>
      <c r="C34">
        <v>12</v>
      </c>
      <c r="D34" t="s">
        <v>8994</v>
      </c>
      <c r="E34" s="1">
        <v>37504</v>
      </c>
      <c r="F34" t="s">
        <v>5920</v>
      </c>
      <c r="G34">
        <v>377</v>
      </c>
      <c r="H34">
        <v>22953</v>
      </c>
      <c r="I34">
        <v>9</v>
      </c>
      <c r="J34">
        <v>1</v>
      </c>
      <c r="K34">
        <v>1</v>
      </c>
      <c r="L34">
        <v>2</v>
      </c>
      <c r="M34" t="s">
        <v>3559</v>
      </c>
      <c r="N34" t="s">
        <v>3560</v>
      </c>
      <c r="O34">
        <v>1320.6838</v>
      </c>
      <c r="P34">
        <v>2181.5625</v>
      </c>
      <c r="Q34" t="s">
        <v>26</v>
      </c>
      <c r="R34" t="s">
        <v>755</v>
      </c>
      <c r="S34" t="s">
        <v>151</v>
      </c>
      <c r="T34" t="s">
        <v>8339</v>
      </c>
      <c r="U34" s="1">
        <v>23330</v>
      </c>
      <c r="V34" t="s">
        <v>22</v>
      </c>
      <c r="W34" t="s">
        <v>29</v>
      </c>
      <c r="X34" t="s">
        <v>2838</v>
      </c>
      <c r="Y34">
        <v>70000</v>
      </c>
      <c r="Z34">
        <v>0</v>
      </c>
      <c r="AA34" t="s">
        <v>17</v>
      </c>
      <c r="AB34" t="s">
        <v>18</v>
      </c>
      <c r="AC34" t="s">
        <v>19</v>
      </c>
      <c r="AD34" t="s">
        <v>3586</v>
      </c>
      <c r="AE34" t="s">
        <v>3586</v>
      </c>
      <c r="AF34" t="s">
        <v>3587</v>
      </c>
      <c r="AG34" t="s">
        <v>3479</v>
      </c>
      <c r="AH34" t="s">
        <v>3475</v>
      </c>
      <c r="AI34">
        <v>2181.5625</v>
      </c>
      <c r="AJ34">
        <v>1320.6838</v>
      </c>
      <c r="AK34">
        <v>860.87869999999998</v>
      </c>
      <c r="AL34">
        <v>0.39461564818793898</v>
      </c>
    </row>
    <row r="35" spans="1:38">
      <c r="A35" s="1">
        <v>42341</v>
      </c>
      <c r="B35">
        <v>2015</v>
      </c>
      <c r="C35">
        <v>12</v>
      </c>
      <c r="D35" t="s">
        <v>8994</v>
      </c>
      <c r="E35" s="1">
        <v>37501</v>
      </c>
      <c r="F35" t="s">
        <v>5929</v>
      </c>
      <c r="G35">
        <v>387</v>
      </c>
      <c r="H35">
        <v>19361</v>
      </c>
      <c r="I35">
        <v>10</v>
      </c>
      <c r="J35">
        <v>1</v>
      </c>
      <c r="K35">
        <v>1</v>
      </c>
      <c r="L35">
        <v>2</v>
      </c>
      <c r="M35" t="s">
        <v>3569</v>
      </c>
      <c r="N35" t="s">
        <v>3570</v>
      </c>
      <c r="O35">
        <v>605.64919999999995</v>
      </c>
      <c r="P35">
        <v>1000.4375</v>
      </c>
      <c r="Q35" t="s">
        <v>30</v>
      </c>
      <c r="R35" t="s">
        <v>647</v>
      </c>
      <c r="S35" t="s">
        <v>470</v>
      </c>
      <c r="T35" t="s">
        <v>7815</v>
      </c>
      <c r="U35" s="1">
        <v>23279</v>
      </c>
      <c r="V35" t="s">
        <v>16</v>
      </c>
      <c r="W35" t="s">
        <v>29</v>
      </c>
      <c r="X35" t="s">
        <v>2302</v>
      </c>
      <c r="Y35">
        <v>40000</v>
      </c>
      <c r="Z35">
        <v>1</v>
      </c>
      <c r="AA35" t="s">
        <v>17</v>
      </c>
      <c r="AB35" t="s">
        <v>53</v>
      </c>
      <c r="AC35" t="s">
        <v>19</v>
      </c>
      <c r="AD35" t="s">
        <v>3588</v>
      </c>
      <c r="AE35" t="s">
        <v>3588</v>
      </c>
      <c r="AF35" t="s">
        <v>3584</v>
      </c>
      <c r="AG35" t="s">
        <v>3479</v>
      </c>
      <c r="AH35" t="s">
        <v>3475</v>
      </c>
      <c r="AI35">
        <v>1000.4375</v>
      </c>
      <c r="AJ35">
        <v>605.64919999999995</v>
      </c>
      <c r="AK35">
        <v>394.78829999999999</v>
      </c>
      <c r="AL35">
        <v>0.39461565565065299</v>
      </c>
    </row>
    <row r="36" spans="1:38">
      <c r="A36" s="1">
        <v>42341</v>
      </c>
      <c r="B36">
        <v>2015</v>
      </c>
      <c r="C36">
        <v>12</v>
      </c>
      <c r="D36" t="s">
        <v>8994</v>
      </c>
      <c r="E36" s="1">
        <v>37505</v>
      </c>
      <c r="F36" t="s">
        <v>5921</v>
      </c>
      <c r="G36">
        <v>340</v>
      </c>
      <c r="H36">
        <v>19297</v>
      </c>
      <c r="I36">
        <v>7</v>
      </c>
      <c r="J36">
        <v>1</v>
      </c>
      <c r="K36">
        <v>1</v>
      </c>
      <c r="L36">
        <v>2</v>
      </c>
      <c r="M36" t="s">
        <v>3515</v>
      </c>
      <c r="N36" t="s">
        <v>3516</v>
      </c>
      <c r="O36">
        <v>413.1463</v>
      </c>
      <c r="P36">
        <v>699.09820000000002</v>
      </c>
      <c r="Q36" t="s">
        <v>13</v>
      </c>
      <c r="R36" t="s">
        <v>191</v>
      </c>
      <c r="S36" t="s">
        <v>72</v>
      </c>
      <c r="T36" t="s">
        <v>7799</v>
      </c>
      <c r="U36" s="1">
        <v>25436</v>
      </c>
      <c r="V36" t="s">
        <v>22</v>
      </c>
      <c r="W36" t="s">
        <v>16</v>
      </c>
      <c r="X36" t="s">
        <v>2286</v>
      </c>
      <c r="Y36">
        <v>30000</v>
      </c>
      <c r="Z36">
        <v>0</v>
      </c>
      <c r="AA36" t="s">
        <v>17</v>
      </c>
      <c r="AB36" t="s">
        <v>60</v>
      </c>
      <c r="AC36" t="s">
        <v>19</v>
      </c>
      <c r="AD36" t="s">
        <v>3583</v>
      </c>
      <c r="AE36" t="s">
        <v>3583</v>
      </c>
      <c r="AF36" t="s">
        <v>3584</v>
      </c>
      <c r="AG36" t="s">
        <v>3479</v>
      </c>
      <c r="AH36" t="s">
        <v>3475</v>
      </c>
      <c r="AI36">
        <v>699.09820000000002</v>
      </c>
      <c r="AJ36">
        <v>413.1463</v>
      </c>
      <c r="AK36">
        <v>285.95190000000002</v>
      </c>
      <c r="AL36">
        <v>0.409029661355157</v>
      </c>
    </row>
    <row r="37" spans="1:38">
      <c r="A37" s="1">
        <v>42341</v>
      </c>
      <c r="B37">
        <v>2015</v>
      </c>
      <c r="C37">
        <v>12</v>
      </c>
      <c r="D37" t="s">
        <v>8994</v>
      </c>
      <c r="E37" s="1">
        <v>37578</v>
      </c>
      <c r="F37" t="s">
        <v>5931</v>
      </c>
      <c r="G37">
        <v>352</v>
      </c>
      <c r="H37">
        <v>12385</v>
      </c>
      <c r="I37">
        <v>10</v>
      </c>
      <c r="J37">
        <v>1</v>
      </c>
      <c r="K37">
        <v>1</v>
      </c>
      <c r="L37">
        <v>1</v>
      </c>
      <c r="M37" t="s">
        <v>3535</v>
      </c>
      <c r="N37" t="s">
        <v>3536</v>
      </c>
      <c r="O37">
        <v>1117.8559</v>
      </c>
      <c r="P37">
        <v>2071.4196000000002</v>
      </c>
      <c r="Q37" t="s">
        <v>30</v>
      </c>
      <c r="R37" t="s">
        <v>1133</v>
      </c>
      <c r="S37" t="s">
        <v>155</v>
      </c>
      <c r="T37" t="s">
        <v>6922</v>
      </c>
      <c r="U37" s="1">
        <v>26750</v>
      </c>
      <c r="V37" t="s">
        <v>16</v>
      </c>
      <c r="W37" t="s">
        <v>29</v>
      </c>
      <c r="X37" t="s">
        <v>1134</v>
      </c>
      <c r="Y37">
        <v>40000</v>
      </c>
      <c r="Z37">
        <v>1</v>
      </c>
      <c r="AA37" t="s">
        <v>17</v>
      </c>
      <c r="AB37" t="s">
        <v>53</v>
      </c>
      <c r="AC37" t="s">
        <v>19</v>
      </c>
      <c r="AD37" t="s">
        <v>3588</v>
      </c>
      <c r="AE37" t="s">
        <v>3588</v>
      </c>
      <c r="AF37" t="s">
        <v>3584</v>
      </c>
      <c r="AG37" t="s">
        <v>3478</v>
      </c>
      <c r="AH37" t="s">
        <v>3475</v>
      </c>
      <c r="AI37">
        <v>2071.4196000000002</v>
      </c>
      <c r="AJ37">
        <v>1117.8559</v>
      </c>
      <c r="AK37">
        <v>953.56370000000004</v>
      </c>
      <c r="AL37">
        <v>0.460343090313522</v>
      </c>
    </row>
    <row r="38" spans="1:38">
      <c r="A38" s="1">
        <v>42342</v>
      </c>
      <c r="B38">
        <v>2015</v>
      </c>
      <c r="C38">
        <v>12</v>
      </c>
      <c r="D38" t="s">
        <v>8994</v>
      </c>
      <c r="E38" s="1">
        <v>37567</v>
      </c>
      <c r="F38" t="s">
        <v>5934</v>
      </c>
      <c r="G38">
        <v>324</v>
      </c>
      <c r="H38">
        <v>15466</v>
      </c>
      <c r="I38">
        <v>4</v>
      </c>
      <c r="J38">
        <v>1</v>
      </c>
      <c r="K38">
        <v>1</v>
      </c>
      <c r="L38">
        <v>2</v>
      </c>
      <c r="M38" t="s">
        <v>3499</v>
      </c>
      <c r="N38" t="s">
        <v>3500</v>
      </c>
      <c r="O38">
        <v>413.1463</v>
      </c>
      <c r="P38">
        <v>699.09820000000002</v>
      </c>
      <c r="Q38" t="s">
        <v>13</v>
      </c>
      <c r="R38" t="s">
        <v>435</v>
      </c>
      <c r="S38" t="s">
        <v>187</v>
      </c>
      <c r="T38" t="s">
        <v>7507</v>
      </c>
      <c r="U38" s="1">
        <v>25576</v>
      </c>
      <c r="V38" t="s">
        <v>16</v>
      </c>
      <c r="W38" t="s">
        <v>16</v>
      </c>
      <c r="X38" t="s">
        <v>1984</v>
      </c>
      <c r="Y38">
        <v>50000</v>
      </c>
      <c r="Z38">
        <v>1</v>
      </c>
      <c r="AA38" t="s">
        <v>17</v>
      </c>
      <c r="AB38" t="s">
        <v>53</v>
      </c>
      <c r="AC38" t="s">
        <v>19</v>
      </c>
      <c r="AD38" t="s">
        <v>3580</v>
      </c>
      <c r="AE38" t="s">
        <v>3578</v>
      </c>
      <c r="AF38" t="s">
        <v>3579</v>
      </c>
      <c r="AG38" t="s">
        <v>3479</v>
      </c>
      <c r="AH38" t="s">
        <v>3475</v>
      </c>
      <c r="AI38">
        <v>699.09820000000002</v>
      </c>
      <c r="AJ38">
        <v>413.1463</v>
      </c>
      <c r="AK38">
        <v>285.95190000000002</v>
      </c>
      <c r="AL38">
        <v>0.409029661355157</v>
      </c>
    </row>
    <row r="39" spans="1:38">
      <c r="A39" s="1">
        <v>42342</v>
      </c>
      <c r="B39">
        <v>2015</v>
      </c>
      <c r="C39">
        <v>12</v>
      </c>
      <c r="D39" t="s">
        <v>8994</v>
      </c>
      <c r="E39" s="1">
        <v>37499</v>
      </c>
      <c r="F39" t="s">
        <v>5935</v>
      </c>
      <c r="G39">
        <v>362</v>
      </c>
      <c r="H39">
        <v>13117</v>
      </c>
      <c r="I39">
        <v>9</v>
      </c>
      <c r="J39">
        <v>1</v>
      </c>
      <c r="K39">
        <v>1</v>
      </c>
      <c r="L39">
        <v>1</v>
      </c>
      <c r="M39" t="s">
        <v>3545</v>
      </c>
      <c r="N39" t="s">
        <v>3546</v>
      </c>
      <c r="O39">
        <v>1105.81</v>
      </c>
      <c r="P39">
        <v>2049.0981999999999</v>
      </c>
      <c r="Q39" t="s">
        <v>26</v>
      </c>
      <c r="R39" t="s">
        <v>1300</v>
      </c>
      <c r="S39" t="s">
        <v>293</v>
      </c>
      <c r="T39" t="s">
        <v>7108</v>
      </c>
      <c r="U39" s="1">
        <v>24118</v>
      </c>
      <c r="V39" t="s">
        <v>22</v>
      </c>
      <c r="W39" t="s">
        <v>29</v>
      </c>
      <c r="X39" t="s">
        <v>1421</v>
      </c>
      <c r="Y39">
        <v>110000</v>
      </c>
      <c r="Z39">
        <v>0</v>
      </c>
      <c r="AA39" t="s">
        <v>135</v>
      </c>
      <c r="AB39" t="s">
        <v>45</v>
      </c>
      <c r="AC39" t="s">
        <v>23</v>
      </c>
      <c r="AD39" t="s">
        <v>3586</v>
      </c>
      <c r="AE39" t="s">
        <v>3586</v>
      </c>
      <c r="AF39" t="s">
        <v>3587</v>
      </c>
      <c r="AG39" t="s">
        <v>3478</v>
      </c>
      <c r="AH39" t="s">
        <v>3475</v>
      </c>
      <c r="AI39">
        <v>2049.0981999999999</v>
      </c>
      <c r="AJ39">
        <v>1105.81</v>
      </c>
      <c r="AK39">
        <v>943.28819999999996</v>
      </c>
      <c r="AL39">
        <v>0.46034309141455498</v>
      </c>
    </row>
    <row r="40" spans="1:38">
      <c r="A40" s="1">
        <v>42342</v>
      </c>
      <c r="B40">
        <v>2015</v>
      </c>
      <c r="C40">
        <v>12</v>
      </c>
      <c r="D40" t="s">
        <v>8994</v>
      </c>
      <c r="E40" s="1">
        <v>37566</v>
      </c>
      <c r="F40" t="s">
        <v>5936</v>
      </c>
      <c r="G40">
        <v>389</v>
      </c>
      <c r="H40">
        <v>14267</v>
      </c>
      <c r="I40">
        <v>1</v>
      </c>
      <c r="J40">
        <v>1</v>
      </c>
      <c r="K40">
        <v>1</v>
      </c>
      <c r="L40">
        <v>2</v>
      </c>
      <c r="M40" t="s">
        <v>3571</v>
      </c>
      <c r="N40" t="s">
        <v>3572</v>
      </c>
      <c r="O40">
        <v>605.64919999999995</v>
      </c>
      <c r="P40">
        <v>1000.4375</v>
      </c>
      <c r="Q40" t="s">
        <v>26</v>
      </c>
      <c r="R40" t="s">
        <v>43</v>
      </c>
      <c r="S40" t="s">
        <v>283</v>
      </c>
      <c r="T40" t="s">
        <v>7238</v>
      </c>
      <c r="U40" s="1">
        <v>27650</v>
      </c>
      <c r="V40" t="s">
        <v>22</v>
      </c>
      <c r="W40" t="s">
        <v>29</v>
      </c>
      <c r="X40" t="s">
        <v>1706</v>
      </c>
      <c r="Y40">
        <v>30000</v>
      </c>
      <c r="Z40">
        <v>0</v>
      </c>
      <c r="AA40" t="s">
        <v>52</v>
      </c>
      <c r="AB40" t="s">
        <v>53</v>
      </c>
      <c r="AC40" t="s">
        <v>23</v>
      </c>
      <c r="AD40" t="s">
        <v>3577</v>
      </c>
      <c r="AE40" t="s">
        <v>3578</v>
      </c>
      <c r="AF40" t="s">
        <v>3579</v>
      </c>
      <c r="AG40" t="s">
        <v>3479</v>
      </c>
      <c r="AH40" t="s">
        <v>3475</v>
      </c>
      <c r="AI40">
        <v>1000.4375</v>
      </c>
      <c r="AJ40">
        <v>605.64919999999995</v>
      </c>
      <c r="AK40">
        <v>394.78829999999999</v>
      </c>
      <c r="AL40">
        <v>0.39461565565065299</v>
      </c>
    </row>
    <row r="41" spans="1:38">
      <c r="A41" s="1">
        <v>42343</v>
      </c>
      <c r="B41">
        <v>2015</v>
      </c>
      <c r="C41">
        <v>12</v>
      </c>
      <c r="D41" t="s">
        <v>8994</v>
      </c>
      <c r="E41" s="1">
        <v>37528</v>
      </c>
      <c r="F41" t="s">
        <v>5949</v>
      </c>
      <c r="G41">
        <v>352</v>
      </c>
      <c r="H41">
        <v>12232</v>
      </c>
      <c r="I41">
        <v>8</v>
      </c>
      <c r="J41">
        <v>1</v>
      </c>
      <c r="K41">
        <v>1</v>
      </c>
      <c r="L41">
        <v>1</v>
      </c>
      <c r="M41" t="s">
        <v>3535</v>
      </c>
      <c r="N41" t="s">
        <v>3536</v>
      </c>
      <c r="O41">
        <v>1117.8559</v>
      </c>
      <c r="P41">
        <v>2071.4196000000002</v>
      </c>
      <c r="Q41" t="s">
        <v>13</v>
      </c>
      <c r="R41" t="s">
        <v>419</v>
      </c>
      <c r="S41" t="s">
        <v>101</v>
      </c>
      <c r="T41" t="s">
        <v>6829</v>
      </c>
      <c r="U41" s="1">
        <v>20193</v>
      </c>
      <c r="V41" t="s">
        <v>22</v>
      </c>
      <c r="W41" t="s">
        <v>16</v>
      </c>
      <c r="X41" t="s">
        <v>1042</v>
      </c>
      <c r="Y41">
        <v>10000</v>
      </c>
      <c r="Z41">
        <v>2</v>
      </c>
      <c r="AA41" t="s">
        <v>52</v>
      </c>
      <c r="AB41" t="s">
        <v>444</v>
      </c>
      <c r="AC41" t="s">
        <v>19</v>
      </c>
      <c r="AD41" t="s">
        <v>3585</v>
      </c>
      <c r="AE41" t="s">
        <v>3585</v>
      </c>
      <c r="AF41" t="s">
        <v>3584</v>
      </c>
      <c r="AG41" t="s">
        <v>3478</v>
      </c>
      <c r="AH41" t="s">
        <v>3475</v>
      </c>
      <c r="AI41">
        <v>2071.4196000000002</v>
      </c>
      <c r="AJ41">
        <v>1117.8559</v>
      </c>
      <c r="AK41">
        <v>953.56370000000004</v>
      </c>
      <c r="AL41">
        <v>0.460343090313522</v>
      </c>
    </row>
    <row r="42" spans="1:38">
      <c r="A42" s="1">
        <v>42343</v>
      </c>
      <c r="B42">
        <v>2015</v>
      </c>
      <c r="C42">
        <v>12</v>
      </c>
      <c r="D42" t="s">
        <v>8994</v>
      </c>
      <c r="E42" s="1">
        <v>37519</v>
      </c>
      <c r="F42" t="s">
        <v>5937</v>
      </c>
      <c r="G42">
        <v>362</v>
      </c>
      <c r="H42">
        <v>26618</v>
      </c>
      <c r="I42">
        <v>4</v>
      </c>
      <c r="J42">
        <v>1</v>
      </c>
      <c r="K42">
        <v>1</v>
      </c>
      <c r="L42">
        <v>1</v>
      </c>
      <c r="M42" t="s">
        <v>3545</v>
      </c>
      <c r="N42" t="s">
        <v>3546</v>
      </c>
      <c r="O42">
        <v>1105.81</v>
      </c>
      <c r="P42">
        <v>2049.0981999999999</v>
      </c>
      <c r="Q42" t="s">
        <v>30</v>
      </c>
      <c r="R42" t="s">
        <v>106</v>
      </c>
      <c r="S42" t="s">
        <v>311</v>
      </c>
      <c r="T42" t="s">
        <v>8758</v>
      </c>
      <c r="U42" s="1">
        <v>21964</v>
      </c>
      <c r="V42" t="s">
        <v>16</v>
      </c>
      <c r="W42" t="s">
        <v>29</v>
      </c>
      <c r="X42" t="s">
        <v>3268</v>
      </c>
      <c r="Y42">
        <v>60000</v>
      </c>
      <c r="Z42">
        <v>1</v>
      </c>
      <c r="AA42" t="s">
        <v>52</v>
      </c>
      <c r="AB42" t="s">
        <v>53</v>
      </c>
      <c r="AC42" t="s">
        <v>19</v>
      </c>
      <c r="AD42" t="s">
        <v>3580</v>
      </c>
      <c r="AE42" t="s">
        <v>3578</v>
      </c>
      <c r="AF42" t="s">
        <v>3579</v>
      </c>
      <c r="AG42" t="s">
        <v>3478</v>
      </c>
      <c r="AH42" t="s">
        <v>3475</v>
      </c>
      <c r="AI42">
        <v>2049.0981999999999</v>
      </c>
      <c r="AJ42">
        <v>1105.81</v>
      </c>
      <c r="AK42">
        <v>943.28819999999996</v>
      </c>
      <c r="AL42">
        <v>0.46034309141455498</v>
      </c>
    </row>
    <row r="43" spans="1:38">
      <c r="A43" s="1">
        <v>42343</v>
      </c>
      <c r="B43">
        <v>2015</v>
      </c>
      <c r="C43">
        <v>12</v>
      </c>
      <c r="D43" t="s">
        <v>8994</v>
      </c>
      <c r="E43" s="1">
        <v>37528</v>
      </c>
      <c r="F43" t="s">
        <v>5944</v>
      </c>
      <c r="G43">
        <v>342</v>
      </c>
      <c r="H43">
        <v>15411</v>
      </c>
      <c r="I43">
        <v>4</v>
      </c>
      <c r="J43">
        <v>1</v>
      </c>
      <c r="K43">
        <v>1</v>
      </c>
      <c r="L43">
        <v>2</v>
      </c>
      <c r="M43" t="s">
        <v>3517</v>
      </c>
      <c r="N43" t="s">
        <v>3518</v>
      </c>
      <c r="O43">
        <v>413.1463</v>
      </c>
      <c r="P43">
        <v>699.09820000000002</v>
      </c>
      <c r="Q43" t="s">
        <v>13</v>
      </c>
      <c r="R43" t="s">
        <v>556</v>
      </c>
      <c r="S43" t="s">
        <v>570</v>
      </c>
      <c r="T43" t="s">
        <v>7492</v>
      </c>
      <c r="U43" s="1">
        <v>13826</v>
      </c>
      <c r="V43" t="s">
        <v>22</v>
      </c>
      <c r="W43" t="s">
        <v>16</v>
      </c>
      <c r="X43" t="s">
        <v>1969</v>
      </c>
      <c r="Y43">
        <v>70000</v>
      </c>
      <c r="Z43">
        <v>4</v>
      </c>
      <c r="AA43" t="s">
        <v>135</v>
      </c>
      <c r="AB43" t="s">
        <v>45</v>
      </c>
      <c r="AC43" t="s">
        <v>19</v>
      </c>
      <c r="AD43" t="s">
        <v>3580</v>
      </c>
      <c r="AE43" t="s">
        <v>3578</v>
      </c>
      <c r="AF43" t="s">
        <v>3579</v>
      </c>
      <c r="AG43" t="s">
        <v>3479</v>
      </c>
      <c r="AH43" t="s">
        <v>3475</v>
      </c>
      <c r="AI43">
        <v>699.09820000000002</v>
      </c>
      <c r="AJ43">
        <v>413.1463</v>
      </c>
      <c r="AK43">
        <v>285.95190000000002</v>
      </c>
      <c r="AL43">
        <v>0.409029661355157</v>
      </c>
    </row>
    <row r="44" spans="1:38">
      <c r="A44" s="1">
        <v>42343</v>
      </c>
      <c r="B44">
        <v>2015</v>
      </c>
      <c r="C44">
        <v>12</v>
      </c>
      <c r="D44" t="s">
        <v>8994</v>
      </c>
      <c r="E44" s="1">
        <v>37524</v>
      </c>
      <c r="F44" t="s">
        <v>5948</v>
      </c>
      <c r="G44">
        <v>362</v>
      </c>
      <c r="H44">
        <v>26645</v>
      </c>
      <c r="I44">
        <v>4</v>
      </c>
      <c r="J44">
        <v>1</v>
      </c>
      <c r="K44">
        <v>1</v>
      </c>
      <c r="L44">
        <v>1</v>
      </c>
      <c r="M44" t="s">
        <v>3545</v>
      </c>
      <c r="N44" t="s">
        <v>3546</v>
      </c>
      <c r="O44">
        <v>1105.81</v>
      </c>
      <c r="P44">
        <v>2049.0981999999999</v>
      </c>
      <c r="Q44" t="s">
        <v>30</v>
      </c>
      <c r="R44" t="s">
        <v>252</v>
      </c>
      <c r="S44" t="s">
        <v>245</v>
      </c>
      <c r="T44" t="s">
        <v>8775</v>
      </c>
      <c r="U44" s="1">
        <v>21419</v>
      </c>
      <c r="V44" t="s">
        <v>22</v>
      </c>
      <c r="W44" t="s">
        <v>29</v>
      </c>
      <c r="X44" t="s">
        <v>3285</v>
      </c>
      <c r="Y44">
        <v>60000</v>
      </c>
      <c r="Z44">
        <v>1</v>
      </c>
      <c r="AA44" t="s">
        <v>17</v>
      </c>
      <c r="AB44" t="s">
        <v>18</v>
      </c>
      <c r="AC44" t="s">
        <v>19</v>
      </c>
      <c r="AD44" t="s">
        <v>3580</v>
      </c>
      <c r="AE44" t="s">
        <v>3578</v>
      </c>
      <c r="AF44" t="s">
        <v>3579</v>
      </c>
      <c r="AG44" t="s">
        <v>3478</v>
      </c>
      <c r="AH44" t="s">
        <v>3475</v>
      </c>
      <c r="AI44">
        <v>2049.0981999999999</v>
      </c>
      <c r="AJ44">
        <v>1105.81</v>
      </c>
      <c r="AK44">
        <v>943.28819999999996</v>
      </c>
      <c r="AL44">
        <v>0.46034309141455498</v>
      </c>
    </row>
    <row r="45" spans="1:38">
      <c r="A45" s="1">
        <v>42343</v>
      </c>
      <c r="B45">
        <v>2015</v>
      </c>
      <c r="C45">
        <v>12</v>
      </c>
      <c r="D45" t="s">
        <v>8994</v>
      </c>
      <c r="E45" s="1">
        <v>37548</v>
      </c>
      <c r="F45" t="s">
        <v>5940</v>
      </c>
      <c r="G45">
        <v>326</v>
      </c>
      <c r="H45">
        <v>15471</v>
      </c>
      <c r="I45">
        <v>4</v>
      </c>
      <c r="J45">
        <v>1</v>
      </c>
      <c r="K45">
        <v>1</v>
      </c>
      <c r="L45">
        <v>2</v>
      </c>
      <c r="M45" t="s">
        <v>3501</v>
      </c>
      <c r="N45" t="s">
        <v>3502</v>
      </c>
      <c r="O45">
        <v>413.1463</v>
      </c>
      <c r="P45">
        <v>699.09820000000002</v>
      </c>
      <c r="Q45" t="s">
        <v>30</v>
      </c>
      <c r="R45" t="s">
        <v>65</v>
      </c>
      <c r="S45" t="s">
        <v>688</v>
      </c>
      <c r="T45" t="s">
        <v>7509</v>
      </c>
      <c r="U45" s="1">
        <v>25270</v>
      </c>
      <c r="V45" t="s">
        <v>22</v>
      </c>
      <c r="W45" t="s">
        <v>29</v>
      </c>
      <c r="X45" t="s">
        <v>1986</v>
      </c>
      <c r="Y45">
        <v>50000</v>
      </c>
      <c r="Z45">
        <v>2</v>
      </c>
      <c r="AA45" t="s">
        <v>17</v>
      </c>
      <c r="AB45" t="s">
        <v>53</v>
      </c>
      <c r="AC45" t="s">
        <v>19</v>
      </c>
      <c r="AD45" t="s">
        <v>3580</v>
      </c>
      <c r="AE45" t="s">
        <v>3578</v>
      </c>
      <c r="AF45" t="s">
        <v>3579</v>
      </c>
      <c r="AG45" t="s">
        <v>3479</v>
      </c>
      <c r="AH45" t="s">
        <v>3475</v>
      </c>
      <c r="AI45">
        <v>699.09820000000002</v>
      </c>
      <c r="AJ45">
        <v>413.1463</v>
      </c>
      <c r="AK45">
        <v>285.95190000000002</v>
      </c>
      <c r="AL45">
        <v>0.409029661355157</v>
      </c>
    </row>
    <row r="46" spans="1:38">
      <c r="A46" s="1">
        <v>42343</v>
      </c>
      <c r="B46">
        <v>2015</v>
      </c>
      <c r="C46">
        <v>12</v>
      </c>
      <c r="D46" t="s">
        <v>8994</v>
      </c>
      <c r="E46" s="1">
        <v>37579</v>
      </c>
      <c r="F46" t="s">
        <v>5943</v>
      </c>
      <c r="G46">
        <v>338</v>
      </c>
      <c r="H46">
        <v>27265</v>
      </c>
      <c r="I46">
        <v>6</v>
      </c>
      <c r="J46">
        <v>1</v>
      </c>
      <c r="K46">
        <v>1</v>
      </c>
      <c r="L46">
        <v>2</v>
      </c>
      <c r="M46" t="s">
        <v>3513</v>
      </c>
      <c r="N46" t="s">
        <v>3514</v>
      </c>
      <c r="O46">
        <v>413.1463</v>
      </c>
      <c r="P46">
        <v>699.09820000000002</v>
      </c>
      <c r="Q46" t="s">
        <v>30</v>
      </c>
      <c r="R46" t="s">
        <v>588</v>
      </c>
      <c r="S46" t="s">
        <v>299</v>
      </c>
      <c r="T46" t="s">
        <v>8804</v>
      </c>
      <c r="U46" s="1">
        <v>25454</v>
      </c>
      <c r="V46" t="s">
        <v>22</v>
      </c>
      <c r="W46" t="s">
        <v>29</v>
      </c>
      <c r="X46" t="s">
        <v>3314</v>
      </c>
      <c r="Y46">
        <v>60000</v>
      </c>
      <c r="Z46">
        <v>2</v>
      </c>
      <c r="AA46" t="s">
        <v>17</v>
      </c>
      <c r="AB46" t="s">
        <v>53</v>
      </c>
      <c r="AC46" t="s">
        <v>23</v>
      </c>
      <c r="AD46" t="s">
        <v>3582</v>
      </c>
      <c r="AE46" t="s">
        <v>3582</v>
      </c>
      <c r="AF46" t="s">
        <v>3579</v>
      </c>
      <c r="AG46" t="s">
        <v>3479</v>
      </c>
      <c r="AH46" t="s">
        <v>3475</v>
      </c>
      <c r="AI46">
        <v>699.09820000000002</v>
      </c>
      <c r="AJ46">
        <v>413.1463</v>
      </c>
      <c r="AK46">
        <v>285.95190000000002</v>
      </c>
      <c r="AL46">
        <v>0.409029661355157</v>
      </c>
    </row>
    <row r="47" spans="1:38">
      <c r="A47" s="1">
        <v>42343</v>
      </c>
      <c r="B47">
        <v>2015</v>
      </c>
      <c r="C47">
        <v>12</v>
      </c>
      <c r="D47" t="s">
        <v>8994</v>
      </c>
      <c r="E47" s="1">
        <v>37568</v>
      </c>
      <c r="F47" t="s">
        <v>5938</v>
      </c>
      <c r="G47">
        <v>370</v>
      </c>
      <c r="H47">
        <v>22907</v>
      </c>
      <c r="I47">
        <v>9</v>
      </c>
      <c r="J47">
        <v>1</v>
      </c>
      <c r="K47">
        <v>1</v>
      </c>
      <c r="L47">
        <v>2</v>
      </c>
      <c r="M47" t="s">
        <v>3551</v>
      </c>
      <c r="N47" t="s">
        <v>3552</v>
      </c>
      <c r="O47">
        <v>1518.7864</v>
      </c>
      <c r="P47">
        <v>2443.35</v>
      </c>
      <c r="Q47" t="s">
        <v>13</v>
      </c>
      <c r="R47" t="s">
        <v>1180</v>
      </c>
      <c r="S47" t="s">
        <v>79</v>
      </c>
      <c r="T47" t="s">
        <v>8313</v>
      </c>
      <c r="U47" s="1">
        <v>24890</v>
      </c>
      <c r="V47" t="s">
        <v>16</v>
      </c>
      <c r="W47" t="s">
        <v>16</v>
      </c>
      <c r="X47" t="s">
        <v>2812</v>
      </c>
      <c r="Y47">
        <v>60000</v>
      </c>
      <c r="Z47">
        <v>2</v>
      </c>
      <c r="AA47" t="s">
        <v>17</v>
      </c>
      <c r="AB47" t="s">
        <v>18</v>
      </c>
      <c r="AC47" t="s">
        <v>19</v>
      </c>
      <c r="AD47" t="s">
        <v>3586</v>
      </c>
      <c r="AE47" t="s">
        <v>3586</v>
      </c>
      <c r="AF47" t="s">
        <v>3587</v>
      </c>
      <c r="AG47" t="s">
        <v>3479</v>
      </c>
      <c r="AH47" t="s">
        <v>3475</v>
      </c>
      <c r="AI47">
        <v>2443.35</v>
      </c>
      <c r="AJ47">
        <v>1518.7864</v>
      </c>
      <c r="AK47">
        <v>924.56359999999995</v>
      </c>
      <c r="AL47">
        <v>0.37839998362903399</v>
      </c>
    </row>
    <row r="48" spans="1:38">
      <c r="A48" s="1">
        <v>42343</v>
      </c>
      <c r="B48">
        <v>2015</v>
      </c>
      <c r="C48">
        <v>12</v>
      </c>
      <c r="D48" t="s">
        <v>8994</v>
      </c>
      <c r="E48" s="1">
        <v>37527</v>
      </c>
      <c r="F48" t="s">
        <v>5942</v>
      </c>
      <c r="G48">
        <v>336</v>
      </c>
      <c r="H48">
        <v>19309</v>
      </c>
      <c r="I48">
        <v>7</v>
      </c>
      <c r="J48">
        <v>1</v>
      </c>
      <c r="K48">
        <v>1</v>
      </c>
      <c r="L48">
        <v>2</v>
      </c>
      <c r="M48" t="s">
        <v>3511</v>
      </c>
      <c r="N48" t="s">
        <v>3512</v>
      </c>
      <c r="O48">
        <v>413.1463</v>
      </c>
      <c r="P48">
        <v>699.09820000000002</v>
      </c>
      <c r="Q48" t="s">
        <v>13</v>
      </c>
      <c r="R48" t="s">
        <v>448</v>
      </c>
      <c r="S48" t="s">
        <v>40</v>
      </c>
      <c r="T48" t="s">
        <v>7805</v>
      </c>
      <c r="U48" s="1">
        <v>25164</v>
      </c>
      <c r="V48" t="s">
        <v>16</v>
      </c>
      <c r="W48" t="s">
        <v>16</v>
      </c>
      <c r="X48" t="s">
        <v>2292</v>
      </c>
      <c r="Y48">
        <v>30000</v>
      </c>
      <c r="Z48">
        <v>1</v>
      </c>
      <c r="AA48" t="s">
        <v>17</v>
      </c>
      <c r="AB48" t="s">
        <v>60</v>
      </c>
      <c r="AC48" t="s">
        <v>19</v>
      </c>
      <c r="AD48" t="s">
        <v>3583</v>
      </c>
      <c r="AE48" t="s">
        <v>3583</v>
      </c>
      <c r="AF48" t="s">
        <v>3584</v>
      </c>
      <c r="AG48" t="s">
        <v>3479</v>
      </c>
      <c r="AH48" t="s">
        <v>3475</v>
      </c>
      <c r="AI48">
        <v>699.09820000000002</v>
      </c>
      <c r="AJ48">
        <v>413.1463</v>
      </c>
      <c r="AK48">
        <v>285.95190000000002</v>
      </c>
      <c r="AL48">
        <v>0.409029661355157</v>
      </c>
    </row>
    <row r="49" spans="1:38">
      <c r="A49" s="1">
        <v>42343</v>
      </c>
      <c r="B49">
        <v>2015</v>
      </c>
      <c r="C49">
        <v>12</v>
      </c>
      <c r="D49" t="s">
        <v>8994</v>
      </c>
      <c r="E49" s="1">
        <v>37509</v>
      </c>
      <c r="F49" t="s">
        <v>5945</v>
      </c>
      <c r="G49">
        <v>389</v>
      </c>
      <c r="H49">
        <v>26503</v>
      </c>
      <c r="I49">
        <v>6</v>
      </c>
      <c r="J49">
        <v>1</v>
      </c>
      <c r="K49">
        <v>1</v>
      </c>
      <c r="L49">
        <v>2</v>
      </c>
      <c r="M49" t="s">
        <v>3571</v>
      </c>
      <c r="N49" t="s">
        <v>3572</v>
      </c>
      <c r="O49">
        <v>605.64919999999995</v>
      </c>
      <c r="P49">
        <v>1000.4375</v>
      </c>
      <c r="Q49" t="s">
        <v>13</v>
      </c>
      <c r="R49" t="s">
        <v>692</v>
      </c>
      <c r="S49" t="s">
        <v>248</v>
      </c>
      <c r="T49" t="s">
        <v>8707</v>
      </c>
      <c r="U49" s="1">
        <v>17932</v>
      </c>
      <c r="V49" t="s">
        <v>16</v>
      </c>
      <c r="W49" t="s">
        <v>16</v>
      </c>
      <c r="X49" t="s">
        <v>3217</v>
      </c>
      <c r="Y49">
        <v>40000</v>
      </c>
      <c r="Z49">
        <v>2</v>
      </c>
      <c r="AA49" t="s">
        <v>77</v>
      </c>
      <c r="AB49" t="s">
        <v>53</v>
      </c>
      <c r="AC49" t="s">
        <v>19</v>
      </c>
      <c r="AD49" t="s">
        <v>3582</v>
      </c>
      <c r="AE49" t="s">
        <v>3582</v>
      </c>
      <c r="AF49" t="s">
        <v>3579</v>
      </c>
      <c r="AG49" t="s">
        <v>3479</v>
      </c>
      <c r="AH49" t="s">
        <v>3475</v>
      </c>
      <c r="AI49">
        <v>1000.4375</v>
      </c>
      <c r="AJ49">
        <v>605.64919999999995</v>
      </c>
      <c r="AK49">
        <v>394.78829999999999</v>
      </c>
      <c r="AL49">
        <v>0.39461565565065299</v>
      </c>
    </row>
    <row r="50" spans="1:38">
      <c r="A50" s="1">
        <v>42343</v>
      </c>
      <c r="B50">
        <v>2015</v>
      </c>
      <c r="C50">
        <v>12</v>
      </c>
      <c r="D50" t="s">
        <v>8994</v>
      </c>
      <c r="E50" s="1">
        <v>37490</v>
      </c>
      <c r="F50" t="s">
        <v>5947</v>
      </c>
      <c r="G50">
        <v>358</v>
      </c>
      <c r="H50">
        <v>13107</v>
      </c>
      <c r="I50">
        <v>9</v>
      </c>
      <c r="J50">
        <v>1</v>
      </c>
      <c r="K50">
        <v>1</v>
      </c>
      <c r="L50">
        <v>1</v>
      </c>
      <c r="M50" t="s">
        <v>3541</v>
      </c>
      <c r="N50" t="s">
        <v>3542</v>
      </c>
      <c r="O50">
        <v>1105.81</v>
      </c>
      <c r="P50">
        <v>2049.0981999999999</v>
      </c>
      <c r="Q50" t="s">
        <v>30</v>
      </c>
      <c r="R50" t="s">
        <v>771</v>
      </c>
      <c r="S50" t="s">
        <v>203</v>
      </c>
      <c r="T50" t="s">
        <v>7099</v>
      </c>
      <c r="U50" s="1">
        <v>22838</v>
      </c>
      <c r="V50" t="s">
        <v>16</v>
      </c>
      <c r="W50" t="s">
        <v>29</v>
      </c>
      <c r="X50" t="s">
        <v>1413</v>
      </c>
      <c r="Y50">
        <v>60000</v>
      </c>
      <c r="Z50">
        <v>1</v>
      </c>
      <c r="AA50" t="s">
        <v>17</v>
      </c>
      <c r="AB50" t="s">
        <v>18</v>
      </c>
      <c r="AC50" t="s">
        <v>19</v>
      </c>
      <c r="AD50" t="s">
        <v>3586</v>
      </c>
      <c r="AE50" t="s">
        <v>3586</v>
      </c>
      <c r="AF50" t="s">
        <v>3587</v>
      </c>
      <c r="AG50" t="s">
        <v>3478</v>
      </c>
      <c r="AH50" t="s">
        <v>3475</v>
      </c>
      <c r="AI50">
        <v>2049.0981999999999</v>
      </c>
      <c r="AJ50">
        <v>1105.81</v>
      </c>
      <c r="AK50">
        <v>943.28819999999996</v>
      </c>
      <c r="AL50">
        <v>0.46034309141455498</v>
      </c>
    </row>
    <row r="51" spans="1:38">
      <c r="A51" s="1">
        <v>42343</v>
      </c>
      <c r="B51">
        <v>2015</v>
      </c>
      <c r="C51">
        <v>12</v>
      </c>
      <c r="D51" t="s">
        <v>8994</v>
      </c>
      <c r="E51" s="1">
        <v>37520</v>
      </c>
      <c r="F51" t="s">
        <v>5946</v>
      </c>
      <c r="G51">
        <v>375</v>
      </c>
      <c r="H51">
        <v>22987</v>
      </c>
      <c r="I51">
        <v>9</v>
      </c>
      <c r="J51">
        <v>1</v>
      </c>
      <c r="K51">
        <v>1</v>
      </c>
      <c r="L51">
        <v>2</v>
      </c>
      <c r="M51" t="s">
        <v>3557</v>
      </c>
      <c r="N51" t="s">
        <v>3558</v>
      </c>
      <c r="O51">
        <v>1320.6838</v>
      </c>
      <c r="P51">
        <v>2181.5625</v>
      </c>
      <c r="Q51" t="s">
        <v>13</v>
      </c>
      <c r="R51" t="s">
        <v>447</v>
      </c>
      <c r="S51" t="s">
        <v>97</v>
      </c>
      <c r="T51" t="s">
        <v>8348</v>
      </c>
      <c r="U51" s="1">
        <v>14903</v>
      </c>
      <c r="V51" t="s">
        <v>16</v>
      </c>
      <c r="W51" t="s">
        <v>16</v>
      </c>
      <c r="X51" t="s">
        <v>2847</v>
      </c>
      <c r="Y51">
        <v>40000</v>
      </c>
      <c r="Z51">
        <v>2</v>
      </c>
      <c r="AA51" t="s">
        <v>17</v>
      </c>
      <c r="AB51" t="s">
        <v>45</v>
      </c>
      <c r="AC51" t="s">
        <v>19</v>
      </c>
      <c r="AD51" t="s">
        <v>3586</v>
      </c>
      <c r="AE51" t="s">
        <v>3586</v>
      </c>
      <c r="AF51" t="s">
        <v>3587</v>
      </c>
      <c r="AG51" t="s">
        <v>3479</v>
      </c>
      <c r="AH51" t="s">
        <v>3475</v>
      </c>
      <c r="AI51">
        <v>2181.5625</v>
      </c>
      <c r="AJ51">
        <v>1320.6838</v>
      </c>
      <c r="AK51">
        <v>860.87869999999998</v>
      </c>
      <c r="AL51">
        <v>0.39461564818793898</v>
      </c>
    </row>
    <row r="52" spans="1:38">
      <c r="A52" s="1">
        <v>42343</v>
      </c>
      <c r="B52">
        <v>2015</v>
      </c>
      <c r="C52">
        <v>12</v>
      </c>
      <c r="D52" t="s">
        <v>8994</v>
      </c>
      <c r="E52" s="1">
        <v>37563</v>
      </c>
      <c r="F52" t="s">
        <v>5941</v>
      </c>
      <c r="G52">
        <v>389</v>
      </c>
      <c r="H52">
        <v>17651</v>
      </c>
      <c r="I52">
        <v>7</v>
      </c>
      <c r="J52">
        <v>1</v>
      </c>
      <c r="K52">
        <v>1</v>
      </c>
      <c r="L52">
        <v>2</v>
      </c>
      <c r="M52" t="s">
        <v>3571</v>
      </c>
      <c r="N52" t="s">
        <v>3572</v>
      </c>
      <c r="O52">
        <v>605.64919999999995</v>
      </c>
      <c r="P52">
        <v>1000.4375</v>
      </c>
      <c r="Q52" t="s">
        <v>13</v>
      </c>
      <c r="R52" t="s">
        <v>67</v>
      </c>
      <c r="S52" t="s">
        <v>148</v>
      </c>
      <c r="T52" t="s">
        <v>7684</v>
      </c>
      <c r="U52" s="1">
        <v>25624</v>
      </c>
      <c r="V52" t="s">
        <v>22</v>
      </c>
      <c r="W52" t="s">
        <v>16</v>
      </c>
      <c r="X52" t="s">
        <v>2171</v>
      </c>
      <c r="Y52">
        <v>40000</v>
      </c>
      <c r="Z52">
        <v>2</v>
      </c>
      <c r="AA52" t="s">
        <v>52</v>
      </c>
      <c r="AB52" t="s">
        <v>60</v>
      </c>
      <c r="AC52" t="s">
        <v>19</v>
      </c>
      <c r="AD52" t="s">
        <v>3583</v>
      </c>
      <c r="AE52" t="s">
        <v>3583</v>
      </c>
      <c r="AF52" t="s">
        <v>3584</v>
      </c>
      <c r="AG52" t="s">
        <v>3479</v>
      </c>
      <c r="AH52" t="s">
        <v>3475</v>
      </c>
      <c r="AI52">
        <v>1000.4375</v>
      </c>
      <c r="AJ52">
        <v>605.64919999999995</v>
      </c>
      <c r="AK52">
        <v>394.78829999999999</v>
      </c>
      <c r="AL52">
        <v>0.39461565565065299</v>
      </c>
    </row>
    <row r="53" spans="1:38">
      <c r="A53" s="1">
        <v>42343</v>
      </c>
      <c r="B53">
        <v>2015</v>
      </c>
      <c r="C53">
        <v>12</v>
      </c>
      <c r="D53" t="s">
        <v>8994</v>
      </c>
      <c r="E53" s="1">
        <v>37503</v>
      </c>
      <c r="F53" t="s">
        <v>5939</v>
      </c>
      <c r="G53">
        <v>377</v>
      </c>
      <c r="H53">
        <v>13735</v>
      </c>
      <c r="I53">
        <v>1</v>
      </c>
      <c r="J53">
        <v>1</v>
      </c>
      <c r="K53">
        <v>1</v>
      </c>
      <c r="L53">
        <v>2</v>
      </c>
      <c r="M53" t="s">
        <v>3559</v>
      </c>
      <c r="N53" t="s">
        <v>3560</v>
      </c>
      <c r="O53">
        <v>1320.6838</v>
      </c>
      <c r="P53">
        <v>2181.5625</v>
      </c>
      <c r="Q53" t="s">
        <v>13</v>
      </c>
      <c r="R53" t="s">
        <v>348</v>
      </c>
      <c r="S53" t="s">
        <v>929</v>
      </c>
      <c r="T53" t="s">
        <v>7160</v>
      </c>
      <c r="U53" s="1">
        <v>20582</v>
      </c>
      <c r="V53" t="s">
        <v>16</v>
      </c>
      <c r="W53" t="s">
        <v>16</v>
      </c>
      <c r="X53" t="s">
        <v>1619</v>
      </c>
      <c r="Y53">
        <v>40000</v>
      </c>
      <c r="Z53">
        <v>1</v>
      </c>
      <c r="AA53" t="s">
        <v>52</v>
      </c>
      <c r="AB53" t="s">
        <v>60</v>
      </c>
      <c r="AC53" t="s">
        <v>19</v>
      </c>
      <c r="AD53" t="s">
        <v>3577</v>
      </c>
      <c r="AE53" t="s">
        <v>3578</v>
      </c>
      <c r="AF53" t="s">
        <v>3579</v>
      </c>
      <c r="AG53" t="s">
        <v>3479</v>
      </c>
      <c r="AH53" t="s">
        <v>3475</v>
      </c>
      <c r="AI53">
        <v>2181.5625</v>
      </c>
      <c r="AJ53">
        <v>1320.6838</v>
      </c>
      <c r="AK53">
        <v>860.87869999999998</v>
      </c>
      <c r="AL53">
        <v>0.39461564818793898</v>
      </c>
    </row>
    <row r="54" spans="1:38">
      <c r="A54" s="1">
        <v>42344</v>
      </c>
      <c r="B54">
        <v>2015</v>
      </c>
      <c r="C54">
        <v>12</v>
      </c>
      <c r="D54" t="s">
        <v>8994</v>
      </c>
      <c r="E54" s="1">
        <v>37580</v>
      </c>
      <c r="F54" t="s">
        <v>5953</v>
      </c>
      <c r="G54">
        <v>368</v>
      </c>
      <c r="H54">
        <v>14998</v>
      </c>
      <c r="I54">
        <v>7</v>
      </c>
      <c r="J54">
        <v>1</v>
      </c>
      <c r="K54">
        <v>1</v>
      </c>
      <c r="L54">
        <v>2</v>
      </c>
      <c r="M54" t="s">
        <v>3547</v>
      </c>
      <c r="N54" t="s">
        <v>3548</v>
      </c>
      <c r="O54">
        <v>1518.7864</v>
      </c>
      <c r="P54">
        <v>2443.35</v>
      </c>
      <c r="Q54" t="s">
        <v>13</v>
      </c>
      <c r="R54" t="s">
        <v>383</v>
      </c>
      <c r="S54" t="s">
        <v>293</v>
      </c>
      <c r="T54" t="s">
        <v>7375</v>
      </c>
      <c r="U54" s="1">
        <v>27135</v>
      </c>
      <c r="V54" t="s">
        <v>22</v>
      </c>
      <c r="W54" t="s">
        <v>16</v>
      </c>
      <c r="X54" t="s">
        <v>1851</v>
      </c>
      <c r="Y54">
        <v>20000</v>
      </c>
      <c r="Z54">
        <v>0</v>
      </c>
      <c r="AA54" t="s">
        <v>77</v>
      </c>
      <c r="AB54" t="s">
        <v>444</v>
      </c>
      <c r="AC54" t="s">
        <v>23</v>
      </c>
      <c r="AD54" t="s">
        <v>3583</v>
      </c>
      <c r="AE54" t="s">
        <v>3583</v>
      </c>
      <c r="AF54" t="s">
        <v>3584</v>
      </c>
      <c r="AG54" t="s">
        <v>3479</v>
      </c>
      <c r="AH54" t="s">
        <v>3475</v>
      </c>
      <c r="AI54">
        <v>2443.35</v>
      </c>
      <c r="AJ54">
        <v>1518.7864</v>
      </c>
      <c r="AK54">
        <v>924.56359999999995</v>
      </c>
      <c r="AL54">
        <v>0.37839998362903399</v>
      </c>
    </row>
    <row r="55" spans="1:38">
      <c r="A55" s="1">
        <v>42344</v>
      </c>
      <c r="B55">
        <v>2015</v>
      </c>
      <c r="C55">
        <v>12</v>
      </c>
      <c r="D55" t="s">
        <v>8994</v>
      </c>
      <c r="E55" s="1">
        <v>37571</v>
      </c>
      <c r="F55" t="s">
        <v>5954</v>
      </c>
      <c r="G55">
        <v>360</v>
      </c>
      <c r="H55">
        <v>20651</v>
      </c>
      <c r="I55">
        <v>6</v>
      </c>
      <c r="J55">
        <v>1</v>
      </c>
      <c r="K55">
        <v>1</v>
      </c>
      <c r="L55">
        <v>1</v>
      </c>
      <c r="M55" t="s">
        <v>3543</v>
      </c>
      <c r="N55" t="s">
        <v>3544</v>
      </c>
      <c r="O55">
        <v>1105.81</v>
      </c>
      <c r="P55">
        <v>2049.0981999999999</v>
      </c>
      <c r="Q55" t="s">
        <v>13</v>
      </c>
      <c r="R55" t="s">
        <v>757</v>
      </c>
      <c r="S55" t="s">
        <v>309</v>
      </c>
      <c r="T55" t="s">
        <v>8050</v>
      </c>
      <c r="U55" s="1">
        <v>25803</v>
      </c>
      <c r="V55" t="s">
        <v>16</v>
      </c>
      <c r="W55" t="s">
        <v>16</v>
      </c>
      <c r="X55" t="s">
        <v>2544</v>
      </c>
      <c r="Y55">
        <v>50000</v>
      </c>
      <c r="Z55">
        <v>1</v>
      </c>
      <c r="AA55" t="s">
        <v>17</v>
      </c>
      <c r="AB55" t="s">
        <v>53</v>
      </c>
      <c r="AC55" t="s">
        <v>19</v>
      </c>
      <c r="AD55" t="s">
        <v>3582</v>
      </c>
      <c r="AE55" t="s">
        <v>3582</v>
      </c>
      <c r="AF55" t="s">
        <v>3579</v>
      </c>
      <c r="AG55" t="s">
        <v>3478</v>
      </c>
      <c r="AH55" t="s">
        <v>3475</v>
      </c>
      <c r="AI55">
        <v>2049.0981999999999</v>
      </c>
      <c r="AJ55">
        <v>1105.81</v>
      </c>
      <c r="AK55">
        <v>943.28819999999996</v>
      </c>
      <c r="AL55">
        <v>0.46034309141455498</v>
      </c>
    </row>
    <row r="56" spans="1:38">
      <c r="A56" s="1">
        <v>42344</v>
      </c>
      <c r="B56">
        <v>2015</v>
      </c>
      <c r="C56">
        <v>12</v>
      </c>
      <c r="D56" t="s">
        <v>8994</v>
      </c>
      <c r="E56" s="1">
        <v>37580</v>
      </c>
      <c r="F56" t="s">
        <v>5950</v>
      </c>
      <c r="G56">
        <v>358</v>
      </c>
      <c r="H56">
        <v>12328</v>
      </c>
      <c r="I56">
        <v>10</v>
      </c>
      <c r="J56">
        <v>1</v>
      </c>
      <c r="K56">
        <v>1</v>
      </c>
      <c r="L56">
        <v>1</v>
      </c>
      <c r="M56" t="s">
        <v>3541</v>
      </c>
      <c r="N56" t="s">
        <v>3542</v>
      </c>
      <c r="O56">
        <v>1105.81</v>
      </c>
      <c r="P56">
        <v>2049.0981999999999</v>
      </c>
      <c r="Q56" t="s">
        <v>13</v>
      </c>
      <c r="R56" t="s">
        <v>20</v>
      </c>
      <c r="S56" t="s">
        <v>81</v>
      </c>
      <c r="T56" t="s">
        <v>6893</v>
      </c>
      <c r="U56" s="1">
        <v>18340</v>
      </c>
      <c r="V56" t="s">
        <v>22</v>
      </c>
      <c r="W56" t="s">
        <v>16</v>
      </c>
      <c r="X56" t="s">
        <v>1098</v>
      </c>
      <c r="Y56">
        <v>130000</v>
      </c>
      <c r="Z56">
        <v>4</v>
      </c>
      <c r="AA56" t="s">
        <v>57</v>
      </c>
      <c r="AB56" t="s">
        <v>45</v>
      </c>
      <c r="AC56" t="s">
        <v>23</v>
      </c>
      <c r="AD56" t="s">
        <v>3588</v>
      </c>
      <c r="AE56" t="s">
        <v>3588</v>
      </c>
      <c r="AF56" t="s">
        <v>3584</v>
      </c>
      <c r="AG56" t="s">
        <v>3478</v>
      </c>
      <c r="AH56" t="s">
        <v>3475</v>
      </c>
      <c r="AI56">
        <v>2049.0981999999999</v>
      </c>
      <c r="AJ56">
        <v>1105.81</v>
      </c>
      <c r="AK56">
        <v>943.28819999999996</v>
      </c>
      <c r="AL56">
        <v>0.46034309141455498</v>
      </c>
    </row>
    <row r="57" spans="1:38">
      <c r="A57" s="1">
        <v>42344</v>
      </c>
      <c r="B57">
        <v>2015</v>
      </c>
      <c r="C57">
        <v>12</v>
      </c>
      <c r="D57" t="s">
        <v>8994</v>
      </c>
      <c r="E57" s="1">
        <v>37579</v>
      </c>
      <c r="F57" t="s">
        <v>5952</v>
      </c>
      <c r="G57">
        <v>360</v>
      </c>
      <c r="H57">
        <v>12380</v>
      </c>
      <c r="I57">
        <v>10</v>
      </c>
      <c r="J57">
        <v>1</v>
      </c>
      <c r="K57">
        <v>1</v>
      </c>
      <c r="L57">
        <v>1</v>
      </c>
      <c r="M57" t="s">
        <v>3543</v>
      </c>
      <c r="N57" t="s">
        <v>3544</v>
      </c>
      <c r="O57">
        <v>1105.81</v>
      </c>
      <c r="P57">
        <v>2049.0981999999999</v>
      </c>
      <c r="Q57" t="s">
        <v>13</v>
      </c>
      <c r="R57" t="s">
        <v>722</v>
      </c>
      <c r="S57" t="s">
        <v>87</v>
      </c>
      <c r="T57" t="s">
        <v>6917</v>
      </c>
      <c r="U57" s="1">
        <v>27095</v>
      </c>
      <c r="V57" t="s">
        <v>22</v>
      </c>
      <c r="W57" t="s">
        <v>16</v>
      </c>
      <c r="X57" t="s">
        <v>1129</v>
      </c>
      <c r="Y57">
        <v>30000</v>
      </c>
      <c r="Z57">
        <v>0</v>
      </c>
      <c r="AA57" t="s">
        <v>57</v>
      </c>
      <c r="AB57" t="s">
        <v>444</v>
      </c>
      <c r="AC57" t="s">
        <v>23</v>
      </c>
      <c r="AD57" t="s">
        <v>3588</v>
      </c>
      <c r="AE57" t="s">
        <v>3588</v>
      </c>
      <c r="AF57" t="s">
        <v>3584</v>
      </c>
      <c r="AG57" t="s">
        <v>3478</v>
      </c>
      <c r="AH57" t="s">
        <v>3475</v>
      </c>
      <c r="AI57">
        <v>2049.0981999999999</v>
      </c>
      <c r="AJ57">
        <v>1105.81</v>
      </c>
      <c r="AK57">
        <v>943.28819999999996</v>
      </c>
      <c r="AL57">
        <v>0.46034309141455498</v>
      </c>
    </row>
    <row r="58" spans="1:38">
      <c r="A58" s="1">
        <v>42344</v>
      </c>
      <c r="B58">
        <v>2015</v>
      </c>
      <c r="C58">
        <v>12</v>
      </c>
      <c r="D58" t="s">
        <v>8994</v>
      </c>
      <c r="E58" s="1">
        <v>37570</v>
      </c>
      <c r="F58" t="s">
        <v>5951</v>
      </c>
      <c r="G58">
        <v>385</v>
      </c>
      <c r="H58">
        <v>17647</v>
      </c>
      <c r="I58">
        <v>7</v>
      </c>
      <c r="J58">
        <v>1</v>
      </c>
      <c r="K58">
        <v>1</v>
      </c>
      <c r="L58">
        <v>2</v>
      </c>
      <c r="M58" t="s">
        <v>3567</v>
      </c>
      <c r="N58" t="s">
        <v>3568</v>
      </c>
      <c r="O58">
        <v>605.64919999999995</v>
      </c>
      <c r="P58">
        <v>1000.4375</v>
      </c>
      <c r="Q58" t="s">
        <v>30</v>
      </c>
      <c r="R58" t="s">
        <v>305</v>
      </c>
      <c r="S58" t="s">
        <v>125</v>
      </c>
      <c r="T58" t="s">
        <v>7682</v>
      </c>
      <c r="U58" s="1">
        <v>26252</v>
      </c>
      <c r="V58" t="s">
        <v>22</v>
      </c>
      <c r="W58" t="s">
        <v>29</v>
      </c>
      <c r="X58" t="s">
        <v>2169</v>
      </c>
      <c r="Y58">
        <v>40000</v>
      </c>
      <c r="Z58">
        <v>2</v>
      </c>
      <c r="AA58" t="s">
        <v>52</v>
      </c>
      <c r="AB58" t="s">
        <v>60</v>
      </c>
      <c r="AC58" t="s">
        <v>19</v>
      </c>
      <c r="AD58" t="s">
        <v>3583</v>
      </c>
      <c r="AE58" t="s">
        <v>3583</v>
      </c>
      <c r="AF58" t="s">
        <v>3584</v>
      </c>
      <c r="AG58" t="s">
        <v>3479</v>
      </c>
      <c r="AH58" t="s">
        <v>3475</v>
      </c>
      <c r="AI58">
        <v>1000.4375</v>
      </c>
      <c r="AJ58">
        <v>605.64919999999995</v>
      </c>
      <c r="AK58">
        <v>394.78829999999999</v>
      </c>
      <c r="AL58">
        <v>0.39461565565065299</v>
      </c>
    </row>
    <row r="59" spans="1:38">
      <c r="A59" s="1">
        <v>42345</v>
      </c>
      <c r="B59">
        <v>2015</v>
      </c>
      <c r="C59">
        <v>12</v>
      </c>
      <c r="D59" t="s">
        <v>8994</v>
      </c>
      <c r="E59" s="1">
        <v>37550</v>
      </c>
      <c r="F59" t="s">
        <v>5955</v>
      </c>
      <c r="G59">
        <v>336</v>
      </c>
      <c r="H59">
        <v>15433</v>
      </c>
      <c r="I59">
        <v>4</v>
      </c>
      <c r="J59">
        <v>1</v>
      </c>
      <c r="K59">
        <v>1</v>
      </c>
      <c r="L59">
        <v>2</v>
      </c>
      <c r="M59" t="s">
        <v>3511</v>
      </c>
      <c r="N59" t="s">
        <v>3512</v>
      </c>
      <c r="O59">
        <v>413.1463</v>
      </c>
      <c r="P59">
        <v>699.09820000000002</v>
      </c>
      <c r="Q59" t="s">
        <v>13</v>
      </c>
      <c r="R59" t="s">
        <v>112</v>
      </c>
      <c r="S59" t="s">
        <v>664</v>
      </c>
      <c r="T59" t="s">
        <v>7500</v>
      </c>
      <c r="U59" s="1">
        <v>28720</v>
      </c>
      <c r="V59" t="s">
        <v>22</v>
      </c>
      <c r="W59" t="s">
        <v>16</v>
      </c>
      <c r="X59" t="s">
        <v>1977</v>
      </c>
      <c r="Y59">
        <v>60000</v>
      </c>
      <c r="Z59">
        <v>0</v>
      </c>
      <c r="AA59" t="s">
        <v>52</v>
      </c>
      <c r="AB59" t="s">
        <v>53</v>
      </c>
      <c r="AC59" t="s">
        <v>23</v>
      </c>
      <c r="AD59" t="s">
        <v>3580</v>
      </c>
      <c r="AE59" t="s">
        <v>3578</v>
      </c>
      <c r="AF59" t="s">
        <v>3579</v>
      </c>
      <c r="AG59" t="s">
        <v>3479</v>
      </c>
      <c r="AH59" t="s">
        <v>3475</v>
      </c>
      <c r="AI59">
        <v>699.09820000000002</v>
      </c>
      <c r="AJ59">
        <v>413.1463</v>
      </c>
      <c r="AK59">
        <v>285.95190000000002</v>
      </c>
      <c r="AL59">
        <v>0.409029661355157</v>
      </c>
    </row>
    <row r="60" spans="1:38">
      <c r="A60" s="1">
        <v>42345</v>
      </c>
      <c r="B60">
        <v>2015</v>
      </c>
      <c r="C60">
        <v>12</v>
      </c>
      <c r="D60" t="s">
        <v>8994</v>
      </c>
      <c r="E60" s="1">
        <v>37558</v>
      </c>
      <c r="F60" t="s">
        <v>5961</v>
      </c>
      <c r="G60">
        <v>332</v>
      </c>
      <c r="H60">
        <v>15409</v>
      </c>
      <c r="I60">
        <v>1</v>
      </c>
      <c r="J60">
        <v>1</v>
      </c>
      <c r="K60">
        <v>1</v>
      </c>
      <c r="L60">
        <v>2</v>
      </c>
      <c r="M60" t="s">
        <v>3507</v>
      </c>
      <c r="N60" t="s">
        <v>3508</v>
      </c>
      <c r="O60">
        <v>413.1463</v>
      </c>
      <c r="P60">
        <v>699.09820000000002</v>
      </c>
      <c r="Q60" t="s">
        <v>13</v>
      </c>
      <c r="R60" t="s">
        <v>260</v>
      </c>
      <c r="S60" t="s">
        <v>309</v>
      </c>
      <c r="T60" t="s">
        <v>7490</v>
      </c>
      <c r="U60" s="1">
        <v>19209</v>
      </c>
      <c r="V60" t="s">
        <v>16</v>
      </c>
      <c r="W60" t="s">
        <v>16</v>
      </c>
      <c r="X60" t="s">
        <v>1967</v>
      </c>
      <c r="Y60">
        <v>40000</v>
      </c>
      <c r="Z60">
        <v>3</v>
      </c>
      <c r="AA60" t="s">
        <v>52</v>
      </c>
      <c r="AB60" t="s">
        <v>18</v>
      </c>
      <c r="AC60" t="s">
        <v>23</v>
      </c>
      <c r="AD60" t="s">
        <v>3577</v>
      </c>
      <c r="AE60" t="s">
        <v>3578</v>
      </c>
      <c r="AF60" t="s">
        <v>3579</v>
      </c>
      <c r="AG60" t="s">
        <v>3479</v>
      </c>
      <c r="AH60" t="s">
        <v>3475</v>
      </c>
      <c r="AI60">
        <v>699.09820000000002</v>
      </c>
      <c r="AJ60">
        <v>413.1463</v>
      </c>
      <c r="AK60">
        <v>285.95190000000002</v>
      </c>
      <c r="AL60">
        <v>0.409029661355157</v>
      </c>
    </row>
    <row r="61" spans="1:38">
      <c r="A61" s="1">
        <v>42345</v>
      </c>
      <c r="B61">
        <v>2015</v>
      </c>
      <c r="C61">
        <v>12</v>
      </c>
      <c r="D61" t="s">
        <v>8994</v>
      </c>
      <c r="E61" s="1">
        <v>37533</v>
      </c>
      <c r="F61" t="s">
        <v>5969</v>
      </c>
      <c r="G61">
        <v>332</v>
      </c>
      <c r="H61">
        <v>15404</v>
      </c>
      <c r="I61">
        <v>4</v>
      </c>
      <c r="J61">
        <v>1</v>
      </c>
      <c r="K61">
        <v>1</v>
      </c>
      <c r="L61">
        <v>2</v>
      </c>
      <c r="M61" t="s">
        <v>3507</v>
      </c>
      <c r="N61" t="s">
        <v>3508</v>
      </c>
      <c r="O61">
        <v>413.1463</v>
      </c>
      <c r="P61">
        <v>699.09820000000002</v>
      </c>
      <c r="Q61" t="s">
        <v>30</v>
      </c>
      <c r="R61" t="s">
        <v>48</v>
      </c>
      <c r="S61" t="s">
        <v>275</v>
      </c>
      <c r="T61" t="s">
        <v>7489</v>
      </c>
      <c r="U61" s="1">
        <v>19847</v>
      </c>
      <c r="V61" t="s">
        <v>22</v>
      </c>
      <c r="W61" t="s">
        <v>29</v>
      </c>
      <c r="X61" t="s">
        <v>1966</v>
      </c>
      <c r="Y61">
        <v>70000</v>
      </c>
      <c r="Z61">
        <v>3</v>
      </c>
      <c r="AA61" t="s">
        <v>57</v>
      </c>
      <c r="AB61" t="s">
        <v>18</v>
      </c>
      <c r="AC61" t="s">
        <v>19</v>
      </c>
      <c r="AD61" t="s">
        <v>3580</v>
      </c>
      <c r="AE61" t="s">
        <v>3578</v>
      </c>
      <c r="AF61" t="s">
        <v>3579</v>
      </c>
      <c r="AG61" t="s">
        <v>3479</v>
      </c>
      <c r="AH61" t="s">
        <v>3475</v>
      </c>
      <c r="AI61">
        <v>699.09820000000002</v>
      </c>
      <c r="AJ61">
        <v>413.1463</v>
      </c>
      <c r="AK61">
        <v>285.95190000000002</v>
      </c>
      <c r="AL61">
        <v>0.409029661355157</v>
      </c>
    </row>
    <row r="62" spans="1:38">
      <c r="A62" s="1">
        <v>42345</v>
      </c>
      <c r="B62">
        <v>2015</v>
      </c>
      <c r="C62">
        <v>12</v>
      </c>
      <c r="D62" t="s">
        <v>8994</v>
      </c>
      <c r="E62" s="1">
        <v>37519</v>
      </c>
      <c r="F62" t="s">
        <v>5962</v>
      </c>
      <c r="G62">
        <v>328</v>
      </c>
      <c r="H62">
        <v>20828</v>
      </c>
      <c r="I62">
        <v>8</v>
      </c>
      <c r="J62">
        <v>1</v>
      </c>
      <c r="K62">
        <v>1</v>
      </c>
      <c r="L62">
        <v>2</v>
      </c>
      <c r="M62" t="s">
        <v>3503</v>
      </c>
      <c r="N62" t="s">
        <v>3504</v>
      </c>
      <c r="O62">
        <v>413.1463</v>
      </c>
      <c r="P62">
        <v>699.09820000000002</v>
      </c>
      <c r="Q62" t="s">
        <v>30</v>
      </c>
      <c r="R62" t="s">
        <v>117</v>
      </c>
      <c r="S62" t="s">
        <v>468</v>
      </c>
      <c r="T62" t="s">
        <v>8083</v>
      </c>
      <c r="U62" s="1">
        <v>22329</v>
      </c>
      <c r="V62" t="s">
        <v>16</v>
      </c>
      <c r="W62" t="s">
        <v>29</v>
      </c>
      <c r="X62" t="s">
        <v>2579</v>
      </c>
      <c r="Y62">
        <v>30000</v>
      </c>
      <c r="Z62">
        <v>4</v>
      </c>
      <c r="AA62" t="s">
        <v>135</v>
      </c>
      <c r="AB62" t="s">
        <v>60</v>
      </c>
      <c r="AC62" t="s">
        <v>19</v>
      </c>
      <c r="AD62" t="s">
        <v>3585</v>
      </c>
      <c r="AE62" t="s">
        <v>3585</v>
      </c>
      <c r="AF62" t="s">
        <v>3584</v>
      </c>
      <c r="AG62" t="s">
        <v>3479</v>
      </c>
      <c r="AH62" t="s">
        <v>3475</v>
      </c>
      <c r="AI62">
        <v>699.09820000000002</v>
      </c>
      <c r="AJ62">
        <v>413.1463</v>
      </c>
      <c r="AK62">
        <v>285.95190000000002</v>
      </c>
      <c r="AL62">
        <v>0.409029661355157</v>
      </c>
    </row>
    <row r="63" spans="1:38">
      <c r="A63" s="1">
        <v>42345</v>
      </c>
      <c r="B63">
        <v>2015</v>
      </c>
      <c r="C63">
        <v>12</v>
      </c>
      <c r="D63" t="s">
        <v>8994</v>
      </c>
      <c r="E63" s="1">
        <v>37479</v>
      </c>
      <c r="F63" t="s">
        <v>5970</v>
      </c>
      <c r="G63">
        <v>375</v>
      </c>
      <c r="H63">
        <v>22909</v>
      </c>
      <c r="I63">
        <v>9</v>
      </c>
      <c r="J63">
        <v>1</v>
      </c>
      <c r="K63">
        <v>1</v>
      </c>
      <c r="L63">
        <v>2</v>
      </c>
      <c r="M63" t="s">
        <v>3557</v>
      </c>
      <c r="N63" t="s">
        <v>3558</v>
      </c>
      <c r="O63">
        <v>1320.6838</v>
      </c>
      <c r="P63">
        <v>2181.5625</v>
      </c>
      <c r="Q63" t="s">
        <v>13</v>
      </c>
      <c r="R63" t="s">
        <v>1637</v>
      </c>
      <c r="S63" t="s">
        <v>266</v>
      </c>
      <c r="T63" t="s">
        <v>8315</v>
      </c>
      <c r="U63" s="1">
        <v>25167</v>
      </c>
      <c r="V63" t="s">
        <v>22</v>
      </c>
      <c r="W63" t="s">
        <v>16</v>
      </c>
      <c r="X63" t="s">
        <v>2814</v>
      </c>
      <c r="Y63">
        <v>60000</v>
      </c>
      <c r="Z63">
        <v>2</v>
      </c>
      <c r="AA63" t="s">
        <v>17</v>
      </c>
      <c r="AB63" t="s">
        <v>18</v>
      </c>
      <c r="AC63" t="s">
        <v>23</v>
      </c>
      <c r="AD63" t="s">
        <v>3586</v>
      </c>
      <c r="AE63" t="s">
        <v>3586</v>
      </c>
      <c r="AF63" t="s">
        <v>3587</v>
      </c>
      <c r="AG63" t="s">
        <v>3479</v>
      </c>
      <c r="AH63" t="s">
        <v>3475</v>
      </c>
      <c r="AI63">
        <v>2181.5625</v>
      </c>
      <c r="AJ63">
        <v>1320.6838</v>
      </c>
      <c r="AK63">
        <v>860.87869999999998</v>
      </c>
      <c r="AL63">
        <v>0.39461564818793898</v>
      </c>
    </row>
    <row r="64" spans="1:38">
      <c r="A64" s="1">
        <v>42345</v>
      </c>
      <c r="B64">
        <v>2015</v>
      </c>
      <c r="C64">
        <v>12</v>
      </c>
      <c r="D64" t="s">
        <v>8994</v>
      </c>
      <c r="E64" s="1">
        <v>37506</v>
      </c>
      <c r="F64" t="s">
        <v>5964</v>
      </c>
      <c r="G64">
        <v>375</v>
      </c>
      <c r="H64">
        <v>13734</v>
      </c>
      <c r="I64">
        <v>4</v>
      </c>
      <c r="J64">
        <v>1</v>
      </c>
      <c r="K64">
        <v>1</v>
      </c>
      <c r="L64">
        <v>2</v>
      </c>
      <c r="M64" t="s">
        <v>3557</v>
      </c>
      <c r="N64" t="s">
        <v>3558</v>
      </c>
      <c r="O64">
        <v>1320.6838</v>
      </c>
      <c r="P64">
        <v>2181.5625</v>
      </c>
      <c r="Q64" t="s">
        <v>30</v>
      </c>
      <c r="R64" t="s">
        <v>312</v>
      </c>
      <c r="S64" t="s">
        <v>95</v>
      </c>
      <c r="T64" t="s">
        <v>7159</v>
      </c>
      <c r="U64" s="1">
        <v>20645</v>
      </c>
      <c r="V64" t="s">
        <v>16</v>
      </c>
      <c r="W64" t="s">
        <v>29</v>
      </c>
      <c r="X64" t="s">
        <v>1618</v>
      </c>
      <c r="Y64">
        <v>40000</v>
      </c>
      <c r="Z64">
        <v>1</v>
      </c>
      <c r="AA64" t="s">
        <v>52</v>
      </c>
      <c r="AB64" t="s">
        <v>60</v>
      </c>
      <c r="AC64" t="s">
        <v>19</v>
      </c>
      <c r="AD64" t="s">
        <v>3580</v>
      </c>
      <c r="AE64" t="s">
        <v>3578</v>
      </c>
      <c r="AF64" t="s">
        <v>3579</v>
      </c>
      <c r="AG64" t="s">
        <v>3479</v>
      </c>
      <c r="AH64" t="s">
        <v>3475</v>
      </c>
      <c r="AI64">
        <v>2181.5625</v>
      </c>
      <c r="AJ64">
        <v>1320.6838</v>
      </c>
      <c r="AK64">
        <v>860.87869999999998</v>
      </c>
      <c r="AL64">
        <v>0.39461564818793898</v>
      </c>
    </row>
    <row r="65" spans="1:38">
      <c r="A65" s="1">
        <v>42345</v>
      </c>
      <c r="B65">
        <v>2015</v>
      </c>
      <c r="C65">
        <v>12</v>
      </c>
      <c r="D65" t="s">
        <v>8994</v>
      </c>
      <c r="E65" s="1">
        <v>37579</v>
      </c>
      <c r="F65" t="s">
        <v>5967</v>
      </c>
      <c r="G65">
        <v>328</v>
      </c>
      <c r="H65">
        <v>26447</v>
      </c>
      <c r="I65">
        <v>9</v>
      </c>
      <c r="J65">
        <v>1</v>
      </c>
      <c r="K65">
        <v>1</v>
      </c>
      <c r="L65">
        <v>2</v>
      </c>
      <c r="M65" t="s">
        <v>3503</v>
      </c>
      <c r="N65" t="s">
        <v>3504</v>
      </c>
      <c r="O65">
        <v>413.1463</v>
      </c>
      <c r="P65">
        <v>699.09820000000002</v>
      </c>
      <c r="Q65" t="s">
        <v>13</v>
      </c>
      <c r="R65" t="s">
        <v>141</v>
      </c>
      <c r="S65" t="s">
        <v>71</v>
      </c>
      <c r="T65" t="s">
        <v>8696</v>
      </c>
      <c r="U65" s="1">
        <v>26043</v>
      </c>
      <c r="V65" t="s">
        <v>22</v>
      </c>
      <c r="W65" t="s">
        <v>16</v>
      </c>
      <c r="X65" t="s">
        <v>3206</v>
      </c>
      <c r="Y65">
        <v>110000</v>
      </c>
      <c r="Z65">
        <v>0</v>
      </c>
      <c r="AA65" t="s">
        <v>57</v>
      </c>
      <c r="AB65" t="s">
        <v>45</v>
      </c>
      <c r="AC65" t="s">
        <v>23</v>
      </c>
      <c r="AD65" t="s">
        <v>3586</v>
      </c>
      <c r="AE65" t="s">
        <v>3586</v>
      </c>
      <c r="AF65" t="s">
        <v>3587</v>
      </c>
      <c r="AG65" t="s">
        <v>3479</v>
      </c>
      <c r="AH65" t="s">
        <v>3475</v>
      </c>
      <c r="AI65">
        <v>699.09820000000002</v>
      </c>
      <c r="AJ65">
        <v>413.1463</v>
      </c>
      <c r="AK65">
        <v>285.95190000000002</v>
      </c>
      <c r="AL65">
        <v>0.409029661355157</v>
      </c>
    </row>
    <row r="66" spans="1:38">
      <c r="A66" s="1">
        <v>42345</v>
      </c>
      <c r="B66">
        <v>2015</v>
      </c>
      <c r="C66">
        <v>12</v>
      </c>
      <c r="D66" t="s">
        <v>8994</v>
      </c>
      <c r="E66" s="1">
        <v>37522</v>
      </c>
      <c r="F66" t="s">
        <v>5956</v>
      </c>
      <c r="G66">
        <v>352</v>
      </c>
      <c r="H66">
        <v>26641</v>
      </c>
      <c r="I66">
        <v>4</v>
      </c>
      <c r="J66">
        <v>1</v>
      </c>
      <c r="K66">
        <v>1</v>
      </c>
      <c r="L66">
        <v>1</v>
      </c>
      <c r="M66" t="s">
        <v>3535</v>
      </c>
      <c r="N66" t="s">
        <v>3536</v>
      </c>
      <c r="O66">
        <v>1117.8559</v>
      </c>
      <c r="P66">
        <v>2071.4196000000002</v>
      </c>
      <c r="Q66" t="s">
        <v>13</v>
      </c>
      <c r="R66" t="s">
        <v>398</v>
      </c>
      <c r="S66" t="s">
        <v>72</v>
      </c>
      <c r="T66" t="s">
        <v>8772</v>
      </c>
      <c r="U66" s="1">
        <v>21767</v>
      </c>
      <c r="V66" t="s">
        <v>22</v>
      </c>
      <c r="W66" t="s">
        <v>16</v>
      </c>
      <c r="X66" t="s">
        <v>3282</v>
      </c>
      <c r="Y66">
        <v>80000</v>
      </c>
      <c r="Z66">
        <v>1</v>
      </c>
      <c r="AA66" t="s">
        <v>135</v>
      </c>
      <c r="AB66" t="s">
        <v>18</v>
      </c>
      <c r="AC66" t="s">
        <v>19</v>
      </c>
      <c r="AD66" t="s">
        <v>3580</v>
      </c>
      <c r="AE66" t="s">
        <v>3578</v>
      </c>
      <c r="AF66" t="s">
        <v>3579</v>
      </c>
      <c r="AG66" t="s">
        <v>3478</v>
      </c>
      <c r="AH66" t="s">
        <v>3475</v>
      </c>
      <c r="AI66">
        <v>2071.4196000000002</v>
      </c>
      <c r="AJ66">
        <v>1117.8559</v>
      </c>
      <c r="AK66">
        <v>953.56370000000004</v>
      </c>
      <c r="AL66">
        <v>0.460343090313522</v>
      </c>
    </row>
    <row r="67" spans="1:38">
      <c r="A67" s="1">
        <v>42345</v>
      </c>
      <c r="B67">
        <v>2015</v>
      </c>
      <c r="C67">
        <v>12</v>
      </c>
      <c r="D67" t="s">
        <v>8994</v>
      </c>
      <c r="E67" s="1">
        <v>37531</v>
      </c>
      <c r="F67" t="s">
        <v>5959</v>
      </c>
      <c r="G67">
        <v>371</v>
      </c>
      <c r="H67">
        <v>17097</v>
      </c>
      <c r="I67">
        <v>10</v>
      </c>
      <c r="J67">
        <v>1</v>
      </c>
      <c r="K67">
        <v>1</v>
      </c>
      <c r="L67">
        <v>2</v>
      </c>
      <c r="M67" t="s">
        <v>3553</v>
      </c>
      <c r="N67" t="s">
        <v>3554</v>
      </c>
      <c r="O67">
        <v>1320.6838</v>
      </c>
      <c r="P67">
        <v>2181.5625</v>
      </c>
      <c r="Q67" t="s">
        <v>26</v>
      </c>
      <c r="R67" t="s">
        <v>128</v>
      </c>
      <c r="S67" t="s">
        <v>215</v>
      </c>
      <c r="T67" t="s">
        <v>7656</v>
      </c>
      <c r="U67" s="1">
        <v>26335</v>
      </c>
      <c r="V67" t="s">
        <v>22</v>
      </c>
      <c r="W67" t="s">
        <v>29</v>
      </c>
      <c r="X67" t="s">
        <v>2141</v>
      </c>
      <c r="Y67">
        <v>30000</v>
      </c>
      <c r="Z67">
        <v>0</v>
      </c>
      <c r="AA67" t="s">
        <v>57</v>
      </c>
      <c r="AB67" t="s">
        <v>444</v>
      </c>
      <c r="AC67" t="s">
        <v>23</v>
      </c>
      <c r="AD67" t="s">
        <v>3588</v>
      </c>
      <c r="AE67" t="s">
        <v>3588</v>
      </c>
      <c r="AF67" t="s">
        <v>3584</v>
      </c>
      <c r="AG67" t="s">
        <v>3479</v>
      </c>
      <c r="AH67" t="s">
        <v>3475</v>
      </c>
      <c r="AI67">
        <v>2181.5625</v>
      </c>
      <c r="AJ67">
        <v>1320.6838</v>
      </c>
      <c r="AK67">
        <v>860.87869999999998</v>
      </c>
      <c r="AL67">
        <v>0.39461564818793898</v>
      </c>
    </row>
    <row r="68" spans="1:38">
      <c r="A68" s="1">
        <v>42345</v>
      </c>
      <c r="B68">
        <v>2015</v>
      </c>
      <c r="C68">
        <v>12</v>
      </c>
      <c r="D68" t="s">
        <v>8994</v>
      </c>
      <c r="E68" s="1">
        <v>37509</v>
      </c>
      <c r="F68" t="s">
        <v>5965</v>
      </c>
      <c r="G68">
        <v>371</v>
      </c>
      <c r="H68">
        <v>17225</v>
      </c>
      <c r="I68">
        <v>10</v>
      </c>
      <c r="J68">
        <v>1</v>
      </c>
      <c r="K68">
        <v>1</v>
      </c>
      <c r="L68">
        <v>2</v>
      </c>
      <c r="M68" t="s">
        <v>3553</v>
      </c>
      <c r="N68" t="s">
        <v>3554</v>
      </c>
      <c r="O68">
        <v>1320.6838</v>
      </c>
      <c r="P68">
        <v>2181.5625</v>
      </c>
      <c r="Q68" t="s">
        <v>13</v>
      </c>
      <c r="R68" t="s">
        <v>1094</v>
      </c>
      <c r="S68" t="s">
        <v>97</v>
      </c>
      <c r="T68" t="s">
        <v>7675</v>
      </c>
      <c r="U68" s="1">
        <v>17685</v>
      </c>
      <c r="V68" t="s">
        <v>16</v>
      </c>
      <c r="W68" t="s">
        <v>16</v>
      </c>
      <c r="X68" t="s">
        <v>2160</v>
      </c>
      <c r="Y68">
        <v>160000</v>
      </c>
      <c r="Z68">
        <v>5</v>
      </c>
      <c r="AA68" t="s">
        <v>77</v>
      </c>
      <c r="AB68" t="s">
        <v>18</v>
      </c>
      <c r="AC68" t="s">
        <v>19</v>
      </c>
      <c r="AD68" t="s">
        <v>3588</v>
      </c>
      <c r="AE68" t="s">
        <v>3588</v>
      </c>
      <c r="AF68" t="s">
        <v>3584</v>
      </c>
      <c r="AG68" t="s">
        <v>3479</v>
      </c>
      <c r="AH68" t="s">
        <v>3475</v>
      </c>
      <c r="AI68">
        <v>2181.5625</v>
      </c>
      <c r="AJ68">
        <v>1320.6838</v>
      </c>
      <c r="AK68">
        <v>860.87869999999998</v>
      </c>
      <c r="AL68">
        <v>0.39461564818793898</v>
      </c>
    </row>
    <row r="69" spans="1:38">
      <c r="A69" s="1">
        <v>42345</v>
      </c>
      <c r="B69">
        <v>2015</v>
      </c>
      <c r="C69">
        <v>12</v>
      </c>
      <c r="D69" t="s">
        <v>8994</v>
      </c>
      <c r="E69" s="1">
        <v>37479</v>
      </c>
      <c r="F69" t="s">
        <v>5960</v>
      </c>
      <c r="G69">
        <v>379</v>
      </c>
      <c r="H69">
        <v>14966</v>
      </c>
      <c r="I69">
        <v>7</v>
      </c>
      <c r="J69">
        <v>1</v>
      </c>
      <c r="K69">
        <v>1</v>
      </c>
      <c r="L69">
        <v>2</v>
      </c>
      <c r="M69" t="s">
        <v>3561</v>
      </c>
      <c r="N69" t="s">
        <v>3562</v>
      </c>
      <c r="O69">
        <v>1320.6838</v>
      </c>
      <c r="P69">
        <v>2181.5625</v>
      </c>
      <c r="Q69" t="s">
        <v>13</v>
      </c>
      <c r="R69" t="s">
        <v>1217</v>
      </c>
      <c r="S69" t="s">
        <v>232</v>
      </c>
      <c r="T69" t="s">
        <v>7363</v>
      </c>
      <c r="U69" s="1">
        <v>23502</v>
      </c>
      <c r="V69" t="s">
        <v>22</v>
      </c>
      <c r="W69" t="s">
        <v>16</v>
      </c>
      <c r="X69" t="s">
        <v>1838</v>
      </c>
      <c r="Y69">
        <v>30000</v>
      </c>
      <c r="Z69">
        <v>2</v>
      </c>
      <c r="AA69" t="s">
        <v>52</v>
      </c>
      <c r="AB69" t="s">
        <v>60</v>
      </c>
      <c r="AC69" t="s">
        <v>19</v>
      </c>
      <c r="AD69" t="s">
        <v>3583</v>
      </c>
      <c r="AE69" t="s">
        <v>3583</v>
      </c>
      <c r="AF69" t="s">
        <v>3584</v>
      </c>
      <c r="AG69" t="s">
        <v>3479</v>
      </c>
      <c r="AH69" t="s">
        <v>3475</v>
      </c>
      <c r="AI69">
        <v>2181.5625</v>
      </c>
      <c r="AJ69">
        <v>1320.6838</v>
      </c>
      <c r="AK69">
        <v>860.87869999999998</v>
      </c>
      <c r="AL69">
        <v>0.39461564818793898</v>
      </c>
    </row>
    <row r="70" spans="1:38">
      <c r="A70" s="1">
        <v>42345</v>
      </c>
      <c r="B70">
        <v>2015</v>
      </c>
      <c r="C70">
        <v>12</v>
      </c>
      <c r="D70" t="s">
        <v>8994</v>
      </c>
      <c r="E70" s="1">
        <v>37553</v>
      </c>
      <c r="F70" t="s">
        <v>5958</v>
      </c>
      <c r="G70">
        <v>356</v>
      </c>
      <c r="H70">
        <v>26626</v>
      </c>
      <c r="I70">
        <v>4</v>
      </c>
      <c r="J70">
        <v>1</v>
      </c>
      <c r="K70">
        <v>1</v>
      </c>
      <c r="L70">
        <v>1</v>
      </c>
      <c r="M70" t="s">
        <v>3539</v>
      </c>
      <c r="N70" t="s">
        <v>3540</v>
      </c>
      <c r="O70">
        <v>1117.8559</v>
      </c>
      <c r="P70">
        <v>2071.4196000000002</v>
      </c>
      <c r="Q70" t="s">
        <v>13</v>
      </c>
      <c r="R70" t="s">
        <v>186</v>
      </c>
      <c r="S70" t="s">
        <v>254</v>
      </c>
      <c r="T70" t="s">
        <v>8764</v>
      </c>
      <c r="U70" s="1">
        <v>24556</v>
      </c>
      <c r="V70" t="s">
        <v>22</v>
      </c>
      <c r="W70" t="s">
        <v>16</v>
      </c>
      <c r="X70" t="s">
        <v>3274</v>
      </c>
      <c r="Y70">
        <v>60000</v>
      </c>
      <c r="Z70">
        <v>0</v>
      </c>
      <c r="AA70" t="s">
        <v>135</v>
      </c>
      <c r="AB70" t="s">
        <v>18</v>
      </c>
      <c r="AC70" t="s">
        <v>23</v>
      </c>
      <c r="AD70" t="s">
        <v>3580</v>
      </c>
      <c r="AE70" t="s">
        <v>3578</v>
      </c>
      <c r="AF70" t="s">
        <v>3579</v>
      </c>
      <c r="AG70" t="s">
        <v>3478</v>
      </c>
      <c r="AH70" t="s">
        <v>3475</v>
      </c>
      <c r="AI70">
        <v>2071.4196000000002</v>
      </c>
      <c r="AJ70">
        <v>1117.8559</v>
      </c>
      <c r="AK70">
        <v>953.56370000000004</v>
      </c>
      <c r="AL70">
        <v>0.460343090313522</v>
      </c>
    </row>
    <row r="71" spans="1:38">
      <c r="A71" s="1">
        <v>42345</v>
      </c>
      <c r="B71">
        <v>2015</v>
      </c>
      <c r="C71">
        <v>12</v>
      </c>
      <c r="D71" t="s">
        <v>8994</v>
      </c>
      <c r="E71" s="1">
        <v>37578</v>
      </c>
      <c r="F71" t="s">
        <v>5971</v>
      </c>
      <c r="G71">
        <v>371</v>
      </c>
      <c r="H71">
        <v>17098</v>
      </c>
      <c r="I71">
        <v>10</v>
      </c>
      <c r="J71">
        <v>1</v>
      </c>
      <c r="K71">
        <v>1</v>
      </c>
      <c r="L71">
        <v>2</v>
      </c>
      <c r="M71" t="s">
        <v>3553</v>
      </c>
      <c r="N71" t="s">
        <v>3554</v>
      </c>
      <c r="O71">
        <v>1320.6838</v>
      </c>
      <c r="P71">
        <v>2181.5625</v>
      </c>
      <c r="Q71" t="s">
        <v>13</v>
      </c>
      <c r="R71" t="s">
        <v>154</v>
      </c>
      <c r="S71" t="s">
        <v>468</v>
      </c>
      <c r="T71" t="s">
        <v>7657</v>
      </c>
      <c r="U71" s="1">
        <v>26314</v>
      </c>
      <c r="V71" t="s">
        <v>22</v>
      </c>
      <c r="W71" t="s">
        <v>16</v>
      </c>
      <c r="X71" t="s">
        <v>2142</v>
      </c>
      <c r="Y71">
        <v>30000</v>
      </c>
      <c r="Z71">
        <v>0</v>
      </c>
      <c r="AA71" t="s">
        <v>57</v>
      </c>
      <c r="AB71" t="s">
        <v>444</v>
      </c>
      <c r="AC71" t="s">
        <v>23</v>
      </c>
      <c r="AD71" t="s">
        <v>3588</v>
      </c>
      <c r="AE71" t="s">
        <v>3588</v>
      </c>
      <c r="AF71" t="s">
        <v>3584</v>
      </c>
      <c r="AG71" t="s">
        <v>3479</v>
      </c>
      <c r="AH71" t="s">
        <v>3475</v>
      </c>
      <c r="AI71">
        <v>2181.5625</v>
      </c>
      <c r="AJ71">
        <v>1320.6838</v>
      </c>
      <c r="AK71">
        <v>860.87869999999998</v>
      </c>
      <c r="AL71">
        <v>0.39461564818793898</v>
      </c>
    </row>
    <row r="72" spans="1:38">
      <c r="A72" s="1">
        <v>42345</v>
      </c>
      <c r="B72">
        <v>2015</v>
      </c>
      <c r="C72">
        <v>12</v>
      </c>
      <c r="D72" t="s">
        <v>8994</v>
      </c>
      <c r="E72" s="1">
        <v>37560</v>
      </c>
      <c r="F72" t="s">
        <v>5957</v>
      </c>
      <c r="G72">
        <v>373</v>
      </c>
      <c r="H72">
        <v>22942</v>
      </c>
      <c r="I72">
        <v>9</v>
      </c>
      <c r="J72">
        <v>1</v>
      </c>
      <c r="K72">
        <v>1</v>
      </c>
      <c r="L72">
        <v>2</v>
      </c>
      <c r="M72" t="s">
        <v>3555</v>
      </c>
      <c r="N72" t="s">
        <v>3556</v>
      </c>
      <c r="O72">
        <v>1320.6838</v>
      </c>
      <c r="P72">
        <v>2181.5625</v>
      </c>
      <c r="Q72" t="s">
        <v>30</v>
      </c>
      <c r="R72" t="s">
        <v>469</v>
      </c>
      <c r="S72" t="s">
        <v>450</v>
      </c>
      <c r="T72" t="s">
        <v>8334</v>
      </c>
      <c r="U72" s="1">
        <v>22093</v>
      </c>
      <c r="V72" t="s">
        <v>16</v>
      </c>
      <c r="W72" t="s">
        <v>29</v>
      </c>
      <c r="X72" t="s">
        <v>2833</v>
      </c>
      <c r="Y72">
        <v>60000</v>
      </c>
      <c r="Z72">
        <v>1</v>
      </c>
      <c r="AA72" t="s">
        <v>52</v>
      </c>
      <c r="AB72" t="s">
        <v>53</v>
      </c>
      <c r="AC72" t="s">
        <v>19</v>
      </c>
      <c r="AD72" t="s">
        <v>3586</v>
      </c>
      <c r="AE72" t="s">
        <v>3586</v>
      </c>
      <c r="AF72" t="s">
        <v>3587</v>
      </c>
      <c r="AG72" t="s">
        <v>3479</v>
      </c>
      <c r="AH72" t="s">
        <v>3475</v>
      </c>
      <c r="AI72">
        <v>2181.5625</v>
      </c>
      <c r="AJ72">
        <v>1320.6838</v>
      </c>
      <c r="AK72">
        <v>860.87869999999998</v>
      </c>
      <c r="AL72">
        <v>0.39461564818793898</v>
      </c>
    </row>
    <row r="73" spans="1:38">
      <c r="A73" s="1">
        <v>42345</v>
      </c>
      <c r="B73">
        <v>2015</v>
      </c>
      <c r="C73">
        <v>12</v>
      </c>
      <c r="D73" t="s">
        <v>8994</v>
      </c>
      <c r="E73" s="1">
        <v>37509</v>
      </c>
      <c r="F73" t="s">
        <v>5966</v>
      </c>
      <c r="G73">
        <v>377</v>
      </c>
      <c r="H73">
        <v>22961</v>
      </c>
      <c r="I73">
        <v>9</v>
      </c>
      <c r="J73">
        <v>1</v>
      </c>
      <c r="K73">
        <v>1</v>
      </c>
      <c r="L73">
        <v>2</v>
      </c>
      <c r="M73" t="s">
        <v>3559</v>
      </c>
      <c r="N73" t="s">
        <v>3560</v>
      </c>
      <c r="O73">
        <v>1320.6838</v>
      </c>
      <c r="P73">
        <v>2181.5625</v>
      </c>
      <c r="Q73" t="s">
        <v>30</v>
      </c>
      <c r="R73" t="s">
        <v>604</v>
      </c>
      <c r="S73" t="s">
        <v>450</v>
      </c>
      <c r="T73" t="s">
        <v>8342</v>
      </c>
      <c r="U73" s="1">
        <v>22469</v>
      </c>
      <c r="V73" t="s">
        <v>16</v>
      </c>
      <c r="W73" t="s">
        <v>29</v>
      </c>
      <c r="X73" t="s">
        <v>2841</v>
      </c>
      <c r="Y73">
        <v>70000</v>
      </c>
      <c r="Z73">
        <v>5</v>
      </c>
      <c r="AA73" t="s">
        <v>52</v>
      </c>
      <c r="AB73" t="s">
        <v>53</v>
      </c>
      <c r="AC73" t="s">
        <v>19</v>
      </c>
      <c r="AD73" t="s">
        <v>3586</v>
      </c>
      <c r="AE73" t="s">
        <v>3586</v>
      </c>
      <c r="AF73" t="s">
        <v>3587</v>
      </c>
      <c r="AG73" t="s">
        <v>3479</v>
      </c>
      <c r="AH73" t="s">
        <v>3475</v>
      </c>
      <c r="AI73">
        <v>2181.5625</v>
      </c>
      <c r="AJ73">
        <v>1320.6838</v>
      </c>
      <c r="AK73">
        <v>860.87869999999998</v>
      </c>
      <c r="AL73">
        <v>0.39461564818793898</v>
      </c>
    </row>
    <row r="74" spans="1:38">
      <c r="A74" s="1">
        <v>42345</v>
      </c>
      <c r="B74">
        <v>2015</v>
      </c>
      <c r="C74">
        <v>12</v>
      </c>
      <c r="D74" t="s">
        <v>8994</v>
      </c>
      <c r="E74" s="1">
        <v>37565</v>
      </c>
      <c r="F74" t="s">
        <v>5963</v>
      </c>
      <c r="G74">
        <v>379</v>
      </c>
      <c r="H74">
        <v>23105</v>
      </c>
      <c r="I74">
        <v>9</v>
      </c>
      <c r="J74">
        <v>1</v>
      </c>
      <c r="K74">
        <v>1</v>
      </c>
      <c r="L74">
        <v>2</v>
      </c>
      <c r="M74" t="s">
        <v>3561</v>
      </c>
      <c r="N74" t="s">
        <v>3562</v>
      </c>
      <c r="O74">
        <v>1320.6838</v>
      </c>
      <c r="P74">
        <v>2181.5625</v>
      </c>
      <c r="Q74" t="s">
        <v>13</v>
      </c>
      <c r="R74" t="s">
        <v>487</v>
      </c>
      <c r="S74" t="s">
        <v>134</v>
      </c>
      <c r="T74" t="s">
        <v>8362</v>
      </c>
      <c r="U74" s="1">
        <v>19769</v>
      </c>
      <c r="V74" t="s">
        <v>22</v>
      </c>
      <c r="W74" t="s">
        <v>16</v>
      </c>
      <c r="X74" t="s">
        <v>2862</v>
      </c>
      <c r="Y74">
        <v>40000</v>
      </c>
      <c r="Z74">
        <v>3</v>
      </c>
      <c r="AA74" t="s">
        <v>77</v>
      </c>
      <c r="AB74" t="s">
        <v>60</v>
      </c>
      <c r="AC74" t="s">
        <v>23</v>
      </c>
      <c r="AD74" t="s">
        <v>3586</v>
      </c>
      <c r="AE74" t="s">
        <v>3586</v>
      </c>
      <c r="AF74" t="s">
        <v>3587</v>
      </c>
      <c r="AG74" t="s">
        <v>3479</v>
      </c>
      <c r="AH74" t="s">
        <v>3475</v>
      </c>
      <c r="AI74">
        <v>2181.5625</v>
      </c>
      <c r="AJ74">
        <v>1320.6838</v>
      </c>
      <c r="AK74">
        <v>860.87869999999998</v>
      </c>
      <c r="AL74">
        <v>0.39461564818793898</v>
      </c>
    </row>
    <row r="75" spans="1:38">
      <c r="A75" s="1">
        <v>42345</v>
      </c>
      <c r="B75">
        <v>2015</v>
      </c>
      <c r="C75">
        <v>12</v>
      </c>
      <c r="D75" t="s">
        <v>8994</v>
      </c>
      <c r="E75" s="1">
        <v>37569</v>
      </c>
      <c r="F75" t="s">
        <v>5968</v>
      </c>
      <c r="G75">
        <v>389</v>
      </c>
      <c r="H75">
        <v>18167</v>
      </c>
      <c r="I75">
        <v>8</v>
      </c>
      <c r="J75">
        <v>1</v>
      </c>
      <c r="K75">
        <v>1</v>
      </c>
      <c r="L75">
        <v>2</v>
      </c>
      <c r="M75" t="s">
        <v>3571</v>
      </c>
      <c r="N75" t="s">
        <v>3572</v>
      </c>
      <c r="O75">
        <v>605.64919999999995</v>
      </c>
      <c r="P75">
        <v>1000.4375</v>
      </c>
      <c r="Q75" t="s">
        <v>13</v>
      </c>
      <c r="R75" t="s">
        <v>1301</v>
      </c>
      <c r="S75" t="s">
        <v>171</v>
      </c>
      <c r="T75" t="s">
        <v>7707</v>
      </c>
      <c r="U75" s="1">
        <v>19034</v>
      </c>
      <c r="V75" t="s">
        <v>16</v>
      </c>
      <c r="W75" t="s">
        <v>16</v>
      </c>
      <c r="X75" t="s">
        <v>2194</v>
      </c>
      <c r="Y75">
        <v>90000</v>
      </c>
      <c r="Z75">
        <v>4</v>
      </c>
      <c r="AA75" t="s">
        <v>57</v>
      </c>
      <c r="AB75" t="s">
        <v>18</v>
      </c>
      <c r="AC75" t="s">
        <v>23</v>
      </c>
      <c r="AD75" t="s">
        <v>3585</v>
      </c>
      <c r="AE75" t="s">
        <v>3585</v>
      </c>
      <c r="AF75" t="s">
        <v>3584</v>
      </c>
      <c r="AG75" t="s">
        <v>3479</v>
      </c>
      <c r="AH75" t="s">
        <v>3475</v>
      </c>
      <c r="AI75">
        <v>1000.4375</v>
      </c>
      <c r="AJ75">
        <v>605.64919999999995</v>
      </c>
      <c r="AK75">
        <v>394.78829999999999</v>
      </c>
      <c r="AL75">
        <v>0.39461565565065299</v>
      </c>
    </row>
    <row r="76" spans="1:38">
      <c r="A76" s="1">
        <v>42346</v>
      </c>
      <c r="B76">
        <v>2015</v>
      </c>
      <c r="C76">
        <v>12</v>
      </c>
      <c r="D76" t="s">
        <v>8994</v>
      </c>
      <c r="E76" s="1">
        <v>37562</v>
      </c>
      <c r="F76" t="s">
        <v>5973</v>
      </c>
      <c r="G76">
        <v>352</v>
      </c>
      <c r="H76">
        <v>13525</v>
      </c>
      <c r="I76">
        <v>9</v>
      </c>
      <c r="J76">
        <v>1</v>
      </c>
      <c r="K76">
        <v>1</v>
      </c>
      <c r="L76">
        <v>1</v>
      </c>
      <c r="M76" t="s">
        <v>3535</v>
      </c>
      <c r="N76" t="s">
        <v>3536</v>
      </c>
      <c r="O76">
        <v>1117.8559</v>
      </c>
      <c r="P76">
        <v>2071.4196000000002</v>
      </c>
      <c r="Q76" t="s">
        <v>26</v>
      </c>
      <c r="R76" t="s">
        <v>1154</v>
      </c>
      <c r="S76" t="s">
        <v>1208</v>
      </c>
      <c r="T76" t="s">
        <v>7134</v>
      </c>
      <c r="U76" s="1">
        <v>28530</v>
      </c>
      <c r="V76" t="s">
        <v>16</v>
      </c>
      <c r="W76" t="s">
        <v>29</v>
      </c>
      <c r="X76" t="s">
        <v>1570</v>
      </c>
      <c r="Y76">
        <v>20000</v>
      </c>
      <c r="Z76">
        <v>0</v>
      </c>
      <c r="AA76" t="s">
        <v>17</v>
      </c>
      <c r="AB76" t="s">
        <v>60</v>
      </c>
      <c r="AC76" t="s">
        <v>19</v>
      </c>
      <c r="AD76" t="s">
        <v>3586</v>
      </c>
      <c r="AE76" t="s">
        <v>3586</v>
      </c>
      <c r="AF76" t="s">
        <v>3587</v>
      </c>
      <c r="AG76" t="s">
        <v>3478</v>
      </c>
      <c r="AH76" t="s">
        <v>3475</v>
      </c>
      <c r="AI76">
        <v>2071.4196000000002</v>
      </c>
      <c r="AJ76">
        <v>1117.8559</v>
      </c>
      <c r="AK76">
        <v>953.56370000000004</v>
      </c>
      <c r="AL76">
        <v>0.460343090313522</v>
      </c>
    </row>
    <row r="77" spans="1:38">
      <c r="A77" s="1">
        <v>42346</v>
      </c>
      <c r="B77">
        <v>2015</v>
      </c>
      <c r="C77">
        <v>12</v>
      </c>
      <c r="D77" t="s">
        <v>8994</v>
      </c>
      <c r="E77" s="1">
        <v>37562</v>
      </c>
      <c r="F77" t="s">
        <v>5981</v>
      </c>
      <c r="G77">
        <v>358</v>
      </c>
      <c r="H77">
        <v>20669</v>
      </c>
      <c r="I77">
        <v>6</v>
      </c>
      <c r="J77">
        <v>1</v>
      </c>
      <c r="K77">
        <v>1</v>
      </c>
      <c r="L77">
        <v>1</v>
      </c>
      <c r="M77" t="s">
        <v>3541</v>
      </c>
      <c r="N77" t="s">
        <v>3542</v>
      </c>
      <c r="O77">
        <v>1105.81</v>
      </c>
      <c r="P77">
        <v>2049.0981999999999</v>
      </c>
      <c r="Q77" t="s">
        <v>26</v>
      </c>
      <c r="R77" t="s">
        <v>1218</v>
      </c>
      <c r="S77" t="s">
        <v>199</v>
      </c>
      <c r="T77" t="s">
        <v>8053</v>
      </c>
      <c r="U77" s="1">
        <v>24569</v>
      </c>
      <c r="V77" t="s">
        <v>22</v>
      </c>
      <c r="W77" t="s">
        <v>29</v>
      </c>
      <c r="X77" t="s">
        <v>2547</v>
      </c>
      <c r="Y77">
        <v>40000</v>
      </c>
      <c r="Z77">
        <v>0</v>
      </c>
      <c r="AA77" t="s">
        <v>17</v>
      </c>
      <c r="AB77" t="s">
        <v>18</v>
      </c>
      <c r="AC77" t="s">
        <v>19</v>
      </c>
      <c r="AD77" t="s">
        <v>3582</v>
      </c>
      <c r="AE77" t="s">
        <v>3582</v>
      </c>
      <c r="AF77" t="s">
        <v>3579</v>
      </c>
      <c r="AG77" t="s">
        <v>3478</v>
      </c>
      <c r="AH77" t="s">
        <v>3475</v>
      </c>
      <c r="AI77">
        <v>2049.0981999999999</v>
      </c>
      <c r="AJ77">
        <v>1105.81</v>
      </c>
      <c r="AK77">
        <v>943.28819999999996</v>
      </c>
      <c r="AL77">
        <v>0.46034309141455498</v>
      </c>
    </row>
    <row r="78" spans="1:38">
      <c r="A78" s="1">
        <v>42346</v>
      </c>
      <c r="B78">
        <v>2015</v>
      </c>
      <c r="C78">
        <v>12</v>
      </c>
      <c r="D78" t="s">
        <v>8994</v>
      </c>
      <c r="E78" s="1">
        <v>37484</v>
      </c>
      <c r="F78" t="s">
        <v>5978</v>
      </c>
      <c r="G78">
        <v>352</v>
      </c>
      <c r="H78">
        <v>26611</v>
      </c>
      <c r="I78">
        <v>4</v>
      </c>
      <c r="J78">
        <v>1</v>
      </c>
      <c r="K78">
        <v>1</v>
      </c>
      <c r="L78">
        <v>1</v>
      </c>
      <c r="M78" t="s">
        <v>3535</v>
      </c>
      <c r="N78" t="s">
        <v>3536</v>
      </c>
      <c r="O78">
        <v>1117.8559</v>
      </c>
      <c r="P78">
        <v>2071.4196000000002</v>
      </c>
      <c r="Q78" t="s">
        <v>30</v>
      </c>
      <c r="R78" t="s">
        <v>916</v>
      </c>
      <c r="S78" t="s">
        <v>146</v>
      </c>
      <c r="T78" t="s">
        <v>8754</v>
      </c>
      <c r="U78" s="1">
        <v>22755</v>
      </c>
      <c r="V78" t="s">
        <v>16</v>
      </c>
      <c r="W78" t="s">
        <v>29</v>
      </c>
      <c r="X78" t="s">
        <v>3264</v>
      </c>
      <c r="Y78">
        <v>70000</v>
      </c>
      <c r="Z78">
        <v>1</v>
      </c>
      <c r="AA78" t="s">
        <v>52</v>
      </c>
      <c r="AB78" t="s">
        <v>53</v>
      </c>
      <c r="AC78" t="s">
        <v>19</v>
      </c>
      <c r="AD78" t="s">
        <v>3580</v>
      </c>
      <c r="AE78" t="s">
        <v>3578</v>
      </c>
      <c r="AF78" t="s">
        <v>3579</v>
      </c>
      <c r="AG78" t="s">
        <v>3478</v>
      </c>
      <c r="AH78" t="s">
        <v>3475</v>
      </c>
      <c r="AI78">
        <v>2071.4196000000002</v>
      </c>
      <c r="AJ78">
        <v>1117.8559</v>
      </c>
      <c r="AK78">
        <v>953.56370000000004</v>
      </c>
      <c r="AL78">
        <v>0.460343090313522</v>
      </c>
    </row>
    <row r="79" spans="1:38">
      <c r="A79" s="1">
        <v>42346</v>
      </c>
      <c r="B79">
        <v>2015</v>
      </c>
      <c r="C79">
        <v>12</v>
      </c>
      <c r="D79" t="s">
        <v>8994</v>
      </c>
      <c r="E79" s="1">
        <v>37483</v>
      </c>
      <c r="F79" t="s">
        <v>5979</v>
      </c>
      <c r="G79">
        <v>387</v>
      </c>
      <c r="H79">
        <v>24912</v>
      </c>
      <c r="I79">
        <v>9</v>
      </c>
      <c r="J79">
        <v>1</v>
      </c>
      <c r="K79">
        <v>1</v>
      </c>
      <c r="L79">
        <v>2</v>
      </c>
      <c r="M79" t="s">
        <v>3569</v>
      </c>
      <c r="N79" t="s">
        <v>3570</v>
      </c>
      <c r="O79">
        <v>605.64919999999995</v>
      </c>
      <c r="P79">
        <v>1000.4375</v>
      </c>
      <c r="Q79" t="s">
        <v>26</v>
      </c>
      <c r="R79" t="s">
        <v>1138</v>
      </c>
      <c r="S79" t="s">
        <v>338</v>
      </c>
      <c r="T79" t="s">
        <v>8449</v>
      </c>
      <c r="U79" s="1">
        <v>26630</v>
      </c>
      <c r="V79" t="s">
        <v>22</v>
      </c>
      <c r="W79" t="s">
        <v>29</v>
      </c>
      <c r="X79" t="s">
        <v>2949</v>
      </c>
      <c r="Y79">
        <v>110000</v>
      </c>
      <c r="Z79">
        <v>0</v>
      </c>
      <c r="AA79" t="s">
        <v>57</v>
      </c>
      <c r="AB79" t="s">
        <v>45</v>
      </c>
      <c r="AC79" t="s">
        <v>23</v>
      </c>
      <c r="AD79" t="s">
        <v>3586</v>
      </c>
      <c r="AE79" t="s">
        <v>3586</v>
      </c>
      <c r="AF79" t="s">
        <v>3587</v>
      </c>
      <c r="AG79" t="s">
        <v>3479</v>
      </c>
      <c r="AH79" t="s">
        <v>3475</v>
      </c>
      <c r="AI79">
        <v>1000.4375</v>
      </c>
      <c r="AJ79">
        <v>605.64919999999995</v>
      </c>
      <c r="AK79">
        <v>394.78829999999999</v>
      </c>
      <c r="AL79">
        <v>0.39461565565065299</v>
      </c>
    </row>
    <row r="80" spans="1:38">
      <c r="A80" s="1">
        <v>42346</v>
      </c>
      <c r="B80">
        <v>2015</v>
      </c>
      <c r="C80">
        <v>12</v>
      </c>
      <c r="D80" t="s">
        <v>8994</v>
      </c>
      <c r="E80" s="1">
        <v>37540</v>
      </c>
      <c r="F80" t="s">
        <v>5975</v>
      </c>
      <c r="G80">
        <v>370</v>
      </c>
      <c r="H80">
        <v>17214</v>
      </c>
      <c r="I80">
        <v>10</v>
      </c>
      <c r="J80">
        <v>1</v>
      </c>
      <c r="K80">
        <v>1</v>
      </c>
      <c r="L80">
        <v>2</v>
      </c>
      <c r="M80" t="s">
        <v>3551</v>
      </c>
      <c r="N80" t="s">
        <v>3552</v>
      </c>
      <c r="O80">
        <v>1518.7864</v>
      </c>
      <c r="P80">
        <v>2443.35</v>
      </c>
      <c r="Q80" t="s">
        <v>13</v>
      </c>
      <c r="R80" t="s">
        <v>170</v>
      </c>
      <c r="S80" t="s">
        <v>210</v>
      </c>
      <c r="T80" t="s">
        <v>7672</v>
      </c>
      <c r="U80" s="1">
        <v>19257</v>
      </c>
      <c r="V80" t="s">
        <v>16</v>
      </c>
      <c r="W80" t="s">
        <v>16</v>
      </c>
      <c r="X80" t="s">
        <v>2157</v>
      </c>
      <c r="Y80">
        <v>130000</v>
      </c>
      <c r="Z80">
        <v>4</v>
      </c>
      <c r="AA80" t="s">
        <v>57</v>
      </c>
      <c r="AB80" t="s">
        <v>18</v>
      </c>
      <c r="AC80" t="s">
        <v>19</v>
      </c>
      <c r="AD80" t="s">
        <v>3588</v>
      </c>
      <c r="AE80" t="s">
        <v>3588</v>
      </c>
      <c r="AF80" t="s">
        <v>3584</v>
      </c>
      <c r="AG80" t="s">
        <v>3479</v>
      </c>
      <c r="AH80" t="s">
        <v>3475</v>
      </c>
      <c r="AI80">
        <v>2443.35</v>
      </c>
      <c r="AJ80">
        <v>1518.7864</v>
      </c>
      <c r="AK80">
        <v>924.56359999999995</v>
      </c>
      <c r="AL80">
        <v>0.37839998362903399</v>
      </c>
    </row>
    <row r="81" spans="1:38">
      <c r="A81" s="1">
        <v>42346</v>
      </c>
      <c r="B81">
        <v>2015</v>
      </c>
      <c r="C81">
        <v>12</v>
      </c>
      <c r="D81" t="s">
        <v>8994</v>
      </c>
      <c r="E81" s="1">
        <v>37559</v>
      </c>
      <c r="F81" t="s">
        <v>5980</v>
      </c>
      <c r="G81">
        <v>334</v>
      </c>
      <c r="H81">
        <v>26587</v>
      </c>
      <c r="I81">
        <v>9</v>
      </c>
      <c r="J81">
        <v>1</v>
      </c>
      <c r="K81">
        <v>1</v>
      </c>
      <c r="L81">
        <v>2</v>
      </c>
      <c r="M81" t="s">
        <v>3509</v>
      </c>
      <c r="N81" t="s">
        <v>3510</v>
      </c>
      <c r="O81">
        <v>413.1463</v>
      </c>
      <c r="P81">
        <v>699.09820000000002</v>
      </c>
      <c r="Q81" t="s">
        <v>13</v>
      </c>
      <c r="R81" t="s">
        <v>503</v>
      </c>
      <c r="S81" t="s">
        <v>1071</v>
      </c>
      <c r="T81" t="s">
        <v>8743</v>
      </c>
      <c r="U81" s="1">
        <v>20887</v>
      </c>
      <c r="V81" t="s">
        <v>22</v>
      </c>
      <c r="W81" t="s">
        <v>16</v>
      </c>
      <c r="X81" t="s">
        <v>3253</v>
      </c>
      <c r="Y81">
        <v>70000</v>
      </c>
      <c r="Z81">
        <v>2</v>
      </c>
      <c r="AA81" t="s">
        <v>57</v>
      </c>
      <c r="AB81" t="s">
        <v>53</v>
      </c>
      <c r="AC81" t="s">
        <v>23</v>
      </c>
      <c r="AD81" t="s">
        <v>3586</v>
      </c>
      <c r="AE81" t="s">
        <v>3586</v>
      </c>
      <c r="AF81" t="s">
        <v>3587</v>
      </c>
      <c r="AG81" t="s">
        <v>3479</v>
      </c>
      <c r="AH81" t="s">
        <v>3475</v>
      </c>
      <c r="AI81">
        <v>699.09820000000002</v>
      </c>
      <c r="AJ81">
        <v>413.1463</v>
      </c>
      <c r="AK81">
        <v>285.95190000000002</v>
      </c>
      <c r="AL81">
        <v>0.409029661355157</v>
      </c>
    </row>
    <row r="82" spans="1:38">
      <c r="A82" s="1">
        <v>42346</v>
      </c>
      <c r="B82">
        <v>2015</v>
      </c>
      <c r="C82">
        <v>12</v>
      </c>
      <c r="D82" t="s">
        <v>8994</v>
      </c>
      <c r="E82" s="1">
        <v>37495</v>
      </c>
      <c r="F82" t="s">
        <v>5977</v>
      </c>
      <c r="G82">
        <v>371</v>
      </c>
      <c r="H82">
        <v>22929</v>
      </c>
      <c r="I82">
        <v>9</v>
      </c>
      <c r="J82">
        <v>1</v>
      </c>
      <c r="K82">
        <v>1</v>
      </c>
      <c r="L82">
        <v>2</v>
      </c>
      <c r="M82" t="s">
        <v>3553</v>
      </c>
      <c r="N82" t="s">
        <v>3554</v>
      </c>
      <c r="O82">
        <v>1320.6838</v>
      </c>
      <c r="P82">
        <v>2181.5625</v>
      </c>
      <c r="Q82" t="s">
        <v>30</v>
      </c>
      <c r="R82" t="s">
        <v>588</v>
      </c>
      <c r="S82" t="s">
        <v>255</v>
      </c>
      <c r="T82" t="s">
        <v>8322</v>
      </c>
      <c r="U82" s="1">
        <v>24773</v>
      </c>
      <c r="V82" t="s">
        <v>22</v>
      </c>
      <c r="W82" t="s">
        <v>29</v>
      </c>
      <c r="X82" t="s">
        <v>2821</v>
      </c>
      <c r="Y82">
        <v>90000</v>
      </c>
      <c r="Z82">
        <v>2</v>
      </c>
      <c r="AA82" t="s">
        <v>17</v>
      </c>
      <c r="AB82" t="s">
        <v>18</v>
      </c>
      <c r="AC82" t="s">
        <v>23</v>
      </c>
      <c r="AD82" t="s">
        <v>3586</v>
      </c>
      <c r="AE82" t="s">
        <v>3586</v>
      </c>
      <c r="AF82" t="s">
        <v>3587</v>
      </c>
      <c r="AG82" t="s">
        <v>3479</v>
      </c>
      <c r="AH82" t="s">
        <v>3475</v>
      </c>
      <c r="AI82">
        <v>2181.5625</v>
      </c>
      <c r="AJ82">
        <v>1320.6838</v>
      </c>
      <c r="AK82">
        <v>860.87869999999998</v>
      </c>
      <c r="AL82">
        <v>0.39461564818793898</v>
      </c>
    </row>
    <row r="83" spans="1:38">
      <c r="A83" s="1">
        <v>42346</v>
      </c>
      <c r="B83">
        <v>2015</v>
      </c>
      <c r="C83">
        <v>12</v>
      </c>
      <c r="D83" t="s">
        <v>8994</v>
      </c>
      <c r="E83" s="1">
        <v>37531</v>
      </c>
      <c r="F83" t="s">
        <v>5976</v>
      </c>
      <c r="G83">
        <v>352</v>
      </c>
      <c r="H83">
        <v>26642</v>
      </c>
      <c r="I83">
        <v>1</v>
      </c>
      <c r="J83">
        <v>1</v>
      </c>
      <c r="K83">
        <v>1</v>
      </c>
      <c r="L83">
        <v>1</v>
      </c>
      <c r="M83" t="s">
        <v>3535</v>
      </c>
      <c r="N83" t="s">
        <v>3536</v>
      </c>
      <c r="O83">
        <v>1117.8559</v>
      </c>
      <c r="P83">
        <v>2071.4196000000002</v>
      </c>
      <c r="Q83" t="s">
        <v>30</v>
      </c>
      <c r="R83" t="s">
        <v>296</v>
      </c>
      <c r="S83" t="s">
        <v>325</v>
      </c>
      <c r="T83" t="s">
        <v>8773</v>
      </c>
      <c r="U83" s="1">
        <v>21354</v>
      </c>
      <c r="V83" t="s">
        <v>16</v>
      </c>
      <c r="W83" t="s">
        <v>29</v>
      </c>
      <c r="X83" t="s">
        <v>3283</v>
      </c>
      <c r="Y83">
        <v>80000</v>
      </c>
      <c r="Z83">
        <v>1</v>
      </c>
      <c r="AA83" t="s">
        <v>52</v>
      </c>
      <c r="AB83" t="s">
        <v>53</v>
      </c>
      <c r="AC83" t="s">
        <v>19</v>
      </c>
      <c r="AD83" t="s">
        <v>3577</v>
      </c>
      <c r="AE83" t="s">
        <v>3578</v>
      </c>
      <c r="AF83" t="s">
        <v>3579</v>
      </c>
      <c r="AG83" t="s">
        <v>3478</v>
      </c>
      <c r="AH83" t="s">
        <v>3475</v>
      </c>
      <c r="AI83">
        <v>2071.4196000000002</v>
      </c>
      <c r="AJ83">
        <v>1117.8559</v>
      </c>
      <c r="AK83">
        <v>953.56370000000004</v>
      </c>
      <c r="AL83">
        <v>0.460343090313522</v>
      </c>
    </row>
    <row r="84" spans="1:38">
      <c r="A84" s="1">
        <v>42346</v>
      </c>
      <c r="B84">
        <v>2015</v>
      </c>
      <c r="C84">
        <v>12</v>
      </c>
      <c r="D84" t="s">
        <v>8994</v>
      </c>
      <c r="E84" s="1">
        <v>37536</v>
      </c>
      <c r="F84" t="s">
        <v>5974</v>
      </c>
      <c r="G84">
        <v>385</v>
      </c>
      <c r="H84">
        <v>26512</v>
      </c>
      <c r="I84">
        <v>6</v>
      </c>
      <c r="J84">
        <v>1</v>
      </c>
      <c r="K84">
        <v>1</v>
      </c>
      <c r="L84">
        <v>2</v>
      </c>
      <c r="M84" t="s">
        <v>3567</v>
      </c>
      <c r="N84" t="s">
        <v>3568</v>
      </c>
      <c r="O84">
        <v>605.64919999999995</v>
      </c>
      <c r="P84">
        <v>1000.4375</v>
      </c>
      <c r="Q84" t="s">
        <v>30</v>
      </c>
      <c r="R84" t="s">
        <v>1019</v>
      </c>
      <c r="S84" t="s">
        <v>309</v>
      </c>
      <c r="T84" t="s">
        <v>8712</v>
      </c>
      <c r="U84" s="1">
        <v>18295</v>
      </c>
      <c r="V84" t="s">
        <v>16</v>
      </c>
      <c r="W84" t="s">
        <v>29</v>
      </c>
      <c r="X84" t="s">
        <v>3222</v>
      </c>
      <c r="Y84">
        <v>40000</v>
      </c>
      <c r="Z84">
        <v>2</v>
      </c>
      <c r="AA84" t="s">
        <v>77</v>
      </c>
      <c r="AB84" t="s">
        <v>53</v>
      </c>
      <c r="AC84" t="s">
        <v>23</v>
      </c>
      <c r="AD84" t="s">
        <v>3582</v>
      </c>
      <c r="AE84" t="s">
        <v>3582</v>
      </c>
      <c r="AF84" t="s">
        <v>3579</v>
      </c>
      <c r="AG84" t="s">
        <v>3479</v>
      </c>
      <c r="AH84" t="s">
        <v>3475</v>
      </c>
      <c r="AI84">
        <v>1000.4375</v>
      </c>
      <c r="AJ84">
        <v>605.64919999999995</v>
      </c>
      <c r="AK84">
        <v>394.78829999999999</v>
      </c>
      <c r="AL84">
        <v>0.39461565565065299</v>
      </c>
    </row>
    <row r="85" spans="1:38">
      <c r="A85" s="1">
        <v>42346</v>
      </c>
      <c r="B85">
        <v>2015</v>
      </c>
      <c r="C85">
        <v>12</v>
      </c>
      <c r="D85" t="s">
        <v>8994</v>
      </c>
      <c r="E85" s="1">
        <v>37505</v>
      </c>
      <c r="F85" t="s">
        <v>5982</v>
      </c>
      <c r="G85">
        <v>373</v>
      </c>
      <c r="H85">
        <v>22939</v>
      </c>
      <c r="I85">
        <v>9</v>
      </c>
      <c r="J85">
        <v>1</v>
      </c>
      <c r="K85">
        <v>1</v>
      </c>
      <c r="L85">
        <v>2</v>
      </c>
      <c r="M85" t="s">
        <v>3555</v>
      </c>
      <c r="N85" t="s">
        <v>3556</v>
      </c>
      <c r="O85">
        <v>1320.6838</v>
      </c>
      <c r="P85">
        <v>2181.5625</v>
      </c>
      <c r="Q85" t="s">
        <v>30</v>
      </c>
      <c r="R85" t="s">
        <v>1260</v>
      </c>
      <c r="S85" t="s">
        <v>453</v>
      </c>
      <c r="T85" t="s">
        <v>8332</v>
      </c>
      <c r="U85" s="1">
        <v>22444</v>
      </c>
      <c r="V85" t="s">
        <v>22</v>
      </c>
      <c r="W85" t="s">
        <v>29</v>
      </c>
      <c r="X85" t="s">
        <v>2831</v>
      </c>
      <c r="Y85">
        <v>60000</v>
      </c>
      <c r="Z85">
        <v>1</v>
      </c>
      <c r="AA85" t="s">
        <v>52</v>
      </c>
      <c r="AB85" t="s">
        <v>53</v>
      </c>
      <c r="AC85" t="s">
        <v>19</v>
      </c>
      <c r="AD85" t="s">
        <v>3586</v>
      </c>
      <c r="AE85" t="s">
        <v>3586</v>
      </c>
      <c r="AF85" t="s">
        <v>3587</v>
      </c>
      <c r="AG85" t="s">
        <v>3479</v>
      </c>
      <c r="AH85" t="s">
        <v>3475</v>
      </c>
      <c r="AI85">
        <v>2181.5625</v>
      </c>
      <c r="AJ85">
        <v>1320.6838</v>
      </c>
      <c r="AK85">
        <v>860.87869999999998</v>
      </c>
      <c r="AL85">
        <v>0.39461564818793898</v>
      </c>
    </row>
    <row r="86" spans="1:38">
      <c r="A86" s="1">
        <v>42346</v>
      </c>
      <c r="B86">
        <v>2015</v>
      </c>
      <c r="C86">
        <v>12</v>
      </c>
      <c r="D86" t="s">
        <v>8994</v>
      </c>
      <c r="E86" s="1">
        <v>37555</v>
      </c>
      <c r="F86" t="s">
        <v>5972</v>
      </c>
      <c r="G86">
        <v>381</v>
      </c>
      <c r="H86">
        <v>24917</v>
      </c>
      <c r="I86">
        <v>9</v>
      </c>
      <c r="J86">
        <v>1</v>
      </c>
      <c r="K86">
        <v>1</v>
      </c>
      <c r="L86">
        <v>2</v>
      </c>
      <c r="M86" t="s">
        <v>3563</v>
      </c>
      <c r="N86" t="s">
        <v>3564</v>
      </c>
      <c r="O86">
        <v>605.64919999999995</v>
      </c>
      <c r="P86">
        <v>1000.4375</v>
      </c>
      <c r="Q86" t="s">
        <v>13</v>
      </c>
      <c r="R86" t="s">
        <v>453</v>
      </c>
      <c r="S86" t="s">
        <v>529</v>
      </c>
      <c r="T86" t="s">
        <v>8454</v>
      </c>
      <c r="U86" s="1">
        <v>25770</v>
      </c>
      <c r="V86" t="s">
        <v>22</v>
      </c>
      <c r="W86" t="s">
        <v>16</v>
      </c>
      <c r="X86" t="s">
        <v>2954</v>
      </c>
      <c r="Y86">
        <v>90000</v>
      </c>
      <c r="Z86">
        <v>0</v>
      </c>
      <c r="AA86" t="s">
        <v>17</v>
      </c>
      <c r="AB86" t="s">
        <v>18</v>
      </c>
      <c r="AC86" t="s">
        <v>23</v>
      </c>
      <c r="AD86" t="s">
        <v>3586</v>
      </c>
      <c r="AE86" t="s">
        <v>3586</v>
      </c>
      <c r="AF86" t="s">
        <v>3587</v>
      </c>
      <c r="AG86" t="s">
        <v>3479</v>
      </c>
      <c r="AH86" t="s">
        <v>3475</v>
      </c>
      <c r="AI86">
        <v>1000.4375</v>
      </c>
      <c r="AJ86">
        <v>605.64919999999995</v>
      </c>
      <c r="AK86">
        <v>394.78829999999999</v>
      </c>
      <c r="AL86">
        <v>0.39461565565065299</v>
      </c>
    </row>
    <row r="87" spans="1:38">
      <c r="A87" s="1">
        <v>42347</v>
      </c>
      <c r="B87">
        <v>2015</v>
      </c>
      <c r="C87">
        <v>12</v>
      </c>
      <c r="D87" t="s">
        <v>8994</v>
      </c>
      <c r="E87" s="1">
        <v>37576</v>
      </c>
      <c r="F87" t="s">
        <v>5987</v>
      </c>
      <c r="G87">
        <v>381</v>
      </c>
      <c r="H87">
        <v>24913</v>
      </c>
      <c r="I87">
        <v>9</v>
      </c>
      <c r="J87">
        <v>1</v>
      </c>
      <c r="K87">
        <v>1</v>
      </c>
      <c r="L87">
        <v>2</v>
      </c>
      <c r="M87" t="s">
        <v>3563</v>
      </c>
      <c r="N87" t="s">
        <v>3564</v>
      </c>
      <c r="O87">
        <v>605.64919999999995</v>
      </c>
      <c r="P87">
        <v>1000.4375</v>
      </c>
      <c r="Q87" t="s">
        <v>26</v>
      </c>
      <c r="R87" t="s">
        <v>868</v>
      </c>
      <c r="S87" t="s">
        <v>62</v>
      </c>
      <c r="T87" t="s">
        <v>8450</v>
      </c>
      <c r="U87" s="1">
        <v>26159</v>
      </c>
      <c r="V87" t="s">
        <v>16</v>
      </c>
      <c r="W87" t="s">
        <v>29</v>
      </c>
      <c r="X87" t="s">
        <v>2950</v>
      </c>
      <c r="Y87">
        <v>90000</v>
      </c>
      <c r="Z87">
        <v>0</v>
      </c>
      <c r="AA87" t="s">
        <v>17</v>
      </c>
      <c r="AB87" t="s">
        <v>18</v>
      </c>
      <c r="AC87" t="s">
        <v>23</v>
      </c>
      <c r="AD87" t="s">
        <v>3586</v>
      </c>
      <c r="AE87" t="s">
        <v>3586</v>
      </c>
      <c r="AF87" t="s">
        <v>3587</v>
      </c>
      <c r="AG87" t="s">
        <v>3479</v>
      </c>
      <c r="AH87" t="s">
        <v>3475</v>
      </c>
      <c r="AI87">
        <v>1000.4375</v>
      </c>
      <c r="AJ87">
        <v>605.64919999999995</v>
      </c>
      <c r="AK87">
        <v>394.78829999999999</v>
      </c>
      <c r="AL87">
        <v>0.39461565565065299</v>
      </c>
    </row>
    <row r="88" spans="1:38">
      <c r="A88" s="1">
        <v>42347</v>
      </c>
      <c r="B88">
        <v>2015</v>
      </c>
      <c r="C88">
        <v>12</v>
      </c>
      <c r="D88" t="s">
        <v>8994</v>
      </c>
      <c r="E88" s="1">
        <v>37562</v>
      </c>
      <c r="F88" t="s">
        <v>5984</v>
      </c>
      <c r="G88">
        <v>334</v>
      </c>
      <c r="H88">
        <v>20808</v>
      </c>
      <c r="I88">
        <v>8</v>
      </c>
      <c r="J88">
        <v>1</v>
      </c>
      <c r="K88">
        <v>1</v>
      </c>
      <c r="L88">
        <v>2</v>
      </c>
      <c r="M88" t="s">
        <v>3509</v>
      </c>
      <c r="N88" t="s">
        <v>3510</v>
      </c>
      <c r="O88">
        <v>413.1463</v>
      </c>
      <c r="P88">
        <v>699.09820000000002</v>
      </c>
      <c r="Q88" t="s">
        <v>30</v>
      </c>
      <c r="R88" t="s">
        <v>1029</v>
      </c>
      <c r="S88" t="s">
        <v>476</v>
      </c>
      <c r="T88" t="s">
        <v>8068</v>
      </c>
      <c r="U88" s="1">
        <v>20227</v>
      </c>
      <c r="V88" t="s">
        <v>16</v>
      </c>
      <c r="W88" t="s">
        <v>29</v>
      </c>
      <c r="X88" t="s">
        <v>2562</v>
      </c>
      <c r="Y88">
        <v>10000</v>
      </c>
      <c r="Z88">
        <v>2</v>
      </c>
      <c r="AA88" t="s">
        <v>52</v>
      </c>
      <c r="AB88" t="s">
        <v>444</v>
      </c>
      <c r="AC88" t="s">
        <v>19</v>
      </c>
      <c r="AD88" t="s">
        <v>3585</v>
      </c>
      <c r="AE88" t="s">
        <v>3585</v>
      </c>
      <c r="AF88" t="s">
        <v>3584</v>
      </c>
      <c r="AG88" t="s">
        <v>3479</v>
      </c>
      <c r="AH88" t="s">
        <v>3475</v>
      </c>
      <c r="AI88">
        <v>699.09820000000002</v>
      </c>
      <c r="AJ88">
        <v>413.1463</v>
      </c>
      <c r="AK88">
        <v>285.95190000000002</v>
      </c>
      <c r="AL88">
        <v>0.409029661355157</v>
      </c>
    </row>
    <row r="89" spans="1:38">
      <c r="A89" s="1">
        <v>42347</v>
      </c>
      <c r="B89">
        <v>2015</v>
      </c>
      <c r="C89">
        <v>12</v>
      </c>
      <c r="D89" t="s">
        <v>8994</v>
      </c>
      <c r="E89" s="1">
        <v>37566</v>
      </c>
      <c r="F89" t="s">
        <v>5989</v>
      </c>
      <c r="G89">
        <v>330</v>
      </c>
      <c r="H89">
        <v>26567</v>
      </c>
      <c r="I89">
        <v>9</v>
      </c>
      <c r="J89">
        <v>1</v>
      </c>
      <c r="K89">
        <v>1</v>
      </c>
      <c r="L89">
        <v>2</v>
      </c>
      <c r="M89" t="s">
        <v>3505</v>
      </c>
      <c r="N89" t="s">
        <v>3506</v>
      </c>
      <c r="O89">
        <v>413.1463</v>
      </c>
      <c r="P89">
        <v>699.09820000000002</v>
      </c>
      <c r="Q89" t="s">
        <v>30</v>
      </c>
      <c r="R89" t="s">
        <v>132</v>
      </c>
      <c r="S89" t="s">
        <v>59</v>
      </c>
      <c r="T89" t="s">
        <v>8734</v>
      </c>
      <c r="U89" s="1">
        <v>20369</v>
      </c>
      <c r="V89" t="s">
        <v>22</v>
      </c>
      <c r="W89" t="s">
        <v>29</v>
      </c>
      <c r="X89" t="s">
        <v>3244</v>
      </c>
      <c r="Y89">
        <v>80000</v>
      </c>
      <c r="Z89">
        <v>2</v>
      </c>
      <c r="AA89" t="s">
        <v>52</v>
      </c>
      <c r="AB89" t="s">
        <v>53</v>
      </c>
      <c r="AC89" t="s">
        <v>23</v>
      </c>
      <c r="AD89" t="s">
        <v>3586</v>
      </c>
      <c r="AE89" t="s">
        <v>3586</v>
      </c>
      <c r="AF89" t="s">
        <v>3587</v>
      </c>
      <c r="AG89" t="s">
        <v>3479</v>
      </c>
      <c r="AH89" t="s">
        <v>3475</v>
      </c>
      <c r="AI89">
        <v>699.09820000000002</v>
      </c>
      <c r="AJ89">
        <v>413.1463</v>
      </c>
      <c r="AK89">
        <v>285.95190000000002</v>
      </c>
      <c r="AL89">
        <v>0.409029661355157</v>
      </c>
    </row>
    <row r="90" spans="1:38">
      <c r="A90" s="1">
        <v>42347</v>
      </c>
      <c r="B90">
        <v>2015</v>
      </c>
      <c r="C90">
        <v>12</v>
      </c>
      <c r="D90" t="s">
        <v>8994</v>
      </c>
      <c r="E90" s="1">
        <v>37524</v>
      </c>
      <c r="F90" t="s">
        <v>5983</v>
      </c>
      <c r="G90">
        <v>342</v>
      </c>
      <c r="H90">
        <v>20866</v>
      </c>
      <c r="I90">
        <v>10</v>
      </c>
      <c r="J90">
        <v>1</v>
      </c>
      <c r="K90">
        <v>1</v>
      </c>
      <c r="L90">
        <v>2</v>
      </c>
      <c r="M90" t="s">
        <v>3517</v>
      </c>
      <c r="N90" t="s">
        <v>3518</v>
      </c>
      <c r="O90">
        <v>413.1463</v>
      </c>
      <c r="P90">
        <v>699.09820000000002</v>
      </c>
      <c r="Q90" t="s">
        <v>13</v>
      </c>
      <c r="R90" t="s">
        <v>292</v>
      </c>
      <c r="S90" t="s">
        <v>343</v>
      </c>
      <c r="T90" t="s">
        <v>8101</v>
      </c>
      <c r="U90" s="1">
        <v>8190</v>
      </c>
      <c r="V90" t="s">
        <v>16</v>
      </c>
      <c r="W90" t="s">
        <v>16</v>
      </c>
      <c r="X90" t="s">
        <v>2597</v>
      </c>
      <c r="Y90">
        <v>130000</v>
      </c>
      <c r="Z90">
        <v>0</v>
      </c>
      <c r="AA90" t="s">
        <v>17</v>
      </c>
      <c r="AB90" t="s">
        <v>18</v>
      </c>
      <c r="AC90" t="s">
        <v>19</v>
      </c>
      <c r="AD90" t="s">
        <v>3588</v>
      </c>
      <c r="AE90" t="s">
        <v>3588</v>
      </c>
      <c r="AF90" t="s">
        <v>3584</v>
      </c>
      <c r="AG90" t="s">
        <v>3479</v>
      </c>
      <c r="AH90" t="s">
        <v>3475</v>
      </c>
      <c r="AI90">
        <v>699.09820000000002</v>
      </c>
      <c r="AJ90">
        <v>413.1463</v>
      </c>
      <c r="AK90">
        <v>285.95190000000002</v>
      </c>
      <c r="AL90">
        <v>0.409029661355157</v>
      </c>
    </row>
    <row r="91" spans="1:38">
      <c r="A91" s="1">
        <v>42347</v>
      </c>
      <c r="B91">
        <v>2015</v>
      </c>
      <c r="C91">
        <v>12</v>
      </c>
      <c r="D91" t="s">
        <v>8994</v>
      </c>
      <c r="E91" s="1">
        <v>37564</v>
      </c>
      <c r="F91" t="s">
        <v>5985</v>
      </c>
      <c r="G91">
        <v>369</v>
      </c>
      <c r="H91">
        <v>22954</v>
      </c>
      <c r="I91">
        <v>9</v>
      </c>
      <c r="J91">
        <v>1</v>
      </c>
      <c r="K91">
        <v>1</v>
      </c>
      <c r="L91">
        <v>2</v>
      </c>
      <c r="M91" t="s">
        <v>3549</v>
      </c>
      <c r="N91" t="s">
        <v>3550</v>
      </c>
      <c r="O91">
        <v>1518.7864</v>
      </c>
      <c r="P91">
        <v>2443.35</v>
      </c>
      <c r="Q91" t="s">
        <v>13</v>
      </c>
      <c r="R91" t="s">
        <v>614</v>
      </c>
      <c r="S91" t="s">
        <v>366</v>
      </c>
      <c r="T91" t="s">
        <v>8340</v>
      </c>
      <c r="U91" s="1">
        <v>23074</v>
      </c>
      <c r="V91" t="s">
        <v>22</v>
      </c>
      <c r="W91" t="s">
        <v>16</v>
      </c>
      <c r="X91" t="s">
        <v>2839</v>
      </c>
      <c r="Y91">
        <v>70000</v>
      </c>
      <c r="Z91">
        <v>0</v>
      </c>
      <c r="AA91" t="s">
        <v>17</v>
      </c>
      <c r="AB91" t="s">
        <v>18</v>
      </c>
      <c r="AC91" t="s">
        <v>23</v>
      </c>
      <c r="AD91" t="s">
        <v>3586</v>
      </c>
      <c r="AE91" t="s">
        <v>3586</v>
      </c>
      <c r="AF91" t="s">
        <v>3587</v>
      </c>
      <c r="AG91" t="s">
        <v>3479</v>
      </c>
      <c r="AH91" t="s">
        <v>3475</v>
      </c>
      <c r="AI91">
        <v>2443.35</v>
      </c>
      <c r="AJ91">
        <v>1518.7864</v>
      </c>
      <c r="AK91">
        <v>924.56359999999995</v>
      </c>
      <c r="AL91">
        <v>0.37839998362903399</v>
      </c>
    </row>
    <row r="92" spans="1:38">
      <c r="A92" s="1">
        <v>42347</v>
      </c>
      <c r="B92">
        <v>2015</v>
      </c>
      <c r="C92">
        <v>12</v>
      </c>
      <c r="D92" t="s">
        <v>8994</v>
      </c>
      <c r="E92" s="1">
        <v>37543</v>
      </c>
      <c r="F92" t="s">
        <v>5986</v>
      </c>
      <c r="G92">
        <v>354</v>
      </c>
      <c r="H92">
        <v>12229</v>
      </c>
      <c r="I92">
        <v>8</v>
      </c>
      <c r="J92">
        <v>1</v>
      </c>
      <c r="K92">
        <v>1</v>
      </c>
      <c r="L92">
        <v>1</v>
      </c>
      <c r="M92" t="s">
        <v>3537</v>
      </c>
      <c r="N92" t="s">
        <v>3538</v>
      </c>
      <c r="O92">
        <v>1117.8559</v>
      </c>
      <c r="P92">
        <v>2071.4196000000002</v>
      </c>
      <c r="Q92" t="s">
        <v>30</v>
      </c>
      <c r="R92" t="s">
        <v>213</v>
      </c>
      <c r="S92" t="s">
        <v>529</v>
      </c>
      <c r="T92" t="s">
        <v>6825</v>
      </c>
      <c r="U92" s="1">
        <v>20776</v>
      </c>
      <c r="V92" t="s">
        <v>16</v>
      </c>
      <c r="W92" t="s">
        <v>29</v>
      </c>
      <c r="X92" t="s">
        <v>1038</v>
      </c>
      <c r="Y92">
        <v>10000</v>
      </c>
      <c r="Z92">
        <v>2</v>
      </c>
      <c r="AA92" t="s">
        <v>52</v>
      </c>
      <c r="AB92" t="s">
        <v>444</v>
      </c>
      <c r="AC92" t="s">
        <v>19</v>
      </c>
      <c r="AD92" t="s">
        <v>3585</v>
      </c>
      <c r="AE92" t="s">
        <v>3585</v>
      </c>
      <c r="AF92" t="s">
        <v>3584</v>
      </c>
      <c r="AG92" t="s">
        <v>3478</v>
      </c>
      <c r="AH92" t="s">
        <v>3475</v>
      </c>
      <c r="AI92">
        <v>2071.4196000000002</v>
      </c>
      <c r="AJ92">
        <v>1117.8559</v>
      </c>
      <c r="AK92">
        <v>953.56370000000004</v>
      </c>
      <c r="AL92">
        <v>0.460343090313522</v>
      </c>
    </row>
    <row r="93" spans="1:38">
      <c r="A93" s="1">
        <v>42347</v>
      </c>
      <c r="B93">
        <v>2015</v>
      </c>
      <c r="C93">
        <v>12</v>
      </c>
      <c r="D93" t="s">
        <v>8994</v>
      </c>
      <c r="E93" s="1">
        <v>37542</v>
      </c>
      <c r="F93" t="s">
        <v>5988</v>
      </c>
      <c r="G93">
        <v>358</v>
      </c>
      <c r="H93">
        <v>13126</v>
      </c>
      <c r="I93">
        <v>9</v>
      </c>
      <c r="J93">
        <v>1</v>
      </c>
      <c r="K93">
        <v>1</v>
      </c>
      <c r="L93">
        <v>1</v>
      </c>
      <c r="M93" t="s">
        <v>3541</v>
      </c>
      <c r="N93" t="s">
        <v>3542</v>
      </c>
      <c r="O93">
        <v>1105.81</v>
      </c>
      <c r="P93">
        <v>2049.0981999999999</v>
      </c>
      <c r="Q93" t="s">
        <v>26</v>
      </c>
      <c r="R93" t="s">
        <v>1195</v>
      </c>
      <c r="S93" t="s">
        <v>907</v>
      </c>
      <c r="T93" t="s">
        <v>7113</v>
      </c>
      <c r="U93" s="1">
        <v>23411</v>
      </c>
      <c r="V93" t="s">
        <v>22</v>
      </c>
      <c r="W93" t="s">
        <v>29</v>
      </c>
      <c r="X93" t="s">
        <v>1426</v>
      </c>
      <c r="Y93">
        <v>70000</v>
      </c>
      <c r="Z93">
        <v>0</v>
      </c>
      <c r="AA93" t="s">
        <v>17</v>
      </c>
      <c r="AB93" t="s">
        <v>18</v>
      </c>
      <c r="AC93" t="s">
        <v>23</v>
      </c>
      <c r="AD93" t="s">
        <v>3586</v>
      </c>
      <c r="AE93" t="s">
        <v>3586</v>
      </c>
      <c r="AF93" t="s">
        <v>3587</v>
      </c>
      <c r="AG93" t="s">
        <v>3478</v>
      </c>
      <c r="AH93" t="s">
        <v>3475</v>
      </c>
      <c r="AI93">
        <v>2049.0981999999999</v>
      </c>
      <c r="AJ93">
        <v>1105.81</v>
      </c>
      <c r="AK93">
        <v>943.28819999999996</v>
      </c>
      <c r="AL93">
        <v>0.46034309141455498</v>
      </c>
    </row>
    <row r="94" spans="1:38">
      <c r="A94" s="1">
        <v>42348</v>
      </c>
      <c r="B94">
        <v>2015</v>
      </c>
      <c r="C94">
        <v>12</v>
      </c>
      <c r="D94" t="s">
        <v>8994</v>
      </c>
      <c r="E94" s="1">
        <v>37485</v>
      </c>
      <c r="F94" t="s">
        <v>5990</v>
      </c>
      <c r="G94">
        <v>387</v>
      </c>
      <c r="H94">
        <v>24920</v>
      </c>
      <c r="I94">
        <v>9</v>
      </c>
      <c r="J94">
        <v>1</v>
      </c>
      <c r="K94">
        <v>1</v>
      </c>
      <c r="L94">
        <v>2</v>
      </c>
      <c r="M94" t="s">
        <v>3569</v>
      </c>
      <c r="N94" t="s">
        <v>3570</v>
      </c>
      <c r="O94">
        <v>605.64919999999995</v>
      </c>
      <c r="P94">
        <v>1000.4375</v>
      </c>
      <c r="Q94" t="s">
        <v>26</v>
      </c>
      <c r="R94" t="s">
        <v>160</v>
      </c>
      <c r="S94" t="s">
        <v>223</v>
      </c>
      <c r="T94" t="s">
        <v>8457</v>
      </c>
      <c r="U94" s="1">
        <v>25867</v>
      </c>
      <c r="V94" t="s">
        <v>16</v>
      </c>
      <c r="W94" t="s">
        <v>29</v>
      </c>
      <c r="X94" t="s">
        <v>2957</v>
      </c>
      <c r="Y94">
        <v>110000</v>
      </c>
      <c r="Z94">
        <v>0</v>
      </c>
      <c r="AA94" t="s">
        <v>57</v>
      </c>
      <c r="AB94" t="s">
        <v>45</v>
      </c>
      <c r="AC94" t="s">
        <v>19</v>
      </c>
      <c r="AD94" t="s">
        <v>3586</v>
      </c>
      <c r="AE94" t="s">
        <v>3586</v>
      </c>
      <c r="AF94" t="s">
        <v>3587</v>
      </c>
      <c r="AG94" t="s">
        <v>3479</v>
      </c>
      <c r="AH94" t="s">
        <v>3475</v>
      </c>
      <c r="AI94">
        <v>1000.4375</v>
      </c>
      <c r="AJ94">
        <v>605.64919999999995</v>
      </c>
      <c r="AK94">
        <v>394.78829999999999</v>
      </c>
      <c r="AL94">
        <v>0.39461565565065299</v>
      </c>
    </row>
    <row r="95" spans="1:38">
      <c r="A95" s="1">
        <v>42348</v>
      </c>
      <c r="B95">
        <v>2015</v>
      </c>
      <c r="C95">
        <v>12</v>
      </c>
      <c r="D95" t="s">
        <v>8994</v>
      </c>
      <c r="E95" s="1">
        <v>37511</v>
      </c>
      <c r="F95" t="s">
        <v>5992</v>
      </c>
      <c r="G95">
        <v>334</v>
      </c>
      <c r="H95">
        <v>26566</v>
      </c>
      <c r="I95">
        <v>9</v>
      </c>
      <c r="J95">
        <v>1</v>
      </c>
      <c r="K95">
        <v>1</v>
      </c>
      <c r="L95">
        <v>2</v>
      </c>
      <c r="M95" t="s">
        <v>3509</v>
      </c>
      <c r="N95" t="s">
        <v>3510</v>
      </c>
      <c r="O95">
        <v>413.1463</v>
      </c>
      <c r="P95">
        <v>699.09820000000002</v>
      </c>
      <c r="Q95" t="s">
        <v>30</v>
      </c>
      <c r="R95" t="s">
        <v>218</v>
      </c>
      <c r="S95" t="s">
        <v>686</v>
      </c>
      <c r="T95" t="s">
        <v>8733</v>
      </c>
      <c r="U95" s="1">
        <v>19806</v>
      </c>
      <c r="V95" t="s">
        <v>22</v>
      </c>
      <c r="W95" t="s">
        <v>29</v>
      </c>
      <c r="X95" t="s">
        <v>3243</v>
      </c>
      <c r="Y95">
        <v>40000</v>
      </c>
      <c r="Z95">
        <v>3</v>
      </c>
      <c r="AA95" t="s">
        <v>77</v>
      </c>
      <c r="AB95" t="s">
        <v>60</v>
      </c>
      <c r="AC95" t="s">
        <v>23</v>
      </c>
      <c r="AD95" t="s">
        <v>3586</v>
      </c>
      <c r="AE95" t="s">
        <v>3586</v>
      </c>
      <c r="AF95" t="s">
        <v>3587</v>
      </c>
      <c r="AG95" t="s">
        <v>3479</v>
      </c>
      <c r="AH95" t="s">
        <v>3475</v>
      </c>
      <c r="AI95">
        <v>699.09820000000002</v>
      </c>
      <c r="AJ95">
        <v>413.1463</v>
      </c>
      <c r="AK95">
        <v>285.95190000000002</v>
      </c>
      <c r="AL95">
        <v>0.409029661355157</v>
      </c>
    </row>
    <row r="96" spans="1:38">
      <c r="A96" s="1">
        <v>42348</v>
      </c>
      <c r="B96">
        <v>2015</v>
      </c>
      <c r="C96">
        <v>12</v>
      </c>
      <c r="D96" t="s">
        <v>8994</v>
      </c>
      <c r="E96" s="1">
        <v>37569</v>
      </c>
      <c r="F96" t="s">
        <v>5995</v>
      </c>
      <c r="G96">
        <v>383</v>
      </c>
      <c r="H96">
        <v>19362</v>
      </c>
      <c r="I96">
        <v>10</v>
      </c>
      <c r="J96">
        <v>1</v>
      </c>
      <c r="K96">
        <v>1</v>
      </c>
      <c r="L96">
        <v>2</v>
      </c>
      <c r="M96" t="s">
        <v>3565</v>
      </c>
      <c r="N96" t="s">
        <v>3566</v>
      </c>
      <c r="O96">
        <v>605.64919999999995</v>
      </c>
      <c r="P96">
        <v>1000.4375</v>
      </c>
      <c r="Q96" t="s">
        <v>13</v>
      </c>
      <c r="R96" t="s">
        <v>487</v>
      </c>
      <c r="S96" t="s">
        <v>131</v>
      </c>
      <c r="T96" t="s">
        <v>7816</v>
      </c>
      <c r="U96" s="1">
        <v>23236</v>
      </c>
      <c r="V96" t="s">
        <v>16</v>
      </c>
      <c r="W96" t="s">
        <v>16</v>
      </c>
      <c r="X96" t="s">
        <v>2303</v>
      </c>
      <c r="Y96">
        <v>40000</v>
      </c>
      <c r="Z96">
        <v>1</v>
      </c>
      <c r="AA96" t="s">
        <v>17</v>
      </c>
      <c r="AB96" t="s">
        <v>53</v>
      </c>
      <c r="AC96" t="s">
        <v>19</v>
      </c>
      <c r="AD96" t="s">
        <v>3588</v>
      </c>
      <c r="AE96" t="s">
        <v>3588</v>
      </c>
      <c r="AF96" t="s">
        <v>3584</v>
      </c>
      <c r="AG96" t="s">
        <v>3479</v>
      </c>
      <c r="AH96" t="s">
        <v>3475</v>
      </c>
      <c r="AI96">
        <v>1000.4375</v>
      </c>
      <c r="AJ96">
        <v>605.64919999999995</v>
      </c>
      <c r="AK96">
        <v>394.78829999999999</v>
      </c>
      <c r="AL96">
        <v>0.39461565565065299</v>
      </c>
    </row>
    <row r="97" spans="1:38">
      <c r="A97" s="1">
        <v>42348</v>
      </c>
      <c r="B97">
        <v>2015</v>
      </c>
      <c r="C97">
        <v>12</v>
      </c>
      <c r="D97" t="s">
        <v>8994</v>
      </c>
      <c r="E97" s="1">
        <v>37527</v>
      </c>
      <c r="F97" t="s">
        <v>5994</v>
      </c>
      <c r="G97">
        <v>358</v>
      </c>
      <c r="H97">
        <v>13135</v>
      </c>
      <c r="I97">
        <v>9</v>
      </c>
      <c r="J97">
        <v>1</v>
      </c>
      <c r="K97">
        <v>1</v>
      </c>
      <c r="L97">
        <v>1</v>
      </c>
      <c r="M97" t="s">
        <v>3541</v>
      </c>
      <c r="N97" t="s">
        <v>3542</v>
      </c>
      <c r="O97">
        <v>1105.81</v>
      </c>
      <c r="P97">
        <v>2049.0981999999999</v>
      </c>
      <c r="Q97" t="s">
        <v>13</v>
      </c>
      <c r="R97" t="s">
        <v>700</v>
      </c>
      <c r="S97" t="s">
        <v>59</v>
      </c>
      <c r="T97" t="s">
        <v>7121</v>
      </c>
      <c r="U97" s="1">
        <v>21035</v>
      </c>
      <c r="V97" t="s">
        <v>22</v>
      </c>
      <c r="W97" t="s">
        <v>16</v>
      </c>
      <c r="X97" t="s">
        <v>1436</v>
      </c>
      <c r="Y97">
        <v>80000</v>
      </c>
      <c r="Z97">
        <v>1</v>
      </c>
      <c r="AA97" t="s">
        <v>52</v>
      </c>
      <c r="AB97" t="s">
        <v>53</v>
      </c>
      <c r="AC97" t="s">
        <v>19</v>
      </c>
      <c r="AD97" t="s">
        <v>3586</v>
      </c>
      <c r="AE97" t="s">
        <v>3586</v>
      </c>
      <c r="AF97" t="s">
        <v>3587</v>
      </c>
      <c r="AG97" t="s">
        <v>3478</v>
      </c>
      <c r="AH97" t="s">
        <v>3475</v>
      </c>
      <c r="AI97">
        <v>2049.0981999999999</v>
      </c>
      <c r="AJ97">
        <v>1105.81</v>
      </c>
      <c r="AK97">
        <v>943.28819999999996</v>
      </c>
      <c r="AL97">
        <v>0.46034309141455498</v>
      </c>
    </row>
    <row r="98" spans="1:38">
      <c r="A98" s="1">
        <v>42348</v>
      </c>
      <c r="B98">
        <v>2015</v>
      </c>
      <c r="C98">
        <v>12</v>
      </c>
      <c r="D98" t="s">
        <v>8994</v>
      </c>
      <c r="E98" s="1">
        <v>37498</v>
      </c>
      <c r="F98" t="s">
        <v>5991</v>
      </c>
      <c r="G98">
        <v>358</v>
      </c>
      <c r="H98">
        <v>13132</v>
      </c>
      <c r="I98">
        <v>9</v>
      </c>
      <c r="J98">
        <v>1</v>
      </c>
      <c r="K98">
        <v>1</v>
      </c>
      <c r="L98">
        <v>1</v>
      </c>
      <c r="M98" t="s">
        <v>3541</v>
      </c>
      <c r="N98" t="s">
        <v>3542</v>
      </c>
      <c r="O98">
        <v>1105.81</v>
      </c>
      <c r="P98">
        <v>2049.0981999999999</v>
      </c>
      <c r="Q98" t="s">
        <v>13</v>
      </c>
      <c r="R98" t="s">
        <v>158</v>
      </c>
      <c r="S98" t="s">
        <v>232</v>
      </c>
      <c r="T98" t="s">
        <v>7118</v>
      </c>
      <c r="U98" s="1">
        <v>21602</v>
      </c>
      <c r="V98" t="s">
        <v>22</v>
      </c>
      <c r="W98" t="s">
        <v>16</v>
      </c>
      <c r="X98" t="s">
        <v>1432</v>
      </c>
      <c r="Y98">
        <v>90000</v>
      </c>
      <c r="Z98">
        <v>1</v>
      </c>
      <c r="AA98" t="s">
        <v>17</v>
      </c>
      <c r="AB98" t="s">
        <v>18</v>
      </c>
      <c r="AC98" t="s">
        <v>19</v>
      </c>
      <c r="AD98" t="s">
        <v>3586</v>
      </c>
      <c r="AE98" t="s">
        <v>3586</v>
      </c>
      <c r="AF98" t="s">
        <v>3587</v>
      </c>
      <c r="AG98" t="s">
        <v>3478</v>
      </c>
      <c r="AH98" t="s">
        <v>3475</v>
      </c>
      <c r="AI98">
        <v>2049.0981999999999</v>
      </c>
      <c r="AJ98">
        <v>1105.81</v>
      </c>
      <c r="AK98">
        <v>943.28819999999996</v>
      </c>
      <c r="AL98">
        <v>0.46034309141455498</v>
      </c>
    </row>
    <row r="99" spans="1:38">
      <c r="A99" s="1">
        <v>42348</v>
      </c>
      <c r="B99">
        <v>2015</v>
      </c>
      <c r="C99">
        <v>12</v>
      </c>
      <c r="D99" t="s">
        <v>8994</v>
      </c>
      <c r="E99" s="1">
        <v>37481</v>
      </c>
      <c r="F99" t="s">
        <v>5993</v>
      </c>
      <c r="G99">
        <v>360</v>
      </c>
      <c r="H99">
        <v>26606</v>
      </c>
      <c r="I99">
        <v>1</v>
      </c>
      <c r="J99">
        <v>1</v>
      </c>
      <c r="K99">
        <v>1</v>
      </c>
      <c r="L99">
        <v>1</v>
      </c>
      <c r="M99" t="s">
        <v>3543</v>
      </c>
      <c r="N99" t="s">
        <v>3544</v>
      </c>
      <c r="O99">
        <v>1105.81</v>
      </c>
      <c r="P99">
        <v>2049.0981999999999</v>
      </c>
      <c r="Q99" t="s">
        <v>30</v>
      </c>
      <c r="R99" t="s">
        <v>278</v>
      </c>
      <c r="S99" t="s">
        <v>250</v>
      </c>
      <c r="T99" t="s">
        <v>8749</v>
      </c>
      <c r="U99" s="1">
        <v>23348</v>
      </c>
      <c r="V99" t="s">
        <v>22</v>
      </c>
      <c r="W99" t="s">
        <v>29</v>
      </c>
      <c r="X99" t="s">
        <v>3259</v>
      </c>
      <c r="Y99">
        <v>60000</v>
      </c>
      <c r="Z99">
        <v>3</v>
      </c>
      <c r="AA99" t="s">
        <v>135</v>
      </c>
      <c r="AB99" t="s">
        <v>18</v>
      </c>
      <c r="AC99" t="s">
        <v>19</v>
      </c>
      <c r="AD99" t="s">
        <v>3577</v>
      </c>
      <c r="AE99" t="s">
        <v>3578</v>
      </c>
      <c r="AF99" t="s">
        <v>3579</v>
      </c>
      <c r="AG99" t="s">
        <v>3478</v>
      </c>
      <c r="AH99" t="s">
        <v>3475</v>
      </c>
      <c r="AI99">
        <v>2049.0981999999999</v>
      </c>
      <c r="AJ99">
        <v>1105.81</v>
      </c>
      <c r="AK99">
        <v>943.28819999999996</v>
      </c>
      <c r="AL99">
        <v>0.46034309141455498</v>
      </c>
    </row>
    <row r="100" spans="1:38">
      <c r="A100" s="1">
        <v>42348</v>
      </c>
      <c r="B100">
        <v>2015</v>
      </c>
      <c r="C100">
        <v>12</v>
      </c>
      <c r="D100" t="s">
        <v>8994</v>
      </c>
      <c r="E100" s="1">
        <v>37562</v>
      </c>
      <c r="F100" t="s">
        <v>5996</v>
      </c>
      <c r="G100">
        <v>360</v>
      </c>
      <c r="H100">
        <v>26602</v>
      </c>
      <c r="I100">
        <v>4</v>
      </c>
      <c r="J100">
        <v>1</v>
      </c>
      <c r="K100">
        <v>1</v>
      </c>
      <c r="L100">
        <v>1</v>
      </c>
      <c r="M100" t="s">
        <v>3543</v>
      </c>
      <c r="N100" t="s">
        <v>3544</v>
      </c>
      <c r="O100">
        <v>1105.81</v>
      </c>
      <c r="P100">
        <v>2049.0981999999999</v>
      </c>
      <c r="Q100" t="s">
        <v>13</v>
      </c>
      <c r="R100" t="s">
        <v>141</v>
      </c>
      <c r="S100" t="s">
        <v>15</v>
      </c>
      <c r="T100" t="s">
        <v>8746</v>
      </c>
      <c r="U100" s="1">
        <v>23288</v>
      </c>
      <c r="V100" t="s">
        <v>22</v>
      </c>
      <c r="W100" t="s">
        <v>16</v>
      </c>
      <c r="X100" t="s">
        <v>3256</v>
      </c>
      <c r="Y100">
        <v>70000</v>
      </c>
      <c r="Z100">
        <v>4</v>
      </c>
      <c r="AA100" t="s">
        <v>17</v>
      </c>
      <c r="AB100" t="s">
        <v>18</v>
      </c>
      <c r="AC100" t="s">
        <v>19</v>
      </c>
      <c r="AD100" t="s">
        <v>3580</v>
      </c>
      <c r="AE100" t="s">
        <v>3578</v>
      </c>
      <c r="AF100" t="s">
        <v>3579</v>
      </c>
      <c r="AG100" t="s">
        <v>3478</v>
      </c>
      <c r="AH100" t="s">
        <v>3475</v>
      </c>
      <c r="AI100">
        <v>2049.0981999999999</v>
      </c>
      <c r="AJ100">
        <v>1105.81</v>
      </c>
      <c r="AK100">
        <v>943.28819999999996</v>
      </c>
      <c r="AL100">
        <v>0.46034309141455498</v>
      </c>
    </row>
    <row r="101" spans="1:38">
      <c r="A101" s="1">
        <v>42348</v>
      </c>
      <c r="B101">
        <v>2015</v>
      </c>
      <c r="C101">
        <v>12</v>
      </c>
      <c r="D101" t="s">
        <v>8994</v>
      </c>
      <c r="E101" s="1">
        <v>37510</v>
      </c>
      <c r="F101" t="s">
        <v>5998</v>
      </c>
      <c r="G101">
        <v>385</v>
      </c>
      <c r="H101">
        <v>14272</v>
      </c>
      <c r="I101">
        <v>1</v>
      </c>
      <c r="J101">
        <v>1</v>
      </c>
      <c r="K101">
        <v>1</v>
      </c>
      <c r="L101">
        <v>2</v>
      </c>
      <c r="M101" t="s">
        <v>3567</v>
      </c>
      <c r="N101" t="s">
        <v>3568</v>
      </c>
      <c r="O101">
        <v>605.64919999999995</v>
      </c>
      <c r="P101">
        <v>1000.4375</v>
      </c>
      <c r="Q101" t="s">
        <v>26</v>
      </c>
      <c r="R101" t="s">
        <v>48</v>
      </c>
      <c r="S101" t="s">
        <v>424</v>
      </c>
      <c r="T101" t="s">
        <v>7241</v>
      </c>
      <c r="U101" s="1">
        <v>27091</v>
      </c>
      <c r="V101" t="s">
        <v>22</v>
      </c>
      <c r="W101" t="s">
        <v>29</v>
      </c>
      <c r="X101" t="s">
        <v>1709</v>
      </c>
      <c r="Y101">
        <v>30000</v>
      </c>
      <c r="Z101">
        <v>0</v>
      </c>
      <c r="AA101" t="s">
        <v>57</v>
      </c>
      <c r="AB101" t="s">
        <v>53</v>
      </c>
      <c r="AC101" t="s">
        <v>23</v>
      </c>
      <c r="AD101" t="s">
        <v>3577</v>
      </c>
      <c r="AE101" t="s">
        <v>3578</v>
      </c>
      <c r="AF101" t="s">
        <v>3579</v>
      </c>
      <c r="AG101" t="s">
        <v>3479</v>
      </c>
      <c r="AH101" t="s">
        <v>3475</v>
      </c>
      <c r="AI101">
        <v>1000.4375</v>
      </c>
      <c r="AJ101">
        <v>605.64919999999995</v>
      </c>
      <c r="AK101">
        <v>394.78829999999999</v>
      </c>
      <c r="AL101">
        <v>0.39461565565065299</v>
      </c>
    </row>
    <row r="102" spans="1:38">
      <c r="A102" s="1">
        <v>42348</v>
      </c>
      <c r="B102">
        <v>2015</v>
      </c>
      <c r="C102">
        <v>12</v>
      </c>
      <c r="D102" t="s">
        <v>8994</v>
      </c>
      <c r="E102" s="1">
        <v>37575</v>
      </c>
      <c r="F102" t="s">
        <v>5997</v>
      </c>
      <c r="G102">
        <v>362</v>
      </c>
      <c r="H102">
        <v>26603</v>
      </c>
      <c r="I102">
        <v>4</v>
      </c>
      <c r="J102">
        <v>1</v>
      </c>
      <c r="K102">
        <v>1</v>
      </c>
      <c r="L102">
        <v>1</v>
      </c>
      <c r="M102" t="s">
        <v>3545</v>
      </c>
      <c r="N102" t="s">
        <v>3546</v>
      </c>
      <c r="O102">
        <v>1105.81</v>
      </c>
      <c r="P102">
        <v>2049.0981999999999</v>
      </c>
      <c r="Q102" t="s">
        <v>30</v>
      </c>
      <c r="R102" t="s">
        <v>1597</v>
      </c>
      <c r="S102" t="s">
        <v>34</v>
      </c>
      <c r="T102" t="s">
        <v>8747</v>
      </c>
      <c r="U102" s="1">
        <v>23104</v>
      </c>
      <c r="V102" t="s">
        <v>22</v>
      </c>
      <c r="W102" t="s">
        <v>29</v>
      </c>
      <c r="X102" t="s">
        <v>3257</v>
      </c>
      <c r="Y102">
        <v>70000</v>
      </c>
      <c r="Z102">
        <v>4</v>
      </c>
      <c r="AA102" t="s">
        <v>17</v>
      </c>
      <c r="AB102" t="s">
        <v>18</v>
      </c>
      <c r="AC102" t="s">
        <v>23</v>
      </c>
      <c r="AD102" t="s">
        <v>3580</v>
      </c>
      <c r="AE102" t="s">
        <v>3578</v>
      </c>
      <c r="AF102" t="s">
        <v>3579</v>
      </c>
      <c r="AG102" t="s">
        <v>3478</v>
      </c>
      <c r="AH102" t="s">
        <v>3475</v>
      </c>
      <c r="AI102">
        <v>2049.0981999999999</v>
      </c>
      <c r="AJ102">
        <v>1105.81</v>
      </c>
      <c r="AK102">
        <v>943.28819999999996</v>
      </c>
      <c r="AL102">
        <v>0.46034309141455498</v>
      </c>
    </row>
    <row r="103" spans="1:38">
      <c r="A103" s="1">
        <v>42349</v>
      </c>
      <c r="B103">
        <v>2015</v>
      </c>
      <c r="C103">
        <v>12</v>
      </c>
      <c r="D103" t="s">
        <v>8994</v>
      </c>
      <c r="E103" s="1">
        <v>37503</v>
      </c>
      <c r="F103" t="s">
        <v>6005</v>
      </c>
      <c r="G103">
        <v>338</v>
      </c>
      <c r="H103">
        <v>15427</v>
      </c>
      <c r="I103">
        <v>4</v>
      </c>
      <c r="J103">
        <v>1</v>
      </c>
      <c r="K103">
        <v>1</v>
      </c>
      <c r="L103">
        <v>2</v>
      </c>
      <c r="M103" t="s">
        <v>3513</v>
      </c>
      <c r="N103" t="s">
        <v>3514</v>
      </c>
      <c r="O103">
        <v>413.1463</v>
      </c>
      <c r="P103">
        <v>699.09820000000002</v>
      </c>
      <c r="Q103" t="s">
        <v>26</v>
      </c>
      <c r="R103" t="s">
        <v>427</v>
      </c>
      <c r="S103" t="s">
        <v>105</v>
      </c>
      <c r="T103" t="s">
        <v>7496</v>
      </c>
      <c r="U103" s="1">
        <v>29177</v>
      </c>
      <c r="V103" t="s">
        <v>22</v>
      </c>
      <c r="W103" t="s">
        <v>29</v>
      </c>
      <c r="X103" t="s">
        <v>1973</v>
      </c>
      <c r="Y103">
        <v>60000</v>
      </c>
      <c r="Z103">
        <v>0</v>
      </c>
      <c r="AA103" t="s">
        <v>52</v>
      </c>
      <c r="AB103" t="s">
        <v>53</v>
      </c>
      <c r="AC103" t="s">
        <v>23</v>
      </c>
      <c r="AD103" t="s">
        <v>3580</v>
      </c>
      <c r="AE103" t="s">
        <v>3578</v>
      </c>
      <c r="AF103" t="s">
        <v>3579</v>
      </c>
      <c r="AG103" t="s">
        <v>3479</v>
      </c>
      <c r="AH103" t="s">
        <v>3475</v>
      </c>
      <c r="AI103">
        <v>699.09820000000002</v>
      </c>
      <c r="AJ103">
        <v>413.1463</v>
      </c>
      <c r="AK103">
        <v>285.95190000000002</v>
      </c>
      <c r="AL103">
        <v>0.409029661355157</v>
      </c>
    </row>
    <row r="104" spans="1:38">
      <c r="A104" s="1">
        <v>42349</v>
      </c>
      <c r="B104">
        <v>2015</v>
      </c>
      <c r="C104">
        <v>12</v>
      </c>
      <c r="D104" t="s">
        <v>8994</v>
      </c>
      <c r="E104" s="1">
        <v>37583</v>
      </c>
      <c r="F104" t="s">
        <v>6010</v>
      </c>
      <c r="G104">
        <v>340</v>
      </c>
      <c r="H104">
        <v>20879</v>
      </c>
      <c r="I104">
        <v>10</v>
      </c>
      <c r="J104">
        <v>1</v>
      </c>
      <c r="K104">
        <v>1</v>
      </c>
      <c r="L104">
        <v>2</v>
      </c>
      <c r="M104" t="s">
        <v>3515</v>
      </c>
      <c r="N104" t="s">
        <v>3516</v>
      </c>
      <c r="O104">
        <v>413.1463</v>
      </c>
      <c r="P104">
        <v>699.09820000000002</v>
      </c>
      <c r="Q104" t="s">
        <v>26</v>
      </c>
      <c r="R104" t="s">
        <v>517</v>
      </c>
      <c r="S104" t="s">
        <v>109</v>
      </c>
      <c r="T104" t="s">
        <v>8105</v>
      </c>
      <c r="U104" s="1">
        <v>25087</v>
      </c>
      <c r="V104" t="s">
        <v>16</v>
      </c>
      <c r="W104" t="s">
        <v>29</v>
      </c>
      <c r="X104" t="s">
        <v>2601</v>
      </c>
      <c r="Y104">
        <v>40000</v>
      </c>
      <c r="Z104">
        <v>0</v>
      </c>
      <c r="AA104" t="s">
        <v>135</v>
      </c>
      <c r="AB104" t="s">
        <v>60</v>
      </c>
      <c r="AC104" t="s">
        <v>19</v>
      </c>
      <c r="AD104" t="s">
        <v>3588</v>
      </c>
      <c r="AE104" t="s">
        <v>3588</v>
      </c>
      <c r="AF104" t="s">
        <v>3584</v>
      </c>
      <c r="AG104" t="s">
        <v>3479</v>
      </c>
      <c r="AH104" t="s">
        <v>3475</v>
      </c>
      <c r="AI104">
        <v>699.09820000000002</v>
      </c>
      <c r="AJ104">
        <v>413.1463</v>
      </c>
      <c r="AK104">
        <v>285.95190000000002</v>
      </c>
      <c r="AL104">
        <v>0.409029661355157</v>
      </c>
    </row>
    <row r="105" spans="1:38">
      <c r="A105" s="1">
        <v>42349</v>
      </c>
      <c r="B105">
        <v>2015</v>
      </c>
      <c r="C105">
        <v>12</v>
      </c>
      <c r="D105" t="s">
        <v>8994</v>
      </c>
      <c r="E105" s="1">
        <v>37539</v>
      </c>
      <c r="F105" t="s">
        <v>6002</v>
      </c>
      <c r="G105">
        <v>377</v>
      </c>
      <c r="H105">
        <v>13736</v>
      </c>
      <c r="I105">
        <v>4</v>
      </c>
      <c r="J105">
        <v>1</v>
      </c>
      <c r="K105">
        <v>1</v>
      </c>
      <c r="L105">
        <v>2</v>
      </c>
      <c r="M105" t="s">
        <v>3559</v>
      </c>
      <c r="N105" t="s">
        <v>3560</v>
      </c>
      <c r="O105">
        <v>1320.6838</v>
      </c>
      <c r="P105">
        <v>2181.5625</v>
      </c>
      <c r="Q105" t="s">
        <v>13</v>
      </c>
      <c r="R105" t="s">
        <v>1139</v>
      </c>
      <c r="S105" t="s">
        <v>243</v>
      </c>
      <c r="T105" t="s">
        <v>7161</v>
      </c>
      <c r="U105" s="1">
        <v>20478</v>
      </c>
      <c r="V105" t="s">
        <v>16</v>
      </c>
      <c r="W105" t="s">
        <v>16</v>
      </c>
      <c r="X105" t="s">
        <v>1620</v>
      </c>
      <c r="Y105">
        <v>40000</v>
      </c>
      <c r="Z105">
        <v>1</v>
      </c>
      <c r="AA105" t="s">
        <v>52</v>
      </c>
      <c r="AB105" t="s">
        <v>60</v>
      </c>
      <c r="AC105" t="s">
        <v>19</v>
      </c>
      <c r="AD105" t="s">
        <v>3580</v>
      </c>
      <c r="AE105" t="s">
        <v>3578</v>
      </c>
      <c r="AF105" t="s">
        <v>3579</v>
      </c>
      <c r="AG105" t="s">
        <v>3479</v>
      </c>
      <c r="AH105" t="s">
        <v>3475</v>
      </c>
      <c r="AI105">
        <v>2181.5625</v>
      </c>
      <c r="AJ105">
        <v>1320.6838</v>
      </c>
      <c r="AK105">
        <v>860.87869999999998</v>
      </c>
      <c r="AL105">
        <v>0.39461564818793898</v>
      </c>
    </row>
    <row r="106" spans="1:38">
      <c r="A106" s="1">
        <v>42349</v>
      </c>
      <c r="B106">
        <v>2015</v>
      </c>
      <c r="C106">
        <v>12</v>
      </c>
      <c r="D106" t="s">
        <v>8994</v>
      </c>
      <c r="E106" s="1">
        <v>37549</v>
      </c>
      <c r="F106" t="s">
        <v>6007</v>
      </c>
      <c r="G106">
        <v>389</v>
      </c>
      <c r="H106">
        <v>14255</v>
      </c>
      <c r="I106">
        <v>1</v>
      </c>
      <c r="J106">
        <v>1</v>
      </c>
      <c r="K106">
        <v>1</v>
      </c>
      <c r="L106">
        <v>2</v>
      </c>
      <c r="M106" t="s">
        <v>3571</v>
      </c>
      <c r="N106" t="s">
        <v>3572</v>
      </c>
      <c r="O106">
        <v>605.64919999999995</v>
      </c>
      <c r="P106">
        <v>1000.4375</v>
      </c>
      <c r="Q106" t="s">
        <v>13</v>
      </c>
      <c r="R106" t="s">
        <v>262</v>
      </c>
      <c r="S106" t="s">
        <v>393</v>
      </c>
      <c r="T106" t="s">
        <v>7236</v>
      </c>
      <c r="U106" s="1">
        <v>15763</v>
      </c>
      <c r="V106" t="s">
        <v>22</v>
      </c>
      <c r="W106" t="s">
        <v>16</v>
      </c>
      <c r="X106" t="s">
        <v>1704</v>
      </c>
      <c r="Y106">
        <v>110000</v>
      </c>
      <c r="Z106">
        <v>2</v>
      </c>
      <c r="AA106" t="s">
        <v>17</v>
      </c>
      <c r="AB106" t="s">
        <v>45</v>
      </c>
      <c r="AC106" t="s">
        <v>19</v>
      </c>
      <c r="AD106" t="s">
        <v>3577</v>
      </c>
      <c r="AE106" t="s">
        <v>3578</v>
      </c>
      <c r="AF106" t="s">
        <v>3579</v>
      </c>
      <c r="AG106" t="s">
        <v>3479</v>
      </c>
      <c r="AH106" t="s">
        <v>3475</v>
      </c>
      <c r="AI106">
        <v>1000.4375</v>
      </c>
      <c r="AJ106">
        <v>605.64919999999995</v>
      </c>
      <c r="AK106">
        <v>394.78829999999999</v>
      </c>
      <c r="AL106">
        <v>0.39461565565065299</v>
      </c>
    </row>
    <row r="107" spans="1:38">
      <c r="A107" s="1">
        <v>42349</v>
      </c>
      <c r="B107">
        <v>2015</v>
      </c>
      <c r="C107">
        <v>12</v>
      </c>
      <c r="D107" t="s">
        <v>8994</v>
      </c>
      <c r="E107" s="1">
        <v>37578</v>
      </c>
      <c r="F107" t="s">
        <v>5999</v>
      </c>
      <c r="G107">
        <v>354</v>
      </c>
      <c r="H107">
        <v>28740</v>
      </c>
      <c r="I107">
        <v>7</v>
      </c>
      <c r="J107">
        <v>1</v>
      </c>
      <c r="K107">
        <v>1</v>
      </c>
      <c r="L107">
        <v>1</v>
      </c>
      <c r="M107" t="s">
        <v>3537</v>
      </c>
      <c r="N107" t="s">
        <v>3538</v>
      </c>
      <c r="O107">
        <v>1117.8559</v>
      </c>
      <c r="P107">
        <v>2071.4196000000002</v>
      </c>
      <c r="Q107" t="s">
        <v>30</v>
      </c>
      <c r="R107" t="s">
        <v>550</v>
      </c>
      <c r="S107" t="s">
        <v>121</v>
      </c>
      <c r="T107" t="s">
        <v>8872</v>
      </c>
      <c r="U107" s="1">
        <v>26759</v>
      </c>
      <c r="V107" t="s">
        <v>16</v>
      </c>
      <c r="W107" t="s">
        <v>29</v>
      </c>
      <c r="X107" t="s">
        <v>3384</v>
      </c>
      <c r="Y107">
        <v>40000</v>
      </c>
      <c r="Z107">
        <v>1</v>
      </c>
      <c r="AA107" t="s">
        <v>17</v>
      </c>
      <c r="AB107" t="s">
        <v>53</v>
      </c>
      <c r="AC107" t="s">
        <v>19</v>
      </c>
      <c r="AD107" t="s">
        <v>3583</v>
      </c>
      <c r="AE107" t="s">
        <v>3583</v>
      </c>
      <c r="AF107" t="s">
        <v>3584</v>
      </c>
      <c r="AG107" t="s">
        <v>3478</v>
      </c>
      <c r="AH107" t="s">
        <v>3475</v>
      </c>
      <c r="AI107">
        <v>2071.4196000000002</v>
      </c>
      <c r="AJ107">
        <v>1117.8559</v>
      </c>
      <c r="AK107">
        <v>953.56370000000004</v>
      </c>
      <c r="AL107">
        <v>0.460343090313522</v>
      </c>
    </row>
    <row r="108" spans="1:38">
      <c r="A108" s="1">
        <v>42349</v>
      </c>
      <c r="B108">
        <v>2015</v>
      </c>
      <c r="C108">
        <v>12</v>
      </c>
      <c r="D108" t="s">
        <v>8994</v>
      </c>
      <c r="E108" s="1">
        <v>37581</v>
      </c>
      <c r="F108" t="s">
        <v>6006</v>
      </c>
      <c r="G108">
        <v>362</v>
      </c>
      <c r="H108">
        <v>26635</v>
      </c>
      <c r="I108">
        <v>4</v>
      </c>
      <c r="J108">
        <v>1</v>
      </c>
      <c r="K108">
        <v>1</v>
      </c>
      <c r="L108">
        <v>1</v>
      </c>
      <c r="M108" t="s">
        <v>3545</v>
      </c>
      <c r="N108" t="s">
        <v>3546</v>
      </c>
      <c r="O108">
        <v>1105.81</v>
      </c>
      <c r="P108">
        <v>2049.0981999999999</v>
      </c>
      <c r="Q108" t="s">
        <v>30</v>
      </c>
      <c r="R108" t="s">
        <v>253</v>
      </c>
      <c r="S108" t="s">
        <v>250</v>
      </c>
      <c r="T108" t="s">
        <v>8770</v>
      </c>
      <c r="U108" s="1">
        <v>21684</v>
      </c>
      <c r="V108" t="s">
        <v>16</v>
      </c>
      <c r="W108" t="s">
        <v>29</v>
      </c>
      <c r="X108" t="s">
        <v>3280</v>
      </c>
      <c r="Y108">
        <v>60000</v>
      </c>
      <c r="Z108">
        <v>1</v>
      </c>
      <c r="AA108" t="s">
        <v>52</v>
      </c>
      <c r="AB108" t="s">
        <v>53</v>
      </c>
      <c r="AC108" t="s">
        <v>19</v>
      </c>
      <c r="AD108" t="s">
        <v>3580</v>
      </c>
      <c r="AE108" t="s">
        <v>3578</v>
      </c>
      <c r="AF108" t="s">
        <v>3579</v>
      </c>
      <c r="AG108" t="s">
        <v>3478</v>
      </c>
      <c r="AH108" t="s">
        <v>3475</v>
      </c>
      <c r="AI108">
        <v>2049.0981999999999</v>
      </c>
      <c r="AJ108">
        <v>1105.81</v>
      </c>
      <c r="AK108">
        <v>943.28819999999996</v>
      </c>
      <c r="AL108">
        <v>0.46034309141455498</v>
      </c>
    </row>
    <row r="109" spans="1:38">
      <c r="A109" s="1">
        <v>42349</v>
      </c>
      <c r="B109">
        <v>2015</v>
      </c>
      <c r="C109">
        <v>12</v>
      </c>
      <c r="D109" t="s">
        <v>8994</v>
      </c>
      <c r="E109" s="1">
        <v>37494</v>
      </c>
      <c r="F109" t="s">
        <v>6011</v>
      </c>
      <c r="G109">
        <v>379</v>
      </c>
      <c r="H109">
        <v>15072</v>
      </c>
      <c r="I109">
        <v>7</v>
      </c>
      <c r="J109">
        <v>1</v>
      </c>
      <c r="K109">
        <v>1</v>
      </c>
      <c r="L109">
        <v>2</v>
      </c>
      <c r="M109" t="s">
        <v>3561</v>
      </c>
      <c r="N109" t="s">
        <v>3562</v>
      </c>
      <c r="O109">
        <v>1320.6838</v>
      </c>
      <c r="P109">
        <v>2181.5625</v>
      </c>
      <c r="Q109" t="s">
        <v>26</v>
      </c>
      <c r="R109" t="s">
        <v>631</v>
      </c>
      <c r="S109" t="s">
        <v>561</v>
      </c>
      <c r="T109" t="s">
        <v>7401</v>
      </c>
      <c r="U109" s="1">
        <v>25753</v>
      </c>
      <c r="V109" t="s">
        <v>22</v>
      </c>
      <c r="W109" t="s">
        <v>29</v>
      </c>
      <c r="X109" t="s">
        <v>1877</v>
      </c>
      <c r="Y109">
        <v>30000</v>
      </c>
      <c r="Z109">
        <v>0</v>
      </c>
      <c r="AA109" t="s">
        <v>17</v>
      </c>
      <c r="AB109" t="s">
        <v>60</v>
      </c>
      <c r="AC109" t="s">
        <v>19</v>
      </c>
      <c r="AD109" t="s">
        <v>3583</v>
      </c>
      <c r="AE109" t="s">
        <v>3583</v>
      </c>
      <c r="AF109" t="s">
        <v>3584</v>
      </c>
      <c r="AG109" t="s">
        <v>3479</v>
      </c>
      <c r="AH109" t="s">
        <v>3475</v>
      </c>
      <c r="AI109">
        <v>2181.5625</v>
      </c>
      <c r="AJ109">
        <v>1320.6838</v>
      </c>
      <c r="AK109">
        <v>860.87869999999998</v>
      </c>
      <c r="AL109">
        <v>0.39461564818793898</v>
      </c>
    </row>
    <row r="110" spans="1:38">
      <c r="A110" s="1">
        <v>42349</v>
      </c>
      <c r="B110">
        <v>2015</v>
      </c>
      <c r="C110">
        <v>12</v>
      </c>
      <c r="D110" t="s">
        <v>8994</v>
      </c>
      <c r="E110" s="1">
        <v>37583</v>
      </c>
      <c r="F110" t="s">
        <v>6004</v>
      </c>
      <c r="G110">
        <v>354</v>
      </c>
      <c r="H110">
        <v>26631</v>
      </c>
      <c r="I110">
        <v>4</v>
      </c>
      <c r="J110">
        <v>1</v>
      </c>
      <c r="K110">
        <v>1</v>
      </c>
      <c r="L110">
        <v>1</v>
      </c>
      <c r="M110" t="s">
        <v>3537</v>
      </c>
      <c r="N110" t="s">
        <v>3538</v>
      </c>
      <c r="O110">
        <v>1117.8559</v>
      </c>
      <c r="P110">
        <v>2071.4196000000002</v>
      </c>
      <c r="Q110" t="s">
        <v>13</v>
      </c>
      <c r="R110" t="s">
        <v>679</v>
      </c>
      <c r="S110" t="s">
        <v>345</v>
      </c>
      <c r="T110" t="s">
        <v>8766</v>
      </c>
      <c r="U110" s="1">
        <v>21976</v>
      </c>
      <c r="V110" t="s">
        <v>16</v>
      </c>
      <c r="W110" t="s">
        <v>16</v>
      </c>
      <c r="X110" t="s">
        <v>3276</v>
      </c>
      <c r="Y110">
        <v>60000</v>
      </c>
      <c r="Z110">
        <v>1</v>
      </c>
      <c r="AA110" t="s">
        <v>52</v>
      </c>
      <c r="AB110" t="s">
        <v>53</v>
      </c>
      <c r="AC110" t="s">
        <v>19</v>
      </c>
      <c r="AD110" t="s">
        <v>3580</v>
      </c>
      <c r="AE110" t="s">
        <v>3578</v>
      </c>
      <c r="AF110" t="s">
        <v>3579</v>
      </c>
      <c r="AG110" t="s">
        <v>3478</v>
      </c>
      <c r="AH110" t="s">
        <v>3475</v>
      </c>
      <c r="AI110">
        <v>2071.4196000000002</v>
      </c>
      <c r="AJ110">
        <v>1117.8559</v>
      </c>
      <c r="AK110">
        <v>953.56370000000004</v>
      </c>
      <c r="AL110">
        <v>0.460343090313522</v>
      </c>
    </row>
    <row r="111" spans="1:38">
      <c r="A111" s="1">
        <v>42349</v>
      </c>
      <c r="B111">
        <v>2015</v>
      </c>
      <c r="C111">
        <v>12</v>
      </c>
      <c r="D111" t="s">
        <v>8994</v>
      </c>
      <c r="E111" s="1">
        <v>37503</v>
      </c>
      <c r="F111" t="s">
        <v>6008</v>
      </c>
      <c r="G111">
        <v>371</v>
      </c>
      <c r="H111">
        <v>15071</v>
      </c>
      <c r="I111">
        <v>7</v>
      </c>
      <c r="J111">
        <v>1</v>
      </c>
      <c r="K111">
        <v>1</v>
      </c>
      <c r="L111">
        <v>2</v>
      </c>
      <c r="M111" t="s">
        <v>3553</v>
      </c>
      <c r="N111" t="s">
        <v>3554</v>
      </c>
      <c r="O111">
        <v>1320.6838</v>
      </c>
      <c r="P111">
        <v>2181.5625</v>
      </c>
      <c r="Q111" t="s">
        <v>26</v>
      </c>
      <c r="R111" t="s">
        <v>1222</v>
      </c>
      <c r="S111" t="s">
        <v>217</v>
      </c>
      <c r="T111" t="s">
        <v>7400</v>
      </c>
      <c r="U111" s="1">
        <v>25919</v>
      </c>
      <c r="V111" t="s">
        <v>22</v>
      </c>
      <c r="W111" t="s">
        <v>29</v>
      </c>
      <c r="X111" t="s">
        <v>1876</v>
      </c>
      <c r="Y111">
        <v>30000</v>
      </c>
      <c r="Z111">
        <v>0</v>
      </c>
      <c r="AA111" t="s">
        <v>17</v>
      </c>
      <c r="AB111" t="s">
        <v>60</v>
      </c>
      <c r="AC111" t="s">
        <v>19</v>
      </c>
      <c r="AD111" t="s">
        <v>3583</v>
      </c>
      <c r="AE111" t="s">
        <v>3583</v>
      </c>
      <c r="AF111" t="s">
        <v>3584</v>
      </c>
      <c r="AG111" t="s">
        <v>3479</v>
      </c>
      <c r="AH111" t="s">
        <v>3475</v>
      </c>
      <c r="AI111">
        <v>2181.5625</v>
      </c>
      <c r="AJ111">
        <v>1320.6838</v>
      </c>
      <c r="AK111">
        <v>860.87869999999998</v>
      </c>
      <c r="AL111">
        <v>0.39461564818793898</v>
      </c>
    </row>
    <row r="112" spans="1:38">
      <c r="A112" s="1">
        <v>42349</v>
      </c>
      <c r="B112">
        <v>2015</v>
      </c>
      <c r="C112">
        <v>12</v>
      </c>
      <c r="D112" t="s">
        <v>8994</v>
      </c>
      <c r="E112" s="1">
        <v>37482</v>
      </c>
      <c r="F112" t="s">
        <v>6009</v>
      </c>
      <c r="G112">
        <v>352</v>
      </c>
      <c r="H112">
        <v>20656</v>
      </c>
      <c r="I112">
        <v>6</v>
      </c>
      <c r="J112">
        <v>1</v>
      </c>
      <c r="K112">
        <v>1</v>
      </c>
      <c r="L112">
        <v>1</v>
      </c>
      <c r="M112" t="s">
        <v>3535</v>
      </c>
      <c r="N112" t="s">
        <v>3536</v>
      </c>
      <c r="O112">
        <v>1117.8559</v>
      </c>
      <c r="P112">
        <v>2071.4196000000002</v>
      </c>
      <c r="Q112" t="s">
        <v>13</v>
      </c>
      <c r="R112" t="s">
        <v>249</v>
      </c>
      <c r="S112" t="s">
        <v>329</v>
      </c>
      <c r="T112" t="s">
        <v>8051</v>
      </c>
      <c r="U112" s="1">
        <v>25679</v>
      </c>
      <c r="V112" t="s">
        <v>16</v>
      </c>
      <c r="W112" t="s">
        <v>16</v>
      </c>
      <c r="X112" t="s">
        <v>2545</v>
      </c>
      <c r="Y112">
        <v>60000</v>
      </c>
      <c r="Z112">
        <v>1</v>
      </c>
      <c r="AA112" t="s">
        <v>135</v>
      </c>
      <c r="AB112" t="s">
        <v>18</v>
      </c>
      <c r="AC112" t="s">
        <v>19</v>
      </c>
      <c r="AD112" t="s">
        <v>3582</v>
      </c>
      <c r="AE112" t="s">
        <v>3582</v>
      </c>
      <c r="AF112" t="s">
        <v>3579</v>
      </c>
      <c r="AG112" t="s">
        <v>3478</v>
      </c>
      <c r="AH112" t="s">
        <v>3475</v>
      </c>
      <c r="AI112">
        <v>2071.4196000000002</v>
      </c>
      <c r="AJ112">
        <v>1117.8559</v>
      </c>
      <c r="AK112">
        <v>953.56370000000004</v>
      </c>
      <c r="AL112">
        <v>0.460343090313522</v>
      </c>
    </row>
    <row r="113" spans="1:38">
      <c r="A113" s="1">
        <v>42349</v>
      </c>
      <c r="B113">
        <v>2015</v>
      </c>
      <c r="C113">
        <v>12</v>
      </c>
      <c r="D113" t="s">
        <v>8994</v>
      </c>
      <c r="E113" s="1">
        <v>37571</v>
      </c>
      <c r="F113" t="s">
        <v>6003</v>
      </c>
      <c r="G113">
        <v>370</v>
      </c>
      <c r="H113">
        <v>15003</v>
      </c>
      <c r="I113">
        <v>7</v>
      </c>
      <c r="J113">
        <v>1</v>
      </c>
      <c r="K113">
        <v>1</v>
      </c>
      <c r="L113">
        <v>2</v>
      </c>
      <c r="M113" t="s">
        <v>3551</v>
      </c>
      <c r="N113" t="s">
        <v>3552</v>
      </c>
      <c r="O113">
        <v>1518.7864</v>
      </c>
      <c r="P113">
        <v>2443.35</v>
      </c>
      <c r="Q113" t="s">
        <v>13</v>
      </c>
      <c r="R113" t="s">
        <v>348</v>
      </c>
      <c r="S113" t="s">
        <v>15</v>
      </c>
      <c r="T113" t="s">
        <v>7377</v>
      </c>
      <c r="U113" s="1">
        <v>26928</v>
      </c>
      <c r="V113" t="s">
        <v>22</v>
      </c>
      <c r="W113" t="s">
        <v>16</v>
      </c>
      <c r="X113" t="s">
        <v>1853</v>
      </c>
      <c r="Y113">
        <v>20000</v>
      </c>
      <c r="Z113">
        <v>0</v>
      </c>
      <c r="AA113" t="s">
        <v>77</v>
      </c>
      <c r="AB113" t="s">
        <v>444</v>
      </c>
      <c r="AC113" t="s">
        <v>23</v>
      </c>
      <c r="AD113" t="s">
        <v>3583</v>
      </c>
      <c r="AE113" t="s">
        <v>3583</v>
      </c>
      <c r="AF113" t="s">
        <v>3584</v>
      </c>
      <c r="AG113" t="s">
        <v>3479</v>
      </c>
      <c r="AH113" t="s">
        <v>3475</v>
      </c>
      <c r="AI113">
        <v>2443.35</v>
      </c>
      <c r="AJ113">
        <v>1518.7864</v>
      </c>
      <c r="AK113">
        <v>924.56359999999995</v>
      </c>
      <c r="AL113">
        <v>0.37839998362903399</v>
      </c>
    </row>
    <row r="114" spans="1:38">
      <c r="A114" s="1">
        <v>42349</v>
      </c>
      <c r="B114">
        <v>2015</v>
      </c>
      <c r="C114">
        <v>12</v>
      </c>
      <c r="D114" t="s">
        <v>8994</v>
      </c>
      <c r="E114" s="1">
        <v>37573</v>
      </c>
      <c r="F114" t="s">
        <v>6001</v>
      </c>
      <c r="G114">
        <v>354</v>
      </c>
      <c r="H114">
        <v>13139</v>
      </c>
      <c r="I114">
        <v>9</v>
      </c>
      <c r="J114">
        <v>1</v>
      </c>
      <c r="K114">
        <v>1</v>
      </c>
      <c r="L114">
        <v>1</v>
      </c>
      <c r="M114" t="s">
        <v>3537</v>
      </c>
      <c r="N114" t="s">
        <v>3538</v>
      </c>
      <c r="O114">
        <v>1117.8559</v>
      </c>
      <c r="P114">
        <v>2071.4196000000002</v>
      </c>
      <c r="Q114" t="s">
        <v>30</v>
      </c>
      <c r="R114" t="s">
        <v>1184</v>
      </c>
      <c r="S114" t="s">
        <v>187</v>
      </c>
      <c r="T114" t="s">
        <v>7122</v>
      </c>
      <c r="U114" s="1">
        <v>20494</v>
      </c>
      <c r="V114" t="s">
        <v>22</v>
      </c>
      <c r="W114" t="s">
        <v>29</v>
      </c>
      <c r="X114" t="s">
        <v>1437</v>
      </c>
      <c r="Y114">
        <v>70000</v>
      </c>
      <c r="Z114">
        <v>1</v>
      </c>
      <c r="AA114" t="s">
        <v>52</v>
      </c>
      <c r="AB114" t="s">
        <v>53</v>
      </c>
      <c r="AC114" t="s">
        <v>23</v>
      </c>
      <c r="AD114" t="s">
        <v>3586</v>
      </c>
      <c r="AE114" t="s">
        <v>3586</v>
      </c>
      <c r="AF114" t="s">
        <v>3587</v>
      </c>
      <c r="AG114" t="s">
        <v>3478</v>
      </c>
      <c r="AH114" t="s">
        <v>3475</v>
      </c>
      <c r="AI114">
        <v>2071.4196000000002</v>
      </c>
      <c r="AJ114">
        <v>1117.8559</v>
      </c>
      <c r="AK114">
        <v>953.56370000000004</v>
      </c>
      <c r="AL114">
        <v>0.460343090313522</v>
      </c>
    </row>
    <row r="115" spans="1:38">
      <c r="A115" s="1">
        <v>42349</v>
      </c>
      <c r="B115">
        <v>2015</v>
      </c>
      <c r="C115">
        <v>12</v>
      </c>
      <c r="D115" t="s">
        <v>8994</v>
      </c>
      <c r="E115" s="1">
        <v>37524</v>
      </c>
      <c r="F115" t="s">
        <v>6000</v>
      </c>
      <c r="G115">
        <v>320</v>
      </c>
      <c r="H115">
        <v>15417</v>
      </c>
      <c r="I115">
        <v>4</v>
      </c>
      <c r="J115">
        <v>1</v>
      </c>
      <c r="K115">
        <v>1</v>
      </c>
      <c r="L115">
        <v>2</v>
      </c>
      <c r="M115" t="s">
        <v>3495</v>
      </c>
      <c r="N115" t="s">
        <v>3496</v>
      </c>
      <c r="O115">
        <v>413.1463</v>
      </c>
      <c r="P115">
        <v>699.09820000000002</v>
      </c>
      <c r="Q115" t="s">
        <v>13</v>
      </c>
      <c r="R115" t="s">
        <v>222</v>
      </c>
      <c r="S115" t="s">
        <v>42</v>
      </c>
      <c r="T115" t="s">
        <v>7493</v>
      </c>
      <c r="U115" s="1">
        <v>15132</v>
      </c>
      <c r="V115" t="s">
        <v>22</v>
      </c>
      <c r="W115" t="s">
        <v>16</v>
      </c>
      <c r="X115" t="s">
        <v>1970</v>
      </c>
      <c r="Y115">
        <v>70000</v>
      </c>
      <c r="Z115">
        <v>5</v>
      </c>
      <c r="AA115" t="s">
        <v>135</v>
      </c>
      <c r="AB115" t="s">
        <v>45</v>
      </c>
      <c r="AC115" t="s">
        <v>19</v>
      </c>
      <c r="AD115" t="s">
        <v>3580</v>
      </c>
      <c r="AE115" t="s">
        <v>3578</v>
      </c>
      <c r="AF115" t="s">
        <v>3579</v>
      </c>
      <c r="AG115" t="s">
        <v>3479</v>
      </c>
      <c r="AH115" t="s">
        <v>3475</v>
      </c>
      <c r="AI115">
        <v>699.09820000000002</v>
      </c>
      <c r="AJ115">
        <v>413.1463</v>
      </c>
      <c r="AK115">
        <v>285.95190000000002</v>
      </c>
      <c r="AL115">
        <v>0.409029661355157</v>
      </c>
    </row>
    <row r="116" spans="1:38">
      <c r="A116" s="1">
        <v>42350</v>
      </c>
      <c r="B116">
        <v>2015</v>
      </c>
      <c r="C116">
        <v>12</v>
      </c>
      <c r="D116" t="s">
        <v>8994</v>
      </c>
      <c r="E116" s="1">
        <v>37564</v>
      </c>
      <c r="F116" t="s">
        <v>6026</v>
      </c>
      <c r="G116">
        <v>377</v>
      </c>
      <c r="H116">
        <v>16411</v>
      </c>
      <c r="I116">
        <v>8</v>
      </c>
      <c r="J116">
        <v>1</v>
      </c>
      <c r="K116">
        <v>1</v>
      </c>
      <c r="L116">
        <v>2</v>
      </c>
      <c r="M116" t="s">
        <v>3559</v>
      </c>
      <c r="N116" t="s">
        <v>3560</v>
      </c>
      <c r="O116">
        <v>1320.6838</v>
      </c>
      <c r="P116">
        <v>2181.5625</v>
      </c>
      <c r="Q116" t="s">
        <v>13</v>
      </c>
      <c r="R116" t="s">
        <v>535</v>
      </c>
      <c r="S116" t="s">
        <v>109</v>
      </c>
      <c r="T116" t="s">
        <v>7603</v>
      </c>
      <c r="U116" s="1">
        <v>23610</v>
      </c>
      <c r="V116" t="s">
        <v>22</v>
      </c>
      <c r="W116" t="s">
        <v>16</v>
      </c>
      <c r="X116" t="s">
        <v>2085</v>
      </c>
      <c r="Y116">
        <v>10000</v>
      </c>
      <c r="Z116">
        <v>3</v>
      </c>
      <c r="AA116" t="s">
        <v>77</v>
      </c>
      <c r="AB116" t="s">
        <v>444</v>
      </c>
      <c r="AC116" t="s">
        <v>19</v>
      </c>
      <c r="AD116" t="s">
        <v>3585</v>
      </c>
      <c r="AE116" t="s">
        <v>3585</v>
      </c>
      <c r="AF116" t="s">
        <v>3584</v>
      </c>
      <c r="AG116" t="s">
        <v>3479</v>
      </c>
      <c r="AH116" t="s">
        <v>3475</v>
      </c>
      <c r="AI116">
        <v>2181.5625</v>
      </c>
      <c r="AJ116">
        <v>1320.6838</v>
      </c>
      <c r="AK116">
        <v>860.87869999999998</v>
      </c>
      <c r="AL116">
        <v>0.39461564818793898</v>
      </c>
    </row>
    <row r="117" spans="1:38">
      <c r="A117" s="1">
        <v>42350</v>
      </c>
      <c r="B117">
        <v>2015</v>
      </c>
      <c r="C117">
        <v>12</v>
      </c>
      <c r="D117" t="s">
        <v>8994</v>
      </c>
      <c r="E117" s="1">
        <v>37487</v>
      </c>
      <c r="F117" t="s">
        <v>6022</v>
      </c>
      <c r="G117">
        <v>371</v>
      </c>
      <c r="H117">
        <v>16422</v>
      </c>
      <c r="I117">
        <v>8</v>
      </c>
      <c r="J117">
        <v>1</v>
      </c>
      <c r="K117">
        <v>1</v>
      </c>
      <c r="L117">
        <v>2</v>
      </c>
      <c r="M117" t="s">
        <v>3553</v>
      </c>
      <c r="N117" t="s">
        <v>3554</v>
      </c>
      <c r="O117">
        <v>1320.6838</v>
      </c>
      <c r="P117">
        <v>2181.5625</v>
      </c>
      <c r="Q117" t="s">
        <v>13</v>
      </c>
      <c r="R117" t="s">
        <v>489</v>
      </c>
      <c r="S117" t="s">
        <v>474</v>
      </c>
      <c r="T117" t="s">
        <v>7607</v>
      </c>
      <c r="U117" s="1">
        <v>23097</v>
      </c>
      <c r="V117" t="s">
        <v>22</v>
      </c>
      <c r="W117" t="s">
        <v>16</v>
      </c>
      <c r="X117" t="s">
        <v>2089</v>
      </c>
      <c r="Y117">
        <v>20000</v>
      </c>
      <c r="Z117">
        <v>3</v>
      </c>
      <c r="AA117" t="s">
        <v>57</v>
      </c>
      <c r="AB117" t="s">
        <v>444</v>
      </c>
      <c r="AC117" t="s">
        <v>19</v>
      </c>
      <c r="AD117" t="s">
        <v>3585</v>
      </c>
      <c r="AE117" t="s">
        <v>3585</v>
      </c>
      <c r="AF117" t="s">
        <v>3584</v>
      </c>
      <c r="AG117" t="s">
        <v>3479</v>
      </c>
      <c r="AH117" t="s">
        <v>3475</v>
      </c>
      <c r="AI117">
        <v>2181.5625</v>
      </c>
      <c r="AJ117">
        <v>1320.6838</v>
      </c>
      <c r="AK117">
        <v>860.87869999999998</v>
      </c>
      <c r="AL117">
        <v>0.39461564818793898</v>
      </c>
    </row>
    <row r="118" spans="1:38">
      <c r="A118" s="1">
        <v>42350</v>
      </c>
      <c r="B118">
        <v>2015</v>
      </c>
      <c r="C118">
        <v>12</v>
      </c>
      <c r="D118" t="s">
        <v>8994</v>
      </c>
      <c r="E118" s="1">
        <v>37556</v>
      </c>
      <c r="F118" t="s">
        <v>6024</v>
      </c>
      <c r="G118">
        <v>368</v>
      </c>
      <c r="H118">
        <v>16442</v>
      </c>
      <c r="I118">
        <v>8</v>
      </c>
      <c r="J118">
        <v>1</v>
      </c>
      <c r="K118">
        <v>1</v>
      </c>
      <c r="L118">
        <v>2</v>
      </c>
      <c r="M118" t="s">
        <v>3547</v>
      </c>
      <c r="N118" t="s">
        <v>3548</v>
      </c>
      <c r="O118">
        <v>1518.7864</v>
      </c>
      <c r="P118">
        <v>2443.35</v>
      </c>
      <c r="Q118" t="s">
        <v>13</v>
      </c>
      <c r="R118" t="s">
        <v>61</v>
      </c>
      <c r="S118" t="s">
        <v>95</v>
      </c>
      <c r="T118" t="s">
        <v>7611</v>
      </c>
      <c r="U118" s="1">
        <v>29094</v>
      </c>
      <c r="V118" t="s">
        <v>22</v>
      </c>
      <c r="W118" t="s">
        <v>16</v>
      </c>
      <c r="X118" t="s">
        <v>2093</v>
      </c>
      <c r="Y118">
        <v>30000</v>
      </c>
      <c r="Z118">
        <v>3</v>
      </c>
      <c r="AA118" t="s">
        <v>52</v>
      </c>
      <c r="AB118" t="s">
        <v>60</v>
      </c>
      <c r="AC118" t="s">
        <v>19</v>
      </c>
      <c r="AD118" t="s">
        <v>3585</v>
      </c>
      <c r="AE118" t="s">
        <v>3585</v>
      </c>
      <c r="AF118" t="s">
        <v>3584</v>
      </c>
      <c r="AG118" t="s">
        <v>3479</v>
      </c>
      <c r="AH118" t="s">
        <v>3475</v>
      </c>
      <c r="AI118">
        <v>2443.35</v>
      </c>
      <c r="AJ118">
        <v>1518.7864</v>
      </c>
      <c r="AK118">
        <v>924.56359999999995</v>
      </c>
      <c r="AL118">
        <v>0.37839998362903399</v>
      </c>
    </row>
    <row r="119" spans="1:38">
      <c r="A119" s="1">
        <v>42350</v>
      </c>
      <c r="B119">
        <v>2015</v>
      </c>
      <c r="C119">
        <v>12</v>
      </c>
      <c r="D119" t="s">
        <v>8994</v>
      </c>
      <c r="E119" s="1">
        <v>37562</v>
      </c>
      <c r="F119" t="s">
        <v>6015</v>
      </c>
      <c r="G119">
        <v>375</v>
      </c>
      <c r="H119">
        <v>13724</v>
      </c>
      <c r="I119">
        <v>4</v>
      </c>
      <c r="J119">
        <v>1</v>
      </c>
      <c r="K119">
        <v>1</v>
      </c>
      <c r="L119">
        <v>2</v>
      </c>
      <c r="M119" t="s">
        <v>3557</v>
      </c>
      <c r="N119" t="s">
        <v>3558</v>
      </c>
      <c r="O119">
        <v>1320.6838</v>
      </c>
      <c r="P119">
        <v>2181.5625</v>
      </c>
      <c r="Q119" t="s">
        <v>13</v>
      </c>
      <c r="R119" t="s">
        <v>327</v>
      </c>
      <c r="S119" t="s">
        <v>366</v>
      </c>
      <c r="T119" t="s">
        <v>7152</v>
      </c>
      <c r="U119" s="1">
        <v>19766</v>
      </c>
      <c r="V119" t="s">
        <v>16</v>
      </c>
      <c r="W119" t="s">
        <v>16</v>
      </c>
      <c r="X119" t="s">
        <v>1611</v>
      </c>
      <c r="Y119">
        <v>40000</v>
      </c>
      <c r="Z119">
        <v>1</v>
      </c>
      <c r="AA119" t="s">
        <v>52</v>
      </c>
      <c r="AB119" t="s">
        <v>60</v>
      </c>
      <c r="AC119" t="s">
        <v>19</v>
      </c>
      <c r="AD119" t="s">
        <v>3580</v>
      </c>
      <c r="AE119" t="s">
        <v>3578</v>
      </c>
      <c r="AF119" t="s">
        <v>3579</v>
      </c>
      <c r="AG119" t="s">
        <v>3479</v>
      </c>
      <c r="AH119" t="s">
        <v>3475</v>
      </c>
      <c r="AI119">
        <v>2181.5625</v>
      </c>
      <c r="AJ119">
        <v>1320.6838</v>
      </c>
      <c r="AK119">
        <v>860.87869999999998</v>
      </c>
      <c r="AL119">
        <v>0.39461564818793898</v>
      </c>
    </row>
    <row r="120" spans="1:38">
      <c r="A120" s="1">
        <v>42350</v>
      </c>
      <c r="B120">
        <v>2015</v>
      </c>
      <c r="C120">
        <v>12</v>
      </c>
      <c r="D120" t="s">
        <v>8994</v>
      </c>
      <c r="E120" s="1">
        <v>37539</v>
      </c>
      <c r="F120" t="s">
        <v>6016</v>
      </c>
      <c r="G120">
        <v>377</v>
      </c>
      <c r="H120">
        <v>17203</v>
      </c>
      <c r="I120">
        <v>10</v>
      </c>
      <c r="J120">
        <v>1</v>
      </c>
      <c r="K120">
        <v>1</v>
      </c>
      <c r="L120">
        <v>2</v>
      </c>
      <c r="M120" t="s">
        <v>3559</v>
      </c>
      <c r="N120" t="s">
        <v>3560</v>
      </c>
      <c r="O120">
        <v>1320.6838</v>
      </c>
      <c r="P120">
        <v>2181.5625</v>
      </c>
      <c r="Q120" t="s">
        <v>30</v>
      </c>
      <c r="R120" t="s">
        <v>116</v>
      </c>
      <c r="S120" t="s">
        <v>131</v>
      </c>
      <c r="T120" t="s">
        <v>7669</v>
      </c>
      <c r="U120" s="1">
        <v>16486</v>
      </c>
      <c r="V120" t="s">
        <v>16</v>
      </c>
      <c r="W120" t="s">
        <v>29</v>
      </c>
      <c r="X120" t="s">
        <v>2154</v>
      </c>
      <c r="Y120">
        <v>130000</v>
      </c>
      <c r="Z120">
        <v>4</v>
      </c>
      <c r="AA120" t="s">
        <v>52</v>
      </c>
      <c r="AB120" t="s">
        <v>18</v>
      </c>
      <c r="AC120" t="s">
        <v>19</v>
      </c>
      <c r="AD120" t="s">
        <v>3588</v>
      </c>
      <c r="AE120" t="s">
        <v>3588</v>
      </c>
      <c r="AF120" t="s">
        <v>3584</v>
      </c>
      <c r="AG120" t="s">
        <v>3479</v>
      </c>
      <c r="AH120" t="s">
        <v>3475</v>
      </c>
      <c r="AI120">
        <v>2181.5625</v>
      </c>
      <c r="AJ120">
        <v>1320.6838</v>
      </c>
      <c r="AK120">
        <v>860.87869999999998</v>
      </c>
      <c r="AL120">
        <v>0.39461564818793898</v>
      </c>
    </row>
    <row r="121" spans="1:38">
      <c r="A121" s="1">
        <v>42350</v>
      </c>
      <c r="B121">
        <v>2015</v>
      </c>
      <c r="C121">
        <v>12</v>
      </c>
      <c r="D121" t="s">
        <v>8994</v>
      </c>
      <c r="E121" s="1">
        <v>37533</v>
      </c>
      <c r="F121" t="s">
        <v>6020</v>
      </c>
      <c r="G121">
        <v>352</v>
      </c>
      <c r="H121">
        <v>26617</v>
      </c>
      <c r="I121">
        <v>4</v>
      </c>
      <c r="J121">
        <v>1</v>
      </c>
      <c r="K121">
        <v>1</v>
      </c>
      <c r="L121">
        <v>1</v>
      </c>
      <c r="M121" t="s">
        <v>3535</v>
      </c>
      <c r="N121" t="s">
        <v>3536</v>
      </c>
      <c r="O121">
        <v>1117.8559</v>
      </c>
      <c r="P121">
        <v>2071.4196000000002</v>
      </c>
      <c r="Q121" t="s">
        <v>13</v>
      </c>
      <c r="R121" t="s">
        <v>679</v>
      </c>
      <c r="S121" t="s">
        <v>587</v>
      </c>
      <c r="T121" t="s">
        <v>8757</v>
      </c>
      <c r="U121" s="1">
        <v>22200</v>
      </c>
      <c r="V121" t="s">
        <v>16</v>
      </c>
      <c r="W121" t="s">
        <v>16</v>
      </c>
      <c r="X121" t="s">
        <v>3267</v>
      </c>
      <c r="Y121">
        <v>60000</v>
      </c>
      <c r="Z121">
        <v>1</v>
      </c>
      <c r="AA121" t="s">
        <v>52</v>
      </c>
      <c r="AB121" t="s">
        <v>53</v>
      </c>
      <c r="AC121" t="s">
        <v>19</v>
      </c>
      <c r="AD121" t="s">
        <v>3580</v>
      </c>
      <c r="AE121" t="s">
        <v>3578</v>
      </c>
      <c r="AF121" t="s">
        <v>3579</v>
      </c>
      <c r="AG121" t="s">
        <v>3478</v>
      </c>
      <c r="AH121" t="s">
        <v>3475</v>
      </c>
      <c r="AI121">
        <v>2071.4196000000002</v>
      </c>
      <c r="AJ121">
        <v>1117.8559</v>
      </c>
      <c r="AK121">
        <v>953.56370000000004</v>
      </c>
      <c r="AL121">
        <v>0.460343090313522</v>
      </c>
    </row>
    <row r="122" spans="1:38">
      <c r="A122" s="1">
        <v>42350</v>
      </c>
      <c r="B122">
        <v>2015</v>
      </c>
      <c r="C122">
        <v>12</v>
      </c>
      <c r="D122" t="s">
        <v>8994</v>
      </c>
      <c r="E122" s="1">
        <v>37578</v>
      </c>
      <c r="F122" t="s">
        <v>6013</v>
      </c>
      <c r="G122">
        <v>381</v>
      </c>
      <c r="H122">
        <v>19337</v>
      </c>
      <c r="I122">
        <v>10</v>
      </c>
      <c r="J122">
        <v>1</v>
      </c>
      <c r="K122">
        <v>1</v>
      </c>
      <c r="L122">
        <v>2</v>
      </c>
      <c r="M122" t="s">
        <v>3563</v>
      </c>
      <c r="N122" t="s">
        <v>3564</v>
      </c>
      <c r="O122">
        <v>605.64919999999995</v>
      </c>
      <c r="P122">
        <v>1000.4375</v>
      </c>
      <c r="Q122" t="s">
        <v>30</v>
      </c>
      <c r="R122" t="s">
        <v>502</v>
      </c>
      <c r="S122" t="s">
        <v>159</v>
      </c>
      <c r="T122" t="s">
        <v>7811</v>
      </c>
      <c r="U122" s="1">
        <v>23726</v>
      </c>
      <c r="V122" t="s">
        <v>22</v>
      </c>
      <c r="W122" t="s">
        <v>29</v>
      </c>
      <c r="X122" t="s">
        <v>2298</v>
      </c>
      <c r="Y122">
        <v>20000</v>
      </c>
      <c r="Z122">
        <v>3</v>
      </c>
      <c r="AA122" t="s">
        <v>57</v>
      </c>
      <c r="AB122" t="s">
        <v>444</v>
      </c>
      <c r="AC122" t="s">
        <v>19</v>
      </c>
      <c r="AD122" t="s">
        <v>3588</v>
      </c>
      <c r="AE122" t="s">
        <v>3588</v>
      </c>
      <c r="AF122" t="s">
        <v>3584</v>
      </c>
      <c r="AG122" t="s">
        <v>3479</v>
      </c>
      <c r="AH122" t="s">
        <v>3475</v>
      </c>
      <c r="AI122">
        <v>1000.4375</v>
      </c>
      <c r="AJ122">
        <v>605.64919999999995</v>
      </c>
      <c r="AK122">
        <v>394.78829999999999</v>
      </c>
      <c r="AL122">
        <v>0.39461565565065299</v>
      </c>
    </row>
    <row r="123" spans="1:38">
      <c r="A123" s="1">
        <v>42350</v>
      </c>
      <c r="B123">
        <v>2015</v>
      </c>
      <c r="C123">
        <v>12</v>
      </c>
      <c r="D123" t="s">
        <v>8994</v>
      </c>
      <c r="E123" s="1">
        <v>37538</v>
      </c>
      <c r="F123" t="s">
        <v>6021</v>
      </c>
      <c r="G123">
        <v>377</v>
      </c>
      <c r="H123">
        <v>15082</v>
      </c>
      <c r="I123">
        <v>7</v>
      </c>
      <c r="J123">
        <v>1</v>
      </c>
      <c r="K123">
        <v>1</v>
      </c>
      <c r="L123">
        <v>2</v>
      </c>
      <c r="M123" t="s">
        <v>3559</v>
      </c>
      <c r="N123" t="s">
        <v>3560</v>
      </c>
      <c r="O123">
        <v>1320.6838</v>
      </c>
      <c r="P123">
        <v>2181.5625</v>
      </c>
      <c r="Q123" t="s">
        <v>13</v>
      </c>
      <c r="R123" t="s">
        <v>893</v>
      </c>
      <c r="S123" t="s">
        <v>62</v>
      </c>
      <c r="T123" t="s">
        <v>7408</v>
      </c>
      <c r="U123" s="1">
        <v>25367</v>
      </c>
      <c r="V123" t="s">
        <v>16</v>
      </c>
      <c r="W123" t="s">
        <v>16</v>
      </c>
      <c r="X123" t="s">
        <v>1884</v>
      </c>
      <c r="Y123">
        <v>40000</v>
      </c>
      <c r="Z123">
        <v>0</v>
      </c>
      <c r="AA123" t="s">
        <v>135</v>
      </c>
      <c r="AB123" t="s">
        <v>60</v>
      </c>
      <c r="AC123" t="s">
        <v>19</v>
      </c>
      <c r="AD123" t="s">
        <v>3583</v>
      </c>
      <c r="AE123" t="s">
        <v>3583</v>
      </c>
      <c r="AF123" t="s">
        <v>3584</v>
      </c>
      <c r="AG123" t="s">
        <v>3479</v>
      </c>
      <c r="AH123" t="s">
        <v>3475</v>
      </c>
      <c r="AI123">
        <v>2181.5625</v>
      </c>
      <c r="AJ123">
        <v>1320.6838</v>
      </c>
      <c r="AK123">
        <v>860.87869999999998</v>
      </c>
      <c r="AL123">
        <v>0.39461564818793898</v>
      </c>
    </row>
    <row r="124" spans="1:38">
      <c r="A124" s="1">
        <v>42350</v>
      </c>
      <c r="B124">
        <v>2015</v>
      </c>
      <c r="C124">
        <v>12</v>
      </c>
      <c r="D124" t="s">
        <v>8994</v>
      </c>
      <c r="E124" s="1">
        <v>37584</v>
      </c>
      <c r="F124" t="s">
        <v>6025</v>
      </c>
      <c r="G124">
        <v>360</v>
      </c>
      <c r="H124">
        <v>26638</v>
      </c>
      <c r="I124">
        <v>1</v>
      </c>
      <c r="J124">
        <v>1</v>
      </c>
      <c r="K124">
        <v>1</v>
      </c>
      <c r="L124">
        <v>1</v>
      </c>
      <c r="M124" t="s">
        <v>3543</v>
      </c>
      <c r="N124" t="s">
        <v>3544</v>
      </c>
      <c r="O124">
        <v>1105.81</v>
      </c>
      <c r="P124">
        <v>2049.0981999999999</v>
      </c>
      <c r="Q124" t="s">
        <v>30</v>
      </c>
      <c r="R124" t="s">
        <v>333</v>
      </c>
      <c r="S124" t="s">
        <v>113</v>
      </c>
      <c r="T124" t="s">
        <v>8771</v>
      </c>
      <c r="U124" s="1">
        <v>21725</v>
      </c>
      <c r="V124" t="s">
        <v>22</v>
      </c>
      <c r="W124" t="s">
        <v>29</v>
      </c>
      <c r="X124" t="s">
        <v>3281</v>
      </c>
      <c r="Y124">
        <v>70000</v>
      </c>
      <c r="Z124">
        <v>1</v>
      </c>
      <c r="AA124" t="s">
        <v>135</v>
      </c>
      <c r="AB124" t="s">
        <v>18</v>
      </c>
      <c r="AC124" t="s">
        <v>23</v>
      </c>
      <c r="AD124" t="s">
        <v>3577</v>
      </c>
      <c r="AE124" t="s">
        <v>3578</v>
      </c>
      <c r="AF124" t="s">
        <v>3579</v>
      </c>
      <c r="AG124" t="s">
        <v>3478</v>
      </c>
      <c r="AH124" t="s">
        <v>3475</v>
      </c>
      <c r="AI124">
        <v>2049.0981999999999</v>
      </c>
      <c r="AJ124">
        <v>1105.81</v>
      </c>
      <c r="AK124">
        <v>943.28819999999996</v>
      </c>
      <c r="AL124">
        <v>0.46034309141455498</v>
      </c>
    </row>
    <row r="125" spans="1:38">
      <c r="A125" s="1">
        <v>42350</v>
      </c>
      <c r="B125">
        <v>2015</v>
      </c>
      <c r="C125">
        <v>12</v>
      </c>
      <c r="D125" t="s">
        <v>8994</v>
      </c>
      <c r="E125" s="1">
        <v>37566</v>
      </c>
      <c r="F125" t="s">
        <v>6014</v>
      </c>
      <c r="G125">
        <v>381</v>
      </c>
      <c r="H125">
        <v>18176</v>
      </c>
      <c r="I125">
        <v>8</v>
      </c>
      <c r="J125">
        <v>1</v>
      </c>
      <c r="K125">
        <v>1</v>
      </c>
      <c r="L125">
        <v>2</v>
      </c>
      <c r="M125" t="s">
        <v>3563</v>
      </c>
      <c r="N125" t="s">
        <v>3564</v>
      </c>
      <c r="O125">
        <v>605.64919999999995</v>
      </c>
      <c r="P125">
        <v>1000.4375</v>
      </c>
      <c r="Q125" t="s">
        <v>13</v>
      </c>
      <c r="R125" t="s">
        <v>1021</v>
      </c>
      <c r="S125" t="s">
        <v>194</v>
      </c>
      <c r="T125" t="s">
        <v>7710</v>
      </c>
      <c r="U125" s="1">
        <v>18440</v>
      </c>
      <c r="V125" t="s">
        <v>16</v>
      </c>
      <c r="W125" t="s">
        <v>16</v>
      </c>
      <c r="X125" t="s">
        <v>2197</v>
      </c>
      <c r="Y125">
        <v>110000</v>
      </c>
      <c r="Z125">
        <v>4</v>
      </c>
      <c r="AA125" t="s">
        <v>52</v>
      </c>
      <c r="AB125" t="s">
        <v>45</v>
      </c>
      <c r="AC125" t="s">
        <v>19</v>
      </c>
      <c r="AD125" t="s">
        <v>3585</v>
      </c>
      <c r="AE125" t="s">
        <v>3585</v>
      </c>
      <c r="AF125" t="s">
        <v>3584</v>
      </c>
      <c r="AG125" t="s">
        <v>3479</v>
      </c>
      <c r="AH125" t="s">
        <v>3475</v>
      </c>
      <c r="AI125">
        <v>1000.4375</v>
      </c>
      <c r="AJ125">
        <v>605.64919999999995</v>
      </c>
      <c r="AK125">
        <v>394.78829999999999</v>
      </c>
      <c r="AL125">
        <v>0.39461565565065299</v>
      </c>
    </row>
    <row r="126" spans="1:38">
      <c r="A126" s="1">
        <v>42350</v>
      </c>
      <c r="B126">
        <v>2015</v>
      </c>
      <c r="C126">
        <v>12</v>
      </c>
      <c r="D126" t="s">
        <v>8994</v>
      </c>
      <c r="E126" s="1">
        <v>37486</v>
      </c>
      <c r="F126" t="s">
        <v>6018</v>
      </c>
      <c r="G126">
        <v>370</v>
      </c>
      <c r="H126">
        <v>15064</v>
      </c>
      <c r="I126">
        <v>7</v>
      </c>
      <c r="J126">
        <v>1</v>
      </c>
      <c r="K126">
        <v>1</v>
      </c>
      <c r="L126">
        <v>2</v>
      </c>
      <c r="M126" t="s">
        <v>3551</v>
      </c>
      <c r="N126" t="s">
        <v>3552</v>
      </c>
      <c r="O126">
        <v>1518.7864</v>
      </c>
      <c r="P126">
        <v>2443.35</v>
      </c>
      <c r="Q126" t="s">
        <v>13</v>
      </c>
      <c r="R126" t="s">
        <v>637</v>
      </c>
      <c r="S126" t="s">
        <v>198</v>
      </c>
      <c r="T126" t="s">
        <v>7397</v>
      </c>
      <c r="U126" s="1">
        <v>22131</v>
      </c>
      <c r="V126" t="s">
        <v>16</v>
      </c>
      <c r="W126" t="s">
        <v>16</v>
      </c>
      <c r="X126" t="s">
        <v>1873</v>
      </c>
      <c r="Y126">
        <v>30000</v>
      </c>
      <c r="Z126">
        <v>3</v>
      </c>
      <c r="AA126" t="s">
        <v>17</v>
      </c>
      <c r="AB126" t="s">
        <v>60</v>
      </c>
      <c r="AC126" t="s">
        <v>19</v>
      </c>
      <c r="AD126" t="s">
        <v>3583</v>
      </c>
      <c r="AE126" t="s">
        <v>3583</v>
      </c>
      <c r="AF126" t="s">
        <v>3584</v>
      </c>
      <c r="AG126" t="s">
        <v>3479</v>
      </c>
      <c r="AH126" t="s">
        <v>3475</v>
      </c>
      <c r="AI126">
        <v>2443.35</v>
      </c>
      <c r="AJ126">
        <v>1518.7864</v>
      </c>
      <c r="AK126">
        <v>924.56359999999995</v>
      </c>
      <c r="AL126">
        <v>0.37839998362903399</v>
      </c>
    </row>
    <row r="127" spans="1:38">
      <c r="A127" s="1">
        <v>42350</v>
      </c>
      <c r="B127">
        <v>2015</v>
      </c>
      <c r="C127">
        <v>12</v>
      </c>
      <c r="D127" t="s">
        <v>8994</v>
      </c>
      <c r="E127" s="1">
        <v>37488</v>
      </c>
      <c r="F127" t="s">
        <v>6028</v>
      </c>
      <c r="G127">
        <v>385</v>
      </c>
      <c r="H127">
        <v>14284</v>
      </c>
      <c r="I127">
        <v>1</v>
      </c>
      <c r="J127">
        <v>1</v>
      </c>
      <c r="K127">
        <v>1</v>
      </c>
      <c r="L127">
        <v>2</v>
      </c>
      <c r="M127" t="s">
        <v>3567</v>
      </c>
      <c r="N127" t="s">
        <v>3568</v>
      </c>
      <c r="O127">
        <v>605.64919999999995</v>
      </c>
      <c r="P127">
        <v>1000.4375</v>
      </c>
      <c r="Q127" t="s">
        <v>13</v>
      </c>
      <c r="R127" t="s">
        <v>54</v>
      </c>
      <c r="S127" t="s">
        <v>166</v>
      </c>
      <c r="T127" t="s">
        <v>7243</v>
      </c>
      <c r="U127" s="1">
        <v>27197</v>
      </c>
      <c r="V127" t="s">
        <v>22</v>
      </c>
      <c r="W127" t="s">
        <v>16</v>
      </c>
      <c r="X127" t="s">
        <v>1711</v>
      </c>
      <c r="Y127">
        <v>60000</v>
      </c>
      <c r="Z127">
        <v>0</v>
      </c>
      <c r="AA127" t="s">
        <v>52</v>
      </c>
      <c r="AB127" t="s">
        <v>18</v>
      </c>
      <c r="AC127" t="s">
        <v>23</v>
      </c>
      <c r="AD127" t="s">
        <v>3577</v>
      </c>
      <c r="AE127" t="s">
        <v>3578</v>
      </c>
      <c r="AF127" t="s">
        <v>3579</v>
      </c>
      <c r="AG127" t="s">
        <v>3479</v>
      </c>
      <c r="AH127" t="s">
        <v>3475</v>
      </c>
      <c r="AI127">
        <v>1000.4375</v>
      </c>
      <c r="AJ127">
        <v>605.64919999999995</v>
      </c>
      <c r="AK127">
        <v>394.78829999999999</v>
      </c>
      <c r="AL127">
        <v>0.39461565565065299</v>
      </c>
    </row>
    <row r="128" spans="1:38">
      <c r="A128" s="1">
        <v>42350</v>
      </c>
      <c r="B128">
        <v>2015</v>
      </c>
      <c r="C128">
        <v>12</v>
      </c>
      <c r="D128" t="s">
        <v>8994</v>
      </c>
      <c r="E128" s="1">
        <v>37500</v>
      </c>
      <c r="F128" t="s">
        <v>6023</v>
      </c>
      <c r="G128">
        <v>328</v>
      </c>
      <c r="H128">
        <v>26560</v>
      </c>
      <c r="I128">
        <v>9</v>
      </c>
      <c r="J128">
        <v>1</v>
      </c>
      <c r="K128">
        <v>1</v>
      </c>
      <c r="L128">
        <v>2</v>
      </c>
      <c r="M128" t="s">
        <v>3503</v>
      </c>
      <c r="N128" t="s">
        <v>3504</v>
      </c>
      <c r="O128">
        <v>413.1463</v>
      </c>
      <c r="P128">
        <v>699.09820000000002</v>
      </c>
      <c r="Q128" t="s">
        <v>30</v>
      </c>
      <c r="R128" t="s">
        <v>1265</v>
      </c>
      <c r="S128" t="s">
        <v>271</v>
      </c>
      <c r="T128" t="s">
        <v>8729</v>
      </c>
      <c r="U128" s="1">
        <v>18783</v>
      </c>
      <c r="V128" t="s">
        <v>16</v>
      </c>
      <c r="W128" t="s">
        <v>29</v>
      </c>
      <c r="X128" t="s">
        <v>3239</v>
      </c>
      <c r="Y128">
        <v>20000</v>
      </c>
      <c r="Z128">
        <v>2</v>
      </c>
      <c r="AA128" t="s">
        <v>77</v>
      </c>
      <c r="AB128" t="s">
        <v>60</v>
      </c>
      <c r="AC128" t="s">
        <v>19</v>
      </c>
      <c r="AD128" t="s">
        <v>3586</v>
      </c>
      <c r="AE128" t="s">
        <v>3586</v>
      </c>
      <c r="AF128" t="s">
        <v>3587</v>
      </c>
      <c r="AG128" t="s">
        <v>3479</v>
      </c>
      <c r="AH128" t="s">
        <v>3475</v>
      </c>
      <c r="AI128">
        <v>699.09820000000002</v>
      </c>
      <c r="AJ128">
        <v>413.1463</v>
      </c>
      <c r="AK128">
        <v>285.95190000000002</v>
      </c>
      <c r="AL128">
        <v>0.409029661355157</v>
      </c>
    </row>
    <row r="129" spans="1:38">
      <c r="A129" s="1">
        <v>42350</v>
      </c>
      <c r="B129">
        <v>2015</v>
      </c>
      <c r="C129">
        <v>12</v>
      </c>
      <c r="D129" t="s">
        <v>8994</v>
      </c>
      <c r="E129" s="1">
        <v>37500</v>
      </c>
      <c r="F129" t="s">
        <v>6017</v>
      </c>
      <c r="G129">
        <v>379</v>
      </c>
      <c r="H129">
        <v>22908</v>
      </c>
      <c r="I129">
        <v>9</v>
      </c>
      <c r="J129">
        <v>1</v>
      </c>
      <c r="K129">
        <v>1</v>
      </c>
      <c r="L129">
        <v>2</v>
      </c>
      <c r="M129" t="s">
        <v>3561</v>
      </c>
      <c r="N129" t="s">
        <v>3562</v>
      </c>
      <c r="O129">
        <v>1320.6838</v>
      </c>
      <c r="P129">
        <v>2181.5625</v>
      </c>
      <c r="Q129" t="s">
        <v>13</v>
      </c>
      <c r="R129" t="s">
        <v>626</v>
      </c>
      <c r="S129" t="s">
        <v>460</v>
      </c>
      <c r="T129" t="s">
        <v>8314</v>
      </c>
      <c r="U129" s="1">
        <v>25649</v>
      </c>
      <c r="V129" t="s">
        <v>16</v>
      </c>
      <c r="W129" t="s">
        <v>16</v>
      </c>
      <c r="X129" t="s">
        <v>2813</v>
      </c>
      <c r="Y129">
        <v>90000</v>
      </c>
      <c r="Z129">
        <v>2</v>
      </c>
      <c r="AA129" t="s">
        <v>17</v>
      </c>
      <c r="AB129" t="s">
        <v>18</v>
      </c>
      <c r="AC129" t="s">
        <v>19</v>
      </c>
      <c r="AD129" t="s">
        <v>3586</v>
      </c>
      <c r="AE129" t="s">
        <v>3586</v>
      </c>
      <c r="AF129" t="s">
        <v>3587</v>
      </c>
      <c r="AG129" t="s">
        <v>3479</v>
      </c>
      <c r="AH129" t="s">
        <v>3475</v>
      </c>
      <c r="AI129">
        <v>2181.5625</v>
      </c>
      <c r="AJ129">
        <v>1320.6838</v>
      </c>
      <c r="AK129">
        <v>860.87869999999998</v>
      </c>
      <c r="AL129">
        <v>0.39461564818793898</v>
      </c>
    </row>
    <row r="130" spans="1:38">
      <c r="A130" s="1">
        <v>42350</v>
      </c>
      <c r="B130">
        <v>2015</v>
      </c>
      <c r="C130">
        <v>12</v>
      </c>
      <c r="D130" t="s">
        <v>8994</v>
      </c>
      <c r="E130" s="1">
        <v>37494</v>
      </c>
      <c r="F130" t="s">
        <v>6027</v>
      </c>
      <c r="G130">
        <v>360</v>
      </c>
      <c r="H130">
        <v>13105</v>
      </c>
      <c r="I130">
        <v>9</v>
      </c>
      <c r="J130">
        <v>1</v>
      </c>
      <c r="K130">
        <v>1</v>
      </c>
      <c r="L130">
        <v>1</v>
      </c>
      <c r="M130" t="s">
        <v>3543</v>
      </c>
      <c r="N130" t="s">
        <v>3544</v>
      </c>
      <c r="O130">
        <v>1105.81</v>
      </c>
      <c r="P130">
        <v>2049.0981999999999</v>
      </c>
      <c r="Q130" t="s">
        <v>30</v>
      </c>
      <c r="R130" t="s">
        <v>631</v>
      </c>
      <c r="S130" t="s">
        <v>1410</v>
      </c>
      <c r="T130" t="s">
        <v>7097</v>
      </c>
      <c r="U130" s="1">
        <v>22829</v>
      </c>
      <c r="V130" t="s">
        <v>16</v>
      </c>
      <c r="W130" t="s">
        <v>29</v>
      </c>
      <c r="X130" t="s">
        <v>1411</v>
      </c>
      <c r="Y130">
        <v>60000</v>
      </c>
      <c r="Z130">
        <v>1</v>
      </c>
      <c r="AA130" t="s">
        <v>17</v>
      </c>
      <c r="AB130" t="s">
        <v>18</v>
      </c>
      <c r="AC130" t="s">
        <v>19</v>
      </c>
      <c r="AD130" t="s">
        <v>3586</v>
      </c>
      <c r="AE130" t="s">
        <v>3586</v>
      </c>
      <c r="AF130" t="s">
        <v>3587</v>
      </c>
      <c r="AG130" t="s">
        <v>3478</v>
      </c>
      <c r="AH130" t="s">
        <v>3475</v>
      </c>
      <c r="AI130">
        <v>2049.0981999999999</v>
      </c>
      <c r="AJ130">
        <v>1105.81</v>
      </c>
      <c r="AK130">
        <v>943.28819999999996</v>
      </c>
      <c r="AL130">
        <v>0.46034309141455498</v>
      </c>
    </row>
    <row r="131" spans="1:38">
      <c r="A131" s="1">
        <v>42350</v>
      </c>
      <c r="B131">
        <v>2015</v>
      </c>
      <c r="C131">
        <v>12</v>
      </c>
      <c r="D131" t="s">
        <v>8994</v>
      </c>
      <c r="E131" s="1">
        <v>37518</v>
      </c>
      <c r="F131" t="s">
        <v>6012</v>
      </c>
      <c r="G131">
        <v>362</v>
      </c>
      <c r="H131">
        <v>13112</v>
      </c>
      <c r="I131">
        <v>9</v>
      </c>
      <c r="J131">
        <v>1</v>
      </c>
      <c r="K131">
        <v>1</v>
      </c>
      <c r="L131">
        <v>1</v>
      </c>
      <c r="M131" t="s">
        <v>3545</v>
      </c>
      <c r="N131" t="s">
        <v>3546</v>
      </c>
      <c r="O131">
        <v>1105.81</v>
      </c>
      <c r="P131">
        <v>2049.0981999999999</v>
      </c>
      <c r="Q131" t="s">
        <v>30</v>
      </c>
      <c r="R131" t="s">
        <v>211</v>
      </c>
      <c r="S131" t="s">
        <v>140</v>
      </c>
      <c r="T131" t="s">
        <v>7103</v>
      </c>
      <c r="U131" s="1">
        <v>22485</v>
      </c>
      <c r="V131" t="s">
        <v>22</v>
      </c>
      <c r="W131" t="s">
        <v>29</v>
      </c>
      <c r="X131" t="s">
        <v>1417</v>
      </c>
      <c r="Y131">
        <v>60000</v>
      </c>
      <c r="Z131">
        <v>1</v>
      </c>
      <c r="AA131" t="s">
        <v>52</v>
      </c>
      <c r="AB131" t="s">
        <v>53</v>
      </c>
      <c r="AC131" t="s">
        <v>19</v>
      </c>
      <c r="AD131" t="s">
        <v>3586</v>
      </c>
      <c r="AE131" t="s">
        <v>3586</v>
      </c>
      <c r="AF131" t="s">
        <v>3587</v>
      </c>
      <c r="AG131" t="s">
        <v>3478</v>
      </c>
      <c r="AH131" t="s">
        <v>3475</v>
      </c>
      <c r="AI131">
        <v>2049.0981999999999</v>
      </c>
      <c r="AJ131">
        <v>1105.81</v>
      </c>
      <c r="AK131">
        <v>943.28819999999996</v>
      </c>
      <c r="AL131">
        <v>0.46034309141455498</v>
      </c>
    </row>
    <row r="132" spans="1:38">
      <c r="A132" s="1">
        <v>42350</v>
      </c>
      <c r="B132">
        <v>2015</v>
      </c>
      <c r="C132">
        <v>12</v>
      </c>
      <c r="D132" t="s">
        <v>8994</v>
      </c>
      <c r="E132" s="1">
        <v>37534</v>
      </c>
      <c r="F132" t="s">
        <v>6019</v>
      </c>
      <c r="G132">
        <v>352</v>
      </c>
      <c r="H132">
        <v>13104</v>
      </c>
      <c r="I132">
        <v>9</v>
      </c>
      <c r="J132">
        <v>1</v>
      </c>
      <c r="K132">
        <v>1</v>
      </c>
      <c r="L132">
        <v>1</v>
      </c>
      <c r="M132" t="s">
        <v>3535</v>
      </c>
      <c r="N132" t="s">
        <v>3536</v>
      </c>
      <c r="O132">
        <v>1117.8559</v>
      </c>
      <c r="P132">
        <v>2071.4196000000002</v>
      </c>
      <c r="Q132" t="s">
        <v>13</v>
      </c>
      <c r="R132" t="s">
        <v>1408</v>
      </c>
      <c r="S132" t="s">
        <v>510</v>
      </c>
      <c r="T132" t="s">
        <v>7096</v>
      </c>
      <c r="U132" s="1">
        <v>23113</v>
      </c>
      <c r="V132" t="s">
        <v>22</v>
      </c>
      <c r="W132" t="s">
        <v>16</v>
      </c>
      <c r="X132" t="s">
        <v>1409</v>
      </c>
      <c r="Y132">
        <v>70000</v>
      </c>
      <c r="Z132">
        <v>0</v>
      </c>
      <c r="AA132" t="s">
        <v>17</v>
      </c>
      <c r="AB132" t="s">
        <v>18</v>
      </c>
      <c r="AC132" t="s">
        <v>23</v>
      </c>
      <c r="AD132" t="s">
        <v>3586</v>
      </c>
      <c r="AE132" t="s">
        <v>3586</v>
      </c>
      <c r="AF132" t="s">
        <v>3587</v>
      </c>
      <c r="AG132" t="s">
        <v>3478</v>
      </c>
      <c r="AH132" t="s">
        <v>3475</v>
      </c>
      <c r="AI132">
        <v>2071.4196000000002</v>
      </c>
      <c r="AJ132">
        <v>1117.8559</v>
      </c>
      <c r="AK132">
        <v>953.56370000000004</v>
      </c>
      <c r="AL132">
        <v>0.460343090313522</v>
      </c>
    </row>
    <row r="133" spans="1:38">
      <c r="A133" s="1">
        <v>42351</v>
      </c>
      <c r="B133">
        <v>2015</v>
      </c>
      <c r="C133">
        <v>12</v>
      </c>
      <c r="D133" t="s">
        <v>8994</v>
      </c>
      <c r="E133" s="1">
        <v>37581</v>
      </c>
      <c r="F133" t="s">
        <v>6031</v>
      </c>
      <c r="G133">
        <v>360</v>
      </c>
      <c r="H133">
        <v>26676</v>
      </c>
      <c r="I133">
        <v>4</v>
      </c>
      <c r="J133">
        <v>1</v>
      </c>
      <c r="K133">
        <v>1</v>
      </c>
      <c r="L133">
        <v>1</v>
      </c>
      <c r="M133" t="s">
        <v>3543</v>
      </c>
      <c r="N133" t="s">
        <v>3544</v>
      </c>
      <c r="O133">
        <v>1105.81</v>
      </c>
      <c r="P133">
        <v>2049.0981999999999</v>
      </c>
      <c r="Q133" t="s">
        <v>30</v>
      </c>
      <c r="R133" t="s">
        <v>178</v>
      </c>
      <c r="S133" t="s">
        <v>47</v>
      </c>
      <c r="T133" t="s">
        <v>8780</v>
      </c>
      <c r="U133" s="1">
        <v>21020</v>
      </c>
      <c r="V133" t="s">
        <v>16</v>
      </c>
      <c r="W133" t="s">
        <v>29</v>
      </c>
      <c r="X133" t="s">
        <v>3290</v>
      </c>
      <c r="Y133">
        <v>60000</v>
      </c>
      <c r="Z133">
        <v>2</v>
      </c>
      <c r="AA133" t="s">
        <v>57</v>
      </c>
      <c r="AB133" t="s">
        <v>18</v>
      </c>
      <c r="AC133" t="s">
        <v>19</v>
      </c>
      <c r="AD133" t="s">
        <v>3580</v>
      </c>
      <c r="AE133" t="s">
        <v>3578</v>
      </c>
      <c r="AF133" t="s">
        <v>3579</v>
      </c>
      <c r="AG133" t="s">
        <v>3478</v>
      </c>
      <c r="AH133" t="s">
        <v>3475</v>
      </c>
      <c r="AI133">
        <v>2049.0981999999999</v>
      </c>
      <c r="AJ133">
        <v>1105.81</v>
      </c>
      <c r="AK133">
        <v>943.28819999999996</v>
      </c>
      <c r="AL133">
        <v>0.46034309141455498</v>
      </c>
    </row>
    <row r="134" spans="1:38">
      <c r="A134" s="1">
        <v>42351</v>
      </c>
      <c r="B134">
        <v>2015</v>
      </c>
      <c r="C134">
        <v>12</v>
      </c>
      <c r="D134" t="s">
        <v>8994</v>
      </c>
      <c r="E134" s="1">
        <v>37574</v>
      </c>
      <c r="F134" t="s">
        <v>6033</v>
      </c>
      <c r="G134">
        <v>354</v>
      </c>
      <c r="H134">
        <v>13119</v>
      </c>
      <c r="I134">
        <v>9</v>
      </c>
      <c r="J134">
        <v>1</v>
      </c>
      <c r="K134">
        <v>1</v>
      </c>
      <c r="L134">
        <v>1</v>
      </c>
      <c r="M134" t="s">
        <v>3537</v>
      </c>
      <c r="N134" t="s">
        <v>3538</v>
      </c>
      <c r="O134">
        <v>1117.8559</v>
      </c>
      <c r="P134">
        <v>2071.4196000000002</v>
      </c>
      <c r="Q134" t="s">
        <v>26</v>
      </c>
      <c r="R134" t="s">
        <v>117</v>
      </c>
      <c r="S134" t="s">
        <v>929</v>
      </c>
      <c r="T134" t="s">
        <v>7110</v>
      </c>
      <c r="U134" s="1">
        <v>24056</v>
      </c>
      <c r="V134" t="s">
        <v>22</v>
      </c>
      <c r="W134" t="s">
        <v>29</v>
      </c>
      <c r="X134" t="s">
        <v>1423</v>
      </c>
      <c r="Y134">
        <v>70000</v>
      </c>
      <c r="Z134">
        <v>0</v>
      </c>
      <c r="AA134" t="s">
        <v>17</v>
      </c>
      <c r="AB134" t="s">
        <v>18</v>
      </c>
      <c r="AC134" t="s">
        <v>23</v>
      </c>
      <c r="AD134" t="s">
        <v>3586</v>
      </c>
      <c r="AE134" t="s">
        <v>3586</v>
      </c>
      <c r="AF134" t="s">
        <v>3587</v>
      </c>
      <c r="AG134" t="s">
        <v>3478</v>
      </c>
      <c r="AH134" t="s">
        <v>3475</v>
      </c>
      <c r="AI134">
        <v>2071.4196000000002</v>
      </c>
      <c r="AJ134">
        <v>1117.8559</v>
      </c>
      <c r="AK134">
        <v>953.56370000000004</v>
      </c>
      <c r="AL134">
        <v>0.460343090313522</v>
      </c>
    </row>
    <row r="135" spans="1:38">
      <c r="A135" s="1">
        <v>42351</v>
      </c>
      <c r="B135">
        <v>2015</v>
      </c>
      <c r="C135">
        <v>12</v>
      </c>
      <c r="D135" t="s">
        <v>8994</v>
      </c>
      <c r="E135" s="1">
        <v>37520</v>
      </c>
      <c r="F135" t="s">
        <v>6039</v>
      </c>
      <c r="G135">
        <v>368</v>
      </c>
      <c r="H135">
        <v>22943</v>
      </c>
      <c r="I135">
        <v>9</v>
      </c>
      <c r="J135">
        <v>1</v>
      </c>
      <c r="K135">
        <v>1</v>
      </c>
      <c r="L135">
        <v>2</v>
      </c>
      <c r="M135" t="s">
        <v>3547</v>
      </c>
      <c r="N135" t="s">
        <v>3548</v>
      </c>
      <c r="O135">
        <v>1518.7864</v>
      </c>
      <c r="P135">
        <v>2443.35</v>
      </c>
      <c r="Q135" t="s">
        <v>13</v>
      </c>
      <c r="R135" t="s">
        <v>757</v>
      </c>
      <c r="S135" t="s">
        <v>707</v>
      </c>
      <c r="T135" t="s">
        <v>8335</v>
      </c>
      <c r="U135" s="1">
        <v>22196</v>
      </c>
      <c r="V135" t="s">
        <v>22</v>
      </c>
      <c r="W135" t="s">
        <v>16</v>
      </c>
      <c r="X135" t="s">
        <v>2834</v>
      </c>
      <c r="Y135">
        <v>60000</v>
      </c>
      <c r="Z135">
        <v>1</v>
      </c>
      <c r="AA135" t="s">
        <v>52</v>
      </c>
      <c r="AB135" t="s">
        <v>53</v>
      </c>
      <c r="AC135" t="s">
        <v>23</v>
      </c>
      <c r="AD135" t="s">
        <v>3586</v>
      </c>
      <c r="AE135" t="s">
        <v>3586</v>
      </c>
      <c r="AF135" t="s">
        <v>3587</v>
      </c>
      <c r="AG135" t="s">
        <v>3479</v>
      </c>
      <c r="AH135" t="s">
        <v>3475</v>
      </c>
      <c r="AI135">
        <v>2443.35</v>
      </c>
      <c r="AJ135">
        <v>1518.7864</v>
      </c>
      <c r="AK135">
        <v>924.56359999999995</v>
      </c>
      <c r="AL135">
        <v>0.37839998362903399</v>
      </c>
    </row>
    <row r="136" spans="1:38">
      <c r="A136" s="1">
        <v>42351</v>
      </c>
      <c r="B136">
        <v>2015</v>
      </c>
      <c r="C136">
        <v>12</v>
      </c>
      <c r="D136" t="s">
        <v>8994</v>
      </c>
      <c r="E136" s="1">
        <v>37491</v>
      </c>
      <c r="F136" t="s">
        <v>6032</v>
      </c>
      <c r="G136">
        <v>360</v>
      </c>
      <c r="H136">
        <v>12335</v>
      </c>
      <c r="I136">
        <v>10</v>
      </c>
      <c r="J136">
        <v>1</v>
      </c>
      <c r="K136">
        <v>1</v>
      </c>
      <c r="L136">
        <v>1</v>
      </c>
      <c r="M136" t="s">
        <v>3543</v>
      </c>
      <c r="N136" t="s">
        <v>3544</v>
      </c>
      <c r="O136">
        <v>1105.81</v>
      </c>
      <c r="P136">
        <v>2049.0981999999999</v>
      </c>
      <c r="Q136" t="s">
        <v>13</v>
      </c>
      <c r="R136" t="s">
        <v>478</v>
      </c>
      <c r="S136" t="s">
        <v>809</v>
      </c>
      <c r="T136" t="s">
        <v>6898</v>
      </c>
      <c r="U136" s="1">
        <v>17586</v>
      </c>
      <c r="V136" t="s">
        <v>22</v>
      </c>
      <c r="W136" t="s">
        <v>16</v>
      </c>
      <c r="X136" t="s">
        <v>1101</v>
      </c>
      <c r="Y136">
        <v>150000</v>
      </c>
      <c r="Z136">
        <v>3</v>
      </c>
      <c r="AA136" t="s">
        <v>57</v>
      </c>
      <c r="AB136" t="s">
        <v>45</v>
      </c>
      <c r="AC136" t="s">
        <v>23</v>
      </c>
      <c r="AD136" t="s">
        <v>3588</v>
      </c>
      <c r="AE136" t="s">
        <v>3588</v>
      </c>
      <c r="AF136" t="s">
        <v>3584</v>
      </c>
      <c r="AG136" t="s">
        <v>3478</v>
      </c>
      <c r="AH136" t="s">
        <v>3475</v>
      </c>
      <c r="AI136">
        <v>2049.0981999999999</v>
      </c>
      <c r="AJ136">
        <v>1105.81</v>
      </c>
      <c r="AK136">
        <v>943.28819999999996</v>
      </c>
      <c r="AL136">
        <v>0.46034309141455498</v>
      </c>
    </row>
    <row r="137" spans="1:38">
      <c r="A137" s="1">
        <v>42351</v>
      </c>
      <c r="B137">
        <v>2015</v>
      </c>
      <c r="C137">
        <v>12</v>
      </c>
      <c r="D137" t="s">
        <v>8994</v>
      </c>
      <c r="E137" s="1">
        <v>37543</v>
      </c>
      <c r="F137" t="s">
        <v>6035</v>
      </c>
      <c r="G137">
        <v>338</v>
      </c>
      <c r="H137">
        <v>19295</v>
      </c>
      <c r="I137">
        <v>7</v>
      </c>
      <c r="J137">
        <v>1</v>
      </c>
      <c r="K137">
        <v>1</v>
      </c>
      <c r="L137">
        <v>2</v>
      </c>
      <c r="M137" t="s">
        <v>3513</v>
      </c>
      <c r="N137" t="s">
        <v>3514</v>
      </c>
      <c r="O137">
        <v>413.1463</v>
      </c>
      <c r="P137">
        <v>699.09820000000002</v>
      </c>
      <c r="Q137" t="s">
        <v>30</v>
      </c>
      <c r="R137" t="s">
        <v>372</v>
      </c>
      <c r="S137" t="s">
        <v>598</v>
      </c>
      <c r="T137" t="s">
        <v>7797</v>
      </c>
      <c r="U137" s="1">
        <v>25410</v>
      </c>
      <c r="V137" t="s">
        <v>22</v>
      </c>
      <c r="W137" t="s">
        <v>29</v>
      </c>
      <c r="X137" t="s">
        <v>2284</v>
      </c>
      <c r="Y137">
        <v>10000</v>
      </c>
      <c r="Z137">
        <v>2</v>
      </c>
      <c r="AA137" t="s">
        <v>57</v>
      </c>
      <c r="AB137" t="s">
        <v>444</v>
      </c>
      <c r="AC137" t="s">
        <v>19</v>
      </c>
      <c r="AD137" t="s">
        <v>3583</v>
      </c>
      <c r="AE137" t="s">
        <v>3583</v>
      </c>
      <c r="AF137" t="s">
        <v>3584</v>
      </c>
      <c r="AG137" t="s">
        <v>3479</v>
      </c>
      <c r="AH137" t="s">
        <v>3475</v>
      </c>
      <c r="AI137">
        <v>699.09820000000002</v>
      </c>
      <c r="AJ137">
        <v>413.1463</v>
      </c>
      <c r="AK137">
        <v>285.95190000000002</v>
      </c>
      <c r="AL137">
        <v>0.409029661355157</v>
      </c>
    </row>
    <row r="138" spans="1:38">
      <c r="A138" s="1">
        <v>42351</v>
      </c>
      <c r="B138">
        <v>2015</v>
      </c>
      <c r="C138">
        <v>12</v>
      </c>
      <c r="D138" t="s">
        <v>8994</v>
      </c>
      <c r="E138" s="1">
        <v>37587</v>
      </c>
      <c r="F138" t="s">
        <v>6036</v>
      </c>
      <c r="G138">
        <v>377</v>
      </c>
      <c r="H138">
        <v>22921</v>
      </c>
      <c r="I138">
        <v>9</v>
      </c>
      <c r="J138">
        <v>1</v>
      </c>
      <c r="K138">
        <v>1</v>
      </c>
      <c r="L138">
        <v>2</v>
      </c>
      <c r="M138" t="s">
        <v>3559</v>
      </c>
      <c r="N138" t="s">
        <v>3560</v>
      </c>
      <c r="O138">
        <v>1320.6838</v>
      </c>
      <c r="P138">
        <v>2181.5625</v>
      </c>
      <c r="Q138" t="s">
        <v>26</v>
      </c>
      <c r="R138" t="s">
        <v>868</v>
      </c>
      <c r="S138" t="s">
        <v>271</v>
      </c>
      <c r="T138" t="s">
        <v>8319</v>
      </c>
      <c r="U138" s="1">
        <v>24886</v>
      </c>
      <c r="V138" t="s">
        <v>22</v>
      </c>
      <c r="W138" t="s">
        <v>29</v>
      </c>
      <c r="X138" t="s">
        <v>2818</v>
      </c>
      <c r="Y138">
        <v>70000</v>
      </c>
      <c r="Z138">
        <v>0</v>
      </c>
      <c r="AA138" t="s">
        <v>17</v>
      </c>
      <c r="AB138" t="s">
        <v>18</v>
      </c>
      <c r="AC138" t="s">
        <v>19</v>
      </c>
      <c r="AD138" t="s">
        <v>3586</v>
      </c>
      <c r="AE138" t="s">
        <v>3586</v>
      </c>
      <c r="AF138" t="s">
        <v>3587</v>
      </c>
      <c r="AG138" t="s">
        <v>3479</v>
      </c>
      <c r="AH138" t="s">
        <v>3475</v>
      </c>
      <c r="AI138">
        <v>2181.5625</v>
      </c>
      <c r="AJ138">
        <v>1320.6838</v>
      </c>
      <c r="AK138">
        <v>860.87869999999998</v>
      </c>
      <c r="AL138">
        <v>0.39461564818793898</v>
      </c>
    </row>
    <row r="139" spans="1:38">
      <c r="A139" s="1">
        <v>42351</v>
      </c>
      <c r="B139">
        <v>2015</v>
      </c>
      <c r="C139">
        <v>12</v>
      </c>
      <c r="D139" t="s">
        <v>8994</v>
      </c>
      <c r="E139" s="1">
        <v>37529</v>
      </c>
      <c r="F139" t="s">
        <v>6037</v>
      </c>
      <c r="G139">
        <v>362</v>
      </c>
      <c r="H139">
        <v>12318</v>
      </c>
      <c r="I139">
        <v>10</v>
      </c>
      <c r="J139">
        <v>1</v>
      </c>
      <c r="K139">
        <v>1</v>
      </c>
      <c r="L139">
        <v>1</v>
      </c>
      <c r="M139" t="s">
        <v>3545</v>
      </c>
      <c r="N139" t="s">
        <v>3546</v>
      </c>
      <c r="O139">
        <v>1105.81</v>
      </c>
      <c r="P139">
        <v>2049.0981999999999</v>
      </c>
      <c r="Q139" t="s">
        <v>26</v>
      </c>
      <c r="R139" t="s">
        <v>897</v>
      </c>
      <c r="S139" t="s">
        <v>501</v>
      </c>
      <c r="T139" t="s">
        <v>6888</v>
      </c>
      <c r="U139" s="1">
        <v>19482</v>
      </c>
      <c r="V139" t="s">
        <v>16</v>
      </c>
      <c r="W139" t="s">
        <v>29</v>
      </c>
      <c r="X139" t="s">
        <v>1093</v>
      </c>
      <c r="Y139">
        <v>170000</v>
      </c>
      <c r="Z139">
        <v>0</v>
      </c>
      <c r="AA139" t="s">
        <v>17</v>
      </c>
      <c r="AB139" t="s">
        <v>45</v>
      </c>
      <c r="AC139" t="s">
        <v>23</v>
      </c>
      <c r="AD139" t="s">
        <v>3588</v>
      </c>
      <c r="AE139" t="s">
        <v>3588</v>
      </c>
      <c r="AF139" t="s">
        <v>3584</v>
      </c>
      <c r="AG139" t="s">
        <v>3478</v>
      </c>
      <c r="AH139" t="s">
        <v>3475</v>
      </c>
      <c r="AI139">
        <v>2049.0981999999999</v>
      </c>
      <c r="AJ139">
        <v>1105.81</v>
      </c>
      <c r="AK139">
        <v>943.28819999999996</v>
      </c>
      <c r="AL139">
        <v>0.46034309141455498</v>
      </c>
    </row>
    <row r="140" spans="1:38">
      <c r="A140" s="1">
        <v>42351</v>
      </c>
      <c r="B140">
        <v>2015</v>
      </c>
      <c r="C140">
        <v>12</v>
      </c>
      <c r="D140" t="s">
        <v>8994</v>
      </c>
      <c r="E140" s="1">
        <v>37545</v>
      </c>
      <c r="F140" t="s">
        <v>6029</v>
      </c>
      <c r="G140">
        <v>371</v>
      </c>
      <c r="H140">
        <v>16448</v>
      </c>
      <c r="I140">
        <v>8</v>
      </c>
      <c r="J140">
        <v>1</v>
      </c>
      <c r="K140">
        <v>1</v>
      </c>
      <c r="L140">
        <v>2</v>
      </c>
      <c r="M140" t="s">
        <v>3553</v>
      </c>
      <c r="N140" t="s">
        <v>3554</v>
      </c>
      <c r="O140">
        <v>1320.6838</v>
      </c>
      <c r="P140">
        <v>2181.5625</v>
      </c>
      <c r="Q140" t="s">
        <v>30</v>
      </c>
      <c r="R140" t="s">
        <v>188</v>
      </c>
      <c r="S140" t="s">
        <v>103</v>
      </c>
      <c r="T140" t="s">
        <v>7616</v>
      </c>
      <c r="U140" s="1">
        <v>22679</v>
      </c>
      <c r="V140" t="s">
        <v>16</v>
      </c>
      <c r="W140" t="s">
        <v>29</v>
      </c>
      <c r="X140" t="s">
        <v>2098</v>
      </c>
      <c r="Y140">
        <v>40000</v>
      </c>
      <c r="Z140">
        <v>1</v>
      </c>
      <c r="AA140" t="s">
        <v>17</v>
      </c>
      <c r="AB140" t="s">
        <v>53</v>
      </c>
      <c r="AC140" t="s">
        <v>19</v>
      </c>
      <c r="AD140" t="s">
        <v>3585</v>
      </c>
      <c r="AE140" t="s">
        <v>3585</v>
      </c>
      <c r="AF140" t="s">
        <v>3584</v>
      </c>
      <c r="AG140" t="s">
        <v>3479</v>
      </c>
      <c r="AH140" t="s">
        <v>3475</v>
      </c>
      <c r="AI140">
        <v>2181.5625</v>
      </c>
      <c r="AJ140">
        <v>1320.6838</v>
      </c>
      <c r="AK140">
        <v>860.87869999999998</v>
      </c>
      <c r="AL140">
        <v>0.39461564818793898</v>
      </c>
    </row>
    <row r="141" spans="1:38">
      <c r="A141" s="1">
        <v>42351</v>
      </c>
      <c r="B141">
        <v>2015</v>
      </c>
      <c r="C141">
        <v>12</v>
      </c>
      <c r="D141" t="s">
        <v>8994</v>
      </c>
      <c r="E141" s="1">
        <v>37493</v>
      </c>
      <c r="F141" t="s">
        <v>6030</v>
      </c>
      <c r="G141">
        <v>387</v>
      </c>
      <c r="H141">
        <v>14256</v>
      </c>
      <c r="I141">
        <v>1</v>
      </c>
      <c r="J141">
        <v>1</v>
      </c>
      <c r="K141">
        <v>1</v>
      </c>
      <c r="L141">
        <v>2</v>
      </c>
      <c r="M141" t="s">
        <v>3569</v>
      </c>
      <c r="N141" t="s">
        <v>3570</v>
      </c>
      <c r="O141">
        <v>605.64919999999995</v>
      </c>
      <c r="P141">
        <v>1000.4375</v>
      </c>
      <c r="Q141" t="s">
        <v>30</v>
      </c>
      <c r="R141" t="s">
        <v>31</v>
      </c>
      <c r="S141" t="s">
        <v>275</v>
      </c>
      <c r="T141" t="s">
        <v>7237</v>
      </c>
      <c r="U141" s="1">
        <v>15843</v>
      </c>
      <c r="V141" t="s">
        <v>22</v>
      </c>
      <c r="W141" t="s">
        <v>29</v>
      </c>
      <c r="X141" t="s">
        <v>1705</v>
      </c>
      <c r="Y141">
        <v>170000</v>
      </c>
      <c r="Z141">
        <v>2</v>
      </c>
      <c r="AA141" t="s">
        <v>135</v>
      </c>
      <c r="AB141" t="s">
        <v>45</v>
      </c>
      <c r="AC141" t="s">
        <v>23</v>
      </c>
      <c r="AD141" t="s">
        <v>3577</v>
      </c>
      <c r="AE141" t="s">
        <v>3578</v>
      </c>
      <c r="AF141" t="s">
        <v>3579</v>
      </c>
      <c r="AG141" t="s">
        <v>3479</v>
      </c>
      <c r="AH141" t="s">
        <v>3475</v>
      </c>
      <c r="AI141">
        <v>1000.4375</v>
      </c>
      <c r="AJ141">
        <v>605.64919999999995</v>
      </c>
      <c r="AK141">
        <v>394.78829999999999</v>
      </c>
      <c r="AL141">
        <v>0.39461565565065299</v>
      </c>
    </row>
    <row r="142" spans="1:38">
      <c r="A142" s="1">
        <v>42351</v>
      </c>
      <c r="B142">
        <v>2015</v>
      </c>
      <c r="C142">
        <v>12</v>
      </c>
      <c r="D142" t="s">
        <v>8994</v>
      </c>
      <c r="E142" s="1">
        <v>37503</v>
      </c>
      <c r="F142" t="s">
        <v>6040</v>
      </c>
      <c r="G142">
        <v>387</v>
      </c>
      <c r="H142">
        <v>24918</v>
      </c>
      <c r="I142">
        <v>9</v>
      </c>
      <c r="J142">
        <v>1</v>
      </c>
      <c r="K142">
        <v>1</v>
      </c>
      <c r="L142">
        <v>2</v>
      </c>
      <c r="M142" t="s">
        <v>3569</v>
      </c>
      <c r="N142" t="s">
        <v>3570</v>
      </c>
      <c r="O142">
        <v>605.64919999999995</v>
      </c>
      <c r="P142">
        <v>1000.4375</v>
      </c>
      <c r="Q142" t="s">
        <v>13</v>
      </c>
      <c r="R142" t="s">
        <v>836</v>
      </c>
      <c r="S142" t="s">
        <v>223</v>
      </c>
      <c r="T142" t="s">
        <v>8455</v>
      </c>
      <c r="U142" s="1">
        <v>25619</v>
      </c>
      <c r="V142" t="s">
        <v>22</v>
      </c>
      <c r="W142" t="s">
        <v>16</v>
      </c>
      <c r="X142" t="s">
        <v>2955</v>
      </c>
      <c r="Y142">
        <v>90000</v>
      </c>
      <c r="Z142">
        <v>0</v>
      </c>
      <c r="AA142" t="s">
        <v>17</v>
      </c>
      <c r="AB142" t="s">
        <v>18</v>
      </c>
      <c r="AC142" t="s">
        <v>23</v>
      </c>
      <c r="AD142" t="s">
        <v>3586</v>
      </c>
      <c r="AE142" t="s">
        <v>3586</v>
      </c>
      <c r="AF142" t="s">
        <v>3587</v>
      </c>
      <c r="AG142" t="s">
        <v>3479</v>
      </c>
      <c r="AH142" t="s">
        <v>3475</v>
      </c>
      <c r="AI142">
        <v>1000.4375</v>
      </c>
      <c r="AJ142">
        <v>605.64919999999995</v>
      </c>
      <c r="AK142">
        <v>394.78829999999999</v>
      </c>
      <c r="AL142">
        <v>0.39461565565065299</v>
      </c>
    </row>
    <row r="143" spans="1:38">
      <c r="A143" s="1">
        <v>42351</v>
      </c>
      <c r="B143">
        <v>2015</v>
      </c>
      <c r="C143">
        <v>12</v>
      </c>
      <c r="D143" t="s">
        <v>8994</v>
      </c>
      <c r="E143" s="1">
        <v>37527</v>
      </c>
      <c r="F143" t="s">
        <v>6034</v>
      </c>
      <c r="G143">
        <v>379</v>
      </c>
      <c r="H143">
        <v>22905</v>
      </c>
      <c r="I143">
        <v>9</v>
      </c>
      <c r="J143">
        <v>1</v>
      </c>
      <c r="K143">
        <v>1</v>
      </c>
      <c r="L143">
        <v>2</v>
      </c>
      <c r="M143" t="s">
        <v>3561</v>
      </c>
      <c r="N143" t="s">
        <v>3562</v>
      </c>
      <c r="O143">
        <v>1320.6838</v>
      </c>
      <c r="P143">
        <v>2181.5625</v>
      </c>
      <c r="Q143" t="s">
        <v>13</v>
      </c>
      <c r="R143" t="s">
        <v>774</v>
      </c>
      <c r="S143" t="s">
        <v>501</v>
      </c>
      <c r="T143" t="s">
        <v>8311</v>
      </c>
      <c r="U143" s="1">
        <v>25402</v>
      </c>
      <c r="V143" t="s">
        <v>16</v>
      </c>
      <c r="W143" t="s">
        <v>16</v>
      </c>
      <c r="X143" t="s">
        <v>2810</v>
      </c>
      <c r="Y143">
        <v>90000</v>
      </c>
      <c r="Z143">
        <v>1</v>
      </c>
      <c r="AA143" t="s">
        <v>135</v>
      </c>
      <c r="AB143" t="s">
        <v>45</v>
      </c>
      <c r="AC143" t="s">
        <v>19</v>
      </c>
      <c r="AD143" t="s">
        <v>3586</v>
      </c>
      <c r="AE143" t="s">
        <v>3586</v>
      </c>
      <c r="AF143" t="s">
        <v>3587</v>
      </c>
      <c r="AG143" t="s">
        <v>3479</v>
      </c>
      <c r="AH143" t="s">
        <v>3475</v>
      </c>
      <c r="AI143">
        <v>2181.5625</v>
      </c>
      <c r="AJ143">
        <v>1320.6838</v>
      </c>
      <c r="AK143">
        <v>860.87869999999998</v>
      </c>
      <c r="AL143">
        <v>0.39461564818793898</v>
      </c>
    </row>
    <row r="144" spans="1:38">
      <c r="A144" s="1">
        <v>42351</v>
      </c>
      <c r="B144">
        <v>2015</v>
      </c>
      <c r="C144">
        <v>12</v>
      </c>
      <c r="D144" t="s">
        <v>8994</v>
      </c>
      <c r="E144" s="1">
        <v>37501</v>
      </c>
      <c r="F144" t="s">
        <v>6038</v>
      </c>
      <c r="G144">
        <v>377</v>
      </c>
      <c r="H144">
        <v>22931</v>
      </c>
      <c r="I144">
        <v>9</v>
      </c>
      <c r="J144">
        <v>1</v>
      </c>
      <c r="K144">
        <v>1</v>
      </c>
      <c r="L144">
        <v>2</v>
      </c>
      <c r="M144" t="s">
        <v>3559</v>
      </c>
      <c r="N144" t="s">
        <v>3560</v>
      </c>
      <c r="O144">
        <v>1320.6838</v>
      </c>
      <c r="P144">
        <v>2181.5625</v>
      </c>
      <c r="Q144" t="s">
        <v>13</v>
      </c>
      <c r="R144" t="s">
        <v>608</v>
      </c>
      <c r="S144" t="s">
        <v>32</v>
      </c>
      <c r="T144" t="s">
        <v>8324</v>
      </c>
      <c r="U144" s="1">
        <v>10289</v>
      </c>
      <c r="V144" t="s">
        <v>16</v>
      </c>
      <c r="W144" t="s">
        <v>16</v>
      </c>
      <c r="X144" t="s">
        <v>2823</v>
      </c>
      <c r="Y144">
        <v>100000</v>
      </c>
      <c r="Z144">
        <v>5</v>
      </c>
      <c r="AA144" t="s">
        <v>135</v>
      </c>
      <c r="AB144" t="s">
        <v>45</v>
      </c>
      <c r="AC144" t="s">
        <v>23</v>
      </c>
      <c r="AD144" t="s">
        <v>3586</v>
      </c>
      <c r="AE144" t="s">
        <v>3586</v>
      </c>
      <c r="AF144" t="s">
        <v>3587</v>
      </c>
      <c r="AG144" t="s">
        <v>3479</v>
      </c>
      <c r="AH144" t="s">
        <v>3475</v>
      </c>
      <c r="AI144">
        <v>2181.5625</v>
      </c>
      <c r="AJ144">
        <v>1320.6838</v>
      </c>
      <c r="AK144">
        <v>860.87869999999998</v>
      </c>
      <c r="AL144">
        <v>0.39461564818793898</v>
      </c>
    </row>
    <row r="145" spans="1:38">
      <c r="A145" s="1">
        <v>42352</v>
      </c>
      <c r="B145">
        <v>2015</v>
      </c>
      <c r="C145">
        <v>12</v>
      </c>
      <c r="D145" t="s">
        <v>8994</v>
      </c>
      <c r="E145" s="1">
        <v>37539</v>
      </c>
      <c r="F145" t="s">
        <v>6041</v>
      </c>
      <c r="G145">
        <v>385</v>
      </c>
      <c r="H145">
        <v>19029</v>
      </c>
      <c r="I145">
        <v>8</v>
      </c>
      <c r="J145">
        <v>1</v>
      </c>
      <c r="K145">
        <v>1</v>
      </c>
      <c r="L145">
        <v>2</v>
      </c>
      <c r="M145" t="s">
        <v>3567</v>
      </c>
      <c r="N145" t="s">
        <v>3568</v>
      </c>
      <c r="O145">
        <v>605.64919999999995</v>
      </c>
      <c r="P145">
        <v>1000.4375</v>
      </c>
      <c r="Q145" t="s">
        <v>30</v>
      </c>
      <c r="R145" t="s">
        <v>473</v>
      </c>
      <c r="S145" t="s">
        <v>134</v>
      </c>
      <c r="T145" t="s">
        <v>7754</v>
      </c>
      <c r="U145" s="1">
        <v>21045</v>
      </c>
      <c r="V145" t="s">
        <v>16</v>
      </c>
      <c r="W145" t="s">
        <v>29</v>
      </c>
      <c r="X145" t="s">
        <v>2241</v>
      </c>
      <c r="Y145">
        <v>120000</v>
      </c>
      <c r="Z145">
        <v>2</v>
      </c>
      <c r="AA145" t="s">
        <v>57</v>
      </c>
      <c r="AB145" t="s">
        <v>18</v>
      </c>
      <c r="AC145" t="s">
        <v>19</v>
      </c>
      <c r="AD145" t="s">
        <v>3585</v>
      </c>
      <c r="AE145" t="s">
        <v>3585</v>
      </c>
      <c r="AF145" t="s">
        <v>3584</v>
      </c>
      <c r="AG145" t="s">
        <v>3479</v>
      </c>
      <c r="AH145" t="s">
        <v>3475</v>
      </c>
      <c r="AI145">
        <v>1000.4375</v>
      </c>
      <c r="AJ145">
        <v>605.64919999999995</v>
      </c>
      <c r="AK145">
        <v>394.78829999999999</v>
      </c>
      <c r="AL145">
        <v>0.39461565565065299</v>
      </c>
    </row>
    <row r="146" spans="1:38">
      <c r="A146" s="1">
        <v>42352</v>
      </c>
      <c r="B146">
        <v>2015</v>
      </c>
      <c r="C146">
        <v>12</v>
      </c>
      <c r="D146" t="s">
        <v>8994</v>
      </c>
      <c r="E146" s="1">
        <v>37522</v>
      </c>
      <c r="F146" t="s">
        <v>6049</v>
      </c>
      <c r="G146">
        <v>375</v>
      </c>
      <c r="H146">
        <v>14946</v>
      </c>
      <c r="I146">
        <v>7</v>
      </c>
      <c r="J146">
        <v>1</v>
      </c>
      <c r="K146">
        <v>1</v>
      </c>
      <c r="L146">
        <v>2</v>
      </c>
      <c r="M146" t="s">
        <v>3557</v>
      </c>
      <c r="N146" t="s">
        <v>3558</v>
      </c>
      <c r="O146">
        <v>1320.6838</v>
      </c>
      <c r="P146">
        <v>2181.5625</v>
      </c>
      <c r="Q146" t="s">
        <v>13</v>
      </c>
      <c r="R146" t="s">
        <v>630</v>
      </c>
      <c r="S146" t="s">
        <v>370</v>
      </c>
      <c r="T146" t="s">
        <v>7352</v>
      </c>
      <c r="U146" s="1">
        <v>23989</v>
      </c>
      <c r="V146" t="s">
        <v>22</v>
      </c>
      <c r="W146" t="s">
        <v>16</v>
      </c>
      <c r="X146" t="s">
        <v>1827</v>
      </c>
      <c r="Y146">
        <v>20000</v>
      </c>
      <c r="Z146">
        <v>2</v>
      </c>
      <c r="AA146" t="s">
        <v>57</v>
      </c>
      <c r="AB146" t="s">
        <v>444</v>
      </c>
      <c r="AC146" t="s">
        <v>19</v>
      </c>
      <c r="AD146" t="s">
        <v>3583</v>
      </c>
      <c r="AE146" t="s">
        <v>3583</v>
      </c>
      <c r="AF146" t="s">
        <v>3584</v>
      </c>
      <c r="AG146" t="s">
        <v>3479</v>
      </c>
      <c r="AH146" t="s">
        <v>3475</v>
      </c>
      <c r="AI146">
        <v>2181.5625</v>
      </c>
      <c r="AJ146">
        <v>1320.6838</v>
      </c>
      <c r="AK146">
        <v>860.87869999999998</v>
      </c>
      <c r="AL146">
        <v>0.39461564818793898</v>
      </c>
    </row>
    <row r="147" spans="1:38">
      <c r="A147" s="1">
        <v>42352</v>
      </c>
      <c r="B147">
        <v>2015</v>
      </c>
      <c r="C147">
        <v>12</v>
      </c>
      <c r="D147" t="s">
        <v>8994</v>
      </c>
      <c r="E147" s="1">
        <v>37558</v>
      </c>
      <c r="F147" t="s">
        <v>6048</v>
      </c>
      <c r="G147">
        <v>340</v>
      </c>
      <c r="H147">
        <v>26562</v>
      </c>
      <c r="I147">
        <v>9</v>
      </c>
      <c r="J147">
        <v>1</v>
      </c>
      <c r="K147">
        <v>1</v>
      </c>
      <c r="L147">
        <v>2</v>
      </c>
      <c r="M147" t="s">
        <v>3515</v>
      </c>
      <c r="N147" t="s">
        <v>3516</v>
      </c>
      <c r="O147">
        <v>413.1463</v>
      </c>
      <c r="P147">
        <v>699.09820000000002</v>
      </c>
      <c r="Q147" t="s">
        <v>13</v>
      </c>
      <c r="R147" t="s">
        <v>263</v>
      </c>
      <c r="S147" t="s">
        <v>66</v>
      </c>
      <c r="T147" t="s">
        <v>8731</v>
      </c>
      <c r="U147" s="1">
        <v>19383</v>
      </c>
      <c r="V147" t="s">
        <v>16</v>
      </c>
      <c r="W147" t="s">
        <v>16</v>
      </c>
      <c r="X147" t="s">
        <v>3241</v>
      </c>
      <c r="Y147">
        <v>40000</v>
      </c>
      <c r="Z147">
        <v>2</v>
      </c>
      <c r="AA147" t="s">
        <v>52</v>
      </c>
      <c r="AB147" t="s">
        <v>53</v>
      </c>
      <c r="AC147" t="s">
        <v>19</v>
      </c>
      <c r="AD147" t="s">
        <v>3586</v>
      </c>
      <c r="AE147" t="s">
        <v>3586</v>
      </c>
      <c r="AF147" t="s">
        <v>3587</v>
      </c>
      <c r="AG147" t="s">
        <v>3479</v>
      </c>
      <c r="AH147" t="s">
        <v>3475</v>
      </c>
      <c r="AI147">
        <v>699.09820000000002</v>
      </c>
      <c r="AJ147">
        <v>413.1463</v>
      </c>
      <c r="AK147">
        <v>285.95190000000002</v>
      </c>
      <c r="AL147">
        <v>0.409029661355157</v>
      </c>
    </row>
    <row r="148" spans="1:38">
      <c r="A148" s="1">
        <v>42352</v>
      </c>
      <c r="B148">
        <v>2015</v>
      </c>
      <c r="C148">
        <v>12</v>
      </c>
      <c r="D148" t="s">
        <v>8994</v>
      </c>
      <c r="E148" s="1">
        <v>37503</v>
      </c>
      <c r="F148" t="s">
        <v>6050</v>
      </c>
      <c r="G148">
        <v>326</v>
      </c>
      <c r="H148">
        <v>26561</v>
      </c>
      <c r="I148">
        <v>9</v>
      </c>
      <c r="J148">
        <v>1</v>
      </c>
      <c r="K148">
        <v>1</v>
      </c>
      <c r="L148">
        <v>2</v>
      </c>
      <c r="M148" t="s">
        <v>3501</v>
      </c>
      <c r="N148" t="s">
        <v>3502</v>
      </c>
      <c r="O148">
        <v>413.1463</v>
      </c>
      <c r="P148">
        <v>699.09820000000002</v>
      </c>
      <c r="Q148" t="s">
        <v>30</v>
      </c>
      <c r="R148" t="s">
        <v>278</v>
      </c>
      <c r="S148" t="s">
        <v>407</v>
      </c>
      <c r="T148" t="s">
        <v>8730</v>
      </c>
      <c r="U148" s="1">
        <v>18754</v>
      </c>
      <c r="V148" t="s">
        <v>16</v>
      </c>
      <c r="W148" t="s">
        <v>29</v>
      </c>
      <c r="X148" t="s">
        <v>3240</v>
      </c>
      <c r="Y148">
        <v>20000</v>
      </c>
      <c r="Z148">
        <v>2</v>
      </c>
      <c r="AA148" t="s">
        <v>77</v>
      </c>
      <c r="AB148" t="s">
        <v>60</v>
      </c>
      <c r="AC148" t="s">
        <v>19</v>
      </c>
      <c r="AD148" t="s">
        <v>3586</v>
      </c>
      <c r="AE148" t="s">
        <v>3586</v>
      </c>
      <c r="AF148" t="s">
        <v>3587</v>
      </c>
      <c r="AG148" t="s">
        <v>3479</v>
      </c>
      <c r="AH148" t="s">
        <v>3475</v>
      </c>
      <c r="AI148">
        <v>699.09820000000002</v>
      </c>
      <c r="AJ148">
        <v>413.1463</v>
      </c>
      <c r="AK148">
        <v>285.95190000000002</v>
      </c>
      <c r="AL148">
        <v>0.409029661355157</v>
      </c>
    </row>
    <row r="149" spans="1:38">
      <c r="A149" s="1">
        <v>42352</v>
      </c>
      <c r="B149">
        <v>2015</v>
      </c>
      <c r="C149">
        <v>12</v>
      </c>
      <c r="D149" t="s">
        <v>8994</v>
      </c>
      <c r="E149" s="1">
        <v>37548</v>
      </c>
      <c r="F149" t="s">
        <v>6043</v>
      </c>
      <c r="G149">
        <v>370</v>
      </c>
      <c r="H149">
        <v>22958</v>
      </c>
      <c r="I149">
        <v>9</v>
      </c>
      <c r="J149">
        <v>1</v>
      </c>
      <c r="K149">
        <v>1</v>
      </c>
      <c r="L149">
        <v>2</v>
      </c>
      <c r="M149" t="s">
        <v>3551</v>
      </c>
      <c r="N149" t="s">
        <v>3552</v>
      </c>
      <c r="O149">
        <v>1518.7864</v>
      </c>
      <c r="P149">
        <v>2443.35</v>
      </c>
      <c r="Q149" t="s">
        <v>30</v>
      </c>
      <c r="R149" t="s">
        <v>585</v>
      </c>
      <c r="S149" t="s">
        <v>209</v>
      </c>
      <c r="T149" t="s">
        <v>8341</v>
      </c>
      <c r="U149" s="1">
        <v>22313</v>
      </c>
      <c r="V149" t="s">
        <v>22</v>
      </c>
      <c r="W149" t="s">
        <v>29</v>
      </c>
      <c r="X149" t="s">
        <v>2840</v>
      </c>
      <c r="Y149">
        <v>60000</v>
      </c>
      <c r="Z149">
        <v>1</v>
      </c>
      <c r="AA149" t="s">
        <v>52</v>
      </c>
      <c r="AB149" t="s">
        <v>53</v>
      </c>
      <c r="AC149" t="s">
        <v>23</v>
      </c>
      <c r="AD149" t="s">
        <v>3586</v>
      </c>
      <c r="AE149" t="s">
        <v>3586</v>
      </c>
      <c r="AF149" t="s">
        <v>3587</v>
      </c>
      <c r="AG149" t="s">
        <v>3479</v>
      </c>
      <c r="AH149" t="s">
        <v>3475</v>
      </c>
      <c r="AI149">
        <v>2443.35</v>
      </c>
      <c r="AJ149">
        <v>1518.7864</v>
      </c>
      <c r="AK149">
        <v>924.56359999999995</v>
      </c>
      <c r="AL149">
        <v>0.37839998362903399</v>
      </c>
    </row>
    <row r="150" spans="1:38">
      <c r="A150" s="1">
        <v>42352</v>
      </c>
      <c r="B150">
        <v>2015</v>
      </c>
      <c r="C150">
        <v>12</v>
      </c>
      <c r="D150" t="s">
        <v>8994</v>
      </c>
      <c r="E150" s="1">
        <v>37574</v>
      </c>
      <c r="F150" t="s">
        <v>6055</v>
      </c>
      <c r="G150">
        <v>324</v>
      </c>
      <c r="H150">
        <v>15399</v>
      </c>
      <c r="I150">
        <v>4</v>
      </c>
      <c r="J150">
        <v>1</v>
      </c>
      <c r="K150">
        <v>1</v>
      </c>
      <c r="L150">
        <v>2</v>
      </c>
      <c r="M150" t="s">
        <v>3499</v>
      </c>
      <c r="N150" t="s">
        <v>3500</v>
      </c>
      <c r="O150">
        <v>413.1463</v>
      </c>
      <c r="P150">
        <v>699.09820000000002</v>
      </c>
      <c r="Q150" t="s">
        <v>30</v>
      </c>
      <c r="R150" t="s">
        <v>712</v>
      </c>
      <c r="S150" t="s">
        <v>105</v>
      </c>
      <c r="T150" t="s">
        <v>7488</v>
      </c>
      <c r="U150" s="1">
        <v>19937</v>
      </c>
      <c r="V150" t="s">
        <v>22</v>
      </c>
      <c r="W150" t="s">
        <v>29</v>
      </c>
      <c r="X150" t="s">
        <v>1965</v>
      </c>
      <c r="Y150">
        <v>80000</v>
      </c>
      <c r="Z150">
        <v>2</v>
      </c>
      <c r="AA150" t="s">
        <v>77</v>
      </c>
      <c r="AB150" t="s">
        <v>53</v>
      </c>
      <c r="AC150" t="s">
        <v>19</v>
      </c>
      <c r="AD150" t="s">
        <v>3580</v>
      </c>
      <c r="AE150" t="s">
        <v>3578</v>
      </c>
      <c r="AF150" t="s">
        <v>3579</v>
      </c>
      <c r="AG150" t="s">
        <v>3479</v>
      </c>
      <c r="AH150" t="s">
        <v>3475</v>
      </c>
      <c r="AI150">
        <v>699.09820000000002</v>
      </c>
      <c r="AJ150">
        <v>413.1463</v>
      </c>
      <c r="AK150">
        <v>285.95190000000002</v>
      </c>
      <c r="AL150">
        <v>0.409029661355157</v>
      </c>
    </row>
    <row r="151" spans="1:38">
      <c r="A151" s="1">
        <v>42352</v>
      </c>
      <c r="B151">
        <v>2015</v>
      </c>
      <c r="C151">
        <v>12</v>
      </c>
      <c r="D151" t="s">
        <v>8994</v>
      </c>
      <c r="E151" s="1">
        <v>37559</v>
      </c>
      <c r="F151" t="s">
        <v>6044</v>
      </c>
      <c r="G151">
        <v>354</v>
      </c>
      <c r="H151">
        <v>13122</v>
      </c>
      <c r="I151">
        <v>9</v>
      </c>
      <c r="J151">
        <v>1</v>
      </c>
      <c r="K151">
        <v>1</v>
      </c>
      <c r="L151">
        <v>1</v>
      </c>
      <c r="M151" t="s">
        <v>3537</v>
      </c>
      <c r="N151" t="s">
        <v>3538</v>
      </c>
      <c r="O151">
        <v>1117.8559</v>
      </c>
      <c r="P151">
        <v>2071.4196000000002</v>
      </c>
      <c r="Q151" t="s">
        <v>26</v>
      </c>
      <c r="R151" t="s">
        <v>310</v>
      </c>
      <c r="S151" t="s">
        <v>175</v>
      </c>
      <c r="T151" t="s">
        <v>7111</v>
      </c>
      <c r="U151" s="1">
        <v>23956</v>
      </c>
      <c r="V151" t="s">
        <v>16</v>
      </c>
      <c r="W151" t="s">
        <v>29</v>
      </c>
      <c r="X151" t="s">
        <v>1424</v>
      </c>
      <c r="Y151">
        <v>80000</v>
      </c>
      <c r="Z151">
        <v>0</v>
      </c>
      <c r="AA151" t="s">
        <v>17</v>
      </c>
      <c r="AB151" t="s">
        <v>18</v>
      </c>
      <c r="AC151" t="s">
        <v>19</v>
      </c>
      <c r="AD151" t="s">
        <v>3586</v>
      </c>
      <c r="AE151" t="s">
        <v>3586</v>
      </c>
      <c r="AF151" t="s">
        <v>3587</v>
      </c>
      <c r="AG151" t="s">
        <v>3478</v>
      </c>
      <c r="AH151" t="s">
        <v>3475</v>
      </c>
      <c r="AI151">
        <v>2071.4196000000002</v>
      </c>
      <c r="AJ151">
        <v>1117.8559</v>
      </c>
      <c r="AK151">
        <v>953.56370000000004</v>
      </c>
      <c r="AL151">
        <v>0.460343090313522</v>
      </c>
    </row>
    <row r="152" spans="1:38">
      <c r="A152" s="1">
        <v>42352</v>
      </c>
      <c r="B152">
        <v>2015</v>
      </c>
      <c r="C152">
        <v>12</v>
      </c>
      <c r="D152" t="s">
        <v>8994</v>
      </c>
      <c r="E152" s="1">
        <v>37529</v>
      </c>
      <c r="F152" t="s">
        <v>6045</v>
      </c>
      <c r="G152">
        <v>326</v>
      </c>
      <c r="H152">
        <v>19315</v>
      </c>
      <c r="I152">
        <v>7</v>
      </c>
      <c r="J152">
        <v>1</v>
      </c>
      <c r="K152">
        <v>1</v>
      </c>
      <c r="L152">
        <v>2</v>
      </c>
      <c r="M152" t="s">
        <v>3501</v>
      </c>
      <c r="N152" t="s">
        <v>3502</v>
      </c>
      <c r="O152">
        <v>413.1463</v>
      </c>
      <c r="P152">
        <v>699.09820000000002</v>
      </c>
      <c r="Q152" t="s">
        <v>13</v>
      </c>
      <c r="R152" t="s">
        <v>1320</v>
      </c>
      <c r="S152" t="s">
        <v>664</v>
      </c>
      <c r="T152" t="s">
        <v>7809</v>
      </c>
      <c r="U152" s="1">
        <v>24718</v>
      </c>
      <c r="V152" t="s">
        <v>22</v>
      </c>
      <c r="W152" t="s">
        <v>16</v>
      </c>
      <c r="X152" t="s">
        <v>2296</v>
      </c>
      <c r="Y152">
        <v>20000</v>
      </c>
      <c r="Z152">
        <v>1</v>
      </c>
      <c r="AA152" t="s">
        <v>52</v>
      </c>
      <c r="AB152" t="s">
        <v>444</v>
      </c>
      <c r="AC152" t="s">
        <v>23</v>
      </c>
      <c r="AD152" t="s">
        <v>3583</v>
      </c>
      <c r="AE152" t="s">
        <v>3583</v>
      </c>
      <c r="AF152" t="s">
        <v>3584</v>
      </c>
      <c r="AG152" t="s">
        <v>3479</v>
      </c>
      <c r="AH152" t="s">
        <v>3475</v>
      </c>
      <c r="AI152">
        <v>699.09820000000002</v>
      </c>
      <c r="AJ152">
        <v>413.1463</v>
      </c>
      <c r="AK152">
        <v>285.95190000000002</v>
      </c>
      <c r="AL152">
        <v>0.409029661355157</v>
      </c>
    </row>
    <row r="153" spans="1:38">
      <c r="A153" s="1">
        <v>42352</v>
      </c>
      <c r="B153">
        <v>2015</v>
      </c>
      <c r="C153">
        <v>12</v>
      </c>
      <c r="D153" t="s">
        <v>8994</v>
      </c>
      <c r="E153" s="1">
        <v>37569</v>
      </c>
      <c r="F153" t="s">
        <v>6056</v>
      </c>
      <c r="G153">
        <v>381</v>
      </c>
      <c r="H153">
        <v>14242</v>
      </c>
      <c r="I153">
        <v>1</v>
      </c>
      <c r="J153">
        <v>1</v>
      </c>
      <c r="K153">
        <v>1</v>
      </c>
      <c r="L153">
        <v>2</v>
      </c>
      <c r="M153" t="s">
        <v>3563</v>
      </c>
      <c r="N153" t="s">
        <v>3564</v>
      </c>
      <c r="O153">
        <v>605.64919999999995</v>
      </c>
      <c r="P153">
        <v>1000.4375</v>
      </c>
      <c r="Q153" t="s">
        <v>13</v>
      </c>
      <c r="R153" t="s">
        <v>437</v>
      </c>
      <c r="S153" t="s">
        <v>161</v>
      </c>
      <c r="T153" t="s">
        <v>7234</v>
      </c>
      <c r="U153" s="1">
        <v>15494</v>
      </c>
      <c r="V153" t="s">
        <v>16</v>
      </c>
      <c r="W153" t="s">
        <v>16</v>
      </c>
      <c r="X153" t="s">
        <v>1701</v>
      </c>
      <c r="Y153">
        <v>70000</v>
      </c>
      <c r="Z153">
        <v>5</v>
      </c>
      <c r="AA153" t="s">
        <v>17</v>
      </c>
      <c r="AB153" t="s">
        <v>45</v>
      </c>
      <c r="AC153" t="s">
        <v>19</v>
      </c>
      <c r="AD153" t="s">
        <v>3577</v>
      </c>
      <c r="AE153" t="s">
        <v>3578</v>
      </c>
      <c r="AF153" t="s">
        <v>3579</v>
      </c>
      <c r="AG153" t="s">
        <v>3479</v>
      </c>
      <c r="AH153" t="s">
        <v>3475</v>
      </c>
      <c r="AI153">
        <v>1000.4375</v>
      </c>
      <c r="AJ153">
        <v>605.64919999999995</v>
      </c>
      <c r="AK153">
        <v>394.78829999999999</v>
      </c>
      <c r="AL153">
        <v>0.39461565565065299</v>
      </c>
    </row>
    <row r="154" spans="1:38">
      <c r="A154" s="1">
        <v>42352</v>
      </c>
      <c r="B154">
        <v>2015</v>
      </c>
      <c r="C154">
        <v>12</v>
      </c>
      <c r="D154" t="s">
        <v>8994</v>
      </c>
      <c r="E154" s="1">
        <v>37579</v>
      </c>
      <c r="F154" t="s">
        <v>6053</v>
      </c>
      <c r="G154">
        <v>370</v>
      </c>
      <c r="H154">
        <v>16414</v>
      </c>
      <c r="I154">
        <v>8</v>
      </c>
      <c r="J154">
        <v>1</v>
      </c>
      <c r="K154">
        <v>1</v>
      </c>
      <c r="L154">
        <v>2</v>
      </c>
      <c r="M154" t="s">
        <v>3551</v>
      </c>
      <c r="N154" t="s">
        <v>3552</v>
      </c>
      <c r="O154">
        <v>1518.7864</v>
      </c>
      <c r="P154">
        <v>2443.35</v>
      </c>
      <c r="Q154" t="s">
        <v>30</v>
      </c>
      <c r="R154" t="s">
        <v>376</v>
      </c>
      <c r="S154" t="s">
        <v>113</v>
      </c>
      <c r="T154" t="s">
        <v>7604</v>
      </c>
      <c r="U154" s="1">
        <v>23545</v>
      </c>
      <c r="V154" t="s">
        <v>22</v>
      </c>
      <c r="W154" t="s">
        <v>29</v>
      </c>
      <c r="X154" t="s">
        <v>2086</v>
      </c>
      <c r="Y154">
        <v>10000</v>
      </c>
      <c r="Z154">
        <v>3</v>
      </c>
      <c r="AA154" t="s">
        <v>77</v>
      </c>
      <c r="AB154" t="s">
        <v>444</v>
      </c>
      <c r="AC154" t="s">
        <v>19</v>
      </c>
      <c r="AD154" t="s">
        <v>3585</v>
      </c>
      <c r="AE154" t="s">
        <v>3585</v>
      </c>
      <c r="AF154" t="s">
        <v>3584</v>
      </c>
      <c r="AG154" t="s">
        <v>3479</v>
      </c>
      <c r="AH154" t="s">
        <v>3475</v>
      </c>
      <c r="AI154">
        <v>2443.35</v>
      </c>
      <c r="AJ154">
        <v>1518.7864</v>
      </c>
      <c r="AK154">
        <v>924.56359999999995</v>
      </c>
      <c r="AL154">
        <v>0.37839998362903399</v>
      </c>
    </row>
    <row r="155" spans="1:38">
      <c r="A155" s="1">
        <v>42352</v>
      </c>
      <c r="B155">
        <v>2015</v>
      </c>
      <c r="C155">
        <v>12</v>
      </c>
      <c r="D155" t="s">
        <v>8994</v>
      </c>
      <c r="E155" s="1">
        <v>37496</v>
      </c>
      <c r="F155" t="s">
        <v>6046</v>
      </c>
      <c r="G155">
        <v>330</v>
      </c>
      <c r="H155">
        <v>20833</v>
      </c>
      <c r="I155">
        <v>8</v>
      </c>
      <c r="J155">
        <v>1</v>
      </c>
      <c r="K155">
        <v>1</v>
      </c>
      <c r="L155">
        <v>2</v>
      </c>
      <c r="M155" t="s">
        <v>3505</v>
      </c>
      <c r="N155" t="s">
        <v>3506</v>
      </c>
      <c r="O155">
        <v>413.1463</v>
      </c>
      <c r="P155">
        <v>699.09820000000002</v>
      </c>
      <c r="Q155" t="s">
        <v>13</v>
      </c>
      <c r="R155" t="s">
        <v>1295</v>
      </c>
      <c r="S155" t="s">
        <v>79</v>
      </c>
      <c r="T155" t="s">
        <v>8088</v>
      </c>
      <c r="U155" s="1">
        <v>22047</v>
      </c>
      <c r="V155" t="s">
        <v>22</v>
      </c>
      <c r="W155" t="s">
        <v>16</v>
      </c>
      <c r="X155" t="s">
        <v>2584</v>
      </c>
      <c r="Y155">
        <v>20000</v>
      </c>
      <c r="Z155">
        <v>1</v>
      </c>
      <c r="AA155" t="s">
        <v>52</v>
      </c>
      <c r="AB155" t="s">
        <v>444</v>
      </c>
      <c r="AC155" t="s">
        <v>23</v>
      </c>
      <c r="AD155" t="s">
        <v>3585</v>
      </c>
      <c r="AE155" t="s">
        <v>3585</v>
      </c>
      <c r="AF155" t="s">
        <v>3584</v>
      </c>
      <c r="AG155" t="s">
        <v>3479</v>
      </c>
      <c r="AH155" t="s">
        <v>3475</v>
      </c>
      <c r="AI155">
        <v>699.09820000000002</v>
      </c>
      <c r="AJ155">
        <v>413.1463</v>
      </c>
      <c r="AK155">
        <v>285.95190000000002</v>
      </c>
      <c r="AL155">
        <v>0.409029661355157</v>
      </c>
    </row>
    <row r="156" spans="1:38">
      <c r="A156" s="1">
        <v>42352</v>
      </c>
      <c r="B156">
        <v>2015</v>
      </c>
      <c r="C156">
        <v>12</v>
      </c>
      <c r="D156" t="s">
        <v>8994</v>
      </c>
      <c r="E156" s="1">
        <v>37538</v>
      </c>
      <c r="F156" t="s">
        <v>6054</v>
      </c>
      <c r="G156">
        <v>377</v>
      </c>
      <c r="H156">
        <v>14960</v>
      </c>
      <c r="I156">
        <v>7</v>
      </c>
      <c r="J156">
        <v>1</v>
      </c>
      <c r="K156">
        <v>1</v>
      </c>
      <c r="L156">
        <v>2</v>
      </c>
      <c r="M156" t="s">
        <v>3559</v>
      </c>
      <c r="N156" t="s">
        <v>3560</v>
      </c>
      <c r="O156">
        <v>1320.6838</v>
      </c>
      <c r="P156">
        <v>2181.5625</v>
      </c>
      <c r="Q156" t="s">
        <v>13</v>
      </c>
      <c r="R156" t="s">
        <v>114</v>
      </c>
      <c r="S156" t="s">
        <v>490</v>
      </c>
      <c r="T156" t="s">
        <v>7361</v>
      </c>
      <c r="U156" s="1">
        <v>24061</v>
      </c>
      <c r="V156" t="s">
        <v>22</v>
      </c>
      <c r="W156" t="s">
        <v>16</v>
      </c>
      <c r="X156" t="s">
        <v>1836</v>
      </c>
      <c r="Y156">
        <v>30000</v>
      </c>
      <c r="Z156">
        <v>2</v>
      </c>
      <c r="AA156" t="s">
        <v>52</v>
      </c>
      <c r="AB156" t="s">
        <v>60</v>
      </c>
      <c r="AC156" t="s">
        <v>19</v>
      </c>
      <c r="AD156" t="s">
        <v>3583</v>
      </c>
      <c r="AE156" t="s">
        <v>3583</v>
      </c>
      <c r="AF156" t="s">
        <v>3584</v>
      </c>
      <c r="AG156" t="s">
        <v>3479</v>
      </c>
      <c r="AH156" t="s">
        <v>3475</v>
      </c>
      <c r="AI156">
        <v>2181.5625</v>
      </c>
      <c r="AJ156">
        <v>1320.6838</v>
      </c>
      <c r="AK156">
        <v>860.87869999999998</v>
      </c>
      <c r="AL156">
        <v>0.39461564818793898</v>
      </c>
    </row>
    <row r="157" spans="1:38">
      <c r="A157" s="1">
        <v>42352</v>
      </c>
      <c r="B157">
        <v>2015</v>
      </c>
      <c r="C157">
        <v>12</v>
      </c>
      <c r="D157" t="s">
        <v>8994</v>
      </c>
      <c r="E157" s="1">
        <v>37488</v>
      </c>
      <c r="F157" t="s">
        <v>6052</v>
      </c>
      <c r="G157">
        <v>377</v>
      </c>
      <c r="H157">
        <v>22936</v>
      </c>
      <c r="I157">
        <v>9</v>
      </c>
      <c r="J157">
        <v>1</v>
      </c>
      <c r="K157">
        <v>1</v>
      </c>
      <c r="L157">
        <v>2</v>
      </c>
      <c r="M157" t="s">
        <v>3559</v>
      </c>
      <c r="N157" t="s">
        <v>3560</v>
      </c>
      <c r="O157">
        <v>1320.6838</v>
      </c>
      <c r="P157">
        <v>2181.5625</v>
      </c>
      <c r="Q157" t="s">
        <v>30</v>
      </c>
      <c r="R157" t="s">
        <v>82</v>
      </c>
      <c r="S157" t="s">
        <v>136</v>
      </c>
      <c r="T157" t="s">
        <v>8329</v>
      </c>
      <c r="U157" s="1">
        <v>22494</v>
      </c>
      <c r="V157" t="s">
        <v>22</v>
      </c>
      <c r="W157" t="s">
        <v>29</v>
      </c>
      <c r="X157" t="s">
        <v>2828</v>
      </c>
      <c r="Y157">
        <v>60000</v>
      </c>
      <c r="Z157">
        <v>1</v>
      </c>
      <c r="AA157" t="s">
        <v>52</v>
      </c>
      <c r="AB157" t="s">
        <v>53</v>
      </c>
      <c r="AC157" t="s">
        <v>23</v>
      </c>
      <c r="AD157" t="s">
        <v>3586</v>
      </c>
      <c r="AE157" t="s">
        <v>3586</v>
      </c>
      <c r="AF157" t="s">
        <v>3587</v>
      </c>
      <c r="AG157" t="s">
        <v>3479</v>
      </c>
      <c r="AH157" t="s">
        <v>3475</v>
      </c>
      <c r="AI157">
        <v>2181.5625</v>
      </c>
      <c r="AJ157">
        <v>1320.6838</v>
      </c>
      <c r="AK157">
        <v>860.87869999999998</v>
      </c>
      <c r="AL157">
        <v>0.39461564818793898</v>
      </c>
    </row>
    <row r="158" spans="1:38">
      <c r="A158" s="1">
        <v>42352</v>
      </c>
      <c r="B158">
        <v>2015</v>
      </c>
      <c r="C158">
        <v>12</v>
      </c>
      <c r="D158" t="s">
        <v>8994</v>
      </c>
      <c r="E158" s="1">
        <v>37547</v>
      </c>
      <c r="F158" t="s">
        <v>6047</v>
      </c>
      <c r="G158">
        <v>360</v>
      </c>
      <c r="H158">
        <v>26684</v>
      </c>
      <c r="I158">
        <v>4</v>
      </c>
      <c r="J158">
        <v>1</v>
      </c>
      <c r="K158">
        <v>1</v>
      </c>
      <c r="L158">
        <v>1</v>
      </c>
      <c r="M158" t="s">
        <v>3543</v>
      </c>
      <c r="N158" t="s">
        <v>3544</v>
      </c>
      <c r="O158">
        <v>1105.81</v>
      </c>
      <c r="P158">
        <v>2049.0981999999999</v>
      </c>
      <c r="Q158" t="s">
        <v>13</v>
      </c>
      <c r="R158" t="s">
        <v>514</v>
      </c>
      <c r="S158" t="s">
        <v>134</v>
      </c>
      <c r="T158" t="s">
        <v>8782</v>
      </c>
      <c r="U158" s="1">
        <v>24068</v>
      </c>
      <c r="V158" t="s">
        <v>16</v>
      </c>
      <c r="W158" t="s">
        <v>16</v>
      </c>
      <c r="X158" t="s">
        <v>3292</v>
      </c>
      <c r="Y158">
        <v>110000</v>
      </c>
      <c r="Z158">
        <v>2</v>
      </c>
      <c r="AA158" t="s">
        <v>17</v>
      </c>
      <c r="AB158" t="s">
        <v>45</v>
      </c>
      <c r="AC158" t="s">
        <v>19</v>
      </c>
      <c r="AD158" t="s">
        <v>3580</v>
      </c>
      <c r="AE158" t="s">
        <v>3578</v>
      </c>
      <c r="AF158" t="s">
        <v>3579</v>
      </c>
      <c r="AG158" t="s">
        <v>3478</v>
      </c>
      <c r="AH158" t="s">
        <v>3475</v>
      </c>
      <c r="AI158">
        <v>2049.0981999999999</v>
      </c>
      <c r="AJ158">
        <v>1105.81</v>
      </c>
      <c r="AK158">
        <v>943.28819999999996</v>
      </c>
      <c r="AL158">
        <v>0.46034309141455498</v>
      </c>
    </row>
    <row r="159" spans="1:38">
      <c r="A159" s="1">
        <v>42352</v>
      </c>
      <c r="B159">
        <v>2015</v>
      </c>
      <c r="C159">
        <v>12</v>
      </c>
      <c r="D159" t="s">
        <v>8994</v>
      </c>
      <c r="E159" s="1">
        <v>37574</v>
      </c>
      <c r="F159" t="s">
        <v>6042</v>
      </c>
      <c r="G159">
        <v>370</v>
      </c>
      <c r="H159">
        <v>13716</v>
      </c>
      <c r="I159">
        <v>4</v>
      </c>
      <c r="J159">
        <v>1</v>
      </c>
      <c r="K159">
        <v>1</v>
      </c>
      <c r="L159">
        <v>2</v>
      </c>
      <c r="M159" t="s">
        <v>3551</v>
      </c>
      <c r="N159" t="s">
        <v>3552</v>
      </c>
      <c r="O159">
        <v>1518.7864</v>
      </c>
      <c r="P159">
        <v>2443.35</v>
      </c>
      <c r="Q159" t="s">
        <v>13</v>
      </c>
      <c r="R159" t="s">
        <v>989</v>
      </c>
      <c r="S159" t="s">
        <v>476</v>
      </c>
      <c r="T159" t="s">
        <v>7148</v>
      </c>
      <c r="U159" s="1">
        <v>19523</v>
      </c>
      <c r="V159" t="s">
        <v>16</v>
      </c>
      <c r="W159" t="s">
        <v>16</v>
      </c>
      <c r="X159" t="s">
        <v>1607</v>
      </c>
      <c r="Y159">
        <v>30000</v>
      </c>
      <c r="Z159">
        <v>1</v>
      </c>
      <c r="AA159" t="s">
        <v>17</v>
      </c>
      <c r="AB159" t="s">
        <v>53</v>
      </c>
      <c r="AC159" t="s">
        <v>19</v>
      </c>
      <c r="AD159" t="s">
        <v>3580</v>
      </c>
      <c r="AE159" t="s">
        <v>3578</v>
      </c>
      <c r="AF159" t="s">
        <v>3579</v>
      </c>
      <c r="AG159" t="s">
        <v>3479</v>
      </c>
      <c r="AH159" t="s">
        <v>3475</v>
      </c>
      <c r="AI159">
        <v>2443.35</v>
      </c>
      <c r="AJ159">
        <v>1518.7864</v>
      </c>
      <c r="AK159">
        <v>924.56359999999995</v>
      </c>
      <c r="AL159">
        <v>0.37839998362903399</v>
      </c>
    </row>
    <row r="160" spans="1:38">
      <c r="A160" s="1">
        <v>42352</v>
      </c>
      <c r="B160">
        <v>2015</v>
      </c>
      <c r="C160">
        <v>12</v>
      </c>
      <c r="D160" t="s">
        <v>8994</v>
      </c>
      <c r="E160" s="1">
        <v>37512</v>
      </c>
      <c r="F160" t="s">
        <v>6051</v>
      </c>
      <c r="G160">
        <v>362</v>
      </c>
      <c r="H160">
        <v>26622</v>
      </c>
      <c r="I160">
        <v>1</v>
      </c>
      <c r="J160">
        <v>1</v>
      </c>
      <c r="K160">
        <v>1</v>
      </c>
      <c r="L160">
        <v>1</v>
      </c>
      <c r="M160" t="s">
        <v>3545</v>
      </c>
      <c r="N160" t="s">
        <v>3546</v>
      </c>
      <c r="O160">
        <v>1105.81</v>
      </c>
      <c r="P160">
        <v>2049.0981999999999</v>
      </c>
      <c r="Q160" t="s">
        <v>26</v>
      </c>
      <c r="R160" t="s">
        <v>237</v>
      </c>
      <c r="S160" t="s">
        <v>294</v>
      </c>
      <c r="T160" t="s">
        <v>8760</v>
      </c>
      <c r="U160" s="1">
        <v>24720</v>
      </c>
      <c r="V160" t="s">
        <v>22</v>
      </c>
      <c r="W160" t="s">
        <v>29</v>
      </c>
      <c r="X160" t="s">
        <v>3270</v>
      </c>
      <c r="Y160">
        <v>50000</v>
      </c>
      <c r="Z160">
        <v>0</v>
      </c>
      <c r="AA160" t="s">
        <v>52</v>
      </c>
      <c r="AB160" t="s">
        <v>53</v>
      </c>
      <c r="AC160" t="s">
        <v>23</v>
      </c>
      <c r="AD160" t="s">
        <v>3577</v>
      </c>
      <c r="AE160" t="s">
        <v>3578</v>
      </c>
      <c r="AF160" t="s">
        <v>3579</v>
      </c>
      <c r="AG160" t="s">
        <v>3478</v>
      </c>
      <c r="AH160" t="s">
        <v>3475</v>
      </c>
      <c r="AI160">
        <v>2049.0981999999999</v>
      </c>
      <c r="AJ160">
        <v>1105.81</v>
      </c>
      <c r="AK160">
        <v>943.28819999999996</v>
      </c>
      <c r="AL160">
        <v>0.46034309141455498</v>
      </c>
    </row>
    <row r="161" spans="1:38">
      <c r="A161" s="1">
        <v>42353</v>
      </c>
      <c r="B161">
        <v>2015</v>
      </c>
      <c r="C161">
        <v>12</v>
      </c>
      <c r="D161" t="s">
        <v>8994</v>
      </c>
      <c r="E161" s="1">
        <v>37504</v>
      </c>
      <c r="F161" t="s">
        <v>6058</v>
      </c>
      <c r="G161">
        <v>340</v>
      </c>
      <c r="H161">
        <v>20831</v>
      </c>
      <c r="I161">
        <v>8</v>
      </c>
      <c r="J161">
        <v>1</v>
      </c>
      <c r="K161">
        <v>1</v>
      </c>
      <c r="L161">
        <v>2</v>
      </c>
      <c r="M161" t="s">
        <v>3515</v>
      </c>
      <c r="N161" t="s">
        <v>3516</v>
      </c>
      <c r="O161">
        <v>413.1463</v>
      </c>
      <c r="P161">
        <v>699.09820000000002</v>
      </c>
      <c r="Q161" t="s">
        <v>13</v>
      </c>
      <c r="R161" t="s">
        <v>816</v>
      </c>
      <c r="S161" t="s">
        <v>474</v>
      </c>
      <c r="T161" t="s">
        <v>8086</v>
      </c>
      <c r="U161" s="1">
        <v>22438</v>
      </c>
      <c r="V161" t="s">
        <v>16</v>
      </c>
      <c r="W161" t="s">
        <v>16</v>
      </c>
      <c r="X161" t="s">
        <v>2582</v>
      </c>
      <c r="Y161">
        <v>30000</v>
      </c>
      <c r="Z161">
        <v>4</v>
      </c>
      <c r="AA161" t="s">
        <v>135</v>
      </c>
      <c r="AB161" t="s">
        <v>60</v>
      </c>
      <c r="AC161" t="s">
        <v>19</v>
      </c>
      <c r="AD161" t="s">
        <v>3585</v>
      </c>
      <c r="AE161" t="s">
        <v>3585</v>
      </c>
      <c r="AF161" t="s">
        <v>3584</v>
      </c>
      <c r="AG161" t="s">
        <v>3479</v>
      </c>
      <c r="AH161" t="s">
        <v>3475</v>
      </c>
      <c r="AI161">
        <v>699.09820000000002</v>
      </c>
      <c r="AJ161">
        <v>413.1463</v>
      </c>
      <c r="AK161">
        <v>285.95190000000002</v>
      </c>
      <c r="AL161">
        <v>0.409029661355157</v>
      </c>
    </row>
    <row r="162" spans="1:38">
      <c r="A162" s="1">
        <v>42353</v>
      </c>
      <c r="B162">
        <v>2015</v>
      </c>
      <c r="C162">
        <v>12</v>
      </c>
      <c r="D162" t="s">
        <v>8994</v>
      </c>
      <c r="E162" s="1">
        <v>37550</v>
      </c>
      <c r="F162" t="s">
        <v>6060</v>
      </c>
      <c r="G162">
        <v>358</v>
      </c>
      <c r="H162">
        <v>26604</v>
      </c>
      <c r="I162">
        <v>4</v>
      </c>
      <c r="J162">
        <v>1</v>
      </c>
      <c r="K162">
        <v>1</v>
      </c>
      <c r="L162">
        <v>1</v>
      </c>
      <c r="M162" t="s">
        <v>3541</v>
      </c>
      <c r="N162" t="s">
        <v>3542</v>
      </c>
      <c r="O162">
        <v>1105.81</v>
      </c>
      <c r="P162">
        <v>2049.0981999999999</v>
      </c>
      <c r="Q162" t="s">
        <v>26</v>
      </c>
      <c r="R162" t="s">
        <v>31</v>
      </c>
      <c r="S162" t="s">
        <v>1427</v>
      </c>
      <c r="T162" t="s">
        <v>8748</v>
      </c>
      <c r="U162" s="1">
        <v>25149</v>
      </c>
      <c r="V162" t="s">
        <v>22</v>
      </c>
      <c r="W162" t="s">
        <v>29</v>
      </c>
      <c r="X162" t="s">
        <v>3258</v>
      </c>
      <c r="Y162">
        <v>70000</v>
      </c>
      <c r="Z162">
        <v>0</v>
      </c>
      <c r="AA162" t="s">
        <v>17</v>
      </c>
      <c r="AB162" t="s">
        <v>18</v>
      </c>
      <c r="AC162" t="s">
        <v>23</v>
      </c>
      <c r="AD162" t="s">
        <v>3580</v>
      </c>
      <c r="AE162" t="s">
        <v>3578</v>
      </c>
      <c r="AF162" t="s">
        <v>3579</v>
      </c>
      <c r="AG162" t="s">
        <v>3478</v>
      </c>
      <c r="AH162" t="s">
        <v>3475</v>
      </c>
      <c r="AI162">
        <v>2049.0981999999999</v>
      </c>
      <c r="AJ162">
        <v>1105.81</v>
      </c>
      <c r="AK162">
        <v>943.28819999999996</v>
      </c>
      <c r="AL162">
        <v>0.46034309141455498</v>
      </c>
    </row>
    <row r="163" spans="1:38">
      <c r="A163" s="1">
        <v>42353</v>
      </c>
      <c r="B163">
        <v>2015</v>
      </c>
      <c r="C163">
        <v>12</v>
      </c>
      <c r="D163" t="s">
        <v>8994</v>
      </c>
      <c r="E163" s="1">
        <v>37512</v>
      </c>
      <c r="F163" t="s">
        <v>6061</v>
      </c>
      <c r="G163">
        <v>375</v>
      </c>
      <c r="H163">
        <v>22906</v>
      </c>
      <c r="I163">
        <v>9</v>
      </c>
      <c r="J163">
        <v>1</v>
      </c>
      <c r="K163">
        <v>1</v>
      </c>
      <c r="L163">
        <v>2</v>
      </c>
      <c r="M163" t="s">
        <v>3557</v>
      </c>
      <c r="N163" t="s">
        <v>3558</v>
      </c>
      <c r="O163">
        <v>1320.6838</v>
      </c>
      <c r="P163">
        <v>2181.5625</v>
      </c>
      <c r="Q163" t="s">
        <v>30</v>
      </c>
      <c r="R163" t="s">
        <v>80</v>
      </c>
      <c r="S163" t="s">
        <v>85</v>
      </c>
      <c r="T163" t="s">
        <v>8312</v>
      </c>
      <c r="U163" s="1">
        <v>25501</v>
      </c>
      <c r="V163" t="s">
        <v>16</v>
      </c>
      <c r="W163" t="s">
        <v>29</v>
      </c>
      <c r="X163" t="s">
        <v>2811</v>
      </c>
      <c r="Y163">
        <v>90000</v>
      </c>
      <c r="Z163">
        <v>1</v>
      </c>
      <c r="AA163" t="s">
        <v>135</v>
      </c>
      <c r="AB163" t="s">
        <v>45</v>
      </c>
      <c r="AC163" t="s">
        <v>23</v>
      </c>
      <c r="AD163" t="s">
        <v>3586</v>
      </c>
      <c r="AE163" t="s">
        <v>3586</v>
      </c>
      <c r="AF163" t="s">
        <v>3587</v>
      </c>
      <c r="AG163" t="s">
        <v>3479</v>
      </c>
      <c r="AH163" t="s">
        <v>3475</v>
      </c>
      <c r="AI163">
        <v>2181.5625</v>
      </c>
      <c r="AJ163">
        <v>1320.6838</v>
      </c>
      <c r="AK163">
        <v>860.87869999999998</v>
      </c>
      <c r="AL163">
        <v>0.39461564818793898</v>
      </c>
    </row>
    <row r="164" spans="1:38">
      <c r="A164" s="1">
        <v>42353</v>
      </c>
      <c r="B164">
        <v>2015</v>
      </c>
      <c r="C164">
        <v>12</v>
      </c>
      <c r="D164" t="s">
        <v>8994</v>
      </c>
      <c r="E164" s="1">
        <v>37540</v>
      </c>
      <c r="F164" t="s">
        <v>6059</v>
      </c>
      <c r="G164">
        <v>375</v>
      </c>
      <c r="H164">
        <v>17085</v>
      </c>
      <c r="I164">
        <v>10</v>
      </c>
      <c r="J164">
        <v>1</v>
      </c>
      <c r="K164">
        <v>1</v>
      </c>
      <c r="L164">
        <v>2</v>
      </c>
      <c r="M164" t="s">
        <v>3557</v>
      </c>
      <c r="N164" t="s">
        <v>3558</v>
      </c>
      <c r="O164">
        <v>1320.6838</v>
      </c>
      <c r="P164">
        <v>2181.5625</v>
      </c>
      <c r="Q164" t="s">
        <v>13</v>
      </c>
      <c r="R164" t="s">
        <v>196</v>
      </c>
      <c r="S164" t="s">
        <v>226</v>
      </c>
      <c r="T164" t="s">
        <v>7653</v>
      </c>
      <c r="U164" s="1">
        <v>27127</v>
      </c>
      <c r="V164" t="s">
        <v>16</v>
      </c>
      <c r="W164" t="s">
        <v>16</v>
      </c>
      <c r="X164" t="s">
        <v>2138</v>
      </c>
      <c r="Y164">
        <v>40000</v>
      </c>
      <c r="Z164">
        <v>1</v>
      </c>
      <c r="AA164" t="s">
        <v>17</v>
      </c>
      <c r="AB164" t="s">
        <v>53</v>
      </c>
      <c r="AC164" t="s">
        <v>19</v>
      </c>
      <c r="AD164" t="s">
        <v>3588</v>
      </c>
      <c r="AE164" t="s">
        <v>3588</v>
      </c>
      <c r="AF164" t="s">
        <v>3584</v>
      </c>
      <c r="AG164" t="s">
        <v>3479</v>
      </c>
      <c r="AH164" t="s">
        <v>3475</v>
      </c>
      <c r="AI164">
        <v>2181.5625</v>
      </c>
      <c r="AJ164">
        <v>1320.6838</v>
      </c>
      <c r="AK164">
        <v>860.87869999999998</v>
      </c>
      <c r="AL164">
        <v>0.39461564818793898</v>
      </c>
    </row>
    <row r="165" spans="1:38">
      <c r="A165" s="1">
        <v>42353</v>
      </c>
      <c r="B165">
        <v>2015</v>
      </c>
      <c r="C165">
        <v>12</v>
      </c>
      <c r="D165" t="s">
        <v>8994</v>
      </c>
      <c r="E165" s="1">
        <v>37505</v>
      </c>
      <c r="F165" t="s">
        <v>6057</v>
      </c>
      <c r="G165">
        <v>375</v>
      </c>
      <c r="H165">
        <v>17218</v>
      </c>
      <c r="I165">
        <v>10</v>
      </c>
      <c r="J165">
        <v>1</v>
      </c>
      <c r="K165">
        <v>1</v>
      </c>
      <c r="L165">
        <v>2</v>
      </c>
      <c r="M165" t="s">
        <v>3557</v>
      </c>
      <c r="N165" t="s">
        <v>3558</v>
      </c>
      <c r="O165">
        <v>1320.6838</v>
      </c>
      <c r="P165">
        <v>2181.5625</v>
      </c>
      <c r="Q165" t="s">
        <v>13</v>
      </c>
      <c r="R165" t="s">
        <v>1388</v>
      </c>
      <c r="S165" t="s">
        <v>38</v>
      </c>
      <c r="T165" t="s">
        <v>7674</v>
      </c>
      <c r="U165" s="1">
        <v>18342</v>
      </c>
      <c r="V165" t="s">
        <v>16</v>
      </c>
      <c r="W165" t="s">
        <v>16</v>
      </c>
      <c r="X165" t="s">
        <v>2159</v>
      </c>
      <c r="Y165">
        <v>110000</v>
      </c>
      <c r="Z165">
        <v>4</v>
      </c>
      <c r="AA165" t="s">
        <v>57</v>
      </c>
      <c r="AB165" t="s">
        <v>45</v>
      </c>
      <c r="AC165" t="s">
        <v>19</v>
      </c>
      <c r="AD165" t="s">
        <v>3588</v>
      </c>
      <c r="AE165" t="s">
        <v>3588</v>
      </c>
      <c r="AF165" t="s">
        <v>3584</v>
      </c>
      <c r="AG165" t="s">
        <v>3479</v>
      </c>
      <c r="AH165" t="s">
        <v>3475</v>
      </c>
      <c r="AI165">
        <v>2181.5625</v>
      </c>
      <c r="AJ165">
        <v>1320.6838</v>
      </c>
      <c r="AK165">
        <v>860.87869999999998</v>
      </c>
      <c r="AL165">
        <v>0.39461564818793898</v>
      </c>
    </row>
    <row r="166" spans="1:38">
      <c r="A166" s="1">
        <v>42354</v>
      </c>
      <c r="B166">
        <v>2015</v>
      </c>
      <c r="C166">
        <v>12</v>
      </c>
      <c r="D166" t="s">
        <v>8994</v>
      </c>
      <c r="E166" s="1">
        <v>37493</v>
      </c>
      <c r="F166" t="s">
        <v>6067</v>
      </c>
      <c r="G166">
        <v>326</v>
      </c>
      <c r="H166">
        <v>19296</v>
      </c>
      <c r="I166">
        <v>7</v>
      </c>
      <c r="J166">
        <v>1</v>
      </c>
      <c r="K166">
        <v>1</v>
      </c>
      <c r="L166">
        <v>2</v>
      </c>
      <c r="M166" t="s">
        <v>3501</v>
      </c>
      <c r="N166" t="s">
        <v>3502</v>
      </c>
      <c r="O166">
        <v>413.1463</v>
      </c>
      <c r="P166">
        <v>699.09820000000002</v>
      </c>
      <c r="Q166" t="s">
        <v>13</v>
      </c>
      <c r="R166" t="s">
        <v>1089</v>
      </c>
      <c r="S166" t="s">
        <v>122</v>
      </c>
      <c r="T166" t="s">
        <v>7798</v>
      </c>
      <c r="U166" s="1">
        <v>25207</v>
      </c>
      <c r="V166" t="s">
        <v>22</v>
      </c>
      <c r="W166" t="s">
        <v>16</v>
      </c>
      <c r="X166" t="s">
        <v>2285</v>
      </c>
      <c r="Y166">
        <v>20000</v>
      </c>
      <c r="Z166">
        <v>0</v>
      </c>
      <c r="AA166" t="s">
        <v>52</v>
      </c>
      <c r="AB166" t="s">
        <v>444</v>
      </c>
      <c r="AC166" t="s">
        <v>23</v>
      </c>
      <c r="AD166" t="s">
        <v>3583</v>
      </c>
      <c r="AE166" t="s">
        <v>3583</v>
      </c>
      <c r="AF166" t="s">
        <v>3584</v>
      </c>
      <c r="AG166" t="s">
        <v>3479</v>
      </c>
      <c r="AH166" t="s">
        <v>3475</v>
      </c>
      <c r="AI166">
        <v>699.09820000000002</v>
      </c>
      <c r="AJ166">
        <v>413.1463</v>
      </c>
      <c r="AK166">
        <v>285.95190000000002</v>
      </c>
      <c r="AL166">
        <v>0.409029661355157</v>
      </c>
    </row>
    <row r="167" spans="1:38">
      <c r="A167" s="1">
        <v>42354</v>
      </c>
      <c r="B167">
        <v>2015</v>
      </c>
      <c r="C167">
        <v>12</v>
      </c>
      <c r="D167" t="s">
        <v>8994</v>
      </c>
      <c r="E167" s="1">
        <v>37548</v>
      </c>
      <c r="F167" t="s">
        <v>6072</v>
      </c>
      <c r="G167">
        <v>362</v>
      </c>
      <c r="H167">
        <v>28756</v>
      </c>
      <c r="I167">
        <v>7</v>
      </c>
      <c r="J167">
        <v>1</v>
      </c>
      <c r="K167">
        <v>1</v>
      </c>
      <c r="L167">
        <v>1</v>
      </c>
      <c r="M167" t="s">
        <v>3545</v>
      </c>
      <c r="N167" t="s">
        <v>3546</v>
      </c>
      <c r="O167">
        <v>1105.81</v>
      </c>
      <c r="P167">
        <v>2049.0981999999999</v>
      </c>
      <c r="Q167" t="s">
        <v>30</v>
      </c>
      <c r="R167" t="s">
        <v>647</v>
      </c>
      <c r="S167" t="s">
        <v>3389</v>
      </c>
      <c r="T167" t="s">
        <v>8876</v>
      </c>
      <c r="U167" s="1">
        <v>25720</v>
      </c>
      <c r="V167" t="s">
        <v>22</v>
      </c>
      <c r="W167" t="s">
        <v>29</v>
      </c>
      <c r="X167" t="s">
        <v>3390</v>
      </c>
      <c r="Y167">
        <v>40000</v>
      </c>
      <c r="Z167">
        <v>2</v>
      </c>
      <c r="AA167" t="s">
        <v>52</v>
      </c>
      <c r="AB167" t="s">
        <v>60</v>
      </c>
      <c r="AC167" t="s">
        <v>19</v>
      </c>
      <c r="AD167" t="s">
        <v>3583</v>
      </c>
      <c r="AE167" t="s">
        <v>3583</v>
      </c>
      <c r="AF167" t="s">
        <v>3584</v>
      </c>
      <c r="AG167" t="s">
        <v>3478</v>
      </c>
      <c r="AH167" t="s">
        <v>3475</v>
      </c>
      <c r="AI167">
        <v>2049.0981999999999</v>
      </c>
      <c r="AJ167">
        <v>1105.81</v>
      </c>
      <c r="AK167">
        <v>943.28819999999996</v>
      </c>
      <c r="AL167">
        <v>0.46034309141455498</v>
      </c>
    </row>
    <row r="168" spans="1:38">
      <c r="A168" s="1">
        <v>42354</v>
      </c>
      <c r="B168">
        <v>2015</v>
      </c>
      <c r="C168">
        <v>12</v>
      </c>
      <c r="D168" t="s">
        <v>8994</v>
      </c>
      <c r="E168" s="1">
        <v>37559</v>
      </c>
      <c r="F168" t="s">
        <v>6063</v>
      </c>
      <c r="G168">
        <v>324</v>
      </c>
      <c r="H168">
        <v>20726</v>
      </c>
      <c r="I168">
        <v>8</v>
      </c>
      <c r="J168">
        <v>1</v>
      </c>
      <c r="K168">
        <v>1</v>
      </c>
      <c r="L168">
        <v>2</v>
      </c>
      <c r="M168" t="s">
        <v>3499</v>
      </c>
      <c r="N168" t="s">
        <v>3500</v>
      </c>
      <c r="O168">
        <v>413.1463</v>
      </c>
      <c r="P168">
        <v>699.09820000000002</v>
      </c>
      <c r="Q168" t="s">
        <v>26</v>
      </c>
      <c r="R168" t="s">
        <v>494</v>
      </c>
      <c r="S168" t="s">
        <v>317</v>
      </c>
      <c r="T168" t="s">
        <v>8066</v>
      </c>
      <c r="U168" s="1">
        <v>26163</v>
      </c>
      <c r="V168" t="s">
        <v>22</v>
      </c>
      <c r="W168" t="s">
        <v>29</v>
      </c>
      <c r="X168" t="s">
        <v>2560</v>
      </c>
      <c r="Y168">
        <v>30000</v>
      </c>
      <c r="Z168">
        <v>0</v>
      </c>
      <c r="AA168" t="s">
        <v>57</v>
      </c>
      <c r="AB168" t="s">
        <v>444</v>
      </c>
      <c r="AC168" t="s">
        <v>23</v>
      </c>
      <c r="AD168" t="s">
        <v>3585</v>
      </c>
      <c r="AE168" t="s">
        <v>3585</v>
      </c>
      <c r="AF168" t="s">
        <v>3584</v>
      </c>
      <c r="AG168" t="s">
        <v>3479</v>
      </c>
      <c r="AH168" t="s">
        <v>3475</v>
      </c>
      <c r="AI168">
        <v>699.09820000000002</v>
      </c>
      <c r="AJ168">
        <v>413.1463</v>
      </c>
      <c r="AK168">
        <v>285.95190000000002</v>
      </c>
      <c r="AL168">
        <v>0.409029661355157</v>
      </c>
    </row>
    <row r="169" spans="1:38">
      <c r="A169" s="1">
        <v>42354</v>
      </c>
      <c r="B169">
        <v>2015</v>
      </c>
      <c r="C169">
        <v>12</v>
      </c>
      <c r="D169" t="s">
        <v>8994</v>
      </c>
      <c r="E169" s="1">
        <v>37524</v>
      </c>
      <c r="F169" t="s">
        <v>6065</v>
      </c>
      <c r="G169">
        <v>377</v>
      </c>
      <c r="H169">
        <v>14948</v>
      </c>
      <c r="I169">
        <v>7</v>
      </c>
      <c r="J169">
        <v>1</v>
      </c>
      <c r="K169">
        <v>1</v>
      </c>
      <c r="L169">
        <v>2</v>
      </c>
      <c r="M169" t="s">
        <v>3559</v>
      </c>
      <c r="N169" t="s">
        <v>3560</v>
      </c>
      <c r="O169">
        <v>1320.6838</v>
      </c>
      <c r="P169">
        <v>2181.5625</v>
      </c>
      <c r="Q169" t="s">
        <v>13</v>
      </c>
      <c r="R169" t="s">
        <v>170</v>
      </c>
      <c r="S169" t="s">
        <v>62</v>
      </c>
      <c r="T169" t="s">
        <v>7354</v>
      </c>
      <c r="U169" s="1">
        <v>23843</v>
      </c>
      <c r="V169" t="s">
        <v>16</v>
      </c>
      <c r="W169" t="s">
        <v>16</v>
      </c>
      <c r="X169" t="s">
        <v>1829</v>
      </c>
      <c r="Y169">
        <v>30000</v>
      </c>
      <c r="Z169">
        <v>1</v>
      </c>
      <c r="AA169" t="s">
        <v>17</v>
      </c>
      <c r="AB169" t="s">
        <v>53</v>
      </c>
      <c r="AC169" t="s">
        <v>19</v>
      </c>
      <c r="AD169" t="s">
        <v>3583</v>
      </c>
      <c r="AE169" t="s">
        <v>3583</v>
      </c>
      <c r="AF169" t="s">
        <v>3584</v>
      </c>
      <c r="AG169" t="s">
        <v>3479</v>
      </c>
      <c r="AH169" t="s">
        <v>3475</v>
      </c>
      <c r="AI169">
        <v>2181.5625</v>
      </c>
      <c r="AJ169">
        <v>1320.6838</v>
      </c>
      <c r="AK169">
        <v>860.87869999999998</v>
      </c>
      <c r="AL169">
        <v>0.39461564818793898</v>
      </c>
    </row>
    <row r="170" spans="1:38">
      <c r="A170" s="1">
        <v>42354</v>
      </c>
      <c r="B170">
        <v>2015</v>
      </c>
      <c r="C170">
        <v>12</v>
      </c>
      <c r="D170" t="s">
        <v>8994</v>
      </c>
      <c r="E170" s="1">
        <v>37540</v>
      </c>
      <c r="F170" t="s">
        <v>6068</v>
      </c>
      <c r="G170">
        <v>389</v>
      </c>
      <c r="H170">
        <v>26504</v>
      </c>
      <c r="I170">
        <v>6</v>
      </c>
      <c r="J170">
        <v>1</v>
      </c>
      <c r="K170">
        <v>1</v>
      </c>
      <c r="L170">
        <v>2</v>
      </c>
      <c r="M170" t="s">
        <v>3571</v>
      </c>
      <c r="N170" t="s">
        <v>3572</v>
      </c>
      <c r="O170">
        <v>605.64919999999995</v>
      </c>
      <c r="P170">
        <v>1000.4375</v>
      </c>
      <c r="Q170" t="s">
        <v>30</v>
      </c>
      <c r="R170" t="s">
        <v>98</v>
      </c>
      <c r="S170" t="s">
        <v>275</v>
      </c>
      <c r="T170" t="s">
        <v>8708</v>
      </c>
      <c r="U170" s="1">
        <v>18130</v>
      </c>
      <c r="V170" t="s">
        <v>16</v>
      </c>
      <c r="W170" t="s">
        <v>29</v>
      </c>
      <c r="X170" t="s">
        <v>3218</v>
      </c>
      <c r="Y170">
        <v>40000</v>
      </c>
      <c r="Z170">
        <v>2</v>
      </c>
      <c r="AA170" t="s">
        <v>77</v>
      </c>
      <c r="AB170" t="s">
        <v>53</v>
      </c>
      <c r="AC170" t="s">
        <v>19</v>
      </c>
      <c r="AD170" t="s">
        <v>3582</v>
      </c>
      <c r="AE170" t="s">
        <v>3582</v>
      </c>
      <c r="AF170" t="s">
        <v>3579</v>
      </c>
      <c r="AG170" t="s">
        <v>3479</v>
      </c>
      <c r="AH170" t="s">
        <v>3475</v>
      </c>
      <c r="AI170">
        <v>1000.4375</v>
      </c>
      <c r="AJ170">
        <v>605.64919999999995</v>
      </c>
      <c r="AK170">
        <v>394.78829999999999</v>
      </c>
      <c r="AL170">
        <v>0.39461565565065299</v>
      </c>
    </row>
    <row r="171" spans="1:38">
      <c r="A171" s="1">
        <v>42354</v>
      </c>
      <c r="B171">
        <v>2015</v>
      </c>
      <c r="C171">
        <v>12</v>
      </c>
      <c r="D171" t="s">
        <v>8994</v>
      </c>
      <c r="E171" s="1">
        <v>37565</v>
      </c>
      <c r="F171" t="s">
        <v>6062</v>
      </c>
      <c r="G171">
        <v>377</v>
      </c>
      <c r="H171">
        <v>13726</v>
      </c>
      <c r="I171">
        <v>4</v>
      </c>
      <c r="J171">
        <v>1</v>
      </c>
      <c r="K171">
        <v>1</v>
      </c>
      <c r="L171">
        <v>2</v>
      </c>
      <c r="M171" t="s">
        <v>3559</v>
      </c>
      <c r="N171" t="s">
        <v>3560</v>
      </c>
      <c r="O171">
        <v>1320.6838</v>
      </c>
      <c r="P171">
        <v>2181.5625</v>
      </c>
      <c r="Q171" t="s">
        <v>13</v>
      </c>
      <c r="R171" t="s">
        <v>601</v>
      </c>
      <c r="S171" t="s">
        <v>407</v>
      </c>
      <c r="T171" t="s">
        <v>7154</v>
      </c>
      <c r="U171" s="1">
        <v>19909</v>
      </c>
      <c r="V171" t="s">
        <v>16</v>
      </c>
      <c r="W171" t="s">
        <v>16</v>
      </c>
      <c r="X171" t="s">
        <v>1613</v>
      </c>
      <c r="Y171">
        <v>40000</v>
      </c>
      <c r="Z171">
        <v>1</v>
      </c>
      <c r="AA171" t="s">
        <v>52</v>
      </c>
      <c r="AB171" t="s">
        <v>60</v>
      </c>
      <c r="AC171" t="s">
        <v>19</v>
      </c>
      <c r="AD171" t="s">
        <v>3580</v>
      </c>
      <c r="AE171" t="s">
        <v>3578</v>
      </c>
      <c r="AF171" t="s">
        <v>3579</v>
      </c>
      <c r="AG171" t="s">
        <v>3479</v>
      </c>
      <c r="AH171" t="s">
        <v>3475</v>
      </c>
      <c r="AI171">
        <v>2181.5625</v>
      </c>
      <c r="AJ171">
        <v>1320.6838</v>
      </c>
      <c r="AK171">
        <v>860.87869999999998</v>
      </c>
      <c r="AL171">
        <v>0.39461564818793898</v>
      </c>
    </row>
    <row r="172" spans="1:38">
      <c r="A172" s="1">
        <v>42354</v>
      </c>
      <c r="B172">
        <v>2015</v>
      </c>
      <c r="C172">
        <v>12</v>
      </c>
      <c r="D172" t="s">
        <v>8994</v>
      </c>
      <c r="E172" s="1">
        <v>37488</v>
      </c>
      <c r="F172" t="s">
        <v>6071</v>
      </c>
      <c r="G172">
        <v>334</v>
      </c>
      <c r="H172">
        <v>26571</v>
      </c>
      <c r="I172">
        <v>9</v>
      </c>
      <c r="J172">
        <v>1</v>
      </c>
      <c r="K172">
        <v>1</v>
      </c>
      <c r="L172">
        <v>2</v>
      </c>
      <c r="M172" t="s">
        <v>3509</v>
      </c>
      <c r="N172" t="s">
        <v>3510</v>
      </c>
      <c r="O172">
        <v>413.1463</v>
      </c>
      <c r="P172">
        <v>699.09820000000002</v>
      </c>
      <c r="Q172" t="s">
        <v>30</v>
      </c>
      <c r="R172" t="s">
        <v>475</v>
      </c>
      <c r="S172" t="s">
        <v>490</v>
      </c>
      <c r="T172" t="s">
        <v>8738</v>
      </c>
      <c r="U172" s="1">
        <v>20136</v>
      </c>
      <c r="V172" t="s">
        <v>22</v>
      </c>
      <c r="W172" t="s">
        <v>29</v>
      </c>
      <c r="X172" t="s">
        <v>3248</v>
      </c>
      <c r="Y172">
        <v>80000</v>
      </c>
      <c r="Z172">
        <v>2</v>
      </c>
      <c r="AA172" t="s">
        <v>52</v>
      </c>
      <c r="AB172" t="s">
        <v>53</v>
      </c>
      <c r="AC172" t="s">
        <v>23</v>
      </c>
      <c r="AD172" t="s">
        <v>3586</v>
      </c>
      <c r="AE172" t="s">
        <v>3586</v>
      </c>
      <c r="AF172" t="s">
        <v>3587</v>
      </c>
      <c r="AG172" t="s">
        <v>3479</v>
      </c>
      <c r="AH172" t="s">
        <v>3475</v>
      </c>
      <c r="AI172">
        <v>699.09820000000002</v>
      </c>
      <c r="AJ172">
        <v>413.1463</v>
      </c>
      <c r="AK172">
        <v>285.95190000000002</v>
      </c>
      <c r="AL172">
        <v>0.409029661355157</v>
      </c>
    </row>
    <row r="173" spans="1:38">
      <c r="A173" s="1">
        <v>42354</v>
      </c>
      <c r="B173">
        <v>2015</v>
      </c>
      <c r="C173">
        <v>12</v>
      </c>
      <c r="D173" t="s">
        <v>8994</v>
      </c>
      <c r="E173" s="1">
        <v>37570</v>
      </c>
      <c r="F173" t="s">
        <v>6069</v>
      </c>
      <c r="G173">
        <v>360</v>
      </c>
      <c r="H173">
        <v>13123</v>
      </c>
      <c r="I173">
        <v>9</v>
      </c>
      <c r="J173">
        <v>1</v>
      </c>
      <c r="K173">
        <v>1</v>
      </c>
      <c r="L173">
        <v>1</v>
      </c>
      <c r="M173" t="s">
        <v>3543</v>
      </c>
      <c r="N173" t="s">
        <v>3544</v>
      </c>
      <c r="O173">
        <v>1105.81</v>
      </c>
      <c r="P173">
        <v>2049.0981999999999</v>
      </c>
      <c r="Q173" t="s">
        <v>26</v>
      </c>
      <c r="R173" t="s">
        <v>500</v>
      </c>
      <c r="S173" t="s">
        <v>155</v>
      </c>
      <c r="T173" t="s">
        <v>7112</v>
      </c>
      <c r="U173" s="1">
        <v>23501</v>
      </c>
      <c r="V173" t="s">
        <v>22</v>
      </c>
      <c r="W173" t="s">
        <v>29</v>
      </c>
      <c r="X173" t="s">
        <v>1425</v>
      </c>
      <c r="Y173">
        <v>70000</v>
      </c>
      <c r="Z173">
        <v>0</v>
      </c>
      <c r="AA173" t="s">
        <v>17</v>
      </c>
      <c r="AB173" t="s">
        <v>18</v>
      </c>
      <c r="AC173" t="s">
        <v>23</v>
      </c>
      <c r="AD173" t="s">
        <v>3586</v>
      </c>
      <c r="AE173" t="s">
        <v>3586</v>
      </c>
      <c r="AF173" t="s">
        <v>3587</v>
      </c>
      <c r="AG173" t="s">
        <v>3478</v>
      </c>
      <c r="AH173" t="s">
        <v>3475</v>
      </c>
      <c r="AI173">
        <v>2049.0981999999999</v>
      </c>
      <c r="AJ173">
        <v>1105.81</v>
      </c>
      <c r="AK173">
        <v>943.28819999999996</v>
      </c>
      <c r="AL173">
        <v>0.46034309141455498</v>
      </c>
    </row>
    <row r="174" spans="1:38">
      <c r="A174" s="1">
        <v>42354</v>
      </c>
      <c r="B174">
        <v>2015</v>
      </c>
      <c r="C174">
        <v>12</v>
      </c>
      <c r="D174" t="s">
        <v>8994</v>
      </c>
      <c r="E174" s="1">
        <v>37555</v>
      </c>
      <c r="F174" t="s">
        <v>6066</v>
      </c>
      <c r="G174">
        <v>362</v>
      </c>
      <c r="H174">
        <v>13133</v>
      </c>
      <c r="I174">
        <v>9</v>
      </c>
      <c r="J174">
        <v>1</v>
      </c>
      <c r="K174">
        <v>1</v>
      </c>
      <c r="L174">
        <v>1</v>
      </c>
      <c r="M174" t="s">
        <v>3545</v>
      </c>
      <c r="N174" t="s">
        <v>3546</v>
      </c>
      <c r="O174">
        <v>1105.81</v>
      </c>
      <c r="P174">
        <v>2049.0981999999999</v>
      </c>
      <c r="Q174" t="s">
        <v>13</v>
      </c>
      <c r="R174" t="s">
        <v>1320</v>
      </c>
      <c r="S174" t="s">
        <v>1433</v>
      </c>
      <c r="T174" t="s">
        <v>7119</v>
      </c>
      <c r="U174" s="1">
        <v>21781</v>
      </c>
      <c r="V174" t="s">
        <v>22</v>
      </c>
      <c r="W174" t="s">
        <v>16</v>
      </c>
      <c r="X174" t="s">
        <v>1434</v>
      </c>
      <c r="Y174">
        <v>100000</v>
      </c>
      <c r="Z174">
        <v>5</v>
      </c>
      <c r="AA174" t="s">
        <v>17</v>
      </c>
      <c r="AB174" t="s">
        <v>18</v>
      </c>
      <c r="AC174" t="s">
        <v>19</v>
      </c>
      <c r="AD174" t="s">
        <v>3586</v>
      </c>
      <c r="AE174" t="s">
        <v>3586</v>
      </c>
      <c r="AF174" t="s">
        <v>3587</v>
      </c>
      <c r="AG174" t="s">
        <v>3478</v>
      </c>
      <c r="AH174" t="s">
        <v>3475</v>
      </c>
      <c r="AI174">
        <v>2049.0981999999999</v>
      </c>
      <c r="AJ174">
        <v>1105.81</v>
      </c>
      <c r="AK174">
        <v>943.28819999999996</v>
      </c>
      <c r="AL174">
        <v>0.46034309141455498</v>
      </c>
    </row>
    <row r="175" spans="1:38">
      <c r="A175" s="1">
        <v>42354</v>
      </c>
      <c r="B175">
        <v>2015</v>
      </c>
      <c r="C175">
        <v>12</v>
      </c>
      <c r="D175" t="s">
        <v>8994</v>
      </c>
      <c r="E175" s="1">
        <v>37499</v>
      </c>
      <c r="F175" t="s">
        <v>6064</v>
      </c>
      <c r="G175">
        <v>328</v>
      </c>
      <c r="H175">
        <v>15419</v>
      </c>
      <c r="I175">
        <v>1</v>
      </c>
      <c r="J175">
        <v>1</v>
      </c>
      <c r="K175">
        <v>1</v>
      </c>
      <c r="L175">
        <v>2</v>
      </c>
      <c r="M175" t="s">
        <v>3503</v>
      </c>
      <c r="N175" t="s">
        <v>3504</v>
      </c>
      <c r="O175">
        <v>413.1463</v>
      </c>
      <c r="P175">
        <v>699.09820000000002</v>
      </c>
      <c r="Q175" t="s">
        <v>13</v>
      </c>
      <c r="R175" t="s">
        <v>754</v>
      </c>
      <c r="S175" t="s">
        <v>173</v>
      </c>
      <c r="T175" t="s">
        <v>7494</v>
      </c>
      <c r="U175" s="1">
        <v>24854</v>
      </c>
      <c r="V175" t="s">
        <v>22</v>
      </c>
      <c r="W175" t="s">
        <v>16</v>
      </c>
      <c r="X175" t="s">
        <v>1971</v>
      </c>
      <c r="Y175">
        <v>100000</v>
      </c>
      <c r="Z175">
        <v>2</v>
      </c>
      <c r="AA175" t="s">
        <v>17</v>
      </c>
      <c r="AB175" t="s">
        <v>45</v>
      </c>
      <c r="AC175" t="s">
        <v>19</v>
      </c>
      <c r="AD175" t="s">
        <v>3577</v>
      </c>
      <c r="AE175" t="s">
        <v>3578</v>
      </c>
      <c r="AF175" t="s">
        <v>3579</v>
      </c>
      <c r="AG175" t="s">
        <v>3479</v>
      </c>
      <c r="AH175" t="s">
        <v>3475</v>
      </c>
      <c r="AI175">
        <v>699.09820000000002</v>
      </c>
      <c r="AJ175">
        <v>413.1463</v>
      </c>
      <c r="AK175">
        <v>285.95190000000002</v>
      </c>
      <c r="AL175">
        <v>0.409029661355157</v>
      </c>
    </row>
    <row r="176" spans="1:38">
      <c r="A176" s="1">
        <v>42354</v>
      </c>
      <c r="B176">
        <v>2015</v>
      </c>
      <c r="C176">
        <v>12</v>
      </c>
      <c r="D176" t="s">
        <v>8994</v>
      </c>
      <c r="E176" s="1">
        <v>37579</v>
      </c>
      <c r="F176" t="s">
        <v>6070</v>
      </c>
      <c r="G176">
        <v>320</v>
      </c>
      <c r="H176">
        <v>15422</v>
      </c>
      <c r="I176">
        <v>1</v>
      </c>
      <c r="J176">
        <v>1</v>
      </c>
      <c r="K176">
        <v>1</v>
      </c>
      <c r="L176">
        <v>2</v>
      </c>
      <c r="M176" t="s">
        <v>3495</v>
      </c>
      <c r="N176" t="s">
        <v>3496</v>
      </c>
      <c r="O176">
        <v>413.1463</v>
      </c>
      <c r="P176">
        <v>699.09820000000002</v>
      </c>
      <c r="Q176" t="s">
        <v>26</v>
      </c>
      <c r="R176" t="s">
        <v>376</v>
      </c>
      <c r="S176" t="s">
        <v>246</v>
      </c>
      <c r="T176" t="s">
        <v>7495</v>
      </c>
      <c r="U176" s="1">
        <v>29046</v>
      </c>
      <c r="V176" t="s">
        <v>16</v>
      </c>
      <c r="W176" t="s">
        <v>29</v>
      </c>
      <c r="X176" t="s">
        <v>1972</v>
      </c>
      <c r="Y176">
        <v>40000</v>
      </c>
      <c r="Z176">
        <v>0</v>
      </c>
      <c r="AA176" t="s">
        <v>57</v>
      </c>
      <c r="AB176" t="s">
        <v>53</v>
      </c>
      <c r="AC176" t="s">
        <v>19</v>
      </c>
      <c r="AD176" t="s">
        <v>3577</v>
      </c>
      <c r="AE176" t="s">
        <v>3578</v>
      </c>
      <c r="AF176" t="s">
        <v>3579</v>
      </c>
      <c r="AG176" t="s">
        <v>3479</v>
      </c>
      <c r="AH176" t="s">
        <v>3475</v>
      </c>
      <c r="AI176">
        <v>699.09820000000002</v>
      </c>
      <c r="AJ176">
        <v>413.1463</v>
      </c>
      <c r="AK176">
        <v>285.95190000000002</v>
      </c>
      <c r="AL176">
        <v>0.409029661355157</v>
      </c>
    </row>
    <row r="177" spans="1:38">
      <c r="A177" s="1">
        <v>42355</v>
      </c>
      <c r="B177">
        <v>2015</v>
      </c>
      <c r="C177">
        <v>12</v>
      </c>
      <c r="D177" t="s">
        <v>8994</v>
      </c>
      <c r="E177" s="1">
        <v>37531</v>
      </c>
      <c r="F177" t="s">
        <v>6074</v>
      </c>
      <c r="G177">
        <v>389</v>
      </c>
      <c r="H177">
        <v>24919</v>
      </c>
      <c r="I177">
        <v>9</v>
      </c>
      <c r="J177">
        <v>1</v>
      </c>
      <c r="K177">
        <v>1</v>
      </c>
      <c r="L177">
        <v>2</v>
      </c>
      <c r="M177" t="s">
        <v>3571</v>
      </c>
      <c r="N177" t="s">
        <v>3572</v>
      </c>
      <c r="O177">
        <v>605.64919999999995</v>
      </c>
      <c r="P177">
        <v>1000.4375</v>
      </c>
      <c r="Q177" t="s">
        <v>13</v>
      </c>
      <c r="R177" t="s">
        <v>133</v>
      </c>
      <c r="S177" t="s">
        <v>468</v>
      </c>
      <c r="T177" t="s">
        <v>8456</v>
      </c>
      <c r="U177" s="1">
        <v>25805</v>
      </c>
      <c r="V177" t="s">
        <v>16</v>
      </c>
      <c r="W177" t="s">
        <v>16</v>
      </c>
      <c r="X177" t="s">
        <v>2956</v>
      </c>
      <c r="Y177">
        <v>100000</v>
      </c>
      <c r="Z177">
        <v>0</v>
      </c>
      <c r="AA177" t="s">
        <v>77</v>
      </c>
      <c r="AB177" t="s">
        <v>18</v>
      </c>
      <c r="AC177" t="s">
        <v>19</v>
      </c>
      <c r="AD177" t="s">
        <v>3586</v>
      </c>
      <c r="AE177" t="s">
        <v>3586</v>
      </c>
      <c r="AF177" t="s">
        <v>3587</v>
      </c>
      <c r="AG177" t="s">
        <v>3479</v>
      </c>
      <c r="AH177" t="s">
        <v>3475</v>
      </c>
      <c r="AI177">
        <v>1000.4375</v>
      </c>
      <c r="AJ177">
        <v>605.64919999999995</v>
      </c>
      <c r="AK177">
        <v>394.78829999999999</v>
      </c>
      <c r="AL177">
        <v>0.39461565565065299</v>
      </c>
    </row>
    <row r="178" spans="1:38">
      <c r="A178" s="1">
        <v>42355</v>
      </c>
      <c r="B178">
        <v>2015</v>
      </c>
      <c r="C178">
        <v>12</v>
      </c>
      <c r="D178" t="s">
        <v>8994</v>
      </c>
      <c r="E178" s="1">
        <v>37561</v>
      </c>
      <c r="F178" t="s">
        <v>6083</v>
      </c>
      <c r="G178">
        <v>379</v>
      </c>
      <c r="H178">
        <v>22935</v>
      </c>
      <c r="I178">
        <v>9</v>
      </c>
      <c r="J178">
        <v>1</v>
      </c>
      <c r="K178">
        <v>1</v>
      </c>
      <c r="L178">
        <v>2</v>
      </c>
      <c r="M178" t="s">
        <v>3561</v>
      </c>
      <c r="N178" t="s">
        <v>3562</v>
      </c>
      <c r="O178">
        <v>1320.6838</v>
      </c>
      <c r="P178">
        <v>2181.5625</v>
      </c>
      <c r="Q178" t="s">
        <v>30</v>
      </c>
      <c r="R178" t="s">
        <v>181</v>
      </c>
      <c r="S178" t="s">
        <v>271</v>
      </c>
      <c r="T178" t="s">
        <v>8328</v>
      </c>
      <c r="U178" s="1">
        <v>22424</v>
      </c>
      <c r="V178" t="s">
        <v>22</v>
      </c>
      <c r="W178" t="s">
        <v>29</v>
      </c>
      <c r="X178" t="s">
        <v>2827</v>
      </c>
      <c r="Y178">
        <v>60000</v>
      </c>
      <c r="Z178">
        <v>1</v>
      </c>
      <c r="AA178" t="s">
        <v>52</v>
      </c>
      <c r="AB178" t="s">
        <v>53</v>
      </c>
      <c r="AC178" t="s">
        <v>23</v>
      </c>
      <c r="AD178" t="s">
        <v>3586</v>
      </c>
      <c r="AE178" t="s">
        <v>3586</v>
      </c>
      <c r="AF178" t="s">
        <v>3587</v>
      </c>
      <c r="AG178" t="s">
        <v>3479</v>
      </c>
      <c r="AH178" t="s">
        <v>3475</v>
      </c>
      <c r="AI178">
        <v>2181.5625</v>
      </c>
      <c r="AJ178">
        <v>1320.6838</v>
      </c>
      <c r="AK178">
        <v>860.87869999999998</v>
      </c>
      <c r="AL178">
        <v>0.39461564818793898</v>
      </c>
    </row>
    <row r="179" spans="1:38">
      <c r="A179" s="1">
        <v>42355</v>
      </c>
      <c r="B179">
        <v>2015</v>
      </c>
      <c r="C179">
        <v>12</v>
      </c>
      <c r="D179" t="s">
        <v>8994</v>
      </c>
      <c r="E179" s="1">
        <v>37520</v>
      </c>
      <c r="F179" t="s">
        <v>6082</v>
      </c>
      <c r="G179">
        <v>342</v>
      </c>
      <c r="H179">
        <v>15428</v>
      </c>
      <c r="I179">
        <v>4</v>
      </c>
      <c r="J179">
        <v>1</v>
      </c>
      <c r="K179">
        <v>1</v>
      </c>
      <c r="L179">
        <v>2</v>
      </c>
      <c r="M179" t="s">
        <v>3517</v>
      </c>
      <c r="N179" t="s">
        <v>3518</v>
      </c>
      <c r="O179">
        <v>413.1463</v>
      </c>
      <c r="P179">
        <v>699.09820000000002</v>
      </c>
      <c r="Q179" t="s">
        <v>13</v>
      </c>
      <c r="R179" t="s">
        <v>765</v>
      </c>
      <c r="S179" t="s">
        <v>294</v>
      </c>
      <c r="T179" t="s">
        <v>7497</v>
      </c>
      <c r="U179" s="1">
        <v>28976</v>
      </c>
      <c r="V179" t="s">
        <v>16</v>
      </c>
      <c r="W179" t="s">
        <v>16</v>
      </c>
      <c r="X179" t="s">
        <v>1974</v>
      </c>
      <c r="Y179">
        <v>60000</v>
      </c>
      <c r="Z179">
        <v>0</v>
      </c>
      <c r="AA179" t="s">
        <v>52</v>
      </c>
      <c r="AB179" t="s">
        <v>53</v>
      </c>
      <c r="AC179" t="s">
        <v>19</v>
      </c>
      <c r="AD179" t="s">
        <v>3580</v>
      </c>
      <c r="AE179" t="s">
        <v>3578</v>
      </c>
      <c r="AF179" t="s">
        <v>3579</v>
      </c>
      <c r="AG179" t="s">
        <v>3479</v>
      </c>
      <c r="AH179" t="s">
        <v>3475</v>
      </c>
      <c r="AI179">
        <v>699.09820000000002</v>
      </c>
      <c r="AJ179">
        <v>413.1463</v>
      </c>
      <c r="AK179">
        <v>285.95190000000002</v>
      </c>
      <c r="AL179">
        <v>0.409029661355157</v>
      </c>
    </row>
    <row r="180" spans="1:38">
      <c r="A180" s="1">
        <v>42355</v>
      </c>
      <c r="B180">
        <v>2015</v>
      </c>
      <c r="C180">
        <v>12</v>
      </c>
      <c r="D180" t="s">
        <v>8994</v>
      </c>
      <c r="E180" s="1">
        <v>37535</v>
      </c>
      <c r="F180" t="s">
        <v>6078</v>
      </c>
      <c r="G180">
        <v>358</v>
      </c>
      <c r="H180">
        <v>12231</v>
      </c>
      <c r="I180">
        <v>8</v>
      </c>
      <c r="J180">
        <v>1</v>
      </c>
      <c r="K180">
        <v>1</v>
      </c>
      <c r="L180">
        <v>1</v>
      </c>
      <c r="M180" t="s">
        <v>3541</v>
      </c>
      <c r="N180" t="s">
        <v>3542</v>
      </c>
      <c r="O180">
        <v>1105.81</v>
      </c>
      <c r="P180">
        <v>2049.0981999999999</v>
      </c>
      <c r="Q180" t="s">
        <v>30</v>
      </c>
      <c r="R180" t="s">
        <v>1040</v>
      </c>
      <c r="S180" t="s">
        <v>261</v>
      </c>
      <c r="T180" t="s">
        <v>6828</v>
      </c>
      <c r="U180" s="1">
        <v>20167</v>
      </c>
      <c r="V180" t="s">
        <v>22</v>
      </c>
      <c r="W180" t="s">
        <v>29</v>
      </c>
      <c r="X180" t="s">
        <v>1041</v>
      </c>
      <c r="Y180">
        <v>10000</v>
      </c>
      <c r="Z180">
        <v>2</v>
      </c>
      <c r="AA180" t="s">
        <v>52</v>
      </c>
      <c r="AB180" t="s">
        <v>444</v>
      </c>
      <c r="AC180" t="s">
        <v>19</v>
      </c>
      <c r="AD180" t="s">
        <v>3585</v>
      </c>
      <c r="AE180" t="s">
        <v>3585</v>
      </c>
      <c r="AF180" t="s">
        <v>3584</v>
      </c>
      <c r="AG180" t="s">
        <v>3478</v>
      </c>
      <c r="AH180" t="s">
        <v>3475</v>
      </c>
      <c r="AI180">
        <v>2049.0981999999999</v>
      </c>
      <c r="AJ180">
        <v>1105.81</v>
      </c>
      <c r="AK180">
        <v>943.28819999999996</v>
      </c>
      <c r="AL180">
        <v>0.46034309141455498</v>
      </c>
    </row>
    <row r="181" spans="1:38">
      <c r="A181" s="1">
        <v>42355</v>
      </c>
      <c r="B181">
        <v>2015</v>
      </c>
      <c r="C181">
        <v>12</v>
      </c>
      <c r="D181" t="s">
        <v>8994</v>
      </c>
      <c r="E181" s="1">
        <v>37571</v>
      </c>
      <c r="F181" t="s">
        <v>6079</v>
      </c>
      <c r="G181">
        <v>377</v>
      </c>
      <c r="H181">
        <v>23106</v>
      </c>
      <c r="I181">
        <v>9</v>
      </c>
      <c r="J181">
        <v>1</v>
      </c>
      <c r="K181">
        <v>1</v>
      </c>
      <c r="L181">
        <v>2</v>
      </c>
      <c r="M181" t="s">
        <v>3559</v>
      </c>
      <c r="N181" t="s">
        <v>3560</v>
      </c>
      <c r="O181">
        <v>1320.6838</v>
      </c>
      <c r="P181">
        <v>2181.5625</v>
      </c>
      <c r="Q181" t="s">
        <v>30</v>
      </c>
      <c r="R181" t="s">
        <v>881</v>
      </c>
      <c r="S181" t="s">
        <v>87</v>
      </c>
      <c r="T181" t="s">
        <v>8363</v>
      </c>
      <c r="U181" s="1">
        <v>19984</v>
      </c>
      <c r="V181" t="s">
        <v>16</v>
      </c>
      <c r="W181" t="s">
        <v>29</v>
      </c>
      <c r="X181" t="s">
        <v>2863</v>
      </c>
      <c r="Y181">
        <v>70000</v>
      </c>
      <c r="Z181">
        <v>2</v>
      </c>
      <c r="AA181" t="s">
        <v>52</v>
      </c>
      <c r="AB181" t="s">
        <v>53</v>
      </c>
      <c r="AC181" t="s">
        <v>19</v>
      </c>
      <c r="AD181" t="s">
        <v>3586</v>
      </c>
      <c r="AE181" t="s">
        <v>3586</v>
      </c>
      <c r="AF181" t="s">
        <v>3587</v>
      </c>
      <c r="AG181" t="s">
        <v>3479</v>
      </c>
      <c r="AH181" t="s">
        <v>3475</v>
      </c>
      <c r="AI181">
        <v>2181.5625</v>
      </c>
      <c r="AJ181">
        <v>1320.6838</v>
      </c>
      <c r="AK181">
        <v>860.87869999999998</v>
      </c>
      <c r="AL181">
        <v>0.39461564818793898</v>
      </c>
    </row>
    <row r="182" spans="1:38">
      <c r="A182" s="1">
        <v>42355</v>
      </c>
      <c r="B182">
        <v>2015</v>
      </c>
      <c r="C182">
        <v>12</v>
      </c>
      <c r="D182" t="s">
        <v>8994</v>
      </c>
      <c r="E182" s="1">
        <v>37580</v>
      </c>
      <c r="F182" t="s">
        <v>6075</v>
      </c>
      <c r="G182">
        <v>379</v>
      </c>
      <c r="H182">
        <v>13741</v>
      </c>
      <c r="I182">
        <v>4</v>
      </c>
      <c r="J182">
        <v>1</v>
      </c>
      <c r="K182">
        <v>1</v>
      </c>
      <c r="L182">
        <v>2</v>
      </c>
      <c r="M182" t="s">
        <v>3561</v>
      </c>
      <c r="N182" t="s">
        <v>3562</v>
      </c>
      <c r="O182">
        <v>1320.6838</v>
      </c>
      <c r="P182">
        <v>2181.5625</v>
      </c>
      <c r="Q182" t="s">
        <v>30</v>
      </c>
      <c r="R182" t="s">
        <v>409</v>
      </c>
      <c r="S182" t="s">
        <v>252</v>
      </c>
      <c r="T182" t="s">
        <v>7162</v>
      </c>
      <c r="U182" s="1">
        <v>21112</v>
      </c>
      <c r="V182" t="s">
        <v>16</v>
      </c>
      <c r="W182" t="s">
        <v>29</v>
      </c>
      <c r="X182" t="s">
        <v>1621</v>
      </c>
      <c r="Y182">
        <v>40000</v>
      </c>
      <c r="Z182">
        <v>1</v>
      </c>
      <c r="AA182" t="s">
        <v>52</v>
      </c>
      <c r="AB182" t="s">
        <v>60</v>
      </c>
      <c r="AC182" t="s">
        <v>19</v>
      </c>
      <c r="AD182" t="s">
        <v>3580</v>
      </c>
      <c r="AE182" t="s">
        <v>3578</v>
      </c>
      <c r="AF182" t="s">
        <v>3579</v>
      </c>
      <c r="AG182" t="s">
        <v>3479</v>
      </c>
      <c r="AH182" t="s">
        <v>3475</v>
      </c>
      <c r="AI182">
        <v>2181.5625</v>
      </c>
      <c r="AJ182">
        <v>1320.6838</v>
      </c>
      <c r="AK182">
        <v>860.87869999999998</v>
      </c>
      <c r="AL182">
        <v>0.39461564818793898</v>
      </c>
    </row>
    <row r="183" spans="1:38">
      <c r="A183" s="1">
        <v>42355</v>
      </c>
      <c r="B183">
        <v>2015</v>
      </c>
      <c r="C183">
        <v>12</v>
      </c>
      <c r="D183" t="s">
        <v>8994</v>
      </c>
      <c r="E183" s="1">
        <v>37519</v>
      </c>
      <c r="F183" t="s">
        <v>6077</v>
      </c>
      <c r="G183">
        <v>352</v>
      </c>
      <c r="H183">
        <v>26632</v>
      </c>
      <c r="I183">
        <v>1</v>
      </c>
      <c r="J183">
        <v>1</v>
      </c>
      <c r="K183">
        <v>1</v>
      </c>
      <c r="L183">
        <v>1</v>
      </c>
      <c r="M183" t="s">
        <v>3535</v>
      </c>
      <c r="N183" t="s">
        <v>3536</v>
      </c>
      <c r="O183">
        <v>1117.8559</v>
      </c>
      <c r="P183">
        <v>2071.4196000000002</v>
      </c>
      <c r="Q183" t="s">
        <v>30</v>
      </c>
      <c r="R183" t="s">
        <v>588</v>
      </c>
      <c r="S183" t="s">
        <v>674</v>
      </c>
      <c r="T183" t="s">
        <v>8767</v>
      </c>
      <c r="U183" s="1">
        <v>22274</v>
      </c>
      <c r="V183" t="s">
        <v>16</v>
      </c>
      <c r="W183" t="s">
        <v>29</v>
      </c>
      <c r="X183" t="s">
        <v>3277</v>
      </c>
      <c r="Y183">
        <v>60000</v>
      </c>
      <c r="Z183">
        <v>1</v>
      </c>
      <c r="AA183" t="s">
        <v>52</v>
      </c>
      <c r="AB183" t="s">
        <v>53</v>
      </c>
      <c r="AC183" t="s">
        <v>19</v>
      </c>
      <c r="AD183" t="s">
        <v>3577</v>
      </c>
      <c r="AE183" t="s">
        <v>3578</v>
      </c>
      <c r="AF183" t="s">
        <v>3579</v>
      </c>
      <c r="AG183" t="s">
        <v>3478</v>
      </c>
      <c r="AH183" t="s">
        <v>3475</v>
      </c>
      <c r="AI183">
        <v>2071.4196000000002</v>
      </c>
      <c r="AJ183">
        <v>1117.8559</v>
      </c>
      <c r="AK183">
        <v>953.56370000000004</v>
      </c>
      <c r="AL183">
        <v>0.460343090313522</v>
      </c>
    </row>
    <row r="184" spans="1:38">
      <c r="A184" s="1">
        <v>42355</v>
      </c>
      <c r="B184">
        <v>2015</v>
      </c>
      <c r="C184">
        <v>12</v>
      </c>
      <c r="D184" t="s">
        <v>8994</v>
      </c>
      <c r="E184" s="1">
        <v>37495</v>
      </c>
      <c r="F184" t="s">
        <v>6073</v>
      </c>
      <c r="G184">
        <v>354</v>
      </c>
      <c r="H184">
        <v>13113</v>
      </c>
      <c r="I184">
        <v>9</v>
      </c>
      <c r="J184">
        <v>1</v>
      </c>
      <c r="K184">
        <v>1</v>
      </c>
      <c r="L184">
        <v>1</v>
      </c>
      <c r="M184" t="s">
        <v>3537</v>
      </c>
      <c r="N184" t="s">
        <v>3538</v>
      </c>
      <c r="O184">
        <v>1117.8559</v>
      </c>
      <c r="P184">
        <v>2071.4196000000002</v>
      </c>
      <c r="Q184" t="s">
        <v>13</v>
      </c>
      <c r="R184" t="s">
        <v>184</v>
      </c>
      <c r="S184" t="s">
        <v>109</v>
      </c>
      <c r="T184" t="s">
        <v>7104</v>
      </c>
      <c r="U184" s="1">
        <v>24302</v>
      </c>
      <c r="V184" t="s">
        <v>22</v>
      </c>
      <c r="W184" t="s">
        <v>16</v>
      </c>
      <c r="X184" t="s">
        <v>1418</v>
      </c>
      <c r="Y184">
        <v>100000</v>
      </c>
      <c r="Z184">
        <v>0</v>
      </c>
      <c r="AA184" t="s">
        <v>17</v>
      </c>
      <c r="AB184" t="s">
        <v>18</v>
      </c>
      <c r="AC184" t="s">
        <v>23</v>
      </c>
      <c r="AD184" t="s">
        <v>3586</v>
      </c>
      <c r="AE184" t="s">
        <v>3586</v>
      </c>
      <c r="AF184" t="s">
        <v>3587</v>
      </c>
      <c r="AG184" t="s">
        <v>3478</v>
      </c>
      <c r="AH184" t="s">
        <v>3475</v>
      </c>
      <c r="AI184">
        <v>2071.4196000000002</v>
      </c>
      <c r="AJ184">
        <v>1117.8559</v>
      </c>
      <c r="AK184">
        <v>953.56370000000004</v>
      </c>
      <c r="AL184">
        <v>0.460343090313522</v>
      </c>
    </row>
    <row r="185" spans="1:38">
      <c r="A185" s="1">
        <v>42355</v>
      </c>
      <c r="B185">
        <v>2015</v>
      </c>
      <c r="C185">
        <v>12</v>
      </c>
      <c r="D185" t="s">
        <v>8994</v>
      </c>
      <c r="E185" s="1">
        <v>37538</v>
      </c>
      <c r="F185" t="s">
        <v>6080</v>
      </c>
      <c r="G185">
        <v>338</v>
      </c>
      <c r="H185">
        <v>26569</v>
      </c>
      <c r="I185">
        <v>9</v>
      </c>
      <c r="J185">
        <v>1</v>
      </c>
      <c r="K185">
        <v>1</v>
      </c>
      <c r="L185">
        <v>2</v>
      </c>
      <c r="M185" t="s">
        <v>3513</v>
      </c>
      <c r="N185" t="s">
        <v>3514</v>
      </c>
      <c r="O185">
        <v>413.1463</v>
      </c>
      <c r="P185">
        <v>699.09820000000002</v>
      </c>
      <c r="Q185" t="s">
        <v>30</v>
      </c>
      <c r="R185" t="s">
        <v>1405</v>
      </c>
      <c r="S185" t="s">
        <v>109</v>
      </c>
      <c r="T185" t="s">
        <v>8736</v>
      </c>
      <c r="U185" s="1">
        <v>20310</v>
      </c>
      <c r="V185" t="s">
        <v>16</v>
      </c>
      <c r="W185" t="s">
        <v>29</v>
      </c>
      <c r="X185" t="s">
        <v>3246</v>
      </c>
      <c r="Y185">
        <v>80000</v>
      </c>
      <c r="Z185">
        <v>2</v>
      </c>
      <c r="AA185" t="s">
        <v>52</v>
      </c>
      <c r="AB185" t="s">
        <v>53</v>
      </c>
      <c r="AC185" t="s">
        <v>19</v>
      </c>
      <c r="AD185" t="s">
        <v>3586</v>
      </c>
      <c r="AE185" t="s">
        <v>3586</v>
      </c>
      <c r="AF185" t="s">
        <v>3587</v>
      </c>
      <c r="AG185" t="s">
        <v>3479</v>
      </c>
      <c r="AH185" t="s">
        <v>3475</v>
      </c>
      <c r="AI185">
        <v>699.09820000000002</v>
      </c>
      <c r="AJ185">
        <v>413.1463</v>
      </c>
      <c r="AK185">
        <v>285.95190000000002</v>
      </c>
      <c r="AL185">
        <v>0.409029661355157</v>
      </c>
    </row>
    <row r="186" spans="1:38">
      <c r="A186" s="1">
        <v>42355</v>
      </c>
      <c r="B186">
        <v>2015</v>
      </c>
      <c r="C186">
        <v>12</v>
      </c>
      <c r="D186" t="s">
        <v>8994</v>
      </c>
      <c r="E186" s="1">
        <v>37495</v>
      </c>
      <c r="F186" t="s">
        <v>6081</v>
      </c>
      <c r="G186">
        <v>322</v>
      </c>
      <c r="H186">
        <v>26568</v>
      </c>
      <c r="I186">
        <v>9</v>
      </c>
      <c r="J186">
        <v>1</v>
      </c>
      <c r="K186">
        <v>1</v>
      </c>
      <c r="L186">
        <v>2</v>
      </c>
      <c r="M186" t="s">
        <v>3497</v>
      </c>
      <c r="N186" t="s">
        <v>3498</v>
      </c>
      <c r="O186">
        <v>413.1463</v>
      </c>
      <c r="P186">
        <v>699.09820000000002</v>
      </c>
      <c r="Q186" t="s">
        <v>73</v>
      </c>
      <c r="R186" t="s">
        <v>391</v>
      </c>
      <c r="S186" t="s">
        <v>1083</v>
      </c>
      <c r="T186" t="s">
        <v>8735</v>
      </c>
      <c r="U186" s="1">
        <v>20312</v>
      </c>
      <c r="V186" t="s">
        <v>22</v>
      </c>
      <c r="W186" t="s">
        <v>76</v>
      </c>
      <c r="X186" t="s">
        <v>3245</v>
      </c>
      <c r="Y186">
        <v>80000</v>
      </c>
      <c r="Z186">
        <v>2</v>
      </c>
      <c r="AA186" t="s">
        <v>52</v>
      </c>
      <c r="AB186" t="s">
        <v>53</v>
      </c>
      <c r="AC186" t="s">
        <v>19</v>
      </c>
      <c r="AD186" t="s">
        <v>3586</v>
      </c>
      <c r="AE186" t="s">
        <v>3586</v>
      </c>
      <c r="AF186" t="s">
        <v>3587</v>
      </c>
      <c r="AG186" t="s">
        <v>3479</v>
      </c>
      <c r="AH186" t="s">
        <v>3475</v>
      </c>
      <c r="AI186">
        <v>699.09820000000002</v>
      </c>
      <c r="AJ186">
        <v>413.1463</v>
      </c>
      <c r="AK186">
        <v>285.95190000000002</v>
      </c>
      <c r="AL186">
        <v>0.409029661355157</v>
      </c>
    </row>
    <row r="187" spans="1:38">
      <c r="A187" s="1">
        <v>42355</v>
      </c>
      <c r="B187">
        <v>2015</v>
      </c>
      <c r="C187">
        <v>12</v>
      </c>
      <c r="D187" t="s">
        <v>8994</v>
      </c>
      <c r="E187" s="1">
        <v>37497</v>
      </c>
      <c r="F187" t="s">
        <v>6076</v>
      </c>
      <c r="G187">
        <v>377</v>
      </c>
      <c r="H187">
        <v>17207</v>
      </c>
      <c r="I187">
        <v>10</v>
      </c>
      <c r="J187">
        <v>1</v>
      </c>
      <c r="K187">
        <v>1</v>
      </c>
      <c r="L187">
        <v>2</v>
      </c>
      <c r="M187" t="s">
        <v>3559</v>
      </c>
      <c r="N187" t="s">
        <v>3560</v>
      </c>
      <c r="O187">
        <v>1320.6838</v>
      </c>
      <c r="P187">
        <v>2181.5625</v>
      </c>
      <c r="Q187" t="s">
        <v>13</v>
      </c>
      <c r="R187" t="s">
        <v>46</v>
      </c>
      <c r="S187" t="s">
        <v>25</v>
      </c>
      <c r="T187" t="s">
        <v>7671</v>
      </c>
      <c r="U187" s="1">
        <v>19495</v>
      </c>
      <c r="V187" t="s">
        <v>22</v>
      </c>
      <c r="W187" t="s">
        <v>16</v>
      </c>
      <c r="X187" t="s">
        <v>2156</v>
      </c>
      <c r="Y187">
        <v>80000</v>
      </c>
      <c r="Z187">
        <v>4</v>
      </c>
      <c r="AA187" t="s">
        <v>52</v>
      </c>
      <c r="AB187" t="s">
        <v>18</v>
      </c>
      <c r="AC187" t="s">
        <v>19</v>
      </c>
      <c r="AD187" t="s">
        <v>3588</v>
      </c>
      <c r="AE187" t="s">
        <v>3588</v>
      </c>
      <c r="AF187" t="s">
        <v>3584</v>
      </c>
      <c r="AG187" t="s">
        <v>3479</v>
      </c>
      <c r="AH187" t="s">
        <v>3475</v>
      </c>
      <c r="AI187">
        <v>2181.5625</v>
      </c>
      <c r="AJ187">
        <v>1320.6838</v>
      </c>
      <c r="AK187">
        <v>860.87869999999998</v>
      </c>
      <c r="AL187">
        <v>0.39461564818793898</v>
      </c>
    </row>
    <row r="188" spans="1:38">
      <c r="A188" s="1">
        <v>42356</v>
      </c>
      <c r="B188">
        <v>2015</v>
      </c>
      <c r="C188">
        <v>12</v>
      </c>
      <c r="D188" t="s">
        <v>8994</v>
      </c>
      <c r="E188" s="1">
        <v>37532</v>
      </c>
      <c r="F188" t="s">
        <v>6092</v>
      </c>
      <c r="G188">
        <v>354</v>
      </c>
      <c r="H188">
        <v>12266</v>
      </c>
      <c r="I188">
        <v>8</v>
      </c>
      <c r="J188">
        <v>1</v>
      </c>
      <c r="K188">
        <v>1</v>
      </c>
      <c r="L188">
        <v>1</v>
      </c>
      <c r="M188" t="s">
        <v>3537</v>
      </c>
      <c r="N188" t="s">
        <v>3538</v>
      </c>
      <c r="O188">
        <v>1117.8559</v>
      </c>
      <c r="P188">
        <v>2071.4196000000002</v>
      </c>
      <c r="Q188" t="s">
        <v>30</v>
      </c>
      <c r="R188" t="s">
        <v>150</v>
      </c>
      <c r="S188" t="s">
        <v>212</v>
      </c>
      <c r="T188" t="s">
        <v>6846</v>
      </c>
      <c r="U188" s="1">
        <v>21626</v>
      </c>
      <c r="V188" t="s">
        <v>16</v>
      </c>
      <c r="W188" t="s">
        <v>29</v>
      </c>
      <c r="X188" t="s">
        <v>1065</v>
      </c>
      <c r="Y188">
        <v>20000</v>
      </c>
      <c r="Z188">
        <v>2</v>
      </c>
      <c r="AA188" t="s">
        <v>52</v>
      </c>
      <c r="AB188" t="s">
        <v>444</v>
      </c>
      <c r="AC188" t="s">
        <v>19</v>
      </c>
      <c r="AD188" t="s">
        <v>3585</v>
      </c>
      <c r="AE188" t="s">
        <v>3585</v>
      </c>
      <c r="AF188" t="s">
        <v>3584</v>
      </c>
      <c r="AG188" t="s">
        <v>3478</v>
      </c>
      <c r="AH188" t="s">
        <v>3475</v>
      </c>
      <c r="AI188">
        <v>2071.4196000000002</v>
      </c>
      <c r="AJ188">
        <v>1117.8559</v>
      </c>
      <c r="AK188">
        <v>953.56370000000004</v>
      </c>
      <c r="AL188">
        <v>0.460343090313522</v>
      </c>
    </row>
    <row r="189" spans="1:38">
      <c r="A189" s="1">
        <v>42356</v>
      </c>
      <c r="B189">
        <v>2015</v>
      </c>
      <c r="C189">
        <v>12</v>
      </c>
      <c r="D189" t="s">
        <v>8994</v>
      </c>
      <c r="E189" s="1">
        <v>37542</v>
      </c>
      <c r="F189" t="s">
        <v>6089</v>
      </c>
      <c r="G189">
        <v>358</v>
      </c>
      <c r="H189">
        <v>28739</v>
      </c>
      <c r="I189">
        <v>7</v>
      </c>
      <c r="J189">
        <v>1</v>
      </c>
      <c r="K189">
        <v>1</v>
      </c>
      <c r="L189">
        <v>1</v>
      </c>
      <c r="M189" t="s">
        <v>3541</v>
      </c>
      <c r="N189" t="s">
        <v>3542</v>
      </c>
      <c r="O189">
        <v>1105.81</v>
      </c>
      <c r="P189">
        <v>2049.0981999999999</v>
      </c>
      <c r="Q189" t="s">
        <v>26</v>
      </c>
      <c r="R189" t="s">
        <v>591</v>
      </c>
      <c r="S189" t="s">
        <v>329</v>
      </c>
      <c r="T189" t="s">
        <v>8871</v>
      </c>
      <c r="U189" s="1">
        <v>26745</v>
      </c>
      <c r="V189" t="s">
        <v>22</v>
      </c>
      <c r="W189" t="s">
        <v>29</v>
      </c>
      <c r="X189" t="s">
        <v>3383</v>
      </c>
      <c r="Y189">
        <v>30000</v>
      </c>
      <c r="Z189">
        <v>0</v>
      </c>
      <c r="AA189" t="s">
        <v>57</v>
      </c>
      <c r="AB189" t="s">
        <v>444</v>
      </c>
      <c r="AC189" t="s">
        <v>23</v>
      </c>
      <c r="AD189" t="s">
        <v>3583</v>
      </c>
      <c r="AE189" t="s">
        <v>3583</v>
      </c>
      <c r="AF189" t="s">
        <v>3584</v>
      </c>
      <c r="AG189" t="s">
        <v>3478</v>
      </c>
      <c r="AH189" t="s">
        <v>3475</v>
      </c>
      <c r="AI189">
        <v>2049.0981999999999</v>
      </c>
      <c r="AJ189">
        <v>1105.81</v>
      </c>
      <c r="AK189">
        <v>943.28819999999996</v>
      </c>
      <c r="AL189">
        <v>0.46034309141455498</v>
      </c>
    </row>
    <row r="190" spans="1:38">
      <c r="A190" s="1">
        <v>42356</v>
      </c>
      <c r="B190">
        <v>2015</v>
      </c>
      <c r="C190">
        <v>12</v>
      </c>
      <c r="D190" t="s">
        <v>8994</v>
      </c>
      <c r="E190" s="1">
        <v>37536</v>
      </c>
      <c r="F190" t="s">
        <v>6090</v>
      </c>
      <c r="G190">
        <v>362</v>
      </c>
      <c r="H190">
        <v>26614</v>
      </c>
      <c r="I190">
        <v>1</v>
      </c>
      <c r="J190">
        <v>1</v>
      </c>
      <c r="K190">
        <v>1</v>
      </c>
      <c r="L190">
        <v>1</v>
      </c>
      <c r="M190" t="s">
        <v>3545</v>
      </c>
      <c r="N190" t="s">
        <v>3546</v>
      </c>
      <c r="O190">
        <v>1105.81</v>
      </c>
      <c r="P190">
        <v>2049.0981999999999</v>
      </c>
      <c r="Q190" t="s">
        <v>13</v>
      </c>
      <c r="R190" t="s">
        <v>765</v>
      </c>
      <c r="S190" t="s">
        <v>275</v>
      </c>
      <c r="T190" t="s">
        <v>8755</v>
      </c>
      <c r="U190" s="1">
        <v>22437</v>
      </c>
      <c r="V190" t="s">
        <v>22</v>
      </c>
      <c r="W190" t="s">
        <v>16</v>
      </c>
      <c r="X190" t="s">
        <v>3265</v>
      </c>
      <c r="Y190">
        <v>40000</v>
      </c>
      <c r="Z190">
        <v>4</v>
      </c>
      <c r="AA190" t="s">
        <v>57</v>
      </c>
      <c r="AB190" t="s">
        <v>53</v>
      </c>
      <c r="AC190" t="s">
        <v>19</v>
      </c>
      <c r="AD190" t="s">
        <v>3577</v>
      </c>
      <c r="AE190" t="s">
        <v>3578</v>
      </c>
      <c r="AF190" t="s">
        <v>3579</v>
      </c>
      <c r="AG190" t="s">
        <v>3478</v>
      </c>
      <c r="AH190" t="s">
        <v>3475</v>
      </c>
      <c r="AI190">
        <v>2049.0981999999999</v>
      </c>
      <c r="AJ190">
        <v>1105.81</v>
      </c>
      <c r="AK190">
        <v>943.28819999999996</v>
      </c>
      <c r="AL190">
        <v>0.46034309141455498</v>
      </c>
    </row>
    <row r="191" spans="1:38">
      <c r="A191" s="1">
        <v>42356</v>
      </c>
      <c r="B191">
        <v>2015</v>
      </c>
      <c r="C191">
        <v>12</v>
      </c>
      <c r="D191" t="s">
        <v>8994</v>
      </c>
      <c r="E191" s="1">
        <v>37498</v>
      </c>
      <c r="F191" t="s">
        <v>6084</v>
      </c>
      <c r="G191">
        <v>373</v>
      </c>
      <c r="H191">
        <v>23101</v>
      </c>
      <c r="I191">
        <v>9</v>
      </c>
      <c r="J191">
        <v>1</v>
      </c>
      <c r="K191">
        <v>1</v>
      </c>
      <c r="L191">
        <v>2</v>
      </c>
      <c r="M191" t="s">
        <v>3555</v>
      </c>
      <c r="N191" t="s">
        <v>3556</v>
      </c>
      <c r="O191">
        <v>1320.6838</v>
      </c>
      <c r="P191">
        <v>2181.5625</v>
      </c>
      <c r="Q191" t="s">
        <v>30</v>
      </c>
      <c r="R191" t="s">
        <v>755</v>
      </c>
      <c r="S191" t="s">
        <v>62</v>
      </c>
      <c r="T191" t="s">
        <v>8359</v>
      </c>
      <c r="U191" s="1">
        <v>19346</v>
      </c>
      <c r="V191" t="s">
        <v>16</v>
      </c>
      <c r="W191" t="s">
        <v>29</v>
      </c>
      <c r="X191" t="s">
        <v>2859</v>
      </c>
      <c r="Y191">
        <v>30000</v>
      </c>
      <c r="Z191">
        <v>3</v>
      </c>
      <c r="AA191" t="s">
        <v>57</v>
      </c>
      <c r="AB191" t="s">
        <v>53</v>
      </c>
      <c r="AC191" t="s">
        <v>19</v>
      </c>
      <c r="AD191" t="s">
        <v>3586</v>
      </c>
      <c r="AE191" t="s">
        <v>3586</v>
      </c>
      <c r="AF191" t="s">
        <v>3587</v>
      </c>
      <c r="AG191" t="s">
        <v>3479</v>
      </c>
      <c r="AH191" t="s">
        <v>3475</v>
      </c>
      <c r="AI191">
        <v>2181.5625</v>
      </c>
      <c r="AJ191">
        <v>1320.6838</v>
      </c>
      <c r="AK191">
        <v>860.87869999999998</v>
      </c>
      <c r="AL191">
        <v>0.39461564818793898</v>
      </c>
    </row>
    <row r="192" spans="1:38">
      <c r="A192" s="1">
        <v>42356</v>
      </c>
      <c r="B192">
        <v>2015</v>
      </c>
      <c r="C192">
        <v>12</v>
      </c>
      <c r="D192" t="s">
        <v>8994</v>
      </c>
      <c r="E192" s="1">
        <v>37561</v>
      </c>
      <c r="F192" t="s">
        <v>6093</v>
      </c>
      <c r="G192">
        <v>375</v>
      </c>
      <c r="H192">
        <v>23097</v>
      </c>
      <c r="I192">
        <v>9</v>
      </c>
      <c r="J192">
        <v>1</v>
      </c>
      <c r="K192">
        <v>1</v>
      </c>
      <c r="L192">
        <v>2</v>
      </c>
      <c r="M192" t="s">
        <v>3557</v>
      </c>
      <c r="N192" t="s">
        <v>3558</v>
      </c>
      <c r="O192">
        <v>1320.6838</v>
      </c>
      <c r="P192">
        <v>2181.5625</v>
      </c>
      <c r="Q192" t="s">
        <v>13</v>
      </c>
      <c r="R192" t="s">
        <v>1591</v>
      </c>
      <c r="S192" t="s">
        <v>2854</v>
      </c>
      <c r="T192" t="s">
        <v>8355</v>
      </c>
      <c r="U192" s="1">
        <v>18513</v>
      </c>
      <c r="V192" t="s">
        <v>22</v>
      </c>
      <c r="W192" t="s">
        <v>16</v>
      </c>
      <c r="X192" t="s">
        <v>2855</v>
      </c>
      <c r="Y192">
        <v>30000</v>
      </c>
      <c r="Z192">
        <v>3</v>
      </c>
      <c r="AA192" t="s">
        <v>52</v>
      </c>
      <c r="AB192" t="s">
        <v>60</v>
      </c>
      <c r="AC192" t="s">
        <v>23</v>
      </c>
      <c r="AD192" t="s">
        <v>3586</v>
      </c>
      <c r="AE192" t="s">
        <v>3586</v>
      </c>
      <c r="AF192" t="s">
        <v>3587</v>
      </c>
      <c r="AG192" t="s">
        <v>3479</v>
      </c>
      <c r="AH192" t="s">
        <v>3475</v>
      </c>
      <c r="AI192">
        <v>2181.5625</v>
      </c>
      <c r="AJ192">
        <v>1320.6838</v>
      </c>
      <c r="AK192">
        <v>860.87869999999998</v>
      </c>
      <c r="AL192">
        <v>0.39461564818793898</v>
      </c>
    </row>
    <row r="193" spans="1:38">
      <c r="A193" s="1">
        <v>42356</v>
      </c>
      <c r="B193">
        <v>2015</v>
      </c>
      <c r="C193">
        <v>12</v>
      </c>
      <c r="D193" t="s">
        <v>8994</v>
      </c>
      <c r="E193" s="1">
        <v>37518</v>
      </c>
      <c r="F193" t="s">
        <v>6087</v>
      </c>
      <c r="G193">
        <v>352</v>
      </c>
      <c r="H193">
        <v>26650</v>
      </c>
      <c r="I193">
        <v>4</v>
      </c>
      <c r="J193">
        <v>1</v>
      </c>
      <c r="K193">
        <v>1</v>
      </c>
      <c r="L193">
        <v>1</v>
      </c>
      <c r="M193" t="s">
        <v>3535</v>
      </c>
      <c r="N193" t="s">
        <v>3536</v>
      </c>
      <c r="O193">
        <v>1117.8559</v>
      </c>
      <c r="P193">
        <v>2071.4196000000002</v>
      </c>
      <c r="Q193" t="s">
        <v>13</v>
      </c>
      <c r="R193" t="s">
        <v>646</v>
      </c>
      <c r="S193" t="s">
        <v>377</v>
      </c>
      <c r="T193" t="s">
        <v>8779</v>
      </c>
      <c r="U193" s="1">
        <v>21333</v>
      </c>
      <c r="V193" t="s">
        <v>22</v>
      </c>
      <c r="W193" t="s">
        <v>16</v>
      </c>
      <c r="X193" t="s">
        <v>3289</v>
      </c>
      <c r="Y193">
        <v>80000</v>
      </c>
      <c r="Z193">
        <v>5</v>
      </c>
      <c r="AA193" t="s">
        <v>135</v>
      </c>
      <c r="AB193" t="s">
        <v>18</v>
      </c>
      <c r="AC193" t="s">
        <v>19</v>
      </c>
      <c r="AD193" t="s">
        <v>3580</v>
      </c>
      <c r="AE193" t="s">
        <v>3578</v>
      </c>
      <c r="AF193" t="s">
        <v>3579</v>
      </c>
      <c r="AG193" t="s">
        <v>3478</v>
      </c>
      <c r="AH193" t="s">
        <v>3475</v>
      </c>
      <c r="AI193">
        <v>2071.4196000000002</v>
      </c>
      <c r="AJ193">
        <v>1117.8559</v>
      </c>
      <c r="AK193">
        <v>953.56370000000004</v>
      </c>
      <c r="AL193">
        <v>0.460343090313522</v>
      </c>
    </row>
    <row r="194" spans="1:38">
      <c r="A194" s="1">
        <v>42356</v>
      </c>
      <c r="B194">
        <v>2015</v>
      </c>
      <c r="C194">
        <v>12</v>
      </c>
      <c r="D194" t="s">
        <v>8994</v>
      </c>
      <c r="E194" s="1">
        <v>37545</v>
      </c>
      <c r="F194" t="s">
        <v>6086</v>
      </c>
      <c r="G194">
        <v>362</v>
      </c>
      <c r="H194">
        <v>12394</v>
      </c>
      <c r="I194">
        <v>10</v>
      </c>
      <c r="J194">
        <v>1</v>
      </c>
      <c r="K194">
        <v>1</v>
      </c>
      <c r="L194">
        <v>1</v>
      </c>
      <c r="M194" t="s">
        <v>3545</v>
      </c>
      <c r="N194" t="s">
        <v>3546</v>
      </c>
      <c r="O194">
        <v>1105.81</v>
      </c>
      <c r="P194">
        <v>2049.0981999999999</v>
      </c>
      <c r="Q194" t="s">
        <v>26</v>
      </c>
      <c r="R194" t="s">
        <v>528</v>
      </c>
      <c r="S194" t="s">
        <v>157</v>
      </c>
      <c r="T194" t="s">
        <v>6927</v>
      </c>
      <c r="U194" s="1">
        <v>26005</v>
      </c>
      <c r="V194" t="s">
        <v>22</v>
      </c>
      <c r="W194" t="s">
        <v>29</v>
      </c>
      <c r="X194" t="s">
        <v>1137</v>
      </c>
      <c r="Y194">
        <v>20000</v>
      </c>
      <c r="Z194">
        <v>0</v>
      </c>
      <c r="AA194" t="s">
        <v>77</v>
      </c>
      <c r="AB194" t="s">
        <v>444</v>
      </c>
      <c r="AC194" t="s">
        <v>23</v>
      </c>
      <c r="AD194" t="s">
        <v>3588</v>
      </c>
      <c r="AE194" t="s">
        <v>3588</v>
      </c>
      <c r="AF194" t="s">
        <v>3584</v>
      </c>
      <c r="AG194" t="s">
        <v>3478</v>
      </c>
      <c r="AH194" t="s">
        <v>3475</v>
      </c>
      <c r="AI194">
        <v>2049.0981999999999</v>
      </c>
      <c r="AJ194">
        <v>1105.81</v>
      </c>
      <c r="AK194">
        <v>943.28819999999996</v>
      </c>
      <c r="AL194">
        <v>0.46034309141455498</v>
      </c>
    </row>
    <row r="195" spans="1:38">
      <c r="A195" s="1">
        <v>42356</v>
      </c>
      <c r="B195">
        <v>2015</v>
      </c>
      <c r="C195">
        <v>12</v>
      </c>
      <c r="D195" t="s">
        <v>8994</v>
      </c>
      <c r="E195" s="1">
        <v>37527</v>
      </c>
      <c r="F195" t="s">
        <v>6088</v>
      </c>
      <c r="G195">
        <v>387</v>
      </c>
      <c r="H195">
        <v>17646</v>
      </c>
      <c r="I195">
        <v>7</v>
      </c>
      <c r="J195">
        <v>1</v>
      </c>
      <c r="K195">
        <v>1</v>
      </c>
      <c r="L195">
        <v>2</v>
      </c>
      <c r="M195" t="s">
        <v>3569</v>
      </c>
      <c r="N195" t="s">
        <v>3570</v>
      </c>
      <c r="O195">
        <v>605.64919999999995</v>
      </c>
      <c r="P195">
        <v>1000.4375</v>
      </c>
      <c r="Q195" t="s">
        <v>26</v>
      </c>
      <c r="R195" t="s">
        <v>167</v>
      </c>
      <c r="S195" t="s">
        <v>474</v>
      </c>
      <c r="T195" t="s">
        <v>7681</v>
      </c>
      <c r="U195" s="1">
        <v>26050</v>
      </c>
      <c r="V195" t="s">
        <v>22</v>
      </c>
      <c r="W195" t="s">
        <v>29</v>
      </c>
      <c r="X195" t="s">
        <v>2168</v>
      </c>
      <c r="Y195">
        <v>30000</v>
      </c>
      <c r="Z195">
        <v>0</v>
      </c>
      <c r="AA195" t="s">
        <v>57</v>
      </c>
      <c r="AB195" t="s">
        <v>444</v>
      </c>
      <c r="AC195" t="s">
        <v>23</v>
      </c>
      <c r="AD195" t="s">
        <v>3583</v>
      </c>
      <c r="AE195" t="s">
        <v>3583</v>
      </c>
      <c r="AF195" t="s">
        <v>3584</v>
      </c>
      <c r="AG195" t="s">
        <v>3479</v>
      </c>
      <c r="AH195" t="s">
        <v>3475</v>
      </c>
      <c r="AI195">
        <v>1000.4375</v>
      </c>
      <c r="AJ195">
        <v>605.64919999999995</v>
      </c>
      <c r="AK195">
        <v>394.78829999999999</v>
      </c>
      <c r="AL195">
        <v>0.39461565565065299</v>
      </c>
    </row>
    <row r="196" spans="1:38">
      <c r="A196" s="1">
        <v>42356</v>
      </c>
      <c r="B196">
        <v>2015</v>
      </c>
      <c r="C196">
        <v>12</v>
      </c>
      <c r="D196" t="s">
        <v>8994</v>
      </c>
      <c r="E196" s="1">
        <v>37493</v>
      </c>
      <c r="F196" t="s">
        <v>6091</v>
      </c>
      <c r="G196">
        <v>352</v>
      </c>
      <c r="H196">
        <v>28757</v>
      </c>
      <c r="I196">
        <v>7</v>
      </c>
      <c r="J196">
        <v>1</v>
      </c>
      <c r="K196">
        <v>1</v>
      </c>
      <c r="L196">
        <v>1</v>
      </c>
      <c r="M196" t="s">
        <v>3535</v>
      </c>
      <c r="N196" t="s">
        <v>3536</v>
      </c>
      <c r="O196">
        <v>1117.8559</v>
      </c>
      <c r="P196">
        <v>2071.4196000000002</v>
      </c>
      <c r="Q196" t="s">
        <v>13</v>
      </c>
      <c r="R196" t="s">
        <v>1589</v>
      </c>
      <c r="S196" t="s">
        <v>293</v>
      </c>
      <c r="T196" t="s">
        <v>8877</v>
      </c>
      <c r="U196" s="1">
        <v>26196</v>
      </c>
      <c r="V196" t="s">
        <v>16</v>
      </c>
      <c r="W196" t="s">
        <v>16</v>
      </c>
      <c r="X196" t="s">
        <v>3391</v>
      </c>
      <c r="Y196">
        <v>40000</v>
      </c>
      <c r="Z196">
        <v>2</v>
      </c>
      <c r="AA196" t="s">
        <v>52</v>
      </c>
      <c r="AB196" t="s">
        <v>60</v>
      </c>
      <c r="AC196" t="s">
        <v>19</v>
      </c>
      <c r="AD196" t="s">
        <v>3583</v>
      </c>
      <c r="AE196" t="s">
        <v>3583</v>
      </c>
      <c r="AF196" t="s">
        <v>3584</v>
      </c>
      <c r="AG196" t="s">
        <v>3478</v>
      </c>
      <c r="AH196" t="s">
        <v>3475</v>
      </c>
      <c r="AI196">
        <v>2071.4196000000002</v>
      </c>
      <c r="AJ196">
        <v>1117.8559</v>
      </c>
      <c r="AK196">
        <v>953.56370000000004</v>
      </c>
      <c r="AL196">
        <v>0.460343090313522</v>
      </c>
    </row>
    <row r="197" spans="1:38">
      <c r="A197" s="1">
        <v>42356</v>
      </c>
      <c r="B197">
        <v>2015</v>
      </c>
      <c r="C197">
        <v>12</v>
      </c>
      <c r="D197" t="s">
        <v>8994</v>
      </c>
      <c r="E197" s="1">
        <v>37530</v>
      </c>
      <c r="F197" t="s">
        <v>6085</v>
      </c>
      <c r="G197">
        <v>352</v>
      </c>
      <c r="H197">
        <v>13106</v>
      </c>
      <c r="I197">
        <v>9</v>
      </c>
      <c r="J197">
        <v>1</v>
      </c>
      <c r="K197">
        <v>1</v>
      </c>
      <c r="L197">
        <v>1</v>
      </c>
      <c r="M197" t="s">
        <v>3535</v>
      </c>
      <c r="N197" t="s">
        <v>3536</v>
      </c>
      <c r="O197">
        <v>1117.8559</v>
      </c>
      <c r="P197">
        <v>2071.4196000000002</v>
      </c>
      <c r="Q197" t="s">
        <v>30</v>
      </c>
      <c r="R197" t="s">
        <v>94</v>
      </c>
      <c r="S197" t="s">
        <v>129</v>
      </c>
      <c r="T197" t="s">
        <v>7098</v>
      </c>
      <c r="U197" s="1">
        <v>22835</v>
      </c>
      <c r="V197" t="s">
        <v>16</v>
      </c>
      <c r="W197" t="s">
        <v>29</v>
      </c>
      <c r="X197" t="s">
        <v>1412</v>
      </c>
      <c r="Y197">
        <v>60000</v>
      </c>
      <c r="Z197">
        <v>1</v>
      </c>
      <c r="AA197" t="s">
        <v>17</v>
      </c>
      <c r="AB197" t="s">
        <v>18</v>
      </c>
      <c r="AC197" t="s">
        <v>19</v>
      </c>
      <c r="AD197" t="s">
        <v>3586</v>
      </c>
      <c r="AE197" t="s">
        <v>3586</v>
      </c>
      <c r="AF197" t="s">
        <v>3587</v>
      </c>
      <c r="AG197" t="s">
        <v>3478</v>
      </c>
      <c r="AH197" t="s">
        <v>3475</v>
      </c>
      <c r="AI197">
        <v>2071.4196000000002</v>
      </c>
      <c r="AJ197">
        <v>1117.8559</v>
      </c>
      <c r="AK197">
        <v>953.56370000000004</v>
      </c>
      <c r="AL197">
        <v>0.460343090313522</v>
      </c>
    </row>
    <row r="198" spans="1:38">
      <c r="A198" s="1">
        <v>42357</v>
      </c>
      <c r="B198">
        <v>2015</v>
      </c>
      <c r="C198">
        <v>12</v>
      </c>
      <c r="D198" t="s">
        <v>8994</v>
      </c>
      <c r="E198" s="1">
        <v>37583</v>
      </c>
      <c r="F198" t="s">
        <v>6094</v>
      </c>
      <c r="G198">
        <v>354</v>
      </c>
      <c r="H198">
        <v>26609</v>
      </c>
      <c r="I198">
        <v>1</v>
      </c>
      <c r="J198">
        <v>1</v>
      </c>
      <c r="K198">
        <v>1</v>
      </c>
      <c r="L198">
        <v>1</v>
      </c>
      <c r="M198" t="s">
        <v>3537</v>
      </c>
      <c r="N198" t="s">
        <v>3538</v>
      </c>
      <c r="O198">
        <v>1117.8559</v>
      </c>
      <c r="P198">
        <v>2071.4196000000002</v>
      </c>
      <c r="Q198" t="s">
        <v>30</v>
      </c>
      <c r="R198" t="s">
        <v>182</v>
      </c>
      <c r="S198" t="s">
        <v>376</v>
      </c>
      <c r="T198" t="s">
        <v>8752</v>
      </c>
      <c r="U198" s="1">
        <v>22747</v>
      </c>
      <c r="V198" t="s">
        <v>16</v>
      </c>
      <c r="W198" t="s">
        <v>29</v>
      </c>
      <c r="X198" t="s">
        <v>3262</v>
      </c>
      <c r="Y198">
        <v>70000</v>
      </c>
      <c r="Z198">
        <v>1</v>
      </c>
      <c r="AA198" t="s">
        <v>52</v>
      </c>
      <c r="AB198" t="s">
        <v>53</v>
      </c>
      <c r="AC198" t="s">
        <v>19</v>
      </c>
      <c r="AD198" t="s">
        <v>3577</v>
      </c>
      <c r="AE198" t="s">
        <v>3578</v>
      </c>
      <c r="AF198" t="s">
        <v>3579</v>
      </c>
      <c r="AG198" t="s">
        <v>3478</v>
      </c>
      <c r="AH198" t="s">
        <v>3475</v>
      </c>
      <c r="AI198">
        <v>2071.4196000000002</v>
      </c>
      <c r="AJ198">
        <v>1117.8559</v>
      </c>
      <c r="AK198">
        <v>953.56370000000004</v>
      </c>
      <c r="AL198">
        <v>0.460343090313522</v>
      </c>
    </row>
    <row r="199" spans="1:38">
      <c r="A199" s="1">
        <v>42357</v>
      </c>
      <c r="B199">
        <v>2015</v>
      </c>
      <c r="C199">
        <v>12</v>
      </c>
      <c r="D199" t="s">
        <v>8994</v>
      </c>
      <c r="E199" s="1">
        <v>37513</v>
      </c>
      <c r="F199" t="s">
        <v>6096</v>
      </c>
      <c r="G199">
        <v>377</v>
      </c>
      <c r="H199">
        <v>22946</v>
      </c>
      <c r="I199">
        <v>9</v>
      </c>
      <c r="J199">
        <v>1</v>
      </c>
      <c r="K199">
        <v>1</v>
      </c>
      <c r="L199">
        <v>2</v>
      </c>
      <c r="M199" t="s">
        <v>3559</v>
      </c>
      <c r="N199" t="s">
        <v>3560</v>
      </c>
      <c r="O199">
        <v>1320.6838</v>
      </c>
      <c r="P199">
        <v>2181.5625</v>
      </c>
      <c r="Q199" t="s">
        <v>13</v>
      </c>
      <c r="R199" t="s">
        <v>184</v>
      </c>
      <c r="S199" t="s">
        <v>215</v>
      </c>
      <c r="T199" t="s">
        <v>8336</v>
      </c>
      <c r="U199" s="1">
        <v>21688</v>
      </c>
      <c r="V199" t="s">
        <v>22</v>
      </c>
      <c r="W199" t="s">
        <v>16</v>
      </c>
      <c r="X199" t="s">
        <v>2835</v>
      </c>
      <c r="Y199">
        <v>90000</v>
      </c>
      <c r="Z199">
        <v>1</v>
      </c>
      <c r="AA199" t="s">
        <v>17</v>
      </c>
      <c r="AB199" t="s">
        <v>18</v>
      </c>
      <c r="AC199" t="s">
        <v>19</v>
      </c>
      <c r="AD199" t="s">
        <v>3586</v>
      </c>
      <c r="AE199" t="s">
        <v>3586</v>
      </c>
      <c r="AF199" t="s">
        <v>3587</v>
      </c>
      <c r="AG199" t="s">
        <v>3479</v>
      </c>
      <c r="AH199" t="s">
        <v>3475</v>
      </c>
      <c r="AI199">
        <v>2181.5625</v>
      </c>
      <c r="AJ199">
        <v>1320.6838</v>
      </c>
      <c r="AK199">
        <v>860.87869999999998</v>
      </c>
      <c r="AL199">
        <v>0.39461564818793898</v>
      </c>
    </row>
    <row r="200" spans="1:38">
      <c r="A200" s="1">
        <v>42357</v>
      </c>
      <c r="B200">
        <v>2015</v>
      </c>
      <c r="C200">
        <v>12</v>
      </c>
      <c r="D200" t="s">
        <v>8994</v>
      </c>
      <c r="E200" s="1">
        <v>37534</v>
      </c>
      <c r="F200" t="s">
        <v>6098</v>
      </c>
      <c r="G200">
        <v>358</v>
      </c>
      <c r="H200">
        <v>26616</v>
      </c>
      <c r="I200">
        <v>1</v>
      </c>
      <c r="J200">
        <v>1</v>
      </c>
      <c r="K200">
        <v>1</v>
      </c>
      <c r="L200">
        <v>1</v>
      </c>
      <c r="M200" t="s">
        <v>3541</v>
      </c>
      <c r="N200" t="s">
        <v>3542</v>
      </c>
      <c r="O200">
        <v>1105.81</v>
      </c>
      <c r="P200">
        <v>2049.0981999999999</v>
      </c>
      <c r="Q200" t="s">
        <v>13</v>
      </c>
      <c r="R200" t="s">
        <v>371</v>
      </c>
      <c r="S200" t="s">
        <v>266</v>
      </c>
      <c r="T200" t="s">
        <v>8756</v>
      </c>
      <c r="U200" s="1">
        <v>21993</v>
      </c>
      <c r="V200" t="s">
        <v>16</v>
      </c>
      <c r="W200" t="s">
        <v>16</v>
      </c>
      <c r="X200" t="s">
        <v>3266</v>
      </c>
      <c r="Y200">
        <v>40000</v>
      </c>
      <c r="Z200">
        <v>0</v>
      </c>
      <c r="AA200" t="s">
        <v>17</v>
      </c>
      <c r="AB200" t="s">
        <v>18</v>
      </c>
      <c r="AC200" t="s">
        <v>23</v>
      </c>
      <c r="AD200" t="s">
        <v>3577</v>
      </c>
      <c r="AE200" t="s">
        <v>3578</v>
      </c>
      <c r="AF200" t="s">
        <v>3579</v>
      </c>
      <c r="AG200" t="s">
        <v>3478</v>
      </c>
      <c r="AH200" t="s">
        <v>3475</v>
      </c>
      <c r="AI200">
        <v>2049.0981999999999</v>
      </c>
      <c r="AJ200">
        <v>1105.81</v>
      </c>
      <c r="AK200">
        <v>943.28819999999996</v>
      </c>
      <c r="AL200">
        <v>0.46034309141455498</v>
      </c>
    </row>
    <row r="201" spans="1:38">
      <c r="A201" s="1">
        <v>42357</v>
      </c>
      <c r="B201">
        <v>2015</v>
      </c>
      <c r="C201">
        <v>12</v>
      </c>
      <c r="D201" t="s">
        <v>8994</v>
      </c>
      <c r="E201" s="1">
        <v>37558</v>
      </c>
      <c r="F201" t="s">
        <v>6102</v>
      </c>
      <c r="G201">
        <v>356</v>
      </c>
      <c r="H201">
        <v>28751</v>
      </c>
      <c r="I201">
        <v>7</v>
      </c>
      <c r="J201">
        <v>1</v>
      </c>
      <c r="K201">
        <v>1</v>
      </c>
      <c r="L201">
        <v>1</v>
      </c>
      <c r="M201" t="s">
        <v>3539</v>
      </c>
      <c r="N201" t="s">
        <v>3540</v>
      </c>
      <c r="O201">
        <v>1117.8559</v>
      </c>
      <c r="P201">
        <v>2071.4196000000002</v>
      </c>
      <c r="Q201" t="s">
        <v>13</v>
      </c>
      <c r="R201" t="s">
        <v>774</v>
      </c>
      <c r="S201" t="s">
        <v>3387</v>
      </c>
      <c r="T201" t="s">
        <v>8875</v>
      </c>
      <c r="U201" s="1">
        <v>26447</v>
      </c>
      <c r="V201" t="s">
        <v>16</v>
      </c>
      <c r="W201" t="s">
        <v>16</v>
      </c>
      <c r="X201" t="s">
        <v>3388</v>
      </c>
      <c r="Y201">
        <v>40000</v>
      </c>
      <c r="Z201">
        <v>1</v>
      </c>
      <c r="AA201" t="s">
        <v>17</v>
      </c>
      <c r="AB201" t="s">
        <v>53</v>
      </c>
      <c r="AC201" t="s">
        <v>19</v>
      </c>
      <c r="AD201" t="s">
        <v>3583</v>
      </c>
      <c r="AE201" t="s">
        <v>3583</v>
      </c>
      <c r="AF201" t="s">
        <v>3584</v>
      </c>
      <c r="AG201" t="s">
        <v>3478</v>
      </c>
      <c r="AH201" t="s">
        <v>3475</v>
      </c>
      <c r="AI201">
        <v>2071.4196000000002</v>
      </c>
      <c r="AJ201">
        <v>1117.8559</v>
      </c>
      <c r="AK201">
        <v>953.56370000000004</v>
      </c>
      <c r="AL201">
        <v>0.460343090313522</v>
      </c>
    </row>
    <row r="202" spans="1:38">
      <c r="A202" s="1">
        <v>42357</v>
      </c>
      <c r="B202">
        <v>2015</v>
      </c>
      <c r="C202">
        <v>12</v>
      </c>
      <c r="D202" t="s">
        <v>8994</v>
      </c>
      <c r="E202" s="1">
        <v>37545</v>
      </c>
      <c r="F202" t="s">
        <v>6105</v>
      </c>
      <c r="G202">
        <v>368</v>
      </c>
      <c r="H202">
        <v>22988</v>
      </c>
      <c r="I202">
        <v>9</v>
      </c>
      <c r="J202">
        <v>1</v>
      </c>
      <c r="K202">
        <v>1</v>
      </c>
      <c r="L202">
        <v>2</v>
      </c>
      <c r="M202" t="s">
        <v>3547</v>
      </c>
      <c r="N202" t="s">
        <v>3548</v>
      </c>
      <c r="O202">
        <v>1518.7864</v>
      </c>
      <c r="P202">
        <v>2443.35</v>
      </c>
      <c r="Q202" t="s">
        <v>30</v>
      </c>
      <c r="R202" t="s">
        <v>689</v>
      </c>
      <c r="S202" t="s">
        <v>658</v>
      </c>
      <c r="T202" t="s">
        <v>8349</v>
      </c>
      <c r="U202" s="1">
        <v>14690</v>
      </c>
      <c r="V202" t="s">
        <v>16</v>
      </c>
      <c r="W202" t="s">
        <v>29</v>
      </c>
      <c r="X202" t="s">
        <v>2848</v>
      </c>
      <c r="Y202">
        <v>40000</v>
      </c>
      <c r="Z202">
        <v>2</v>
      </c>
      <c r="AA202" t="s">
        <v>17</v>
      </c>
      <c r="AB202" t="s">
        <v>45</v>
      </c>
      <c r="AC202" t="s">
        <v>19</v>
      </c>
      <c r="AD202" t="s">
        <v>3586</v>
      </c>
      <c r="AE202" t="s">
        <v>3586</v>
      </c>
      <c r="AF202" t="s">
        <v>3587</v>
      </c>
      <c r="AG202" t="s">
        <v>3479</v>
      </c>
      <c r="AH202" t="s">
        <v>3475</v>
      </c>
      <c r="AI202">
        <v>2443.35</v>
      </c>
      <c r="AJ202">
        <v>1518.7864</v>
      </c>
      <c r="AK202">
        <v>924.56359999999995</v>
      </c>
      <c r="AL202">
        <v>0.37839998362903399</v>
      </c>
    </row>
    <row r="203" spans="1:38">
      <c r="A203" s="1">
        <v>42357</v>
      </c>
      <c r="B203">
        <v>2015</v>
      </c>
      <c r="C203">
        <v>12</v>
      </c>
      <c r="D203" t="s">
        <v>8994</v>
      </c>
      <c r="E203" s="1">
        <v>37571</v>
      </c>
      <c r="F203" t="s">
        <v>6103</v>
      </c>
      <c r="G203">
        <v>356</v>
      </c>
      <c r="H203">
        <v>26646</v>
      </c>
      <c r="I203">
        <v>4</v>
      </c>
      <c r="J203">
        <v>1</v>
      </c>
      <c r="K203">
        <v>1</v>
      </c>
      <c r="L203">
        <v>1</v>
      </c>
      <c r="M203" t="s">
        <v>3539</v>
      </c>
      <c r="N203" t="s">
        <v>3540</v>
      </c>
      <c r="O203">
        <v>1117.8559</v>
      </c>
      <c r="P203">
        <v>2071.4196000000002</v>
      </c>
      <c r="Q203" t="s">
        <v>30</v>
      </c>
      <c r="R203" t="s">
        <v>1272</v>
      </c>
      <c r="S203" t="s">
        <v>329</v>
      </c>
      <c r="T203" t="s">
        <v>8776</v>
      </c>
      <c r="U203" s="1">
        <v>21480</v>
      </c>
      <c r="V203" t="s">
        <v>22</v>
      </c>
      <c r="W203" t="s">
        <v>29</v>
      </c>
      <c r="X203" t="s">
        <v>3286</v>
      </c>
      <c r="Y203">
        <v>60000</v>
      </c>
      <c r="Z203">
        <v>1</v>
      </c>
      <c r="AA203" t="s">
        <v>17</v>
      </c>
      <c r="AB203" t="s">
        <v>18</v>
      </c>
      <c r="AC203" t="s">
        <v>19</v>
      </c>
      <c r="AD203" t="s">
        <v>3580</v>
      </c>
      <c r="AE203" t="s">
        <v>3578</v>
      </c>
      <c r="AF203" t="s">
        <v>3579</v>
      </c>
      <c r="AG203" t="s">
        <v>3478</v>
      </c>
      <c r="AH203" t="s">
        <v>3475</v>
      </c>
      <c r="AI203">
        <v>2071.4196000000002</v>
      </c>
      <c r="AJ203">
        <v>1117.8559</v>
      </c>
      <c r="AK203">
        <v>953.56370000000004</v>
      </c>
      <c r="AL203">
        <v>0.460343090313522</v>
      </c>
    </row>
    <row r="204" spans="1:38">
      <c r="A204" s="1">
        <v>42357</v>
      </c>
      <c r="B204">
        <v>2015</v>
      </c>
      <c r="C204">
        <v>12</v>
      </c>
      <c r="D204" t="s">
        <v>8994</v>
      </c>
      <c r="E204" s="1">
        <v>37494</v>
      </c>
      <c r="F204" t="s">
        <v>6099</v>
      </c>
      <c r="G204">
        <v>362</v>
      </c>
      <c r="H204">
        <v>28728</v>
      </c>
      <c r="I204">
        <v>7</v>
      </c>
      <c r="J204">
        <v>1</v>
      </c>
      <c r="K204">
        <v>1</v>
      </c>
      <c r="L204">
        <v>1</v>
      </c>
      <c r="M204" t="s">
        <v>3545</v>
      </c>
      <c r="N204" t="s">
        <v>3546</v>
      </c>
      <c r="O204">
        <v>1105.81</v>
      </c>
      <c r="P204">
        <v>2049.0981999999999</v>
      </c>
      <c r="Q204" t="s">
        <v>13</v>
      </c>
      <c r="R204" t="s">
        <v>862</v>
      </c>
      <c r="S204" t="s">
        <v>239</v>
      </c>
      <c r="T204" t="s">
        <v>8869</v>
      </c>
      <c r="U204" s="1">
        <v>29263</v>
      </c>
      <c r="V204" t="s">
        <v>22</v>
      </c>
      <c r="W204" t="s">
        <v>16</v>
      </c>
      <c r="X204" t="s">
        <v>3381</v>
      </c>
      <c r="Y204">
        <v>20000</v>
      </c>
      <c r="Z204">
        <v>0</v>
      </c>
      <c r="AA204" t="s">
        <v>77</v>
      </c>
      <c r="AB204" t="s">
        <v>444</v>
      </c>
      <c r="AC204" t="s">
        <v>23</v>
      </c>
      <c r="AD204" t="s">
        <v>3583</v>
      </c>
      <c r="AE204" t="s">
        <v>3583</v>
      </c>
      <c r="AF204" t="s">
        <v>3584</v>
      </c>
      <c r="AG204" t="s">
        <v>3478</v>
      </c>
      <c r="AH204" t="s">
        <v>3475</v>
      </c>
      <c r="AI204">
        <v>2049.0981999999999</v>
      </c>
      <c r="AJ204">
        <v>1105.81</v>
      </c>
      <c r="AK204">
        <v>943.28819999999996</v>
      </c>
      <c r="AL204">
        <v>0.46034309141455498</v>
      </c>
    </row>
    <row r="205" spans="1:38">
      <c r="A205" s="1">
        <v>42357</v>
      </c>
      <c r="B205">
        <v>2015</v>
      </c>
      <c r="C205">
        <v>12</v>
      </c>
      <c r="D205" t="s">
        <v>8994</v>
      </c>
      <c r="E205" s="1">
        <v>37592</v>
      </c>
      <c r="F205" t="s">
        <v>6100</v>
      </c>
      <c r="G205">
        <v>358</v>
      </c>
      <c r="H205">
        <v>26644</v>
      </c>
      <c r="I205">
        <v>1</v>
      </c>
      <c r="J205">
        <v>1</v>
      </c>
      <c r="K205">
        <v>1</v>
      </c>
      <c r="L205">
        <v>1</v>
      </c>
      <c r="M205" t="s">
        <v>3541</v>
      </c>
      <c r="N205" t="s">
        <v>3542</v>
      </c>
      <c r="O205">
        <v>1105.81</v>
      </c>
      <c r="P205">
        <v>2049.0981999999999</v>
      </c>
      <c r="Q205" t="s">
        <v>30</v>
      </c>
      <c r="R205" t="s">
        <v>403</v>
      </c>
      <c r="S205" t="s">
        <v>101</v>
      </c>
      <c r="T205" t="s">
        <v>8774</v>
      </c>
      <c r="U205" s="1">
        <v>21296</v>
      </c>
      <c r="V205" t="s">
        <v>22</v>
      </c>
      <c r="W205" t="s">
        <v>29</v>
      </c>
      <c r="X205" t="s">
        <v>3284</v>
      </c>
      <c r="Y205">
        <v>60000</v>
      </c>
      <c r="Z205">
        <v>1</v>
      </c>
      <c r="AA205" t="s">
        <v>17</v>
      </c>
      <c r="AB205" t="s">
        <v>18</v>
      </c>
      <c r="AC205" t="s">
        <v>23</v>
      </c>
      <c r="AD205" t="s">
        <v>3577</v>
      </c>
      <c r="AE205" t="s">
        <v>3578</v>
      </c>
      <c r="AF205" t="s">
        <v>3579</v>
      </c>
      <c r="AG205" t="s">
        <v>3478</v>
      </c>
      <c r="AH205" t="s">
        <v>3475</v>
      </c>
      <c r="AI205">
        <v>2049.0981999999999</v>
      </c>
      <c r="AJ205">
        <v>1105.81</v>
      </c>
      <c r="AK205">
        <v>943.28819999999996</v>
      </c>
      <c r="AL205">
        <v>0.46034309141455498</v>
      </c>
    </row>
    <row r="206" spans="1:38">
      <c r="A206" s="1">
        <v>42357</v>
      </c>
      <c r="B206">
        <v>2015</v>
      </c>
      <c r="C206">
        <v>12</v>
      </c>
      <c r="D206" t="s">
        <v>8994</v>
      </c>
      <c r="E206" s="1">
        <v>37579</v>
      </c>
      <c r="F206" t="s">
        <v>6104</v>
      </c>
      <c r="G206">
        <v>385</v>
      </c>
      <c r="H206">
        <v>18185</v>
      </c>
      <c r="I206">
        <v>8</v>
      </c>
      <c r="J206">
        <v>1</v>
      </c>
      <c r="K206">
        <v>1</v>
      </c>
      <c r="L206">
        <v>2</v>
      </c>
      <c r="M206" t="s">
        <v>3567</v>
      </c>
      <c r="N206" t="s">
        <v>3568</v>
      </c>
      <c r="O206">
        <v>605.64919999999995</v>
      </c>
      <c r="P206">
        <v>1000.4375</v>
      </c>
      <c r="Q206" t="s">
        <v>30</v>
      </c>
      <c r="R206" t="s">
        <v>548</v>
      </c>
      <c r="S206" t="s">
        <v>21</v>
      </c>
      <c r="T206" t="s">
        <v>7712</v>
      </c>
      <c r="U206" s="1">
        <v>17477</v>
      </c>
      <c r="V206" t="s">
        <v>16</v>
      </c>
      <c r="W206" t="s">
        <v>29</v>
      </c>
      <c r="X206" t="s">
        <v>2199</v>
      </c>
      <c r="Y206">
        <v>110000</v>
      </c>
      <c r="Z206">
        <v>4</v>
      </c>
      <c r="AA206" t="s">
        <v>77</v>
      </c>
      <c r="AB206" t="s">
        <v>18</v>
      </c>
      <c r="AC206" t="s">
        <v>23</v>
      </c>
      <c r="AD206" t="s">
        <v>3585</v>
      </c>
      <c r="AE206" t="s">
        <v>3585</v>
      </c>
      <c r="AF206" t="s">
        <v>3584</v>
      </c>
      <c r="AG206" t="s">
        <v>3479</v>
      </c>
      <c r="AH206" t="s">
        <v>3475</v>
      </c>
      <c r="AI206">
        <v>1000.4375</v>
      </c>
      <c r="AJ206">
        <v>605.64919999999995</v>
      </c>
      <c r="AK206">
        <v>394.78829999999999</v>
      </c>
      <c r="AL206">
        <v>0.39461565565065299</v>
      </c>
    </row>
    <row r="207" spans="1:38">
      <c r="A207" s="1">
        <v>42357</v>
      </c>
      <c r="B207">
        <v>2015</v>
      </c>
      <c r="C207">
        <v>12</v>
      </c>
      <c r="D207" t="s">
        <v>8994</v>
      </c>
      <c r="E207" s="1">
        <v>37593</v>
      </c>
      <c r="F207" t="s">
        <v>6095</v>
      </c>
      <c r="G207">
        <v>360</v>
      </c>
      <c r="H207">
        <v>13518</v>
      </c>
      <c r="I207">
        <v>9</v>
      </c>
      <c r="J207">
        <v>1</v>
      </c>
      <c r="K207">
        <v>1</v>
      </c>
      <c r="L207">
        <v>1</v>
      </c>
      <c r="M207" t="s">
        <v>3543</v>
      </c>
      <c r="N207" t="s">
        <v>3544</v>
      </c>
      <c r="O207">
        <v>1105.81</v>
      </c>
      <c r="P207">
        <v>2049.0981999999999</v>
      </c>
      <c r="Q207" t="s">
        <v>13</v>
      </c>
      <c r="R207" t="s">
        <v>761</v>
      </c>
      <c r="S207" t="s">
        <v>1102</v>
      </c>
      <c r="T207" t="s">
        <v>7135</v>
      </c>
      <c r="U207" s="1">
        <v>29051</v>
      </c>
      <c r="V207" t="s">
        <v>22</v>
      </c>
      <c r="W207" t="s">
        <v>16</v>
      </c>
      <c r="X207" t="s">
        <v>1565</v>
      </c>
      <c r="Y207">
        <v>10000</v>
      </c>
      <c r="Z207">
        <v>0</v>
      </c>
      <c r="AA207" t="s">
        <v>52</v>
      </c>
      <c r="AB207" t="s">
        <v>444</v>
      </c>
      <c r="AC207" t="s">
        <v>23</v>
      </c>
      <c r="AD207" t="s">
        <v>3586</v>
      </c>
      <c r="AE207" t="s">
        <v>3586</v>
      </c>
      <c r="AF207" t="s">
        <v>3587</v>
      </c>
      <c r="AG207" t="s">
        <v>3478</v>
      </c>
      <c r="AH207" t="s">
        <v>3475</v>
      </c>
      <c r="AI207">
        <v>2049.0981999999999</v>
      </c>
      <c r="AJ207">
        <v>1105.81</v>
      </c>
      <c r="AK207">
        <v>943.28819999999996</v>
      </c>
      <c r="AL207">
        <v>0.46034309141455498</v>
      </c>
    </row>
    <row r="208" spans="1:38">
      <c r="A208" s="1">
        <v>42357</v>
      </c>
      <c r="B208">
        <v>2015</v>
      </c>
      <c r="C208">
        <v>12</v>
      </c>
      <c r="D208" t="s">
        <v>8994</v>
      </c>
      <c r="E208" s="1">
        <v>37575</v>
      </c>
      <c r="F208" t="s">
        <v>6106</v>
      </c>
      <c r="G208">
        <v>352</v>
      </c>
      <c r="H208">
        <v>12237</v>
      </c>
      <c r="I208">
        <v>8</v>
      </c>
      <c r="J208">
        <v>1</v>
      </c>
      <c r="K208">
        <v>1</v>
      </c>
      <c r="L208">
        <v>1</v>
      </c>
      <c r="M208" t="s">
        <v>3535</v>
      </c>
      <c r="N208" t="s">
        <v>3536</v>
      </c>
      <c r="O208">
        <v>1117.8559</v>
      </c>
      <c r="P208">
        <v>2071.4196000000002</v>
      </c>
      <c r="Q208" t="s">
        <v>30</v>
      </c>
      <c r="R208" t="s">
        <v>1044</v>
      </c>
      <c r="S208" t="s">
        <v>658</v>
      </c>
      <c r="T208" t="s">
        <v>6832</v>
      </c>
      <c r="U208" s="1">
        <v>15107</v>
      </c>
      <c r="V208" t="s">
        <v>16</v>
      </c>
      <c r="W208" t="s">
        <v>29</v>
      </c>
      <c r="X208" t="s">
        <v>1045</v>
      </c>
      <c r="Y208">
        <v>20000</v>
      </c>
      <c r="Z208">
        <v>1</v>
      </c>
      <c r="AA208" t="s">
        <v>52</v>
      </c>
      <c r="AB208" t="s">
        <v>444</v>
      </c>
      <c r="AC208" t="s">
        <v>19</v>
      </c>
      <c r="AD208" t="s">
        <v>3585</v>
      </c>
      <c r="AE208" t="s">
        <v>3585</v>
      </c>
      <c r="AF208" t="s">
        <v>3584</v>
      </c>
      <c r="AG208" t="s">
        <v>3478</v>
      </c>
      <c r="AH208" t="s">
        <v>3475</v>
      </c>
      <c r="AI208">
        <v>2071.4196000000002</v>
      </c>
      <c r="AJ208">
        <v>1117.8559</v>
      </c>
      <c r="AK208">
        <v>953.56370000000004</v>
      </c>
      <c r="AL208">
        <v>0.460343090313522</v>
      </c>
    </row>
    <row r="209" spans="1:38">
      <c r="A209" s="1">
        <v>42357</v>
      </c>
      <c r="B209">
        <v>2015</v>
      </c>
      <c r="C209">
        <v>12</v>
      </c>
      <c r="D209" t="s">
        <v>8994</v>
      </c>
      <c r="E209" s="1">
        <v>37560</v>
      </c>
      <c r="F209" t="s">
        <v>6101</v>
      </c>
      <c r="G209">
        <v>377</v>
      </c>
      <c r="H209">
        <v>15002</v>
      </c>
      <c r="I209">
        <v>7</v>
      </c>
      <c r="J209">
        <v>1</v>
      </c>
      <c r="K209">
        <v>1</v>
      </c>
      <c r="L209">
        <v>2</v>
      </c>
      <c r="M209" t="s">
        <v>3559</v>
      </c>
      <c r="N209" t="s">
        <v>3560</v>
      </c>
      <c r="O209">
        <v>1320.6838</v>
      </c>
      <c r="P209">
        <v>2181.5625</v>
      </c>
      <c r="Q209" t="s">
        <v>26</v>
      </c>
      <c r="R209" t="s">
        <v>389</v>
      </c>
      <c r="S209" t="s">
        <v>212</v>
      </c>
      <c r="T209" t="s">
        <v>7376</v>
      </c>
      <c r="U209" s="1">
        <v>26760</v>
      </c>
      <c r="V209" t="s">
        <v>22</v>
      </c>
      <c r="W209" t="s">
        <v>29</v>
      </c>
      <c r="X209" t="s">
        <v>1852</v>
      </c>
      <c r="Y209">
        <v>20000</v>
      </c>
      <c r="Z209">
        <v>0</v>
      </c>
      <c r="AA209" t="s">
        <v>77</v>
      </c>
      <c r="AB209" t="s">
        <v>444</v>
      </c>
      <c r="AC209" t="s">
        <v>23</v>
      </c>
      <c r="AD209" t="s">
        <v>3583</v>
      </c>
      <c r="AE209" t="s">
        <v>3583</v>
      </c>
      <c r="AF209" t="s">
        <v>3584</v>
      </c>
      <c r="AG209" t="s">
        <v>3479</v>
      </c>
      <c r="AH209" t="s">
        <v>3475</v>
      </c>
      <c r="AI209">
        <v>2181.5625</v>
      </c>
      <c r="AJ209">
        <v>1320.6838</v>
      </c>
      <c r="AK209">
        <v>860.87869999999998</v>
      </c>
      <c r="AL209">
        <v>0.39461564818793898</v>
      </c>
    </row>
    <row r="210" spans="1:38">
      <c r="A210" s="1">
        <v>42357</v>
      </c>
      <c r="B210">
        <v>2015</v>
      </c>
      <c r="C210">
        <v>12</v>
      </c>
      <c r="D210" t="s">
        <v>8994</v>
      </c>
      <c r="E210" s="1">
        <v>37555</v>
      </c>
      <c r="F210" t="s">
        <v>6107</v>
      </c>
      <c r="G210">
        <v>358</v>
      </c>
      <c r="H210">
        <v>13134</v>
      </c>
      <c r="I210">
        <v>9</v>
      </c>
      <c r="J210">
        <v>1</v>
      </c>
      <c r="K210">
        <v>1</v>
      </c>
      <c r="L210">
        <v>1</v>
      </c>
      <c r="M210" t="s">
        <v>3541</v>
      </c>
      <c r="N210" t="s">
        <v>3542</v>
      </c>
      <c r="O210">
        <v>1105.81</v>
      </c>
      <c r="P210">
        <v>2049.0981999999999</v>
      </c>
      <c r="Q210" t="s">
        <v>30</v>
      </c>
      <c r="R210" t="s">
        <v>207</v>
      </c>
      <c r="S210" t="s">
        <v>252</v>
      </c>
      <c r="T210" t="s">
        <v>7120</v>
      </c>
      <c r="U210" s="1">
        <v>12540</v>
      </c>
      <c r="V210" t="s">
        <v>22</v>
      </c>
      <c r="W210" t="s">
        <v>29</v>
      </c>
      <c r="X210" t="s">
        <v>1435</v>
      </c>
      <c r="Y210">
        <v>50000</v>
      </c>
      <c r="Z210">
        <v>1</v>
      </c>
      <c r="AA210" t="s">
        <v>135</v>
      </c>
      <c r="AB210" t="s">
        <v>45</v>
      </c>
      <c r="AC210" t="s">
        <v>19</v>
      </c>
      <c r="AD210" t="s">
        <v>3586</v>
      </c>
      <c r="AE210" t="s">
        <v>3586</v>
      </c>
      <c r="AF210" t="s">
        <v>3587</v>
      </c>
      <c r="AG210" t="s">
        <v>3478</v>
      </c>
      <c r="AH210" t="s">
        <v>3475</v>
      </c>
      <c r="AI210">
        <v>2049.0981999999999</v>
      </c>
      <c r="AJ210">
        <v>1105.81</v>
      </c>
      <c r="AK210">
        <v>943.28819999999996</v>
      </c>
      <c r="AL210">
        <v>0.46034309141455498</v>
      </c>
    </row>
    <row r="211" spans="1:38">
      <c r="A211" s="1">
        <v>42357</v>
      </c>
      <c r="B211">
        <v>2015</v>
      </c>
      <c r="C211">
        <v>12</v>
      </c>
      <c r="D211" t="s">
        <v>8994</v>
      </c>
      <c r="E211" s="1">
        <v>37539</v>
      </c>
      <c r="F211" t="s">
        <v>6097</v>
      </c>
      <c r="G211">
        <v>352</v>
      </c>
      <c r="H211">
        <v>13520</v>
      </c>
      <c r="I211">
        <v>9</v>
      </c>
      <c r="J211">
        <v>1</v>
      </c>
      <c r="K211">
        <v>1</v>
      </c>
      <c r="L211">
        <v>1</v>
      </c>
      <c r="M211" t="s">
        <v>3535</v>
      </c>
      <c r="N211" t="s">
        <v>3536</v>
      </c>
      <c r="O211">
        <v>1117.8559</v>
      </c>
      <c r="P211">
        <v>2071.4196000000002</v>
      </c>
      <c r="Q211" t="s">
        <v>26</v>
      </c>
      <c r="R211" t="s">
        <v>120</v>
      </c>
      <c r="S211" t="s">
        <v>203</v>
      </c>
      <c r="T211" t="s">
        <v>7137</v>
      </c>
      <c r="U211" s="1">
        <v>28529</v>
      </c>
      <c r="V211" t="s">
        <v>22</v>
      </c>
      <c r="W211" t="s">
        <v>29</v>
      </c>
      <c r="X211" t="s">
        <v>1567</v>
      </c>
      <c r="Y211">
        <v>10000</v>
      </c>
      <c r="Z211">
        <v>0</v>
      </c>
      <c r="AA211" t="s">
        <v>52</v>
      </c>
      <c r="AB211" t="s">
        <v>444</v>
      </c>
      <c r="AC211" t="s">
        <v>19</v>
      </c>
      <c r="AD211" t="s">
        <v>3586</v>
      </c>
      <c r="AE211" t="s">
        <v>3586</v>
      </c>
      <c r="AF211" t="s">
        <v>3587</v>
      </c>
      <c r="AG211" t="s">
        <v>3478</v>
      </c>
      <c r="AH211" t="s">
        <v>3475</v>
      </c>
      <c r="AI211">
        <v>2071.4196000000002</v>
      </c>
      <c r="AJ211">
        <v>1117.8559</v>
      </c>
      <c r="AK211">
        <v>953.56370000000004</v>
      </c>
      <c r="AL211">
        <v>0.460343090313522</v>
      </c>
    </row>
    <row r="212" spans="1:38">
      <c r="A212" s="1">
        <v>42358</v>
      </c>
      <c r="B212">
        <v>2015</v>
      </c>
      <c r="C212">
        <v>12</v>
      </c>
      <c r="D212" t="s">
        <v>8994</v>
      </c>
      <c r="E212" s="1">
        <v>37496</v>
      </c>
      <c r="F212" t="s">
        <v>6116</v>
      </c>
      <c r="G212">
        <v>383</v>
      </c>
      <c r="H212">
        <v>19360</v>
      </c>
      <c r="I212">
        <v>10</v>
      </c>
      <c r="J212">
        <v>1</v>
      </c>
      <c r="K212">
        <v>1</v>
      </c>
      <c r="L212">
        <v>2</v>
      </c>
      <c r="M212" t="s">
        <v>3565</v>
      </c>
      <c r="N212" t="s">
        <v>3566</v>
      </c>
      <c r="O212">
        <v>605.64919999999995</v>
      </c>
      <c r="P212">
        <v>1000.4375</v>
      </c>
      <c r="Q212" t="s">
        <v>30</v>
      </c>
      <c r="R212" t="s">
        <v>885</v>
      </c>
      <c r="S212" t="s">
        <v>101</v>
      </c>
      <c r="T212" t="s">
        <v>7814</v>
      </c>
      <c r="U212" s="1">
        <v>23105</v>
      </c>
      <c r="V212" t="s">
        <v>16</v>
      </c>
      <c r="W212" t="s">
        <v>29</v>
      </c>
      <c r="X212" t="s">
        <v>2301</v>
      </c>
      <c r="Y212">
        <v>40000</v>
      </c>
      <c r="Z212">
        <v>1</v>
      </c>
      <c r="AA212" t="s">
        <v>17</v>
      </c>
      <c r="AB212" t="s">
        <v>53</v>
      </c>
      <c r="AC212" t="s">
        <v>19</v>
      </c>
      <c r="AD212" t="s">
        <v>3588</v>
      </c>
      <c r="AE212" t="s">
        <v>3588</v>
      </c>
      <c r="AF212" t="s">
        <v>3584</v>
      </c>
      <c r="AG212" t="s">
        <v>3479</v>
      </c>
      <c r="AH212" t="s">
        <v>3475</v>
      </c>
      <c r="AI212">
        <v>1000.4375</v>
      </c>
      <c r="AJ212">
        <v>605.64919999999995</v>
      </c>
      <c r="AK212">
        <v>394.78829999999999</v>
      </c>
      <c r="AL212">
        <v>0.39461565565065299</v>
      </c>
    </row>
    <row r="213" spans="1:38">
      <c r="A213" s="1">
        <v>42358</v>
      </c>
      <c r="B213">
        <v>2015</v>
      </c>
      <c r="C213">
        <v>12</v>
      </c>
      <c r="D213" t="s">
        <v>8994</v>
      </c>
      <c r="E213" s="1">
        <v>37574</v>
      </c>
      <c r="F213" t="s">
        <v>6110</v>
      </c>
      <c r="G213">
        <v>356</v>
      </c>
      <c r="H213">
        <v>13156</v>
      </c>
      <c r="I213">
        <v>9</v>
      </c>
      <c r="J213">
        <v>1</v>
      </c>
      <c r="K213">
        <v>1</v>
      </c>
      <c r="L213">
        <v>1</v>
      </c>
      <c r="M213" t="s">
        <v>3539</v>
      </c>
      <c r="N213" t="s">
        <v>3540</v>
      </c>
      <c r="O213">
        <v>1117.8559</v>
      </c>
      <c r="P213">
        <v>2071.4196000000002</v>
      </c>
      <c r="Q213" t="s">
        <v>13</v>
      </c>
      <c r="R213" t="s">
        <v>1021</v>
      </c>
      <c r="S213" t="s">
        <v>62</v>
      </c>
      <c r="T213" t="s">
        <v>7126</v>
      </c>
      <c r="U213" s="1">
        <v>14798</v>
      </c>
      <c r="V213" t="s">
        <v>16</v>
      </c>
      <c r="W213" t="s">
        <v>16</v>
      </c>
      <c r="X213" t="s">
        <v>1440</v>
      </c>
      <c r="Y213">
        <v>30000</v>
      </c>
      <c r="Z213">
        <v>2</v>
      </c>
      <c r="AA213" t="s">
        <v>52</v>
      </c>
      <c r="AB213" t="s">
        <v>60</v>
      </c>
      <c r="AC213" t="s">
        <v>23</v>
      </c>
      <c r="AD213" t="s">
        <v>3586</v>
      </c>
      <c r="AE213" t="s">
        <v>3586</v>
      </c>
      <c r="AF213" t="s">
        <v>3587</v>
      </c>
      <c r="AG213" t="s">
        <v>3478</v>
      </c>
      <c r="AH213" t="s">
        <v>3475</v>
      </c>
      <c r="AI213">
        <v>2071.4196000000002</v>
      </c>
      <c r="AJ213">
        <v>1117.8559</v>
      </c>
      <c r="AK213">
        <v>953.56370000000004</v>
      </c>
      <c r="AL213">
        <v>0.460343090313522</v>
      </c>
    </row>
    <row r="214" spans="1:38">
      <c r="A214" s="1">
        <v>42358</v>
      </c>
      <c r="B214">
        <v>2015</v>
      </c>
      <c r="C214">
        <v>12</v>
      </c>
      <c r="D214" t="s">
        <v>8994</v>
      </c>
      <c r="E214" s="1">
        <v>37526</v>
      </c>
      <c r="F214" t="s">
        <v>6119</v>
      </c>
      <c r="G214">
        <v>371</v>
      </c>
      <c r="H214">
        <v>13725</v>
      </c>
      <c r="I214">
        <v>4</v>
      </c>
      <c r="J214">
        <v>1</v>
      </c>
      <c r="K214">
        <v>1</v>
      </c>
      <c r="L214">
        <v>2</v>
      </c>
      <c r="M214" t="s">
        <v>3553</v>
      </c>
      <c r="N214" t="s">
        <v>3554</v>
      </c>
      <c r="O214">
        <v>1320.6838</v>
      </c>
      <c r="P214">
        <v>2181.5625</v>
      </c>
      <c r="Q214" t="s">
        <v>13</v>
      </c>
      <c r="R214" t="s">
        <v>110</v>
      </c>
      <c r="S214" t="s">
        <v>146</v>
      </c>
      <c r="T214" t="s">
        <v>7153</v>
      </c>
      <c r="U214" s="1">
        <v>20005</v>
      </c>
      <c r="V214" t="s">
        <v>16</v>
      </c>
      <c r="W214" t="s">
        <v>16</v>
      </c>
      <c r="X214" t="s">
        <v>1612</v>
      </c>
      <c r="Y214">
        <v>40000</v>
      </c>
      <c r="Z214">
        <v>1</v>
      </c>
      <c r="AA214" t="s">
        <v>52</v>
      </c>
      <c r="AB214" t="s">
        <v>60</v>
      </c>
      <c r="AC214" t="s">
        <v>19</v>
      </c>
      <c r="AD214" t="s">
        <v>3580</v>
      </c>
      <c r="AE214" t="s">
        <v>3578</v>
      </c>
      <c r="AF214" t="s">
        <v>3579</v>
      </c>
      <c r="AG214" t="s">
        <v>3479</v>
      </c>
      <c r="AH214" t="s">
        <v>3475</v>
      </c>
      <c r="AI214">
        <v>2181.5625</v>
      </c>
      <c r="AJ214">
        <v>1320.6838</v>
      </c>
      <c r="AK214">
        <v>860.87869999999998</v>
      </c>
      <c r="AL214">
        <v>0.39461564818793898</v>
      </c>
    </row>
    <row r="215" spans="1:38">
      <c r="A215" s="1">
        <v>42358</v>
      </c>
      <c r="B215">
        <v>2015</v>
      </c>
      <c r="C215">
        <v>12</v>
      </c>
      <c r="D215" t="s">
        <v>8994</v>
      </c>
      <c r="E215" s="1">
        <v>37589</v>
      </c>
      <c r="F215" t="s">
        <v>6114</v>
      </c>
      <c r="G215">
        <v>334</v>
      </c>
      <c r="H215">
        <v>26570</v>
      </c>
      <c r="I215">
        <v>9</v>
      </c>
      <c r="J215">
        <v>1</v>
      </c>
      <c r="K215">
        <v>1</v>
      </c>
      <c r="L215">
        <v>2</v>
      </c>
      <c r="M215" t="s">
        <v>3509</v>
      </c>
      <c r="N215" t="s">
        <v>3510</v>
      </c>
      <c r="O215">
        <v>413.1463</v>
      </c>
      <c r="P215">
        <v>699.09820000000002</v>
      </c>
      <c r="Q215" t="s">
        <v>13</v>
      </c>
      <c r="R215" t="s">
        <v>274</v>
      </c>
      <c r="S215" t="s">
        <v>422</v>
      </c>
      <c r="T215" t="s">
        <v>8737</v>
      </c>
      <c r="U215" s="1">
        <v>20220</v>
      </c>
      <c r="V215" t="s">
        <v>16</v>
      </c>
      <c r="W215" t="s">
        <v>16</v>
      </c>
      <c r="X215" t="s">
        <v>3247</v>
      </c>
      <c r="Y215">
        <v>80000</v>
      </c>
      <c r="Z215">
        <v>2</v>
      </c>
      <c r="AA215" t="s">
        <v>52</v>
      </c>
      <c r="AB215" t="s">
        <v>53</v>
      </c>
      <c r="AC215" t="s">
        <v>19</v>
      </c>
      <c r="AD215" t="s">
        <v>3586</v>
      </c>
      <c r="AE215" t="s">
        <v>3586</v>
      </c>
      <c r="AF215" t="s">
        <v>3587</v>
      </c>
      <c r="AG215" t="s">
        <v>3479</v>
      </c>
      <c r="AH215" t="s">
        <v>3475</v>
      </c>
      <c r="AI215">
        <v>699.09820000000002</v>
      </c>
      <c r="AJ215">
        <v>413.1463</v>
      </c>
      <c r="AK215">
        <v>285.95190000000002</v>
      </c>
      <c r="AL215">
        <v>0.409029661355157</v>
      </c>
    </row>
    <row r="216" spans="1:38">
      <c r="A216" s="1">
        <v>42358</v>
      </c>
      <c r="B216">
        <v>2015</v>
      </c>
      <c r="C216">
        <v>12</v>
      </c>
      <c r="D216" t="s">
        <v>8994</v>
      </c>
      <c r="E216" s="1">
        <v>37586</v>
      </c>
      <c r="F216" t="s">
        <v>6115</v>
      </c>
      <c r="G216">
        <v>360</v>
      </c>
      <c r="H216">
        <v>20665</v>
      </c>
      <c r="I216">
        <v>6</v>
      </c>
      <c r="J216">
        <v>1</v>
      </c>
      <c r="K216">
        <v>1</v>
      </c>
      <c r="L216">
        <v>1</v>
      </c>
      <c r="M216" t="s">
        <v>3543</v>
      </c>
      <c r="N216" t="s">
        <v>3544</v>
      </c>
      <c r="O216">
        <v>1105.81</v>
      </c>
      <c r="P216">
        <v>2049.0981999999999</v>
      </c>
      <c r="Q216" t="s">
        <v>13</v>
      </c>
      <c r="R216" t="s">
        <v>229</v>
      </c>
      <c r="S216" t="s">
        <v>325</v>
      </c>
      <c r="T216" t="s">
        <v>8052</v>
      </c>
      <c r="U216" s="1">
        <v>25071</v>
      </c>
      <c r="V216" t="s">
        <v>22</v>
      </c>
      <c r="W216" t="s">
        <v>16</v>
      </c>
      <c r="X216" t="s">
        <v>2546</v>
      </c>
      <c r="Y216">
        <v>70000</v>
      </c>
      <c r="Z216">
        <v>2</v>
      </c>
      <c r="AA216" t="s">
        <v>17</v>
      </c>
      <c r="AB216" t="s">
        <v>53</v>
      </c>
      <c r="AC216" t="s">
        <v>19</v>
      </c>
      <c r="AD216" t="s">
        <v>3582</v>
      </c>
      <c r="AE216" t="s">
        <v>3582</v>
      </c>
      <c r="AF216" t="s">
        <v>3579</v>
      </c>
      <c r="AG216" t="s">
        <v>3478</v>
      </c>
      <c r="AH216" t="s">
        <v>3475</v>
      </c>
      <c r="AI216">
        <v>2049.0981999999999</v>
      </c>
      <c r="AJ216">
        <v>1105.81</v>
      </c>
      <c r="AK216">
        <v>943.28819999999996</v>
      </c>
      <c r="AL216">
        <v>0.46034309141455498</v>
      </c>
    </row>
    <row r="217" spans="1:38">
      <c r="A217" s="1">
        <v>42358</v>
      </c>
      <c r="B217">
        <v>2015</v>
      </c>
      <c r="C217">
        <v>12</v>
      </c>
      <c r="D217" t="s">
        <v>8994</v>
      </c>
      <c r="E217" s="1">
        <v>37502</v>
      </c>
      <c r="F217" t="s">
        <v>6121</v>
      </c>
      <c r="G217">
        <v>369</v>
      </c>
      <c r="H217">
        <v>22934</v>
      </c>
      <c r="I217">
        <v>9</v>
      </c>
      <c r="J217">
        <v>1</v>
      </c>
      <c r="K217">
        <v>1</v>
      </c>
      <c r="L217">
        <v>2</v>
      </c>
      <c r="M217" t="s">
        <v>3549</v>
      </c>
      <c r="N217" t="s">
        <v>3550</v>
      </c>
      <c r="O217">
        <v>1518.7864</v>
      </c>
      <c r="P217">
        <v>2443.35</v>
      </c>
      <c r="Q217" t="s">
        <v>30</v>
      </c>
      <c r="R217" t="s">
        <v>888</v>
      </c>
      <c r="S217" t="s">
        <v>194</v>
      </c>
      <c r="T217" t="s">
        <v>8327</v>
      </c>
      <c r="U217" s="1">
        <v>22966</v>
      </c>
      <c r="V217" t="s">
        <v>16</v>
      </c>
      <c r="W217" t="s">
        <v>29</v>
      </c>
      <c r="X217" t="s">
        <v>2826</v>
      </c>
      <c r="Y217">
        <v>60000</v>
      </c>
      <c r="Z217">
        <v>1</v>
      </c>
      <c r="AA217" t="s">
        <v>17</v>
      </c>
      <c r="AB217" t="s">
        <v>18</v>
      </c>
      <c r="AC217" t="s">
        <v>19</v>
      </c>
      <c r="AD217" t="s">
        <v>3586</v>
      </c>
      <c r="AE217" t="s">
        <v>3586</v>
      </c>
      <c r="AF217" t="s">
        <v>3587</v>
      </c>
      <c r="AG217" t="s">
        <v>3479</v>
      </c>
      <c r="AH217" t="s">
        <v>3475</v>
      </c>
      <c r="AI217">
        <v>2443.35</v>
      </c>
      <c r="AJ217">
        <v>1518.7864</v>
      </c>
      <c r="AK217">
        <v>924.56359999999995</v>
      </c>
      <c r="AL217">
        <v>0.37839998362903399</v>
      </c>
    </row>
    <row r="218" spans="1:38">
      <c r="A218" s="1">
        <v>42358</v>
      </c>
      <c r="B218">
        <v>2015</v>
      </c>
      <c r="C218">
        <v>12</v>
      </c>
      <c r="D218" t="s">
        <v>8994</v>
      </c>
      <c r="E218" s="1">
        <v>37522</v>
      </c>
      <c r="F218" t="s">
        <v>6111</v>
      </c>
      <c r="G218">
        <v>362</v>
      </c>
      <c r="H218">
        <v>13109</v>
      </c>
      <c r="I218">
        <v>9</v>
      </c>
      <c r="J218">
        <v>1</v>
      </c>
      <c r="K218">
        <v>1</v>
      </c>
      <c r="L218">
        <v>1</v>
      </c>
      <c r="M218" t="s">
        <v>3545</v>
      </c>
      <c r="N218" t="s">
        <v>3546</v>
      </c>
      <c r="O218">
        <v>1105.81</v>
      </c>
      <c r="P218">
        <v>2049.0981999999999</v>
      </c>
      <c r="Q218" t="s">
        <v>30</v>
      </c>
      <c r="R218" t="s">
        <v>188</v>
      </c>
      <c r="S218" t="s">
        <v>153</v>
      </c>
      <c r="T218" t="s">
        <v>7101</v>
      </c>
      <c r="U218" s="1">
        <v>22870</v>
      </c>
      <c r="V218" t="s">
        <v>16</v>
      </c>
      <c r="W218" t="s">
        <v>29</v>
      </c>
      <c r="X218" t="s">
        <v>1415</v>
      </c>
      <c r="Y218">
        <v>60000</v>
      </c>
      <c r="Z218">
        <v>1</v>
      </c>
      <c r="AA218" t="s">
        <v>17</v>
      </c>
      <c r="AB218" t="s">
        <v>18</v>
      </c>
      <c r="AC218" t="s">
        <v>19</v>
      </c>
      <c r="AD218" t="s">
        <v>3586</v>
      </c>
      <c r="AE218" t="s">
        <v>3586</v>
      </c>
      <c r="AF218" t="s">
        <v>3587</v>
      </c>
      <c r="AG218" t="s">
        <v>3478</v>
      </c>
      <c r="AH218" t="s">
        <v>3475</v>
      </c>
      <c r="AI218">
        <v>2049.0981999999999</v>
      </c>
      <c r="AJ218">
        <v>1105.81</v>
      </c>
      <c r="AK218">
        <v>943.28819999999996</v>
      </c>
      <c r="AL218">
        <v>0.46034309141455498</v>
      </c>
    </row>
    <row r="219" spans="1:38">
      <c r="A219" s="1">
        <v>42358</v>
      </c>
      <c r="B219">
        <v>2015</v>
      </c>
      <c r="C219">
        <v>12</v>
      </c>
      <c r="D219" t="s">
        <v>8994</v>
      </c>
      <c r="E219" s="1">
        <v>37548</v>
      </c>
      <c r="F219" t="s">
        <v>6112</v>
      </c>
      <c r="G219">
        <v>356</v>
      </c>
      <c r="H219">
        <v>13108</v>
      </c>
      <c r="I219">
        <v>9</v>
      </c>
      <c r="J219">
        <v>1</v>
      </c>
      <c r="K219">
        <v>1</v>
      </c>
      <c r="L219">
        <v>1</v>
      </c>
      <c r="M219" t="s">
        <v>3539</v>
      </c>
      <c r="N219" t="s">
        <v>3540</v>
      </c>
      <c r="O219">
        <v>1117.8559</v>
      </c>
      <c r="P219">
        <v>2071.4196000000002</v>
      </c>
      <c r="Q219" t="s">
        <v>13</v>
      </c>
      <c r="R219" t="s">
        <v>41</v>
      </c>
      <c r="S219" t="s">
        <v>56</v>
      </c>
      <c r="T219" t="s">
        <v>7100</v>
      </c>
      <c r="U219" s="1">
        <v>23006</v>
      </c>
      <c r="V219" t="s">
        <v>16</v>
      </c>
      <c r="W219" t="s">
        <v>16</v>
      </c>
      <c r="X219" t="s">
        <v>1414</v>
      </c>
      <c r="Y219">
        <v>60000</v>
      </c>
      <c r="Z219">
        <v>1</v>
      </c>
      <c r="AA219" t="s">
        <v>17</v>
      </c>
      <c r="AB219" t="s">
        <v>18</v>
      </c>
      <c r="AC219" t="s">
        <v>19</v>
      </c>
      <c r="AD219" t="s">
        <v>3586</v>
      </c>
      <c r="AE219" t="s">
        <v>3586</v>
      </c>
      <c r="AF219" t="s">
        <v>3587</v>
      </c>
      <c r="AG219" t="s">
        <v>3478</v>
      </c>
      <c r="AH219" t="s">
        <v>3475</v>
      </c>
      <c r="AI219">
        <v>2071.4196000000002</v>
      </c>
      <c r="AJ219">
        <v>1117.8559</v>
      </c>
      <c r="AK219">
        <v>953.56370000000004</v>
      </c>
      <c r="AL219">
        <v>0.460343090313522</v>
      </c>
    </row>
    <row r="220" spans="1:38">
      <c r="A220" s="1">
        <v>42358</v>
      </c>
      <c r="B220">
        <v>2015</v>
      </c>
      <c r="C220">
        <v>12</v>
      </c>
      <c r="D220" t="s">
        <v>8994</v>
      </c>
      <c r="E220" s="1">
        <v>37530</v>
      </c>
      <c r="F220" t="s">
        <v>6113</v>
      </c>
      <c r="G220">
        <v>375</v>
      </c>
      <c r="H220">
        <v>14965</v>
      </c>
      <c r="I220">
        <v>7</v>
      </c>
      <c r="J220">
        <v>1</v>
      </c>
      <c r="K220">
        <v>1</v>
      </c>
      <c r="L220">
        <v>2</v>
      </c>
      <c r="M220" t="s">
        <v>3557</v>
      </c>
      <c r="N220" t="s">
        <v>3558</v>
      </c>
      <c r="O220">
        <v>1320.6838</v>
      </c>
      <c r="P220">
        <v>2181.5625</v>
      </c>
      <c r="Q220" t="s">
        <v>13</v>
      </c>
      <c r="R220" t="s">
        <v>196</v>
      </c>
      <c r="S220" t="s">
        <v>138</v>
      </c>
      <c r="T220" t="s">
        <v>7362</v>
      </c>
      <c r="U220" s="1">
        <v>23567</v>
      </c>
      <c r="V220" t="s">
        <v>16</v>
      </c>
      <c r="W220" t="s">
        <v>16</v>
      </c>
      <c r="X220" t="s">
        <v>1837</v>
      </c>
      <c r="Y220">
        <v>30000</v>
      </c>
      <c r="Z220">
        <v>2</v>
      </c>
      <c r="AA220" t="s">
        <v>52</v>
      </c>
      <c r="AB220" t="s">
        <v>60</v>
      </c>
      <c r="AC220" t="s">
        <v>23</v>
      </c>
      <c r="AD220" t="s">
        <v>3583</v>
      </c>
      <c r="AE220" t="s">
        <v>3583</v>
      </c>
      <c r="AF220" t="s">
        <v>3584</v>
      </c>
      <c r="AG220" t="s">
        <v>3479</v>
      </c>
      <c r="AH220" t="s">
        <v>3475</v>
      </c>
      <c r="AI220">
        <v>2181.5625</v>
      </c>
      <c r="AJ220">
        <v>1320.6838</v>
      </c>
      <c r="AK220">
        <v>860.87869999999998</v>
      </c>
      <c r="AL220">
        <v>0.39461564818793898</v>
      </c>
    </row>
    <row r="221" spans="1:38">
      <c r="A221" s="1">
        <v>42358</v>
      </c>
      <c r="B221">
        <v>2015</v>
      </c>
      <c r="C221">
        <v>12</v>
      </c>
      <c r="D221" t="s">
        <v>8994</v>
      </c>
      <c r="E221" s="1">
        <v>37551</v>
      </c>
      <c r="F221" t="s">
        <v>6120</v>
      </c>
      <c r="G221">
        <v>375</v>
      </c>
      <c r="H221">
        <v>14976</v>
      </c>
      <c r="I221">
        <v>7</v>
      </c>
      <c r="J221">
        <v>1</v>
      </c>
      <c r="K221">
        <v>1</v>
      </c>
      <c r="L221">
        <v>2</v>
      </c>
      <c r="M221" t="s">
        <v>3557</v>
      </c>
      <c r="N221" t="s">
        <v>3558</v>
      </c>
      <c r="O221">
        <v>1320.6838</v>
      </c>
      <c r="P221">
        <v>2181.5625</v>
      </c>
      <c r="Q221" t="s">
        <v>13</v>
      </c>
      <c r="R221" t="s">
        <v>452</v>
      </c>
      <c r="S221" t="s">
        <v>511</v>
      </c>
      <c r="T221" t="s">
        <v>7367</v>
      </c>
      <c r="U221" s="1">
        <v>22808</v>
      </c>
      <c r="V221" t="s">
        <v>16</v>
      </c>
      <c r="W221" t="s">
        <v>16</v>
      </c>
      <c r="X221" t="s">
        <v>1842</v>
      </c>
      <c r="Y221">
        <v>40000</v>
      </c>
      <c r="Z221">
        <v>1</v>
      </c>
      <c r="AA221" t="s">
        <v>17</v>
      </c>
      <c r="AB221" t="s">
        <v>53</v>
      </c>
      <c r="AC221" t="s">
        <v>19</v>
      </c>
      <c r="AD221" t="s">
        <v>3583</v>
      </c>
      <c r="AE221" t="s">
        <v>3583</v>
      </c>
      <c r="AF221" t="s">
        <v>3584</v>
      </c>
      <c r="AG221" t="s">
        <v>3479</v>
      </c>
      <c r="AH221" t="s">
        <v>3475</v>
      </c>
      <c r="AI221">
        <v>2181.5625</v>
      </c>
      <c r="AJ221">
        <v>1320.6838</v>
      </c>
      <c r="AK221">
        <v>860.87869999999998</v>
      </c>
      <c r="AL221">
        <v>0.39461564818793898</v>
      </c>
    </row>
    <row r="222" spans="1:38">
      <c r="A222" s="1">
        <v>42358</v>
      </c>
      <c r="B222">
        <v>2015</v>
      </c>
      <c r="C222">
        <v>12</v>
      </c>
      <c r="D222" t="s">
        <v>8994</v>
      </c>
      <c r="E222" s="1">
        <v>37594</v>
      </c>
      <c r="F222" t="s">
        <v>6108</v>
      </c>
      <c r="G222">
        <v>332</v>
      </c>
      <c r="H222">
        <v>27259</v>
      </c>
      <c r="I222">
        <v>6</v>
      </c>
      <c r="J222">
        <v>1</v>
      </c>
      <c r="K222">
        <v>1</v>
      </c>
      <c r="L222">
        <v>2</v>
      </c>
      <c r="M222" t="s">
        <v>3507</v>
      </c>
      <c r="N222" t="s">
        <v>3508</v>
      </c>
      <c r="O222">
        <v>413.1463</v>
      </c>
      <c r="P222">
        <v>699.09820000000002</v>
      </c>
      <c r="Q222" t="s">
        <v>30</v>
      </c>
      <c r="R222" t="s">
        <v>142</v>
      </c>
      <c r="S222" t="s">
        <v>136</v>
      </c>
      <c r="T222" t="s">
        <v>8803</v>
      </c>
      <c r="U222" s="1">
        <v>25627</v>
      </c>
      <c r="V222" t="s">
        <v>16</v>
      </c>
      <c r="W222" t="s">
        <v>29</v>
      </c>
      <c r="X222" t="s">
        <v>3313</v>
      </c>
      <c r="Y222">
        <v>40000</v>
      </c>
      <c r="Z222">
        <v>1</v>
      </c>
      <c r="AA222" t="s">
        <v>17</v>
      </c>
      <c r="AB222" t="s">
        <v>53</v>
      </c>
      <c r="AC222" t="s">
        <v>19</v>
      </c>
      <c r="AD222" t="s">
        <v>3582</v>
      </c>
      <c r="AE222" t="s">
        <v>3582</v>
      </c>
      <c r="AF222" t="s">
        <v>3579</v>
      </c>
      <c r="AG222" t="s">
        <v>3479</v>
      </c>
      <c r="AH222" t="s">
        <v>3475</v>
      </c>
      <c r="AI222">
        <v>699.09820000000002</v>
      </c>
      <c r="AJ222">
        <v>413.1463</v>
      </c>
      <c r="AK222">
        <v>285.95190000000002</v>
      </c>
      <c r="AL222">
        <v>0.409029661355157</v>
      </c>
    </row>
    <row r="223" spans="1:38">
      <c r="A223" s="1">
        <v>42358</v>
      </c>
      <c r="B223">
        <v>2015</v>
      </c>
      <c r="C223">
        <v>12</v>
      </c>
      <c r="D223" t="s">
        <v>8994</v>
      </c>
      <c r="E223" s="1">
        <v>37513</v>
      </c>
      <c r="F223" t="s">
        <v>6109</v>
      </c>
      <c r="G223">
        <v>336</v>
      </c>
      <c r="H223">
        <v>26547</v>
      </c>
      <c r="I223">
        <v>9</v>
      </c>
      <c r="J223">
        <v>1</v>
      </c>
      <c r="K223">
        <v>1</v>
      </c>
      <c r="L223">
        <v>2</v>
      </c>
      <c r="M223" t="s">
        <v>3511</v>
      </c>
      <c r="N223" t="s">
        <v>3512</v>
      </c>
      <c r="O223">
        <v>413.1463</v>
      </c>
      <c r="P223">
        <v>699.09820000000002</v>
      </c>
      <c r="Q223" t="s">
        <v>30</v>
      </c>
      <c r="R223" t="s">
        <v>755</v>
      </c>
      <c r="S223" t="s">
        <v>75</v>
      </c>
      <c r="T223" t="s">
        <v>8726</v>
      </c>
      <c r="U223" s="1">
        <v>16931</v>
      </c>
      <c r="V223" t="s">
        <v>22</v>
      </c>
      <c r="W223" t="s">
        <v>29</v>
      </c>
      <c r="X223" t="s">
        <v>3236</v>
      </c>
      <c r="Y223">
        <v>30000</v>
      </c>
      <c r="Z223">
        <v>2</v>
      </c>
      <c r="AA223" t="s">
        <v>52</v>
      </c>
      <c r="AB223" t="s">
        <v>60</v>
      </c>
      <c r="AC223" t="s">
        <v>23</v>
      </c>
      <c r="AD223" t="s">
        <v>3586</v>
      </c>
      <c r="AE223" t="s">
        <v>3586</v>
      </c>
      <c r="AF223" t="s">
        <v>3587</v>
      </c>
      <c r="AG223" t="s">
        <v>3479</v>
      </c>
      <c r="AH223" t="s">
        <v>3475</v>
      </c>
      <c r="AI223">
        <v>699.09820000000002</v>
      </c>
      <c r="AJ223">
        <v>413.1463</v>
      </c>
      <c r="AK223">
        <v>285.95190000000002</v>
      </c>
      <c r="AL223">
        <v>0.409029661355157</v>
      </c>
    </row>
    <row r="224" spans="1:38">
      <c r="A224" s="1">
        <v>42358</v>
      </c>
      <c r="B224">
        <v>2015</v>
      </c>
      <c r="C224">
        <v>12</v>
      </c>
      <c r="D224" t="s">
        <v>8994</v>
      </c>
      <c r="E224" s="1">
        <v>37577</v>
      </c>
      <c r="F224" t="s">
        <v>6117</v>
      </c>
      <c r="G224">
        <v>360</v>
      </c>
      <c r="H224">
        <v>13129</v>
      </c>
      <c r="I224">
        <v>9</v>
      </c>
      <c r="J224">
        <v>1</v>
      </c>
      <c r="K224">
        <v>1</v>
      </c>
      <c r="L224">
        <v>1</v>
      </c>
      <c r="M224" t="s">
        <v>3543</v>
      </c>
      <c r="N224" t="s">
        <v>3544</v>
      </c>
      <c r="O224">
        <v>1105.81</v>
      </c>
      <c r="P224">
        <v>2049.0981999999999</v>
      </c>
      <c r="Q224" t="s">
        <v>26</v>
      </c>
      <c r="R224" t="s">
        <v>1221</v>
      </c>
      <c r="S224" t="s">
        <v>89</v>
      </c>
      <c r="T224" t="s">
        <v>7115</v>
      </c>
      <c r="U224" s="1">
        <v>23529</v>
      </c>
      <c r="V224" t="s">
        <v>22</v>
      </c>
      <c r="W224" t="s">
        <v>29</v>
      </c>
      <c r="X224" t="s">
        <v>1429</v>
      </c>
      <c r="Y224">
        <v>70000</v>
      </c>
      <c r="Z224">
        <v>0</v>
      </c>
      <c r="AA224" t="s">
        <v>17</v>
      </c>
      <c r="AB224" t="s">
        <v>18</v>
      </c>
      <c r="AC224" t="s">
        <v>19</v>
      </c>
      <c r="AD224" t="s">
        <v>3586</v>
      </c>
      <c r="AE224" t="s">
        <v>3586</v>
      </c>
      <c r="AF224" t="s">
        <v>3587</v>
      </c>
      <c r="AG224" t="s">
        <v>3478</v>
      </c>
      <c r="AH224" t="s">
        <v>3475</v>
      </c>
      <c r="AI224">
        <v>2049.0981999999999</v>
      </c>
      <c r="AJ224">
        <v>1105.81</v>
      </c>
      <c r="AK224">
        <v>943.28819999999996</v>
      </c>
      <c r="AL224">
        <v>0.46034309141455498</v>
      </c>
    </row>
    <row r="225" spans="1:38">
      <c r="A225" s="1">
        <v>42358</v>
      </c>
      <c r="B225">
        <v>2015</v>
      </c>
      <c r="C225">
        <v>12</v>
      </c>
      <c r="D225" t="s">
        <v>8994</v>
      </c>
      <c r="E225" s="1">
        <v>37494</v>
      </c>
      <c r="F225" t="s">
        <v>6118</v>
      </c>
      <c r="G225">
        <v>373</v>
      </c>
      <c r="H225">
        <v>13721</v>
      </c>
      <c r="I225">
        <v>1</v>
      </c>
      <c r="J225">
        <v>1</v>
      </c>
      <c r="K225">
        <v>1</v>
      </c>
      <c r="L225">
        <v>2</v>
      </c>
      <c r="M225" t="s">
        <v>3555</v>
      </c>
      <c r="N225" t="s">
        <v>3556</v>
      </c>
      <c r="O225">
        <v>1320.6838</v>
      </c>
      <c r="P225">
        <v>2181.5625</v>
      </c>
      <c r="Q225" t="s">
        <v>13</v>
      </c>
      <c r="R225" t="s">
        <v>176</v>
      </c>
      <c r="S225" t="s">
        <v>294</v>
      </c>
      <c r="T225" t="s">
        <v>7150</v>
      </c>
      <c r="U225" s="1">
        <v>19826</v>
      </c>
      <c r="V225" t="s">
        <v>22</v>
      </c>
      <c r="W225" t="s">
        <v>16</v>
      </c>
      <c r="X225" t="s">
        <v>1609</v>
      </c>
      <c r="Y225">
        <v>20000</v>
      </c>
      <c r="Z225">
        <v>3</v>
      </c>
      <c r="AA225" t="s">
        <v>77</v>
      </c>
      <c r="AB225" t="s">
        <v>60</v>
      </c>
      <c r="AC225" t="s">
        <v>19</v>
      </c>
      <c r="AD225" t="s">
        <v>3577</v>
      </c>
      <c r="AE225" t="s">
        <v>3578</v>
      </c>
      <c r="AF225" t="s">
        <v>3579</v>
      </c>
      <c r="AG225" t="s">
        <v>3479</v>
      </c>
      <c r="AH225" t="s">
        <v>3475</v>
      </c>
      <c r="AI225">
        <v>2181.5625</v>
      </c>
      <c r="AJ225">
        <v>1320.6838</v>
      </c>
      <c r="AK225">
        <v>860.87869999999998</v>
      </c>
      <c r="AL225">
        <v>0.39461564818793898</v>
      </c>
    </row>
    <row r="226" spans="1:38">
      <c r="A226" s="1">
        <v>42359</v>
      </c>
      <c r="B226">
        <v>2015</v>
      </c>
      <c r="C226">
        <v>12</v>
      </c>
      <c r="D226" t="s">
        <v>8994</v>
      </c>
      <c r="E226" s="1">
        <v>37536</v>
      </c>
      <c r="F226" t="s">
        <v>6124</v>
      </c>
      <c r="G226">
        <v>362</v>
      </c>
      <c r="H226">
        <v>28758</v>
      </c>
      <c r="I226">
        <v>7</v>
      </c>
      <c r="J226">
        <v>1</v>
      </c>
      <c r="K226">
        <v>1</v>
      </c>
      <c r="L226">
        <v>1</v>
      </c>
      <c r="M226" t="s">
        <v>3545</v>
      </c>
      <c r="N226" t="s">
        <v>3546</v>
      </c>
      <c r="O226">
        <v>1105.81</v>
      </c>
      <c r="P226">
        <v>2049.0981999999999</v>
      </c>
      <c r="Q226" t="s">
        <v>13</v>
      </c>
      <c r="R226" t="s">
        <v>639</v>
      </c>
      <c r="S226" t="s">
        <v>293</v>
      </c>
      <c r="T226" t="s">
        <v>8878</v>
      </c>
      <c r="U226" s="1">
        <v>26153</v>
      </c>
      <c r="V226" t="s">
        <v>16</v>
      </c>
      <c r="W226" t="s">
        <v>16</v>
      </c>
      <c r="X226" t="s">
        <v>3392</v>
      </c>
      <c r="Y226">
        <v>40000</v>
      </c>
      <c r="Z226">
        <v>2</v>
      </c>
      <c r="AA226" t="s">
        <v>52</v>
      </c>
      <c r="AB226" t="s">
        <v>60</v>
      </c>
      <c r="AC226" t="s">
        <v>19</v>
      </c>
      <c r="AD226" t="s">
        <v>3583</v>
      </c>
      <c r="AE226" t="s">
        <v>3583</v>
      </c>
      <c r="AF226" t="s">
        <v>3584</v>
      </c>
      <c r="AG226" t="s">
        <v>3478</v>
      </c>
      <c r="AH226" t="s">
        <v>3475</v>
      </c>
      <c r="AI226">
        <v>2049.0981999999999</v>
      </c>
      <c r="AJ226">
        <v>1105.81</v>
      </c>
      <c r="AK226">
        <v>943.28819999999996</v>
      </c>
      <c r="AL226">
        <v>0.46034309141455498</v>
      </c>
    </row>
    <row r="227" spans="1:38">
      <c r="A227" s="1">
        <v>42359</v>
      </c>
      <c r="B227">
        <v>2015</v>
      </c>
      <c r="C227">
        <v>12</v>
      </c>
      <c r="D227" t="s">
        <v>8994</v>
      </c>
      <c r="E227" s="1">
        <v>37512</v>
      </c>
      <c r="F227" t="s">
        <v>6123</v>
      </c>
      <c r="G227">
        <v>389</v>
      </c>
      <c r="H227">
        <v>24916</v>
      </c>
      <c r="I227">
        <v>9</v>
      </c>
      <c r="J227">
        <v>1</v>
      </c>
      <c r="K227">
        <v>1</v>
      </c>
      <c r="L227">
        <v>2</v>
      </c>
      <c r="M227" t="s">
        <v>3571</v>
      </c>
      <c r="N227" t="s">
        <v>3572</v>
      </c>
      <c r="O227">
        <v>605.64919999999995</v>
      </c>
      <c r="P227">
        <v>1000.4375</v>
      </c>
      <c r="Q227" t="s">
        <v>26</v>
      </c>
      <c r="R227" t="s">
        <v>883</v>
      </c>
      <c r="S227" t="s">
        <v>490</v>
      </c>
      <c r="T227" t="s">
        <v>8453</v>
      </c>
      <c r="U227" s="1">
        <v>25888</v>
      </c>
      <c r="V227" t="s">
        <v>22</v>
      </c>
      <c r="W227" t="s">
        <v>29</v>
      </c>
      <c r="X227" t="s">
        <v>2953</v>
      </c>
      <c r="Y227">
        <v>90000</v>
      </c>
      <c r="Z227">
        <v>0</v>
      </c>
      <c r="AA227" t="s">
        <v>17</v>
      </c>
      <c r="AB227" t="s">
        <v>18</v>
      </c>
      <c r="AC227" t="s">
        <v>23</v>
      </c>
      <c r="AD227" t="s">
        <v>3586</v>
      </c>
      <c r="AE227" t="s">
        <v>3586</v>
      </c>
      <c r="AF227" t="s">
        <v>3587</v>
      </c>
      <c r="AG227" t="s">
        <v>3479</v>
      </c>
      <c r="AH227" t="s">
        <v>3475</v>
      </c>
      <c r="AI227">
        <v>1000.4375</v>
      </c>
      <c r="AJ227">
        <v>605.64919999999995</v>
      </c>
      <c r="AK227">
        <v>394.78829999999999</v>
      </c>
      <c r="AL227">
        <v>0.39461565565065299</v>
      </c>
    </row>
    <row r="228" spans="1:38">
      <c r="A228" s="1">
        <v>42359</v>
      </c>
      <c r="B228">
        <v>2015</v>
      </c>
      <c r="C228">
        <v>12</v>
      </c>
      <c r="D228" t="s">
        <v>8994</v>
      </c>
      <c r="E228" s="1">
        <v>37506</v>
      </c>
      <c r="F228" t="s">
        <v>6122</v>
      </c>
      <c r="G228">
        <v>352</v>
      </c>
      <c r="H228">
        <v>12381</v>
      </c>
      <c r="I228">
        <v>10</v>
      </c>
      <c r="J228">
        <v>1</v>
      </c>
      <c r="K228">
        <v>1</v>
      </c>
      <c r="L228">
        <v>1</v>
      </c>
      <c r="M228" t="s">
        <v>3535</v>
      </c>
      <c r="N228" t="s">
        <v>3536</v>
      </c>
      <c r="O228">
        <v>1117.8559</v>
      </c>
      <c r="P228">
        <v>2071.4196000000002</v>
      </c>
      <c r="Q228" t="s">
        <v>13</v>
      </c>
      <c r="R228" t="s">
        <v>700</v>
      </c>
      <c r="S228" t="s">
        <v>62</v>
      </c>
      <c r="T228" t="s">
        <v>6919</v>
      </c>
      <c r="U228" s="1">
        <v>27077</v>
      </c>
      <c r="V228" t="s">
        <v>16</v>
      </c>
      <c r="W228" t="s">
        <v>16</v>
      </c>
      <c r="X228" t="s">
        <v>1130</v>
      </c>
      <c r="Y228">
        <v>40000</v>
      </c>
      <c r="Z228">
        <v>1</v>
      </c>
      <c r="AA228" t="s">
        <v>17</v>
      </c>
      <c r="AB228" t="s">
        <v>53</v>
      </c>
      <c r="AC228" t="s">
        <v>19</v>
      </c>
      <c r="AD228" t="s">
        <v>3588</v>
      </c>
      <c r="AE228" t="s">
        <v>3588</v>
      </c>
      <c r="AF228" t="s">
        <v>3584</v>
      </c>
      <c r="AG228" t="s">
        <v>3478</v>
      </c>
      <c r="AH228" t="s">
        <v>3475</v>
      </c>
      <c r="AI228">
        <v>2071.4196000000002</v>
      </c>
      <c r="AJ228">
        <v>1117.8559</v>
      </c>
      <c r="AK228">
        <v>953.56370000000004</v>
      </c>
      <c r="AL228">
        <v>0.460343090313522</v>
      </c>
    </row>
    <row r="229" spans="1:38">
      <c r="A229" s="1">
        <v>42360</v>
      </c>
      <c r="B229">
        <v>2015</v>
      </c>
      <c r="C229">
        <v>12</v>
      </c>
      <c r="D229" t="s">
        <v>8994</v>
      </c>
      <c r="E229" s="1">
        <v>37499</v>
      </c>
      <c r="F229" t="s">
        <v>6126</v>
      </c>
      <c r="G229">
        <v>358</v>
      </c>
      <c r="H229">
        <v>26623</v>
      </c>
      <c r="I229">
        <v>1</v>
      </c>
      <c r="J229">
        <v>1</v>
      </c>
      <c r="K229">
        <v>1</v>
      </c>
      <c r="L229">
        <v>1</v>
      </c>
      <c r="M229" t="s">
        <v>3541</v>
      </c>
      <c r="N229" t="s">
        <v>3542</v>
      </c>
      <c r="O229">
        <v>1105.81</v>
      </c>
      <c r="P229">
        <v>2049.0981999999999</v>
      </c>
      <c r="Q229" t="s">
        <v>26</v>
      </c>
      <c r="R229" t="s">
        <v>336</v>
      </c>
      <c r="S229" t="s">
        <v>199</v>
      </c>
      <c r="T229" t="s">
        <v>8761</v>
      </c>
      <c r="U229" s="1">
        <v>24514</v>
      </c>
      <c r="V229" t="s">
        <v>22</v>
      </c>
      <c r="W229" t="s">
        <v>29</v>
      </c>
      <c r="X229" t="s">
        <v>3271</v>
      </c>
      <c r="Y229">
        <v>50000</v>
      </c>
      <c r="Z229">
        <v>0</v>
      </c>
      <c r="AA229" t="s">
        <v>52</v>
      </c>
      <c r="AB229" t="s">
        <v>53</v>
      </c>
      <c r="AC229" t="s">
        <v>23</v>
      </c>
      <c r="AD229" t="s">
        <v>3577</v>
      </c>
      <c r="AE229" t="s">
        <v>3578</v>
      </c>
      <c r="AF229" t="s">
        <v>3579</v>
      </c>
      <c r="AG229" t="s">
        <v>3478</v>
      </c>
      <c r="AH229" t="s">
        <v>3475</v>
      </c>
      <c r="AI229">
        <v>2049.0981999999999</v>
      </c>
      <c r="AJ229">
        <v>1105.81</v>
      </c>
      <c r="AK229">
        <v>943.28819999999996</v>
      </c>
      <c r="AL229">
        <v>0.46034309141455498</v>
      </c>
    </row>
    <row r="230" spans="1:38">
      <c r="A230" s="1">
        <v>42360</v>
      </c>
      <c r="B230">
        <v>2015</v>
      </c>
      <c r="C230">
        <v>12</v>
      </c>
      <c r="D230" t="s">
        <v>8994</v>
      </c>
      <c r="E230" s="1">
        <v>37593</v>
      </c>
      <c r="F230" t="s">
        <v>6136</v>
      </c>
      <c r="G230">
        <v>356</v>
      </c>
      <c r="H230">
        <v>26681</v>
      </c>
      <c r="I230">
        <v>4</v>
      </c>
      <c r="J230">
        <v>1</v>
      </c>
      <c r="K230">
        <v>1</v>
      </c>
      <c r="L230">
        <v>1</v>
      </c>
      <c r="M230" t="s">
        <v>3539</v>
      </c>
      <c r="N230" t="s">
        <v>3540</v>
      </c>
      <c r="O230">
        <v>1117.8559</v>
      </c>
      <c r="P230">
        <v>2071.4196000000002</v>
      </c>
      <c r="Q230" t="s">
        <v>13</v>
      </c>
      <c r="R230" t="s">
        <v>433</v>
      </c>
      <c r="S230" t="s">
        <v>393</v>
      </c>
      <c r="T230" t="s">
        <v>8781</v>
      </c>
      <c r="U230" s="1">
        <v>20548</v>
      </c>
      <c r="V230" t="s">
        <v>22</v>
      </c>
      <c r="W230" t="s">
        <v>16</v>
      </c>
      <c r="X230" t="s">
        <v>3291</v>
      </c>
      <c r="Y230">
        <v>60000</v>
      </c>
      <c r="Z230">
        <v>2</v>
      </c>
      <c r="AA230" t="s">
        <v>57</v>
      </c>
      <c r="AB230" t="s">
        <v>18</v>
      </c>
      <c r="AC230" t="s">
        <v>19</v>
      </c>
      <c r="AD230" t="s">
        <v>3580</v>
      </c>
      <c r="AE230" t="s">
        <v>3578</v>
      </c>
      <c r="AF230" t="s">
        <v>3579</v>
      </c>
      <c r="AG230" t="s">
        <v>3478</v>
      </c>
      <c r="AH230" t="s">
        <v>3475</v>
      </c>
      <c r="AI230">
        <v>2071.4196000000002</v>
      </c>
      <c r="AJ230">
        <v>1117.8559</v>
      </c>
      <c r="AK230">
        <v>953.56370000000004</v>
      </c>
      <c r="AL230">
        <v>0.460343090313522</v>
      </c>
    </row>
    <row r="231" spans="1:38">
      <c r="A231" s="1">
        <v>42360</v>
      </c>
      <c r="B231">
        <v>2015</v>
      </c>
      <c r="C231">
        <v>12</v>
      </c>
      <c r="D231" t="s">
        <v>8994</v>
      </c>
      <c r="E231" s="1">
        <v>37584</v>
      </c>
      <c r="F231" t="s">
        <v>6127</v>
      </c>
      <c r="G231">
        <v>358</v>
      </c>
      <c r="H231">
        <v>28750</v>
      </c>
      <c r="I231">
        <v>7</v>
      </c>
      <c r="J231">
        <v>1</v>
      </c>
      <c r="K231">
        <v>1</v>
      </c>
      <c r="L231">
        <v>1</v>
      </c>
      <c r="M231" t="s">
        <v>3541</v>
      </c>
      <c r="N231" t="s">
        <v>3542</v>
      </c>
      <c r="O231">
        <v>1105.81</v>
      </c>
      <c r="P231">
        <v>2049.0981999999999</v>
      </c>
      <c r="Q231" t="s">
        <v>13</v>
      </c>
      <c r="R231" t="s">
        <v>441</v>
      </c>
      <c r="S231" t="s">
        <v>317</v>
      </c>
      <c r="T231" t="s">
        <v>8874</v>
      </c>
      <c r="U231" s="1">
        <v>26655</v>
      </c>
      <c r="V231" t="s">
        <v>16</v>
      </c>
      <c r="W231" t="s">
        <v>16</v>
      </c>
      <c r="X231" t="s">
        <v>3386</v>
      </c>
      <c r="Y231">
        <v>40000</v>
      </c>
      <c r="Z231">
        <v>1</v>
      </c>
      <c r="AA231" t="s">
        <v>17</v>
      </c>
      <c r="AB231" t="s">
        <v>53</v>
      </c>
      <c r="AC231" t="s">
        <v>19</v>
      </c>
      <c r="AD231" t="s">
        <v>3583</v>
      </c>
      <c r="AE231" t="s">
        <v>3583</v>
      </c>
      <c r="AF231" t="s">
        <v>3584</v>
      </c>
      <c r="AG231" t="s">
        <v>3478</v>
      </c>
      <c r="AH231" t="s">
        <v>3475</v>
      </c>
      <c r="AI231">
        <v>2049.0981999999999</v>
      </c>
      <c r="AJ231">
        <v>1105.81</v>
      </c>
      <c r="AK231">
        <v>943.28819999999996</v>
      </c>
      <c r="AL231">
        <v>0.46034309141455498</v>
      </c>
    </row>
    <row r="232" spans="1:38">
      <c r="A232" s="1">
        <v>42360</v>
      </c>
      <c r="B232">
        <v>2015</v>
      </c>
      <c r="C232">
        <v>12</v>
      </c>
      <c r="D232" t="s">
        <v>8994</v>
      </c>
      <c r="E232" s="1">
        <v>37545</v>
      </c>
      <c r="F232" t="s">
        <v>6135</v>
      </c>
      <c r="G232">
        <v>362</v>
      </c>
      <c r="H232">
        <v>12230</v>
      </c>
      <c r="I232">
        <v>8</v>
      </c>
      <c r="J232">
        <v>1</v>
      </c>
      <c r="K232">
        <v>1</v>
      </c>
      <c r="L232">
        <v>1</v>
      </c>
      <c r="M232" t="s">
        <v>3545</v>
      </c>
      <c r="N232" t="s">
        <v>3546</v>
      </c>
      <c r="O232">
        <v>1105.81</v>
      </c>
      <c r="P232">
        <v>2049.0981999999999</v>
      </c>
      <c r="Q232" t="s">
        <v>13</v>
      </c>
      <c r="R232" t="s">
        <v>973</v>
      </c>
      <c r="S232" t="s">
        <v>122</v>
      </c>
      <c r="T232" t="s">
        <v>6827</v>
      </c>
      <c r="U232" s="1">
        <v>20497</v>
      </c>
      <c r="V232" t="s">
        <v>16</v>
      </c>
      <c r="W232" t="s">
        <v>16</v>
      </c>
      <c r="X232" t="s">
        <v>1039</v>
      </c>
      <c r="Y232">
        <v>10000</v>
      </c>
      <c r="Z232">
        <v>2</v>
      </c>
      <c r="AA232" t="s">
        <v>52</v>
      </c>
      <c r="AB232" t="s">
        <v>444</v>
      </c>
      <c r="AC232" t="s">
        <v>19</v>
      </c>
      <c r="AD232" t="s">
        <v>3585</v>
      </c>
      <c r="AE232" t="s">
        <v>3585</v>
      </c>
      <c r="AF232" t="s">
        <v>3584</v>
      </c>
      <c r="AG232" t="s">
        <v>3478</v>
      </c>
      <c r="AH232" t="s">
        <v>3475</v>
      </c>
      <c r="AI232">
        <v>2049.0981999999999</v>
      </c>
      <c r="AJ232">
        <v>1105.81</v>
      </c>
      <c r="AK232">
        <v>943.28819999999996</v>
      </c>
      <c r="AL232">
        <v>0.46034309141455498</v>
      </c>
    </row>
    <row r="233" spans="1:38">
      <c r="A233" s="1">
        <v>42360</v>
      </c>
      <c r="B233">
        <v>2015</v>
      </c>
      <c r="C233">
        <v>12</v>
      </c>
      <c r="D233" t="s">
        <v>8994</v>
      </c>
      <c r="E233" s="1">
        <v>37582</v>
      </c>
      <c r="F233" t="s">
        <v>6125</v>
      </c>
      <c r="G233">
        <v>324</v>
      </c>
      <c r="H233">
        <v>15429</v>
      </c>
      <c r="I233">
        <v>4</v>
      </c>
      <c r="J233">
        <v>1</v>
      </c>
      <c r="K233">
        <v>1</v>
      </c>
      <c r="L233">
        <v>2</v>
      </c>
      <c r="M233" t="s">
        <v>3499</v>
      </c>
      <c r="N233" t="s">
        <v>3500</v>
      </c>
      <c r="O233">
        <v>413.1463</v>
      </c>
      <c r="P233">
        <v>699.09820000000002</v>
      </c>
      <c r="Q233" t="s">
        <v>13</v>
      </c>
      <c r="R233" t="s">
        <v>723</v>
      </c>
      <c r="S233" t="s">
        <v>338</v>
      </c>
      <c r="T233" t="s">
        <v>7498</v>
      </c>
      <c r="U233" s="1">
        <v>28964</v>
      </c>
      <c r="V233" t="s">
        <v>16</v>
      </c>
      <c r="W233" t="s">
        <v>16</v>
      </c>
      <c r="X233" t="s">
        <v>1975</v>
      </c>
      <c r="Y233">
        <v>70000</v>
      </c>
      <c r="Z233">
        <v>0</v>
      </c>
      <c r="AA233" t="s">
        <v>52</v>
      </c>
      <c r="AB233" t="s">
        <v>53</v>
      </c>
      <c r="AC233" t="s">
        <v>23</v>
      </c>
      <c r="AD233" t="s">
        <v>3580</v>
      </c>
      <c r="AE233" t="s">
        <v>3578</v>
      </c>
      <c r="AF233" t="s">
        <v>3579</v>
      </c>
      <c r="AG233" t="s">
        <v>3479</v>
      </c>
      <c r="AH233" t="s">
        <v>3475</v>
      </c>
      <c r="AI233">
        <v>699.09820000000002</v>
      </c>
      <c r="AJ233">
        <v>413.1463</v>
      </c>
      <c r="AK233">
        <v>285.95190000000002</v>
      </c>
      <c r="AL233">
        <v>0.409029661355157</v>
      </c>
    </row>
    <row r="234" spans="1:38">
      <c r="A234" s="1">
        <v>42360</v>
      </c>
      <c r="B234">
        <v>2015</v>
      </c>
      <c r="C234">
        <v>12</v>
      </c>
      <c r="D234" t="s">
        <v>8994</v>
      </c>
      <c r="E234" s="1">
        <v>37572</v>
      </c>
      <c r="F234" t="s">
        <v>6128</v>
      </c>
      <c r="G234">
        <v>336</v>
      </c>
      <c r="H234">
        <v>15474</v>
      </c>
      <c r="I234">
        <v>4</v>
      </c>
      <c r="J234">
        <v>1</v>
      </c>
      <c r="K234">
        <v>1</v>
      </c>
      <c r="L234">
        <v>2</v>
      </c>
      <c r="M234" t="s">
        <v>3511</v>
      </c>
      <c r="N234" t="s">
        <v>3512</v>
      </c>
      <c r="O234">
        <v>413.1463</v>
      </c>
      <c r="P234">
        <v>699.09820000000002</v>
      </c>
      <c r="Q234" t="s">
        <v>13</v>
      </c>
      <c r="R234" t="s">
        <v>415</v>
      </c>
      <c r="S234" t="s">
        <v>62</v>
      </c>
      <c r="T234" t="s">
        <v>7512</v>
      </c>
      <c r="U234" s="1">
        <v>25325</v>
      </c>
      <c r="V234" t="s">
        <v>16</v>
      </c>
      <c r="W234" t="s">
        <v>16</v>
      </c>
      <c r="X234" t="s">
        <v>1989</v>
      </c>
      <c r="Y234">
        <v>50000</v>
      </c>
      <c r="Z234">
        <v>2</v>
      </c>
      <c r="AA234" t="s">
        <v>17</v>
      </c>
      <c r="AB234" t="s">
        <v>53</v>
      </c>
      <c r="AC234" t="s">
        <v>19</v>
      </c>
      <c r="AD234" t="s">
        <v>3580</v>
      </c>
      <c r="AE234" t="s">
        <v>3578</v>
      </c>
      <c r="AF234" t="s">
        <v>3579</v>
      </c>
      <c r="AG234" t="s">
        <v>3479</v>
      </c>
      <c r="AH234" t="s">
        <v>3475</v>
      </c>
      <c r="AI234">
        <v>699.09820000000002</v>
      </c>
      <c r="AJ234">
        <v>413.1463</v>
      </c>
      <c r="AK234">
        <v>285.95190000000002</v>
      </c>
      <c r="AL234">
        <v>0.409029661355157</v>
      </c>
    </row>
    <row r="235" spans="1:38">
      <c r="A235" s="1">
        <v>42360</v>
      </c>
      <c r="B235">
        <v>2015</v>
      </c>
      <c r="C235">
        <v>12</v>
      </c>
      <c r="D235" t="s">
        <v>8994</v>
      </c>
      <c r="E235" s="1">
        <v>37594</v>
      </c>
      <c r="F235" t="s">
        <v>6129</v>
      </c>
      <c r="G235">
        <v>354</v>
      </c>
      <c r="H235">
        <v>13524</v>
      </c>
      <c r="I235">
        <v>9</v>
      </c>
      <c r="J235">
        <v>1</v>
      </c>
      <c r="K235">
        <v>1</v>
      </c>
      <c r="L235">
        <v>1</v>
      </c>
      <c r="M235" t="s">
        <v>3537</v>
      </c>
      <c r="N235" t="s">
        <v>3538</v>
      </c>
      <c r="O235">
        <v>1117.8559</v>
      </c>
      <c r="P235">
        <v>2071.4196000000002</v>
      </c>
      <c r="Q235" t="s">
        <v>26</v>
      </c>
      <c r="R235" t="s">
        <v>188</v>
      </c>
      <c r="S235" t="s">
        <v>220</v>
      </c>
      <c r="T235" t="s">
        <v>7139</v>
      </c>
      <c r="U235" s="1">
        <v>28713</v>
      </c>
      <c r="V235" t="s">
        <v>16</v>
      </c>
      <c r="W235" t="s">
        <v>29</v>
      </c>
      <c r="X235" t="s">
        <v>1569</v>
      </c>
      <c r="Y235">
        <v>20000</v>
      </c>
      <c r="Z235">
        <v>0</v>
      </c>
      <c r="AA235" t="s">
        <v>17</v>
      </c>
      <c r="AB235" t="s">
        <v>60</v>
      </c>
      <c r="AC235" t="s">
        <v>23</v>
      </c>
      <c r="AD235" t="s">
        <v>3586</v>
      </c>
      <c r="AE235" t="s">
        <v>3586</v>
      </c>
      <c r="AF235" t="s">
        <v>3587</v>
      </c>
      <c r="AG235" t="s">
        <v>3478</v>
      </c>
      <c r="AH235" t="s">
        <v>3475</v>
      </c>
      <c r="AI235">
        <v>2071.4196000000002</v>
      </c>
      <c r="AJ235">
        <v>1117.8559</v>
      </c>
      <c r="AK235">
        <v>953.56370000000004</v>
      </c>
      <c r="AL235">
        <v>0.460343090313522</v>
      </c>
    </row>
    <row r="236" spans="1:38">
      <c r="A236" s="1">
        <v>42360</v>
      </c>
      <c r="B236">
        <v>2015</v>
      </c>
      <c r="C236">
        <v>12</v>
      </c>
      <c r="D236" t="s">
        <v>8994</v>
      </c>
      <c r="E236" s="1">
        <v>37536</v>
      </c>
      <c r="F236" t="s">
        <v>6132</v>
      </c>
      <c r="G236">
        <v>334</v>
      </c>
      <c r="H236">
        <v>15475</v>
      </c>
      <c r="I236">
        <v>4</v>
      </c>
      <c r="J236">
        <v>1</v>
      </c>
      <c r="K236">
        <v>1</v>
      </c>
      <c r="L236">
        <v>2</v>
      </c>
      <c r="M236" t="s">
        <v>3509</v>
      </c>
      <c r="N236" t="s">
        <v>3510</v>
      </c>
      <c r="O236">
        <v>413.1463</v>
      </c>
      <c r="P236">
        <v>699.09820000000002</v>
      </c>
      <c r="Q236" t="s">
        <v>30</v>
      </c>
      <c r="R236" t="s">
        <v>703</v>
      </c>
      <c r="S236" t="s">
        <v>286</v>
      </c>
      <c r="T236" t="s">
        <v>7513</v>
      </c>
      <c r="U236" s="1">
        <v>25494</v>
      </c>
      <c r="V236" t="s">
        <v>22</v>
      </c>
      <c r="W236" t="s">
        <v>29</v>
      </c>
      <c r="X236" t="s">
        <v>1990</v>
      </c>
      <c r="Y236">
        <v>50000</v>
      </c>
      <c r="Z236">
        <v>2</v>
      </c>
      <c r="AA236" t="s">
        <v>17</v>
      </c>
      <c r="AB236" t="s">
        <v>53</v>
      </c>
      <c r="AC236" t="s">
        <v>19</v>
      </c>
      <c r="AD236" t="s">
        <v>3580</v>
      </c>
      <c r="AE236" t="s">
        <v>3578</v>
      </c>
      <c r="AF236" t="s">
        <v>3579</v>
      </c>
      <c r="AG236" t="s">
        <v>3479</v>
      </c>
      <c r="AH236" t="s">
        <v>3475</v>
      </c>
      <c r="AI236">
        <v>699.09820000000002</v>
      </c>
      <c r="AJ236">
        <v>413.1463</v>
      </c>
      <c r="AK236">
        <v>285.95190000000002</v>
      </c>
      <c r="AL236">
        <v>0.409029661355157</v>
      </c>
    </row>
    <row r="237" spans="1:38">
      <c r="A237" s="1">
        <v>42360</v>
      </c>
      <c r="B237">
        <v>2015</v>
      </c>
      <c r="C237">
        <v>12</v>
      </c>
      <c r="D237" t="s">
        <v>8994</v>
      </c>
      <c r="E237" s="1">
        <v>37551</v>
      </c>
      <c r="F237" t="s">
        <v>6130</v>
      </c>
      <c r="G237">
        <v>338</v>
      </c>
      <c r="H237">
        <v>20875</v>
      </c>
      <c r="I237">
        <v>10</v>
      </c>
      <c r="J237">
        <v>1</v>
      </c>
      <c r="K237">
        <v>1</v>
      </c>
      <c r="L237">
        <v>2</v>
      </c>
      <c r="M237" t="s">
        <v>3513</v>
      </c>
      <c r="N237" t="s">
        <v>3514</v>
      </c>
      <c r="O237">
        <v>413.1463</v>
      </c>
      <c r="P237">
        <v>699.09820000000002</v>
      </c>
      <c r="Q237" t="s">
        <v>30</v>
      </c>
      <c r="R237" t="s">
        <v>202</v>
      </c>
      <c r="S237" t="s">
        <v>594</v>
      </c>
      <c r="T237" t="s">
        <v>8104</v>
      </c>
      <c r="U237" s="1">
        <v>25178</v>
      </c>
      <c r="V237" t="s">
        <v>16</v>
      </c>
      <c r="W237" t="s">
        <v>29</v>
      </c>
      <c r="X237" t="s">
        <v>2600</v>
      </c>
      <c r="Y237">
        <v>20000</v>
      </c>
      <c r="Z237">
        <v>1</v>
      </c>
      <c r="AA237" t="s">
        <v>52</v>
      </c>
      <c r="AB237" t="s">
        <v>444</v>
      </c>
      <c r="AC237" t="s">
        <v>19</v>
      </c>
      <c r="AD237" t="s">
        <v>3588</v>
      </c>
      <c r="AE237" t="s">
        <v>3588</v>
      </c>
      <c r="AF237" t="s">
        <v>3584</v>
      </c>
      <c r="AG237" t="s">
        <v>3479</v>
      </c>
      <c r="AH237" t="s">
        <v>3475</v>
      </c>
      <c r="AI237">
        <v>699.09820000000002</v>
      </c>
      <c r="AJ237">
        <v>413.1463</v>
      </c>
      <c r="AK237">
        <v>285.95190000000002</v>
      </c>
      <c r="AL237">
        <v>0.409029661355157</v>
      </c>
    </row>
    <row r="238" spans="1:38">
      <c r="A238" s="1">
        <v>42360</v>
      </c>
      <c r="B238">
        <v>2015</v>
      </c>
      <c r="C238">
        <v>12</v>
      </c>
      <c r="D238" t="s">
        <v>8994</v>
      </c>
      <c r="E238" s="1">
        <v>37514</v>
      </c>
      <c r="F238" t="s">
        <v>6133</v>
      </c>
      <c r="G238">
        <v>375</v>
      </c>
      <c r="H238">
        <v>17185</v>
      </c>
      <c r="I238">
        <v>10</v>
      </c>
      <c r="J238">
        <v>1</v>
      </c>
      <c r="K238">
        <v>1</v>
      </c>
      <c r="L238">
        <v>2</v>
      </c>
      <c r="M238" t="s">
        <v>3557</v>
      </c>
      <c r="N238" t="s">
        <v>3558</v>
      </c>
      <c r="O238">
        <v>1320.6838</v>
      </c>
      <c r="P238">
        <v>2181.5625</v>
      </c>
      <c r="Q238" t="s">
        <v>30</v>
      </c>
      <c r="R238" t="s">
        <v>265</v>
      </c>
      <c r="S238" t="s">
        <v>195</v>
      </c>
      <c r="T238" t="s">
        <v>7662</v>
      </c>
      <c r="U238" s="1">
        <v>21084</v>
      </c>
      <c r="V238" t="s">
        <v>16</v>
      </c>
      <c r="W238" t="s">
        <v>29</v>
      </c>
      <c r="X238" t="s">
        <v>2147</v>
      </c>
      <c r="Y238">
        <v>170000</v>
      </c>
      <c r="Z238">
        <v>4</v>
      </c>
      <c r="AA238" t="s">
        <v>52</v>
      </c>
      <c r="AB238" t="s">
        <v>18</v>
      </c>
      <c r="AC238" t="s">
        <v>23</v>
      </c>
      <c r="AD238" t="s">
        <v>3588</v>
      </c>
      <c r="AE238" t="s">
        <v>3588</v>
      </c>
      <c r="AF238" t="s">
        <v>3584</v>
      </c>
      <c r="AG238" t="s">
        <v>3479</v>
      </c>
      <c r="AH238" t="s">
        <v>3475</v>
      </c>
      <c r="AI238">
        <v>2181.5625</v>
      </c>
      <c r="AJ238">
        <v>1320.6838</v>
      </c>
      <c r="AK238">
        <v>860.87869999999998</v>
      </c>
      <c r="AL238">
        <v>0.39461564818793898</v>
      </c>
    </row>
    <row r="239" spans="1:38">
      <c r="A239" s="1">
        <v>42360</v>
      </c>
      <c r="B239">
        <v>2015</v>
      </c>
      <c r="C239">
        <v>12</v>
      </c>
      <c r="D239" t="s">
        <v>8994</v>
      </c>
      <c r="E239" s="1">
        <v>37572</v>
      </c>
      <c r="F239" t="s">
        <v>6134</v>
      </c>
      <c r="G239">
        <v>379</v>
      </c>
      <c r="H239">
        <v>17192</v>
      </c>
      <c r="I239">
        <v>10</v>
      </c>
      <c r="J239">
        <v>1</v>
      </c>
      <c r="K239">
        <v>1</v>
      </c>
      <c r="L239">
        <v>2</v>
      </c>
      <c r="M239" t="s">
        <v>3561</v>
      </c>
      <c r="N239" t="s">
        <v>3562</v>
      </c>
      <c r="O239">
        <v>1320.6838</v>
      </c>
      <c r="P239">
        <v>2181.5625</v>
      </c>
      <c r="Q239" t="s">
        <v>13</v>
      </c>
      <c r="R239" t="s">
        <v>836</v>
      </c>
      <c r="S239" t="s">
        <v>190</v>
      </c>
      <c r="T239" t="s">
        <v>7665</v>
      </c>
      <c r="U239" s="1">
        <v>20355</v>
      </c>
      <c r="V239" t="s">
        <v>22</v>
      </c>
      <c r="W239" t="s">
        <v>16</v>
      </c>
      <c r="X239" t="s">
        <v>2150</v>
      </c>
      <c r="Y239">
        <v>160000</v>
      </c>
      <c r="Z239">
        <v>2</v>
      </c>
      <c r="AA239" t="s">
        <v>57</v>
      </c>
      <c r="AB239" t="s">
        <v>18</v>
      </c>
      <c r="AC239" t="s">
        <v>23</v>
      </c>
      <c r="AD239" t="s">
        <v>3588</v>
      </c>
      <c r="AE239" t="s">
        <v>3588</v>
      </c>
      <c r="AF239" t="s">
        <v>3584</v>
      </c>
      <c r="AG239" t="s">
        <v>3479</v>
      </c>
      <c r="AH239" t="s">
        <v>3475</v>
      </c>
      <c r="AI239">
        <v>2181.5625</v>
      </c>
      <c r="AJ239">
        <v>1320.6838</v>
      </c>
      <c r="AK239">
        <v>860.87869999999998</v>
      </c>
      <c r="AL239">
        <v>0.39461564818793898</v>
      </c>
    </row>
    <row r="240" spans="1:38">
      <c r="A240" s="1">
        <v>42360</v>
      </c>
      <c r="B240">
        <v>2015</v>
      </c>
      <c r="C240">
        <v>12</v>
      </c>
      <c r="D240" t="s">
        <v>8994</v>
      </c>
      <c r="E240" s="1">
        <v>37496</v>
      </c>
      <c r="F240" t="s">
        <v>6131</v>
      </c>
      <c r="G240">
        <v>358</v>
      </c>
      <c r="H240">
        <v>20670</v>
      </c>
      <c r="I240">
        <v>6</v>
      </c>
      <c r="J240">
        <v>1</v>
      </c>
      <c r="K240">
        <v>1</v>
      </c>
      <c r="L240">
        <v>1</v>
      </c>
      <c r="M240" t="s">
        <v>3541</v>
      </c>
      <c r="N240" t="s">
        <v>3542</v>
      </c>
      <c r="O240">
        <v>1105.81</v>
      </c>
      <c r="P240">
        <v>2049.0981999999999</v>
      </c>
      <c r="Q240" t="s">
        <v>30</v>
      </c>
      <c r="R240" t="s">
        <v>202</v>
      </c>
      <c r="S240" t="s">
        <v>175</v>
      </c>
      <c r="T240" t="s">
        <v>8054</v>
      </c>
      <c r="U240" s="1">
        <v>25639</v>
      </c>
      <c r="V240" t="s">
        <v>16</v>
      </c>
      <c r="W240" t="s">
        <v>29</v>
      </c>
      <c r="X240" t="s">
        <v>2548</v>
      </c>
      <c r="Y240">
        <v>60000</v>
      </c>
      <c r="Z240">
        <v>1</v>
      </c>
      <c r="AA240" t="s">
        <v>135</v>
      </c>
      <c r="AB240" t="s">
        <v>18</v>
      </c>
      <c r="AC240" t="s">
        <v>19</v>
      </c>
      <c r="AD240" t="s">
        <v>3582</v>
      </c>
      <c r="AE240" t="s">
        <v>3582</v>
      </c>
      <c r="AF240" t="s">
        <v>3579</v>
      </c>
      <c r="AG240" t="s">
        <v>3478</v>
      </c>
      <c r="AH240" t="s">
        <v>3475</v>
      </c>
      <c r="AI240">
        <v>2049.0981999999999</v>
      </c>
      <c r="AJ240">
        <v>1105.81</v>
      </c>
      <c r="AK240">
        <v>943.28819999999996</v>
      </c>
      <c r="AL240">
        <v>0.46034309141455498</v>
      </c>
    </row>
    <row r="241" spans="1:38">
      <c r="A241" s="1">
        <v>42361</v>
      </c>
      <c r="B241">
        <v>2015</v>
      </c>
      <c r="C241">
        <v>12</v>
      </c>
      <c r="D241" t="s">
        <v>8994</v>
      </c>
      <c r="E241" s="1">
        <v>37544</v>
      </c>
      <c r="F241" t="s">
        <v>6145</v>
      </c>
      <c r="G241">
        <v>370</v>
      </c>
      <c r="H241">
        <v>13722</v>
      </c>
      <c r="I241">
        <v>1</v>
      </c>
      <c r="J241">
        <v>1</v>
      </c>
      <c r="K241">
        <v>1</v>
      </c>
      <c r="L241">
        <v>2</v>
      </c>
      <c r="M241" t="s">
        <v>3551</v>
      </c>
      <c r="N241" t="s">
        <v>3552</v>
      </c>
      <c r="O241">
        <v>1518.7864</v>
      </c>
      <c r="P241">
        <v>2443.35</v>
      </c>
      <c r="Q241" t="s">
        <v>13</v>
      </c>
      <c r="R241" t="s">
        <v>61</v>
      </c>
      <c r="S241" t="s">
        <v>326</v>
      </c>
      <c r="T241" t="s">
        <v>7151</v>
      </c>
      <c r="U241" s="1">
        <v>20082</v>
      </c>
      <c r="V241" t="s">
        <v>16</v>
      </c>
      <c r="W241" t="s">
        <v>16</v>
      </c>
      <c r="X241" t="s">
        <v>1610</v>
      </c>
      <c r="Y241">
        <v>30000</v>
      </c>
      <c r="Z241">
        <v>1</v>
      </c>
      <c r="AA241" t="s">
        <v>57</v>
      </c>
      <c r="AB241" t="s">
        <v>444</v>
      </c>
      <c r="AC241" t="s">
        <v>19</v>
      </c>
      <c r="AD241" t="s">
        <v>3577</v>
      </c>
      <c r="AE241" t="s">
        <v>3578</v>
      </c>
      <c r="AF241" t="s">
        <v>3579</v>
      </c>
      <c r="AG241" t="s">
        <v>3479</v>
      </c>
      <c r="AH241" t="s">
        <v>3475</v>
      </c>
      <c r="AI241">
        <v>2443.35</v>
      </c>
      <c r="AJ241">
        <v>1518.7864</v>
      </c>
      <c r="AK241">
        <v>924.56359999999995</v>
      </c>
      <c r="AL241">
        <v>0.37839998362903399</v>
      </c>
    </row>
    <row r="242" spans="1:38">
      <c r="A242" s="1">
        <v>42361</v>
      </c>
      <c r="B242">
        <v>2015</v>
      </c>
      <c r="C242">
        <v>12</v>
      </c>
      <c r="D242" t="s">
        <v>8994</v>
      </c>
      <c r="E242" s="1">
        <v>37517</v>
      </c>
      <c r="F242" t="s">
        <v>6140</v>
      </c>
      <c r="G242">
        <v>368</v>
      </c>
      <c r="H242">
        <v>22951</v>
      </c>
      <c r="I242">
        <v>9</v>
      </c>
      <c r="J242">
        <v>1</v>
      </c>
      <c r="K242">
        <v>1</v>
      </c>
      <c r="L242">
        <v>2</v>
      </c>
      <c r="M242" t="s">
        <v>3547</v>
      </c>
      <c r="N242" t="s">
        <v>3548</v>
      </c>
      <c r="O242">
        <v>1518.7864</v>
      </c>
      <c r="P242">
        <v>2443.35</v>
      </c>
      <c r="Q242" t="s">
        <v>26</v>
      </c>
      <c r="R242" t="s">
        <v>1175</v>
      </c>
      <c r="S242" t="s">
        <v>35</v>
      </c>
      <c r="T242" t="s">
        <v>8338</v>
      </c>
      <c r="U242" s="1">
        <v>23197</v>
      </c>
      <c r="V242" t="s">
        <v>22</v>
      </c>
      <c r="W242" t="s">
        <v>29</v>
      </c>
      <c r="X242" t="s">
        <v>2837</v>
      </c>
      <c r="Y242">
        <v>70000</v>
      </c>
      <c r="Z242">
        <v>0</v>
      </c>
      <c r="AA242" t="s">
        <v>17</v>
      </c>
      <c r="AB242" t="s">
        <v>18</v>
      </c>
      <c r="AC242" t="s">
        <v>19</v>
      </c>
      <c r="AD242" t="s">
        <v>3586</v>
      </c>
      <c r="AE242" t="s">
        <v>3586</v>
      </c>
      <c r="AF242" t="s">
        <v>3587</v>
      </c>
      <c r="AG242" t="s">
        <v>3479</v>
      </c>
      <c r="AH242" t="s">
        <v>3475</v>
      </c>
      <c r="AI242">
        <v>2443.35</v>
      </c>
      <c r="AJ242">
        <v>1518.7864</v>
      </c>
      <c r="AK242">
        <v>924.56359999999995</v>
      </c>
      <c r="AL242">
        <v>0.37839998362903399</v>
      </c>
    </row>
    <row r="243" spans="1:38">
      <c r="A243" s="1">
        <v>42361</v>
      </c>
      <c r="B243">
        <v>2015</v>
      </c>
      <c r="C243">
        <v>12</v>
      </c>
      <c r="D243" t="s">
        <v>8994</v>
      </c>
      <c r="E243" s="1">
        <v>37527</v>
      </c>
      <c r="F243" t="s">
        <v>6147</v>
      </c>
      <c r="G243">
        <v>354</v>
      </c>
      <c r="H243">
        <v>26610</v>
      </c>
      <c r="I243">
        <v>4</v>
      </c>
      <c r="J243">
        <v>1</v>
      </c>
      <c r="K243">
        <v>1</v>
      </c>
      <c r="L243">
        <v>1</v>
      </c>
      <c r="M243" t="s">
        <v>3537</v>
      </c>
      <c r="N243" t="s">
        <v>3538</v>
      </c>
      <c r="O243">
        <v>1117.8559</v>
      </c>
      <c r="P243">
        <v>2071.4196000000002</v>
      </c>
      <c r="Q243" t="s">
        <v>30</v>
      </c>
      <c r="R243" t="s">
        <v>771</v>
      </c>
      <c r="S243" t="s">
        <v>187</v>
      </c>
      <c r="T243" t="s">
        <v>8753</v>
      </c>
      <c r="U243" s="1">
        <v>22959</v>
      </c>
      <c r="V243" t="s">
        <v>16</v>
      </c>
      <c r="W243" t="s">
        <v>29</v>
      </c>
      <c r="X243" t="s">
        <v>3263</v>
      </c>
      <c r="Y243">
        <v>70000</v>
      </c>
      <c r="Z243">
        <v>1</v>
      </c>
      <c r="AA243" t="s">
        <v>52</v>
      </c>
      <c r="AB243" t="s">
        <v>53</v>
      </c>
      <c r="AC243" t="s">
        <v>19</v>
      </c>
      <c r="AD243" t="s">
        <v>3580</v>
      </c>
      <c r="AE243" t="s">
        <v>3578</v>
      </c>
      <c r="AF243" t="s">
        <v>3579</v>
      </c>
      <c r="AG243" t="s">
        <v>3478</v>
      </c>
      <c r="AH243" t="s">
        <v>3475</v>
      </c>
      <c r="AI243">
        <v>2071.4196000000002</v>
      </c>
      <c r="AJ243">
        <v>1117.8559</v>
      </c>
      <c r="AK243">
        <v>953.56370000000004</v>
      </c>
      <c r="AL243">
        <v>0.460343090313522</v>
      </c>
    </row>
    <row r="244" spans="1:38">
      <c r="A244" s="1">
        <v>42361</v>
      </c>
      <c r="B244">
        <v>2015</v>
      </c>
      <c r="C244">
        <v>12</v>
      </c>
      <c r="D244" t="s">
        <v>8994</v>
      </c>
      <c r="E244" s="1">
        <v>37510</v>
      </c>
      <c r="F244" t="s">
        <v>6142</v>
      </c>
      <c r="G244">
        <v>387</v>
      </c>
      <c r="H244">
        <v>14270</v>
      </c>
      <c r="I244">
        <v>4</v>
      </c>
      <c r="J244">
        <v>1</v>
      </c>
      <c r="K244">
        <v>1</v>
      </c>
      <c r="L244">
        <v>2</v>
      </c>
      <c r="M244" t="s">
        <v>3569</v>
      </c>
      <c r="N244" t="s">
        <v>3570</v>
      </c>
      <c r="O244">
        <v>605.64919999999995</v>
      </c>
      <c r="P244">
        <v>1000.4375</v>
      </c>
      <c r="Q244" t="s">
        <v>13</v>
      </c>
      <c r="R244" t="s">
        <v>229</v>
      </c>
      <c r="S244" t="s">
        <v>199</v>
      </c>
      <c r="T244" t="s">
        <v>7240</v>
      </c>
      <c r="U244" s="1">
        <v>27419</v>
      </c>
      <c r="V244" t="s">
        <v>22</v>
      </c>
      <c r="W244" t="s">
        <v>16</v>
      </c>
      <c r="X244" t="s">
        <v>1708</v>
      </c>
      <c r="Y244">
        <v>60000</v>
      </c>
      <c r="Z244">
        <v>0</v>
      </c>
      <c r="AA244" t="s">
        <v>52</v>
      </c>
      <c r="AB244" t="s">
        <v>53</v>
      </c>
      <c r="AC244" t="s">
        <v>23</v>
      </c>
      <c r="AD244" t="s">
        <v>3580</v>
      </c>
      <c r="AE244" t="s">
        <v>3578</v>
      </c>
      <c r="AF244" t="s">
        <v>3579</v>
      </c>
      <c r="AG244" t="s">
        <v>3479</v>
      </c>
      <c r="AH244" t="s">
        <v>3475</v>
      </c>
      <c r="AI244">
        <v>1000.4375</v>
      </c>
      <c r="AJ244">
        <v>605.64919999999995</v>
      </c>
      <c r="AK244">
        <v>394.78829999999999</v>
      </c>
      <c r="AL244">
        <v>0.39461565565065299</v>
      </c>
    </row>
    <row r="245" spans="1:38">
      <c r="A245" s="1">
        <v>42361</v>
      </c>
      <c r="B245">
        <v>2015</v>
      </c>
      <c r="C245">
        <v>12</v>
      </c>
      <c r="D245" t="s">
        <v>8994</v>
      </c>
      <c r="E245" s="1">
        <v>37558</v>
      </c>
      <c r="F245" t="s">
        <v>6148</v>
      </c>
      <c r="G245">
        <v>387</v>
      </c>
      <c r="H245">
        <v>14283</v>
      </c>
      <c r="I245">
        <v>1</v>
      </c>
      <c r="J245">
        <v>1</v>
      </c>
      <c r="K245">
        <v>1</v>
      </c>
      <c r="L245">
        <v>2</v>
      </c>
      <c r="M245" t="s">
        <v>3569</v>
      </c>
      <c r="N245" t="s">
        <v>3570</v>
      </c>
      <c r="O245">
        <v>605.64919999999995</v>
      </c>
      <c r="P245">
        <v>1000.4375</v>
      </c>
      <c r="Q245" t="s">
        <v>13</v>
      </c>
      <c r="R245" t="s">
        <v>69</v>
      </c>
      <c r="S245" t="s">
        <v>111</v>
      </c>
      <c r="T245" t="s">
        <v>7242</v>
      </c>
      <c r="U245" s="1">
        <v>27310</v>
      </c>
      <c r="V245" t="s">
        <v>22</v>
      </c>
      <c r="W245" t="s">
        <v>16</v>
      </c>
      <c r="X245" t="s">
        <v>1710</v>
      </c>
      <c r="Y245">
        <v>60000</v>
      </c>
      <c r="Z245">
        <v>0</v>
      </c>
      <c r="AA245" t="s">
        <v>52</v>
      </c>
      <c r="AB245" t="s">
        <v>18</v>
      </c>
      <c r="AC245" t="s">
        <v>23</v>
      </c>
      <c r="AD245" t="s">
        <v>3577</v>
      </c>
      <c r="AE245" t="s">
        <v>3578</v>
      </c>
      <c r="AF245" t="s">
        <v>3579</v>
      </c>
      <c r="AG245" t="s">
        <v>3479</v>
      </c>
      <c r="AH245" t="s">
        <v>3475</v>
      </c>
      <c r="AI245">
        <v>1000.4375</v>
      </c>
      <c r="AJ245">
        <v>605.64919999999995</v>
      </c>
      <c r="AK245">
        <v>394.78829999999999</v>
      </c>
      <c r="AL245">
        <v>0.39461565565065299</v>
      </c>
    </row>
    <row r="246" spans="1:38">
      <c r="A246" s="1">
        <v>42361</v>
      </c>
      <c r="B246">
        <v>2015</v>
      </c>
      <c r="C246">
        <v>12</v>
      </c>
      <c r="D246" t="s">
        <v>8994</v>
      </c>
      <c r="E246" s="1">
        <v>37552</v>
      </c>
      <c r="F246" t="s">
        <v>6144</v>
      </c>
      <c r="G246">
        <v>354</v>
      </c>
      <c r="H246">
        <v>26625</v>
      </c>
      <c r="I246">
        <v>1</v>
      </c>
      <c r="J246">
        <v>1</v>
      </c>
      <c r="K246">
        <v>1</v>
      </c>
      <c r="L246">
        <v>1</v>
      </c>
      <c r="M246" t="s">
        <v>3537</v>
      </c>
      <c r="N246" t="s">
        <v>3538</v>
      </c>
      <c r="O246">
        <v>1117.8559</v>
      </c>
      <c r="P246">
        <v>2071.4196000000002</v>
      </c>
      <c r="Q246" t="s">
        <v>26</v>
      </c>
      <c r="R246" t="s">
        <v>43</v>
      </c>
      <c r="S246" t="s">
        <v>291</v>
      </c>
      <c r="T246" t="s">
        <v>8763</v>
      </c>
      <c r="U246" s="1">
        <v>24825</v>
      </c>
      <c r="V246" t="s">
        <v>22</v>
      </c>
      <c r="W246" t="s">
        <v>29</v>
      </c>
      <c r="X246" t="s">
        <v>3273</v>
      </c>
      <c r="Y246">
        <v>60000</v>
      </c>
      <c r="Z246">
        <v>0</v>
      </c>
      <c r="AA246" t="s">
        <v>135</v>
      </c>
      <c r="AB246" t="s">
        <v>18</v>
      </c>
      <c r="AC246" t="s">
        <v>19</v>
      </c>
      <c r="AD246" t="s">
        <v>3577</v>
      </c>
      <c r="AE246" t="s">
        <v>3578</v>
      </c>
      <c r="AF246" t="s">
        <v>3579</v>
      </c>
      <c r="AG246" t="s">
        <v>3478</v>
      </c>
      <c r="AH246" t="s">
        <v>3475</v>
      </c>
      <c r="AI246">
        <v>2071.4196000000002</v>
      </c>
      <c r="AJ246">
        <v>1117.8559</v>
      </c>
      <c r="AK246">
        <v>953.56370000000004</v>
      </c>
      <c r="AL246">
        <v>0.460343090313522</v>
      </c>
    </row>
    <row r="247" spans="1:38">
      <c r="A247" s="1">
        <v>42361</v>
      </c>
      <c r="B247">
        <v>2015</v>
      </c>
      <c r="C247">
        <v>12</v>
      </c>
      <c r="D247" t="s">
        <v>8994</v>
      </c>
      <c r="E247" s="1">
        <v>37578</v>
      </c>
      <c r="F247" t="s">
        <v>6139</v>
      </c>
      <c r="G247">
        <v>373</v>
      </c>
      <c r="H247">
        <v>22986</v>
      </c>
      <c r="I247">
        <v>9</v>
      </c>
      <c r="J247">
        <v>1</v>
      </c>
      <c r="K247">
        <v>1</v>
      </c>
      <c r="L247">
        <v>2</v>
      </c>
      <c r="M247" t="s">
        <v>3555</v>
      </c>
      <c r="N247" t="s">
        <v>3556</v>
      </c>
      <c r="O247">
        <v>1320.6838</v>
      </c>
      <c r="P247">
        <v>2181.5625</v>
      </c>
      <c r="Q247" t="s">
        <v>30</v>
      </c>
      <c r="R247" t="s">
        <v>477</v>
      </c>
      <c r="S247" t="s">
        <v>476</v>
      </c>
      <c r="T247" t="s">
        <v>8347</v>
      </c>
      <c r="U247" s="1">
        <v>14819</v>
      </c>
      <c r="V247" t="s">
        <v>22</v>
      </c>
      <c r="W247" t="s">
        <v>29</v>
      </c>
      <c r="X247" t="s">
        <v>2846</v>
      </c>
      <c r="Y247">
        <v>30000</v>
      </c>
      <c r="Z247">
        <v>2</v>
      </c>
      <c r="AA247" t="s">
        <v>52</v>
      </c>
      <c r="AB247" t="s">
        <v>60</v>
      </c>
      <c r="AC247" t="s">
        <v>23</v>
      </c>
      <c r="AD247" t="s">
        <v>3586</v>
      </c>
      <c r="AE247" t="s">
        <v>3586</v>
      </c>
      <c r="AF247" t="s">
        <v>3587</v>
      </c>
      <c r="AG247" t="s">
        <v>3479</v>
      </c>
      <c r="AH247" t="s">
        <v>3475</v>
      </c>
      <c r="AI247">
        <v>2181.5625</v>
      </c>
      <c r="AJ247">
        <v>1320.6838</v>
      </c>
      <c r="AK247">
        <v>860.87869999999998</v>
      </c>
      <c r="AL247">
        <v>0.39461564818793898</v>
      </c>
    </row>
    <row r="248" spans="1:38">
      <c r="A248" s="1">
        <v>42361</v>
      </c>
      <c r="B248">
        <v>2015</v>
      </c>
      <c r="C248">
        <v>12</v>
      </c>
      <c r="D248" t="s">
        <v>8994</v>
      </c>
      <c r="E248" s="1">
        <v>37565</v>
      </c>
      <c r="F248" t="s">
        <v>6137</v>
      </c>
      <c r="G248">
        <v>338</v>
      </c>
      <c r="H248">
        <v>15432</v>
      </c>
      <c r="I248">
        <v>4</v>
      </c>
      <c r="J248">
        <v>1</v>
      </c>
      <c r="K248">
        <v>1</v>
      </c>
      <c r="L248">
        <v>2</v>
      </c>
      <c r="M248" t="s">
        <v>3513</v>
      </c>
      <c r="N248" t="s">
        <v>3514</v>
      </c>
      <c r="O248">
        <v>413.1463</v>
      </c>
      <c r="P248">
        <v>699.09820000000002</v>
      </c>
      <c r="Q248" t="s">
        <v>13</v>
      </c>
      <c r="R248" t="s">
        <v>222</v>
      </c>
      <c r="S248" t="s">
        <v>194</v>
      </c>
      <c r="T248" t="s">
        <v>7499</v>
      </c>
      <c r="U248" s="1">
        <v>28720</v>
      </c>
      <c r="V248" t="s">
        <v>22</v>
      </c>
      <c r="W248" t="s">
        <v>16</v>
      </c>
      <c r="X248" t="s">
        <v>1976</v>
      </c>
      <c r="Y248">
        <v>60000</v>
      </c>
      <c r="Z248">
        <v>0</v>
      </c>
      <c r="AA248" t="s">
        <v>52</v>
      </c>
      <c r="AB248" t="s">
        <v>53</v>
      </c>
      <c r="AC248" t="s">
        <v>19</v>
      </c>
      <c r="AD248" t="s">
        <v>3580</v>
      </c>
      <c r="AE248" t="s">
        <v>3578</v>
      </c>
      <c r="AF248" t="s">
        <v>3579</v>
      </c>
      <c r="AG248" t="s">
        <v>3479</v>
      </c>
      <c r="AH248" t="s">
        <v>3475</v>
      </c>
      <c r="AI248">
        <v>699.09820000000002</v>
      </c>
      <c r="AJ248">
        <v>413.1463</v>
      </c>
      <c r="AK248">
        <v>285.95190000000002</v>
      </c>
      <c r="AL248">
        <v>0.409029661355157</v>
      </c>
    </row>
    <row r="249" spans="1:38">
      <c r="A249" s="1">
        <v>42361</v>
      </c>
      <c r="B249">
        <v>2015</v>
      </c>
      <c r="C249">
        <v>12</v>
      </c>
      <c r="D249" t="s">
        <v>8994</v>
      </c>
      <c r="E249" s="1">
        <v>37551</v>
      </c>
      <c r="F249" t="s">
        <v>6141</v>
      </c>
      <c r="G249">
        <v>342</v>
      </c>
      <c r="H249">
        <v>20869</v>
      </c>
      <c r="I249">
        <v>10</v>
      </c>
      <c r="J249">
        <v>1</v>
      </c>
      <c r="K249">
        <v>1</v>
      </c>
      <c r="L249">
        <v>2</v>
      </c>
      <c r="M249" t="s">
        <v>3517</v>
      </c>
      <c r="N249" t="s">
        <v>3518</v>
      </c>
      <c r="O249">
        <v>413.1463</v>
      </c>
      <c r="P249">
        <v>699.09820000000002</v>
      </c>
      <c r="Q249" t="s">
        <v>13</v>
      </c>
      <c r="R249" t="s">
        <v>292</v>
      </c>
      <c r="S249" t="s">
        <v>290</v>
      </c>
      <c r="T249" t="s">
        <v>8102</v>
      </c>
      <c r="U249" s="1">
        <v>25198</v>
      </c>
      <c r="V249" t="s">
        <v>22</v>
      </c>
      <c r="W249" t="s">
        <v>16</v>
      </c>
      <c r="X249" t="s">
        <v>2598</v>
      </c>
      <c r="Y249">
        <v>10000</v>
      </c>
      <c r="Z249">
        <v>2</v>
      </c>
      <c r="AA249" t="s">
        <v>57</v>
      </c>
      <c r="AB249" t="s">
        <v>444</v>
      </c>
      <c r="AC249" t="s">
        <v>19</v>
      </c>
      <c r="AD249" t="s">
        <v>3588</v>
      </c>
      <c r="AE249" t="s">
        <v>3588</v>
      </c>
      <c r="AF249" t="s">
        <v>3584</v>
      </c>
      <c r="AG249" t="s">
        <v>3479</v>
      </c>
      <c r="AH249" t="s">
        <v>3475</v>
      </c>
      <c r="AI249">
        <v>699.09820000000002</v>
      </c>
      <c r="AJ249">
        <v>413.1463</v>
      </c>
      <c r="AK249">
        <v>285.95190000000002</v>
      </c>
      <c r="AL249">
        <v>0.409029661355157</v>
      </c>
    </row>
    <row r="250" spans="1:38">
      <c r="A250" s="1">
        <v>42361</v>
      </c>
      <c r="B250">
        <v>2015</v>
      </c>
      <c r="C250">
        <v>12</v>
      </c>
      <c r="D250" t="s">
        <v>8994</v>
      </c>
      <c r="E250" s="1">
        <v>37545</v>
      </c>
      <c r="F250" t="s">
        <v>6146</v>
      </c>
      <c r="G250">
        <v>371</v>
      </c>
      <c r="H250">
        <v>15061</v>
      </c>
      <c r="I250">
        <v>7</v>
      </c>
      <c r="J250">
        <v>1</v>
      </c>
      <c r="K250">
        <v>1</v>
      </c>
      <c r="L250">
        <v>2</v>
      </c>
      <c r="M250" t="s">
        <v>3553</v>
      </c>
      <c r="N250" t="s">
        <v>3554</v>
      </c>
      <c r="O250">
        <v>1320.6838</v>
      </c>
      <c r="P250">
        <v>2181.5625</v>
      </c>
      <c r="Q250" t="s">
        <v>30</v>
      </c>
      <c r="R250" t="s">
        <v>1088</v>
      </c>
      <c r="S250" t="s">
        <v>192</v>
      </c>
      <c r="T250" t="s">
        <v>7394</v>
      </c>
      <c r="U250" s="1">
        <v>22064</v>
      </c>
      <c r="V250" t="s">
        <v>16</v>
      </c>
      <c r="W250" t="s">
        <v>29</v>
      </c>
      <c r="X250" t="s">
        <v>1870</v>
      </c>
      <c r="Y250">
        <v>30000</v>
      </c>
      <c r="Z250">
        <v>3</v>
      </c>
      <c r="AA250" t="s">
        <v>135</v>
      </c>
      <c r="AB250" t="s">
        <v>60</v>
      </c>
      <c r="AC250" t="s">
        <v>19</v>
      </c>
      <c r="AD250" t="s">
        <v>3583</v>
      </c>
      <c r="AE250" t="s">
        <v>3583</v>
      </c>
      <c r="AF250" t="s">
        <v>3584</v>
      </c>
      <c r="AG250" t="s">
        <v>3479</v>
      </c>
      <c r="AH250" t="s">
        <v>3475</v>
      </c>
      <c r="AI250">
        <v>2181.5625</v>
      </c>
      <c r="AJ250">
        <v>1320.6838</v>
      </c>
      <c r="AK250">
        <v>860.87869999999998</v>
      </c>
      <c r="AL250">
        <v>0.39461564818793898</v>
      </c>
    </row>
    <row r="251" spans="1:38">
      <c r="A251" s="1">
        <v>42361</v>
      </c>
      <c r="B251">
        <v>2015</v>
      </c>
      <c r="C251">
        <v>12</v>
      </c>
      <c r="D251" t="s">
        <v>8994</v>
      </c>
      <c r="E251" s="1">
        <v>37562</v>
      </c>
      <c r="F251" t="s">
        <v>6138</v>
      </c>
      <c r="G251">
        <v>360</v>
      </c>
      <c r="H251">
        <v>20680</v>
      </c>
      <c r="I251">
        <v>6</v>
      </c>
      <c r="J251">
        <v>1</v>
      </c>
      <c r="K251">
        <v>1</v>
      </c>
      <c r="L251">
        <v>1</v>
      </c>
      <c r="M251" t="s">
        <v>3543</v>
      </c>
      <c r="N251" t="s">
        <v>3544</v>
      </c>
      <c r="O251">
        <v>1105.81</v>
      </c>
      <c r="P251">
        <v>2049.0981999999999</v>
      </c>
      <c r="Q251" t="s">
        <v>26</v>
      </c>
      <c r="R251" t="s">
        <v>289</v>
      </c>
      <c r="S251" t="s">
        <v>166</v>
      </c>
      <c r="T251" t="s">
        <v>8055</v>
      </c>
      <c r="U251" s="1">
        <v>24307</v>
      </c>
      <c r="V251" t="s">
        <v>22</v>
      </c>
      <c r="W251" t="s">
        <v>29</v>
      </c>
      <c r="X251" t="s">
        <v>2549</v>
      </c>
      <c r="Y251">
        <v>60000</v>
      </c>
      <c r="Z251">
        <v>0</v>
      </c>
      <c r="AA251" t="s">
        <v>135</v>
      </c>
      <c r="AB251" t="s">
        <v>18</v>
      </c>
      <c r="AC251" t="s">
        <v>19</v>
      </c>
      <c r="AD251" t="s">
        <v>3582</v>
      </c>
      <c r="AE251" t="s">
        <v>3582</v>
      </c>
      <c r="AF251" t="s">
        <v>3579</v>
      </c>
      <c r="AG251" t="s">
        <v>3478</v>
      </c>
      <c r="AH251" t="s">
        <v>3475</v>
      </c>
      <c r="AI251">
        <v>2049.0981999999999</v>
      </c>
      <c r="AJ251">
        <v>1105.81</v>
      </c>
      <c r="AK251">
        <v>943.28819999999996</v>
      </c>
      <c r="AL251">
        <v>0.46034309141455498</v>
      </c>
    </row>
    <row r="252" spans="1:38">
      <c r="A252" s="1">
        <v>42361</v>
      </c>
      <c r="B252">
        <v>2015</v>
      </c>
      <c r="C252">
        <v>12</v>
      </c>
      <c r="D252" t="s">
        <v>8994</v>
      </c>
      <c r="E252" s="1">
        <v>37554</v>
      </c>
      <c r="F252" t="s">
        <v>6143</v>
      </c>
      <c r="G252">
        <v>377</v>
      </c>
      <c r="H252">
        <v>22926</v>
      </c>
      <c r="I252">
        <v>9</v>
      </c>
      <c r="J252">
        <v>1</v>
      </c>
      <c r="K252">
        <v>1</v>
      </c>
      <c r="L252">
        <v>2</v>
      </c>
      <c r="M252" t="s">
        <v>3559</v>
      </c>
      <c r="N252" t="s">
        <v>3560</v>
      </c>
      <c r="O252">
        <v>1320.6838</v>
      </c>
      <c r="P252">
        <v>2181.5625</v>
      </c>
      <c r="Q252" t="s">
        <v>13</v>
      </c>
      <c r="R252" t="s">
        <v>661</v>
      </c>
      <c r="S252" t="s">
        <v>87</v>
      </c>
      <c r="T252" t="s">
        <v>8320</v>
      </c>
      <c r="U252" s="1">
        <v>23050</v>
      </c>
      <c r="V252" t="s">
        <v>22</v>
      </c>
      <c r="W252" t="s">
        <v>16</v>
      </c>
      <c r="X252" t="s">
        <v>2819</v>
      </c>
      <c r="Y252">
        <v>60000</v>
      </c>
      <c r="Z252">
        <v>3</v>
      </c>
      <c r="AA252" t="s">
        <v>17</v>
      </c>
      <c r="AB252" t="s">
        <v>18</v>
      </c>
      <c r="AC252" t="s">
        <v>19</v>
      </c>
      <c r="AD252" t="s">
        <v>3586</v>
      </c>
      <c r="AE252" t="s">
        <v>3586</v>
      </c>
      <c r="AF252" t="s">
        <v>3587</v>
      </c>
      <c r="AG252" t="s">
        <v>3479</v>
      </c>
      <c r="AH252" t="s">
        <v>3475</v>
      </c>
      <c r="AI252">
        <v>2181.5625</v>
      </c>
      <c r="AJ252">
        <v>1320.6838</v>
      </c>
      <c r="AK252">
        <v>860.87869999999998</v>
      </c>
      <c r="AL252">
        <v>0.39461564818793898</v>
      </c>
    </row>
    <row r="253" spans="1:38">
      <c r="A253" s="1">
        <v>42362</v>
      </c>
      <c r="B253">
        <v>2015</v>
      </c>
      <c r="C253">
        <v>12</v>
      </c>
      <c r="D253" t="s">
        <v>8994</v>
      </c>
      <c r="E253" s="1">
        <v>37580</v>
      </c>
      <c r="F253" t="s">
        <v>6159</v>
      </c>
      <c r="G253">
        <v>334</v>
      </c>
      <c r="H253">
        <v>20872</v>
      </c>
      <c r="I253">
        <v>10</v>
      </c>
      <c r="J253">
        <v>1</v>
      </c>
      <c r="K253">
        <v>1</v>
      </c>
      <c r="L253">
        <v>2</v>
      </c>
      <c r="M253" t="s">
        <v>3509</v>
      </c>
      <c r="N253" t="s">
        <v>3510</v>
      </c>
      <c r="O253">
        <v>413.1463</v>
      </c>
      <c r="P253">
        <v>699.09820000000002</v>
      </c>
      <c r="Q253" t="s">
        <v>13</v>
      </c>
      <c r="R253" t="s">
        <v>269</v>
      </c>
      <c r="S253" t="s">
        <v>85</v>
      </c>
      <c r="T253" t="s">
        <v>8103</v>
      </c>
      <c r="U253" s="1">
        <v>24889</v>
      </c>
      <c r="V253" t="s">
        <v>22</v>
      </c>
      <c r="W253" t="s">
        <v>16</v>
      </c>
      <c r="X253" t="s">
        <v>2599</v>
      </c>
      <c r="Y253">
        <v>10000</v>
      </c>
      <c r="Z253">
        <v>3</v>
      </c>
      <c r="AA253" t="s">
        <v>57</v>
      </c>
      <c r="AB253" t="s">
        <v>444</v>
      </c>
      <c r="AC253" t="s">
        <v>19</v>
      </c>
      <c r="AD253" t="s">
        <v>3588</v>
      </c>
      <c r="AE253" t="s">
        <v>3588</v>
      </c>
      <c r="AF253" t="s">
        <v>3584</v>
      </c>
      <c r="AG253" t="s">
        <v>3479</v>
      </c>
      <c r="AH253" t="s">
        <v>3475</v>
      </c>
      <c r="AI253">
        <v>699.09820000000002</v>
      </c>
      <c r="AJ253">
        <v>413.1463</v>
      </c>
      <c r="AK253">
        <v>285.95190000000002</v>
      </c>
      <c r="AL253">
        <v>0.409029661355157</v>
      </c>
    </row>
    <row r="254" spans="1:38">
      <c r="A254" s="1">
        <v>42362</v>
      </c>
      <c r="B254">
        <v>2015</v>
      </c>
      <c r="C254">
        <v>12</v>
      </c>
      <c r="D254" t="s">
        <v>8994</v>
      </c>
      <c r="E254" s="1">
        <v>37559</v>
      </c>
      <c r="F254" t="s">
        <v>6156</v>
      </c>
      <c r="G254">
        <v>356</v>
      </c>
      <c r="H254">
        <v>26607</v>
      </c>
      <c r="I254">
        <v>4</v>
      </c>
      <c r="J254">
        <v>1</v>
      </c>
      <c r="K254">
        <v>1</v>
      </c>
      <c r="L254">
        <v>1</v>
      </c>
      <c r="M254" t="s">
        <v>3539</v>
      </c>
      <c r="N254" t="s">
        <v>3540</v>
      </c>
      <c r="O254">
        <v>1117.8559</v>
      </c>
      <c r="P254">
        <v>2071.4196000000002</v>
      </c>
      <c r="Q254" t="s">
        <v>30</v>
      </c>
      <c r="R254" t="s">
        <v>331</v>
      </c>
      <c r="S254" t="s">
        <v>119</v>
      </c>
      <c r="T254" t="s">
        <v>8750</v>
      </c>
      <c r="U254" s="1">
        <v>23203</v>
      </c>
      <c r="V254" t="s">
        <v>16</v>
      </c>
      <c r="W254" t="s">
        <v>29</v>
      </c>
      <c r="X254" t="s">
        <v>3260</v>
      </c>
      <c r="Y254">
        <v>60000</v>
      </c>
      <c r="Z254">
        <v>3</v>
      </c>
      <c r="AA254" t="s">
        <v>135</v>
      </c>
      <c r="AB254" t="s">
        <v>18</v>
      </c>
      <c r="AC254" t="s">
        <v>19</v>
      </c>
      <c r="AD254" t="s">
        <v>3580</v>
      </c>
      <c r="AE254" t="s">
        <v>3578</v>
      </c>
      <c r="AF254" t="s">
        <v>3579</v>
      </c>
      <c r="AG254" t="s">
        <v>3478</v>
      </c>
      <c r="AH254" t="s">
        <v>3475</v>
      </c>
      <c r="AI254">
        <v>2071.4196000000002</v>
      </c>
      <c r="AJ254">
        <v>1117.8559</v>
      </c>
      <c r="AK254">
        <v>953.56370000000004</v>
      </c>
      <c r="AL254">
        <v>0.460343090313522</v>
      </c>
    </row>
    <row r="255" spans="1:38">
      <c r="A255" s="1">
        <v>42362</v>
      </c>
      <c r="B255">
        <v>2015</v>
      </c>
      <c r="C255">
        <v>12</v>
      </c>
      <c r="D255" t="s">
        <v>8994</v>
      </c>
      <c r="E255" s="1">
        <v>37581</v>
      </c>
      <c r="F255" t="s">
        <v>6149</v>
      </c>
      <c r="G255">
        <v>336</v>
      </c>
      <c r="H255">
        <v>20829</v>
      </c>
      <c r="I255">
        <v>8</v>
      </c>
      <c r="J255">
        <v>1</v>
      </c>
      <c r="K255">
        <v>1</v>
      </c>
      <c r="L255">
        <v>2</v>
      </c>
      <c r="M255" t="s">
        <v>3511</v>
      </c>
      <c r="N255" t="s">
        <v>3512</v>
      </c>
      <c r="O255">
        <v>413.1463</v>
      </c>
      <c r="P255">
        <v>699.09820000000002</v>
      </c>
      <c r="Q255" t="s">
        <v>13</v>
      </c>
      <c r="R255" t="s">
        <v>441</v>
      </c>
      <c r="S255" t="s">
        <v>136</v>
      </c>
      <c r="T255" t="s">
        <v>8084</v>
      </c>
      <c r="U255" s="1">
        <v>22600</v>
      </c>
      <c r="V255" t="s">
        <v>16</v>
      </c>
      <c r="W255" t="s">
        <v>16</v>
      </c>
      <c r="X255" t="s">
        <v>2580</v>
      </c>
      <c r="Y255">
        <v>30000</v>
      </c>
      <c r="Z255">
        <v>4</v>
      </c>
      <c r="AA255" t="s">
        <v>135</v>
      </c>
      <c r="AB255" t="s">
        <v>60</v>
      </c>
      <c r="AC255" t="s">
        <v>19</v>
      </c>
      <c r="AD255" t="s">
        <v>3585</v>
      </c>
      <c r="AE255" t="s">
        <v>3585</v>
      </c>
      <c r="AF255" t="s">
        <v>3584</v>
      </c>
      <c r="AG255" t="s">
        <v>3479</v>
      </c>
      <c r="AH255" t="s">
        <v>3475</v>
      </c>
      <c r="AI255">
        <v>699.09820000000002</v>
      </c>
      <c r="AJ255">
        <v>413.1463</v>
      </c>
      <c r="AK255">
        <v>285.95190000000002</v>
      </c>
      <c r="AL255">
        <v>0.409029661355157</v>
      </c>
    </row>
    <row r="256" spans="1:38">
      <c r="A256" s="1">
        <v>42362</v>
      </c>
      <c r="B256">
        <v>2015</v>
      </c>
      <c r="C256">
        <v>12</v>
      </c>
      <c r="D256" t="s">
        <v>8994</v>
      </c>
      <c r="E256" s="1">
        <v>37521</v>
      </c>
      <c r="F256" t="s">
        <v>6154</v>
      </c>
      <c r="G256">
        <v>375</v>
      </c>
      <c r="H256">
        <v>17094</v>
      </c>
      <c r="I256">
        <v>10</v>
      </c>
      <c r="J256">
        <v>1</v>
      </c>
      <c r="K256">
        <v>1</v>
      </c>
      <c r="L256">
        <v>2</v>
      </c>
      <c r="M256" t="s">
        <v>3557</v>
      </c>
      <c r="N256" t="s">
        <v>3558</v>
      </c>
      <c r="O256">
        <v>1320.6838</v>
      </c>
      <c r="P256">
        <v>2181.5625</v>
      </c>
      <c r="Q256" t="s">
        <v>13</v>
      </c>
      <c r="R256" t="s">
        <v>33</v>
      </c>
      <c r="S256" t="s">
        <v>97</v>
      </c>
      <c r="T256" t="s">
        <v>7654</v>
      </c>
      <c r="U256" s="1">
        <v>26851</v>
      </c>
      <c r="V256" t="s">
        <v>22</v>
      </c>
      <c r="W256" t="s">
        <v>16</v>
      </c>
      <c r="X256" t="s">
        <v>2139</v>
      </c>
      <c r="Y256">
        <v>50000</v>
      </c>
      <c r="Z256">
        <v>0</v>
      </c>
      <c r="AA256" t="s">
        <v>135</v>
      </c>
      <c r="AB256" t="s">
        <v>53</v>
      </c>
      <c r="AC256" t="s">
        <v>19</v>
      </c>
      <c r="AD256" t="s">
        <v>3588</v>
      </c>
      <c r="AE256" t="s">
        <v>3588</v>
      </c>
      <c r="AF256" t="s">
        <v>3584</v>
      </c>
      <c r="AG256" t="s">
        <v>3479</v>
      </c>
      <c r="AH256" t="s">
        <v>3475</v>
      </c>
      <c r="AI256">
        <v>2181.5625</v>
      </c>
      <c r="AJ256">
        <v>1320.6838</v>
      </c>
      <c r="AK256">
        <v>860.87869999999998</v>
      </c>
      <c r="AL256">
        <v>0.39461564818793898</v>
      </c>
    </row>
    <row r="257" spans="1:38">
      <c r="A257" s="1">
        <v>42362</v>
      </c>
      <c r="B257">
        <v>2015</v>
      </c>
      <c r="C257">
        <v>12</v>
      </c>
      <c r="D257" t="s">
        <v>8994</v>
      </c>
      <c r="E257" s="1">
        <v>37502</v>
      </c>
      <c r="F257" t="s">
        <v>6160</v>
      </c>
      <c r="G257">
        <v>360</v>
      </c>
      <c r="H257">
        <v>13090</v>
      </c>
      <c r="I257">
        <v>9</v>
      </c>
      <c r="J257">
        <v>1</v>
      </c>
      <c r="K257">
        <v>1</v>
      </c>
      <c r="L257">
        <v>1</v>
      </c>
      <c r="M257" t="s">
        <v>3543</v>
      </c>
      <c r="N257" t="s">
        <v>3544</v>
      </c>
      <c r="O257">
        <v>1105.81</v>
      </c>
      <c r="P257">
        <v>2049.0981999999999</v>
      </c>
      <c r="Q257" t="s">
        <v>13</v>
      </c>
      <c r="R257" t="s">
        <v>1155</v>
      </c>
      <c r="S257" t="s">
        <v>282</v>
      </c>
      <c r="T257" t="s">
        <v>7093</v>
      </c>
      <c r="U257" s="1">
        <v>21702</v>
      </c>
      <c r="V257" t="s">
        <v>22</v>
      </c>
      <c r="W257" t="s">
        <v>16</v>
      </c>
      <c r="X257" t="s">
        <v>1403</v>
      </c>
      <c r="Y257">
        <v>130000</v>
      </c>
      <c r="Z257">
        <v>0</v>
      </c>
      <c r="AA257" t="s">
        <v>135</v>
      </c>
      <c r="AB257" t="s">
        <v>45</v>
      </c>
      <c r="AC257" t="s">
        <v>23</v>
      </c>
      <c r="AD257" t="s">
        <v>3586</v>
      </c>
      <c r="AE257" t="s">
        <v>3586</v>
      </c>
      <c r="AF257" t="s">
        <v>3587</v>
      </c>
      <c r="AG257" t="s">
        <v>3478</v>
      </c>
      <c r="AH257" t="s">
        <v>3475</v>
      </c>
      <c r="AI257">
        <v>2049.0981999999999</v>
      </c>
      <c r="AJ257">
        <v>1105.81</v>
      </c>
      <c r="AK257">
        <v>943.28819999999996</v>
      </c>
      <c r="AL257">
        <v>0.46034309141455498</v>
      </c>
    </row>
    <row r="258" spans="1:38">
      <c r="A258" s="1">
        <v>42362</v>
      </c>
      <c r="B258">
        <v>2015</v>
      </c>
      <c r="C258">
        <v>12</v>
      </c>
      <c r="D258" t="s">
        <v>8994</v>
      </c>
      <c r="E258" s="1">
        <v>37570</v>
      </c>
      <c r="F258" t="s">
        <v>6155</v>
      </c>
      <c r="G258">
        <v>385</v>
      </c>
      <c r="H258">
        <v>18183</v>
      </c>
      <c r="I258">
        <v>8</v>
      </c>
      <c r="J258">
        <v>1</v>
      </c>
      <c r="K258">
        <v>1</v>
      </c>
      <c r="L258">
        <v>2</v>
      </c>
      <c r="M258" t="s">
        <v>3567</v>
      </c>
      <c r="N258" t="s">
        <v>3568</v>
      </c>
      <c r="O258">
        <v>605.64919999999995</v>
      </c>
      <c r="P258">
        <v>1000.4375</v>
      </c>
      <c r="Q258" t="s">
        <v>30</v>
      </c>
      <c r="R258" t="s">
        <v>642</v>
      </c>
      <c r="S258" t="s">
        <v>501</v>
      </c>
      <c r="T258" t="s">
        <v>7711</v>
      </c>
      <c r="U258" s="1">
        <v>17886</v>
      </c>
      <c r="V258" t="s">
        <v>16</v>
      </c>
      <c r="W258" t="s">
        <v>29</v>
      </c>
      <c r="X258" t="s">
        <v>2198</v>
      </c>
      <c r="Y258">
        <v>90000</v>
      </c>
      <c r="Z258">
        <v>4</v>
      </c>
      <c r="AA258" t="s">
        <v>77</v>
      </c>
      <c r="AB258" t="s">
        <v>53</v>
      </c>
      <c r="AC258" t="s">
        <v>19</v>
      </c>
      <c r="AD258" t="s">
        <v>3585</v>
      </c>
      <c r="AE258" t="s">
        <v>3585</v>
      </c>
      <c r="AF258" t="s">
        <v>3584</v>
      </c>
      <c r="AG258" t="s">
        <v>3479</v>
      </c>
      <c r="AH258" t="s">
        <v>3475</v>
      </c>
      <c r="AI258">
        <v>1000.4375</v>
      </c>
      <c r="AJ258">
        <v>605.64919999999995</v>
      </c>
      <c r="AK258">
        <v>394.78829999999999</v>
      </c>
      <c r="AL258">
        <v>0.39461565565065299</v>
      </c>
    </row>
    <row r="259" spans="1:38">
      <c r="A259" s="1">
        <v>42362</v>
      </c>
      <c r="B259">
        <v>2015</v>
      </c>
      <c r="C259">
        <v>12</v>
      </c>
      <c r="D259" t="s">
        <v>8994</v>
      </c>
      <c r="E259" s="1">
        <v>37535</v>
      </c>
      <c r="F259" t="s">
        <v>6152</v>
      </c>
      <c r="G259">
        <v>362</v>
      </c>
      <c r="H259">
        <v>28749</v>
      </c>
      <c r="I259">
        <v>7</v>
      </c>
      <c r="J259">
        <v>1</v>
      </c>
      <c r="K259">
        <v>1</v>
      </c>
      <c r="L259">
        <v>1</v>
      </c>
      <c r="M259" t="s">
        <v>3545</v>
      </c>
      <c r="N259" t="s">
        <v>3546</v>
      </c>
      <c r="O259">
        <v>1105.81</v>
      </c>
      <c r="P259">
        <v>2049.0981999999999</v>
      </c>
      <c r="Q259" t="s">
        <v>13</v>
      </c>
      <c r="R259" t="s">
        <v>498</v>
      </c>
      <c r="S259" t="s">
        <v>138</v>
      </c>
      <c r="T259" t="s">
        <v>8873</v>
      </c>
      <c r="U259" s="1">
        <v>26580</v>
      </c>
      <c r="V259" t="s">
        <v>22</v>
      </c>
      <c r="W259" t="s">
        <v>16</v>
      </c>
      <c r="X259" t="s">
        <v>3385</v>
      </c>
      <c r="Y259">
        <v>30000</v>
      </c>
      <c r="Z259">
        <v>0</v>
      </c>
      <c r="AA259" t="s">
        <v>57</v>
      </c>
      <c r="AB259" t="s">
        <v>444</v>
      </c>
      <c r="AC259" t="s">
        <v>23</v>
      </c>
      <c r="AD259" t="s">
        <v>3583</v>
      </c>
      <c r="AE259" t="s">
        <v>3583</v>
      </c>
      <c r="AF259" t="s">
        <v>3584</v>
      </c>
      <c r="AG259" t="s">
        <v>3478</v>
      </c>
      <c r="AH259" t="s">
        <v>3475</v>
      </c>
      <c r="AI259">
        <v>2049.0981999999999</v>
      </c>
      <c r="AJ259">
        <v>1105.81</v>
      </c>
      <c r="AK259">
        <v>943.28819999999996</v>
      </c>
      <c r="AL259">
        <v>0.46034309141455498</v>
      </c>
    </row>
    <row r="260" spans="1:38">
      <c r="A260" s="1">
        <v>42362</v>
      </c>
      <c r="B260">
        <v>2015</v>
      </c>
      <c r="C260">
        <v>12</v>
      </c>
      <c r="D260" t="s">
        <v>8994</v>
      </c>
      <c r="E260" s="1">
        <v>37529</v>
      </c>
      <c r="F260" t="s">
        <v>6153</v>
      </c>
      <c r="G260">
        <v>369</v>
      </c>
      <c r="H260">
        <v>22938</v>
      </c>
      <c r="I260">
        <v>9</v>
      </c>
      <c r="J260">
        <v>1</v>
      </c>
      <c r="K260">
        <v>1</v>
      </c>
      <c r="L260">
        <v>2</v>
      </c>
      <c r="M260" t="s">
        <v>3549</v>
      </c>
      <c r="N260" t="s">
        <v>3550</v>
      </c>
      <c r="O260">
        <v>1518.7864</v>
      </c>
      <c r="P260">
        <v>2443.35</v>
      </c>
      <c r="Q260" t="s">
        <v>13</v>
      </c>
      <c r="R260" t="s">
        <v>984</v>
      </c>
      <c r="S260" t="s">
        <v>220</v>
      </c>
      <c r="T260" t="s">
        <v>8331</v>
      </c>
      <c r="U260" s="1">
        <v>22494</v>
      </c>
      <c r="V260" t="s">
        <v>16</v>
      </c>
      <c r="W260" t="s">
        <v>16</v>
      </c>
      <c r="X260" t="s">
        <v>2830</v>
      </c>
      <c r="Y260">
        <v>60000</v>
      </c>
      <c r="Z260">
        <v>1</v>
      </c>
      <c r="AA260" t="s">
        <v>52</v>
      </c>
      <c r="AB260" t="s">
        <v>53</v>
      </c>
      <c r="AC260" t="s">
        <v>19</v>
      </c>
      <c r="AD260" t="s">
        <v>3586</v>
      </c>
      <c r="AE260" t="s">
        <v>3586</v>
      </c>
      <c r="AF260" t="s">
        <v>3587</v>
      </c>
      <c r="AG260" t="s">
        <v>3479</v>
      </c>
      <c r="AH260" t="s">
        <v>3475</v>
      </c>
      <c r="AI260">
        <v>2443.35</v>
      </c>
      <c r="AJ260">
        <v>1518.7864</v>
      </c>
      <c r="AK260">
        <v>924.56359999999995</v>
      </c>
      <c r="AL260">
        <v>0.37839998362903399</v>
      </c>
    </row>
    <row r="261" spans="1:38">
      <c r="A261" s="1">
        <v>42362</v>
      </c>
      <c r="B261">
        <v>2015</v>
      </c>
      <c r="C261">
        <v>12</v>
      </c>
      <c r="D261" t="s">
        <v>8994</v>
      </c>
      <c r="E261" s="1">
        <v>37585</v>
      </c>
      <c r="F261" t="s">
        <v>6157</v>
      </c>
      <c r="G261">
        <v>354</v>
      </c>
      <c r="H261">
        <v>13521</v>
      </c>
      <c r="I261">
        <v>9</v>
      </c>
      <c r="J261">
        <v>1</v>
      </c>
      <c r="K261">
        <v>1</v>
      </c>
      <c r="L261">
        <v>1</v>
      </c>
      <c r="M261" t="s">
        <v>3537</v>
      </c>
      <c r="N261" t="s">
        <v>3538</v>
      </c>
      <c r="O261">
        <v>1117.8559</v>
      </c>
      <c r="P261">
        <v>2071.4196000000002</v>
      </c>
      <c r="Q261" t="s">
        <v>26</v>
      </c>
      <c r="R261" t="s">
        <v>1207</v>
      </c>
      <c r="S261" t="s">
        <v>42</v>
      </c>
      <c r="T261" t="s">
        <v>7138</v>
      </c>
      <c r="U261" s="1">
        <v>28515</v>
      </c>
      <c r="V261" t="s">
        <v>22</v>
      </c>
      <c r="W261" t="s">
        <v>29</v>
      </c>
      <c r="X261" t="s">
        <v>1568</v>
      </c>
      <c r="Y261">
        <v>10000</v>
      </c>
      <c r="Z261">
        <v>0</v>
      </c>
      <c r="AA261" t="s">
        <v>52</v>
      </c>
      <c r="AB261" t="s">
        <v>444</v>
      </c>
      <c r="AC261" t="s">
        <v>19</v>
      </c>
      <c r="AD261" t="s">
        <v>3586</v>
      </c>
      <c r="AE261" t="s">
        <v>3586</v>
      </c>
      <c r="AF261" t="s">
        <v>3587</v>
      </c>
      <c r="AG261" t="s">
        <v>3478</v>
      </c>
      <c r="AH261" t="s">
        <v>3475</v>
      </c>
      <c r="AI261">
        <v>2071.4196000000002</v>
      </c>
      <c r="AJ261">
        <v>1117.8559</v>
      </c>
      <c r="AK261">
        <v>953.56370000000004</v>
      </c>
      <c r="AL261">
        <v>0.460343090313522</v>
      </c>
    </row>
    <row r="262" spans="1:38">
      <c r="A262" s="1">
        <v>42362</v>
      </c>
      <c r="B262">
        <v>2015</v>
      </c>
      <c r="C262">
        <v>12</v>
      </c>
      <c r="D262" t="s">
        <v>8994</v>
      </c>
      <c r="E262" s="1">
        <v>37572</v>
      </c>
      <c r="F262" t="s">
        <v>6150</v>
      </c>
      <c r="G262">
        <v>332</v>
      </c>
      <c r="H262">
        <v>15467</v>
      </c>
      <c r="I262">
        <v>4</v>
      </c>
      <c r="J262">
        <v>1</v>
      </c>
      <c r="K262">
        <v>1</v>
      </c>
      <c r="L262">
        <v>2</v>
      </c>
      <c r="M262" t="s">
        <v>3507</v>
      </c>
      <c r="N262" t="s">
        <v>3508</v>
      </c>
      <c r="O262">
        <v>413.1463</v>
      </c>
      <c r="P262">
        <v>699.09820000000002</v>
      </c>
      <c r="Q262" t="s">
        <v>13</v>
      </c>
      <c r="R262" t="s">
        <v>149</v>
      </c>
      <c r="S262" t="s">
        <v>468</v>
      </c>
      <c r="T262" t="s">
        <v>7508</v>
      </c>
      <c r="U262" s="1">
        <v>25782</v>
      </c>
      <c r="V262" t="s">
        <v>16</v>
      </c>
      <c r="W262" t="s">
        <v>16</v>
      </c>
      <c r="X262" t="s">
        <v>1985</v>
      </c>
      <c r="Y262">
        <v>50000</v>
      </c>
      <c r="Z262">
        <v>1</v>
      </c>
      <c r="AA262" t="s">
        <v>17</v>
      </c>
      <c r="AB262" t="s">
        <v>53</v>
      </c>
      <c r="AC262" t="s">
        <v>19</v>
      </c>
      <c r="AD262" t="s">
        <v>3580</v>
      </c>
      <c r="AE262" t="s">
        <v>3578</v>
      </c>
      <c r="AF262" t="s">
        <v>3579</v>
      </c>
      <c r="AG262" t="s">
        <v>3479</v>
      </c>
      <c r="AH262" t="s">
        <v>3475</v>
      </c>
      <c r="AI262">
        <v>699.09820000000002</v>
      </c>
      <c r="AJ262">
        <v>413.1463</v>
      </c>
      <c r="AK262">
        <v>285.95190000000002</v>
      </c>
      <c r="AL262">
        <v>0.409029661355157</v>
      </c>
    </row>
    <row r="263" spans="1:38">
      <c r="A263" s="1">
        <v>42362</v>
      </c>
      <c r="B263">
        <v>2015</v>
      </c>
      <c r="C263">
        <v>12</v>
      </c>
      <c r="D263" t="s">
        <v>8994</v>
      </c>
      <c r="E263" s="1">
        <v>37520</v>
      </c>
      <c r="F263" t="s">
        <v>6158</v>
      </c>
      <c r="G263">
        <v>362</v>
      </c>
      <c r="H263">
        <v>13118</v>
      </c>
      <c r="I263">
        <v>9</v>
      </c>
      <c r="J263">
        <v>1</v>
      </c>
      <c r="K263">
        <v>1</v>
      </c>
      <c r="L263">
        <v>1</v>
      </c>
      <c r="M263" t="s">
        <v>3545</v>
      </c>
      <c r="N263" t="s">
        <v>3546</v>
      </c>
      <c r="O263">
        <v>1105.81</v>
      </c>
      <c r="P263">
        <v>2049.0981999999999</v>
      </c>
      <c r="Q263" t="s">
        <v>30</v>
      </c>
      <c r="R263" t="s">
        <v>48</v>
      </c>
      <c r="S263" t="s">
        <v>334</v>
      </c>
      <c r="T263" t="s">
        <v>7109</v>
      </c>
      <c r="U263" s="1">
        <v>22105</v>
      </c>
      <c r="V263" t="s">
        <v>16</v>
      </c>
      <c r="W263" t="s">
        <v>29</v>
      </c>
      <c r="X263" t="s">
        <v>1422</v>
      </c>
      <c r="Y263">
        <v>60000</v>
      </c>
      <c r="Z263">
        <v>1</v>
      </c>
      <c r="AA263" t="s">
        <v>52</v>
      </c>
      <c r="AB263" t="s">
        <v>53</v>
      </c>
      <c r="AC263" t="s">
        <v>19</v>
      </c>
      <c r="AD263" t="s">
        <v>3586</v>
      </c>
      <c r="AE263" t="s">
        <v>3586</v>
      </c>
      <c r="AF263" t="s">
        <v>3587</v>
      </c>
      <c r="AG263" t="s">
        <v>3478</v>
      </c>
      <c r="AH263" t="s">
        <v>3475</v>
      </c>
      <c r="AI263">
        <v>2049.0981999999999</v>
      </c>
      <c r="AJ263">
        <v>1105.81</v>
      </c>
      <c r="AK263">
        <v>943.28819999999996</v>
      </c>
      <c r="AL263">
        <v>0.46034309141455498</v>
      </c>
    </row>
    <row r="264" spans="1:38">
      <c r="A264" s="1">
        <v>42362</v>
      </c>
      <c r="B264">
        <v>2015</v>
      </c>
      <c r="C264">
        <v>12</v>
      </c>
      <c r="D264" t="s">
        <v>8994</v>
      </c>
      <c r="E264" s="1">
        <v>37511</v>
      </c>
      <c r="F264" t="s">
        <v>6151</v>
      </c>
      <c r="G264">
        <v>373</v>
      </c>
      <c r="H264">
        <v>15067</v>
      </c>
      <c r="I264">
        <v>7</v>
      </c>
      <c r="J264">
        <v>1</v>
      </c>
      <c r="K264">
        <v>1</v>
      </c>
      <c r="L264">
        <v>2</v>
      </c>
      <c r="M264" t="s">
        <v>3555</v>
      </c>
      <c r="N264" t="s">
        <v>3556</v>
      </c>
      <c r="O264">
        <v>1320.6838</v>
      </c>
      <c r="P264">
        <v>2181.5625</v>
      </c>
      <c r="Q264" t="s">
        <v>30</v>
      </c>
      <c r="R264" t="s">
        <v>234</v>
      </c>
      <c r="S264" t="s">
        <v>214</v>
      </c>
      <c r="T264" t="s">
        <v>7398</v>
      </c>
      <c r="U264" s="1">
        <v>25604</v>
      </c>
      <c r="V264" t="s">
        <v>22</v>
      </c>
      <c r="W264" t="s">
        <v>29</v>
      </c>
      <c r="X264" t="s">
        <v>1874</v>
      </c>
      <c r="Y264">
        <v>10000</v>
      </c>
      <c r="Z264">
        <v>2</v>
      </c>
      <c r="AA264" t="s">
        <v>57</v>
      </c>
      <c r="AB264" t="s">
        <v>444</v>
      </c>
      <c r="AC264" t="s">
        <v>19</v>
      </c>
      <c r="AD264" t="s">
        <v>3583</v>
      </c>
      <c r="AE264" t="s">
        <v>3583</v>
      </c>
      <c r="AF264" t="s">
        <v>3584</v>
      </c>
      <c r="AG264" t="s">
        <v>3479</v>
      </c>
      <c r="AH264" t="s">
        <v>3475</v>
      </c>
      <c r="AI264">
        <v>2181.5625</v>
      </c>
      <c r="AJ264">
        <v>1320.6838</v>
      </c>
      <c r="AK264">
        <v>860.87869999999998</v>
      </c>
      <c r="AL264">
        <v>0.39461564818793898</v>
      </c>
    </row>
    <row r="265" spans="1:38">
      <c r="A265" s="1">
        <v>42363</v>
      </c>
      <c r="B265">
        <v>2015</v>
      </c>
      <c r="C265">
        <v>12</v>
      </c>
      <c r="D265" t="s">
        <v>8994</v>
      </c>
      <c r="E265" s="1">
        <v>37501</v>
      </c>
      <c r="F265" t="s">
        <v>6162</v>
      </c>
      <c r="G265">
        <v>334</v>
      </c>
      <c r="H265">
        <v>26548</v>
      </c>
      <c r="I265">
        <v>9</v>
      </c>
      <c r="J265">
        <v>1</v>
      </c>
      <c r="K265">
        <v>1</v>
      </c>
      <c r="L265">
        <v>2</v>
      </c>
      <c r="M265" t="s">
        <v>3509</v>
      </c>
      <c r="N265" t="s">
        <v>3510</v>
      </c>
      <c r="O265">
        <v>413.1463</v>
      </c>
      <c r="P265">
        <v>699.09820000000002</v>
      </c>
      <c r="Q265" t="s">
        <v>13</v>
      </c>
      <c r="R265" t="s">
        <v>158</v>
      </c>
      <c r="S265" t="s">
        <v>40</v>
      </c>
      <c r="T265" t="s">
        <v>8727</v>
      </c>
      <c r="U265" s="1">
        <v>17298</v>
      </c>
      <c r="V265" t="s">
        <v>22</v>
      </c>
      <c r="W265" t="s">
        <v>16</v>
      </c>
      <c r="X265" t="s">
        <v>3237</v>
      </c>
      <c r="Y265">
        <v>20000</v>
      </c>
      <c r="Z265">
        <v>4</v>
      </c>
      <c r="AA265" t="s">
        <v>57</v>
      </c>
      <c r="AB265" t="s">
        <v>53</v>
      </c>
      <c r="AC265" t="s">
        <v>23</v>
      </c>
      <c r="AD265" t="s">
        <v>3586</v>
      </c>
      <c r="AE265" t="s">
        <v>3586</v>
      </c>
      <c r="AF265" t="s">
        <v>3587</v>
      </c>
      <c r="AG265" t="s">
        <v>3479</v>
      </c>
      <c r="AH265" t="s">
        <v>3475</v>
      </c>
      <c r="AI265">
        <v>699.09820000000002</v>
      </c>
      <c r="AJ265">
        <v>413.1463</v>
      </c>
      <c r="AK265">
        <v>285.95190000000002</v>
      </c>
      <c r="AL265">
        <v>0.409029661355157</v>
      </c>
    </row>
    <row r="266" spans="1:38">
      <c r="A266" s="1">
        <v>42363</v>
      </c>
      <c r="B266">
        <v>2015</v>
      </c>
      <c r="C266">
        <v>12</v>
      </c>
      <c r="D266" t="s">
        <v>8994</v>
      </c>
      <c r="E266" s="1">
        <v>37599</v>
      </c>
      <c r="F266" t="s">
        <v>6167</v>
      </c>
      <c r="G266">
        <v>379</v>
      </c>
      <c r="H266">
        <v>22950</v>
      </c>
      <c r="I266">
        <v>9</v>
      </c>
      <c r="J266">
        <v>1</v>
      </c>
      <c r="K266">
        <v>1</v>
      </c>
      <c r="L266">
        <v>2</v>
      </c>
      <c r="M266" t="s">
        <v>3561</v>
      </c>
      <c r="N266" t="s">
        <v>3562</v>
      </c>
      <c r="O266">
        <v>1320.6838</v>
      </c>
      <c r="P266">
        <v>2181.5625</v>
      </c>
      <c r="Q266" t="s">
        <v>26</v>
      </c>
      <c r="R266" t="s">
        <v>258</v>
      </c>
      <c r="S266" t="s">
        <v>175</v>
      </c>
      <c r="T266" t="s">
        <v>8337</v>
      </c>
      <c r="U266" s="1">
        <v>23327</v>
      </c>
      <c r="V266" t="s">
        <v>22</v>
      </c>
      <c r="W266" t="s">
        <v>29</v>
      </c>
      <c r="X266" t="s">
        <v>2836</v>
      </c>
      <c r="Y266">
        <v>70000</v>
      </c>
      <c r="Z266">
        <v>0</v>
      </c>
      <c r="AA266" t="s">
        <v>17</v>
      </c>
      <c r="AB266" t="s">
        <v>18</v>
      </c>
      <c r="AC266" t="s">
        <v>23</v>
      </c>
      <c r="AD266" t="s">
        <v>3586</v>
      </c>
      <c r="AE266" t="s">
        <v>3586</v>
      </c>
      <c r="AF266" t="s">
        <v>3587</v>
      </c>
      <c r="AG266" t="s">
        <v>3479</v>
      </c>
      <c r="AH266" t="s">
        <v>3475</v>
      </c>
      <c r="AI266">
        <v>2181.5625</v>
      </c>
      <c r="AJ266">
        <v>1320.6838</v>
      </c>
      <c r="AK266">
        <v>860.87869999999998</v>
      </c>
      <c r="AL266">
        <v>0.39461564818793898</v>
      </c>
    </row>
    <row r="267" spans="1:38">
      <c r="A267" s="1">
        <v>42363</v>
      </c>
      <c r="B267">
        <v>2015</v>
      </c>
      <c r="C267">
        <v>12</v>
      </c>
      <c r="D267" t="s">
        <v>8994</v>
      </c>
      <c r="E267" s="1">
        <v>37538</v>
      </c>
      <c r="F267" t="s">
        <v>6161</v>
      </c>
      <c r="G267">
        <v>360</v>
      </c>
      <c r="H267">
        <v>13131</v>
      </c>
      <c r="I267">
        <v>9</v>
      </c>
      <c r="J267">
        <v>1</v>
      </c>
      <c r="K267">
        <v>1</v>
      </c>
      <c r="L267">
        <v>1</v>
      </c>
      <c r="M267" t="s">
        <v>3543</v>
      </c>
      <c r="N267" t="s">
        <v>3544</v>
      </c>
      <c r="O267">
        <v>1105.81</v>
      </c>
      <c r="P267">
        <v>2049.0981999999999</v>
      </c>
      <c r="Q267" t="s">
        <v>30</v>
      </c>
      <c r="R267" t="s">
        <v>633</v>
      </c>
      <c r="S267" t="s">
        <v>136</v>
      </c>
      <c r="T267" t="s">
        <v>7117</v>
      </c>
      <c r="U267" s="1">
        <v>21794</v>
      </c>
      <c r="V267" t="s">
        <v>16</v>
      </c>
      <c r="W267" t="s">
        <v>29</v>
      </c>
      <c r="X267" t="s">
        <v>1431</v>
      </c>
      <c r="Y267">
        <v>90000</v>
      </c>
      <c r="Z267">
        <v>1</v>
      </c>
      <c r="AA267" t="s">
        <v>17</v>
      </c>
      <c r="AB267" t="s">
        <v>18</v>
      </c>
      <c r="AC267" t="s">
        <v>19</v>
      </c>
      <c r="AD267" t="s">
        <v>3586</v>
      </c>
      <c r="AE267" t="s">
        <v>3586</v>
      </c>
      <c r="AF267" t="s">
        <v>3587</v>
      </c>
      <c r="AG267" t="s">
        <v>3478</v>
      </c>
      <c r="AH267" t="s">
        <v>3475</v>
      </c>
      <c r="AI267">
        <v>2049.0981999999999</v>
      </c>
      <c r="AJ267">
        <v>1105.81</v>
      </c>
      <c r="AK267">
        <v>943.28819999999996</v>
      </c>
      <c r="AL267">
        <v>0.46034309141455498</v>
      </c>
    </row>
    <row r="268" spans="1:38">
      <c r="A268" s="1">
        <v>42363</v>
      </c>
      <c r="B268">
        <v>2015</v>
      </c>
      <c r="C268">
        <v>12</v>
      </c>
      <c r="D268" t="s">
        <v>8994</v>
      </c>
      <c r="E268" s="1">
        <v>37546</v>
      </c>
      <c r="F268" t="s">
        <v>6165</v>
      </c>
      <c r="G268">
        <v>360</v>
      </c>
      <c r="H268">
        <v>12270</v>
      </c>
      <c r="I268">
        <v>8</v>
      </c>
      <c r="J268">
        <v>1</v>
      </c>
      <c r="K268">
        <v>1</v>
      </c>
      <c r="L268">
        <v>1</v>
      </c>
      <c r="M268" t="s">
        <v>3543</v>
      </c>
      <c r="N268" t="s">
        <v>3544</v>
      </c>
      <c r="O268">
        <v>1105.81</v>
      </c>
      <c r="P268">
        <v>2049.0981999999999</v>
      </c>
      <c r="Q268" t="s">
        <v>30</v>
      </c>
      <c r="R268" t="s">
        <v>94</v>
      </c>
      <c r="S268" t="s">
        <v>89</v>
      </c>
      <c r="T268" t="s">
        <v>6848</v>
      </c>
      <c r="U268" s="1">
        <v>22168</v>
      </c>
      <c r="V268" t="s">
        <v>22</v>
      </c>
      <c r="W268" t="s">
        <v>29</v>
      </c>
      <c r="X268" t="s">
        <v>1067</v>
      </c>
      <c r="Y268">
        <v>30000</v>
      </c>
      <c r="Z268">
        <v>3</v>
      </c>
      <c r="AA268" t="s">
        <v>135</v>
      </c>
      <c r="AB268" t="s">
        <v>60</v>
      </c>
      <c r="AC268" t="s">
        <v>19</v>
      </c>
      <c r="AD268" t="s">
        <v>3585</v>
      </c>
      <c r="AE268" t="s">
        <v>3585</v>
      </c>
      <c r="AF268" t="s">
        <v>3584</v>
      </c>
      <c r="AG268" t="s">
        <v>3478</v>
      </c>
      <c r="AH268" t="s">
        <v>3475</v>
      </c>
      <c r="AI268">
        <v>2049.0981999999999</v>
      </c>
      <c r="AJ268">
        <v>1105.81</v>
      </c>
      <c r="AK268">
        <v>943.28819999999996</v>
      </c>
      <c r="AL268">
        <v>0.46034309141455498</v>
      </c>
    </row>
    <row r="269" spans="1:38">
      <c r="A269" s="1">
        <v>42363</v>
      </c>
      <c r="B269">
        <v>2015</v>
      </c>
      <c r="C269">
        <v>12</v>
      </c>
      <c r="D269" t="s">
        <v>8994</v>
      </c>
      <c r="E269" s="1">
        <v>37523</v>
      </c>
      <c r="F269" t="s">
        <v>6168</v>
      </c>
      <c r="G269">
        <v>389</v>
      </c>
      <c r="H269">
        <v>18626</v>
      </c>
      <c r="I269">
        <v>8</v>
      </c>
      <c r="J269">
        <v>1</v>
      </c>
      <c r="K269">
        <v>1</v>
      </c>
      <c r="L269">
        <v>2</v>
      </c>
      <c r="M269" t="s">
        <v>3571</v>
      </c>
      <c r="N269" t="s">
        <v>3572</v>
      </c>
      <c r="O269">
        <v>605.64919999999995</v>
      </c>
      <c r="P269">
        <v>1000.4375</v>
      </c>
      <c r="Q269" t="s">
        <v>13</v>
      </c>
      <c r="R269" t="s">
        <v>1591</v>
      </c>
      <c r="S269" t="s">
        <v>490</v>
      </c>
      <c r="T269" t="s">
        <v>7713</v>
      </c>
      <c r="U269" s="1">
        <v>26550</v>
      </c>
      <c r="V269" t="s">
        <v>22</v>
      </c>
      <c r="W269" t="s">
        <v>16</v>
      </c>
      <c r="X269" t="s">
        <v>2200</v>
      </c>
      <c r="Y269">
        <v>40000</v>
      </c>
      <c r="Z269">
        <v>2</v>
      </c>
      <c r="AA269" t="s">
        <v>52</v>
      </c>
      <c r="AB269" t="s">
        <v>60</v>
      </c>
      <c r="AC269" t="s">
        <v>19</v>
      </c>
      <c r="AD269" t="s">
        <v>3585</v>
      </c>
      <c r="AE269" t="s">
        <v>3585</v>
      </c>
      <c r="AF269" t="s">
        <v>3584</v>
      </c>
      <c r="AG269" t="s">
        <v>3479</v>
      </c>
      <c r="AH269" t="s">
        <v>3475</v>
      </c>
      <c r="AI269">
        <v>1000.4375</v>
      </c>
      <c r="AJ269">
        <v>605.64919999999995</v>
      </c>
      <c r="AK269">
        <v>394.78829999999999</v>
      </c>
      <c r="AL269">
        <v>0.39461565565065299</v>
      </c>
    </row>
    <row r="270" spans="1:38">
      <c r="A270" s="1">
        <v>42363</v>
      </c>
      <c r="B270">
        <v>2015</v>
      </c>
      <c r="C270">
        <v>12</v>
      </c>
      <c r="D270" t="s">
        <v>8994</v>
      </c>
      <c r="E270" s="1">
        <v>37589</v>
      </c>
      <c r="F270" t="s">
        <v>6163</v>
      </c>
      <c r="G270">
        <v>328</v>
      </c>
      <c r="H270">
        <v>19293</v>
      </c>
      <c r="I270">
        <v>7</v>
      </c>
      <c r="J270">
        <v>1</v>
      </c>
      <c r="K270">
        <v>1</v>
      </c>
      <c r="L270">
        <v>2</v>
      </c>
      <c r="M270" t="s">
        <v>3503</v>
      </c>
      <c r="N270" t="s">
        <v>3504</v>
      </c>
      <c r="O270">
        <v>413.1463</v>
      </c>
      <c r="P270">
        <v>699.09820000000002</v>
      </c>
      <c r="Q270" t="s">
        <v>26</v>
      </c>
      <c r="R270" t="s">
        <v>50</v>
      </c>
      <c r="S270" t="s">
        <v>1169</v>
      </c>
      <c r="T270" t="s">
        <v>7796</v>
      </c>
      <c r="U270" s="1">
        <v>25808</v>
      </c>
      <c r="V270" t="s">
        <v>16</v>
      </c>
      <c r="W270" t="s">
        <v>29</v>
      </c>
      <c r="X270" t="s">
        <v>2283</v>
      </c>
      <c r="Y270">
        <v>30000</v>
      </c>
      <c r="Z270">
        <v>0</v>
      </c>
      <c r="AA270" t="s">
        <v>17</v>
      </c>
      <c r="AB270" t="s">
        <v>60</v>
      </c>
      <c r="AC270" t="s">
        <v>19</v>
      </c>
      <c r="AD270" t="s">
        <v>3583</v>
      </c>
      <c r="AE270" t="s">
        <v>3583</v>
      </c>
      <c r="AF270" t="s">
        <v>3584</v>
      </c>
      <c r="AG270" t="s">
        <v>3479</v>
      </c>
      <c r="AH270" t="s">
        <v>3475</v>
      </c>
      <c r="AI270">
        <v>699.09820000000002</v>
      </c>
      <c r="AJ270">
        <v>413.1463</v>
      </c>
      <c r="AK270">
        <v>285.95190000000002</v>
      </c>
      <c r="AL270">
        <v>0.409029661355157</v>
      </c>
    </row>
    <row r="271" spans="1:38">
      <c r="A271" s="1">
        <v>42363</v>
      </c>
      <c r="B271">
        <v>2015</v>
      </c>
      <c r="C271">
        <v>12</v>
      </c>
      <c r="D271" t="s">
        <v>8994</v>
      </c>
      <c r="E271" s="1">
        <v>37554</v>
      </c>
      <c r="F271" t="s">
        <v>6164</v>
      </c>
      <c r="G271">
        <v>389</v>
      </c>
      <c r="H271">
        <v>19341</v>
      </c>
      <c r="I271">
        <v>10</v>
      </c>
      <c r="J271">
        <v>1</v>
      </c>
      <c r="K271">
        <v>1</v>
      </c>
      <c r="L271">
        <v>2</v>
      </c>
      <c r="M271" t="s">
        <v>3571</v>
      </c>
      <c r="N271" t="s">
        <v>3572</v>
      </c>
      <c r="O271">
        <v>605.64919999999995</v>
      </c>
      <c r="P271">
        <v>1000.4375</v>
      </c>
      <c r="Q271" t="s">
        <v>13</v>
      </c>
      <c r="R271" t="s">
        <v>58</v>
      </c>
      <c r="S271" t="s">
        <v>21</v>
      </c>
      <c r="T271" t="s">
        <v>7812</v>
      </c>
      <c r="U271" s="1">
        <v>24343</v>
      </c>
      <c r="V271" t="s">
        <v>16</v>
      </c>
      <c r="W271" t="s">
        <v>16</v>
      </c>
      <c r="X271" t="s">
        <v>2299</v>
      </c>
      <c r="Y271">
        <v>40000</v>
      </c>
      <c r="Z271">
        <v>0</v>
      </c>
      <c r="AA271" t="s">
        <v>17</v>
      </c>
      <c r="AB271" t="s">
        <v>18</v>
      </c>
      <c r="AC271" t="s">
        <v>19</v>
      </c>
      <c r="AD271" t="s">
        <v>3588</v>
      </c>
      <c r="AE271" t="s">
        <v>3588</v>
      </c>
      <c r="AF271" t="s">
        <v>3584</v>
      </c>
      <c r="AG271" t="s">
        <v>3479</v>
      </c>
      <c r="AH271" t="s">
        <v>3475</v>
      </c>
      <c r="AI271">
        <v>1000.4375</v>
      </c>
      <c r="AJ271">
        <v>605.64919999999995</v>
      </c>
      <c r="AK271">
        <v>394.78829999999999</v>
      </c>
      <c r="AL271">
        <v>0.39461565565065299</v>
      </c>
    </row>
    <row r="272" spans="1:38">
      <c r="A272" s="1">
        <v>42363</v>
      </c>
      <c r="B272">
        <v>2015</v>
      </c>
      <c r="C272">
        <v>12</v>
      </c>
      <c r="D272" t="s">
        <v>8994</v>
      </c>
      <c r="E272" s="1">
        <v>37586</v>
      </c>
      <c r="F272" t="s">
        <v>6166</v>
      </c>
      <c r="G272">
        <v>377</v>
      </c>
      <c r="H272">
        <v>13715</v>
      </c>
      <c r="I272">
        <v>4</v>
      </c>
      <c r="J272">
        <v>1</v>
      </c>
      <c r="K272">
        <v>1</v>
      </c>
      <c r="L272">
        <v>2</v>
      </c>
      <c r="M272" t="s">
        <v>3559</v>
      </c>
      <c r="N272" t="s">
        <v>3560</v>
      </c>
      <c r="O272">
        <v>1320.6838</v>
      </c>
      <c r="P272">
        <v>2181.5625</v>
      </c>
      <c r="Q272" t="s">
        <v>13</v>
      </c>
      <c r="R272" t="s">
        <v>260</v>
      </c>
      <c r="S272" t="s">
        <v>109</v>
      </c>
      <c r="T272" t="s">
        <v>7147</v>
      </c>
      <c r="U272" s="1">
        <v>19535</v>
      </c>
      <c r="V272" t="s">
        <v>16</v>
      </c>
      <c r="W272" t="s">
        <v>16</v>
      </c>
      <c r="X272" t="s">
        <v>1606</v>
      </c>
      <c r="Y272">
        <v>30000</v>
      </c>
      <c r="Z272">
        <v>1</v>
      </c>
      <c r="AA272" t="s">
        <v>17</v>
      </c>
      <c r="AB272" t="s">
        <v>53</v>
      </c>
      <c r="AC272" t="s">
        <v>19</v>
      </c>
      <c r="AD272" t="s">
        <v>3580</v>
      </c>
      <c r="AE272" t="s">
        <v>3578</v>
      </c>
      <c r="AF272" t="s">
        <v>3579</v>
      </c>
      <c r="AG272" t="s">
        <v>3479</v>
      </c>
      <c r="AH272" t="s">
        <v>3475</v>
      </c>
      <c r="AI272">
        <v>2181.5625</v>
      </c>
      <c r="AJ272">
        <v>1320.6838</v>
      </c>
      <c r="AK272">
        <v>860.87869999999998</v>
      </c>
      <c r="AL272">
        <v>0.39461564818793898</v>
      </c>
    </row>
    <row r="273" spans="1:38">
      <c r="A273" s="1">
        <v>42364</v>
      </c>
      <c r="B273">
        <v>2015</v>
      </c>
      <c r="C273">
        <v>12</v>
      </c>
      <c r="D273" t="s">
        <v>8994</v>
      </c>
      <c r="E273" s="1">
        <v>37575</v>
      </c>
      <c r="F273" t="s">
        <v>6173</v>
      </c>
      <c r="G273">
        <v>379</v>
      </c>
      <c r="H273">
        <v>15079</v>
      </c>
      <c r="I273">
        <v>7</v>
      </c>
      <c r="J273">
        <v>1</v>
      </c>
      <c r="K273">
        <v>1</v>
      </c>
      <c r="L273">
        <v>2</v>
      </c>
      <c r="M273" t="s">
        <v>3561</v>
      </c>
      <c r="N273" t="s">
        <v>3562</v>
      </c>
      <c r="O273">
        <v>1320.6838</v>
      </c>
      <c r="P273">
        <v>2181.5625</v>
      </c>
      <c r="Q273" t="s">
        <v>13</v>
      </c>
      <c r="R273" t="s">
        <v>304</v>
      </c>
      <c r="S273" t="s">
        <v>103</v>
      </c>
      <c r="T273" t="s">
        <v>7405</v>
      </c>
      <c r="U273" s="1">
        <v>25358</v>
      </c>
      <c r="V273" t="s">
        <v>16</v>
      </c>
      <c r="W273" t="s">
        <v>16</v>
      </c>
      <c r="X273" t="s">
        <v>1881</v>
      </c>
      <c r="Y273">
        <v>30000</v>
      </c>
      <c r="Z273">
        <v>0</v>
      </c>
      <c r="AA273" t="s">
        <v>17</v>
      </c>
      <c r="AB273" t="s">
        <v>60</v>
      </c>
      <c r="AC273" t="s">
        <v>19</v>
      </c>
      <c r="AD273" t="s">
        <v>3583</v>
      </c>
      <c r="AE273" t="s">
        <v>3583</v>
      </c>
      <c r="AF273" t="s">
        <v>3584</v>
      </c>
      <c r="AG273" t="s">
        <v>3479</v>
      </c>
      <c r="AH273" t="s">
        <v>3475</v>
      </c>
      <c r="AI273">
        <v>2181.5625</v>
      </c>
      <c r="AJ273">
        <v>1320.6838</v>
      </c>
      <c r="AK273">
        <v>860.87869999999998</v>
      </c>
      <c r="AL273">
        <v>0.39461564818793898</v>
      </c>
    </row>
    <row r="274" spans="1:38">
      <c r="A274" s="1">
        <v>42364</v>
      </c>
      <c r="B274">
        <v>2015</v>
      </c>
      <c r="C274">
        <v>12</v>
      </c>
      <c r="D274" t="s">
        <v>8994</v>
      </c>
      <c r="E274" s="1">
        <v>37516</v>
      </c>
      <c r="F274" t="s">
        <v>6170</v>
      </c>
      <c r="G274">
        <v>354</v>
      </c>
      <c r="H274">
        <v>13091</v>
      </c>
      <c r="I274">
        <v>9</v>
      </c>
      <c r="J274">
        <v>1</v>
      </c>
      <c r="K274">
        <v>1</v>
      </c>
      <c r="L274">
        <v>1</v>
      </c>
      <c r="M274" t="s">
        <v>3537</v>
      </c>
      <c r="N274" t="s">
        <v>3538</v>
      </c>
      <c r="O274">
        <v>1117.8559</v>
      </c>
      <c r="P274">
        <v>2071.4196000000002</v>
      </c>
      <c r="Q274" t="s">
        <v>26</v>
      </c>
      <c r="R274" t="s">
        <v>128</v>
      </c>
      <c r="S274" t="s">
        <v>103</v>
      </c>
      <c r="T274" t="s">
        <v>7094</v>
      </c>
      <c r="U274" s="1">
        <v>21773</v>
      </c>
      <c r="V274" t="s">
        <v>22</v>
      </c>
      <c r="W274" t="s">
        <v>29</v>
      </c>
      <c r="X274" t="s">
        <v>1404</v>
      </c>
      <c r="Y274">
        <v>130000</v>
      </c>
      <c r="Z274">
        <v>0</v>
      </c>
      <c r="AA274" t="s">
        <v>135</v>
      </c>
      <c r="AB274" t="s">
        <v>45</v>
      </c>
      <c r="AC274" t="s">
        <v>23</v>
      </c>
      <c r="AD274" t="s">
        <v>3586</v>
      </c>
      <c r="AE274" t="s">
        <v>3586</v>
      </c>
      <c r="AF274" t="s">
        <v>3587</v>
      </c>
      <c r="AG274" t="s">
        <v>3478</v>
      </c>
      <c r="AH274" t="s">
        <v>3475</v>
      </c>
      <c r="AI274">
        <v>2071.4196000000002</v>
      </c>
      <c r="AJ274">
        <v>1117.8559</v>
      </c>
      <c r="AK274">
        <v>953.56370000000004</v>
      </c>
      <c r="AL274">
        <v>0.460343090313522</v>
      </c>
    </row>
    <row r="275" spans="1:38">
      <c r="A275" s="1">
        <v>42364</v>
      </c>
      <c r="B275">
        <v>2015</v>
      </c>
      <c r="C275">
        <v>12</v>
      </c>
      <c r="D275" t="s">
        <v>8994</v>
      </c>
      <c r="E275" s="1">
        <v>37506</v>
      </c>
      <c r="F275" t="s">
        <v>6175</v>
      </c>
      <c r="G275">
        <v>358</v>
      </c>
      <c r="H275">
        <v>12391</v>
      </c>
      <c r="I275">
        <v>10</v>
      </c>
      <c r="J275">
        <v>1</v>
      </c>
      <c r="K275">
        <v>1</v>
      </c>
      <c r="L275">
        <v>1</v>
      </c>
      <c r="M275" t="s">
        <v>3541</v>
      </c>
      <c r="N275" t="s">
        <v>3542</v>
      </c>
      <c r="O275">
        <v>1105.81</v>
      </c>
      <c r="P275">
        <v>2049.0981999999999</v>
      </c>
      <c r="Q275" t="s">
        <v>30</v>
      </c>
      <c r="R275" t="s">
        <v>333</v>
      </c>
      <c r="S275" t="s">
        <v>376</v>
      </c>
      <c r="T275" t="s">
        <v>6926</v>
      </c>
      <c r="U275" s="1">
        <v>26353</v>
      </c>
      <c r="V275" t="s">
        <v>22</v>
      </c>
      <c r="W275" t="s">
        <v>29</v>
      </c>
      <c r="X275" t="s">
        <v>1136</v>
      </c>
      <c r="Y275">
        <v>40000</v>
      </c>
      <c r="Z275">
        <v>2</v>
      </c>
      <c r="AA275" t="s">
        <v>52</v>
      </c>
      <c r="AB275" t="s">
        <v>60</v>
      </c>
      <c r="AC275" t="s">
        <v>19</v>
      </c>
      <c r="AD275" t="s">
        <v>3588</v>
      </c>
      <c r="AE275" t="s">
        <v>3588</v>
      </c>
      <c r="AF275" t="s">
        <v>3584</v>
      </c>
      <c r="AG275" t="s">
        <v>3478</v>
      </c>
      <c r="AH275" t="s">
        <v>3475</v>
      </c>
      <c r="AI275">
        <v>2049.0981999999999</v>
      </c>
      <c r="AJ275">
        <v>1105.81</v>
      </c>
      <c r="AK275">
        <v>943.28819999999996</v>
      </c>
      <c r="AL275">
        <v>0.46034309141455498</v>
      </c>
    </row>
    <row r="276" spans="1:38">
      <c r="A276" s="1">
        <v>42364</v>
      </c>
      <c r="B276">
        <v>2015</v>
      </c>
      <c r="C276">
        <v>12</v>
      </c>
      <c r="D276" t="s">
        <v>8994</v>
      </c>
      <c r="E276" s="1">
        <v>37515</v>
      </c>
      <c r="F276" t="s">
        <v>6172</v>
      </c>
      <c r="G276">
        <v>370</v>
      </c>
      <c r="H276">
        <v>13729</v>
      </c>
      <c r="I276">
        <v>1</v>
      </c>
      <c r="J276">
        <v>1</v>
      </c>
      <c r="K276">
        <v>1</v>
      </c>
      <c r="L276">
        <v>2</v>
      </c>
      <c r="M276" t="s">
        <v>3551</v>
      </c>
      <c r="N276" t="s">
        <v>3552</v>
      </c>
      <c r="O276">
        <v>1518.7864</v>
      </c>
      <c r="P276">
        <v>2443.35</v>
      </c>
      <c r="Q276" t="s">
        <v>13</v>
      </c>
      <c r="R276" t="s">
        <v>279</v>
      </c>
      <c r="S276" t="s">
        <v>338</v>
      </c>
      <c r="T276" t="s">
        <v>7156</v>
      </c>
      <c r="U276" s="1">
        <v>20372</v>
      </c>
      <c r="V276" t="s">
        <v>16</v>
      </c>
      <c r="W276" t="s">
        <v>16</v>
      </c>
      <c r="X276" t="s">
        <v>1615</v>
      </c>
      <c r="Y276">
        <v>40000</v>
      </c>
      <c r="Z276">
        <v>1</v>
      </c>
      <c r="AA276" t="s">
        <v>52</v>
      </c>
      <c r="AB276" t="s">
        <v>60</v>
      </c>
      <c r="AC276" t="s">
        <v>19</v>
      </c>
      <c r="AD276" t="s">
        <v>3577</v>
      </c>
      <c r="AE276" t="s">
        <v>3578</v>
      </c>
      <c r="AF276" t="s">
        <v>3579</v>
      </c>
      <c r="AG276" t="s">
        <v>3479</v>
      </c>
      <c r="AH276" t="s">
        <v>3475</v>
      </c>
      <c r="AI276">
        <v>2443.35</v>
      </c>
      <c r="AJ276">
        <v>1518.7864</v>
      </c>
      <c r="AK276">
        <v>924.56359999999995</v>
      </c>
      <c r="AL276">
        <v>0.37839998362903399</v>
      </c>
    </row>
    <row r="277" spans="1:38">
      <c r="A277" s="1">
        <v>42364</v>
      </c>
      <c r="B277">
        <v>2015</v>
      </c>
      <c r="C277">
        <v>12</v>
      </c>
      <c r="D277" t="s">
        <v>8994</v>
      </c>
      <c r="E277" s="1">
        <v>37503</v>
      </c>
      <c r="F277" t="s">
        <v>6171</v>
      </c>
      <c r="G277">
        <v>340</v>
      </c>
      <c r="H277">
        <v>27242</v>
      </c>
      <c r="I277">
        <v>6</v>
      </c>
      <c r="J277">
        <v>1</v>
      </c>
      <c r="K277">
        <v>1</v>
      </c>
      <c r="L277">
        <v>2</v>
      </c>
      <c r="M277" t="s">
        <v>3515</v>
      </c>
      <c r="N277" t="s">
        <v>3516</v>
      </c>
      <c r="O277">
        <v>413.1463</v>
      </c>
      <c r="P277">
        <v>699.09820000000002</v>
      </c>
      <c r="Q277" t="s">
        <v>13</v>
      </c>
      <c r="R277" t="s">
        <v>274</v>
      </c>
      <c r="S277" t="s">
        <v>136</v>
      </c>
      <c r="T277" t="s">
        <v>8800</v>
      </c>
      <c r="U277" s="1">
        <v>26834</v>
      </c>
      <c r="V277" t="s">
        <v>16</v>
      </c>
      <c r="W277" t="s">
        <v>16</v>
      </c>
      <c r="X277" t="s">
        <v>3310</v>
      </c>
      <c r="Y277">
        <v>40000</v>
      </c>
      <c r="Z277">
        <v>0</v>
      </c>
      <c r="AA277" t="s">
        <v>135</v>
      </c>
      <c r="AB277" t="s">
        <v>53</v>
      </c>
      <c r="AC277" t="s">
        <v>19</v>
      </c>
      <c r="AD277" t="s">
        <v>3582</v>
      </c>
      <c r="AE277" t="s">
        <v>3582</v>
      </c>
      <c r="AF277" t="s">
        <v>3579</v>
      </c>
      <c r="AG277" t="s">
        <v>3479</v>
      </c>
      <c r="AH277" t="s">
        <v>3475</v>
      </c>
      <c r="AI277">
        <v>699.09820000000002</v>
      </c>
      <c r="AJ277">
        <v>413.1463</v>
      </c>
      <c r="AK277">
        <v>285.95190000000002</v>
      </c>
      <c r="AL277">
        <v>0.409029661355157</v>
      </c>
    </row>
    <row r="278" spans="1:38">
      <c r="A278" s="1">
        <v>42364</v>
      </c>
      <c r="B278">
        <v>2015</v>
      </c>
      <c r="C278">
        <v>12</v>
      </c>
      <c r="D278" t="s">
        <v>8994</v>
      </c>
      <c r="E278" s="1">
        <v>37496</v>
      </c>
      <c r="F278" t="s">
        <v>6176</v>
      </c>
      <c r="G278">
        <v>352</v>
      </c>
      <c r="H278">
        <v>13160</v>
      </c>
      <c r="I278">
        <v>9</v>
      </c>
      <c r="J278">
        <v>1</v>
      </c>
      <c r="K278">
        <v>1</v>
      </c>
      <c r="L278">
        <v>1</v>
      </c>
      <c r="M278" t="s">
        <v>3535</v>
      </c>
      <c r="N278" t="s">
        <v>3536</v>
      </c>
      <c r="O278">
        <v>1117.8559</v>
      </c>
      <c r="P278">
        <v>2071.4196000000002</v>
      </c>
      <c r="Q278" t="s">
        <v>13</v>
      </c>
      <c r="R278" t="s">
        <v>154</v>
      </c>
      <c r="S278" t="s">
        <v>474</v>
      </c>
      <c r="T278" t="s">
        <v>7127</v>
      </c>
      <c r="U278" s="1">
        <v>15744</v>
      </c>
      <c r="V278" t="s">
        <v>16</v>
      </c>
      <c r="W278" t="s">
        <v>16</v>
      </c>
      <c r="X278" t="s">
        <v>1441</v>
      </c>
      <c r="Y278">
        <v>70000</v>
      </c>
      <c r="Z278">
        <v>2</v>
      </c>
      <c r="AA278" t="s">
        <v>135</v>
      </c>
      <c r="AB278" t="s">
        <v>45</v>
      </c>
      <c r="AC278" t="s">
        <v>19</v>
      </c>
      <c r="AD278" t="s">
        <v>3586</v>
      </c>
      <c r="AE278" t="s">
        <v>3586</v>
      </c>
      <c r="AF278" t="s">
        <v>3587</v>
      </c>
      <c r="AG278" t="s">
        <v>3478</v>
      </c>
      <c r="AH278" t="s">
        <v>3475</v>
      </c>
      <c r="AI278">
        <v>2071.4196000000002</v>
      </c>
      <c r="AJ278">
        <v>1117.8559</v>
      </c>
      <c r="AK278">
        <v>953.56370000000004</v>
      </c>
      <c r="AL278">
        <v>0.460343090313522</v>
      </c>
    </row>
    <row r="279" spans="1:38">
      <c r="A279" s="1">
        <v>42364</v>
      </c>
      <c r="B279">
        <v>2015</v>
      </c>
      <c r="C279">
        <v>12</v>
      </c>
      <c r="D279" t="s">
        <v>8994</v>
      </c>
      <c r="E279" s="1">
        <v>37590</v>
      </c>
      <c r="F279" t="s">
        <v>6169</v>
      </c>
      <c r="G279">
        <v>352</v>
      </c>
      <c r="H279">
        <v>26608</v>
      </c>
      <c r="I279">
        <v>4</v>
      </c>
      <c r="J279">
        <v>1</v>
      </c>
      <c r="K279">
        <v>1</v>
      </c>
      <c r="L279">
        <v>1</v>
      </c>
      <c r="M279" t="s">
        <v>3535</v>
      </c>
      <c r="N279" t="s">
        <v>3536</v>
      </c>
      <c r="O279">
        <v>1117.8559</v>
      </c>
      <c r="P279">
        <v>2071.4196000000002</v>
      </c>
      <c r="Q279" t="s">
        <v>13</v>
      </c>
      <c r="R279" t="s">
        <v>723</v>
      </c>
      <c r="S279" t="s">
        <v>203</v>
      </c>
      <c r="T279" t="s">
        <v>8751</v>
      </c>
      <c r="U279" s="1">
        <v>23209</v>
      </c>
      <c r="V279" t="s">
        <v>22</v>
      </c>
      <c r="W279" t="s">
        <v>16</v>
      </c>
      <c r="X279" t="s">
        <v>3261</v>
      </c>
      <c r="Y279">
        <v>60000</v>
      </c>
      <c r="Z279">
        <v>3</v>
      </c>
      <c r="AA279" t="s">
        <v>135</v>
      </c>
      <c r="AB279" t="s">
        <v>18</v>
      </c>
      <c r="AC279" t="s">
        <v>23</v>
      </c>
      <c r="AD279" t="s">
        <v>3580</v>
      </c>
      <c r="AE279" t="s">
        <v>3578</v>
      </c>
      <c r="AF279" t="s">
        <v>3579</v>
      </c>
      <c r="AG279" t="s">
        <v>3478</v>
      </c>
      <c r="AH279" t="s">
        <v>3475</v>
      </c>
      <c r="AI279">
        <v>2071.4196000000002</v>
      </c>
      <c r="AJ279">
        <v>1117.8559</v>
      </c>
      <c r="AK279">
        <v>953.56370000000004</v>
      </c>
      <c r="AL279">
        <v>0.460343090313522</v>
      </c>
    </row>
    <row r="280" spans="1:38">
      <c r="A280" s="1">
        <v>42364</v>
      </c>
      <c r="B280">
        <v>2015</v>
      </c>
      <c r="C280">
        <v>12</v>
      </c>
      <c r="D280" t="s">
        <v>8994</v>
      </c>
      <c r="E280" s="1">
        <v>37540</v>
      </c>
      <c r="F280" t="s">
        <v>6174</v>
      </c>
      <c r="G280">
        <v>362</v>
      </c>
      <c r="H280">
        <v>26627</v>
      </c>
      <c r="I280">
        <v>4</v>
      </c>
      <c r="J280">
        <v>1</v>
      </c>
      <c r="K280">
        <v>1</v>
      </c>
      <c r="L280">
        <v>1</v>
      </c>
      <c r="M280" t="s">
        <v>3545</v>
      </c>
      <c r="N280" t="s">
        <v>3546</v>
      </c>
      <c r="O280">
        <v>1105.81</v>
      </c>
      <c r="P280">
        <v>2049.0981999999999</v>
      </c>
      <c r="Q280" t="s">
        <v>13</v>
      </c>
      <c r="R280" t="s">
        <v>304</v>
      </c>
      <c r="S280" t="s">
        <v>288</v>
      </c>
      <c r="T280" t="s">
        <v>8765</v>
      </c>
      <c r="U280" s="1">
        <v>24691</v>
      </c>
      <c r="V280" t="s">
        <v>16</v>
      </c>
      <c r="W280" t="s">
        <v>16</v>
      </c>
      <c r="X280" t="s">
        <v>3275</v>
      </c>
      <c r="Y280">
        <v>60000</v>
      </c>
      <c r="Z280">
        <v>0</v>
      </c>
      <c r="AA280" t="s">
        <v>135</v>
      </c>
      <c r="AB280" t="s">
        <v>18</v>
      </c>
      <c r="AC280" t="s">
        <v>23</v>
      </c>
      <c r="AD280" t="s">
        <v>3580</v>
      </c>
      <c r="AE280" t="s">
        <v>3578</v>
      </c>
      <c r="AF280" t="s">
        <v>3579</v>
      </c>
      <c r="AG280" t="s">
        <v>3478</v>
      </c>
      <c r="AH280" t="s">
        <v>3475</v>
      </c>
      <c r="AI280">
        <v>2049.0981999999999</v>
      </c>
      <c r="AJ280">
        <v>1105.81</v>
      </c>
      <c r="AK280">
        <v>943.28819999999996</v>
      </c>
      <c r="AL280">
        <v>0.46034309141455498</v>
      </c>
    </row>
    <row r="281" spans="1:38">
      <c r="A281" s="1">
        <v>42365</v>
      </c>
      <c r="B281">
        <v>2015</v>
      </c>
      <c r="C281">
        <v>12</v>
      </c>
      <c r="D281" t="s">
        <v>8994</v>
      </c>
      <c r="E281" s="1">
        <v>37583</v>
      </c>
      <c r="F281" t="s">
        <v>6179</v>
      </c>
      <c r="G281">
        <v>360</v>
      </c>
      <c r="H281">
        <v>13130</v>
      </c>
      <c r="I281">
        <v>9</v>
      </c>
      <c r="J281">
        <v>1</v>
      </c>
      <c r="K281">
        <v>1</v>
      </c>
      <c r="L281">
        <v>1</v>
      </c>
      <c r="M281" t="s">
        <v>3543</v>
      </c>
      <c r="N281" t="s">
        <v>3544</v>
      </c>
      <c r="O281">
        <v>1105.81</v>
      </c>
      <c r="P281">
        <v>2049.0981999999999</v>
      </c>
      <c r="Q281" t="s">
        <v>13</v>
      </c>
      <c r="R281" t="s">
        <v>186</v>
      </c>
      <c r="S281" t="s">
        <v>328</v>
      </c>
      <c r="T281" t="s">
        <v>7116</v>
      </c>
      <c r="U281" s="1">
        <v>21849</v>
      </c>
      <c r="V281" t="s">
        <v>16</v>
      </c>
      <c r="W281" t="s">
        <v>16</v>
      </c>
      <c r="X281" t="s">
        <v>1430</v>
      </c>
      <c r="Y281">
        <v>90000</v>
      </c>
      <c r="Z281">
        <v>1</v>
      </c>
      <c r="AA281" t="s">
        <v>17</v>
      </c>
      <c r="AB281" t="s">
        <v>18</v>
      </c>
      <c r="AC281" t="s">
        <v>19</v>
      </c>
      <c r="AD281" t="s">
        <v>3586</v>
      </c>
      <c r="AE281" t="s">
        <v>3586</v>
      </c>
      <c r="AF281" t="s">
        <v>3587</v>
      </c>
      <c r="AG281" t="s">
        <v>3478</v>
      </c>
      <c r="AH281" t="s">
        <v>3475</v>
      </c>
      <c r="AI281">
        <v>2049.0981999999999</v>
      </c>
      <c r="AJ281">
        <v>1105.81</v>
      </c>
      <c r="AK281">
        <v>943.28819999999996</v>
      </c>
      <c r="AL281">
        <v>0.46034309141455498</v>
      </c>
    </row>
    <row r="282" spans="1:38">
      <c r="A282" s="1">
        <v>42365</v>
      </c>
      <c r="B282">
        <v>2015</v>
      </c>
      <c r="C282">
        <v>12</v>
      </c>
      <c r="D282" t="s">
        <v>8994</v>
      </c>
      <c r="E282" s="1">
        <v>37590</v>
      </c>
      <c r="F282" t="s">
        <v>6177</v>
      </c>
      <c r="G282">
        <v>352</v>
      </c>
      <c r="H282">
        <v>12317</v>
      </c>
      <c r="I282">
        <v>10</v>
      </c>
      <c r="J282">
        <v>1</v>
      </c>
      <c r="K282">
        <v>1</v>
      </c>
      <c r="L282">
        <v>1</v>
      </c>
      <c r="M282" t="s">
        <v>3535</v>
      </c>
      <c r="N282" t="s">
        <v>3536</v>
      </c>
      <c r="O282">
        <v>1117.8559</v>
      </c>
      <c r="P282">
        <v>2071.4196000000002</v>
      </c>
      <c r="Q282" t="s">
        <v>13</v>
      </c>
      <c r="R282" t="s">
        <v>133</v>
      </c>
      <c r="S282" t="s">
        <v>450</v>
      </c>
      <c r="T282" t="s">
        <v>6886</v>
      </c>
      <c r="U282" s="1">
        <v>19626</v>
      </c>
      <c r="V282" t="s">
        <v>16</v>
      </c>
      <c r="W282" t="s">
        <v>16</v>
      </c>
      <c r="X282" t="s">
        <v>1092</v>
      </c>
      <c r="Y282">
        <v>150000</v>
      </c>
      <c r="Z282">
        <v>2</v>
      </c>
      <c r="AA282" t="s">
        <v>17</v>
      </c>
      <c r="AB282" t="s">
        <v>45</v>
      </c>
      <c r="AC282" t="s">
        <v>19</v>
      </c>
      <c r="AD282" t="s">
        <v>3588</v>
      </c>
      <c r="AE282" t="s">
        <v>3588</v>
      </c>
      <c r="AF282" t="s">
        <v>3584</v>
      </c>
      <c r="AG282" t="s">
        <v>3478</v>
      </c>
      <c r="AH282" t="s">
        <v>3475</v>
      </c>
      <c r="AI282">
        <v>2071.4196000000002</v>
      </c>
      <c r="AJ282">
        <v>1117.8559</v>
      </c>
      <c r="AK282">
        <v>953.56370000000004</v>
      </c>
      <c r="AL282">
        <v>0.460343090313522</v>
      </c>
    </row>
    <row r="283" spans="1:38">
      <c r="A283" s="1">
        <v>42365</v>
      </c>
      <c r="B283">
        <v>2015</v>
      </c>
      <c r="C283">
        <v>12</v>
      </c>
      <c r="D283" t="s">
        <v>8994</v>
      </c>
      <c r="E283" s="1">
        <v>37536</v>
      </c>
      <c r="F283" t="s">
        <v>6185</v>
      </c>
      <c r="G283">
        <v>369</v>
      </c>
      <c r="H283">
        <v>13728</v>
      </c>
      <c r="I283">
        <v>4</v>
      </c>
      <c r="J283">
        <v>1</v>
      </c>
      <c r="K283">
        <v>1</v>
      </c>
      <c r="L283">
        <v>2</v>
      </c>
      <c r="M283" t="s">
        <v>3549</v>
      </c>
      <c r="N283" t="s">
        <v>3550</v>
      </c>
      <c r="O283">
        <v>1518.7864</v>
      </c>
      <c r="P283">
        <v>2443.35</v>
      </c>
      <c r="Q283" t="s">
        <v>30</v>
      </c>
      <c r="R283" t="s">
        <v>254</v>
      </c>
      <c r="S283" t="s">
        <v>345</v>
      </c>
      <c r="T283" t="s">
        <v>7155</v>
      </c>
      <c r="U283" s="1">
        <v>20327</v>
      </c>
      <c r="V283" t="s">
        <v>16</v>
      </c>
      <c r="W283" t="s">
        <v>29</v>
      </c>
      <c r="X283" t="s">
        <v>1614</v>
      </c>
      <c r="Y283">
        <v>40000</v>
      </c>
      <c r="Z283">
        <v>1</v>
      </c>
      <c r="AA283" t="s">
        <v>52</v>
      </c>
      <c r="AB283" t="s">
        <v>60</v>
      </c>
      <c r="AC283" t="s">
        <v>19</v>
      </c>
      <c r="AD283" t="s">
        <v>3580</v>
      </c>
      <c r="AE283" t="s">
        <v>3578</v>
      </c>
      <c r="AF283" t="s">
        <v>3579</v>
      </c>
      <c r="AG283" t="s">
        <v>3479</v>
      </c>
      <c r="AH283" t="s">
        <v>3475</v>
      </c>
      <c r="AI283">
        <v>2443.35</v>
      </c>
      <c r="AJ283">
        <v>1518.7864</v>
      </c>
      <c r="AK283">
        <v>924.56359999999995</v>
      </c>
      <c r="AL283">
        <v>0.37839998362903399</v>
      </c>
    </row>
    <row r="284" spans="1:38">
      <c r="A284" s="1">
        <v>42365</v>
      </c>
      <c r="B284">
        <v>2015</v>
      </c>
      <c r="C284">
        <v>12</v>
      </c>
      <c r="D284" t="s">
        <v>8994</v>
      </c>
      <c r="E284" s="1">
        <v>37557</v>
      </c>
      <c r="F284" t="s">
        <v>6183</v>
      </c>
      <c r="G284">
        <v>373</v>
      </c>
      <c r="H284">
        <v>22966</v>
      </c>
      <c r="I284">
        <v>9</v>
      </c>
      <c r="J284">
        <v>1</v>
      </c>
      <c r="K284">
        <v>1</v>
      </c>
      <c r="L284">
        <v>2</v>
      </c>
      <c r="M284" t="s">
        <v>3555</v>
      </c>
      <c r="N284" t="s">
        <v>3556</v>
      </c>
      <c r="O284">
        <v>1320.6838</v>
      </c>
      <c r="P284">
        <v>2181.5625</v>
      </c>
      <c r="Q284" t="s">
        <v>30</v>
      </c>
      <c r="R284" t="s">
        <v>1723</v>
      </c>
      <c r="S284" t="s">
        <v>392</v>
      </c>
      <c r="T284" t="s">
        <v>8343</v>
      </c>
      <c r="U284" s="1">
        <v>20791</v>
      </c>
      <c r="V284" t="s">
        <v>22</v>
      </c>
      <c r="W284" t="s">
        <v>29</v>
      </c>
      <c r="X284" t="s">
        <v>2842</v>
      </c>
      <c r="Y284">
        <v>80000</v>
      </c>
      <c r="Z284">
        <v>2</v>
      </c>
      <c r="AA284" t="s">
        <v>52</v>
      </c>
      <c r="AB284" t="s">
        <v>53</v>
      </c>
      <c r="AC284" t="s">
        <v>23</v>
      </c>
      <c r="AD284" t="s">
        <v>3586</v>
      </c>
      <c r="AE284" t="s">
        <v>3586</v>
      </c>
      <c r="AF284" t="s">
        <v>3587</v>
      </c>
      <c r="AG284" t="s">
        <v>3479</v>
      </c>
      <c r="AH284" t="s">
        <v>3475</v>
      </c>
      <c r="AI284">
        <v>2181.5625</v>
      </c>
      <c r="AJ284">
        <v>1320.6838</v>
      </c>
      <c r="AK284">
        <v>860.87869999999998</v>
      </c>
      <c r="AL284">
        <v>0.39461564818793898</v>
      </c>
    </row>
    <row r="285" spans="1:38">
      <c r="A285" s="1">
        <v>42365</v>
      </c>
      <c r="B285">
        <v>2015</v>
      </c>
      <c r="C285">
        <v>12</v>
      </c>
      <c r="D285" t="s">
        <v>8994</v>
      </c>
      <c r="E285" s="1">
        <v>37595</v>
      </c>
      <c r="F285" t="s">
        <v>6181</v>
      </c>
      <c r="G285">
        <v>385</v>
      </c>
      <c r="H285">
        <v>24914</v>
      </c>
      <c r="I285">
        <v>9</v>
      </c>
      <c r="J285">
        <v>1</v>
      </c>
      <c r="K285">
        <v>1</v>
      </c>
      <c r="L285">
        <v>2</v>
      </c>
      <c r="M285" t="s">
        <v>3567</v>
      </c>
      <c r="N285" t="s">
        <v>3568</v>
      </c>
      <c r="O285">
        <v>605.64919999999995</v>
      </c>
      <c r="P285">
        <v>1000.4375</v>
      </c>
      <c r="Q285" t="s">
        <v>26</v>
      </c>
      <c r="R285" t="s">
        <v>1165</v>
      </c>
      <c r="S285" t="s">
        <v>138</v>
      </c>
      <c r="T285" t="s">
        <v>8451</v>
      </c>
      <c r="U285" s="1">
        <v>26285</v>
      </c>
      <c r="V285" t="s">
        <v>16</v>
      </c>
      <c r="W285" t="s">
        <v>29</v>
      </c>
      <c r="X285" t="s">
        <v>2951</v>
      </c>
      <c r="Y285">
        <v>90000</v>
      </c>
      <c r="Z285">
        <v>0</v>
      </c>
      <c r="AA285" t="s">
        <v>17</v>
      </c>
      <c r="AB285" t="s">
        <v>18</v>
      </c>
      <c r="AC285" t="s">
        <v>23</v>
      </c>
      <c r="AD285" t="s">
        <v>3586</v>
      </c>
      <c r="AE285" t="s">
        <v>3586</v>
      </c>
      <c r="AF285" t="s">
        <v>3587</v>
      </c>
      <c r="AG285" t="s">
        <v>3479</v>
      </c>
      <c r="AH285" t="s">
        <v>3475</v>
      </c>
      <c r="AI285">
        <v>1000.4375</v>
      </c>
      <c r="AJ285">
        <v>605.64919999999995</v>
      </c>
      <c r="AK285">
        <v>394.78829999999999</v>
      </c>
      <c r="AL285">
        <v>0.39461565565065299</v>
      </c>
    </row>
    <row r="286" spans="1:38">
      <c r="A286" s="1">
        <v>42365</v>
      </c>
      <c r="B286">
        <v>2015</v>
      </c>
      <c r="C286">
        <v>12</v>
      </c>
      <c r="D286" t="s">
        <v>8994</v>
      </c>
      <c r="E286" s="1">
        <v>37586</v>
      </c>
      <c r="F286" t="s">
        <v>6180</v>
      </c>
      <c r="G286">
        <v>385</v>
      </c>
      <c r="H286">
        <v>17648</v>
      </c>
      <c r="I286">
        <v>7</v>
      </c>
      <c r="J286">
        <v>1</v>
      </c>
      <c r="K286">
        <v>1</v>
      </c>
      <c r="L286">
        <v>2</v>
      </c>
      <c r="M286" t="s">
        <v>3567</v>
      </c>
      <c r="N286" t="s">
        <v>3568</v>
      </c>
      <c r="O286">
        <v>605.64919999999995</v>
      </c>
      <c r="P286">
        <v>1000.4375</v>
      </c>
      <c r="Q286" t="s">
        <v>13</v>
      </c>
      <c r="R286" t="s">
        <v>130</v>
      </c>
      <c r="S286" t="s">
        <v>664</v>
      </c>
      <c r="T286" t="s">
        <v>7683</v>
      </c>
      <c r="U286" s="1">
        <v>26040</v>
      </c>
      <c r="V286" t="s">
        <v>22</v>
      </c>
      <c r="W286" t="s">
        <v>16</v>
      </c>
      <c r="X286" t="s">
        <v>2170</v>
      </c>
      <c r="Y286">
        <v>40000</v>
      </c>
      <c r="Z286">
        <v>2</v>
      </c>
      <c r="AA286" t="s">
        <v>52</v>
      </c>
      <c r="AB286" t="s">
        <v>60</v>
      </c>
      <c r="AC286" t="s">
        <v>19</v>
      </c>
      <c r="AD286" t="s">
        <v>3583</v>
      </c>
      <c r="AE286" t="s">
        <v>3583</v>
      </c>
      <c r="AF286" t="s">
        <v>3584</v>
      </c>
      <c r="AG286" t="s">
        <v>3479</v>
      </c>
      <c r="AH286" t="s">
        <v>3475</v>
      </c>
      <c r="AI286">
        <v>1000.4375</v>
      </c>
      <c r="AJ286">
        <v>605.64919999999995</v>
      </c>
      <c r="AK286">
        <v>394.78829999999999</v>
      </c>
      <c r="AL286">
        <v>0.39461565565065299</v>
      </c>
    </row>
    <row r="287" spans="1:38">
      <c r="A287" s="1">
        <v>42365</v>
      </c>
      <c r="B287">
        <v>2015</v>
      </c>
      <c r="C287">
        <v>12</v>
      </c>
      <c r="D287" t="s">
        <v>8994</v>
      </c>
      <c r="E287" s="1">
        <v>37540</v>
      </c>
      <c r="F287" t="s">
        <v>6184</v>
      </c>
      <c r="G287">
        <v>371</v>
      </c>
      <c r="H287">
        <v>25999</v>
      </c>
      <c r="I287">
        <v>6</v>
      </c>
      <c r="J287">
        <v>1</v>
      </c>
      <c r="K287">
        <v>1</v>
      </c>
      <c r="L287">
        <v>2</v>
      </c>
      <c r="M287" t="s">
        <v>3553</v>
      </c>
      <c r="N287" t="s">
        <v>3554</v>
      </c>
      <c r="O287">
        <v>1320.6838</v>
      </c>
      <c r="P287">
        <v>2181.5625</v>
      </c>
      <c r="Q287" t="s">
        <v>13</v>
      </c>
      <c r="R287" t="s">
        <v>792</v>
      </c>
      <c r="S287" t="s">
        <v>366</v>
      </c>
      <c r="T287" t="s">
        <v>8544</v>
      </c>
      <c r="U287" s="1">
        <v>22098</v>
      </c>
      <c r="V287" t="s">
        <v>16</v>
      </c>
      <c r="W287" t="s">
        <v>16</v>
      </c>
      <c r="X287" t="s">
        <v>3047</v>
      </c>
      <c r="Y287">
        <v>40000</v>
      </c>
      <c r="Z287">
        <v>4</v>
      </c>
      <c r="AA287" t="s">
        <v>57</v>
      </c>
      <c r="AB287" t="s">
        <v>53</v>
      </c>
      <c r="AC287" t="s">
        <v>19</v>
      </c>
      <c r="AD287" t="s">
        <v>3582</v>
      </c>
      <c r="AE287" t="s">
        <v>3582</v>
      </c>
      <c r="AF287" t="s">
        <v>3579</v>
      </c>
      <c r="AG287" t="s">
        <v>3479</v>
      </c>
      <c r="AH287" t="s">
        <v>3475</v>
      </c>
      <c r="AI287">
        <v>2181.5625</v>
      </c>
      <c r="AJ287">
        <v>1320.6838</v>
      </c>
      <c r="AK287">
        <v>860.87869999999998</v>
      </c>
      <c r="AL287">
        <v>0.39461564818793898</v>
      </c>
    </row>
    <row r="288" spans="1:38">
      <c r="A288" s="1">
        <v>42365</v>
      </c>
      <c r="B288">
        <v>2015</v>
      </c>
      <c r="C288">
        <v>12</v>
      </c>
      <c r="D288" t="s">
        <v>8994</v>
      </c>
      <c r="E288" s="1">
        <v>37571</v>
      </c>
      <c r="F288" t="s">
        <v>6182</v>
      </c>
      <c r="G288">
        <v>338</v>
      </c>
      <c r="H288">
        <v>26549</v>
      </c>
      <c r="I288">
        <v>9</v>
      </c>
      <c r="J288">
        <v>1</v>
      </c>
      <c r="K288">
        <v>1</v>
      </c>
      <c r="L288">
        <v>2</v>
      </c>
      <c r="M288" t="s">
        <v>3513</v>
      </c>
      <c r="N288" t="s">
        <v>3514</v>
      </c>
      <c r="O288">
        <v>413.1463</v>
      </c>
      <c r="P288">
        <v>699.09820000000002</v>
      </c>
      <c r="Q288" t="s">
        <v>13</v>
      </c>
      <c r="R288" t="s">
        <v>802</v>
      </c>
      <c r="S288" t="s">
        <v>538</v>
      </c>
      <c r="T288" t="s">
        <v>8728</v>
      </c>
      <c r="U288" s="1">
        <v>17760</v>
      </c>
      <c r="V288" t="s">
        <v>22</v>
      </c>
      <c r="W288" t="s">
        <v>16</v>
      </c>
      <c r="X288" t="s">
        <v>3238</v>
      </c>
      <c r="Y288">
        <v>20000</v>
      </c>
      <c r="Z288">
        <v>2</v>
      </c>
      <c r="AA288" t="s">
        <v>77</v>
      </c>
      <c r="AB288" t="s">
        <v>60</v>
      </c>
      <c r="AC288" t="s">
        <v>19</v>
      </c>
      <c r="AD288" t="s">
        <v>3586</v>
      </c>
      <c r="AE288" t="s">
        <v>3586</v>
      </c>
      <c r="AF288" t="s">
        <v>3587</v>
      </c>
      <c r="AG288" t="s">
        <v>3479</v>
      </c>
      <c r="AH288" t="s">
        <v>3475</v>
      </c>
      <c r="AI288">
        <v>699.09820000000002</v>
      </c>
      <c r="AJ288">
        <v>413.1463</v>
      </c>
      <c r="AK288">
        <v>285.95190000000002</v>
      </c>
      <c r="AL288">
        <v>0.409029661355157</v>
      </c>
    </row>
    <row r="289" spans="1:38">
      <c r="A289" s="1">
        <v>42365</v>
      </c>
      <c r="B289">
        <v>2015</v>
      </c>
      <c r="C289">
        <v>12</v>
      </c>
      <c r="D289" t="s">
        <v>8994</v>
      </c>
      <c r="E289" s="1">
        <v>37506</v>
      </c>
      <c r="F289" t="s">
        <v>6178</v>
      </c>
      <c r="G289">
        <v>379</v>
      </c>
      <c r="H289">
        <v>16534</v>
      </c>
      <c r="I289">
        <v>8</v>
      </c>
      <c r="J289">
        <v>1</v>
      </c>
      <c r="K289">
        <v>1</v>
      </c>
      <c r="L289">
        <v>2</v>
      </c>
      <c r="M289" t="s">
        <v>3561</v>
      </c>
      <c r="N289" t="s">
        <v>3562</v>
      </c>
      <c r="O289">
        <v>1320.6838</v>
      </c>
      <c r="P289">
        <v>2181.5625</v>
      </c>
      <c r="Q289" t="s">
        <v>30</v>
      </c>
      <c r="R289" t="s">
        <v>360</v>
      </c>
      <c r="S289" t="s">
        <v>2107</v>
      </c>
      <c r="T289" t="s">
        <v>7627</v>
      </c>
      <c r="U289" s="1">
        <v>22317</v>
      </c>
      <c r="V289" t="s">
        <v>16</v>
      </c>
      <c r="W289" t="s">
        <v>29</v>
      </c>
      <c r="X289" t="s">
        <v>2110</v>
      </c>
      <c r="Y289">
        <v>30000</v>
      </c>
      <c r="Z289">
        <v>4</v>
      </c>
      <c r="AA289" t="s">
        <v>135</v>
      </c>
      <c r="AB289" t="s">
        <v>60</v>
      </c>
      <c r="AC289" t="s">
        <v>19</v>
      </c>
      <c r="AD289" t="s">
        <v>3585</v>
      </c>
      <c r="AE289" t="s">
        <v>3585</v>
      </c>
      <c r="AF289" t="s">
        <v>3584</v>
      </c>
      <c r="AG289" t="s">
        <v>3479</v>
      </c>
      <c r="AH289" t="s">
        <v>3475</v>
      </c>
      <c r="AI289">
        <v>2181.5625</v>
      </c>
      <c r="AJ289">
        <v>1320.6838</v>
      </c>
      <c r="AK289">
        <v>860.87869999999998</v>
      </c>
      <c r="AL289">
        <v>0.39461564818793898</v>
      </c>
    </row>
    <row r="290" spans="1:38">
      <c r="A290" s="1">
        <v>42366</v>
      </c>
      <c r="B290">
        <v>2015</v>
      </c>
      <c r="C290">
        <v>12</v>
      </c>
      <c r="D290" t="s">
        <v>8994</v>
      </c>
      <c r="E290" s="1">
        <v>37586</v>
      </c>
      <c r="F290" t="s">
        <v>6190</v>
      </c>
      <c r="G290">
        <v>362</v>
      </c>
      <c r="H290">
        <v>13115</v>
      </c>
      <c r="I290">
        <v>9</v>
      </c>
      <c r="J290">
        <v>1</v>
      </c>
      <c r="K290">
        <v>1</v>
      </c>
      <c r="L290">
        <v>1</v>
      </c>
      <c r="M290" t="s">
        <v>3545</v>
      </c>
      <c r="N290" t="s">
        <v>3546</v>
      </c>
      <c r="O290">
        <v>1105.81</v>
      </c>
      <c r="P290">
        <v>2049.0981999999999</v>
      </c>
      <c r="Q290" t="s">
        <v>13</v>
      </c>
      <c r="R290" t="s">
        <v>58</v>
      </c>
      <c r="S290" t="s">
        <v>268</v>
      </c>
      <c r="T290" t="s">
        <v>7107</v>
      </c>
      <c r="U290" s="1">
        <v>24377</v>
      </c>
      <c r="V290" t="s">
        <v>22</v>
      </c>
      <c r="W290" t="s">
        <v>16</v>
      </c>
      <c r="X290" t="s">
        <v>1420</v>
      </c>
      <c r="Y290">
        <v>110000</v>
      </c>
      <c r="Z290">
        <v>0</v>
      </c>
      <c r="AA290" t="s">
        <v>135</v>
      </c>
      <c r="AB290" t="s">
        <v>45</v>
      </c>
      <c r="AC290" t="s">
        <v>19</v>
      </c>
      <c r="AD290" t="s">
        <v>3586</v>
      </c>
      <c r="AE290" t="s">
        <v>3586</v>
      </c>
      <c r="AF290" t="s">
        <v>3587</v>
      </c>
      <c r="AG290" t="s">
        <v>3478</v>
      </c>
      <c r="AH290" t="s">
        <v>3475</v>
      </c>
      <c r="AI290">
        <v>2049.0981999999999</v>
      </c>
      <c r="AJ290">
        <v>1105.81</v>
      </c>
      <c r="AK290">
        <v>943.28819999999996</v>
      </c>
      <c r="AL290">
        <v>0.46034309141455498</v>
      </c>
    </row>
    <row r="291" spans="1:38">
      <c r="A291" s="1">
        <v>42366</v>
      </c>
      <c r="B291">
        <v>2015</v>
      </c>
      <c r="C291">
        <v>12</v>
      </c>
      <c r="D291" t="s">
        <v>8994</v>
      </c>
      <c r="E291" s="1">
        <v>37511</v>
      </c>
      <c r="F291" t="s">
        <v>6188</v>
      </c>
      <c r="G291">
        <v>360</v>
      </c>
      <c r="H291">
        <v>13103</v>
      </c>
      <c r="I291">
        <v>9</v>
      </c>
      <c r="J291">
        <v>1</v>
      </c>
      <c r="K291">
        <v>1</v>
      </c>
      <c r="L291">
        <v>1</v>
      </c>
      <c r="M291" t="s">
        <v>3543</v>
      </c>
      <c r="N291" t="s">
        <v>3544</v>
      </c>
      <c r="O291">
        <v>1105.81</v>
      </c>
      <c r="P291">
        <v>2049.0981999999999</v>
      </c>
      <c r="Q291" t="s">
        <v>13</v>
      </c>
      <c r="R291" t="s">
        <v>761</v>
      </c>
      <c r="S291" t="s">
        <v>155</v>
      </c>
      <c r="T291" t="s">
        <v>7095</v>
      </c>
      <c r="U291" s="1">
        <v>23225</v>
      </c>
      <c r="V291" t="s">
        <v>22</v>
      </c>
      <c r="W291" t="s">
        <v>16</v>
      </c>
      <c r="X291" t="s">
        <v>1407</v>
      </c>
      <c r="Y291">
        <v>70000</v>
      </c>
      <c r="Z291">
        <v>0</v>
      </c>
      <c r="AA291" t="s">
        <v>17</v>
      </c>
      <c r="AB291" t="s">
        <v>18</v>
      </c>
      <c r="AC291" t="s">
        <v>23</v>
      </c>
      <c r="AD291" t="s">
        <v>3586</v>
      </c>
      <c r="AE291" t="s">
        <v>3586</v>
      </c>
      <c r="AF291" t="s">
        <v>3587</v>
      </c>
      <c r="AG291" t="s">
        <v>3478</v>
      </c>
      <c r="AH291" t="s">
        <v>3475</v>
      </c>
      <c r="AI291">
        <v>2049.0981999999999</v>
      </c>
      <c r="AJ291">
        <v>1105.81</v>
      </c>
      <c r="AK291">
        <v>943.28819999999996</v>
      </c>
      <c r="AL291">
        <v>0.46034309141455498</v>
      </c>
    </row>
    <row r="292" spans="1:38">
      <c r="A292" s="1">
        <v>42366</v>
      </c>
      <c r="B292">
        <v>2015</v>
      </c>
      <c r="C292">
        <v>12</v>
      </c>
      <c r="D292" t="s">
        <v>8994</v>
      </c>
      <c r="E292" s="1">
        <v>37533</v>
      </c>
      <c r="F292" t="s">
        <v>6192</v>
      </c>
      <c r="G292">
        <v>370</v>
      </c>
      <c r="H292">
        <v>25995</v>
      </c>
      <c r="I292">
        <v>6</v>
      </c>
      <c r="J292">
        <v>1</v>
      </c>
      <c r="K292">
        <v>1</v>
      </c>
      <c r="L292">
        <v>2</v>
      </c>
      <c r="M292" t="s">
        <v>3551</v>
      </c>
      <c r="N292" t="s">
        <v>3552</v>
      </c>
      <c r="O292">
        <v>1518.7864</v>
      </c>
      <c r="P292">
        <v>2443.35</v>
      </c>
      <c r="Q292" t="s">
        <v>13</v>
      </c>
      <c r="R292" t="s">
        <v>985</v>
      </c>
      <c r="S292" t="s">
        <v>177</v>
      </c>
      <c r="T292" t="s">
        <v>8540</v>
      </c>
      <c r="U292" s="1">
        <v>22373</v>
      </c>
      <c r="V292" t="s">
        <v>16</v>
      </c>
      <c r="W292" t="s">
        <v>16</v>
      </c>
      <c r="X292" t="s">
        <v>3043</v>
      </c>
      <c r="Y292">
        <v>40000</v>
      </c>
      <c r="Z292">
        <v>4</v>
      </c>
      <c r="AA292" t="s">
        <v>57</v>
      </c>
      <c r="AB292" t="s">
        <v>53</v>
      </c>
      <c r="AC292" t="s">
        <v>19</v>
      </c>
      <c r="AD292" t="s">
        <v>3582</v>
      </c>
      <c r="AE292" t="s">
        <v>3582</v>
      </c>
      <c r="AF292" t="s">
        <v>3579</v>
      </c>
      <c r="AG292" t="s">
        <v>3479</v>
      </c>
      <c r="AH292" t="s">
        <v>3475</v>
      </c>
      <c r="AI292">
        <v>2443.35</v>
      </c>
      <c r="AJ292">
        <v>1518.7864</v>
      </c>
      <c r="AK292">
        <v>924.56359999999995</v>
      </c>
      <c r="AL292">
        <v>0.37839998362903399</v>
      </c>
    </row>
    <row r="293" spans="1:38">
      <c r="A293" s="1">
        <v>42366</v>
      </c>
      <c r="B293">
        <v>2015</v>
      </c>
      <c r="C293">
        <v>12</v>
      </c>
      <c r="D293" t="s">
        <v>8994</v>
      </c>
      <c r="E293" s="1">
        <v>37594</v>
      </c>
      <c r="F293" t="s">
        <v>6193</v>
      </c>
      <c r="G293">
        <v>362</v>
      </c>
      <c r="H293">
        <v>26647</v>
      </c>
      <c r="I293">
        <v>4</v>
      </c>
      <c r="J293">
        <v>1</v>
      </c>
      <c r="K293">
        <v>1</v>
      </c>
      <c r="L293">
        <v>1</v>
      </c>
      <c r="M293" t="s">
        <v>3545</v>
      </c>
      <c r="N293" t="s">
        <v>3546</v>
      </c>
      <c r="O293">
        <v>1105.81</v>
      </c>
      <c r="P293">
        <v>2049.0981999999999</v>
      </c>
      <c r="Q293" t="s">
        <v>30</v>
      </c>
      <c r="R293" t="s">
        <v>253</v>
      </c>
      <c r="S293" t="s">
        <v>111</v>
      </c>
      <c r="T293" t="s">
        <v>8777</v>
      </c>
      <c r="U293" s="1">
        <v>21272</v>
      </c>
      <c r="V293" t="s">
        <v>22</v>
      </c>
      <c r="W293" t="s">
        <v>29</v>
      </c>
      <c r="X293" t="s">
        <v>3287</v>
      </c>
      <c r="Y293">
        <v>60000</v>
      </c>
      <c r="Z293">
        <v>1</v>
      </c>
      <c r="AA293" t="s">
        <v>17</v>
      </c>
      <c r="AB293" t="s">
        <v>18</v>
      </c>
      <c r="AC293" t="s">
        <v>19</v>
      </c>
      <c r="AD293" t="s">
        <v>3580</v>
      </c>
      <c r="AE293" t="s">
        <v>3578</v>
      </c>
      <c r="AF293" t="s">
        <v>3579</v>
      </c>
      <c r="AG293" t="s">
        <v>3478</v>
      </c>
      <c r="AH293" t="s">
        <v>3475</v>
      </c>
      <c r="AI293">
        <v>2049.0981999999999</v>
      </c>
      <c r="AJ293">
        <v>1105.81</v>
      </c>
      <c r="AK293">
        <v>943.28819999999996</v>
      </c>
      <c r="AL293">
        <v>0.46034309141455498</v>
      </c>
    </row>
    <row r="294" spans="1:38">
      <c r="A294" s="1">
        <v>42366</v>
      </c>
      <c r="B294">
        <v>2015</v>
      </c>
      <c r="C294">
        <v>12</v>
      </c>
      <c r="D294" t="s">
        <v>8994</v>
      </c>
      <c r="E294" s="1">
        <v>37531</v>
      </c>
      <c r="F294" t="s">
        <v>6186</v>
      </c>
      <c r="G294">
        <v>381</v>
      </c>
      <c r="H294">
        <v>18171</v>
      </c>
      <c r="I294">
        <v>8</v>
      </c>
      <c r="J294">
        <v>1</v>
      </c>
      <c r="K294">
        <v>1</v>
      </c>
      <c r="L294">
        <v>2</v>
      </c>
      <c r="M294" t="s">
        <v>3563</v>
      </c>
      <c r="N294" t="s">
        <v>3564</v>
      </c>
      <c r="O294">
        <v>605.64919999999995</v>
      </c>
      <c r="P294">
        <v>1000.4375</v>
      </c>
      <c r="Q294" t="s">
        <v>13</v>
      </c>
      <c r="R294" t="s">
        <v>74</v>
      </c>
      <c r="S294" t="s">
        <v>227</v>
      </c>
      <c r="T294" t="s">
        <v>7708</v>
      </c>
      <c r="U294" s="1">
        <v>18721</v>
      </c>
      <c r="V294" t="s">
        <v>16</v>
      </c>
      <c r="W294" t="s">
        <v>16</v>
      </c>
      <c r="X294" t="s">
        <v>2195</v>
      </c>
      <c r="Y294">
        <v>110000</v>
      </c>
      <c r="Z294">
        <v>4</v>
      </c>
      <c r="AA294" t="s">
        <v>52</v>
      </c>
      <c r="AB294" t="s">
        <v>18</v>
      </c>
      <c r="AC294" t="s">
        <v>19</v>
      </c>
      <c r="AD294" t="s">
        <v>3585</v>
      </c>
      <c r="AE294" t="s">
        <v>3585</v>
      </c>
      <c r="AF294" t="s">
        <v>3584</v>
      </c>
      <c r="AG294" t="s">
        <v>3479</v>
      </c>
      <c r="AH294" t="s">
        <v>3475</v>
      </c>
      <c r="AI294">
        <v>1000.4375</v>
      </c>
      <c r="AJ294">
        <v>605.64919999999995</v>
      </c>
      <c r="AK294">
        <v>394.78829999999999</v>
      </c>
      <c r="AL294">
        <v>0.39461565565065299</v>
      </c>
    </row>
    <row r="295" spans="1:38">
      <c r="A295" s="1">
        <v>42366</v>
      </c>
      <c r="B295">
        <v>2015</v>
      </c>
      <c r="C295">
        <v>12</v>
      </c>
      <c r="D295" t="s">
        <v>8994</v>
      </c>
      <c r="E295" s="1">
        <v>37514</v>
      </c>
      <c r="F295" t="s">
        <v>6191</v>
      </c>
      <c r="G295">
        <v>362</v>
      </c>
      <c r="H295">
        <v>26624</v>
      </c>
      <c r="I295">
        <v>1</v>
      </c>
      <c r="J295">
        <v>1</v>
      </c>
      <c r="K295">
        <v>1</v>
      </c>
      <c r="L295">
        <v>1</v>
      </c>
      <c r="M295" t="s">
        <v>3545</v>
      </c>
      <c r="N295" t="s">
        <v>3546</v>
      </c>
      <c r="O295">
        <v>1105.81</v>
      </c>
      <c r="P295">
        <v>2049.0981999999999</v>
      </c>
      <c r="Q295" t="s">
        <v>26</v>
      </c>
      <c r="R295" t="s">
        <v>31</v>
      </c>
      <c r="S295" t="s">
        <v>71</v>
      </c>
      <c r="T295" t="s">
        <v>8762</v>
      </c>
      <c r="U295" s="1">
        <v>24598</v>
      </c>
      <c r="V295" t="s">
        <v>22</v>
      </c>
      <c r="W295" t="s">
        <v>29</v>
      </c>
      <c r="X295" t="s">
        <v>3272</v>
      </c>
      <c r="Y295">
        <v>50000</v>
      </c>
      <c r="Z295">
        <v>0</v>
      </c>
      <c r="AA295" t="s">
        <v>52</v>
      </c>
      <c r="AB295" t="s">
        <v>53</v>
      </c>
      <c r="AC295" t="s">
        <v>23</v>
      </c>
      <c r="AD295" t="s">
        <v>3577</v>
      </c>
      <c r="AE295" t="s">
        <v>3578</v>
      </c>
      <c r="AF295" t="s">
        <v>3579</v>
      </c>
      <c r="AG295" t="s">
        <v>3478</v>
      </c>
      <c r="AH295" t="s">
        <v>3475</v>
      </c>
      <c r="AI295">
        <v>2049.0981999999999</v>
      </c>
      <c r="AJ295">
        <v>1105.81</v>
      </c>
      <c r="AK295">
        <v>943.28819999999996</v>
      </c>
      <c r="AL295">
        <v>0.46034309141455498</v>
      </c>
    </row>
    <row r="296" spans="1:38">
      <c r="A296" s="1">
        <v>42366</v>
      </c>
      <c r="B296">
        <v>2015</v>
      </c>
      <c r="C296">
        <v>12</v>
      </c>
      <c r="D296" t="s">
        <v>8994</v>
      </c>
      <c r="E296" s="1">
        <v>37565</v>
      </c>
      <c r="F296" t="s">
        <v>6195</v>
      </c>
      <c r="G296">
        <v>360</v>
      </c>
      <c r="H296">
        <v>13519</v>
      </c>
      <c r="I296">
        <v>9</v>
      </c>
      <c r="J296">
        <v>1</v>
      </c>
      <c r="K296">
        <v>1</v>
      </c>
      <c r="L296">
        <v>1</v>
      </c>
      <c r="M296" t="s">
        <v>3543</v>
      </c>
      <c r="N296" t="s">
        <v>3544</v>
      </c>
      <c r="O296">
        <v>1105.81</v>
      </c>
      <c r="P296">
        <v>2049.0981999999999</v>
      </c>
      <c r="Q296" t="s">
        <v>13</v>
      </c>
      <c r="R296" t="s">
        <v>176</v>
      </c>
      <c r="S296" t="s">
        <v>321</v>
      </c>
      <c r="T296" t="s">
        <v>7136</v>
      </c>
      <c r="U296" s="1">
        <v>28766</v>
      </c>
      <c r="V296" t="s">
        <v>22</v>
      </c>
      <c r="W296" t="s">
        <v>16</v>
      </c>
      <c r="X296" t="s">
        <v>1566</v>
      </c>
      <c r="Y296">
        <v>10000</v>
      </c>
      <c r="Z296">
        <v>0</v>
      </c>
      <c r="AA296" t="s">
        <v>52</v>
      </c>
      <c r="AB296" t="s">
        <v>444</v>
      </c>
      <c r="AC296" t="s">
        <v>19</v>
      </c>
      <c r="AD296" t="s">
        <v>3586</v>
      </c>
      <c r="AE296" t="s">
        <v>3586</v>
      </c>
      <c r="AF296" t="s">
        <v>3587</v>
      </c>
      <c r="AG296" t="s">
        <v>3478</v>
      </c>
      <c r="AH296" t="s">
        <v>3475</v>
      </c>
      <c r="AI296">
        <v>2049.0981999999999</v>
      </c>
      <c r="AJ296">
        <v>1105.81</v>
      </c>
      <c r="AK296">
        <v>943.28819999999996</v>
      </c>
      <c r="AL296">
        <v>0.46034309141455498</v>
      </c>
    </row>
    <row r="297" spans="1:38">
      <c r="A297" s="1">
        <v>42366</v>
      </c>
      <c r="B297">
        <v>2015</v>
      </c>
      <c r="C297">
        <v>12</v>
      </c>
      <c r="D297" t="s">
        <v>8994</v>
      </c>
      <c r="E297" s="1">
        <v>37569</v>
      </c>
      <c r="F297" t="s">
        <v>6189</v>
      </c>
      <c r="G297">
        <v>368</v>
      </c>
      <c r="H297">
        <v>23100</v>
      </c>
      <c r="I297">
        <v>9</v>
      </c>
      <c r="J297">
        <v>1</v>
      </c>
      <c r="K297">
        <v>1</v>
      </c>
      <c r="L297">
        <v>2</v>
      </c>
      <c r="M297" t="s">
        <v>3547</v>
      </c>
      <c r="N297" t="s">
        <v>3548</v>
      </c>
      <c r="O297">
        <v>1518.7864</v>
      </c>
      <c r="P297">
        <v>2443.35</v>
      </c>
      <c r="Q297" t="s">
        <v>30</v>
      </c>
      <c r="R297" t="s">
        <v>27</v>
      </c>
      <c r="S297" t="s">
        <v>131</v>
      </c>
      <c r="T297" t="s">
        <v>8358</v>
      </c>
      <c r="U297" s="1">
        <v>19132</v>
      </c>
      <c r="V297" t="s">
        <v>16</v>
      </c>
      <c r="W297" t="s">
        <v>29</v>
      </c>
      <c r="X297" t="s">
        <v>2858</v>
      </c>
      <c r="Y297">
        <v>30000</v>
      </c>
      <c r="Z297">
        <v>3</v>
      </c>
      <c r="AA297" t="s">
        <v>57</v>
      </c>
      <c r="AB297" t="s">
        <v>53</v>
      </c>
      <c r="AC297" t="s">
        <v>19</v>
      </c>
      <c r="AD297" t="s">
        <v>3586</v>
      </c>
      <c r="AE297" t="s">
        <v>3586</v>
      </c>
      <c r="AF297" t="s">
        <v>3587</v>
      </c>
      <c r="AG297" t="s">
        <v>3479</v>
      </c>
      <c r="AH297" t="s">
        <v>3475</v>
      </c>
      <c r="AI297">
        <v>2443.35</v>
      </c>
      <c r="AJ297">
        <v>1518.7864</v>
      </c>
      <c r="AK297">
        <v>924.56359999999995</v>
      </c>
      <c r="AL297">
        <v>0.37839998362903399</v>
      </c>
    </row>
    <row r="298" spans="1:38">
      <c r="A298" s="1">
        <v>42366</v>
      </c>
      <c r="B298">
        <v>2015</v>
      </c>
      <c r="C298">
        <v>12</v>
      </c>
      <c r="D298" t="s">
        <v>8994</v>
      </c>
      <c r="E298" s="1">
        <v>37507</v>
      </c>
      <c r="F298" t="s">
        <v>6187</v>
      </c>
      <c r="G298">
        <v>362</v>
      </c>
      <c r="H298">
        <v>12315</v>
      </c>
      <c r="I298">
        <v>10</v>
      </c>
      <c r="J298">
        <v>1</v>
      </c>
      <c r="K298">
        <v>1</v>
      </c>
      <c r="L298">
        <v>1</v>
      </c>
      <c r="M298" t="s">
        <v>3545</v>
      </c>
      <c r="N298" t="s">
        <v>3546</v>
      </c>
      <c r="O298">
        <v>1105.81</v>
      </c>
      <c r="P298">
        <v>2049.0981999999999</v>
      </c>
      <c r="Q298" t="s">
        <v>30</v>
      </c>
      <c r="R298" t="s">
        <v>805</v>
      </c>
      <c r="S298" t="s">
        <v>293</v>
      </c>
      <c r="T298" t="s">
        <v>6883</v>
      </c>
      <c r="U298" s="1">
        <v>19621</v>
      </c>
      <c r="V298" t="s">
        <v>16</v>
      </c>
      <c r="W298" t="s">
        <v>29</v>
      </c>
      <c r="X298" t="s">
        <v>1090</v>
      </c>
      <c r="Y298">
        <v>130000</v>
      </c>
      <c r="Z298">
        <v>4</v>
      </c>
      <c r="AA298" t="s">
        <v>52</v>
      </c>
      <c r="AB298" t="s">
        <v>18</v>
      </c>
      <c r="AC298" t="s">
        <v>19</v>
      </c>
      <c r="AD298" t="s">
        <v>3588</v>
      </c>
      <c r="AE298" t="s">
        <v>3588</v>
      </c>
      <c r="AF298" t="s">
        <v>3584</v>
      </c>
      <c r="AG298" t="s">
        <v>3478</v>
      </c>
      <c r="AH298" t="s">
        <v>3475</v>
      </c>
      <c r="AI298">
        <v>2049.0981999999999</v>
      </c>
      <c r="AJ298">
        <v>1105.81</v>
      </c>
      <c r="AK298">
        <v>943.28819999999996</v>
      </c>
      <c r="AL298">
        <v>0.46034309141455498</v>
      </c>
    </row>
    <row r="299" spans="1:38">
      <c r="A299" s="1">
        <v>42366</v>
      </c>
      <c r="B299">
        <v>2015</v>
      </c>
      <c r="C299">
        <v>12</v>
      </c>
      <c r="D299" t="s">
        <v>8994</v>
      </c>
      <c r="E299" s="1">
        <v>37522</v>
      </c>
      <c r="F299" t="s">
        <v>6194</v>
      </c>
      <c r="G299">
        <v>371</v>
      </c>
      <c r="H299">
        <v>22933</v>
      </c>
      <c r="I299">
        <v>9</v>
      </c>
      <c r="J299">
        <v>1</v>
      </c>
      <c r="K299">
        <v>1</v>
      </c>
      <c r="L299">
        <v>2</v>
      </c>
      <c r="M299" t="s">
        <v>3553</v>
      </c>
      <c r="N299" t="s">
        <v>3554</v>
      </c>
      <c r="O299">
        <v>1320.6838</v>
      </c>
      <c r="P299">
        <v>2181.5625</v>
      </c>
      <c r="Q299" t="s">
        <v>30</v>
      </c>
      <c r="R299" t="s">
        <v>500</v>
      </c>
      <c r="S299" t="s">
        <v>205</v>
      </c>
      <c r="T299" t="s">
        <v>8326</v>
      </c>
      <c r="U299" s="1">
        <v>22903</v>
      </c>
      <c r="V299" t="s">
        <v>22</v>
      </c>
      <c r="W299" t="s">
        <v>29</v>
      </c>
      <c r="X299" t="s">
        <v>2825</v>
      </c>
      <c r="Y299">
        <v>60000</v>
      </c>
      <c r="Z299">
        <v>1</v>
      </c>
      <c r="AA299" t="s">
        <v>17</v>
      </c>
      <c r="AB299" t="s">
        <v>18</v>
      </c>
      <c r="AC299" t="s">
        <v>23</v>
      </c>
      <c r="AD299" t="s">
        <v>3586</v>
      </c>
      <c r="AE299" t="s">
        <v>3586</v>
      </c>
      <c r="AF299" t="s">
        <v>3587</v>
      </c>
      <c r="AG299" t="s">
        <v>3479</v>
      </c>
      <c r="AH299" t="s">
        <v>3475</v>
      </c>
      <c r="AI299">
        <v>2181.5625</v>
      </c>
      <c r="AJ299">
        <v>1320.6838</v>
      </c>
      <c r="AK299">
        <v>860.87869999999998</v>
      </c>
      <c r="AL299">
        <v>0.39461564818793898</v>
      </c>
    </row>
    <row r="300" spans="1:38">
      <c r="A300" s="1">
        <v>42367</v>
      </c>
      <c r="B300">
        <v>2015</v>
      </c>
      <c r="C300">
        <v>12</v>
      </c>
      <c r="D300" t="s">
        <v>8994</v>
      </c>
      <c r="E300" s="1">
        <v>37593</v>
      </c>
      <c r="F300" t="s">
        <v>6201</v>
      </c>
      <c r="G300">
        <v>377</v>
      </c>
      <c r="H300">
        <v>23104</v>
      </c>
      <c r="I300">
        <v>9</v>
      </c>
      <c r="J300">
        <v>1</v>
      </c>
      <c r="K300">
        <v>1</v>
      </c>
      <c r="L300">
        <v>2</v>
      </c>
      <c r="M300" t="s">
        <v>3559</v>
      </c>
      <c r="N300" t="s">
        <v>3560</v>
      </c>
      <c r="O300">
        <v>1320.6838</v>
      </c>
      <c r="P300">
        <v>2181.5625</v>
      </c>
      <c r="Q300" t="s">
        <v>30</v>
      </c>
      <c r="R300" t="s">
        <v>1040</v>
      </c>
      <c r="S300" t="s">
        <v>239</v>
      </c>
      <c r="T300" t="s">
        <v>8361</v>
      </c>
      <c r="U300" s="1">
        <v>19700</v>
      </c>
      <c r="V300" t="s">
        <v>16</v>
      </c>
      <c r="W300" t="s">
        <v>29</v>
      </c>
      <c r="X300" t="s">
        <v>2861</v>
      </c>
      <c r="Y300">
        <v>40000</v>
      </c>
      <c r="Z300">
        <v>3</v>
      </c>
      <c r="AA300" t="s">
        <v>52</v>
      </c>
      <c r="AB300" t="s">
        <v>53</v>
      </c>
      <c r="AC300" t="s">
        <v>19</v>
      </c>
      <c r="AD300" t="s">
        <v>3586</v>
      </c>
      <c r="AE300" t="s">
        <v>3586</v>
      </c>
      <c r="AF300" t="s">
        <v>3587</v>
      </c>
      <c r="AG300" t="s">
        <v>3479</v>
      </c>
      <c r="AH300" t="s">
        <v>3475</v>
      </c>
      <c r="AI300">
        <v>2181.5625</v>
      </c>
      <c r="AJ300">
        <v>1320.6838</v>
      </c>
      <c r="AK300">
        <v>860.87869999999998</v>
      </c>
      <c r="AL300">
        <v>0.39461564818793898</v>
      </c>
    </row>
    <row r="301" spans="1:38">
      <c r="A301" s="1">
        <v>42367</v>
      </c>
      <c r="B301">
        <v>2015</v>
      </c>
      <c r="C301">
        <v>12</v>
      </c>
      <c r="D301" t="s">
        <v>8994</v>
      </c>
      <c r="E301" s="1">
        <v>37581</v>
      </c>
      <c r="F301" t="s">
        <v>6203</v>
      </c>
      <c r="G301">
        <v>377</v>
      </c>
      <c r="H301">
        <v>17115</v>
      </c>
      <c r="I301">
        <v>10</v>
      </c>
      <c r="J301">
        <v>1</v>
      </c>
      <c r="K301">
        <v>1</v>
      </c>
      <c r="L301">
        <v>2</v>
      </c>
      <c r="M301" t="s">
        <v>3559</v>
      </c>
      <c r="N301" t="s">
        <v>3560</v>
      </c>
      <c r="O301">
        <v>1320.6838</v>
      </c>
      <c r="P301">
        <v>2181.5625</v>
      </c>
      <c r="Q301" t="s">
        <v>30</v>
      </c>
      <c r="R301" t="s">
        <v>1576</v>
      </c>
      <c r="S301" t="s">
        <v>474</v>
      </c>
      <c r="T301" t="s">
        <v>7660</v>
      </c>
      <c r="U301" s="1">
        <v>25976</v>
      </c>
      <c r="V301" t="s">
        <v>16</v>
      </c>
      <c r="W301" t="s">
        <v>29</v>
      </c>
      <c r="X301" t="s">
        <v>2145</v>
      </c>
      <c r="Y301">
        <v>40000</v>
      </c>
      <c r="Z301">
        <v>2</v>
      </c>
      <c r="AA301" t="s">
        <v>52</v>
      </c>
      <c r="AB301" t="s">
        <v>60</v>
      </c>
      <c r="AC301" t="s">
        <v>23</v>
      </c>
      <c r="AD301" t="s">
        <v>3588</v>
      </c>
      <c r="AE301" t="s">
        <v>3588</v>
      </c>
      <c r="AF301" t="s">
        <v>3584</v>
      </c>
      <c r="AG301" t="s">
        <v>3479</v>
      </c>
      <c r="AH301" t="s">
        <v>3475</v>
      </c>
      <c r="AI301">
        <v>2181.5625</v>
      </c>
      <c r="AJ301">
        <v>1320.6838</v>
      </c>
      <c r="AK301">
        <v>860.87869999999998</v>
      </c>
      <c r="AL301">
        <v>0.39461564818793898</v>
      </c>
    </row>
    <row r="302" spans="1:38">
      <c r="A302" s="1">
        <v>42367</v>
      </c>
      <c r="B302">
        <v>2015</v>
      </c>
      <c r="C302">
        <v>12</v>
      </c>
      <c r="D302" t="s">
        <v>8994</v>
      </c>
      <c r="E302" s="1">
        <v>37552</v>
      </c>
      <c r="F302" t="s">
        <v>6196</v>
      </c>
      <c r="G302">
        <v>377</v>
      </c>
      <c r="H302">
        <v>16466</v>
      </c>
      <c r="I302">
        <v>8</v>
      </c>
      <c r="J302">
        <v>1</v>
      </c>
      <c r="K302">
        <v>1</v>
      </c>
      <c r="L302">
        <v>2</v>
      </c>
      <c r="M302" t="s">
        <v>3559</v>
      </c>
      <c r="N302" t="s">
        <v>3560</v>
      </c>
      <c r="O302">
        <v>1320.6838</v>
      </c>
      <c r="P302">
        <v>2181.5625</v>
      </c>
      <c r="Q302" t="s">
        <v>26</v>
      </c>
      <c r="R302" t="s">
        <v>550</v>
      </c>
      <c r="S302" t="s">
        <v>194</v>
      </c>
      <c r="T302" t="s">
        <v>7620</v>
      </c>
      <c r="U302" s="1">
        <v>27195</v>
      </c>
      <c r="V302" t="s">
        <v>22</v>
      </c>
      <c r="W302" t="s">
        <v>29</v>
      </c>
      <c r="X302" t="s">
        <v>2102</v>
      </c>
      <c r="Y302">
        <v>20000</v>
      </c>
      <c r="Z302">
        <v>0</v>
      </c>
      <c r="AA302" t="s">
        <v>77</v>
      </c>
      <c r="AB302" t="s">
        <v>444</v>
      </c>
      <c r="AC302" t="s">
        <v>23</v>
      </c>
      <c r="AD302" t="s">
        <v>3585</v>
      </c>
      <c r="AE302" t="s">
        <v>3585</v>
      </c>
      <c r="AF302" t="s">
        <v>3584</v>
      </c>
      <c r="AG302" t="s">
        <v>3479</v>
      </c>
      <c r="AH302" t="s">
        <v>3475</v>
      </c>
      <c r="AI302">
        <v>2181.5625</v>
      </c>
      <c r="AJ302">
        <v>1320.6838</v>
      </c>
      <c r="AK302">
        <v>860.87869999999998</v>
      </c>
      <c r="AL302">
        <v>0.39461564818793898</v>
      </c>
    </row>
    <row r="303" spans="1:38">
      <c r="A303" s="1">
        <v>42367</v>
      </c>
      <c r="B303">
        <v>2015</v>
      </c>
      <c r="C303">
        <v>12</v>
      </c>
      <c r="D303" t="s">
        <v>8994</v>
      </c>
      <c r="E303" s="1">
        <v>37563</v>
      </c>
      <c r="F303" t="s">
        <v>6199</v>
      </c>
      <c r="G303">
        <v>334</v>
      </c>
      <c r="H303">
        <v>27253</v>
      </c>
      <c r="I303">
        <v>6</v>
      </c>
      <c r="J303">
        <v>1</v>
      </c>
      <c r="K303">
        <v>1</v>
      </c>
      <c r="L303">
        <v>2</v>
      </c>
      <c r="M303" t="s">
        <v>3509</v>
      </c>
      <c r="N303" t="s">
        <v>3510</v>
      </c>
      <c r="O303">
        <v>413.1463</v>
      </c>
      <c r="P303">
        <v>699.09820000000002</v>
      </c>
      <c r="Q303" t="s">
        <v>13</v>
      </c>
      <c r="R303" t="s">
        <v>1281</v>
      </c>
      <c r="S303" t="s">
        <v>476</v>
      </c>
      <c r="T303" t="s">
        <v>8802</v>
      </c>
      <c r="U303" s="1">
        <v>26404</v>
      </c>
      <c r="V303" t="s">
        <v>16</v>
      </c>
      <c r="W303" t="s">
        <v>16</v>
      </c>
      <c r="X303" t="s">
        <v>3312</v>
      </c>
      <c r="Y303">
        <v>50000</v>
      </c>
      <c r="Z303">
        <v>1</v>
      </c>
      <c r="AA303" t="s">
        <v>135</v>
      </c>
      <c r="AB303" t="s">
        <v>53</v>
      </c>
      <c r="AC303" t="s">
        <v>19</v>
      </c>
      <c r="AD303" t="s">
        <v>3582</v>
      </c>
      <c r="AE303" t="s">
        <v>3582</v>
      </c>
      <c r="AF303" t="s">
        <v>3579</v>
      </c>
      <c r="AG303" t="s">
        <v>3479</v>
      </c>
      <c r="AH303" t="s">
        <v>3475</v>
      </c>
      <c r="AI303">
        <v>699.09820000000002</v>
      </c>
      <c r="AJ303">
        <v>413.1463</v>
      </c>
      <c r="AK303">
        <v>285.95190000000002</v>
      </c>
      <c r="AL303">
        <v>0.409029661355157</v>
      </c>
    </row>
    <row r="304" spans="1:38">
      <c r="A304" s="1">
        <v>42367</v>
      </c>
      <c r="B304">
        <v>2015</v>
      </c>
      <c r="C304">
        <v>12</v>
      </c>
      <c r="D304" t="s">
        <v>8994</v>
      </c>
      <c r="E304" s="1">
        <v>37521</v>
      </c>
      <c r="F304" t="s">
        <v>6197</v>
      </c>
      <c r="G304">
        <v>338</v>
      </c>
      <c r="H304">
        <v>27252</v>
      </c>
      <c r="I304">
        <v>6</v>
      </c>
      <c r="J304">
        <v>1</v>
      </c>
      <c r="K304">
        <v>1</v>
      </c>
      <c r="L304">
        <v>2</v>
      </c>
      <c r="M304" t="s">
        <v>3513</v>
      </c>
      <c r="N304" t="s">
        <v>3514</v>
      </c>
      <c r="O304">
        <v>413.1463</v>
      </c>
      <c r="P304">
        <v>699.09820000000002</v>
      </c>
      <c r="Q304" t="s">
        <v>30</v>
      </c>
      <c r="R304" t="s">
        <v>318</v>
      </c>
      <c r="S304" t="s">
        <v>345</v>
      </c>
      <c r="T304" t="s">
        <v>8801</v>
      </c>
      <c r="U304" s="1">
        <v>26131</v>
      </c>
      <c r="V304" t="s">
        <v>16</v>
      </c>
      <c r="W304" t="s">
        <v>29</v>
      </c>
      <c r="X304" t="s">
        <v>3311</v>
      </c>
      <c r="Y304">
        <v>50000</v>
      </c>
      <c r="Z304">
        <v>1</v>
      </c>
      <c r="AA304" t="s">
        <v>135</v>
      </c>
      <c r="AB304" t="s">
        <v>53</v>
      </c>
      <c r="AC304" t="s">
        <v>19</v>
      </c>
      <c r="AD304" t="s">
        <v>3582</v>
      </c>
      <c r="AE304" t="s">
        <v>3582</v>
      </c>
      <c r="AF304" t="s">
        <v>3579</v>
      </c>
      <c r="AG304" t="s">
        <v>3479</v>
      </c>
      <c r="AH304" t="s">
        <v>3475</v>
      </c>
      <c r="AI304">
        <v>699.09820000000002</v>
      </c>
      <c r="AJ304">
        <v>413.1463</v>
      </c>
      <c r="AK304">
        <v>285.95190000000002</v>
      </c>
      <c r="AL304">
        <v>0.409029661355157</v>
      </c>
    </row>
    <row r="305" spans="1:38">
      <c r="A305" s="1">
        <v>42367</v>
      </c>
      <c r="B305">
        <v>2015</v>
      </c>
      <c r="C305">
        <v>12</v>
      </c>
      <c r="D305" t="s">
        <v>8994</v>
      </c>
      <c r="E305" s="1">
        <v>37534</v>
      </c>
      <c r="F305" t="s">
        <v>6202</v>
      </c>
      <c r="G305">
        <v>369</v>
      </c>
      <c r="H305">
        <v>16429</v>
      </c>
      <c r="I305">
        <v>8</v>
      </c>
      <c r="J305">
        <v>1</v>
      </c>
      <c r="K305">
        <v>1</v>
      </c>
      <c r="L305">
        <v>2</v>
      </c>
      <c r="M305" t="s">
        <v>3549</v>
      </c>
      <c r="N305" t="s">
        <v>3550</v>
      </c>
      <c r="O305">
        <v>1518.7864</v>
      </c>
      <c r="P305">
        <v>2443.35</v>
      </c>
      <c r="Q305" t="s">
        <v>30</v>
      </c>
      <c r="R305" t="s">
        <v>117</v>
      </c>
      <c r="S305" t="s">
        <v>159</v>
      </c>
      <c r="T305" t="s">
        <v>7610</v>
      </c>
      <c r="U305" s="1">
        <v>22935</v>
      </c>
      <c r="V305" t="s">
        <v>16</v>
      </c>
      <c r="W305" t="s">
        <v>29</v>
      </c>
      <c r="X305" t="s">
        <v>2092</v>
      </c>
      <c r="Y305">
        <v>30000</v>
      </c>
      <c r="Z305">
        <v>1</v>
      </c>
      <c r="AA305" t="s">
        <v>52</v>
      </c>
      <c r="AB305" t="s">
        <v>60</v>
      </c>
      <c r="AC305" t="s">
        <v>19</v>
      </c>
      <c r="AD305" t="s">
        <v>3585</v>
      </c>
      <c r="AE305" t="s">
        <v>3585</v>
      </c>
      <c r="AF305" t="s">
        <v>3584</v>
      </c>
      <c r="AG305" t="s">
        <v>3479</v>
      </c>
      <c r="AH305" t="s">
        <v>3475</v>
      </c>
      <c r="AI305">
        <v>2443.35</v>
      </c>
      <c r="AJ305">
        <v>1518.7864</v>
      </c>
      <c r="AK305">
        <v>924.56359999999995</v>
      </c>
      <c r="AL305">
        <v>0.37839998362903399</v>
      </c>
    </row>
    <row r="306" spans="1:38">
      <c r="A306" s="1">
        <v>42367</v>
      </c>
      <c r="B306">
        <v>2015</v>
      </c>
      <c r="C306">
        <v>12</v>
      </c>
      <c r="D306" t="s">
        <v>8994</v>
      </c>
      <c r="E306" s="1">
        <v>37557</v>
      </c>
      <c r="F306" t="s">
        <v>6200</v>
      </c>
      <c r="G306">
        <v>381</v>
      </c>
      <c r="H306">
        <v>14268</v>
      </c>
      <c r="I306">
        <v>4</v>
      </c>
      <c r="J306">
        <v>1</v>
      </c>
      <c r="K306">
        <v>1</v>
      </c>
      <c r="L306">
        <v>2</v>
      </c>
      <c r="M306" t="s">
        <v>3563</v>
      </c>
      <c r="N306" t="s">
        <v>3564</v>
      </c>
      <c r="O306">
        <v>605.64919999999995</v>
      </c>
      <c r="P306">
        <v>1000.4375</v>
      </c>
      <c r="Q306" t="s">
        <v>26</v>
      </c>
      <c r="R306" t="s">
        <v>588</v>
      </c>
      <c r="S306" t="s">
        <v>277</v>
      </c>
      <c r="T306" t="s">
        <v>7239</v>
      </c>
      <c r="U306" s="1">
        <v>27442</v>
      </c>
      <c r="V306" t="s">
        <v>22</v>
      </c>
      <c r="W306" t="s">
        <v>29</v>
      </c>
      <c r="X306" t="s">
        <v>1707</v>
      </c>
      <c r="Y306">
        <v>30000</v>
      </c>
      <c r="Z306">
        <v>0</v>
      </c>
      <c r="AA306" t="s">
        <v>57</v>
      </c>
      <c r="AB306" t="s">
        <v>53</v>
      </c>
      <c r="AC306" t="s">
        <v>19</v>
      </c>
      <c r="AD306" t="s">
        <v>3580</v>
      </c>
      <c r="AE306" t="s">
        <v>3578</v>
      </c>
      <c r="AF306" t="s">
        <v>3579</v>
      </c>
      <c r="AG306" t="s">
        <v>3479</v>
      </c>
      <c r="AH306" t="s">
        <v>3475</v>
      </c>
      <c r="AI306">
        <v>1000.4375</v>
      </c>
      <c r="AJ306">
        <v>605.64919999999995</v>
      </c>
      <c r="AK306">
        <v>394.78829999999999</v>
      </c>
      <c r="AL306">
        <v>0.39461565565065299</v>
      </c>
    </row>
    <row r="307" spans="1:38">
      <c r="A307" s="1">
        <v>42367</v>
      </c>
      <c r="B307">
        <v>2015</v>
      </c>
      <c r="C307">
        <v>12</v>
      </c>
      <c r="D307" t="s">
        <v>8994</v>
      </c>
      <c r="E307" s="1">
        <v>37586</v>
      </c>
      <c r="F307" t="s">
        <v>6204</v>
      </c>
      <c r="G307">
        <v>326</v>
      </c>
      <c r="H307">
        <v>15410</v>
      </c>
      <c r="I307">
        <v>4</v>
      </c>
      <c r="J307">
        <v>1</v>
      </c>
      <c r="K307">
        <v>1</v>
      </c>
      <c r="L307">
        <v>2</v>
      </c>
      <c r="M307" t="s">
        <v>3501</v>
      </c>
      <c r="N307" t="s">
        <v>3502</v>
      </c>
      <c r="O307">
        <v>413.1463</v>
      </c>
      <c r="P307">
        <v>699.09820000000002</v>
      </c>
      <c r="Q307" t="s">
        <v>30</v>
      </c>
      <c r="R307" t="s">
        <v>593</v>
      </c>
      <c r="S307" t="s">
        <v>250</v>
      </c>
      <c r="T307" t="s">
        <v>7491</v>
      </c>
      <c r="U307" s="1">
        <v>19167</v>
      </c>
      <c r="V307" t="s">
        <v>16</v>
      </c>
      <c r="W307" t="s">
        <v>29</v>
      </c>
      <c r="X307" t="s">
        <v>1968</v>
      </c>
      <c r="Y307">
        <v>40000</v>
      </c>
      <c r="Z307">
        <v>3</v>
      </c>
      <c r="AA307" t="s">
        <v>52</v>
      </c>
      <c r="AB307" t="s">
        <v>18</v>
      </c>
      <c r="AC307" t="s">
        <v>23</v>
      </c>
      <c r="AD307" t="s">
        <v>3580</v>
      </c>
      <c r="AE307" t="s">
        <v>3578</v>
      </c>
      <c r="AF307" t="s">
        <v>3579</v>
      </c>
      <c r="AG307" t="s">
        <v>3479</v>
      </c>
      <c r="AH307" t="s">
        <v>3475</v>
      </c>
      <c r="AI307">
        <v>699.09820000000002</v>
      </c>
      <c r="AJ307">
        <v>413.1463</v>
      </c>
      <c r="AK307">
        <v>285.95190000000002</v>
      </c>
      <c r="AL307">
        <v>0.409029661355157</v>
      </c>
    </row>
    <row r="308" spans="1:38">
      <c r="A308" s="1">
        <v>42367</v>
      </c>
      <c r="B308">
        <v>2015</v>
      </c>
      <c r="C308">
        <v>12</v>
      </c>
      <c r="D308" t="s">
        <v>8994</v>
      </c>
      <c r="E308" s="1">
        <v>37519</v>
      </c>
      <c r="F308" t="s">
        <v>6209</v>
      </c>
      <c r="G308">
        <v>354</v>
      </c>
      <c r="H308">
        <v>12305</v>
      </c>
      <c r="I308">
        <v>10</v>
      </c>
      <c r="J308">
        <v>1</v>
      </c>
      <c r="K308">
        <v>1</v>
      </c>
      <c r="L308">
        <v>1</v>
      </c>
      <c r="M308" t="s">
        <v>3537</v>
      </c>
      <c r="N308" t="s">
        <v>3538</v>
      </c>
      <c r="O308">
        <v>1117.8559</v>
      </c>
      <c r="P308">
        <v>2071.4196000000002</v>
      </c>
      <c r="Q308" t="s">
        <v>13</v>
      </c>
      <c r="R308" t="s">
        <v>365</v>
      </c>
      <c r="S308" t="s">
        <v>428</v>
      </c>
      <c r="T308" t="s">
        <v>6877</v>
      </c>
      <c r="U308" s="1">
        <v>19911</v>
      </c>
      <c r="V308" t="s">
        <v>16</v>
      </c>
      <c r="W308" t="s">
        <v>16</v>
      </c>
      <c r="X308" t="s">
        <v>1086</v>
      </c>
      <c r="Y308">
        <v>80000</v>
      </c>
      <c r="Z308">
        <v>4</v>
      </c>
      <c r="AA308" t="s">
        <v>52</v>
      </c>
      <c r="AB308" t="s">
        <v>18</v>
      </c>
      <c r="AC308" t="s">
        <v>23</v>
      </c>
      <c r="AD308" t="s">
        <v>3588</v>
      </c>
      <c r="AE308" t="s">
        <v>3588</v>
      </c>
      <c r="AF308" t="s">
        <v>3584</v>
      </c>
      <c r="AG308" t="s">
        <v>3478</v>
      </c>
      <c r="AH308" t="s">
        <v>3475</v>
      </c>
      <c r="AI308">
        <v>2071.4196000000002</v>
      </c>
      <c r="AJ308">
        <v>1117.8559</v>
      </c>
      <c r="AK308">
        <v>953.56370000000004</v>
      </c>
      <c r="AL308">
        <v>0.460343090313522</v>
      </c>
    </row>
    <row r="309" spans="1:38">
      <c r="A309" s="1">
        <v>42367</v>
      </c>
      <c r="B309">
        <v>2015</v>
      </c>
      <c r="C309">
        <v>12</v>
      </c>
      <c r="D309" t="s">
        <v>8994</v>
      </c>
      <c r="E309" s="1">
        <v>37565</v>
      </c>
      <c r="F309" t="s">
        <v>6206</v>
      </c>
      <c r="G309">
        <v>387</v>
      </c>
      <c r="H309">
        <v>19359</v>
      </c>
      <c r="I309">
        <v>10</v>
      </c>
      <c r="J309">
        <v>1</v>
      </c>
      <c r="K309">
        <v>1</v>
      </c>
      <c r="L309">
        <v>2</v>
      </c>
      <c r="M309" t="s">
        <v>3569</v>
      </c>
      <c r="N309" t="s">
        <v>3570</v>
      </c>
      <c r="O309">
        <v>605.64919999999995</v>
      </c>
      <c r="P309">
        <v>1000.4375</v>
      </c>
      <c r="Q309" t="s">
        <v>13</v>
      </c>
      <c r="R309" t="s">
        <v>461</v>
      </c>
      <c r="S309" t="s">
        <v>248</v>
      </c>
      <c r="T309" t="s">
        <v>7813</v>
      </c>
      <c r="U309" s="1">
        <v>23243</v>
      </c>
      <c r="V309" t="s">
        <v>16</v>
      </c>
      <c r="W309" t="s">
        <v>16</v>
      </c>
      <c r="X309" t="s">
        <v>2300</v>
      </c>
      <c r="Y309">
        <v>40000</v>
      </c>
      <c r="Z309">
        <v>1</v>
      </c>
      <c r="AA309" t="s">
        <v>17</v>
      </c>
      <c r="AB309" t="s">
        <v>53</v>
      </c>
      <c r="AC309" t="s">
        <v>19</v>
      </c>
      <c r="AD309" t="s">
        <v>3588</v>
      </c>
      <c r="AE309" t="s">
        <v>3588</v>
      </c>
      <c r="AF309" t="s">
        <v>3584</v>
      </c>
      <c r="AG309" t="s">
        <v>3479</v>
      </c>
      <c r="AH309" t="s">
        <v>3475</v>
      </c>
      <c r="AI309">
        <v>1000.4375</v>
      </c>
      <c r="AJ309">
        <v>605.64919999999995</v>
      </c>
      <c r="AK309">
        <v>394.78829999999999</v>
      </c>
      <c r="AL309">
        <v>0.39461565565065299</v>
      </c>
    </row>
    <row r="310" spans="1:38">
      <c r="A310" s="1">
        <v>42367</v>
      </c>
      <c r="B310">
        <v>2015</v>
      </c>
      <c r="C310">
        <v>12</v>
      </c>
      <c r="D310" t="s">
        <v>8994</v>
      </c>
      <c r="E310" s="1">
        <v>37554</v>
      </c>
      <c r="F310" t="s">
        <v>6208</v>
      </c>
      <c r="G310">
        <v>369</v>
      </c>
      <c r="H310">
        <v>15004</v>
      </c>
      <c r="I310">
        <v>7</v>
      </c>
      <c r="J310">
        <v>1</v>
      </c>
      <c r="K310">
        <v>1</v>
      </c>
      <c r="L310">
        <v>2</v>
      </c>
      <c r="M310" t="s">
        <v>3549</v>
      </c>
      <c r="N310" t="s">
        <v>3550</v>
      </c>
      <c r="O310">
        <v>1518.7864</v>
      </c>
      <c r="P310">
        <v>2443.35</v>
      </c>
      <c r="Q310" t="s">
        <v>26</v>
      </c>
      <c r="R310" t="s">
        <v>981</v>
      </c>
      <c r="S310" t="s">
        <v>511</v>
      </c>
      <c r="T310" t="s">
        <v>7378</v>
      </c>
      <c r="U310" s="1">
        <v>27003</v>
      </c>
      <c r="V310" t="s">
        <v>22</v>
      </c>
      <c r="W310" t="s">
        <v>29</v>
      </c>
      <c r="X310" t="s">
        <v>1854</v>
      </c>
      <c r="Y310">
        <v>20000</v>
      </c>
      <c r="Z310">
        <v>0</v>
      </c>
      <c r="AA310" t="s">
        <v>77</v>
      </c>
      <c r="AB310" t="s">
        <v>444</v>
      </c>
      <c r="AC310" t="s">
        <v>19</v>
      </c>
      <c r="AD310" t="s">
        <v>3583</v>
      </c>
      <c r="AE310" t="s">
        <v>3583</v>
      </c>
      <c r="AF310" t="s">
        <v>3584</v>
      </c>
      <c r="AG310" t="s">
        <v>3479</v>
      </c>
      <c r="AH310" t="s">
        <v>3475</v>
      </c>
      <c r="AI310">
        <v>2443.35</v>
      </c>
      <c r="AJ310">
        <v>1518.7864</v>
      </c>
      <c r="AK310">
        <v>924.56359999999995</v>
      </c>
      <c r="AL310">
        <v>0.37839998362903399</v>
      </c>
    </row>
    <row r="311" spans="1:38">
      <c r="A311" s="1">
        <v>42367</v>
      </c>
      <c r="B311">
        <v>2015</v>
      </c>
      <c r="C311">
        <v>12</v>
      </c>
      <c r="D311" t="s">
        <v>8994</v>
      </c>
      <c r="E311" s="1">
        <v>37600</v>
      </c>
      <c r="F311" t="s">
        <v>6198</v>
      </c>
      <c r="G311">
        <v>326</v>
      </c>
      <c r="H311">
        <v>19313</v>
      </c>
      <c r="I311">
        <v>7</v>
      </c>
      <c r="J311">
        <v>1</v>
      </c>
      <c r="K311">
        <v>1</v>
      </c>
      <c r="L311">
        <v>2</v>
      </c>
      <c r="M311" t="s">
        <v>3501</v>
      </c>
      <c r="N311" t="s">
        <v>3502</v>
      </c>
      <c r="O311">
        <v>413.1463</v>
      </c>
      <c r="P311">
        <v>699.09820000000002</v>
      </c>
      <c r="Q311" t="s">
        <v>13</v>
      </c>
      <c r="R311" t="s">
        <v>327</v>
      </c>
      <c r="S311" t="s">
        <v>173</v>
      </c>
      <c r="T311" t="s">
        <v>7808</v>
      </c>
      <c r="U311" s="1">
        <v>24542</v>
      </c>
      <c r="V311" t="s">
        <v>22</v>
      </c>
      <c r="W311" t="s">
        <v>16</v>
      </c>
      <c r="X311" t="s">
        <v>2295</v>
      </c>
      <c r="Y311">
        <v>10000</v>
      </c>
      <c r="Z311">
        <v>3</v>
      </c>
      <c r="AA311" t="s">
        <v>57</v>
      </c>
      <c r="AB311" t="s">
        <v>444</v>
      </c>
      <c r="AC311" t="s">
        <v>19</v>
      </c>
      <c r="AD311" t="s">
        <v>3583</v>
      </c>
      <c r="AE311" t="s">
        <v>3583</v>
      </c>
      <c r="AF311" t="s">
        <v>3584</v>
      </c>
      <c r="AG311" t="s">
        <v>3479</v>
      </c>
      <c r="AH311" t="s">
        <v>3475</v>
      </c>
      <c r="AI311">
        <v>699.09820000000002</v>
      </c>
      <c r="AJ311">
        <v>413.1463</v>
      </c>
      <c r="AK311">
        <v>285.95190000000002</v>
      </c>
      <c r="AL311">
        <v>0.409029661355157</v>
      </c>
    </row>
    <row r="312" spans="1:38">
      <c r="A312" s="1">
        <v>42367</v>
      </c>
      <c r="B312">
        <v>2015</v>
      </c>
      <c r="C312">
        <v>12</v>
      </c>
      <c r="D312" t="s">
        <v>8994</v>
      </c>
      <c r="E312" s="1">
        <v>37547</v>
      </c>
      <c r="F312" t="s">
        <v>6207</v>
      </c>
      <c r="G312">
        <v>373</v>
      </c>
      <c r="H312">
        <v>14995</v>
      </c>
      <c r="I312">
        <v>7</v>
      </c>
      <c r="J312">
        <v>1</v>
      </c>
      <c r="K312">
        <v>1</v>
      </c>
      <c r="L312">
        <v>2</v>
      </c>
      <c r="M312" t="s">
        <v>3555</v>
      </c>
      <c r="N312" t="s">
        <v>3556</v>
      </c>
      <c r="O312">
        <v>1320.6838</v>
      </c>
      <c r="P312">
        <v>2181.5625</v>
      </c>
      <c r="Q312" t="s">
        <v>26</v>
      </c>
      <c r="R312" t="s">
        <v>1126</v>
      </c>
      <c r="S312" t="s">
        <v>465</v>
      </c>
      <c r="T312" t="s">
        <v>7373</v>
      </c>
      <c r="U312" s="1">
        <v>27158</v>
      </c>
      <c r="V312" t="s">
        <v>22</v>
      </c>
      <c r="W312" t="s">
        <v>29</v>
      </c>
      <c r="X312" t="s">
        <v>1849</v>
      </c>
      <c r="Y312">
        <v>20000</v>
      </c>
      <c r="Z312">
        <v>0</v>
      </c>
      <c r="AA312" t="s">
        <v>77</v>
      </c>
      <c r="AB312" t="s">
        <v>444</v>
      </c>
      <c r="AC312" t="s">
        <v>23</v>
      </c>
      <c r="AD312" t="s">
        <v>3583</v>
      </c>
      <c r="AE312" t="s">
        <v>3583</v>
      </c>
      <c r="AF312" t="s">
        <v>3584</v>
      </c>
      <c r="AG312" t="s">
        <v>3479</v>
      </c>
      <c r="AH312" t="s">
        <v>3475</v>
      </c>
      <c r="AI312">
        <v>2181.5625</v>
      </c>
      <c r="AJ312">
        <v>1320.6838</v>
      </c>
      <c r="AK312">
        <v>860.87869999999998</v>
      </c>
      <c r="AL312">
        <v>0.39461564818793898</v>
      </c>
    </row>
    <row r="313" spans="1:38">
      <c r="A313" s="1">
        <v>42367</v>
      </c>
      <c r="B313">
        <v>2015</v>
      </c>
      <c r="C313">
        <v>12</v>
      </c>
      <c r="D313" t="s">
        <v>8994</v>
      </c>
      <c r="E313" s="1">
        <v>37577</v>
      </c>
      <c r="F313" t="s">
        <v>6205</v>
      </c>
      <c r="G313">
        <v>375</v>
      </c>
      <c r="H313">
        <v>23107</v>
      </c>
      <c r="I313">
        <v>9</v>
      </c>
      <c r="J313">
        <v>1</v>
      </c>
      <c r="K313">
        <v>1</v>
      </c>
      <c r="L313">
        <v>2</v>
      </c>
      <c r="M313" t="s">
        <v>3557</v>
      </c>
      <c r="N313" t="s">
        <v>3558</v>
      </c>
      <c r="O313">
        <v>1320.6838</v>
      </c>
      <c r="P313">
        <v>2181.5625</v>
      </c>
      <c r="Q313" t="s">
        <v>30</v>
      </c>
      <c r="R313" t="s">
        <v>132</v>
      </c>
      <c r="S313" t="s">
        <v>194</v>
      </c>
      <c r="T313" t="s">
        <v>8364</v>
      </c>
      <c r="U313" s="1">
        <v>20037</v>
      </c>
      <c r="V313" t="s">
        <v>16</v>
      </c>
      <c r="W313" t="s">
        <v>29</v>
      </c>
      <c r="X313" t="s">
        <v>2864</v>
      </c>
      <c r="Y313">
        <v>70000</v>
      </c>
      <c r="Z313">
        <v>2</v>
      </c>
      <c r="AA313" t="s">
        <v>52</v>
      </c>
      <c r="AB313" t="s">
        <v>53</v>
      </c>
      <c r="AC313" t="s">
        <v>19</v>
      </c>
      <c r="AD313" t="s">
        <v>3586</v>
      </c>
      <c r="AE313" t="s">
        <v>3586</v>
      </c>
      <c r="AF313" t="s">
        <v>3587</v>
      </c>
      <c r="AG313" t="s">
        <v>3479</v>
      </c>
      <c r="AH313" t="s">
        <v>3475</v>
      </c>
      <c r="AI313">
        <v>2181.5625</v>
      </c>
      <c r="AJ313">
        <v>1320.6838</v>
      </c>
      <c r="AK313">
        <v>860.87869999999998</v>
      </c>
      <c r="AL313">
        <v>0.39461564818793898</v>
      </c>
    </row>
    <row r="314" spans="1:38">
      <c r="A314" s="1">
        <v>42368</v>
      </c>
      <c r="B314">
        <v>2015</v>
      </c>
      <c r="C314">
        <v>12</v>
      </c>
      <c r="D314" t="s">
        <v>8994</v>
      </c>
      <c r="E314" s="1">
        <v>37549</v>
      </c>
      <c r="F314" t="s">
        <v>6215</v>
      </c>
      <c r="G314">
        <v>352</v>
      </c>
      <c r="H314">
        <v>28736</v>
      </c>
      <c r="I314">
        <v>7</v>
      </c>
      <c r="J314">
        <v>1</v>
      </c>
      <c r="K314">
        <v>1</v>
      </c>
      <c r="L314">
        <v>1</v>
      </c>
      <c r="M314" t="s">
        <v>3535</v>
      </c>
      <c r="N314" t="s">
        <v>3536</v>
      </c>
      <c r="O314">
        <v>1117.8559</v>
      </c>
      <c r="P314">
        <v>2071.4196000000002</v>
      </c>
      <c r="Q314" t="s">
        <v>26</v>
      </c>
      <c r="R314" t="s">
        <v>1176</v>
      </c>
      <c r="S314" t="s">
        <v>153</v>
      </c>
      <c r="T314" t="s">
        <v>8870</v>
      </c>
      <c r="U314" s="1">
        <v>26777</v>
      </c>
      <c r="V314" t="s">
        <v>22</v>
      </c>
      <c r="W314" t="s">
        <v>29</v>
      </c>
      <c r="X314" t="s">
        <v>3382</v>
      </c>
      <c r="Y314">
        <v>30000</v>
      </c>
      <c r="Z314">
        <v>0</v>
      </c>
      <c r="AA314" t="s">
        <v>57</v>
      </c>
      <c r="AB314" t="s">
        <v>444</v>
      </c>
      <c r="AC314" t="s">
        <v>23</v>
      </c>
      <c r="AD314" t="s">
        <v>3583</v>
      </c>
      <c r="AE314" t="s">
        <v>3583</v>
      </c>
      <c r="AF314" t="s">
        <v>3584</v>
      </c>
      <c r="AG314" t="s">
        <v>3478</v>
      </c>
      <c r="AH314" t="s">
        <v>3475</v>
      </c>
      <c r="AI314">
        <v>2071.4196000000002</v>
      </c>
      <c r="AJ314">
        <v>1117.8559</v>
      </c>
      <c r="AK314">
        <v>953.56370000000004</v>
      </c>
      <c r="AL314">
        <v>0.460343090313522</v>
      </c>
    </row>
    <row r="315" spans="1:38">
      <c r="A315" s="1">
        <v>42368</v>
      </c>
      <c r="B315">
        <v>2015</v>
      </c>
      <c r="C315">
        <v>12</v>
      </c>
      <c r="D315" t="s">
        <v>8994</v>
      </c>
      <c r="E315" s="1">
        <v>37502</v>
      </c>
      <c r="F315" t="s">
        <v>6213</v>
      </c>
      <c r="G315">
        <v>368</v>
      </c>
      <c r="H315">
        <v>23099</v>
      </c>
      <c r="I315">
        <v>9</v>
      </c>
      <c r="J315">
        <v>1</v>
      </c>
      <c r="K315">
        <v>1</v>
      </c>
      <c r="L315">
        <v>2</v>
      </c>
      <c r="M315" t="s">
        <v>3547</v>
      </c>
      <c r="N315" t="s">
        <v>3548</v>
      </c>
      <c r="O315">
        <v>1518.7864</v>
      </c>
      <c r="P315">
        <v>2443.35</v>
      </c>
      <c r="Q315" t="s">
        <v>30</v>
      </c>
      <c r="R315" t="s">
        <v>312</v>
      </c>
      <c r="S315" t="s">
        <v>40</v>
      </c>
      <c r="T315" t="s">
        <v>8357</v>
      </c>
      <c r="U315" s="1">
        <v>18937</v>
      </c>
      <c r="V315" t="s">
        <v>22</v>
      </c>
      <c r="W315" t="s">
        <v>29</v>
      </c>
      <c r="X315" t="s">
        <v>2857</v>
      </c>
      <c r="Y315">
        <v>30000</v>
      </c>
      <c r="Z315">
        <v>3</v>
      </c>
      <c r="AA315" t="s">
        <v>57</v>
      </c>
      <c r="AB315" t="s">
        <v>53</v>
      </c>
      <c r="AC315" t="s">
        <v>23</v>
      </c>
      <c r="AD315" t="s">
        <v>3586</v>
      </c>
      <c r="AE315" t="s">
        <v>3586</v>
      </c>
      <c r="AF315" t="s">
        <v>3587</v>
      </c>
      <c r="AG315" t="s">
        <v>3479</v>
      </c>
      <c r="AH315" t="s">
        <v>3475</v>
      </c>
      <c r="AI315">
        <v>2443.35</v>
      </c>
      <c r="AJ315">
        <v>1518.7864</v>
      </c>
      <c r="AK315">
        <v>924.56359999999995</v>
      </c>
      <c r="AL315">
        <v>0.37839998362903399</v>
      </c>
    </row>
    <row r="316" spans="1:38">
      <c r="A316" s="1">
        <v>42368</v>
      </c>
      <c r="B316">
        <v>2015</v>
      </c>
      <c r="C316">
        <v>12</v>
      </c>
      <c r="D316" t="s">
        <v>8994</v>
      </c>
      <c r="E316" s="1">
        <v>37541</v>
      </c>
      <c r="F316" t="s">
        <v>6216</v>
      </c>
      <c r="G316">
        <v>356</v>
      </c>
      <c r="H316">
        <v>12382</v>
      </c>
      <c r="I316">
        <v>10</v>
      </c>
      <c r="J316">
        <v>1</v>
      </c>
      <c r="K316">
        <v>1</v>
      </c>
      <c r="L316">
        <v>1</v>
      </c>
      <c r="M316" t="s">
        <v>3539</v>
      </c>
      <c r="N316" t="s">
        <v>3540</v>
      </c>
      <c r="O316">
        <v>1117.8559</v>
      </c>
      <c r="P316">
        <v>2071.4196000000002</v>
      </c>
      <c r="Q316" t="s">
        <v>26</v>
      </c>
      <c r="R316" t="s">
        <v>181</v>
      </c>
      <c r="S316" t="s">
        <v>686</v>
      </c>
      <c r="T316" t="s">
        <v>6920</v>
      </c>
      <c r="U316" s="1">
        <v>26614</v>
      </c>
      <c r="V316" t="s">
        <v>22</v>
      </c>
      <c r="W316" t="s">
        <v>29</v>
      </c>
      <c r="X316" t="s">
        <v>1131</v>
      </c>
      <c r="Y316">
        <v>20000</v>
      </c>
      <c r="Z316">
        <v>0</v>
      </c>
      <c r="AA316" t="s">
        <v>77</v>
      </c>
      <c r="AB316" t="s">
        <v>444</v>
      </c>
      <c r="AC316" t="s">
        <v>23</v>
      </c>
      <c r="AD316" t="s">
        <v>3588</v>
      </c>
      <c r="AE316" t="s">
        <v>3588</v>
      </c>
      <c r="AF316" t="s">
        <v>3584</v>
      </c>
      <c r="AG316" t="s">
        <v>3478</v>
      </c>
      <c r="AH316" t="s">
        <v>3475</v>
      </c>
      <c r="AI316">
        <v>2071.4196000000002</v>
      </c>
      <c r="AJ316">
        <v>1117.8559</v>
      </c>
      <c r="AK316">
        <v>953.56370000000004</v>
      </c>
      <c r="AL316">
        <v>0.460343090313522</v>
      </c>
    </row>
    <row r="317" spans="1:38">
      <c r="A317" s="1">
        <v>42368</v>
      </c>
      <c r="B317">
        <v>2015</v>
      </c>
      <c r="C317">
        <v>12</v>
      </c>
      <c r="D317" t="s">
        <v>8994</v>
      </c>
      <c r="E317" s="1">
        <v>37588</v>
      </c>
      <c r="F317" t="s">
        <v>6212</v>
      </c>
      <c r="G317">
        <v>369</v>
      </c>
      <c r="H317">
        <v>22937</v>
      </c>
      <c r="I317">
        <v>9</v>
      </c>
      <c r="J317">
        <v>1</v>
      </c>
      <c r="K317">
        <v>1</v>
      </c>
      <c r="L317">
        <v>2</v>
      </c>
      <c r="M317" t="s">
        <v>3549</v>
      </c>
      <c r="N317" t="s">
        <v>3550</v>
      </c>
      <c r="O317">
        <v>1518.7864</v>
      </c>
      <c r="P317">
        <v>2443.35</v>
      </c>
      <c r="Q317" t="s">
        <v>13</v>
      </c>
      <c r="R317" t="s">
        <v>304</v>
      </c>
      <c r="S317" t="s">
        <v>173</v>
      </c>
      <c r="T317" t="s">
        <v>8330</v>
      </c>
      <c r="U317" s="1">
        <v>22446</v>
      </c>
      <c r="V317" t="s">
        <v>22</v>
      </c>
      <c r="W317" t="s">
        <v>16</v>
      </c>
      <c r="X317" t="s">
        <v>2829</v>
      </c>
      <c r="Y317">
        <v>60000</v>
      </c>
      <c r="Z317">
        <v>1</v>
      </c>
      <c r="AA317" t="s">
        <v>17</v>
      </c>
      <c r="AB317" t="s">
        <v>18</v>
      </c>
      <c r="AC317" t="s">
        <v>23</v>
      </c>
      <c r="AD317" t="s">
        <v>3586</v>
      </c>
      <c r="AE317" t="s">
        <v>3586</v>
      </c>
      <c r="AF317" t="s">
        <v>3587</v>
      </c>
      <c r="AG317" t="s">
        <v>3479</v>
      </c>
      <c r="AH317" t="s">
        <v>3475</v>
      </c>
      <c r="AI317">
        <v>2443.35</v>
      </c>
      <c r="AJ317">
        <v>1518.7864</v>
      </c>
      <c r="AK317">
        <v>924.56359999999995</v>
      </c>
      <c r="AL317">
        <v>0.37839998362903399</v>
      </c>
    </row>
    <row r="318" spans="1:38">
      <c r="A318" s="1">
        <v>42368</v>
      </c>
      <c r="B318">
        <v>2015</v>
      </c>
      <c r="C318">
        <v>12</v>
      </c>
      <c r="D318" t="s">
        <v>8994</v>
      </c>
      <c r="E318" s="1">
        <v>37596</v>
      </c>
      <c r="F318" t="s">
        <v>6214</v>
      </c>
      <c r="G318">
        <v>371</v>
      </c>
      <c r="H318">
        <v>22910</v>
      </c>
      <c r="I318">
        <v>9</v>
      </c>
      <c r="J318">
        <v>1</v>
      </c>
      <c r="K318">
        <v>1</v>
      </c>
      <c r="L318">
        <v>2</v>
      </c>
      <c r="M318" t="s">
        <v>3553</v>
      </c>
      <c r="N318" t="s">
        <v>3554</v>
      </c>
      <c r="O318">
        <v>1320.6838</v>
      </c>
      <c r="P318">
        <v>2181.5625</v>
      </c>
      <c r="Q318" t="s">
        <v>30</v>
      </c>
      <c r="R318" t="s">
        <v>354</v>
      </c>
      <c r="S318" t="s">
        <v>282</v>
      </c>
      <c r="T318" t="s">
        <v>8316</v>
      </c>
      <c r="U318" s="1">
        <v>24945</v>
      </c>
      <c r="V318" t="s">
        <v>16</v>
      </c>
      <c r="W318" t="s">
        <v>29</v>
      </c>
      <c r="X318" t="s">
        <v>2815</v>
      </c>
      <c r="Y318">
        <v>60000</v>
      </c>
      <c r="Z318">
        <v>2</v>
      </c>
      <c r="AA318" t="s">
        <v>17</v>
      </c>
      <c r="AB318" t="s">
        <v>18</v>
      </c>
      <c r="AC318" t="s">
        <v>19</v>
      </c>
      <c r="AD318" t="s">
        <v>3586</v>
      </c>
      <c r="AE318" t="s">
        <v>3586</v>
      </c>
      <c r="AF318" t="s">
        <v>3587</v>
      </c>
      <c r="AG318" t="s">
        <v>3479</v>
      </c>
      <c r="AH318" t="s">
        <v>3475</v>
      </c>
      <c r="AI318">
        <v>2181.5625</v>
      </c>
      <c r="AJ318">
        <v>1320.6838</v>
      </c>
      <c r="AK318">
        <v>860.87869999999998</v>
      </c>
      <c r="AL318">
        <v>0.39461564818793898</v>
      </c>
    </row>
    <row r="319" spans="1:38">
      <c r="A319" s="1">
        <v>42368</v>
      </c>
      <c r="B319">
        <v>2015</v>
      </c>
      <c r="C319">
        <v>12</v>
      </c>
      <c r="D319" t="s">
        <v>8994</v>
      </c>
      <c r="E319" s="1">
        <v>37535</v>
      </c>
      <c r="F319" t="s">
        <v>6210</v>
      </c>
      <c r="G319">
        <v>377</v>
      </c>
      <c r="H319">
        <v>17626</v>
      </c>
      <c r="I319">
        <v>10</v>
      </c>
      <c r="J319">
        <v>1</v>
      </c>
      <c r="K319">
        <v>1</v>
      </c>
      <c r="L319">
        <v>2</v>
      </c>
      <c r="M319" t="s">
        <v>3559</v>
      </c>
      <c r="N319" t="s">
        <v>3560</v>
      </c>
      <c r="O319">
        <v>1320.6838</v>
      </c>
      <c r="P319">
        <v>2181.5625</v>
      </c>
      <c r="Q319" t="s">
        <v>13</v>
      </c>
      <c r="R319" t="s">
        <v>316</v>
      </c>
      <c r="S319" t="s">
        <v>220</v>
      </c>
      <c r="T319" t="s">
        <v>7676</v>
      </c>
      <c r="U319" s="1">
        <v>27207</v>
      </c>
      <c r="V319" t="s">
        <v>16</v>
      </c>
      <c r="W319" t="s">
        <v>16</v>
      </c>
      <c r="X319" t="s">
        <v>2161</v>
      </c>
      <c r="Y319">
        <v>40000</v>
      </c>
      <c r="Z319">
        <v>1</v>
      </c>
      <c r="AA319" t="s">
        <v>17</v>
      </c>
      <c r="AB319" t="s">
        <v>53</v>
      </c>
      <c r="AC319" t="s">
        <v>19</v>
      </c>
      <c r="AD319" t="s">
        <v>3588</v>
      </c>
      <c r="AE319" t="s">
        <v>3588</v>
      </c>
      <c r="AF319" t="s">
        <v>3584</v>
      </c>
      <c r="AG319" t="s">
        <v>3479</v>
      </c>
      <c r="AH319" t="s">
        <v>3475</v>
      </c>
      <c r="AI319">
        <v>2181.5625</v>
      </c>
      <c r="AJ319">
        <v>1320.6838</v>
      </c>
      <c r="AK319">
        <v>860.87869999999998</v>
      </c>
      <c r="AL319">
        <v>0.39461564818793898</v>
      </c>
    </row>
    <row r="320" spans="1:38">
      <c r="A320" s="1">
        <v>42368</v>
      </c>
      <c r="B320">
        <v>2015</v>
      </c>
      <c r="C320">
        <v>12</v>
      </c>
      <c r="D320" t="s">
        <v>8994</v>
      </c>
      <c r="E320" s="1">
        <v>37508</v>
      </c>
      <c r="F320" t="s">
        <v>6211</v>
      </c>
      <c r="G320">
        <v>368</v>
      </c>
      <c r="H320">
        <v>22930</v>
      </c>
      <c r="I320">
        <v>9</v>
      </c>
      <c r="J320">
        <v>1</v>
      </c>
      <c r="K320">
        <v>1</v>
      </c>
      <c r="L320">
        <v>2</v>
      </c>
      <c r="M320" t="s">
        <v>3547</v>
      </c>
      <c r="N320" t="s">
        <v>3548</v>
      </c>
      <c r="O320">
        <v>1518.7864</v>
      </c>
      <c r="P320">
        <v>2443.35</v>
      </c>
      <c r="Q320" t="s">
        <v>13</v>
      </c>
      <c r="R320" t="s">
        <v>531</v>
      </c>
      <c r="S320" t="s">
        <v>431</v>
      </c>
      <c r="T320" t="s">
        <v>8323</v>
      </c>
      <c r="U320" s="1">
        <v>24798</v>
      </c>
      <c r="V320" t="s">
        <v>16</v>
      </c>
      <c r="W320" t="s">
        <v>16</v>
      </c>
      <c r="X320" t="s">
        <v>2822</v>
      </c>
      <c r="Y320">
        <v>90000</v>
      </c>
      <c r="Z320">
        <v>4</v>
      </c>
      <c r="AA320" t="s">
        <v>17</v>
      </c>
      <c r="AB320" t="s">
        <v>18</v>
      </c>
      <c r="AC320" t="s">
        <v>19</v>
      </c>
      <c r="AD320" t="s">
        <v>3586</v>
      </c>
      <c r="AE320" t="s">
        <v>3586</v>
      </c>
      <c r="AF320" t="s">
        <v>3587</v>
      </c>
      <c r="AG320" t="s">
        <v>3479</v>
      </c>
      <c r="AH320" t="s">
        <v>3475</v>
      </c>
      <c r="AI320">
        <v>2443.35</v>
      </c>
      <c r="AJ320">
        <v>1518.7864</v>
      </c>
      <c r="AK320">
        <v>924.56359999999995</v>
      </c>
      <c r="AL320">
        <v>0.37839998362903399</v>
      </c>
    </row>
    <row r="321" spans="1:38">
      <c r="A321" s="1">
        <v>42369</v>
      </c>
      <c r="B321">
        <v>2015</v>
      </c>
      <c r="C321">
        <v>12</v>
      </c>
      <c r="D321" t="s">
        <v>8994</v>
      </c>
      <c r="E321" s="1">
        <v>37592</v>
      </c>
      <c r="F321" t="s">
        <v>6221</v>
      </c>
      <c r="G321">
        <v>340</v>
      </c>
      <c r="H321">
        <v>20722</v>
      </c>
      <c r="I321">
        <v>8</v>
      </c>
      <c r="J321">
        <v>1</v>
      </c>
      <c r="K321">
        <v>1</v>
      </c>
      <c r="L321">
        <v>2</v>
      </c>
      <c r="M321" t="s">
        <v>3515</v>
      </c>
      <c r="N321" t="s">
        <v>3516</v>
      </c>
      <c r="O321">
        <v>413.1463</v>
      </c>
      <c r="P321">
        <v>699.09820000000002</v>
      </c>
      <c r="Q321" t="s">
        <v>30</v>
      </c>
      <c r="R321" t="s">
        <v>1202</v>
      </c>
      <c r="S321" t="s">
        <v>157</v>
      </c>
      <c r="T321" t="s">
        <v>8065</v>
      </c>
      <c r="U321" s="1">
        <v>26413</v>
      </c>
      <c r="V321" t="s">
        <v>22</v>
      </c>
      <c r="W321" t="s">
        <v>29</v>
      </c>
      <c r="X321" t="s">
        <v>2559</v>
      </c>
      <c r="Y321">
        <v>40000</v>
      </c>
      <c r="Z321">
        <v>2</v>
      </c>
      <c r="AA321" t="s">
        <v>52</v>
      </c>
      <c r="AB321" t="s">
        <v>60</v>
      </c>
      <c r="AC321" t="s">
        <v>19</v>
      </c>
      <c r="AD321" t="s">
        <v>3585</v>
      </c>
      <c r="AE321" t="s">
        <v>3585</v>
      </c>
      <c r="AF321" t="s">
        <v>3584</v>
      </c>
      <c r="AG321" t="s">
        <v>3479</v>
      </c>
      <c r="AH321" t="s">
        <v>3475</v>
      </c>
      <c r="AI321">
        <v>699.09820000000002</v>
      </c>
      <c r="AJ321">
        <v>413.1463</v>
      </c>
      <c r="AK321">
        <v>285.95190000000002</v>
      </c>
      <c r="AL321">
        <v>0.409029661355157</v>
      </c>
    </row>
    <row r="322" spans="1:38">
      <c r="A322" s="1">
        <v>42369</v>
      </c>
      <c r="B322">
        <v>2015</v>
      </c>
      <c r="C322">
        <v>12</v>
      </c>
      <c r="D322" t="s">
        <v>8994</v>
      </c>
      <c r="E322" s="1">
        <v>37589</v>
      </c>
      <c r="F322" t="s">
        <v>6219</v>
      </c>
      <c r="G322">
        <v>354</v>
      </c>
      <c r="H322">
        <v>13111</v>
      </c>
      <c r="I322">
        <v>9</v>
      </c>
      <c r="J322">
        <v>1</v>
      </c>
      <c r="K322">
        <v>1</v>
      </c>
      <c r="L322">
        <v>1</v>
      </c>
      <c r="M322" t="s">
        <v>3537</v>
      </c>
      <c r="N322" t="s">
        <v>3538</v>
      </c>
      <c r="O322">
        <v>1117.8559</v>
      </c>
      <c r="P322">
        <v>2071.4196000000002</v>
      </c>
      <c r="Q322" t="s">
        <v>30</v>
      </c>
      <c r="R322" t="s">
        <v>278</v>
      </c>
      <c r="S322" t="s">
        <v>148</v>
      </c>
      <c r="T322" t="s">
        <v>7102</v>
      </c>
      <c r="U322" s="1">
        <v>22509</v>
      </c>
      <c r="V322" t="s">
        <v>22</v>
      </c>
      <c r="W322" t="s">
        <v>29</v>
      </c>
      <c r="X322" t="s">
        <v>1416</v>
      </c>
      <c r="Y322">
        <v>60000</v>
      </c>
      <c r="Z322">
        <v>1</v>
      </c>
      <c r="AA322" t="s">
        <v>52</v>
      </c>
      <c r="AB322" t="s">
        <v>53</v>
      </c>
      <c r="AC322" t="s">
        <v>19</v>
      </c>
      <c r="AD322" t="s">
        <v>3586</v>
      </c>
      <c r="AE322" t="s">
        <v>3586</v>
      </c>
      <c r="AF322" t="s">
        <v>3587</v>
      </c>
      <c r="AG322" t="s">
        <v>3478</v>
      </c>
      <c r="AH322" t="s">
        <v>3475</v>
      </c>
      <c r="AI322">
        <v>2071.4196000000002</v>
      </c>
      <c r="AJ322">
        <v>1117.8559</v>
      </c>
      <c r="AK322">
        <v>953.56370000000004</v>
      </c>
      <c r="AL322">
        <v>0.460343090313522</v>
      </c>
    </row>
    <row r="323" spans="1:38">
      <c r="A323" s="1">
        <v>42369</v>
      </c>
      <c r="B323">
        <v>2015</v>
      </c>
      <c r="C323">
        <v>12</v>
      </c>
      <c r="D323" t="s">
        <v>8994</v>
      </c>
      <c r="E323" s="1">
        <v>37604</v>
      </c>
      <c r="F323" t="s">
        <v>6217</v>
      </c>
      <c r="G323">
        <v>360</v>
      </c>
      <c r="H323">
        <v>13128</v>
      </c>
      <c r="I323">
        <v>9</v>
      </c>
      <c r="J323">
        <v>1</v>
      </c>
      <c r="K323">
        <v>1</v>
      </c>
      <c r="L323">
        <v>1</v>
      </c>
      <c r="M323" t="s">
        <v>3543</v>
      </c>
      <c r="N323" t="s">
        <v>3544</v>
      </c>
      <c r="O323">
        <v>1105.81</v>
      </c>
      <c r="P323">
        <v>2049.0981999999999</v>
      </c>
      <c r="Q323" t="s">
        <v>26</v>
      </c>
      <c r="R323" t="s">
        <v>564</v>
      </c>
      <c r="S323" t="s">
        <v>1427</v>
      </c>
      <c r="T323" t="s">
        <v>7114</v>
      </c>
      <c r="U323" s="1">
        <v>23490</v>
      </c>
      <c r="V323" t="s">
        <v>22</v>
      </c>
      <c r="W323" t="s">
        <v>29</v>
      </c>
      <c r="X323" t="s">
        <v>1428</v>
      </c>
      <c r="Y323">
        <v>70000</v>
      </c>
      <c r="Z323">
        <v>0</v>
      </c>
      <c r="AA323" t="s">
        <v>17</v>
      </c>
      <c r="AB323" t="s">
        <v>18</v>
      </c>
      <c r="AC323" t="s">
        <v>23</v>
      </c>
      <c r="AD323" t="s">
        <v>3586</v>
      </c>
      <c r="AE323" t="s">
        <v>3586</v>
      </c>
      <c r="AF323" t="s">
        <v>3587</v>
      </c>
      <c r="AG323" t="s">
        <v>3478</v>
      </c>
      <c r="AH323" t="s">
        <v>3475</v>
      </c>
      <c r="AI323">
        <v>2049.0981999999999</v>
      </c>
      <c r="AJ323">
        <v>1105.81</v>
      </c>
      <c r="AK323">
        <v>943.28819999999996</v>
      </c>
      <c r="AL323">
        <v>0.46034309141455498</v>
      </c>
    </row>
    <row r="324" spans="1:38">
      <c r="A324" s="1">
        <v>42369</v>
      </c>
      <c r="B324">
        <v>2015</v>
      </c>
      <c r="C324">
        <v>12</v>
      </c>
      <c r="D324" t="s">
        <v>8994</v>
      </c>
      <c r="E324" s="1">
        <v>37538</v>
      </c>
      <c r="F324" t="s">
        <v>6222</v>
      </c>
      <c r="G324">
        <v>369</v>
      </c>
      <c r="H324">
        <v>14944</v>
      </c>
      <c r="I324">
        <v>7</v>
      </c>
      <c r="J324">
        <v>1</v>
      </c>
      <c r="K324">
        <v>1</v>
      </c>
      <c r="L324">
        <v>2</v>
      </c>
      <c r="M324" t="s">
        <v>3549</v>
      </c>
      <c r="N324" t="s">
        <v>3550</v>
      </c>
      <c r="O324">
        <v>1518.7864</v>
      </c>
      <c r="P324">
        <v>2443.35</v>
      </c>
      <c r="Q324" t="s">
        <v>13</v>
      </c>
      <c r="R324" t="s">
        <v>651</v>
      </c>
      <c r="S324" t="s">
        <v>1169</v>
      </c>
      <c r="T324" t="s">
        <v>7350</v>
      </c>
      <c r="U324" s="1">
        <v>23964</v>
      </c>
      <c r="V324" t="s">
        <v>22</v>
      </c>
      <c r="W324" t="s">
        <v>16</v>
      </c>
      <c r="X324" t="s">
        <v>1825</v>
      </c>
      <c r="Y324">
        <v>10000</v>
      </c>
      <c r="Z324">
        <v>5</v>
      </c>
      <c r="AA324" t="s">
        <v>77</v>
      </c>
      <c r="AB324" t="s">
        <v>444</v>
      </c>
      <c r="AC324" t="s">
        <v>19</v>
      </c>
      <c r="AD324" t="s">
        <v>3583</v>
      </c>
      <c r="AE324" t="s">
        <v>3583</v>
      </c>
      <c r="AF324" t="s">
        <v>3584</v>
      </c>
      <c r="AG324" t="s">
        <v>3479</v>
      </c>
      <c r="AH324" t="s">
        <v>3475</v>
      </c>
      <c r="AI324">
        <v>2443.35</v>
      </c>
      <c r="AJ324">
        <v>1518.7864</v>
      </c>
      <c r="AK324">
        <v>924.56359999999995</v>
      </c>
      <c r="AL324">
        <v>0.37839998362903399</v>
      </c>
    </row>
    <row r="325" spans="1:38">
      <c r="A325" s="1">
        <v>42369</v>
      </c>
      <c r="B325">
        <v>2015</v>
      </c>
      <c r="C325">
        <v>12</v>
      </c>
      <c r="D325" t="s">
        <v>8994</v>
      </c>
      <c r="E325" s="1">
        <v>37569</v>
      </c>
      <c r="F325" t="s">
        <v>6218</v>
      </c>
      <c r="G325">
        <v>377</v>
      </c>
      <c r="H325">
        <v>17202</v>
      </c>
      <c r="I325">
        <v>10</v>
      </c>
      <c r="J325">
        <v>1</v>
      </c>
      <c r="K325">
        <v>1</v>
      </c>
      <c r="L325">
        <v>2</v>
      </c>
      <c r="M325" t="s">
        <v>3559</v>
      </c>
      <c r="N325" t="s">
        <v>3560</v>
      </c>
      <c r="O325">
        <v>1320.6838</v>
      </c>
      <c r="P325">
        <v>2181.5625</v>
      </c>
      <c r="Q325" t="s">
        <v>30</v>
      </c>
      <c r="R325" t="s">
        <v>128</v>
      </c>
      <c r="S325" t="s">
        <v>290</v>
      </c>
      <c r="T325" t="s">
        <v>7668</v>
      </c>
      <c r="U325" s="1">
        <v>16544</v>
      </c>
      <c r="V325" t="s">
        <v>16</v>
      </c>
      <c r="W325" t="s">
        <v>29</v>
      </c>
      <c r="X325" t="s">
        <v>2153</v>
      </c>
      <c r="Y325">
        <v>110000</v>
      </c>
      <c r="Z325">
        <v>3</v>
      </c>
      <c r="AA325" t="s">
        <v>17</v>
      </c>
      <c r="AB325" t="s">
        <v>45</v>
      </c>
      <c r="AC325" t="s">
        <v>19</v>
      </c>
      <c r="AD325" t="s">
        <v>3588</v>
      </c>
      <c r="AE325" t="s">
        <v>3588</v>
      </c>
      <c r="AF325" t="s">
        <v>3584</v>
      </c>
      <c r="AG325" t="s">
        <v>3479</v>
      </c>
      <c r="AH325" t="s">
        <v>3475</v>
      </c>
      <c r="AI325">
        <v>2181.5625</v>
      </c>
      <c r="AJ325">
        <v>1320.6838</v>
      </c>
      <c r="AK325">
        <v>860.87869999999998</v>
      </c>
      <c r="AL325">
        <v>0.39461564818793898</v>
      </c>
    </row>
    <row r="326" spans="1:38">
      <c r="A326" s="1">
        <v>42369</v>
      </c>
      <c r="B326">
        <v>2015</v>
      </c>
      <c r="C326">
        <v>12</v>
      </c>
      <c r="D326" t="s">
        <v>8994</v>
      </c>
      <c r="E326" s="1">
        <v>37582</v>
      </c>
      <c r="F326" t="s">
        <v>6223</v>
      </c>
      <c r="G326">
        <v>383</v>
      </c>
      <c r="H326">
        <v>24915</v>
      </c>
      <c r="I326">
        <v>9</v>
      </c>
      <c r="J326">
        <v>1</v>
      </c>
      <c r="K326">
        <v>1</v>
      </c>
      <c r="L326">
        <v>2</v>
      </c>
      <c r="M326" t="s">
        <v>3565</v>
      </c>
      <c r="N326" t="s">
        <v>3566</v>
      </c>
      <c r="O326">
        <v>605.64919999999995</v>
      </c>
      <c r="P326">
        <v>1000.4375</v>
      </c>
      <c r="Q326" t="s">
        <v>13</v>
      </c>
      <c r="R326" t="s">
        <v>535</v>
      </c>
      <c r="S326" t="s">
        <v>363</v>
      </c>
      <c r="T326" t="s">
        <v>8452</v>
      </c>
      <c r="U326" s="1">
        <v>26015</v>
      </c>
      <c r="V326" t="s">
        <v>22</v>
      </c>
      <c r="W326" t="s">
        <v>16</v>
      </c>
      <c r="X326" t="s">
        <v>2952</v>
      </c>
      <c r="Y326">
        <v>100000</v>
      </c>
      <c r="Z326">
        <v>0</v>
      </c>
      <c r="AA326" t="s">
        <v>57</v>
      </c>
      <c r="AB326" t="s">
        <v>45</v>
      </c>
      <c r="AC326" t="s">
        <v>19</v>
      </c>
      <c r="AD326" t="s">
        <v>3586</v>
      </c>
      <c r="AE326" t="s">
        <v>3586</v>
      </c>
      <c r="AF326" t="s">
        <v>3587</v>
      </c>
      <c r="AG326" t="s">
        <v>3479</v>
      </c>
      <c r="AH326" t="s">
        <v>3475</v>
      </c>
      <c r="AI326">
        <v>1000.4375</v>
      </c>
      <c r="AJ326">
        <v>605.64919999999995</v>
      </c>
      <c r="AK326">
        <v>394.78829999999999</v>
      </c>
      <c r="AL326">
        <v>0.39461565565065299</v>
      </c>
    </row>
    <row r="327" spans="1:38">
      <c r="A327" s="1">
        <v>42369</v>
      </c>
      <c r="B327">
        <v>2015</v>
      </c>
      <c r="C327">
        <v>12</v>
      </c>
      <c r="D327" t="s">
        <v>8994</v>
      </c>
      <c r="E327" s="1">
        <v>37574</v>
      </c>
      <c r="F327" t="s">
        <v>6220</v>
      </c>
      <c r="G327">
        <v>324</v>
      </c>
      <c r="H327">
        <v>26563</v>
      </c>
      <c r="I327">
        <v>9</v>
      </c>
      <c r="J327">
        <v>1</v>
      </c>
      <c r="K327">
        <v>1</v>
      </c>
      <c r="L327">
        <v>2</v>
      </c>
      <c r="M327" t="s">
        <v>3499</v>
      </c>
      <c r="N327" t="s">
        <v>3500</v>
      </c>
      <c r="O327">
        <v>413.1463</v>
      </c>
      <c r="P327">
        <v>699.09820000000002</v>
      </c>
      <c r="Q327" t="s">
        <v>13</v>
      </c>
      <c r="R327" t="s">
        <v>661</v>
      </c>
      <c r="S327" t="s">
        <v>450</v>
      </c>
      <c r="T327" t="s">
        <v>8732</v>
      </c>
      <c r="U327" s="1">
        <v>19383</v>
      </c>
      <c r="V327" t="s">
        <v>16</v>
      </c>
      <c r="W327" t="s">
        <v>16</v>
      </c>
      <c r="X327" t="s">
        <v>3242</v>
      </c>
      <c r="Y327">
        <v>40000</v>
      </c>
      <c r="Z327">
        <v>2</v>
      </c>
      <c r="AA327" t="s">
        <v>52</v>
      </c>
      <c r="AB327" t="s">
        <v>53</v>
      </c>
      <c r="AC327" t="s">
        <v>19</v>
      </c>
      <c r="AD327" t="s">
        <v>3586</v>
      </c>
      <c r="AE327" t="s">
        <v>3586</v>
      </c>
      <c r="AF327" t="s">
        <v>3587</v>
      </c>
      <c r="AG327" t="s">
        <v>3479</v>
      </c>
      <c r="AH327" t="s">
        <v>3475</v>
      </c>
      <c r="AI327">
        <v>699.09820000000002</v>
      </c>
      <c r="AJ327">
        <v>413.1463</v>
      </c>
      <c r="AK327">
        <v>285.95190000000002</v>
      </c>
      <c r="AL327">
        <v>0.409029661355157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14A4-C1DA-9946-BD7A-6C7CB7E7B910}">
  <dimension ref="E2:U42"/>
  <sheetViews>
    <sheetView zoomScale="33" workbookViewId="0">
      <selection activeCell="P53" sqref="P53"/>
    </sheetView>
  </sheetViews>
  <sheetFormatPr baseColWidth="10" defaultRowHeight="18"/>
  <cols>
    <col min="1" max="1" width="15.5" bestFit="1" customWidth="1"/>
    <col min="2" max="2" width="23.83203125" bestFit="1" customWidth="1"/>
    <col min="3" max="3" width="16.33203125" bestFit="1" customWidth="1"/>
    <col min="4" max="4" width="13.5" bestFit="1" customWidth="1"/>
    <col min="5" max="5" width="22.1640625" bestFit="1" customWidth="1"/>
    <col min="6" max="7" width="21.83203125" bestFit="1" customWidth="1"/>
    <col min="8" max="8" width="12.6640625" bestFit="1" customWidth="1"/>
    <col min="10" max="10" width="13.5" bestFit="1" customWidth="1"/>
    <col min="11" max="11" width="15.33203125" bestFit="1" customWidth="1"/>
    <col min="15" max="15" width="24.6640625" bestFit="1" customWidth="1"/>
    <col min="16" max="16" width="31.1640625" bestFit="1" customWidth="1"/>
    <col min="17" max="17" width="7" bestFit="1" customWidth="1"/>
    <col min="18" max="18" width="10" bestFit="1" customWidth="1"/>
    <col min="19" max="19" width="12.83203125" bestFit="1" customWidth="1"/>
    <col min="20" max="20" width="26.33203125" bestFit="1" customWidth="1"/>
    <col min="21" max="21" width="15.1640625" customWidth="1"/>
    <col min="22" max="22" width="9.6640625" bestFit="1" customWidth="1"/>
  </cols>
  <sheetData>
    <row r="2" spans="5:21" ht="38">
      <c r="E2" s="5" t="s">
        <v>8962</v>
      </c>
      <c r="F2" s="5"/>
      <c r="O2" s="19" t="s">
        <v>8995</v>
      </c>
      <c r="P2" s="19"/>
      <c r="Q2" s="19"/>
      <c r="R2" s="19"/>
      <c r="S2" s="19"/>
      <c r="T2" s="19"/>
      <c r="U2" s="19"/>
    </row>
    <row r="3" spans="5:21" ht="23">
      <c r="E3" t="s">
        <v>8963</v>
      </c>
      <c r="F3" s="2">
        <f>SUM(FD[Revenue])</f>
        <v>11144.064200000001</v>
      </c>
      <c r="O3" s="18" t="s">
        <v>8996</v>
      </c>
      <c r="P3" s="18"/>
      <c r="Q3" s="18"/>
      <c r="R3" s="18"/>
      <c r="S3" s="18"/>
      <c r="T3" s="18"/>
      <c r="U3" s="18"/>
    </row>
    <row r="4" spans="5:21">
      <c r="E4" t="s">
        <v>8964</v>
      </c>
      <c r="F4" s="2">
        <f>SUM(FD[Profit])</f>
        <v>4648.9863000000005</v>
      </c>
      <c r="O4" s="5" t="s">
        <v>8998</v>
      </c>
      <c r="P4" s="5" t="s">
        <v>8999</v>
      </c>
      <c r="S4" s="5" t="s">
        <v>8997</v>
      </c>
      <c r="T4" s="23">
        <v>42369</v>
      </c>
    </row>
    <row r="5" spans="5:21">
      <c r="E5" t="s">
        <v>8965</v>
      </c>
      <c r="F5" s="2">
        <f>SUM(FD[Cost])</f>
        <v>6495.0778999999984</v>
      </c>
    </row>
    <row r="6" spans="5:21" ht="23">
      <c r="E6" t="s">
        <v>8966</v>
      </c>
      <c r="F6">
        <f>COUNTA(_xlfn.UNIQUE(FD[OrderNumber]))</f>
        <v>7</v>
      </c>
      <c r="O6" s="15" t="s">
        <v>9009</v>
      </c>
      <c r="P6" s="15"/>
      <c r="Q6" s="15"/>
      <c r="R6" s="15"/>
      <c r="S6" s="15"/>
      <c r="T6" s="15"/>
      <c r="U6" s="15"/>
    </row>
    <row r="7" spans="5:21">
      <c r="E7" t="s">
        <v>8967</v>
      </c>
      <c r="F7">
        <f>SUM(FD[OrderQuantity])</f>
        <v>7</v>
      </c>
    </row>
    <row r="8" spans="5:21">
      <c r="E8" t="s">
        <v>8968</v>
      </c>
      <c r="F8">
        <f>COUNT(FD[CustomerKey])</f>
        <v>7</v>
      </c>
      <c r="O8" s="20" t="s">
        <v>6327</v>
      </c>
      <c r="P8" s="17" t="s">
        <v>6329</v>
      </c>
      <c r="Q8" s="17" t="s">
        <v>9000</v>
      </c>
      <c r="R8" s="17" t="s">
        <v>9001</v>
      </c>
      <c r="S8" s="17" t="s">
        <v>9002</v>
      </c>
      <c r="T8" s="5"/>
    </row>
    <row r="9" spans="5:21">
      <c r="E9" t="s">
        <v>8969</v>
      </c>
      <c r="F9" s="2">
        <f>F3/F6</f>
        <v>1592.0091714285716</v>
      </c>
      <c r="O9" s="20"/>
      <c r="P9" s="17"/>
      <c r="Q9" s="17"/>
      <c r="R9" s="17"/>
      <c r="S9" s="17"/>
    </row>
    <row r="10" spans="5:21" ht="23">
      <c r="E10" t="s">
        <v>8970</v>
      </c>
      <c r="F10" s="3">
        <f>F4/F3</f>
        <v>0.41717152885748809</v>
      </c>
      <c r="O10" s="10">
        <f>F3</f>
        <v>11144.064200000001</v>
      </c>
      <c r="P10" s="10">
        <f>F4</f>
        <v>4648.9863000000005</v>
      </c>
      <c r="Q10" s="11">
        <f>F6</f>
        <v>7</v>
      </c>
      <c r="R10" s="11">
        <f>F7</f>
        <v>7</v>
      </c>
      <c r="S10" s="12">
        <f>F10</f>
        <v>0.41717152885748809</v>
      </c>
    </row>
    <row r="11" spans="5:21">
      <c r="F11" s="6"/>
    </row>
    <row r="12" spans="5:21" ht="23">
      <c r="F12" s="6"/>
      <c r="O12" s="15" t="s">
        <v>9010</v>
      </c>
      <c r="P12" s="15"/>
      <c r="Q12" s="15"/>
      <c r="R12" s="15"/>
      <c r="S12" s="15"/>
      <c r="T12" s="15"/>
      <c r="U12" s="15"/>
    </row>
    <row r="14" spans="5:21">
      <c r="O14" s="13" t="s">
        <v>9003</v>
      </c>
      <c r="P14" s="13" t="s">
        <v>9004</v>
      </c>
    </row>
    <row r="15" spans="5:21">
      <c r="O15" t="s">
        <v>9005</v>
      </c>
      <c r="P15" t="str">
        <f>E17</f>
        <v>Road Bikes</v>
      </c>
    </row>
    <row r="16" spans="5:21">
      <c r="E16" s="7" t="s">
        <v>8974</v>
      </c>
      <c r="F16" t="s">
        <v>8977</v>
      </c>
      <c r="G16" t="s">
        <v>8973</v>
      </c>
      <c r="H16" t="s">
        <v>8976</v>
      </c>
      <c r="O16" t="s">
        <v>9006</v>
      </c>
      <c r="P16" t="str">
        <f>E22</f>
        <v>Australia</v>
      </c>
    </row>
    <row r="17" spans="5:21">
      <c r="E17" s="8" t="s">
        <v>3479</v>
      </c>
      <c r="F17">
        <v>5</v>
      </c>
      <c r="G17" s="2">
        <v>7023.5464000000002</v>
      </c>
      <c r="H17" s="2">
        <v>2752.1343999999999</v>
      </c>
      <c r="J17" s="7" t="s">
        <v>8974</v>
      </c>
      <c r="K17" t="s">
        <v>8973</v>
      </c>
      <c r="O17" t="s">
        <v>9007</v>
      </c>
      <c r="P17" t="str">
        <f>E31</f>
        <v>Road-250 Red, 48</v>
      </c>
    </row>
    <row r="18" spans="5:21">
      <c r="E18" s="8" t="s">
        <v>3478</v>
      </c>
      <c r="F18">
        <v>2</v>
      </c>
      <c r="G18" s="2">
        <v>4120.5177999999996</v>
      </c>
      <c r="H18" s="2">
        <v>1896.8519000000001</v>
      </c>
      <c r="J18" s="8" t="s">
        <v>8989</v>
      </c>
      <c r="K18" s="2">
        <v>11144.064200000001</v>
      </c>
      <c r="O18" t="s">
        <v>9008</v>
      </c>
      <c r="P18" t="str">
        <f>E37</f>
        <v>Road-650 Black, 48</v>
      </c>
    </row>
    <row r="19" spans="5:21">
      <c r="E19" s="8" t="s">
        <v>8975</v>
      </c>
      <c r="F19">
        <v>7</v>
      </c>
      <c r="G19" s="2">
        <v>11144.064200000001</v>
      </c>
      <c r="H19" s="2">
        <v>4648.9863000000005</v>
      </c>
      <c r="J19" s="8" t="s">
        <v>8975</v>
      </c>
      <c r="K19" s="2">
        <v>11144.064200000001</v>
      </c>
      <c r="O19" t="s">
        <v>8969</v>
      </c>
      <c r="P19" s="2">
        <f>F9</f>
        <v>1592.0091714285716</v>
      </c>
    </row>
    <row r="21" spans="5:21" ht="23">
      <c r="E21" s="7" t="s">
        <v>8974</v>
      </c>
      <c r="F21" t="s">
        <v>8973</v>
      </c>
      <c r="G21" t="s">
        <v>8977</v>
      </c>
      <c r="O21" s="15" t="s">
        <v>9011</v>
      </c>
      <c r="P21" s="15"/>
      <c r="Q21" s="15"/>
      <c r="R21" s="15"/>
      <c r="S21" s="15"/>
      <c r="T21" s="15"/>
      <c r="U21" s="15"/>
    </row>
    <row r="22" spans="5:21">
      <c r="E22" s="8" t="s">
        <v>3586</v>
      </c>
      <c r="F22" s="2">
        <v>5820.0535</v>
      </c>
      <c r="G22">
        <v>4</v>
      </c>
    </row>
    <row r="23" spans="5:21" ht="19" customHeight="1">
      <c r="E23" s="8" t="s">
        <v>3583</v>
      </c>
      <c r="F23" s="2">
        <v>2443.35</v>
      </c>
      <c r="G23">
        <v>1</v>
      </c>
      <c r="O23" s="16" t="s">
        <v>9017</v>
      </c>
      <c r="P23" s="16"/>
      <c r="Q23" s="16"/>
      <c r="R23" s="16"/>
      <c r="S23" s="16"/>
    </row>
    <row r="24" spans="5:21">
      <c r="E24" s="8" t="s">
        <v>3588</v>
      </c>
      <c r="F24" s="2">
        <v>2181.5625</v>
      </c>
      <c r="G24">
        <v>1</v>
      </c>
      <c r="O24" s="16"/>
      <c r="P24" s="16"/>
      <c r="Q24" s="16"/>
      <c r="R24" s="16"/>
      <c r="S24" s="16"/>
    </row>
    <row r="25" spans="5:21">
      <c r="E25" s="8" t="s">
        <v>3585</v>
      </c>
      <c r="F25" s="2">
        <v>699.09820000000002</v>
      </c>
      <c r="G25">
        <v>1</v>
      </c>
      <c r="O25" s="16"/>
      <c r="P25" s="16"/>
      <c r="Q25" s="16"/>
      <c r="R25" s="16"/>
      <c r="S25" s="16"/>
    </row>
    <row r="26" spans="5:21">
      <c r="E26" s="8" t="s">
        <v>8975</v>
      </c>
      <c r="F26" s="2">
        <v>11144.064200000001</v>
      </c>
      <c r="G26">
        <v>7</v>
      </c>
      <c r="O26" s="16"/>
      <c r="P26" s="16"/>
      <c r="Q26" s="16"/>
      <c r="R26" s="16"/>
      <c r="S26" s="16"/>
    </row>
    <row r="27" spans="5:21">
      <c r="O27" s="16"/>
      <c r="P27" s="16"/>
      <c r="Q27" s="16"/>
      <c r="R27" s="16"/>
      <c r="S27" s="16"/>
    </row>
    <row r="28" spans="5:21">
      <c r="O28" s="16"/>
      <c r="P28" s="16"/>
      <c r="Q28" s="16"/>
      <c r="R28" s="16"/>
      <c r="S28" s="16"/>
    </row>
    <row r="30" spans="5:21">
      <c r="E30" s="7" t="s">
        <v>8974</v>
      </c>
      <c r="F30" t="s">
        <v>8973</v>
      </c>
    </row>
    <row r="31" spans="5:21">
      <c r="E31" s="8" t="s">
        <v>3550</v>
      </c>
      <c r="F31" s="2">
        <v>2443.35</v>
      </c>
      <c r="O31" s="9"/>
      <c r="P31" s="9"/>
    </row>
    <row r="32" spans="5:21" ht="23">
      <c r="E32" s="8" t="s">
        <v>3560</v>
      </c>
      <c r="F32" s="2">
        <v>2181.5625</v>
      </c>
      <c r="O32" s="15" t="s">
        <v>9015</v>
      </c>
      <c r="P32" s="15"/>
      <c r="Q32" s="15"/>
      <c r="R32" s="15"/>
      <c r="S32" s="15"/>
      <c r="T32" s="15"/>
      <c r="U32" s="15"/>
    </row>
    <row r="33" spans="5:19" ht="18" customHeight="1">
      <c r="E33" s="8" t="s">
        <v>3538</v>
      </c>
      <c r="F33" s="2">
        <v>2071.4196000000002</v>
      </c>
    </row>
    <row r="34" spans="5:19" ht="14" customHeight="1">
      <c r="E34" s="8" t="s">
        <v>3544</v>
      </c>
      <c r="F34" s="2">
        <v>2049.0981999999999</v>
      </c>
      <c r="O34" s="16" t="s">
        <v>9018</v>
      </c>
      <c r="P34" s="16"/>
      <c r="Q34" s="16"/>
      <c r="R34" s="16"/>
      <c r="S34" s="16"/>
    </row>
    <row r="35" spans="5:19">
      <c r="E35" s="8" t="s">
        <v>3566</v>
      </c>
      <c r="F35" s="2">
        <v>1000.4375</v>
      </c>
      <c r="O35" s="16"/>
      <c r="P35" s="16"/>
      <c r="Q35" s="16"/>
      <c r="R35" s="16"/>
      <c r="S35" s="16"/>
    </row>
    <row r="36" spans="5:19">
      <c r="E36" s="8" t="s">
        <v>3500</v>
      </c>
      <c r="F36" s="2">
        <v>699.09820000000002</v>
      </c>
      <c r="O36" s="16"/>
      <c r="P36" s="16"/>
      <c r="Q36" s="16"/>
      <c r="R36" s="16"/>
      <c r="S36" s="16"/>
    </row>
    <row r="37" spans="5:19">
      <c r="E37" s="8" t="s">
        <v>3516</v>
      </c>
      <c r="F37" s="2">
        <v>699.09820000000002</v>
      </c>
      <c r="O37" s="16"/>
      <c r="P37" s="16"/>
      <c r="Q37" s="16"/>
      <c r="R37" s="16"/>
      <c r="S37" s="16"/>
    </row>
    <row r="38" spans="5:19">
      <c r="E38" s="8" t="s">
        <v>8975</v>
      </c>
      <c r="F38" s="2">
        <v>11144.064200000001</v>
      </c>
      <c r="O38" s="16"/>
      <c r="P38" s="16"/>
      <c r="Q38" s="16"/>
      <c r="R38" s="16"/>
      <c r="S38" s="16"/>
    </row>
    <row r="39" spans="5:19">
      <c r="O39" s="16"/>
      <c r="P39" s="16"/>
      <c r="Q39" s="16"/>
      <c r="R39" s="16"/>
      <c r="S39" s="16"/>
    </row>
    <row r="40" spans="5:19">
      <c r="O40" s="16"/>
      <c r="P40" s="16"/>
      <c r="Q40" s="16"/>
      <c r="R40" s="16"/>
      <c r="S40" s="16"/>
    </row>
    <row r="41" spans="5:19">
      <c r="O41" s="16"/>
      <c r="P41" s="16"/>
      <c r="Q41" s="16"/>
      <c r="R41" s="16"/>
      <c r="S41" s="16"/>
    </row>
    <row r="42" spans="5:19">
      <c r="O42" s="16"/>
      <c r="P42" s="16"/>
      <c r="Q42" s="16"/>
      <c r="R42" s="16"/>
      <c r="S42" s="16"/>
    </row>
  </sheetData>
  <mergeCells count="13">
    <mergeCell ref="O3:U3"/>
    <mergeCell ref="O2:U2"/>
    <mergeCell ref="O6:U6"/>
    <mergeCell ref="O8:O9"/>
    <mergeCell ref="P8:P9"/>
    <mergeCell ref="O32:U32"/>
    <mergeCell ref="O23:S28"/>
    <mergeCell ref="O34:S42"/>
    <mergeCell ref="Q8:Q9"/>
    <mergeCell ref="R8:R9"/>
    <mergeCell ref="S8:S9"/>
    <mergeCell ref="O12:U12"/>
    <mergeCell ref="O21:U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B1ED-4F74-8C44-92C7-8748E0381431}">
  <sheetPr codeName="Sheet3"/>
  <dimension ref="D2:R44"/>
  <sheetViews>
    <sheetView tabSelected="1" zoomScale="42" workbookViewId="0">
      <selection activeCell="Y14" sqref="Y14"/>
    </sheetView>
  </sheetViews>
  <sheetFormatPr baseColWidth="10" defaultRowHeight="18"/>
  <cols>
    <col min="1" max="1" width="17.83203125" bestFit="1" customWidth="1"/>
    <col min="2" max="3" width="15.33203125" bestFit="1" customWidth="1"/>
    <col min="4" max="4" width="18.33203125" bestFit="1" customWidth="1"/>
    <col min="5" max="5" width="15.83203125" bestFit="1" customWidth="1"/>
    <col min="6" max="6" width="13.6640625" bestFit="1" customWidth="1"/>
    <col min="7" max="7" width="15.5" bestFit="1" customWidth="1"/>
    <col min="10" max="10" width="13.33203125" bestFit="1" customWidth="1"/>
    <col min="11" max="11" width="25.33203125" bestFit="1" customWidth="1"/>
    <col min="12" max="12" width="27.1640625" customWidth="1"/>
    <col min="13" max="13" width="17.83203125" bestFit="1" customWidth="1"/>
    <col min="14" max="14" width="18.33203125" bestFit="1" customWidth="1"/>
    <col min="15" max="16" width="11" bestFit="1" customWidth="1"/>
    <col min="17" max="17" width="18.33203125" bestFit="1" customWidth="1"/>
  </cols>
  <sheetData>
    <row r="2" spans="4:18" ht="38">
      <c r="L2" s="19" t="s">
        <v>8995</v>
      </c>
      <c r="M2" s="19"/>
      <c r="N2" s="19"/>
      <c r="O2" s="19"/>
      <c r="P2" s="19"/>
      <c r="Q2" s="19"/>
      <c r="R2" s="19"/>
    </row>
    <row r="3" spans="4:18" ht="23">
      <c r="L3" s="18" t="s">
        <v>9012</v>
      </c>
      <c r="M3" s="18"/>
      <c r="N3" s="18"/>
      <c r="O3" s="18"/>
      <c r="P3" s="18"/>
      <c r="Q3" s="18"/>
      <c r="R3" s="18"/>
    </row>
    <row r="4" spans="4:18">
      <c r="L4" s="5" t="s">
        <v>8998</v>
      </c>
      <c r="M4" s="5" t="s">
        <v>8999</v>
      </c>
      <c r="P4" s="5" t="s">
        <v>8997</v>
      </c>
      <c r="Q4" s="1">
        <f ca="1">TODAY()</f>
        <v>46217</v>
      </c>
    </row>
    <row r="5" spans="4:18">
      <c r="D5" s="5" t="s">
        <v>8962</v>
      </c>
      <c r="E5" s="5"/>
    </row>
    <row r="6" spans="4:18" ht="23">
      <c r="D6" t="s">
        <v>8963</v>
      </c>
      <c r="E6" s="2">
        <f>SUM(FS[Revenue])</f>
        <v>6404933.5802998124</v>
      </c>
      <c r="L6" s="15" t="s">
        <v>9009</v>
      </c>
      <c r="M6" s="15"/>
      <c r="N6" s="15"/>
      <c r="O6" s="15"/>
      <c r="P6" s="15"/>
      <c r="Q6" s="15"/>
      <c r="R6" s="15"/>
    </row>
    <row r="7" spans="4:18">
      <c r="D7" t="s">
        <v>8964</v>
      </c>
      <c r="E7" s="2">
        <f>SUM(FS[Profit])</f>
        <v>2601602.3323999615</v>
      </c>
    </row>
    <row r="8" spans="4:18">
      <c r="D8" t="s">
        <v>8965</v>
      </c>
      <c r="E8" s="2">
        <f>SUM(FS[Cost])</f>
        <v>3803331.2479000166</v>
      </c>
      <c r="L8" s="20" t="s">
        <v>6327</v>
      </c>
      <c r="M8" s="17" t="s">
        <v>6329</v>
      </c>
      <c r="N8" s="17" t="s">
        <v>9000</v>
      </c>
      <c r="O8" s="17" t="s">
        <v>9001</v>
      </c>
      <c r="P8" s="17" t="s">
        <v>9002</v>
      </c>
      <c r="Q8" s="17" t="s">
        <v>9013</v>
      </c>
    </row>
    <row r="9" spans="4:18">
      <c r="D9" t="s">
        <v>8966</v>
      </c>
      <c r="E9">
        <f>COUNTA(_xlfn.UNIQUE(FS[OrderNumber]))</f>
        <v>2630</v>
      </c>
      <c r="L9" s="20"/>
      <c r="M9" s="17"/>
      <c r="N9" s="17"/>
      <c r="O9" s="17"/>
      <c r="P9" s="17"/>
      <c r="Q9" s="17"/>
    </row>
    <row r="10" spans="4:18" ht="23">
      <c r="D10" t="s">
        <v>8967</v>
      </c>
      <c r="E10">
        <f>SUM(FS[OrderQuantity])</f>
        <v>2630</v>
      </c>
      <c r="L10" s="10">
        <f>YEAR_2015_MIS_Report!E6</f>
        <v>6404933.5802998124</v>
      </c>
      <c r="M10" s="10">
        <f>E7</f>
        <v>2601602.3323999615</v>
      </c>
      <c r="N10" s="11">
        <f>E9</f>
        <v>2630</v>
      </c>
      <c r="O10" s="11">
        <f>E10</f>
        <v>2630</v>
      </c>
      <c r="P10" s="12">
        <f>E13</f>
        <v>0.40618724609446794</v>
      </c>
      <c r="Q10" s="14">
        <f>E15</f>
        <v>446422.7858999985</v>
      </c>
    </row>
    <row r="11" spans="4:18">
      <c r="D11" t="s">
        <v>8968</v>
      </c>
      <c r="E11">
        <f>COUNT(FS[CustomerKey])</f>
        <v>2630</v>
      </c>
    </row>
    <row r="12" spans="4:18" ht="23">
      <c r="D12" t="s">
        <v>8969</v>
      </c>
      <c r="E12" s="2">
        <f>E6/E9</f>
        <v>2435.3359620911833</v>
      </c>
      <c r="L12" s="15" t="s">
        <v>9010</v>
      </c>
      <c r="M12" s="15"/>
      <c r="N12" s="15"/>
      <c r="O12" s="15"/>
      <c r="P12" s="15"/>
      <c r="Q12" s="15"/>
      <c r="R12" s="15"/>
    </row>
    <row r="13" spans="4:18">
      <c r="D13" t="s">
        <v>8970</v>
      </c>
      <c r="E13" s="3">
        <f>E7/E6</f>
        <v>0.40618724609446794</v>
      </c>
    </row>
    <row r="14" spans="4:18">
      <c r="D14" t="s">
        <v>8971</v>
      </c>
      <c r="E14" s="6">
        <f>SUM(Fact_Return[Return_value])</f>
        <v>765277.84009998688</v>
      </c>
      <c r="L14" s="13" t="s">
        <v>9003</v>
      </c>
      <c r="M14" s="13" t="s">
        <v>9004</v>
      </c>
    </row>
    <row r="15" spans="4:18">
      <c r="D15" t="s">
        <v>8972</v>
      </c>
      <c r="E15" s="6">
        <f>SUM(Fact_Return[Return_cost])</f>
        <v>446422.7858999985</v>
      </c>
      <c r="L15" t="s">
        <v>9005</v>
      </c>
      <c r="M15" t="str">
        <f>D20</f>
        <v>Road Bikes</v>
      </c>
    </row>
    <row r="16" spans="4:18">
      <c r="L16" t="s">
        <v>9006</v>
      </c>
      <c r="M16" t="str">
        <f>D25</f>
        <v>Australia</v>
      </c>
    </row>
    <row r="17" spans="4:18">
      <c r="L17" t="s">
        <v>9007</v>
      </c>
      <c r="M17" t="str">
        <f>D34</f>
        <v>Road-150 Red, 48</v>
      </c>
    </row>
    <row r="18" spans="4:18">
      <c r="L18" t="s">
        <v>9008</v>
      </c>
      <c r="M18" t="str">
        <f>D43</f>
        <v>Road-250 Black, 48</v>
      </c>
    </row>
    <row r="19" spans="4:18">
      <c r="D19" s="7" t="s">
        <v>8974</v>
      </c>
      <c r="E19" t="s">
        <v>8977</v>
      </c>
      <c r="F19" t="s">
        <v>8973</v>
      </c>
      <c r="G19" t="s">
        <v>8976</v>
      </c>
      <c r="L19" t="s">
        <v>8969</v>
      </c>
      <c r="M19" s="2">
        <f>E12</f>
        <v>2435.3359620911833</v>
      </c>
    </row>
    <row r="20" spans="4:18">
      <c r="D20" s="8" t="s">
        <v>3479</v>
      </c>
      <c r="E20">
        <v>2027</v>
      </c>
      <c r="F20" s="2">
        <v>4872483.8522999259</v>
      </c>
      <c r="G20" s="2">
        <v>1913016.4881999532</v>
      </c>
      <c r="I20" s="7" t="s">
        <v>8974</v>
      </c>
      <c r="J20" t="s">
        <v>8973</v>
      </c>
    </row>
    <row r="21" spans="4:18" ht="23">
      <c r="D21" s="8" t="s">
        <v>3478</v>
      </c>
      <c r="E21">
        <v>603</v>
      </c>
      <c r="F21" s="2">
        <v>1532449.7279999857</v>
      </c>
      <c r="G21" s="2">
        <v>688585.84420000028</v>
      </c>
      <c r="I21" s="8" t="s">
        <v>8978</v>
      </c>
      <c r="J21" s="2">
        <v>585312.648600001</v>
      </c>
      <c r="L21" s="15" t="s">
        <v>9011</v>
      </c>
      <c r="M21" s="15"/>
      <c r="N21" s="15"/>
      <c r="O21" s="15"/>
      <c r="P21" s="15"/>
      <c r="Q21" s="15"/>
      <c r="R21" s="15"/>
    </row>
    <row r="22" spans="4:18">
      <c r="D22" s="8" t="s">
        <v>8975</v>
      </c>
      <c r="E22">
        <v>2630</v>
      </c>
      <c r="F22" s="2">
        <v>6404933.5802997593</v>
      </c>
      <c r="G22" s="2">
        <v>2601602.3323999657</v>
      </c>
      <c r="I22" s="8" t="s">
        <v>8979</v>
      </c>
      <c r="J22" s="2">
        <v>532226.24580000073</v>
      </c>
    </row>
    <row r="23" spans="4:18" ht="18" customHeight="1">
      <c r="I23" s="8" t="s">
        <v>8980</v>
      </c>
      <c r="J23" s="2">
        <v>643436.10400000121</v>
      </c>
      <c r="L23" s="21" t="s">
        <v>9014</v>
      </c>
      <c r="M23" s="21"/>
      <c r="N23" s="21"/>
      <c r="O23" s="21"/>
      <c r="P23" s="21"/>
      <c r="Q23" s="21"/>
    </row>
    <row r="24" spans="4:18">
      <c r="D24" s="7" t="s">
        <v>8974</v>
      </c>
      <c r="E24" t="s">
        <v>8973</v>
      </c>
      <c r="F24" t="s">
        <v>8977</v>
      </c>
      <c r="I24" s="8" t="s">
        <v>8981</v>
      </c>
      <c r="J24" s="2">
        <v>653364.0368000014</v>
      </c>
      <c r="L24" s="21"/>
      <c r="M24" s="21"/>
      <c r="N24" s="21"/>
      <c r="O24" s="21"/>
      <c r="P24" s="21"/>
      <c r="Q24" s="21"/>
    </row>
    <row r="25" spans="4:18" ht="18" customHeight="1">
      <c r="D25" s="8" t="s">
        <v>3586</v>
      </c>
      <c r="E25" s="2">
        <v>2120664.6526000015</v>
      </c>
      <c r="F25">
        <v>848</v>
      </c>
      <c r="I25" s="8" t="s">
        <v>8982</v>
      </c>
      <c r="J25" s="2">
        <v>659325.89680000115</v>
      </c>
      <c r="L25" s="21"/>
      <c r="M25" s="21"/>
      <c r="N25" s="21"/>
      <c r="O25" s="21"/>
      <c r="P25" s="21"/>
      <c r="Q25" s="21"/>
    </row>
    <row r="26" spans="4:18">
      <c r="D26" s="8" t="s">
        <v>3578</v>
      </c>
      <c r="E26" s="2">
        <v>2099407.3102999786</v>
      </c>
      <c r="F26">
        <v>849</v>
      </c>
      <c r="I26" s="8" t="s">
        <v>8983</v>
      </c>
      <c r="J26" s="2">
        <v>669988.66960000142</v>
      </c>
      <c r="L26" s="21"/>
      <c r="M26" s="21"/>
      <c r="N26" s="21"/>
      <c r="O26" s="21"/>
      <c r="P26" s="21"/>
      <c r="Q26" s="21"/>
    </row>
    <row r="27" spans="4:18">
      <c r="D27" s="8" t="s">
        <v>3582</v>
      </c>
      <c r="E27" s="2">
        <v>610492.43990000011</v>
      </c>
      <c r="F27">
        <v>223</v>
      </c>
      <c r="I27" s="8" t="s">
        <v>8984</v>
      </c>
      <c r="J27" s="2">
        <v>486115.00540000008</v>
      </c>
      <c r="L27" s="21"/>
      <c r="M27" s="21"/>
      <c r="N27" s="21"/>
      <c r="O27" s="21"/>
      <c r="P27" s="21"/>
      <c r="Q27" s="21"/>
    </row>
    <row r="28" spans="4:18">
      <c r="D28" s="8" t="s">
        <v>3588</v>
      </c>
      <c r="E28" s="2">
        <v>567033.07179999957</v>
      </c>
      <c r="F28">
        <v>255</v>
      </c>
      <c r="I28" s="8" t="s">
        <v>8985</v>
      </c>
      <c r="J28" s="2">
        <v>536452.81749999989</v>
      </c>
      <c r="L28" s="21"/>
      <c r="M28" s="21"/>
      <c r="N28" s="21"/>
      <c r="O28" s="21"/>
      <c r="P28" s="21"/>
      <c r="Q28" s="21"/>
    </row>
    <row r="29" spans="4:18">
      <c r="D29" s="8" t="s">
        <v>3585</v>
      </c>
      <c r="E29" s="2">
        <v>504013.84929999948</v>
      </c>
      <c r="F29">
        <v>226</v>
      </c>
      <c r="I29" s="8" t="s">
        <v>8986</v>
      </c>
      <c r="J29" s="2">
        <v>344062.87490000052</v>
      </c>
      <c r="L29" s="21"/>
      <c r="M29" s="21"/>
      <c r="N29" s="21"/>
      <c r="O29" s="21"/>
      <c r="P29" s="21"/>
      <c r="Q29" s="21"/>
    </row>
    <row r="30" spans="4:18">
      <c r="D30" s="8" t="s">
        <v>3583</v>
      </c>
      <c r="E30" s="2">
        <v>503322.25640000036</v>
      </c>
      <c r="F30">
        <v>229</v>
      </c>
      <c r="I30" s="8" t="s">
        <v>8987</v>
      </c>
      <c r="J30" s="2">
        <v>404276.59740000038</v>
      </c>
    </row>
    <row r="31" spans="4:18" ht="23">
      <c r="D31" s="8" t="s">
        <v>8975</v>
      </c>
      <c r="E31" s="2">
        <v>6404933.5802998291</v>
      </c>
      <c r="F31">
        <v>2630</v>
      </c>
      <c r="I31" s="8" t="s">
        <v>8988</v>
      </c>
      <c r="J31" s="2">
        <v>326611.15340000071</v>
      </c>
      <c r="L31" s="15" t="s">
        <v>9015</v>
      </c>
      <c r="M31" s="15"/>
      <c r="N31" s="15"/>
      <c r="O31" s="15"/>
      <c r="P31" s="15"/>
      <c r="Q31" s="15"/>
      <c r="R31" s="15"/>
    </row>
    <row r="32" spans="4:18" ht="16" customHeight="1">
      <c r="I32" s="8" t="s">
        <v>8989</v>
      </c>
      <c r="J32" s="2">
        <v>563761.53010000079</v>
      </c>
      <c r="L32" s="22" t="s">
        <v>9016</v>
      </c>
      <c r="M32" s="22"/>
      <c r="N32" s="22"/>
      <c r="O32" s="22"/>
      <c r="P32" s="22"/>
      <c r="Q32" s="22"/>
    </row>
    <row r="33" spans="4:17">
      <c r="D33" s="7" t="s">
        <v>8974</v>
      </c>
      <c r="E33" t="s">
        <v>8973</v>
      </c>
      <c r="I33" s="8" t="s">
        <v>8975</v>
      </c>
      <c r="J33" s="2">
        <v>6404933.5803000098</v>
      </c>
      <c r="L33" s="22"/>
      <c r="M33" s="22"/>
      <c r="N33" s="22"/>
      <c r="O33" s="22"/>
      <c r="P33" s="22"/>
      <c r="Q33" s="22"/>
    </row>
    <row r="34" spans="4:17">
      <c r="D34" s="8" t="s">
        <v>3490</v>
      </c>
      <c r="E34" s="2">
        <v>640510.33000000159</v>
      </c>
      <c r="L34" s="22"/>
      <c r="M34" s="22"/>
      <c r="N34" s="22"/>
      <c r="O34" s="22"/>
      <c r="P34" s="22"/>
      <c r="Q34" s="22"/>
    </row>
    <row r="35" spans="4:17">
      <c r="D35" s="8" t="s">
        <v>3486</v>
      </c>
      <c r="E35" s="2">
        <v>604727.6300000014</v>
      </c>
      <c r="L35" s="22"/>
      <c r="M35" s="22"/>
      <c r="N35" s="22"/>
      <c r="O35" s="22"/>
      <c r="P35" s="22"/>
      <c r="Q35" s="22"/>
    </row>
    <row r="36" spans="4:17">
      <c r="D36" s="8" t="s">
        <v>3492</v>
      </c>
      <c r="E36" s="2">
        <v>601149.36000000138</v>
      </c>
      <c r="L36" s="22"/>
      <c r="M36" s="22"/>
      <c r="N36" s="22"/>
      <c r="O36" s="22"/>
      <c r="P36" s="22"/>
      <c r="Q36" s="22"/>
    </row>
    <row r="37" spans="4:17">
      <c r="D37" s="8" t="s">
        <v>3494</v>
      </c>
      <c r="E37" s="2">
        <v>561788.39000000118</v>
      </c>
      <c r="L37" s="22"/>
      <c r="M37" s="22"/>
      <c r="N37" s="22"/>
      <c r="O37" s="22"/>
      <c r="P37" s="22"/>
      <c r="Q37" s="22"/>
    </row>
    <row r="38" spans="4:17">
      <c r="D38" s="8" t="s">
        <v>3488</v>
      </c>
      <c r="E38" s="2">
        <v>497379.5300000009</v>
      </c>
      <c r="L38" s="22"/>
      <c r="M38" s="22"/>
      <c r="N38" s="22"/>
      <c r="O38" s="22"/>
      <c r="P38" s="22"/>
      <c r="Q38" s="22"/>
    </row>
    <row r="39" spans="4:17">
      <c r="D39" s="8" t="s">
        <v>3560</v>
      </c>
      <c r="E39" s="2">
        <v>235608.75</v>
      </c>
    </row>
    <row r="40" spans="4:17">
      <c r="D40" s="8" t="s">
        <v>3554</v>
      </c>
      <c r="E40" s="2">
        <v>231245.625</v>
      </c>
    </row>
    <row r="41" spans="4:17">
      <c r="D41" s="8" t="s">
        <v>3550</v>
      </c>
      <c r="E41" s="2">
        <v>219901.50000000035</v>
      </c>
    </row>
    <row r="42" spans="4:17">
      <c r="D42" s="8" t="s">
        <v>3552</v>
      </c>
      <c r="E42" s="2">
        <v>195468.00000000029</v>
      </c>
    </row>
    <row r="43" spans="4:17">
      <c r="D43" s="8" t="s">
        <v>3558</v>
      </c>
      <c r="E43" s="2">
        <v>181069.6875</v>
      </c>
    </row>
    <row r="44" spans="4:17">
      <c r="D44" s="8" t="s">
        <v>8975</v>
      </c>
      <c r="E44" s="2">
        <v>3968848.8025000072</v>
      </c>
    </row>
  </sheetData>
  <mergeCells count="14">
    <mergeCell ref="Q8:Q9"/>
    <mergeCell ref="L2:R2"/>
    <mergeCell ref="L3:R3"/>
    <mergeCell ref="L6:R6"/>
    <mergeCell ref="L8:L9"/>
    <mergeCell ref="M8:M9"/>
    <mergeCell ref="N8:N9"/>
    <mergeCell ref="O8:O9"/>
    <mergeCell ref="P8:P9"/>
    <mergeCell ref="L23:Q29"/>
    <mergeCell ref="L32:Q38"/>
    <mergeCell ref="L31:R31"/>
    <mergeCell ref="L12:R12"/>
    <mergeCell ref="L21:R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88E312-467E-3142-BCE3-A0F3ECA74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Fact_Sales</vt:lpstr>
      <vt:lpstr>Fact_Return</vt:lpstr>
      <vt:lpstr>Fact_Daily_Sales</vt:lpstr>
      <vt:lpstr>Fact_Weekly_Sales</vt:lpstr>
      <vt:lpstr>Fact_Monthly_Sales</vt:lpstr>
      <vt:lpstr>DAILY_REPORT</vt:lpstr>
      <vt:lpstr>YEAR_2015_MIS_Report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2026-07-09T09:21:19Z</dcterms:created>
  <dcterms:modified xsi:type="dcterms:W3CDTF">2026-07-14T14:42:35Z</dcterms:modified>
</cp:coreProperties>
</file>